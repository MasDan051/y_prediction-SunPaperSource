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xmlns:mc="http://schemas.openxmlformats.org/markup-compatibility/2006">
    <mc:Choice Requires="x15">
      <x15ac:absPath xmlns:x15ac="http://schemas.microsoft.com/office/spreadsheetml/2010/11/ac" url="E:\Kuliah\Sun Paper Source\Efficiency\2026\"/>
    </mc:Choice>
  </mc:AlternateContent>
  <xr:revisionPtr revIDLastSave="0" documentId="13_ncr:1_{4B22716B-340D-424B-98ED-B09B008B29D9}" xr6:coauthVersionLast="47" xr6:coauthVersionMax="47" xr10:uidLastSave="{00000000-0000-0000-0000-000000000000}"/>
  <bookViews>
    <workbookView xWindow="-108" yWindow="-108" windowWidth="23256" windowHeight="12576" tabRatio="941" firstSheet="1" activeTab="8" xr2:uid="{00000000-000D-0000-FFFF-FFFF00000000}"/>
  </bookViews>
  <sheets>
    <sheet name="eff all value" sheetId="56" state="hidden" r:id="rId1"/>
    <sheet name="Report1" sheetId="48" r:id="rId2"/>
    <sheet name="GRAFIK" sheetId="50" r:id="rId3"/>
    <sheet name="Listrik" sheetId="45" r:id="rId4"/>
    <sheet name="Trim Rwd" sheetId="47" r:id="rId5"/>
    <sheet name="Efficiency1" sheetId="46" r:id="rId6"/>
    <sheet name="Efficiency2" sheetId="55" r:id="rId7"/>
    <sheet name="Chem" sheetId="1" r:id="rId8"/>
    <sheet name="BB" sheetId="2" r:id="rId9"/>
    <sheet name="RBP" sheetId="51" r:id="rId10"/>
    <sheet name="Sheet1" sheetId="53" r:id="rId11"/>
    <sheet name="summary" sheetId="54" r:id="rId12"/>
    <sheet name="31" sheetId="43" r:id="rId13"/>
    <sheet name="30" sheetId="4" r:id="rId14"/>
    <sheet name="29" sheetId="37" r:id="rId15"/>
    <sheet name="28" sheetId="6" r:id="rId16"/>
    <sheet name="27" sheetId="7" r:id="rId17"/>
    <sheet name="26" sheetId="8" r:id="rId18"/>
    <sheet name="25" sheetId="9" r:id="rId19"/>
    <sheet name="24" sheetId="10" r:id="rId20"/>
    <sheet name="23" sheetId="11" r:id="rId21"/>
    <sheet name="22" sheetId="12" r:id="rId22"/>
    <sheet name="21" sheetId="13" r:id="rId23"/>
    <sheet name="20" sheetId="14" r:id="rId24"/>
    <sheet name="19" sheetId="15" r:id="rId25"/>
    <sheet name="18" sheetId="16" r:id="rId26"/>
    <sheet name="17" sheetId="17" r:id="rId27"/>
    <sheet name="16" sheetId="18" r:id="rId28"/>
    <sheet name="15" sheetId="19" r:id="rId29"/>
    <sheet name="14" sheetId="20" r:id="rId30"/>
    <sheet name="13" sheetId="22" r:id="rId31"/>
    <sheet name="12" sheetId="21" r:id="rId32"/>
    <sheet name="11" sheetId="23" r:id="rId33"/>
    <sheet name="10" sheetId="24" r:id="rId34"/>
    <sheet name="9" sheetId="25" r:id="rId35"/>
    <sheet name="8" sheetId="26" r:id="rId36"/>
    <sheet name="7" sheetId="28" r:id="rId37"/>
    <sheet name="6" sheetId="27" r:id="rId38"/>
    <sheet name="5" sheetId="29" r:id="rId39"/>
    <sheet name="4" sheetId="30" r:id="rId40"/>
    <sheet name="3" sheetId="31" r:id="rId41"/>
    <sheet name="2" sheetId="32" r:id="rId42"/>
    <sheet name="1" sheetId="33" r:id="rId43"/>
  </sheets>
  <externalReferences>
    <externalReference r:id="rId44"/>
    <externalReference r:id="rId45"/>
    <externalReference r:id="rId46"/>
    <externalReference r:id="rId47"/>
  </externalReferences>
  <definedNames>
    <definedName name="_xlnm.Print_Area" localSheetId="42">'1'!$A$1:$M$62</definedName>
    <definedName name="_xlnm.Print_Area" localSheetId="33">'10'!$A$1:$M$61</definedName>
    <definedName name="_xlnm.Print_Area" localSheetId="32">'11'!$A$1:$M$61</definedName>
    <definedName name="_xlnm.Print_Area" localSheetId="31">'12'!$A$1:$M$61</definedName>
    <definedName name="_xlnm.Print_Area" localSheetId="30">'13'!$A$1:$M$62</definedName>
    <definedName name="_xlnm.Print_Area" localSheetId="29">'14'!$A$1:$M$61</definedName>
    <definedName name="_xlnm.Print_Area" localSheetId="28">'15'!$A$1:$M$61</definedName>
    <definedName name="_xlnm.Print_Area" localSheetId="27">'16'!$A$1:$M$61</definedName>
    <definedName name="_xlnm.Print_Area" localSheetId="26">'17'!$A$1:$M$61</definedName>
    <definedName name="_xlnm.Print_Area" localSheetId="25">'18'!$A$1:$M$61</definedName>
    <definedName name="_xlnm.Print_Area" localSheetId="24">'19'!$A$1:$M$61</definedName>
    <definedName name="_xlnm.Print_Area" localSheetId="41">'2'!$A$1:$M$61</definedName>
    <definedName name="_xlnm.Print_Area" localSheetId="23">'20'!$A$1:$M$62</definedName>
    <definedName name="_xlnm.Print_Area" localSheetId="22">'21'!$A$1:$M$61</definedName>
    <definedName name="_xlnm.Print_Area" localSheetId="21">'22'!$A$1:$M$61</definedName>
    <definedName name="_xlnm.Print_Area" localSheetId="20">'23'!$A$1:$M$61</definedName>
    <definedName name="_xlnm.Print_Area" localSheetId="19">'24'!$A$1:$M$61</definedName>
    <definedName name="_xlnm.Print_Area" localSheetId="18">'25'!$A$1:$M$61</definedName>
    <definedName name="_xlnm.Print_Area" localSheetId="17">'26'!$A$1:$M$61</definedName>
    <definedName name="_xlnm.Print_Area" localSheetId="16">'27'!$A$1:$M$61</definedName>
    <definedName name="_xlnm.Print_Area" localSheetId="15">'28'!$A$1:$M$61</definedName>
    <definedName name="_xlnm.Print_Area" localSheetId="14">'29'!$A$1:$M$61</definedName>
    <definedName name="_xlnm.Print_Area" localSheetId="40">'3'!$A$1:$M$61</definedName>
    <definedName name="_xlnm.Print_Area" localSheetId="13">'30'!$A$1:$M$61</definedName>
    <definedName name="_xlnm.Print_Area" localSheetId="12">'31'!$A$1:$M$63</definedName>
    <definedName name="_xlnm.Print_Area" localSheetId="39">'4'!$A$1:$M$61</definedName>
    <definedName name="_xlnm.Print_Area" localSheetId="38">'5'!$A$1:$M$61</definedName>
    <definedName name="_xlnm.Print_Area" localSheetId="37">'6'!$A$1:$M$61</definedName>
    <definedName name="_xlnm.Print_Area" localSheetId="36">'7'!$A$1:$M$61</definedName>
    <definedName name="_xlnm.Print_Area" localSheetId="35">'8'!$A$1:$M$61</definedName>
    <definedName name="_xlnm.Print_Area" localSheetId="34">'9'!$A$1:$M$62</definedName>
    <definedName name="_xlnm.Print_Area" localSheetId="7">Chem!$CE$7:$CQ$16</definedName>
    <definedName name="_xlnm.Print_Area" localSheetId="5">Efficiency1!$A$1:$AD$151</definedName>
    <definedName name="_xlnm.Print_Area" localSheetId="6">Efficiency2!$A$1:$AD$151</definedName>
    <definedName name="_xlnm.Print_Area" localSheetId="3">Listrik!$A$2:$AW$40</definedName>
    <definedName name="_xlnm.Print_Area" localSheetId="1">Report1!$A$3:$AK$41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9" i="45" l="1"/>
  <c r="U10" i="45"/>
  <c r="U11" i="45"/>
  <c r="U12" i="45"/>
  <c r="U13" i="45"/>
  <c r="U14" i="45"/>
  <c r="U15" i="45"/>
  <c r="U16" i="45"/>
  <c r="U17" i="45"/>
  <c r="U18" i="45"/>
  <c r="U19" i="45"/>
  <c r="U20" i="45"/>
  <c r="U21" i="45"/>
  <c r="U22" i="45"/>
  <c r="U23" i="45"/>
  <c r="U24" i="45"/>
  <c r="U25" i="45"/>
  <c r="U26" i="45"/>
  <c r="U27" i="45"/>
  <c r="U28" i="45"/>
  <c r="U29" i="45"/>
  <c r="U30" i="45"/>
  <c r="U31" i="45"/>
  <c r="U32" i="45"/>
  <c r="U33" i="45"/>
  <c r="U34" i="45"/>
  <c r="U35" i="45"/>
  <c r="U36" i="45"/>
  <c r="U37" i="45"/>
  <c r="U38" i="45"/>
  <c r="U8" i="45"/>
  <c r="AE4" i="51" l="1"/>
  <c r="AE3" i="51"/>
  <c r="AD4" i="51"/>
  <c r="AD3" i="51"/>
  <c r="AC4" i="51"/>
  <c r="AC3" i="51"/>
  <c r="AB4" i="51"/>
  <c r="AB3" i="51"/>
  <c r="AA4" i="51"/>
  <c r="AA3" i="51"/>
  <c r="Z4" i="51"/>
  <c r="Z3" i="51"/>
  <c r="M4" i="51"/>
  <c r="M3" i="51"/>
  <c r="L4" i="51"/>
  <c r="L3" i="51"/>
  <c r="AF4" i="51" l="1"/>
  <c r="AG4" i="51" s="1"/>
  <c r="AF3" i="51"/>
  <c r="AG3" i="51" s="1"/>
  <c r="Y132" i="55" l="1"/>
  <c r="Y132" i="46"/>
  <c r="W133" i="55"/>
  <c r="Z132" i="55"/>
  <c r="Z112" i="55"/>
  <c r="Z104" i="55"/>
  <c r="Z100" i="55"/>
  <c r="Z76" i="55"/>
  <c r="AR134" i="55" l="1"/>
  <c r="BA134" i="55" s="1"/>
  <c r="AM134" i="55"/>
  <c r="AR133" i="55"/>
  <c r="BA133" i="55" s="1"/>
  <c r="AM133" i="55"/>
  <c r="N133" i="55"/>
  <c r="AR132" i="55"/>
  <c r="BA132" i="55" s="1"/>
  <c r="AM132" i="55"/>
  <c r="N132" i="55"/>
  <c r="Z132" i="46"/>
  <c r="E86" i="47"/>
  <c r="H86" i="47" s="1"/>
  <c r="O133" i="46" s="1"/>
  <c r="K8" i="43"/>
  <c r="W134" i="55" s="1"/>
  <c r="K10" i="43"/>
  <c r="W133" i="46"/>
  <c r="F84" i="47"/>
  <c r="E85" i="47"/>
  <c r="G85" i="47" s="1"/>
  <c r="H85" i="47" s="1"/>
  <c r="E84" i="47"/>
  <c r="G84" i="47" l="1"/>
  <c r="H84" i="47" s="1"/>
  <c r="W134" i="46"/>
  <c r="AD132" i="55"/>
  <c r="W132" i="46"/>
  <c r="W132" i="55"/>
  <c r="H132" i="55"/>
  <c r="O133" i="55"/>
  <c r="U133" i="55" s="1"/>
  <c r="AD134" i="55"/>
  <c r="AD133" i="55"/>
  <c r="T133" i="55"/>
  <c r="H133" i="55"/>
  <c r="O132" i="55" l="1"/>
  <c r="O132" i="46"/>
  <c r="P133" i="55"/>
  <c r="J132" i="55"/>
  <c r="C133" i="55"/>
  <c r="V133" i="55"/>
  <c r="K133" i="55"/>
  <c r="AC133" i="55" s="1"/>
  <c r="J133" i="55"/>
  <c r="V132" i="55" l="1"/>
  <c r="C132" i="55"/>
  <c r="T132" i="55"/>
  <c r="U132" i="55"/>
  <c r="AA132" i="55" s="1"/>
  <c r="AB132" i="55" s="1"/>
  <c r="P132" i="55"/>
  <c r="K132" i="55"/>
  <c r="AC132" i="55" s="1"/>
  <c r="BE39" i="48"/>
  <c r="X132" i="55" l="1"/>
  <c r="I38" i="43"/>
  <c r="I84" i="47" s="1"/>
  <c r="AR134" i="46" l="1"/>
  <c r="BA134" i="46" s="1"/>
  <c r="AM134" i="46"/>
  <c r="AR133" i="46"/>
  <c r="BA133" i="46" s="1"/>
  <c r="AM133" i="46"/>
  <c r="AD133" i="46" s="1"/>
  <c r="U133" i="46"/>
  <c r="N133" i="46"/>
  <c r="AR132" i="46"/>
  <c r="BA132" i="46" s="1"/>
  <c r="AM132" i="46"/>
  <c r="P132" i="46"/>
  <c r="N132" i="46"/>
  <c r="T39" i="48"/>
  <c r="Q35" i="43"/>
  <c r="Q26" i="43"/>
  <c r="Q32" i="43" s="1"/>
  <c r="Q33" i="43" s="1"/>
  <c r="R26" i="43"/>
  <c r="P26" i="43"/>
  <c r="S26" i="43" s="1"/>
  <c r="R25" i="43"/>
  <c r="P25" i="43"/>
  <c r="S25" i="43" s="1"/>
  <c r="Q22" i="43"/>
  <c r="Q23" i="43" s="1"/>
  <c r="R15" i="43"/>
  <c r="R22" i="43" s="1"/>
  <c r="P15" i="43"/>
  <c r="S15" i="43" s="1"/>
  <c r="S22" i="43" s="1"/>
  <c r="S23" i="43" s="1"/>
  <c r="P6" i="43"/>
  <c r="S6" i="43" s="1"/>
  <c r="S13" i="43" s="1"/>
  <c r="Q13" i="43"/>
  <c r="Q14" i="43" s="1"/>
  <c r="R6" i="43"/>
  <c r="J4" i="43"/>
  <c r="AD132" i="46" l="1"/>
  <c r="R23" i="43"/>
  <c r="AD134" i="46"/>
  <c r="V133" i="46"/>
  <c r="T132" i="46"/>
  <c r="U132" i="46"/>
  <c r="AA132" i="46" s="1"/>
  <c r="C132" i="46"/>
  <c r="V132" i="46"/>
  <c r="S32" i="43"/>
  <c r="S33" i="43" s="1"/>
  <c r="P133" i="46"/>
  <c r="H132" i="46"/>
  <c r="T133" i="46"/>
  <c r="C133" i="46"/>
  <c r="H133" i="46"/>
  <c r="R32" i="43"/>
  <c r="R33" i="43" s="1"/>
  <c r="S14" i="43"/>
  <c r="R13" i="43"/>
  <c r="R14" i="43" s="1"/>
  <c r="N39" i="48" l="1"/>
  <c r="J133" i="46"/>
  <c r="K133" i="46"/>
  <c r="AC133" i="46" s="1"/>
  <c r="K132" i="46"/>
  <c r="J132" i="46"/>
  <c r="L39" i="48" l="1"/>
  <c r="AC132" i="46"/>
  <c r="AB132" i="46" s="1"/>
  <c r="X132" i="46"/>
  <c r="AR130" i="55" l="1"/>
  <c r="BA130" i="55" s="1"/>
  <c r="AM130" i="55"/>
  <c r="AD130" i="55" s="1"/>
  <c r="AR129" i="55"/>
  <c r="BA129" i="55" s="1"/>
  <c r="AM129" i="55"/>
  <c r="N129" i="55"/>
  <c r="AR128" i="55"/>
  <c r="BA128" i="55" s="1"/>
  <c r="AM128" i="55"/>
  <c r="N128" i="55"/>
  <c r="H128" i="55" s="1"/>
  <c r="K8" i="4"/>
  <c r="W129" i="55" s="1"/>
  <c r="C7" i="4"/>
  <c r="K10" i="4" s="1"/>
  <c r="W128" i="55" s="1"/>
  <c r="F81" i="47"/>
  <c r="E81" i="47"/>
  <c r="G81" i="47" s="1"/>
  <c r="F82" i="47"/>
  <c r="E82" i="47"/>
  <c r="E80" i="47"/>
  <c r="G80" i="47" s="1"/>
  <c r="AD128" i="55" l="1"/>
  <c r="AD129" i="55"/>
  <c r="W128" i="46"/>
  <c r="H80" i="47"/>
  <c r="W129" i="46"/>
  <c r="J128" i="55"/>
  <c r="H129" i="55"/>
  <c r="G82" i="47"/>
  <c r="H82" i="47" s="1"/>
  <c r="O128" i="55" l="1"/>
  <c r="O128" i="46"/>
  <c r="O129" i="46"/>
  <c r="O129" i="55"/>
  <c r="J129" i="55"/>
  <c r="K129" i="55"/>
  <c r="U129" i="55" l="1"/>
  <c r="P129" i="55"/>
  <c r="T129" i="55"/>
  <c r="AC129" i="55" s="1"/>
  <c r="C129" i="55"/>
  <c r="V129" i="55"/>
  <c r="U128" i="55"/>
  <c r="T128" i="55"/>
  <c r="C128" i="55"/>
  <c r="P128" i="55"/>
  <c r="V128" i="55"/>
  <c r="K128" i="55"/>
  <c r="T38" i="48"/>
  <c r="X128" i="55" l="1"/>
  <c r="AC128" i="55"/>
  <c r="BE38" i="48"/>
  <c r="N125" i="55"/>
  <c r="H125" i="55" s="1"/>
  <c r="N124" i="55"/>
  <c r="H124" i="55" s="1"/>
  <c r="N120" i="55"/>
  <c r="H120" i="55" s="1"/>
  <c r="N116" i="55"/>
  <c r="H116" i="55" s="1"/>
  <c r="N112" i="55"/>
  <c r="H112" i="55" s="1"/>
  <c r="N108" i="55"/>
  <c r="H108" i="55" s="1"/>
  <c r="N104" i="55"/>
  <c r="H104" i="55" s="1"/>
  <c r="N101" i="55"/>
  <c r="H101" i="55" s="1"/>
  <c r="N100" i="55"/>
  <c r="H100" i="55" s="1"/>
  <c r="N97" i="55"/>
  <c r="H97" i="55" s="1"/>
  <c r="N96" i="55"/>
  <c r="H96" i="55" s="1"/>
  <c r="N92" i="55"/>
  <c r="H92" i="55" s="1"/>
  <c r="N88" i="55"/>
  <c r="H88" i="55" s="1"/>
  <c r="M84" i="55"/>
  <c r="M81" i="55"/>
  <c r="N81" i="55" s="1"/>
  <c r="H81" i="55" s="1"/>
  <c r="M80" i="55"/>
  <c r="N80" i="55" s="1"/>
  <c r="H80" i="55" s="1"/>
  <c r="N77" i="55"/>
  <c r="H77" i="55" s="1"/>
  <c r="J77" i="55" s="1"/>
  <c r="N76" i="55"/>
  <c r="H76" i="55" s="1"/>
  <c r="J76" i="55" s="1"/>
  <c r="N72" i="55"/>
  <c r="H72" i="55" s="1"/>
  <c r="N68" i="55"/>
  <c r="H68" i="55" s="1"/>
  <c r="N64" i="55"/>
  <c r="H64" i="55" s="1"/>
  <c r="J64" i="55" s="1"/>
  <c r="N61" i="55"/>
  <c r="H61" i="55" s="1"/>
  <c r="N60" i="55"/>
  <c r="H60" i="55" s="1"/>
  <c r="N57" i="55"/>
  <c r="H57" i="55" s="1"/>
  <c r="N56" i="55"/>
  <c r="H56" i="55" s="1"/>
  <c r="N53" i="55"/>
  <c r="H53" i="55" s="1"/>
  <c r="J53" i="55" s="1"/>
  <c r="N52" i="55"/>
  <c r="H52" i="55" s="1"/>
  <c r="N48" i="55"/>
  <c r="H48" i="55" s="1"/>
  <c r="N45" i="55"/>
  <c r="H45" i="55" s="1"/>
  <c r="N44" i="55"/>
  <c r="H44" i="55" s="1"/>
  <c r="J44" i="55" s="1"/>
  <c r="N40" i="55"/>
  <c r="H40" i="55" s="1"/>
  <c r="N34" i="55"/>
  <c r="H34" i="55" s="1"/>
  <c r="N30" i="55"/>
  <c r="H30" i="55" s="1"/>
  <c r="N29" i="55"/>
  <c r="H29" i="55" s="1"/>
  <c r="J29" i="55" s="1"/>
  <c r="N25" i="55"/>
  <c r="H25" i="55" s="1"/>
  <c r="N19" i="55"/>
  <c r="H19" i="55" s="1"/>
  <c r="N18" i="55"/>
  <c r="H18" i="55" s="1"/>
  <c r="J18" i="55" s="1"/>
  <c r="N14" i="55"/>
  <c r="H14" i="55" s="1"/>
  <c r="J14" i="55" s="1"/>
  <c r="N10" i="55"/>
  <c r="H10" i="55" s="1"/>
  <c r="N6" i="55"/>
  <c r="H6" i="55" s="1"/>
  <c r="A6" i="55"/>
  <c r="J61" i="55" l="1"/>
  <c r="J97" i="55"/>
  <c r="J19" i="55"/>
  <c r="J96" i="55"/>
  <c r="J100" i="55"/>
  <c r="J125" i="55"/>
  <c r="J48" i="55"/>
  <c r="J56" i="55"/>
  <c r="J80" i="55"/>
  <c r="J101" i="55"/>
  <c r="J120" i="55"/>
  <c r="J68" i="55"/>
  <c r="J88" i="55"/>
  <c r="J6" i="55"/>
  <c r="J30" i="55"/>
  <c r="J57" i="55"/>
  <c r="J112" i="55"/>
  <c r="J45" i="55"/>
  <c r="J92" i="55"/>
  <c r="J104" i="55"/>
  <c r="J34" i="55"/>
  <c r="J81" i="55"/>
  <c r="J116" i="55"/>
  <c r="J10" i="55"/>
  <c r="J25" i="55"/>
  <c r="J40" i="55"/>
  <c r="J52" i="55"/>
  <c r="J60" i="55"/>
  <c r="J72" i="55"/>
  <c r="J108" i="55"/>
  <c r="J124" i="55"/>
  <c r="N84" i="55"/>
  <c r="H84" i="55" s="1"/>
  <c r="I38" i="4"/>
  <c r="I80" i="47" s="1"/>
  <c r="J84" i="55" l="1"/>
  <c r="AR130" i="46"/>
  <c r="BA130" i="46" s="1"/>
  <c r="AM130" i="46"/>
  <c r="AR129" i="46"/>
  <c r="BA129" i="46" s="1"/>
  <c r="AM129" i="46"/>
  <c r="U129" i="46"/>
  <c r="N129" i="46"/>
  <c r="AR128" i="46"/>
  <c r="BA128" i="46" s="1"/>
  <c r="AM128" i="46"/>
  <c r="C128" i="46"/>
  <c r="N128" i="46"/>
  <c r="H128" i="46" s="1"/>
  <c r="R41" i="4"/>
  <c r="W23" i="4"/>
  <c r="W24" i="4" s="1"/>
  <c r="X20" i="4"/>
  <c r="Y20" i="4"/>
  <c r="X21" i="4"/>
  <c r="Y21" i="4"/>
  <c r="X17" i="4"/>
  <c r="Y17" i="4"/>
  <c r="X18" i="4"/>
  <c r="Y18" i="4"/>
  <c r="X19" i="4"/>
  <c r="Y19" i="4"/>
  <c r="Y16" i="4"/>
  <c r="X16" i="4"/>
  <c r="W13" i="4"/>
  <c r="W14" i="4" s="1"/>
  <c r="Y7" i="4"/>
  <c r="X7" i="4"/>
  <c r="X6" i="4"/>
  <c r="Y6" i="4"/>
  <c r="Q27" i="4"/>
  <c r="R27" i="4" s="1"/>
  <c r="Q26" i="4"/>
  <c r="R26" i="4" s="1"/>
  <c r="Q28" i="4"/>
  <c r="P28" i="4"/>
  <c r="P27" i="4"/>
  <c r="P26" i="4"/>
  <c r="Q18" i="4"/>
  <c r="Q17" i="4"/>
  <c r="R17" i="4" s="1"/>
  <c r="Q16" i="4"/>
  <c r="R16" i="4" s="1"/>
  <c r="P17" i="4"/>
  <c r="P18" i="4"/>
  <c r="P16" i="4"/>
  <c r="Q7" i="4"/>
  <c r="Q13" i="4" s="1"/>
  <c r="Q14" i="4" s="1"/>
  <c r="P7" i="4"/>
  <c r="AR126" i="55"/>
  <c r="BA126" i="55" s="1"/>
  <c r="AM126" i="55"/>
  <c r="AR125" i="55"/>
  <c r="BA125" i="55" s="1"/>
  <c r="AM125" i="55"/>
  <c r="AR124" i="55"/>
  <c r="BA124" i="55" s="1"/>
  <c r="AM124" i="55"/>
  <c r="R38" i="37"/>
  <c r="R37" i="37"/>
  <c r="P27" i="37"/>
  <c r="Q27" i="37"/>
  <c r="R27" i="37" s="1"/>
  <c r="R6" i="4"/>
  <c r="P6" i="4"/>
  <c r="S6" i="4" s="1"/>
  <c r="J4" i="4"/>
  <c r="S26" i="4" l="1"/>
  <c r="Q23" i="4"/>
  <c r="Q24" i="4" s="1"/>
  <c r="S16" i="4"/>
  <c r="S17" i="4"/>
  <c r="AD124" i="55"/>
  <c r="AD125" i="55"/>
  <c r="S27" i="4"/>
  <c r="AD126" i="55"/>
  <c r="Q33" i="4"/>
  <c r="Q34" i="4" s="1"/>
  <c r="AD128" i="46"/>
  <c r="T128" i="46"/>
  <c r="U128" i="46"/>
  <c r="P128" i="46"/>
  <c r="K128" i="46"/>
  <c r="AD130" i="46"/>
  <c r="X13" i="4"/>
  <c r="X14" i="4" s="1"/>
  <c r="V128" i="46"/>
  <c r="S7" i="4"/>
  <c r="S13" i="4" s="1"/>
  <c r="S14" i="4" s="1"/>
  <c r="S28" i="4"/>
  <c r="AD129" i="46"/>
  <c r="R18" i="4"/>
  <c r="R23" i="4" s="1"/>
  <c r="R28" i="4"/>
  <c r="R33" i="4" s="1"/>
  <c r="Y23" i="4"/>
  <c r="Y24" i="4" s="1"/>
  <c r="S27" i="37"/>
  <c r="V129" i="46"/>
  <c r="P129" i="46"/>
  <c r="J128" i="46"/>
  <c r="T129" i="46"/>
  <c r="C129" i="46"/>
  <c r="N38" i="48" s="1"/>
  <c r="H129" i="46"/>
  <c r="X23" i="4"/>
  <c r="X24" i="4" s="1"/>
  <c r="Y13" i="4"/>
  <c r="Y14" i="4" s="1"/>
  <c r="S18" i="4"/>
  <c r="R7" i="4"/>
  <c r="R13" i="4" s="1"/>
  <c r="R14" i="4" s="1"/>
  <c r="R24" i="4" l="1"/>
  <c r="S23" i="4"/>
  <c r="S24" i="4" s="1"/>
  <c r="R34" i="4"/>
  <c r="S33" i="4"/>
  <c r="S34" i="4" s="1"/>
  <c r="AC128" i="46"/>
  <c r="J129" i="46"/>
  <c r="K129" i="46"/>
  <c r="AC129" i="46" s="1"/>
  <c r="X128" i="46" l="1"/>
  <c r="L38" i="48"/>
  <c r="AR122" i="55" l="1"/>
  <c r="BA122" i="55" s="1"/>
  <c r="AM122" i="55"/>
  <c r="AD122" i="55" s="1"/>
  <c r="AR121" i="55"/>
  <c r="BA121" i="55" s="1"/>
  <c r="AM121" i="55"/>
  <c r="AR120" i="55"/>
  <c r="BA120" i="55" s="1"/>
  <c r="AM120" i="55"/>
  <c r="K8" i="37"/>
  <c r="W125" i="55" s="1"/>
  <c r="C25" i="37"/>
  <c r="K10" i="37" s="1"/>
  <c r="W124" i="55" s="1"/>
  <c r="F77" i="47"/>
  <c r="E77" i="47"/>
  <c r="E78" i="47"/>
  <c r="G78" i="47" s="1"/>
  <c r="H78" i="47" s="1"/>
  <c r="O125" i="55" s="1"/>
  <c r="F75" i="47"/>
  <c r="E75" i="47"/>
  <c r="AD121" i="55" l="1"/>
  <c r="AD120" i="55"/>
  <c r="C125" i="55"/>
  <c r="K125" i="55"/>
  <c r="U125" i="55"/>
  <c r="P125" i="55"/>
  <c r="T125" i="55"/>
  <c r="V125" i="55"/>
  <c r="W125" i="46"/>
  <c r="G75" i="47"/>
  <c r="H75" i="47" s="1"/>
  <c r="W124" i="46"/>
  <c r="O125" i="46"/>
  <c r="C125" i="46" s="1"/>
  <c r="G77" i="47"/>
  <c r="H77" i="47" s="1"/>
  <c r="O124" i="55" s="1"/>
  <c r="N125" i="46"/>
  <c r="H125" i="46" s="1"/>
  <c r="AR126" i="46"/>
  <c r="BA126" i="46" s="1"/>
  <c r="AM126" i="46"/>
  <c r="AR125" i="46"/>
  <c r="BA125" i="46" s="1"/>
  <c r="AM125" i="46"/>
  <c r="AR124" i="46"/>
  <c r="BA124" i="46" s="1"/>
  <c r="AM124" i="46"/>
  <c r="N124" i="46"/>
  <c r="H124" i="46" s="1"/>
  <c r="AR122" i="46"/>
  <c r="BA122" i="46" s="1"/>
  <c r="AM122" i="46"/>
  <c r="AR121" i="46"/>
  <c r="BA121" i="46" s="1"/>
  <c r="AM121" i="46"/>
  <c r="AR120" i="46"/>
  <c r="BA120" i="46" s="1"/>
  <c r="AM120" i="46"/>
  <c r="N120" i="46"/>
  <c r="F26" i="37"/>
  <c r="I38" i="37"/>
  <c r="I77" i="47" s="1"/>
  <c r="R39" i="37"/>
  <c r="Y27" i="37"/>
  <c r="Z27" i="37"/>
  <c r="Y26" i="37"/>
  <c r="W26" i="37"/>
  <c r="Q26" i="37"/>
  <c r="R26" i="37" s="1"/>
  <c r="R33" i="37" s="1"/>
  <c r="P26" i="37"/>
  <c r="Q17" i="37"/>
  <c r="Q16" i="37" s="1"/>
  <c r="Q23" i="37" s="1"/>
  <c r="Q24" i="37" s="1"/>
  <c r="P17" i="37"/>
  <c r="P16" i="37"/>
  <c r="Q13" i="37"/>
  <c r="Q14" i="37" s="1"/>
  <c r="R6" i="37"/>
  <c r="R13" i="37" s="1"/>
  <c r="P6" i="37"/>
  <c r="S6" i="37" s="1"/>
  <c r="S13" i="37" s="1"/>
  <c r="I38" i="6"/>
  <c r="I75" i="47" s="1"/>
  <c r="G42" i="6"/>
  <c r="I37" i="6" s="1"/>
  <c r="F42" i="6"/>
  <c r="Q13" i="6"/>
  <c r="Q14" i="6" s="1"/>
  <c r="R8" i="6"/>
  <c r="P8" i="6"/>
  <c r="S8" i="6" s="1"/>
  <c r="R7" i="6"/>
  <c r="P7" i="6"/>
  <c r="S7" i="6" s="1"/>
  <c r="R6" i="6"/>
  <c r="P6" i="6"/>
  <c r="S6" i="6" s="1"/>
  <c r="J4" i="37"/>
  <c r="J4" i="6"/>
  <c r="S17" i="37" l="1"/>
  <c r="R17" i="37"/>
  <c r="AC125" i="55"/>
  <c r="AD122" i="46"/>
  <c r="C124" i="55"/>
  <c r="K124" i="55"/>
  <c r="O120" i="46"/>
  <c r="T120" i="46" s="1"/>
  <c r="O120" i="55"/>
  <c r="P120" i="55" s="1"/>
  <c r="Y33" i="37"/>
  <c r="T124" i="55"/>
  <c r="U124" i="55"/>
  <c r="P124" i="55"/>
  <c r="V124" i="55"/>
  <c r="R13" i="6"/>
  <c r="R14" i="6" s="1"/>
  <c r="AD126" i="46"/>
  <c r="S26" i="37"/>
  <c r="S33" i="37" s="1"/>
  <c r="AD120" i="46"/>
  <c r="O124" i="46"/>
  <c r="P124" i="46" s="1"/>
  <c r="AD124" i="46"/>
  <c r="AD125" i="46"/>
  <c r="AD121" i="46"/>
  <c r="J125" i="46"/>
  <c r="K125" i="46"/>
  <c r="T125" i="46"/>
  <c r="P125" i="46"/>
  <c r="V125" i="46"/>
  <c r="U125" i="46"/>
  <c r="J124" i="46"/>
  <c r="H120" i="46"/>
  <c r="X33" i="37"/>
  <c r="X34" i="37" s="1"/>
  <c r="Z26" i="37"/>
  <c r="Z33" i="37" s="1"/>
  <c r="Q33" i="37"/>
  <c r="Q34" i="37" s="1"/>
  <c r="R16" i="37"/>
  <c r="S16" i="37"/>
  <c r="S23" i="37" s="1"/>
  <c r="S24" i="37" s="1"/>
  <c r="S14" i="37"/>
  <c r="R14" i="37"/>
  <c r="S13" i="6"/>
  <c r="S14" i="6" s="1"/>
  <c r="AR118" i="55"/>
  <c r="BA118" i="55" s="1"/>
  <c r="AM118" i="55"/>
  <c r="AR117" i="55"/>
  <c r="BA117" i="55" s="1"/>
  <c r="AM117" i="55"/>
  <c r="AR116" i="55"/>
  <c r="BA116" i="55" s="1"/>
  <c r="AM116" i="55"/>
  <c r="F73" i="47"/>
  <c r="E73" i="47"/>
  <c r="E72" i="47"/>
  <c r="G72" i="47" s="1"/>
  <c r="R23" i="37" l="1"/>
  <c r="R24" i="37" s="1"/>
  <c r="X124" i="55"/>
  <c r="AC124" i="55"/>
  <c r="AC125" i="46"/>
  <c r="AD117" i="55"/>
  <c r="AD116" i="55"/>
  <c r="C120" i="46"/>
  <c r="N36" i="48" s="1"/>
  <c r="P120" i="46"/>
  <c r="U120" i="46"/>
  <c r="V120" i="46"/>
  <c r="C120" i="55"/>
  <c r="K120" i="55"/>
  <c r="U120" i="55"/>
  <c r="V120" i="55"/>
  <c r="T120" i="55"/>
  <c r="AD118" i="55"/>
  <c r="Z34" i="37"/>
  <c r="T124" i="46"/>
  <c r="C124" i="46"/>
  <c r="N37" i="48" s="1"/>
  <c r="U124" i="46"/>
  <c r="V124" i="46"/>
  <c r="BE37" i="48"/>
  <c r="K124" i="46"/>
  <c r="X124" i="46" s="1"/>
  <c r="H72" i="47"/>
  <c r="O116" i="55" s="1"/>
  <c r="J120" i="46"/>
  <c r="K120" i="46"/>
  <c r="L36" i="48" s="1"/>
  <c r="Y34" i="37"/>
  <c r="R34" i="37"/>
  <c r="S34" i="37"/>
  <c r="G73" i="47"/>
  <c r="AC120" i="55" l="1"/>
  <c r="BE36" i="48"/>
  <c r="C116" i="55"/>
  <c r="K116" i="55"/>
  <c r="AC124" i="46"/>
  <c r="L37" i="48"/>
  <c r="O116" i="46"/>
  <c r="AC120" i="46"/>
  <c r="I38" i="7"/>
  <c r="I72" i="47" s="1"/>
  <c r="U116" i="55" l="1"/>
  <c r="V116" i="55"/>
  <c r="P116" i="55"/>
  <c r="T116" i="55"/>
  <c r="AC116" i="55" s="1"/>
  <c r="N116" i="46"/>
  <c r="H116" i="46" s="1"/>
  <c r="C116" i="46"/>
  <c r="N35" i="48" s="1"/>
  <c r="AM116" i="46"/>
  <c r="AR116" i="46"/>
  <c r="BA116" i="46" s="1"/>
  <c r="AM117" i="46"/>
  <c r="AR117" i="46"/>
  <c r="BA117" i="46" s="1"/>
  <c r="AM118" i="46"/>
  <c r="AR118" i="46"/>
  <c r="BA118" i="46" s="1"/>
  <c r="G42" i="7"/>
  <c r="I37" i="7" s="1"/>
  <c r="F42" i="7"/>
  <c r="Q13" i="7"/>
  <c r="Q14" i="7" s="1"/>
  <c r="R8" i="7"/>
  <c r="P8" i="7"/>
  <c r="S8" i="7" s="1"/>
  <c r="R7" i="7"/>
  <c r="P7" i="7"/>
  <c r="S7" i="7" s="1"/>
  <c r="R6" i="7"/>
  <c r="P6" i="7"/>
  <c r="S6" i="7" s="1"/>
  <c r="AD116" i="46" l="1"/>
  <c r="AD117" i="46"/>
  <c r="S13" i="7"/>
  <c r="S14" i="7" s="1"/>
  <c r="R13" i="7"/>
  <c r="R14" i="7" s="1"/>
  <c r="BE35" i="48"/>
  <c r="P116" i="46"/>
  <c r="T116" i="46"/>
  <c r="AD118" i="46"/>
  <c r="J116" i="46"/>
  <c r="K116" i="46"/>
  <c r="V116" i="46"/>
  <c r="U116" i="46"/>
  <c r="AR114" i="55"/>
  <c r="BA114" i="55" s="1"/>
  <c r="AM114" i="55"/>
  <c r="AR113" i="55"/>
  <c r="BA113" i="55" s="1"/>
  <c r="AM113" i="55"/>
  <c r="AR112" i="55"/>
  <c r="BA112" i="55" s="1"/>
  <c r="AM112" i="55"/>
  <c r="AD112" i="55" s="1"/>
  <c r="F70" i="47"/>
  <c r="E70" i="47"/>
  <c r="AD114" i="55" l="1"/>
  <c r="AD113" i="55"/>
  <c r="G70" i="47"/>
  <c r="H70" i="47" s="1"/>
  <c r="O112" i="55" s="1"/>
  <c r="AC116" i="46"/>
  <c r="L35" i="48"/>
  <c r="C112" i="55" l="1"/>
  <c r="K112" i="55"/>
  <c r="O112" i="46"/>
  <c r="P112" i="55" l="1"/>
  <c r="U112" i="55"/>
  <c r="V112" i="55"/>
  <c r="T112" i="55"/>
  <c r="AC112" i="55" s="1"/>
  <c r="I38" i="8"/>
  <c r="I70" i="47" s="1"/>
  <c r="BE34" i="48" l="1"/>
  <c r="AR114" i="46"/>
  <c r="BA114" i="46" s="1"/>
  <c r="AM114" i="46"/>
  <c r="AR113" i="46"/>
  <c r="BA113" i="46" s="1"/>
  <c r="AM113" i="46"/>
  <c r="AR112" i="46"/>
  <c r="BA112" i="46" s="1"/>
  <c r="AM112" i="46"/>
  <c r="Z112" i="46"/>
  <c r="U112" i="46"/>
  <c r="N112" i="46"/>
  <c r="G42" i="8"/>
  <c r="I37" i="8" s="1"/>
  <c r="F42" i="8"/>
  <c r="J4" i="8"/>
  <c r="AD112" i="46" l="1"/>
  <c r="T112" i="46"/>
  <c r="C112" i="46"/>
  <c r="N34" i="48" s="1"/>
  <c r="P112" i="46"/>
  <c r="V112" i="46"/>
  <c r="AD114" i="46"/>
  <c r="AD113" i="46"/>
  <c r="H112" i="46"/>
  <c r="AR110" i="55"/>
  <c r="BA110" i="55" s="1"/>
  <c r="AM110" i="55"/>
  <c r="AR109" i="55"/>
  <c r="BA109" i="55" s="1"/>
  <c r="AM109" i="55"/>
  <c r="AR108" i="55"/>
  <c r="BA108" i="55" s="1"/>
  <c r="AM108" i="55"/>
  <c r="AD108" i="55" s="1"/>
  <c r="F68" i="47"/>
  <c r="E68" i="47"/>
  <c r="E67" i="47"/>
  <c r="G67" i="47" s="1"/>
  <c r="AD109" i="55" l="1"/>
  <c r="AD110" i="55"/>
  <c r="H67" i="47"/>
  <c r="O108" i="55" s="1"/>
  <c r="K112" i="46"/>
  <c r="J112" i="46"/>
  <c r="G68" i="47"/>
  <c r="C108" i="55" l="1"/>
  <c r="K108" i="55"/>
  <c r="L34" i="48"/>
  <c r="O108" i="46"/>
  <c r="AC112" i="46"/>
  <c r="BE33" i="48" l="1"/>
  <c r="P108" i="55"/>
  <c r="V108" i="55"/>
  <c r="T108" i="55"/>
  <c r="AC108" i="55" s="1"/>
  <c r="U108" i="55"/>
  <c r="AR110" i="46" l="1"/>
  <c r="BA110" i="46" s="1"/>
  <c r="AM110" i="46"/>
  <c r="AR109" i="46"/>
  <c r="BA109" i="46" s="1"/>
  <c r="AM109" i="46"/>
  <c r="AR108" i="46"/>
  <c r="BA108" i="46" s="1"/>
  <c r="AM108" i="46"/>
  <c r="T108" i="46"/>
  <c r="N108" i="46"/>
  <c r="H108" i="46" s="1"/>
  <c r="T33" i="48"/>
  <c r="I38" i="9"/>
  <c r="I67" i="47" s="1"/>
  <c r="R8" i="9"/>
  <c r="R7" i="9"/>
  <c r="P8" i="9"/>
  <c r="S8" i="9" s="1"/>
  <c r="P7" i="9"/>
  <c r="S7" i="9" s="1"/>
  <c r="Q13" i="9"/>
  <c r="Q14" i="9" s="1"/>
  <c r="R6" i="9"/>
  <c r="P6" i="9"/>
  <c r="S6" i="9" s="1"/>
  <c r="J4" i="9"/>
  <c r="C108" i="46" l="1"/>
  <c r="N33" i="48" s="1"/>
  <c r="U108" i="46"/>
  <c r="K108" i="46"/>
  <c r="L33" i="48" s="1"/>
  <c r="V108" i="46"/>
  <c r="AD110" i="46"/>
  <c r="AD109" i="46"/>
  <c r="AD108" i="46"/>
  <c r="J108" i="46"/>
  <c r="P108" i="46"/>
  <c r="S13" i="9"/>
  <c r="S14" i="9" s="1"/>
  <c r="R13" i="9"/>
  <c r="R14" i="9" s="1"/>
  <c r="O4" i="51"/>
  <c r="O3" i="51"/>
  <c r="P4" i="51"/>
  <c r="P3" i="51"/>
  <c r="Q4" i="51"/>
  <c r="Q3" i="51"/>
  <c r="R4" i="51"/>
  <c r="R3" i="51"/>
  <c r="S4" i="51"/>
  <c r="S3" i="51"/>
  <c r="AC108" i="46" l="1"/>
  <c r="T4" i="51"/>
  <c r="T3" i="51"/>
  <c r="U4" i="51"/>
  <c r="U3" i="51"/>
  <c r="V4" i="51"/>
  <c r="V3" i="51"/>
  <c r="W4" i="51"/>
  <c r="W3" i="51"/>
  <c r="X4" i="51"/>
  <c r="X3" i="51"/>
  <c r="Y4" i="51"/>
  <c r="Y3" i="51"/>
  <c r="AR106" i="55" l="1"/>
  <c r="BA106" i="55" s="1"/>
  <c r="AM106" i="55"/>
  <c r="AD106" i="55" s="1"/>
  <c r="AR105" i="55"/>
  <c r="BA105" i="55" s="1"/>
  <c r="AM105" i="55"/>
  <c r="AR104" i="55"/>
  <c r="BA104" i="55" s="1"/>
  <c r="AM104" i="55"/>
  <c r="F65" i="47"/>
  <c r="F64" i="47"/>
  <c r="E65" i="47"/>
  <c r="E64" i="47"/>
  <c r="AD105" i="55" l="1"/>
  <c r="AD104" i="55"/>
  <c r="H64" i="47"/>
  <c r="O104" i="55" s="1"/>
  <c r="P104" i="55" s="1"/>
  <c r="G64" i="47"/>
  <c r="G65" i="47"/>
  <c r="U104" i="55" l="1"/>
  <c r="C104" i="55"/>
  <c r="K104" i="55"/>
  <c r="O104" i="46"/>
  <c r="V104" i="55"/>
  <c r="T104" i="55"/>
  <c r="AC104" i="55" l="1"/>
  <c r="BE32" i="48"/>
  <c r="T32" i="48"/>
  <c r="I38" i="10" l="1"/>
  <c r="I64" i="47" s="1"/>
  <c r="T104" i="46" l="1"/>
  <c r="N104" i="46"/>
  <c r="H104" i="46" s="1"/>
  <c r="J104" i="46" s="1"/>
  <c r="AR106" i="46"/>
  <c r="BA106" i="46" s="1"/>
  <c r="AM106" i="46"/>
  <c r="AR105" i="46"/>
  <c r="BA105" i="46" s="1"/>
  <c r="AM105" i="46"/>
  <c r="AR104" i="46"/>
  <c r="BA104" i="46" s="1"/>
  <c r="AM104" i="46"/>
  <c r="Z104" i="46"/>
  <c r="Q34" i="10"/>
  <c r="Q35" i="10" s="1"/>
  <c r="R27" i="10"/>
  <c r="R34" i="10" s="1"/>
  <c r="P27" i="10"/>
  <c r="S27" i="10" s="1"/>
  <c r="S34" i="10" s="1"/>
  <c r="S35" i="10" s="1"/>
  <c r="J4" i="10"/>
  <c r="Q23" i="10"/>
  <c r="Q24" i="10" s="1"/>
  <c r="R16" i="10"/>
  <c r="R23" i="10" s="1"/>
  <c r="R24" i="10" s="1"/>
  <c r="P16" i="10"/>
  <c r="S16" i="10" s="1"/>
  <c r="S23" i="10" s="1"/>
  <c r="S24" i="10" s="1"/>
  <c r="R35" i="10" l="1"/>
  <c r="AD105" i="46"/>
  <c r="AD106" i="46"/>
  <c r="AD104" i="46"/>
  <c r="U104" i="46"/>
  <c r="P104" i="46"/>
  <c r="C104" i="46"/>
  <c r="N32" i="48" s="1"/>
  <c r="K104" i="46"/>
  <c r="V104" i="46"/>
  <c r="P6" i="10"/>
  <c r="Q13" i="10"/>
  <c r="Q14" i="10" s="1"/>
  <c r="R6" i="10"/>
  <c r="R13" i="10" s="1"/>
  <c r="R14" i="10" s="1"/>
  <c r="S6" i="10"/>
  <c r="S13" i="10" s="1"/>
  <c r="S14" i="10" s="1"/>
  <c r="AC104" i="46" l="1"/>
  <c r="L32" i="48"/>
  <c r="KV11" i="1" l="1"/>
  <c r="KV12" i="1"/>
  <c r="KV13" i="1"/>
  <c r="KV14" i="1"/>
  <c r="KV15" i="1"/>
  <c r="KV16" i="1"/>
  <c r="KV17" i="1"/>
  <c r="KV18" i="1"/>
  <c r="KV19" i="1"/>
  <c r="KV20" i="1"/>
  <c r="KV21" i="1"/>
  <c r="KV22" i="1"/>
  <c r="KV23" i="1"/>
  <c r="KV24" i="1"/>
  <c r="KV25" i="1"/>
  <c r="KV26" i="1"/>
  <c r="KV27" i="1"/>
  <c r="KV28" i="1"/>
  <c r="KV29" i="1"/>
  <c r="KV30" i="1"/>
  <c r="KV31" i="1"/>
  <c r="KV32" i="1"/>
  <c r="KV33" i="1"/>
  <c r="KV34" i="1"/>
  <c r="KV35" i="1"/>
  <c r="KV36" i="1"/>
  <c r="KV37" i="1"/>
  <c r="KV38" i="1"/>
  <c r="KV39" i="1"/>
  <c r="KV40" i="1"/>
  <c r="AR102" i="55" l="1"/>
  <c r="BA102" i="55" s="1"/>
  <c r="AM102" i="55"/>
  <c r="AD102" i="55" s="1"/>
  <c r="AR101" i="55"/>
  <c r="BA101" i="55" s="1"/>
  <c r="AM101" i="55"/>
  <c r="AR100" i="55"/>
  <c r="BA100" i="55" s="1"/>
  <c r="AM100" i="55"/>
  <c r="Z100" i="46"/>
  <c r="K7" i="11"/>
  <c r="W100" i="55" s="1"/>
  <c r="K10" i="11"/>
  <c r="W101" i="55" s="1"/>
  <c r="F62" i="47"/>
  <c r="E62" i="47"/>
  <c r="F61" i="47"/>
  <c r="E61" i="47"/>
  <c r="AD100" i="55" l="1"/>
  <c r="AD101" i="55"/>
  <c r="W101" i="46"/>
  <c r="W100" i="46"/>
  <c r="G62" i="47"/>
  <c r="H62" i="47" s="1"/>
  <c r="O101" i="55" s="1"/>
  <c r="G61" i="47"/>
  <c r="H61" i="47" s="1"/>
  <c r="O100" i="55" s="1"/>
  <c r="C100" i="55" l="1"/>
  <c r="K100" i="55"/>
  <c r="C101" i="55"/>
  <c r="K101" i="55"/>
  <c r="O100" i="46"/>
  <c r="O101" i="46"/>
  <c r="X100" i="55" l="1"/>
  <c r="U101" i="55"/>
  <c r="P101" i="55"/>
  <c r="V101" i="55"/>
  <c r="T101" i="55"/>
  <c r="AC101" i="55" s="1"/>
  <c r="V100" i="55"/>
  <c r="T100" i="55"/>
  <c r="AC100" i="55" s="1"/>
  <c r="U100" i="55"/>
  <c r="P100" i="55"/>
  <c r="AA100" i="55" l="1"/>
  <c r="AB100" i="55" s="1"/>
  <c r="BE31" i="48"/>
  <c r="I38" i="11"/>
  <c r="I61" i="47" s="1"/>
  <c r="U100" i="46" l="1"/>
  <c r="N100" i="46"/>
  <c r="AR102" i="46"/>
  <c r="BA102" i="46" s="1"/>
  <c r="AM102" i="46"/>
  <c r="AR101" i="46"/>
  <c r="BA101" i="46" s="1"/>
  <c r="AM101" i="46"/>
  <c r="U101" i="46"/>
  <c r="N101" i="46"/>
  <c r="V101" i="46" s="1"/>
  <c r="AR100" i="46"/>
  <c r="BA100" i="46" s="1"/>
  <c r="AM100" i="46"/>
  <c r="T31" i="48"/>
  <c r="Q36" i="11"/>
  <c r="Q35" i="11"/>
  <c r="Q37" i="11" s="1"/>
  <c r="P26" i="11"/>
  <c r="S26" i="11" s="1"/>
  <c r="Q16" i="11"/>
  <c r="Q17" i="11" s="1"/>
  <c r="Q23" i="11" s="1"/>
  <c r="Q24" i="11" s="1"/>
  <c r="P17" i="11"/>
  <c r="P16" i="11"/>
  <c r="P6" i="11"/>
  <c r="S6" i="11" s="1"/>
  <c r="S13" i="11" s="1"/>
  <c r="Q13" i="11"/>
  <c r="Q14" i="11" s="1"/>
  <c r="R6" i="11"/>
  <c r="R13" i="11" s="1"/>
  <c r="S16" i="11" l="1"/>
  <c r="R16" i="11"/>
  <c r="AD100" i="46"/>
  <c r="AD102" i="46"/>
  <c r="V100" i="46"/>
  <c r="AD101" i="46"/>
  <c r="P100" i="46"/>
  <c r="T100" i="46"/>
  <c r="C100" i="46"/>
  <c r="H100" i="46"/>
  <c r="AA100" i="46"/>
  <c r="P101" i="46"/>
  <c r="T101" i="46"/>
  <c r="C101" i="46"/>
  <c r="H101" i="46"/>
  <c r="S33" i="11"/>
  <c r="Q33" i="11"/>
  <c r="Q34" i="11" s="1"/>
  <c r="R26" i="11"/>
  <c r="R33" i="11" s="1"/>
  <c r="R17" i="11"/>
  <c r="S17" i="11"/>
  <c r="R23" i="11"/>
  <c r="R24" i="11" s="1"/>
  <c r="S23" i="11"/>
  <c r="S24" i="11" s="1"/>
  <c r="S14" i="11"/>
  <c r="R14" i="11"/>
  <c r="J4" i="11"/>
  <c r="N31" i="48" l="1"/>
  <c r="K100" i="46"/>
  <c r="J100" i="46"/>
  <c r="J101" i="46"/>
  <c r="K101" i="46"/>
  <c r="AC101" i="46" s="1"/>
  <c r="R34" i="11"/>
  <c r="S34" i="11"/>
  <c r="L31" i="48" l="1"/>
  <c r="AC100" i="46"/>
  <c r="AB100" i="46" s="1"/>
  <c r="X100" i="46"/>
  <c r="AR98" i="55" l="1"/>
  <c r="BA98" i="55" s="1"/>
  <c r="AM98" i="55"/>
  <c r="AR97" i="55"/>
  <c r="BA97" i="55" s="1"/>
  <c r="AM97" i="55"/>
  <c r="AR96" i="55"/>
  <c r="BA96" i="55" s="1"/>
  <c r="AM96" i="55"/>
  <c r="AD96" i="55" s="1"/>
  <c r="AR94" i="55"/>
  <c r="BA94" i="55" s="1"/>
  <c r="AM94" i="55"/>
  <c r="AR93" i="55"/>
  <c r="BA93" i="55" s="1"/>
  <c r="AM93" i="55"/>
  <c r="AR92" i="55"/>
  <c r="BA92" i="55" s="1"/>
  <c r="AM92" i="55"/>
  <c r="Q92" i="55"/>
  <c r="AR90" i="55"/>
  <c r="BA90" i="55" s="1"/>
  <c r="AM90" i="55"/>
  <c r="AR89" i="55"/>
  <c r="BA89" i="55" s="1"/>
  <c r="AM89" i="55"/>
  <c r="AR88" i="55"/>
  <c r="BA88" i="55" s="1"/>
  <c r="AM88" i="55"/>
  <c r="Q88" i="55"/>
  <c r="K7" i="12"/>
  <c r="W97" i="55" s="1"/>
  <c r="K11" i="12"/>
  <c r="W96" i="55" s="1"/>
  <c r="J4" i="12"/>
  <c r="E59" i="47"/>
  <c r="G59" i="47" s="1"/>
  <c r="H59" i="47" s="1"/>
  <c r="O97" i="55" s="1"/>
  <c r="F58" i="47"/>
  <c r="E58" i="47"/>
  <c r="E56" i="47"/>
  <c r="G56" i="47" s="1"/>
  <c r="H56" i="47" s="1"/>
  <c r="O92" i="55" s="1"/>
  <c r="C32" i="13"/>
  <c r="C23" i="13"/>
  <c r="C14" i="13"/>
  <c r="E54" i="47"/>
  <c r="G54" i="47" s="1"/>
  <c r="H54" i="47" s="1"/>
  <c r="AD93" i="55" l="1"/>
  <c r="AD98" i="55"/>
  <c r="AD94" i="55"/>
  <c r="AD89" i="55"/>
  <c r="AD90" i="55"/>
  <c r="C92" i="55"/>
  <c r="K92" i="55"/>
  <c r="AC92" i="55" s="1"/>
  <c r="AD88" i="55"/>
  <c r="AD92" i="55"/>
  <c r="AD97" i="55"/>
  <c r="C97" i="55"/>
  <c r="K97" i="55"/>
  <c r="AC97" i="55" s="1"/>
  <c r="W96" i="46"/>
  <c r="O88" i="46"/>
  <c r="O88" i="55"/>
  <c r="T88" i="55" s="1"/>
  <c r="W97" i="46"/>
  <c r="U92" i="55"/>
  <c r="V92" i="55"/>
  <c r="U97" i="55"/>
  <c r="P97" i="55"/>
  <c r="G58" i="47"/>
  <c r="H58" i="47" s="1"/>
  <c r="O96" i="55" s="1"/>
  <c r="O92" i="46"/>
  <c r="O97" i="46"/>
  <c r="V97" i="55"/>
  <c r="P92" i="55"/>
  <c r="T97" i="55"/>
  <c r="T92" i="55"/>
  <c r="T28" i="48"/>
  <c r="T29" i="48"/>
  <c r="T30" i="48"/>
  <c r="C96" i="55" l="1"/>
  <c r="K96" i="55"/>
  <c r="C88" i="55"/>
  <c r="K88" i="55"/>
  <c r="AC88" i="55" s="1"/>
  <c r="U88" i="55"/>
  <c r="BE29" i="48"/>
  <c r="O96" i="46"/>
  <c r="V88" i="55"/>
  <c r="P88" i="55"/>
  <c r="X96" i="55" l="1"/>
  <c r="BE28" i="48"/>
  <c r="U96" i="55"/>
  <c r="AA96" i="55" s="1"/>
  <c r="V96" i="55"/>
  <c r="T96" i="55"/>
  <c r="AC96" i="55" s="1"/>
  <c r="P96" i="55"/>
  <c r="AB96" i="55" l="1"/>
  <c r="BE30" i="48"/>
  <c r="G42" i="12"/>
  <c r="F42" i="12"/>
  <c r="P27" i="12"/>
  <c r="I38" i="12"/>
  <c r="I58" i="47" s="1"/>
  <c r="I38" i="13"/>
  <c r="I56" i="47" s="1"/>
  <c r="I38" i="14"/>
  <c r="I54" i="47" s="1"/>
  <c r="U97" i="46" l="1"/>
  <c r="N97" i="46"/>
  <c r="V97" i="46" s="1"/>
  <c r="P97" i="46"/>
  <c r="T97" i="46"/>
  <c r="AR82" i="55"/>
  <c r="BA82" i="55" s="1"/>
  <c r="AM82" i="55"/>
  <c r="AD82" i="55" s="1"/>
  <c r="AR81" i="55"/>
  <c r="BA81" i="55" s="1"/>
  <c r="AM81" i="55"/>
  <c r="Q81" i="55"/>
  <c r="AR80" i="55"/>
  <c r="BA80" i="55" s="1"/>
  <c r="AM80" i="55"/>
  <c r="AD80" i="55" s="1"/>
  <c r="AR86" i="55"/>
  <c r="BA86" i="55" s="1"/>
  <c r="AM86" i="55"/>
  <c r="AR85" i="55"/>
  <c r="BA85" i="55" s="1"/>
  <c r="AM85" i="55"/>
  <c r="AR84" i="55"/>
  <c r="BA84" i="55" s="1"/>
  <c r="AM84" i="55"/>
  <c r="Q84" i="55"/>
  <c r="AR98" i="46"/>
  <c r="BA98" i="46" s="1"/>
  <c r="AM98" i="46"/>
  <c r="AR97" i="46"/>
  <c r="BA97" i="46" s="1"/>
  <c r="AM97" i="46"/>
  <c r="AR96" i="46"/>
  <c r="BA96" i="46" s="1"/>
  <c r="AM96" i="46"/>
  <c r="U96" i="46"/>
  <c r="P96" i="46"/>
  <c r="T96" i="46"/>
  <c r="C96" i="46"/>
  <c r="AR94" i="46"/>
  <c r="BA94" i="46" s="1"/>
  <c r="AM94" i="46"/>
  <c r="AR93" i="46"/>
  <c r="BA93" i="46" s="1"/>
  <c r="AM93" i="46"/>
  <c r="AR92" i="46"/>
  <c r="BA92" i="46" s="1"/>
  <c r="AM92" i="46"/>
  <c r="Q92" i="46"/>
  <c r="P92" i="46" s="1"/>
  <c r="AR90" i="46"/>
  <c r="BA90" i="46" s="1"/>
  <c r="AM90" i="46"/>
  <c r="AR89" i="46"/>
  <c r="BA89" i="46" s="1"/>
  <c r="AM89" i="46"/>
  <c r="AR88" i="46"/>
  <c r="BA88" i="46" s="1"/>
  <c r="AM88" i="46"/>
  <c r="Q88" i="46"/>
  <c r="P88" i="46" s="1"/>
  <c r="Q36" i="12"/>
  <c r="Q38" i="12" s="1"/>
  <c r="Q27" i="12"/>
  <c r="S27" i="12" s="1"/>
  <c r="R26" i="12"/>
  <c r="P26" i="12"/>
  <c r="S26" i="12" s="1"/>
  <c r="Q23" i="12"/>
  <c r="Q24" i="12" s="1"/>
  <c r="R16" i="12"/>
  <c r="R23" i="12" s="1"/>
  <c r="P16" i="12"/>
  <c r="S16" i="12" s="1"/>
  <c r="S23" i="12" s="1"/>
  <c r="Q13" i="12"/>
  <c r="Q14" i="12" s="1"/>
  <c r="R6" i="12"/>
  <c r="R13" i="12" s="1"/>
  <c r="P6" i="12"/>
  <c r="S6" i="12" s="1"/>
  <c r="S13" i="12" s="1"/>
  <c r="J4" i="13"/>
  <c r="Q13" i="13"/>
  <c r="Q14" i="13" s="1"/>
  <c r="R8" i="13"/>
  <c r="P8" i="13"/>
  <c r="S8" i="13" s="1"/>
  <c r="R7" i="13"/>
  <c r="P7" i="13"/>
  <c r="S7" i="13" s="1"/>
  <c r="R6" i="13"/>
  <c r="P6" i="13"/>
  <c r="S6" i="13" s="1"/>
  <c r="R8" i="14"/>
  <c r="R7" i="14"/>
  <c r="P8" i="14"/>
  <c r="S8" i="14" s="1"/>
  <c r="P7" i="14"/>
  <c r="S7" i="14" s="1"/>
  <c r="P6" i="14"/>
  <c r="S6" i="14" s="1"/>
  <c r="Q13" i="14"/>
  <c r="Q14" i="14" s="1"/>
  <c r="R6" i="14"/>
  <c r="J4" i="14"/>
  <c r="AD85" i="55" l="1"/>
  <c r="Q33" i="12"/>
  <c r="Q34" i="12" s="1"/>
  <c r="R13" i="13"/>
  <c r="AD81" i="55"/>
  <c r="AD84" i="55"/>
  <c r="AD86" i="55"/>
  <c r="AD96" i="46"/>
  <c r="R13" i="14"/>
  <c r="R14" i="14" s="1"/>
  <c r="AD92" i="46"/>
  <c r="AD90" i="46"/>
  <c r="R24" i="12"/>
  <c r="AD98" i="46"/>
  <c r="S13" i="13"/>
  <c r="S14" i="13" s="1"/>
  <c r="R14" i="13"/>
  <c r="AD88" i="46"/>
  <c r="AD89" i="46"/>
  <c r="AD97" i="46"/>
  <c r="S24" i="12"/>
  <c r="T92" i="46"/>
  <c r="U92" i="46"/>
  <c r="T88" i="46"/>
  <c r="U88" i="46"/>
  <c r="AD93" i="46"/>
  <c r="H97" i="46"/>
  <c r="J97" i="46" s="1"/>
  <c r="AA96" i="46"/>
  <c r="C97" i="46"/>
  <c r="N30" i="48" s="1"/>
  <c r="N96" i="46"/>
  <c r="AD94" i="46"/>
  <c r="N92" i="46"/>
  <c r="C92" i="46"/>
  <c r="N29" i="48" s="1"/>
  <c r="N88" i="46"/>
  <c r="C88" i="46"/>
  <c r="N28" i="48" s="1"/>
  <c r="S33" i="12"/>
  <c r="S34" i="12" s="1"/>
  <c r="R27" i="12"/>
  <c r="R33" i="12" s="1"/>
  <c r="R34" i="12" s="1"/>
  <c r="S14" i="12"/>
  <c r="R14" i="12"/>
  <c r="S13" i="14"/>
  <c r="S14" i="14" s="1"/>
  <c r="C23" i="12"/>
  <c r="C14" i="12"/>
  <c r="F32" i="13"/>
  <c r="E32" i="13"/>
  <c r="D32" i="13"/>
  <c r="F23" i="13"/>
  <c r="E23" i="13"/>
  <c r="D23" i="13"/>
  <c r="F14" i="13"/>
  <c r="E14" i="13"/>
  <c r="D14" i="13"/>
  <c r="KV10" i="1"/>
  <c r="E24" i="13" l="1"/>
  <c r="D15" i="13"/>
  <c r="C15" i="13"/>
  <c r="C24" i="13"/>
  <c r="K97" i="46"/>
  <c r="AC97" i="46" s="1"/>
  <c r="V96" i="46"/>
  <c r="H96" i="46"/>
  <c r="H92" i="46"/>
  <c r="V92" i="46"/>
  <c r="H88" i="46"/>
  <c r="V88" i="46"/>
  <c r="E15" i="13"/>
  <c r="D24" i="13"/>
  <c r="T27" i="48"/>
  <c r="T26" i="48"/>
  <c r="T25" i="48"/>
  <c r="T24" i="48"/>
  <c r="T23" i="48"/>
  <c r="T22" i="48"/>
  <c r="T21" i="48"/>
  <c r="T20" i="48"/>
  <c r="T19" i="48"/>
  <c r="T18" i="48"/>
  <c r="T17" i="48"/>
  <c r="T16" i="48"/>
  <c r="T15" i="48"/>
  <c r="T14" i="48"/>
  <c r="T13" i="48"/>
  <c r="T12" i="48"/>
  <c r="T11" i="48"/>
  <c r="T10" i="48"/>
  <c r="T9" i="48"/>
  <c r="K96" i="46" l="1"/>
  <c r="L30" i="48" s="1"/>
  <c r="J96" i="46"/>
  <c r="J92" i="46"/>
  <c r="K92" i="46"/>
  <c r="L29" i="48" s="1"/>
  <c r="K88" i="46"/>
  <c r="L28" i="48" s="1"/>
  <c r="J88" i="46"/>
  <c r="E52" i="47"/>
  <c r="G52" i="47" s="1"/>
  <c r="H52" i="47" s="1"/>
  <c r="O84" i="55" s="1"/>
  <c r="F50" i="47"/>
  <c r="E50" i="47"/>
  <c r="E49" i="47"/>
  <c r="G49" i="47" s="1"/>
  <c r="H49" i="47" s="1"/>
  <c r="O80" i="55" s="1"/>
  <c r="N37" i="16"/>
  <c r="I49" i="47" s="1"/>
  <c r="C84" i="55" l="1"/>
  <c r="K84" i="55"/>
  <c r="K80" i="55"/>
  <c r="C80" i="55"/>
  <c r="P80" i="55"/>
  <c r="U80" i="55"/>
  <c r="T80" i="55"/>
  <c r="V80" i="55"/>
  <c r="G50" i="47"/>
  <c r="H50" i="47" s="1"/>
  <c r="O81" i="55" s="1"/>
  <c r="O80" i="46"/>
  <c r="P80" i="46" s="1"/>
  <c r="P84" i="55"/>
  <c r="U84" i="55"/>
  <c r="T84" i="55"/>
  <c r="V84" i="55"/>
  <c r="AC96" i="46"/>
  <c r="AB96" i="46"/>
  <c r="X96" i="46"/>
  <c r="AC92" i="46"/>
  <c r="AC88" i="46"/>
  <c r="O84" i="46"/>
  <c r="Q84" i="46"/>
  <c r="M84" i="46"/>
  <c r="AR86" i="46"/>
  <c r="BA86" i="46" s="1"/>
  <c r="AM86" i="46"/>
  <c r="AR85" i="46"/>
  <c r="BA85" i="46" s="1"/>
  <c r="AM85" i="46"/>
  <c r="AR84" i="46"/>
  <c r="BA84" i="46" s="1"/>
  <c r="AM84" i="46"/>
  <c r="I38" i="15"/>
  <c r="I52" i="47" s="1"/>
  <c r="G40" i="15"/>
  <c r="G39" i="15"/>
  <c r="G38" i="15"/>
  <c r="O8" i="15"/>
  <c r="N6" i="15"/>
  <c r="Q81" i="46"/>
  <c r="M81" i="46"/>
  <c r="N81" i="46" s="1"/>
  <c r="H81" i="46" s="1"/>
  <c r="M80" i="46"/>
  <c r="N80" i="46" s="1"/>
  <c r="AM80" i="46"/>
  <c r="AR80" i="46"/>
  <c r="BA80" i="46" s="1"/>
  <c r="AM81" i="46"/>
  <c r="AR81" i="46"/>
  <c r="BA81" i="46" s="1"/>
  <c r="AM82" i="46"/>
  <c r="AR82" i="46"/>
  <c r="BA82" i="46" s="1"/>
  <c r="K11" i="16"/>
  <c r="W81" i="55" s="1"/>
  <c r="K7" i="16"/>
  <c r="W80" i="55" s="1"/>
  <c r="I38" i="16"/>
  <c r="N38" i="16" s="1"/>
  <c r="I50" i="47" s="1"/>
  <c r="G40" i="16"/>
  <c r="G39" i="16"/>
  <c r="Q9" i="16"/>
  <c r="Q8" i="16"/>
  <c r="P10" i="16"/>
  <c r="O9" i="16"/>
  <c r="R9" i="16" s="1"/>
  <c r="O8" i="16"/>
  <c r="R8" i="16" s="1"/>
  <c r="N6" i="16"/>
  <c r="AC80" i="55" l="1"/>
  <c r="AC84" i="55"/>
  <c r="C81" i="55"/>
  <c r="K81" i="55"/>
  <c r="W80" i="46"/>
  <c r="U81" i="55"/>
  <c r="AA80" i="55" s="1"/>
  <c r="T81" i="55"/>
  <c r="V81" i="55"/>
  <c r="P81" i="55"/>
  <c r="O81" i="46"/>
  <c r="P81" i="46" s="1"/>
  <c r="AD85" i="46"/>
  <c r="U84" i="46"/>
  <c r="N84" i="46"/>
  <c r="V84" i="46" s="1"/>
  <c r="T84" i="46"/>
  <c r="V80" i="46"/>
  <c r="W81" i="46"/>
  <c r="AD86" i="46"/>
  <c r="AD84" i="46"/>
  <c r="P84" i="46"/>
  <c r="C84" i="46"/>
  <c r="N27" i="48" s="1"/>
  <c r="AD81" i="46"/>
  <c r="J81" i="46"/>
  <c r="T80" i="46"/>
  <c r="U80" i="46"/>
  <c r="C80" i="46"/>
  <c r="H80" i="46"/>
  <c r="AD80" i="46"/>
  <c r="AD82" i="46"/>
  <c r="Q10" i="16"/>
  <c r="Q11" i="16" s="1"/>
  <c r="R10" i="16"/>
  <c r="R11" i="16" s="1"/>
  <c r="X80" i="55" l="1"/>
  <c r="AC81" i="55"/>
  <c r="AB80" i="55"/>
  <c r="H84" i="46"/>
  <c r="K84" i="46" s="1"/>
  <c r="L27" i="48" s="1"/>
  <c r="V81" i="46"/>
  <c r="K81" i="46"/>
  <c r="T81" i="46"/>
  <c r="C81" i="46"/>
  <c r="N26" i="48" s="1"/>
  <c r="U81" i="46"/>
  <c r="AA80" i="46" s="1"/>
  <c r="BE27" i="48"/>
  <c r="J80" i="46"/>
  <c r="K80" i="46"/>
  <c r="J84" i="46" l="1"/>
  <c r="AC81" i="46"/>
  <c r="AC80" i="46"/>
  <c r="L26" i="48"/>
  <c r="AB80" i="46"/>
  <c r="X80" i="46"/>
  <c r="BE26" i="48" l="1"/>
  <c r="AC84" i="46"/>
  <c r="AR78" i="55" l="1"/>
  <c r="BA78" i="55" s="1"/>
  <c r="AM78" i="55"/>
  <c r="AD78" i="55" s="1"/>
  <c r="AR77" i="55"/>
  <c r="BA77" i="55" s="1"/>
  <c r="AM77" i="55"/>
  <c r="AR76" i="55"/>
  <c r="BA76" i="55" s="1"/>
  <c r="AM76" i="55"/>
  <c r="Z76" i="46"/>
  <c r="AD76" i="55" l="1"/>
  <c r="AD77" i="55"/>
  <c r="K7" i="17"/>
  <c r="W77" i="55" s="1"/>
  <c r="C25" i="17"/>
  <c r="C16" i="17"/>
  <c r="K10" i="17" s="1"/>
  <c r="W76" i="55" s="1"/>
  <c r="F47" i="47"/>
  <c r="E47" i="47"/>
  <c r="F46" i="47"/>
  <c r="F45" i="47"/>
  <c r="E46" i="47"/>
  <c r="E45" i="47"/>
  <c r="G46" i="47" l="1"/>
  <c r="G47" i="47"/>
  <c r="H47" i="47" s="1"/>
  <c r="O77" i="55" s="1"/>
  <c r="H45" i="47"/>
  <c r="O76" i="55" s="1"/>
  <c r="O77" i="46"/>
  <c r="W76" i="46"/>
  <c r="W77" i="46"/>
  <c r="G45" i="47"/>
  <c r="C76" i="55" l="1"/>
  <c r="K76" i="55"/>
  <c r="O76" i="46"/>
  <c r="K77" i="55"/>
  <c r="C77" i="55"/>
  <c r="P76" i="55"/>
  <c r="T76" i="55"/>
  <c r="U76" i="55"/>
  <c r="AA76" i="55" s="1"/>
  <c r="V76" i="55"/>
  <c r="P77" i="55"/>
  <c r="U77" i="55"/>
  <c r="V77" i="55"/>
  <c r="T77" i="55"/>
  <c r="N77" i="46"/>
  <c r="H77" i="46" s="1"/>
  <c r="C77" i="46"/>
  <c r="AR78" i="46"/>
  <c r="BA78" i="46" s="1"/>
  <c r="AM78" i="46"/>
  <c r="AR77" i="46"/>
  <c r="BA77" i="46" s="1"/>
  <c r="AM77" i="46"/>
  <c r="AR76" i="46"/>
  <c r="BA76" i="46" s="1"/>
  <c r="AM76" i="46"/>
  <c r="U76" i="46"/>
  <c r="N76" i="46"/>
  <c r="I38" i="17"/>
  <c r="I45" i="47" s="1"/>
  <c r="Q37" i="17"/>
  <c r="Y17" i="17"/>
  <c r="Z17" i="17"/>
  <c r="Y18" i="17"/>
  <c r="Z18" i="17"/>
  <c r="Y19" i="17"/>
  <c r="Z19" i="17"/>
  <c r="Y20" i="17"/>
  <c r="Z20" i="17"/>
  <c r="Y21" i="17"/>
  <c r="Z21" i="17"/>
  <c r="Y16" i="17"/>
  <c r="Z16" i="17"/>
  <c r="P25" i="17"/>
  <c r="S25" i="17" s="1"/>
  <c r="S32" i="17" s="1"/>
  <c r="P19" i="17"/>
  <c r="P18" i="17"/>
  <c r="P17" i="17"/>
  <c r="S17" i="17" s="1"/>
  <c r="P16" i="17"/>
  <c r="S16" i="17" s="1"/>
  <c r="P7" i="17"/>
  <c r="R25" i="17"/>
  <c r="Q19" i="17"/>
  <c r="Q18" i="17"/>
  <c r="R17" i="17"/>
  <c r="R16" i="17"/>
  <c r="Q6" i="17"/>
  <c r="R6" i="17" s="1"/>
  <c r="P6" i="17"/>
  <c r="S6" i="17" s="1"/>
  <c r="J4" i="17"/>
  <c r="AC76" i="55" l="1"/>
  <c r="X76" i="55"/>
  <c r="AB76" i="55"/>
  <c r="BE25" i="48"/>
  <c r="Q7" i="17"/>
  <c r="Q13" i="17" s="1"/>
  <c r="Q14" i="17" s="1"/>
  <c r="AD76" i="46"/>
  <c r="AD78" i="46"/>
  <c r="U77" i="46"/>
  <c r="AA76" i="46" s="1"/>
  <c r="T77" i="46"/>
  <c r="P77" i="46"/>
  <c r="V76" i="46"/>
  <c r="AD77" i="46"/>
  <c r="J77" i="46"/>
  <c r="K77" i="46"/>
  <c r="V77" i="46"/>
  <c r="P76" i="46"/>
  <c r="T76" i="46"/>
  <c r="C76" i="46"/>
  <c r="N25" i="48" s="1"/>
  <c r="H76" i="46"/>
  <c r="Z23" i="17"/>
  <c r="Y23" i="17"/>
  <c r="Q32" i="17"/>
  <c r="Q33" i="17" s="1"/>
  <c r="R32" i="17"/>
  <c r="R33" i="17" s="1"/>
  <c r="S18" i="17"/>
  <c r="S23" i="17" s="1"/>
  <c r="R18" i="17"/>
  <c r="S19" i="17"/>
  <c r="R19" i="17"/>
  <c r="Q23" i="17"/>
  <c r="Q24" i="17" s="1"/>
  <c r="S7" i="17"/>
  <c r="S13" i="17" s="1"/>
  <c r="S14" i="17" s="1"/>
  <c r="R7" i="17"/>
  <c r="R13" i="17" s="1"/>
  <c r="R14" i="17" s="1"/>
  <c r="J76" i="46" l="1"/>
  <c r="K76" i="46"/>
  <c r="L25" i="48" s="1"/>
  <c r="X23" i="17"/>
  <c r="X24" i="17" s="1"/>
  <c r="S33" i="17"/>
  <c r="R23" i="17"/>
  <c r="S24" i="17"/>
  <c r="R24" i="17"/>
  <c r="AR74" i="55"/>
  <c r="BA74" i="55" s="1"/>
  <c r="AM74" i="55"/>
  <c r="AR73" i="55"/>
  <c r="BA73" i="55" s="1"/>
  <c r="AM73" i="55"/>
  <c r="AD73" i="55" s="1"/>
  <c r="AR72" i="55"/>
  <c r="BA72" i="55" s="1"/>
  <c r="AM72" i="55"/>
  <c r="AD72" i="55" s="1"/>
  <c r="F42" i="47"/>
  <c r="F43" i="47"/>
  <c r="E43" i="47"/>
  <c r="E42" i="47"/>
  <c r="EE25" i="2"/>
  <c r="AD74" i="55" l="1"/>
  <c r="G43" i="47"/>
  <c r="H42" i="47"/>
  <c r="X76" i="46"/>
  <c r="AC76" i="46"/>
  <c r="AB76" i="46" s="1"/>
  <c r="Y24" i="17"/>
  <c r="Z24" i="17"/>
  <c r="G42" i="47"/>
  <c r="O72" i="55" l="1"/>
  <c r="O72" i="46"/>
  <c r="T72" i="55"/>
  <c r="P72" i="55"/>
  <c r="V72" i="55"/>
  <c r="C72" i="55" l="1"/>
  <c r="K72" i="55"/>
  <c r="AC72" i="55" s="1"/>
  <c r="U72" i="55"/>
  <c r="AR74" i="46"/>
  <c r="BA74" i="46" s="1"/>
  <c r="AM74" i="46"/>
  <c r="AR73" i="46"/>
  <c r="BA73" i="46" s="1"/>
  <c r="AM73" i="46"/>
  <c r="AR72" i="46"/>
  <c r="BA72" i="46" s="1"/>
  <c r="AM72" i="46"/>
  <c r="U72" i="46"/>
  <c r="N72" i="46"/>
  <c r="I38" i="18"/>
  <c r="I42" i="47" s="1"/>
  <c r="P6" i="18"/>
  <c r="S6" i="18" s="1"/>
  <c r="Q13" i="18"/>
  <c r="Q14" i="18" s="1"/>
  <c r="R8" i="18"/>
  <c r="P8" i="18"/>
  <c r="S8" i="18" s="1"/>
  <c r="R7" i="18"/>
  <c r="P7" i="18"/>
  <c r="S7" i="18" s="1"/>
  <c r="R6" i="18"/>
  <c r="J4" i="18"/>
  <c r="BE24" i="48" l="1"/>
  <c r="S13" i="18"/>
  <c r="S14" i="18" s="1"/>
  <c r="R13" i="18"/>
  <c r="R14" i="18" s="1"/>
  <c r="V72" i="46"/>
  <c r="AD74" i="46"/>
  <c r="AD73" i="46"/>
  <c r="AD72" i="46"/>
  <c r="P72" i="46"/>
  <c r="T72" i="46"/>
  <c r="C72" i="46"/>
  <c r="N24" i="48" s="1"/>
  <c r="H72" i="46"/>
  <c r="J72" i="46" l="1"/>
  <c r="K72" i="46"/>
  <c r="L24" i="48" s="1"/>
  <c r="AC72" i="46" l="1"/>
  <c r="AR70" i="55" l="1"/>
  <c r="BA70" i="55" s="1"/>
  <c r="AM70" i="55"/>
  <c r="AD70" i="55" s="1"/>
  <c r="AR69" i="55"/>
  <c r="BA69" i="55" s="1"/>
  <c r="AM69" i="55"/>
  <c r="AR68" i="55"/>
  <c r="BA68" i="55" s="1"/>
  <c r="AM68" i="55"/>
  <c r="AR66" i="55"/>
  <c r="BA66" i="55" s="1"/>
  <c r="AM66" i="55"/>
  <c r="AR65" i="55"/>
  <c r="BA65" i="55" s="1"/>
  <c r="AM65" i="55"/>
  <c r="AD65" i="55" s="1"/>
  <c r="AR64" i="55"/>
  <c r="BA64" i="55" s="1"/>
  <c r="AM64" i="55"/>
  <c r="E40" i="47"/>
  <c r="F40" i="47"/>
  <c r="F39" i="47"/>
  <c r="E39" i="47"/>
  <c r="F37" i="47"/>
  <c r="E37" i="47"/>
  <c r="G40" i="47" l="1"/>
  <c r="AD66" i="55"/>
  <c r="AD69" i="55"/>
  <c r="AD68" i="55"/>
  <c r="AD64" i="55"/>
  <c r="G39" i="47"/>
  <c r="H39" i="47"/>
  <c r="O68" i="46" s="1"/>
  <c r="G37" i="47"/>
  <c r="H37" i="47" s="1"/>
  <c r="O64" i="55" s="1"/>
  <c r="K64" i="55" l="1"/>
  <c r="C64" i="55"/>
  <c r="O68" i="55"/>
  <c r="U68" i="55" s="1"/>
  <c r="O64" i="46"/>
  <c r="V68" i="55"/>
  <c r="T68" i="55" l="1"/>
  <c r="C68" i="55"/>
  <c r="K68" i="55"/>
  <c r="AC68" i="55" s="1"/>
  <c r="P68" i="55"/>
  <c r="T64" i="55"/>
  <c r="AC64" i="55" s="1"/>
  <c r="P64" i="55"/>
  <c r="V64" i="55"/>
  <c r="U64" i="55"/>
  <c r="BE22" i="48"/>
  <c r="BE23" i="48" l="1"/>
  <c r="U68" i="46"/>
  <c r="N68" i="46"/>
  <c r="U64" i="46"/>
  <c r="N64" i="46"/>
  <c r="AR70" i="46"/>
  <c r="BA70" i="46" s="1"/>
  <c r="AM70" i="46"/>
  <c r="AR69" i="46"/>
  <c r="BA69" i="46" s="1"/>
  <c r="AM69" i="46"/>
  <c r="AR68" i="46"/>
  <c r="BA68" i="46" s="1"/>
  <c r="AM68" i="46"/>
  <c r="AR66" i="46"/>
  <c r="BA66" i="46" s="1"/>
  <c r="AM66" i="46"/>
  <c r="AR65" i="46"/>
  <c r="BA65" i="46" s="1"/>
  <c r="AM65" i="46"/>
  <c r="AR64" i="46"/>
  <c r="BA64" i="46" s="1"/>
  <c r="AM64" i="46"/>
  <c r="I38" i="19"/>
  <c r="I39" i="47" s="1"/>
  <c r="Q13" i="19"/>
  <c r="Q14" i="19" s="1"/>
  <c r="R8" i="19"/>
  <c r="P8" i="19"/>
  <c r="S8" i="19" s="1"/>
  <c r="R7" i="19"/>
  <c r="P7" i="19"/>
  <c r="S7" i="19" s="1"/>
  <c r="R6" i="19"/>
  <c r="P6" i="19"/>
  <c r="S6" i="19" s="1"/>
  <c r="J4" i="19"/>
  <c r="I38" i="20"/>
  <c r="I37" i="47" s="1"/>
  <c r="G42" i="20"/>
  <c r="I37" i="20" s="1"/>
  <c r="F42" i="20"/>
  <c r="P7" i="20"/>
  <c r="S7" i="20" s="1"/>
  <c r="R7" i="20"/>
  <c r="P8" i="20"/>
  <c r="S8" i="20" s="1"/>
  <c r="R8" i="20"/>
  <c r="Q13" i="20"/>
  <c r="Q14" i="20" s="1"/>
  <c r="R6" i="20"/>
  <c r="P6" i="20"/>
  <c r="S6" i="20" s="1"/>
  <c r="J4" i="20"/>
  <c r="AD64" i="46" l="1"/>
  <c r="S13" i="19"/>
  <c r="S14" i="19" s="1"/>
  <c r="R13" i="19"/>
  <c r="R14" i="19" s="1"/>
  <c r="AD68" i="46"/>
  <c r="V68" i="46"/>
  <c r="V64" i="46"/>
  <c r="AD70" i="46"/>
  <c r="AD69" i="46"/>
  <c r="AD65" i="46"/>
  <c r="P68" i="46"/>
  <c r="T68" i="46"/>
  <c r="C68" i="46"/>
  <c r="N23" i="48" s="1"/>
  <c r="H68" i="46"/>
  <c r="P64" i="46"/>
  <c r="T64" i="46"/>
  <c r="C64" i="46"/>
  <c r="N22" i="48" s="1"/>
  <c r="H64" i="46"/>
  <c r="AD66" i="46"/>
  <c r="S13" i="20"/>
  <c r="S14" i="20" s="1"/>
  <c r="R13" i="20"/>
  <c r="R14" i="20" s="1"/>
  <c r="J68" i="46" l="1"/>
  <c r="K68" i="46"/>
  <c r="L23" i="48" s="1"/>
  <c r="J64" i="46"/>
  <c r="K64" i="46"/>
  <c r="AC64" i="46" l="1"/>
  <c r="L22" i="48"/>
  <c r="AC68" i="46"/>
  <c r="H4" i="51" l="1"/>
  <c r="H3" i="51"/>
  <c r="I4" i="51"/>
  <c r="I3" i="51"/>
  <c r="J4" i="51"/>
  <c r="K4" i="51"/>
  <c r="K3" i="51"/>
  <c r="N4" i="51"/>
  <c r="N3" i="51"/>
  <c r="AR62" i="55" l="1"/>
  <c r="BA62" i="55" s="1"/>
  <c r="AM62" i="55"/>
  <c r="AD62" i="55" s="1"/>
  <c r="AR61" i="55"/>
  <c r="BA61" i="55" s="1"/>
  <c r="AM61" i="55"/>
  <c r="AR60" i="55"/>
  <c r="BA60" i="55" s="1"/>
  <c r="AM60" i="55"/>
  <c r="AD60" i="55" l="1"/>
  <c r="AD61" i="55"/>
  <c r="K9" i="22"/>
  <c r="W60" i="55" s="1"/>
  <c r="C17" i="22"/>
  <c r="K10" i="22" s="1"/>
  <c r="W61" i="55" s="1"/>
  <c r="F35" i="47"/>
  <c r="F34" i="47"/>
  <c r="G34" i="47" s="1"/>
  <c r="H34" i="47" s="1"/>
  <c r="O60" i="55" s="1"/>
  <c r="E35" i="47"/>
  <c r="C60" i="55" l="1"/>
  <c r="K60" i="55"/>
  <c r="G35" i="47"/>
  <c r="H35" i="47" s="1"/>
  <c r="O61" i="55" s="1"/>
  <c r="W61" i="46"/>
  <c r="W60" i="46"/>
  <c r="O60" i="46"/>
  <c r="U60" i="46" s="1"/>
  <c r="N60" i="46"/>
  <c r="H60" i="46" s="1"/>
  <c r="J60" i="46" s="1"/>
  <c r="AR62" i="46"/>
  <c r="BA62" i="46" s="1"/>
  <c r="AM62" i="46"/>
  <c r="AR61" i="46"/>
  <c r="BA61" i="46" s="1"/>
  <c r="AM61" i="46"/>
  <c r="N61" i="46"/>
  <c r="AR60" i="46"/>
  <c r="BA60" i="46" s="1"/>
  <c r="AM60" i="46"/>
  <c r="I38" i="22"/>
  <c r="I34" i="47" s="1"/>
  <c r="Q35" i="22"/>
  <c r="Q34" i="22"/>
  <c r="P25" i="22"/>
  <c r="S25" i="22" s="1"/>
  <c r="S32" i="22" s="1"/>
  <c r="Q32" i="22"/>
  <c r="Q33" i="22" s="1"/>
  <c r="R25" i="22"/>
  <c r="R32" i="22" s="1"/>
  <c r="Q16" i="22"/>
  <c r="R16" i="22" s="1"/>
  <c r="P17" i="22"/>
  <c r="P16" i="22"/>
  <c r="P6" i="22"/>
  <c r="S6" i="22" s="1"/>
  <c r="S13" i="22" s="1"/>
  <c r="S14" i="22" s="1"/>
  <c r="Q13" i="22"/>
  <c r="Q14" i="22" s="1"/>
  <c r="R6" i="22"/>
  <c r="R13" i="22" s="1"/>
  <c r="R14" i="22" s="1"/>
  <c r="J4" i="22"/>
  <c r="S33" i="22" l="1"/>
  <c r="Q36" i="22"/>
  <c r="C61" i="55"/>
  <c r="K61" i="55"/>
  <c r="O61" i="46"/>
  <c r="U61" i="46" s="1"/>
  <c r="AA60" i="46" s="1"/>
  <c r="S16" i="22"/>
  <c r="V60" i="55"/>
  <c r="P60" i="55"/>
  <c r="AD61" i="46"/>
  <c r="T60" i="55"/>
  <c r="AC60" i="55" s="1"/>
  <c r="AD62" i="46"/>
  <c r="Q17" i="22"/>
  <c r="U60" i="55"/>
  <c r="V61" i="46"/>
  <c r="R33" i="22"/>
  <c r="U61" i="55"/>
  <c r="T61" i="55"/>
  <c r="V61" i="55"/>
  <c r="P61" i="55"/>
  <c r="V60" i="46"/>
  <c r="K60" i="46"/>
  <c r="P60" i="46"/>
  <c r="T60" i="46"/>
  <c r="C60" i="46"/>
  <c r="AD60" i="46"/>
  <c r="H61" i="46"/>
  <c r="X60" i="55" l="1"/>
  <c r="AC61" i="55"/>
  <c r="C61" i="46"/>
  <c r="P61" i="46"/>
  <c r="AA60" i="55"/>
  <c r="AB60" i="55" s="1"/>
  <c r="T61" i="46"/>
  <c r="BE21" i="48"/>
  <c r="R17" i="22"/>
  <c r="R23" i="22" s="1"/>
  <c r="Q23" i="22"/>
  <c r="Q24" i="22" s="1"/>
  <c r="S17" i="22"/>
  <c r="S23" i="22" s="1"/>
  <c r="S24" i="22" s="1"/>
  <c r="N21" i="48"/>
  <c r="AC60" i="46"/>
  <c r="K61" i="46"/>
  <c r="J61" i="46"/>
  <c r="AR58" i="55"/>
  <c r="BA58" i="55" s="1"/>
  <c r="AM58" i="55"/>
  <c r="AR57" i="55"/>
  <c r="BA57" i="55" s="1"/>
  <c r="AM57" i="55"/>
  <c r="AR56" i="55"/>
  <c r="BA56" i="55" s="1"/>
  <c r="AM56" i="55"/>
  <c r="AD56" i="55" s="1"/>
  <c r="K9" i="21"/>
  <c r="W57" i="55" s="1"/>
  <c r="C16" i="21"/>
  <c r="K7" i="21" s="1"/>
  <c r="W56" i="55" s="1"/>
  <c r="F32" i="47"/>
  <c r="G32" i="47" s="1"/>
  <c r="H32" i="47" s="1"/>
  <c r="O57" i="55" s="1"/>
  <c r="F31" i="47"/>
  <c r="F30" i="47"/>
  <c r="E31" i="47"/>
  <c r="E30" i="47"/>
  <c r="AD57" i="55" l="1"/>
  <c r="AD58" i="55"/>
  <c r="X60" i="46"/>
  <c r="AC61" i="46"/>
  <c r="C57" i="55"/>
  <c r="K57" i="55"/>
  <c r="W57" i="46"/>
  <c r="G31" i="47"/>
  <c r="W56" i="46"/>
  <c r="G30" i="47"/>
  <c r="R24" i="22"/>
  <c r="H30" i="47"/>
  <c r="O56" i="55" s="1"/>
  <c r="U57" i="55"/>
  <c r="O57" i="46"/>
  <c r="L21" i="48"/>
  <c r="AB60" i="46"/>
  <c r="C56" i="55" l="1"/>
  <c r="K56" i="55"/>
  <c r="AA56" i="55"/>
  <c r="O56" i="46"/>
  <c r="T57" i="55"/>
  <c r="AC57" i="55" s="1"/>
  <c r="V57" i="55"/>
  <c r="P57" i="55"/>
  <c r="V56" i="55"/>
  <c r="U56" i="55"/>
  <c r="T56" i="55"/>
  <c r="P56" i="55"/>
  <c r="X56" i="55" l="1"/>
  <c r="AC56" i="55"/>
  <c r="AB56" i="55"/>
  <c r="BE20" i="48"/>
  <c r="U56" i="46" l="1"/>
  <c r="N56" i="46"/>
  <c r="AR58" i="46"/>
  <c r="BA58" i="46" s="1"/>
  <c r="AM58" i="46"/>
  <c r="AR57" i="46"/>
  <c r="BA57" i="46" s="1"/>
  <c r="AM57" i="46"/>
  <c r="U57" i="46"/>
  <c r="N57" i="46"/>
  <c r="H57" i="46" s="1"/>
  <c r="J57" i="46" s="1"/>
  <c r="AR56" i="46"/>
  <c r="BA56" i="46" s="1"/>
  <c r="AM56" i="46"/>
  <c r="I38" i="21"/>
  <c r="I30" i="47" s="1"/>
  <c r="Y25" i="21"/>
  <c r="Z25" i="21"/>
  <c r="X31" i="21"/>
  <c r="X32" i="21" s="1"/>
  <c r="Z24" i="21"/>
  <c r="Y24" i="21"/>
  <c r="Q35" i="21"/>
  <c r="Q36" i="21" s="1"/>
  <c r="P24" i="21"/>
  <c r="S24" i="21"/>
  <c r="P16" i="21"/>
  <c r="Q15" i="21"/>
  <c r="Q16" i="21" s="1"/>
  <c r="R16" i="21" s="1"/>
  <c r="P15" i="21"/>
  <c r="Q13" i="21"/>
  <c r="Q14" i="21" s="1"/>
  <c r="R6" i="21"/>
  <c r="R13" i="21" s="1"/>
  <c r="P6" i="21"/>
  <c r="S6" i="21" s="1"/>
  <c r="S13" i="21" s="1"/>
  <c r="J4" i="21"/>
  <c r="S14" i="21" l="1"/>
  <c r="R14" i="21"/>
  <c r="Y31" i="21"/>
  <c r="Y32" i="21" s="1"/>
  <c r="Z31" i="21"/>
  <c r="Z32" i="21" s="1"/>
  <c r="AD56" i="46"/>
  <c r="S16" i="21"/>
  <c r="C57" i="46"/>
  <c r="V56" i="46"/>
  <c r="V57" i="46"/>
  <c r="P57" i="46"/>
  <c r="T57" i="46"/>
  <c r="AD58" i="46"/>
  <c r="AD57" i="46"/>
  <c r="AA56" i="46"/>
  <c r="P56" i="46"/>
  <c r="T56" i="46"/>
  <c r="C56" i="46"/>
  <c r="H56" i="46"/>
  <c r="K57" i="46"/>
  <c r="AC57" i="46" s="1"/>
  <c r="S31" i="21"/>
  <c r="Q31" i="21"/>
  <c r="Q32" i="21" s="1"/>
  <c r="R24" i="21"/>
  <c r="R31" i="21" s="1"/>
  <c r="Q22" i="21"/>
  <c r="Q23" i="21" s="1"/>
  <c r="R15" i="21"/>
  <c r="R22" i="21" s="1"/>
  <c r="S15" i="21"/>
  <c r="AR54" i="55"/>
  <c r="BA54" i="55" s="1"/>
  <c r="AM54" i="55"/>
  <c r="AR53" i="55"/>
  <c r="BA53" i="55" s="1"/>
  <c r="AM53" i="55"/>
  <c r="AR52" i="55"/>
  <c r="BA52" i="55" s="1"/>
  <c r="AM52" i="55"/>
  <c r="AD52" i="55" s="1"/>
  <c r="K7" i="23"/>
  <c r="W53" i="55" s="1"/>
  <c r="K8" i="23"/>
  <c r="W52" i="55" s="1"/>
  <c r="F28" i="47"/>
  <c r="G28" i="47" s="1"/>
  <c r="H28" i="47" s="1"/>
  <c r="O53" i="55" s="1"/>
  <c r="E27" i="47"/>
  <c r="G27" i="47" s="1"/>
  <c r="H27" i="47" s="1"/>
  <c r="O52" i="55" s="1"/>
  <c r="AD54" i="55" l="1"/>
  <c r="AD53" i="55"/>
  <c r="W53" i="46"/>
  <c r="C52" i="55"/>
  <c r="K52" i="55"/>
  <c r="AC52" i="55" s="1"/>
  <c r="C53" i="55"/>
  <c r="K53" i="55"/>
  <c r="AC53" i="55" s="1"/>
  <c r="W52" i="46"/>
  <c r="S22" i="21"/>
  <c r="U53" i="55"/>
  <c r="V52" i="55"/>
  <c r="P52" i="55"/>
  <c r="O52" i="46"/>
  <c r="O53" i="46"/>
  <c r="V53" i="55"/>
  <c r="N20" i="48"/>
  <c r="T52" i="55"/>
  <c r="U52" i="55"/>
  <c r="AA52" i="55" s="1"/>
  <c r="K56" i="46"/>
  <c r="L20" i="48" s="1"/>
  <c r="J56" i="46"/>
  <c r="R32" i="21"/>
  <c r="S32" i="21"/>
  <c r="S23" i="21"/>
  <c r="R23" i="21"/>
  <c r="P53" i="55"/>
  <c r="T53" i="55"/>
  <c r="AB52" i="55" l="1"/>
  <c r="X52" i="55"/>
  <c r="AC56" i="46"/>
  <c r="AB56" i="46"/>
  <c r="X56" i="46"/>
  <c r="BE19" i="48" l="1"/>
  <c r="N53" i="46" l="1"/>
  <c r="H53" i="46" s="1"/>
  <c r="C53" i="46"/>
  <c r="P53" i="46"/>
  <c r="T53" i="46"/>
  <c r="AR54" i="46"/>
  <c r="BA54" i="46" s="1"/>
  <c r="AM54" i="46"/>
  <c r="AR53" i="46"/>
  <c r="BA53" i="46" s="1"/>
  <c r="AM53" i="46"/>
  <c r="AR52" i="46"/>
  <c r="BA52" i="46" s="1"/>
  <c r="AM52" i="46"/>
  <c r="AD52" i="46" s="1"/>
  <c r="U52" i="46"/>
  <c r="N52" i="46"/>
  <c r="I38" i="23"/>
  <c r="I27" i="47" s="1"/>
  <c r="Q38" i="23"/>
  <c r="Y29" i="23"/>
  <c r="Z29" i="23"/>
  <c r="X33" i="23"/>
  <c r="X34" i="23" s="1"/>
  <c r="Z28" i="23"/>
  <c r="Y28" i="23"/>
  <c r="Y27" i="23"/>
  <c r="Z27" i="23"/>
  <c r="Z26" i="23"/>
  <c r="Y26" i="23"/>
  <c r="G42" i="23"/>
  <c r="I37" i="23" s="1"/>
  <c r="F42" i="23"/>
  <c r="Q33" i="23"/>
  <c r="Q34" i="23" s="1"/>
  <c r="R26" i="23"/>
  <c r="R33" i="23" s="1"/>
  <c r="P26" i="23"/>
  <c r="S26" i="23" s="1"/>
  <c r="S33" i="23" s="1"/>
  <c r="P16" i="23"/>
  <c r="P8" i="23"/>
  <c r="P7" i="23"/>
  <c r="Q23" i="23"/>
  <c r="Q24" i="23" s="1"/>
  <c r="Q8" i="23"/>
  <c r="R8" i="23" s="1"/>
  <c r="Q7" i="23"/>
  <c r="R7" i="23" s="1"/>
  <c r="Q6" i="23"/>
  <c r="P6" i="23"/>
  <c r="J4" i="23"/>
  <c r="S34" i="23" l="1"/>
  <c r="Q13" i="23"/>
  <c r="Q14" i="23" s="1"/>
  <c r="R34" i="23"/>
  <c r="AD53" i="46"/>
  <c r="R6" i="23"/>
  <c r="S8" i="23"/>
  <c r="S6" i="23"/>
  <c r="S7" i="23"/>
  <c r="Z33" i="23"/>
  <c r="Z34" i="23" s="1"/>
  <c r="V52" i="46"/>
  <c r="AD54" i="46"/>
  <c r="J53" i="46"/>
  <c r="K53" i="46"/>
  <c r="AC53" i="46" s="1"/>
  <c r="V53" i="46"/>
  <c r="U53" i="46"/>
  <c r="AA52" i="46" s="1"/>
  <c r="P52" i="46"/>
  <c r="T52" i="46"/>
  <c r="C52" i="46"/>
  <c r="N19" i="48" s="1"/>
  <c r="H52" i="46"/>
  <c r="Y33" i="23"/>
  <c r="Y34" i="23" s="1"/>
  <c r="R16" i="23"/>
  <c r="R23" i="23" s="1"/>
  <c r="R24" i="23" s="1"/>
  <c r="S16" i="23"/>
  <c r="S23" i="23" s="1"/>
  <c r="S24" i="23" s="1"/>
  <c r="R13" i="23"/>
  <c r="R14" i="23" s="1"/>
  <c r="AR50" i="55"/>
  <c r="BA50" i="55" s="1"/>
  <c r="AM50" i="55"/>
  <c r="AR49" i="55"/>
  <c r="BA49" i="55" s="1"/>
  <c r="AM49" i="55"/>
  <c r="AR48" i="55"/>
  <c r="BA48" i="55" s="1"/>
  <c r="AM48" i="55"/>
  <c r="E25" i="47"/>
  <c r="G25" i="47" s="1"/>
  <c r="H25" i="47" s="1"/>
  <c r="O48" i="55" s="1"/>
  <c r="EM11" i="2"/>
  <c r="EM12" i="2"/>
  <c r="EM13" i="2"/>
  <c r="EM14" i="2"/>
  <c r="EM15" i="2"/>
  <c r="EM16" i="2"/>
  <c r="EM17" i="2"/>
  <c r="EM18" i="2"/>
  <c r="EM19" i="2"/>
  <c r="EM20" i="2"/>
  <c r="EM21" i="2"/>
  <c r="EM22" i="2"/>
  <c r="EM23" i="2"/>
  <c r="EM24" i="2"/>
  <c r="EM25" i="2"/>
  <c r="EM26" i="2"/>
  <c r="EM27" i="2"/>
  <c r="EM28" i="2"/>
  <c r="EM29" i="2"/>
  <c r="EM30" i="2"/>
  <c r="EM31" i="2"/>
  <c r="EM32" i="2"/>
  <c r="EM33" i="2"/>
  <c r="EM34" i="2"/>
  <c r="EM35" i="2"/>
  <c r="EM36" i="2"/>
  <c r="EM37" i="2"/>
  <c r="EM38" i="2"/>
  <c r="EM39" i="2"/>
  <c r="EM40" i="2"/>
  <c r="EM10" i="2"/>
  <c r="AD48" i="55" l="1"/>
  <c r="S13" i="23"/>
  <c r="S14" i="23" s="1"/>
  <c r="C48" i="55"/>
  <c r="K48" i="55"/>
  <c r="AD49" i="55"/>
  <c r="AD50" i="55"/>
  <c r="U48" i="55"/>
  <c r="K52" i="46"/>
  <c r="L19" i="48" s="1"/>
  <c r="J52" i="46"/>
  <c r="O48" i="46"/>
  <c r="V48" i="55"/>
  <c r="P48" i="55"/>
  <c r="T48" i="55"/>
  <c r="AC48" i="55" l="1"/>
  <c r="AC52" i="46"/>
  <c r="AB52" i="46" s="1"/>
  <c r="X52" i="46"/>
  <c r="BE18" i="48"/>
  <c r="P48" i="46" l="1"/>
  <c r="N48" i="46"/>
  <c r="AR50" i="46"/>
  <c r="BA50" i="46" s="1"/>
  <c r="AM50" i="46"/>
  <c r="AR49" i="46"/>
  <c r="BA49" i="46" s="1"/>
  <c r="AM49" i="46"/>
  <c r="AR48" i="46"/>
  <c r="BA48" i="46" s="1"/>
  <c r="AM48" i="46"/>
  <c r="I38" i="24"/>
  <c r="I25" i="47" s="1"/>
  <c r="P7" i="24"/>
  <c r="S7" i="24" s="1"/>
  <c r="R7" i="24"/>
  <c r="P8" i="24"/>
  <c r="S8" i="24" s="1"/>
  <c r="R8" i="24"/>
  <c r="Q13" i="24"/>
  <c r="Q14" i="24" s="1"/>
  <c r="R6" i="24"/>
  <c r="P6" i="24"/>
  <c r="S6" i="24" s="1"/>
  <c r="J4" i="24"/>
  <c r="AD48" i="46" l="1"/>
  <c r="V48" i="46"/>
  <c r="T48" i="46"/>
  <c r="C48" i="46"/>
  <c r="N18" i="48" s="1"/>
  <c r="U48" i="46"/>
  <c r="H48" i="46"/>
  <c r="K48" i="46" s="1"/>
  <c r="AD50" i="46"/>
  <c r="AD49" i="46"/>
  <c r="S13" i="24"/>
  <c r="S14" i="24" s="1"/>
  <c r="R13" i="24"/>
  <c r="R14" i="24" s="1"/>
  <c r="AR46" i="55"/>
  <c r="BA46" i="55" s="1"/>
  <c r="AM46" i="55"/>
  <c r="AR45" i="55"/>
  <c r="BA45" i="55" s="1"/>
  <c r="AM45" i="55"/>
  <c r="AD45" i="55" s="1"/>
  <c r="AR44" i="55"/>
  <c r="BA44" i="55" s="1"/>
  <c r="AM44" i="55"/>
  <c r="J48" i="46" l="1"/>
  <c r="AD46" i="55"/>
  <c r="AD44" i="55"/>
  <c r="L18" i="48"/>
  <c r="AC48" i="46"/>
  <c r="K8" i="25" l="1"/>
  <c r="W45" i="55" s="1"/>
  <c r="K7" i="25"/>
  <c r="W44" i="55" s="1"/>
  <c r="W44" i="46" l="1"/>
  <c r="W45" i="46"/>
  <c r="F23" i="47"/>
  <c r="F22" i="47"/>
  <c r="E23" i="47"/>
  <c r="G23" i="47" s="1"/>
  <c r="H23" i="47" s="1"/>
  <c r="O44" i="55" s="1"/>
  <c r="E22" i="47"/>
  <c r="C44" i="55" l="1"/>
  <c r="K44" i="55"/>
  <c r="G22" i="47"/>
  <c r="H22" i="47" s="1"/>
  <c r="O45" i="55" s="1"/>
  <c r="O44" i="46"/>
  <c r="C44" i="46" s="1"/>
  <c r="P44" i="55"/>
  <c r="V44" i="55"/>
  <c r="U44" i="55"/>
  <c r="T44" i="55"/>
  <c r="N44" i="46"/>
  <c r="H44" i="46" s="1"/>
  <c r="N45" i="46"/>
  <c r="H45" i="46" s="1"/>
  <c r="Q35" i="25"/>
  <c r="Q36" i="25" s="1"/>
  <c r="Q6" i="25"/>
  <c r="Q7" i="25" s="1"/>
  <c r="Q32" i="25"/>
  <c r="Q33" i="25" s="1"/>
  <c r="R25" i="25"/>
  <c r="R32" i="25" s="1"/>
  <c r="P25" i="25"/>
  <c r="S25" i="25" s="1"/>
  <c r="S32" i="25" s="1"/>
  <c r="Q22" i="25"/>
  <c r="Q23" i="25" s="1"/>
  <c r="R15" i="25"/>
  <c r="P15" i="25"/>
  <c r="S15" i="25" s="1"/>
  <c r="R33" i="25" l="1"/>
  <c r="AC44" i="55"/>
  <c r="C45" i="55"/>
  <c r="K45" i="55"/>
  <c r="K44" i="46"/>
  <c r="S33" i="25"/>
  <c r="O45" i="46"/>
  <c r="C45" i="46" s="1"/>
  <c r="N17" i="48" s="1"/>
  <c r="J44" i="46"/>
  <c r="J45" i="46"/>
  <c r="S22" i="25"/>
  <c r="S23" i="25" s="1"/>
  <c r="R22" i="25"/>
  <c r="R23" i="25" s="1"/>
  <c r="AR46" i="46"/>
  <c r="BA46" i="46" s="1"/>
  <c r="AM46" i="46"/>
  <c r="AR45" i="46"/>
  <c r="BA45" i="46" s="1"/>
  <c r="AM45" i="46"/>
  <c r="AR44" i="46"/>
  <c r="BA44" i="46" s="1"/>
  <c r="AM44" i="46"/>
  <c r="U44" i="46"/>
  <c r="T44" i="46"/>
  <c r="P44" i="46"/>
  <c r="V44" i="46"/>
  <c r="I38" i="25"/>
  <c r="I22" i="47" s="1"/>
  <c r="P7" i="25"/>
  <c r="P6" i="25"/>
  <c r="S6" i="25" s="1"/>
  <c r="J4" i="25"/>
  <c r="X44" i="55" l="1"/>
  <c r="AD44" i="46"/>
  <c r="U45" i="46"/>
  <c r="V45" i="55"/>
  <c r="P45" i="55"/>
  <c r="T45" i="55"/>
  <c r="AC45" i="55" s="1"/>
  <c r="U45" i="55"/>
  <c r="AA44" i="55" s="1"/>
  <c r="AD45" i="46"/>
  <c r="P45" i="46"/>
  <c r="V45" i="46"/>
  <c r="T45" i="46"/>
  <c r="K45" i="46"/>
  <c r="AD46" i="46"/>
  <c r="AA44" i="46"/>
  <c r="S7" i="25"/>
  <c r="S13" i="25" s="1"/>
  <c r="R6" i="25"/>
  <c r="S34" i="46"/>
  <c r="S34" i="55"/>
  <c r="Q34" i="55"/>
  <c r="R34" i="55"/>
  <c r="Q19" i="55"/>
  <c r="R19" i="55"/>
  <c r="AW22" i="55"/>
  <c r="AW37" i="55"/>
  <c r="AR42" i="55"/>
  <c r="BA42" i="55" s="1"/>
  <c r="AM42" i="55"/>
  <c r="AR41" i="55"/>
  <c r="BA41" i="55" s="1"/>
  <c r="AM41" i="55"/>
  <c r="AD41" i="55" s="1"/>
  <c r="AR40" i="55"/>
  <c r="BA40" i="55" s="1"/>
  <c r="AM40" i="55"/>
  <c r="AR38" i="55"/>
  <c r="BA38" i="55" s="1"/>
  <c r="AM38" i="55"/>
  <c r="AR37" i="55"/>
  <c r="AM37" i="55"/>
  <c r="AR36" i="55"/>
  <c r="BA36" i="55" s="1"/>
  <c r="AM36" i="55"/>
  <c r="AD36" i="55" s="1"/>
  <c r="AR35" i="55"/>
  <c r="BA35" i="55" s="1"/>
  <c r="AM35" i="55"/>
  <c r="AR34" i="55"/>
  <c r="BA34" i="55" s="1"/>
  <c r="AM34" i="55"/>
  <c r="AR38" i="46"/>
  <c r="BA38" i="46" s="1"/>
  <c r="AM38" i="46"/>
  <c r="AB9" i="28"/>
  <c r="Y7" i="28"/>
  <c r="AB7" i="28" s="1"/>
  <c r="BA37" i="55" l="1"/>
  <c r="L17" i="48"/>
  <c r="AC45" i="46"/>
  <c r="AB44" i="55"/>
  <c r="AD34" i="55"/>
  <c r="AD38" i="55"/>
  <c r="AD35" i="55"/>
  <c r="AD40" i="55"/>
  <c r="AD37" i="55"/>
  <c r="AD42" i="55"/>
  <c r="BE17" i="48"/>
  <c r="R7" i="25"/>
  <c r="R13" i="25" s="1"/>
  <c r="Q13" i="25"/>
  <c r="Q14" i="25" s="1"/>
  <c r="AD38" i="46"/>
  <c r="R14" i="25" l="1"/>
  <c r="AC44" i="46"/>
  <c r="AB44" i="46" s="1"/>
  <c r="X44" i="46"/>
  <c r="S14" i="25"/>
  <c r="F20" i="47"/>
  <c r="E20" i="47"/>
  <c r="F18" i="47"/>
  <c r="E18" i="47"/>
  <c r="G20" i="47" l="1"/>
  <c r="H20" i="47" s="1"/>
  <c r="O40" i="55" s="1"/>
  <c r="G18" i="47"/>
  <c r="H18" i="47" s="1"/>
  <c r="O34" i="55" s="1"/>
  <c r="AR42" i="46"/>
  <c r="BA42" i="46" s="1"/>
  <c r="AM42" i="46"/>
  <c r="AR41" i="46"/>
  <c r="BA41" i="46" s="1"/>
  <c r="AM41" i="46"/>
  <c r="AR40" i="46"/>
  <c r="BA40" i="46" s="1"/>
  <c r="AM40" i="46"/>
  <c r="N40" i="46"/>
  <c r="H40" i="46" s="1"/>
  <c r="N34" i="46"/>
  <c r="AR37" i="46"/>
  <c r="BA37" i="46" s="1"/>
  <c r="AM37" i="46"/>
  <c r="AR36" i="46"/>
  <c r="BA36" i="46" s="1"/>
  <c r="AM36" i="46"/>
  <c r="AR35" i="46"/>
  <c r="BA35" i="46" s="1"/>
  <c r="AM35" i="46"/>
  <c r="AR34" i="46"/>
  <c r="BA34" i="46" s="1"/>
  <c r="AM34" i="46"/>
  <c r="I38" i="26"/>
  <c r="I20" i="47" s="1"/>
  <c r="I38" i="28"/>
  <c r="I18" i="47" s="1"/>
  <c r="G42" i="28"/>
  <c r="I37" i="28" s="1"/>
  <c r="F42" i="28"/>
  <c r="O39" i="28"/>
  <c r="Q9" i="28"/>
  <c r="Q8" i="28"/>
  <c r="Q7" i="28"/>
  <c r="Q6" i="28"/>
  <c r="C34" i="55" l="1"/>
  <c r="K34" i="55"/>
  <c r="C40" i="55"/>
  <c r="K40" i="55"/>
  <c r="O40" i="46"/>
  <c r="O34" i="46"/>
  <c r="U34" i="46" s="1"/>
  <c r="AD40" i="46"/>
  <c r="J40" i="46"/>
  <c r="AD37" i="46"/>
  <c r="AD41" i="46"/>
  <c r="AD34" i="46"/>
  <c r="AD42" i="46"/>
  <c r="AD36" i="46"/>
  <c r="AD35" i="46"/>
  <c r="H34" i="46"/>
  <c r="Q28" i="26"/>
  <c r="R28" i="26" s="1"/>
  <c r="P28" i="26"/>
  <c r="P27" i="26"/>
  <c r="Q23" i="26"/>
  <c r="Q24" i="26" s="1"/>
  <c r="R16" i="26"/>
  <c r="R23" i="26" s="1"/>
  <c r="P16" i="26"/>
  <c r="S16" i="26" s="1"/>
  <c r="S23" i="26" s="1"/>
  <c r="J4" i="26"/>
  <c r="Q13" i="26"/>
  <c r="Q14" i="26" s="1"/>
  <c r="R6" i="26"/>
  <c r="R13" i="26" s="1"/>
  <c r="P6" i="26"/>
  <c r="S6" i="26" s="1"/>
  <c r="S13" i="26" s="1"/>
  <c r="Q33" i="28"/>
  <c r="Q34" i="28" s="1"/>
  <c r="R26" i="28"/>
  <c r="R33" i="28" s="1"/>
  <c r="P26" i="28"/>
  <c r="S26" i="28" s="1"/>
  <c r="S33" i="28" s="1"/>
  <c r="Q23" i="28"/>
  <c r="Q24" i="28" s="1"/>
  <c r="R16" i="28"/>
  <c r="P16" i="28"/>
  <c r="S16" i="28" s="1"/>
  <c r="R7" i="28"/>
  <c r="R8" i="28"/>
  <c r="R9" i="28"/>
  <c r="P7" i="28"/>
  <c r="S7" i="28" s="1"/>
  <c r="P8" i="28"/>
  <c r="S8" i="28" s="1"/>
  <c r="P9" i="28"/>
  <c r="S9" i="28" s="1"/>
  <c r="P6" i="28"/>
  <c r="S6" i="28" s="1"/>
  <c r="Q13" i="28"/>
  <c r="Q14" i="28" s="1"/>
  <c r="R6" i="28"/>
  <c r="J4" i="28"/>
  <c r="S14" i="26" l="1"/>
  <c r="P40" i="46"/>
  <c r="C40" i="46"/>
  <c r="N16" i="48" s="1"/>
  <c r="T40" i="46"/>
  <c r="U40" i="46"/>
  <c r="T34" i="46"/>
  <c r="V34" i="46"/>
  <c r="U40" i="55"/>
  <c r="P40" i="55"/>
  <c r="V40" i="55"/>
  <c r="T40" i="55"/>
  <c r="AC40" i="55" s="1"/>
  <c r="C34" i="46"/>
  <c r="N15" i="48" s="1"/>
  <c r="K40" i="46"/>
  <c r="R34" i="28"/>
  <c r="P34" i="46"/>
  <c r="V40" i="46"/>
  <c r="S24" i="26"/>
  <c r="U34" i="55"/>
  <c r="BE15" i="48"/>
  <c r="P34" i="55"/>
  <c r="V34" i="55"/>
  <c r="T34" i="55"/>
  <c r="AC34" i="55" s="1"/>
  <c r="S34" i="28"/>
  <c r="R24" i="26"/>
  <c r="R14" i="26"/>
  <c r="S28" i="26"/>
  <c r="Q27" i="26"/>
  <c r="K34" i="46"/>
  <c r="J34" i="46"/>
  <c r="R23" i="28"/>
  <c r="R24" i="28" s="1"/>
  <c r="S23" i="28"/>
  <c r="S24" i="28" s="1"/>
  <c r="S13" i="28"/>
  <c r="S14" i="28" s="1"/>
  <c r="R13" i="28"/>
  <c r="R14" i="28" s="1"/>
  <c r="C4" i="51"/>
  <c r="C3" i="51"/>
  <c r="B4" i="51"/>
  <c r="B3" i="51"/>
  <c r="D3" i="51"/>
  <c r="E4" i="51"/>
  <c r="E3" i="51"/>
  <c r="F4" i="51"/>
  <c r="BE16" i="48" l="1"/>
  <c r="AC40" i="46"/>
  <c r="L16" i="48"/>
  <c r="Q34" i="26"/>
  <c r="Q35" i="26" s="1"/>
  <c r="R27" i="26"/>
  <c r="R34" i="26" s="1"/>
  <c r="R35" i="26" s="1"/>
  <c r="S27" i="26"/>
  <c r="S34" i="26" s="1"/>
  <c r="S35" i="26" s="1"/>
  <c r="AC34" i="46"/>
  <c r="L15" i="48"/>
  <c r="Q30" i="55"/>
  <c r="R30" i="55"/>
  <c r="AW32" i="55"/>
  <c r="AR32" i="55"/>
  <c r="BA32" i="55" s="1"/>
  <c r="AM32" i="55"/>
  <c r="AR31" i="55"/>
  <c r="BA31" i="55" s="1"/>
  <c r="AM31" i="55"/>
  <c r="AR30" i="55"/>
  <c r="BA30" i="55" s="1"/>
  <c r="AM30" i="55"/>
  <c r="AR29" i="55"/>
  <c r="BA29" i="55" s="1"/>
  <c r="AM29" i="55"/>
  <c r="AD32" i="55" l="1"/>
  <c r="AD31" i="55"/>
  <c r="AD29" i="55"/>
  <c r="AD30" i="55"/>
  <c r="K8" i="27"/>
  <c r="W29" i="55" s="1"/>
  <c r="K7" i="27"/>
  <c r="W30" i="55" s="1"/>
  <c r="F15" i="47"/>
  <c r="E16" i="47"/>
  <c r="G16" i="47" s="1"/>
  <c r="H16" i="47" s="1"/>
  <c r="O29" i="55" s="1"/>
  <c r="E15" i="47"/>
  <c r="G15" i="47" l="1"/>
  <c r="H15" i="47" s="1"/>
  <c r="O30" i="55" s="1"/>
  <c r="C29" i="55"/>
  <c r="K29" i="55"/>
  <c r="AC29" i="55" s="1"/>
  <c r="C30" i="55"/>
  <c r="K30" i="55"/>
  <c r="W29" i="46"/>
  <c r="W30" i="46"/>
  <c r="O30" i="46"/>
  <c r="T29" i="55"/>
  <c r="U29" i="55"/>
  <c r="V29" i="55"/>
  <c r="P29" i="55"/>
  <c r="O29" i="46"/>
  <c r="AR32" i="46"/>
  <c r="BA32" i="46" s="1"/>
  <c r="AM32" i="46"/>
  <c r="Q30" i="46"/>
  <c r="I38" i="27"/>
  <c r="I15" i="47" s="1"/>
  <c r="J4" i="27"/>
  <c r="X29" i="55" l="1"/>
  <c r="V30" i="55"/>
  <c r="U30" i="55"/>
  <c r="AA29" i="55" s="1"/>
  <c r="P30" i="55"/>
  <c r="T30" i="55"/>
  <c r="AC30" i="55" s="1"/>
  <c r="AD32" i="46"/>
  <c r="AB29" i="55" l="1"/>
  <c r="BE14" i="48"/>
  <c r="N30" i="46" l="1"/>
  <c r="H30" i="46" s="1"/>
  <c r="C30" i="46"/>
  <c r="AR31" i="46"/>
  <c r="BA31" i="46" s="1"/>
  <c r="AM31" i="46"/>
  <c r="AR30" i="46"/>
  <c r="BA30" i="46" s="1"/>
  <c r="AM30" i="46"/>
  <c r="AR29" i="46"/>
  <c r="BA29" i="46" s="1"/>
  <c r="AM29" i="46"/>
  <c r="U29" i="46"/>
  <c r="N29" i="46"/>
  <c r="V29" i="46" s="1"/>
  <c r="G42" i="27"/>
  <c r="I37" i="27" s="1"/>
  <c r="F42" i="27"/>
  <c r="O36" i="27"/>
  <c r="Q28" i="27"/>
  <c r="P15" i="27"/>
  <c r="S15" i="27" s="1"/>
  <c r="Q15" i="27"/>
  <c r="Q6" i="27"/>
  <c r="Q7" i="27" s="1"/>
  <c r="R7" i="27" s="1"/>
  <c r="P7" i="27"/>
  <c r="R6" i="27"/>
  <c r="P6" i="27"/>
  <c r="S6" i="27" s="1"/>
  <c r="AD31" i="46" l="1"/>
  <c r="AD30" i="46"/>
  <c r="AD29" i="46"/>
  <c r="P30" i="46"/>
  <c r="K30" i="46"/>
  <c r="J30" i="46"/>
  <c r="V30" i="46"/>
  <c r="T30" i="46"/>
  <c r="U30" i="46"/>
  <c r="AA29" i="46" s="1"/>
  <c r="P29" i="46"/>
  <c r="T29" i="46"/>
  <c r="C29" i="46"/>
  <c r="N14" i="48" s="1"/>
  <c r="H29" i="46"/>
  <c r="S16" i="27"/>
  <c r="S22" i="27" s="1"/>
  <c r="R16" i="27"/>
  <c r="Q22" i="27"/>
  <c r="Q23" i="27" s="1"/>
  <c r="R15" i="27"/>
  <c r="R13" i="27"/>
  <c r="S7" i="27"/>
  <c r="S13" i="27" s="1"/>
  <c r="Q13" i="27"/>
  <c r="Q14" i="27" s="1"/>
  <c r="AC30" i="46" l="1"/>
  <c r="S14" i="27"/>
  <c r="J29" i="46"/>
  <c r="K29" i="46"/>
  <c r="L14" i="48" s="1"/>
  <c r="R22" i="27"/>
  <c r="R23" i="27" s="1"/>
  <c r="S23" i="27"/>
  <c r="R14" i="27"/>
  <c r="AC29" i="46" l="1"/>
  <c r="AB29" i="46" s="1"/>
  <c r="X29" i="46"/>
  <c r="AR27" i="55" l="1"/>
  <c r="BA27" i="55" s="1"/>
  <c r="AM27" i="55"/>
  <c r="AD27" i="55" s="1"/>
  <c r="AR26" i="55"/>
  <c r="BA26" i="55" s="1"/>
  <c r="AM26" i="55"/>
  <c r="AR25" i="55"/>
  <c r="BA25" i="55" s="1"/>
  <c r="AM25" i="55"/>
  <c r="J8" i="29"/>
  <c r="E13" i="47"/>
  <c r="G13" i="47" s="1"/>
  <c r="H13" i="47" s="1"/>
  <c r="O25" i="55" s="1"/>
  <c r="AD26" i="55" l="1"/>
  <c r="AD25" i="55"/>
  <c r="C25" i="55"/>
  <c r="K25" i="55"/>
  <c r="U25" i="55"/>
  <c r="O25" i="46"/>
  <c r="V25" i="55"/>
  <c r="P25" i="55"/>
  <c r="T25" i="55"/>
  <c r="AC25" i="55" l="1"/>
  <c r="BE13" i="48"/>
  <c r="F26" i="29"/>
  <c r="I38" i="29"/>
  <c r="I13" i="47" s="1"/>
  <c r="AR27" i="46" l="1"/>
  <c r="BA27" i="46" s="1"/>
  <c r="AM27" i="46"/>
  <c r="AR26" i="46"/>
  <c r="BA26" i="46" s="1"/>
  <c r="AM26" i="46"/>
  <c r="AR25" i="46"/>
  <c r="BA25" i="46" s="1"/>
  <c r="AM25" i="46"/>
  <c r="P25" i="46"/>
  <c r="N25" i="46"/>
  <c r="H25" i="46" s="1"/>
  <c r="P7" i="29"/>
  <c r="S7" i="29" s="1"/>
  <c r="R7" i="29"/>
  <c r="P8" i="29"/>
  <c r="S8" i="29" s="1"/>
  <c r="R8" i="29"/>
  <c r="Q13" i="29"/>
  <c r="Q14" i="29" s="1"/>
  <c r="R6" i="29"/>
  <c r="P6" i="29"/>
  <c r="S6" i="29" s="1"/>
  <c r="J4" i="29"/>
  <c r="AD27" i="46" l="1"/>
  <c r="AD26" i="46"/>
  <c r="R13" i="29"/>
  <c r="R14" i="29" s="1"/>
  <c r="AD25" i="46"/>
  <c r="K25" i="46"/>
  <c r="J25" i="46"/>
  <c r="T25" i="46"/>
  <c r="C25" i="46"/>
  <c r="N13" i="48" s="1"/>
  <c r="U25" i="46"/>
  <c r="V25" i="46"/>
  <c r="S13" i="29"/>
  <c r="S14" i="29" s="1"/>
  <c r="AC25" i="46" l="1"/>
  <c r="L13" i="48"/>
  <c r="AV141" i="55" l="1"/>
  <c r="AR23" i="55"/>
  <c r="BA23" i="55" s="1"/>
  <c r="AM23" i="55"/>
  <c r="AD23" i="55" s="1"/>
  <c r="AR22" i="55"/>
  <c r="BA22" i="55" s="1"/>
  <c r="AM22" i="55"/>
  <c r="AR21" i="55"/>
  <c r="BA21" i="55" s="1"/>
  <c r="AM21" i="55"/>
  <c r="AR20" i="55"/>
  <c r="BA20" i="55" s="1"/>
  <c r="AM20" i="55"/>
  <c r="AR19" i="55"/>
  <c r="BA19" i="55" s="1"/>
  <c r="AM19" i="55"/>
  <c r="AD19" i="55" s="1"/>
  <c r="S19" i="55"/>
  <c r="AR18" i="55"/>
  <c r="BA18" i="55" s="1"/>
  <c r="AM18" i="55"/>
  <c r="AD18" i="55" s="1"/>
  <c r="AM23" i="46"/>
  <c r="AR23" i="46"/>
  <c r="BA23" i="46" s="1"/>
  <c r="S19" i="46"/>
  <c r="AA18" i="30"/>
  <c r="AB16" i="30"/>
  <c r="X16" i="30"/>
  <c r="AA16" i="30" s="1"/>
  <c r="AD22" i="55" l="1"/>
  <c r="AD21" i="55"/>
  <c r="AD20" i="55"/>
  <c r="AC16" i="30"/>
  <c r="AD23" i="46"/>
  <c r="K8" i="30"/>
  <c r="W19" i="55" s="1"/>
  <c r="K7" i="30"/>
  <c r="W18" i="55" s="1"/>
  <c r="J9" i="30"/>
  <c r="J9" i="29" s="1"/>
  <c r="W18" i="46" l="1"/>
  <c r="W19" i="46"/>
  <c r="F11" i="47" l="1"/>
  <c r="F10" i="47"/>
  <c r="E11" i="47"/>
  <c r="E10" i="47"/>
  <c r="G11" i="47" l="1"/>
  <c r="H11" i="47" s="1"/>
  <c r="O19" i="55" s="1"/>
  <c r="G10" i="47"/>
  <c r="H10" i="47" s="1"/>
  <c r="O18" i="55" s="1"/>
  <c r="AW22" i="46"/>
  <c r="AM22" i="46"/>
  <c r="AR22" i="46"/>
  <c r="F10" i="30"/>
  <c r="F11" i="30" s="1"/>
  <c r="AM21" i="46"/>
  <c r="AR21" i="46"/>
  <c r="BA21" i="46" s="1"/>
  <c r="I38" i="30"/>
  <c r="I10" i="47" s="1"/>
  <c r="O19" i="46" l="1"/>
  <c r="K18" i="55"/>
  <c r="C18" i="55"/>
  <c r="C19" i="55"/>
  <c r="K19" i="55"/>
  <c r="BA22" i="46"/>
  <c r="AD22" i="46" s="1"/>
  <c r="O18" i="46"/>
  <c r="U18" i="46" s="1"/>
  <c r="V19" i="55"/>
  <c r="U19" i="55"/>
  <c r="T19" i="55"/>
  <c r="P19" i="55"/>
  <c r="AD21" i="46"/>
  <c r="Q19" i="46"/>
  <c r="N19" i="46"/>
  <c r="H19" i="46" s="1"/>
  <c r="C19" i="46"/>
  <c r="AR20" i="46"/>
  <c r="BA20" i="46" s="1"/>
  <c r="AM20" i="46"/>
  <c r="AR19" i="46"/>
  <c r="BA19" i="46" s="1"/>
  <c r="AM19" i="46"/>
  <c r="AR18" i="46"/>
  <c r="BA18" i="46" s="1"/>
  <c r="AM18" i="46"/>
  <c r="N18" i="46"/>
  <c r="I37" i="30"/>
  <c r="R37" i="30"/>
  <c r="Y7" i="30"/>
  <c r="Z7" i="30"/>
  <c r="Y8" i="30"/>
  <c r="Z8" i="30"/>
  <c r="Y9" i="30"/>
  <c r="Z9" i="30"/>
  <c r="Y10" i="30"/>
  <c r="Z10" i="30"/>
  <c r="X13" i="30"/>
  <c r="X14" i="30" s="1"/>
  <c r="Y6" i="30"/>
  <c r="Z6" i="30"/>
  <c r="G42" i="30"/>
  <c r="F42" i="30"/>
  <c r="N40" i="30"/>
  <c r="Q32" i="30"/>
  <c r="Q33" i="30" s="1"/>
  <c r="P25" i="30"/>
  <c r="S25" i="30" s="1"/>
  <c r="S32" i="30" s="1"/>
  <c r="Q17" i="30"/>
  <c r="R17" i="30" s="1"/>
  <c r="Q16" i="30"/>
  <c r="R16" i="30" s="1"/>
  <c r="Q15" i="30"/>
  <c r="F18" i="30"/>
  <c r="P16" i="30"/>
  <c r="P17" i="30"/>
  <c r="P15" i="30"/>
  <c r="S15" i="30" s="1"/>
  <c r="Q7" i="30"/>
  <c r="R7" i="30" s="1"/>
  <c r="P7" i="30"/>
  <c r="R6" i="30"/>
  <c r="P6" i="30"/>
  <c r="S6" i="30" s="1"/>
  <c r="J4" i="30"/>
  <c r="AC19" i="55" l="1"/>
  <c r="X18" i="55"/>
  <c r="S33" i="30"/>
  <c r="AD20" i="46"/>
  <c r="S17" i="30"/>
  <c r="Q22" i="30"/>
  <c r="Q23" i="30" s="1"/>
  <c r="Q13" i="30"/>
  <c r="Q14" i="30" s="1"/>
  <c r="R15" i="30"/>
  <c r="R22" i="30" s="1"/>
  <c r="R23" i="30" s="1"/>
  <c r="S7" i="30"/>
  <c r="S13" i="30" s="1"/>
  <c r="S16" i="30"/>
  <c r="AD18" i="46"/>
  <c r="U18" i="55"/>
  <c r="T18" i="55"/>
  <c r="AC18" i="55" s="1"/>
  <c r="P18" i="55"/>
  <c r="V18" i="55"/>
  <c r="T19" i="46"/>
  <c r="V18" i="46"/>
  <c r="AD19" i="46"/>
  <c r="U19" i="46"/>
  <c r="P19" i="46"/>
  <c r="J19" i="46"/>
  <c r="K19" i="46"/>
  <c r="V19" i="46"/>
  <c r="P18" i="46"/>
  <c r="T18" i="46"/>
  <c r="C18" i="46"/>
  <c r="N12" i="48" s="1"/>
  <c r="H18" i="46"/>
  <c r="Z13" i="30"/>
  <c r="Z14" i="30" s="1"/>
  <c r="Y13" i="30"/>
  <c r="Y14" i="30" s="1"/>
  <c r="R25" i="30"/>
  <c r="R32" i="30" s="1"/>
  <c r="R33" i="30" s="1"/>
  <c r="R13" i="30"/>
  <c r="R14" i="30" s="1"/>
  <c r="AC19" i="46" l="1"/>
  <c r="S22" i="30"/>
  <c r="S23" i="30" s="1"/>
  <c r="S14" i="30"/>
  <c r="BE12" i="48"/>
  <c r="K18" i="46"/>
  <c r="L12" i="48" s="1"/>
  <c r="J18" i="46"/>
  <c r="AR16" i="55"/>
  <c r="BA16" i="55" s="1"/>
  <c r="AM16" i="55"/>
  <c r="AD16" i="55" s="1"/>
  <c r="AR15" i="55"/>
  <c r="BA15" i="55" s="1"/>
  <c r="AM15" i="55"/>
  <c r="AR14" i="55"/>
  <c r="BA14" i="55" s="1"/>
  <c r="AM14" i="55"/>
  <c r="AD14" i="55" s="1"/>
  <c r="AR12" i="55"/>
  <c r="BA12" i="55" s="1"/>
  <c r="AM12" i="55"/>
  <c r="AD12" i="55" s="1"/>
  <c r="AR11" i="55"/>
  <c r="BA11" i="55" s="1"/>
  <c r="AM11" i="55"/>
  <c r="AD11" i="55" s="1"/>
  <c r="AR10" i="55"/>
  <c r="BA10" i="55" s="1"/>
  <c r="AM10" i="55"/>
  <c r="AR8" i="55"/>
  <c r="BA8" i="55" s="1"/>
  <c r="AM8" i="55"/>
  <c r="AD8" i="55" s="1"/>
  <c r="AR7" i="55"/>
  <c r="BA7" i="55" s="1"/>
  <c r="AM7" i="55"/>
  <c r="AD7" i="55" s="1"/>
  <c r="AR6" i="55"/>
  <c r="BA6" i="55" s="1"/>
  <c r="AM6" i="55"/>
  <c r="E8" i="47"/>
  <c r="G8" i="47" s="1"/>
  <c r="H8" i="47" s="1"/>
  <c r="O14" i="55" s="1"/>
  <c r="AD6" i="55" l="1"/>
  <c r="AD10" i="55"/>
  <c r="AD15" i="55"/>
  <c r="C14" i="55"/>
  <c r="K14" i="55"/>
  <c r="U14" i="55"/>
  <c r="T14" i="55"/>
  <c r="P14" i="55"/>
  <c r="O14" i="46"/>
  <c r="V14" i="55"/>
  <c r="AC18" i="46"/>
  <c r="X18" i="46"/>
  <c r="AC14" i="55" l="1"/>
  <c r="I38" i="31"/>
  <c r="I8" i="47" s="1"/>
  <c r="AR16" i="46" l="1"/>
  <c r="BA16" i="46" s="1"/>
  <c r="AM16" i="46"/>
  <c r="AR15" i="46"/>
  <c r="BA15" i="46" s="1"/>
  <c r="AM15" i="46"/>
  <c r="AR14" i="46"/>
  <c r="BA14" i="46" s="1"/>
  <c r="AM14" i="46"/>
  <c r="T14" i="46"/>
  <c r="N14" i="46"/>
  <c r="V14" i="46" s="1"/>
  <c r="G42" i="31"/>
  <c r="I37" i="31" s="1"/>
  <c r="F42" i="31"/>
  <c r="P7" i="31"/>
  <c r="S7" i="31" s="1"/>
  <c r="R7" i="31"/>
  <c r="P8" i="31"/>
  <c r="R8" i="31"/>
  <c r="S8" i="31"/>
  <c r="P6" i="31"/>
  <c r="S6" i="31" s="1"/>
  <c r="Q13" i="31"/>
  <c r="Q14" i="31" s="1"/>
  <c r="R6" i="31"/>
  <c r="J4" i="31"/>
  <c r="R13" i="31" l="1"/>
  <c r="R14" i="31" s="1"/>
  <c r="AD14" i="46"/>
  <c r="AD15" i="46"/>
  <c r="AD16" i="46"/>
  <c r="C14" i="46"/>
  <c r="N11" i="48" s="1"/>
  <c r="U14" i="46"/>
  <c r="P14" i="46"/>
  <c r="H14" i="46"/>
  <c r="S13" i="31"/>
  <c r="S14" i="31" s="1"/>
  <c r="P26" i="32"/>
  <c r="P16" i="32"/>
  <c r="P9" i="32"/>
  <c r="P8" i="32"/>
  <c r="P7" i="32"/>
  <c r="J14" i="46" l="1"/>
  <c r="K14" i="46"/>
  <c r="J8" i="32"/>
  <c r="E6" i="47"/>
  <c r="G6" i="47" s="1"/>
  <c r="H6" i="47" s="1"/>
  <c r="O10" i="55" s="1"/>
  <c r="EK10" i="2"/>
  <c r="C10" i="55" l="1"/>
  <c r="K10" i="55"/>
  <c r="O10" i="46"/>
  <c r="P10" i="55"/>
  <c r="U10" i="55"/>
  <c r="V10" i="55"/>
  <c r="T10" i="55"/>
  <c r="BE11" i="48"/>
  <c r="L11" i="48"/>
  <c r="AC14" i="46"/>
  <c r="EK11" i="2"/>
  <c r="AC10" i="55" l="1"/>
  <c r="EK12" i="2"/>
  <c r="BE10" i="48" l="1"/>
  <c r="AA9" i="45" l="1"/>
  <c r="AA10" i="45"/>
  <c r="AA11" i="45"/>
  <c r="AA12" i="45"/>
  <c r="AA13" i="45"/>
  <c r="AA14" i="45"/>
  <c r="AA15" i="45"/>
  <c r="AA16" i="45"/>
  <c r="AA17" i="45"/>
  <c r="AA18" i="45"/>
  <c r="AA19" i="45"/>
  <c r="AA20" i="45"/>
  <c r="AA21" i="45"/>
  <c r="AA22" i="45"/>
  <c r="AA23" i="45"/>
  <c r="AA24" i="45"/>
  <c r="AA25" i="45"/>
  <c r="AA26" i="45"/>
  <c r="AA27" i="45"/>
  <c r="AA28" i="45"/>
  <c r="AA29" i="45"/>
  <c r="AA30" i="45"/>
  <c r="AA31" i="45"/>
  <c r="AA32" i="45"/>
  <c r="AA33" i="45"/>
  <c r="AA34" i="45"/>
  <c r="AA35" i="45"/>
  <c r="AA36" i="45"/>
  <c r="AA37" i="45"/>
  <c r="AA38" i="45"/>
  <c r="AA8"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E9" i="45"/>
  <c r="E10" i="45"/>
  <c r="E11" i="45"/>
  <c r="E12" i="45"/>
  <c r="E13" i="45"/>
  <c r="E14" i="45"/>
  <c r="E15" i="45"/>
  <c r="E16" i="45"/>
  <c r="AF16" i="45" s="1"/>
  <c r="E17" i="45"/>
  <c r="E18" i="45"/>
  <c r="E19" i="45"/>
  <c r="E20" i="45"/>
  <c r="E21" i="45"/>
  <c r="E22" i="45"/>
  <c r="E23" i="45"/>
  <c r="E24" i="45"/>
  <c r="AF24" i="45" s="1"/>
  <c r="E25" i="45"/>
  <c r="E26" i="45"/>
  <c r="E27" i="45"/>
  <c r="E28" i="45"/>
  <c r="E29" i="45"/>
  <c r="E30" i="45"/>
  <c r="E31" i="45"/>
  <c r="AF31" i="45" s="1"/>
  <c r="E32" i="45"/>
  <c r="AF32" i="45" s="1"/>
  <c r="E33" i="45"/>
  <c r="E34" i="45"/>
  <c r="E35" i="45"/>
  <c r="AF35" i="45" s="1"/>
  <c r="E36" i="45"/>
  <c r="AF36" i="45" s="1"/>
  <c r="E37" i="45"/>
  <c r="AF37" i="45" s="1"/>
  <c r="E38" i="45"/>
  <c r="AF38" i="45" s="1"/>
  <c r="E8" i="45"/>
  <c r="X31" i="45" l="1"/>
  <c r="AF20" i="45"/>
  <c r="X12" i="45"/>
  <c r="X20" i="45"/>
  <c r="AF12" i="45"/>
  <c r="X35" i="45"/>
  <c r="X38" i="45"/>
  <c r="X24" i="45"/>
  <c r="X16" i="45"/>
  <c r="X34" i="45"/>
  <c r="AF25" i="45"/>
  <c r="X25" i="45"/>
  <c r="AF19" i="45"/>
  <c r="AF18" i="45"/>
  <c r="X18" i="45"/>
  <c r="X36" i="45"/>
  <c r="AF34" i="45"/>
  <c r="AF33" i="45"/>
  <c r="AF30" i="45"/>
  <c r="AF27" i="45"/>
  <c r="X26" i="45"/>
  <c r="AF22" i="45"/>
  <c r="X29" i="45"/>
  <c r="AF28" i="45"/>
  <c r="X33" i="45"/>
  <c r="X32" i="45"/>
  <c r="X30" i="45"/>
  <c r="X15" i="45"/>
  <c r="X28" i="45"/>
  <c r="X37" i="45"/>
  <c r="AF15" i="45"/>
  <c r="AF14" i="45"/>
  <c r="X14" i="45"/>
  <c r="X27" i="45"/>
  <c r="AF26" i="45"/>
  <c r="X23" i="45"/>
  <c r="AF29" i="45"/>
  <c r="AF23" i="45"/>
  <c r="X22" i="45"/>
  <c r="X19" i="45"/>
  <c r="X21" i="45"/>
  <c r="X17" i="45"/>
  <c r="X13" i="45"/>
  <c r="AF21" i="45"/>
  <c r="AF17" i="45"/>
  <c r="AF13" i="45"/>
  <c r="AF9" i="45"/>
  <c r="AF10" i="45"/>
  <c r="AF11" i="45"/>
  <c r="I38" i="32" l="1"/>
  <c r="I6" i="47" s="1"/>
  <c r="N10" i="46" l="1"/>
  <c r="H10" i="46" s="1"/>
  <c r="J10" i="46" s="1"/>
  <c r="U10" i="46"/>
  <c r="AM10" i="46"/>
  <c r="AR10" i="46"/>
  <c r="BA10" i="46" s="1"/>
  <c r="AM11" i="46"/>
  <c r="AR11" i="46"/>
  <c r="BA11" i="46" s="1"/>
  <c r="AM12" i="46"/>
  <c r="AR12" i="46"/>
  <c r="BA12" i="46" s="1"/>
  <c r="Q33" i="32"/>
  <c r="Q34" i="32" s="1"/>
  <c r="R26" i="32"/>
  <c r="R33" i="32" s="1"/>
  <c r="R34" i="32" s="1"/>
  <c r="S26" i="32"/>
  <c r="S33" i="32" s="1"/>
  <c r="S34" i="32" s="1"/>
  <c r="Q9" i="32"/>
  <c r="Q8" i="32"/>
  <c r="R8" i="32" s="1"/>
  <c r="Q7" i="32"/>
  <c r="R7" i="32" s="1"/>
  <c r="S8" i="32"/>
  <c r="J4" i="32"/>
  <c r="S7" i="32" l="1"/>
  <c r="Q14" i="32"/>
  <c r="Q15" i="32" s="1"/>
  <c r="Q23" i="32" s="1"/>
  <c r="Q24" i="32" s="1"/>
  <c r="AD11" i="46"/>
  <c r="S9" i="32"/>
  <c r="R9" i="32"/>
  <c r="R14" i="32" s="1"/>
  <c r="R15" i="32" s="1"/>
  <c r="T10" i="46"/>
  <c r="P10" i="46"/>
  <c r="V10" i="46"/>
  <c r="AD12" i="46"/>
  <c r="AD10" i="46"/>
  <c r="K10" i="46"/>
  <c r="C10" i="46"/>
  <c r="N10" i="48" s="1"/>
  <c r="R16" i="32"/>
  <c r="S16" i="32"/>
  <c r="S14" i="32"/>
  <c r="S15" i="32" s="1"/>
  <c r="EG47" i="2"/>
  <c r="EG46" i="2"/>
  <c r="EG45" i="2"/>
  <c r="EG44" i="2"/>
  <c r="EE42" i="2"/>
  <c r="EF40" i="2"/>
  <c r="EF39" i="2"/>
  <c r="EF38" i="2"/>
  <c r="EF37" i="2"/>
  <c r="EF36" i="2"/>
  <c r="EF35" i="2"/>
  <c r="EF34" i="2"/>
  <c r="EF33" i="2"/>
  <c r="EF32" i="2"/>
  <c r="EF31" i="2"/>
  <c r="EF30" i="2"/>
  <c r="EF29" i="2"/>
  <c r="EF28" i="2"/>
  <c r="EF27" i="2"/>
  <c r="EF26" i="2"/>
  <c r="EF25" i="2"/>
  <c r="EF24" i="2"/>
  <c r="EF23" i="2"/>
  <c r="EF22" i="2"/>
  <c r="EF21" i="2"/>
  <c r="EF20" i="2"/>
  <c r="EF19" i="2"/>
  <c r="EF18" i="2"/>
  <c r="EF17" i="2"/>
  <c r="EF16" i="2"/>
  <c r="EF15" i="2"/>
  <c r="EF14" i="2"/>
  <c r="EF13" i="2"/>
  <c r="EF12" i="2"/>
  <c r="EF11" i="2"/>
  <c r="EG10" i="2"/>
  <c r="R23" i="32" l="1"/>
  <c r="R24" i="32" s="1"/>
  <c r="S23" i="32"/>
  <c r="S24" i="32" s="1"/>
  <c r="AC10" i="46"/>
  <c r="L10" i="48"/>
  <c r="EG11" i="2"/>
  <c r="EG12" i="2" s="1"/>
  <c r="EG13" i="2" s="1"/>
  <c r="EG14" i="2" l="1"/>
  <c r="E4" i="47"/>
  <c r="EG15" i="2" l="1"/>
  <c r="EG16" i="2" l="1"/>
  <c r="AZ39" i="48"/>
  <c r="AZ38" i="48"/>
  <c r="AZ37" i="48"/>
  <c r="AZ36" i="48"/>
  <c r="AZ35" i="48"/>
  <c r="AZ34" i="48"/>
  <c r="AZ33" i="48"/>
  <c r="AZ32" i="48"/>
  <c r="AZ31" i="48"/>
  <c r="AZ30" i="48"/>
  <c r="AZ29" i="48"/>
  <c r="AZ28" i="48"/>
  <c r="AZ27" i="48"/>
  <c r="AZ26" i="48"/>
  <c r="AZ25" i="48"/>
  <c r="AZ24" i="48"/>
  <c r="AZ23" i="48"/>
  <c r="AZ22" i="48"/>
  <c r="AZ21" i="48"/>
  <c r="AZ20" i="48"/>
  <c r="AZ19" i="48"/>
  <c r="AZ18" i="48"/>
  <c r="AZ17" i="48"/>
  <c r="AZ16" i="48"/>
  <c r="AZ15" i="48"/>
  <c r="AZ14" i="48"/>
  <c r="AZ13" i="48"/>
  <c r="AZ12" i="48"/>
  <c r="AZ11" i="48"/>
  <c r="AZ10" i="48"/>
  <c r="AX41" i="48"/>
  <c r="AF8" i="45"/>
  <c r="AD40" i="45"/>
  <c r="EG17" i="2" l="1"/>
  <c r="AY9" i="48"/>
  <c r="AY10" i="48" s="1"/>
  <c r="AY11" i="48" s="1"/>
  <c r="AY12" i="48" s="1"/>
  <c r="AY13" i="48" s="1"/>
  <c r="AY14" i="48" s="1"/>
  <c r="AY15" i="48" s="1"/>
  <c r="AY16" i="48" s="1"/>
  <c r="AY17" i="48" s="1"/>
  <c r="AY18" i="48" s="1"/>
  <c r="AY19" i="48" s="1"/>
  <c r="AY20" i="48" s="1"/>
  <c r="AY21" i="48" s="1"/>
  <c r="AY22" i="48" s="1"/>
  <c r="AY23" i="48" s="1"/>
  <c r="AY24" i="48" s="1"/>
  <c r="AY25" i="48" s="1"/>
  <c r="AY26" i="48" s="1"/>
  <c r="AY27" i="48" s="1"/>
  <c r="AY28" i="48" s="1"/>
  <c r="AY29" i="48" s="1"/>
  <c r="AY30" i="48" s="1"/>
  <c r="AY31" i="48" s="1"/>
  <c r="AY32" i="48" s="1"/>
  <c r="AY33" i="48" s="1"/>
  <c r="AY34" i="48" s="1"/>
  <c r="AY35" i="48" s="1"/>
  <c r="AY36" i="48" s="1"/>
  <c r="AY37" i="48" s="1"/>
  <c r="AY38" i="48" s="1"/>
  <c r="AY39" i="48" s="1"/>
  <c r="AD42" i="45"/>
  <c r="AE40" i="45"/>
  <c r="EG18" i="2" l="1"/>
  <c r="I38" i="33"/>
  <c r="I4" i="47" s="1"/>
  <c r="P25" i="33"/>
  <c r="S25" i="33" s="1"/>
  <c r="P27" i="33"/>
  <c r="P26" i="33"/>
  <c r="R25" i="33"/>
  <c r="P18" i="33"/>
  <c r="P17" i="33"/>
  <c r="R16" i="33"/>
  <c r="P16" i="33"/>
  <c r="S16" i="33" s="1"/>
  <c r="Q6" i="33"/>
  <c r="R6" i="33" s="1"/>
  <c r="P7" i="33"/>
  <c r="S7" i="33" s="1"/>
  <c r="P8" i="33"/>
  <c r="S8" i="33" s="1"/>
  <c r="P6" i="33"/>
  <c r="R8" i="33"/>
  <c r="R7" i="33"/>
  <c r="EG19" i="2" l="1"/>
  <c r="R23" i="33"/>
  <c r="S23" i="33"/>
  <c r="Q23" i="33"/>
  <c r="Q24" i="33" s="1"/>
  <c r="Q32" i="33" s="1"/>
  <c r="Q33" i="33" s="1"/>
  <c r="R13" i="33"/>
  <c r="Q13" i="33"/>
  <c r="Q14" i="33" s="1"/>
  <c r="S6" i="33"/>
  <c r="S13" i="33" s="1"/>
  <c r="EG20" i="2" l="1"/>
  <c r="S24" i="33"/>
  <c r="S32" i="33" s="1"/>
  <c r="S33" i="33" s="1"/>
  <c r="R24" i="33"/>
  <c r="R32" i="33" s="1"/>
  <c r="R33" i="33" s="1"/>
  <c r="S14" i="33"/>
  <c r="R14" i="33"/>
  <c r="EG21" i="2" l="1"/>
  <c r="J4" i="33"/>
  <c r="EG22" i="2" l="1"/>
  <c r="EG23" i="2" l="1"/>
  <c r="AR10" i="48"/>
  <c r="AR11" i="48"/>
  <c r="AR12" i="48"/>
  <c r="AR13" i="48"/>
  <c r="AR14" i="48"/>
  <c r="AR15" i="48"/>
  <c r="AR16" i="48"/>
  <c r="AR17" i="48"/>
  <c r="AR18" i="48"/>
  <c r="AR19" i="48"/>
  <c r="AR20" i="48"/>
  <c r="AR21" i="48"/>
  <c r="AR22" i="48"/>
  <c r="AR23" i="48"/>
  <c r="AR24" i="48"/>
  <c r="AR25" i="48"/>
  <c r="AR26" i="48"/>
  <c r="AR27" i="48"/>
  <c r="AR28" i="48"/>
  <c r="AR29" i="48"/>
  <c r="AR30" i="48"/>
  <c r="AR31" i="48"/>
  <c r="AR32" i="48"/>
  <c r="AR33" i="48"/>
  <c r="AR34" i="48"/>
  <c r="AR35" i="48"/>
  <c r="AR36" i="48"/>
  <c r="AR37" i="48"/>
  <c r="AR38" i="48"/>
  <c r="AR39" i="48"/>
  <c r="AR9" i="48"/>
  <c r="EG24" i="2" l="1"/>
  <c r="BF136" i="55"/>
  <c r="BE136" i="55"/>
  <c r="BD136" i="55"/>
  <c r="BF136" i="46"/>
  <c r="BE136" i="46"/>
  <c r="BD136" i="46"/>
  <c r="EG25" i="2" l="1"/>
  <c r="A10" i="1"/>
  <c r="A6" i="46"/>
  <c r="B1" i="47"/>
  <c r="A8" i="45"/>
  <c r="EG26" i="2" l="1"/>
  <c r="F32" i="27"/>
  <c r="E32" i="27"/>
  <c r="D32" i="27"/>
  <c r="C32" i="27"/>
  <c r="F23" i="27"/>
  <c r="E23" i="27"/>
  <c r="D23" i="27"/>
  <c r="D34" i="27" s="1"/>
  <c r="C23" i="27"/>
  <c r="F14" i="27"/>
  <c r="E14" i="27"/>
  <c r="D14" i="27"/>
  <c r="C14" i="27"/>
  <c r="F32" i="29"/>
  <c r="E32" i="29"/>
  <c r="D32" i="29"/>
  <c r="C32" i="29"/>
  <c r="F23" i="29"/>
  <c r="E23" i="29"/>
  <c r="D23" i="29"/>
  <c r="C23" i="29"/>
  <c r="C24" i="29" s="1"/>
  <c r="F14" i="29"/>
  <c r="E14" i="29"/>
  <c r="E34" i="29" s="1"/>
  <c r="D14" i="29"/>
  <c r="C14" i="29"/>
  <c r="F32" i="30"/>
  <c r="E32" i="30"/>
  <c r="D32" i="30"/>
  <c r="C32" i="30"/>
  <c r="C33" i="30" s="1"/>
  <c r="F23" i="30"/>
  <c r="E23" i="30"/>
  <c r="D23" i="30"/>
  <c r="C23" i="30"/>
  <c r="F14" i="30"/>
  <c r="E14" i="30"/>
  <c r="D14" i="30"/>
  <c r="C14" i="30"/>
  <c r="F32" i="31"/>
  <c r="E32" i="31"/>
  <c r="D32" i="31"/>
  <c r="C32" i="31"/>
  <c r="F23" i="31"/>
  <c r="E23" i="31"/>
  <c r="D23" i="31"/>
  <c r="C23" i="31"/>
  <c r="F14" i="31"/>
  <c r="E14" i="31"/>
  <c r="D14" i="31"/>
  <c r="C14" i="31"/>
  <c r="D34" i="31" l="1"/>
  <c r="E34" i="31"/>
  <c r="D34" i="29"/>
  <c r="F34" i="27"/>
  <c r="C15" i="27"/>
  <c r="D15" i="27"/>
  <c r="E24" i="27"/>
  <c r="E15" i="27"/>
  <c r="E34" i="27"/>
  <c r="C33" i="29"/>
  <c r="D33" i="29"/>
  <c r="C24" i="27"/>
  <c r="E33" i="30"/>
  <c r="C34" i="30"/>
  <c r="C15" i="30"/>
  <c r="E15" i="30"/>
  <c r="C24" i="30"/>
  <c r="D24" i="30"/>
  <c r="E24" i="30"/>
  <c r="D15" i="30"/>
  <c r="D33" i="31"/>
  <c r="EG27" i="2"/>
  <c r="C33" i="31"/>
  <c r="F34" i="30"/>
  <c r="D34" i="30"/>
  <c r="E33" i="27"/>
  <c r="D33" i="30"/>
  <c r="D24" i="27"/>
  <c r="F34" i="31"/>
  <c r="C24" i="31"/>
  <c r="F34" i="29"/>
  <c r="C33" i="27"/>
  <c r="C34" i="29"/>
  <c r="C15" i="29"/>
  <c r="D33" i="27"/>
  <c r="C34" i="27"/>
  <c r="D24" i="29"/>
  <c r="E33" i="29"/>
  <c r="D15" i="29"/>
  <c r="E24" i="29"/>
  <c r="E15" i="29"/>
  <c r="E34" i="30"/>
  <c r="C15" i="31"/>
  <c r="D24" i="31"/>
  <c r="E33" i="31"/>
  <c r="D15" i="31"/>
  <c r="E24" i="31"/>
  <c r="C34" i="31"/>
  <c r="E15" i="31"/>
  <c r="C35" i="29" l="1"/>
  <c r="K8" i="29"/>
  <c r="W25" i="55" s="1"/>
  <c r="X25" i="55" s="1"/>
  <c r="C35" i="31"/>
  <c r="K7" i="31"/>
  <c r="W14" i="55" s="1"/>
  <c r="X14" i="55" s="1"/>
  <c r="C35" i="27"/>
  <c r="E35" i="29"/>
  <c r="E35" i="30"/>
  <c r="EG28" i="2"/>
  <c r="C35" i="30"/>
  <c r="D35" i="29"/>
  <c r="E35" i="27"/>
  <c r="D35" i="27"/>
  <c r="D35" i="30"/>
  <c r="D35" i="31"/>
  <c r="E35" i="31"/>
  <c r="AA25" i="55" l="1"/>
  <c r="AB25" i="55" s="1"/>
  <c r="W25" i="46"/>
  <c r="W14" i="46"/>
  <c r="EG29" i="2"/>
  <c r="AA25" i="46" l="1"/>
  <c r="AB25" i="46" s="1"/>
  <c r="X25" i="46"/>
  <c r="X14" i="46"/>
  <c r="EG30" i="2"/>
  <c r="F42" i="29"/>
  <c r="G42" i="29"/>
  <c r="I37" i="29" s="1"/>
  <c r="EG31" i="2" l="1"/>
  <c r="EG32" i="2" l="1"/>
  <c r="EG33" i="2" l="1"/>
  <c r="EG34" i="2" l="1"/>
  <c r="EG35" i="2" l="1"/>
  <c r="G42" i="32"/>
  <c r="I37" i="32" s="1"/>
  <c r="F42" i="32"/>
  <c r="EG36" i="2" l="1"/>
  <c r="C52" i="30"/>
  <c r="C51" i="30"/>
  <c r="C50" i="30"/>
  <c r="C49" i="30"/>
  <c r="C48" i="30"/>
  <c r="C47" i="30"/>
  <c r="C46" i="30"/>
  <c r="C45" i="30"/>
  <c r="C44" i="30"/>
  <c r="I43" i="30"/>
  <c r="C43" i="30"/>
  <c r="C42" i="30"/>
  <c r="C41" i="30"/>
  <c r="C40" i="30"/>
  <c r="C39" i="30"/>
  <c r="C38" i="30"/>
  <c r="L34" i="30"/>
  <c r="K34" i="30"/>
  <c r="H4" i="30"/>
  <c r="EG37" i="2" l="1"/>
  <c r="I40" i="30"/>
  <c r="I45" i="30" s="1"/>
  <c r="C53" i="30"/>
  <c r="C54" i="30" s="1"/>
  <c r="I44" i="30"/>
  <c r="EG38" i="2" l="1"/>
  <c r="G4" i="47"/>
  <c r="H4" i="47" s="1"/>
  <c r="O6" i="55" s="1"/>
  <c r="C6" i="55" l="1"/>
  <c r="K6" i="55"/>
  <c r="AC6" i="55" s="1"/>
  <c r="T6" i="55"/>
  <c r="V6" i="55"/>
  <c r="U6" i="55"/>
  <c r="P6" i="55"/>
  <c r="EG39" i="2"/>
  <c r="O6" i="46"/>
  <c r="EG40" i="2" l="1"/>
  <c r="EH40" i="2" s="1"/>
  <c r="BE9" i="48"/>
  <c r="N6" i="46"/>
  <c r="H6" i="46" s="1"/>
  <c r="J6" i="46" s="1"/>
  <c r="G42" i="33" l="1"/>
  <c r="I37" i="33" s="1"/>
  <c r="F42" i="33"/>
  <c r="M39" i="54" l="1"/>
  <c r="D39" i="54"/>
  <c r="M38" i="54"/>
  <c r="D38" i="54"/>
  <c r="M37" i="54"/>
  <c r="D37" i="54"/>
  <c r="M36" i="54"/>
  <c r="D36" i="54"/>
  <c r="M35" i="54"/>
  <c r="D35" i="54"/>
  <c r="M34" i="54"/>
  <c r="D34" i="54"/>
  <c r="M33" i="54"/>
  <c r="D33" i="54"/>
  <c r="M32" i="54"/>
  <c r="D32" i="54"/>
  <c r="M31" i="54"/>
  <c r="D31" i="54"/>
  <c r="M30" i="54"/>
  <c r="D30" i="54"/>
  <c r="M29" i="54"/>
  <c r="D29" i="54"/>
  <c r="M28" i="54"/>
  <c r="D28" i="54"/>
  <c r="M27" i="54"/>
  <c r="D27" i="54"/>
  <c r="M26" i="54"/>
  <c r="D26" i="54"/>
  <c r="M25" i="54"/>
  <c r="D25" i="54"/>
  <c r="M24" i="54"/>
  <c r="D24" i="54"/>
  <c r="M23" i="54"/>
  <c r="D23" i="54"/>
  <c r="M22" i="54"/>
  <c r="D22" i="54"/>
  <c r="M21" i="54"/>
  <c r="D21" i="54"/>
  <c r="M20" i="54"/>
  <c r="D20" i="54"/>
  <c r="M19" i="54"/>
  <c r="D19" i="54"/>
  <c r="M18" i="54"/>
  <c r="D18" i="54"/>
  <c r="M17" i="54"/>
  <c r="D17" i="54"/>
  <c r="M16" i="54"/>
  <c r="D16" i="54"/>
  <c r="M11" i="54"/>
  <c r="D11" i="54"/>
  <c r="M10" i="54"/>
  <c r="D10" i="54"/>
  <c r="M9" i="54"/>
  <c r="D9" i="54"/>
  <c r="M8" i="54"/>
  <c r="D8" i="54"/>
  <c r="M7" i="54"/>
  <c r="D7" i="54"/>
  <c r="M6" i="54"/>
  <c r="D6" i="54"/>
  <c r="M5" i="54"/>
  <c r="D5" i="54"/>
  <c r="M4" i="54"/>
  <c r="D4" i="54"/>
  <c r="E3" i="54"/>
  <c r="F3" i="54" s="1"/>
  <c r="G3" i="54" s="1"/>
  <c r="H3" i="54" s="1"/>
  <c r="M3" i="54" s="1"/>
  <c r="N3" i="54" s="1"/>
  <c r="O3" i="54" s="1"/>
  <c r="P3" i="54" s="1"/>
  <c r="Q3" i="54" s="1"/>
  <c r="D40" i="54" l="1"/>
  <c r="M40" i="54"/>
  <c r="F32" i="4" l="1"/>
  <c r="E32" i="4"/>
  <c r="D32" i="4"/>
  <c r="C32" i="4"/>
  <c r="F23" i="4"/>
  <c r="E23" i="4"/>
  <c r="D23" i="4"/>
  <c r="C23" i="4"/>
  <c r="F14" i="4"/>
  <c r="E14" i="4"/>
  <c r="D14" i="4"/>
  <c r="C14" i="4"/>
  <c r="F32" i="37"/>
  <c r="E32" i="37"/>
  <c r="D32" i="37"/>
  <c r="C32" i="37"/>
  <c r="F23" i="37"/>
  <c r="E23" i="37"/>
  <c r="D23" i="37"/>
  <c r="C23" i="37"/>
  <c r="F14" i="37"/>
  <c r="E14" i="37"/>
  <c r="D14" i="37"/>
  <c r="D34" i="37" s="1"/>
  <c r="C14" i="37"/>
  <c r="F32" i="6"/>
  <c r="E32" i="6"/>
  <c r="D32" i="6"/>
  <c r="C32" i="6"/>
  <c r="F23" i="6"/>
  <c r="E23" i="6"/>
  <c r="D23" i="6"/>
  <c r="C23" i="6"/>
  <c r="F14" i="6"/>
  <c r="E14" i="6"/>
  <c r="D14" i="6"/>
  <c r="C14" i="6"/>
  <c r="F32" i="7"/>
  <c r="E32" i="7"/>
  <c r="D32" i="7"/>
  <c r="C32" i="7"/>
  <c r="F23" i="7"/>
  <c r="E23" i="7"/>
  <c r="D23" i="7"/>
  <c r="C23" i="7"/>
  <c r="F14" i="7"/>
  <c r="E14" i="7"/>
  <c r="E34" i="7" s="1"/>
  <c r="D14" i="7"/>
  <c r="C14" i="7"/>
  <c r="F32" i="8"/>
  <c r="E32" i="8"/>
  <c r="D32" i="8"/>
  <c r="C32" i="8"/>
  <c r="F23" i="8"/>
  <c r="E23" i="8"/>
  <c r="D23" i="8"/>
  <c r="C23" i="8"/>
  <c r="F14" i="8"/>
  <c r="E14" i="8"/>
  <c r="D14" i="8"/>
  <c r="C14" i="8"/>
  <c r="F32" i="9"/>
  <c r="E32" i="9"/>
  <c r="D32" i="9"/>
  <c r="C32" i="9"/>
  <c r="F23" i="9"/>
  <c r="E23" i="9"/>
  <c r="D23" i="9"/>
  <c r="C23" i="9"/>
  <c r="F14" i="9"/>
  <c r="E14" i="9"/>
  <c r="E34" i="9" s="1"/>
  <c r="D14" i="9"/>
  <c r="D34" i="9" s="1"/>
  <c r="C14" i="9"/>
  <c r="F32" i="10"/>
  <c r="E32" i="10"/>
  <c r="D32" i="10"/>
  <c r="C32" i="10"/>
  <c r="C33" i="10" s="1"/>
  <c r="F23" i="10"/>
  <c r="E23" i="10"/>
  <c r="D23" i="10"/>
  <c r="C23" i="10"/>
  <c r="F14" i="10"/>
  <c r="E14" i="10"/>
  <c r="D14" i="10"/>
  <c r="C14" i="10"/>
  <c r="F32" i="11"/>
  <c r="E32" i="11"/>
  <c r="D32" i="11"/>
  <c r="C32" i="11"/>
  <c r="F23" i="11"/>
  <c r="E23" i="11"/>
  <c r="D23" i="11"/>
  <c r="C23" i="11"/>
  <c r="C24" i="11" s="1"/>
  <c r="F14" i="11"/>
  <c r="E14" i="11"/>
  <c r="D14" i="11"/>
  <c r="C14" i="11"/>
  <c r="F32" i="12"/>
  <c r="E32" i="12"/>
  <c r="D32" i="12"/>
  <c r="C32" i="12"/>
  <c r="F23" i="12"/>
  <c r="E23" i="12"/>
  <c r="D23" i="12"/>
  <c r="F14" i="12"/>
  <c r="E14" i="12"/>
  <c r="D14" i="12"/>
  <c r="C34" i="13"/>
  <c r="K11" i="13" s="1"/>
  <c r="W92" i="55" s="1"/>
  <c r="X92" i="55" s="1"/>
  <c r="F32" i="14"/>
  <c r="E32" i="14"/>
  <c r="D32" i="14"/>
  <c r="C32" i="14"/>
  <c r="F23" i="14"/>
  <c r="E23" i="14"/>
  <c r="D23" i="14"/>
  <c r="C23" i="14"/>
  <c r="F14" i="14"/>
  <c r="E14" i="14"/>
  <c r="D14" i="14"/>
  <c r="C14" i="14"/>
  <c r="F32" i="15"/>
  <c r="E32" i="15"/>
  <c r="D32" i="15"/>
  <c r="C32" i="15"/>
  <c r="F23" i="15"/>
  <c r="E23" i="15"/>
  <c r="D23" i="15"/>
  <c r="C23" i="15"/>
  <c r="F14" i="15"/>
  <c r="E14" i="15"/>
  <c r="D14" i="15"/>
  <c r="C14" i="15"/>
  <c r="F32" i="16"/>
  <c r="E32" i="16"/>
  <c r="D32" i="16"/>
  <c r="C32" i="16"/>
  <c r="F23" i="16"/>
  <c r="E23" i="16"/>
  <c r="D23" i="16"/>
  <c r="C23" i="16"/>
  <c r="F14" i="16"/>
  <c r="E14" i="16"/>
  <c r="D14" i="16"/>
  <c r="C14" i="16"/>
  <c r="F32" i="17"/>
  <c r="E32" i="17"/>
  <c r="D32" i="17"/>
  <c r="C32" i="17"/>
  <c r="F23" i="17"/>
  <c r="E23" i="17"/>
  <c r="D23" i="17"/>
  <c r="C23" i="17"/>
  <c r="F14" i="17"/>
  <c r="E14" i="17"/>
  <c r="D14" i="17"/>
  <c r="C14" i="17"/>
  <c r="F32" i="18"/>
  <c r="E32" i="18"/>
  <c r="D32" i="18"/>
  <c r="C32" i="18"/>
  <c r="F23" i="18"/>
  <c r="E23" i="18"/>
  <c r="D23" i="18"/>
  <c r="C23" i="18"/>
  <c r="F14" i="18"/>
  <c r="E14" i="18"/>
  <c r="D14" i="18"/>
  <c r="C14" i="18"/>
  <c r="F32" i="19"/>
  <c r="E32" i="19"/>
  <c r="D32" i="19"/>
  <c r="C32" i="19"/>
  <c r="F23" i="19"/>
  <c r="E23" i="19"/>
  <c r="D23" i="19"/>
  <c r="C23" i="19"/>
  <c r="F14" i="19"/>
  <c r="E14" i="19"/>
  <c r="D14" i="19"/>
  <c r="C14" i="19"/>
  <c r="F32" i="20"/>
  <c r="E32" i="20"/>
  <c r="D32" i="20"/>
  <c r="C32" i="20"/>
  <c r="F23" i="20"/>
  <c r="E23" i="20"/>
  <c r="D23" i="20"/>
  <c r="C23" i="20"/>
  <c r="F14" i="20"/>
  <c r="E14" i="20"/>
  <c r="D14" i="20"/>
  <c r="C14" i="20"/>
  <c r="F32" i="22"/>
  <c r="E32" i="22"/>
  <c r="D32" i="22"/>
  <c r="C32" i="22"/>
  <c r="F23" i="22"/>
  <c r="E23" i="22"/>
  <c r="D23" i="22"/>
  <c r="C23" i="22"/>
  <c r="F14" i="22"/>
  <c r="E14" i="22"/>
  <c r="E34" i="22" s="1"/>
  <c r="D14" i="22"/>
  <c r="C14" i="22"/>
  <c r="F32" i="21"/>
  <c r="E32" i="21"/>
  <c r="D32" i="21"/>
  <c r="C32" i="21"/>
  <c r="C33" i="21" s="1"/>
  <c r="F23" i="21"/>
  <c r="E23" i="21"/>
  <c r="D23" i="21"/>
  <c r="C23" i="21"/>
  <c r="F14" i="21"/>
  <c r="E14" i="21"/>
  <c r="D14" i="21"/>
  <c r="C14" i="21"/>
  <c r="F32" i="23"/>
  <c r="E32" i="23"/>
  <c r="D32" i="23"/>
  <c r="C32" i="23"/>
  <c r="F23" i="23"/>
  <c r="E23" i="23"/>
  <c r="D23" i="23"/>
  <c r="C23" i="23"/>
  <c r="F14" i="23"/>
  <c r="E14" i="23"/>
  <c r="D14" i="23"/>
  <c r="C14" i="23"/>
  <c r="F32" i="24"/>
  <c r="E32" i="24"/>
  <c r="D32" i="24"/>
  <c r="C32" i="24"/>
  <c r="F23" i="24"/>
  <c r="E23" i="24"/>
  <c r="D23" i="24"/>
  <c r="C23" i="24"/>
  <c r="F14" i="24"/>
  <c r="E14" i="24"/>
  <c r="D14" i="24"/>
  <c r="C14" i="24"/>
  <c r="F32" i="25"/>
  <c r="E32" i="25"/>
  <c r="D32" i="25"/>
  <c r="C32" i="25"/>
  <c r="F23" i="25"/>
  <c r="E23" i="25"/>
  <c r="D23" i="25"/>
  <c r="C23" i="25"/>
  <c r="F14" i="25"/>
  <c r="E14" i="25"/>
  <c r="E34" i="25" s="1"/>
  <c r="D14" i="25"/>
  <c r="C14" i="25"/>
  <c r="F32" i="26"/>
  <c r="E32" i="26"/>
  <c r="D32" i="26"/>
  <c r="C32" i="26"/>
  <c r="F23" i="26"/>
  <c r="E23" i="26"/>
  <c r="D23" i="26"/>
  <c r="C23" i="26"/>
  <c r="F14" i="26"/>
  <c r="E14" i="26"/>
  <c r="D14" i="26"/>
  <c r="C14" i="26"/>
  <c r="F32" i="28"/>
  <c r="E32" i="28"/>
  <c r="D32" i="28"/>
  <c r="C32" i="28"/>
  <c r="F23" i="28"/>
  <c r="E23" i="28"/>
  <c r="D23" i="28"/>
  <c r="C23" i="28"/>
  <c r="F14" i="28"/>
  <c r="E14" i="28"/>
  <c r="D14" i="28"/>
  <c r="C14" i="28"/>
  <c r="J8" i="31"/>
  <c r="F32" i="32"/>
  <c r="E32" i="32"/>
  <c r="D32" i="32"/>
  <c r="C32" i="32"/>
  <c r="F23" i="32"/>
  <c r="E23" i="32"/>
  <c r="D23" i="32"/>
  <c r="C23" i="32"/>
  <c r="F14" i="32"/>
  <c r="E14" i="32"/>
  <c r="D14" i="32"/>
  <c r="C14" i="32"/>
  <c r="E34" i="19" l="1"/>
  <c r="E33" i="26"/>
  <c r="C33" i="14"/>
  <c r="C33" i="24"/>
  <c r="AA92" i="55"/>
  <c r="AB92" i="55" s="1"/>
  <c r="C33" i="4"/>
  <c r="W92" i="46"/>
  <c r="E15" i="37"/>
  <c r="F34" i="37"/>
  <c r="C34" i="9"/>
  <c r="K10" i="9" s="1"/>
  <c r="W108" i="55" s="1"/>
  <c r="X108" i="55" s="1"/>
  <c r="F34" i="9"/>
  <c r="D24" i="11"/>
  <c r="F34" i="11"/>
  <c r="C15" i="12"/>
  <c r="C24" i="12"/>
  <c r="C15" i="19"/>
  <c r="D34" i="22"/>
  <c r="D15" i="19"/>
  <c r="D34" i="15"/>
  <c r="E34" i="15"/>
  <c r="E33" i="16"/>
  <c r="D34" i="17"/>
  <c r="F34" i="17"/>
  <c r="E33" i="18"/>
  <c r="E24" i="19"/>
  <c r="D33" i="20"/>
  <c r="F34" i="19"/>
  <c r="C34" i="22"/>
  <c r="D33" i="21"/>
  <c r="C15" i="23"/>
  <c r="D15" i="23"/>
  <c r="E15" i="23"/>
  <c r="F34" i="23"/>
  <c r="C34" i="15"/>
  <c r="E34" i="11"/>
  <c r="E33" i="24"/>
  <c r="D33" i="24"/>
  <c r="D24" i="19"/>
  <c r="D24" i="15"/>
  <c r="C34" i="25"/>
  <c r="E15" i="28"/>
  <c r="D24" i="28"/>
  <c r="C15" i="28"/>
  <c r="D33" i="26"/>
  <c r="D24" i="25"/>
  <c r="E34" i="26"/>
  <c r="E34" i="21"/>
  <c r="E34" i="20"/>
  <c r="E34" i="18"/>
  <c r="E34" i="14"/>
  <c r="E34" i="12"/>
  <c r="F34" i="15"/>
  <c r="F34" i="24"/>
  <c r="F34" i="21"/>
  <c r="F34" i="20"/>
  <c r="F34" i="18"/>
  <c r="F34" i="12"/>
  <c r="D33" i="17"/>
  <c r="D24" i="14"/>
  <c r="D33" i="11"/>
  <c r="D24" i="10"/>
  <c r="C24" i="19"/>
  <c r="C34" i="18"/>
  <c r="K10" i="18" s="1"/>
  <c r="W72" i="55" s="1"/>
  <c r="X72" i="55" s="1"/>
  <c r="C34" i="12"/>
  <c r="D33" i="8"/>
  <c r="E24" i="23"/>
  <c r="E33" i="8"/>
  <c r="E33" i="28"/>
  <c r="E24" i="26"/>
  <c r="E33" i="25"/>
  <c r="E33" i="19"/>
  <c r="E33" i="15"/>
  <c r="E24" i="14"/>
  <c r="E33" i="13"/>
  <c r="E33" i="11"/>
  <c r="E24" i="10"/>
  <c r="D33" i="9"/>
  <c r="D24" i="6"/>
  <c r="D33" i="37"/>
  <c r="E33" i="9"/>
  <c r="C15" i="26"/>
  <c r="C15" i="24"/>
  <c r="C24" i="23"/>
  <c r="C15" i="20"/>
  <c r="C24" i="17"/>
  <c r="C15" i="14"/>
  <c r="C15" i="10"/>
  <c r="D34" i="26"/>
  <c r="D24" i="23"/>
  <c r="D34" i="20"/>
  <c r="D34" i="16"/>
  <c r="D15" i="14"/>
  <c r="D34" i="12"/>
  <c r="D34" i="10"/>
  <c r="C15" i="6"/>
  <c r="E15" i="16"/>
  <c r="E34" i="10"/>
  <c r="F34" i="10"/>
  <c r="E34" i="8"/>
  <c r="C33" i="28"/>
  <c r="C33" i="22"/>
  <c r="C24" i="20"/>
  <c r="C33" i="19"/>
  <c r="C24" i="18"/>
  <c r="C33" i="17"/>
  <c r="C33" i="15"/>
  <c r="C33" i="13"/>
  <c r="C24" i="10"/>
  <c r="D15" i="32"/>
  <c r="E34" i="24"/>
  <c r="F34" i="13"/>
  <c r="D15" i="15"/>
  <c r="D15" i="10"/>
  <c r="E15" i="15"/>
  <c r="E15" i="6"/>
  <c r="C34" i="4"/>
  <c r="E15" i="26"/>
  <c r="F34" i="6"/>
  <c r="D33" i="6"/>
  <c r="D34" i="4"/>
  <c r="D33" i="4"/>
  <c r="E24" i="15"/>
  <c r="E24" i="37"/>
  <c r="E34" i="4"/>
  <c r="E33" i="4"/>
  <c r="D15" i="26"/>
  <c r="D24" i="8"/>
  <c r="C24" i="6"/>
  <c r="E34" i="37"/>
  <c r="C33" i="32"/>
  <c r="E34" i="28"/>
  <c r="C24" i="26"/>
  <c r="C24" i="21"/>
  <c r="E33" i="20"/>
  <c r="D33" i="19"/>
  <c r="C33" i="16"/>
  <c r="C15" i="15"/>
  <c r="D34" i="14"/>
  <c r="C15" i="11"/>
  <c r="C24" i="8"/>
  <c r="C33" i="7"/>
  <c r="C33" i="6"/>
  <c r="D24" i="24"/>
  <c r="C34" i="23"/>
  <c r="E15" i="17"/>
  <c r="E33" i="12"/>
  <c r="E24" i="25"/>
  <c r="D34" i="23"/>
  <c r="D33" i="22"/>
  <c r="D33" i="15"/>
  <c r="F34" i="14"/>
  <c r="E15" i="10"/>
  <c r="D33" i="10"/>
  <c r="C24" i="9"/>
  <c r="E24" i="8"/>
  <c r="E34" i="6"/>
  <c r="C15" i="37"/>
  <c r="C33" i="37"/>
  <c r="F34" i="28"/>
  <c r="F34" i="25"/>
  <c r="E34" i="23"/>
  <c r="D24" i="20"/>
  <c r="E24" i="18"/>
  <c r="F34" i="16"/>
  <c r="C24" i="15"/>
  <c r="D34" i="13"/>
  <c r="F34" i="8"/>
  <c r="F34" i="7"/>
  <c r="D15" i="37"/>
  <c r="F34" i="4"/>
  <c r="D34" i="7"/>
  <c r="D34" i="32"/>
  <c r="D33" i="28"/>
  <c r="F34" i="26"/>
  <c r="D24" i="26"/>
  <c r="F34" i="22"/>
  <c r="E24" i="20"/>
  <c r="C34" i="16"/>
  <c r="E34" i="13"/>
  <c r="D24" i="12"/>
  <c r="E15" i="9"/>
  <c r="C34" i="8"/>
  <c r="E15" i="7"/>
  <c r="D34" i="6"/>
  <c r="E33" i="6"/>
  <c r="D34" i="25"/>
  <c r="C24" i="24"/>
  <c r="C33" i="23"/>
  <c r="E15" i="22"/>
  <c r="C33" i="18"/>
  <c r="E34" i="17"/>
  <c r="E15" i="14"/>
  <c r="D33" i="14"/>
  <c r="E24" i="12"/>
  <c r="D34" i="8"/>
  <c r="C34" i="6"/>
  <c r="C24" i="37"/>
  <c r="C34" i="17"/>
  <c r="E34" i="32"/>
  <c r="C24" i="28"/>
  <c r="C33" i="26"/>
  <c r="D33" i="23"/>
  <c r="D15" i="18"/>
  <c r="D33" i="18"/>
  <c r="E34" i="16"/>
  <c r="C24" i="14"/>
  <c r="C33" i="11"/>
  <c r="C33" i="9"/>
  <c r="E24" i="4"/>
  <c r="D33" i="32"/>
  <c r="C34" i="32"/>
  <c r="K7" i="32" s="1"/>
  <c r="W10" i="55" s="1"/>
  <c r="X10" i="55" s="1"/>
  <c r="C24" i="32"/>
  <c r="E24" i="32"/>
  <c r="C15" i="32"/>
  <c r="E15" i="32"/>
  <c r="D24" i="32"/>
  <c r="F34" i="32"/>
  <c r="C24" i="4"/>
  <c r="C15" i="4"/>
  <c r="D24" i="4"/>
  <c r="D15" i="4"/>
  <c r="E15" i="4"/>
  <c r="D24" i="37"/>
  <c r="E33" i="37"/>
  <c r="C34" i="37"/>
  <c r="D15" i="6"/>
  <c r="E24" i="6"/>
  <c r="C15" i="7"/>
  <c r="D24" i="7"/>
  <c r="E33" i="7"/>
  <c r="D33" i="7"/>
  <c r="D15" i="7"/>
  <c r="E24" i="7"/>
  <c r="C34" i="7"/>
  <c r="C24" i="7"/>
  <c r="C33" i="8"/>
  <c r="C15" i="8"/>
  <c r="D15" i="8"/>
  <c r="E15" i="8"/>
  <c r="C35" i="9"/>
  <c r="C15" i="9"/>
  <c r="D24" i="9"/>
  <c r="D15" i="9"/>
  <c r="E24" i="9"/>
  <c r="E33" i="10"/>
  <c r="C34" i="10"/>
  <c r="K10" i="10" s="1"/>
  <c r="W104" i="55" s="1"/>
  <c r="X104" i="55" s="1"/>
  <c r="D15" i="11"/>
  <c r="E24" i="11"/>
  <c r="C34" i="11"/>
  <c r="E15" i="11"/>
  <c r="D34" i="11"/>
  <c r="C33" i="12"/>
  <c r="D33" i="12"/>
  <c r="D15" i="12"/>
  <c r="E15" i="12"/>
  <c r="D33" i="13"/>
  <c r="E33" i="14"/>
  <c r="C34" i="14"/>
  <c r="K11" i="14" s="1"/>
  <c r="W88" i="55" s="1"/>
  <c r="X88" i="55" s="1"/>
  <c r="C24" i="16"/>
  <c r="D33" i="16"/>
  <c r="C15" i="16"/>
  <c r="D24" i="16"/>
  <c r="D15" i="16"/>
  <c r="E24" i="16"/>
  <c r="C15" i="17"/>
  <c r="D24" i="17"/>
  <c r="E33" i="17"/>
  <c r="D15" i="17"/>
  <c r="E24" i="17"/>
  <c r="C15" i="18"/>
  <c r="D24" i="18"/>
  <c r="E15" i="18"/>
  <c r="D34" i="18"/>
  <c r="C34" i="19"/>
  <c r="K10" i="19" s="1"/>
  <c r="W68" i="55" s="1"/>
  <c r="X68" i="55" s="1"/>
  <c r="E15" i="19"/>
  <c r="D34" i="19"/>
  <c r="C33" i="20"/>
  <c r="D15" i="20"/>
  <c r="C34" i="20"/>
  <c r="K10" i="20" s="1"/>
  <c r="W64" i="55" s="1"/>
  <c r="X64" i="55" s="1"/>
  <c r="E15" i="20"/>
  <c r="C15" i="22"/>
  <c r="D24" i="22"/>
  <c r="E33" i="22"/>
  <c r="D15" i="22"/>
  <c r="E24" i="22"/>
  <c r="C24" i="22"/>
  <c r="C15" i="21"/>
  <c r="D24" i="21"/>
  <c r="E33" i="21"/>
  <c r="D15" i="21"/>
  <c r="E24" i="21"/>
  <c r="C34" i="21"/>
  <c r="E15" i="21"/>
  <c r="D34" i="21"/>
  <c r="E33" i="23"/>
  <c r="D15" i="24"/>
  <c r="E24" i="24"/>
  <c r="C34" i="24"/>
  <c r="K8" i="24" s="1"/>
  <c r="W48" i="55" s="1"/>
  <c r="X48" i="55" s="1"/>
  <c r="E15" i="24"/>
  <c r="D34" i="24"/>
  <c r="C33" i="25"/>
  <c r="C24" i="25"/>
  <c r="D33" i="25"/>
  <c r="C15" i="25"/>
  <c r="D15" i="25"/>
  <c r="E15" i="25"/>
  <c r="C34" i="26"/>
  <c r="K7" i="26" s="1"/>
  <c r="W40" i="55" s="1"/>
  <c r="X40" i="55" s="1"/>
  <c r="D15" i="28"/>
  <c r="E24" i="28"/>
  <c r="C34" i="28"/>
  <c r="K7" i="28" s="1"/>
  <c r="W34" i="55" s="1"/>
  <c r="X34" i="55" s="1"/>
  <c r="D34" i="28"/>
  <c r="E33" i="32"/>
  <c r="Z116" i="55" l="1"/>
  <c r="Z116" i="46"/>
  <c r="AA64" i="55"/>
  <c r="AB64" i="55" s="1"/>
  <c r="E35" i="9"/>
  <c r="D35" i="9"/>
  <c r="AA34" i="55"/>
  <c r="AB34" i="55" s="1"/>
  <c r="AA104" i="55"/>
  <c r="AB104" i="55" s="1"/>
  <c r="AA72" i="55"/>
  <c r="AB72" i="55" s="1"/>
  <c r="AA40" i="55"/>
  <c r="AB40" i="55" s="1"/>
  <c r="AA48" i="55"/>
  <c r="AB48" i="55" s="1"/>
  <c r="AA68" i="55"/>
  <c r="AB68" i="55" s="1"/>
  <c r="C35" i="22"/>
  <c r="AA108" i="55"/>
  <c r="AB108" i="55" s="1"/>
  <c r="AA88" i="55"/>
  <c r="AB88" i="55" s="1"/>
  <c r="D35" i="15"/>
  <c r="W88" i="46"/>
  <c r="W108" i="46"/>
  <c r="W104" i="46"/>
  <c r="AA92" i="46"/>
  <c r="AB92" i="46" s="1"/>
  <c r="X92" i="46"/>
  <c r="C35" i="7"/>
  <c r="C35" i="15"/>
  <c r="K11" i="15"/>
  <c r="D35" i="22"/>
  <c r="E35" i="22"/>
  <c r="E35" i="15"/>
  <c r="W72" i="46"/>
  <c r="W64" i="46"/>
  <c r="W68" i="46"/>
  <c r="C35" i="10"/>
  <c r="C35" i="16"/>
  <c r="W48" i="46"/>
  <c r="D35" i="17"/>
  <c r="W40" i="46"/>
  <c r="W34" i="46"/>
  <c r="D35" i="18"/>
  <c r="D35" i="24"/>
  <c r="W10" i="46"/>
  <c r="E35" i="17"/>
  <c r="C35" i="26"/>
  <c r="D35" i="16"/>
  <c r="C35" i="17"/>
  <c r="D35" i="23"/>
  <c r="C35" i="37"/>
  <c r="D35" i="19"/>
  <c r="D35" i="6"/>
  <c r="E35" i="32"/>
  <c r="E35" i="16"/>
  <c r="C35" i="32"/>
  <c r="E35" i="6"/>
  <c r="C35" i="28"/>
  <c r="D35" i="11"/>
  <c r="D35" i="21"/>
  <c r="C35" i="23"/>
  <c r="D35" i="32"/>
  <c r="C35" i="14"/>
  <c r="C35" i="6"/>
  <c r="C35" i="24"/>
  <c r="E35" i="23"/>
  <c r="D35" i="28"/>
  <c r="E35" i="37"/>
  <c r="D35" i="37"/>
  <c r="D35" i="7"/>
  <c r="E35" i="7"/>
  <c r="D35" i="10"/>
  <c r="E35" i="10"/>
  <c r="C35" i="11"/>
  <c r="E35" i="11"/>
  <c r="E35" i="14"/>
  <c r="D35" i="14"/>
  <c r="C35" i="18"/>
  <c r="E35" i="18"/>
  <c r="C35" i="19"/>
  <c r="E35" i="19"/>
  <c r="E35" i="21"/>
  <c r="C35" i="21"/>
  <c r="E35" i="24"/>
  <c r="D35" i="26"/>
  <c r="E35" i="26"/>
  <c r="E35" i="28"/>
  <c r="AA108" i="46" l="1"/>
  <c r="AB108" i="46" s="1"/>
  <c r="X108" i="46"/>
  <c r="AA88" i="46"/>
  <c r="AB88" i="46" s="1"/>
  <c r="X88" i="46"/>
  <c r="AA104" i="46"/>
  <c r="AB104" i="46" s="1"/>
  <c r="X104" i="46"/>
  <c r="AA68" i="46"/>
  <c r="AB68" i="46" s="1"/>
  <c r="X68" i="46"/>
  <c r="AA64" i="46"/>
  <c r="AB64" i="46" s="1"/>
  <c r="X64" i="46"/>
  <c r="AA72" i="46"/>
  <c r="AB72" i="46" s="1"/>
  <c r="X72" i="46"/>
  <c r="AA48" i="46"/>
  <c r="AB48" i="46" s="1"/>
  <c r="X48" i="46"/>
  <c r="AA34" i="46"/>
  <c r="AB34" i="46" s="1"/>
  <c r="X34" i="46"/>
  <c r="AA40" i="46"/>
  <c r="AB40" i="46" s="1"/>
  <c r="X40" i="46"/>
  <c r="X10" i="46"/>
  <c r="G42" i="37"/>
  <c r="I37" i="37" s="1"/>
  <c r="F42" i="37"/>
  <c r="K10" i="6" l="1"/>
  <c r="W120" i="55" s="1"/>
  <c r="X120" i="55" s="1"/>
  <c r="K10" i="7"/>
  <c r="W116" i="55" s="1"/>
  <c r="X116" i="55" s="1"/>
  <c r="AA116" i="55" l="1"/>
  <c r="AB116" i="55" s="1"/>
  <c r="W116" i="46"/>
  <c r="W120" i="46"/>
  <c r="AA116" i="46"/>
  <c r="AB116" i="46" s="1"/>
  <c r="X116" i="46"/>
  <c r="BW40" i="2"/>
  <c r="DK40" i="2"/>
  <c r="DY40" i="2"/>
  <c r="X120" i="46" l="1"/>
  <c r="EQ40" i="2"/>
  <c r="EN40" i="2" s="1"/>
  <c r="T40" i="2" l="1"/>
  <c r="AR40" i="2"/>
  <c r="DP40" i="2"/>
  <c r="CV40" i="2"/>
  <c r="CF40" i="2"/>
  <c r="AB40" i="2"/>
  <c r="AN40" i="2"/>
  <c r="AF40" i="2"/>
  <c r="DL40" i="2"/>
  <c r="AV40" i="2"/>
  <c r="BD40" i="2"/>
  <c r="EB40" i="2"/>
  <c r="CR40" i="2"/>
  <c r="P40" i="2"/>
  <c r="CN40" i="2"/>
  <c r="X40" i="2"/>
  <c r="DD40" i="2"/>
  <c r="AZ40" i="2"/>
  <c r="BH40" i="2"/>
  <c r="DT40" i="2"/>
  <c r="CJ40" i="2"/>
  <c r="CB40" i="2"/>
  <c r="L40" i="2"/>
  <c r="CZ40" i="2"/>
  <c r="AJ40" i="2"/>
  <c r="DX40" i="2"/>
  <c r="BX40" i="2"/>
  <c r="H40" i="2"/>
  <c r="EJ40" i="2"/>
  <c r="K10" i="8"/>
  <c r="W112" i="55" s="1"/>
  <c r="X112" i="55" s="1"/>
  <c r="AA112" i="55" l="1"/>
  <c r="AB112" i="55" s="1"/>
  <c r="W112" i="46"/>
  <c r="G42" i="9"/>
  <c r="I37" i="9" s="1"/>
  <c r="F42" i="9"/>
  <c r="AA112" i="46" l="1"/>
  <c r="AB112" i="46" s="1"/>
  <c r="X112" i="46"/>
  <c r="G42" i="10"/>
  <c r="I37" i="10" s="1"/>
  <c r="F42" i="10"/>
  <c r="I37" i="12" l="1"/>
  <c r="G42" i="11"/>
  <c r="I37" i="11" s="1"/>
  <c r="F42" i="11"/>
  <c r="G42" i="13" l="1"/>
  <c r="I37" i="13" s="1"/>
  <c r="F42" i="13"/>
  <c r="G42" i="43" l="1"/>
  <c r="I37" i="43" s="1"/>
  <c r="F42" i="43"/>
  <c r="G42" i="4"/>
  <c r="I37" i="4" s="1"/>
  <c r="F42" i="4"/>
  <c r="G42" i="14" l="1"/>
  <c r="I37" i="14" s="1"/>
  <c r="F42" i="14"/>
  <c r="G42" i="15" l="1"/>
  <c r="I37" i="15" s="1"/>
  <c r="F42" i="15"/>
  <c r="F42" i="16"/>
  <c r="G42" i="16"/>
  <c r="I37" i="16" s="1"/>
  <c r="G42" i="17" l="1"/>
  <c r="I37" i="17" s="1"/>
  <c r="F42" i="17"/>
  <c r="F42" i="18" l="1"/>
  <c r="G42" i="18"/>
  <c r="I37" i="18" s="1"/>
  <c r="G42" i="19"/>
  <c r="I37" i="19" s="1"/>
  <c r="F42" i="19"/>
  <c r="G42" i="22" l="1"/>
  <c r="I37" i="22" s="1"/>
  <c r="F42" i="22"/>
  <c r="F42" i="21" l="1"/>
  <c r="G42" i="21" l="1"/>
  <c r="I37" i="21" s="1"/>
  <c r="F42" i="24" l="1"/>
  <c r="G42" i="24"/>
  <c r="I37" i="24" s="1"/>
  <c r="F42" i="25" l="1"/>
  <c r="G42" i="26"/>
  <c r="I37" i="26" s="1"/>
  <c r="F42" i="26"/>
  <c r="I43" i="29" l="1"/>
  <c r="C52" i="29" l="1"/>
  <c r="C51" i="29"/>
  <c r="C50" i="29"/>
  <c r="C49" i="29"/>
  <c r="C48" i="29"/>
  <c r="C47" i="29"/>
  <c r="C46" i="29"/>
  <c r="C45" i="29"/>
  <c r="C44" i="29"/>
  <c r="C43" i="29"/>
  <c r="C42" i="29"/>
  <c r="C41" i="29"/>
  <c r="C40" i="29"/>
  <c r="C39" i="29"/>
  <c r="C38" i="29"/>
  <c r="L34" i="29"/>
  <c r="K34" i="29"/>
  <c r="I40" i="29" l="1"/>
  <c r="I44" i="29"/>
  <c r="C53" i="29"/>
  <c r="C54" i="29" s="1"/>
  <c r="I45" i="29" l="1"/>
  <c r="G42" i="25" l="1"/>
  <c r="I37" i="25" s="1"/>
  <c r="J9" i="32" l="1"/>
  <c r="J10" i="32"/>
  <c r="J11" i="32"/>
  <c r="J12" i="32"/>
  <c r="J13" i="32"/>
  <c r="J14" i="32"/>
  <c r="J15" i="32"/>
  <c r="J16" i="32"/>
  <c r="J17" i="32"/>
  <c r="J18" i="32"/>
  <c r="J19" i="32"/>
  <c r="J20" i="32"/>
  <c r="J21" i="32"/>
  <c r="J22" i="32"/>
  <c r="J23" i="32"/>
  <c r="J24" i="32"/>
  <c r="J25" i="32"/>
  <c r="J26" i="32"/>
  <c r="J14" i="31" l="1"/>
  <c r="J14" i="30" s="1"/>
  <c r="J14" i="29" s="1"/>
  <c r="J12" i="31"/>
  <c r="J13" i="31"/>
  <c r="J13" i="30" s="1"/>
  <c r="J13" i="29" s="1"/>
  <c r="J11" i="31"/>
  <c r="J11" i="30" s="1"/>
  <c r="J11" i="29" s="1"/>
  <c r="J10" i="31"/>
  <c r="J10" i="30" s="1"/>
  <c r="J10" i="29" s="1"/>
  <c r="J12" i="30" l="1"/>
  <c r="J12" i="29" s="1"/>
  <c r="U40" i="45"/>
  <c r="E40" i="45"/>
  <c r="AF40" i="45" s="1"/>
  <c r="I40" i="45"/>
  <c r="AG6" i="51"/>
  <c r="AR6" i="46" l="1"/>
  <c r="BA6" i="46" s="1"/>
  <c r="AM7" i="46"/>
  <c r="AM8" i="46"/>
  <c r="AM6" i="46"/>
  <c r="BC136" i="55" l="1"/>
  <c r="BB136" i="55"/>
  <c r="AZ136" i="55"/>
  <c r="AY136" i="55"/>
  <c r="AX136" i="55"/>
  <c r="AW136" i="55"/>
  <c r="AV136" i="55"/>
  <c r="AU136" i="55"/>
  <c r="AT136" i="55"/>
  <c r="AS136" i="55"/>
  <c r="AQ136" i="55"/>
  <c r="AP136" i="55"/>
  <c r="AO136" i="55"/>
  <c r="AN136" i="55"/>
  <c r="AL136" i="55"/>
  <c r="AK136" i="55"/>
  <c r="AJ136" i="55"/>
  <c r="AI136" i="55"/>
  <c r="AH136" i="55"/>
  <c r="AG136" i="55"/>
  <c r="AF136" i="55"/>
  <c r="Y136" i="55"/>
  <c r="S136" i="55"/>
  <c r="R136" i="55"/>
  <c r="Q136" i="55"/>
  <c r="Q137" i="55" s="1"/>
  <c r="AR135" i="55"/>
  <c r="AM135" i="55"/>
  <c r="AC135" i="55"/>
  <c r="AA135" i="55"/>
  <c r="AW140" i="55" l="1"/>
  <c r="BF138" i="55"/>
  <c r="BD138" i="55"/>
  <c r="BE138" i="55"/>
  <c r="P6" i="46"/>
  <c r="U6" i="46"/>
  <c r="C6" i="46"/>
  <c r="N9" i="48" s="1"/>
  <c r="T6" i="46"/>
  <c r="V6" i="46"/>
  <c r="K6" i="46"/>
  <c r="AM136" i="55"/>
  <c r="S138" i="55"/>
  <c r="R137" i="55"/>
  <c r="BC138" i="55"/>
  <c r="S137" i="55"/>
  <c r="BB138" i="55"/>
  <c r="AR136" i="55"/>
  <c r="BA136" i="55"/>
  <c r="AD136" i="55"/>
  <c r="T9" i="53" s="1"/>
  <c r="K136" i="46" l="1"/>
  <c r="AH3" i="51" s="1"/>
  <c r="L9" i="48"/>
  <c r="AZ9" i="48" s="1"/>
  <c r="AC6" i="46"/>
  <c r="R138" i="55"/>
  <c r="KQ42" i="1"/>
  <c r="KN42" i="1"/>
  <c r="KK42" i="1"/>
  <c r="KH42" i="1"/>
  <c r="KE42" i="1"/>
  <c r="KB42" i="1"/>
  <c r="JY42" i="1"/>
  <c r="JV42" i="1"/>
  <c r="JS42" i="1"/>
  <c r="JP42" i="1"/>
  <c r="JM42" i="1"/>
  <c r="JJ42" i="1"/>
  <c r="JG42" i="1"/>
  <c r="JD42" i="1"/>
  <c r="JA42" i="1"/>
  <c r="IX42" i="1"/>
  <c r="IU42" i="1"/>
  <c r="IR42" i="1"/>
  <c r="IO42" i="1"/>
  <c r="IL42" i="1"/>
  <c r="II42" i="1"/>
  <c r="IF42" i="1"/>
  <c r="IC42" i="1"/>
  <c r="HZ42" i="1"/>
  <c r="HW42" i="1"/>
  <c r="HT42" i="1"/>
  <c r="HQ42" i="1"/>
  <c r="HN42" i="1"/>
  <c r="HK42" i="1"/>
  <c r="HH42" i="1"/>
  <c r="HE42" i="1"/>
  <c r="HB42" i="1"/>
  <c r="GY42" i="1"/>
  <c r="GV42" i="1"/>
  <c r="GS42" i="1"/>
  <c r="GP42" i="1"/>
  <c r="GM42" i="1"/>
  <c r="GJ42" i="1"/>
  <c r="GG42" i="1"/>
  <c r="GD42" i="1"/>
  <c r="GA42" i="1"/>
  <c r="FX42" i="1"/>
  <c r="FU42" i="1"/>
  <c r="FR42" i="1"/>
  <c r="FO42" i="1"/>
  <c r="FL42" i="1"/>
  <c r="FI42" i="1"/>
  <c r="FF42" i="1"/>
  <c r="FC42" i="1"/>
  <c r="EZ42" i="1"/>
  <c r="EW42" i="1"/>
  <c r="ET42" i="1"/>
  <c r="EQ42" i="1"/>
  <c r="EN42" i="1"/>
  <c r="EK42" i="1"/>
  <c r="EH42" i="1"/>
  <c r="EE42" i="1"/>
  <c r="EB42" i="1"/>
  <c r="DY42" i="1"/>
  <c r="DV42" i="1"/>
  <c r="DS42" i="1"/>
  <c r="DP42" i="1"/>
  <c r="DM42" i="1"/>
  <c r="DJ42" i="1"/>
  <c r="DG42" i="1"/>
  <c r="DD42" i="1"/>
  <c r="DA42" i="1"/>
  <c r="CX42" i="1"/>
  <c r="CU42" i="1"/>
  <c r="CR42" i="1"/>
  <c r="CO42" i="1"/>
  <c r="CL42" i="1"/>
  <c r="CI42" i="1"/>
  <c r="CF42" i="1"/>
  <c r="CC42" i="1"/>
  <c r="BZ42" i="1"/>
  <c r="BW42" i="1"/>
  <c r="BT42" i="1"/>
  <c r="BQ42" i="1"/>
  <c r="BN42" i="1"/>
  <c r="BK42" i="1"/>
  <c r="BH42" i="1"/>
  <c r="BE42" i="1"/>
  <c r="BB42" i="1"/>
  <c r="AY42" i="1"/>
  <c r="AV42" i="1"/>
  <c r="AS42" i="1"/>
  <c r="AP42" i="1"/>
  <c r="AM42" i="1"/>
  <c r="AJ42" i="1"/>
  <c r="AG42" i="1"/>
  <c r="AD42" i="1"/>
  <c r="AA42" i="1"/>
  <c r="X42" i="1"/>
  <c r="U42" i="1"/>
  <c r="O42" i="1"/>
  <c r="L42" i="1"/>
  <c r="F42" i="1"/>
  <c r="KR40" i="1"/>
  <c r="KO40" i="1"/>
  <c r="KL40" i="1"/>
  <c r="KI40" i="1"/>
  <c r="KF40" i="1"/>
  <c r="KC40" i="1"/>
  <c r="JZ40" i="1"/>
  <c r="JW40" i="1"/>
  <c r="JT40" i="1"/>
  <c r="JQ40" i="1"/>
  <c r="JN40" i="1"/>
  <c r="JK40" i="1"/>
  <c r="JI40" i="1"/>
  <c r="JF40" i="1"/>
  <c r="JC40" i="1"/>
  <c r="IZ40" i="1"/>
  <c r="IW40" i="1"/>
  <c r="IT40" i="1"/>
  <c r="IQ40" i="1"/>
  <c r="IN40" i="1"/>
  <c r="IK40" i="1"/>
  <c r="IH40" i="1"/>
  <c r="IE40" i="1"/>
  <c r="IB40" i="1"/>
  <c r="HY40" i="1"/>
  <c r="HV40" i="1"/>
  <c r="HS40" i="1"/>
  <c r="HP40" i="1"/>
  <c r="HM40" i="1"/>
  <c r="HJ40" i="1"/>
  <c r="HG40" i="1"/>
  <c r="HD40" i="1"/>
  <c r="HA40" i="1"/>
  <c r="GX40" i="1"/>
  <c r="GU40" i="1"/>
  <c r="GR40" i="1"/>
  <c r="GO40" i="1"/>
  <c r="GL40" i="1"/>
  <c r="GI40" i="1"/>
  <c r="GF40" i="1"/>
  <c r="GC40" i="1"/>
  <c r="FZ40" i="1"/>
  <c r="FW40" i="1"/>
  <c r="FT40" i="1"/>
  <c r="FQ40" i="1"/>
  <c r="FN40" i="1"/>
  <c r="FK40" i="1"/>
  <c r="FH40" i="1"/>
  <c r="FE40" i="1"/>
  <c r="FB40" i="1"/>
  <c r="EY40" i="1"/>
  <c r="EV40" i="1"/>
  <c r="ES40" i="1"/>
  <c r="EP40" i="1"/>
  <c r="EM40" i="1"/>
  <c r="EJ40" i="1"/>
  <c r="EG40" i="1"/>
  <c r="ED40" i="1"/>
  <c r="EA40" i="1"/>
  <c r="DX40" i="1"/>
  <c r="DU40" i="1"/>
  <c r="DR40" i="1"/>
  <c r="DO40" i="1"/>
  <c r="DL40" i="1"/>
  <c r="DI40" i="1"/>
  <c r="DF40" i="1"/>
  <c r="DC40" i="1"/>
  <c r="CZ40" i="1"/>
  <c r="CW40" i="1"/>
  <c r="CT40" i="1"/>
  <c r="CQ40" i="1"/>
  <c r="CN40" i="1"/>
  <c r="CK40" i="1"/>
  <c r="CH40" i="1"/>
  <c r="CE40" i="1"/>
  <c r="CB40" i="1"/>
  <c r="BY40" i="1"/>
  <c r="BV40" i="1"/>
  <c r="BS40" i="1"/>
  <c r="BP40" i="1"/>
  <c r="BM40" i="1"/>
  <c r="BJ40" i="1"/>
  <c r="BG40" i="1"/>
  <c r="BD40" i="1"/>
  <c r="BA40" i="1"/>
  <c r="AX40" i="1"/>
  <c r="AU40" i="1"/>
  <c r="AR40" i="1"/>
  <c r="AO40" i="1"/>
  <c r="AL40" i="1"/>
  <c r="AI40" i="1"/>
  <c r="AF40" i="1"/>
  <c r="AC40" i="1"/>
  <c r="Z40" i="1"/>
  <c r="W40" i="1"/>
  <c r="T40" i="1"/>
  <c r="Q40" i="1"/>
  <c r="N40" i="1"/>
  <c r="K40" i="1"/>
  <c r="H40"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X39" i="1"/>
  <c r="GU39" i="1"/>
  <c r="GR39" i="1"/>
  <c r="GO39" i="1"/>
  <c r="GL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X38" i="1"/>
  <c r="GU38" i="1"/>
  <c r="GR38" i="1"/>
  <c r="GO38" i="1"/>
  <c r="GL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X37" i="1"/>
  <c r="GU37" i="1"/>
  <c r="GR37" i="1"/>
  <c r="GO37" i="1"/>
  <c r="GL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X36" i="1"/>
  <c r="GU36" i="1"/>
  <c r="GR36" i="1"/>
  <c r="GO36" i="1"/>
  <c r="GL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X35" i="1"/>
  <c r="GU35" i="1"/>
  <c r="GR35" i="1"/>
  <c r="GO35" i="1"/>
  <c r="GL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X34" i="1"/>
  <c r="GU34" i="1"/>
  <c r="GR34" i="1"/>
  <c r="GO34" i="1"/>
  <c r="GL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X33" i="1"/>
  <c r="GU33" i="1"/>
  <c r="GR33" i="1"/>
  <c r="GO33" i="1"/>
  <c r="GL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H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HJ32" i="1"/>
  <c r="HG32" i="1"/>
  <c r="HD32" i="1"/>
  <c r="HA32" i="1"/>
  <c r="GX32" i="1"/>
  <c r="GU32" i="1"/>
  <c r="GR32" i="1"/>
  <c r="GO32" i="1"/>
  <c r="GL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HJ31" i="1"/>
  <c r="HG31" i="1"/>
  <c r="HD31" i="1"/>
  <c r="HA31" i="1"/>
  <c r="GX31" i="1"/>
  <c r="GU31" i="1"/>
  <c r="GR31" i="1"/>
  <c r="GO31" i="1"/>
  <c r="GL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HJ30" i="1"/>
  <c r="HG30" i="1"/>
  <c r="HD30" i="1"/>
  <c r="HA30" i="1"/>
  <c r="GX30" i="1"/>
  <c r="GU30" i="1"/>
  <c r="GR30" i="1"/>
  <c r="GO30" i="1"/>
  <c r="GL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HJ29" i="1"/>
  <c r="HG29" i="1"/>
  <c r="HD29" i="1"/>
  <c r="HA29" i="1"/>
  <c r="GX29" i="1"/>
  <c r="GU29" i="1"/>
  <c r="GR29" i="1"/>
  <c r="GO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U28" i="1"/>
  <c r="GR28" i="1"/>
  <c r="GO28" i="1"/>
  <c r="GL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K27" i="1"/>
  <c r="JI27" i="1"/>
  <c r="JF27" i="1"/>
  <c r="JC27" i="1"/>
  <c r="IZ27" i="1"/>
  <c r="IW27" i="1"/>
  <c r="IT27" i="1"/>
  <c r="IQ27" i="1"/>
  <c r="IN27" i="1"/>
  <c r="IK27" i="1"/>
  <c r="IH27" i="1"/>
  <c r="IE27" i="1"/>
  <c r="IB27" i="1"/>
  <c r="HY27" i="1"/>
  <c r="HV27" i="1"/>
  <c r="HS27" i="1"/>
  <c r="HP27" i="1"/>
  <c r="HM27" i="1"/>
  <c r="HJ27" i="1"/>
  <c r="HG27" i="1"/>
  <c r="HD27" i="1"/>
  <c r="HA27" i="1"/>
  <c r="GX27" i="1"/>
  <c r="GU27" i="1"/>
  <c r="GR27" i="1"/>
  <c r="GO27" i="1"/>
  <c r="GL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U26" i="1"/>
  <c r="GR26" i="1"/>
  <c r="GO26" i="1"/>
  <c r="GL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X10" i="1"/>
  <c r="AU10" i="1"/>
  <c r="AR10" i="1"/>
  <c r="AO10" i="1"/>
  <c r="AL10" i="1"/>
  <c r="AI10" i="1"/>
  <c r="AF10" i="1"/>
  <c r="AC10" i="1"/>
  <c r="Z10" i="1"/>
  <c r="W10" i="1"/>
  <c r="T10" i="1"/>
  <c r="Q10" i="1"/>
  <c r="N10" i="1"/>
  <c r="K10" i="1"/>
  <c r="H10" i="1"/>
  <c r="KS38" i="1"/>
  <c r="KP36" i="1"/>
  <c r="KM34" i="1"/>
  <c r="KJ40" i="1"/>
  <c r="KG38" i="1"/>
  <c r="KD36" i="1"/>
  <c r="KA34" i="1"/>
  <c r="JU38" i="1"/>
  <c r="JR36" i="1"/>
  <c r="JO34" i="1"/>
  <c r="JL40" i="1"/>
  <c r="BC136" i="46"/>
  <c r="BB136" i="46"/>
  <c r="AZ136" i="46"/>
  <c r="AY136" i="46"/>
  <c r="AX136" i="46"/>
  <c r="AW136" i="46"/>
  <c r="AV136" i="46"/>
  <c r="AU136" i="46"/>
  <c r="AT136" i="46"/>
  <c r="AS136" i="46"/>
  <c r="AQ136" i="46"/>
  <c r="AP136" i="46"/>
  <c r="AO136" i="46"/>
  <c r="AN136" i="46"/>
  <c r="AL136" i="46"/>
  <c r="AK136" i="46"/>
  <c r="AJ136" i="46"/>
  <c r="AI136" i="46"/>
  <c r="AH136" i="46"/>
  <c r="AG136" i="46"/>
  <c r="AF136" i="46"/>
  <c r="AR135" i="46"/>
  <c r="AM135" i="46"/>
  <c r="AR8" i="46"/>
  <c r="BA8" i="46" s="1"/>
  <c r="AR7" i="46"/>
  <c r="BA7" i="46" s="1"/>
  <c r="AD7" i="46" s="1"/>
  <c r="AV140" i="55" l="1"/>
  <c r="AV142" i="55" s="1"/>
  <c r="Q142" i="55" s="1"/>
  <c r="G42" i="1"/>
  <c r="JH42" i="1"/>
  <c r="JX42" i="1"/>
  <c r="P42" i="1"/>
  <c r="KT34" i="1"/>
  <c r="AR136" i="46"/>
  <c r="W42" i="1"/>
  <c r="AU42" i="1"/>
  <c r="BS42" i="1"/>
  <c r="CQ42" i="1"/>
  <c r="DO42" i="1"/>
  <c r="EM42" i="1"/>
  <c r="FK42" i="1"/>
  <c r="GI42" i="1"/>
  <c r="HG42" i="1"/>
  <c r="IE42" i="1"/>
  <c r="JC42" i="1"/>
  <c r="JZ42" i="1"/>
  <c r="KT28" i="1"/>
  <c r="Z42" i="1"/>
  <c r="AX42" i="1"/>
  <c r="BV42" i="1"/>
  <c r="CT42" i="1"/>
  <c r="DR42" i="1"/>
  <c r="EP42" i="1"/>
  <c r="FN42" i="1"/>
  <c r="IH42" i="1"/>
  <c r="JF42" i="1"/>
  <c r="KC42" i="1"/>
  <c r="AC42" i="1"/>
  <c r="BA42" i="1"/>
  <c r="BX42" i="1"/>
  <c r="CV42" i="1"/>
  <c r="DT42" i="1"/>
  <c r="ER42" i="1"/>
  <c r="FP42" i="1"/>
  <c r="KT36" i="1"/>
  <c r="H42" i="1"/>
  <c r="BC42" i="1"/>
  <c r="CA42" i="1"/>
  <c r="CZ42" i="1"/>
  <c r="DX42" i="1"/>
  <c r="EV42" i="1"/>
  <c r="FT42" i="1"/>
  <c r="GR42" i="1"/>
  <c r="HP42" i="1"/>
  <c r="IN42" i="1"/>
  <c r="JK42" i="1"/>
  <c r="KI42" i="1"/>
  <c r="AI42" i="1"/>
  <c r="BG42" i="1"/>
  <c r="CE42" i="1"/>
  <c r="DC42" i="1"/>
  <c r="EA42" i="1"/>
  <c r="EY42" i="1"/>
  <c r="FW42" i="1"/>
  <c r="GU42" i="1"/>
  <c r="HS42" i="1"/>
  <c r="IQ42" i="1"/>
  <c r="JN42" i="1"/>
  <c r="KL42" i="1"/>
  <c r="AL42" i="1"/>
  <c r="BJ42" i="1"/>
  <c r="CH42" i="1"/>
  <c r="DF42" i="1"/>
  <c r="ED42" i="1"/>
  <c r="FB42" i="1"/>
  <c r="FZ42" i="1"/>
  <c r="GX42" i="1"/>
  <c r="HU42" i="1"/>
  <c r="JQ42" i="1"/>
  <c r="KO42" i="1"/>
  <c r="KT16" i="1"/>
  <c r="KT37" i="1"/>
  <c r="AO42" i="1"/>
  <c r="BM42" i="1"/>
  <c r="CK42" i="1"/>
  <c r="DI42" i="1"/>
  <c r="EG42" i="1"/>
  <c r="FE42" i="1"/>
  <c r="GC42" i="1"/>
  <c r="HA42" i="1"/>
  <c r="HY42" i="1"/>
  <c r="IW42" i="1"/>
  <c r="KT18" i="1"/>
  <c r="AR42" i="1"/>
  <c r="BP42" i="1"/>
  <c r="CN42" i="1"/>
  <c r="DL42" i="1"/>
  <c r="EJ42" i="1"/>
  <c r="FH42" i="1"/>
  <c r="GF42" i="1"/>
  <c r="HD42" i="1"/>
  <c r="IB42" i="1"/>
  <c r="IZ42" i="1"/>
  <c r="JW42" i="1"/>
  <c r="Q42" i="1"/>
  <c r="KT24" i="1"/>
  <c r="KT26" i="1"/>
  <c r="KT17" i="1"/>
  <c r="AD8" i="46"/>
  <c r="KT15" i="1"/>
  <c r="AM136" i="46"/>
  <c r="KT25" i="1"/>
  <c r="KT21" i="1"/>
  <c r="KT20" i="1"/>
  <c r="KT22" i="1"/>
  <c r="KT29" i="1"/>
  <c r="KT19" i="1"/>
  <c r="KT27" i="1"/>
  <c r="KT31" i="1"/>
  <c r="KT33" i="1"/>
  <c r="KT32" i="1"/>
  <c r="KT35" i="1"/>
  <c r="KT38" i="1"/>
  <c r="KT40" i="1"/>
  <c r="KT39" i="1"/>
  <c r="M42" i="1"/>
  <c r="AK42" i="1"/>
  <c r="BI42" i="1"/>
  <c r="BY42" i="1"/>
  <c r="CG42" i="1"/>
  <c r="CW42" i="1"/>
  <c r="DE42" i="1"/>
  <c r="DU42" i="1"/>
  <c r="EC42" i="1"/>
  <c r="ES42" i="1"/>
  <c r="FA42" i="1"/>
  <c r="FQ42" i="1"/>
  <c r="FY42" i="1"/>
  <c r="GO42" i="1"/>
  <c r="GW42" i="1"/>
  <c r="HM42" i="1"/>
  <c r="IK42" i="1"/>
  <c r="IS42" i="1"/>
  <c r="JI42" i="1"/>
  <c r="JT42" i="1"/>
  <c r="KF42" i="1"/>
  <c r="KR42" i="1"/>
  <c r="N42" i="1"/>
  <c r="V42" i="1"/>
  <c r="AT42" i="1"/>
  <c r="BR42" i="1"/>
  <c r="CP42" i="1"/>
  <c r="DN42" i="1"/>
  <c r="EL42" i="1"/>
  <c r="FJ42" i="1"/>
  <c r="GH42" i="1"/>
  <c r="HF42" i="1"/>
  <c r="HV42" i="1"/>
  <c r="ID42" i="1"/>
  <c r="IT42" i="1"/>
  <c r="JB42" i="1"/>
  <c r="AE42" i="1"/>
  <c r="CY42" i="1"/>
  <c r="DW42" i="1"/>
  <c r="EU42" i="1"/>
  <c r="FS42" i="1"/>
  <c r="GQ42" i="1"/>
  <c r="HO42" i="1"/>
  <c r="IM42" i="1"/>
  <c r="AF42" i="1"/>
  <c r="AN42" i="1"/>
  <c r="BD42" i="1"/>
  <c r="BL42" i="1"/>
  <c r="CB42" i="1"/>
  <c r="CJ42" i="1"/>
  <c r="DH42" i="1"/>
  <c r="EF42" i="1"/>
  <c r="FD42" i="1"/>
  <c r="GB42" i="1"/>
  <c r="GZ42" i="1"/>
  <c r="HX42" i="1"/>
  <c r="IV42" i="1"/>
  <c r="Y42" i="1"/>
  <c r="AW42" i="1"/>
  <c r="BU42" i="1"/>
  <c r="CS42" i="1"/>
  <c r="DQ42" i="1"/>
  <c r="EO42" i="1"/>
  <c r="FM42" i="1"/>
  <c r="GK42" i="1"/>
  <c r="HI42" i="1"/>
  <c r="IG42" i="1"/>
  <c r="JE42" i="1"/>
  <c r="AH42" i="1"/>
  <c r="BF42" i="1"/>
  <c r="CD42" i="1"/>
  <c r="DB42" i="1"/>
  <c r="DZ42" i="1"/>
  <c r="EX42" i="1"/>
  <c r="FV42" i="1"/>
  <c r="GL42" i="1"/>
  <c r="GT42" i="1"/>
  <c r="HJ42" i="1"/>
  <c r="HR42" i="1"/>
  <c r="IP42" i="1"/>
  <c r="AQ42" i="1"/>
  <c r="BO42" i="1"/>
  <c r="CM42" i="1"/>
  <c r="DK42" i="1"/>
  <c r="EI42" i="1"/>
  <c r="FG42" i="1"/>
  <c r="GE42" i="1"/>
  <c r="HC42" i="1"/>
  <c r="IA42" i="1"/>
  <c r="IY42" i="1"/>
  <c r="AB42" i="1"/>
  <c r="AZ42" i="1"/>
  <c r="GN42" i="1"/>
  <c r="HL42" i="1"/>
  <c r="IJ42" i="1"/>
  <c r="KT12" i="1"/>
  <c r="KT11" i="1"/>
  <c r="KT13" i="1"/>
  <c r="KT10" i="1"/>
  <c r="KJ10" i="1"/>
  <c r="JX10" i="1"/>
  <c r="KT14" i="1"/>
  <c r="JL10" i="1"/>
  <c r="KD10" i="1"/>
  <c r="JL12" i="1"/>
  <c r="KG12" i="1"/>
  <c r="KG11" i="1"/>
  <c r="KG10" i="1"/>
  <c r="KJ12" i="1"/>
  <c r="JO12" i="1"/>
  <c r="JU11" i="1"/>
  <c r="KS11" i="1"/>
  <c r="JL11" i="1"/>
  <c r="JX11" i="1"/>
  <c r="KJ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KG42" i="1"/>
  <c r="JR10" i="1"/>
  <c r="KP10" i="1"/>
  <c r="JU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JO40" i="1"/>
  <c r="KA40" i="1"/>
  <c r="KM40" i="1"/>
  <c r="JR42" i="1"/>
  <c r="KP42" i="1"/>
  <c r="KA1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KA42" i="1"/>
  <c r="JO11" i="1"/>
  <c r="JU10" i="1"/>
  <c r="KS10" i="1"/>
  <c r="JX12"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JR40" i="1"/>
  <c r="KD40" i="1"/>
  <c r="KP40" i="1"/>
  <c r="JL42" i="1"/>
  <c r="KJ42" i="1"/>
  <c r="KM11"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JO33" i="1"/>
  <c r="KA33" i="1"/>
  <c r="KM33" i="1"/>
  <c r="JR35" i="1"/>
  <c r="KD35" i="1"/>
  <c r="KP35" i="1"/>
  <c r="JU37" i="1"/>
  <c r="KG37" i="1"/>
  <c r="KS37" i="1"/>
  <c r="JL39" i="1"/>
  <c r="JX39" i="1"/>
  <c r="KJ39" i="1"/>
  <c r="JU42" i="1"/>
  <c r="KS4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JU40" i="1"/>
  <c r="KG40" i="1"/>
  <c r="KS40" i="1"/>
  <c r="KD42"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JO42" i="1"/>
  <c r="KM42" i="1"/>
  <c r="KA12" i="1"/>
  <c r="JO10" i="1"/>
  <c r="KA10" i="1"/>
  <c r="KM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X40" i="1"/>
  <c r="KU10" i="1" l="1"/>
  <c r="KU21" i="1"/>
  <c r="KU12" i="1"/>
  <c r="KU13" i="1"/>
  <c r="KU17" i="1"/>
  <c r="KU22" i="1"/>
  <c r="KU24" i="1"/>
  <c r="KU16" i="1"/>
  <c r="KU11" i="1"/>
  <c r="KU14" i="1"/>
  <c r="KU18" i="1"/>
  <c r="KU15" i="1"/>
  <c r="KU40" i="1"/>
  <c r="KU42" i="1"/>
  <c r="KU19" i="1"/>
  <c r="KU36" i="1"/>
  <c r="KU20" i="1"/>
  <c r="KU26" i="1"/>
  <c r="KU39" i="1"/>
  <c r="KU33" i="1"/>
  <c r="KU32" i="1"/>
  <c r="KU35" i="1"/>
  <c r="KU28" i="1"/>
  <c r="KU30" i="1"/>
  <c r="KU31" i="1"/>
  <c r="KU37" i="1"/>
  <c r="KU34" i="1"/>
  <c r="KU25" i="1"/>
  <c r="KU27" i="1"/>
  <c r="KU38" i="1"/>
  <c r="KU29" i="1"/>
  <c r="KU23" i="1"/>
  <c r="AD6" i="46"/>
  <c r="AD136" i="46" s="1"/>
  <c r="BA136" i="46"/>
  <c r="Y138" i="55" l="1"/>
  <c r="Q40" i="45" l="1"/>
  <c r="I46" i="43"/>
  <c r="I46" i="4"/>
  <c r="I46" i="37"/>
  <c r="I46" i="6"/>
  <c r="I46" i="7"/>
  <c r="I46" i="8"/>
  <c r="I46" i="9"/>
  <c r="I46" i="10"/>
  <c r="I46" i="11"/>
  <c r="I46" i="12"/>
  <c r="I46" i="13"/>
  <c r="I46" i="14"/>
  <c r="I46" i="17"/>
  <c r="I46" i="19"/>
  <c r="I46" i="20"/>
  <c r="I46" i="22"/>
  <c r="I46" i="23"/>
  <c r="I46" i="24"/>
  <c r="I46" i="28"/>
  <c r="I46" i="27"/>
  <c r="AA40" i="45"/>
  <c r="P8" i="45"/>
  <c r="P9" i="45" s="1"/>
  <c r="P10" i="45" s="1"/>
  <c r="P11" i="45" s="1"/>
  <c r="P12" i="45" s="1"/>
  <c r="P13" i="45" s="1"/>
  <c r="P14" i="45" s="1"/>
  <c r="P15" i="45" s="1"/>
  <c r="P16" i="45" s="1"/>
  <c r="P17" i="45" s="1"/>
  <c r="P18" i="45" s="1"/>
  <c r="P19" i="45" s="1"/>
  <c r="P20" i="45" s="1"/>
  <c r="P21" i="45" s="1"/>
  <c r="P22" i="45" s="1"/>
  <c r="P23" i="45" s="1"/>
  <c r="P24" i="45" s="1"/>
  <c r="P25" i="45" s="1"/>
  <c r="P26" i="45" s="1"/>
  <c r="P27" i="45" s="1"/>
  <c r="P28" i="45" s="1"/>
  <c r="P29" i="45" s="1"/>
  <c r="P30" i="45" s="1"/>
  <c r="P31" i="45" s="1"/>
  <c r="P32" i="45" s="1"/>
  <c r="P33" i="45" s="1"/>
  <c r="P34" i="45" s="1"/>
  <c r="P35" i="45" s="1"/>
  <c r="P36" i="45" s="1"/>
  <c r="P37" i="45" s="1"/>
  <c r="P38" i="45" s="1"/>
  <c r="D8" i="45"/>
  <c r="D9" i="45" s="1"/>
  <c r="D10" i="45" l="1"/>
  <c r="AE9" i="45"/>
  <c r="AE8" i="45"/>
  <c r="H8" i="45"/>
  <c r="H9" i="45" s="1"/>
  <c r="H10" i="45" s="1"/>
  <c r="H11" i="45" s="1"/>
  <c r="H12" i="45" s="1"/>
  <c r="H13" i="45" s="1"/>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T8" i="45"/>
  <c r="T9" i="45" s="1"/>
  <c r="T10" i="45" s="1"/>
  <c r="T11" i="45" s="1"/>
  <c r="T12" i="45" s="1"/>
  <c r="T13" i="45" s="1"/>
  <c r="T14" i="45" s="1"/>
  <c r="T15" i="45" s="1"/>
  <c r="T16" i="45" s="1"/>
  <c r="T17" i="45" s="1"/>
  <c r="T18" i="45" s="1"/>
  <c r="T19" i="45" s="1"/>
  <c r="T20" i="45" s="1"/>
  <c r="T21" i="45" s="1"/>
  <c r="T22" i="45" s="1"/>
  <c r="T23" i="45" s="1"/>
  <c r="T24" i="45" s="1"/>
  <c r="T25" i="45" s="1"/>
  <c r="T26" i="45" s="1"/>
  <c r="T27" i="45" s="1"/>
  <c r="T28" i="45" s="1"/>
  <c r="T29" i="45" s="1"/>
  <c r="T30" i="45" s="1"/>
  <c r="T31" i="45" s="1"/>
  <c r="T32" i="45" s="1"/>
  <c r="T33" i="45" s="1"/>
  <c r="T34" i="45" s="1"/>
  <c r="T35" i="45" s="1"/>
  <c r="T36" i="45" s="1"/>
  <c r="T37" i="45" s="1"/>
  <c r="T38" i="45" s="1"/>
  <c r="I46" i="29"/>
  <c r="I46" i="26"/>
  <c r="I46" i="25"/>
  <c r="I46" i="21"/>
  <c r="I46" i="18"/>
  <c r="I46" i="16"/>
  <c r="I46" i="15"/>
  <c r="D11" i="45" l="1"/>
  <c r="AE10" i="45"/>
  <c r="I47" i="29"/>
  <c r="I48" i="29"/>
  <c r="AE11" i="45" l="1"/>
  <c r="D12" i="45"/>
  <c r="P136" i="55"/>
  <c r="O136" i="55" s="1"/>
  <c r="C136" i="55"/>
  <c r="T136" i="55"/>
  <c r="V136" i="55"/>
  <c r="D13" i="45" l="1"/>
  <c r="AE12" i="45"/>
  <c r="T10" i="53"/>
  <c r="K136" i="55"/>
  <c r="T8" i="53" s="1"/>
  <c r="AC136" i="55"/>
  <c r="T5" i="53" s="1"/>
  <c r="N15" i="54" s="1"/>
  <c r="U136" i="55"/>
  <c r="BE41" i="48"/>
  <c r="BF9" i="48"/>
  <c r="BF10" i="48" s="1"/>
  <c r="BF11" i="48" s="1"/>
  <c r="BF12" i="48" s="1"/>
  <c r="BF13" i="48" s="1"/>
  <c r="BF14" i="48" s="1"/>
  <c r="BF15" i="48" s="1"/>
  <c r="BF16" i="48" s="1"/>
  <c r="BF17" i="48" s="1"/>
  <c r="BF18" i="48" s="1"/>
  <c r="BF19" i="48" s="1"/>
  <c r="BF20" i="48" s="1"/>
  <c r="BF21" i="48" s="1"/>
  <c r="BF22" i="48" s="1"/>
  <c r="BF23" i="48" s="1"/>
  <c r="BF24" i="48" s="1"/>
  <c r="BF25" i="48" s="1"/>
  <c r="BF26" i="48" s="1"/>
  <c r="BF27" i="48" s="1"/>
  <c r="BF28" i="48" s="1"/>
  <c r="BF29" i="48" s="1"/>
  <c r="BF30" i="48" s="1"/>
  <c r="BF31" i="48" s="1"/>
  <c r="BF32" i="48" s="1"/>
  <c r="BF33" i="48" s="1"/>
  <c r="BF34" i="48" s="1"/>
  <c r="BF35" i="48" s="1"/>
  <c r="BF36" i="48" s="1"/>
  <c r="BF37" i="48" s="1"/>
  <c r="BF38" i="48" s="1"/>
  <c r="BF39" i="48" s="1"/>
  <c r="Y136" i="46"/>
  <c r="Y138" i="46" s="1"/>
  <c r="S136" i="46"/>
  <c r="S138" i="46" s="1"/>
  <c r="R136" i="46"/>
  <c r="Q136" i="46"/>
  <c r="Q137" i="46" s="1"/>
  <c r="AC135" i="46"/>
  <c r="AA135" i="46"/>
  <c r="U136" i="46"/>
  <c r="T136" i="46"/>
  <c r="P136" i="46"/>
  <c r="D14" i="45" l="1"/>
  <c r="AE13" i="45"/>
  <c r="BE138" i="46"/>
  <c r="BD138" i="46"/>
  <c r="BF138" i="46"/>
  <c r="Y137" i="55"/>
  <c r="X144" i="55" s="1"/>
  <c r="AC137" i="55"/>
  <c r="X146" i="55" s="1"/>
  <c r="V137" i="55"/>
  <c r="AZ137" i="55" s="1"/>
  <c r="X166" i="55" s="1"/>
  <c r="N33" i="54"/>
  <c r="N25" i="54"/>
  <c r="N17" i="54"/>
  <c r="N5" i="54"/>
  <c r="N9" i="54"/>
  <c r="N11" i="54"/>
  <c r="N21" i="54"/>
  <c r="N23" i="54"/>
  <c r="N29" i="54"/>
  <c r="N31" i="54"/>
  <c r="N37" i="54"/>
  <c r="N39" i="54"/>
  <c r="N8" i="54"/>
  <c r="N20" i="54"/>
  <c r="N28" i="54"/>
  <c r="N36" i="54"/>
  <c r="N6" i="54"/>
  <c r="N18" i="54"/>
  <c r="N26" i="54"/>
  <c r="N34" i="54"/>
  <c r="N7" i="54"/>
  <c r="N19" i="54"/>
  <c r="N27" i="54"/>
  <c r="N35" i="54"/>
  <c r="N4" i="54"/>
  <c r="N16" i="54"/>
  <c r="N24" i="54"/>
  <c r="N32" i="54"/>
  <c r="N10" i="54"/>
  <c r="N22" i="54"/>
  <c r="N30" i="54"/>
  <c r="N38" i="54"/>
  <c r="T11" i="53"/>
  <c r="U5" i="53"/>
  <c r="O15" i="54" s="1"/>
  <c r="P15" i="54" s="1"/>
  <c r="BB138" i="46"/>
  <c r="BC138" i="46"/>
  <c r="C136" i="46"/>
  <c r="O136" i="46"/>
  <c r="V136" i="46"/>
  <c r="I10" i="53" s="1"/>
  <c r="R137" i="46"/>
  <c r="S137" i="46"/>
  <c r="AC136" i="46"/>
  <c r="I5" i="53" s="1"/>
  <c r="E15" i="54" s="1"/>
  <c r="I9" i="53"/>
  <c r="AH4" i="51"/>
  <c r="AI3" i="51" s="1"/>
  <c r="Y137" i="46"/>
  <c r="X144" i="46" s="1"/>
  <c r="I8" i="53"/>
  <c r="R138" i="46"/>
  <c r="EC47" i="2"/>
  <c r="EC46" i="2"/>
  <c r="EC45" i="2"/>
  <c r="EC44" i="2"/>
  <c r="EA42" i="2"/>
  <c r="DW42" i="2"/>
  <c r="DS42" i="2"/>
  <c r="DO42" i="2"/>
  <c r="DG42" i="2"/>
  <c r="DC42" i="2"/>
  <c r="CU42" i="2"/>
  <c r="CQ42" i="2"/>
  <c r="CM42" i="2"/>
  <c r="CI42" i="2"/>
  <c r="CE42" i="2"/>
  <c r="CA42" i="2"/>
  <c r="BS42" i="2"/>
  <c r="BK42" i="2"/>
  <c r="BG42" i="2"/>
  <c r="BC42" i="2"/>
  <c r="AY42" i="2"/>
  <c r="AU42" i="2"/>
  <c r="AQ42" i="2"/>
  <c r="AM42" i="2"/>
  <c r="AI42" i="2"/>
  <c r="AE42" i="2"/>
  <c r="AA42" i="2"/>
  <c r="G42" i="2"/>
  <c r="EV39" i="2"/>
  <c r="EH39" i="2" s="1"/>
  <c r="DY39" i="2"/>
  <c r="DK39" i="2"/>
  <c r="BW39" i="2"/>
  <c r="DY38" i="2"/>
  <c r="DK38" i="2"/>
  <c r="BW38" i="2"/>
  <c r="EV37" i="2"/>
  <c r="EH37" i="2" s="1"/>
  <c r="DY37" i="2"/>
  <c r="BW37" i="2"/>
  <c r="EV36" i="2"/>
  <c r="EH36" i="2" s="1"/>
  <c r="DY36" i="2"/>
  <c r="BW36" i="2"/>
  <c r="DY35" i="2"/>
  <c r="DK35" i="2"/>
  <c r="DY34" i="2"/>
  <c r="DK34" i="2"/>
  <c r="BW34" i="2"/>
  <c r="DY33" i="2"/>
  <c r="BW33" i="2"/>
  <c r="EV32" i="2"/>
  <c r="EH32" i="2" s="1"/>
  <c r="DY32" i="2"/>
  <c r="BW32" i="2"/>
  <c r="EV31" i="2"/>
  <c r="EH31" i="2" s="1"/>
  <c r="DY31" i="2"/>
  <c r="EV30" i="2"/>
  <c r="EH30" i="2" s="1"/>
  <c r="DY30" i="2"/>
  <c r="EV29" i="2"/>
  <c r="EH29" i="2" s="1"/>
  <c r="DY29" i="2"/>
  <c r="BW29" i="2"/>
  <c r="EV28" i="2"/>
  <c r="EH28" i="2" s="1"/>
  <c r="DY28" i="2"/>
  <c r="DK28" i="2"/>
  <c r="BW28" i="2"/>
  <c r="EV27" i="2"/>
  <c r="EH27" i="2" s="1"/>
  <c r="DY27" i="2"/>
  <c r="BW27" i="2"/>
  <c r="EV26" i="2"/>
  <c r="EH26" i="2" s="1"/>
  <c r="DY26" i="2"/>
  <c r="BW26" i="2"/>
  <c r="EV25" i="2"/>
  <c r="EH25" i="2" s="1"/>
  <c r="DY25" i="2"/>
  <c r="BW25" i="2"/>
  <c r="EV24" i="2"/>
  <c r="EH24" i="2" s="1"/>
  <c r="DY24" i="2"/>
  <c r="DK24" i="2"/>
  <c r="BW24" i="2"/>
  <c r="EV23" i="2"/>
  <c r="EH23" i="2" s="1"/>
  <c r="DY23" i="2"/>
  <c r="DK23" i="2"/>
  <c r="BW23" i="2"/>
  <c r="EV22" i="2"/>
  <c r="EH22" i="2" s="1"/>
  <c r="DY22" i="2"/>
  <c r="DK22" i="2"/>
  <c r="BW22" i="2"/>
  <c r="EV21" i="2"/>
  <c r="EH21" i="2" s="1"/>
  <c r="DY21" i="2"/>
  <c r="DK21" i="2"/>
  <c r="BW21" i="2"/>
  <c r="DY20" i="2"/>
  <c r="EV19" i="2"/>
  <c r="EH19" i="2" s="1"/>
  <c r="DY19" i="2"/>
  <c r="DK19" i="2"/>
  <c r="EV18" i="2"/>
  <c r="EH18" i="2" s="1"/>
  <c r="DY18" i="2"/>
  <c r="DK18" i="2"/>
  <c r="EV17" i="2"/>
  <c r="EH17" i="2" s="1"/>
  <c r="DY17" i="2"/>
  <c r="DK17" i="2"/>
  <c r="EV16" i="2"/>
  <c r="EH16" i="2" s="1"/>
  <c r="DY16" i="2"/>
  <c r="DK16" i="2"/>
  <c r="EV15" i="2"/>
  <c r="EH15" i="2" s="1"/>
  <c r="DY15" i="2"/>
  <c r="DK15" i="2"/>
  <c r="DY14" i="2"/>
  <c r="BW14" i="2"/>
  <c r="EV13" i="2"/>
  <c r="EH13" i="2" s="1"/>
  <c r="DY13" i="2"/>
  <c r="DK13" i="2"/>
  <c r="BW13" i="2"/>
  <c r="DY12" i="2"/>
  <c r="DK12" i="2"/>
  <c r="BW12" i="2"/>
  <c r="DY11" i="2"/>
  <c r="DK11" i="2"/>
  <c r="BW11" i="2"/>
  <c r="EO10" i="2"/>
  <c r="EC10" i="2"/>
  <c r="EC11" i="2" s="1"/>
  <c r="DY10" i="2"/>
  <c r="DU10" i="2"/>
  <c r="DU11" i="2" s="1"/>
  <c r="DU12" i="2" s="1"/>
  <c r="DU13" i="2" s="1"/>
  <c r="DU14" i="2" s="1"/>
  <c r="DQ10" i="2"/>
  <c r="DQ11" i="2" s="1"/>
  <c r="DE10" i="2"/>
  <c r="DE11" i="2" s="1"/>
  <c r="CY42" i="2"/>
  <c r="CW10" i="2"/>
  <c r="CW11" i="2" s="1"/>
  <c r="CW12" i="2" s="1"/>
  <c r="CS10" i="2"/>
  <c r="CS11" i="2" s="1"/>
  <c r="CO10" i="2"/>
  <c r="CK10" i="2"/>
  <c r="CK11" i="2" s="1"/>
  <c r="CK12" i="2" s="1"/>
  <c r="CG10" i="2"/>
  <c r="CG11" i="2" s="1"/>
  <c r="CG12" i="2" s="1"/>
  <c r="BW10" i="2"/>
  <c r="BY10" i="2" s="1"/>
  <c r="BU10" i="2"/>
  <c r="BQ10" i="2"/>
  <c r="BM10" i="2"/>
  <c r="BI10" i="2"/>
  <c r="BE10" i="2"/>
  <c r="BE11" i="2" s="1"/>
  <c r="BE12" i="2" s="1"/>
  <c r="BE13" i="2" s="1"/>
  <c r="BA10" i="2"/>
  <c r="BA11" i="2" s="1"/>
  <c r="BA12" i="2" s="1"/>
  <c r="BA13" i="2" s="1"/>
  <c r="BA14" i="2" s="1"/>
  <c r="AW10" i="2"/>
  <c r="AW11" i="2" s="1"/>
  <c r="AS10" i="2"/>
  <c r="AS11" i="2" s="1"/>
  <c r="AO10" i="2"/>
  <c r="AO11" i="2" s="1"/>
  <c r="AK10" i="2"/>
  <c r="AK11" i="2" s="1"/>
  <c r="AG10" i="2"/>
  <c r="AG11" i="2" s="1"/>
  <c r="AC10" i="2"/>
  <c r="AC11" i="2" s="1"/>
  <c r="Y10" i="2"/>
  <c r="Y11" i="2" s="1"/>
  <c r="U10" i="2"/>
  <c r="U11" i="2" s="1"/>
  <c r="U12" i="2" s="1"/>
  <c r="U13" i="2" s="1"/>
  <c r="Q10" i="2"/>
  <c r="Q11" i="2" s="1"/>
  <c r="Q12" i="2" s="1"/>
  <c r="Q13" i="2" s="1"/>
  <c r="M10" i="2"/>
  <c r="M11" i="2" s="1"/>
  <c r="I10" i="2"/>
  <c r="I11" i="2" s="1"/>
  <c r="C40" i="1"/>
  <c r="C40" i="2" s="1"/>
  <c r="B40" i="1"/>
  <c r="B40" i="2" s="1"/>
  <c r="C39" i="1"/>
  <c r="C39" i="2" s="1"/>
  <c r="B39" i="1"/>
  <c r="B39" i="2" s="1"/>
  <c r="C38" i="1"/>
  <c r="C38" i="2" s="1"/>
  <c r="B38" i="1"/>
  <c r="C37" i="1"/>
  <c r="C37" i="2" s="1"/>
  <c r="B37" i="1"/>
  <c r="C36" i="1"/>
  <c r="C36" i="2" s="1"/>
  <c r="B36" i="1"/>
  <c r="C35" i="1"/>
  <c r="C35" i="2" s="1"/>
  <c r="B35" i="1"/>
  <c r="C34" i="1"/>
  <c r="C34" i="2" s="1"/>
  <c r="B34" i="1"/>
  <c r="C33" i="1"/>
  <c r="C33" i="2" s="1"/>
  <c r="B33" i="1"/>
  <c r="C32" i="1"/>
  <c r="C32" i="2" s="1"/>
  <c r="B32" i="1"/>
  <c r="C31" i="1"/>
  <c r="C31" i="2" s="1"/>
  <c r="B31" i="1"/>
  <c r="B31" i="2" s="1"/>
  <c r="C30" i="1"/>
  <c r="C30" i="2" s="1"/>
  <c r="B30" i="1"/>
  <c r="B30" i="2" s="1"/>
  <c r="C29" i="1"/>
  <c r="C29" i="2" s="1"/>
  <c r="B29" i="1"/>
  <c r="C28" i="1"/>
  <c r="C28" i="2" s="1"/>
  <c r="B28" i="1"/>
  <c r="B28" i="2" s="1"/>
  <c r="C27" i="1"/>
  <c r="C27" i="2" s="1"/>
  <c r="B27" i="1"/>
  <c r="B27" i="2" s="1"/>
  <c r="C26" i="1"/>
  <c r="C26" i="2" s="1"/>
  <c r="B26" i="1"/>
  <c r="B26" i="2" s="1"/>
  <c r="C25" i="1"/>
  <c r="C25" i="2" s="1"/>
  <c r="B25" i="1"/>
  <c r="B25" i="2" s="1"/>
  <c r="C24" i="1"/>
  <c r="C24" i="2" s="1"/>
  <c r="B24" i="1"/>
  <c r="C23" i="1"/>
  <c r="C23" i="2" s="1"/>
  <c r="B23" i="1"/>
  <c r="B23" i="2" s="1"/>
  <c r="C22" i="1"/>
  <c r="C22" i="2" s="1"/>
  <c r="B22" i="1"/>
  <c r="B22" i="2" s="1"/>
  <c r="C21" i="1"/>
  <c r="C21" i="2" s="1"/>
  <c r="B21" i="1"/>
  <c r="C20" i="1"/>
  <c r="C20" i="2" s="1"/>
  <c r="B20" i="1"/>
  <c r="C19" i="1"/>
  <c r="C19" i="2" s="1"/>
  <c r="B19" i="1"/>
  <c r="B19" i="2" s="1"/>
  <c r="C18" i="1"/>
  <c r="C18" i="2" s="1"/>
  <c r="B18" i="1"/>
  <c r="B18" i="2" s="1"/>
  <c r="C17" i="1"/>
  <c r="C17" i="2" s="1"/>
  <c r="B17" i="1"/>
  <c r="B17" i="2" s="1"/>
  <c r="C16" i="1"/>
  <c r="C16" i="2" s="1"/>
  <c r="B16" i="1"/>
  <c r="C15" i="1"/>
  <c r="C15" i="2" s="1"/>
  <c r="B15" i="1"/>
  <c r="B15" i="2" s="1"/>
  <c r="C14" i="1"/>
  <c r="C14" i="2" s="1"/>
  <c r="B14" i="1"/>
  <c r="B14" i="2" s="1"/>
  <c r="C13" i="1"/>
  <c r="C13" i="2" s="1"/>
  <c r="B13" i="1"/>
  <c r="C12" i="1"/>
  <c r="C12" i="2" s="1"/>
  <c r="B12" i="1"/>
  <c r="C11" i="1"/>
  <c r="C11" i="2" s="1"/>
  <c r="B11" i="1"/>
  <c r="B11" i="2" s="1"/>
  <c r="C10" i="1"/>
  <c r="C10" i="2" s="1"/>
  <c r="B10" i="1"/>
  <c r="B10" i="2" s="1"/>
  <c r="A11" i="1"/>
  <c r="AT39" i="48"/>
  <c r="P39" i="48"/>
  <c r="B38" i="45" s="1"/>
  <c r="P38" i="48"/>
  <c r="B37" i="45" s="1"/>
  <c r="P37" i="48"/>
  <c r="B36" i="45" s="1"/>
  <c r="P36" i="48"/>
  <c r="B35" i="45" s="1"/>
  <c r="E36" i="48"/>
  <c r="D36" i="48"/>
  <c r="P35" i="48"/>
  <c r="B34" i="45" s="1"/>
  <c r="E35" i="48"/>
  <c r="D35" i="48"/>
  <c r="P34" i="48"/>
  <c r="B33" i="45" s="1"/>
  <c r="E34" i="48"/>
  <c r="D34" i="48"/>
  <c r="P33" i="48"/>
  <c r="B32" i="45" s="1"/>
  <c r="E33" i="48"/>
  <c r="D33" i="48"/>
  <c r="P32" i="48"/>
  <c r="B31" i="45" s="1"/>
  <c r="E32" i="48"/>
  <c r="D32" i="48"/>
  <c r="P31" i="48"/>
  <c r="B30" i="45" s="1"/>
  <c r="P30" i="48"/>
  <c r="B29" i="45" s="1"/>
  <c r="P29" i="48"/>
  <c r="B28" i="45" s="1"/>
  <c r="P28" i="48"/>
  <c r="B27" i="45" s="1"/>
  <c r="P27" i="48"/>
  <c r="B26" i="45" s="1"/>
  <c r="P26" i="48"/>
  <c r="B25" i="45" s="1"/>
  <c r="P25" i="48"/>
  <c r="B24" i="45" s="1"/>
  <c r="E25" i="48"/>
  <c r="D25" i="48"/>
  <c r="P24" i="48"/>
  <c r="B23" i="45" s="1"/>
  <c r="E24" i="48"/>
  <c r="D24" i="48"/>
  <c r="P23" i="48"/>
  <c r="B22" i="45" s="1"/>
  <c r="P22" i="48"/>
  <c r="B21" i="45" s="1"/>
  <c r="P21" i="48"/>
  <c r="B20" i="45" s="1"/>
  <c r="P20" i="48"/>
  <c r="B19" i="45" s="1"/>
  <c r="P19" i="48"/>
  <c r="B18" i="45" s="1"/>
  <c r="P18" i="48"/>
  <c r="B17" i="45" s="1"/>
  <c r="P17" i="48"/>
  <c r="B16" i="45" s="1"/>
  <c r="P16" i="48"/>
  <c r="B15" i="45" s="1"/>
  <c r="P15" i="48"/>
  <c r="B14" i="45" s="1"/>
  <c r="P14" i="48"/>
  <c r="B13" i="45" s="1"/>
  <c r="P13" i="48"/>
  <c r="B12" i="45" s="1"/>
  <c r="P12" i="48"/>
  <c r="B11" i="45" s="1"/>
  <c r="P11" i="48"/>
  <c r="B10" i="45" s="1"/>
  <c r="P10" i="48"/>
  <c r="B9" i="45" s="1"/>
  <c r="E10" i="48"/>
  <c r="D10" i="48"/>
  <c r="AS9" i="48"/>
  <c r="P9" i="48"/>
  <c r="B8" i="45" s="1"/>
  <c r="A10" i="48"/>
  <c r="AF41" i="48"/>
  <c r="Z41" i="48"/>
  <c r="AH39" i="48"/>
  <c r="AG9" i="48"/>
  <c r="AG10" i="48" s="1"/>
  <c r="AA9" i="48"/>
  <c r="AA10" i="48" s="1"/>
  <c r="AT36" i="48" l="1"/>
  <c r="AT37" i="48"/>
  <c r="AT29" i="48"/>
  <c r="AT31" i="48"/>
  <c r="AT28" i="48"/>
  <c r="AT34" i="48"/>
  <c r="AT22" i="48"/>
  <c r="AT27" i="48"/>
  <c r="AT23" i="48"/>
  <c r="AT20" i="48"/>
  <c r="AT24" i="48"/>
  <c r="AT18" i="48"/>
  <c r="AT15" i="48"/>
  <c r="AT16" i="48"/>
  <c r="AT13" i="48"/>
  <c r="AT12" i="48"/>
  <c r="AQ137" i="55"/>
  <c r="X159" i="55" s="1"/>
  <c r="R15" i="45"/>
  <c r="AB15" i="45"/>
  <c r="J15" i="45"/>
  <c r="V15" i="45"/>
  <c r="F15" i="45"/>
  <c r="N15" i="45"/>
  <c r="Y15" i="45"/>
  <c r="R20" i="45"/>
  <c r="AB20" i="45"/>
  <c r="N20" i="45"/>
  <c r="V20" i="45"/>
  <c r="F20" i="45"/>
  <c r="J20" i="45"/>
  <c r="Y20" i="45"/>
  <c r="R31" i="45"/>
  <c r="J31" i="45"/>
  <c r="V31" i="45"/>
  <c r="AB31" i="45"/>
  <c r="Y31" i="45"/>
  <c r="N31" i="45"/>
  <c r="F31" i="45"/>
  <c r="R36" i="45"/>
  <c r="N36" i="45"/>
  <c r="F36" i="45"/>
  <c r="J36" i="45"/>
  <c r="V36" i="45"/>
  <c r="AB36" i="45"/>
  <c r="Y36" i="45"/>
  <c r="R21" i="45"/>
  <c r="N21" i="45"/>
  <c r="F21" i="45"/>
  <c r="J21" i="45"/>
  <c r="AB21" i="45"/>
  <c r="V21" i="45"/>
  <c r="Y21" i="45"/>
  <c r="R28" i="45"/>
  <c r="AB28" i="45"/>
  <c r="N28" i="45"/>
  <c r="V28" i="45"/>
  <c r="F28" i="45"/>
  <c r="J28" i="45"/>
  <c r="Y28" i="45"/>
  <c r="R37" i="45"/>
  <c r="N37" i="45"/>
  <c r="V37" i="45"/>
  <c r="F37" i="45"/>
  <c r="J37" i="45"/>
  <c r="AB37" i="45"/>
  <c r="Y37" i="45"/>
  <c r="A11" i="48"/>
  <c r="A9" i="45"/>
  <c r="N16" i="45"/>
  <c r="V16" i="45"/>
  <c r="R16" i="45"/>
  <c r="J16" i="45"/>
  <c r="AB16" i="45"/>
  <c r="F16" i="45"/>
  <c r="Y16" i="45"/>
  <c r="R34" i="45"/>
  <c r="AB34" i="45"/>
  <c r="F34" i="45"/>
  <c r="J34" i="45"/>
  <c r="N34" i="45"/>
  <c r="V34" i="45"/>
  <c r="Y34" i="45"/>
  <c r="R38" i="45"/>
  <c r="N38" i="45"/>
  <c r="F38" i="45"/>
  <c r="J38" i="45"/>
  <c r="V38" i="45"/>
  <c r="AB38" i="45"/>
  <c r="Y38" i="45"/>
  <c r="R22" i="45"/>
  <c r="V22" i="45"/>
  <c r="N22" i="45"/>
  <c r="J22" i="45"/>
  <c r="F22" i="45"/>
  <c r="AB22" i="45"/>
  <c r="Y22" i="45"/>
  <c r="R24" i="45"/>
  <c r="AB24" i="45"/>
  <c r="N24" i="45"/>
  <c r="V24" i="45"/>
  <c r="J24" i="45"/>
  <c r="F24" i="45"/>
  <c r="Y24" i="45"/>
  <c r="N29" i="45"/>
  <c r="R29" i="45"/>
  <c r="V29" i="45"/>
  <c r="F29" i="45"/>
  <c r="J29" i="45"/>
  <c r="AB29" i="45"/>
  <c r="Y29" i="45"/>
  <c r="R32" i="45"/>
  <c r="N32" i="45"/>
  <c r="AB32" i="45"/>
  <c r="F32" i="45"/>
  <c r="V32" i="45"/>
  <c r="J32" i="45"/>
  <c r="Y32" i="45"/>
  <c r="R27" i="45"/>
  <c r="AB27" i="45"/>
  <c r="J27" i="45"/>
  <c r="N27" i="45"/>
  <c r="V27" i="45"/>
  <c r="F27" i="45"/>
  <c r="Y27" i="45"/>
  <c r="R9" i="45"/>
  <c r="AB9" i="45"/>
  <c r="V9" i="45"/>
  <c r="J9" i="45"/>
  <c r="F9" i="45"/>
  <c r="R17" i="45"/>
  <c r="AB17" i="45"/>
  <c r="F17" i="45"/>
  <c r="V17" i="45"/>
  <c r="N17" i="45"/>
  <c r="J17" i="45"/>
  <c r="Y17" i="45"/>
  <c r="AB25" i="45"/>
  <c r="R25" i="45"/>
  <c r="J25" i="45"/>
  <c r="V25" i="45"/>
  <c r="N25" i="45"/>
  <c r="F25" i="45"/>
  <c r="Y25" i="45"/>
  <c r="N13" i="45"/>
  <c r="R13" i="45"/>
  <c r="J13" i="45"/>
  <c r="F13" i="45"/>
  <c r="V13" i="45"/>
  <c r="AB13" i="45"/>
  <c r="Y13" i="45"/>
  <c r="R18" i="45"/>
  <c r="AB18" i="45"/>
  <c r="J18" i="45"/>
  <c r="V18" i="45"/>
  <c r="F18" i="45"/>
  <c r="N18" i="45"/>
  <c r="Y18" i="45"/>
  <c r="R26" i="45"/>
  <c r="V26" i="45"/>
  <c r="N26" i="45"/>
  <c r="J26" i="45"/>
  <c r="F26" i="45"/>
  <c r="AB26" i="45"/>
  <c r="Y26" i="45"/>
  <c r="R35" i="45"/>
  <c r="AB35" i="45"/>
  <c r="F35" i="45"/>
  <c r="N35" i="45"/>
  <c r="J35" i="45"/>
  <c r="V35" i="45"/>
  <c r="Y35" i="45"/>
  <c r="R23" i="45"/>
  <c r="N23" i="45"/>
  <c r="J23" i="45"/>
  <c r="F23" i="45"/>
  <c r="AB23" i="45"/>
  <c r="V23" i="45"/>
  <c r="Y23" i="45"/>
  <c r="R12" i="45"/>
  <c r="AB12" i="45"/>
  <c r="J12" i="45"/>
  <c r="V12" i="45"/>
  <c r="N12" i="45"/>
  <c r="F12" i="45"/>
  <c r="Y12" i="45"/>
  <c r="R30" i="45"/>
  <c r="N30" i="45"/>
  <c r="J30" i="45"/>
  <c r="AB30" i="45"/>
  <c r="F30" i="45"/>
  <c r="V30" i="45"/>
  <c r="Y30" i="45"/>
  <c r="R14" i="45"/>
  <c r="J14" i="45"/>
  <c r="V14" i="45"/>
  <c r="AB14" i="45"/>
  <c r="F14" i="45"/>
  <c r="N14" i="45"/>
  <c r="Y14" i="45"/>
  <c r="R19" i="45"/>
  <c r="AB19" i="45"/>
  <c r="V19" i="45"/>
  <c r="J19" i="45"/>
  <c r="F19" i="45"/>
  <c r="N19" i="45"/>
  <c r="Y19" i="45"/>
  <c r="R33" i="45"/>
  <c r="J33" i="45"/>
  <c r="N33" i="45"/>
  <c r="AB33" i="45"/>
  <c r="V33" i="45"/>
  <c r="F33" i="45"/>
  <c r="Y33" i="45"/>
  <c r="R11" i="45"/>
  <c r="AB11" i="45"/>
  <c r="F11" i="45"/>
  <c r="J11" i="45"/>
  <c r="V11" i="45"/>
  <c r="J10" i="45"/>
  <c r="V10" i="45"/>
  <c r="AB10" i="45"/>
  <c r="F10" i="45"/>
  <c r="R10" i="45"/>
  <c r="D15" i="45"/>
  <c r="AE14" i="45"/>
  <c r="AG137" i="55"/>
  <c r="X150" i="55" s="1"/>
  <c r="AN137" i="55"/>
  <c r="X156" i="55" s="1"/>
  <c r="AF137" i="55"/>
  <c r="X149" i="55" s="1"/>
  <c r="AO137" i="55"/>
  <c r="X157" i="55" s="1"/>
  <c r="AW137" i="55"/>
  <c r="X163" i="55" s="1"/>
  <c r="AK137" i="55"/>
  <c r="X154" i="55" s="1"/>
  <c r="AS137" i="55"/>
  <c r="X160" i="55" s="1"/>
  <c r="AY137" i="55"/>
  <c r="AL137" i="55"/>
  <c r="X155" i="55" s="1"/>
  <c r="AV137" i="55"/>
  <c r="X164" i="55" s="1"/>
  <c r="AH137" i="55"/>
  <c r="X151" i="55" s="1"/>
  <c r="BA137" i="55"/>
  <c r="AU137" i="55"/>
  <c r="X162" i="55" s="1"/>
  <c r="AJ137" i="55"/>
  <c r="X153" i="55" s="1"/>
  <c r="AP137" i="55"/>
  <c r="X158" i="55" s="1"/>
  <c r="AI137" i="55"/>
  <c r="X152" i="55" s="1"/>
  <c r="AX137" i="55"/>
  <c r="AT137" i="55"/>
  <c r="X161" i="55" s="1"/>
  <c r="AR137" i="55"/>
  <c r="AM137" i="55"/>
  <c r="AC137" i="46"/>
  <c r="X146" i="46" s="1"/>
  <c r="O35" i="54"/>
  <c r="O27" i="54"/>
  <c r="O19" i="54"/>
  <c r="O7" i="54"/>
  <c r="P7" i="54" s="1"/>
  <c r="O5" i="54"/>
  <c r="P5" i="54" s="1"/>
  <c r="O6" i="54"/>
  <c r="P6" i="54" s="1"/>
  <c r="O18" i="54"/>
  <c r="P18" i="54" s="1"/>
  <c r="O26" i="54"/>
  <c r="O34" i="54"/>
  <c r="O17" i="54"/>
  <c r="O25" i="54"/>
  <c r="O33" i="54"/>
  <c r="O21" i="54"/>
  <c r="O37" i="54"/>
  <c r="O11" i="54"/>
  <c r="P11" i="54" s="1"/>
  <c r="O23" i="54"/>
  <c r="O39" i="54"/>
  <c r="O8" i="54"/>
  <c r="P8" i="54" s="1"/>
  <c r="O10" i="54"/>
  <c r="P10" i="54" s="1"/>
  <c r="O16" i="54"/>
  <c r="O20" i="54"/>
  <c r="O22" i="54"/>
  <c r="O24" i="54"/>
  <c r="O28" i="54"/>
  <c r="O30" i="54"/>
  <c r="O32" i="54"/>
  <c r="O36" i="54"/>
  <c r="O38" i="54"/>
  <c r="O9" i="54"/>
  <c r="P9" i="54" s="1"/>
  <c r="O29" i="54"/>
  <c r="O31" i="54"/>
  <c r="O4" i="54"/>
  <c r="P4" i="54" s="1"/>
  <c r="V137" i="46"/>
  <c r="AV137" i="46" s="1"/>
  <c r="X164" i="46" s="1"/>
  <c r="F15" i="54"/>
  <c r="G15" i="54" s="1"/>
  <c r="E35" i="54"/>
  <c r="E33" i="54"/>
  <c r="E27" i="54"/>
  <c r="E25" i="54"/>
  <c r="E19" i="54"/>
  <c r="E17" i="54"/>
  <c r="E7" i="54"/>
  <c r="E5" i="54"/>
  <c r="E39" i="54"/>
  <c r="E37" i="54"/>
  <c r="E31" i="54"/>
  <c r="E29" i="54"/>
  <c r="E23" i="54"/>
  <c r="E21" i="54"/>
  <c r="E11" i="54"/>
  <c r="E9" i="54"/>
  <c r="E4" i="54"/>
  <c r="E6" i="54"/>
  <c r="E18" i="54"/>
  <c r="E26" i="54"/>
  <c r="E16" i="54"/>
  <c r="E24" i="54"/>
  <c r="E32" i="54"/>
  <c r="E8" i="54"/>
  <c r="E20" i="54"/>
  <c r="E28" i="54"/>
  <c r="E36" i="54"/>
  <c r="E10" i="54"/>
  <c r="E22" i="54"/>
  <c r="E30" i="54"/>
  <c r="E38" i="54"/>
  <c r="E34" i="54"/>
  <c r="AB35" i="48"/>
  <c r="G31" i="48"/>
  <c r="AH22" i="48"/>
  <c r="V38" i="48"/>
  <c r="H33" i="48"/>
  <c r="AB38" i="48"/>
  <c r="AH13" i="48"/>
  <c r="AH17" i="48"/>
  <c r="F32" i="48"/>
  <c r="F34" i="48"/>
  <c r="F36" i="48"/>
  <c r="G17" i="48"/>
  <c r="F33" i="48"/>
  <c r="V26" i="48"/>
  <c r="G30" i="48"/>
  <c r="AH30" i="48"/>
  <c r="H34" i="48"/>
  <c r="Q9" i="48"/>
  <c r="AI9" i="48" s="1"/>
  <c r="AB29" i="48"/>
  <c r="H36" i="48"/>
  <c r="AB36" i="48"/>
  <c r="H19" i="48"/>
  <c r="G25" i="48"/>
  <c r="AB15" i="48"/>
  <c r="G29" i="48"/>
  <c r="AH29" i="48"/>
  <c r="V25" i="48"/>
  <c r="G32" i="48"/>
  <c r="J8" i="45"/>
  <c r="R8" i="45"/>
  <c r="AB8" i="45"/>
  <c r="F8" i="45"/>
  <c r="V8" i="45"/>
  <c r="F24" i="48"/>
  <c r="D28" i="1"/>
  <c r="D28" i="2" s="1"/>
  <c r="D15" i="1"/>
  <c r="D15" i="2" s="1"/>
  <c r="EQ11" i="2"/>
  <c r="F10" i="48"/>
  <c r="A12" i="1"/>
  <c r="A11" i="2"/>
  <c r="B21" i="2"/>
  <c r="B32" i="2"/>
  <c r="D38" i="1"/>
  <c r="D38" i="2" s="1"/>
  <c r="AH37" i="48"/>
  <c r="V39" i="48"/>
  <c r="D40" i="1"/>
  <c r="D40" i="2" s="1"/>
  <c r="AB39" i="48"/>
  <c r="H39" i="48"/>
  <c r="G39" i="48"/>
  <c r="B29" i="2"/>
  <c r="AH32" i="48"/>
  <c r="D33" i="1"/>
  <c r="D33" i="2" s="1"/>
  <c r="V32" i="48"/>
  <c r="AB32" i="48"/>
  <c r="H32" i="48"/>
  <c r="B16" i="2"/>
  <c r="B37" i="2"/>
  <c r="G37" i="48"/>
  <c r="AB21" i="48"/>
  <c r="D22" i="1"/>
  <c r="D22" i="2" s="1"/>
  <c r="V21" i="48"/>
  <c r="D24" i="1"/>
  <c r="D24" i="2" s="1"/>
  <c r="G23" i="48"/>
  <c r="B13" i="2"/>
  <c r="B24" i="2"/>
  <c r="D10" i="1"/>
  <c r="D10" i="2" s="1"/>
  <c r="AB12" i="48"/>
  <c r="D13" i="1"/>
  <c r="D13" i="2" s="1"/>
  <c r="F25" i="48"/>
  <c r="AB33" i="48"/>
  <c r="D34" i="1"/>
  <c r="D34" i="2" s="1"/>
  <c r="G33" i="48"/>
  <c r="B12" i="2"/>
  <c r="B20" i="2"/>
  <c r="B33" i="2"/>
  <c r="B36" i="2"/>
  <c r="G11" i="48"/>
  <c r="D12" i="1"/>
  <c r="AB11" i="48"/>
  <c r="V24" i="48"/>
  <c r="D25" i="1"/>
  <c r="D25" i="2" s="1"/>
  <c r="G24" i="48"/>
  <c r="G12" i="48"/>
  <c r="AB24" i="48"/>
  <c r="G13" i="48"/>
  <c r="D14" i="1"/>
  <c r="D14" i="2" s="1"/>
  <c r="G15" i="48"/>
  <c r="D16" i="1"/>
  <c r="D16" i="2" s="1"/>
  <c r="D17" i="1"/>
  <c r="D17" i="2" s="1"/>
  <c r="H25" i="48"/>
  <c r="D26" i="1"/>
  <c r="D26" i="2" s="1"/>
  <c r="AB28" i="48"/>
  <c r="D29" i="1"/>
  <c r="D29" i="2" s="1"/>
  <c r="H28" i="48"/>
  <c r="G35" i="48"/>
  <c r="D36" i="1"/>
  <c r="D36" i="2" s="1"/>
  <c r="AH12" i="48"/>
  <c r="AB16" i="48"/>
  <c r="AH24" i="48"/>
  <c r="G28" i="48"/>
  <c r="AH33" i="48"/>
  <c r="H35" i="48"/>
  <c r="V17" i="48"/>
  <c r="D18" i="1"/>
  <c r="D18" i="2" s="1"/>
  <c r="AB19" i="48"/>
  <c r="D20" i="1"/>
  <c r="D20" i="2" s="1"/>
  <c r="AB20" i="48"/>
  <c r="D21" i="1"/>
  <c r="D21" i="2" s="1"/>
  <c r="V29" i="48"/>
  <c r="D30" i="1"/>
  <c r="D30" i="2" s="1"/>
  <c r="AB31" i="48"/>
  <c r="D32" i="1"/>
  <c r="D32" i="2" s="1"/>
  <c r="AH36" i="48"/>
  <c r="D37" i="1"/>
  <c r="D37" i="2" s="1"/>
  <c r="G36" i="48"/>
  <c r="B35" i="2"/>
  <c r="A10" i="2"/>
  <c r="AB10" i="48"/>
  <c r="D11" i="1"/>
  <c r="D11" i="2" s="1"/>
  <c r="AB18" i="48"/>
  <c r="D19" i="1"/>
  <c r="D19" i="2" s="1"/>
  <c r="H22" i="48"/>
  <c r="D23" i="1"/>
  <c r="D23" i="2" s="1"/>
  <c r="AH26" i="48"/>
  <c r="D27" i="1"/>
  <c r="D27" i="2" s="1"/>
  <c r="AB30" i="48"/>
  <c r="D31" i="1"/>
  <c r="D31" i="2" s="1"/>
  <c r="AH34" i="48"/>
  <c r="D35" i="1"/>
  <c r="D35" i="2" s="1"/>
  <c r="F35" i="48"/>
  <c r="G38" i="48"/>
  <c r="D39" i="1"/>
  <c r="D39" i="2" s="1"/>
  <c r="B34" i="2"/>
  <c r="B38" i="2"/>
  <c r="EV14" i="2"/>
  <c r="EH14" i="2" s="1"/>
  <c r="EV10" i="2"/>
  <c r="EW13" i="2"/>
  <c r="EW10" i="2"/>
  <c r="EV12" i="2"/>
  <c r="EH12" i="2" s="1"/>
  <c r="EQ13" i="2"/>
  <c r="M12" i="2"/>
  <c r="AS12" i="2"/>
  <c r="DE12" i="2"/>
  <c r="Y12" i="2"/>
  <c r="U14" i="2"/>
  <c r="AC12" i="2"/>
  <c r="CK13" i="2"/>
  <c r="DQ12" i="2"/>
  <c r="AG12" i="2"/>
  <c r="EC12" i="2"/>
  <c r="CG13" i="2"/>
  <c r="AK12" i="2"/>
  <c r="CS12" i="2"/>
  <c r="Q14" i="2"/>
  <c r="DU15" i="2"/>
  <c r="I12" i="2"/>
  <c r="AO12" i="2"/>
  <c r="CW13" i="2"/>
  <c r="DA10" i="2"/>
  <c r="BW20" i="2"/>
  <c r="BY11" i="2"/>
  <c r="EW12" i="2"/>
  <c r="BW19" i="2"/>
  <c r="BE14" i="2"/>
  <c r="EV11" i="2"/>
  <c r="EH11" i="2" s="1"/>
  <c r="AW12" i="2"/>
  <c r="BW18" i="2"/>
  <c r="CO11" i="2"/>
  <c r="EW11" i="2"/>
  <c r="DK14" i="2"/>
  <c r="BW17" i="2"/>
  <c r="DK10" i="2"/>
  <c r="EM42" i="2"/>
  <c r="CB42" i="2" s="1"/>
  <c r="EW38" i="2"/>
  <c r="EW39" i="2"/>
  <c r="EW37" i="2"/>
  <c r="EW33" i="2"/>
  <c r="EW36" i="2"/>
  <c r="EW32" i="2"/>
  <c r="EW31" i="2"/>
  <c r="EW30" i="2"/>
  <c r="EW29" i="2"/>
  <c r="EW27" i="2"/>
  <c r="EW28" i="2"/>
  <c r="EW21" i="2"/>
  <c r="EW23" i="2"/>
  <c r="EW34" i="2"/>
  <c r="EW35" i="2"/>
  <c r="EW25" i="2"/>
  <c r="EW26" i="2"/>
  <c r="EW24" i="2"/>
  <c r="EW20" i="2"/>
  <c r="EW19" i="2"/>
  <c r="EW18" i="2"/>
  <c r="EW17" i="2"/>
  <c r="EW16" i="2"/>
  <c r="EW15" i="2"/>
  <c r="EW14" i="2"/>
  <c r="EW22" i="2"/>
  <c r="BA15" i="2"/>
  <c r="BW16" i="2"/>
  <c r="DK20" i="2"/>
  <c r="BI11" i="2"/>
  <c r="EO11" i="2"/>
  <c r="BW15" i="2"/>
  <c r="EQ12" i="2"/>
  <c r="EV20" i="2"/>
  <c r="EH20" i="2" s="1"/>
  <c r="DK25" i="2"/>
  <c r="K42" i="2"/>
  <c r="BW30" i="2"/>
  <c r="BW31" i="2"/>
  <c r="EQ23" i="2"/>
  <c r="EJ23" i="2" s="1"/>
  <c r="DK29" i="2"/>
  <c r="EQ29" i="2" s="1"/>
  <c r="EJ29" i="2" s="1"/>
  <c r="EV33" i="2"/>
  <c r="EH33" i="2" s="1"/>
  <c r="DK32" i="2"/>
  <c r="EQ34" i="2"/>
  <c r="EV34" i="2"/>
  <c r="EH34" i="2" s="1"/>
  <c r="BW35" i="2"/>
  <c r="EQ35" i="2" s="1"/>
  <c r="EJ35" i="2" s="1"/>
  <c r="EQ21" i="2"/>
  <c r="EQ24" i="2"/>
  <c r="EJ24" i="2" s="1"/>
  <c r="DK26" i="2"/>
  <c r="DK27" i="2"/>
  <c r="DK30" i="2"/>
  <c r="EQ22" i="2"/>
  <c r="EJ22" i="2" s="1"/>
  <c r="DK31" i="2"/>
  <c r="EQ28" i="2"/>
  <c r="EJ28" i="2" s="1"/>
  <c r="EV35" i="2"/>
  <c r="EH35" i="2" s="1"/>
  <c r="DK33" i="2"/>
  <c r="EQ33" i="2" s="1"/>
  <c r="EJ33" i="2" s="1"/>
  <c r="EQ38" i="2"/>
  <c r="EV38" i="2"/>
  <c r="EH38" i="2" s="1"/>
  <c r="DK36" i="2"/>
  <c r="DK37" i="2"/>
  <c r="EQ37" i="2" s="1"/>
  <c r="EJ37" i="2" s="1"/>
  <c r="EQ39" i="2"/>
  <c r="H11" i="48"/>
  <c r="G21" i="48"/>
  <c r="AB25" i="48"/>
  <c r="V28" i="48"/>
  <c r="AH38" i="48"/>
  <c r="AB9" i="48"/>
  <c r="G16" i="48"/>
  <c r="AH21" i="48"/>
  <c r="AH25" i="48"/>
  <c r="V33" i="48"/>
  <c r="H38" i="48"/>
  <c r="H24" i="48"/>
  <c r="AB17" i="48"/>
  <c r="AH11" i="48"/>
  <c r="AB13" i="48"/>
  <c r="V14" i="48"/>
  <c r="AH16" i="48"/>
  <c r="H17" i="48"/>
  <c r="G19" i="48"/>
  <c r="AH19" i="48"/>
  <c r="H29" i="48"/>
  <c r="H20" i="48"/>
  <c r="V22" i="48"/>
  <c r="V19" i="48"/>
  <c r="V23" i="48"/>
  <c r="AG11" i="48"/>
  <c r="AA11" i="48"/>
  <c r="AS10" i="48"/>
  <c r="AS11" i="48" s="1"/>
  <c r="AS12" i="48" s="1"/>
  <c r="AS13" i="48" s="1"/>
  <c r="AS14" i="48" s="1"/>
  <c r="AS15" i="48" s="1"/>
  <c r="AS16" i="48" s="1"/>
  <c r="AS17" i="48" s="1"/>
  <c r="AS18" i="48" s="1"/>
  <c r="AS19" i="48" s="1"/>
  <c r="AS20" i="48" s="1"/>
  <c r="AS21" i="48" s="1"/>
  <c r="AS22" i="48" s="1"/>
  <c r="AS23" i="48" s="1"/>
  <c r="AS24" i="48" s="1"/>
  <c r="AS25" i="48" s="1"/>
  <c r="AS26" i="48" s="1"/>
  <c r="AS27" i="48" s="1"/>
  <c r="AS28" i="48" s="1"/>
  <c r="AS29" i="48" s="1"/>
  <c r="AS30" i="48" s="1"/>
  <c r="AS31" i="48" s="1"/>
  <c r="AS32" i="48" s="1"/>
  <c r="AS33" i="48" s="1"/>
  <c r="AS34" i="48" s="1"/>
  <c r="AS35" i="48" s="1"/>
  <c r="AS36" i="48" s="1"/>
  <c r="AS37" i="48" s="1"/>
  <c r="AS38" i="48" s="1"/>
  <c r="AS39" i="48" s="1"/>
  <c r="H14" i="48"/>
  <c r="AH14" i="48"/>
  <c r="V18" i="48"/>
  <c r="AT21" i="48"/>
  <c r="AH23" i="48"/>
  <c r="AB27" i="48"/>
  <c r="G10" i="48"/>
  <c r="H13" i="48"/>
  <c r="AB14" i="48"/>
  <c r="AT17" i="48"/>
  <c r="G18" i="48"/>
  <c r="AT19" i="48"/>
  <c r="G20" i="48"/>
  <c r="AT25" i="48"/>
  <c r="AT32" i="48"/>
  <c r="AH18" i="48"/>
  <c r="H30" i="48"/>
  <c r="AH10" i="48"/>
  <c r="H18" i="48"/>
  <c r="H15" i="48"/>
  <c r="AH15" i="48"/>
  <c r="AH20" i="48"/>
  <c r="AB23" i="48"/>
  <c r="AH27" i="48"/>
  <c r="H10" i="48"/>
  <c r="AT14" i="48"/>
  <c r="AT11" i="48"/>
  <c r="H12" i="48"/>
  <c r="V20" i="48"/>
  <c r="H23" i="48"/>
  <c r="G27" i="48"/>
  <c r="P41" i="48"/>
  <c r="AZ41" i="48" s="1"/>
  <c r="AH9" i="48"/>
  <c r="G14" i="48"/>
  <c r="AB26" i="48"/>
  <c r="G26" i="48"/>
  <c r="H27" i="48"/>
  <c r="V27" i="48"/>
  <c r="AR41" i="48"/>
  <c r="H26" i="48"/>
  <c r="AT26" i="48"/>
  <c r="V30" i="48"/>
  <c r="AT30" i="48"/>
  <c r="AT10" i="48"/>
  <c r="H16" i="48"/>
  <c r="G22" i="48"/>
  <c r="AB22" i="48"/>
  <c r="AB34" i="48"/>
  <c r="G34" i="48"/>
  <c r="H21" i="48"/>
  <c r="V31" i="48"/>
  <c r="AT33" i="48"/>
  <c r="H37" i="48"/>
  <c r="AB37" i="48"/>
  <c r="H31" i="48"/>
  <c r="AH31" i="48"/>
  <c r="AT35" i="48"/>
  <c r="AH28" i="48"/>
  <c r="AT38" i="48"/>
  <c r="AH35" i="48"/>
  <c r="EN38" i="2" l="1"/>
  <c r="EJ38" i="2"/>
  <c r="BX21" i="2"/>
  <c r="EJ21" i="2"/>
  <c r="CZ11" i="2"/>
  <c r="EJ11" i="2"/>
  <c r="CZ34" i="2"/>
  <c r="EJ34" i="2"/>
  <c r="A12" i="48"/>
  <c r="A10" i="45"/>
  <c r="BX39" i="2"/>
  <c r="EJ39" i="2"/>
  <c r="DX13" i="2"/>
  <c r="DL12" i="2"/>
  <c r="EJ12" i="2"/>
  <c r="D16" i="45"/>
  <c r="AE15" i="45"/>
  <c r="P16" i="54"/>
  <c r="X165" i="55"/>
  <c r="P31" i="54"/>
  <c r="AH137" i="46"/>
  <c r="X151" i="46" s="1"/>
  <c r="AR137" i="46"/>
  <c r="AN137" i="46"/>
  <c r="X156" i="46" s="1"/>
  <c r="AZ137" i="46"/>
  <c r="X166" i="46" s="1"/>
  <c r="AG137" i="46"/>
  <c r="X150" i="46" s="1"/>
  <c r="AQ137" i="46"/>
  <c r="X159" i="46" s="1"/>
  <c r="AL137" i="46"/>
  <c r="X155" i="46" s="1"/>
  <c r="AT137" i="46"/>
  <c r="X161" i="46" s="1"/>
  <c r="P24" i="54"/>
  <c r="P19" i="54"/>
  <c r="Q4" i="54"/>
  <c r="P33" i="54"/>
  <c r="AP137" i="46"/>
  <c r="X158" i="46" s="1"/>
  <c r="P36" i="54"/>
  <c r="P38" i="54"/>
  <c r="Q38" i="54" s="1"/>
  <c r="AK137" i="46"/>
  <c r="X154" i="46" s="1"/>
  <c r="AX137" i="46"/>
  <c r="AJ137" i="46"/>
  <c r="X153" i="46" s="1"/>
  <c r="AS137" i="46"/>
  <c r="X160" i="46" s="1"/>
  <c r="AU137" i="46"/>
  <c r="X162" i="46" s="1"/>
  <c r="BA137" i="46"/>
  <c r="AI137" i="46"/>
  <c r="X152" i="46" s="1"/>
  <c r="AF137" i="46"/>
  <c r="X149" i="46" s="1"/>
  <c r="AM137" i="46"/>
  <c r="AY137" i="46"/>
  <c r="AO137" i="46"/>
  <c r="X157" i="46" s="1"/>
  <c r="AW137" i="46"/>
  <c r="X163" i="46" s="1"/>
  <c r="P11" i="2"/>
  <c r="CV11" i="2"/>
  <c r="DD11" i="2"/>
  <c r="DP11" i="2"/>
  <c r="CF11" i="2"/>
  <c r="CJ11" i="2"/>
  <c r="AB11" i="2"/>
  <c r="BX11" i="2"/>
  <c r="DX11" i="2"/>
  <c r="AN11" i="2"/>
  <c r="CB11" i="2"/>
  <c r="T11" i="2"/>
  <c r="DL11" i="2"/>
  <c r="BH11" i="2"/>
  <c r="X11" i="2"/>
  <c r="AF11" i="2"/>
  <c r="H11" i="2"/>
  <c r="CR11" i="2"/>
  <c r="EN11" i="2"/>
  <c r="AV11" i="2"/>
  <c r="DT11" i="2"/>
  <c r="CN11" i="2"/>
  <c r="BD11" i="2"/>
  <c r="AZ11" i="2"/>
  <c r="AJ11" i="2"/>
  <c r="EB11" i="2"/>
  <c r="AR11" i="2"/>
  <c r="L11" i="2"/>
  <c r="Q10" i="48"/>
  <c r="Q11" i="48" s="1"/>
  <c r="Q12" i="48" s="1"/>
  <c r="Q13" i="48" s="1"/>
  <c r="Q14" i="48" s="1"/>
  <c r="Q15" i="48" s="1"/>
  <c r="Q16" i="48" s="1"/>
  <c r="Q17" i="48" s="1"/>
  <c r="Q18" i="48" s="1"/>
  <c r="Q19" i="48" s="1"/>
  <c r="Q20" i="48" s="1"/>
  <c r="Q21" i="48" s="1"/>
  <c r="Q22" i="48" s="1"/>
  <c r="Q23" i="48" s="1"/>
  <c r="Q24" i="48" s="1"/>
  <c r="Q25" i="48" s="1"/>
  <c r="Q26" i="48" s="1"/>
  <c r="Q27" i="48" s="1"/>
  <c r="Q28" i="48" s="1"/>
  <c r="Q29" i="48" s="1"/>
  <c r="Q30" i="48" s="1"/>
  <c r="Q31" i="48" s="1"/>
  <c r="Q32" i="48" s="1"/>
  <c r="Q33" i="48" s="1"/>
  <c r="Q34" i="48" s="1"/>
  <c r="Q35" i="48" s="1"/>
  <c r="Q36" i="48" s="1"/>
  <c r="Q37" i="48" s="1"/>
  <c r="Q38" i="48" s="1"/>
  <c r="Q39" i="48" s="1"/>
  <c r="AC9" i="48"/>
  <c r="BX37" i="2"/>
  <c r="EN37" i="2"/>
  <c r="B40" i="45"/>
  <c r="D12" i="2"/>
  <c r="D42" i="2" s="1"/>
  <c r="D41" i="1"/>
  <c r="T13" i="2"/>
  <c r="AJ13" i="2"/>
  <c r="DL34" i="2"/>
  <c r="A13" i="1"/>
  <c r="A12" i="2"/>
  <c r="CR13" i="2"/>
  <c r="CF13" i="2"/>
  <c r="AZ13" i="2"/>
  <c r="EN34" i="2"/>
  <c r="DP13" i="2"/>
  <c r="AR13" i="2"/>
  <c r="BX13" i="2"/>
  <c r="L13" i="2"/>
  <c r="AF13" i="2"/>
  <c r="X13" i="2"/>
  <c r="BX34" i="2"/>
  <c r="BW42" i="2"/>
  <c r="CZ13" i="2"/>
  <c r="DT13" i="2"/>
  <c r="H13" i="2"/>
  <c r="DL13" i="2"/>
  <c r="BH13" i="2"/>
  <c r="DD13" i="2"/>
  <c r="BD13" i="2"/>
  <c r="EN13" i="2"/>
  <c r="CV13" i="2"/>
  <c r="AV13" i="2"/>
  <c r="CN13" i="2"/>
  <c r="AN13" i="2"/>
  <c r="EB13" i="2"/>
  <c r="CJ13" i="2"/>
  <c r="AB13" i="2"/>
  <c r="CB13" i="2"/>
  <c r="P13" i="2"/>
  <c r="CN29" i="2"/>
  <c r="CB29" i="2"/>
  <c r="AV29" i="2"/>
  <c r="P29" i="2"/>
  <c r="DP29" i="2"/>
  <c r="AF29" i="2"/>
  <c r="EB29" i="2"/>
  <c r="CJ29" i="2"/>
  <c r="H29" i="2"/>
  <c r="AZ29" i="2"/>
  <c r="X29" i="2"/>
  <c r="AR29" i="2"/>
  <c r="BH29" i="2"/>
  <c r="AB29" i="2"/>
  <c r="DD29" i="2"/>
  <c r="CF29" i="2"/>
  <c r="T29" i="2"/>
  <c r="CZ29" i="2"/>
  <c r="DX29" i="2"/>
  <c r="AN29" i="2"/>
  <c r="CV29" i="2"/>
  <c r="BX29" i="2"/>
  <c r="AJ29" i="2"/>
  <c r="DT29" i="2"/>
  <c r="L29" i="2"/>
  <c r="CR29" i="2"/>
  <c r="BD29" i="2"/>
  <c r="EN29" i="2"/>
  <c r="CV35" i="2"/>
  <c r="BD35" i="2"/>
  <c r="CR35" i="2"/>
  <c r="AZ35" i="2"/>
  <c r="T35" i="2"/>
  <c r="DX35" i="2"/>
  <c r="CF35" i="2"/>
  <c r="AN35" i="2"/>
  <c r="DT35" i="2"/>
  <c r="CJ35" i="2"/>
  <c r="DP35" i="2"/>
  <c r="EB35" i="2"/>
  <c r="DD35" i="2"/>
  <c r="AF35" i="2"/>
  <c r="AR35" i="2"/>
  <c r="X35" i="2"/>
  <c r="H35" i="2"/>
  <c r="BH35" i="2"/>
  <c r="CB35" i="2"/>
  <c r="P35" i="2"/>
  <c r="CN35" i="2"/>
  <c r="AV35" i="2"/>
  <c r="AJ35" i="2"/>
  <c r="AB35" i="2"/>
  <c r="L35" i="2"/>
  <c r="EN35" i="2"/>
  <c r="DL35" i="2"/>
  <c r="CZ35" i="2"/>
  <c r="CR33" i="2"/>
  <c r="AZ33" i="2"/>
  <c r="T33" i="2"/>
  <c r="DX33" i="2"/>
  <c r="CF33" i="2"/>
  <c r="AN33" i="2"/>
  <c r="CV33" i="2"/>
  <c r="AF33" i="2"/>
  <c r="P33" i="2"/>
  <c r="CN33" i="2"/>
  <c r="X33" i="2"/>
  <c r="DT33" i="2"/>
  <c r="EB33" i="2"/>
  <c r="AR33" i="2"/>
  <c r="CJ33" i="2"/>
  <c r="BD33" i="2"/>
  <c r="AJ33" i="2"/>
  <c r="DP33" i="2"/>
  <c r="BH33" i="2"/>
  <c r="L33" i="2"/>
  <c r="DD33" i="2"/>
  <c r="AB33" i="2"/>
  <c r="CB33" i="2"/>
  <c r="H33" i="2"/>
  <c r="AV33" i="2"/>
  <c r="BX33" i="2"/>
  <c r="EN33" i="2"/>
  <c r="CZ33" i="2"/>
  <c r="CN28" i="2"/>
  <c r="CB28" i="2"/>
  <c r="AV28" i="2"/>
  <c r="P28" i="2"/>
  <c r="DP28" i="2"/>
  <c r="AF28" i="2"/>
  <c r="T28" i="2"/>
  <c r="EN28" i="2"/>
  <c r="DT28" i="2"/>
  <c r="DD28" i="2"/>
  <c r="AN28" i="2"/>
  <c r="L28" i="2"/>
  <c r="AR28" i="2"/>
  <c r="X28" i="2"/>
  <c r="H28" i="2"/>
  <c r="DX28" i="2"/>
  <c r="BH28" i="2"/>
  <c r="DL28" i="2"/>
  <c r="CJ28" i="2"/>
  <c r="AZ28" i="2"/>
  <c r="AB28" i="2"/>
  <c r="EB28" i="2"/>
  <c r="CZ28" i="2"/>
  <c r="CF28" i="2"/>
  <c r="CV28" i="2"/>
  <c r="BX28" i="2"/>
  <c r="AJ28" i="2"/>
  <c r="CR28" i="2"/>
  <c r="BD28" i="2"/>
  <c r="EQ30" i="2"/>
  <c r="EJ30" i="2" s="1"/>
  <c r="EQ26" i="2"/>
  <c r="AW13" i="2"/>
  <c r="BE15" i="2"/>
  <c r="CG14" i="2"/>
  <c r="DP38" i="2"/>
  <c r="CR38" i="2"/>
  <c r="AZ38" i="2"/>
  <c r="T38" i="2"/>
  <c r="CN38" i="2"/>
  <c r="CB38" i="2"/>
  <c r="AV38" i="2"/>
  <c r="P38" i="2"/>
  <c r="CJ38" i="2"/>
  <c r="AR38" i="2"/>
  <c r="L38" i="2"/>
  <c r="EB38" i="2"/>
  <c r="DD38" i="2"/>
  <c r="AF38" i="2"/>
  <c r="DX38" i="2"/>
  <c r="CZ38" i="2"/>
  <c r="H38" i="2"/>
  <c r="AN38" i="2"/>
  <c r="AB38" i="2"/>
  <c r="DT38" i="2"/>
  <c r="BD38" i="2"/>
  <c r="X38" i="2"/>
  <c r="CF38" i="2"/>
  <c r="AJ38" i="2"/>
  <c r="CV38" i="2"/>
  <c r="BH38" i="2"/>
  <c r="DL33" i="2"/>
  <c r="EQ31" i="2"/>
  <c r="EC13" i="2"/>
  <c r="DX37" i="2"/>
  <c r="CF37" i="2"/>
  <c r="AN37" i="2"/>
  <c r="DT37" i="2"/>
  <c r="AJ37" i="2"/>
  <c r="DP37" i="2"/>
  <c r="AF37" i="2"/>
  <c r="CR37" i="2"/>
  <c r="AZ37" i="2"/>
  <c r="T37" i="2"/>
  <c r="DD37" i="2"/>
  <c r="CJ37" i="2"/>
  <c r="L37" i="2"/>
  <c r="AR37" i="2"/>
  <c r="P37" i="2"/>
  <c r="CB37" i="2"/>
  <c r="EB37" i="2"/>
  <c r="BH37" i="2"/>
  <c r="H37" i="2"/>
  <c r="CV37" i="2"/>
  <c r="AB37" i="2"/>
  <c r="BD37" i="2"/>
  <c r="CN37" i="2"/>
  <c r="X37" i="2"/>
  <c r="AV37" i="2"/>
  <c r="DL38" i="2"/>
  <c r="AF12" i="2"/>
  <c r="AJ12" i="2"/>
  <c r="CR12" i="2"/>
  <c r="CB12" i="2"/>
  <c r="BD12" i="2"/>
  <c r="AB12" i="2"/>
  <c r="EB12" i="2"/>
  <c r="DX12" i="2"/>
  <c r="AN12" i="2"/>
  <c r="L12" i="2"/>
  <c r="EN12" i="2"/>
  <c r="DD12" i="2"/>
  <c r="CN12" i="2"/>
  <c r="BX12" i="2"/>
  <c r="AZ12" i="2"/>
  <c r="X12" i="2"/>
  <c r="DP12" i="2"/>
  <c r="DT12" i="2"/>
  <c r="H12" i="2"/>
  <c r="CZ12" i="2"/>
  <c r="CJ12" i="2"/>
  <c r="T12" i="2"/>
  <c r="CF12" i="2"/>
  <c r="AV12" i="2"/>
  <c r="CV12" i="2"/>
  <c r="AR12" i="2"/>
  <c r="P12" i="2"/>
  <c r="BH12" i="2"/>
  <c r="BI12" i="2"/>
  <c r="EQ16" i="2"/>
  <c r="BY12" i="2"/>
  <c r="AO13" i="2"/>
  <c r="CS13" i="2"/>
  <c r="Y13" i="2"/>
  <c r="EQ15" i="2"/>
  <c r="EQ18" i="2"/>
  <c r="CK14" i="2"/>
  <c r="CN24" i="2"/>
  <c r="CB24" i="2"/>
  <c r="AV24" i="2"/>
  <c r="P24" i="2"/>
  <c r="DP24" i="2"/>
  <c r="AF24" i="2"/>
  <c r="CR24" i="2"/>
  <c r="EB24" i="2"/>
  <c r="CJ24" i="2"/>
  <c r="H24" i="2"/>
  <c r="DT24" i="2"/>
  <c r="CZ24" i="2"/>
  <c r="CF24" i="2"/>
  <c r="BD24" i="2"/>
  <c r="AN24" i="2"/>
  <c r="X24" i="2"/>
  <c r="AB24" i="2"/>
  <c r="DX24" i="2"/>
  <c r="CV24" i="2"/>
  <c r="EN24" i="2"/>
  <c r="DL24" i="2"/>
  <c r="BH24" i="2"/>
  <c r="AJ24" i="2"/>
  <c r="DD24" i="2"/>
  <c r="AZ24" i="2"/>
  <c r="L24" i="2"/>
  <c r="AR24" i="2"/>
  <c r="BX24" i="2"/>
  <c r="T24" i="2"/>
  <c r="CR34" i="2"/>
  <c r="AZ34" i="2"/>
  <c r="T34" i="2"/>
  <c r="DX34" i="2"/>
  <c r="CF34" i="2"/>
  <c r="AN34" i="2"/>
  <c r="AR34" i="2"/>
  <c r="AB34" i="2"/>
  <c r="AJ34" i="2"/>
  <c r="H34" i="2"/>
  <c r="DT34" i="2"/>
  <c r="CJ34" i="2"/>
  <c r="BD34" i="2"/>
  <c r="CV34" i="2"/>
  <c r="AV34" i="2"/>
  <c r="AF34" i="2"/>
  <c r="EB34" i="2"/>
  <c r="CB34" i="2"/>
  <c r="DD34" i="2"/>
  <c r="X34" i="2"/>
  <c r="P34" i="2"/>
  <c r="CN34" i="2"/>
  <c r="BH34" i="2"/>
  <c r="DP34" i="2"/>
  <c r="DL37" i="2"/>
  <c r="BX38" i="2"/>
  <c r="L34" i="2"/>
  <c r="CN21" i="2"/>
  <c r="CB21" i="2"/>
  <c r="AV21" i="2"/>
  <c r="P21" i="2"/>
  <c r="DP21" i="2"/>
  <c r="AF21" i="2"/>
  <c r="T21" i="2"/>
  <c r="EN21" i="2"/>
  <c r="CZ21" i="2"/>
  <c r="EB21" i="2"/>
  <c r="DL21" i="2"/>
  <c r="CV21" i="2"/>
  <c r="CF21" i="2"/>
  <c r="BD21" i="2"/>
  <c r="AN21" i="2"/>
  <c r="X21" i="2"/>
  <c r="DT21" i="2"/>
  <c r="BH21" i="2"/>
  <c r="AJ21" i="2"/>
  <c r="L21" i="2"/>
  <c r="CR21" i="2"/>
  <c r="CJ21" i="2"/>
  <c r="AZ21" i="2"/>
  <c r="DD21" i="2"/>
  <c r="AR21" i="2"/>
  <c r="H21" i="2"/>
  <c r="DX21" i="2"/>
  <c r="AB21" i="2"/>
  <c r="BA16" i="2"/>
  <c r="EQ19" i="2"/>
  <c r="EQ17" i="2"/>
  <c r="EJ17" i="2" s="1"/>
  <c r="I13" i="2"/>
  <c r="AK13" i="2"/>
  <c r="AS13" i="2"/>
  <c r="DT39" i="2"/>
  <c r="CV39" i="2"/>
  <c r="BD39" i="2"/>
  <c r="X39" i="2"/>
  <c r="CJ39" i="2"/>
  <c r="AR39" i="2"/>
  <c r="L39" i="2"/>
  <c r="EB39" i="2"/>
  <c r="DD39" i="2"/>
  <c r="DP39" i="2"/>
  <c r="CR39" i="2"/>
  <c r="AZ39" i="2"/>
  <c r="T39" i="2"/>
  <c r="CF39" i="2"/>
  <c r="AN39" i="2"/>
  <c r="DX39" i="2"/>
  <c r="CZ39" i="2"/>
  <c r="BH39" i="2"/>
  <c r="AB39" i="2"/>
  <c r="EN39" i="2"/>
  <c r="DL39" i="2"/>
  <c r="CN39" i="2"/>
  <c r="CB39" i="2"/>
  <c r="AV39" i="2"/>
  <c r="P39" i="2"/>
  <c r="AJ39" i="2"/>
  <c r="H39" i="2"/>
  <c r="AF39" i="2"/>
  <c r="EQ32" i="2"/>
  <c r="DL29" i="2"/>
  <c r="EQ25" i="2"/>
  <c r="EQ20" i="2"/>
  <c r="CO12" i="2"/>
  <c r="CW14" i="2"/>
  <c r="AG13" i="2"/>
  <c r="CZ37" i="2"/>
  <c r="EQ36" i="2"/>
  <c r="CN22" i="2"/>
  <c r="CB22" i="2"/>
  <c r="AV22" i="2"/>
  <c r="P22" i="2"/>
  <c r="DP22" i="2"/>
  <c r="AF22" i="2"/>
  <c r="T22" i="2"/>
  <c r="EB22" i="2"/>
  <c r="CJ22" i="2"/>
  <c r="H22" i="2"/>
  <c r="DT22" i="2"/>
  <c r="CZ22" i="2"/>
  <c r="BD22" i="2"/>
  <c r="DL22" i="2"/>
  <c r="L22" i="2"/>
  <c r="CR22" i="2"/>
  <c r="AB22" i="2"/>
  <c r="AN22" i="2"/>
  <c r="DD22" i="2"/>
  <c r="BH22" i="2"/>
  <c r="X22" i="2"/>
  <c r="CV22" i="2"/>
  <c r="AZ22" i="2"/>
  <c r="AR22" i="2"/>
  <c r="CF22" i="2"/>
  <c r="AJ22" i="2"/>
  <c r="BX22" i="2"/>
  <c r="EN22" i="2"/>
  <c r="DX22" i="2"/>
  <c r="EQ27" i="2"/>
  <c r="EO12" i="2"/>
  <c r="DK42" i="2"/>
  <c r="DM10" i="2"/>
  <c r="EQ10" i="2"/>
  <c r="DU16" i="2"/>
  <c r="AC13" i="2"/>
  <c r="DE13" i="2"/>
  <c r="M13" i="2"/>
  <c r="BX35" i="2"/>
  <c r="CN23" i="2"/>
  <c r="CB23" i="2"/>
  <c r="AV23" i="2"/>
  <c r="P23" i="2"/>
  <c r="DP23" i="2"/>
  <c r="AF23" i="2"/>
  <c r="CJ23" i="2"/>
  <c r="H23" i="2"/>
  <c r="EB23" i="2"/>
  <c r="DL23" i="2"/>
  <c r="CV23" i="2"/>
  <c r="BH23" i="2"/>
  <c r="DD23" i="2"/>
  <c r="AN23" i="2"/>
  <c r="DT23" i="2"/>
  <c r="AZ23" i="2"/>
  <c r="L23" i="2"/>
  <c r="X23" i="2"/>
  <c r="DX23" i="2"/>
  <c r="AR23" i="2"/>
  <c r="CF23" i="2"/>
  <c r="AJ23" i="2"/>
  <c r="AB23" i="2"/>
  <c r="EN23" i="2"/>
  <c r="CZ23" i="2"/>
  <c r="BD23" i="2"/>
  <c r="T23" i="2"/>
  <c r="CR23" i="2"/>
  <c r="BX23" i="2"/>
  <c r="EQ14" i="2"/>
  <c r="EJ14" i="2" s="1"/>
  <c r="DA11" i="2"/>
  <c r="Q15" i="2"/>
  <c r="DQ13" i="2"/>
  <c r="U15" i="2"/>
  <c r="AG12" i="48"/>
  <c r="AB41" i="48"/>
  <c r="AA12" i="48"/>
  <c r="BX31" i="2" l="1"/>
  <c r="EJ31" i="2"/>
  <c r="EF10" i="2"/>
  <c r="EJ10" i="2"/>
  <c r="DL36" i="2"/>
  <c r="EJ36" i="2"/>
  <c r="DL32" i="2"/>
  <c r="EJ32" i="2"/>
  <c r="BX18" i="2"/>
  <c r="EJ18" i="2"/>
  <c r="BX19" i="2"/>
  <c r="EJ19" i="2"/>
  <c r="BX15" i="2"/>
  <c r="EJ15" i="2"/>
  <c r="DL27" i="2"/>
  <c r="EJ27" i="2"/>
  <c r="DL25" i="2"/>
  <c r="EJ25" i="2"/>
  <c r="A13" i="48"/>
  <c r="A11" i="45"/>
  <c r="BX16" i="2"/>
  <c r="EJ16" i="2"/>
  <c r="DL26" i="2"/>
  <c r="EJ26" i="2"/>
  <c r="BX20" i="2"/>
  <c r="EJ20" i="2"/>
  <c r="D17" i="45"/>
  <c r="AE16" i="45"/>
  <c r="Q24" i="54"/>
  <c r="X165" i="46"/>
  <c r="DL14" i="2"/>
  <c r="BX14" i="2"/>
  <c r="AC11" i="48"/>
  <c r="AI11" i="48"/>
  <c r="F40" i="45"/>
  <c r="V40" i="45"/>
  <c r="J40" i="45"/>
  <c r="AC10" i="48"/>
  <c r="AI10" i="48"/>
  <c r="AB40" i="45"/>
  <c r="R40" i="45"/>
  <c r="A14" i="1"/>
  <c r="A13" i="2"/>
  <c r="DL20" i="2"/>
  <c r="Q16" i="2"/>
  <c r="DM11" i="2"/>
  <c r="CS14" i="2"/>
  <c r="AC14" i="2"/>
  <c r="CV32" i="2"/>
  <c r="BD32" i="2"/>
  <c r="X32" i="2"/>
  <c r="DX32" i="2"/>
  <c r="CF32" i="2"/>
  <c r="AN32" i="2"/>
  <c r="AB32" i="2"/>
  <c r="CN32" i="2"/>
  <c r="AZ32" i="2"/>
  <c r="AR32" i="2"/>
  <c r="P32" i="2"/>
  <c r="EB32" i="2"/>
  <c r="DD32" i="2"/>
  <c r="CJ32" i="2"/>
  <c r="AF32" i="2"/>
  <c r="H32" i="2"/>
  <c r="DP32" i="2"/>
  <c r="CR32" i="2"/>
  <c r="L32" i="2"/>
  <c r="CB32" i="2"/>
  <c r="DT32" i="2"/>
  <c r="BH32" i="2"/>
  <c r="T32" i="2"/>
  <c r="EN32" i="2"/>
  <c r="AV32" i="2"/>
  <c r="AJ32" i="2"/>
  <c r="CZ32" i="2"/>
  <c r="BX32" i="2"/>
  <c r="CV17" i="2"/>
  <c r="BD17" i="2"/>
  <c r="X17" i="2"/>
  <c r="DX17" i="2"/>
  <c r="CF17" i="2"/>
  <c r="AN17" i="2"/>
  <c r="DP17" i="2"/>
  <c r="AJ17" i="2"/>
  <c r="H17" i="2"/>
  <c r="AR17" i="2"/>
  <c r="P17" i="2"/>
  <c r="DD17" i="2"/>
  <c r="CR17" i="2"/>
  <c r="CB17" i="2"/>
  <c r="T17" i="2"/>
  <c r="DL17" i="2"/>
  <c r="EB17" i="2"/>
  <c r="BH17" i="2"/>
  <c r="AV17" i="2"/>
  <c r="CN17" i="2"/>
  <c r="CJ17" i="2"/>
  <c r="AF17" i="2"/>
  <c r="AZ17" i="2"/>
  <c r="AB17" i="2"/>
  <c r="DT17" i="2"/>
  <c r="EN17" i="2"/>
  <c r="L17" i="2"/>
  <c r="CZ17" i="2"/>
  <c r="BX17" i="2"/>
  <c r="BI13" i="2"/>
  <c r="CV31" i="2"/>
  <c r="BD31" i="2"/>
  <c r="X31" i="2"/>
  <c r="DX31" i="2"/>
  <c r="CF31" i="2"/>
  <c r="AN31" i="2"/>
  <c r="CN31" i="2"/>
  <c r="AZ31" i="2"/>
  <c r="AR31" i="2"/>
  <c r="P31" i="2"/>
  <c r="EB31" i="2"/>
  <c r="CR31" i="2"/>
  <c r="H31" i="2"/>
  <c r="EN31" i="2"/>
  <c r="DT31" i="2"/>
  <c r="BH31" i="2"/>
  <c r="AB31" i="2"/>
  <c r="T31" i="2"/>
  <c r="DP31" i="2"/>
  <c r="AV31" i="2"/>
  <c r="CJ31" i="2"/>
  <c r="AJ31" i="2"/>
  <c r="DD31" i="2"/>
  <c r="CB31" i="2"/>
  <c r="AF31" i="2"/>
  <c r="CZ31" i="2"/>
  <c r="L31" i="2"/>
  <c r="DA12" i="2"/>
  <c r="CW15" i="2"/>
  <c r="CK15" i="2"/>
  <c r="DL31" i="2"/>
  <c r="CN26" i="2"/>
  <c r="CB26" i="2"/>
  <c r="AV26" i="2"/>
  <c r="P26" i="2"/>
  <c r="DP26" i="2"/>
  <c r="AF26" i="2"/>
  <c r="AZ26" i="2"/>
  <c r="X26" i="2"/>
  <c r="DX26" i="2"/>
  <c r="CF26" i="2"/>
  <c r="AR26" i="2"/>
  <c r="CZ26" i="2"/>
  <c r="CJ26" i="2"/>
  <c r="BD26" i="2"/>
  <c r="AJ26" i="2"/>
  <c r="DT26" i="2"/>
  <c r="CV26" i="2"/>
  <c r="AN26" i="2"/>
  <c r="L26" i="2"/>
  <c r="CR26" i="2"/>
  <c r="EN26" i="2"/>
  <c r="BH26" i="2"/>
  <c r="AB26" i="2"/>
  <c r="H26" i="2"/>
  <c r="DD26" i="2"/>
  <c r="EB26" i="2"/>
  <c r="T26" i="2"/>
  <c r="BX26" i="2"/>
  <c r="AO14" i="2"/>
  <c r="CG15" i="2"/>
  <c r="CV30" i="2"/>
  <c r="BD30" i="2"/>
  <c r="X30" i="2"/>
  <c r="DX30" i="2"/>
  <c r="CF30" i="2"/>
  <c r="AN30" i="2"/>
  <c r="CN30" i="2"/>
  <c r="AZ30" i="2"/>
  <c r="AR30" i="2"/>
  <c r="P30" i="2"/>
  <c r="EB30" i="2"/>
  <c r="CR30" i="2"/>
  <c r="H30" i="2"/>
  <c r="EN30" i="2"/>
  <c r="DT30" i="2"/>
  <c r="CB30" i="2"/>
  <c r="T30" i="2"/>
  <c r="DD30" i="2"/>
  <c r="AF30" i="2"/>
  <c r="BH30" i="2"/>
  <c r="AB30" i="2"/>
  <c r="DP30" i="2"/>
  <c r="AV30" i="2"/>
  <c r="CJ30" i="2"/>
  <c r="AJ30" i="2"/>
  <c r="L30" i="2"/>
  <c r="CZ30" i="2"/>
  <c r="CV15" i="2"/>
  <c r="BD15" i="2"/>
  <c r="X15" i="2"/>
  <c r="DX15" i="2"/>
  <c r="CF15" i="2"/>
  <c r="AN15" i="2"/>
  <c r="DP15" i="2"/>
  <c r="AJ15" i="2"/>
  <c r="H15" i="2"/>
  <c r="AR15" i="2"/>
  <c r="P15" i="2"/>
  <c r="DD15" i="2"/>
  <c r="CR15" i="2"/>
  <c r="CB15" i="2"/>
  <c r="EB15" i="2"/>
  <c r="BH15" i="2"/>
  <c r="CN15" i="2"/>
  <c r="CJ15" i="2"/>
  <c r="AF15" i="2"/>
  <c r="EN15" i="2"/>
  <c r="T15" i="2"/>
  <c r="AZ15" i="2"/>
  <c r="AB15" i="2"/>
  <c r="DT15" i="2"/>
  <c r="AV15" i="2"/>
  <c r="DL15" i="2"/>
  <c r="CZ15" i="2"/>
  <c r="L15" i="2"/>
  <c r="DL30" i="2"/>
  <c r="CV19" i="2"/>
  <c r="BD19" i="2"/>
  <c r="X19" i="2"/>
  <c r="DX19" i="2"/>
  <c r="CF19" i="2"/>
  <c r="AN19" i="2"/>
  <c r="DP19" i="2"/>
  <c r="AJ19" i="2"/>
  <c r="H19" i="2"/>
  <c r="AR19" i="2"/>
  <c r="P19" i="2"/>
  <c r="DD19" i="2"/>
  <c r="CR19" i="2"/>
  <c r="CB19" i="2"/>
  <c r="DT19" i="2"/>
  <c r="AV19" i="2"/>
  <c r="AF19" i="2"/>
  <c r="T19" i="2"/>
  <c r="DL19" i="2"/>
  <c r="EB19" i="2"/>
  <c r="BH19" i="2"/>
  <c r="CN19" i="2"/>
  <c r="CJ19" i="2"/>
  <c r="AZ19" i="2"/>
  <c r="AB19" i="2"/>
  <c r="EN19" i="2"/>
  <c r="L19" i="2"/>
  <c r="CZ19" i="2"/>
  <c r="U16" i="2"/>
  <c r="M14" i="2"/>
  <c r="CN27" i="2"/>
  <c r="CB27" i="2"/>
  <c r="AV27" i="2"/>
  <c r="P27" i="2"/>
  <c r="DP27" i="2"/>
  <c r="AF27" i="2"/>
  <c r="AJ27" i="2"/>
  <c r="CR27" i="2"/>
  <c r="BD27" i="2"/>
  <c r="AB27" i="2"/>
  <c r="DX27" i="2"/>
  <c r="CJ27" i="2"/>
  <c r="DT27" i="2"/>
  <c r="EN27" i="2"/>
  <c r="AZ27" i="2"/>
  <c r="H27" i="2"/>
  <c r="DD27" i="2"/>
  <c r="CF27" i="2"/>
  <c r="X27" i="2"/>
  <c r="EB27" i="2"/>
  <c r="T27" i="2"/>
  <c r="AR27" i="2"/>
  <c r="CV27" i="2"/>
  <c r="AN27" i="2"/>
  <c r="L27" i="2"/>
  <c r="BH27" i="2"/>
  <c r="CZ27" i="2"/>
  <c r="BX27" i="2"/>
  <c r="DT14" i="2"/>
  <c r="AJ14" i="2"/>
  <c r="CR14" i="2"/>
  <c r="AZ14" i="2"/>
  <c r="T14" i="2"/>
  <c r="X14" i="2"/>
  <c r="CJ14" i="2"/>
  <c r="AV14" i="2"/>
  <c r="DX14" i="2"/>
  <c r="CF14" i="2"/>
  <c r="AR14" i="2"/>
  <c r="P14" i="2"/>
  <c r="AF14" i="2"/>
  <c r="EN14" i="2"/>
  <c r="EB14" i="2"/>
  <c r="DD14" i="2"/>
  <c r="AB14" i="2"/>
  <c r="H14" i="2"/>
  <c r="CB14" i="2"/>
  <c r="BH14" i="2"/>
  <c r="CV14" i="2"/>
  <c r="DP14" i="2"/>
  <c r="AN14" i="2"/>
  <c r="CN14" i="2"/>
  <c r="BD14" i="2"/>
  <c r="L14" i="2"/>
  <c r="CZ14" i="2"/>
  <c r="AS14" i="2"/>
  <c r="DU17" i="2"/>
  <c r="CO13" i="2"/>
  <c r="BY13" i="2"/>
  <c r="BE16" i="2"/>
  <c r="EQ42" i="2"/>
  <c r="DX10" i="2"/>
  <c r="CF10" i="2"/>
  <c r="AZ10" i="2"/>
  <c r="T10" i="2"/>
  <c r="DP10" i="2"/>
  <c r="EN10" i="2"/>
  <c r="AN10" i="2"/>
  <c r="H10" i="2"/>
  <c r="CN10" i="2"/>
  <c r="BH10" i="2"/>
  <c r="AB10" i="2"/>
  <c r="AR10" i="2"/>
  <c r="DT10" i="2"/>
  <c r="CB10" i="2"/>
  <c r="AV10" i="2"/>
  <c r="P10" i="2"/>
  <c r="CV10" i="2"/>
  <c r="BP10" i="2"/>
  <c r="AJ10" i="2"/>
  <c r="ER10" i="2"/>
  <c r="EB10" i="2"/>
  <c r="DD10" i="2"/>
  <c r="CJ10" i="2"/>
  <c r="BD10" i="2"/>
  <c r="X10" i="2"/>
  <c r="L10" i="2"/>
  <c r="CR10" i="2"/>
  <c r="BL10" i="2"/>
  <c r="AF10" i="2"/>
  <c r="BX10" i="2"/>
  <c r="CZ10" i="2"/>
  <c r="DX36" i="2"/>
  <c r="DT36" i="2"/>
  <c r="AJ36" i="2"/>
  <c r="DP36" i="2"/>
  <c r="AF36" i="2"/>
  <c r="CR36" i="2"/>
  <c r="AZ36" i="2"/>
  <c r="T36" i="2"/>
  <c r="AV36" i="2"/>
  <c r="CF36" i="2"/>
  <c r="BD36" i="2"/>
  <c r="H36" i="2"/>
  <c r="EB36" i="2"/>
  <c r="CB36" i="2"/>
  <c r="X36" i="2"/>
  <c r="CV36" i="2"/>
  <c r="AR36" i="2"/>
  <c r="BH36" i="2"/>
  <c r="P36" i="2"/>
  <c r="CN36" i="2"/>
  <c r="L36" i="2"/>
  <c r="EN36" i="2"/>
  <c r="CJ36" i="2"/>
  <c r="DD36" i="2"/>
  <c r="AB36" i="2"/>
  <c r="AN36" i="2"/>
  <c r="CZ36" i="2"/>
  <c r="BX36" i="2"/>
  <c r="CN25" i="2"/>
  <c r="CB25" i="2"/>
  <c r="AV25" i="2"/>
  <c r="P25" i="2"/>
  <c r="DP25" i="2"/>
  <c r="AF25" i="2"/>
  <c r="EN25" i="2"/>
  <c r="DT25" i="2"/>
  <c r="DD25" i="2"/>
  <c r="AN25" i="2"/>
  <c r="L25" i="2"/>
  <c r="CV25" i="2"/>
  <c r="BH25" i="2"/>
  <c r="DX25" i="2"/>
  <c r="T25" i="2"/>
  <c r="CJ25" i="2"/>
  <c r="BD25" i="2"/>
  <c r="AJ25" i="2"/>
  <c r="BX25" i="2"/>
  <c r="CR25" i="2"/>
  <c r="CF25" i="2"/>
  <c r="X25" i="2"/>
  <c r="EB25" i="2"/>
  <c r="AR25" i="2"/>
  <c r="H25" i="2"/>
  <c r="AZ25" i="2"/>
  <c r="AB25" i="2"/>
  <c r="CZ25" i="2"/>
  <c r="BA17" i="2"/>
  <c r="BX30" i="2"/>
  <c r="DQ14" i="2"/>
  <c r="DL10" i="2"/>
  <c r="AK14" i="2"/>
  <c r="Y14" i="2"/>
  <c r="EC14" i="2"/>
  <c r="DE14" i="2"/>
  <c r="CV18" i="2"/>
  <c r="BD18" i="2"/>
  <c r="X18" i="2"/>
  <c r="DX18" i="2"/>
  <c r="CF18" i="2"/>
  <c r="AN18" i="2"/>
  <c r="DP18" i="2"/>
  <c r="AJ18" i="2"/>
  <c r="H18" i="2"/>
  <c r="AR18" i="2"/>
  <c r="P18" i="2"/>
  <c r="DD18" i="2"/>
  <c r="CR18" i="2"/>
  <c r="CB18" i="2"/>
  <c r="AZ18" i="2"/>
  <c r="EN18" i="2"/>
  <c r="T18" i="2"/>
  <c r="DL18" i="2"/>
  <c r="EB18" i="2"/>
  <c r="BH18" i="2"/>
  <c r="CN18" i="2"/>
  <c r="CJ18" i="2"/>
  <c r="AF18" i="2"/>
  <c r="DT18" i="2"/>
  <c r="AV18" i="2"/>
  <c r="AB18" i="2"/>
  <c r="L18" i="2"/>
  <c r="CZ18" i="2"/>
  <c r="CV16" i="2"/>
  <c r="BD16" i="2"/>
  <c r="X16" i="2"/>
  <c r="DX16" i="2"/>
  <c r="CF16" i="2"/>
  <c r="AN16" i="2"/>
  <c r="DP16" i="2"/>
  <c r="AJ16" i="2"/>
  <c r="H16" i="2"/>
  <c r="AR16" i="2"/>
  <c r="P16" i="2"/>
  <c r="DD16" i="2"/>
  <c r="CR16" i="2"/>
  <c r="CB16" i="2"/>
  <c r="DL16" i="2"/>
  <c r="EB16" i="2"/>
  <c r="BH16" i="2"/>
  <c r="CN16" i="2"/>
  <c r="CJ16" i="2"/>
  <c r="AF16" i="2"/>
  <c r="AZ16" i="2"/>
  <c r="AB16" i="2"/>
  <c r="DT16" i="2"/>
  <c r="AV16" i="2"/>
  <c r="T16" i="2"/>
  <c r="EN16" i="2"/>
  <c r="CZ16" i="2"/>
  <c r="L16" i="2"/>
  <c r="AW14" i="2"/>
  <c r="AG14" i="2"/>
  <c r="I14" i="2"/>
  <c r="EO13" i="2"/>
  <c r="DT20" i="2"/>
  <c r="EB20" i="2"/>
  <c r="DP20" i="2"/>
  <c r="AJ20" i="2"/>
  <c r="CV20" i="2"/>
  <c r="CJ20" i="2"/>
  <c r="AZ20" i="2"/>
  <c r="T20" i="2"/>
  <c r="CF20" i="2"/>
  <c r="AN20" i="2"/>
  <c r="CR20" i="2"/>
  <c r="AF20" i="2"/>
  <c r="BD20" i="2"/>
  <c r="AB20" i="2"/>
  <c r="EN20" i="2"/>
  <c r="DD20" i="2"/>
  <c r="H20" i="2"/>
  <c r="BH20" i="2"/>
  <c r="X20" i="2"/>
  <c r="P20" i="2"/>
  <c r="DX20" i="2"/>
  <c r="CN20" i="2"/>
  <c r="AV20" i="2"/>
  <c r="AR20" i="2"/>
  <c r="CB20" i="2"/>
  <c r="CZ20" i="2"/>
  <c r="L20" i="2"/>
  <c r="AI12" i="48"/>
  <c r="AG13" i="48"/>
  <c r="AA13" i="48"/>
  <c r="AC12" i="48"/>
  <c r="EH10" i="2" l="1"/>
  <c r="EL10" i="2"/>
  <c r="A14" i="48"/>
  <c r="A12" i="45"/>
  <c r="EF42" i="2"/>
  <c r="D18" i="45"/>
  <c r="AE17" i="45"/>
  <c r="A15" i="1"/>
  <c r="A14" i="2"/>
  <c r="AG15" i="2"/>
  <c r="DU18" i="2"/>
  <c r="AW15" i="2"/>
  <c r="AS15" i="2"/>
  <c r="CK16" i="2"/>
  <c r="EO14" i="2"/>
  <c r="BA18" i="2"/>
  <c r="U17" i="2"/>
  <c r="CW16" i="2"/>
  <c r="AC15" i="2"/>
  <c r="Y15" i="2"/>
  <c r="DV10" i="2"/>
  <c r="CD10" i="2"/>
  <c r="AX10" i="2"/>
  <c r="R10" i="2"/>
  <c r="ED10" i="2"/>
  <c r="DF10" i="2"/>
  <c r="CL10" i="2"/>
  <c r="BF10" i="2"/>
  <c r="Z10" i="2"/>
  <c r="CH10" i="2"/>
  <c r="BB10" i="2"/>
  <c r="DZ10" i="2"/>
  <c r="V10" i="2"/>
  <c r="CX10" i="2"/>
  <c r="AL10" i="2"/>
  <c r="EP10" i="2"/>
  <c r="AH10" i="2"/>
  <c r="DR10" i="2"/>
  <c r="CT10" i="2"/>
  <c r="BJ10" i="2"/>
  <c r="BN10" i="2"/>
  <c r="CP10" i="2"/>
  <c r="BR10" i="2"/>
  <c r="J10" i="2"/>
  <c r="ER11" i="2"/>
  <c r="N10" i="2"/>
  <c r="AP10" i="2"/>
  <c r="AT10" i="2"/>
  <c r="BZ10" i="2"/>
  <c r="BV10" i="2"/>
  <c r="AD10" i="2"/>
  <c r="DB10" i="2"/>
  <c r="BI14" i="2"/>
  <c r="CS15" i="2"/>
  <c r="AK15" i="2"/>
  <c r="BY14" i="2"/>
  <c r="I15" i="2"/>
  <c r="CO14" i="2"/>
  <c r="DA13" i="2"/>
  <c r="CG16" i="2"/>
  <c r="DN10" i="2"/>
  <c r="DQ15" i="2"/>
  <c r="M15" i="2"/>
  <c r="DM12" i="2"/>
  <c r="AO15" i="2"/>
  <c r="Q17" i="2"/>
  <c r="DE15" i="2"/>
  <c r="H42" i="2"/>
  <c r="ER42" i="2"/>
  <c r="DT42" i="2"/>
  <c r="CJ42" i="2"/>
  <c r="BT42" i="2"/>
  <c r="AZ42" i="2"/>
  <c r="CR42" i="2"/>
  <c r="AV42" i="2"/>
  <c r="AN42" i="2"/>
  <c r="DX42" i="2"/>
  <c r="AB42" i="2"/>
  <c r="CZ42" i="2"/>
  <c r="AR42" i="2"/>
  <c r="BH42" i="2"/>
  <c r="DP42" i="2"/>
  <c r="CF42" i="2"/>
  <c r="CV42" i="2"/>
  <c r="CN42" i="2"/>
  <c r="BL42" i="2"/>
  <c r="EB42" i="2"/>
  <c r="DD42" i="2"/>
  <c r="BD42" i="2"/>
  <c r="EN42" i="2"/>
  <c r="BX42" i="2"/>
  <c r="EC15" i="2"/>
  <c r="BE17" i="2"/>
  <c r="AG14" i="48"/>
  <c r="AI13" i="48"/>
  <c r="AA14" i="48"/>
  <c r="AC13" i="48"/>
  <c r="DN11" i="2" l="1"/>
  <c r="EL11" i="2"/>
  <c r="A15" i="48"/>
  <c r="A13" i="45"/>
  <c r="AE18" i="45"/>
  <c r="D19" i="45"/>
  <c r="A16" i="1"/>
  <c r="A15" i="2"/>
  <c r="DE16" i="2"/>
  <c r="CS16" i="2"/>
  <c r="AC16" i="2"/>
  <c r="DU19" i="2"/>
  <c r="Q18" i="2"/>
  <c r="DQ16" i="2"/>
  <c r="CO15" i="2"/>
  <c r="CW17" i="2"/>
  <c r="BE18" i="2"/>
  <c r="BI15" i="2"/>
  <c r="CK17" i="2"/>
  <c r="AG16" i="2"/>
  <c r="I16" i="2"/>
  <c r="CL11" i="2"/>
  <c r="R11" i="2"/>
  <c r="DF11" i="2"/>
  <c r="AH11" i="2"/>
  <c r="BF11" i="2"/>
  <c r="N11" i="2"/>
  <c r="AD11" i="2"/>
  <c r="AL11" i="2"/>
  <c r="CH11" i="2"/>
  <c r="V11" i="2"/>
  <c r="DV11" i="2"/>
  <c r="AT11" i="2"/>
  <c r="J11" i="2"/>
  <c r="BB11" i="2"/>
  <c r="AX11" i="2"/>
  <c r="ED11" i="2"/>
  <c r="Z11" i="2"/>
  <c r="CD11" i="2"/>
  <c r="CT11" i="2"/>
  <c r="AP11" i="2"/>
  <c r="CX11" i="2"/>
  <c r="DR11" i="2"/>
  <c r="DZ11" i="2"/>
  <c r="ER12" i="2"/>
  <c r="BZ11" i="2"/>
  <c r="CP11" i="2"/>
  <c r="BJ11" i="2"/>
  <c r="EP11" i="2"/>
  <c r="DB11" i="2"/>
  <c r="AO16" i="2"/>
  <c r="BY15" i="2"/>
  <c r="U18" i="2"/>
  <c r="AS16" i="2"/>
  <c r="EC16" i="2"/>
  <c r="DM13" i="2"/>
  <c r="CG17" i="2"/>
  <c r="Y16" i="2"/>
  <c r="BA19" i="2"/>
  <c r="DA14" i="2"/>
  <c r="AK16" i="2"/>
  <c r="AW16" i="2"/>
  <c r="M16" i="2"/>
  <c r="EO15" i="2"/>
  <c r="AG15" i="48"/>
  <c r="AI14" i="48"/>
  <c r="AA15" i="48"/>
  <c r="AC14" i="48"/>
  <c r="A16" i="48" l="1"/>
  <c r="A14" i="45"/>
  <c r="DN12" i="2"/>
  <c r="EL12" i="2"/>
  <c r="D20" i="45"/>
  <c r="AE19" i="45"/>
  <c r="A17" i="1"/>
  <c r="A16" i="2"/>
  <c r="ER13" i="2"/>
  <c r="DZ12" i="2"/>
  <c r="CD12" i="2"/>
  <c r="CH12" i="2"/>
  <c r="DV12" i="2"/>
  <c r="BB12" i="2"/>
  <c r="CX12" i="2"/>
  <c r="CL12" i="2"/>
  <c r="BF12" i="2"/>
  <c r="R12" i="2"/>
  <c r="V12" i="2"/>
  <c r="CT12" i="2"/>
  <c r="DF12" i="2"/>
  <c r="Z12" i="2"/>
  <c r="J12" i="2"/>
  <c r="AH12" i="2"/>
  <c r="AX12" i="2"/>
  <c r="N12" i="2"/>
  <c r="ED12" i="2"/>
  <c r="AL12" i="2"/>
  <c r="DR12" i="2"/>
  <c r="AT12" i="2"/>
  <c r="AP12" i="2"/>
  <c r="AD12" i="2"/>
  <c r="CP12" i="2"/>
  <c r="EP12" i="2"/>
  <c r="BJ12" i="2"/>
  <c r="BZ12" i="2"/>
  <c r="DB12" i="2"/>
  <c r="BI16" i="2"/>
  <c r="M17" i="2"/>
  <c r="BA20" i="2"/>
  <c r="BE19" i="2"/>
  <c r="Q19" i="2"/>
  <c r="EC17" i="2"/>
  <c r="AO17" i="2"/>
  <c r="I17" i="2"/>
  <c r="DE17" i="2"/>
  <c r="AW17" i="2"/>
  <c r="Y17" i="2"/>
  <c r="AG17" i="2"/>
  <c r="AS17" i="2"/>
  <c r="CW18" i="2"/>
  <c r="DU20" i="2"/>
  <c r="AK17" i="2"/>
  <c r="CG18" i="2"/>
  <c r="U19" i="2"/>
  <c r="CK18" i="2"/>
  <c r="CO16" i="2"/>
  <c r="AC17" i="2"/>
  <c r="EO16" i="2"/>
  <c r="DA15" i="2"/>
  <c r="DM14" i="2"/>
  <c r="BY16" i="2"/>
  <c r="DQ17" i="2"/>
  <c r="CS17" i="2"/>
  <c r="AC15" i="48"/>
  <c r="AA16" i="48"/>
  <c r="AI15" i="48"/>
  <c r="AG16" i="48"/>
  <c r="A17" i="48" l="1"/>
  <c r="A15" i="45"/>
  <c r="DN13" i="2"/>
  <c r="D21" i="45"/>
  <c r="AE20" i="45"/>
  <c r="A18" i="1"/>
  <c r="A17" i="2"/>
  <c r="CK19" i="2"/>
  <c r="DU21" i="2"/>
  <c r="AO18" i="2"/>
  <c r="DQ18" i="2"/>
  <c r="EO17" i="2"/>
  <c r="AW18" i="2"/>
  <c r="M18" i="2"/>
  <c r="U20" i="2"/>
  <c r="CW19" i="2"/>
  <c r="EC18" i="2"/>
  <c r="CD13" i="2"/>
  <c r="BF13" i="2"/>
  <c r="BB13" i="2"/>
  <c r="DV13" i="2"/>
  <c r="V13" i="2"/>
  <c r="R13" i="2"/>
  <c r="DZ13" i="2"/>
  <c r="CL13" i="2"/>
  <c r="CH13" i="2"/>
  <c r="CX13" i="2"/>
  <c r="ED13" i="2"/>
  <c r="AP13" i="2"/>
  <c r="DF13" i="2"/>
  <c r="AH13" i="2"/>
  <c r="CT13" i="2"/>
  <c r="AL13" i="2"/>
  <c r="J13" i="2"/>
  <c r="AD13" i="2"/>
  <c r="ER14" i="2"/>
  <c r="AT13" i="2"/>
  <c r="Z13" i="2"/>
  <c r="N13" i="2"/>
  <c r="DR13" i="2"/>
  <c r="AX13" i="2"/>
  <c r="BZ13" i="2"/>
  <c r="BJ13" i="2"/>
  <c r="EP13" i="2"/>
  <c r="CP13" i="2"/>
  <c r="DB13" i="2"/>
  <c r="BY17" i="2"/>
  <c r="Q20" i="2"/>
  <c r="AC18" i="2"/>
  <c r="CG19" i="2"/>
  <c r="AS18" i="2"/>
  <c r="DE18" i="2"/>
  <c r="BI17" i="2"/>
  <c r="DM15" i="2"/>
  <c r="CO17" i="2"/>
  <c r="AK18" i="2"/>
  <c r="AG18" i="2"/>
  <c r="BE20" i="2"/>
  <c r="I18" i="2"/>
  <c r="CS18" i="2"/>
  <c r="DA16" i="2"/>
  <c r="Y18" i="2"/>
  <c r="BA21" i="2"/>
  <c r="AG17" i="48"/>
  <c r="AI16" i="48"/>
  <c r="AC16" i="48"/>
  <c r="AA17" i="48"/>
  <c r="A18" i="48" l="1"/>
  <c r="A16" i="45"/>
  <c r="DN14" i="2"/>
  <c r="D22" i="45"/>
  <c r="AE21" i="45"/>
  <c r="A19" i="1"/>
  <c r="A18" i="2"/>
  <c r="BA22" i="2"/>
  <c r="I19" i="2"/>
  <c r="AS19" i="2"/>
  <c r="EC19" i="2"/>
  <c r="DU22" i="2"/>
  <c r="Y19" i="2"/>
  <c r="DM16" i="2"/>
  <c r="CW20" i="2"/>
  <c r="EO18" i="2"/>
  <c r="BE21" i="2"/>
  <c r="CG20" i="2"/>
  <c r="CK20" i="2"/>
  <c r="DA17" i="2"/>
  <c r="AG19" i="2"/>
  <c r="DZ14" i="2"/>
  <c r="CD14" i="2"/>
  <c r="BB14" i="2"/>
  <c r="DV14" i="2"/>
  <c r="R14" i="2"/>
  <c r="BF14" i="2"/>
  <c r="V14" i="2"/>
  <c r="CL14" i="2"/>
  <c r="ER15" i="2"/>
  <c r="CH14" i="2"/>
  <c r="CX14" i="2"/>
  <c r="AD14" i="2"/>
  <c r="AL14" i="2"/>
  <c r="DF14" i="2"/>
  <c r="Z14" i="2"/>
  <c r="AX14" i="2"/>
  <c r="ED14" i="2"/>
  <c r="AT14" i="2"/>
  <c r="AP14" i="2"/>
  <c r="J14" i="2"/>
  <c r="DR14" i="2"/>
  <c r="AH14" i="2"/>
  <c r="CT14" i="2"/>
  <c r="N14" i="2"/>
  <c r="BJ14" i="2"/>
  <c r="CP14" i="2"/>
  <c r="EP14" i="2"/>
  <c r="BZ14" i="2"/>
  <c r="DB14" i="2"/>
  <c r="U21" i="2"/>
  <c r="DQ19" i="2"/>
  <c r="BI18" i="2"/>
  <c r="AC19" i="2"/>
  <c r="CS19" i="2"/>
  <c r="AK19" i="2"/>
  <c r="Q21" i="2"/>
  <c r="M19" i="2"/>
  <c r="DE19" i="2"/>
  <c r="AO19" i="2"/>
  <c r="CO18" i="2"/>
  <c r="BY18" i="2"/>
  <c r="AW19" i="2"/>
  <c r="AA18" i="48"/>
  <c r="AC17" i="48"/>
  <c r="AI17" i="48"/>
  <c r="AG18" i="48"/>
  <c r="A19" i="48" l="1"/>
  <c r="A17" i="45"/>
  <c r="AE22" i="45"/>
  <c r="D23" i="45"/>
  <c r="A20" i="1"/>
  <c r="A19" i="2"/>
  <c r="AK20" i="2"/>
  <c r="DZ15" i="2"/>
  <c r="CD15" i="2"/>
  <c r="BB15" i="2"/>
  <c r="DV15" i="2"/>
  <c r="V15" i="2"/>
  <c r="ER16" i="2"/>
  <c r="BF15" i="2"/>
  <c r="R15" i="2"/>
  <c r="CH15" i="2"/>
  <c r="CX15" i="2"/>
  <c r="CL15" i="2"/>
  <c r="AD15" i="2"/>
  <c r="AL15" i="2"/>
  <c r="AH15" i="2"/>
  <c r="Z15" i="2"/>
  <c r="AX15" i="2"/>
  <c r="AT15" i="2"/>
  <c r="N15" i="2"/>
  <c r="DF15" i="2"/>
  <c r="J15" i="2"/>
  <c r="AP15" i="2"/>
  <c r="ED15" i="2"/>
  <c r="CT15" i="2"/>
  <c r="DR15" i="2"/>
  <c r="CP15" i="2"/>
  <c r="BZ15" i="2"/>
  <c r="BJ15" i="2"/>
  <c r="EP15" i="2"/>
  <c r="DB15" i="2"/>
  <c r="AS20" i="2"/>
  <c r="BE22" i="2"/>
  <c r="DE20" i="2"/>
  <c r="U22" i="2"/>
  <c r="I20" i="2"/>
  <c r="M20" i="2"/>
  <c r="DA18" i="2"/>
  <c r="AC20" i="2"/>
  <c r="BA23" i="2"/>
  <c r="CO19" i="2"/>
  <c r="CK21" i="2"/>
  <c r="DQ20" i="2"/>
  <c r="DM17" i="2"/>
  <c r="AO20" i="2"/>
  <c r="CG21" i="2"/>
  <c r="DN15" i="2"/>
  <c r="AW20" i="2"/>
  <c r="CS20" i="2"/>
  <c r="AG20" i="2"/>
  <c r="Y20" i="2"/>
  <c r="BY19" i="2"/>
  <c r="EO19" i="2"/>
  <c r="DU23" i="2"/>
  <c r="Q22" i="2"/>
  <c r="BI19" i="2"/>
  <c r="CW21" i="2"/>
  <c r="EC20" i="2"/>
  <c r="AG19" i="48"/>
  <c r="AI18" i="48"/>
  <c r="AA19" i="48"/>
  <c r="AC18" i="48"/>
  <c r="A20" i="48" l="1"/>
  <c r="A18" i="45"/>
  <c r="DN16" i="2"/>
  <c r="D24" i="45"/>
  <c r="AE23" i="45"/>
  <c r="A21" i="1"/>
  <c r="A20" i="2"/>
  <c r="CW22" i="2"/>
  <c r="EO20" i="2"/>
  <c r="CS21" i="2"/>
  <c r="AO21" i="2"/>
  <c r="DM18" i="2"/>
  <c r="BY20" i="2"/>
  <c r="AW21" i="2"/>
  <c r="BA24" i="2"/>
  <c r="I21" i="2"/>
  <c r="AS21" i="2"/>
  <c r="DZ16" i="2"/>
  <c r="CD16" i="2"/>
  <c r="DV16" i="2"/>
  <c r="BB16" i="2"/>
  <c r="ER17" i="2"/>
  <c r="V16" i="2"/>
  <c r="BF16" i="2"/>
  <c r="R16" i="2"/>
  <c r="CL16" i="2"/>
  <c r="CH16" i="2"/>
  <c r="CX16" i="2"/>
  <c r="AP16" i="2"/>
  <c r="AH16" i="2"/>
  <c r="AL16" i="2"/>
  <c r="J16" i="2"/>
  <c r="CT16" i="2"/>
  <c r="DF16" i="2"/>
  <c r="AT16" i="2"/>
  <c r="AD16" i="2"/>
  <c r="N16" i="2"/>
  <c r="AX16" i="2"/>
  <c r="DR16" i="2"/>
  <c r="ED16" i="2"/>
  <c r="Z16" i="2"/>
  <c r="BJ16" i="2"/>
  <c r="EP16" i="2"/>
  <c r="BZ16" i="2"/>
  <c r="CP16" i="2"/>
  <c r="DB16" i="2"/>
  <c r="AK21" i="2"/>
  <c r="BI20" i="2"/>
  <c r="DQ21" i="2"/>
  <c r="AC21" i="2"/>
  <c r="U23" i="2"/>
  <c r="Q23" i="2"/>
  <c r="Y21" i="2"/>
  <c r="CG22" i="2"/>
  <c r="DA19" i="2"/>
  <c r="AG21" i="2"/>
  <c r="CK22" i="2"/>
  <c r="DE21" i="2"/>
  <c r="EC21" i="2"/>
  <c r="DU24" i="2"/>
  <c r="CO20" i="2"/>
  <c r="M21" i="2"/>
  <c r="BE23" i="2"/>
  <c r="AA20" i="48"/>
  <c r="AC19" i="48"/>
  <c r="AI19" i="48"/>
  <c r="AG20" i="48"/>
  <c r="A21" i="48" l="1"/>
  <c r="A19" i="45"/>
  <c r="D25" i="45"/>
  <c r="AE24" i="45"/>
  <c r="A22" i="1"/>
  <c r="A21" i="2"/>
  <c r="CO21" i="2"/>
  <c r="Y22" i="2"/>
  <c r="AO22" i="2"/>
  <c r="DU25" i="2"/>
  <c r="AG22" i="2"/>
  <c r="Q24" i="2"/>
  <c r="BI21" i="2"/>
  <c r="AW22" i="2"/>
  <c r="CS22" i="2"/>
  <c r="CK23" i="2"/>
  <c r="BE24" i="2"/>
  <c r="DA20" i="2"/>
  <c r="BY21" i="2"/>
  <c r="EO21" i="2"/>
  <c r="EC22" i="2"/>
  <c r="U24" i="2"/>
  <c r="AK22" i="2"/>
  <c r="AS22" i="2"/>
  <c r="DQ22" i="2"/>
  <c r="BA25" i="2"/>
  <c r="M22" i="2"/>
  <c r="DE22" i="2"/>
  <c r="CG23" i="2"/>
  <c r="DZ17" i="2"/>
  <c r="CD17" i="2"/>
  <c r="ER18" i="2"/>
  <c r="DV17" i="2"/>
  <c r="BB17" i="2"/>
  <c r="V17" i="2"/>
  <c r="R17" i="2"/>
  <c r="BF17" i="2"/>
  <c r="CL17" i="2"/>
  <c r="CH17" i="2"/>
  <c r="CX17" i="2"/>
  <c r="ED17" i="2"/>
  <c r="AT17" i="2"/>
  <c r="J17" i="2"/>
  <c r="N17" i="2"/>
  <c r="AL17" i="2"/>
  <c r="CT17" i="2"/>
  <c r="AP17" i="2"/>
  <c r="DF17" i="2"/>
  <c r="DR17" i="2"/>
  <c r="AH17" i="2"/>
  <c r="AD17" i="2"/>
  <c r="Z17" i="2"/>
  <c r="AX17" i="2"/>
  <c r="CP17" i="2"/>
  <c r="BJ17" i="2"/>
  <c r="EP17" i="2"/>
  <c r="BZ17" i="2"/>
  <c r="DB17" i="2"/>
  <c r="DM19" i="2"/>
  <c r="CW23" i="2"/>
  <c r="AC22" i="2"/>
  <c r="I22" i="2"/>
  <c r="DN17" i="2"/>
  <c r="AI20" i="48"/>
  <c r="AG21" i="48"/>
  <c r="AA21" i="48"/>
  <c r="AC20" i="48"/>
  <c r="A22" i="48" l="1"/>
  <c r="A20" i="45"/>
  <c r="DN18" i="2"/>
  <c r="D26" i="45"/>
  <c r="AE25" i="45"/>
  <c r="A23" i="1"/>
  <c r="A22" i="2"/>
  <c r="CW24" i="2"/>
  <c r="DA21" i="2"/>
  <c r="U25" i="2"/>
  <c r="AW23" i="2"/>
  <c r="DU26" i="2"/>
  <c r="CG24" i="2"/>
  <c r="DQ23" i="2"/>
  <c r="BE25" i="2"/>
  <c r="AO23" i="2"/>
  <c r="EC23" i="2"/>
  <c r="BI22" i="2"/>
  <c r="BA26" i="2"/>
  <c r="DM20" i="2"/>
  <c r="DE23" i="2"/>
  <c r="CK24" i="2"/>
  <c r="Q25" i="2"/>
  <c r="Y23" i="2"/>
  <c r="EO22" i="2"/>
  <c r="I23" i="2"/>
  <c r="AS23" i="2"/>
  <c r="DZ18" i="2"/>
  <c r="CD18" i="2"/>
  <c r="ER19" i="2"/>
  <c r="DV18" i="2"/>
  <c r="BB18" i="2"/>
  <c r="BF18" i="2"/>
  <c r="R18" i="2"/>
  <c r="V18" i="2"/>
  <c r="CX18" i="2"/>
  <c r="CL18" i="2"/>
  <c r="CH18" i="2"/>
  <c r="N18" i="2"/>
  <c r="AD18" i="2"/>
  <c r="Z18" i="2"/>
  <c r="CT18" i="2"/>
  <c r="AX18" i="2"/>
  <c r="AL18" i="2"/>
  <c r="AP18" i="2"/>
  <c r="ED18" i="2"/>
  <c r="AH18" i="2"/>
  <c r="J18" i="2"/>
  <c r="DF18" i="2"/>
  <c r="DR18" i="2"/>
  <c r="AT18" i="2"/>
  <c r="BZ18" i="2"/>
  <c r="BJ18" i="2"/>
  <c r="EP18" i="2"/>
  <c r="CP18" i="2"/>
  <c r="DB18" i="2"/>
  <c r="M23" i="2"/>
  <c r="BY22" i="2"/>
  <c r="CO22" i="2"/>
  <c r="AC23" i="2"/>
  <c r="AK23" i="2"/>
  <c r="CS23" i="2"/>
  <c r="AG23" i="2"/>
  <c r="AC21" i="48"/>
  <c r="AA22" i="48"/>
  <c r="AG22" i="48"/>
  <c r="AI21" i="48"/>
  <c r="A23" i="48" l="1"/>
  <c r="A21" i="45"/>
  <c r="AE26" i="45"/>
  <c r="D27" i="45"/>
  <c r="A24" i="1"/>
  <c r="A23" i="2"/>
  <c r="BE26" i="2"/>
  <c r="AW24" i="2"/>
  <c r="M24" i="2"/>
  <c r="Q26" i="2"/>
  <c r="BA27" i="2"/>
  <c r="CK25" i="2"/>
  <c r="AS24" i="2"/>
  <c r="AC24" i="2"/>
  <c r="I24" i="2"/>
  <c r="BI23" i="2"/>
  <c r="DQ24" i="2"/>
  <c r="U26" i="2"/>
  <c r="CD19" i="2"/>
  <c r="DZ19" i="2"/>
  <c r="ER20" i="2"/>
  <c r="DV19" i="2"/>
  <c r="BB19" i="2"/>
  <c r="R19" i="2"/>
  <c r="V19" i="2"/>
  <c r="BF19" i="2"/>
  <c r="CL19" i="2"/>
  <c r="CX19" i="2"/>
  <c r="CH19" i="2"/>
  <c r="AP19" i="2"/>
  <c r="AH19" i="2"/>
  <c r="ED19" i="2"/>
  <c r="DF19" i="2"/>
  <c r="AD19" i="2"/>
  <c r="DR19" i="2"/>
  <c r="Z19" i="2"/>
  <c r="AX19" i="2"/>
  <c r="AL19" i="2"/>
  <c r="AT19" i="2"/>
  <c r="J19" i="2"/>
  <c r="CT19" i="2"/>
  <c r="N19" i="2"/>
  <c r="CP19" i="2"/>
  <c r="EP19" i="2"/>
  <c r="BZ19" i="2"/>
  <c r="BJ19" i="2"/>
  <c r="DB19" i="2"/>
  <c r="DE24" i="2"/>
  <c r="CG25" i="2"/>
  <c r="CO23" i="2"/>
  <c r="EC24" i="2"/>
  <c r="AK24" i="2"/>
  <c r="AG24" i="2"/>
  <c r="EO23" i="2"/>
  <c r="BY23" i="2"/>
  <c r="Y24" i="2"/>
  <c r="DM21" i="2"/>
  <c r="AO24" i="2"/>
  <c r="CW25" i="2"/>
  <c r="DA22" i="2"/>
  <c r="CS24" i="2"/>
  <c r="DN19" i="2"/>
  <c r="DU27" i="2"/>
  <c r="AG23" i="48"/>
  <c r="AI22" i="48"/>
  <c r="AA23" i="48"/>
  <c r="AC22" i="48"/>
  <c r="A24" i="48" l="1"/>
  <c r="A22" i="45"/>
  <c r="DN20" i="2"/>
  <c r="D28" i="45"/>
  <c r="AE27" i="45"/>
  <c r="A25" i="1"/>
  <c r="A24" i="2"/>
  <c r="DA23" i="2"/>
  <c r="Y25" i="2"/>
  <c r="AC25" i="2"/>
  <c r="AK25" i="2"/>
  <c r="U27" i="2"/>
  <c r="Q27" i="2"/>
  <c r="DE25" i="2"/>
  <c r="CW26" i="2"/>
  <c r="EC25" i="2"/>
  <c r="DQ25" i="2"/>
  <c r="AS25" i="2"/>
  <c r="BY24" i="2"/>
  <c r="M25" i="2"/>
  <c r="DU28" i="2"/>
  <c r="AO25" i="2"/>
  <c r="EO24" i="2"/>
  <c r="CD20" i="2"/>
  <c r="DZ20" i="2"/>
  <c r="ER21" i="2"/>
  <c r="DV20" i="2"/>
  <c r="BB20" i="2"/>
  <c r="BF20" i="2"/>
  <c r="R20" i="2"/>
  <c r="V20" i="2"/>
  <c r="CH20" i="2"/>
  <c r="CL20" i="2"/>
  <c r="CX20" i="2"/>
  <c r="DF20" i="2"/>
  <c r="N20" i="2"/>
  <c r="AH20" i="2"/>
  <c r="J20" i="2"/>
  <c r="AD20" i="2"/>
  <c r="AT20" i="2"/>
  <c r="AL20" i="2"/>
  <c r="ED20" i="2"/>
  <c r="Z20" i="2"/>
  <c r="CT20" i="2"/>
  <c r="AX20" i="2"/>
  <c r="AP20" i="2"/>
  <c r="DR20" i="2"/>
  <c r="CP20" i="2"/>
  <c r="BZ20" i="2"/>
  <c r="EP20" i="2"/>
  <c r="BJ20" i="2"/>
  <c r="DB20" i="2"/>
  <c r="BI24" i="2"/>
  <c r="CO24" i="2"/>
  <c r="AW25" i="2"/>
  <c r="DM22" i="2"/>
  <c r="CG26" i="2"/>
  <c r="BE27" i="2"/>
  <c r="CK26" i="2"/>
  <c r="CS25" i="2"/>
  <c r="AG25" i="2"/>
  <c r="I25" i="2"/>
  <c r="BA28" i="2"/>
  <c r="AC23" i="48"/>
  <c r="AA24" i="48"/>
  <c r="AG24" i="48"/>
  <c r="AI23" i="48"/>
  <c r="A25" i="48" l="1"/>
  <c r="A23" i="45"/>
  <c r="DN21" i="2"/>
  <c r="D29" i="45"/>
  <c r="AE28" i="45"/>
  <c r="A26" i="1"/>
  <c r="A25" i="2"/>
  <c r="AG26" i="2"/>
  <c r="CG27" i="2"/>
  <c r="CW27" i="2"/>
  <c r="EO25" i="2"/>
  <c r="BY25" i="2"/>
  <c r="AK26" i="2"/>
  <c r="DM23" i="2"/>
  <c r="AO26" i="2"/>
  <c r="CS26" i="2"/>
  <c r="AS26" i="2"/>
  <c r="DE26" i="2"/>
  <c r="AC26" i="2"/>
  <c r="CD21" i="2"/>
  <c r="DZ21" i="2"/>
  <c r="ER22" i="2"/>
  <c r="BB21" i="2"/>
  <c r="DV21" i="2"/>
  <c r="R21" i="2"/>
  <c r="V21" i="2"/>
  <c r="BF21" i="2"/>
  <c r="CX21" i="2"/>
  <c r="CH21" i="2"/>
  <c r="CL21" i="2"/>
  <c r="N21" i="2"/>
  <c r="AH21" i="2"/>
  <c r="CT21" i="2"/>
  <c r="AL21" i="2"/>
  <c r="AD21" i="2"/>
  <c r="DF21" i="2"/>
  <c r="Z21" i="2"/>
  <c r="AT21" i="2"/>
  <c r="J21" i="2"/>
  <c r="AP21" i="2"/>
  <c r="DR21" i="2"/>
  <c r="ED21" i="2"/>
  <c r="AX21" i="2"/>
  <c r="BZ21" i="2"/>
  <c r="EP21" i="2"/>
  <c r="CP21" i="2"/>
  <c r="BJ21" i="2"/>
  <c r="DB21" i="2"/>
  <c r="DQ26" i="2"/>
  <c r="Q28" i="2"/>
  <c r="Y26" i="2"/>
  <c r="BA29" i="2"/>
  <c r="CK27" i="2"/>
  <c r="AW26" i="2"/>
  <c r="DU29" i="2"/>
  <c r="I26" i="2"/>
  <c r="BE28" i="2"/>
  <c r="M26" i="2"/>
  <c r="DA24" i="2"/>
  <c r="BI25" i="2"/>
  <c r="CO25" i="2"/>
  <c r="EC26" i="2"/>
  <c r="U28" i="2"/>
  <c r="AI24" i="48"/>
  <c r="AG25" i="48"/>
  <c r="AA25" i="48"/>
  <c r="AC24" i="48"/>
  <c r="A26" i="48" l="1"/>
  <c r="A24" i="45"/>
  <c r="DN22" i="2"/>
  <c r="AE29" i="45"/>
  <c r="D30" i="45"/>
  <c r="A27" i="1"/>
  <c r="A26" i="2"/>
  <c r="AO27" i="2"/>
  <c r="EO26" i="2"/>
  <c r="CO26" i="2"/>
  <c r="AC27" i="2"/>
  <c r="BE29" i="2"/>
  <c r="CW28" i="2"/>
  <c r="DE27" i="2"/>
  <c r="DM24" i="2"/>
  <c r="I27" i="2"/>
  <c r="DA25" i="2"/>
  <c r="Y27" i="2"/>
  <c r="CD22" i="2"/>
  <c r="DZ22" i="2"/>
  <c r="ER23" i="2"/>
  <c r="DV22" i="2"/>
  <c r="BB22" i="2"/>
  <c r="BF22" i="2"/>
  <c r="V22" i="2"/>
  <c r="R22" i="2"/>
  <c r="CL22" i="2"/>
  <c r="CH22" i="2"/>
  <c r="CX22" i="2"/>
  <c r="AP22" i="2"/>
  <c r="Z22" i="2"/>
  <c r="CT22" i="2"/>
  <c r="DF22" i="2"/>
  <c r="ED22" i="2"/>
  <c r="AH22" i="2"/>
  <c r="AD22" i="2"/>
  <c r="DR22" i="2"/>
  <c r="J22" i="2"/>
  <c r="AX22" i="2"/>
  <c r="AT22" i="2"/>
  <c r="N22" i="2"/>
  <c r="AL22" i="2"/>
  <c r="EP22" i="2"/>
  <c r="BJ22" i="2"/>
  <c r="CP22" i="2"/>
  <c r="BZ22" i="2"/>
  <c r="DB22" i="2"/>
  <c r="AS27" i="2"/>
  <c r="CG28" i="2"/>
  <c r="BI26" i="2"/>
  <c r="DU30" i="2"/>
  <c r="AK27" i="2"/>
  <c r="DQ27" i="2"/>
  <c r="U29" i="2"/>
  <c r="Q29" i="2"/>
  <c r="BY26" i="2"/>
  <c r="CK28" i="2"/>
  <c r="BA30" i="2"/>
  <c r="EC27" i="2"/>
  <c r="M27" i="2"/>
  <c r="AW27" i="2"/>
  <c r="CS27" i="2"/>
  <c r="AG27" i="2"/>
  <c r="AC25" i="48"/>
  <c r="AA26" i="48"/>
  <c r="AG26" i="48"/>
  <c r="AI25" i="48"/>
  <c r="A27" i="48" l="1"/>
  <c r="A25" i="45"/>
  <c r="DN23" i="2"/>
  <c r="AE30" i="45"/>
  <c r="D31" i="45"/>
  <c r="A28" i="1"/>
  <c r="A27" i="2"/>
  <c r="CG29" i="2"/>
  <c r="DM25" i="2"/>
  <c r="AC28" i="2"/>
  <c r="BY27" i="2"/>
  <c r="Y28" i="2"/>
  <c r="M28" i="2"/>
  <c r="AK28" i="2"/>
  <c r="AS28" i="2"/>
  <c r="DE28" i="2"/>
  <c r="CO27" i="2"/>
  <c r="AW28" i="2"/>
  <c r="AG28" i="2"/>
  <c r="DA26" i="2"/>
  <c r="CW29" i="2"/>
  <c r="EC28" i="2"/>
  <c r="Q30" i="2"/>
  <c r="DU31" i="2"/>
  <c r="EO27" i="2"/>
  <c r="DQ28" i="2"/>
  <c r="CD23" i="2"/>
  <c r="DZ23" i="2"/>
  <c r="ER24" i="2"/>
  <c r="DV23" i="2"/>
  <c r="BB23" i="2"/>
  <c r="R23" i="2"/>
  <c r="BF23" i="2"/>
  <c r="V23" i="2"/>
  <c r="CX23" i="2"/>
  <c r="CH23" i="2"/>
  <c r="CL23" i="2"/>
  <c r="AP23" i="2"/>
  <c r="J23" i="2"/>
  <c r="AH23" i="2"/>
  <c r="CT23" i="2"/>
  <c r="Z23" i="2"/>
  <c r="AX23" i="2"/>
  <c r="AT23" i="2"/>
  <c r="DR23" i="2"/>
  <c r="ED23" i="2"/>
  <c r="N23" i="2"/>
  <c r="AD23" i="2"/>
  <c r="DF23" i="2"/>
  <c r="AL23" i="2"/>
  <c r="CP23" i="2"/>
  <c r="BZ23" i="2"/>
  <c r="EP23" i="2"/>
  <c r="BJ23" i="2"/>
  <c r="DB23" i="2"/>
  <c r="I28" i="2"/>
  <c r="BE30" i="2"/>
  <c r="AO28" i="2"/>
  <c r="CK29" i="2"/>
  <c r="CS28" i="2"/>
  <c r="BA31" i="2"/>
  <c r="U30" i="2"/>
  <c r="BI27" i="2"/>
  <c r="AA27" i="48"/>
  <c r="AC26" i="48"/>
  <c r="AG27" i="48"/>
  <c r="AI26" i="48"/>
  <c r="A28" i="48" l="1"/>
  <c r="A26" i="45"/>
  <c r="DN24" i="2"/>
  <c r="D32" i="45"/>
  <c r="AE31" i="45"/>
  <c r="A29" i="1"/>
  <c r="A28" i="2"/>
  <c r="BE31" i="2"/>
  <c r="Q31" i="2"/>
  <c r="AG29" i="2"/>
  <c r="AS29" i="2"/>
  <c r="BY28" i="2"/>
  <c r="DQ29" i="2"/>
  <c r="CS29" i="2"/>
  <c r="I29" i="2"/>
  <c r="EC29" i="2"/>
  <c r="AW29" i="2"/>
  <c r="AK29" i="2"/>
  <c r="AC29" i="2"/>
  <c r="BA32" i="2"/>
  <c r="CW30" i="2"/>
  <c r="M29" i="2"/>
  <c r="DM26" i="2"/>
  <c r="EO28" i="2"/>
  <c r="CO28" i="2"/>
  <c r="BI28" i="2"/>
  <c r="U31" i="2"/>
  <c r="AO29" i="2"/>
  <c r="CD24" i="2"/>
  <c r="DZ24" i="2"/>
  <c r="ER25" i="2"/>
  <c r="DV24" i="2"/>
  <c r="BB24" i="2"/>
  <c r="V24" i="2"/>
  <c r="BF24" i="2"/>
  <c r="R24" i="2"/>
  <c r="CH24" i="2"/>
  <c r="CL24" i="2"/>
  <c r="CX24" i="2"/>
  <c r="N24" i="2"/>
  <c r="J24" i="2"/>
  <c r="ED24" i="2"/>
  <c r="Z24" i="2"/>
  <c r="DR24" i="2"/>
  <c r="AX24" i="2"/>
  <c r="AP24" i="2"/>
  <c r="CT24" i="2"/>
  <c r="AH24" i="2"/>
  <c r="AD24" i="2"/>
  <c r="DF24" i="2"/>
  <c r="AT24" i="2"/>
  <c r="AL24" i="2"/>
  <c r="BZ24" i="2"/>
  <c r="CP24" i="2"/>
  <c r="BJ24" i="2"/>
  <c r="EP24" i="2"/>
  <c r="DB24" i="2"/>
  <c r="DA27" i="2"/>
  <c r="Y29" i="2"/>
  <c r="CG30" i="2"/>
  <c r="CK30" i="2"/>
  <c r="DU32" i="2"/>
  <c r="DE29" i="2"/>
  <c r="AA28" i="48"/>
  <c r="AC27" i="48"/>
  <c r="AI27" i="48"/>
  <c r="AG28" i="48"/>
  <c r="A29" i="48" l="1"/>
  <c r="A27" i="45"/>
  <c r="DN25" i="2"/>
  <c r="D33" i="45"/>
  <c r="AE32" i="45"/>
  <c r="A30" i="1"/>
  <c r="A29" i="2"/>
  <c r="U32" i="2"/>
  <c r="DM27" i="2"/>
  <c r="AC30" i="2"/>
  <c r="I30" i="2"/>
  <c r="AS30" i="2"/>
  <c r="CK31" i="2"/>
  <c r="CD25" i="2"/>
  <c r="DZ25" i="2"/>
  <c r="ER26" i="2"/>
  <c r="DV25" i="2"/>
  <c r="BB25" i="2"/>
  <c r="BF25" i="2"/>
  <c r="R25" i="2"/>
  <c r="V25" i="2"/>
  <c r="CH25" i="2"/>
  <c r="CL25" i="2"/>
  <c r="CX25" i="2"/>
  <c r="AH25" i="2"/>
  <c r="CT25" i="2"/>
  <c r="AX25" i="2"/>
  <c r="N25" i="2"/>
  <c r="ED25" i="2"/>
  <c r="AT25" i="2"/>
  <c r="Z25" i="2"/>
  <c r="J25" i="2"/>
  <c r="AL25" i="2"/>
  <c r="DF25" i="2"/>
  <c r="AP25" i="2"/>
  <c r="AD25" i="2"/>
  <c r="DR25" i="2"/>
  <c r="BJ25" i="2"/>
  <c r="EP25" i="2"/>
  <c r="BZ25" i="2"/>
  <c r="CP25" i="2"/>
  <c r="DB25" i="2"/>
  <c r="CG31" i="2"/>
  <c r="BI29" i="2"/>
  <c r="M30" i="2"/>
  <c r="AK30" i="2"/>
  <c r="CS30" i="2"/>
  <c r="AG30" i="2"/>
  <c r="Y30" i="2"/>
  <c r="CW31" i="2"/>
  <c r="DQ30" i="2"/>
  <c r="Q32" i="2"/>
  <c r="DE30" i="2"/>
  <c r="CO29" i="2"/>
  <c r="AW30" i="2"/>
  <c r="DU33" i="2"/>
  <c r="DA28" i="2"/>
  <c r="AO30" i="2"/>
  <c r="BY29" i="2"/>
  <c r="BE32" i="2"/>
  <c r="EO29" i="2"/>
  <c r="BA33" i="2"/>
  <c r="EC30" i="2"/>
  <c r="AG29" i="48"/>
  <c r="AI28" i="48"/>
  <c r="AC28" i="48"/>
  <c r="AA29" i="48"/>
  <c r="A30" i="48" l="1"/>
  <c r="A28" i="45"/>
  <c r="AE33" i="45"/>
  <c r="D34" i="45"/>
  <c r="A31" i="1"/>
  <c r="A30" i="2"/>
  <c r="DA29" i="2"/>
  <c r="Y31" i="2"/>
  <c r="M31" i="2"/>
  <c r="CD26" i="2"/>
  <c r="DZ26" i="2"/>
  <c r="ER27" i="2"/>
  <c r="BB26" i="2"/>
  <c r="DV26" i="2"/>
  <c r="BF26" i="2"/>
  <c r="V26" i="2"/>
  <c r="R26" i="2"/>
  <c r="CH26" i="2"/>
  <c r="CL26" i="2"/>
  <c r="CX26" i="2"/>
  <c r="AP26" i="2"/>
  <c r="J26" i="2"/>
  <c r="CT26" i="2"/>
  <c r="AH26" i="2"/>
  <c r="ED26" i="2"/>
  <c r="Z26" i="2"/>
  <c r="DF26" i="2"/>
  <c r="AT26" i="2"/>
  <c r="AL26" i="2"/>
  <c r="N26" i="2"/>
  <c r="AD26" i="2"/>
  <c r="DR26" i="2"/>
  <c r="AX26" i="2"/>
  <c r="BJ26" i="2"/>
  <c r="CP26" i="2"/>
  <c r="EP26" i="2"/>
  <c r="BZ26" i="2"/>
  <c r="DB26" i="2"/>
  <c r="I31" i="2"/>
  <c r="EO30" i="2"/>
  <c r="DU34" i="2"/>
  <c r="AC31" i="2"/>
  <c r="Q33" i="2"/>
  <c r="BY30" i="2"/>
  <c r="AW31" i="2"/>
  <c r="DM28" i="2"/>
  <c r="AG31" i="2"/>
  <c r="DQ31" i="2"/>
  <c r="CS31" i="2"/>
  <c r="CG32" i="2"/>
  <c r="CK32" i="2"/>
  <c r="DN26" i="2"/>
  <c r="DE31" i="2"/>
  <c r="BI30" i="2"/>
  <c r="EC31" i="2"/>
  <c r="AO31" i="2"/>
  <c r="CW32" i="2"/>
  <c r="U33" i="2"/>
  <c r="BE33" i="2"/>
  <c r="BA34" i="2"/>
  <c r="CO30" i="2"/>
  <c r="AK31" i="2"/>
  <c r="AS31" i="2"/>
  <c r="AG30" i="48"/>
  <c r="AI29" i="48"/>
  <c r="AA30" i="48"/>
  <c r="AC29" i="48"/>
  <c r="A31" i="48" l="1"/>
  <c r="A29" i="45"/>
  <c r="DN27" i="2"/>
  <c r="AE34" i="45"/>
  <c r="D35" i="45"/>
  <c r="A32" i="1"/>
  <c r="A31" i="2"/>
  <c r="DE32" i="2"/>
  <c r="DQ32" i="2"/>
  <c r="BY31" i="2"/>
  <c r="EO31" i="2"/>
  <c r="M32" i="2"/>
  <c r="AO32" i="2"/>
  <c r="CK33" i="2"/>
  <c r="I32" i="2"/>
  <c r="BA35" i="2"/>
  <c r="EC32" i="2"/>
  <c r="DM29" i="2"/>
  <c r="Y32" i="2"/>
  <c r="AG32" i="2"/>
  <c r="U34" i="2"/>
  <c r="CG33" i="2"/>
  <c r="AC32" i="2"/>
  <c r="BE34" i="2"/>
  <c r="CS32" i="2"/>
  <c r="AW32" i="2"/>
  <c r="CD27" i="2"/>
  <c r="DZ27" i="2"/>
  <c r="ER28" i="2"/>
  <c r="DV27" i="2"/>
  <c r="BB27" i="2"/>
  <c r="R27" i="2"/>
  <c r="V27" i="2"/>
  <c r="BF27" i="2"/>
  <c r="CX27" i="2"/>
  <c r="CL27" i="2"/>
  <c r="CH27" i="2"/>
  <c r="Z27" i="2"/>
  <c r="AP27" i="2"/>
  <c r="DF27" i="2"/>
  <c r="N27" i="2"/>
  <c r="CT27" i="2"/>
  <c r="DR27" i="2"/>
  <c r="J27" i="2"/>
  <c r="AD27" i="2"/>
  <c r="AL27" i="2"/>
  <c r="AX27" i="2"/>
  <c r="ED27" i="2"/>
  <c r="AT27" i="2"/>
  <c r="AH27" i="2"/>
  <c r="BZ27" i="2"/>
  <c r="EP27" i="2"/>
  <c r="CP27" i="2"/>
  <c r="BJ27" i="2"/>
  <c r="DB27" i="2"/>
  <c r="DA30" i="2"/>
  <c r="Q34" i="2"/>
  <c r="AS32" i="2"/>
  <c r="AK32" i="2"/>
  <c r="BI31" i="2"/>
  <c r="CO31" i="2"/>
  <c r="CW33" i="2"/>
  <c r="DU35" i="2"/>
  <c r="AI30" i="48"/>
  <c r="AG31" i="48"/>
  <c r="AA31" i="48"/>
  <c r="AC30" i="48"/>
  <c r="A32" i="48" l="1"/>
  <c r="A30" i="45"/>
  <c r="DN28" i="2"/>
  <c r="D36" i="45"/>
  <c r="AE35" i="45"/>
  <c r="A33" i="1"/>
  <c r="A32" i="2"/>
  <c r="Y33" i="2"/>
  <c r="EO32" i="2"/>
  <c r="AC33" i="2"/>
  <c r="I33" i="2"/>
  <c r="CO32" i="2"/>
  <c r="DA31" i="2"/>
  <c r="AW33" i="2"/>
  <c r="DM30" i="2"/>
  <c r="BY32" i="2"/>
  <c r="Q35" i="2"/>
  <c r="CG34" i="2"/>
  <c r="CK34" i="2"/>
  <c r="DU36" i="2"/>
  <c r="DQ33" i="2"/>
  <c r="BI32" i="2"/>
  <c r="CS33" i="2"/>
  <c r="U35" i="2"/>
  <c r="EC33" i="2"/>
  <c r="AO33" i="2"/>
  <c r="AK33" i="2"/>
  <c r="CD28" i="2"/>
  <c r="DZ28" i="2"/>
  <c r="ER29" i="2"/>
  <c r="DV28" i="2"/>
  <c r="BB28" i="2"/>
  <c r="BF28" i="2"/>
  <c r="V28" i="2"/>
  <c r="R28" i="2"/>
  <c r="CH28" i="2"/>
  <c r="CX28" i="2"/>
  <c r="CL28" i="2"/>
  <c r="AP28" i="2"/>
  <c r="ED28" i="2"/>
  <c r="DR28" i="2"/>
  <c r="Z28" i="2"/>
  <c r="AX28" i="2"/>
  <c r="DF28" i="2"/>
  <c r="AH28" i="2"/>
  <c r="CT28" i="2"/>
  <c r="AL28" i="2"/>
  <c r="N28" i="2"/>
  <c r="AT28" i="2"/>
  <c r="J28" i="2"/>
  <c r="AD28" i="2"/>
  <c r="BZ28" i="2"/>
  <c r="CP28" i="2"/>
  <c r="EP28" i="2"/>
  <c r="BJ28" i="2"/>
  <c r="DB28" i="2"/>
  <c r="AG33" i="2"/>
  <c r="M33" i="2"/>
  <c r="CW34" i="2"/>
  <c r="AS33" i="2"/>
  <c r="BE35" i="2"/>
  <c r="BA36" i="2"/>
  <c r="DE33" i="2"/>
  <c r="AG32" i="48"/>
  <c r="AI31" i="48"/>
  <c r="AC31" i="48"/>
  <c r="AA32" i="48"/>
  <c r="A33" i="48" l="1"/>
  <c r="A31" i="45"/>
  <c r="DN29" i="2"/>
  <c r="D37" i="45"/>
  <c r="AE36" i="45"/>
  <c r="A34" i="1"/>
  <c r="A33" i="2"/>
  <c r="BE36" i="2"/>
  <c r="AG34" i="2"/>
  <c r="DM31" i="2"/>
  <c r="I34" i="2"/>
  <c r="AW34" i="2"/>
  <c r="AO34" i="2"/>
  <c r="BI33" i="2"/>
  <c r="CG35" i="2"/>
  <c r="AC34" i="2"/>
  <c r="CS34" i="2"/>
  <c r="CW35" i="2"/>
  <c r="CD29" i="2"/>
  <c r="DZ29" i="2"/>
  <c r="ER30" i="2"/>
  <c r="BB29" i="2"/>
  <c r="DV29" i="2"/>
  <c r="V29" i="2"/>
  <c r="BF29" i="2"/>
  <c r="R29" i="2"/>
  <c r="CX29" i="2"/>
  <c r="CH29" i="2"/>
  <c r="CL29" i="2"/>
  <c r="AP29" i="2"/>
  <c r="AX29" i="2"/>
  <c r="ED29" i="2"/>
  <c r="N29" i="2"/>
  <c r="AT29" i="2"/>
  <c r="AL29" i="2"/>
  <c r="CT29" i="2"/>
  <c r="DR29" i="2"/>
  <c r="AD29" i="2"/>
  <c r="AH29" i="2"/>
  <c r="Z29" i="2"/>
  <c r="J29" i="2"/>
  <c r="DF29" i="2"/>
  <c r="BJ29" i="2"/>
  <c r="CP29" i="2"/>
  <c r="EP29" i="2"/>
  <c r="BZ29" i="2"/>
  <c r="DB29" i="2"/>
  <c r="EC34" i="2"/>
  <c r="DQ34" i="2"/>
  <c r="Q36" i="2"/>
  <c r="DA32" i="2"/>
  <c r="EO33" i="2"/>
  <c r="AK34" i="2"/>
  <c r="AS34" i="2"/>
  <c r="DE34" i="2"/>
  <c r="M34" i="2"/>
  <c r="BY33" i="2"/>
  <c r="CO33" i="2"/>
  <c r="CK35" i="2"/>
  <c r="BA37" i="2"/>
  <c r="U36" i="2"/>
  <c r="DU37" i="2"/>
  <c r="Y34" i="2"/>
  <c r="AG33" i="48"/>
  <c r="AI32" i="48"/>
  <c r="AA33" i="48"/>
  <c r="AC32" i="48"/>
  <c r="A34" i="48" l="1"/>
  <c r="A32" i="45"/>
  <c r="DN30" i="2"/>
  <c r="AE37" i="45"/>
  <c r="D38" i="45"/>
  <c r="AE38" i="45" s="1"/>
  <c r="A35" i="1"/>
  <c r="A34" i="2"/>
  <c r="BY34" i="2"/>
  <c r="I35" i="2"/>
  <c r="DQ35" i="2"/>
  <c r="EO34" i="2"/>
  <c r="DM32" i="2"/>
  <c r="AK35" i="2"/>
  <c r="CG36" i="2"/>
  <c r="BA38" i="2"/>
  <c r="EC35" i="2"/>
  <c r="CW36" i="2"/>
  <c r="BI34" i="2"/>
  <c r="Y35" i="2"/>
  <c r="DE35" i="2"/>
  <c r="DA33" i="2"/>
  <c r="AG35" i="2"/>
  <c r="U37" i="2"/>
  <c r="M35" i="2"/>
  <c r="CK36" i="2"/>
  <c r="CS35" i="2"/>
  <c r="AO35" i="2"/>
  <c r="CO34" i="2"/>
  <c r="AS35" i="2"/>
  <c r="Q37" i="2"/>
  <c r="CD30" i="2"/>
  <c r="DZ30" i="2"/>
  <c r="ER31" i="2"/>
  <c r="DV30" i="2"/>
  <c r="BB30" i="2"/>
  <c r="BF30" i="2"/>
  <c r="R30" i="2"/>
  <c r="V30" i="2"/>
  <c r="CX30" i="2"/>
  <c r="CL30" i="2"/>
  <c r="CH30" i="2"/>
  <c r="AX30" i="2"/>
  <c r="CT30" i="2"/>
  <c r="DF30" i="2"/>
  <c r="Z30" i="2"/>
  <c r="AL30" i="2"/>
  <c r="AD30" i="2"/>
  <c r="N30" i="2"/>
  <c r="AH30" i="2"/>
  <c r="ED30" i="2"/>
  <c r="AT30" i="2"/>
  <c r="J30" i="2"/>
  <c r="DR30" i="2"/>
  <c r="AP30" i="2"/>
  <c r="BJ30" i="2"/>
  <c r="CP30" i="2"/>
  <c r="BZ30" i="2"/>
  <c r="EP30" i="2"/>
  <c r="DB30" i="2"/>
  <c r="AC35" i="2"/>
  <c r="AW35" i="2"/>
  <c r="DU38" i="2"/>
  <c r="BE37" i="2"/>
  <c r="AA34" i="48"/>
  <c r="AC33" i="48"/>
  <c r="AI33" i="48"/>
  <c r="AG34" i="48"/>
  <c r="A35" i="48" l="1"/>
  <c r="A33" i="45"/>
  <c r="A36" i="1"/>
  <c r="A35" i="2"/>
  <c r="AW36" i="2"/>
  <c r="Y36" i="2"/>
  <c r="EO35" i="2"/>
  <c r="AO36" i="2"/>
  <c r="U38" i="2"/>
  <c r="BA39" i="2"/>
  <c r="BA40" i="2" s="1"/>
  <c r="Q38" i="2"/>
  <c r="CS36" i="2"/>
  <c r="BI35" i="2"/>
  <c r="AG36" i="2"/>
  <c r="CG37" i="2"/>
  <c r="DQ36" i="2"/>
  <c r="CK37" i="2"/>
  <c r="DA34" i="2"/>
  <c r="AK36" i="2"/>
  <c r="I36" i="2"/>
  <c r="AC36" i="2"/>
  <c r="BE38" i="2"/>
  <c r="AS36" i="2"/>
  <c r="CW37" i="2"/>
  <c r="CD31" i="2"/>
  <c r="DZ31" i="2"/>
  <c r="ER32" i="2"/>
  <c r="DV31" i="2"/>
  <c r="BB31" i="2"/>
  <c r="V31" i="2"/>
  <c r="R31" i="2"/>
  <c r="BF31" i="2"/>
  <c r="CH31" i="2"/>
  <c r="CL31" i="2"/>
  <c r="CX31" i="2"/>
  <c r="N31" i="2"/>
  <c r="AH31" i="2"/>
  <c r="AX31" i="2"/>
  <c r="DF31" i="2"/>
  <c r="AT31" i="2"/>
  <c r="DR31" i="2"/>
  <c r="AP31" i="2"/>
  <c r="ED31" i="2"/>
  <c r="CT31" i="2"/>
  <c r="AL31" i="2"/>
  <c r="Z31" i="2"/>
  <c r="J31" i="2"/>
  <c r="AD31" i="2"/>
  <c r="CP31" i="2"/>
  <c r="BZ31" i="2"/>
  <c r="EP31" i="2"/>
  <c r="BJ31" i="2"/>
  <c r="DB31" i="2"/>
  <c r="CO35" i="2"/>
  <c r="M36" i="2"/>
  <c r="DM33" i="2"/>
  <c r="BY35" i="2"/>
  <c r="DU39" i="2"/>
  <c r="DU40" i="2" s="1"/>
  <c r="DE36" i="2"/>
  <c r="EC36" i="2"/>
  <c r="DN31" i="2"/>
  <c r="AG35" i="48"/>
  <c r="AI34" i="48"/>
  <c r="AC34" i="48"/>
  <c r="AA35" i="48"/>
  <c r="A36" i="48" l="1"/>
  <c r="A34" i="45"/>
  <c r="DN32" i="2"/>
  <c r="A37" i="1"/>
  <c r="A36" i="2"/>
  <c r="CO36" i="2"/>
  <c r="I37" i="2"/>
  <c r="DQ37" i="2"/>
  <c r="CW38" i="2"/>
  <c r="CS37" i="2"/>
  <c r="AO37" i="2"/>
  <c r="AK37" i="2"/>
  <c r="CG38" i="2"/>
  <c r="Q39" i="2"/>
  <c r="Q40" i="2" s="1"/>
  <c r="EO36" i="2"/>
  <c r="AS37" i="2"/>
  <c r="BY36" i="2"/>
  <c r="DM34" i="2"/>
  <c r="CD32" i="2"/>
  <c r="DZ32" i="2"/>
  <c r="ER33" i="2"/>
  <c r="BB32" i="2"/>
  <c r="DV32" i="2"/>
  <c r="V32" i="2"/>
  <c r="BF32" i="2"/>
  <c r="R32" i="2"/>
  <c r="CX32" i="2"/>
  <c r="CL32" i="2"/>
  <c r="CH32" i="2"/>
  <c r="N32" i="2"/>
  <c r="Z32" i="2"/>
  <c r="AH32" i="2"/>
  <c r="DR32" i="2"/>
  <c r="ED32" i="2"/>
  <c r="DF32" i="2"/>
  <c r="AT32" i="2"/>
  <c r="AX32" i="2"/>
  <c r="J32" i="2"/>
  <c r="AD32" i="2"/>
  <c r="AP32" i="2"/>
  <c r="CT32" i="2"/>
  <c r="AL32" i="2"/>
  <c r="CP32" i="2"/>
  <c r="BZ32" i="2"/>
  <c r="EP32" i="2"/>
  <c r="BJ32" i="2"/>
  <c r="DB32" i="2"/>
  <c r="DA35" i="2"/>
  <c r="AG37" i="2"/>
  <c r="BE39" i="2"/>
  <c r="BE40" i="2" s="1"/>
  <c r="Y37" i="2"/>
  <c r="AC37" i="2"/>
  <c r="CK38" i="2"/>
  <c r="BI36" i="2"/>
  <c r="AW37" i="2"/>
  <c r="EC37" i="2"/>
  <c r="DE37" i="2"/>
  <c r="M37" i="2"/>
  <c r="U39" i="2"/>
  <c r="U40" i="2" s="1"/>
  <c r="AA36" i="48"/>
  <c r="AC35" i="48"/>
  <c r="AI35" i="48"/>
  <c r="AG36" i="48"/>
  <c r="A37" i="48" l="1"/>
  <c r="A35" i="45"/>
  <c r="A38" i="1"/>
  <c r="A37" i="2"/>
  <c r="M38" i="2"/>
  <c r="BI37" i="2"/>
  <c r="CW39" i="2"/>
  <c r="CW40" i="2" s="1"/>
  <c r="CD33" i="2"/>
  <c r="DZ33" i="2"/>
  <c r="ER34" i="2"/>
  <c r="DV33" i="2"/>
  <c r="BB33" i="2"/>
  <c r="R33" i="2"/>
  <c r="BF33" i="2"/>
  <c r="V33" i="2"/>
  <c r="CX33" i="2"/>
  <c r="CH33" i="2"/>
  <c r="CL33" i="2"/>
  <c r="AX33" i="2"/>
  <c r="AD33" i="2"/>
  <c r="AT33" i="2"/>
  <c r="J33" i="2"/>
  <c r="AH33" i="2"/>
  <c r="DF33" i="2"/>
  <c r="Z33" i="2"/>
  <c r="AP33" i="2"/>
  <c r="CT33" i="2"/>
  <c r="N33" i="2"/>
  <c r="ED33" i="2"/>
  <c r="DR33" i="2"/>
  <c r="AL33" i="2"/>
  <c r="BZ33" i="2"/>
  <c r="CP33" i="2"/>
  <c r="BJ33" i="2"/>
  <c r="EP33" i="2"/>
  <c r="DB33" i="2"/>
  <c r="AS38" i="2"/>
  <c r="AK38" i="2"/>
  <c r="DQ38" i="2"/>
  <c r="DE38" i="2"/>
  <c r="AG38" i="2"/>
  <c r="EO37" i="2"/>
  <c r="AO38" i="2"/>
  <c r="AC38" i="2"/>
  <c r="DA36" i="2"/>
  <c r="DM35" i="2"/>
  <c r="I38" i="2"/>
  <c r="DN33" i="2"/>
  <c r="CO37" i="2"/>
  <c r="CG39" i="2"/>
  <c r="CG40" i="2" s="1"/>
  <c r="CK39" i="2"/>
  <c r="CK40" i="2" s="1"/>
  <c r="EC38" i="2"/>
  <c r="AW38" i="2"/>
  <c r="Y38" i="2"/>
  <c r="BY37" i="2"/>
  <c r="CS38" i="2"/>
  <c r="AA37" i="48"/>
  <c r="AC36" i="48"/>
  <c r="AG37" i="48"/>
  <c r="AI36" i="48"/>
  <c r="A38" i="48" l="1"/>
  <c r="A36" i="45"/>
  <c r="DN34" i="2"/>
  <c r="A39" i="1"/>
  <c r="A38" i="2"/>
  <c r="Y39" i="2"/>
  <c r="Y40" i="2" s="1"/>
  <c r="AK39" i="2"/>
  <c r="AK40" i="2" s="1"/>
  <c r="AW39" i="2"/>
  <c r="AW40" i="2" s="1"/>
  <c r="AG39" i="2"/>
  <c r="AG40" i="2" s="1"/>
  <c r="DE39" i="2"/>
  <c r="DE40" i="2" s="1"/>
  <c r="CS39" i="2"/>
  <c r="CS40" i="2" s="1"/>
  <c r="EC39" i="2"/>
  <c r="EC40" i="2" s="1"/>
  <c r="BY38" i="2"/>
  <c r="CD34" i="2"/>
  <c r="DZ34" i="2"/>
  <c r="ER35" i="2"/>
  <c r="DV34" i="2"/>
  <c r="BB34" i="2"/>
  <c r="V34" i="2"/>
  <c r="R34" i="2"/>
  <c r="BF34" i="2"/>
  <c r="CL34" i="2"/>
  <c r="CX34" i="2"/>
  <c r="CH34" i="2"/>
  <c r="N34" i="2"/>
  <c r="ED34" i="2"/>
  <c r="DF34" i="2"/>
  <c r="AD34" i="2"/>
  <c r="AX34" i="2"/>
  <c r="J34" i="2"/>
  <c r="AL34" i="2"/>
  <c r="AT34" i="2"/>
  <c r="CT34" i="2"/>
  <c r="DR34" i="2"/>
  <c r="AH34" i="2"/>
  <c r="Z34" i="2"/>
  <c r="AP34" i="2"/>
  <c r="BJ34" i="2"/>
  <c r="BZ34" i="2"/>
  <c r="CP34" i="2"/>
  <c r="EP34" i="2"/>
  <c r="DB34" i="2"/>
  <c r="BI38" i="2"/>
  <c r="CO38" i="2"/>
  <c r="AS39" i="2"/>
  <c r="AS40" i="2" s="1"/>
  <c r="AC39" i="2"/>
  <c r="AC40" i="2" s="1"/>
  <c r="I39" i="2"/>
  <c r="I40" i="2" s="1"/>
  <c r="AO39" i="2"/>
  <c r="AO40" i="2" s="1"/>
  <c r="DQ39" i="2"/>
  <c r="DQ40" i="2" s="1"/>
  <c r="M39" i="2"/>
  <c r="M40" i="2" s="1"/>
  <c r="DA37" i="2"/>
  <c r="DM36" i="2"/>
  <c r="EO38" i="2"/>
  <c r="AG38" i="48"/>
  <c r="AI37" i="48"/>
  <c r="AA38" i="48"/>
  <c r="AC37" i="48"/>
  <c r="A39" i="48" l="1"/>
  <c r="A38" i="45" s="1"/>
  <c r="A37" i="45"/>
  <c r="DN35" i="2"/>
  <c r="A40" i="1"/>
  <c r="A40" i="2" s="1"/>
  <c r="A39" i="2"/>
  <c r="DZ35" i="2"/>
  <c r="CD35" i="2"/>
  <c r="ER36" i="2"/>
  <c r="DV35" i="2"/>
  <c r="BB35" i="2"/>
  <c r="R35" i="2"/>
  <c r="BF35" i="2"/>
  <c r="V35" i="2"/>
  <c r="CL35" i="2"/>
  <c r="CX35" i="2"/>
  <c r="CH35" i="2"/>
  <c r="AX35" i="2"/>
  <c r="AD35" i="2"/>
  <c r="N35" i="2"/>
  <c r="DF35" i="2"/>
  <c r="AH35" i="2"/>
  <c r="Z35" i="2"/>
  <c r="ED35" i="2"/>
  <c r="AL35" i="2"/>
  <c r="AT35" i="2"/>
  <c r="DR35" i="2"/>
  <c r="J35" i="2"/>
  <c r="AP35" i="2"/>
  <c r="CT35" i="2"/>
  <c r="CP35" i="2"/>
  <c r="EP35" i="2"/>
  <c r="BJ35" i="2"/>
  <c r="BZ35" i="2"/>
  <c r="DB35" i="2"/>
  <c r="DM37" i="2"/>
  <c r="DA38" i="2"/>
  <c r="BI39" i="2"/>
  <c r="BI40" i="2" s="1"/>
  <c r="BY39" i="2"/>
  <c r="BY40" i="2" s="1"/>
  <c r="EO39" i="2"/>
  <c r="EO40" i="2" s="1"/>
  <c r="CO39" i="2"/>
  <c r="CO40" i="2" s="1"/>
  <c r="AA39" i="48"/>
  <c r="AC39" i="48" s="1"/>
  <c r="AC38" i="48"/>
  <c r="AG39" i="48"/>
  <c r="AI39" i="48" s="1"/>
  <c r="AI38" i="48"/>
  <c r="DZ36" i="2" l="1"/>
  <c r="CD36" i="2"/>
  <c r="ER37" i="2"/>
  <c r="DV36" i="2"/>
  <c r="BB36" i="2"/>
  <c r="BF36" i="2"/>
  <c r="R36" i="2"/>
  <c r="V36" i="2"/>
  <c r="CL36" i="2"/>
  <c r="CH36" i="2"/>
  <c r="CX36" i="2"/>
  <c r="N36" i="2"/>
  <c r="CT36" i="2"/>
  <c r="Z36" i="2"/>
  <c r="AX36" i="2"/>
  <c r="AP36" i="2"/>
  <c r="ED36" i="2"/>
  <c r="J36" i="2"/>
  <c r="AD36" i="2"/>
  <c r="AL36" i="2"/>
  <c r="AT36" i="2"/>
  <c r="AH36" i="2"/>
  <c r="DF36" i="2"/>
  <c r="DR36" i="2"/>
  <c r="BZ36" i="2"/>
  <c r="CP36" i="2"/>
  <c r="BJ36" i="2"/>
  <c r="EP36" i="2"/>
  <c r="DB36" i="2"/>
  <c r="DA39" i="2"/>
  <c r="DA40" i="2" s="1"/>
  <c r="DN37" i="2"/>
  <c r="DM38" i="2"/>
  <c r="DN36" i="2"/>
  <c r="CD37" i="2" l="1"/>
  <c r="DZ37" i="2"/>
  <c r="ER38" i="2"/>
  <c r="DV37" i="2"/>
  <c r="BB37" i="2"/>
  <c r="V37" i="2"/>
  <c r="BF37" i="2"/>
  <c r="R37" i="2"/>
  <c r="CL37" i="2"/>
  <c r="CX37" i="2"/>
  <c r="CH37" i="2"/>
  <c r="N37" i="2"/>
  <c r="AL37" i="2"/>
  <c r="Z37" i="2"/>
  <c r="AX37" i="2"/>
  <c r="AH37" i="2"/>
  <c r="DR37" i="2"/>
  <c r="AP37" i="2"/>
  <c r="J37" i="2"/>
  <c r="DF37" i="2"/>
  <c r="AD37" i="2"/>
  <c r="ED37" i="2"/>
  <c r="CT37" i="2"/>
  <c r="AT37" i="2"/>
  <c r="BZ37" i="2"/>
  <c r="BJ37" i="2"/>
  <c r="EP37" i="2"/>
  <c r="CP37" i="2"/>
  <c r="DB37" i="2"/>
  <c r="DM39" i="2"/>
  <c r="DM40" i="2" s="1"/>
  <c r="DN38" i="2" l="1"/>
  <c r="CD38" i="2"/>
  <c r="DZ38" i="2"/>
  <c r="ER39" i="2"/>
  <c r="DV38" i="2"/>
  <c r="BB38" i="2"/>
  <c r="V38" i="2"/>
  <c r="R38" i="2"/>
  <c r="BF38" i="2"/>
  <c r="CH38" i="2"/>
  <c r="CL38" i="2"/>
  <c r="CX38" i="2"/>
  <c r="Z38" i="2"/>
  <c r="AH38" i="2"/>
  <c r="N38" i="2"/>
  <c r="DF38" i="2"/>
  <c r="J38" i="2"/>
  <c r="AL38" i="2"/>
  <c r="CT38" i="2"/>
  <c r="AP38" i="2"/>
  <c r="AD38" i="2"/>
  <c r="AT38" i="2"/>
  <c r="AX38" i="2"/>
  <c r="DR38" i="2"/>
  <c r="ED38" i="2"/>
  <c r="BJ38" i="2"/>
  <c r="BZ38" i="2"/>
  <c r="EP38" i="2"/>
  <c r="CP38" i="2"/>
  <c r="DB38" i="2"/>
  <c r="ER40" i="2" l="1"/>
  <c r="DR40" i="2" s="1"/>
  <c r="BF40" i="2"/>
  <c r="CP40" i="2"/>
  <c r="DF40" i="2"/>
  <c r="AD40" i="2"/>
  <c r="AT40" i="2"/>
  <c r="CD40" i="2"/>
  <c r="J40" i="2"/>
  <c r="DN40" i="2"/>
  <c r="BJ40" i="2"/>
  <c r="DB40" i="2"/>
  <c r="AP40" i="2"/>
  <c r="V40" i="2"/>
  <c r="CT40" i="2"/>
  <c r="AX40" i="2"/>
  <c r="CH40" i="2"/>
  <c r="CX40" i="2"/>
  <c r="N40" i="2"/>
  <c r="AL40" i="2"/>
  <c r="BB40" i="2"/>
  <c r="DZ40" i="2"/>
  <c r="AH40" i="2"/>
  <c r="ED40" i="2"/>
  <c r="CL40" i="2"/>
  <c r="EP40" i="2"/>
  <c r="R40" i="2"/>
  <c r="BZ40" i="2"/>
  <c r="CD39" i="2"/>
  <c r="DZ39" i="2"/>
  <c r="BB39" i="2"/>
  <c r="DV39" i="2"/>
  <c r="V39" i="2"/>
  <c r="R39" i="2"/>
  <c r="BF39" i="2"/>
  <c r="CL39" i="2"/>
  <c r="CH39" i="2"/>
  <c r="CX39" i="2"/>
  <c r="AD39" i="2"/>
  <c r="AH39" i="2"/>
  <c r="DF39" i="2"/>
  <c r="J39" i="2"/>
  <c r="CT39" i="2"/>
  <c r="ED39" i="2"/>
  <c r="AX39" i="2"/>
  <c r="Z39" i="2"/>
  <c r="AL39" i="2"/>
  <c r="DR39" i="2"/>
  <c r="AT39" i="2"/>
  <c r="AP39" i="2"/>
  <c r="N39" i="2"/>
  <c r="BZ39" i="2"/>
  <c r="CP39" i="2"/>
  <c r="EP39" i="2"/>
  <c r="BJ39" i="2"/>
  <c r="DB39" i="2"/>
  <c r="DN39" i="2"/>
  <c r="DV40" i="2" l="1"/>
  <c r="Z40" i="2"/>
  <c r="F23" i="33"/>
  <c r="AF39" i="51" l="1"/>
  <c r="AE39" i="51"/>
  <c r="AD39" i="51"/>
  <c r="AC39" i="51"/>
  <c r="AB39" i="51"/>
  <c r="AA39" i="51"/>
  <c r="Z39" i="51"/>
  <c r="Y39" i="51"/>
  <c r="X39" i="51"/>
  <c r="W39" i="51"/>
  <c r="V39" i="51"/>
  <c r="U39" i="51"/>
  <c r="T39" i="51"/>
  <c r="S39" i="51"/>
  <c r="R39" i="51"/>
  <c r="Q39" i="51"/>
  <c r="P39" i="51"/>
  <c r="O39" i="51"/>
  <c r="N39" i="51"/>
  <c r="M39" i="51"/>
  <c r="L39" i="51"/>
  <c r="K39" i="51"/>
  <c r="J39" i="51"/>
  <c r="I39" i="51"/>
  <c r="H39" i="51"/>
  <c r="G39" i="51"/>
  <c r="F39" i="51"/>
  <c r="E39" i="51"/>
  <c r="D39" i="51"/>
  <c r="C39" i="51"/>
  <c r="B39" i="51"/>
  <c r="AG37" i="51"/>
  <c r="AG36" i="51"/>
  <c r="AG35" i="51"/>
  <c r="AG34" i="51"/>
  <c r="AG33" i="51"/>
  <c r="AG32" i="51"/>
  <c r="AG31" i="51"/>
  <c r="AG30" i="51"/>
  <c r="AG29" i="51"/>
  <c r="AG28" i="51"/>
  <c r="AG27" i="51"/>
  <c r="AG26" i="51"/>
  <c r="AG25" i="51"/>
  <c r="AG24" i="51"/>
  <c r="AG23" i="51"/>
  <c r="AG22" i="51"/>
  <c r="AG21" i="51"/>
  <c r="AG20" i="51"/>
  <c r="AG19" i="51"/>
  <c r="AG18" i="51"/>
  <c r="AG17" i="51"/>
  <c r="AG16" i="51"/>
  <c r="AG15" i="51"/>
  <c r="AG14" i="51"/>
  <c r="AG13" i="51"/>
  <c r="AG12" i="51"/>
  <c r="AG11" i="51"/>
  <c r="AG10" i="51"/>
  <c r="AG9" i="51"/>
  <c r="AG8" i="51"/>
  <c r="AG7" i="51"/>
  <c r="AG39" i="51" l="1"/>
  <c r="AH20" i="51" l="1"/>
  <c r="AH38" i="51"/>
  <c r="AH8" i="51"/>
  <c r="AH6" i="51"/>
  <c r="AH28" i="51"/>
  <c r="AH35" i="51"/>
  <c r="AH31" i="51"/>
  <c r="AH27" i="51"/>
  <c r="AH23" i="51"/>
  <c r="AH19" i="51"/>
  <c r="AH15" i="51"/>
  <c r="AH11" i="51"/>
  <c r="AH7" i="51"/>
  <c r="AH37" i="51"/>
  <c r="AH33" i="51"/>
  <c r="AH29" i="51"/>
  <c r="AH25" i="51"/>
  <c r="AH21" i="51"/>
  <c r="AH17" i="51"/>
  <c r="AH13" i="51"/>
  <c r="AH9" i="51"/>
  <c r="AH18" i="51"/>
  <c r="AH10" i="51"/>
  <c r="AH34" i="51"/>
  <c r="AH30" i="51"/>
  <c r="AH26" i="51"/>
  <c r="AH22" i="51"/>
  <c r="AH32" i="51"/>
  <c r="AH14" i="51"/>
  <c r="AH24" i="51"/>
  <c r="AH12" i="51"/>
  <c r="AH16" i="51"/>
  <c r="AH36" i="51"/>
  <c r="AH39" i="51" l="1"/>
  <c r="J38" i="33" l="1"/>
  <c r="D39" i="48" l="1"/>
  <c r="D38" i="48"/>
  <c r="E39" i="48" l="1"/>
  <c r="F39" i="48" s="1"/>
  <c r="E38" i="48"/>
  <c r="F38" i="48" s="1"/>
  <c r="D37" i="48"/>
  <c r="E37" i="48" l="1"/>
  <c r="F37" i="48" s="1"/>
  <c r="D31" i="48" l="1"/>
  <c r="E31" i="48" l="1"/>
  <c r="F31" i="48" s="1"/>
  <c r="D29" i="48" l="1"/>
  <c r="E29" i="48" l="1"/>
  <c r="F29" i="48" s="1"/>
  <c r="D28" i="48"/>
  <c r="E28" i="48" l="1"/>
  <c r="F28" i="48" s="1"/>
  <c r="D27" i="48"/>
  <c r="E27" i="48" l="1"/>
  <c r="F27" i="48" s="1"/>
  <c r="D26" i="48" l="1"/>
  <c r="E26" i="48" l="1"/>
  <c r="F26" i="48" s="1"/>
  <c r="E23" i="48" l="1"/>
  <c r="D23" i="48"/>
  <c r="F23" i="48" l="1"/>
  <c r="D22" i="48" l="1"/>
  <c r="E22" i="48" l="1"/>
  <c r="F22" i="48" s="1"/>
  <c r="D20" i="48" l="1"/>
  <c r="E20" i="48" l="1"/>
  <c r="F20" i="48" s="1"/>
  <c r="D17" i="48" l="1"/>
  <c r="E17" i="48" l="1"/>
  <c r="F17" i="48" s="1"/>
  <c r="D16" i="48"/>
  <c r="E16" i="48" l="1"/>
  <c r="F16" i="48" s="1"/>
  <c r="D14" i="48" l="1"/>
  <c r="E14" i="48" l="1"/>
  <c r="F14" i="48" s="1"/>
  <c r="D13" i="48"/>
  <c r="E13" i="48" l="1"/>
  <c r="F13" i="48" s="1"/>
  <c r="D9" i="48" l="1"/>
  <c r="E9" i="48" l="1"/>
  <c r="F9" i="48" s="1"/>
  <c r="I43" i="4"/>
  <c r="N41" i="48" l="1"/>
  <c r="G41" i="48" s="1"/>
  <c r="G9" i="48"/>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O39" i="48" s="1"/>
  <c r="M9" i="48"/>
  <c r="AT9" i="48"/>
  <c r="H9" i="48"/>
  <c r="L41" i="48"/>
  <c r="H41" i="48" s="1"/>
  <c r="BA9" i="48" l="1"/>
  <c r="M10" i="48"/>
  <c r="BA10" i="48" s="1"/>
  <c r="AU9" i="48"/>
  <c r="M11" i="48" l="1"/>
  <c r="BA11" i="48" s="1"/>
  <c r="AU10" i="48"/>
  <c r="M12" i="48" l="1"/>
  <c r="BA12" i="48" s="1"/>
  <c r="AU11" i="48"/>
  <c r="M13" i="48" l="1"/>
  <c r="BA13" i="48" s="1"/>
  <c r="AU12" i="48"/>
  <c r="AU13" i="48" l="1"/>
  <c r="M14" i="48"/>
  <c r="BA14" i="48" s="1"/>
  <c r="D21" i="48"/>
  <c r="E21" i="48" l="1"/>
  <c r="F21" i="48" s="1"/>
  <c r="M15" i="48"/>
  <c r="BA15" i="48" s="1"/>
  <c r="AU14" i="48"/>
  <c r="J9" i="27"/>
  <c r="D12" i="48"/>
  <c r="J9" i="28" l="1"/>
  <c r="J9" i="26" s="1"/>
  <c r="J9" i="25" s="1"/>
  <c r="J9" i="24" s="1"/>
  <c r="J9" i="23" s="1"/>
  <c r="J9" i="22" s="1"/>
  <c r="J9" i="20" s="1"/>
  <c r="J9" i="19" s="1"/>
  <c r="J9" i="18" s="1"/>
  <c r="J9" i="17" s="1"/>
  <c r="M16" i="48"/>
  <c r="BA16" i="48" s="1"/>
  <c r="AU15" i="48"/>
  <c r="E12" i="48"/>
  <c r="F12" i="48" s="1"/>
  <c r="D11" i="48"/>
  <c r="J9" i="16" l="1"/>
  <c r="J9" i="15" s="1"/>
  <c r="J9" i="14" s="1"/>
  <c r="E11" i="48"/>
  <c r="F11" i="48" s="1"/>
  <c r="AU16" i="48"/>
  <c r="M17" i="48"/>
  <c r="BA17" i="48" s="1"/>
  <c r="C52" i="43"/>
  <c r="C51" i="43"/>
  <c r="C50" i="43"/>
  <c r="C49" i="43"/>
  <c r="C48" i="43"/>
  <c r="C47" i="43"/>
  <c r="C46" i="43"/>
  <c r="C45" i="43"/>
  <c r="C44" i="43"/>
  <c r="C43" i="43"/>
  <c r="C42" i="43"/>
  <c r="C41" i="43"/>
  <c r="C40" i="43"/>
  <c r="C39" i="43"/>
  <c r="C38" i="43"/>
  <c r="C52" i="4"/>
  <c r="C51" i="4"/>
  <c r="C50" i="4"/>
  <c r="C49" i="4"/>
  <c r="C48" i="4"/>
  <c r="C47" i="4"/>
  <c r="C46" i="4"/>
  <c r="C45" i="4"/>
  <c r="C44" i="4"/>
  <c r="C43" i="4"/>
  <c r="C42" i="4"/>
  <c r="C41" i="4"/>
  <c r="C40" i="4"/>
  <c r="C39" i="4"/>
  <c r="C38" i="4"/>
  <c r="C52" i="37"/>
  <c r="C51" i="37"/>
  <c r="C50" i="37"/>
  <c r="C49" i="37"/>
  <c r="C48" i="37"/>
  <c r="C47" i="37"/>
  <c r="C46" i="37"/>
  <c r="C45" i="37"/>
  <c r="C44" i="37"/>
  <c r="C43" i="37"/>
  <c r="C42" i="37"/>
  <c r="C41" i="37"/>
  <c r="C40" i="37"/>
  <c r="C39" i="37"/>
  <c r="C38" i="37"/>
  <c r="C52" i="6"/>
  <c r="C51" i="6"/>
  <c r="C50" i="6"/>
  <c r="C49" i="6"/>
  <c r="C48" i="6"/>
  <c r="C47" i="6"/>
  <c r="C46" i="6"/>
  <c r="C45" i="6"/>
  <c r="C44" i="6"/>
  <c r="C43" i="6"/>
  <c r="C42" i="6"/>
  <c r="C41" i="6"/>
  <c r="C40" i="6"/>
  <c r="C39" i="6"/>
  <c r="C38" i="6"/>
  <c r="C52" i="7"/>
  <c r="C51" i="7"/>
  <c r="C50" i="7"/>
  <c r="C49" i="7"/>
  <c r="C48" i="7"/>
  <c r="C47" i="7"/>
  <c r="C46" i="7"/>
  <c r="C45" i="7"/>
  <c r="C44" i="7"/>
  <c r="C43" i="7"/>
  <c r="C42" i="7"/>
  <c r="C41" i="7"/>
  <c r="C40" i="7"/>
  <c r="C39" i="7"/>
  <c r="C38" i="7"/>
  <c r="C52" i="8"/>
  <c r="C51" i="8"/>
  <c r="C50" i="8"/>
  <c r="C49" i="8"/>
  <c r="C48" i="8"/>
  <c r="C47" i="8"/>
  <c r="C46" i="8"/>
  <c r="C45" i="8"/>
  <c r="C44" i="8"/>
  <c r="C43" i="8"/>
  <c r="C42" i="8"/>
  <c r="C41" i="8"/>
  <c r="C40" i="8"/>
  <c r="C39" i="8"/>
  <c r="C38" i="8"/>
  <c r="C52" i="9"/>
  <c r="C51" i="9"/>
  <c r="C50" i="9"/>
  <c r="C49" i="9"/>
  <c r="C48" i="9"/>
  <c r="C47" i="9"/>
  <c r="C46" i="9"/>
  <c r="C45" i="9"/>
  <c r="C44" i="9"/>
  <c r="C43" i="9"/>
  <c r="C42" i="9"/>
  <c r="C41" i="9"/>
  <c r="C40" i="9"/>
  <c r="C39" i="9"/>
  <c r="C38" i="9"/>
  <c r="C52" i="10"/>
  <c r="C51" i="10"/>
  <c r="C50" i="10"/>
  <c r="C49" i="10"/>
  <c r="C48" i="10"/>
  <c r="C47" i="10"/>
  <c r="C46" i="10"/>
  <c r="C45" i="10"/>
  <c r="C44" i="10"/>
  <c r="C43" i="10"/>
  <c r="C42" i="10"/>
  <c r="C41" i="10"/>
  <c r="C40" i="10"/>
  <c r="C39" i="10"/>
  <c r="C38" i="10"/>
  <c r="C52" i="11"/>
  <c r="C51" i="11"/>
  <c r="C50" i="11"/>
  <c r="C49" i="11"/>
  <c r="C48" i="11"/>
  <c r="C47" i="11"/>
  <c r="C46" i="11"/>
  <c r="C45" i="11"/>
  <c r="C44" i="11"/>
  <c r="C43" i="11"/>
  <c r="C42" i="11"/>
  <c r="C41" i="11"/>
  <c r="C40" i="11"/>
  <c r="C39" i="11"/>
  <c r="C38" i="11"/>
  <c r="C52" i="12"/>
  <c r="C51" i="12"/>
  <c r="C50" i="12"/>
  <c r="C49" i="12"/>
  <c r="C48" i="12"/>
  <c r="C47" i="12"/>
  <c r="C46" i="12"/>
  <c r="C45" i="12"/>
  <c r="C44" i="12"/>
  <c r="C43" i="12"/>
  <c r="C42" i="12"/>
  <c r="C41" i="12"/>
  <c r="C40" i="12"/>
  <c r="C39" i="12"/>
  <c r="C38" i="12"/>
  <c r="C52" i="13"/>
  <c r="C51" i="13"/>
  <c r="C50" i="13"/>
  <c r="C49" i="13"/>
  <c r="C48" i="13"/>
  <c r="C47" i="13"/>
  <c r="C46" i="13"/>
  <c r="C45" i="13"/>
  <c r="C44" i="13"/>
  <c r="C43" i="13"/>
  <c r="C42" i="13"/>
  <c r="C41" i="13"/>
  <c r="C40" i="13"/>
  <c r="C39" i="13"/>
  <c r="C38" i="13"/>
  <c r="C52" i="14"/>
  <c r="C51" i="14"/>
  <c r="C50" i="14"/>
  <c r="C49" i="14"/>
  <c r="C48" i="14"/>
  <c r="C47" i="14"/>
  <c r="C46" i="14"/>
  <c r="C45" i="14"/>
  <c r="C44" i="14"/>
  <c r="C43" i="14"/>
  <c r="C42" i="14"/>
  <c r="C41" i="14"/>
  <c r="C40" i="14"/>
  <c r="C39" i="14"/>
  <c r="C38" i="14"/>
  <c r="C52" i="15"/>
  <c r="C51" i="15"/>
  <c r="C50" i="15"/>
  <c r="C49" i="15"/>
  <c r="C48" i="15"/>
  <c r="C47" i="15"/>
  <c r="C46" i="15"/>
  <c r="C45" i="15"/>
  <c r="C44" i="15"/>
  <c r="C43" i="15"/>
  <c r="C42" i="15"/>
  <c r="C41" i="15"/>
  <c r="C40" i="15"/>
  <c r="C39" i="15"/>
  <c r="C38" i="15"/>
  <c r="C52" i="16"/>
  <c r="C51" i="16"/>
  <c r="C50" i="16"/>
  <c r="C49" i="16"/>
  <c r="C48" i="16"/>
  <c r="C47" i="16"/>
  <c r="C46" i="16"/>
  <c r="C45" i="16"/>
  <c r="C44" i="16"/>
  <c r="C43" i="16"/>
  <c r="C42" i="16"/>
  <c r="C41" i="16"/>
  <c r="C40" i="16"/>
  <c r="C39" i="16"/>
  <c r="C38" i="16"/>
  <c r="C52" i="17"/>
  <c r="C51" i="17"/>
  <c r="C50" i="17"/>
  <c r="C49" i="17"/>
  <c r="C48" i="17"/>
  <c r="C47" i="17"/>
  <c r="C46" i="17"/>
  <c r="C45" i="17"/>
  <c r="C44" i="17"/>
  <c r="C43" i="17"/>
  <c r="C42" i="17"/>
  <c r="C41" i="17"/>
  <c r="C40" i="17"/>
  <c r="C39" i="17"/>
  <c r="C38" i="17"/>
  <c r="C52" i="18"/>
  <c r="C51" i="18"/>
  <c r="C50" i="18"/>
  <c r="C49" i="18"/>
  <c r="C48" i="18"/>
  <c r="C47" i="18"/>
  <c r="C46" i="18"/>
  <c r="C45" i="18"/>
  <c r="C44" i="18"/>
  <c r="C43" i="18"/>
  <c r="C42" i="18"/>
  <c r="C41" i="18"/>
  <c r="C40" i="18"/>
  <c r="C39" i="18"/>
  <c r="C38" i="18"/>
  <c r="C52" i="19"/>
  <c r="C51" i="19"/>
  <c r="C50" i="19"/>
  <c r="C49" i="19"/>
  <c r="C48" i="19"/>
  <c r="C47" i="19"/>
  <c r="C46" i="19"/>
  <c r="C45" i="19"/>
  <c r="C44" i="19"/>
  <c r="C43" i="19"/>
  <c r="C42" i="19"/>
  <c r="C41" i="19"/>
  <c r="C40" i="19"/>
  <c r="C39" i="19"/>
  <c r="C38" i="19"/>
  <c r="C52" i="20"/>
  <c r="C51" i="20"/>
  <c r="C50" i="20"/>
  <c r="C49" i="20"/>
  <c r="C48" i="20"/>
  <c r="C47" i="20"/>
  <c r="C46" i="20"/>
  <c r="C45" i="20"/>
  <c r="C44" i="20"/>
  <c r="C43" i="20"/>
  <c r="C42" i="20"/>
  <c r="C41" i="20"/>
  <c r="C40" i="20"/>
  <c r="C39" i="20"/>
  <c r="C38" i="20"/>
  <c r="C52" i="22"/>
  <c r="C51" i="22"/>
  <c r="C50" i="22"/>
  <c r="C49" i="22"/>
  <c r="C48" i="22"/>
  <c r="C47" i="22"/>
  <c r="C46" i="22"/>
  <c r="C45" i="22"/>
  <c r="C44" i="22"/>
  <c r="C43" i="22"/>
  <c r="C42" i="22"/>
  <c r="C41" i="22"/>
  <c r="C40" i="22"/>
  <c r="C39" i="22"/>
  <c r="C38" i="22"/>
  <c r="C52" i="21"/>
  <c r="C51" i="21"/>
  <c r="C50" i="21"/>
  <c r="C49" i="21"/>
  <c r="C48" i="21"/>
  <c r="C47" i="21"/>
  <c r="C46" i="21"/>
  <c r="C45" i="21"/>
  <c r="C44" i="21"/>
  <c r="C43" i="21"/>
  <c r="C42" i="21"/>
  <c r="C41" i="21"/>
  <c r="C40" i="21"/>
  <c r="C39" i="21"/>
  <c r="C38" i="21"/>
  <c r="C52" i="23"/>
  <c r="C51" i="23"/>
  <c r="C50" i="23"/>
  <c r="C49" i="23"/>
  <c r="C48" i="23"/>
  <c r="C47" i="23"/>
  <c r="C46" i="23"/>
  <c r="C45" i="23"/>
  <c r="C44" i="23"/>
  <c r="C43" i="23"/>
  <c r="C42" i="23"/>
  <c r="C41" i="23"/>
  <c r="C40" i="23"/>
  <c r="C39" i="23"/>
  <c r="C38" i="23"/>
  <c r="C52" i="24"/>
  <c r="C51" i="24"/>
  <c r="C50" i="24"/>
  <c r="C49" i="24"/>
  <c r="C48" i="24"/>
  <c r="C47" i="24"/>
  <c r="C46" i="24"/>
  <c r="C45" i="24"/>
  <c r="C44" i="24"/>
  <c r="C43" i="24"/>
  <c r="C42" i="24"/>
  <c r="C41" i="24"/>
  <c r="C40" i="24"/>
  <c r="C39" i="24"/>
  <c r="C38" i="24"/>
  <c r="C52" i="25"/>
  <c r="C51" i="25"/>
  <c r="C50" i="25"/>
  <c r="C49" i="25"/>
  <c r="C48" i="25"/>
  <c r="C47" i="25"/>
  <c r="C46" i="25"/>
  <c r="C45" i="25"/>
  <c r="C44" i="25"/>
  <c r="C43" i="25"/>
  <c r="C42" i="25"/>
  <c r="C41" i="25"/>
  <c r="C40" i="25"/>
  <c r="C39" i="25"/>
  <c r="C38" i="25"/>
  <c r="C52" i="26"/>
  <c r="C51" i="26"/>
  <c r="C50" i="26"/>
  <c r="C49" i="26"/>
  <c r="C48" i="26"/>
  <c r="C47" i="26"/>
  <c r="C46" i="26"/>
  <c r="C45" i="26"/>
  <c r="C44" i="26"/>
  <c r="C43" i="26"/>
  <c r="C42" i="26"/>
  <c r="C41" i="26"/>
  <c r="C40" i="26"/>
  <c r="C39" i="26"/>
  <c r="C38" i="26"/>
  <c r="C52" i="28"/>
  <c r="C51" i="28"/>
  <c r="C50" i="28"/>
  <c r="C49" i="28"/>
  <c r="C48" i="28"/>
  <c r="C47" i="28"/>
  <c r="C46" i="28"/>
  <c r="C45" i="28"/>
  <c r="C44" i="28"/>
  <c r="C43" i="28"/>
  <c r="C42" i="28"/>
  <c r="C41" i="28"/>
  <c r="C40" i="28"/>
  <c r="C39" i="28"/>
  <c r="C38" i="28"/>
  <c r="C52" i="27"/>
  <c r="C51" i="27"/>
  <c r="C50" i="27"/>
  <c r="C49" i="27"/>
  <c r="C48" i="27"/>
  <c r="C47" i="27"/>
  <c r="C46" i="27"/>
  <c r="C45" i="27"/>
  <c r="C44" i="27"/>
  <c r="C43" i="27"/>
  <c r="C42" i="27"/>
  <c r="C41" i="27"/>
  <c r="C40" i="27"/>
  <c r="C39" i="27"/>
  <c r="C38" i="27"/>
  <c r="C52" i="31"/>
  <c r="C51" i="31"/>
  <c r="C50" i="31"/>
  <c r="C49" i="31"/>
  <c r="C48" i="31"/>
  <c r="C47" i="31"/>
  <c r="C46" i="31"/>
  <c r="C45" i="31"/>
  <c r="C44" i="31"/>
  <c r="C43" i="31"/>
  <c r="C42" i="31"/>
  <c r="C41" i="31"/>
  <c r="C40" i="31"/>
  <c r="C39" i="31"/>
  <c r="C38" i="31"/>
  <c r="C52" i="32"/>
  <c r="C51" i="32"/>
  <c r="C50" i="32"/>
  <c r="C49" i="32"/>
  <c r="C48" i="32"/>
  <c r="C47" i="32"/>
  <c r="C46" i="32"/>
  <c r="C45" i="32"/>
  <c r="C44" i="32"/>
  <c r="C43" i="32"/>
  <c r="C42" i="32"/>
  <c r="C41" i="32"/>
  <c r="C40" i="32"/>
  <c r="C39" i="32"/>
  <c r="C38" i="32"/>
  <c r="C52" i="33"/>
  <c r="D52" i="33" s="1"/>
  <c r="J9" i="13" l="1"/>
  <c r="J9" i="12" s="1"/>
  <c r="J9" i="11" s="1"/>
  <c r="J9" i="10" s="1"/>
  <c r="J9" i="9" s="1"/>
  <c r="J9" i="8" s="1"/>
  <c r="J9" i="7" s="1"/>
  <c r="M18" i="48"/>
  <c r="BA18" i="48" s="1"/>
  <c r="AU17" i="48"/>
  <c r="C53" i="8"/>
  <c r="C54" i="8" s="1"/>
  <c r="C53" i="17"/>
  <c r="C54" i="17" s="1"/>
  <c r="C53" i="23"/>
  <c r="C54" i="23" s="1"/>
  <c r="C53" i="4"/>
  <c r="C54" i="4" s="1"/>
  <c r="C53" i="37"/>
  <c r="C54" i="37" s="1"/>
  <c r="C53" i="6"/>
  <c r="C54" i="6" s="1"/>
  <c r="C53" i="7"/>
  <c r="C54" i="7" s="1"/>
  <c r="C53" i="9"/>
  <c r="C54" i="9" s="1"/>
  <c r="C53" i="10"/>
  <c r="C54" i="10" s="1"/>
  <c r="C53" i="13"/>
  <c r="C54" i="13" s="1"/>
  <c r="C53" i="14"/>
  <c r="C54" i="14" s="1"/>
  <c r="C53" i="15"/>
  <c r="C54" i="15" s="1"/>
  <c r="C53" i="16"/>
  <c r="C54" i="16" s="1"/>
  <c r="C53" i="20"/>
  <c r="C54" i="20" s="1"/>
  <c r="C53" i="24"/>
  <c r="C54" i="24" s="1"/>
  <c r="C53" i="25"/>
  <c r="C54" i="25" s="1"/>
  <c r="C53" i="28"/>
  <c r="C54" i="28" s="1"/>
  <c r="C53" i="27"/>
  <c r="C54" i="27" s="1"/>
  <c r="E52" i="33"/>
  <c r="D52" i="32"/>
  <c r="C53" i="43"/>
  <c r="C54" i="43" s="1"/>
  <c r="C53" i="11"/>
  <c r="C54" i="11" s="1"/>
  <c r="C53" i="12"/>
  <c r="C54" i="12" s="1"/>
  <c r="C53" i="18"/>
  <c r="C54" i="18" s="1"/>
  <c r="C53" i="19"/>
  <c r="C54" i="19" s="1"/>
  <c r="C53" i="22"/>
  <c r="C54" i="22" s="1"/>
  <c r="C53" i="21"/>
  <c r="C54" i="21" s="1"/>
  <c r="C53" i="26"/>
  <c r="C54" i="26" s="1"/>
  <c r="C53" i="31"/>
  <c r="C54" i="31" s="1"/>
  <c r="C53" i="32"/>
  <c r="C54" i="32" s="1"/>
  <c r="AU18" i="48" l="1"/>
  <c r="M19" i="48"/>
  <c r="BA19" i="48" s="1"/>
  <c r="D52" i="31"/>
  <c r="D52" i="30" s="1"/>
  <c r="E52" i="30" s="1"/>
  <c r="E52" i="32"/>
  <c r="D52" i="29" l="1"/>
  <c r="E52" i="29" s="1"/>
  <c r="AU19" i="48"/>
  <c r="M20" i="48"/>
  <c r="BA20" i="48" s="1"/>
  <c r="E52" i="31"/>
  <c r="M21" i="48" l="1"/>
  <c r="BA21" i="48" s="1"/>
  <c r="AU20" i="48"/>
  <c r="D30" i="48"/>
  <c r="K34" i="14"/>
  <c r="I43" i="43"/>
  <c r="I44" i="43" s="1"/>
  <c r="I44" i="4"/>
  <c r="I43" i="37"/>
  <c r="I44" i="37" s="1"/>
  <c r="I43" i="6"/>
  <c r="I44" i="6" s="1"/>
  <c r="I43" i="7"/>
  <c r="I44" i="7" s="1"/>
  <c r="I43" i="8"/>
  <c r="I44" i="8" s="1"/>
  <c r="I43" i="9"/>
  <c r="I44" i="9" s="1"/>
  <c r="I43" i="10"/>
  <c r="I44" i="10" s="1"/>
  <c r="I43" i="11"/>
  <c r="I44" i="11" s="1"/>
  <c r="I43" i="12"/>
  <c r="I44" i="12" s="1"/>
  <c r="I43" i="13"/>
  <c r="I44" i="13" s="1"/>
  <c r="I43" i="14"/>
  <c r="I44" i="14" s="1"/>
  <c r="I43" i="15"/>
  <c r="I44" i="15" s="1"/>
  <c r="I43" i="16"/>
  <c r="I44" i="16" s="1"/>
  <c r="I43" i="17"/>
  <c r="I44" i="17" s="1"/>
  <c r="I43" i="18"/>
  <c r="I44" i="18" s="1"/>
  <c r="I43" i="19"/>
  <c r="I44" i="19" s="1"/>
  <c r="I43" i="20"/>
  <c r="I44" i="20" s="1"/>
  <c r="I43" i="22"/>
  <c r="I44" i="22" s="1"/>
  <c r="I43" i="21"/>
  <c r="I44" i="21" s="1"/>
  <c r="I43" i="23"/>
  <c r="I44" i="23" s="1"/>
  <c r="I43" i="24"/>
  <c r="I44" i="24" s="1"/>
  <c r="I43" i="25"/>
  <c r="I44" i="25" s="1"/>
  <c r="I43" i="26"/>
  <c r="I44" i="26" s="1"/>
  <c r="I43" i="28"/>
  <c r="I44" i="28" s="1"/>
  <c r="I43" i="27"/>
  <c r="I44" i="27" s="1"/>
  <c r="I43" i="31"/>
  <c r="I43" i="32"/>
  <c r="I44" i="32" s="1"/>
  <c r="I43" i="33"/>
  <c r="J43" i="33" s="1"/>
  <c r="D19" i="48"/>
  <c r="D18" i="48"/>
  <c r="D15" i="48"/>
  <c r="L34" i="26"/>
  <c r="K34" i="26"/>
  <c r="H4" i="43"/>
  <c r="C14" i="43"/>
  <c r="D14" i="43"/>
  <c r="E14" i="43"/>
  <c r="F14" i="43"/>
  <c r="C23" i="43"/>
  <c r="D23" i="43"/>
  <c r="E23" i="43"/>
  <c r="F23" i="43"/>
  <c r="C32" i="43"/>
  <c r="D32" i="43"/>
  <c r="E32" i="43"/>
  <c r="F32" i="43"/>
  <c r="K34" i="43"/>
  <c r="L34" i="43"/>
  <c r="H4" i="4"/>
  <c r="K34" i="4"/>
  <c r="L34" i="4"/>
  <c r="H4" i="37"/>
  <c r="K34" i="37"/>
  <c r="L34" i="37"/>
  <c r="H4" i="6"/>
  <c r="L34" i="6"/>
  <c r="H4" i="7"/>
  <c r="L34" i="7"/>
  <c r="H4" i="8"/>
  <c r="K34" i="8"/>
  <c r="L34" i="8"/>
  <c r="H4" i="9"/>
  <c r="L34" i="9"/>
  <c r="H4" i="10"/>
  <c r="K34" i="10"/>
  <c r="L34" i="10"/>
  <c r="H4" i="11"/>
  <c r="L34" i="11"/>
  <c r="H4" i="12"/>
  <c r="K34" i="12"/>
  <c r="L34" i="12"/>
  <c r="H4" i="13"/>
  <c r="K34" i="13"/>
  <c r="L34" i="13"/>
  <c r="H4" i="14"/>
  <c r="L34" i="14"/>
  <c r="H4" i="15"/>
  <c r="L34" i="15"/>
  <c r="H4" i="16"/>
  <c r="K34" i="16"/>
  <c r="L34" i="16"/>
  <c r="H4" i="17"/>
  <c r="L34" i="17"/>
  <c r="H4" i="18"/>
  <c r="L34" i="18"/>
  <c r="H4" i="19"/>
  <c r="L34" i="19"/>
  <c r="H4" i="20"/>
  <c r="L34" i="20"/>
  <c r="H4" i="22"/>
  <c r="L34" i="22"/>
  <c r="H4" i="21"/>
  <c r="J32" i="21"/>
  <c r="J32" i="22" s="1"/>
  <c r="J32" i="20" s="1"/>
  <c r="J32" i="19" s="1"/>
  <c r="J32" i="18" s="1"/>
  <c r="J32" i="17" s="1"/>
  <c r="J32" i="16" s="1"/>
  <c r="J32" i="15" s="1"/>
  <c r="J32" i="14" s="1"/>
  <c r="J32" i="13" s="1"/>
  <c r="J32" i="12" s="1"/>
  <c r="J32" i="11" s="1"/>
  <c r="J32" i="10" s="1"/>
  <c r="J32" i="9" s="1"/>
  <c r="J32" i="8" s="1"/>
  <c r="J32" i="7" s="1"/>
  <c r="J32" i="6" s="1"/>
  <c r="J32" i="37" s="1"/>
  <c r="J32" i="4" s="1"/>
  <c r="J32" i="43" s="1"/>
  <c r="L34" i="21"/>
  <c r="H4" i="23"/>
  <c r="L34" i="23"/>
  <c r="H4" i="24"/>
  <c r="L34" i="24"/>
  <c r="H4" i="25"/>
  <c r="L34" i="25"/>
  <c r="H4" i="26"/>
  <c r="H4" i="28"/>
  <c r="L34" i="28"/>
  <c r="H4" i="27"/>
  <c r="L34" i="27"/>
  <c r="H4" i="31"/>
  <c r="L34" i="31"/>
  <c r="H4" i="32"/>
  <c r="J7" i="32"/>
  <c r="J12" i="27"/>
  <c r="J13" i="27"/>
  <c r="J14" i="27"/>
  <c r="J15" i="31"/>
  <c r="J15" i="30" s="1"/>
  <c r="J15" i="29" s="1"/>
  <c r="J16" i="31"/>
  <c r="J16" i="30" s="1"/>
  <c r="J16" i="29" s="1"/>
  <c r="J17" i="31"/>
  <c r="J17" i="30" s="1"/>
  <c r="J17" i="29" s="1"/>
  <c r="J18" i="31"/>
  <c r="J18" i="30" s="1"/>
  <c r="J18" i="29" s="1"/>
  <c r="J19" i="31"/>
  <c r="J19" i="30" s="1"/>
  <c r="J19" i="29" s="1"/>
  <c r="J20" i="31"/>
  <c r="J20" i="30" s="1"/>
  <c r="J20" i="29" s="1"/>
  <c r="J21" i="31"/>
  <c r="J21" i="30" s="1"/>
  <c r="J21" i="29" s="1"/>
  <c r="J22" i="31"/>
  <c r="J22" i="30" s="1"/>
  <c r="J22" i="29" s="1"/>
  <c r="J23" i="31"/>
  <c r="J23" i="30" s="1"/>
  <c r="J23" i="29" s="1"/>
  <c r="J24" i="31"/>
  <c r="J24" i="30" s="1"/>
  <c r="J24" i="29" s="1"/>
  <c r="J25" i="31"/>
  <c r="J25" i="30" s="1"/>
  <c r="J25" i="29" s="1"/>
  <c r="J26" i="31"/>
  <c r="J26" i="30" s="1"/>
  <c r="J26" i="29" s="1"/>
  <c r="J27" i="32"/>
  <c r="J28" i="32"/>
  <c r="J29" i="32"/>
  <c r="J30" i="32"/>
  <c r="J31" i="32"/>
  <c r="J32" i="32"/>
  <c r="L34" i="32"/>
  <c r="M8" i="33"/>
  <c r="M9" i="33"/>
  <c r="M9" i="32" s="1"/>
  <c r="M10" i="33"/>
  <c r="M10" i="32" s="1"/>
  <c r="M11" i="33"/>
  <c r="M11" i="32" s="1"/>
  <c r="M12" i="33"/>
  <c r="M12" i="32" s="1"/>
  <c r="M13" i="33"/>
  <c r="M13" i="32" s="1"/>
  <c r="C14" i="33"/>
  <c r="D14" i="33"/>
  <c r="E14" i="33"/>
  <c r="F14" i="33"/>
  <c r="M14" i="33"/>
  <c r="M14" i="32" s="1"/>
  <c r="M15" i="33"/>
  <c r="M15" i="32" s="1"/>
  <c r="M16" i="33"/>
  <c r="M16" i="32" s="1"/>
  <c r="M17" i="33"/>
  <c r="M17" i="32" s="1"/>
  <c r="M18" i="33"/>
  <c r="M18" i="32" s="1"/>
  <c r="M19" i="33"/>
  <c r="M19" i="32" s="1"/>
  <c r="M20" i="33"/>
  <c r="M20" i="32" s="1"/>
  <c r="M21" i="33"/>
  <c r="M21" i="32" s="1"/>
  <c r="M22" i="33"/>
  <c r="M22" i="32" s="1"/>
  <c r="C23" i="33"/>
  <c r="D23" i="33"/>
  <c r="E23" i="33"/>
  <c r="M23" i="33"/>
  <c r="M23" i="32" s="1"/>
  <c r="M24" i="33"/>
  <c r="M24" i="32" s="1"/>
  <c r="M25" i="33"/>
  <c r="M25" i="32" s="1"/>
  <c r="M26" i="33"/>
  <c r="M26" i="32" s="1"/>
  <c r="M27" i="33"/>
  <c r="M27" i="32" s="1"/>
  <c r="M28" i="33"/>
  <c r="M28" i="32" s="1"/>
  <c r="M29" i="33"/>
  <c r="M29" i="32" s="1"/>
  <c r="M30" i="33"/>
  <c r="M30" i="32" s="1"/>
  <c r="M31" i="33"/>
  <c r="M31" i="32" s="1"/>
  <c r="C32" i="33"/>
  <c r="D32" i="33"/>
  <c r="E32" i="33"/>
  <c r="F32" i="33"/>
  <c r="M32" i="33"/>
  <c r="M32" i="32" s="1"/>
  <c r="L34" i="33"/>
  <c r="C38" i="33"/>
  <c r="C39" i="33"/>
  <c r="D39" i="33" s="1"/>
  <c r="C40" i="33"/>
  <c r="D40" i="33" s="1"/>
  <c r="D40" i="32" s="1"/>
  <c r="C41" i="33"/>
  <c r="D41" i="33" s="1"/>
  <c r="C42" i="33"/>
  <c r="D42" i="33" s="1"/>
  <c r="C43" i="33"/>
  <c r="D43" i="33" s="1"/>
  <c r="C44" i="33"/>
  <c r="D44" i="33" s="1"/>
  <c r="C45" i="33"/>
  <c r="D45" i="33" s="1"/>
  <c r="C46" i="33"/>
  <c r="D46" i="33" s="1"/>
  <c r="C47" i="33"/>
  <c r="D47" i="33" s="1"/>
  <c r="C48" i="33"/>
  <c r="D48" i="33" s="1"/>
  <c r="C49" i="33"/>
  <c r="D49" i="33" s="1"/>
  <c r="C50" i="33"/>
  <c r="D50" i="33" s="1"/>
  <c r="C51" i="33"/>
  <c r="D51" i="33" s="1"/>
  <c r="D51" i="32" s="1"/>
  <c r="A4" i="47"/>
  <c r="A6" i="47" s="1"/>
  <c r="A8" i="47" s="1"/>
  <c r="A10" i="47" s="1"/>
  <c r="AL14" i="48"/>
  <c r="AL16" i="48"/>
  <c r="AL20" i="48"/>
  <c r="AL21" i="48"/>
  <c r="AL22" i="48"/>
  <c r="AL23" i="48"/>
  <c r="AL24" i="48"/>
  <c r="AL26" i="48"/>
  <c r="AL27" i="48"/>
  <c r="AL30" i="48"/>
  <c r="AL31" i="48"/>
  <c r="AL33" i="48"/>
  <c r="AL34" i="48"/>
  <c r="AL35" i="48"/>
  <c r="AL36" i="48"/>
  <c r="AL37" i="48"/>
  <c r="AL38" i="48"/>
  <c r="AL15" i="48"/>
  <c r="J38" i="32"/>
  <c r="J38" i="31" s="1"/>
  <c r="J38" i="30" s="1"/>
  <c r="K34" i="24"/>
  <c r="AL18" i="48"/>
  <c r="K34" i="23"/>
  <c r="I40" i="8"/>
  <c r="I47" i="7"/>
  <c r="I47" i="9"/>
  <c r="I47" i="37"/>
  <c r="K34" i="32"/>
  <c r="Z14" i="55" l="1"/>
  <c r="AA14" i="55" s="1"/>
  <c r="AB14" i="55" s="1"/>
  <c r="Z18" i="55"/>
  <c r="AA18" i="55" s="1"/>
  <c r="AB18" i="55" s="1"/>
  <c r="Z18" i="46"/>
  <c r="AA18" i="46" s="1"/>
  <c r="AB18" i="46" s="1"/>
  <c r="Z14" i="46"/>
  <c r="AA14" i="46" s="1"/>
  <c r="AB14" i="46" s="1"/>
  <c r="J22" i="27"/>
  <c r="J22" i="28" s="1"/>
  <c r="J22" i="26" s="1"/>
  <c r="J22" i="25" s="1"/>
  <c r="J19" i="27"/>
  <c r="J19" i="28" s="1"/>
  <c r="J19" i="26" s="1"/>
  <c r="J19" i="25" s="1"/>
  <c r="J19" i="24" s="1"/>
  <c r="J19" i="23" s="1"/>
  <c r="J19" i="21" s="1"/>
  <c r="J19" i="22" s="1"/>
  <c r="J19" i="20" s="1"/>
  <c r="J19" i="19" s="1"/>
  <c r="J23" i="27"/>
  <c r="J23" i="28" s="1"/>
  <c r="J23" i="26" s="1"/>
  <c r="J23" i="25" s="1"/>
  <c r="M12" i="31"/>
  <c r="M12" i="30" s="1"/>
  <c r="M28" i="31"/>
  <c r="M28" i="30" s="1"/>
  <c r="J29" i="31"/>
  <c r="J29" i="30" s="1"/>
  <c r="J29" i="29" s="1"/>
  <c r="M27" i="31"/>
  <c r="M27" i="30" s="1"/>
  <c r="M22" i="31"/>
  <c r="M22" i="30" s="1"/>
  <c r="M14" i="31"/>
  <c r="M14" i="30" s="1"/>
  <c r="J28" i="31"/>
  <c r="J28" i="30" s="1"/>
  <c r="J28" i="29" s="1"/>
  <c r="I40" i="43"/>
  <c r="R39" i="48" s="1"/>
  <c r="E40" i="1" s="1"/>
  <c r="E40" i="2" s="1"/>
  <c r="ES40" i="2" s="1"/>
  <c r="D24" i="43"/>
  <c r="M15" i="31"/>
  <c r="M15" i="30" s="1"/>
  <c r="M26" i="31"/>
  <c r="M26" i="30" s="1"/>
  <c r="M21" i="31"/>
  <c r="M21" i="30" s="1"/>
  <c r="J27" i="31"/>
  <c r="J27" i="30" s="1"/>
  <c r="J27" i="29" s="1"/>
  <c r="J7" i="31"/>
  <c r="J7" i="30" s="1"/>
  <c r="M29" i="31"/>
  <c r="M29" i="30" s="1"/>
  <c r="M29" i="29" s="1"/>
  <c r="M29" i="27" s="1"/>
  <c r="M29" i="28" s="1"/>
  <c r="M29" i="26" s="1"/>
  <c r="M29" i="25" s="1"/>
  <c r="M29" i="24" s="1"/>
  <c r="M29" i="23" s="1"/>
  <c r="M29" i="21" s="1"/>
  <c r="M29" i="22" s="1"/>
  <c r="M29" i="20" s="1"/>
  <c r="M29" i="19" s="1"/>
  <c r="M29" i="18" s="1"/>
  <c r="M29" i="17" s="1"/>
  <c r="M29" i="16" s="1"/>
  <c r="M29" i="15" s="1"/>
  <c r="M29" i="14" s="1"/>
  <c r="M29" i="13" s="1"/>
  <c r="M29" i="12" s="1"/>
  <c r="M29" i="11" s="1"/>
  <c r="M29" i="10" s="1"/>
  <c r="M29" i="9" s="1"/>
  <c r="M29" i="8" s="1"/>
  <c r="M29" i="7" s="1"/>
  <c r="M29" i="6" s="1"/>
  <c r="M29" i="37" s="1"/>
  <c r="M29" i="4" s="1"/>
  <c r="M29" i="43"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6" i="37" s="1"/>
  <c r="M16" i="4" s="1"/>
  <c r="M16" i="43" s="1"/>
  <c r="M12" i="29" s="1"/>
  <c r="M12" i="27" s="1"/>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J27" i="27" s="1"/>
  <c r="J27" i="28" s="1"/>
  <c r="J27" i="26" s="1"/>
  <c r="J15" i="27" s="1"/>
  <c r="J15" i="28" s="1"/>
  <c r="J15" i="26" s="1"/>
  <c r="J15" i="25" s="1"/>
  <c r="J30" i="31"/>
  <c r="J30" i="30" s="1"/>
  <c r="J30" i="29" s="1"/>
  <c r="M11" i="31"/>
  <c r="M11" i="30" s="1"/>
  <c r="M25" i="31"/>
  <c r="M25" i="30" s="1"/>
  <c r="M20" i="31"/>
  <c r="M20" i="30" s="1"/>
  <c r="M24" i="31"/>
  <c r="M24" i="30" s="1"/>
  <c r="M19" i="31"/>
  <c r="M19" i="30" s="1"/>
  <c r="M16" i="31"/>
  <c r="M16" i="30" s="1"/>
  <c r="M31" i="31"/>
  <c r="M31" i="30" s="1"/>
  <c r="M23" i="31"/>
  <c r="M18" i="31"/>
  <c r="M18" i="30" s="1"/>
  <c r="J32" i="31"/>
  <c r="J32" i="30" s="1"/>
  <c r="M32" i="31"/>
  <c r="M9" i="31"/>
  <c r="M9" i="30" s="1"/>
  <c r="M30" i="31"/>
  <c r="M30" i="30" s="1"/>
  <c r="M17" i="31"/>
  <c r="M17" i="30" s="1"/>
  <c r="M13" i="31"/>
  <c r="M13" i="30" s="1"/>
  <c r="J31" i="31"/>
  <c r="J31" i="30" s="1"/>
  <c r="J31" i="29" s="1"/>
  <c r="J14" i="28"/>
  <c r="J12" i="28"/>
  <c r="J12" i="26" s="1"/>
  <c r="J12" i="25" s="1"/>
  <c r="J13" i="28"/>
  <c r="J13" i="26" s="1"/>
  <c r="J13" i="25" s="1"/>
  <c r="I40" i="24"/>
  <c r="R18" i="48" s="1"/>
  <c r="C17" i="45" s="1"/>
  <c r="I40" i="10"/>
  <c r="R32" i="48" s="1"/>
  <c r="C31" i="45" s="1"/>
  <c r="C34" i="43"/>
  <c r="J57" i="23"/>
  <c r="M8" i="32"/>
  <c r="E33" i="43"/>
  <c r="I40" i="26"/>
  <c r="K34" i="21"/>
  <c r="J38" i="29"/>
  <c r="M24" i="29" s="1"/>
  <c r="M24" i="27" s="1"/>
  <c r="M24" i="28" s="1"/>
  <c r="M24" i="26" s="1"/>
  <c r="M24" i="25" s="1"/>
  <c r="M24" i="24" s="1"/>
  <c r="M24" i="23" s="1"/>
  <c r="M24" i="21" s="1"/>
  <c r="M24" i="22" s="1"/>
  <c r="M24" i="20" s="1"/>
  <c r="M24" i="19" s="1"/>
  <c r="M24" i="18" s="1"/>
  <c r="M24" i="17" s="1"/>
  <c r="M24" i="16" s="1"/>
  <c r="M24" i="15" s="1"/>
  <c r="M24" i="14" s="1"/>
  <c r="M24" i="13" s="1"/>
  <c r="M24" i="12" s="1"/>
  <c r="M24" i="11" s="1"/>
  <c r="M24" i="10" s="1"/>
  <c r="M24" i="9" s="1"/>
  <c r="M24" i="8" s="1"/>
  <c r="M24" i="7" s="1"/>
  <c r="M24" i="6" s="1"/>
  <c r="M24" i="37" s="1"/>
  <c r="M24" i="4" s="1"/>
  <c r="M24" i="43"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J30" i="27" s="1"/>
  <c r="J30" i="28" s="1"/>
  <c r="J30" i="26" s="1"/>
  <c r="J18" i="27" s="1"/>
  <c r="J18" i="28" s="1"/>
  <c r="J18" i="26" s="1"/>
  <c r="J18" i="25" s="1"/>
  <c r="I40" i="23"/>
  <c r="R19" i="48" s="1"/>
  <c r="E15" i="33"/>
  <c r="K34" i="27"/>
  <c r="E15" i="43"/>
  <c r="F34" i="43"/>
  <c r="D24" i="33"/>
  <c r="K34" i="11"/>
  <c r="E34" i="33"/>
  <c r="J58" i="33" s="1"/>
  <c r="E24" i="43"/>
  <c r="E33" i="33"/>
  <c r="C24" i="33"/>
  <c r="K34" i="7"/>
  <c r="I40" i="32"/>
  <c r="R10" i="48" s="1"/>
  <c r="D15" i="33"/>
  <c r="E30" i="48"/>
  <c r="F30" i="48" s="1"/>
  <c r="I47" i="6"/>
  <c r="D15" i="43"/>
  <c r="D34" i="33"/>
  <c r="C33" i="33"/>
  <c r="AJ39" i="48"/>
  <c r="R34" i="48"/>
  <c r="E24" i="33"/>
  <c r="I40" i="12"/>
  <c r="R30" i="48" s="1"/>
  <c r="E18" i="48"/>
  <c r="F18" i="48" s="1"/>
  <c r="I47" i="11"/>
  <c r="C24" i="43"/>
  <c r="E15" i="48"/>
  <c r="F15" i="48" s="1"/>
  <c r="E19" i="48"/>
  <c r="F19" i="48" s="1"/>
  <c r="AU21" i="48"/>
  <c r="M22" i="48"/>
  <c r="BA22" i="48" s="1"/>
  <c r="AN30" i="48"/>
  <c r="AL13" i="48"/>
  <c r="AN22" i="48"/>
  <c r="AN37" i="48"/>
  <c r="I47" i="13"/>
  <c r="AL29" i="48"/>
  <c r="AN21" i="48"/>
  <c r="AN38" i="48"/>
  <c r="AN36" i="48"/>
  <c r="I47" i="14"/>
  <c r="AL28" i="48"/>
  <c r="AN20" i="48"/>
  <c r="AN35" i="48"/>
  <c r="AN27" i="48"/>
  <c r="I47" i="23"/>
  <c r="AL19" i="48"/>
  <c r="AN34" i="48"/>
  <c r="AN26" i="48"/>
  <c r="I47" i="25"/>
  <c r="AL17" i="48"/>
  <c r="AN33" i="48"/>
  <c r="I47" i="17"/>
  <c r="AL25" i="48"/>
  <c r="AN16" i="48"/>
  <c r="AP18" i="48"/>
  <c r="AN18" i="48"/>
  <c r="I47" i="10"/>
  <c r="AL32" i="48"/>
  <c r="AN24" i="48"/>
  <c r="AN14" i="48"/>
  <c r="AN15" i="48"/>
  <c r="AN31" i="48"/>
  <c r="AN23" i="48"/>
  <c r="K34" i="9"/>
  <c r="C33" i="43"/>
  <c r="E34" i="43"/>
  <c r="I47" i="4"/>
  <c r="I45" i="43"/>
  <c r="I40" i="4"/>
  <c r="R38" i="48" s="1"/>
  <c r="I47" i="16"/>
  <c r="I47" i="8"/>
  <c r="I40" i="37"/>
  <c r="R37" i="48" s="1"/>
  <c r="I47" i="12"/>
  <c r="K34" i="17"/>
  <c r="K34" i="20"/>
  <c r="I47" i="21"/>
  <c r="AL39" i="48"/>
  <c r="J10" i="27"/>
  <c r="I40" i="13"/>
  <c r="R29" i="48" s="1"/>
  <c r="D33" i="43"/>
  <c r="D34" i="43"/>
  <c r="J11" i="27"/>
  <c r="C15" i="43"/>
  <c r="J9" i="6"/>
  <c r="J9" i="37" s="1"/>
  <c r="J8" i="27"/>
  <c r="J8" i="28" s="1"/>
  <c r="J8" i="26" s="1"/>
  <c r="J8" i="25" s="1"/>
  <c r="J8" i="24" s="1"/>
  <c r="J8" i="23" s="1"/>
  <c r="J8" i="21" s="1"/>
  <c r="D33" i="33"/>
  <c r="C15" i="33"/>
  <c r="C34" i="33"/>
  <c r="K7" i="33" s="1"/>
  <c r="W6" i="55" s="1"/>
  <c r="X6" i="55" s="1"/>
  <c r="K34" i="31"/>
  <c r="I48" i="8"/>
  <c r="I45" i="8"/>
  <c r="I47" i="15"/>
  <c r="I47" i="18"/>
  <c r="I40" i="16"/>
  <c r="I47" i="20"/>
  <c r="I47" i="19"/>
  <c r="I47" i="22"/>
  <c r="K34" i="19"/>
  <c r="I47" i="27"/>
  <c r="I47" i="24"/>
  <c r="I47" i="28"/>
  <c r="K34" i="28"/>
  <c r="D44" i="32"/>
  <c r="E44" i="32" s="1"/>
  <c r="D39" i="32"/>
  <c r="E39" i="32" s="1"/>
  <c r="I44" i="33"/>
  <c r="D51" i="31"/>
  <c r="D51" i="30" s="1"/>
  <c r="E51" i="30" s="1"/>
  <c r="E51" i="32"/>
  <c r="E50" i="33"/>
  <c r="D50" i="32"/>
  <c r="E49" i="33"/>
  <c r="D49" i="32"/>
  <c r="E47" i="33"/>
  <c r="D47" i="32"/>
  <c r="E45" i="33"/>
  <c r="D45" i="32"/>
  <c r="E43" i="33"/>
  <c r="D43" i="32"/>
  <c r="E41" i="33"/>
  <c r="D41" i="32"/>
  <c r="D38" i="33"/>
  <c r="AA10" i="55" s="1"/>
  <c r="AB10" i="55" s="1"/>
  <c r="C53" i="33"/>
  <c r="C54" i="33" s="1"/>
  <c r="E48" i="33"/>
  <c r="D48" i="32"/>
  <c r="E46" i="33"/>
  <c r="D46" i="32"/>
  <c r="E42" i="33"/>
  <c r="D42" i="32"/>
  <c r="D40" i="31"/>
  <c r="D40" i="30" s="1"/>
  <c r="E40" i="30" s="1"/>
  <c r="E40" i="32"/>
  <c r="D52" i="27"/>
  <c r="F34" i="33"/>
  <c r="M10" i="31"/>
  <c r="M10" i="30" s="1"/>
  <c r="J44" i="33"/>
  <c r="E39" i="33"/>
  <c r="E51" i="33"/>
  <c r="E40" i="33"/>
  <c r="E44" i="33"/>
  <c r="I40" i="14"/>
  <c r="R28" i="48" s="1"/>
  <c r="J37" i="33"/>
  <c r="I45" i="24"/>
  <c r="I47" i="26"/>
  <c r="I44" i="31"/>
  <c r="J43" i="32"/>
  <c r="AJ18" i="48" l="1"/>
  <c r="I39" i="48"/>
  <c r="E19" i="1"/>
  <c r="AD39" i="48"/>
  <c r="J39" i="48"/>
  <c r="AV39" i="48"/>
  <c r="X39" i="48"/>
  <c r="BG39" i="48"/>
  <c r="AA6" i="55"/>
  <c r="AB6" i="55" s="1"/>
  <c r="X18" i="48"/>
  <c r="I48" i="24"/>
  <c r="J14" i="26"/>
  <c r="J14" i="25" s="1"/>
  <c r="AC7" i="28"/>
  <c r="AD7" i="28" s="1"/>
  <c r="R16" i="48"/>
  <c r="BB16" i="48" s="1"/>
  <c r="BB39" i="48"/>
  <c r="C38" i="45"/>
  <c r="W6" i="46"/>
  <c r="X6" i="46" s="1"/>
  <c r="BB37" i="48"/>
  <c r="C36" i="45"/>
  <c r="BB29" i="48"/>
  <c r="C28" i="45"/>
  <c r="BB30" i="48"/>
  <c r="C29" i="45"/>
  <c r="BB19" i="48"/>
  <c r="C18" i="45"/>
  <c r="S31" i="45"/>
  <c r="K31" i="45"/>
  <c r="W31" i="45"/>
  <c r="O31" i="45"/>
  <c r="G31" i="45"/>
  <c r="AC31" i="45"/>
  <c r="Z31" i="45"/>
  <c r="S17" i="45"/>
  <c r="K17" i="45"/>
  <c r="G17" i="45"/>
  <c r="AC17" i="45"/>
  <c r="O17" i="45"/>
  <c r="W17" i="45"/>
  <c r="Z17" i="45"/>
  <c r="BB38" i="48"/>
  <c r="C37" i="45"/>
  <c r="BB34" i="48"/>
  <c r="C33" i="45"/>
  <c r="BB28" i="48"/>
  <c r="C27" i="45"/>
  <c r="E38" i="33"/>
  <c r="AA10" i="46"/>
  <c r="AB10" i="46" s="1"/>
  <c r="BB10" i="48"/>
  <c r="C9" i="45"/>
  <c r="BG18" i="48"/>
  <c r="BB18" i="48"/>
  <c r="J18" i="48"/>
  <c r="I18" i="48"/>
  <c r="J32" i="48"/>
  <c r="BB32" i="48"/>
  <c r="AD18" i="48"/>
  <c r="M31" i="29"/>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J17" i="27" s="1"/>
  <c r="J17" i="28" s="1"/>
  <c r="J17" i="26" s="1"/>
  <c r="J17" i="25" s="1"/>
  <c r="J17" i="24" s="1"/>
  <c r="J17" i="23" s="1"/>
  <c r="J17" i="21" s="1"/>
  <c r="J17" i="22" s="1"/>
  <c r="J17" i="20" s="1"/>
  <c r="J17" i="19" s="1"/>
  <c r="J17" i="18" s="1"/>
  <c r="J17" i="17" s="1"/>
  <c r="AV18" i="48"/>
  <c r="M23" i="30"/>
  <c r="M23" i="29" s="1"/>
  <c r="M23" i="27" s="1"/>
  <c r="M23" i="28" s="1"/>
  <c r="M23" i="26" s="1"/>
  <c r="M23" i="25" s="1"/>
  <c r="M23" i="24" s="1"/>
  <c r="M23" i="23" s="1"/>
  <c r="M23" i="21" s="1"/>
  <c r="M23" i="22" s="1"/>
  <c r="M23" i="20" s="1"/>
  <c r="M23" i="19" s="1"/>
  <c r="M23" i="18" s="1"/>
  <c r="M23" i="17" s="1"/>
  <c r="M23" i="16" s="1"/>
  <c r="M23" i="15" s="1"/>
  <c r="M23" i="14" s="1"/>
  <c r="M23" i="13" s="1"/>
  <c r="M23" i="12" s="1"/>
  <c r="M23" i="11" s="1"/>
  <c r="M23" i="10" s="1"/>
  <c r="M23" i="9" s="1"/>
  <c r="M23" i="8" s="1"/>
  <c r="M23" i="7" s="1"/>
  <c r="M23" i="6" s="1"/>
  <c r="M23" i="37" s="1"/>
  <c r="M23" i="4" s="1"/>
  <c r="M23" i="43" s="1"/>
  <c r="M32" i="27"/>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M32" i="30"/>
  <c r="J29" i="27"/>
  <c r="J29" i="28" s="1"/>
  <c r="J29" i="26" s="1"/>
  <c r="J57" i="33"/>
  <c r="J56" i="32" s="1"/>
  <c r="J56" i="31" s="1"/>
  <c r="J56" i="30" s="1"/>
  <c r="J56" i="29" s="1"/>
  <c r="X32" i="48"/>
  <c r="M18" i="29"/>
  <c r="M18" i="27" s="1"/>
  <c r="M18" i="28" s="1"/>
  <c r="M18" i="26" s="1"/>
  <c r="M18" i="25" s="1"/>
  <c r="M18" i="24" s="1"/>
  <c r="M18" i="23" s="1"/>
  <c r="M18" i="21" s="1"/>
  <c r="M18" i="22" s="1"/>
  <c r="M18" i="20" s="1"/>
  <c r="M18" i="19" s="1"/>
  <c r="M18" i="18" s="1"/>
  <c r="M18" i="17" s="1"/>
  <c r="M18" i="16" s="1"/>
  <c r="M18" i="15" s="1"/>
  <c r="M18" i="14" s="1"/>
  <c r="M18" i="13" s="1"/>
  <c r="M18" i="12" s="1"/>
  <c r="M18" i="11" s="1"/>
  <c r="M18" i="10" s="1"/>
  <c r="M18" i="9" s="1"/>
  <c r="M18" i="8" s="1"/>
  <c r="M18" i="7" s="1"/>
  <c r="M18" i="6" s="1"/>
  <c r="M18" i="37" s="1"/>
  <c r="M18" i="4" s="1"/>
  <c r="M18" i="43"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0" i="8" s="1"/>
  <c r="M30" i="7" s="1"/>
  <c r="M30" i="6" s="1"/>
  <c r="M30" i="37" s="1"/>
  <c r="M30" i="4" s="1"/>
  <c r="M30" i="43" s="1"/>
  <c r="M17" i="29" s="1"/>
  <c r="M17" i="27" s="1"/>
  <c r="M17" i="28" s="1"/>
  <c r="M17" i="26" s="1"/>
  <c r="M17" i="25" s="1"/>
  <c r="M17" i="24" s="1"/>
  <c r="M17" i="23" s="1"/>
  <c r="M17" i="21" s="1"/>
  <c r="M17" i="22" s="1"/>
  <c r="M17" i="20" s="1"/>
  <c r="M17" i="19" s="1"/>
  <c r="M17" i="18" s="1"/>
  <c r="M17" i="17" s="1"/>
  <c r="M17" i="16" s="1"/>
  <c r="M17" i="15" s="1"/>
  <c r="M17" i="14" s="1"/>
  <c r="M17" i="13" s="1"/>
  <c r="M17" i="12" s="1"/>
  <c r="M17" i="11" s="1"/>
  <c r="M17" i="10" s="1"/>
  <c r="M17" i="9" s="1"/>
  <c r="M17" i="8" s="1"/>
  <c r="M17" i="7" s="1"/>
  <c r="M17" i="6" s="1"/>
  <c r="M17" i="37" s="1"/>
  <c r="M17" i="4" s="1"/>
  <c r="M17" i="43"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J32" i="29" s="1"/>
  <c r="J32" i="27" s="1"/>
  <c r="J32" i="28" s="1"/>
  <c r="J32" i="26" s="1"/>
  <c r="J28" i="27" s="1"/>
  <c r="J28" i="28" s="1"/>
  <c r="J28" i="26" s="1"/>
  <c r="J16" i="27" s="1"/>
  <c r="J16" i="28" s="1"/>
  <c r="J16" i="26" s="1"/>
  <c r="J16" i="25" s="1"/>
  <c r="J16" i="24" s="1"/>
  <c r="J16" i="23" s="1"/>
  <c r="J16" i="21" s="1"/>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12" i="24"/>
  <c r="J12" i="23" s="1"/>
  <c r="J12" i="21" s="1"/>
  <c r="J12" i="22" s="1"/>
  <c r="J12" i="20" s="1"/>
  <c r="J12" i="19" s="1"/>
  <c r="J13" i="24"/>
  <c r="J13" i="23" s="1"/>
  <c r="J13" i="21" s="1"/>
  <c r="J13" i="22" s="1"/>
  <c r="J13" i="20" s="1"/>
  <c r="J13" i="19" s="1"/>
  <c r="J14" i="24"/>
  <c r="J14" i="23" s="1"/>
  <c r="J14" i="21" s="1"/>
  <c r="J14" i="22" s="1"/>
  <c r="J14" i="20" s="1"/>
  <c r="J14" i="19" s="1"/>
  <c r="J15" i="24"/>
  <c r="J15" i="23" s="1"/>
  <c r="J15" i="21" s="1"/>
  <c r="M9" i="29" s="1"/>
  <c r="M9" i="27" s="1"/>
  <c r="M9" i="28" s="1"/>
  <c r="M9" i="26" s="1"/>
  <c r="M9" i="25" s="1"/>
  <c r="M9" i="24" s="1"/>
  <c r="M9" i="23" s="1"/>
  <c r="M9" i="21" s="1"/>
  <c r="M9" i="22" s="1"/>
  <c r="M9" i="20" s="1"/>
  <c r="M9" i="19" s="1"/>
  <c r="M9" i="18" s="1"/>
  <c r="M9" i="17" s="1"/>
  <c r="M9" i="16" s="1"/>
  <c r="M9" i="15" s="1"/>
  <c r="M9" i="14" s="1"/>
  <c r="M9" i="13" s="1"/>
  <c r="M9" i="12" s="1"/>
  <c r="M9" i="11" s="1"/>
  <c r="M9" i="10" s="1"/>
  <c r="J10" i="28"/>
  <c r="J10" i="26" s="1"/>
  <c r="J10" i="25" s="1"/>
  <c r="J11" i="28"/>
  <c r="J11" i="26" s="1"/>
  <c r="J11" i="25" s="1"/>
  <c r="J18" i="24"/>
  <c r="J18" i="23" s="1"/>
  <c r="J18" i="21" s="1"/>
  <c r="J18" i="22" s="1"/>
  <c r="J18" i="20" s="1"/>
  <c r="J18" i="19" s="1"/>
  <c r="J18" i="18" s="1"/>
  <c r="J18" i="17" s="1"/>
  <c r="I45" i="10"/>
  <c r="AD32" i="48"/>
  <c r="BG32" i="48"/>
  <c r="I32" i="48"/>
  <c r="I48" i="10"/>
  <c r="E33" i="1"/>
  <c r="HR33" i="1" s="1"/>
  <c r="AJ32" i="48"/>
  <c r="AV32" i="48"/>
  <c r="I40" i="9"/>
  <c r="I48" i="9" s="1"/>
  <c r="I40" i="7"/>
  <c r="R35" i="48" s="1"/>
  <c r="C34" i="45" s="1"/>
  <c r="I40" i="11"/>
  <c r="R31" i="48" s="1"/>
  <c r="I40" i="17"/>
  <c r="R25" i="48" s="1"/>
  <c r="X25" i="48" s="1"/>
  <c r="I40" i="27"/>
  <c r="R14" i="48" s="1"/>
  <c r="C13" i="45" s="1"/>
  <c r="I40" i="21"/>
  <c r="R20" i="48" s="1"/>
  <c r="C19" i="45" s="1"/>
  <c r="J9" i="4"/>
  <c r="J9" i="43" s="1"/>
  <c r="E35" i="33"/>
  <c r="J8" i="22"/>
  <c r="J8" i="20" s="1"/>
  <c r="J8" i="19" s="1"/>
  <c r="J8" i="18" s="1"/>
  <c r="J8" i="17" s="1"/>
  <c r="AV19" i="48"/>
  <c r="BG16" i="48"/>
  <c r="I48" i="23"/>
  <c r="I45" i="23"/>
  <c r="I19" i="48"/>
  <c r="D35" i="8"/>
  <c r="AD19" i="48"/>
  <c r="J19" i="18"/>
  <c r="J19" i="17" s="1"/>
  <c r="I16" i="48"/>
  <c r="AJ19" i="48"/>
  <c r="BG19" i="48"/>
  <c r="E35" i="25"/>
  <c r="E35" i="8"/>
  <c r="AJ16" i="48"/>
  <c r="AV16" i="48"/>
  <c r="I48" i="26"/>
  <c r="I48" i="13"/>
  <c r="E35" i="12"/>
  <c r="E17" i="1"/>
  <c r="JH17" i="1" s="1"/>
  <c r="J16" i="48"/>
  <c r="I45" i="26"/>
  <c r="AD16" i="48"/>
  <c r="M8" i="31"/>
  <c r="J30" i="25"/>
  <c r="J30" i="24"/>
  <c r="J30" i="23" s="1"/>
  <c r="J30" i="21" s="1"/>
  <c r="J30" i="22" s="1"/>
  <c r="J30" i="20" s="1"/>
  <c r="J30" i="19" s="1"/>
  <c r="J30" i="18" s="1"/>
  <c r="J30" i="17" s="1"/>
  <c r="J30" i="16" s="1"/>
  <c r="J30" i="15" s="1"/>
  <c r="J30" i="14" s="1"/>
  <c r="J30" i="13" s="1"/>
  <c r="J30" i="12" s="1"/>
  <c r="J27" i="25"/>
  <c r="J27" i="24"/>
  <c r="J27" i="23" s="1"/>
  <c r="J27" i="21" s="1"/>
  <c r="J27" i="22" s="1"/>
  <c r="J27" i="20" s="1"/>
  <c r="J27" i="19" s="1"/>
  <c r="J27" i="18" s="1"/>
  <c r="J27" i="17" s="1"/>
  <c r="J27" i="16" s="1"/>
  <c r="J27" i="15" s="1"/>
  <c r="E20" i="1"/>
  <c r="IV20" i="1" s="1"/>
  <c r="X19" i="48"/>
  <c r="D51" i="29"/>
  <c r="E51" i="29" s="1"/>
  <c r="D40" i="29"/>
  <c r="E40" i="29" s="1"/>
  <c r="M10" i="29" s="1"/>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J19" i="48"/>
  <c r="C35" i="8"/>
  <c r="J22" i="24"/>
  <c r="J22" i="23" s="1"/>
  <c r="J22" i="21" s="1"/>
  <c r="J22" i="22" s="1"/>
  <c r="J22" i="20" s="1"/>
  <c r="J22" i="19" s="1"/>
  <c r="J22" i="18" s="1"/>
  <c r="J22" i="17" s="1"/>
  <c r="J22" i="16" s="1"/>
  <c r="J22" i="15" s="1"/>
  <c r="J23" i="24"/>
  <c r="J23" i="23" s="1"/>
  <c r="J23" i="21" s="1"/>
  <c r="J23" i="22" s="1"/>
  <c r="J23" i="20" s="1"/>
  <c r="J23" i="19" s="1"/>
  <c r="J23" i="18" s="1"/>
  <c r="J23" i="17" s="1"/>
  <c r="J23" i="16" s="1"/>
  <c r="J23" i="15" s="1"/>
  <c r="I45" i="32"/>
  <c r="BG37" i="48"/>
  <c r="BG34" i="48"/>
  <c r="BG30" i="48"/>
  <c r="D35" i="12"/>
  <c r="JE19" i="1"/>
  <c r="IS19" i="1"/>
  <c r="IG19" i="1"/>
  <c r="HU19" i="1"/>
  <c r="HI19" i="1"/>
  <c r="GW19" i="1"/>
  <c r="GK19" i="1"/>
  <c r="FY19" i="1"/>
  <c r="FM19" i="1"/>
  <c r="FA19" i="1"/>
  <c r="EO19" i="1"/>
  <c r="EC19" i="1"/>
  <c r="DQ19" i="1"/>
  <c r="DE19" i="1"/>
  <c r="CS19" i="1"/>
  <c r="CG19" i="1"/>
  <c r="BU19" i="1"/>
  <c r="BI19" i="1"/>
  <c r="AW19" i="1"/>
  <c r="AK19" i="1"/>
  <c r="Y19" i="1"/>
  <c r="M19" i="1"/>
  <c r="JB19" i="1"/>
  <c r="IP19" i="1"/>
  <c r="ID19" i="1"/>
  <c r="HR19" i="1"/>
  <c r="HF19" i="1"/>
  <c r="GT19" i="1"/>
  <c r="GH19" i="1"/>
  <c r="FV19" i="1"/>
  <c r="FJ19" i="1"/>
  <c r="EX19" i="1"/>
  <c r="EL19" i="1"/>
  <c r="DZ19" i="1"/>
  <c r="DN19" i="1"/>
  <c r="DB19" i="1"/>
  <c r="CP19" i="1"/>
  <c r="CD19" i="1"/>
  <c r="BR19" i="1"/>
  <c r="BF19" i="1"/>
  <c r="AT19" i="1"/>
  <c r="AH19" i="1"/>
  <c r="V19" i="1"/>
  <c r="J19" i="1"/>
  <c r="IY19" i="1"/>
  <c r="IM19" i="1"/>
  <c r="IA19" i="1"/>
  <c r="HO19" i="1"/>
  <c r="HC19" i="1"/>
  <c r="GQ19" i="1"/>
  <c r="GE19" i="1"/>
  <c r="FS19" i="1"/>
  <c r="FG19" i="1"/>
  <c r="EU19" i="1"/>
  <c r="EI19" i="1"/>
  <c r="DW19" i="1"/>
  <c r="DK19" i="1"/>
  <c r="CY19" i="1"/>
  <c r="CM19" i="1"/>
  <c r="CA19" i="1"/>
  <c r="BO19" i="1"/>
  <c r="BC19" i="1"/>
  <c r="AQ19" i="1"/>
  <c r="AE19" i="1"/>
  <c r="S19" i="1"/>
  <c r="G19" i="1"/>
  <c r="JH19" i="1"/>
  <c r="IV19" i="1"/>
  <c r="IJ19" i="1"/>
  <c r="HX19" i="1"/>
  <c r="HL19" i="1"/>
  <c r="GZ19" i="1"/>
  <c r="GN19" i="1"/>
  <c r="GB19" i="1"/>
  <c r="FP19" i="1"/>
  <c r="FD19" i="1"/>
  <c r="ER19" i="1"/>
  <c r="EF19" i="1"/>
  <c r="DT19" i="1"/>
  <c r="DH19" i="1"/>
  <c r="CV19" i="1"/>
  <c r="CJ19" i="1"/>
  <c r="BX19" i="1"/>
  <c r="BL19" i="1"/>
  <c r="AZ19" i="1"/>
  <c r="AN19" i="1"/>
  <c r="AB19" i="1"/>
  <c r="P19" i="1"/>
  <c r="BG28" i="48"/>
  <c r="BG29" i="48"/>
  <c r="E11" i="1"/>
  <c r="BG10" i="48"/>
  <c r="C35" i="13"/>
  <c r="I48" i="12"/>
  <c r="I45" i="12"/>
  <c r="BG38" i="48"/>
  <c r="JE40" i="1"/>
  <c r="IS40" i="1"/>
  <c r="IG40" i="1"/>
  <c r="HU40" i="1"/>
  <c r="HI40" i="1"/>
  <c r="GW40" i="1"/>
  <c r="GK40" i="1"/>
  <c r="FY40" i="1"/>
  <c r="FM40" i="1"/>
  <c r="FA40" i="1"/>
  <c r="EO40" i="1"/>
  <c r="EC40" i="1"/>
  <c r="DQ40" i="1"/>
  <c r="DE40" i="1"/>
  <c r="CS40" i="1"/>
  <c r="CG40" i="1"/>
  <c r="BU40" i="1"/>
  <c r="BI40" i="1"/>
  <c r="AW40" i="1"/>
  <c r="AK40" i="1"/>
  <c r="Y40" i="1"/>
  <c r="M40" i="1"/>
  <c r="JB40" i="1"/>
  <c r="IP40" i="1"/>
  <c r="ID40" i="1"/>
  <c r="HR40" i="1"/>
  <c r="HF40" i="1"/>
  <c r="GT40" i="1"/>
  <c r="GH40" i="1"/>
  <c r="FV40" i="1"/>
  <c r="FJ40" i="1"/>
  <c r="EX40" i="1"/>
  <c r="EL40" i="1"/>
  <c r="DZ40" i="1"/>
  <c r="DN40" i="1"/>
  <c r="DB40" i="1"/>
  <c r="CP40" i="1"/>
  <c r="CD40" i="1"/>
  <c r="BR40" i="1"/>
  <c r="BF40" i="1"/>
  <c r="AT40" i="1"/>
  <c r="AH40" i="1"/>
  <c r="V40" i="1"/>
  <c r="J40" i="1"/>
  <c r="IY40" i="1"/>
  <c r="IM40" i="1"/>
  <c r="IA40" i="1"/>
  <c r="HO40" i="1"/>
  <c r="HC40" i="1"/>
  <c r="GQ40" i="1"/>
  <c r="GE40" i="1"/>
  <c r="FS40" i="1"/>
  <c r="FG40" i="1"/>
  <c r="EU40" i="1"/>
  <c r="EI40" i="1"/>
  <c r="DW40" i="1"/>
  <c r="DK40" i="1"/>
  <c r="CY40" i="1"/>
  <c r="CM40" i="1"/>
  <c r="CA40" i="1"/>
  <c r="BO40" i="1"/>
  <c r="BC40" i="1"/>
  <c r="AQ40" i="1"/>
  <c r="AE40" i="1"/>
  <c r="S40" i="1"/>
  <c r="G40" i="1"/>
  <c r="JH40" i="1"/>
  <c r="IV40" i="1"/>
  <c r="IJ40" i="1"/>
  <c r="HX40" i="1"/>
  <c r="HL40" i="1"/>
  <c r="GZ40" i="1"/>
  <c r="GN40" i="1"/>
  <c r="GB40" i="1"/>
  <c r="FP40" i="1"/>
  <c r="FD40" i="1"/>
  <c r="ER40" i="1"/>
  <c r="EF40" i="1"/>
  <c r="DT40" i="1"/>
  <c r="DH40" i="1"/>
  <c r="CV40" i="1"/>
  <c r="CJ40" i="1"/>
  <c r="BX40" i="1"/>
  <c r="BL40" i="1"/>
  <c r="AZ40" i="1"/>
  <c r="AN40" i="1"/>
  <c r="AB40" i="1"/>
  <c r="P40" i="1"/>
  <c r="AP34" i="48"/>
  <c r="J57" i="21"/>
  <c r="J57" i="22" s="1"/>
  <c r="J57" i="20" s="1"/>
  <c r="AD10" i="48"/>
  <c r="AJ10" i="48"/>
  <c r="AP37" i="48"/>
  <c r="I10" i="48"/>
  <c r="J10" i="48"/>
  <c r="AV10" i="48"/>
  <c r="I48" i="16"/>
  <c r="R26" i="48"/>
  <c r="I38" i="48"/>
  <c r="AV38" i="48"/>
  <c r="E39" i="1"/>
  <c r="X38" i="48"/>
  <c r="J38" i="48"/>
  <c r="AD38" i="48"/>
  <c r="AJ38" i="48"/>
  <c r="AU22" i="48"/>
  <c r="M23" i="48"/>
  <c r="BA23" i="48" s="1"/>
  <c r="I30" i="48"/>
  <c r="E31" i="1"/>
  <c r="AD30" i="48"/>
  <c r="AV30" i="48"/>
  <c r="AJ30" i="48"/>
  <c r="X30" i="48"/>
  <c r="J30" i="48"/>
  <c r="E19" i="2"/>
  <c r="ES19" i="2" s="1"/>
  <c r="AJ37" i="48"/>
  <c r="AV37" i="48"/>
  <c r="J37" i="48"/>
  <c r="I37" i="48"/>
  <c r="E38" i="1"/>
  <c r="AD37" i="48"/>
  <c r="J57" i="32"/>
  <c r="J57" i="31" s="1"/>
  <c r="AJ34" i="48"/>
  <c r="AD34" i="48"/>
  <c r="E35" i="1"/>
  <c r="AV34" i="48"/>
  <c r="J34" i="48"/>
  <c r="I34" i="48"/>
  <c r="R13" i="48"/>
  <c r="E30" i="1"/>
  <c r="AD29" i="48"/>
  <c r="AV29" i="48"/>
  <c r="AJ29" i="48"/>
  <c r="X29" i="48"/>
  <c r="I29" i="48"/>
  <c r="J29" i="48"/>
  <c r="J28" i="48"/>
  <c r="E29" i="1"/>
  <c r="AJ28" i="48"/>
  <c r="AD28" i="48"/>
  <c r="I28" i="48"/>
  <c r="AV28" i="48"/>
  <c r="X28" i="48"/>
  <c r="AP38" i="48"/>
  <c r="AP30" i="48"/>
  <c r="AN19" i="48"/>
  <c r="AP19" i="48"/>
  <c r="AP28" i="48"/>
  <c r="AN28" i="48"/>
  <c r="AN17" i="48"/>
  <c r="AN13" i="48"/>
  <c r="AN25" i="48"/>
  <c r="AN29" i="48"/>
  <c r="AP29" i="48"/>
  <c r="AN32" i="48"/>
  <c r="AP32" i="48"/>
  <c r="AN39" i="48"/>
  <c r="AP39" i="48"/>
  <c r="K34" i="18"/>
  <c r="C35" i="12"/>
  <c r="M19" i="6"/>
  <c r="M19" i="37" s="1"/>
  <c r="M19" i="4" s="1"/>
  <c r="M19" i="43" s="1"/>
  <c r="I45" i="4"/>
  <c r="I48" i="4"/>
  <c r="I48" i="37"/>
  <c r="I45" i="37"/>
  <c r="I40" i="19"/>
  <c r="E35" i="20"/>
  <c r="C35" i="20"/>
  <c r="I40" i="20"/>
  <c r="R22" i="48" s="1"/>
  <c r="D35" i="20"/>
  <c r="I40" i="28"/>
  <c r="R15" i="48" s="1"/>
  <c r="D35" i="4"/>
  <c r="E35" i="4"/>
  <c r="I45" i="13"/>
  <c r="I48" i="43"/>
  <c r="I47" i="43"/>
  <c r="R12" i="48"/>
  <c r="I40" i="31"/>
  <c r="E35" i="43"/>
  <c r="D35" i="43"/>
  <c r="D35" i="13"/>
  <c r="E35" i="13"/>
  <c r="C35" i="43"/>
  <c r="C35" i="4"/>
  <c r="C35" i="33"/>
  <c r="D35" i="33"/>
  <c r="D39" i="31"/>
  <c r="D39" i="30" s="1"/>
  <c r="E39" i="30" s="1"/>
  <c r="C35" i="25"/>
  <c r="I45" i="16"/>
  <c r="D35" i="25"/>
  <c r="D44" i="31"/>
  <c r="D44" i="30" s="1"/>
  <c r="E44" i="30" s="1"/>
  <c r="D42" i="31"/>
  <c r="D42" i="30" s="1"/>
  <c r="E42" i="30" s="1"/>
  <c r="E42" i="32"/>
  <c r="D46" i="31"/>
  <c r="D46" i="30" s="1"/>
  <c r="E46" i="30" s="1"/>
  <c r="E46" i="32"/>
  <c r="D48" i="31"/>
  <c r="D48" i="30" s="1"/>
  <c r="E48" i="30" s="1"/>
  <c r="E48" i="32"/>
  <c r="D41" i="31"/>
  <c r="D41" i="30" s="1"/>
  <c r="E41" i="30" s="1"/>
  <c r="E41" i="32"/>
  <c r="D43" i="31"/>
  <c r="D43" i="30" s="1"/>
  <c r="E43" i="30" s="1"/>
  <c r="E43" i="32"/>
  <c r="D45" i="31"/>
  <c r="D45" i="30" s="1"/>
  <c r="E45" i="30" s="1"/>
  <c r="E45" i="32"/>
  <c r="D47" i="31"/>
  <c r="D47" i="30" s="1"/>
  <c r="E47" i="30" s="1"/>
  <c r="E47" i="32"/>
  <c r="D49" i="31"/>
  <c r="D49" i="30" s="1"/>
  <c r="E49" i="30" s="1"/>
  <c r="E49" i="32"/>
  <c r="D50" i="31"/>
  <c r="D50" i="30" s="1"/>
  <c r="E50" i="30" s="1"/>
  <c r="E50" i="32"/>
  <c r="E53" i="33"/>
  <c r="E54" i="33" s="1"/>
  <c r="D52" i="28"/>
  <c r="E52" i="27"/>
  <c r="E40" i="31"/>
  <c r="D38" i="32"/>
  <c r="D53" i="33"/>
  <c r="E51" i="31"/>
  <c r="J39" i="33"/>
  <c r="J37" i="32"/>
  <c r="I45" i="14"/>
  <c r="I48" i="14"/>
  <c r="J44" i="32"/>
  <c r="J43" i="31"/>
  <c r="J43" i="30" s="1"/>
  <c r="J44" i="30" s="1"/>
  <c r="J38" i="27"/>
  <c r="AV35" i="48" l="1"/>
  <c r="BG35" i="48"/>
  <c r="AP16" i="48"/>
  <c r="CG33" i="1"/>
  <c r="E33" i="2"/>
  <c r="ES33" i="2" s="1"/>
  <c r="HO33" i="1"/>
  <c r="BF33" i="1"/>
  <c r="EX33" i="1"/>
  <c r="P33" i="1"/>
  <c r="DH33" i="1"/>
  <c r="DW33" i="1"/>
  <c r="I20" i="48"/>
  <c r="I45" i="17"/>
  <c r="I48" i="17"/>
  <c r="I35" i="48"/>
  <c r="C15" i="45"/>
  <c r="K15" i="45" s="1"/>
  <c r="I45" i="7"/>
  <c r="IM17" i="1"/>
  <c r="DE17" i="1"/>
  <c r="S27" i="45"/>
  <c r="AC27" i="45"/>
  <c r="K27" i="45"/>
  <c r="O27" i="45"/>
  <c r="W27" i="45"/>
  <c r="G27" i="45"/>
  <c r="Z27" i="45"/>
  <c r="S33" i="45"/>
  <c r="AC33" i="45"/>
  <c r="W33" i="45"/>
  <c r="G33" i="45"/>
  <c r="K33" i="45"/>
  <c r="O33" i="45"/>
  <c r="Z33" i="45"/>
  <c r="S36" i="45"/>
  <c r="AC36" i="45"/>
  <c r="G36" i="45"/>
  <c r="W36" i="45"/>
  <c r="O36" i="45"/>
  <c r="K36" i="45"/>
  <c r="Z36" i="45"/>
  <c r="BB15" i="48"/>
  <c r="C14" i="45"/>
  <c r="I45" i="9"/>
  <c r="S19" i="45"/>
  <c r="AC19" i="45"/>
  <c r="O19" i="45"/>
  <c r="W19" i="45"/>
  <c r="G19" i="45"/>
  <c r="K19" i="45"/>
  <c r="Z19" i="45"/>
  <c r="S28" i="45"/>
  <c r="AC28" i="45"/>
  <c r="G28" i="45"/>
  <c r="O28" i="45"/>
  <c r="W28" i="45"/>
  <c r="K28" i="45"/>
  <c r="Z28" i="45"/>
  <c r="BB26" i="48"/>
  <c r="C25" i="45"/>
  <c r="R33" i="48"/>
  <c r="BG33" i="48" s="1"/>
  <c r="S13" i="45"/>
  <c r="W13" i="45"/>
  <c r="O13" i="45"/>
  <c r="K13" i="45"/>
  <c r="G13" i="45"/>
  <c r="AC13" i="45"/>
  <c r="Z13" i="45"/>
  <c r="O37" i="45"/>
  <c r="K37" i="45"/>
  <c r="AC37" i="45"/>
  <c r="S37" i="45"/>
  <c r="G37" i="45"/>
  <c r="W37" i="45"/>
  <c r="Z37" i="45"/>
  <c r="S18" i="45"/>
  <c r="AC18" i="45"/>
  <c r="W18" i="45"/>
  <c r="O18" i="45"/>
  <c r="K18" i="45"/>
  <c r="G18" i="45"/>
  <c r="Z18" i="45"/>
  <c r="BB22" i="48"/>
  <c r="C21" i="45"/>
  <c r="AV25" i="48"/>
  <c r="C24" i="45"/>
  <c r="BB31" i="48"/>
  <c r="C30" i="45"/>
  <c r="S29" i="45"/>
  <c r="K29" i="45"/>
  <c r="W29" i="45"/>
  <c r="AC29" i="45"/>
  <c r="O29" i="45"/>
  <c r="G29" i="45"/>
  <c r="Z29" i="45"/>
  <c r="W38" i="45"/>
  <c r="AC38" i="45"/>
  <c r="O38" i="45"/>
  <c r="S38" i="45"/>
  <c r="K38" i="45"/>
  <c r="G38" i="45"/>
  <c r="Z38" i="45"/>
  <c r="S34" i="45"/>
  <c r="AC34" i="45"/>
  <c r="W34" i="45"/>
  <c r="O34" i="45"/>
  <c r="G34" i="45"/>
  <c r="K34" i="45"/>
  <c r="Z34" i="45"/>
  <c r="BB12" i="48"/>
  <c r="C11" i="45"/>
  <c r="BB13" i="48"/>
  <c r="C12" i="45"/>
  <c r="S9" i="45"/>
  <c r="W9" i="45"/>
  <c r="G9" i="45"/>
  <c r="AC9" i="45"/>
  <c r="K9" i="45"/>
  <c r="AD25" i="48"/>
  <c r="AJ25" i="48"/>
  <c r="BB35" i="48"/>
  <c r="J25" i="48"/>
  <c r="AP25" i="48"/>
  <c r="BG25" i="48"/>
  <c r="BB25" i="48"/>
  <c r="E26" i="1"/>
  <c r="HL26" i="1" s="1"/>
  <c r="I25" i="48"/>
  <c r="AJ20" i="48"/>
  <c r="BB20" i="48"/>
  <c r="E15" i="1"/>
  <c r="M15" i="1" s="1"/>
  <c r="BB14" i="48"/>
  <c r="AE33" i="1"/>
  <c r="AW11" i="1"/>
  <c r="M11" i="1"/>
  <c r="FY33" i="1"/>
  <c r="IP33" i="1"/>
  <c r="X14" i="48"/>
  <c r="J29" i="24"/>
  <c r="J29" i="23" s="1"/>
  <c r="J29" i="21" s="1"/>
  <c r="J29" i="22" s="1"/>
  <c r="J29" i="20" s="1"/>
  <c r="J29" i="19" s="1"/>
  <c r="J29" i="18" s="1"/>
  <c r="J29" i="17" s="1"/>
  <c r="J29" i="16" s="1"/>
  <c r="J29" i="15" s="1"/>
  <c r="J29" i="14" s="1"/>
  <c r="J29" i="13" s="1"/>
  <c r="J29" i="12" s="1"/>
  <c r="J29" i="11" s="1"/>
  <c r="J29" i="10" s="1"/>
  <c r="J29" i="9" s="1"/>
  <c r="J29" i="8" s="1"/>
  <c r="J29" i="7" s="1"/>
  <c r="J29" i="6" s="1"/>
  <c r="J29" i="37" s="1"/>
  <c r="J29" i="4" s="1"/>
  <c r="J29" i="43" s="1"/>
  <c r="J29" i="25"/>
  <c r="GZ33" i="1"/>
  <c r="M8" i="30"/>
  <c r="M8" i="29" s="1"/>
  <c r="M8" i="27" s="1"/>
  <c r="M8" i="28" s="1"/>
  <c r="M8" i="26" s="1"/>
  <c r="M8" i="25" s="1"/>
  <c r="M8" i="24" s="1"/>
  <c r="M8" i="23" s="1"/>
  <c r="M8" i="21" s="1"/>
  <c r="M8" i="22" s="1"/>
  <c r="M8" i="20" s="1"/>
  <c r="M8" i="19" s="1"/>
  <c r="M8" i="18" s="1"/>
  <c r="M8" i="17" s="1"/>
  <c r="M8" i="16" s="1"/>
  <c r="M8" i="15" s="1"/>
  <c r="M8" i="14" s="1"/>
  <c r="M8" i="13" s="1"/>
  <c r="M8" i="12" s="1"/>
  <c r="M8" i="11" s="1"/>
  <c r="M8" i="10" s="1"/>
  <c r="M8" i="9" s="1"/>
  <c r="M8" i="8" s="1"/>
  <c r="M8" i="7" s="1"/>
  <c r="M8" i="6" s="1"/>
  <c r="M8" i="37" s="1"/>
  <c r="M8" i="4" s="1"/>
  <c r="M8" i="43" s="1"/>
  <c r="J32" i="24"/>
  <c r="J32" i="23" s="1"/>
  <c r="EO20" i="1"/>
  <c r="J28" i="25"/>
  <c r="J28" i="24"/>
  <c r="J28" i="23" s="1"/>
  <c r="J28" i="21" s="1"/>
  <c r="J28" i="22" s="1"/>
  <c r="J28" i="20" s="1"/>
  <c r="J28" i="19" s="1"/>
  <c r="J28" i="18" s="1"/>
  <c r="J28" i="17" s="1"/>
  <c r="J28" i="16" s="1"/>
  <c r="J28" i="15" s="1"/>
  <c r="J28" i="14" s="1"/>
  <c r="J28" i="13" s="1"/>
  <c r="J28" i="12" s="1"/>
  <c r="J32" i="25"/>
  <c r="M28" i="29"/>
  <c r="M28" i="27" s="1"/>
  <c r="M28" i="28" s="1"/>
  <c r="M28" i="26" s="1"/>
  <c r="M28" i="25" s="1"/>
  <c r="M28" i="24" s="1"/>
  <c r="M28" i="23" s="1"/>
  <c r="M28" i="21" s="1"/>
  <c r="M28" i="22" s="1"/>
  <c r="M28" i="20" s="1"/>
  <c r="M28" i="19" s="1"/>
  <c r="M28" i="18" s="1"/>
  <c r="M28" i="17" s="1"/>
  <c r="M28" i="16" s="1"/>
  <c r="M28" i="15" s="1"/>
  <c r="M28" i="14" s="1"/>
  <c r="M28" i="13" s="1"/>
  <c r="M28" i="12" s="1"/>
  <c r="M28" i="11" s="1"/>
  <c r="M28" i="10" s="1"/>
  <c r="M28" i="9" s="1"/>
  <c r="M28" i="8" s="1"/>
  <c r="M28" i="7" s="1"/>
  <c r="M28" i="6" s="1"/>
  <c r="M28" i="37" s="1"/>
  <c r="M28" i="4" s="1"/>
  <c r="M28" i="43"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5" i="37" s="1"/>
  <c r="M15" i="4" s="1"/>
  <c r="M15" i="43"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J26" i="27" s="1"/>
  <c r="J26" i="28" s="1"/>
  <c r="J26" i="26" s="1"/>
  <c r="J26" i="25" s="1"/>
  <c r="M9" i="9"/>
  <c r="M9" i="8" s="1"/>
  <c r="M9" i="7" s="1"/>
  <c r="M9" i="6" s="1"/>
  <c r="M9" i="37" s="1"/>
  <c r="M9" i="4" s="1"/>
  <c r="M9" i="43" s="1"/>
  <c r="J57" i="27"/>
  <c r="J57" i="28" s="1"/>
  <c r="J57" i="26" s="1"/>
  <c r="J57" i="25" s="1"/>
  <c r="J57" i="30"/>
  <c r="J11" i="24"/>
  <c r="J11" i="23" s="1"/>
  <c r="J11" i="21" s="1"/>
  <c r="J11" i="22" s="1"/>
  <c r="J11" i="20" s="1"/>
  <c r="J11" i="19" s="1"/>
  <c r="J11" i="18" s="1"/>
  <c r="J11" i="17" s="1"/>
  <c r="J11" i="15" s="1"/>
  <c r="J11" i="14" s="1"/>
  <c r="J10" i="24"/>
  <c r="J10" i="23" s="1"/>
  <c r="J10" i="21" s="1"/>
  <c r="J10" i="20" s="1"/>
  <c r="J10" i="19" s="1"/>
  <c r="J10" i="18" s="1"/>
  <c r="J10" i="17" s="1"/>
  <c r="J10" i="16" s="1"/>
  <c r="J10" i="15" s="1"/>
  <c r="J10" i="14" s="1"/>
  <c r="J16" i="22"/>
  <c r="J16" i="20" s="1"/>
  <c r="J16" i="19" s="1"/>
  <c r="J15" i="22"/>
  <c r="J15" i="20" s="1"/>
  <c r="J15" i="19" s="1"/>
  <c r="J14" i="18"/>
  <c r="J14" i="17" s="1"/>
  <c r="J14" i="16" s="1"/>
  <c r="J14" i="15" s="1"/>
  <c r="J14" i="14" s="1"/>
  <c r="J14" i="13" s="1"/>
  <c r="J13" i="18"/>
  <c r="J13" i="17" s="1"/>
  <c r="J13" i="16" s="1"/>
  <c r="J13" i="15" s="1"/>
  <c r="J13" i="14" s="1"/>
  <c r="J13" i="13" s="1"/>
  <c r="J12" i="18"/>
  <c r="J12" i="17" s="1"/>
  <c r="J12" i="16" s="1"/>
  <c r="J12" i="15" s="1"/>
  <c r="J12" i="14" s="1"/>
  <c r="J12" i="13" s="1"/>
  <c r="J12" i="12" s="1"/>
  <c r="J12" i="11" s="1"/>
  <c r="J12" i="10" s="1"/>
  <c r="J12" i="9" s="1"/>
  <c r="J12" i="8" s="1"/>
  <c r="D54" i="33"/>
  <c r="I45" i="11"/>
  <c r="I48" i="11"/>
  <c r="J14" i="48"/>
  <c r="AP14" i="48"/>
  <c r="BG14" i="48"/>
  <c r="AV14" i="48"/>
  <c r="I48" i="27"/>
  <c r="I14" i="48"/>
  <c r="AJ14" i="48"/>
  <c r="AD14" i="48"/>
  <c r="I45" i="27"/>
  <c r="BU33" i="1"/>
  <c r="FM33" i="1"/>
  <c r="JE33" i="1"/>
  <c r="CV33" i="1"/>
  <c r="GN33" i="1"/>
  <c r="S33" i="1"/>
  <c r="DK33" i="1"/>
  <c r="HC33" i="1"/>
  <c r="AT33" i="1"/>
  <c r="EL33" i="1"/>
  <c r="ID33" i="1"/>
  <c r="CS33" i="1"/>
  <c r="GK33" i="1"/>
  <c r="AB33" i="1"/>
  <c r="DT33" i="1"/>
  <c r="HL33" i="1"/>
  <c r="AQ33" i="1"/>
  <c r="EI33" i="1"/>
  <c r="IA33" i="1"/>
  <c r="BR33" i="1"/>
  <c r="FJ33" i="1"/>
  <c r="JB33" i="1"/>
  <c r="M33" i="1"/>
  <c r="DE33" i="1"/>
  <c r="GW33" i="1"/>
  <c r="AN33" i="1"/>
  <c r="EF33" i="1"/>
  <c r="HX33" i="1"/>
  <c r="BC33" i="1"/>
  <c r="EU33" i="1"/>
  <c r="IM33" i="1"/>
  <c r="CD33" i="1"/>
  <c r="FV33" i="1"/>
  <c r="Y33" i="1"/>
  <c r="DQ33" i="1"/>
  <c r="HI33" i="1"/>
  <c r="AZ33" i="1"/>
  <c r="ER33" i="1"/>
  <c r="IJ33" i="1"/>
  <c r="BO33" i="1"/>
  <c r="FG33" i="1"/>
  <c r="IY33" i="1"/>
  <c r="CP33" i="1"/>
  <c r="GH33" i="1"/>
  <c r="AK33" i="1"/>
  <c r="EC33" i="1"/>
  <c r="HU33" i="1"/>
  <c r="BL33" i="1"/>
  <c r="FD33" i="1"/>
  <c r="IV33" i="1"/>
  <c r="CA33" i="1"/>
  <c r="FS33" i="1"/>
  <c r="J33" i="1"/>
  <c r="DB33" i="1"/>
  <c r="GT33" i="1"/>
  <c r="AW33" i="1"/>
  <c r="EO33" i="1"/>
  <c r="IG33" i="1"/>
  <c r="BX33" i="1"/>
  <c r="FP33" i="1"/>
  <c r="JH33" i="1"/>
  <c r="CM33" i="1"/>
  <c r="GE33" i="1"/>
  <c r="V33" i="1"/>
  <c r="DN33" i="1"/>
  <c r="HF33" i="1"/>
  <c r="BI33" i="1"/>
  <c r="FA33" i="1"/>
  <c r="IS33" i="1"/>
  <c r="CJ33" i="1"/>
  <c r="GB33" i="1"/>
  <c r="G33" i="1"/>
  <c r="CY33" i="1"/>
  <c r="GQ33" i="1"/>
  <c r="AH33" i="1"/>
  <c r="DZ33" i="1"/>
  <c r="J35" i="48"/>
  <c r="AP35" i="48"/>
  <c r="E36" i="1"/>
  <c r="E36" i="2" s="1"/>
  <c r="ES36" i="2" s="1"/>
  <c r="I48" i="7"/>
  <c r="AD35" i="48"/>
  <c r="AJ35" i="48"/>
  <c r="J20" i="48"/>
  <c r="AP20" i="48"/>
  <c r="I48" i="21"/>
  <c r="E21" i="1"/>
  <c r="ID21" i="1" s="1"/>
  <c r="BG20" i="48"/>
  <c r="AV20" i="48"/>
  <c r="I45" i="21"/>
  <c r="X20" i="48"/>
  <c r="AD20" i="48"/>
  <c r="I40" i="18"/>
  <c r="R24" i="48" s="1"/>
  <c r="C23" i="45" s="1"/>
  <c r="BC17" i="1"/>
  <c r="FV17" i="1"/>
  <c r="J18" i="16"/>
  <c r="J18" i="15" s="1"/>
  <c r="J18" i="14" s="1"/>
  <c r="AN17" i="1"/>
  <c r="HX17" i="1"/>
  <c r="J8" i="16"/>
  <c r="J8" i="15" s="1"/>
  <c r="J8" i="14" s="1"/>
  <c r="J17" i="16"/>
  <c r="J17" i="15" s="1"/>
  <c r="J17" i="14" s="1"/>
  <c r="E17" i="2"/>
  <c r="ES17" i="2" s="1"/>
  <c r="CA17" i="1"/>
  <c r="J17" i="1"/>
  <c r="GT17" i="1"/>
  <c r="EC17" i="1"/>
  <c r="BL17" i="1"/>
  <c r="IV17" i="1"/>
  <c r="IG20" i="1"/>
  <c r="E20" i="2"/>
  <c r="ES20" i="2" s="1"/>
  <c r="CY17" i="1"/>
  <c r="AH17" i="1"/>
  <c r="HR17" i="1"/>
  <c r="FA17" i="1"/>
  <c r="CJ17" i="1"/>
  <c r="BX20" i="1"/>
  <c r="DW17" i="1"/>
  <c r="BF17" i="1"/>
  <c r="IP17" i="1"/>
  <c r="FY17" i="1"/>
  <c r="DH17" i="1"/>
  <c r="AE20" i="1"/>
  <c r="FP20" i="1"/>
  <c r="EU17" i="1"/>
  <c r="CD17" i="1"/>
  <c r="M17" i="1"/>
  <c r="GW17" i="1"/>
  <c r="EF17" i="1"/>
  <c r="IM20" i="1"/>
  <c r="JH20" i="1"/>
  <c r="FS17" i="1"/>
  <c r="DB17" i="1"/>
  <c r="AK17" i="1"/>
  <c r="HU17" i="1"/>
  <c r="FD17" i="1"/>
  <c r="V20" i="1"/>
  <c r="G17" i="1"/>
  <c r="GQ17" i="1"/>
  <c r="DZ17" i="1"/>
  <c r="BI17" i="1"/>
  <c r="IS17" i="1"/>
  <c r="GB17" i="1"/>
  <c r="HF20" i="1"/>
  <c r="AE17" i="1"/>
  <c r="HO17" i="1"/>
  <c r="EX17" i="1"/>
  <c r="CG17" i="1"/>
  <c r="P17" i="1"/>
  <c r="GZ17" i="1"/>
  <c r="AW20" i="1"/>
  <c r="DN20" i="1"/>
  <c r="E32" i="1"/>
  <c r="GE32" i="1" s="1"/>
  <c r="IA20" i="1"/>
  <c r="GE20" i="1"/>
  <c r="HC20" i="1"/>
  <c r="BR20" i="1"/>
  <c r="FJ20" i="1"/>
  <c r="JB20" i="1"/>
  <c r="CS20" i="1"/>
  <c r="GK20" i="1"/>
  <c r="AB20" i="1"/>
  <c r="DT20" i="1"/>
  <c r="HL20" i="1"/>
  <c r="CY20" i="1"/>
  <c r="FG20" i="1"/>
  <c r="HO20" i="1"/>
  <c r="BC20" i="1"/>
  <c r="S20" i="1"/>
  <c r="FS20" i="1"/>
  <c r="AT20" i="1"/>
  <c r="CP20" i="1"/>
  <c r="EL20" i="1"/>
  <c r="GH20" i="1"/>
  <c r="ID20" i="1"/>
  <c r="Y20" i="1"/>
  <c r="BU20" i="1"/>
  <c r="DQ20" i="1"/>
  <c r="FM20" i="1"/>
  <c r="HI20" i="1"/>
  <c r="JE20" i="1"/>
  <c r="AZ20" i="1"/>
  <c r="CV20" i="1"/>
  <c r="ER20" i="1"/>
  <c r="GN20" i="1"/>
  <c r="IJ20" i="1"/>
  <c r="G20" i="1"/>
  <c r="GQ20" i="1"/>
  <c r="BO20" i="1"/>
  <c r="IY20" i="1"/>
  <c r="DW20" i="1"/>
  <c r="CM20" i="1"/>
  <c r="AQ20" i="1"/>
  <c r="EU20" i="1"/>
  <c r="EI20" i="1"/>
  <c r="DK20" i="1"/>
  <c r="CA20" i="1"/>
  <c r="J20" i="1"/>
  <c r="AH20" i="1"/>
  <c r="BF20" i="1"/>
  <c r="CD20" i="1"/>
  <c r="DB20" i="1"/>
  <c r="DZ20" i="1"/>
  <c r="EX20" i="1"/>
  <c r="FV20" i="1"/>
  <c r="GT20" i="1"/>
  <c r="HR20" i="1"/>
  <c r="IP20" i="1"/>
  <c r="M20" i="1"/>
  <c r="AK20" i="1"/>
  <c r="BI20" i="1"/>
  <c r="CG20" i="1"/>
  <c r="DE20" i="1"/>
  <c r="EC20" i="1"/>
  <c r="FA20" i="1"/>
  <c r="FY20" i="1"/>
  <c r="GW20" i="1"/>
  <c r="HU20" i="1"/>
  <c r="IS20" i="1"/>
  <c r="P20" i="1"/>
  <c r="AN20" i="1"/>
  <c r="BL20" i="1"/>
  <c r="CJ20" i="1"/>
  <c r="DH20" i="1"/>
  <c r="EF20" i="1"/>
  <c r="FD20" i="1"/>
  <c r="GB20" i="1"/>
  <c r="GZ20" i="1"/>
  <c r="HX20" i="1"/>
  <c r="J19" i="16"/>
  <c r="J19" i="15" s="1"/>
  <c r="J19" i="14" s="1"/>
  <c r="J22" i="14"/>
  <c r="J22" i="13" s="1"/>
  <c r="J22" i="12" s="1"/>
  <c r="J27" i="14"/>
  <c r="J27" i="13" s="1"/>
  <c r="J27" i="12" s="1"/>
  <c r="J23" i="14"/>
  <c r="J23" i="13" s="1"/>
  <c r="J23" i="12" s="1"/>
  <c r="J30" i="11"/>
  <c r="J30" i="10" s="1"/>
  <c r="J30" i="9" s="1"/>
  <c r="J30" i="8" s="1"/>
  <c r="J30" i="7" s="1"/>
  <c r="J30" i="6" s="1"/>
  <c r="J30" i="37" s="1"/>
  <c r="J30" i="4" s="1"/>
  <c r="J30" i="43" s="1"/>
  <c r="S17" i="1"/>
  <c r="AQ17" i="1"/>
  <c r="BO17" i="1"/>
  <c r="CM17" i="1"/>
  <c r="DK17" i="1"/>
  <c r="EI17" i="1"/>
  <c r="FG17" i="1"/>
  <c r="GE17" i="1"/>
  <c r="HC17" i="1"/>
  <c r="IA17" i="1"/>
  <c r="IY17" i="1"/>
  <c r="V17" i="1"/>
  <c r="AT17" i="1"/>
  <c r="BR17" i="1"/>
  <c r="CP17" i="1"/>
  <c r="DN17" i="1"/>
  <c r="EL17" i="1"/>
  <c r="FJ17" i="1"/>
  <c r="GH17" i="1"/>
  <c r="HF17" i="1"/>
  <c r="ID17" i="1"/>
  <c r="JB17" i="1"/>
  <c r="Y17" i="1"/>
  <c r="AW17" i="1"/>
  <c r="BU17" i="1"/>
  <c r="CS17" i="1"/>
  <c r="DQ17" i="1"/>
  <c r="EO17" i="1"/>
  <c r="FM17" i="1"/>
  <c r="GK17" i="1"/>
  <c r="HI17" i="1"/>
  <c r="IG17" i="1"/>
  <c r="JE17" i="1"/>
  <c r="AB17" i="1"/>
  <c r="AZ17" i="1"/>
  <c r="BX17" i="1"/>
  <c r="CV17" i="1"/>
  <c r="DT17" i="1"/>
  <c r="ER17" i="1"/>
  <c r="FP17" i="1"/>
  <c r="GN17" i="1"/>
  <c r="HL17" i="1"/>
  <c r="IJ17" i="1"/>
  <c r="AJ31" i="48"/>
  <c r="D41" i="29"/>
  <c r="E41" i="29" s="1"/>
  <c r="AP31" i="48"/>
  <c r="D47" i="29"/>
  <c r="E47" i="29" s="1"/>
  <c r="D48" i="29"/>
  <c r="E48" i="29" s="1"/>
  <c r="D39" i="29"/>
  <c r="E39" i="29" s="1"/>
  <c r="J31" i="48"/>
  <c r="D49" i="29"/>
  <c r="E49" i="29" s="1"/>
  <c r="X31" i="48"/>
  <c r="D45" i="29"/>
  <c r="E45" i="29" s="1"/>
  <c r="D46" i="29"/>
  <c r="E46" i="29" s="1"/>
  <c r="I31" i="48"/>
  <c r="AV31" i="48"/>
  <c r="D50" i="29"/>
  <c r="E50" i="29" s="1"/>
  <c r="D42" i="29"/>
  <c r="E42" i="29" s="1"/>
  <c r="AD31" i="48"/>
  <c r="D43" i="29"/>
  <c r="E43" i="29" s="1"/>
  <c r="J43" i="29"/>
  <c r="E44" i="31"/>
  <c r="BG26" i="48"/>
  <c r="IY38" i="1"/>
  <c r="IM38" i="1"/>
  <c r="IA38" i="1"/>
  <c r="HO38" i="1"/>
  <c r="HC38" i="1"/>
  <c r="GQ38" i="1"/>
  <c r="GE38" i="1"/>
  <c r="FS38" i="1"/>
  <c r="FG38" i="1"/>
  <c r="EU38" i="1"/>
  <c r="EI38" i="1"/>
  <c r="DW38" i="1"/>
  <c r="DK38" i="1"/>
  <c r="CY38" i="1"/>
  <c r="CM38" i="1"/>
  <c r="CA38" i="1"/>
  <c r="BO38" i="1"/>
  <c r="JH38" i="1"/>
  <c r="IV38" i="1"/>
  <c r="IJ38" i="1"/>
  <c r="HX38" i="1"/>
  <c r="HL38" i="1"/>
  <c r="GZ38" i="1"/>
  <c r="GN38" i="1"/>
  <c r="GB38" i="1"/>
  <c r="FP38" i="1"/>
  <c r="FD38" i="1"/>
  <c r="ER38" i="1"/>
  <c r="EF38" i="1"/>
  <c r="DT38" i="1"/>
  <c r="DH38" i="1"/>
  <c r="CV38" i="1"/>
  <c r="CJ38" i="1"/>
  <c r="BX38" i="1"/>
  <c r="JE38" i="1"/>
  <c r="IS38" i="1"/>
  <c r="IG38" i="1"/>
  <c r="HU38" i="1"/>
  <c r="HI38" i="1"/>
  <c r="GW38" i="1"/>
  <c r="GK38" i="1"/>
  <c r="FY38" i="1"/>
  <c r="FM38" i="1"/>
  <c r="FA38" i="1"/>
  <c r="EO38" i="1"/>
  <c r="EC38" i="1"/>
  <c r="DQ38" i="1"/>
  <c r="DE38" i="1"/>
  <c r="CS38" i="1"/>
  <c r="CG38" i="1"/>
  <c r="BU38" i="1"/>
  <c r="BI38" i="1"/>
  <c r="JB38" i="1"/>
  <c r="IP38" i="1"/>
  <c r="ID38" i="1"/>
  <c r="HR38" i="1"/>
  <c r="HF38" i="1"/>
  <c r="GT38" i="1"/>
  <c r="GH38" i="1"/>
  <c r="FV38" i="1"/>
  <c r="FJ38" i="1"/>
  <c r="EX38" i="1"/>
  <c r="DB38" i="1"/>
  <c r="EL38" i="1"/>
  <c r="AZ38" i="1"/>
  <c r="AN38" i="1"/>
  <c r="AB38" i="1"/>
  <c r="P38" i="1"/>
  <c r="CD38" i="1"/>
  <c r="BL38" i="1"/>
  <c r="DN38" i="1"/>
  <c r="AW38" i="1"/>
  <c r="AK38" i="1"/>
  <c r="Y38" i="1"/>
  <c r="M38" i="1"/>
  <c r="CP38" i="1"/>
  <c r="BF38" i="1"/>
  <c r="AT38" i="1"/>
  <c r="AH38" i="1"/>
  <c r="V38" i="1"/>
  <c r="J38" i="1"/>
  <c r="DZ38" i="1"/>
  <c r="BR38" i="1"/>
  <c r="AE38" i="1"/>
  <c r="G38" i="1"/>
  <c r="AQ38" i="1"/>
  <c r="S38" i="1"/>
  <c r="BC38" i="1"/>
  <c r="JB39" i="1"/>
  <c r="IP39" i="1"/>
  <c r="ID39" i="1"/>
  <c r="HR39" i="1"/>
  <c r="HF39" i="1"/>
  <c r="GT39" i="1"/>
  <c r="GH39" i="1"/>
  <c r="FV39" i="1"/>
  <c r="FJ39" i="1"/>
  <c r="EX39" i="1"/>
  <c r="EL39" i="1"/>
  <c r="DZ39" i="1"/>
  <c r="DN39" i="1"/>
  <c r="DB39" i="1"/>
  <c r="CP39" i="1"/>
  <c r="CD39" i="1"/>
  <c r="BR39" i="1"/>
  <c r="BF39" i="1"/>
  <c r="AT39" i="1"/>
  <c r="AH39" i="1"/>
  <c r="V39" i="1"/>
  <c r="J39" i="1"/>
  <c r="IY39" i="1"/>
  <c r="IM39" i="1"/>
  <c r="IA39" i="1"/>
  <c r="HO39" i="1"/>
  <c r="HC39" i="1"/>
  <c r="GQ39" i="1"/>
  <c r="GE39" i="1"/>
  <c r="FS39" i="1"/>
  <c r="FG39" i="1"/>
  <c r="EU39" i="1"/>
  <c r="EI39" i="1"/>
  <c r="DW39" i="1"/>
  <c r="DK39" i="1"/>
  <c r="CY39" i="1"/>
  <c r="CM39" i="1"/>
  <c r="CA39" i="1"/>
  <c r="BO39" i="1"/>
  <c r="BC39" i="1"/>
  <c r="AQ39" i="1"/>
  <c r="AE39" i="1"/>
  <c r="S39" i="1"/>
  <c r="G39" i="1"/>
  <c r="JH39" i="1"/>
  <c r="IV39" i="1"/>
  <c r="IJ39" i="1"/>
  <c r="HX39" i="1"/>
  <c r="HL39" i="1"/>
  <c r="GZ39" i="1"/>
  <c r="GN39" i="1"/>
  <c r="GB39" i="1"/>
  <c r="FP39" i="1"/>
  <c r="FD39" i="1"/>
  <c r="ER39" i="1"/>
  <c r="EF39" i="1"/>
  <c r="DT39" i="1"/>
  <c r="DH39" i="1"/>
  <c r="CV39" i="1"/>
  <c r="CJ39" i="1"/>
  <c r="BX39" i="1"/>
  <c r="BL39" i="1"/>
  <c r="AZ39" i="1"/>
  <c r="AN39" i="1"/>
  <c r="AB39" i="1"/>
  <c r="P39" i="1"/>
  <c r="JE39" i="1"/>
  <c r="IS39" i="1"/>
  <c r="IG39" i="1"/>
  <c r="HU39" i="1"/>
  <c r="HI39" i="1"/>
  <c r="GW39" i="1"/>
  <c r="GK39" i="1"/>
  <c r="FY39" i="1"/>
  <c r="FM39" i="1"/>
  <c r="FA39" i="1"/>
  <c r="EO39" i="1"/>
  <c r="EC39" i="1"/>
  <c r="DQ39" i="1"/>
  <c r="DE39" i="1"/>
  <c r="CS39" i="1"/>
  <c r="CG39" i="1"/>
  <c r="BU39" i="1"/>
  <c r="BI39" i="1"/>
  <c r="AW39" i="1"/>
  <c r="AK39" i="1"/>
  <c r="Y39" i="1"/>
  <c r="M39" i="1"/>
  <c r="AJ33" i="48"/>
  <c r="BG22" i="48"/>
  <c r="BG12" i="48"/>
  <c r="BG13" i="48"/>
  <c r="BG15" i="48"/>
  <c r="GH15" i="1"/>
  <c r="AH15" i="1"/>
  <c r="JH35" i="1"/>
  <c r="IV35" i="1"/>
  <c r="IJ35" i="1"/>
  <c r="HX35" i="1"/>
  <c r="HL35" i="1"/>
  <c r="GZ35" i="1"/>
  <c r="GN35" i="1"/>
  <c r="GB35" i="1"/>
  <c r="FP35" i="1"/>
  <c r="FD35" i="1"/>
  <c r="ER35" i="1"/>
  <c r="EF35" i="1"/>
  <c r="DT35" i="1"/>
  <c r="JE35" i="1"/>
  <c r="IS35" i="1"/>
  <c r="IG35" i="1"/>
  <c r="HU35" i="1"/>
  <c r="HI35" i="1"/>
  <c r="GW35" i="1"/>
  <c r="GK35" i="1"/>
  <c r="FY35" i="1"/>
  <c r="FM35" i="1"/>
  <c r="FA35" i="1"/>
  <c r="EO35" i="1"/>
  <c r="EC35" i="1"/>
  <c r="DQ35" i="1"/>
  <c r="DE35" i="1"/>
  <c r="CS35" i="1"/>
  <c r="CG35" i="1"/>
  <c r="BU35" i="1"/>
  <c r="BI35" i="1"/>
  <c r="AW35" i="1"/>
  <c r="AK35" i="1"/>
  <c r="Y35" i="1"/>
  <c r="M35" i="1"/>
  <c r="DB35" i="1"/>
  <c r="CA35" i="1"/>
  <c r="AZ35" i="1"/>
  <c r="J35" i="1"/>
  <c r="JB35" i="1"/>
  <c r="IM35" i="1"/>
  <c r="HF35" i="1"/>
  <c r="GQ35" i="1"/>
  <c r="FJ35" i="1"/>
  <c r="EU35" i="1"/>
  <c r="DN35" i="1"/>
  <c r="CM35" i="1"/>
  <c r="BL35" i="1"/>
  <c r="V35" i="1"/>
  <c r="CY35" i="1"/>
  <c r="BX35" i="1"/>
  <c r="AH35" i="1"/>
  <c r="G35" i="1"/>
  <c r="IY35" i="1"/>
  <c r="HR35" i="1"/>
  <c r="HC35" i="1"/>
  <c r="FV35" i="1"/>
  <c r="FG35" i="1"/>
  <c r="DZ35" i="1"/>
  <c r="DK35" i="1"/>
  <c r="CJ35" i="1"/>
  <c r="AT35" i="1"/>
  <c r="S35" i="1"/>
  <c r="CV35" i="1"/>
  <c r="BF35" i="1"/>
  <c r="AE35" i="1"/>
  <c r="ID35" i="1"/>
  <c r="HO35" i="1"/>
  <c r="GH35" i="1"/>
  <c r="FS35" i="1"/>
  <c r="EL35" i="1"/>
  <c r="DW35" i="1"/>
  <c r="DH35" i="1"/>
  <c r="BR35" i="1"/>
  <c r="AQ35" i="1"/>
  <c r="P35" i="1"/>
  <c r="CD35" i="1"/>
  <c r="BC35" i="1"/>
  <c r="AB35" i="1"/>
  <c r="IP35" i="1"/>
  <c r="IA35" i="1"/>
  <c r="GT35" i="1"/>
  <c r="GE35" i="1"/>
  <c r="EX35" i="1"/>
  <c r="EI35" i="1"/>
  <c r="CP35" i="1"/>
  <c r="BO35" i="1"/>
  <c r="AN35" i="1"/>
  <c r="FP36" i="1"/>
  <c r="GW26" i="1"/>
  <c r="HR11" i="1"/>
  <c r="DZ11" i="1"/>
  <c r="AT11" i="1"/>
  <c r="IY11" i="1"/>
  <c r="IM11" i="1"/>
  <c r="IA11" i="1"/>
  <c r="HO11" i="1"/>
  <c r="HC11" i="1"/>
  <c r="GQ11" i="1"/>
  <c r="GE11" i="1"/>
  <c r="FS11" i="1"/>
  <c r="FG11" i="1"/>
  <c r="EU11" i="1"/>
  <c r="EI11" i="1"/>
  <c r="DW11" i="1"/>
  <c r="DK11" i="1"/>
  <c r="CY11" i="1"/>
  <c r="CM11" i="1"/>
  <c r="CA11" i="1"/>
  <c r="BO11" i="1"/>
  <c r="BC11" i="1"/>
  <c r="AQ11" i="1"/>
  <c r="AE11" i="1"/>
  <c r="S11" i="1"/>
  <c r="G11" i="1"/>
  <c r="JB11" i="1"/>
  <c r="GT11" i="1"/>
  <c r="FJ11" i="1"/>
  <c r="DB11" i="1"/>
  <c r="V11" i="1"/>
  <c r="HF11" i="1"/>
  <c r="FV11" i="1"/>
  <c r="DN11" i="1"/>
  <c r="BF11" i="1"/>
  <c r="JH11" i="1"/>
  <c r="IV11" i="1"/>
  <c r="IJ11" i="1"/>
  <c r="HX11" i="1"/>
  <c r="HL11" i="1"/>
  <c r="GZ11" i="1"/>
  <c r="GN11" i="1"/>
  <c r="GB11" i="1"/>
  <c r="FP11" i="1"/>
  <c r="FD11" i="1"/>
  <c r="ER11" i="1"/>
  <c r="EF11" i="1"/>
  <c r="DT11" i="1"/>
  <c r="DH11" i="1"/>
  <c r="CV11" i="1"/>
  <c r="CJ11" i="1"/>
  <c r="BX11" i="1"/>
  <c r="BL11" i="1"/>
  <c r="AZ11" i="1"/>
  <c r="AN11" i="1"/>
  <c r="AB11" i="1"/>
  <c r="P11" i="1"/>
  <c r="ID11" i="1"/>
  <c r="EX11" i="1"/>
  <c r="BR11" i="1"/>
  <c r="IP11" i="1"/>
  <c r="EL11" i="1"/>
  <c r="AH11" i="1"/>
  <c r="JE11" i="1"/>
  <c r="IS11" i="1"/>
  <c r="IG11" i="1"/>
  <c r="HU11" i="1"/>
  <c r="HI11" i="1"/>
  <c r="GW11" i="1"/>
  <c r="GK11" i="1"/>
  <c r="FY11" i="1"/>
  <c r="FM11" i="1"/>
  <c r="FA11" i="1"/>
  <c r="EO11" i="1"/>
  <c r="EC11" i="1"/>
  <c r="DQ11" i="1"/>
  <c r="DE11" i="1"/>
  <c r="CS11" i="1"/>
  <c r="CG11" i="1"/>
  <c r="BU11" i="1"/>
  <c r="BI11" i="1"/>
  <c r="AK11" i="1"/>
  <c r="Y11" i="1"/>
  <c r="CD11" i="1"/>
  <c r="GH11" i="1"/>
  <c r="CP11" i="1"/>
  <c r="J11" i="1"/>
  <c r="AE21" i="1"/>
  <c r="JE29" i="1"/>
  <c r="IS29" i="1"/>
  <c r="IG29" i="1"/>
  <c r="HU29" i="1"/>
  <c r="HI29" i="1"/>
  <c r="GW29" i="1"/>
  <c r="GK29" i="1"/>
  <c r="FY29" i="1"/>
  <c r="FM29" i="1"/>
  <c r="FA29" i="1"/>
  <c r="EO29" i="1"/>
  <c r="EC29" i="1"/>
  <c r="DQ29" i="1"/>
  <c r="DE29" i="1"/>
  <c r="CS29" i="1"/>
  <c r="CG29" i="1"/>
  <c r="BU29" i="1"/>
  <c r="BI29" i="1"/>
  <c r="AW29" i="1"/>
  <c r="AK29" i="1"/>
  <c r="Y29" i="1"/>
  <c r="M29" i="1"/>
  <c r="JB29" i="1"/>
  <c r="IP29" i="1"/>
  <c r="ID29" i="1"/>
  <c r="HR29" i="1"/>
  <c r="HF29" i="1"/>
  <c r="GT29" i="1"/>
  <c r="GH29" i="1"/>
  <c r="FV29" i="1"/>
  <c r="FJ29" i="1"/>
  <c r="EX29" i="1"/>
  <c r="EL29" i="1"/>
  <c r="DZ29" i="1"/>
  <c r="DN29" i="1"/>
  <c r="DB29" i="1"/>
  <c r="CP29" i="1"/>
  <c r="CD29" i="1"/>
  <c r="BR29" i="1"/>
  <c r="BF29" i="1"/>
  <c r="AT29" i="1"/>
  <c r="AH29" i="1"/>
  <c r="V29" i="1"/>
  <c r="J29" i="1"/>
  <c r="IY29" i="1"/>
  <c r="IM29" i="1"/>
  <c r="IA29" i="1"/>
  <c r="HO29" i="1"/>
  <c r="HC29" i="1"/>
  <c r="GQ29" i="1"/>
  <c r="GE29" i="1"/>
  <c r="FS29" i="1"/>
  <c r="FG29" i="1"/>
  <c r="EU29" i="1"/>
  <c r="EI29" i="1"/>
  <c r="DW29" i="1"/>
  <c r="DK29" i="1"/>
  <c r="CY29" i="1"/>
  <c r="CM29" i="1"/>
  <c r="CA29" i="1"/>
  <c r="BO29" i="1"/>
  <c r="BC29" i="1"/>
  <c r="AQ29" i="1"/>
  <c r="AE29" i="1"/>
  <c r="S29" i="1"/>
  <c r="G29" i="1"/>
  <c r="JH29" i="1"/>
  <c r="IV29" i="1"/>
  <c r="IJ29" i="1"/>
  <c r="HX29" i="1"/>
  <c r="HL29" i="1"/>
  <c r="GZ29" i="1"/>
  <c r="GN29" i="1"/>
  <c r="GB29" i="1"/>
  <c r="FP29" i="1"/>
  <c r="FD29" i="1"/>
  <c r="ER29" i="1"/>
  <c r="EF29" i="1"/>
  <c r="DT29" i="1"/>
  <c r="DH29" i="1"/>
  <c r="CV29" i="1"/>
  <c r="CJ29" i="1"/>
  <c r="BX29" i="1"/>
  <c r="BL29" i="1"/>
  <c r="AZ29" i="1"/>
  <c r="AN29" i="1"/>
  <c r="AB29" i="1"/>
  <c r="P29" i="1"/>
  <c r="JH30" i="1"/>
  <c r="IV30" i="1"/>
  <c r="IJ30" i="1"/>
  <c r="HX30" i="1"/>
  <c r="HL30" i="1"/>
  <c r="GZ30" i="1"/>
  <c r="GN30" i="1"/>
  <c r="GB30" i="1"/>
  <c r="FP30" i="1"/>
  <c r="FD30" i="1"/>
  <c r="ER30" i="1"/>
  <c r="EF30" i="1"/>
  <c r="DT30" i="1"/>
  <c r="DH30" i="1"/>
  <c r="CV30" i="1"/>
  <c r="CJ30" i="1"/>
  <c r="BX30" i="1"/>
  <c r="BL30" i="1"/>
  <c r="AZ30" i="1"/>
  <c r="AN30" i="1"/>
  <c r="AB30" i="1"/>
  <c r="P30" i="1"/>
  <c r="JE30" i="1"/>
  <c r="IS30" i="1"/>
  <c r="IG30" i="1"/>
  <c r="HU30" i="1"/>
  <c r="HI30" i="1"/>
  <c r="GW30" i="1"/>
  <c r="GK30" i="1"/>
  <c r="FY30" i="1"/>
  <c r="FM30" i="1"/>
  <c r="FA30" i="1"/>
  <c r="EO30" i="1"/>
  <c r="EC30" i="1"/>
  <c r="DQ30" i="1"/>
  <c r="DE30" i="1"/>
  <c r="CS30" i="1"/>
  <c r="CG30" i="1"/>
  <c r="BU30" i="1"/>
  <c r="BI30" i="1"/>
  <c r="AW30" i="1"/>
  <c r="AK30" i="1"/>
  <c r="Y30" i="1"/>
  <c r="M30" i="1"/>
  <c r="JB30" i="1"/>
  <c r="IP30" i="1"/>
  <c r="ID30" i="1"/>
  <c r="HR30" i="1"/>
  <c r="HF30" i="1"/>
  <c r="GT30" i="1"/>
  <c r="GH30" i="1"/>
  <c r="FV30" i="1"/>
  <c r="FJ30" i="1"/>
  <c r="EX30" i="1"/>
  <c r="EL30" i="1"/>
  <c r="DZ30" i="1"/>
  <c r="DN30" i="1"/>
  <c r="DB30" i="1"/>
  <c r="CP30" i="1"/>
  <c r="CD30" i="1"/>
  <c r="BR30" i="1"/>
  <c r="BF30" i="1"/>
  <c r="AT30" i="1"/>
  <c r="AH30" i="1"/>
  <c r="V30" i="1"/>
  <c r="IY30" i="1"/>
  <c r="IM30" i="1"/>
  <c r="IA30" i="1"/>
  <c r="HO30" i="1"/>
  <c r="HC30" i="1"/>
  <c r="GQ30" i="1"/>
  <c r="GE30" i="1"/>
  <c r="FS30" i="1"/>
  <c r="FG30" i="1"/>
  <c r="EU30" i="1"/>
  <c r="EI30" i="1"/>
  <c r="DW30" i="1"/>
  <c r="DK30" i="1"/>
  <c r="CY30" i="1"/>
  <c r="CM30" i="1"/>
  <c r="CA30" i="1"/>
  <c r="BO30" i="1"/>
  <c r="BC30" i="1"/>
  <c r="AQ30" i="1"/>
  <c r="AE30" i="1"/>
  <c r="S30" i="1"/>
  <c r="G30" i="1"/>
  <c r="E11" i="2"/>
  <c r="ES11" i="2" s="1"/>
  <c r="JH31" i="1"/>
  <c r="IV31" i="1"/>
  <c r="IJ31" i="1"/>
  <c r="HX31" i="1"/>
  <c r="HL31" i="1"/>
  <c r="GZ31" i="1"/>
  <c r="GN31" i="1"/>
  <c r="GB31" i="1"/>
  <c r="FP31" i="1"/>
  <c r="FD31" i="1"/>
  <c r="ER31" i="1"/>
  <c r="EF31" i="1"/>
  <c r="DT31" i="1"/>
  <c r="DH31" i="1"/>
  <c r="CV31" i="1"/>
  <c r="CJ31" i="1"/>
  <c r="BX31" i="1"/>
  <c r="BL31" i="1"/>
  <c r="JE31" i="1"/>
  <c r="IS31" i="1"/>
  <c r="IG31" i="1"/>
  <c r="HU31" i="1"/>
  <c r="HI31" i="1"/>
  <c r="GW31" i="1"/>
  <c r="GK31" i="1"/>
  <c r="FY31" i="1"/>
  <c r="FM31" i="1"/>
  <c r="FA31" i="1"/>
  <c r="EO31" i="1"/>
  <c r="EC31" i="1"/>
  <c r="DQ31" i="1"/>
  <c r="DE31" i="1"/>
  <c r="CS31" i="1"/>
  <c r="CG31" i="1"/>
  <c r="BU31" i="1"/>
  <c r="BI31" i="1"/>
  <c r="AW31" i="1"/>
  <c r="AK31" i="1"/>
  <c r="Y31" i="1"/>
  <c r="M31" i="1"/>
  <c r="JB31" i="1"/>
  <c r="IP31" i="1"/>
  <c r="ID31" i="1"/>
  <c r="HR31" i="1"/>
  <c r="HF31" i="1"/>
  <c r="GT31" i="1"/>
  <c r="GH31" i="1"/>
  <c r="FV31" i="1"/>
  <c r="FJ31" i="1"/>
  <c r="EX31" i="1"/>
  <c r="EL31" i="1"/>
  <c r="DZ31" i="1"/>
  <c r="DN31" i="1"/>
  <c r="DB31" i="1"/>
  <c r="CP31" i="1"/>
  <c r="CD31" i="1"/>
  <c r="BR31" i="1"/>
  <c r="IA31" i="1"/>
  <c r="EI31" i="1"/>
  <c r="AH31" i="1"/>
  <c r="G31" i="1"/>
  <c r="FS31" i="1"/>
  <c r="CA31" i="1"/>
  <c r="AT31" i="1"/>
  <c r="S31" i="1"/>
  <c r="HC31" i="1"/>
  <c r="DK31" i="1"/>
  <c r="BF31" i="1"/>
  <c r="AE31" i="1"/>
  <c r="IM31" i="1"/>
  <c r="EU31" i="1"/>
  <c r="AQ31" i="1"/>
  <c r="P31" i="1"/>
  <c r="GE31" i="1"/>
  <c r="CM31" i="1"/>
  <c r="BC31" i="1"/>
  <c r="AB31" i="1"/>
  <c r="HO31" i="1"/>
  <c r="DW31" i="1"/>
  <c r="AN31" i="1"/>
  <c r="IY31" i="1"/>
  <c r="FG31" i="1"/>
  <c r="BO31" i="1"/>
  <c r="AZ31" i="1"/>
  <c r="J31" i="1"/>
  <c r="GQ31" i="1"/>
  <c r="CY31" i="1"/>
  <c r="V31" i="1"/>
  <c r="BG31" i="48"/>
  <c r="AD33" i="48"/>
  <c r="I48" i="28"/>
  <c r="I45" i="28"/>
  <c r="E35" i="2"/>
  <c r="ES35" i="2" s="1"/>
  <c r="E39" i="2"/>
  <c r="ES39" i="2" s="1"/>
  <c r="I45" i="19"/>
  <c r="R23" i="48"/>
  <c r="I45" i="31"/>
  <c r="R11" i="48"/>
  <c r="AV13" i="48"/>
  <c r="AD13" i="48"/>
  <c r="E14" i="1"/>
  <c r="I13" i="48"/>
  <c r="J13" i="48"/>
  <c r="AJ13" i="48"/>
  <c r="E38" i="2"/>
  <c r="ES38" i="2" s="1"/>
  <c r="AU23" i="48"/>
  <c r="M24" i="48"/>
  <c r="BA24" i="48" s="1"/>
  <c r="AV22" i="48"/>
  <c r="E23" i="1"/>
  <c r="X22" i="48"/>
  <c r="AJ22" i="48"/>
  <c r="I22" i="48"/>
  <c r="J22" i="48"/>
  <c r="AD22" i="48"/>
  <c r="AP22" i="48"/>
  <c r="E30" i="2"/>
  <c r="ES30" i="2" s="1"/>
  <c r="I12" i="48"/>
  <c r="E13" i="1"/>
  <c r="AJ12" i="48"/>
  <c r="AD12" i="48"/>
  <c r="J12" i="48"/>
  <c r="AV12" i="48"/>
  <c r="AD15" i="48"/>
  <c r="E16" i="1"/>
  <c r="M16" i="1" s="1"/>
  <c r="AJ15" i="48"/>
  <c r="AV15" i="48"/>
  <c r="J15" i="48"/>
  <c r="I15" i="48"/>
  <c r="AP15" i="48"/>
  <c r="K34" i="6"/>
  <c r="AP13" i="48"/>
  <c r="E29" i="2"/>
  <c r="ES29" i="2" s="1"/>
  <c r="E31" i="2"/>
  <c r="ES31" i="2" s="1"/>
  <c r="E27" i="1"/>
  <c r="AJ26" i="48"/>
  <c r="X26" i="48"/>
  <c r="I26" i="48"/>
  <c r="AD26" i="48"/>
  <c r="AV26" i="48"/>
  <c r="J26" i="48"/>
  <c r="AP26" i="48"/>
  <c r="I48" i="19"/>
  <c r="I45" i="20"/>
  <c r="I48" i="20"/>
  <c r="K34" i="33"/>
  <c r="M7" i="33"/>
  <c r="M7" i="32" s="1"/>
  <c r="E39" i="31"/>
  <c r="K34" i="25"/>
  <c r="K34" i="22"/>
  <c r="K34" i="15"/>
  <c r="W84" i="55" s="1"/>
  <c r="X84" i="55" s="1"/>
  <c r="D38" i="31"/>
  <c r="D38" i="30" s="1"/>
  <c r="D53" i="32"/>
  <c r="E38" i="32"/>
  <c r="E53" i="32" s="1"/>
  <c r="E54" i="32" s="1"/>
  <c r="D52" i="26"/>
  <c r="E52" i="28"/>
  <c r="E50" i="31"/>
  <c r="E49" i="31"/>
  <c r="E47" i="31"/>
  <c r="E45" i="31"/>
  <c r="E43" i="31"/>
  <c r="E41" i="31"/>
  <c r="E48" i="31"/>
  <c r="E46" i="31"/>
  <c r="E42" i="31"/>
  <c r="J39" i="32"/>
  <c r="J37" i="31"/>
  <c r="J37" i="30" s="1"/>
  <c r="J39" i="30" s="1"/>
  <c r="J38" i="28"/>
  <c r="J57" i="19"/>
  <c r="J44" i="31"/>
  <c r="AA84" i="55" l="1"/>
  <c r="AB84" i="55" s="1"/>
  <c r="GE36" i="1"/>
  <c r="Y36" i="1"/>
  <c r="EL36" i="1"/>
  <c r="CD36" i="1"/>
  <c r="BX36" i="1"/>
  <c r="FA36" i="1"/>
  <c r="CJ36" i="1"/>
  <c r="GQ36" i="1"/>
  <c r="BF36" i="1"/>
  <c r="CS36" i="1"/>
  <c r="GB36" i="1"/>
  <c r="FM36" i="1"/>
  <c r="V36" i="1"/>
  <c r="JH36" i="1"/>
  <c r="HI36" i="1"/>
  <c r="AK36" i="1"/>
  <c r="G36" i="1"/>
  <c r="IP36" i="1"/>
  <c r="HF36" i="1"/>
  <c r="CM36" i="1"/>
  <c r="CP36" i="1"/>
  <c r="HU36" i="1"/>
  <c r="CY36" i="1"/>
  <c r="E32" i="2"/>
  <c r="ES32" i="2" s="1"/>
  <c r="DW21" i="1"/>
  <c r="EX32" i="1"/>
  <c r="HO21" i="1"/>
  <c r="GB32" i="1"/>
  <c r="CG21" i="1"/>
  <c r="BF21" i="1"/>
  <c r="FY21" i="1"/>
  <c r="EX21" i="1"/>
  <c r="P21" i="1"/>
  <c r="IP21" i="1"/>
  <c r="DH21" i="1"/>
  <c r="Z15" i="45"/>
  <c r="GZ21" i="1"/>
  <c r="O15" i="45"/>
  <c r="W84" i="46"/>
  <c r="W136" i="46" s="1"/>
  <c r="EU26" i="1"/>
  <c r="EF26" i="1"/>
  <c r="BC26" i="1"/>
  <c r="AN26" i="1"/>
  <c r="IM26" i="1"/>
  <c r="HX26" i="1"/>
  <c r="CD26" i="1"/>
  <c r="FV26" i="1"/>
  <c r="M26" i="1"/>
  <c r="DE26" i="1"/>
  <c r="CA26" i="1"/>
  <c r="FS26" i="1"/>
  <c r="J26" i="1"/>
  <c r="DB26" i="1"/>
  <c r="GT26" i="1"/>
  <c r="AK26" i="1"/>
  <c r="EC26" i="1"/>
  <c r="HU26" i="1"/>
  <c r="BL26" i="1"/>
  <c r="FD26" i="1"/>
  <c r="IV26" i="1"/>
  <c r="BO26" i="1"/>
  <c r="CP26" i="1"/>
  <c r="HI26" i="1"/>
  <c r="CM26" i="1"/>
  <c r="GE26" i="1"/>
  <c r="V26" i="1"/>
  <c r="DN26" i="1"/>
  <c r="HF26" i="1"/>
  <c r="AW26" i="1"/>
  <c r="EO26" i="1"/>
  <c r="IG26" i="1"/>
  <c r="BX26" i="1"/>
  <c r="FP26" i="1"/>
  <c r="JH26" i="1"/>
  <c r="IY26" i="1"/>
  <c r="DQ26" i="1"/>
  <c r="ER26" i="1"/>
  <c r="G26" i="1"/>
  <c r="CY26" i="1"/>
  <c r="GQ26" i="1"/>
  <c r="AH26" i="1"/>
  <c r="DZ26" i="1"/>
  <c r="HR26" i="1"/>
  <c r="BI26" i="1"/>
  <c r="FA26" i="1"/>
  <c r="IS26" i="1"/>
  <c r="CJ26" i="1"/>
  <c r="GB26" i="1"/>
  <c r="E26" i="2"/>
  <c r="ES26" i="2" s="1"/>
  <c r="S26" i="1"/>
  <c r="DK26" i="1"/>
  <c r="HC26" i="1"/>
  <c r="AT26" i="1"/>
  <c r="EL26" i="1"/>
  <c r="ID26" i="1"/>
  <c r="BU26" i="1"/>
  <c r="FM26" i="1"/>
  <c r="JE26" i="1"/>
  <c r="CV26" i="1"/>
  <c r="GN26" i="1"/>
  <c r="FG26" i="1"/>
  <c r="Y26" i="1"/>
  <c r="AZ26" i="1"/>
  <c r="AE26" i="1"/>
  <c r="DW26" i="1"/>
  <c r="HO26" i="1"/>
  <c r="BF26" i="1"/>
  <c r="EX26" i="1"/>
  <c r="IP26" i="1"/>
  <c r="CG26" i="1"/>
  <c r="FY26" i="1"/>
  <c r="P26" i="1"/>
  <c r="DH26" i="1"/>
  <c r="GZ26" i="1"/>
  <c r="GH26" i="1"/>
  <c r="IJ26" i="1"/>
  <c r="AQ26" i="1"/>
  <c r="EI26" i="1"/>
  <c r="IA26" i="1"/>
  <c r="BR26" i="1"/>
  <c r="FJ26" i="1"/>
  <c r="JB26" i="1"/>
  <c r="CS26" i="1"/>
  <c r="GK26" i="1"/>
  <c r="AB26" i="1"/>
  <c r="DT26" i="1"/>
  <c r="G15" i="45"/>
  <c r="AC15" i="45"/>
  <c r="S15" i="45"/>
  <c r="HR36" i="1"/>
  <c r="AZ36" i="1"/>
  <c r="FG36" i="1"/>
  <c r="AH36" i="1"/>
  <c r="FJ36" i="1"/>
  <c r="ER36" i="1"/>
  <c r="IJ36" i="1"/>
  <c r="BO36" i="1"/>
  <c r="IY36" i="1"/>
  <c r="J36" i="1"/>
  <c r="GT36" i="1"/>
  <c r="DE36" i="1"/>
  <c r="AW36" i="1"/>
  <c r="IG36" i="1"/>
  <c r="FY36" i="1"/>
  <c r="BL36" i="1"/>
  <c r="FD36" i="1"/>
  <c r="IV36" i="1"/>
  <c r="CA36" i="1"/>
  <c r="FS36" i="1"/>
  <c r="BU36" i="1"/>
  <c r="JE36" i="1"/>
  <c r="GH36" i="1"/>
  <c r="DZ36" i="1"/>
  <c r="BR36" i="1"/>
  <c r="JB36" i="1"/>
  <c r="CV36" i="1"/>
  <c r="GN36" i="1"/>
  <c r="S36" i="1"/>
  <c r="DK36" i="1"/>
  <c r="HC36" i="1"/>
  <c r="DB36" i="1"/>
  <c r="M36" i="1"/>
  <c r="GW36" i="1"/>
  <c r="EO36" i="1"/>
  <c r="CG36" i="1"/>
  <c r="P36" i="1"/>
  <c r="DH36" i="1"/>
  <c r="GZ36" i="1"/>
  <c r="AE36" i="1"/>
  <c r="DW36" i="1"/>
  <c r="HO36" i="1"/>
  <c r="DQ36" i="1"/>
  <c r="AT36" i="1"/>
  <c r="ID36" i="1"/>
  <c r="FV36" i="1"/>
  <c r="DN36" i="1"/>
  <c r="AB36" i="1"/>
  <c r="DT36" i="1"/>
  <c r="HL36" i="1"/>
  <c r="AQ36" i="1"/>
  <c r="EI36" i="1"/>
  <c r="IA36" i="1"/>
  <c r="W15" i="45"/>
  <c r="EX36" i="1"/>
  <c r="BI36" i="1"/>
  <c r="IS36" i="1"/>
  <c r="GK36" i="1"/>
  <c r="EC36" i="1"/>
  <c r="AN36" i="1"/>
  <c r="EF36" i="1"/>
  <c r="HX36" i="1"/>
  <c r="BC36" i="1"/>
  <c r="EU36" i="1"/>
  <c r="IM36" i="1"/>
  <c r="CS21" i="1"/>
  <c r="GK21" i="1"/>
  <c r="AB21" i="1"/>
  <c r="DT21" i="1"/>
  <c r="HL21" i="1"/>
  <c r="AQ21" i="1"/>
  <c r="EI21" i="1"/>
  <c r="IA21" i="1"/>
  <c r="BR21" i="1"/>
  <c r="FJ21" i="1"/>
  <c r="JB21" i="1"/>
  <c r="GH32" i="1"/>
  <c r="CY32" i="1"/>
  <c r="M21" i="1"/>
  <c r="DE21" i="1"/>
  <c r="GW21" i="1"/>
  <c r="AN21" i="1"/>
  <c r="EF21" i="1"/>
  <c r="HX21" i="1"/>
  <c r="BC21" i="1"/>
  <c r="EU21" i="1"/>
  <c r="IM21" i="1"/>
  <c r="CD21" i="1"/>
  <c r="FV21" i="1"/>
  <c r="HF32" i="1"/>
  <c r="GQ32" i="1"/>
  <c r="E21" i="2"/>
  <c r="ES21" i="2" s="1"/>
  <c r="Y21" i="1"/>
  <c r="DQ21" i="1"/>
  <c r="HI21" i="1"/>
  <c r="AZ21" i="1"/>
  <c r="ER21" i="1"/>
  <c r="IJ21" i="1"/>
  <c r="BO21" i="1"/>
  <c r="FG21" i="1"/>
  <c r="IY21" i="1"/>
  <c r="CP21" i="1"/>
  <c r="GH21" i="1"/>
  <c r="Y32" i="1"/>
  <c r="HU21" i="1"/>
  <c r="BI32" i="1"/>
  <c r="EC21" i="1"/>
  <c r="IV21" i="1"/>
  <c r="J21" i="1"/>
  <c r="AW21" i="1"/>
  <c r="EO21" i="1"/>
  <c r="IG21" i="1"/>
  <c r="BX21" i="1"/>
  <c r="FP21" i="1"/>
  <c r="JH21" i="1"/>
  <c r="CM21" i="1"/>
  <c r="GE21" i="1"/>
  <c r="V21" i="1"/>
  <c r="DN21" i="1"/>
  <c r="HF21" i="1"/>
  <c r="J32" i="1"/>
  <c r="EO32" i="1"/>
  <c r="AK21" i="1"/>
  <c r="FD21" i="1"/>
  <c r="CA21" i="1"/>
  <c r="DB21" i="1"/>
  <c r="BF32" i="1"/>
  <c r="BI21" i="1"/>
  <c r="FA21" i="1"/>
  <c r="IS21" i="1"/>
  <c r="CJ21" i="1"/>
  <c r="GB21" i="1"/>
  <c r="G21" i="1"/>
  <c r="CY21" i="1"/>
  <c r="GQ21" i="1"/>
  <c r="AH21" i="1"/>
  <c r="DZ21" i="1"/>
  <c r="HR21" i="1"/>
  <c r="BR32" i="1"/>
  <c r="IS32" i="1"/>
  <c r="BL21" i="1"/>
  <c r="FS21" i="1"/>
  <c r="GT21" i="1"/>
  <c r="BU21" i="1"/>
  <c r="FM21" i="1"/>
  <c r="JE21" i="1"/>
  <c r="CV21" i="1"/>
  <c r="GN21" i="1"/>
  <c r="S21" i="1"/>
  <c r="DK21" i="1"/>
  <c r="HC21" i="1"/>
  <c r="AT21" i="1"/>
  <c r="EL21" i="1"/>
  <c r="CP32" i="1"/>
  <c r="CJ32" i="1"/>
  <c r="P15" i="1"/>
  <c r="CP15" i="1"/>
  <c r="ER15" i="1"/>
  <c r="E15" i="2"/>
  <c r="ES15" i="2" s="1"/>
  <c r="GW15" i="1"/>
  <c r="FG15" i="1"/>
  <c r="GZ15" i="1"/>
  <c r="S15" i="1"/>
  <c r="IA15" i="1"/>
  <c r="AP33" i="48"/>
  <c r="AV33" i="48"/>
  <c r="BC15" i="1"/>
  <c r="AN15" i="1"/>
  <c r="E34" i="1"/>
  <c r="E34" i="2" s="1"/>
  <c r="ES34" i="2" s="1"/>
  <c r="X33" i="48"/>
  <c r="DK15" i="1"/>
  <c r="BU15" i="1"/>
  <c r="I33" i="48"/>
  <c r="HO15" i="1"/>
  <c r="DQ15" i="1"/>
  <c r="J33" i="48"/>
  <c r="AB15" i="1"/>
  <c r="JE15" i="1"/>
  <c r="IS15" i="1"/>
  <c r="BO15" i="1"/>
  <c r="CV15" i="1"/>
  <c r="AT15" i="1"/>
  <c r="HC15" i="1"/>
  <c r="DH15" i="1"/>
  <c r="EU15" i="1"/>
  <c r="GT15" i="1"/>
  <c r="IJ15" i="1"/>
  <c r="AZ15" i="1"/>
  <c r="CA15" i="1"/>
  <c r="EO15" i="1"/>
  <c r="BF15" i="1"/>
  <c r="IY15" i="1"/>
  <c r="Y15" i="1"/>
  <c r="IM15" i="1"/>
  <c r="HF15" i="1"/>
  <c r="IV15" i="1"/>
  <c r="DT15" i="1"/>
  <c r="CM15" i="1"/>
  <c r="GK15" i="1"/>
  <c r="BR15" i="1"/>
  <c r="BL15" i="1"/>
  <c r="AK15" i="1"/>
  <c r="FM15" i="1"/>
  <c r="HR15" i="1"/>
  <c r="G15" i="1"/>
  <c r="CY15" i="1"/>
  <c r="IG15" i="1"/>
  <c r="CD15" i="1"/>
  <c r="EI15" i="1"/>
  <c r="BI15" i="1"/>
  <c r="HI15" i="1"/>
  <c r="IP15" i="1"/>
  <c r="BX15" i="1"/>
  <c r="AE15" i="1"/>
  <c r="DW15" i="1"/>
  <c r="J15" i="1"/>
  <c r="DB15" i="1"/>
  <c r="EC15" i="1"/>
  <c r="CS15" i="1"/>
  <c r="DZ15" i="1"/>
  <c r="FD15" i="1"/>
  <c r="FA15" i="1"/>
  <c r="AQ15" i="1"/>
  <c r="FS15" i="1"/>
  <c r="V15" i="1"/>
  <c r="DN15" i="1"/>
  <c r="HU15" i="1"/>
  <c r="DE15" i="1"/>
  <c r="EX15" i="1"/>
  <c r="FP15" i="1"/>
  <c r="JH15" i="1"/>
  <c r="GB15" i="1"/>
  <c r="GQ15" i="1"/>
  <c r="EL15" i="1"/>
  <c r="ID15" i="1"/>
  <c r="GN15" i="1"/>
  <c r="CJ15" i="1"/>
  <c r="FJ15" i="1"/>
  <c r="JB15" i="1"/>
  <c r="HL15" i="1"/>
  <c r="FY15" i="1"/>
  <c r="CG15" i="1"/>
  <c r="GE15" i="1"/>
  <c r="FV15" i="1"/>
  <c r="EF15" i="1"/>
  <c r="HX15" i="1"/>
  <c r="BB23" i="48"/>
  <c r="C22" i="45"/>
  <c r="BB33" i="48"/>
  <c r="C32" i="45"/>
  <c r="AW15" i="1"/>
  <c r="S21" i="45"/>
  <c r="W21" i="45"/>
  <c r="O21" i="45"/>
  <c r="AC21" i="45"/>
  <c r="K21" i="45"/>
  <c r="G21" i="45"/>
  <c r="Z21" i="45"/>
  <c r="S25" i="45"/>
  <c r="W25" i="45"/>
  <c r="O25" i="45"/>
  <c r="K25" i="45"/>
  <c r="AC25" i="45"/>
  <c r="G25" i="45"/>
  <c r="Z25" i="45"/>
  <c r="S14" i="45"/>
  <c r="O14" i="45"/>
  <c r="K14" i="45"/>
  <c r="AC14" i="45"/>
  <c r="W14" i="45"/>
  <c r="G14" i="45"/>
  <c r="Z14" i="45"/>
  <c r="O30" i="45"/>
  <c r="S30" i="45"/>
  <c r="K30" i="45"/>
  <c r="W30" i="45"/>
  <c r="AC30" i="45"/>
  <c r="G30" i="45"/>
  <c r="Z30" i="45"/>
  <c r="S23" i="45"/>
  <c r="G23" i="45"/>
  <c r="W23" i="45"/>
  <c r="O23" i="45"/>
  <c r="AC23" i="45"/>
  <c r="K23" i="45"/>
  <c r="Z23" i="45"/>
  <c r="S24" i="45"/>
  <c r="O24" i="45"/>
  <c r="W24" i="45"/>
  <c r="K24" i="45"/>
  <c r="AC24" i="45"/>
  <c r="G24" i="45"/>
  <c r="Z24" i="45"/>
  <c r="W12" i="45"/>
  <c r="AC12" i="45"/>
  <c r="O12" i="45"/>
  <c r="G12" i="45"/>
  <c r="S12" i="45"/>
  <c r="K12" i="45"/>
  <c r="Z12" i="45"/>
  <c r="S11" i="45"/>
  <c r="AC11" i="45"/>
  <c r="K11" i="45"/>
  <c r="G11" i="45"/>
  <c r="W11" i="45"/>
  <c r="BB11" i="48"/>
  <c r="C10" i="45"/>
  <c r="BG24" i="48"/>
  <c r="BB24" i="48"/>
  <c r="V32" i="1"/>
  <c r="DN32" i="1"/>
  <c r="HR32" i="1"/>
  <c r="FA32" i="1"/>
  <c r="HL32" i="1"/>
  <c r="M13" i="1"/>
  <c r="AW13" i="1"/>
  <c r="CD32" i="1"/>
  <c r="DZ32" i="1"/>
  <c r="ID32" i="1"/>
  <c r="GK32" i="1"/>
  <c r="G32" i="1"/>
  <c r="AT32" i="1"/>
  <c r="EL32" i="1"/>
  <c r="JB32" i="1"/>
  <c r="IG32" i="1"/>
  <c r="AQ32" i="1"/>
  <c r="M14" i="1"/>
  <c r="AW14" i="1"/>
  <c r="DB32" i="1"/>
  <c r="FJ32" i="1"/>
  <c r="AW32" i="1"/>
  <c r="AB32" i="1"/>
  <c r="EI32" i="1"/>
  <c r="AH32" i="1"/>
  <c r="GT32" i="1"/>
  <c r="CS32" i="1"/>
  <c r="DT32" i="1"/>
  <c r="IA32" i="1"/>
  <c r="BU32" i="1"/>
  <c r="FM32" i="1"/>
  <c r="JE32" i="1"/>
  <c r="CV32" i="1"/>
  <c r="GN32" i="1"/>
  <c r="S32" i="1"/>
  <c r="DK32" i="1"/>
  <c r="HC32" i="1"/>
  <c r="I48" i="18"/>
  <c r="IP32" i="1"/>
  <c r="CG32" i="1"/>
  <c r="FY32" i="1"/>
  <c r="P32" i="1"/>
  <c r="DH32" i="1"/>
  <c r="GZ32" i="1"/>
  <c r="AE32" i="1"/>
  <c r="DW32" i="1"/>
  <c r="HO32" i="1"/>
  <c r="AV24" i="48"/>
  <c r="AJ24" i="48"/>
  <c r="FV32" i="1"/>
  <c r="M32" i="1"/>
  <c r="DE32" i="1"/>
  <c r="GW32" i="1"/>
  <c r="AN32" i="1"/>
  <c r="EF32" i="1"/>
  <c r="HX32" i="1"/>
  <c r="BC32" i="1"/>
  <c r="EU32" i="1"/>
  <c r="IM32" i="1"/>
  <c r="DQ32" i="1"/>
  <c r="HI32" i="1"/>
  <c r="AZ32" i="1"/>
  <c r="ER32" i="1"/>
  <c r="IJ32" i="1"/>
  <c r="BO32" i="1"/>
  <c r="FG32" i="1"/>
  <c r="IY32" i="1"/>
  <c r="AK32" i="1"/>
  <c r="EC32" i="1"/>
  <c r="HU32" i="1"/>
  <c r="BL32" i="1"/>
  <c r="FD32" i="1"/>
  <c r="IV32" i="1"/>
  <c r="CA32" i="1"/>
  <c r="FS32" i="1"/>
  <c r="BX32" i="1"/>
  <c r="FP32" i="1"/>
  <c r="JH32" i="1"/>
  <c r="CM32" i="1"/>
  <c r="M27" i="29"/>
  <c r="M27" i="27" s="1"/>
  <c r="M27" i="28" s="1"/>
  <c r="M27" i="26" s="1"/>
  <c r="M27" i="25" s="1"/>
  <c r="M27" i="24" s="1"/>
  <c r="M27" i="23" s="1"/>
  <c r="M27" i="21" s="1"/>
  <c r="M27" i="22" s="1"/>
  <c r="M27" i="20" s="1"/>
  <c r="M27" i="19" s="1"/>
  <c r="M27" i="18" s="1"/>
  <c r="M27" i="17" s="1"/>
  <c r="M27" i="16" s="1"/>
  <c r="M27" i="15" s="1"/>
  <c r="M27" i="14" s="1"/>
  <c r="M27" i="13" s="1"/>
  <c r="M27" i="12" s="1"/>
  <c r="M27" i="11" s="1"/>
  <c r="M27" i="10" s="1"/>
  <c r="M27" i="9" s="1"/>
  <c r="M27" i="8" s="1"/>
  <c r="M27" i="7" s="1"/>
  <c r="M27" i="6" s="1"/>
  <c r="M27" i="37" s="1"/>
  <c r="M27" i="4" s="1"/>
  <c r="M27" i="43" s="1"/>
  <c r="M22" i="29" s="1"/>
  <c r="M22" i="27" s="1"/>
  <c r="M22" i="28" s="1"/>
  <c r="M22" i="26" s="1"/>
  <c r="M22" i="25" s="1"/>
  <c r="M22" i="24" s="1"/>
  <c r="M22" i="23" s="1"/>
  <c r="M22" i="21" s="1"/>
  <c r="M22" i="22" s="1"/>
  <c r="M22" i="20" s="1"/>
  <c r="M22" i="19" s="1"/>
  <c r="M22" i="18" s="1"/>
  <c r="M22" i="17" s="1"/>
  <c r="M22" i="16" s="1"/>
  <c r="M22" i="15" s="1"/>
  <c r="M22" i="14" s="1"/>
  <c r="M22" i="13" s="1"/>
  <c r="M22" i="12" s="1"/>
  <c r="M22" i="11" s="1"/>
  <c r="M22" i="10" s="1"/>
  <c r="M22" i="9" s="1"/>
  <c r="M22" i="8" s="1"/>
  <c r="M22" i="7" s="1"/>
  <c r="M22" i="6" s="1"/>
  <c r="M22" i="37" s="1"/>
  <c r="M22" i="4" s="1"/>
  <c r="M22" i="43" s="1"/>
  <c r="M14" i="29" s="1"/>
  <c r="M14" i="27" s="1"/>
  <c r="M14" i="28" s="1"/>
  <c r="M14" i="26" s="1"/>
  <c r="M14" i="25" s="1"/>
  <c r="M14" i="24" s="1"/>
  <c r="M14" i="23" s="1"/>
  <c r="M14" i="21" s="1"/>
  <c r="M14" i="22" s="1"/>
  <c r="M14" i="20" s="1"/>
  <c r="M14" i="19" s="1"/>
  <c r="M14" i="18" s="1"/>
  <c r="J26" i="24"/>
  <c r="J26" i="23" s="1"/>
  <c r="J26" i="21" s="1"/>
  <c r="J26" i="22" s="1"/>
  <c r="J26" i="20" s="1"/>
  <c r="J26" i="19" s="1"/>
  <c r="J26" i="18" s="1"/>
  <c r="J26" i="17" s="1"/>
  <c r="J26" i="16" s="1"/>
  <c r="J26" i="15" s="1"/>
  <c r="J26" i="14" s="1"/>
  <c r="J26" i="13" s="1"/>
  <c r="J26" i="12" s="1"/>
  <c r="J26" i="11" s="1"/>
  <c r="J26" i="10" s="1"/>
  <c r="J26" i="9" s="1"/>
  <c r="J26" i="8" s="1"/>
  <c r="J26" i="7" s="1"/>
  <c r="J26" i="6" s="1"/>
  <c r="J26" i="37" s="1"/>
  <c r="J26" i="4" s="1"/>
  <c r="J26" i="43" s="1"/>
  <c r="M34" i="32"/>
  <c r="D53" i="30"/>
  <c r="E38" i="30"/>
  <c r="E53" i="30" s="1"/>
  <c r="E54" i="30" s="1"/>
  <c r="J16" i="18"/>
  <c r="J16" i="17" s="1"/>
  <c r="J16" i="16" s="1"/>
  <c r="J16" i="15" s="1"/>
  <c r="J16" i="14" s="1"/>
  <c r="J16" i="13" s="1"/>
  <c r="J13" i="12"/>
  <c r="J13" i="11" s="1"/>
  <c r="J13" i="10" s="1"/>
  <c r="J13" i="9" s="1"/>
  <c r="J13" i="8" s="1"/>
  <c r="J13" i="7" s="1"/>
  <c r="J13" i="6" s="1"/>
  <c r="J14" i="12"/>
  <c r="J14" i="11" s="1"/>
  <c r="J14" i="10" s="1"/>
  <c r="J14" i="9" s="1"/>
  <c r="J14" i="8" s="1"/>
  <c r="J14" i="7" s="1"/>
  <c r="J14" i="6" s="1"/>
  <c r="J15" i="18"/>
  <c r="J15" i="17" s="1"/>
  <c r="J15" i="16" s="1"/>
  <c r="J15" i="15" s="1"/>
  <c r="J15" i="14" s="1"/>
  <c r="J15" i="13" s="1"/>
  <c r="I40" i="6"/>
  <c r="R36" i="48" s="1"/>
  <c r="C35" i="45" s="1"/>
  <c r="X24" i="48"/>
  <c r="AD24" i="48"/>
  <c r="I24" i="48"/>
  <c r="I45" i="18"/>
  <c r="E25" i="1"/>
  <c r="JE25" i="1" s="1"/>
  <c r="AP24" i="48"/>
  <c r="J24" i="48"/>
  <c r="J12" i="7"/>
  <c r="J12" i="6" s="1"/>
  <c r="I40" i="15"/>
  <c r="R27" i="48" s="1"/>
  <c r="C26" i="45" s="1"/>
  <c r="J10" i="13"/>
  <c r="J10" i="12" s="1"/>
  <c r="J10" i="11" s="1"/>
  <c r="J10" i="10" s="1"/>
  <c r="J10" i="9" s="1"/>
  <c r="J10" i="8" s="1"/>
  <c r="J18" i="13"/>
  <c r="J18" i="12" s="1"/>
  <c r="J18" i="11" s="1"/>
  <c r="J18" i="10" s="1"/>
  <c r="J18" i="9" s="1"/>
  <c r="J18" i="8" s="1"/>
  <c r="J17" i="13"/>
  <c r="J8" i="13"/>
  <c r="J8" i="12" s="1"/>
  <c r="J8" i="11" s="1"/>
  <c r="J8" i="10" s="1"/>
  <c r="J8" i="9" s="1"/>
  <c r="J8" i="8" s="1"/>
  <c r="J11" i="13"/>
  <c r="J11" i="12" s="1"/>
  <c r="J11" i="11" s="1"/>
  <c r="J11" i="10" s="1"/>
  <c r="J11" i="9" s="1"/>
  <c r="J11" i="8" s="1"/>
  <c r="J19" i="13"/>
  <c r="J19" i="12" s="1"/>
  <c r="J19" i="11" s="1"/>
  <c r="J19" i="10" s="1"/>
  <c r="J19" i="9" s="1"/>
  <c r="J19" i="8" s="1"/>
  <c r="J19" i="7" s="1"/>
  <c r="J19" i="6" s="1"/>
  <c r="J28" i="11"/>
  <c r="J28" i="10" s="1"/>
  <c r="J28" i="9" s="1"/>
  <c r="J28" i="8" s="1"/>
  <c r="J28" i="7" s="1"/>
  <c r="J28" i="6" s="1"/>
  <c r="J28" i="37" s="1"/>
  <c r="J28" i="4" s="1"/>
  <c r="J28" i="43" s="1"/>
  <c r="J23" i="11"/>
  <c r="J23" i="10" s="1"/>
  <c r="J23" i="9" s="1"/>
  <c r="J23" i="8" s="1"/>
  <c r="J23" i="7" s="1"/>
  <c r="J23" i="6" s="1"/>
  <c r="J23" i="37" s="1"/>
  <c r="J23" i="4" s="1"/>
  <c r="J23" i="43" s="1"/>
  <c r="J27" i="11"/>
  <c r="J27" i="10" s="1"/>
  <c r="J27" i="9" s="1"/>
  <c r="J27" i="8" s="1"/>
  <c r="J27" i="7" s="1"/>
  <c r="J27" i="6" s="1"/>
  <c r="J27" i="37" s="1"/>
  <c r="J27" i="4" s="1"/>
  <c r="J27" i="43" s="1"/>
  <c r="J22" i="11"/>
  <c r="J22" i="10" s="1"/>
  <c r="J22" i="9" s="1"/>
  <c r="J22" i="8" s="1"/>
  <c r="J22" i="7" s="1"/>
  <c r="J22" i="6" s="1"/>
  <c r="J22" i="37" s="1"/>
  <c r="J22" i="4" s="1"/>
  <c r="J22" i="43" s="1"/>
  <c r="D44" i="29"/>
  <c r="E44" i="29" s="1"/>
  <c r="J44" i="29"/>
  <c r="J37" i="29"/>
  <c r="J39" i="29" s="1"/>
  <c r="D38" i="29"/>
  <c r="BG23" i="48"/>
  <c r="IY16" i="1"/>
  <c r="IM16" i="1"/>
  <c r="IA16" i="1"/>
  <c r="HO16" i="1"/>
  <c r="HC16" i="1"/>
  <c r="GQ16" i="1"/>
  <c r="GE16" i="1"/>
  <c r="FS16" i="1"/>
  <c r="FG16" i="1"/>
  <c r="EU16" i="1"/>
  <c r="EI16" i="1"/>
  <c r="DW16" i="1"/>
  <c r="DK16" i="1"/>
  <c r="CY16" i="1"/>
  <c r="CM16" i="1"/>
  <c r="CA16" i="1"/>
  <c r="BO16" i="1"/>
  <c r="BC16" i="1"/>
  <c r="AQ16" i="1"/>
  <c r="AE16" i="1"/>
  <c r="S16" i="1"/>
  <c r="G16" i="1"/>
  <c r="JH16" i="1"/>
  <c r="IV16" i="1"/>
  <c r="IJ16" i="1"/>
  <c r="HX16" i="1"/>
  <c r="HL16" i="1"/>
  <c r="GZ16" i="1"/>
  <c r="GN16" i="1"/>
  <c r="GB16" i="1"/>
  <c r="FP16" i="1"/>
  <c r="FD16" i="1"/>
  <c r="ER16" i="1"/>
  <c r="EF16" i="1"/>
  <c r="DT16" i="1"/>
  <c r="DH16" i="1"/>
  <c r="CV16" i="1"/>
  <c r="CJ16" i="1"/>
  <c r="BX16" i="1"/>
  <c r="BL16" i="1"/>
  <c r="AZ16" i="1"/>
  <c r="AN16" i="1"/>
  <c r="AB16" i="1"/>
  <c r="P16" i="1"/>
  <c r="JE16" i="1"/>
  <c r="IS16" i="1"/>
  <c r="IG16" i="1"/>
  <c r="HU16" i="1"/>
  <c r="HI16" i="1"/>
  <c r="GW16" i="1"/>
  <c r="GK16" i="1"/>
  <c r="FY16" i="1"/>
  <c r="FM16" i="1"/>
  <c r="FA16" i="1"/>
  <c r="EO16" i="1"/>
  <c r="EC16" i="1"/>
  <c r="DQ16" i="1"/>
  <c r="DE16" i="1"/>
  <c r="CS16" i="1"/>
  <c r="CG16" i="1"/>
  <c r="BU16" i="1"/>
  <c r="BI16" i="1"/>
  <c r="AW16" i="1"/>
  <c r="AK16" i="1"/>
  <c r="Y16" i="1"/>
  <c r="JB16" i="1"/>
  <c r="IP16" i="1"/>
  <c r="ID16" i="1"/>
  <c r="HR16" i="1"/>
  <c r="HF16" i="1"/>
  <c r="GT16" i="1"/>
  <c r="GH16" i="1"/>
  <c r="FV16" i="1"/>
  <c r="FJ16" i="1"/>
  <c r="EX16" i="1"/>
  <c r="EL16" i="1"/>
  <c r="DZ16" i="1"/>
  <c r="DN16" i="1"/>
  <c r="DB16" i="1"/>
  <c r="CP16" i="1"/>
  <c r="CD16" i="1"/>
  <c r="BR16" i="1"/>
  <c r="BF16" i="1"/>
  <c r="AT16" i="1"/>
  <c r="AH16" i="1"/>
  <c r="V16" i="1"/>
  <c r="J16" i="1"/>
  <c r="IY23" i="1"/>
  <c r="IM23" i="1"/>
  <c r="IA23" i="1"/>
  <c r="HO23" i="1"/>
  <c r="HC23" i="1"/>
  <c r="GQ23" i="1"/>
  <c r="GE23" i="1"/>
  <c r="FS23" i="1"/>
  <c r="FG23" i="1"/>
  <c r="EU23" i="1"/>
  <c r="EI23" i="1"/>
  <c r="DW23" i="1"/>
  <c r="DK23" i="1"/>
  <c r="CY23" i="1"/>
  <c r="CM23" i="1"/>
  <c r="CA23" i="1"/>
  <c r="BO23" i="1"/>
  <c r="BC23" i="1"/>
  <c r="AQ23" i="1"/>
  <c r="AE23" i="1"/>
  <c r="G23" i="1"/>
  <c r="JH23" i="1"/>
  <c r="IV23" i="1"/>
  <c r="IJ23" i="1"/>
  <c r="HX23" i="1"/>
  <c r="HL23" i="1"/>
  <c r="GZ23" i="1"/>
  <c r="GN23" i="1"/>
  <c r="GB23" i="1"/>
  <c r="FP23" i="1"/>
  <c r="FD23" i="1"/>
  <c r="ER23" i="1"/>
  <c r="EF23" i="1"/>
  <c r="DT23" i="1"/>
  <c r="DH23" i="1"/>
  <c r="CV23" i="1"/>
  <c r="CJ23" i="1"/>
  <c r="BX23" i="1"/>
  <c r="BL23" i="1"/>
  <c r="AZ23" i="1"/>
  <c r="AN23" i="1"/>
  <c r="AB23" i="1"/>
  <c r="P23" i="1"/>
  <c r="JE23" i="1"/>
  <c r="IS23" i="1"/>
  <c r="IG23" i="1"/>
  <c r="HU23" i="1"/>
  <c r="HI23" i="1"/>
  <c r="GW23" i="1"/>
  <c r="GK23" i="1"/>
  <c r="FY23" i="1"/>
  <c r="FM23" i="1"/>
  <c r="FA23" i="1"/>
  <c r="EO23" i="1"/>
  <c r="EC23" i="1"/>
  <c r="DQ23" i="1"/>
  <c r="DE23" i="1"/>
  <c r="CS23" i="1"/>
  <c r="CG23" i="1"/>
  <c r="BU23" i="1"/>
  <c r="BI23" i="1"/>
  <c r="AW23" i="1"/>
  <c r="AK23" i="1"/>
  <c r="Y23" i="1"/>
  <c r="M23" i="1"/>
  <c r="JB23" i="1"/>
  <c r="IP23" i="1"/>
  <c r="ID23" i="1"/>
  <c r="HR23" i="1"/>
  <c r="HF23" i="1"/>
  <c r="GT23" i="1"/>
  <c r="GH23" i="1"/>
  <c r="FV23" i="1"/>
  <c r="FJ23" i="1"/>
  <c r="EX23" i="1"/>
  <c r="EL23" i="1"/>
  <c r="DZ23" i="1"/>
  <c r="DN23" i="1"/>
  <c r="DB23" i="1"/>
  <c r="CP23" i="1"/>
  <c r="CD23" i="1"/>
  <c r="BR23" i="1"/>
  <c r="BF23" i="1"/>
  <c r="AT23" i="1"/>
  <c r="AH23" i="1"/>
  <c r="V23" i="1"/>
  <c r="J23" i="1"/>
  <c r="JB14" i="1"/>
  <c r="IP14" i="1"/>
  <c r="ID14" i="1"/>
  <c r="HR14" i="1"/>
  <c r="HF14" i="1"/>
  <c r="GT14" i="1"/>
  <c r="GH14" i="1"/>
  <c r="FV14" i="1"/>
  <c r="FJ14" i="1"/>
  <c r="EX14" i="1"/>
  <c r="EL14" i="1"/>
  <c r="DZ14" i="1"/>
  <c r="DN14" i="1"/>
  <c r="DB14" i="1"/>
  <c r="CP14" i="1"/>
  <c r="CD14" i="1"/>
  <c r="BR14" i="1"/>
  <c r="BF14" i="1"/>
  <c r="AT14" i="1"/>
  <c r="AH14" i="1"/>
  <c r="V14" i="1"/>
  <c r="J14" i="1"/>
  <c r="IY14" i="1"/>
  <c r="IM14" i="1"/>
  <c r="IA14" i="1"/>
  <c r="HO14" i="1"/>
  <c r="HC14" i="1"/>
  <c r="GQ14" i="1"/>
  <c r="GE14" i="1"/>
  <c r="FS14" i="1"/>
  <c r="FG14" i="1"/>
  <c r="EU14" i="1"/>
  <c r="EI14" i="1"/>
  <c r="DW14" i="1"/>
  <c r="DK14" i="1"/>
  <c r="CY14" i="1"/>
  <c r="CM14" i="1"/>
  <c r="CA14" i="1"/>
  <c r="BO14" i="1"/>
  <c r="BC14" i="1"/>
  <c r="AQ14" i="1"/>
  <c r="AE14" i="1"/>
  <c r="S14" i="1"/>
  <c r="G14" i="1"/>
  <c r="JH14" i="1"/>
  <c r="IV14" i="1"/>
  <c r="IJ14" i="1"/>
  <c r="HX14" i="1"/>
  <c r="HL14" i="1"/>
  <c r="GZ14" i="1"/>
  <c r="GN14" i="1"/>
  <c r="GB14" i="1"/>
  <c r="FP14" i="1"/>
  <c r="FD14" i="1"/>
  <c r="ER14" i="1"/>
  <c r="EF14" i="1"/>
  <c r="DT14" i="1"/>
  <c r="DH14" i="1"/>
  <c r="CV14" i="1"/>
  <c r="CJ14" i="1"/>
  <c r="BX14" i="1"/>
  <c r="BL14" i="1"/>
  <c r="AZ14" i="1"/>
  <c r="AN14" i="1"/>
  <c r="AB14" i="1"/>
  <c r="P14" i="1"/>
  <c r="JE14" i="1"/>
  <c r="IS14" i="1"/>
  <c r="IG14" i="1"/>
  <c r="HU14" i="1"/>
  <c r="HI14" i="1"/>
  <c r="GW14" i="1"/>
  <c r="GK14" i="1"/>
  <c r="FY14" i="1"/>
  <c r="FM14" i="1"/>
  <c r="FA14" i="1"/>
  <c r="EO14" i="1"/>
  <c r="EC14" i="1"/>
  <c r="DQ14" i="1"/>
  <c r="DE14" i="1"/>
  <c r="CS14" i="1"/>
  <c r="CG14" i="1"/>
  <c r="BU14" i="1"/>
  <c r="BI14" i="1"/>
  <c r="AK14" i="1"/>
  <c r="Y14" i="1"/>
  <c r="IY27" i="1"/>
  <c r="IM27" i="1"/>
  <c r="IA27" i="1"/>
  <c r="HO27" i="1"/>
  <c r="HC27" i="1"/>
  <c r="GQ27" i="1"/>
  <c r="GE27" i="1"/>
  <c r="FS27" i="1"/>
  <c r="FG27" i="1"/>
  <c r="EU27" i="1"/>
  <c r="EI27" i="1"/>
  <c r="DW27" i="1"/>
  <c r="DK27" i="1"/>
  <c r="CY27" i="1"/>
  <c r="CM27" i="1"/>
  <c r="CA27" i="1"/>
  <c r="BO27" i="1"/>
  <c r="BC27" i="1"/>
  <c r="AQ27" i="1"/>
  <c r="AE27" i="1"/>
  <c r="S27" i="1"/>
  <c r="G27" i="1"/>
  <c r="JH27" i="1"/>
  <c r="IV27" i="1"/>
  <c r="IJ27" i="1"/>
  <c r="HX27" i="1"/>
  <c r="HL27" i="1"/>
  <c r="GZ27" i="1"/>
  <c r="GN27" i="1"/>
  <c r="GB27" i="1"/>
  <c r="FP27" i="1"/>
  <c r="FD27" i="1"/>
  <c r="ER27" i="1"/>
  <c r="EF27" i="1"/>
  <c r="DT27" i="1"/>
  <c r="JE27" i="1"/>
  <c r="IS27" i="1"/>
  <c r="IG27" i="1"/>
  <c r="HU27" i="1"/>
  <c r="HI27" i="1"/>
  <c r="GW27" i="1"/>
  <c r="GK27" i="1"/>
  <c r="FY27" i="1"/>
  <c r="FM27" i="1"/>
  <c r="FA27" i="1"/>
  <c r="EO27" i="1"/>
  <c r="EC27" i="1"/>
  <c r="DQ27" i="1"/>
  <c r="DE27" i="1"/>
  <c r="CS27" i="1"/>
  <c r="CG27" i="1"/>
  <c r="BU27" i="1"/>
  <c r="BI27" i="1"/>
  <c r="AW27" i="1"/>
  <c r="AK27" i="1"/>
  <c r="Y27" i="1"/>
  <c r="M27" i="1"/>
  <c r="JB27" i="1"/>
  <c r="IP27" i="1"/>
  <c r="ID27" i="1"/>
  <c r="HR27" i="1"/>
  <c r="HF27" i="1"/>
  <c r="GT27" i="1"/>
  <c r="GH27" i="1"/>
  <c r="FV27" i="1"/>
  <c r="FJ27" i="1"/>
  <c r="EX27" i="1"/>
  <c r="EL27" i="1"/>
  <c r="CJ27" i="1"/>
  <c r="AN27" i="1"/>
  <c r="DN27" i="1"/>
  <c r="BR27" i="1"/>
  <c r="V27" i="1"/>
  <c r="CV27" i="1"/>
  <c r="AZ27" i="1"/>
  <c r="CD27" i="1"/>
  <c r="AH27" i="1"/>
  <c r="DZ27" i="1"/>
  <c r="DH27" i="1"/>
  <c r="BL27" i="1"/>
  <c r="P27" i="1"/>
  <c r="CP27" i="1"/>
  <c r="AT27" i="1"/>
  <c r="BX27" i="1"/>
  <c r="AB27" i="1"/>
  <c r="DB27" i="1"/>
  <c r="BF27" i="1"/>
  <c r="J27" i="1"/>
  <c r="EI13" i="1"/>
  <c r="JH13" i="1"/>
  <c r="IV13" i="1"/>
  <c r="IJ13" i="1"/>
  <c r="HX13" i="1"/>
  <c r="HL13" i="1"/>
  <c r="GZ13" i="1"/>
  <c r="GN13" i="1"/>
  <c r="GB13" i="1"/>
  <c r="FP13" i="1"/>
  <c r="FD13" i="1"/>
  <c r="ER13" i="1"/>
  <c r="EF13" i="1"/>
  <c r="DT13" i="1"/>
  <c r="DH13" i="1"/>
  <c r="CV13" i="1"/>
  <c r="CJ13" i="1"/>
  <c r="BX13" i="1"/>
  <c r="BL13" i="1"/>
  <c r="AZ13" i="1"/>
  <c r="AN13" i="1"/>
  <c r="AB13" i="1"/>
  <c r="P13" i="1"/>
  <c r="IM13" i="1"/>
  <c r="GQ13" i="1"/>
  <c r="FS13" i="1"/>
  <c r="DK13" i="1"/>
  <c r="BC13" i="1"/>
  <c r="G13" i="1"/>
  <c r="CY13" i="1"/>
  <c r="S13" i="1"/>
  <c r="JE13" i="1"/>
  <c r="IS13" i="1"/>
  <c r="IG13" i="1"/>
  <c r="HU13" i="1"/>
  <c r="HI13" i="1"/>
  <c r="GW13" i="1"/>
  <c r="GK13" i="1"/>
  <c r="FY13" i="1"/>
  <c r="FM13" i="1"/>
  <c r="FA13" i="1"/>
  <c r="EO13" i="1"/>
  <c r="EC13" i="1"/>
  <c r="DQ13" i="1"/>
  <c r="DE13" i="1"/>
  <c r="CS13" i="1"/>
  <c r="CG13" i="1"/>
  <c r="BU13" i="1"/>
  <c r="BI13" i="1"/>
  <c r="AK13" i="1"/>
  <c r="Y13" i="1"/>
  <c r="HO13" i="1"/>
  <c r="CA13" i="1"/>
  <c r="HC13" i="1"/>
  <c r="DW13" i="1"/>
  <c r="AQ13" i="1"/>
  <c r="JB13" i="1"/>
  <c r="IP13" i="1"/>
  <c r="ID13" i="1"/>
  <c r="HR13" i="1"/>
  <c r="HF13" i="1"/>
  <c r="GT13" i="1"/>
  <c r="GH13" i="1"/>
  <c r="FV13" i="1"/>
  <c r="FJ13" i="1"/>
  <c r="EX13" i="1"/>
  <c r="EL13" i="1"/>
  <c r="DZ13" i="1"/>
  <c r="DN13" i="1"/>
  <c r="DB13" i="1"/>
  <c r="CP13" i="1"/>
  <c r="CD13" i="1"/>
  <c r="BR13" i="1"/>
  <c r="BF13" i="1"/>
  <c r="AT13" i="1"/>
  <c r="AH13" i="1"/>
  <c r="V13" i="1"/>
  <c r="J13" i="1"/>
  <c r="IA13" i="1"/>
  <c r="GE13" i="1"/>
  <c r="EU13" i="1"/>
  <c r="CM13" i="1"/>
  <c r="AE13" i="1"/>
  <c r="IY13" i="1"/>
  <c r="FG13" i="1"/>
  <c r="BO13" i="1"/>
  <c r="BG11" i="48"/>
  <c r="ID34" i="1"/>
  <c r="EL34" i="1"/>
  <c r="CS34" i="1"/>
  <c r="IV34" i="1"/>
  <c r="FP34" i="1"/>
  <c r="AT34" i="1"/>
  <c r="JE34" i="1"/>
  <c r="CA34" i="1"/>
  <c r="GZ34" i="1"/>
  <c r="DH34" i="1"/>
  <c r="P34" i="1"/>
  <c r="D54" i="32"/>
  <c r="AA6" i="46"/>
  <c r="E13" i="2"/>
  <c r="ES13" i="2" s="1"/>
  <c r="E12" i="1"/>
  <c r="AV11" i="48"/>
  <c r="I11" i="48"/>
  <c r="AD11" i="48"/>
  <c r="J11" i="48"/>
  <c r="AJ11" i="48"/>
  <c r="E16" i="2"/>
  <c r="ES16" i="2" s="1"/>
  <c r="AU24" i="48"/>
  <c r="M25" i="48"/>
  <c r="BA25" i="48" s="1"/>
  <c r="E27" i="2"/>
  <c r="ES27" i="2" s="1"/>
  <c r="E14" i="2"/>
  <c r="ES14" i="2" s="1"/>
  <c r="E23" i="2"/>
  <c r="ES23" i="2" s="1"/>
  <c r="AJ23" i="48"/>
  <c r="E24" i="1"/>
  <c r="I23" i="48"/>
  <c r="AV23" i="48"/>
  <c r="AD23" i="48"/>
  <c r="X23" i="48"/>
  <c r="J23" i="48"/>
  <c r="AP23" i="48"/>
  <c r="I40" i="22"/>
  <c r="R21" i="48" s="1"/>
  <c r="I40" i="25"/>
  <c r="R17" i="48" s="1"/>
  <c r="M34" i="33"/>
  <c r="J40" i="33" s="1"/>
  <c r="I40" i="33"/>
  <c r="R9" i="48" s="1"/>
  <c r="BB9" i="48" s="1"/>
  <c r="D39" i="27"/>
  <c r="D52" i="25"/>
  <c r="E52" i="26"/>
  <c r="D40" i="27"/>
  <c r="D53" i="31"/>
  <c r="D54" i="31" s="1"/>
  <c r="E38" i="31"/>
  <c r="E53" i="31" s="1"/>
  <c r="E54" i="31" s="1"/>
  <c r="D51" i="27"/>
  <c r="J39" i="31"/>
  <c r="J56" i="27"/>
  <c r="J57" i="18"/>
  <c r="J38" i="26"/>
  <c r="AE25" i="1" l="1"/>
  <c r="W136" i="55"/>
  <c r="AA84" i="46"/>
  <c r="AB84" i="46" s="1"/>
  <c r="X84" i="46"/>
  <c r="CG25" i="1"/>
  <c r="DH25" i="1"/>
  <c r="GZ25" i="1"/>
  <c r="FY25" i="1"/>
  <c r="DW25" i="1"/>
  <c r="HO25" i="1"/>
  <c r="BF25" i="1"/>
  <c r="EX25" i="1"/>
  <c r="P25" i="1"/>
  <c r="IP25" i="1"/>
  <c r="IA34" i="1"/>
  <c r="IP34" i="1"/>
  <c r="DT34" i="1"/>
  <c r="M34" i="1"/>
  <c r="I36" i="48"/>
  <c r="I48" i="6"/>
  <c r="AN34" i="1"/>
  <c r="EU34" i="1"/>
  <c r="G34" i="1"/>
  <c r="CY34" i="1"/>
  <c r="GB34" i="1"/>
  <c r="BR34" i="1"/>
  <c r="IG34" i="1"/>
  <c r="Y34" i="1"/>
  <c r="DQ34" i="1"/>
  <c r="FJ34" i="1"/>
  <c r="JB34" i="1"/>
  <c r="AB34" i="1"/>
  <c r="BF34" i="1"/>
  <c r="EF34" i="1"/>
  <c r="AZ34" i="1"/>
  <c r="GK34" i="1"/>
  <c r="S34" i="1"/>
  <c r="DK34" i="1"/>
  <c r="HC34" i="1"/>
  <c r="CD34" i="1"/>
  <c r="JH34" i="1"/>
  <c r="AK34" i="1"/>
  <c r="ER34" i="1"/>
  <c r="FV34" i="1"/>
  <c r="FG34" i="1"/>
  <c r="BL34" i="1"/>
  <c r="HL34" i="1"/>
  <c r="AE34" i="1"/>
  <c r="DW34" i="1"/>
  <c r="IS34" i="1"/>
  <c r="CP34" i="1"/>
  <c r="EC34" i="1"/>
  <c r="AW34" i="1"/>
  <c r="FS34" i="1"/>
  <c r="GH34" i="1"/>
  <c r="CM34" i="1"/>
  <c r="DE34" i="1"/>
  <c r="GW34" i="1"/>
  <c r="BX34" i="1"/>
  <c r="IM34" i="1"/>
  <c r="AQ34" i="1"/>
  <c r="FM34" i="1"/>
  <c r="J34" i="1"/>
  <c r="DB34" i="1"/>
  <c r="FD34" i="1"/>
  <c r="BI34" i="1"/>
  <c r="HI34" i="1"/>
  <c r="GT34" i="1"/>
  <c r="J36" i="48"/>
  <c r="FA34" i="1"/>
  <c r="EX34" i="1"/>
  <c r="HX34" i="1"/>
  <c r="CJ34" i="1"/>
  <c r="EI34" i="1"/>
  <c r="BC34" i="1"/>
  <c r="GN34" i="1"/>
  <c r="V34" i="1"/>
  <c r="DN34" i="1"/>
  <c r="GE34" i="1"/>
  <c r="BU34" i="1"/>
  <c r="IJ34" i="1"/>
  <c r="HF34" i="1"/>
  <c r="GQ34" i="1"/>
  <c r="IY34" i="1"/>
  <c r="CV34" i="1"/>
  <c r="FY34" i="1"/>
  <c r="BO34" i="1"/>
  <c r="HO34" i="1"/>
  <c r="AH34" i="1"/>
  <c r="EO34" i="1"/>
  <c r="HU34" i="1"/>
  <c r="CG34" i="1"/>
  <c r="DZ34" i="1"/>
  <c r="HR34" i="1"/>
  <c r="AV27" i="48"/>
  <c r="BG27" i="48"/>
  <c r="AJ27" i="48"/>
  <c r="AB25" i="1"/>
  <c r="DT25" i="1"/>
  <c r="HL25" i="1"/>
  <c r="AQ25" i="1"/>
  <c r="EI25" i="1"/>
  <c r="IA25" i="1"/>
  <c r="BR25" i="1"/>
  <c r="FJ25" i="1"/>
  <c r="JB25" i="1"/>
  <c r="CS25" i="1"/>
  <c r="GK25" i="1"/>
  <c r="BB17" i="48"/>
  <c r="C16" i="45"/>
  <c r="AN25" i="1"/>
  <c r="EF25" i="1"/>
  <c r="HX25" i="1"/>
  <c r="BC25" i="1"/>
  <c r="EU25" i="1"/>
  <c r="IM25" i="1"/>
  <c r="CD25" i="1"/>
  <c r="FV25" i="1"/>
  <c r="M25" i="1"/>
  <c r="DE25" i="1"/>
  <c r="GW25" i="1"/>
  <c r="BB21" i="48"/>
  <c r="C20" i="45"/>
  <c r="E25" i="2"/>
  <c r="ES25" i="2" s="1"/>
  <c r="AZ25" i="1"/>
  <c r="ER25" i="1"/>
  <c r="IJ25" i="1"/>
  <c r="BO25" i="1"/>
  <c r="FG25" i="1"/>
  <c r="IY25" i="1"/>
  <c r="CP25" i="1"/>
  <c r="GH25" i="1"/>
  <c r="Y25" i="1"/>
  <c r="DQ25" i="1"/>
  <c r="HI25" i="1"/>
  <c r="BL25" i="1"/>
  <c r="FD25" i="1"/>
  <c r="IV25" i="1"/>
  <c r="CA25" i="1"/>
  <c r="FS25" i="1"/>
  <c r="J25" i="1"/>
  <c r="DB25" i="1"/>
  <c r="GT25" i="1"/>
  <c r="AK25" i="1"/>
  <c r="EC25" i="1"/>
  <c r="HU25" i="1"/>
  <c r="AC26" i="45"/>
  <c r="S26" i="45"/>
  <c r="O26" i="45"/>
  <c r="W26" i="45"/>
  <c r="K26" i="45"/>
  <c r="G26" i="45"/>
  <c r="Z26" i="45"/>
  <c r="S32" i="45"/>
  <c r="AC32" i="45"/>
  <c r="G32" i="45"/>
  <c r="O32" i="45"/>
  <c r="W32" i="45"/>
  <c r="K32" i="45"/>
  <c r="Z32" i="45"/>
  <c r="BX25" i="1"/>
  <c r="FP25" i="1"/>
  <c r="JH25" i="1"/>
  <c r="CM25" i="1"/>
  <c r="GE25" i="1"/>
  <c r="V25" i="1"/>
  <c r="DN25" i="1"/>
  <c r="HF25" i="1"/>
  <c r="AW25" i="1"/>
  <c r="EO25" i="1"/>
  <c r="IG25" i="1"/>
  <c r="S35" i="45"/>
  <c r="AC35" i="45"/>
  <c r="K35" i="45"/>
  <c r="G35" i="45"/>
  <c r="W35" i="45"/>
  <c r="O35" i="45"/>
  <c r="Z35" i="45"/>
  <c r="CJ25" i="1"/>
  <c r="GB25" i="1"/>
  <c r="G25" i="1"/>
  <c r="CY25" i="1"/>
  <c r="GQ25" i="1"/>
  <c r="AH25" i="1"/>
  <c r="DZ25" i="1"/>
  <c r="HR25" i="1"/>
  <c r="BI25" i="1"/>
  <c r="FA25" i="1"/>
  <c r="IS25" i="1"/>
  <c r="S22" i="45"/>
  <c r="AC22" i="45"/>
  <c r="K22" i="45"/>
  <c r="G22" i="45"/>
  <c r="O22" i="45"/>
  <c r="W22" i="45"/>
  <c r="Z22" i="45"/>
  <c r="CV25" i="1"/>
  <c r="GN25" i="1"/>
  <c r="S25" i="1"/>
  <c r="DK25" i="1"/>
  <c r="HC25" i="1"/>
  <c r="AT25" i="1"/>
  <c r="EL25" i="1"/>
  <c r="ID25" i="1"/>
  <c r="BU25" i="1"/>
  <c r="FM25" i="1"/>
  <c r="S10" i="45"/>
  <c r="K10" i="45"/>
  <c r="G10" i="45"/>
  <c r="W10" i="45"/>
  <c r="AC10" i="45"/>
  <c r="AP27" i="48"/>
  <c r="BB27" i="48"/>
  <c r="BB36" i="48"/>
  <c r="I45" i="6"/>
  <c r="M12" i="1"/>
  <c r="AW12" i="1"/>
  <c r="D54" i="30"/>
  <c r="J25" i="27"/>
  <c r="J25" i="28" s="1"/>
  <c r="J25" i="26" s="1"/>
  <c r="M14" i="17"/>
  <c r="M14" i="16" s="1"/>
  <c r="M14" i="15" s="1"/>
  <c r="M14" i="14" s="1"/>
  <c r="M14" i="13" s="1"/>
  <c r="M14" i="12" s="1"/>
  <c r="M14" i="11" s="1"/>
  <c r="M14" i="10" s="1"/>
  <c r="M14" i="9" s="1"/>
  <c r="M14" i="8" s="1"/>
  <c r="M14" i="7" s="1"/>
  <c r="M14" i="6" s="1"/>
  <c r="M14" i="37" s="1"/>
  <c r="M14" i="4" s="1"/>
  <c r="M14" i="43" s="1"/>
  <c r="J15" i="12"/>
  <c r="J15" i="11" s="1"/>
  <c r="J15" i="10" s="1"/>
  <c r="J15" i="9" s="1"/>
  <c r="J15" i="8" s="1"/>
  <c r="J15" i="7" s="1"/>
  <c r="J15" i="6" s="1"/>
  <c r="J16" i="12"/>
  <c r="J16" i="11" s="1"/>
  <c r="J16" i="10" s="1"/>
  <c r="J16" i="9" s="1"/>
  <c r="J16" i="8" s="1"/>
  <c r="J16" i="7" s="1"/>
  <c r="J16" i="6" s="1"/>
  <c r="J17" i="12"/>
  <c r="J17" i="11" s="1"/>
  <c r="J17" i="10" s="1"/>
  <c r="J17" i="9" s="1"/>
  <c r="J17" i="8" s="1"/>
  <c r="J17" i="7" s="1"/>
  <c r="J17" i="6" s="1"/>
  <c r="AV36" i="48"/>
  <c r="AJ36" i="48"/>
  <c r="BG36" i="48"/>
  <c r="AP36" i="48"/>
  <c r="AD36" i="48"/>
  <c r="E37" i="1"/>
  <c r="JE37" i="1" s="1"/>
  <c r="J27" i="48"/>
  <c r="I48" i="15"/>
  <c r="I27" i="48"/>
  <c r="I45" i="15"/>
  <c r="AD27" i="48"/>
  <c r="E28" i="1"/>
  <c r="HR28" i="1" s="1"/>
  <c r="X27" i="48"/>
  <c r="J10" i="7"/>
  <c r="J10" i="6" s="1"/>
  <c r="J10" i="37" s="1"/>
  <c r="J19" i="37"/>
  <c r="J19" i="4" s="1"/>
  <c r="J19" i="43" s="1"/>
  <c r="J14" i="37"/>
  <c r="J14" i="4" s="1"/>
  <c r="J14" i="43" s="1"/>
  <c r="J11" i="7"/>
  <c r="J11" i="6" s="1"/>
  <c r="J11" i="37" s="1"/>
  <c r="J12" i="37"/>
  <c r="J12" i="4" s="1"/>
  <c r="J12" i="43" s="1"/>
  <c r="J8" i="7"/>
  <c r="J8" i="6" s="1"/>
  <c r="J13" i="37"/>
  <c r="J13" i="4" s="1"/>
  <c r="J13" i="43" s="1"/>
  <c r="J18" i="7"/>
  <c r="J18" i="6" s="1"/>
  <c r="D53" i="29"/>
  <c r="E38" i="29"/>
  <c r="E53" i="29" s="1"/>
  <c r="E54" i="29" s="1"/>
  <c r="BG17" i="48"/>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H24" i="1"/>
  <c r="IV24" i="1"/>
  <c r="IJ24" i="1"/>
  <c r="HX24" i="1"/>
  <c r="HL24" i="1"/>
  <c r="GZ24" i="1"/>
  <c r="GN24" i="1"/>
  <c r="GB24" i="1"/>
  <c r="FP24" i="1"/>
  <c r="FD24" i="1"/>
  <c r="ER24" i="1"/>
  <c r="EF24" i="1"/>
  <c r="DT24" i="1"/>
  <c r="DH24" i="1"/>
  <c r="CV24" i="1"/>
  <c r="CJ24" i="1"/>
  <c r="BX24" i="1"/>
  <c r="BL24" i="1"/>
  <c r="AZ24" i="1"/>
  <c r="AN24" i="1"/>
  <c r="AB24" i="1"/>
  <c r="P24" i="1"/>
  <c r="JE24" i="1"/>
  <c r="IS24" i="1"/>
  <c r="IG24" i="1"/>
  <c r="HU24" i="1"/>
  <c r="HI24" i="1"/>
  <c r="GW24" i="1"/>
  <c r="GK24" i="1"/>
  <c r="FY24" i="1"/>
  <c r="FM24" i="1"/>
  <c r="FA24" i="1"/>
  <c r="EO24" i="1"/>
  <c r="EC24" i="1"/>
  <c r="DQ24" i="1"/>
  <c r="DE24" i="1"/>
  <c r="CS24" i="1"/>
  <c r="CG24" i="1"/>
  <c r="BU24" i="1"/>
  <c r="BI24" i="1"/>
  <c r="AW24" i="1"/>
  <c r="AK24" i="1"/>
  <c r="Y24" i="1"/>
  <c r="M24" i="1"/>
  <c r="JE12" i="1"/>
  <c r="IS12" i="1"/>
  <c r="IG12" i="1"/>
  <c r="HU12" i="1"/>
  <c r="HI12" i="1"/>
  <c r="GW12" i="1"/>
  <c r="GK12" i="1"/>
  <c r="FY12" i="1"/>
  <c r="FM12" i="1"/>
  <c r="FA12" i="1"/>
  <c r="EO12" i="1"/>
  <c r="EC12" i="1"/>
  <c r="DQ12" i="1"/>
  <c r="DE12" i="1"/>
  <c r="CS12" i="1"/>
  <c r="CG12" i="1"/>
  <c r="BU12" i="1"/>
  <c r="BI12" i="1"/>
  <c r="AK12" i="1"/>
  <c r="Y12" i="1"/>
  <c r="JB12" i="1"/>
  <c r="IP12" i="1"/>
  <c r="ID12" i="1"/>
  <c r="HR12" i="1"/>
  <c r="HF12" i="1"/>
  <c r="GT12" i="1"/>
  <c r="GH12" i="1"/>
  <c r="FV12" i="1"/>
  <c r="FJ12" i="1"/>
  <c r="EX12" i="1"/>
  <c r="EL12" i="1"/>
  <c r="DZ12" i="1"/>
  <c r="DN12" i="1"/>
  <c r="DB12" i="1"/>
  <c r="CP12" i="1"/>
  <c r="CD12" i="1"/>
  <c r="BR12" i="1"/>
  <c r="BF12" i="1"/>
  <c r="AT12" i="1"/>
  <c r="AH12" i="1"/>
  <c r="V12" i="1"/>
  <c r="J12" i="1"/>
  <c r="IY12" i="1"/>
  <c r="IM12" i="1"/>
  <c r="IA12" i="1"/>
  <c r="HO12" i="1"/>
  <c r="HC12" i="1"/>
  <c r="GQ12" i="1"/>
  <c r="GE12" i="1"/>
  <c r="FS12" i="1"/>
  <c r="FG12" i="1"/>
  <c r="EU12" i="1"/>
  <c r="EI12" i="1"/>
  <c r="DW12" i="1"/>
  <c r="DK12" i="1"/>
  <c r="CY12" i="1"/>
  <c r="CM12" i="1"/>
  <c r="CA12" i="1"/>
  <c r="BO12" i="1"/>
  <c r="BC12" i="1"/>
  <c r="AQ12" i="1"/>
  <c r="AE12" i="1"/>
  <c r="S12" i="1"/>
  <c r="G12" i="1"/>
  <c r="JH12" i="1"/>
  <c r="IV12" i="1"/>
  <c r="IJ12" i="1"/>
  <c r="HX12" i="1"/>
  <c r="HL12" i="1"/>
  <c r="GZ12" i="1"/>
  <c r="GN12" i="1"/>
  <c r="GB12" i="1"/>
  <c r="FP12" i="1"/>
  <c r="FD12" i="1"/>
  <c r="ER12" i="1"/>
  <c r="EF12" i="1"/>
  <c r="DT12" i="1"/>
  <c r="DH12" i="1"/>
  <c r="CV12" i="1"/>
  <c r="CJ12" i="1"/>
  <c r="BX12" i="1"/>
  <c r="BL12" i="1"/>
  <c r="AZ12" i="1"/>
  <c r="AN12" i="1"/>
  <c r="AB12" i="1"/>
  <c r="P12" i="1"/>
  <c r="BG21" i="48"/>
  <c r="C8" i="45"/>
  <c r="W8" i="45" s="1"/>
  <c r="BG9" i="48"/>
  <c r="I48" i="22"/>
  <c r="I45" i="22"/>
  <c r="I48" i="25"/>
  <c r="AB6" i="46"/>
  <c r="X139" i="46"/>
  <c r="X141" i="46"/>
  <c r="X136" i="46"/>
  <c r="F41" i="54" s="1"/>
  <c r="G41" i="54" s="1"/>
  <c r="H41" i="54" s="1"/>
  <c r="D44" i="27"/>
  <c r="D44" i="28" s="1"/>
  <c r="AD9" i="48"/>
  <c r="E10" i="1"/>
  <c r="I9" i="48"/>
  <c r="AJ9" i="48"/>
  <c r="J9" i="48"/>
  <c r="AV9" i="48"/>
  <c r="S9" i="48"/>
  <c r="BC9" i="48" s="1"/>
  <c r="R41" i="48"/>
  <c r="AU25" i="48"/>
  <c r="M26" i="48"/>
  <c r="BA26" i="48" s="1"/>
  <c r="I45" i="25"/>
  <c r="E12" i="2"/>
  <c r="ES12" i="2" s="1"/>
  <c r="E24" i="2"/>
  <c r="ES24" i="2" s="1"/>
  <c r="AJ17" i="48"/>
  <c r="E18" i="1"/>
  <c r="AD17" i="48"/>
  <c r="AV17" i="48"/>
  <c r="X17" i="48"/>
  <c r="I17" i="48"/>
  <c r="J17" i="48"/>
  <c r="AP17" i="48"/>
  <c r="J21" i="48"/>
  <c r="E22" i="1"/>
  <c r="I21" i="48"/>
  <c r="X21" i="48"/>
  <c r="AV21" i="48"/>
  <c r="AJ21" i="48"/>
  <c r="AD21" i="48"/>
  <c r="AP21" i="48"/>
  <c r="J5" i="53"/>
  <c r="I11" i="53"/>
  <c r="J41" i="33"/>
  <c r="K58" i="33"/>
  <c r="K57" i="33"/>
  <c r="J40" i="32"/>
  <c r="J45" i="33"/>
  <c r="I45" i="33"/>
  <c r="M7" i="31"/>
  <c r="M7" i="30" s="1"/>
  <c r="M34" i="30" s="1"/>
  <c r="D51" i="28"/>
  <c r="E51" i="27"/>
  <c r="D40" i="28"/>
  <c r="E40" i="27"/>
  <c r="D52" i="24"/>
  <c r="E52" i="25"/>
  <c r="D50" i="27"/>
  <c r="D49" i="27"/>
  <c r="D47" i="27"/>
  <c r="D45" i="27"/>
  <c r="D43" i="27"/>
  <c r="D41" i="27"/>
  <c r="D48" i="27"/>
  <c r="D46" i="27"/>
  <c r="D42" i="27"/>
  <c r="D39" i="28"/>
  <c r="E39" i="27"/>
  <c r="J57" i="17"/>
  <c r="J43" i="27"/>
  <c r="J38" i="25"/>
  <c r="J56" i="28"/>
  <c r="X141" i="55" l="1"/>
  <c r="X136" i="55"/>
  <c r="O41" i="54" s="1"/>
  <c r="P41" i="54" s="1"/>
  <c r="Q41" i="54" s="1"/>
  <c r="X139" i="55"/>
  <c r="AE37" i="1"/>
  <c r="DW37" i="1"/>
  <c r="HO37" i="1"/>
  <c r="BF37" i="1"/>
  <c r="EX37" i="1"/>
  <c r="E37" i="2"/>
  <c r="ES37" i="2" s="1"/>
  <c r="BL37" i="1"/>
  <c r="IP37" i="1"/>
  <c r="AZ37" i="1"/>
  <c r="CG37" i="1"/>
  <c r="JH37" i="1"/>
  <c r="FY37" i="1"/>
  <c r="FD37" i="1"/>
  <c r="ER37" i="1"/>
  <c r="AN37" i="1"/>
  <c r="AQ37" i="1"/>
  <c r="EI37" i="1"/>
  <c r="IA37" i="1"/>
  <c r="BR37" i="1"/>
  <c r="FJ37" i="1"/>
  <c r="JB37" i="1"/>
  <c r="CS37" i="1"/>
  <c r="GK37" i="1"/>
  <c r="EU37" i="1"/>
  <c r="EF37" i="1"/>
  <c r="CD37" i="1"/>
  <c r="M37" i="1"/>
  <c r="DE37" i="1"/>
  <c r="AB37" i="1"/>
  <c r="P37" i="1"/>
  <c r="HX37" i="1"/>
  <c r="BO37" i="1"/>
  <c r="FG37" i="1"/>
  <c r="IY37" i="1"/>
  <c r="CP37" i="1"/>
  <c r="GH37" i="1"/>
  <c r="Y37" i="1"/>
  <c r="DQ37" i="1"/>
  <c r="HI37" i="1"/>
  <c r="IV37" i="1"/>
  <c r="BC37" i="1"/>
  <c r="GW37" i="1"/>
  <c r="DT37" i="1"/>
  <c r="DH37" i="1"/>
  <c r="CV37" i="1"/>
  <c r="CA37" i="1"/>
  <c r="FS37" i="1"/>
  <c r="J37" i="1"/>
  <c r="DB37" i="1"/>
  <c r="GT37" i="1"/>
  <c r="AK37" i="1"/>
  <c r="EC37" i="1"/>
  <c r="HU37" i="1"/>
  <c r="IM37" i="1"/>
  <c r="HL37" i="1"/>
  <c r="GZ37" i="1"/>
  <c r="GN37" i="1"/>
  <c r="CM37" i="1"/>
  <c r="GE37" i="1"/>
  <c r="V37" i="1"/>
  <c r="DN37" i="1"/>
  <c r="HF37" i="1"/>
  <c r="AW37" i="1"/>
  <c r="EO37" i="1"/>
  <c r="IG37" i="1"/>
  <c r="IJ37" i="1"/>
  <c r="FV37" i="1"/>
  <c r="CJ37" i="1"/>
  <c r="BX37" i="1"/>
  <c r="G37" i="1"/>
  <c r="CY37" i="1"/>
  <c r="GQ37" i="1"/>
  <c r="AH37" i="1"/>
  <c r="DZ37" i="1"/>
  <c r="HR37" i="1"/>
  <c r="BI37" i="1"/>
  <c r="FA37" i="1"/>
  <c r="IS37" i="1"/>
  <c r="GB37" i="1"/>
  <c r="FP37" i="1"/>
  <c r="S37" i="1"/>
  <c r="DK37" i="1"/>
  <c r="HC37" i="1"/>
  <c r="AT37" i="1"/>
  <c r="EL37" i="1"/>
  <c r="ID37" i="1"/>
  <c r="BU37" i="1"/>
  <c r="FM37" i="1"/>
  <c r="S16" i="45"/>
  <c r="W16" i="45"/>
  <c r="AC16" i="45"/>
  <c r="O16" i="45"/>
  <c r="G16" i="45"/>
  <c r="K16" i="45"/>
  <c r="Z16" i="45"/>
  <c r="S20" i="45"/>
  <c r="AC20" i="45"/>
  <c r="W20" i="45"/>
  <c r="O20" i="45"/>
  <c r="K20" i="45"/>
  <c r="G20" i="45"/>
  <c r="Z20" i="45"/>
  <c r="BG41" i="48"/>
  <c r="BB41" i="48"/>
  <c r="HO28" i="1"/>
  <c r="CG28" i="1"/>
  <c r="FY28" i="1"/>
  <c r="EX28" i="1"/>
  <c r="BF28" i="1"/>
  <c r="P28" i="1"/>
  <c r="IP28" i="1"/>
  <c r="DH28" i="1"/>
  <c r="AW10" i="1"/>
  <c r="M10" i="1"/>
  <c r="GZ28" i="1"/>
  <c r="AE28" i="1"/>
  <c r="DW28" i="1"/>
  <c r="J21" i="27"/>
  <c r="J21" i="28" s="1"/>
  <c r="J21" i="26" s="1"/>
  <c r="J21" i="25" s="1"/>
  <c r="J25" i="25"/>
  <c r="J25" i="24"/>
  <c r="J25" i="23" s="1"/>
  <c r="J25" i="21" s="1"/>
  <c r="J25" i="22" s="1"/>
  <c r="J25" i="20" s="1"/>
  <c r="J25" i="19" s="1"/>
  <c r="J25" i="18" s="1"/>
  <c r="J25" i="17" s="1"/>
  <c r="J25" i="16" s="1"/>
  <c r="J25" i="15" s="1"/>
  <c r="J25" i="14" s="1"/>
  <c r="J25" i="13" s="1"/>
  <c r="J25" i="12" s="1"/>
  <c r="J25" i="11" s="1"/>
  <c r="J25" i="10" s="1"/>
  <c r="J25" i="9" s="1"/>
  <c r="J25" i="8" s="1"/>
  <c r="J25" i="7" s="1"/>
  <c r="J25" i="6" s="1"/>
  <c r="J25" i="37" s="1"/>
  <c r="J25" i="4" s="1"/>
  <c r="J25" i="43" s="1"/>
  <c r="F39" i="54"/>
  <c r="F37" i="54"/>
  <c r="F31" i="54"/>
  <c r="F29" i="54"/>
  <c r="F23" i="54"/>
  <c r="F21" i="54"/>
  <c r="F11" i="54"/>
  <c r="G11" i="54" s="1"/>
  <c r="F9" i="54"/>
  <c r="G9" i="54" s="1"/>
  <c r="F35" i="54"/>
  <c r="F33" i="54"/>
  <c r="F27" i="54"/>
  <c r="F25" i="54"/>
  <c r="F19" i="54"/>
  <c r="F17" i="54"/>
  <c r="F7" i="54"/>
  <c r="G7" i="54" s="1"/>
  <c r="F5" i="54"/>
  <c r="G5" i="54" s="1"/>
  <c r="F18" i="54"/>
  <c r="G18" i="54" s="1"/>
  <c r="F26" i="54"/>
  <c r="F34" i="54"/>
  <c r="F10" i="54"/>
  <c r="G10" i="54" s="1"/>
  <c r="F22" i="54"/>
  <c r="F30" i="54"/>
  <c r="F38" i="54"/>
  <c r="F8" i="54"/>
  <c r="G8" i="54" s="1"/>
  <c r="F20" i="54"/>
  <c r="F28" i="54"/>
  <c r="F36" i="54"/>
  <c r="F6" i="54"/>
  <c r="G6" i="54" s="1"/>
  <c r="F4" i="54"/>
  <c r="G4" i="54" s="1"/>
  <c r="F16" i="54"/>
  <c r="F24" i="54"/>
  <c r="F32" i="54"/>
  <c r="CS28" i="1"/>
  <c r="AB28" i="1"/>
  <c r="EI28" i="1"/>
  <c r="JB28" i="1"/>
  <c r="BU28" i="1"/>
  <c r="FM28" i="1"/>
  <c r="JE28" i="1"/>
  <c r="CV28" i="1"/>
  <c r="GN28" i="1"/>
  <c r="S28" i="1"/>
  <c r="DK28" i="1"/>
  <c r="HC28" i="1"/>
  <c r="AT28" i="1"/>
  <c r="EL28" i="1"/>
  <c r="ID28" i="1"/>
  <c r="HL28" i="1"/>
  <c r="FJ28" i="1"/>
  <c r="M28" i="1"/>
  <c r="DE28" i="1"/>
  <c r="GW28" i="1"/>
  <c r="AN28" i="1"/>
  <c r="EF28" i="1"/>
  <c r="HX28" i="1"/>
  <c r="BC28" i="1"/>
  <c r="EU28" i="1"/>
  <c r="IM28" i="1"/>
  <c r="CD28" i="1"/>
  <c r="FV28" i="1"/>
  <c r="Y28" i="1"/>
  <c r="DQ28" i="1"/>
  <c r="HI28" i="1"/>
  <c r="AZ28" i="1"/>
  <c r="ER28" i="1"/>
  <c r="IJ28" i="1"/>
  <c r="BO28" i="1"/>
  <c r="FG28" i="1"/>
  <c r="IY28" i="1"/>
  <c r="CP28" i="1"/>
  <c r="GH28" i="1"/>
  <c r="E28" i="2"/>
  <c r="ES28" i="2" s="1"/>
  <c r="AK28" i="1"/>
  <c r="EC28" i="1"/>
  <c r="HU28" i="1"/>
  <c r="BL28" i="1"/>
  <c r="FD28" i="1"/>
  <c r="IV28" i="1"/>
  <c r="CA28" i="1"/>
  <c r="FS28" i="1"/>
  <c r="J28" i="1"/>
  <c r="DB28" i="1"/>
  <c r="GT28" i="1"/>
  <c r="GK28" i="1"/>
  <c r="AQ28" i="1"/>
  <c r="IA28" i="1"/>
  <c r="AW28" i="1"/>
  <c r="EO28" i="1"/>
  <c r="IG28" i="1"/>
  <c r="BX28" i="1"/>
  <c r="FP28" i="1"/>
  <c r="JH28" i="1"/>
  <c r="CM28" i="1"/>
  <c r="GE28" i="1"/>
  <c r="V28" i="1"/>
  <c r="DN28" i="1"/>
  <c r="HF28" i="1"/>
  <c r="DT28" i="1"/>
  <c r="BR28" i="1"/>
  <c r="BI28" i="1"/>
  <c r="FA28" i="1"/>
  <c r="IS28" i="1"/>
  <c r="CJ28" i="1"/>
  <c r="GB28" i="1"/>
  <c r="G28" i="1"/>
  <c r="CY28" i="1"/>
  <c r="GQ28" i="1"/>
  <c r="AH28" i="1"/>
  <c r="DZ28" i="1"/>
  <c r="J16" i="37"/>
  <c r="J16" i="4" s="1"/>
  <c r="J16" i="43" s="1"/>
  <c r="J8" i="37"/>
  <c r="J8" i="4" s="1"/>
  <c r="J8" i="43" s="1"/>
  <c r="J11" i="4"/>
  <c r="J11" i="43" s="1"/>
  <c r="J15" i="37"/>
  <c r="J15" i="4" s="1"/>
  <c r="J15" i="43" s="1"/>
  <c r="J17" i="37"/>
  <c r="J17" i="4" s="1"/>
  <c r="J17" i="43" s="1"/>
  <c r="J18" i="37"/>
  <c r="J18" i="4" s="1"/>
  <c r="J18" i="43" s="1"/>
  <c r="J10" i="4"/>
  <c r="J10" i="43" s="1"/>
  <c r="G8" i="45"/>
  <c r="BH9" i="48"/>
  <c r="M7" i="29"/>
  <c r="M7" i="27" s="1"/>
  <c r="D54" i="29"/>
  <c r="AC8" i="45"/>
  <c r="K8" i="45"/>
  <c r="C40" i="45"/>
  <c r="AC40" i="45" s="1"/>
  <c r="S8" i="45"/>
  <c r="E44" i="27"/>
  <c r="IY18" i="1"/>
  <c r="IM18" i="1"/>
  <c r="IA18" i="1"/>
  <c r="HO18" i="1"/>
  <c r="HC18" i="1"/>
  <c r="GQ18" i="1"/>
  <c r="GE18" i="1"/>
  <c r="FS18" i="1"/>
  <c r="FG18" i="1"/>
  <c r="EU18" i="1"/>
  <c r="EI18" i="1"/>
  <c r="DW18" i="1"/>
  <c r="DK18" i="1"/>
  <c r="CY18" i="1"/>
  <c r="CM18" i="1"/>
  <c r="CA18" i="1"/>
  <c r="BO18" i="1"/>
  <c r="BC18" i="1"/>
  <c r="AQ18" i="1"/>
  <c r="AE18" i="1"/>
  <c r="S18" i="1"/>
  <c r="G18" i="1"/>
  <c r="JH18" i="1"/>
  <c r="IV18" i="1"/>
  <c r="IJ18" i="1"/>
  <c r="HX18" i="1"/>
  <c r="HL18" i="1"/>
  <c r="GZ18" i="1"/>
  <c r="GN18" i="1"/>
  <c r="GB18" i="1"/>
  <c r="FP18" i="1"/>
  <c r="FD18" i="1"/>
  <c r="ER18" i="1"/>
  <c r="EF18" i="1"/>
  <c r="DT18" i="1"/>
  <c r="DH18" i="1"/>
  <c r="CV18" i="1"/>
  <c r="CJ18" i="1"/>
  <c r="BX18" i="1"/>
  <c r="BL18" i="1"/>
  <c r="AZ18" i="1"/>
  <c r="AN18" i="1"/>
  <c r="AB18" i="1"/>
  <c r="P18" i="1"/>
  <c r="JE18" i="1"/>
  <c r="IS18" i="1"/>
  <c r="IG18" i="1"/>
  <c r="HU18" i="1"/>
  <c r="HI18" i="1"/>
  <c r="GW18" i="1"/>
  <c r="GK18" i="1"/>
  <c r="FY18" i="1"/>
  <c r="FM18" i="1"/>
  <c r="FA18" i="1"/>
  <c r="EO18" i="1"/>
  <c r="EC18" i="1"/>
  <c r="DQ18" i="1"/>
  <c r="DE18" i="1"/>
  <c r="CS18" i="1"/>
  <c r="CG18" i="1"/>
  <c r="BU18" i="1"/>
  <c r="BI18" i="1"/>
  <c r="AW18" i="1"/>
  <c r="AK18" i="1"/>
  <c r="Y18" i="1"/>
  <c r="M18" i="1"/>
  <c r="HF18" i="1"/>
  <c r="DN18" i="1"/>
  <c r="V18" i="1"/>
  <c r="IP18" i="1"/>
  <c r="EX18" i="1"/>
  <c r="BF18" i="1"/>
  <c r="GH18" i="1"/>
  <c r="CP18" i="1"/>
  <c r="CD18" i="1"/>
  <c r="HR18" i="1"/>
  <c r="DZ18" i="1"/>
  <c r="AH18" i="1"/>
  <c r="JB18" i="1"/>
  <c r="FJ18" i="1"/>
  <c r="BR18" i="1"/>
  <c r="GT18" i="1"/>
  <c r="DB18" i="1"/>
  <c r="J18" i="1"/>
  <c r="ID18" i="1"/>
  <c r="EL18" i="1"/>
  <c r="AT18" i="1"/>
  <c r="FV18"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V22" i="1"/>
  <c r="J22" i="1"/>
  <c r="IY22" i="1"/>
  <c r="IM22" i="1"/>
  <c r="IA22" i="1"/>
  <c r="HO22" i="1"/>
  <c r="HC22" i="1"/>
  <c r="GQ22" i="1"/>
  <c r="GE22" i="1"/>
  <c r="FS22" i="1"/>
  <c r="FG22" i="1"/>
  <c r="EU22" i="1"/>
  <c r="EI22" i="1"/>
  <c r="DW22" i="1"/>
  <c r="DK22" i="1"/>
  <c r="CY22" i="1"/>
  <c r="CM22" i="1"/>
  <c r="CA22" i="1"/>
  <c r="BO22" i="1"/>
  <c r="BC22" i="1"/>
  <c r="AQ22" i="1"/>
  <c r="AE22" i="1"/>
  <c r="S22" i="1"/>
  <c r="G22" i="1"/>
  <c r="GN22" i="1"/>
  <c r="CV22" i="1"/>
  <c r="HX22" i="1"/>
  <c r="EF22" i="1"/>
  <c r="AN22" i="1"/>
  <c r="JH22" i="1"/>
  <c r="FP22" i="1"/>
  <c r="BX22" i="1"/>
  <c r="GZ22" i="1"/>
  <c r="DH22" i="1"/>
  <c r="P22" i="1"/>
  <c r="BL22" i="1"/>
  <c r="IJ22" i="1"/>
  <c r="ER22" i="1"/>
  <c r="AZ22" i="1"/>
  <c r="IV22" i="1"/>
  <c r="GB22" i="1"/>
  <c r="CJ22" i="1"/>
  <c r="FD22" i="1"/>
  <c r="HL22" i="1"/>
  <c r="DT22" i="1"/>
  <c r="AB22" i="1"/>
  <c r="JH10" i="1"/>
  <c r="IV10" i="1"/>
  <c r="IJ10" i="1"/>
  <c r="HX10" i="1"/>
  <c r="HL10" i="1"/>
  <c r="GZ10" i="1"/>
  <c r="GN10" i="1"/>
  <c r="GB10" i="1"/>
  <c r="FP10" i="1"/>
  <c r="FD10" i="1"/>
  <c r="ER10" i="1"/>
  <c r="EF10" i="1"/>
  <c r="DT10" i="1"/>
  <c r="DH10" i="1"/>
  <c r="CV10" i="1"/>
  <c r="CJ10" i="1"/>
  <c r="BX10" i="1"/>
  <c r="BL10" i="1"/>
  <c r="AZ10" i="1"/>
  <c r="AN10" i="1"/>
  <c r="AB10" i="1"/>
  <c r="P10" i="1"/>
  <c r="JE10" i="1"/>
  <c r="IS10" i="1"/>
  <c r="IG10" i="1"/>
  <c r="HU10" i="1"/>
  <c r="HI10" i="1"/>
  <c r="GW10" i="1"/>
  <c r="GK10" i="1"/>
  <c r="FY10" i="1"/>
  <c r="FM10" i="1"/>
  <c r="FA10" i="1"/>
  <c r="EO10" i="1"/>
  <c r="EC10" i="1"/>
  <c r="DQ10" i="1"/>
  <c r="DE10" i="1"/>
  <c r="CS10" i="1"/>
  <c r="CG10" i="1"/>
  <c r="BU10" i="1"/>
  <c r="BI10" i="1"/>
  <c r="AK10" i="1"/>
  <c r="Y10" i="1"/>
  <c r="JB10" i="1"/>
  <c r="IP10" i="1"/>
  <c r="ID10" i="1"/>
  <c r="HR10" i="1"/>
  <c r="HF10" i="1"/>
  <c r="GT10" i="1"/>
  <c r="GH10" i="1"/>
  <c r="FV10" i="1"/>
  <c r="FJ10" i="1"/>
  <c r="EX10" i="1"/>
  <c r="EL10" i="1"/>
  <c r="DZ10" i="1"/>
  <c r="DN10" i="1"/>
  <c r="DB10" i="1"/>
  <c r="CP10" i="1"/>
  <c r="CD10" i="1"/>
  <c r="BR10" i="1"/>
  <c r="BF10" i="1"/>
  <c r="AT10" i="1"/>
  <c r="AH10" i="1"/>
  <c r="V10" i="1"/>
  <c r="J10" i="1"/>
  <c r="IY10" i="1"/>
  <c r="IM10" i="1"/>
  <c r="IA10" i="1"/>
  <c r="HO10" i="1"/>
  <c r="HC10" i="1"/>
  <c r="GQ10" i="1"/>
  <c r="GE10" i="1"/>
  <c r="FS10" i="1"/>
  <c r="FG10" i="1"/>
  <c r="EU10" i="1"/>
  <c r="EI10" i="1"/>
  <c r="DW10" i="1"/>
  <c r="DK10" i="1"/>
  <c r="CY10" i="1"/>
  <c r="CM10" i="1"/>
  <c r="CA10" i="1"/>
  <c r="BO10" i="1"/>
  <c r="BC10" i="1"/>
  <c r="AQ10" i="1"/>
  <c r="AE10" i="1"/>
  <c r="S10" i="1"/>
  <c r="G10" i="1"/>
  <c r="AW9" i="48"/>
  <c r="AE9" i="48"/>
  <c r="S10" i="48"/>
  <c r="BH10" i="48" s="1"/>
  <c r="AK9" i="48"/>
  <c r="K9" i="48"/>
  <c r="E22" i="2"/>
  <c r="ES22" i="2" s="1"/>
  <c r="M27" i="48"/>
  <c r="AU26" i="48"/>
  <c r="E18" i="2"/>
  <c r="ES18" i="2" s="1"/>
  <c r="E10" i="2"/>
  <c r="ES10" i="2" s="1"/>
  <c r="E41" i="1"/>
  <c r="I41" i="48"/>
  <c r="AV41" i="48"/>
  <c r="AD41" i="48"/>
  <c r="AJ41" i="48"/>
  <c r="J41" i="48"/>
  <c r="M34" i="31"/>
  <c r="J40" i="31"/>
  <c r="J40" i="30" s="1"/>
  <c r="J40" i="29" s="1"/>
  <c r="K56" i="32"/>
  <c r="K57" i="32"/>
  <c r="J41" i="32"/>
  <c r="J45" i="32"/>
  <c r="D39" i="26"/>
  <c r="D39" i="25" s="1"/>
  <c r="E39" i="28"/>
  <c r="D42" i="28"/>
  <c r="D42" i="26" s="1"/>
  <c r="E42" i="27"/>
  <c r="D46" i="28"/>
  <c r="D46" i="26" s="1"/>
  <c r="E46" i="27"/>
  <c r="D48" i="28"/>
  <c r="D48" i="26" s="1"/>
  <c r="E48" i="27"/>
  <c r="D41" i="28"/>
  <c r="D41" i="26" s="1"/>
  <c r="E41" i="27"/>
  <c r="D43" i="28"/>
  <c r="D43" i="26" s="1"/>
  <c r="E43" i="27"/>
  <c r="D45" i="28"/>
  <c r="D45" i="26" s="1"/>
  <c r="E45" i="27"/>
  <c r="D47" i="28"/>
  <c r="D47" i="26" s="1"/>
  <c r="E47" i="27"/>
  <c r="D49" i="28"/>
  <c r="D49" i="26" s="1"/>
  <c r="E49" i="27"/>
  <c r="D50" i="28"/>
  <c r="D50" i="26" s="1"/>
  <c r="E50" i="27"/>
  <c r="D52" i="23"/>
  <c r="D52" i="21" s="1"/>
  <c r="E52" i="24"/>
  <c r="D40" i="26"/>
  <c r="D40" i="25" s="1"/>
  <c r="E40" i="28"/>
  <c r="D44" i="26"/>
  <c r="D44" i="25" s="1"/>
  <c r="E44" i="28"/>
  <c r="D38" i="27"/>
  <c r="E38" i="27" s="1"/>
  <c r="D51" i="26"/>
  <c r="D51" i="25" s="1"/>
  <c r="D51" i="24" s="1"/>
  <c r="E51" i="28"/>
  <c r="J37" i="27"/>
  <c r="J37" i="28" s="1"/>
  <c r="J57" i="16"/>
  <c r="J57" i="15" s="1"/>
  <c r="J57" i="14" s="1"/>
  <c r="J56" i="26"/>
  <c r="J56" i="25" s="1"/>
  <c r="J56" i="24" s="1"/>
  <c r="J38" i="24"/>
  <c r="J38" i="23" s="1"/>
  <c r="J38" i="21" s="1"/>
  <c r="J43" i="28"/>
  <c r="J44" i="28" s="1"/>
  <c r="J44" i="27"/>
  <c r="F10" i="2"/>
  <c r="F11" i="2" s="1"/>
  <c r="G38" i="54" l="1"/>
  <c r="H38" i="54" s="1"/>
  <c r="E42" i="2"/>
  <c r="ES42" i="2" s="1"/>
  <c r="AK10" i="48"/>
  <c r="BC10" i="48"/>
  <c r="AU27" i="48"/>
  <c r="BA27" i="48"/>
  <c r="G16" i="54"/>
  <c r="K56" i="31"/>
  <c r="J43" i="26"/>
  <c r="J45" i="31"/>
  <c r="K10" i="48"/>
  <c r="K57" i="31"/>
  <c r="S11" i="48"/>
  <c r="AW10" i="48"/>
  <c r="K57" i="29"/>
  <c r="J41" i="31"/>
  <c r="AE10" i="48"/>
  <c r="J39" i="27"/>
  <c r="M26" i="29"/>
  <c r="M26" i="27" s="1"/>
  <c r="M26" i="28" s="1"/>
  <c r="M26" i="26" s="1"/>
  <c r="M26" i="25" s="1"/>
  <c r="M26" i="24" s="1"/>
  <c r="M26" i="23" s="1"/>
  <c r="M26" i="21" s="1"/>
  <c r="M26" i="22" s="1"/>
  <c r="M26" i="20" s="1"/>
  <c r="M26" i="19" s="1"/>
  <c r="M26" i="18" s="1"/>
  <c r="M26" i="17" s="1"/>
  <c r="M26" i="16" s="1"/>
  <c r="M26" i="15" s="1"/>
  <c r="M26" i="14" s="1"/>
  <c r="M26" i="13" s="1"/>
  <c r="M26" i="12" s="1"/>
  <c r="M26" i="11" s="1"/>
  <c r="M26" i="10" s="1"/>
  <c r="M26" i="9" s="1"/>
  <c r="M26" i="8" s="1"/>
  <c r="M26" i="7" s="1"/>
  <c r="M26" i="6" s="1"/>
  <c r="M26" i="37" s="1"/>
  <c r="M26" i="4" s="1"/>
  <c r="M26" i="43" s="1"/>
  <c r="M21" i="29" s="1"/>
  <c r="M21" i="27" s="1"/>
  <c r="M21" i="28" s="1"/>
  <c r="M21" i="26" s="1"/>
  <c r="M21" i="25" s="1"/>
  <c r="M21" i="24" s="1"/>
  <c r="M21" i="23" s="1"/>
  <c r="M21" i="21" s="1"/>
  <c r="M21" i="22" s="1"/>
  <c r="M21" i="20" s="1"/>
  <c r="M21" i="19" s="1"/>
  <c r="M21" i="18" s="1"/>
  <c r="M21" i="17" s="1"/>
  <c r="M21" i="16" s="1"/>
  <c r="M21" i="15" s="1"/>
  <c r="M21" i="14" s="1"/>
  <c r="M21" i="13" s="1"/>
  <c r="M21" i="12" s="1"/>
  <c r="M21" i="11" s="1"/>
  <c r="M21" i="10" s="1"/>
  <c r="M21" i="9" s="1"/>
  <c r="M21" i="8" s="1"/>
  <c r="M21" i="7" s="1"/>
  <c r="M21" i="6" s="1"/>
  <c r="M21" i="37" s="1"/>
  <c r="M21" i="4" s="1"/>
  <c r="M21" i="43" s="1"/>
  <c r="J24" i="27" s="1"/>
  <c r="J24" i="28" s="1"/>
  <c r="J24" i="26" s="1"/>
  <c r="J24" i="25" s="1"/>
  <c r="J24" i="24" s="1"/>
  <c r="J24" i="23" s="1"/>
  <c r="J21" i="24"/>
  <c r="J21" i="23" s="1"/>
  <c r="J21" i="21" s="1"/>
  <c r="J21" i="22" s="1"/>
  <c r="J21" i="20" s="1"/>
  <c r="J21" i="19" s="1"/>
  <c r="J21" i="18" s="1"/>
  <c r="J21" i="17" s="1"/>
  <c r="J21" i="16" s="1"/>
  <c r="J21" i="15" s="1"/>
  <c r="J21" i="14" s="1"/>
  <c r="J21" i="13" s="1"/>
  <c r="J21" i="12" s="1"/>
  <c r="J21" i="11" s="1"/>
  <c r="J21" i="10" s="1"/>
  <c r="J21" i="9" s="1"/>
  <c r="J21" i="8" s="1"/>
  <c r="J21" i="7" s="1"/>
  <c r="J21" i="6" s="1"/>
  <c r="J21" i="37" s="1"/>
  <c r="J21" i="4" s="1"/>
  <c r="J21" i="43" s="1"/>
  <c r="E51" i="26"/>
  <c r="D38" i="28"/>
  <c r="E38" i="28" s="1"/>
  <c r="E53" i="27"/>
  <c r="E54" i="27" s="1"/>
  <c r="J41" i="29"/>
  <c r="E48" i="28"/>
  <c r="E43" i="28"/>
  <c r="E47" i="28"/>
  <c r="E50" i="28"/>
  <c r="E42" i="28"/>
  <c r="K56" i="29"/>
  <c r="J41" i="30"/>
  <c r="K56" i="30"/>
  <c r="J45" i="30"/>
  <c r="K57" i="30"/>
  <c r="E39" i="26"/>
  <c r="E46" i="28"/>
  <c r="E41" i="28"/>
  <c r="E45" i="28"/>
  <c r="E49" i="28"/>
  <c r="E52" i="23"/>
  <c r="E44" i="26"/>
  <c r="E51" i="25"/>
  <c r="E40" i="26"/>
  <c r="D53" i="27"/>
  <c r="E44" i="25"/>
  <c r="D44" i="24"/>
  <c r="D44" i="23" s="1"/>
  <c r="E40" i="25"/>
  <c r="D40" i="24"/>
  <c r="D40" i="23" s="1"/>
  <c r="E52" i="21"/>
  <c r="D52" i="22"/>
  <c r="D52" i="20" s="1"/>
  <c r="E50" i="26"/>
  <c r="D50" i="25"/>
  <c r="D50" i="24" s="1"/>
  <c r="E49" i="26"/>
  <c r="D49" i="25"/>
  <c r="D49" i="24" s="1"/>
  <c r="E47" i="26"/>
  <c r="D47" i="25"/>
  <c r="D47" i="24" s="1"/>
  <c r="E45" i="26"/>
  <c r="D45" i="25"/>
  <c r="D45" i="24" s="1"/>
  <c r="E43" i="26"/>
  <c r="D43" i="25"/>
  <c r="D43" i="24" s="1"/>
  <c r="E41" i="26"/>
  <c r="D41" i="25"/>
  <c r="D41" i="24" s="1"/>
  <c r="E48" i="26"/>
  <c r="D48" i="25"/>
  <c r="D48" i="24" s="1"/>
  <c r="E46" i="26"/>
  <c r="D46" i="25"/>
  <c r="D46" i="24" s="1"/>
  <c r="E42" i="26"/>
  <c r="D42" i="25"/>
  <c r="D42" i="24" s="1"/>
  <c r="E39" i="25"/>
  <c r="D39" i="24"/>
  <c r="D39" i="23" s="1"/>
  <c r="J45" i="29"/>
  <c r="J39" i="28"/>
  <c r="J37" i="26"/>
  <c r="J37" i="25" s="1"/>
  <c r="ET10" i="2"/>
  <c r="G40" i="45"/>
  <c r="K40" i="45"/>
  <c r="M28" i="48"/>
  <c r="BA28" i="48" s="1"/>
  <c r="G24" i="54"/>
  <c r="H4" i="54"/>
  <c r="G36" i="54"/>
  <c r="G33" i="54"/>
  <c r="G19" i="54"/>
  <c r="G31" i="54"/>
  <c r="W40" i="45"/>
  <c r="S40" i="45"/>
  <c r="F12" i="2"/>
  <c r="ET11" i="2"/>
  <c r="M7" i="28"/>
  <c r="J40" i="27"/>
  <c r="D51" i="23"/>
  <c r="E51" i="24"/>
  <c r="J57" i="13"/>
  <c r="J56" i="23"/>
  <c r="J38" i="22"/>
  <c r="S12" i="48" l="1"/>
  <c r="AK12" i="48" s="1"/>
  <c r="BC11" i="48"/>
  <c r="D54" i="27"/>
  <c r="AE11" i="48"/>
  <c r="K12" i="48"/>
  <c r="BH11" i="48"/>
  <c r="J43" i="25"/>
  <c r="J44" i="26"/>
  <c r="BH12" i="48"/>
  <c r="K11" i="48"/>
  <c r="AK11" i="48"/>
  <c r="AW12" i="48"/>
  <c r="AW11" i="48"/>
  <c r="J39" i="26"/>
  <c r="J20" i="27"/>
  <c r="J20" i="28" s="1"/>
  <c r="J20" i="26" s="1"/>
  <c r="J20" i="25" s="1"/>
  <c r="J24" i="21"/>
  <c r="J24" i="22" s="1"/>
  <c r="J24" i="20" s="1"/>
  <c r="J24" i="19" s="1"/>
  <c r="J24" i="18" s="1"/>
  <c r="J24" i="17" s="1"/>
  <c r="J24" i="16" s="1"/>
  <c r="J24" i="15" s="1"/>
  <c r="J24" i="14" s="1"/>
  <c r="J24" i="13" s="1"/>
  <c r="J24" i="12" s="1"/>
  <c r="J24" i="11" s="1"/>
  <c r="J24" i="10" s="1"/>
  <c r="J24" i="9" s="1"/>
  <c r="J24" i="8" s="1"/>
  <c r="J24" i="7" s="1"/>
  <c r="J24" i="6" s="1"/>
  <c r="J24" i="37" s="1"/>
  <c r="J24" i="4" s="1"/>
  <c r="J24" i="43" s="1"/>
  <c r="D38" i="26"/>
  <c r="D38" i="25" s="1"/>
  <c r="D38" i="24" s="1"/>
  <c r="E40" i="24"/>
  <c r="D53" i="28"/>
  <c r="D54" i="28" s="1"/>
  <c r="E43" i="25"/>
  <c r="E53" i="28"/>
  <c r="E54" i="28" s="1"/>
  <c r="E42" i="25"/>
  <c r="E50" i="25"/>
  <c r="E44" i="24"/>
  <c r="E48" i="25"/>
  <c r="E47" i="25"/>
  <c r="E52" i="22"/>
  <c r="E39" i="24"/>
  <c r="E46" i="25"/>
  <c r="E41" i="25"/>
  <c r="E45" i="25"/>
  <c r="E49" i="25"/>
  <c r="AU28" i="48"/>
  <c r="M29" i="48"/>
  <c r="BA29" i="48" s="1"/>
  <c r="H24" i="54"/>
  <c r="F13" i="2"/>
  <c r="ET12" i="2"/>
  <c r="J41" i="27"/>
  <c r="K57" i="27"/>
  <c r="J40" i="28"/>
  <c r="K56" i="27"/>
  <c r="J45" i="27"/>
  <c r="M7" i="26"/>
  <c r="D39" i="21"/>
  <c r="E39" i="23"/>
  <c r="D42" i="23"/>
  <c r="E42" i="24"/>
  <c r="D46" i="23"/>
  <c r="E46" i="24"/>
  <c r="D48" i="23"/>
  <c r="E48" i="24"/>
  <c r="D41" i="23"/>
  <c r="E41" i="24"/>
  <c r="D43" i="23"/>
  <c r="E43" i="24"/>
  <c r="D45" i="23"/>
  <c r="E45" i="24"/>
  <c r="D47" i="23"/>
  <c r="E47" i="24"/>
  <c r="D49" i="23"/>
  <c r="E49" i="24"/>
  <c r="D50" i="23"/>
  <c r="E50" i="24"/>
  <c r="D52" i="19"/>
  <c r="E52" i="20"/>
  <c r="D40" i="21"/>
  <c r="E40" i="23"/>
  <c r="D44" i="21"/>
  <c r="E44" i="23"/>
  <c r="D51" i="21"/>
  <c r="E51" i="23"/>
  <c r="J39" i="25"/>
  <c r="J37" i="24"/>
  <c r="J56" i="21"/>
  <c r="J57" i="12"/>
  <c r="J38" i="20"/>
  <c r="S13" i="48" l="1"/>
  <c r="AW13" i="48" s="1"/>
  <c r="BC12" i="48"/>
  <c r="AE12" i="48"/>
  <c r="J43" i="24"/>
  <c r="J44" i="25"/>
  <c r="E38" i="25"/>
  <c r="E53" i="25" s="1"/>
  <c r="E54" i="25" s="1"/>
  <c r="M25" i="29"/>
  <c r="M25" i="27" s="1"/>
  <c r="M25" i="28" s="1"/>
  <c r="M25" i="26" s="1"/>
  <c r="M25" i="25" s="1"/>
  <c r="M25" i="24" s="1"/>
  <c r="M25" i="23" s="1"/>
  <c r="M25" i="21" s="1"/>
  <c r="M25" i="22" s="1"/>
  <c r="M25" i="20" s="1"/>
  <c r="M25" i="19" s="1"/>
  <c r="M25" i="18" s="1"/>
  <c r="M25" i="17" s="1"/>
  <c r="M25" i="16" s="1"/>
  <c r="M25" i="15" s="1"/>
  <c r="M25" i="14" s="1"/>
  <c r="M25" i="13" s="1"/>
  <c r="M25" i="12" s="1"/>
  <c r="M25" i="11" s="1"/>
  <c r="M25" i="10" s="1"/>
  <c r="M25" i="9" s="1"/>
  <c r="M25" i="8" s="1"/>
  <c r="M25" i="7" s="1"/>
  <c r="M25" i="6" s="1"/>
  <c r="M25" i="37" s="1"/>
  <c r="M25" i="4" s="1"/>
  <c r="M25" i="43" s="1"/>
  <c r="M20" i="29" s="1"/>
  <c r="J20" i="24"/>
  <c r="J20" i="23" s="1"/>
  <c r="J20" i="21" s="1"/>
  <c r="J20" i="22" s="1"/>
  <c r="J20" i="20" s="1"/>
  <c r="J20" i="19" s="1"/>
  <c r="J20" i="18" s="1"/>
  <c r="J20" i="17" s="1"/>
  <c r="J20" i="16" s="1"/>
  <c r="J20" i="15" s="1"/>
  <c r="J20" i="14" s="1"/>
  <c r="J20" i="13" s="1"/>
  <c r="J20" i="12" s="1"/>
  <c r="J20" i="11" s="1"/>
  <c r="J20" i="10" s="1"/>
  <c r="J20" i="9" s="1"/>
  <c r="J20" i="8" s="1"/>
  <c r="J20" i="7" s="1"/>
  <c r="J20" i="6" s="1"/>
  <c r="J20" i="37" s="1"/>
  <c r="J20" i="4" s="1"/>
  <c r="J20" i="43" s="1"/>
  <c r="D53" i="26"/>
  <c r="D54" i="26" s="1"/>
  <c r="E38" i="26"/>
  <c r="E53" i="26" s="1"/>
  <c r="E54" i="26" s="1"/>
  <c r="D53" i="25"/>
  <c r="D54" i="25" s="1"/>
  <c r="AU29" i="48"/>
  <c r="M30" i="48"/>
  <c r="BA30" i="48" s="1"/>
  <c r="F14" i="2"/>
  <c r="ET13" i="2"/>
  <c r="M7" i="25"/>
  <c r="J40" i="26"/>
  <c r="K56" i="28"/>
  <c r="J41" i="28"/>
  <c r="K57" i="28"/>
  <c r="J45" i="28"/>
  <c r="D51" i="22"/>
  <c r="E51" i="21"/>
  <c r="D38" i="23"/>
  <c r="D53" i="24"/>
  <c r="E38" i="24"/>
  <c r="E53" i="24" s="1"/>
  <c r="E54" i="24" s="1"/>
  <c r="D44" i="22"/>
  <c r="E44" i="21"/>
  <c r="D40" i="22"/>
  <c r="E40" i="21"/>
  <c r="D52" i="18"/>
  <c r="E52" i="19"/>
  <c r="D50" i="21"/>
  <c r="E50" i="23"/>
  <c r="D49" i="21"/>
  <c r="E49" i="23"/>
  <c r="D47" i="21"/>
  <c r="E47" i="23"/>
  <c r="D45" i="21"/>
  <c r="E45" i="23"/>
  <c r="D43" i="21"/>
  <c r="E43" i="23"/>
  <c r="D41" i="21"/>
  <c r="E41" i="23"/>
  <c r="D48" i="21"/>
  <c r="E48" i="23"/>
  <c r="D46" i="21"/>
  <c r="E46" i="23"/>
  <c r="D42" i="21"/>
  <c r="E42" i="23"/>
  <c r="D39" i="22"/>
  <c r="E39" i="21"/>
  <c r="J37" i="23"/>
  <c r="J39" i="24"/>
  <c r="J56" i="22"/>
  <c r="J38" i="19"/>
  <c r="J57" i="11"/>
  <c r="K13" i="48" l="1"/>
  <c r="S14" i="48"/>
  <c r="BH14" i="48" s="1"/>
  <c r="AE13" i="48"/>
  <c r="BC13" i="48"/>
  <c r="AK13" i="48"/>
  <c r="BH13" i="48"/>
  <c r="J43" i="23"/>
  <c r="J44" i="24"/>
  <c r="M20" i="27"/>
  <c r="M34" i="29"/>
  <c r="M31" i="48"/>
  <c r="BA31" i="48" s="1"/>
  <c r="AU30" i="48"/>
  <c r="D54" i="24"/>
  <c r="F15" i="2"/>
  <c r="ET14" i="2"/>
  <c r="J40" i="25"/>
  <c r="K57" i="26"/>
  <c r="K56" i="26"/>
  <c r="J41" i="26"/>
  <c r="J45" i="26"/>
  <c r="M7" i="24"/>
  <c r="D39" i="20"/>
  <c r="E39" i="22"/>
  <c r="D42" i="22"/>
  <c r="E42" i="21"/>
  <c r="D46" i="22"/>
  <c r="E46" i="21"/>
  <c r="D48" i="22"/>
  <c r="E48" i="21"/>
  <c r="D41" i="22"/>
  <c r="E41" i="21"/>
  <c r="D43" i="22"/>
  <c r="E43" i="21"/>
  <c r="D45" i="22"/>
  <c r="E45" i="21"/>
  <c r="D47" i="22"/>
  <c r="E47" i="21"/>
  <c r="D49" i="22"/>
  <c r="E49" i="21"/>
  <c r="D50" i="22"/>
  <c r="E50" i="21"/>
  <c r="D52" i="17"/>
  <c r="E52" i="18"/>
  <c r="D40" i="20"/>
  <c r="E40" i="22"/>
  <c r="D44" i="20"/>
  <c r="E44" i="22"/>
  <c r="D38" i="21"/>
  <c r="E38" i="23"/>
  <c r="E53" i="23" s="1"/>
  <c r="E54" i="23" s="1"/>
  <c r="D53" i="23"/>
  <c r="D54" i="23" s="1"/>
  <c r="D51" i="20"/>
  <c r="E51" i="22"/>
  <c r="J37" i="21"/>
  <c r="J39" i="23"/>
  <c r="J38" i="18"/>
  <c r="J57" i="10"/>
  <c r="J56" i="20"/>
  <c r="AE14" i="48" l="1"/>
  <c r="AW14" i="48"/>
  <c r="AK14" i="48"/>
  <c r="S15" i="48"/>
  <c r="S16" i="48" s="1"/>
  <c r="BC14" i="48"/>
  <c r="K14" i="48"/>
  <c r="J44" i="23"/>
  <c r="J43" i="21"/>
  <c r="M20" i="28"/>
  <c r="M34" i="27"/>
  <c r="M32" i="48"/>
  <c r="BA32" i="48" s="1"/>
  <c r="AU31" i="48"/>
  <c r="F16" i="2"/>
  <c r="ET15" i="2"/>
  <c r="M7" i="23"/>
  <c r="J40" i="24"/>
  <c r="K57" i="25"/>
  <c r="K56" i="25"/>
  <c r="J41" i="25"/>
  <c r="J45" i="25"/>
  <c r="D51" i="19"/>
  <c r="E51" i="20"/>
  <c r="D38" i="22"/>
  <c r="D53" i="21"/>
  <c r="E38" i="21"/>
  <c r="E53" i="21" s="1"/>
  <c r="E54" i="21" s="1"/>
  <c r="D44" i="19"/>
  <c r="E44" i="20"/>
  <c r="D40" i="19"/>
  <c r="E40" i="20"/>
  <c r="D52" i="16"/>
  <c r="E52" i="17"/>
  <c r="D50" i="20"/>
  <c r="E50" i="22"/>
  <c r="D49" i="20"/>
  <c r="E49" i="22"/>
  <c r="D47" i="20"/>
  <c r="E47" i="22"/>
  <c r="D45" i="20"/>
  <c r="E45" i="22"/>
  <c r="D43" i="20"/>
  <c r="E43" i="22"/>
  <c r="D41" i="20"/>
  <c r="E41" i="22"/>
  <c r="D48" i="20"/>
  <c r="E48" i="22"/>
  <c r="D46" i="20"/>
  <c r="E46" i="22"/>
  <c r="D42" i="20"/>
  <c r="E42" i="22"/>
  <c r="D39" i="19"/>
  <c r="E39" i="20"/>
  <c r="J39" i="21"/>
  <c r="J37" i="22"/>
  <c r="J56" i="19"/>
  <c r="J57" i="9"/>
  <c r="J38" i="17"/>
  <c r="BH15" i="48" l="1"/>
  <c r="BC15" i="48"/>
  <c r="AE15" i="48"/>
  <c r="K15" i="48"/>
  <c r="AK15" i="48"/>
  <c r="AW15" i="48"/>
  <c r="BH16" i="48"/>
  <c r="AE16" i="48"/>
  <c r="BC16" i="48"/>
  <c r="S17" i="48"/>
  <c r="AW17" i="48" s="1"/>
  <c r="K16" i="48"/>
  <c r="AK16" i="48"/>
  <c r="AW16" i="48"/>
  <c r="J43" i="22"/>
  <c r="J44" i="21"/>
  <c r="M20" i="26"/>
  <c r="M34" i="28"/>
  <c r="AU32" i="48"/>
  <c r="M33" i="48"/>
  <c r="BA33" i="48" s="1"/>
  <c r="D54" i="21"/>
  <c r="F17" i="2"/>
  <c r="ET16" i="2"/>
  <c r="K56" i="24"/>
  <c r="J40" i="23"/>
  <c r="K57" i="24"/>
  <c r="J41" i="24"/>
  <c r="J45" i="24"/>
  <c r="M7" i="21"/>
  <c r="D39" i="18"/>
  <c r="E39" i="19"/>
  <c r="D42" i="19"/>
  <c r="E42" i="20"/>
  <c r="D46" i="19"/>
  <c r="E46" i="20"/>
  <c r="D48" i="19"/>
  <c r="E48" i="20"/>
  <c r="D41" i="19"/>
  <c r="E41" i="20"/>
  <c r="D43" i="19"/>
  <c r="E43" i="20"/>
  <c r="D45" i="19"/>
  <c r="E45" i="20"/>
  <c r="D47" i="19"/>
  <c r="E47" i="20"/>
  <c r="D49" i="19"/>
  <c r="E49" i="20"/>
  <c r="D50" i="19"/>
  <c r="E50" i="20"/>
  <c r="D52" i="15"/>
  <c r="E52" i="16"/>
  <c r="D40" i="18"/>
  <c r="E40" i="19"/>
  <c r="D44" i="18"/>
  <c r="E44" i="19"/>
  <c r="D38" i="20"/>
  <c r="D53" i="22"/>
  <c r="E38" i="22"/>
  <c r="E53" i="22" s="1"/>
  <c r="E54" i="22" s="1"/>
  <c r="D51" i="18"/>
  <c r="E51" i="19"/>
  <c r="J39" i="22"/>
  <c r="J37" i="20"/>
  <c r="J57" i="8"/>
  <c r="J38" i="16"/>
  <c r="J56" i="18"/>
  <c r="BC17" i="48" l="1"/>
  <c r="AE17" i="48"/>
  <c r="BH17" i="48"/>
  <c r="AK17" i="48"/>
  <c r="K17" i="48"/>
  <c r="S18" i="48"/>
  <c r="AK18" i="48" s="1"/>
  <c r="J43" i="20"/>
  <c r="J44" i="22"/>
  <c r="M20" i="25"/>
  <c r="M34" i="26"/>
  <c r="M34" i="48"/>
  <c r="BA34" i="48" s="1"/>
  <c r="AU33" i="48"/>
  <c r="D54" i="22"/>
  <c r="F18" i="2"/>
  <c r="ET17" i="2"/>
  <c r="J41" i="23"/>
  <c r="J40" i="21"/>
  <c r="K57" i="23"/>
  <c r="K56" i="23"/>
  <c r="J45" i="23"/>
  <c r="M7" i="22"/>
  <c r="D51" i="17"/>
  <c r="E51" i="18"/>
  <c r="D38" i="19"/>
  <c r="E38" i="20"/>
  <c r="E53" i="20" s="1"/>
  <c r="E54" i="20" s="1"/>
  <c r="D53" i="20"/>
  <c r="D44" i="17"/>
  <c r="E44" i="18"/>
  <c r="D40" i="17"/>
  <c r="E40" i="18"/>
  <c r="D52" i="14"/>
  <c r="E52" i="15"/>
  <c r="D50" i="18"/>
  <c r="E50" i="19"/>
  <c r="D49" i="18"/>
  <c r="E49" i="19"/>
  <c r="D47" i="18"/>
  <c r="E47" i="19"/>
  <c r="D45" i="18"/>
  <c r="E45" i="19"/>
  <c r="D43" i="18"/>
  <c r="E43" i="19"/>
  <c r="D41" i="18"/>
  <c r="E41" i="19"/>
  <c r="D48" i="18"/>
  <c r="E48" i="19"/>
  <c r="D46" i="18"/>
  <c r="E46" i="19"/>
  <c r="D42" i="18"/>
  <c r="E42" i="19"/>
  <c r="D39" i="17"/>
  <c r="E39" i="18"/>
  <c r="J37" i="19"/>
  <c r="J39" i="20"/>
  <c r="J56" i="17"/>
  <c r="J38" i="15"/>
  <c r="J57" i="7"/>
  <c r="BC18" i="48" l="1"/>
  <c r="BH18" i="48"/>
  <c r="S19" i="48"/>
  <c r="AW19" i="48" s="1"/>
  <c r="AE18" i="48"/>
  <c r="AW18" i="48"/>
  <c r="K18" i="48"/>
  <c r="J43" i="19"/>
  <c r="J44" i="20"/>
  <c r="M20" i="24"/>
  <c r="M34" i="25"/>
  <c r="M35" i="48"/>
  <c r="BA35" i="48" s="1"/>
  <c r="AU34" i="48"/>
  <c r="D54" i="20"/>
  <c r="F19" i="2"/>
  <c r="ET18" i="2"/>
  <c r="J40" i="22"/>
  <c r="K56" i="21"/>
  <c r="J41" i="21"/>
  <c r="K57" i="21"/>
  <c r="J45" i="21"/>
  <c r="M7" i="20"/>
  <c r="D39" i="16"/>
  <c r="E39" i="17"/>
  <c r="D42" i="17"/>
  <c r="E42" i="18"/>
  <c r="D46" i="17"/>
  <c r="E46" i="18"/>
  <c r="D48" i="17"/>
  <c r="E48" i="18"/>
  <c r="D41" i="17"/>
  <c r="E41" i="18"/>
  <c r="D43" i="17"/>
  <c r="E43" i="18"/>
  <c r="D45" i="17"/>
  <c r="E45" i="18"/>
  <c r="D47" i="17"/>
  <c r="E47" i="18"/>
  <c r="D49" i="17"/>
  <c r="E49" i="18"/>
  <c r="D50" i="17"/>
  <c r="E50" i="18"/>
  <c r="D52" i="13"/>
  <c r="E52" i="14"/>
  <c r="D40" i="16"/>
  <c r="E40" i="17"/>
  <c r="D44" i="16"/>
  <c r="E44" i="17"/>
  <c r="D38" i="18"/>
  <c r="D53" i="19"/>
  <c r="E38" i="19"/>
  <c r="E53" i="19" s="1"/>
  <c r="E54" i="19" s="1"/>
  <c r="D51" i="16"/>
  <c r="E51" i="17"/>
  <c r="J39" i="19"/>
  <c r="J37" i="18"/>
  <c r="J57" i="6"/>
  <c r="J38" i="14"/>
  <c r="J56" i="16"/>
  <c r="AK19" i="48" l="1"/>
  <c r="AE19" i="48"/>
  <c r="BC19" i="48"/>
  <c r="S20" i="48"/>
  <c r="BH20" i="48" s="1"/>
  <c r="K19" i="48"/>
  <c r="BH19" i="48"/>
  <c r="J43" i="18"/>
  <c r="J44" i="19"/>
  <c r="M20" i="23"/>
  <c r="M34" i="24"/>
  <c r="AU35" i="48"/>
  <c r="M36" i="48"/>
  <c r="BA36" i="48" s="1"/>
  <c r="D54" i="19"/>
  <c r="F20" i="2"/>
  <c r="ET19" i="2"/>
  <c r="M7" i="19"/>
  <c r="J41" i="22"/>
  <c r="K57" i="22"/>
  <c r="J40" i="20"/>
  <c r="K56" i="22"/>
  <c r="J45" i="22"/>
  <c r="D38" i="17"/>
  <c r="D53" i="18"/>
  <c r="E38" i="18"/>
  <c r="E53" i="18" s="1"/>
  <c r="E54" i="18" s="1"/>
  <c r="D44" i="15"/>
  <c r="E44" i="16"/>
  <c r="D40" i="15"/>
  <c r="E40" i="16"/>
  <c r="D52" i="12"/>
  <c r="E52" i="13"/>
  <c r="D50" i="16"/>
  <c r="E50" i="17"/>
  <c r="D49" i="16"/>
  <c r="E49" i="17"/>
  <c r="D47" i="16"/>
  <c r="E47" i="17"/>
  <c r="D45" i="16"/>
  <c r="E45" i="17"/>
  <c r="D43" i="16"/>
  <c r="E43" i="17"/>
  <c r="D41" i="16"/>
  <c r="E41" i="17"/>
  <c r="D48" i="16"/>
  <c r="E48" i="17"/>
  <c r="D46" i="16"/>
  <c r="E46" i="17"/>
  <c r="D42" i="16"/>
  <c r="E42" i="17"/>
  <c r="D39" i="15"/>
  <c r="E39" i="16"/>
  <c r="D51" i="15"/>
  <c r="E51" i="16"/>
  <c r="J37" i="17"/>
  <c r="J39" i="18"/>
  <c r="J56" i="15"/>
  <c r="J38" i="13"/>
  <c r="J57" i="37"/>
  <c r="AE20" i="48" l="1"/>
  <c r="K20" i="48"/>
  <c r="AW20" i="48"/>
  <c r="BC20" i="48"/>
  <c r="S21" i="48"/>
  <c r="BH21" i="48" s="1"/>
  <c r="AK20" i="48"/>
  <c r="J44" i="18"/>
  <c r="J43" i="17"/>
  <c r="M20" i="21"/>
  <c r="M34" i="23"/>
  <c r="M37" i="48"/>
  <c r="BA37" i="48" s="1"/>
  <c r="AU36" i="48"/>
  <c r="D54" i="18"/>
  <c r="F21" i="2"/>
  <c r="ET20" i="2"/>
  <c r="M7" i="18"/>
  <c r="J41" i="20"/>
  <c r="K56" i="20"/>
  <c r="J40" i="19"/>
  <c r="K57" i="20"/>
  <c r="J45" i="20"/>
  <c r="D38" i="16"/>
  <c r="E38" i="17"/>
  <c r="E53" i="17" s="1"/>
  <c r="E54" i="17" s="1"/>
  <c r="D53" i="17"/>
  <c r="D51" i="14"/>
  <c r="E51" i="15"/>
  <c r="D39" i="14"/>
  <c r="E39" i="15"/>
  <c r="D42" i="15"/>
  <c r="E42" i="16"/>
  <c r="D46" i="15"/>
  <c r="E46" i="16"/>
  <c r="D48" i="15"/>
  <c r="E48" i="16"/>
  <c r="D41" i="15"/>
  <c r="E41" i="16"/>
  <c r="D43" i="15"/>
  <c r="E43" i="16"/>
  <c r="D45" i="15"/>
  <c r="E45" i="16"/>
  <c r="D47" i="15"/>
  <c r="E47" i="16"/>
  <c r="D49" i="15"/>
  <c r="E49" i="16"/>
  <c r="D50" i="15"/>
  <c r="E50" i="16"/>
  <c r="D52" i="11"/>
  <c r="E52" i="12"/>
  <c r="D40" i="14"/>
  <c r="E40" i="15"/>
  <c r="D44" i="14"/>
  <c r="E44" i="15"/>
  <c r="J39" i="17"/>
  <c r="J37" i="16"/>
  <c r="J57" i="4"/>
  <c r="J38" i="12"/>
  <c r="J56" i="14"/>
  <c r="AE21" i="48" l="1"/>
  <c r="K21" i="48"/>
  <c r="BC21" i="48"/>
  <c r="S22" i="48"/>
  <c r="BH22" i="48" s="1"/>
  <c r="AW21" i="48"/>
  <c r="AK21" i="48"/>
  <c r="J43" i="16"/>
  <c r="J44" i="17"/>
  <c r="M20" i="22"/>
  <c r="M34" i="21"/>
  <c r="AU37" i="48"/>
  <c r="M38" i="48"/>
  <c r="BA38" i="48" s="1"/>
  <c r="D54" i="17"/>
  <c r="F22" i="2"/>
  <c r="ET21" i="2"/>
  <c r="J41" i="19"/>
  <c r="K57" i="19"/>
  <c r="K56" i="19"/>
  <c r="J40" i="18"/>
  <c r="J45" i="19"/>
  <c r="M7" i="17"/>
  <c r="D38" i="15"/>
  <c r="E38" i="16"/>
  <c r="E53" i="16" s="1"/>
  <c r="E54" i="16" s="1"/>
  <c r="D53" i="16"/>
  <c r="D54" i="16" s="1"/>
  <c r="D44" i="13"/>
  <c r="E44" i="14"/>
  <c r="D40" i="13"/>
  <c r="E40" i="14"/>
  <c r="D52" i="10"/>
  <c r="E52" i="11"/>
  <c r="D50" i="14"/>
  <c r="E50" i="15"/>
  <c r="D49" i="14"/>
  <c r="E49" i="15"/>
  <c r="D47" i="14"/>
  <c r="E47" i="15"/>
  <c r="D45" i="14"/>
  <c r="E45" i="15"/>
  <c r="D43" i="14"/>
  <c r="E43" i="15"/>
  <c r="D41" i="14"/>
  <c r="E41" i="15"/>
  <c r="D48" i="14"/>
  <c r="E48" i="15"/>
  <c r="D46" i="14"/>
  <c r="E46" i="15"/>
  <c r="D42" i="14"/>
  <c r="E42" i="15"/>
  <c r="D39" i="13"/>
  <c r="E39" i="14"/>
  <c r="D51" i="13"/>
  <c r="E51" i="14"/>
  <c r="J37" i="15"/>
  <c r="J39" i="16"/>
  <c r="J57" i="43"/>
  <c r="J56" i="13"/>
  <c r="J38" i="11"/>
  <c r="S23" i="48" l="1"/>
  <c r="AW23" i="48" s="1"/>
  <c r="AW22" i="48"/>
  <c r="AK22" i="48"/>
  <c r="BC23" i="48"/>
  <c r="BC22" i="48"/>
  <c r="K22" i="48"/>
  <c r="AE22" i="48"/>
  <c r="J44" i="16"/>
  <c r="J43" i="15"/>
  <c r="M20" i="20"/>
  <c r="M34" i="22"/>
  <c r="AU38" i="48"/>
  <c r="M39" i="48"/>
  <c r="F23" i="2"/>
  <c r="ET22" i="2"/>
  <c r="S24" i="48"/>
  <c r="AK23" i="48"/>
  <c r="AE23" i="48"/>
  <c r="K23" i="48"/>
  <c r="M7" i="16"/>
  <c r="K56" i="18"/>
  <c r="J41" i="18"/>
  <c r="K57" i="18"/>
  <c r="J40" i="17"/>
  <c r="J45" i="18"/>
  <c r="D38" i="14"/>
  <c r="E38" i="15"/>
  <c r="E53" i="15" s="1"/>
  <c r="E54" i="15" s="1"/>
  <c r="D53" i="15"/>
  <c r="D51" i="12"/>
  <c r="E51" i="13"/>
  <c r="D39" i="12"/>
  <c r="E39" i="13"/>
  <c r="D42" i="13"/>
  <c r="E42" i="14"/>
  <c r="D46" i="13"/>
  <c r="E46" i="14"/>
  <c r="D48" i="13"/>
  <c r="E48" i="14"/>
  <c r="D41" i="13"/>
  <c r="E41" i="14"/>
  <c r="D43" i="13"/>
  <c r="E43" i="14"/>
  <c r="D45" i="13"/>
  <c r="E45" i="14"/>
  <c r="D47" i="13"/>
  <c r="E47" i="14"/>
  <c r="D49" i="13"/>
  <c r="E49" i="14"/>
  <c r="D50" i="13"/>
  <c r="E50" i="14"/>
  <c r="D52" i="9"/>
  <c r="E52" i="10"/>
  <c r="D40" i="12"/>
  <c r="E40" i="13"/>
  <c r="D44" i="12"/>
  <c r="E44" i="13"/>
  <c r="J39" i="15"/>
  <c r="J37" i="14"/>
  <c r="J38" i="10"/>
  <c r="J56" i="12"/>
  <c r="BH23" i="48" l="1"/>
  <c r="BC24" i="48"/>
  <c r="AU39" i="48"/>
  <c r="BA39" i="48"/>
  <c r="J44" i="15"/>
  <c r="J43" i="14"/>
  <c r="M20" i="19"/>
  <c r="M34" i="20"/>
  <c r="D54" i="15"/>
  <c r="BH24" i="48"/>
  <c r="AK24" i="48"/>
  <c r="K24" i="48"/>
  <c r="AW24" i="48"/>
  <c r="AE24" i="48"/>
  <c r="S25" i="48"/>
  <c r="F24" i="2"/>
  <c r="ET23" i="2"/>
  <c r="J40" i="16"/>
  <c r="K56" i="17"/>
  <c r="J41" i="17"/>
  <c r="K57" i="17"/>
  <c r="J45" i="17"/>
  <c r="M7" i="15"/>
  <c r="D44" i="11"/>
  <c r="E44" i="12"/>
  <c r="D40" i="11"/>
  <c r="E40" i="12"/>
  <c r="D52" i="8"/>
  <c r="E52" i="9"/>
  <c r="D50" i="12"/>
  <c r="E50" i="13"/>
  <c r="D49" i="12"/>
  <c r="E49" i="13"/>
  <c r="D47" i="12"/>
  <c r="E47" i="13"/>
  <c r="D45" i="12"/>
  <c r="E45" i="13"/>
  <c r="D43" i="12"/>
  <c r="E43" i="13"/>
  <c r="D41" i="12"/>
  <c r="E41" i="13"/>
  <c r="D48" i="12"/>
  <c r="E48" i="13"/>
  <c r="D46" i="12"/>
  <c r="E46" i="13"/>
  <c r="D42" i="12"/>
  <c r="E42" i="13"/>
  <c r="D39" i="11"/>
  <c r="E39" i="12"/>
  <c r="D51" i="11"/>
  <c r="E51" i="12"/>
  <c r="D38" i="13"/>
  <c r="E38" i="14"/>
  <c r="E53" i="14" s="1"/>
  <c r="E54" i="14" s="1"/>
  <c r="D53" i="14"/>
  <c r="J39" i="14"/>
  <c r="J37" i="13"/>
  <c r="J38" i="9"/>
  <c r="J56" i="11"/>
  <c r="BC25" i="48" l="1"/>
  <c r="J44" i="14"/>
  <c r="J43" i="13"/>
  <c r="M20" i="18"/>
  <c r="M34" i="19"/>
  <c r="D54" i="14"/>
  <c r="BH25" i="48"/>
  <c r="F25" i="2"/>
  <c r="ET24" i="2"/>
  <c r="AK25" i="48"/>
  <c r="AW25" i="48"/>
  <c r="K25" i="48"/>
  <c r="S26" i="48"/>
  <c r="AE25" i="48"/>
  <c r="M7" i="14"/>
  <c r="J40" i="15"/>
  <c r="K57" i="16"/>
  <c r="K56" i="16"/>
  <c r="J41" i="16"/>
  <c r="J45" i="16"/>
  <c r="D38" i="12"/>
  <c r="E38" i="13"/>
  <c r="E53" i="13" s="1"/>
  <c r="E54" i="13" s="1"/>
  <c r="D53" i="13"/>
  <c r="D51" i="10"/>
  <c r="E51" i="11"/>
  <c r="D39" i="10"/>
  <c r="E39" i="11"/>
  <c r="D42" i="11"/>
  <c r="E42" i="12"/>
  <c r="D46" i="11"/>
  <c r="E46" i="12"/>
  <c r="D48" i="11"/>
  <c r="E48" i="12"/>
  <c r="D41" i="11"/>
  <c r="E41" i="12"/>
  <c r="D43" i="11"/>
  <c r="E43" i="12"/>
  <c r="D45" i="11"/>
  <c r="E45" i="12"/>
  <c r="D47" i="11"/>
  <c r="E47" i="12"/>
  <c r="D49" i="11"/>
  <c r="E49" i="12"/>
  <c r="D50" i="11"/>
  <c r="E50" i="12"/>
  <c r="D52" i="7"/>
  <c r="E52" i="8"/>
  <c r="D40" i="10"/>
  <c r="E40" i="11"/>
  <c r="D44" i="10"/>
  <c r="E44" i="11"/>
  <c r="J37" i="12"/>
  <c r="J39" i="13"/>
  <c r="J56" i="10"/>
  <c r="J38" i="8"/>
  <c r="BC26" i="48" l="1"/>
  <c r="J44" i="13"/>
  <c r="J43" i="12"/>
  <c r="M20" i="17"/>
  <c r="M34" i="18"/>
  <c r="D54" i="13"/>
  <c r="BH26" i="48"/>
  <c r="AW26" i="48"/>
  <c r="AE26" i="48"/>
  <c r="S27" i="48"/>
  <c r="AK26" i="48"/>
  <c r="K26" i="48"/>
  <c r="F26" i="2"/>
  <c r="ET25" i="2"/>
  <c r="J40" i="14"/>
  <c r="J41" i="15"/>
  <c r="K57" i="15"/>
  <c r="K56" i="15"/>
  <c r="J45" i="15"/>
  <c r="M7" i="13"/>
  <c r="D44" i="9"/>
  <c r="E44" i="10"/>
  <c r="D40" i="9"/>
  <c r="E40" i="10"/>
  <c r="D52" i="6"/>
  <c r="E52" i="7"/>
  <c r="D50" i="10"/>
  <c r="E50" i="11"/>
  <c r="D49" i="10"/>
  <c r="E49" i="11"/>
  <c r="D47" i="10"/>
  <c r="E47" i="11"/>
  <c r="D45" i="10"/>
  <c r="E45" i="11"/>
  <c r="D43" i="10"/>
  <c r="E43" i="11"/>
  <c r="D41" i="10"/>
  <c r="E41" i="11"/>
  <c r="D48" i="10"/>
  <c r="E48" i="11"/>
  <c r="D46" i="10"/>
  <c r="E46" i="11"/>
  <c r="D42" i="10"/>
  <c r="E42" i="11"/>
  <c r="D39" i="9"/>
  <c r="E39" i="10"/>
  <c r="D51" i="9"/>
  <c r="E51" i="10"/>
  <c r="D38" i="11"/>
  <c r="D53" i="12"/>
  <c r="D54" i="12" s="1"/>
  <c r="E38" i="12"/>
  <c r="E53" i="12" s="1"/>
  <c r="E54" i="12" s="1"/>
  <c r="J37" i="11"/>
  <c r="J39" i="12"/>
  <c r="J38" i="7"/>
  <c r="J56" i="9"/>
  <c r="BC27" i="48" l="1"/>
  <c r="J44" i="12"/>
  <c r="J43" i="11"/>
  <c r="M20" i="16"/>
  <c r="M34" i="17"/>
  <c r="BH27" i="48"/>
  <c r="F27" i="2"/>
  <c r="ET26" i="2"/>
  <c r="K27" i="48"/>
  <c r="S28" i="48"/>
  <c r="AK27" i="48"/>
  <c r="AE27" i="48"/>
  <c r="AW27" i="48"/>
  <c r="K56" i="14"/>
  <c r="J40" i="13"/>
  <c r="K57" i="14"/>
  <c r="J41" i="14"/>
  <c r="J45" i="14"/>
  <c r="M7" i="12"/>
  <c r="D51" i="8"/>
  <c r="E51" i="9"/>
  <c r="D38" i="10"/>
  <c r="D53" i="11"/>
  <c r="D54" i="11" s="1"/>
  <c r="E38" i="11"/>
  <c r="E53" i="11" s="1"/>
  <c r="E54" i="11" s="1"/>
  <c r="D39" i="8"/>
  <c r="E39" i="9"/>
  <c r="D42" i="9"/>
  <c r="E42" i="10"/>
  <c r="D46" i="9"/>
  <c r="E46" i="10"/>
  <c r="D48" i="9"/>
  <c r="E48" i="10"/>
  <c r="D41" i="9"/>
  <c r="E41" i="10"/>
  <c r="D43" i="9"/>
  <c r="E43" i="10"/>
  <c r="D45" i="9"/>
  <c r="E45" i="10"/>
  <c r="D47" i="9"/>
  <c r="E47" i="10"/>
  <c r="D49" i="9"/>
  <c r="E49" i="10"/>
  <c r="D50" i="9"/>
  <c r="E50" i="10"/>
  <c r="D52" i="37"/>
  <c r="E52" i="6"/>
  <c r="D40" i="8"/>
  <c r="E40" i="9"/>
  <c r="D44" i="8"/>
  <c r="E44" i="9"/>
  <c r="J37" i="10"/>
  <c r="J39" i="11"/>
  <c r="J56" i="8"/>
  <c r="J38" i="6"/>
  <c r="BC28" i="48" l="1"/>
  <c r="J43" i="10"/>
  <c r="J44" i="11"/>
  <c r="M20" i="15"/>
  <c r="M34" i="16"/>
  <c r="BH28" i="48"/>
  <c r="S29" i="48"/>
  <c r="AE28" i="48"/>
  <c r="AW28" i="48"/>
  <c r="K28" i="48"/>
  <c r="AK28" i="48"/>
  <c r="F28" i="2"/>
  <c r="ET27" i="2"/>
  <c r="M7" i="11"/>
  <c r="J41" i="13"/>
  <c r="K56" i="13"/>
  <c r="J40" i="12"/>
  <c r="K57" i="13"/>
  <c r="J45" i="13"/>
  <c r="D44" i="7"/>
  <c r="E44" i="8"/>
  <c r="D40" i="7"/>
  <c r="E40" i="8"/>
  <c r="D52" i="4"/>
  <c r="E52" i="37"/>
  <c r="D50" i="8"/>
  <c r="E50" i="9"/>
  <c r="D49" i="8"/>
  <c r="E49" i="9"/>
  <c r="D47" i="8"/>
  <c r="E47" i="9"/>
  <c r="D45" i="8"/>
  <c r="E45" i="9"/>
  <c r="D43" i="8"/>
  <c r="E43" i="9"/>
  <c r="D41" i="8"/>
  <c r="E41" i="9"/>
  <c r="D48" i="8"/>
  <c r="E48" i="9"/>
  <c r="D46" i="8"/>
  <c r="E46" i="9"/>
  <c r="D42" i="8"/>
  <c r="E42" i="9"/>
  <c r="D39" i="7"/>
  <c r="E39" i="8"/>
  <c r="D38" i="9"/>
  <c r="E38" i="10"/>
  <c r="E53" i="10" s="1"/>
  <c r="E54" i="10" s="1"/>
  <c r="D53" i="10"/>
  <c r="D51" i="7"/>
  <c r="E51" i="8"/>
  <c r="J37" i="9"/>
  <c r="J39" i="10"/>
  <c r="J56" i="7"/>
  <c r="J38" i="37"/>
  <c r="BC29" i="48" l="1"/>
  <c r="J44" i="10"/>
  <c r="J43" i="9"/>
  <c r="M20" i="14"/>
  <c r="M34" i="15"/>
  <c r="D54" i="10"/>
  <c r="BH29" i="48"/>
  <c r="F29" i="2"/>
  <c r="ET28" i="2"/>
  <c r="AW29" i="48"/>
  <c r="AE29" i="48"/>
  <c r="AK29" i="48"/>
  <c r="S30" i="48"/>
  <c r="K29" i="48"/>
  <c r="J40" i="11"/>
  <c r="J41" i="12"/>
  <c r="K57" i="12"/>
  <c r="K56" i="12"/>
  <c r="J45" i="12"/>
  <c r="M7" i="10"/>
  <c r="D51" i="6"/>
  <c r="E51" i="7"/>
  <c r="D38" i="8"/>
  <c r="E38" i="9"/>
  <c r="E53" i="9" s="1"/>
  <c r="E54" i="9" s="1"/>
  <c r="D53" i="9"/>
  <c r="D54" i="9" s="1"/>
  <c r="D39" i="6"/>
  <c r="E39" i="7"/>
  <c r="D42" i="7"/>
  <c r="E42" i="8"/>
  <c r="D46" i="7"/>
  <c r="Z128" i="55" s="1"/>
  <c r="E46" i="8"/>
  <c r="D48" i="7"/>
  <c r="E48" i="8"/>
  <c r="D41" i="7"/>
  <c r="E41" i="8"/>
  <c r="D43" i="7"/>
  <c r="E43" i="8"/>
  <c r="D45" i="7"/>
  <c r="E45" i="8"/>
  <c r="D47" i="7"/>
  <c r="E47" i="8"/>
  <c r="D49" i="7"/>
  <c r="E49" i="8"/>
  <c r="D50" i="7"/>
  <c r="E50" i="8"/>
  <c r="D52" i="43"/>
  <c r="E52" i="43" s="1"/>
  <c r="E52" i="4"/>
  <c r="D40" i="6"/>
  <c r="E40" i="7"/>
  <c r="D44" i="6"/>
  <c r="E44" i="7"/>
  <c r="J37" i="8"/>
  <c r="J39" i="9"/>
  <c r="J38" i="4"/>
  <c r="J56" i="6"/>
  <c r="Z124" i="55" l="1"/>
  <c r="AA124" i="55" s="1"/>
  <c r="AB124" i="55" s="1"/>
  <c r="Z128" i="46"/>
  <c r="AA128" i="46" s="1"/>
  <c r="AB128" i="46" s="1"/>
  <c r="AA128" i="55"/>
  <c r="AB128" i="55" s="1"/>
  <c r="Z124" i="46"/>
  <c r="AA124" i="46" s="1"/>
  <c r="AB124" i="46" s="1"/>
  <c r="BC30" i="48"/>
  <c r="J44" i="9"/>
  <c r="J43" i="8"/>
  <c r="M20" i="13"/>
  <c r="M34" i="14"/>
  <c r="BH30" i="48"/>
  <c r="S31" i="48"/>
  <c r="K30" i="48"/>
  <c r="AW30" i="48"/>
  <c r="AE30" i="48"/>
  <c r="AK30" i="48"/>
  <c r="F30" i="2"/>
  <c r="ET29" i="2"/>
  <c r="M7" i="9"/>
  <c r="K56" i="11"/>
  <c r="J41" i="11"/>
  <c r="J40" i="10"/>
  <c r="K57" i="11"/>
  <c r="J45" i="11"/>
  <c r="D44" i="37"/>
  <c r="E44" i="6"/>
  <c r="D40" i="37"/>
  <c r="E40" i="6"/>
  <c r="D50" i="6"/>
  <c r="E50" i="7"/>
  <c r="D49" i="6"/>
  <c r="E49" i="7"/>
  <c r="D47" i="6"/>
  <c r="E47" i="7"/>
  <c r="D45" i="6"/>
  <c r="E45" i="7"/>
  <c r="D43" i="6"/>
  <c r="E43" i="7"/>
  <c r="D41" i="6"/>
  <c r="E41" i="7"/>
  <c r="D48" i="6"/>
  <c r="E48" i="7"/>
  <c r="D46" i="6"/>
  <c r="E46" i="7"/>
  <c r="D42" i="6"/>
  <c r="E42" i="7"/>
  <c r="D39" i="37"/>
  <c r="E39" i="6"/>
  <c r="D38" i="7"/>
  <c r="AA120" i="55" s="1"/>
  <c r="AB120" i="55" s="1"/>
  <c r="E38" i="8"/>
  <c r="E53" i="8" s="1"/>
  <c r="E54" i="8" s="1"/>
  <c r="D53" i="8"/>
  <c r="D54" i="8" s="1"/>
  <c r="D51" i="37"/>
  <c r="E51" i="6"/>
  <c r="J37" i="7"/>
  <c r="J39" i="8"/>
  <c r="J56" i="37"/>
  <c r="J38" i="43"/>
  <c r="BC31" i="48" l="1"/>
  <c r="J44" i="8"/>
  <c r="J43" i="7"/>
  <c r="M20" i="12"/>
  <c r="M34" i="13"/>
  <c r="BH31" i="48"/>
  <c r="F31" i="2"/>
  <c r="ET30" i="2"/>
  <c r="K31" i="48"/>
  <c r="AW31" i="48"/>
  <c r="AE31" i="48"/>
  <c r="S32" i="48"/>
  <c r="AK31" i="48"/>
  <c r="J41" i="10"/>
  <c r="K56" i="10"/>
  <c r="J40" i="9"/>
  <c r="K57" i="10"/>
  <c r="J45" i="10"/>
  <c r="M7" i="8"/>
  <c r="D51" i="4"/>
  <c r="E51" i="37"/>
  <c r="D38" i="6"/>
  <c r="E38" i="7"/>
  <c r="E53" i="7" s="1"/>
  <c r="E54" i="7" s="1"/>
  <c r="D53" i="7"/>
  <c r="D39" i="4"/>
  <c r="E39" i="37"/>
  <c r="D42" i="37"/>
  <c r="E42" i="6"/>
  <c r="D46" i="37"/>
  <c r="E46" i="6"/>
  <c r="D48" i="37"/>
  <c r="E48" i="6"/>
  <c r="D41" i="37"/>
  <c r="E41" i="6"/>
  <c r="D43" i="37"/>
  <c r="E43" i="6"/>
  <c r="D45" i="37"/>
  <c r="E45" i="6"/>
  <c r="D47" i="37"/>
  <c r="E47" i="6"/>
  <c r="D49" i="37"/>
  <c r="E49" i="6"/>
  <c r="D50" i="37"/>
  <c r="E50" i="6"/>
  <c r="D40" i="4"/>
  <c r="E40" i="37"/>
  <c r="D44" i="4"/>
  <c r="E44" i="37"/>
  <c r="J39" i="7"/>
  <c r="J37" i="6"/>
  <c r="J56" i="4"/>
  <c r="AA120" i="46" l="1"/>
  <c r="Z136" i="46"/>
  <c r="Z136" i="55"/>
  <c r="BC32" i="48"/>
  <c r="J43" i="6"/>
  <c r="J44" i="7"/>
  <c r="M20" i="11"/>
  <c r="M34" i="12"/>
  <c r="D54" i="7"/>
  <c r="BH32" i="48"/>
  <c r="S33" i="48"/>
  <c r="K32" i="48"/>
  <c r="AW32" i="48"/>
  <c r="AK32" i="48"/>
  <c r="AE32" i="48"/>
  <c r="F32" i="2"/>
  <c r="ET31" i="2"/>
  <c r="J41" i="9"/>
  <c r="K57" i="9"/>
  <c r="K56" i="9"/>
  <c r="J40" i="8"/>
  <c r="J45" i="9"/>
  <c r="M7" i="7"/>
  <c r="D44" i="43"/>
  <c r="E44" i="43" s="1"/>
  <c r="E44" i="4"/>
  <c r="D40" i="43"/>
  <c r="E40" i="43" s="1"/>
  <c r="E40" i="4"/>
  <c r="D50" i="4"/>
  <c r="E50" i="37"/>
  <c r="D49" i="4"/>
  <c r="E49" i="37"/>
  <c r="D47" i="4"/>
  <c r="E47" i="37"/>
  <c r="D45" i="4"/>
  <c r="E45" i="37"/>
  <c r="D43" i="4"/>
  <c r="E43" i="37"/>
  <c r="D41" i="4"/>
  <c r="E41" i="37"/>
  <c r="D48" i="4"/>
  <c r="E48" i="37"/>
  <c r="D46" i="4"/>
  <c r="E46" i="37"/>
  <c r="D42" i="4"/>
  <c r="E42" i="37"/>
  <c r="D39" i="43"/>
  <c r="E39" i="43" s="1"/>
  <c r="E39" i="4"/>
  <c r="D38" i="37"/>
  <c r="D53" i="6"/>
  <c r="E38" i="6"/>
  <c r="E53" i="6" s="1"/>
  <c r="E54" i="6" s="1"/>
  <c r="D51" i="43"/>
  <c r="E51" i="43" s="1"/>
  <c r="E51" i="4"/>
  <c r="J39" i="6"/>
  <c r="J37" i="37"/>
  <c r="J56" i="43"/>
  <c r="Z140" i="46" l="1"/>
  <c r="T2" i="53"/>
  <c r="Z137" i="55"/>
  <c r="X145" i="55" s="1"/>
  <c r="AB136" i="55"/>
  <c r="AA136" i="55"/>
  <c r="I2" i="53"/>
  <c r="Z137" i="46"/>
  <c r="X145" i="46" s="1"/>
  <c r="AB120" i="46"/>
  <c r="AB136" i="46" s="1"/>
  <c r="AA136" i="46"/>
  <c r="BC33" i="48"/>
  <c r="J43" i="37"/>
  <c r="J44" i="6"/>
  <c r="M20" i="10"/>
  <c r="M34" i="11"/>
  <c r="D54" i="6"/>
  <c r="BH33" i="48"/>
  <c r="F33" i="2"/>
  <c r="ET32" i="2"/>
  <c r="S34" i="48"/>
  <c r="AK33" i="48"/>
  <c r="AW33" i="48"/>
  <c r="K33" i="48"/>
  <c r="AE33" i="48"/>
  <c r="M7" i="6"/>
  <c r="K56" i="8"/>
  <c r="J41" i="8"/>
  <c r="K57" i="8"/>
  <c r="J40" i="7"/>
  <c r="J45" i="8"/>
  <c r="D38" i="4"/>
  <c r="D53" i="37"/>
  <c r="E38" i="37"/>
  <c r="E53" i="37" s="1"/>
  <c r="E54" i="37" s="1"/>
  <c r="D42" i="43"/>
  <c r="E42" i="43" s="1"/>
  <c r="E42" i="4"/>
  <c r="D46" i="43"/>
  <c r="E46" i="43" s="1"/>
  <c r="E46" i="4"/>
  <c r="D48" i="43"/>
  <c r="E48" i="43" s="1"/>
  <c r="E48" i="4"/>
  <c r="D41" i="43"/>
  <c r="E41" i="43" s="1"/>
  <c r="E41" i="4"/>
  <c r="D43" i="43"/>
  <c r="E43" i="43" s="1"/>
  <c r="E43" i="4"/>
  <c r="D45" i="43"/>
  <c r="E45" i="43" s="1"/>
  <c r="E45" i="4"/>
  <c r="D47" i="43"/>
  <c r="E47" i="43" s="1"/>
  <c r="E47" i="4"/>
  <c r="D49" i="43"/>
  <c r="E49" i="43" s="1"/>
  <c r="E49" i="4"/>
  <c r="D50" i="43"/>
  <c r="E50" i="43" s="1"/>
  <c r="E50" i="4"/>
  <c r="J39" i="37"/>
  <c r="J37" i="4"/>
  <c r="AB137" i="46" l="1"/>
  <c r="X148" i="46" s="1"/>
  <c r="I4" i="53"/>
  <c r="E12" i="54"/>
  <c r="J2" i="53"/>
  <c r="AA137" i="55"/>
  <c r="X147" i="55" s="1"/>
  <c r="T3" i="53"/>
  <c r="AB137" i="55"/>
  <c r="X148" i="55" s="1"/>
  <c r="T4" i="53"/>
  <c r="I3" i="53"/>
  <c r="AA137" i="46"/>
  <c r="X147" i="46" s="1"/>
  <c r="X167" i="46" s="1"/>
  <c r="X169" i="46" s="1"/>
  <c r="N12" i="54"/>
  <c r="U2" i="53"/>
  <c r="O12" i="54" s="1"/>
  <c r="BC34" i="48"/>
  <c r="J43" i="4"/>
  <c r="J44" i="37"/>
  <c r="M20" i="9"/>
  <c r="M34" i="10"/>
  <c r="D54" i="37"/>
  <c r="BH34" i="48"/>
  <c r="AK34" i="48"/>
  <c r="AW34" i="48"/>
  <c r="S35" i="48"/>
  <c r="K34" i="48"/>
  <c r="AE34" i="48"/>
  <c r="F34" i="2"/>
  <c r="ET33" i="2"/>
  <c r="J41" i="7"/>
  <c r="K57" i="7"/>
  <c r="K56" i="7"/>
  <c r="J40" i="6"/>
  <c r="J45" i="7"/>
  <c r="M7" i="37"/>
  <c r="D38" i="43"/>
  <c r="E38" i="4"/>
  <c r="E53" i="4" s="1"/>
  <c r="E54" i="4" s="1"/>
  <c r="D53" i="4"/>
  <c r="D54" i="4" s="1"/>
  <c r="J39" i="4"/>
  <c r="J37" i="43"/>
  <c r="J39" i="43" s="1"/>
  <c r="X167" i="55" l="1"/>
  <c r="X169" i="55" s="1"/>
  <c r="N14" i="54"/>
  <c r="U4" i="53"/>
  <c r="O14" i="54" s="1"/>
  <c r="P14" i="54" s="1"/>
  <c r="Q14" i="54" s="1"/>
  <c r="N13" i="54"/>
  <c r="N40" i="54" s="1"/>
  <c r="U3" i="53"/>
  <c r="O13" i="54" s="1"/>
  <c r="P13" i="54" s="1"/>
  <c r="P12" i="54"/>
  <c r="F12" i="54"/>
  <c r="E14" i="54"/>
  <c r="F14" i="54" s="1"/>
  <c r="G14" i="54" s="1"/>
  <c r="H14" i="54" s="1"/>
  <c r="J4" i="53"/>
  <c r="E13" i="54"/>
  <c r="F13" i="54" s="1"/>
  <c r="G13" i="54" s="1"/>
  <c r="J3" i="53"/>
  <c r="BC35" i="48"/>
  <c r="J44" i="4"/>
  <c r="J43" i="43"/>
  <c r="J44" i="43" s="1"/>
  <c r="M20" i="8"/>
  <c r="M34" i="9"/>
  <c r="BH35" i="48"/>
  <c r="F35" i="2"/>
  <c r="ET34" i="2"/>
  <c r="AK35" i="48"/>
  <c r="K35" i="48"/>
  <c r="AE35" i="48"/>
  <c r="S36" i="48"/>
  <c r="AW35" i="48"/>
  <c r="M7" i="4"/>
  <c r="K56" i="6"/>
  <c r="J40" i="37"/>
  <c r="J41" i="6"/>
  <c r="K57" i="6"/>
  <c r="J45" i="6"/>
  <c r="D53" i="43"/>
  <c r="E38" i="43"/>
  <c r="E53" i="43" s="1"/>
  <c r="E54" i="43" s="1"/>
  <c r="O40" i="54" l="1"/>
  <c r="O42" i="54" s="1"/>
  <c r="E40" i="54"/>
  <c r="Q12" i="54"/>
  <c r="Q40" i="54" s="1"/>
  <c r="Q42" i="54" s="1"/>
  <c r="R11" i="53" s="1"/>
  <c r="P40" i="54"/>
  <c r="P42" i="54" s="1"/>
  <c r="G12" i="54"/>
  <c r="F40" i="54"/>
  <c r="F42" i="54" s="1"/>
  <c r="BC36" i="48"/>
  <c r="M20" i="7"/>
  <c r="M34" i="8"/>
  <c r="BH36" i="48"/>
  <c r="D54" i="43"/>
  <c r="AK36" i="48"/>
  <c r="S37" i="48"/>
  <c r="AE36" i="48"/>
  <c r="AW36" i="48"/>
  <c r="K36" i="48"/>
  <c r="F36" i="2"/>
  <c r="ET35" i="2"/>
  <c r="J40" i="4"/>
  <c r="K57" i="37"/>
  <c r="J41" i="37"/>
  <c r="K56" i="37"/>
  <c r="J45" i="37"/>
  <c r="M7" i="43"/>
  <c r="G40" i="54" l="1"/>
  <c r="G42" i="54" s="1"/>
  <c r="H12" i="54"/>
  <c r="H40" i="54" s="1"/>
  <c r="H42" i="54" s="1"/>
  <c r="G11" i="53" s="1"/>
  <c r="BC37" i="48"/>
  <c r="M20" i="6"/>
  <c r="M34" i="7"/>
  <c r="BH37" i="48"/>
  <c r="F37" i="2"/>
  <c r="ET36" i="2"/>
  <c r="AW37" i="48"/>
  <c r="AK37" i="48"/>
  <c r="S38" i="48"/>
  <c r="K37" i="48"/>
  <c r="AE37" i="48"/>
  <c r="J41" i="4"/>
  <c r="J40" i="43"/>
  <c r="K57" i="4"/>
  <c r="K56" i="4"/>
  <c r="J45" i="4"/>
  <c r="BC38" i="48" l="1"/>
  <c r="M20" i="37"/>
  <c r="M34" i="6"/>
  <c r="BH38" i="48"/>
  <c r="AW38" i="48"/>
  <c r="AK38" i="48"/>
  <c r="S39" i="48"/>
  <c r="AE38" i="48"/>
  <c r="K38" i="48"/>
  <c r="F38" i="2"/>
  <c r="ET37" i="2"/>
  <c r="K56" i="43"/>
  <c r="J41" i="43"/>
  <c r="K57" i="43"/>
  <c r="J45" i="43"/>
  <c r="BC39" i="48" l="1"/>
  <c r="M20" i="4"/>
  <c r="M34" i="37"/>
  <c r="BH39" i="48"/>
  <c r="F39" i="2"/>
  <c r="ET38" i="2"/>
  <c r="AK39" i="48"/>
  <c r="K39" i="48"/>
  <c r="AE39" i="48"/>
  <c r="AW39" i="48"/>
  <c r="M20" i="43" l="1"/>
  <c r="M34" i="4"/>
  <c r="ET39" i="2"/>
  <c r="F40" i="2"/>
  <c r="ET40" i="2" s="1"/>
  <c r="N48" i="4" l="1"/>
  <c r="O52" i="4"/>
  <c r="J31" i="27"/>
  <c r="J31" i="28" s="1"/>
  <c r="J31" i="26" s="1"/>
  <c r="M34" i="43"/>
  <c r="AA140" i="46" s="1"/>
  <c r="J31" i="24" l="1"/>
  <c r="J31" i="23" s="1"/>
  <c r="J31" i="21" s="1"/>
  <c r="J31" i="22" s="1"/>
  <c r="J31" i="20" s="1"/>
  <c r="J31" i="19" s="1"/>
  <c r="J31" i="18" s="1"/>
  <c r="J31" i="17" s="1"/>
  <c r="J31" i="16" s="1"/>
  <c r="J31" i="15" s="1"/>
  <c r="J31" i="14" s="1"/>
  <c r="J31" i="13" s="1"/>
  <c r="J31" i="12" s="1"/>
  <c r="J31" i="11" s="1"/>
  <c r="J31" i="10" s="1"/>
  <c r="J31" i="9" s="1"/>
  <c r="J31" i="8" s="1"/>
  <c r="J31" i="7" s="1"/>
  <c r="J31" i="6" s="1"/>
  <c r="J31" i="37" s="1"/>
  <c r="J31" i="4" s="1"/>
  <c r="J31" i="43" s="1"/>
  <c r="J31" i="25"/>
  <c r="I49" i="4"/>
  <c r="I49" i="17"/>
  <c r="I49" i="18"/>
  <c r="I50" i="17" l="1"/>
  <c r="I51" i="17"/>
  <c r="I50" i="4"/>
  <c r="I51" i="4"/>
  <c r="I50" i="18"/>
  <c r="I51" i="18"/>
  <c r="I49" i="43"/>
  <c r="I49" i="22"/>
  <c r="I50" i="43" l="1"/>
  <c r="I51" i="43"/>
  <c r="I50" i="22"/>
  <c r="I51" i="22"/>
  <c r="I49" i="27" l="1"/>
  <c r="I50" i="27" l="1"/>
  <c r="I51" i="27"/>
  <c r="I49" i="24" l="1"/>
  <c r="I49" i="25"/>
  <c r="I50" i="24" l="1"/>
  <c r="I51" i="24"/>
  <c r="I50" i="25"/>
  <c r="I51" i="25"/>
  <c r="I49" i="23" l="1"/>
  <c r="I50" i="23" l="1"/>
  <c r="I51" i="23"/>
  <c r="I49" i="21" l="1"/>
  <c r="I50" i="21" l="1"/>
  <c r="I51" i="21"/>
  <c r="I49" i="20" l="1"/>
  <c r="I50" i="20" l="1"/>
  <c r="I51" i="20"/>
  <c r="I49" i="19" l="1"/>
  <c r="I50" i="19" l="1"/>
  <c r="I51" i="19"/>
  <c r="I49" i="16" l="1"/>
  <c r="I50" i="16" l="1"/>
  <c r="I51" i="16"/>
  <c r="I49" i="15" l="1"/>
  <c r="I50" i="15" l="1"/>
  <c r="I51" i="15"/>
  <c r="I49" i="14" l="1"/>
  <c r="I50" i="14" l="1"/>
  <c r="I51" i="14"/>
  <c r="I49" i="13" l="1"/>
  <c r="I50" i="13" l="1"/>
  <c r="I51" i="13"/>
  <c r="I49" i="12" l="1"/>
  <c r="I50" i="12" l="1"/>
  <c r="I51" i="12"/>
  <c r="I49" i="10" l="1"/>
  <c r="I50" i="10" l="1"/>
  <c r="I51" i="10"/>
  <c r="I49" i="11"/>
  <c r="I50" i="11" l="1"/>
  <c r="I51" i="11"/>
  <c r="I49" i="9" l="1"/>
  <c r="I50" i="9" l="1"/>
  <c r="I51" i="9"/>
  <c r="EJ13" i="2" l="1"/>
  <c r="EI42" i="2"/>
  <c r="EJ42" i="2" s="1"/>
  <c r="EK13" i="2"/>
  <c r="EK14" i="2" s="1"/>
  <c r="EL13" i="2" l="1"/>
  <c r="EK15" i="2"/>
  <c r="EL14" i="2"/>
  <c r="EK16" i="2" l="1"/>
  <c r="EL15" i="2"/>
  <c r="EK17" i="2" l="1"/>
  <c r="EL16" i="2"/>
  <c r="EL17" i="2" l="1"/>
  <c r="EK18" i="2"/>
  <c r="EL18" i="2" l="1"/>
  <c r="EK19" i="2"/>
  <c r="EL19" i="2" l="1"/>
  <c r="EK20" i="2"/>
  <c r="EK21" i="2" l="1"/>
  <c r="EL20" i="2"/>
  <c r="EK22" i="2" l="1"/>
  <c r="EL21" i="2"/>
  <c r="EL22" i="2" l="1"/>
  <c r="EK23" i="2"/>
  <c r="EK24" i="2" l="1"/>
  <c r="EL23" i="2"/>
  <c r="EK25" i="2" l="1"/>
  <c r="EL24" i="2"/>
  <c r="EL25" i="2" l="1"/>
  <c r="EK26" i="2"/>
  <c r="EK27" i="2" l="1"/>
  <c r="EL26" i="2"/>
  <c r="EK28" i="2" l="1"/>
  <c r="EL27" i="2"/>
  <c r="EL28" i="2" l="1"/>
  <c r="EK29" i="2"/>
  <c r="EL29" i="2" l="1"/>
  <c r="EK30" i="2"/>
  <c r="EL30" i="2" l="1"/>
  <c r="EK31" i="2"/>
  <c r="EL31" i="2" l="1"/>
  <c r="EK32" i="2"/>
  <c r="EK33" i="2" l="1"/>
  <c r="EL32" i="2"/>
  <c r="EK34" i="2" l="1"/>
  <c r="EL33" i="2"/>
  <c r="EL34" i="2" l="1"/>
  <c r="EK35" i="2"/>
  <c r="EK36" i="2" l="1"/>
  <c r="EL35" i="2"/>
  <c r="EK37" i="2" l="1"/>
  <c r="EL36" i="2"/>
  <c r="EL37" i="2" l="1"/>
  <c r="EK38" i="2"/>
  <c r="EL38" i="2" l="1"/>
  <c r="EK39" i="2"/>
  <c r="EL39" i="2" l="1"/>
  <c r="EK40" i="2"/>
  <c r="EL40" i="2" s="1"/>
  <c r="U9" i="48" l="1"/>
  <c r="X9" i="48"/>
  <c r="I49" i="33"/>
  <c r="V9" i="48"/>
  <c r="V12" i="48" l="1"/>
  <c r="X12" i="48"/>
  <c r="I49" i="30"/>
  <c r="V11" i="48"/>
  <c r="I49" i="31"/>
  <c r="X11" i="48"/>
  <c r="J49" i="33"/>
  <c r="I50" i="33"/>
  <c r="I51" i="33"/>
  <c r="I49" i="32"/>
  <c r="U10" i="48"/>
  <c r="U11" i="48" s="1"/>
  <c r="X10" i="48"/>
  <c r="V10" i="48"/>
  <c r="W9" i="48"/>
  <c r="Y9" i="48"/>
  <c r="U12" i="48" l="1"/>
  <c r="Y11" i="48"/>
  <c r="W11" i="48"/>
  <c r="I51" i="31"/>
  <c r="I50" i="31"/>
  <c r="W10" i="48"/>
  <c r="Y10" i="48"/>
  <c r="I50" i="30"/>
  <c r="I51" i="30"/>
  <c r="J49" i="32"/>
  <c r="J49" i="31" s="1"/>
  <c r="I50" i="32"/>
  <c r="I51" i="32"/>
  <c r="J50" i="33"/>
  <c r="J51" i="33"/>
  <c r="J50" i="32" l="1"/>
  <c r="J51" i="32"/>
  <c r="J50" i="31"/>
  <c r="J51" i="31"/>
  <c r="J49" i="30"/>
  <c r="Y12" i="48"/>
  <c r="W12" i="48"/>
  <c r="J51" i="30" l="1"/>
  <c r="J50" i="30"/>
  <c r="M10" i="45" l="1"/>
  <c r="X10" i="45" l="1"/>
  <c r="N10" i="45"/>
  <c r="O10" i="45"/>
  <c r="M11" i="45"/>
  <c r="M8" i="45"/>
  <c r="L8" i="45" l="1"/>
  <c r="N8" i="45"/>
  <c r="O8" i="45"/>
  <c r="X8" i="45"/>
  <c r="X11" i="45"/>
  <c r="N11" i="45"/>
  <c r="O11" i="45"/>
  <c r="I46" i="31"/>
  <c r="Y10" i="45"/>
  <c r="Z10" i="45"/>
  <c r="I46" i="30" l="1"/>
  <c r="Y11" i="45"/>
  <c r="Z11" i="45"/>
  <c r="I46" i="33"/>
  <c r="Y8" i="45"/>
  <c r="Z8" i="45"/>
  <c r="I48" i="31"/>
  <c r="AL11" i="48"/>
  <c r="I47" i="31"/>
  <c r="AN11" i="48" l="1"/>
  <c r="AP11" i="48"/>
  <c r="M9" i="45"/>
  <c r="I48" i="33"/>
  <c r="AL9" i="48"/>
  <c r="I47" i="33"/>
  <c r="J46" i="33"/>
  <c r="I47" i="30"/>
  <c r="I48" i="30"/>
  <c r="AL12" i="48"/>
  <c r="AN12" i="48" l="1"/>
  <c r="AP12" i="48"/>
  <c r="AM9" i="48"/>
  <c r="AN9" i="48"/>
  <c r="AP9" i="48"/>
  <c r="X9" i="45"/>
  <c r="N9" i="45"/>
  <c r="O9" i="45"/>
  <c r="M40" i="45"/>
  <c r="L9" i="45"/>
  <c r="L10" i="45" s="1"/>
  <c r="L11" i="45" s="1"/>
  <c r="L12" i="45" s="1"/>
  <c r="L13" i="45" s="1"/>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J47" i="33"/>
  <c r="J48" i="33"/>
  <c r="Y9" i="45" l="1"/>
  <c r="Z9" i="45"/>
  <c r="I46" i="32"/>
  <c r="X40" i="45"/>
  <c r="N40" i="45"/>
  <c r="O40" i="45"/>
  <c r="AO9" i="48"/>
  <c r="AQ9" i="48"/>
  <c r="Z40" i="45" l="1"/>
  <c r="Y40" i="45"/>
  <c r="AL10" i="48"/>
  <c r="I48" i="32"/>
  <c r="J46" i="32"/>
  <c r="I47" i="32"/>
  <c r="J47" i="32" l="1"/>
  <c r="J48" i="32"/>
  <c r="J46" i="31"/>
  <c r="AN10" i="48"/>
  <c r="AM10" i="48"/>
  <c r="AP10" i="48"/>
  <c r="AL41" i="48"/>
  <c r="AP41" i="48" l="1"/>
  <c r="AN41" i="48"/>
  <c r="AQ10" i="48"/>
  <c r="AO10" i="48"/>
  <c r="AM11" i="48"/>
  <c r="J47" i="31"/>
  <c r="J48" i="31"/>
  <c r="J46" i="30"/>
  <c r="J46" i="29" l="1"/>
  <c r="J47" i="30"/>
  <c r="J48" i="30"/>
  <c r="AQ11" i="48"/>
  <c r="AO11" i="48"/>
  <c r="AM12" i="48"/>
  <c r="AM13" i="48" l="1"/>
  <c r="AQ12" i="48"/>
  <c r="AO12" i="48"/>
  <c r="J47" i="29"/>
  <c r="J46" i="27"/>
  <c r="J48" i="29"/>
  <c r="J47" i="27" l="1"/>
  <c r="J48" i="27"/>
  <c r="J46" i="28"/>
  <c r="AM14" i="48"/>
  <c r="AO13" i="48"/>
  <c r="AQ13" i="48"/>
  <c r="AO14" i="48" l="1"/>
  <c r="AQ14" i="48"/>
  <c r="AM15" i="48"/>
  <c r="J47" i="28"/>
  <c r="J46" i="26"/>
  <c r="J48" i="28"/>
  <c r="J47" i="26" l="1"/>
  <c r="J48" i="26"/>
  <c r="J46" i="25"/>
  <c r="AM16" i="48"/>
  <c r="AO15" i="48"/>
  <c r="AQ15" i="48"/>
  <c r="AO16" i="48" l="1"/>
  <c r="AQ16" i="48"/>
  <c r="AM17" i="48"/>
  <c r="J47" i="25"/>
  <c r="J46" i="24"/>
  <c r="J48" i="25"/>
  <c r="J46" i="23" l="1"/>
  <c r="J47" i="24"/>
  <c r="J48" i="24"/>
  <c r="AO17" i="48"/>
  <c r="AM18" i="48"/>
  <c r="AQ17" i="48"/>
  <c r="AO18" i="48" l="1"/>
  <c r="AM19" i="48"/>
  <c r="AQ18" i="48"/>
  <c r="J47" i="23"/>
  <c r="J46" i="21"/>
  <c r="J48" i="23"/>
  <c r="AO19" i="48" l="1"/>
  <c r="AM20" i="48"/>
  <c r="AQ19" i="48"/>
  <c r="J46" i="22"/>
  <c r="J47" i="21"/>
  <c r="J48" i="21"/>
  <c r="AO20" i="48" l="1"/>
  <c r="AM21" i="48"/>
  <c r="AQ20" i="48"/>
  <c r="J46" i="20"/>
  <c r="J47" i="22"/>
  <c r="J48" i="22"/>
  <c r="AM22" i="48" l="1"/>
  <c r="AO21" i="48"/>
  <c r="AQ21" i="48"/>
  <c r="J46" i="19"/>
  <c r="J48" i="20"/>
  <c r="J47" i="20"/>
  <c r="J46" i="18" l="1"/>
  <c r="J47" i="19"/>
  <c r="J48" i="19"/>
  <c r="AM23" i="48"/>
  <c r="AQ22" i="48"/>
  <c r="AO22" i="48"/>
  <c r="AM24" i="48" l="1"/>
  <c r="AO23" i="48"/>
  <c r="AQ23" i="48"/>
  <c r="J47" i="18"/>
  <c r="J46" i="17"/>
  <c r="J48" i="18"/>
  <c r="J47" i="17" l="1"/>
  <c r="J46" i="16"/>
  <c r="J48" i="17"/>
  <c r="AO24" i="48"/>
  <c r="AQ24" i="48"/>
  <c r="AM25" i="48"/>
  <c r="J47" i="16" l="1"/>
  <c r="J46" i="15"/>
  <c r="J48" i="16"/>
  <c r="AO25" i="48"/>
  <c r="AM26" i="48"/>
  <c r="AQ25" i="48"/>
  <c r="J47" i="15" l="1"/>
  <c r="J46" i="14"/>
  <c r="J48" i="15"/>
  <c r="AO26" i="48"/>
  <c r="AM27" i="48"/>
  <c r="AQ26" i="48"/>
  <c r="J47" i="14" l="1"/>
  <c r="J46" i="13"/>
  <c r="J48" i="14"/>
  <c r="AM28" i="48"/>
  <c r="AQ27" i="48"/>
  <c r="AO27" i="48"/>
  <c r="J47" i="13" l="1"/>
  <c r="J48" i="13"/>
  <c r="J46" i="12"/>
  <c r="AO28" i="48"/>
  <c r="AM29" i="48"/>
  <c r="AQ28" i="48"/>
  <c r="AO29" i="48" l="1"/>
  <c r="AM30" i="48"/>
  <c r="AQ29" i="48"/>
  <c r="J47" i="12"/>
  <c r="J46" i="11"/>
  <c r="J48" i="12"/>
  <c r="AO30" i="48" l="1"/>
  <c r="AM31" i="48"/>
  <c r="AQ30" i="48"/>
  <c r="J47" i="11"/>
  <c r="J46" i="10"/>
  <c r="J48" i="11"/>
  <c r="J46" i="9" l="1"/>
  <c r="J47" i="10"/>
  <c r="J48" i="10"/>
  <c r="AM32" i="48"/>
  <c r="AO31" i="48"/>
  <c r="AQ31" i="48"/>
  <c r="AO32" i="48" l="1"/>
  <c r="AM33" i="48"/>
  <c r="AQ32" i="48"/>
  <c r="J47" i="9"/>
  <c r="J46" i="8"/>
  <c r="J48" i="9"/>
  <c r="J47" i="8" l="1"/>
  <c r="J46" i="7"/>
  <c r="J48" i="8"/>
  <c r="AM34" i="48"/>
  <c r="AO33" i="48"/>
  <c r="AQ33" i="48"/>
  <c r="J47" i="7" l="1"/>
  <c r="J46" i="6"/>
  <c r="J48" i="7"/>
  <c r="AO34" i="48"/>
  <c r="AM35" i="48"/>
  <c r="AQ34" i="48"/>
  <c r="J46" i="37" l="1"/>
  <c r="J48" i="6"/>
  <c r="J47" i="6"/>
  <c r="AM36" i="48"/>
  <c r="AQ35" i="48"/>
  <c r="AO35" i="48"/>
  <c r="AM37" i="48" l="1"/>
  <c r="AO36" i="48"/>
  <c r="AQ36" i="48"/>
  <c r="J46" i="4"/>
  <c r="J48" i="37"/>
  <c r="J47" i="37"/>
  <c r="J47" i="4" l="1"/>
  <c r="J46" i="43"/>
  <c r="J48" i="4"/>
  <c r="AO37" i="48"/>
  <c r="AQ37" i="48"/>
  <c r="AM38" i="48"/>
  <c r="AO38" i="48" l="1"/>
  <c r="AM39" i="48"/>
  <c r="AQ38" i="48"/>
  <c r="J47" i="43"/>
  <c r="J48" i="43"/>
  <c r="AO39" i="48" l="1"/>
  <c r="AQ39" i="48"/>
  <c r="I49" i="29" l="1"/>
  <c r="V13" i="48"/>
  <c r="X13" i="48"/>
  <c r="U13" i="48"/>
  <c r="U14" i="48" l="1"/>
  <c r="Y13" i="48"/>
  <c r="W13" i="48"/>
  <c r="I50" i="29"/>
  <c r="I51" i="29"/>
  <c r="J49" i="29"/>
  <c r="W14" i="48" l="1"/>
  <c r="Y14" i="48"/>
  <c r="J49" i="27"/>
  <c r="J51" i="29"/>
  <c r="J50" i="29"/>
  <c r="J50" i="27" l="1"/>
  <c r="J51" i="27"/>
  <c r="V16" i="48" l="1"/>
  <c r="X16" i="48"/>
  <c r="I49" i="26"/>
  <c r="V15" i="48"/>
  <c r="X15" i="48"/>
  <c r="I49" i="28"/>
  <c r="U15" i="48"/>
  <c r="I50" i="26" l="1"/>
  <c r="I51" i="26"/>
  <c r="I50" i="28"/>
  <c r="I51" i="28"/>
  <c r="J49" i="28"/>
  <c r="Y15" i="48"/>
  <c r="U16" i="48"/>
  <c r="W15" i="48"/>
  <c r="U17" i="48" l="1"/>
  <c r="W16" i="48"/>
  <c r="Y16" i="48"/>
  <c r="J51" i="28"/>
  <c r="J49" i="26"/>
  <c r="J50" i="28"/>
  <c r="J50" i="26" l="1"/>
  <c r="J49" i="25"/>
  <c r="J51" i="26"/>
  <c r="U18" i="48"/>
  <c r="W17" i="48"/>
  <c r="Y17" i="48"/>
  <c r="J49" i="24" l="1"/>
  <c r="J51" i="25"/>
  <c r="J50" i="25"/>
  <c r="Y18" i="48"/>
  <c r="W18" i="48"/>
  <c r="U19" i="48"/>
  <c r="U20" i="48" l="1"/>
  <c r="Y19" i="48"/>
  <c r="W19" i="48"/>
  <c r="J51" i="24"/>
  <c r="J49" i="23"/>
  <c r="J50" i="24"/>
  <c r="U21" i="48" l="1"/>
  <c r="W20" i="48"/>
  <c r="Y20" i="48"/>
  <c r="J50" i="23"/>
  <c r="J51" i="23"/>
  <c r="J49" i="21"/>
  <c r="J50" i="21" l="1"/>
  <c r="J51" i="21"/>
  <c r="J49" i="22"/>
  <c r="U22" i="48"/>
  <c r="W21" i="48"/>
  <c r="Y21" i="48"/>
  <c r="W22" i="48" l="1"/>
  <c r="Y22" i="48"/>
  <c r="U23" i="48"/>
  <c r="J50" i="22"/>
  <c r="J49" i="20"/>
  <c r="J51" i="22"/>
  <c r="J50" i="20" l="1"/>
  <c r="J51" i="20"/>
  <c r="J49" i="19"/>
  <c r="W23" i="48"/>
  <c r="U24" i="48"/>
  <c r="Y23" i="48"/>
  <c r="Y24" i="48" l="1"/>
  <c r="W24" i="48"/>
  <c r="U25" i="48"/>
  <c r="J50" i="19"/>
  <c r="J51" i="19"/>
  <c r="J49" i="18"/>
  <c r="J50" i="18" l="1"/>
  <c r="J49" i="17"/>
  <c r="J51" i="18"/>
  <c r="Y25" i="48"/>
  <c r="W25" i="48"/>
  <c r="U26" i="48"/>
  <c r="J50" i="17" l="1"/>
  <c r="J51" i="17"/>
  <c r="J49" i="16"/>
  <c r="U27" i="48"/>
  <c r="W26" i="48"/>
  <c r="Y26" i="48"/>
  <c r="U28" i="48" l="1"/>
  <c r="W27" i="48"/>
  <c r="Y27" i="48"/>
  <c r="J50" i="16"/>
  <c r="J49" i="15"/>
  <c r="J51" i="16"/>
  <c r="W28" i="48" l="1"/>
  <c r="Y28" i="48"/>
  <c r="U29" i="48"/>
  <c r="J50" i="15"/>
  <c r="J49" i="14"/>
  <c r="J51" i="15"/>
  <c r="U30" i="48" l="1"/>
  <c r="Y29" i="48"/>
  <c r="W29" i="48"/>
  <c r="J50" i="14"/>
  <c r="J49" i="13"/>
  <c r="J51" i="14"/>
  <c r="U31" i="48" l="1"/>
  <c r="Y30" i="48"/>
  <c r="W30" i="48"/>
  <c r="J50" i="13"/>
  <c r="J49" i="12"/>
  <c r="J51" i="13"/>
  <c r="Y31" i="48" l="1"/>
  <c r="W31" i="48"/>
  <c r="U32" i="48"/>
  <c r="J50" i="12"/>
  <c r="J49" i="11"/>
  <c r="J51" i="12"/>
  <c r="W32" i="48" l="1"/>
  <c r="Y32" i="48"/>
  <c r="U33" i="48"/>
  <c r="J50" i="11"/>
  <c r="J51" i="11"/>
  <c r="J49" i="10"/>
  <c r="W33" i="48" l="1"/>
  <c r="Y33" i="48"/>
  <c r="J50" i="10"/>
  <c r="J51" i="10"/>
  <c r="J49" i="9"/>
  <c r="J50" i="9" l="1"/>
  <c r="J51" i="9"/>
  <c r="R42" i="1" l="1"/>
  <c r="S23" i="1"/>
  <c r="T23" i="1"/>
  <c r="KT23" i="1" s="1"/>
  <c r="T42" i="1" l="1"/>
  <c r="S42" i="1"/>
  <c r="K30" i="1" l="1"/>
  <c r="KT30" i="1" s="1"/>
  <c r="KV41" i="1"/>
  <c r="J30" i="1"/>
  <c r="I42" i="1"/>
  <c r="J42" i="1" l="1"/>
  <c r="KV42" i="1"/>
  <c r="K42" i="1"/>
  <c r="KT42" i="1" s="1"/>
  <c r="T35" i="48" l="1"/>
  <c r="V35" i="48" l="1"/>
  <c r="X35" i="48"/>
  <c r="I49" i="7"/>
  <c r="I50" i="7" l="1"/>
  <c r="I51" i="7"/>
  <c r="T36" i="48" l="1"/>
  <c r="T37" i="48"/>
  <c r="T34" i="48"/>
  <c r="V37" i="48" l="1"/>
  <c r="X37" i="48"/>
  <c r="I49" i="37"/>
  <c r="V34" i="48"/>
  <c r="X34" i="48"/>
  <c r="I49" i="8"/>
  <c r="U34" i="48"/>
  <c r="V36" i="48"/>
  <c r="X36" i="48"/>
  <c r="I49" i="6"/>
  <c r="T41" i="48"/>
  <c r="I50" i="37" l="1"/>
  <c r="I51" i="37"/>
  <c r="W34" i="48"/>
  <c r="Y34" i="48"/>
  <c r="U35" i="48"/>
  <c r="I50" i="8"/>
  <c r="I51" i="8"/>
  <c r="J49" i="8"/>
  <c r="X41" i="48"/>
  <c r="V41" i="48"/>
  <c r="I50" i="6"/>
  <c r="I51" i="6"/>
  <c r="W35" i="48" l="1"/>
  <c r="Y35" i="48"/>
  <c r="U36" i="48"/>
  <c r="J50" i="8"/>
  <c r="J51" i="8"/>
  <c r="J49" i="7"/>
  <c r="AH41" i="48"/>
  <c r="AT41" i="48"/>
  <c r="J50" i="7" l="1"/>
  <c r="J51" i="7"/>
  <c r="J49" i="6"/>
  <c r="U37" i="48"/>
  <c r="Y36" i="48"/>
  <c r="W36" i="48"/>
  <c r="U38" i="48" l="1"/>
  <c r="W37" i="48"/>
  <c r="Y37" i="48"/>
  <c r="J49" i="37"/>
  <c r="J50" i="6"/>
  <c r="J51" i="6"/>
  <c r="J50" i="37" l="1"/>
  <c r="J49" i="4"/>
  <c r="J51" i="37"/>
  <c r="U39" i="48"/>
  <c r="Y38" i="48"/>
  <c r="W38" i="48"/>
  <c r="W39" i="48" l="1"/>
  <c r="Y39" i="48"/>
  <c r="J50" i="4"/>
  <c r="J51" i="4"/>
  <c r="J49" i="43"/>
  <c r="J51" i="43" l="1"/>
  <c r="J50" i="4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win10</author>
  </authors>
  <commentList>
    <comment ref="D2" authorId="0" shapeId="0" xr:uid="{00000000-0006-0000-0900-000001000000}">
      <text>
        <r>
          <rPr>
            <b/>
            <sz val="9"/>
            <color indexed="81"/>
            <rFont val="Tahoma"/>
            <family val="2"/>
          </rPr>
          <t>win10:</t>
        </r>
        <r>
          <rPr>
            <sz val="9"/>
            <color indexed="81"/>
            <rFont val="Tahoma"/>
            <family val="2"/>
          </rPr>
          <t xml:space="preserve">
Shift 1 &amp; 2 belum
</t>
        </r>
      </text>
    </comment>
  </commentList>
</comments>
</file>

<file path=xl/sharedStrings.xml><?xml version="1.0" encoding="utf-8"?>
<sst xmlns="http://schemas.openxmlformats.org/spreadsheetml/2006/main" count="6086" uniqueCount="803">
  <si>
    <t xml:space="preserve"> </t>
  </si>
  <si>
    <t xml:space="preserve">  </t>
  </si>
  <si>
    <t>Efficiency</t>
  </si>
  <si>
    <t>Total</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</si>
  <si>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</si>
  <si>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</si>
  <si>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</si>
  <si>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</si>
  <si>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</si>
  <si>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</si>
  <si>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</si>
  <si>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</si>
  <si>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</si>
  <si>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</si>
  <si>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</si>
  <si>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</si>
  <si>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</si>
  <si>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</si>
  <si>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</si>
  <si>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</si>
  <si>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</si>
  <si>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</si>
  <si>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</si>
  <si>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</si>
  <si>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</si>
  <si>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</si>
  <si>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</si>
  <si>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</si>
  <si>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</si>
  <si>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</si>
  <si>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</si>
  <si>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</si>
  <si>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</si>
  <si>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</si>
  <si>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</si>
  <si>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</si>
  <si>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</si>
  <si>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</si>
  <si>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</si>
  <si>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</si>
  <si>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</si>
  <si>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</si>
  <si>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</si>
  <si>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</si>
  <si>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</si>
  <si>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</si>
  <si>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</si>
  <si>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</si>
  <si>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</si>
  <si>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</si>
  <si>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</si>
  <si>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</si>
  <si>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</si>
  <si>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</si>
  <si>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LBKP RAPP MHW</t>
  </si>
  <si>
    <t>BCTMP ROTTNEROS</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</si>
  <si>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</si>
  <si>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</si>
  <si>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</si>
  <si>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</si>
  <si>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</si>
  <si>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</si>
  <si>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</si>
  <si>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</si>
  <si>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</si>
  <si>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</si>
  <si>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</si>
  <si>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</si>
  <si>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</si>
  <si>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</si>
  <si>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</si>
  <si>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</si>
  <si>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</si>
  <si>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</si>
  <si>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</si>
  <si>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</si>
  <si>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</si>
  <si>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</si>
  <si>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</si>
  <si>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</si>
  <si>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</si>
  <si>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</si>
  <si>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</si>
  <si>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</si>
  <si>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</si>
  <si>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</si>
  <si>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</si>
  <si>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</si>
  <si>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</si>
  <si>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</si>
  <si>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</si>
  <si>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</si>
  <si>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</si>
  <si>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M3</t>
  </si>
  <si>
    <t xml:space="preserve">Gas ConsumptionHood per ton paper </t>
  </si>
  <si>
    <t>Planned shut</t>
  </si>
  <si>
    <t>Gas Hood per ton paper Accepted PHP</t>
  </si>
  <si>
    <t>Remarks :</t>
  </si>
  <si>
    <t>Reject =</t>
  </si>
  <si>
    <t>RMG =</t>
  </si>
  <si>
    <t>TOTAL LBKP</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</si>
  <si>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</si>
  <si>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</si>
  <si>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</si>
  <si>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</si>
  <si>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</si>
  <si>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</si>
  <si>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</si>
  <si>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</si>
  <si>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</si>
  <si>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</si>
  <si>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</si>
  <si>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</si>
  <si>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</si>
  <si>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</si>
  <si>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</si>
  <si>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</si>
  <si>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</si>
  <si>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</si>
  <si>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</si>
  <si>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</si>
  <si>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</si>
  <si>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</si>
  <si>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</si>
  <si>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</si>
  <si>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</si>
  <si>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</si>
  <si>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</si>
  <si>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</si>
  <si>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</si>
  <si>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</si>
  <si>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</si>
  <si>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</si>
  <si>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</si>
  <si>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</si>
  <si>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</si>
  <si>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</si>
  <si>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</si>
  <si>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</si>
  <si>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</si>
  <si>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</si>
  <si>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</si>
  <si>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</si>
  <si>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</si>
  <si>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</si>
  <si>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</si>
  <si>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</si>
  <si>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</si>
  <si>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</si>
  <si>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</si>
  <si>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</si>
  <si>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</si>
  <si>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</si>
  <si>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</si>
  <si>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</si>
  <si>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</si>
  <si>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</si>
  <si>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</si>
  <si>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</si>
  <si>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</si>
  <si>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</si>
  <si>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</si>
  <si>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</si>
  <si>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</si>
  <si>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</si>
  <si>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</si>
  <si>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</si>
  <si>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</si>
  <si>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</si>
  <si>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</si>
  <si>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</si>
  <si>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</si>
  <si>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</si>
  <si>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</si>
  <si>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</si>
  <si>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</si>
  <si>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</si>
  <si>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</si>
  <si>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</si>
  <si>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MCC Aux TM</t>
  </si>
  <si>
    <t>Stock Prep &amp; UTM 1 (3200 A)</t>
  </si>
  <si>
    <t>Stock Prep &amp; UTM 2 (3200 A)</t>
  </si>
  <si>
    <t>Off Reel</t>
  </si>
  <si>
    <t>Off Rewinder</t>
  </si>
  <si>
    <t>LBKP RAPP ACACIA XP</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</si>
  <si>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</si>
  <si>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</si>
  <si>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</si>
  <si>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</si>
  <si>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</si>
  <si>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</si>
  <si>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</si>
  <si>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</si>
  <si>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</si>
  <si>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</si>
  <si>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Baklog</t>
  </si>
  <si>
    <t>Sisa spool popereel</t>
  </si>
  <si>
    <t>Pending</t>
  </si>
  <si>
    <t>Ngelokor</t>
  </si>
  <si>
    <t>Keriput</t>
  </si>
  <si>
    <t>Potongan jelek</t>
  </si>
  <si>
    <t>Hole</t>
  </si>
  <si>
    <t>Kertas sobek pinggir</t>
  </si>
  <si>
    <t>Joint</t>
  </si>
  <si>
    <t>Formasi jelek</t>
  </si>
  <si>
    <t>Lembab</t>
  </si>
  <si>
    <t>Diameter &lt; std</t>
  </si>
  <si>
    <t>Lebar kertas kurang</t>
  </si>
  <si>
    <t>White spot</t>
  </si>
  <si>
    <t>Thickness &lt; std</t>
  </si>
  <si>
    <t>Bulky &lt; std</t>
  </si>
  <si>
    <t>sheet break</t>
  </si>
  <si>
    <t>change blade</t>
  </si>
  <si>
    <t>change spool</t>
  </si>
  <si>
    <t>Loss time sheet break</t>
  </si>
  <si>
    <t>Loss time change blade</t>
  </si>
  <si>
    <t>Loss time change spool</t>
  </si>
  <si>
    <t>Loss time change grade</t>
  </si>
  <si>
    <t>Change Grade</t>
  </si>
  <si>
    <t>TISSUE MACHINE 17</t>
  </si>
  <si>
    <t>PAPER MACHINE 17 DAILY REPORT 1</t>
  </si>
  <si>
    <t>Total PM17</t>
  </si>
  <si>
    <t>PM 17</t>
  </si>
  <si>
    <t xml:space="preserve">PM17 Efficiency Report </t>
  </si>
  <si>
    <t>CAKRAWALA</t>
  </si>
  <si>
    <t>PULP AND BROKE DAILY REPORT PM 17</t>
  </si>
  <si>
    <t>Nyoman Mariasa</t>
  </si>
  <si>
    <t>Marketing</t>
  </si>
  <si>
    <t>LBKP CAKRAWALA</t>
  </si>
  <si>
    <t>LBKP ACASIA</t>
  </si>
  <si>
    <t>Downtime / Losstime</t>
  </si>
  <si>
    <t>Klasifikasi Detail</t>
  </si>
  <si>
    <t>Klasifikasi Awal</t>
  </si>
  <si>
    <t>Jenis Reject</t>
  </si>
  <si>
    <t>Reject in Ton</t>
  </si>
  <si>
    <t>Reject Percentage</t>
  </si>
  <si>
    <t>Sheet Breaks</t>
  </si>
  <si>
    <t>Loss Time Process</t>
  </si>
  <si>
    <t>Change Blade</t>
  </si>
  <si>
    <t>Estimasi RBP &amp; Backlog</t>
  </si>
  <si>
    <t>Change Spool</t>
  </si>
  <si>
    <t>Estimasi Basic Weight</t>
  </si>
  <si>
    <t>Loss Time Change Grade</t>
  </si>
  <si>
    <t>Loss Speed</t>
  </si>
  <si>
    <t>Theory with Available Time (ton)</t>
  </si>
  <si>
    <t>Total LT/DT (mins)</t>
  </si>
  <si>
    <t>Total LT/DT (ton)</t>
  </si>
  <si>
    <t>LT/DT Percentage</t>
  </si>
  <si>
    <t>Down Time Mekanik</t>
  </si>
  <si>
    <t>Down Time EID</t>
  </si>
  <si>
    <t>Loss Time EID</t>
  </si>
  <si>
    <t>Down Time Process</t>
  </si>
  <si>
    <t>Scheduled Shut Down</t>
  </si>
  <si>
    <t>Down Time Marketing</t>
  </si>
  <si>
    <t>Category</t>
  </si>
  <si>
    <t>Problem Category</t>
  </si>
  <si>
    <t>Detailed Problem</t>
  </si>
  <si>
    <t>LT/DT in Mins</t>
  </si>
  <si>
    <t>LT/DT in Ton</t>
  </si>
  <si>
    <t>Percentage LT/DT</t>
  </si>
  <si>
    <t>Total Percentage</t>
  </si>
  <si>
    <t>Actual Percentage</t>
  </si>
  <si>
    <t>X-Factor</t>
  </si>
  <si>
    <t>Reject Broke Plant</t>
  </si>
  <si>
    <t>Basic Weight Estimation</t>
  </si>
  <si>
    <t>Maintenance</t>
  </si>
  <si>
    <t>Loss Time Mekanik</t>
  </si>
  <si>
    <t>PM 17 Summary</t>
  </si>
  <si>
    <t>Gas ConsumptionHood PM 17</t>
  </si>
  <si>
    <t>Gas ConsumptionHood PM17</t>
  </si>
  <si>
    <t>Tonase</t>
  </si>
  <si>
    <t>Prosentase</t>
  </si>
  <si>
    <t>Total Prosentase</t>
  </si>
  <si>
    <t>Gripis</t>
  </si>
  <si>
    <t>Dirt</t>
  </si>
  <si>
    <t>Cap garis doctor</t>
  </si>
  <si>
    <t>TOTALIZER</t>
  </si>
  <si>
    <t>SWL</t>
  </si>
  <si>
    <t>TOTAL BB Recycle</t>
  </si>
  <si>
    <t>PHP Recycle</t>
  </si>
  <si>
    <t>Yield BB Recycle</t>
  </si>
  <si>
    <t>PRODUKSI</t>
  </si>
  <si>
    <t>STEAM DEINKING (TON)</t>
  </si>
  <si>
    <t>POWER DEINKING (kWh)</t>
  </si>
  <si>
    <t>Deinking</t>
  </si>
  <si>
    <t>CHEMICAL DAILY REPORT PM 17</t>
  </si>
  <si>
    <t>ELTEXIN</t>
  </si>
  <si>
    <t>CHROMACLEAR</t>
  </si>
  <si>
    <t>NGR 200</t>
  </si>
  <si>
    <t>NGR 900</t>
  </si>
  <si>
    <t>AMISOFT 6538</t>
  </si>
  <si>
    <t>Loss time</t>
  </si>
  <si>
    <t>Down Time</t>
  </si>
  <si>
    <t>SINERGY</t>
  </si>
  <si>
    <t>Backlog</t>
  </si>
  <si>
    <t>awal bulan produksi MG mengikuti real speed karea usia felt sudah 7minggu</t>
  </si>
  <si>
    <t>NB : info pak hartono untuk napkin + towel speed 1600mpm, gsm tinggi 92ton(&gt;17)</t>
  </si>
  <si>
    <t>Loss Time Marketing</t>
  </si>
  <si>
    <t>Drive Panel</t>
  </si>
  <si>
    <t>Pulper</t>
  </si>
  <si>
    <t>Kehilangan Effisiensi PM 17 terdiri dari:</t>
  </si>
  <si>
    <t>Down Time Sinergy</t>
  </si>
  <si>
    <t>Loss Time Sinergy</t>
  </si>
  <si>
    <t>MANAGEMENT</t>
  </si>
  <si>
    <t>Paper Mill's Chemicals</t>
  </si>
  <si>
    <t>Deinking's Chemicals</t>
  </si>
  <si>
    <t>Paper mill's Chemicals</t>
  </si>
  <si>
    <t>AMIBOND DS 947</t>
  </si>
  <si>
    <t>AMIBOND WS 418</t>
  </si>
  <si>
    <t>WSR RESIN P-5500</t>
  </si>
  <si>
    <t>AMICIDE BX 9127</t>
  </si>
  <si>
    <t>AMICIDE BX 9193</t>
  </si>
  <si>
    <t>AMICIDE BX 9226</t>
  </si>
  <si>
    <t>AMICIDE BX 9347</t>
  </si>
  <si>
    <t>AMICLEAN AP 1797</t>
  </si>
  <si>
    <t>AMICLEAN AP 1817</t>
  </si>
  <si>
    <t>AMICLEAN AP 2048</t>
  </si>
  <si>
    <t>AMICOAT TC 6101</t>
  </si>
  <si>
    <t>AMICOAT TC 6407</t>
  </si>
  <si>
    <t>AMICOAT TM 6123</t>
  </si>
  <si>
    <t>AMICOAT TR 6112</t>
  </si>
  <si>
    <t>AMICOAT TR 6113</t>
  </si>
  <si>
    <t>AMICOAT TR 6159</t>
  </si>
  <si>
    <t>AMICOAT TR 6248</t>
  </si>
  <si>
    <t>AMIFLOC 737</t>
  </si>
  <si>
    <t>AMIPAC AP 8511</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</si>
  <si>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</si>
  <si>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</si>
  <si>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</si>
  <si>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</si>
  <si>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</si>
  <si>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</si>
  <si>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</si>
  <si>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</si>
  <si>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</si>
  <si>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</si>
  <si>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</si>
  <si>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</si>
  <si>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</si>
  <si>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</si>
  <si>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</si>
  <si>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</si>
  <si>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</si>
  <si>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</si>
  <si>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</si>
  <si>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</si>
  <si>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</si>
  <si>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</si>
  <si>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</si>
  <si>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</si>
  <si>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</si>
  <si>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</si>
  <si>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</si>
  <si>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</si>
  <si>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</si>
  <si>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</si>
  <si>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</si>
  <si>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</si>
  <si>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</si>
  <si>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DI N40</t>
  </si>
  <si>
    <t>Price</t>
  </si>
  <si>
    <t>Down Time PLN</t>
  </si>
  <si>
    <t>Running</t>
  </si>
  <si>
    <t xml:space="preserve">Kapasitas Running (ton) </t>
  </si>
  <si>
    <t>Eff FG vs Target  Running(%)</t>
  </si>
  <si>
    <t>PM 17 Running Time</t>
  </si>
  <si>
    <t>Dimas Selgi</t>
  </si>
  <si>
    <t xml:space="preserve">Sisa spool seset </t>
  </si>
  <si>
    <t>Sisa spool rewinder</t>
  </si>
  <si>
    <t>Potongan serabut</t>
  </si>
  <si>
    <t>Setting potongan</t>
  </si>
  <si>
    <t>Jumbo geser, gandeng</t>
  </si>
  <si>
    <t>Setting slitter</t>
  </si>
  <si>
    <t>Seset cek QC</t>
  </si>
  <si>
    <t>Gelombang</t>
  </si>
  <si>
    <t>Soping</t>
  </si>
  <si>
    <t>Change grade</t>
  </si>
  <si>
    <t>Potongan lari-lari</t>
  </si>
  <si>
    <t>BW tidak stabil</t>
  </si>
  <si>
    <t>Kertas putus-putus</t>
  </si>
  <si>
    <t>Warna kehijauan</t>
  </si>
  <si>
    <t>DETAC DC779F</t>
  </si>
  <si>
    <t>SODRA</t>
  </si>
  <si>
    <t>NBKP KORAB/SCA</t>
  </si>
  <si>
    <t>NBKP HOWE/HSPP</t>
  </si>
  <si>
    <t>NBKP Crestbrook</t>
  </si>
  <si>
    <t>Chest Akhir</t>
  </si>
  <si>
    <t>Putra Radian RAP</t>
  </si>
  <si>
    <t>.01.23</t>
  </si>
  <si>
    <t>0</t>
  </si>
  <si>
    <t>Abdul Syuhud</t>
  </si>
  <si>
    <t>- Sheet Breaks (6x)</t>
  </si>
  <si>
    <t>- Change Spool (27x)</t>
  </si>
  <si>
    <t>NBKP Catalyst/Crafton</t>
  </si>
  <si>
    <t>LBKP TEL PELITA/TEL PRIME</t>
  </si>
  <si>
    <t>LBKP SUZANO</t>
  </si>
  <si>
    <t>LBKP ASTRA CELL</t>
  </si>
  <si>
    <t>SS</t>
  </si>
  <si>
    <t>PHP PM</t>
  </si>
  <si>
    <t xml:space="preserve">PM17 Efficiency Running Report </t>
  </si>
  <si>
    <t>Steam, &amp; gangguan sinergy (X)</t>
  </si>
  <si>
    <t>Freq, Trip PLN (X)</t>
  </si>
  <si>
    <t>Cleaning Holes (X)</t>
  </si>
  <si>
    <t>Per hari</t>
  </si>
  <si>
    <t>.03.26</t>
  </si>
  <si>
    <t>- Awal Shift PM Produksi 1. T15 ( Pals ) 
- Deckle : 2565 mm
Speed Awal : 1150 mpm / 18 %</t>
  </si>
  <si>
    <t>10.35 Ganti blade, cleaning rol felt wire - &gt; sambung
11.38 Flushing Pulper. 
11.45 Jr 76 ada pin hole sisi tengah. 
12.00 Speed turun 1100 mpm
- Karcer wire
13.00 Jr 77 pin hole minim
- Speed naik bertahap 1125 mpm</t>
  </si>
  <si>
    <t>- Awal Shift PM Produksi 1. Toilet 15 Gsm (Pals)
- Deckle : 2565 mm
- Speed Awal : 1125 mpm / -18 %</t>
  </si>
  <si>
    <t>- Awal shift produksi T15 LB</t>
  </si>
  <si>
    <t>- Awal Shift PM Produksi .Toilet 15 LB ( PALS  )
* Deckle 256.5 cm
Speed Awal : 1120 mpm/-16%</t>
  </si>
  <si>
    <t>T 15</t>
  </si>
  <si>
    <t>1122,34/942,72</t>
  </si>
  <si>
    <t>1125/922,5</t>
  </si>
  <si>
    <t>1136,25/931,73</t>
  </si>
  <si>
    <t>1127,86/932,32</t>
  </si>
  <si>
    <t>- Change Spool (6x)</t>
  </si>
  <si>
    <t>- Change Blade (1x)</t>
  </si>
  <si>
    <t>- Sheet Breaks (0x)</t>
  </si>
  <si>
    <t>- Change Spool (7x)</t>
  </si>
  <si>
    <t>- Change Blade (0x)</t>
  </si>
  <si>
    <t xml:space="preserve">Toilet </t>
  </si>
  <si>
    <t>15</t>
  </si>
  <si>
    <t>Toilet</t>
  </si>
  <si>
    <t>RC HW</t>
  </si>
  <si>
    <t>- Change Spool (19x)</t>
  </si>
  <si>
    <t>WPL</t>
  </si>
  <si>
    <t>POWER WPL (kWh)</t>
  </si>
  <si>
    <t>256,5*1</t>
  </si>
  <si>
    <t>Dimas S R</t>
  </si>
  <si>
    <t>Nyoman M</t>
  </si>
  <si>
    <t>T 15 RC HW</t>
  </si>
  <si>
    <t>TWS + Core</t>
  </si>
  <si>
    <t>CVT Broke</t>
  </si>
  <si>
    <t>RR PPIC</t>
  </si>
  <si>
    <t>SWL B + B Mix</t>
  </si>
  <si>
    <t>SODIUM HYPOCHLORID</t>
  </si>
  <si>
    <t>DFR 810S</t>
  </si>
  <si>
    <t>ANMOL Super 7175</t>
  </si>
  <si>
    <t>- Awal Shift PM Produksi Toilet 15 LB ( PALS  )
* Deckle 256.5 cm
Speed Awal : 1125 mpm/-16%</t>
  </si>
  <si>
    <t>PM :
04:35 Cleaning Area PM.</t>
  </si>
  <si>
    <t>- Awal Shift PM Produksi 1. Toilet 15 Gsm (Pals)
- Deckle : 2565 mm
- Speed Awal : 1125 mpm / 16 %</t>
  </si>
  <si>
    <t>Awal shift produksi T15 LB
15:45 Kertas gagal sambung, cleaning PM lanjut sambung
18:22 Kertas putus terdapat kotoran buburan pada sisi DS lanjut cleaning dan sambung</t>
  </si>
  <si>
    <t>- Awal Shift PM Produksi 1. T15 ( Pals ) 
- Deckle : 2565 mm
Speed Awal : 1125 mpm / 16 %</t>
  </si>
  <si>
    <t>- 08.25 Ganti blade, Cleaning rol felt wire -&gt; sambung
- Ada hole 44 cm dari DS, speed turun 1100 mpm, cleaning kotoran di felt. 
09.30 Hole sudah tidak ada, speed naik bertahap 1125 mpm</t>
  </si>
  <si>
    <t xml:space="preserve">5. Seset Steam drop : 795 kg / 4.3 %  ( Kertas keriput, banyak join) </t>
  </si>
  <si>
    <t>- Sheet Breaks (2x)</t>
  </si>
  <si>
    <t>- Change Spool (20x)</t>
  </si>
  <si>
    <t>1124,65/944,71</t>
  </si>
  <si>
    <t>Protolan pulp/Pulp Kotor</t>
  </si>
  <si>
    <t>1121,61/953,37</t>
  </si>
  <si>
    <t>1127,34/958,24</t>
  </si>
  <si>
    <t>1125/956,25</t>
  </si>
  <si>
    <t>10.35 Flushing Pulper
11.45 Ganti blade, cleaning rol felt wire -&gt; sambung</t>
  </si>
  <si>
    <t>Awal shift produksi T15 LB</t>
  </si>
  <si>
    <t>- Awal Shift PM Produksi Toilet 15 gsm
- (Plas) Deckle 2565 mm
speed pm
Awal : 1125 mpm / -16 %</t>
  </si>
  <si>
    <t>00:39 cleaning stabilizer &amp; roll2 felt/wire
04:30 temperature kertas Ct dingin saat di rewinder kertas keriput, naikkan temperature
06:40 sisi Ds muncul hole, turunkan temperature &amp; ganti blade no.3</t>
  </si>
  <si>
    <t>1125/945</t>
  </si>
  <si>
    <t>- Change Spool (21x)</t>
  </si>
  <si>
    <t>Abd Syuhud</t>
  </si>
  <si>
    <t>- Awal Shift PM Produksi 1. Toilet 14,5 gsm (off reel) 
- (Fg Ctc) Deckle 275 cm
speed pm
Awal : 1150 mpm / -16 %</t>
  </si>
  <si>
    <t>01:08 cleaning stabilizer &amp; roll2 felt/wire
01:45 sisi Fs muncul garis2, cek temperature &amp; shower coating. Indikasi ditemukan karena dumper hood dry Fs menutup sendiri kemungkinan karena getaran, diikiat agar tidak menutup lagi.</t>
  </si>
  <si>
    <t>- Awal Shift PM Produksi 1. Toilet 14,5 Gsm (FG CTC) Offreel
- Deckle : 2750 mm
- Speed Awal : 1150 mpm / 16 %</t>
  </si>
  <si>
    <t xml:space="preserve">Reject PM : 2.230 kg / 54,3 % (Hole acak dan keriput mati) </t>
  </si>
  <si>
    <t>- Awal Shift PM Produksi 1. T15 ( Pals ) 
- Deckle : 2565 mm
2. T14.5 ( FG CTC) 
- Deckle : 2750 mm
Speed Awal : 1125 mpm / 16 %</t>
  </si>
  <si>
    <t>- 08.00 Change grade T14.5 offreel Speed 1150mpm.
13.05 PM stop, cleaning PM
- Cleaning hood
- Cleaning rol felt wire
- Drain dan bilas silo, couch pit. 
13.30 Cuci felt dgn solar
13.40 Change power sinergy -&gt; PLN
13.50 Bilas felt. 
14.20 Selesai bilas felt. 
- Karcer wire, sikat felt</t>
  </si>
  <si>
    <t>T 14,5</t>
  </si>
  <si>
    <t>1145,89/962,55</t>
  </si>
  <si>
    <t>971,26/815,85</t>
  </si>
  <si>
    <t>1150/966</t>
  </si>
  <si>
    <t>15/14,5</t>
  </si>
  <si>
    <t>DT</t>
  </si>
  <si>
    <t>LT</t>
  </si>
  <si>
    <t>Awal shift produksi T14,5 LB (Offreel)
Awal shift PM stop efek sinergy change power:
Kegiatan : 
Karcher wire pakai xylene dan cuci felt pakai xylene
Drain silo dan couch pit serta cleaning
Cleaning area PM
Sebelum Start up terjadi beberapa masalah : Agitator UTM trip
Power burner wet mati
Pompa HPP beberapa kali trip 
(perbaikan oleh MED dan EID)
18:30 Start up 
18:53 Onreel di 1000 mpm, JR SU masih ada hole, lanjut turun speed ke 800 mpm dan karcher wire pakai xylene
19:54 JR turun masih ada hole di beberapa titik lanjut karcher wire
20:59 JR turun sudah Acc
21:34 Speed naik ke 1150 mpm</t>
  </si>
  <si>
    <t>1108,2/930,88</t>
  </si>
  <si>
    <t>- Change Spool (2x)</t>
  </si>
  <si>
    <t>- Change Spool (9x)</t>
  </si>
  <si>
    <t>- Change Spool (18x)</t>
  </si>
  <si>
    <t>- 13.05 PM stop, cleaning PM</t>
  </si>
  <si>
    <t>- 13.40 Change power sinergy -&gt; PLN</t>
  </si>
  <si>
    <t>275*1</t>
  </si>
  <si>
    <t>T 14,5 RC HW</t>
  </si>
  <si>
    <t>speed real</t>
  </si>
  <si>
    <t>speed target</t>
  </si>
  <si>
    <t>reel</t>
  </si>
  <si>
    <t>creeping</t>
  </si>
  <si>
    <t>time</t>
  </si>
  <si>
    <t>trim</t>
  </si>
  <si>
    <t>Teori</t>
  </si>
  <si>
    <t>Accept</t>
  </si>
  <si>
    <t>Eff</t>
  </si>
  <si>
    <t xml:space="preserve">- Reject PM : 2.230 kg / 54,3 % (Hole acak dan keriput mati) </t>
  </si>
  <si>
    <t>- Awal Shift PM Produksi 1. T14.5  ( FG CTC  ) 
- Deckle : 2750 mm
Speed Awal : 1150 mpm / 16 %</t>
  </si>
  <si>
    <t>11.20  Flushing Pulper
12.17 Tissue putus, nyelilit FS, cleaning</t>
  </si>
  <si>
    <t>23:55 flushing pulper
02:32 sisi Gs gripis, change blade
03:04 sheet breaks, tail cutter buntu
03:40 gagal sambung</t>
  </si>
  <si>
    <t>- Awal Shift PM Produksi Toilet 14.5 ( FG CTC )
* Deckle 2750 mm
Speed Awal : 1150 mpm/-16%</t>
  </si>
  <si>
    <t>17:08. Tissue Nyelilit FS &amp; Cleaning.
22.09. Cleaning Hood &amp; Area PM.</t>
  </si>
  <si>
    <t>14,5</t>
  </si>
  <si>
    <t>- Change Spool (8x)</t>
  </si>
  <si>
    <t>- Change Spool (26x)</t>
  </si>
  <si>
    <t>Putra Radian R A P</t>
  </si>
  <si>
    <t>- Awal Shift PM Produksi 1. T14.5 ( FG CTC) 
- Deckle : 2750 mm
2. T15 ( Pals ) 
- Deckle : 2565 mm
Speed Awal : 1150 mpm / 16 %</t>
  </si>
  <si>
    <t>Awal shift jalan offreel. 
09.40 Tissue putus, shower coating release tiba2 buntu, sirkulasi UTM. 
- Tissue sisi fs, ada pin hole - &gt; karcer wire
10.45 Change grade T15 speed 1130 mpm
11.40 Ganti blade, cleaning
14.30 Flushing pulper</t>
  </si>
  <si>
    <t>- Awal Shift PM Produksi Toilet 15 ( PALS )
* Deckle 2565 mm
Speed Awal : 1130 mpm/-16%</t>
  </si>
  <si>
    <t>22:05 Steam drop, sinergy black out
22:10 PM stop, cleaning area PM,
Drain coucpit.
Siram Felt dengan solar.</t>
  </si>
  <si>
    <t>Pm 17 awal shift stop
Sinergy ada trouble
Kegiatan Pm :
23:00 pm 17 stop, felt wire cleaning memakai solar
23:30 mulai proses bilas solar
00:00 crawl felt wire untuk cek noda
- pada area wire masih ada sebagian noda yang susah hilang -&gt; lanjut karcher wire
02:00 selesai karcher wire
- cleaning hood &amp; stabilizer
- cleaning area pm
- bilas couch pit
- persiapkan spool
- basahi felt berkala
06:45 heating up yankee</t>
  </si>
  <si>
    <t>STOP</t>
  </si>
  <si>
    <t>1130/949,2</t>
  </si>
  <si>
    <t>1139,38/957,075</t>
  </si>
  <si>
    <t>14,5/15</t>
  </si>
  <si>
    <t>1134,95/953,35</t>
  </si>
  <si>
    <t>- Change Spool (0x)</t>
  </si>
  <si>
    <t>- Change Spool (14x)</t>
  </si>
  <si>
    <t>- Sinergy Black Out</t>
  </si>
  <si>
    <t>46+50+</t>
  </si>
  <si>
    <t>238+31+</t>
  </si>
  <si>
    <t>56+</t>
  </si>
  <si>
    <t>2230+</t>
  </si>
  <si>
    <t>253+120+</t>
  </si>
  <si>
    <t>750+155+</t>
  </si>
  <si>
    <t>49+</t>
  </si>
  <si>
    <t>80+</t>
  </si>
  <si>
    <t>168+</t>
  </si>
  <si>
    <t>53+100+120+</t>
  </si>
  <si>
    <t>795+</t>
  </si>
  <si>
    <t>37+900+100+85+</t>
  </si>
  <si>
    <t>119+150+120+</t>
  </si>
  <si>
    <t>87+100+75+</t>
  </si>
  <si>
    <t>- Awal Shift PM Produksi 1. Toilet 15 gsm
- (Pals) Deckle 2565 mm
speed pm
Awal : 1150 mpm / -18 %</t>
  </si>
  <si>
    <t>06:00 change grade, cleaning hood, stabilizer &amp; roll2
06:15 steam drop, sinergy trouble
- speed turun 1100 mpm karena kertas lembab
- tunggu steam stabil</t>
  </si>
  <si>
    <t>- Awal Shift PM Produksi Toilet 15 ( PALS )
* Deckle 2565 mm
Speed Awal : 1150 mpm/-18%</t>
  </si>
  <si>
    <t>19.23 Cleaning &amp; Ganti Blade.</t>
  </si>
  <si>
    <t>- Awal shift PM 17 produksi : 
1. Toilet 15 Gsm (Pals)
- Deckle : 2565 mm
- Speed Awal : 1150 mpm / -18 %</t>
  </si>
  <si>
    <t>Awal shift produksi T15 LB
13:29 kertas putus indikasi karena stabilizer kotor, lanjut cleaning area PM lanjut sambung</t>
  </si>
  <si>
    <t>02:45 flushing shower</t>
  </si>
  <si>
    <t>- Awal Shift PM Produksi 1. Toilet 15 Gsm (Pals)
- Deckle : 2565 mm
- Speed Awal : 1150 mpm / -18 %</t>
  </si>
  <si>
    <t>Awal shift PM stop (sinergy perbaikan jalur steam)
kegiatan : 
cleaning area PM
08:55 Persiapan jalan
09:34 Onreel di 1000 mpm serta ganti blade baru
09:36 Speed naik ke 1150 mpm
09:44 Speed turun ke 1140 mpm (pressure steam turun ke 11,4 bar)
10:17 Speed naik ke 1150 mpm</t>
  </si>
  <si>
    <t>1150/943</t>
  </si>
  <si>
    <t>1148,07/941,42</t>
  </si>
  <si>
    <t>1149,51/942,6</t>
  </si>
  <si>
    <t>- Change Spool (5x)</t>
  </si>
  <si>
    <t>1145,31/939,156</t>
  </si>
  <si>
    <t>1148,44/941,72</t>
  </si>
  <si>
    <t xml:space="preserve">Seset PM : 200 kg / 1,7 % (keriput mati saat kondisi steam drop) </t>
  </si>
  <si>
    <t xml:space="preserve">- Seset PM : 200 kg / 1,7 % (keriput mati saat kondisi steam drop) </t>
  </si>
  <si>
    <t>- Awal shift produksi T14,5 Offreel</t>
  </si>
  <si>
    <t>- Awal Shift PM Produksi 1. T14.5 ( FG CTC) 
- Deckle : 2750 mm
Speed Awal : 1150 mpm / 18 %</t>
  </si>
  <si>
    <t xml:space="preserve">04.55 Flushing Pulper
06.15 Sirkulasi UTM, cleaning rol felt wire </t>
  </si>
  <si>
    <t>- Awal Shift PM Produksi Toilet 14.5 ( FG CTC )
* Deckle 2750 mm
Speed Awal : 1150 mpm/-18%</t>
  </si>
  <si>
    <t>22.25 Cleaning Area PM.</t>
  </si>
  <si>
    <t>- Change Grade T 14,5 pukul 10:00</t>
  </si>
  <si>
    <t>- Awal Shift PM Produksi 1. Toilet 15
- Speed Awal : 1150 mpm / -18 %</t>
  </si>
  <si>
    <t>- 21.10 Cleaning Area PM.</t>
  </si>
  <si>
    <t>- Awal Shift PM Produksi 1. Toilet 14,5 Gsm (FG CTC) Offreel
- Deckle : 2750 mm
- Speed Awal : 1150 mpm / -18 %</t>
  </si>
  <si>
    <t>Awal shift produksi T14,5 Offreel
08:35 kertas putus indikasi stabilizer kotor, lanjut cleaning PM lanjut sambung</t>
  </si>
  <si>
    <t>04.55 Flushing Pulper
05.45 Sirkulasi UTM, cleaning rol felt wire</t>
  </si>
  <si>
    <t>- Change Spool (10x)</t>
  </si>
  <si>
    <t>- Change Spool (28x)</t>
  </si>
  <si>
    <t>- Awal Shift PM Produksi 1. Toilet 14,5 Gsm (FG CTC) Offreel
- Deckle : 2750 mm
2 Toilet 15 Gsm (SnH)
Deckle : 2750 mm
- Speed Awal : 1150 mpm / -18 %</t>
  </si>
  <si>
    <t>Awal shift produksi T14,5 Offreel
07:48 Ganti blade dan cleaning PM lanjut sambung
08:08 Kertas putus nyelilit sisi DS lanjut cleaning dan sambung
12:20 Ganti grade T15
13:41 Speed naik ke 1160 mpm</t>
  </si>
  <si>
    <t>- Awal Shift PM Produksi 1. Toilet 15 gsm
- (Snh) Deckle 275 cm
speed pm
Awal : 1160 mpm / -20 %</t>
  </si>
  <si>
    <t xml:space="preserve"> - 18:15 flushing shower</t>
  </si>
  <si>
    <t>- Awal Shift PM Produksi 1. T15( Shin Seung ) 
- Deckle : 2750 mm
Speed Awal : 1160 mpm / 20 %</t>
  </si>
  <si>
    <t>1151,65/936,65</t>
  </si>
  <si>
    <t>1160/928</t>
  </si>
  <si>
    <t>1157,22/930,88</t>
  </si>
  <si>
    <t>- Change Spool (22x)</t>
  </si>
  <si>
    <t>- Awal Shift PM Produksi 1. Toilet 15 Gsm (Shinseung)
- Deckle : 2750 mm
2 Toilet 15 Gsm (Pals)
Deckle : 2565 mm
- Speed Awal : 1160 mpm / -20 %</t>
  </si>
  <si>
    <t>- Awal Shift PM Produksi 1. Toilet 15 gsm
- (Pals) Deckle 2565 mm
2. Toilet 14 gsm
- (SnH) Deckle 271 cm
speed pm
Awal : 1160 mpm / -20 %</t>
  </si>
  <si>
    <t>18:10 flushing shower
18:30 change grade T14</t>
  </si>
  <si>
    <t>- Awal Shift PM Produksi 1. T14 ( Jung il) 
- Deckle : 2710 mm
Speed Awal : 1220 mpm / 19 %</t>
  </si>
  <si>
    <t>04.20 Flushing Pulper
05.55 Sirkulasi UTM, cleaning rol felt wire</t>
  </si>
  <si>
    <t>T 14</t>
  </si>
  <si>
    <t>1182,5/946</t>
  </si>
  <si>
    <t>1220/988,2</t>
  </si>
  <si>
    <t>1187,5/954,07</t>
  </si>
  <si>
    <t>15/14</t>
  </si>
  <si>
    <t>271*1</t>
  </si>
  <si>
    <t>T 14 RC HW</t>
  </si>
  <si>
    <t>- Awal Shift PM Produksi 1. T13.5 ( Morcon ) 
- Deckle : 2680 mm
Speed Awal : 1225 mpm / 16%</t>
  </si>
  <si>
    <t>03.25 Flushing Pulper
04.25 Tiasue putus, sirkulasi UTM, cleaning rol felt wire -&gt; sambung</t>
  </si>
  <si>
    <t>- Awal Shift PM Produksi 1. Toilet 14 gsm (Hb) 
- (SnH) Deckle 271 cm
2. Toilet 13,5 gsm (Lb) 
- (morcon) Deckle 268 cm
speed pm
Awal : 1225 mpm / -20 %</t>
  </si>
  <si>
    <t>17:28 change grade T13,5
19:42 change blade cleaning</t>
  </si>
  <si>
    <t>- Awal Shift PM Produksi .Toilet 14 ( Jung iL )
* Deckle 2710 mm
Speed Awal : 1225 mpm/-20%</t>
  </si>
  <si>
    <t>- 11.30 Cleaning Area PM.</t>
  </si>
  <si>
    <t>T 13,5</t>
  </si>
  <si>
    <t>1225/1029</t>
  </si>
  <si>
    <t>1225/1000,21</t>
  </si>
  <si>
    <t>1225/980</t>
  </si>
  <si>
    <t>1225/1003,07</t>
  </si>
  <si>
    <t>14/13,5</t>
  </si>
  <si>
    <t>254+14</t>
  </si>
  <si>
    <t>Putra R RAP</t>
  </si>
  <si>
    <t>T 13,5 RC HW</t>
  </si>
  <si>
    <t>215+98+</t>
  </si>
  <si>
    <t>81+55+42+30+</t>
  </si>
  <si>
    <t>325+</t>
  </si>
  <si>
    <t>32+90+</t>
  </si>
  <si>
    <t>50+185+75+</t>
  </si>
  <si>
    <t>855+</t>
  </si>
  <si>
    <t>60+247+</t>
  </si>
  <si>
    <t>23+65+</t>
  </si>
  <si>
    <t>600+</t>
  </si>
  <si>
    <t>200+</t>
  </si>
  <si>
    <t>- Awal Shift PM Produksi 1. Toilet 13,5 Gsm  LB (Morcon)
- Deckle : 2565 mm
- Speed Awal : 1225 mpm / -16 %</t>
  </si>
  <si>
    <t>Awal shift produksi T13,5
01:47 Kertas putus nyelilit sisi DS, lanjut cleaning lalu sambung
05:03 Kertas putus terdapat kotoran buburan, lanjut cleaning dan sambung
06:26 Kertas putus nyelilit sisi DS lanjut cleaning lalu sambung</t>
  </si>
  <si>
    <t>17:04 sheet breaks, cek temperatur, shower coating &amp; cleaning stabilizer
21:22 primary arm macet, sheet breaks, change blade, cleaning hood &amp; roll2 felt/wire</t>
  </si>
  <si>
    <t>- Awal Shift PM Produksi .Toilet 13.5  ( Morcon )
* Deckle : 2680 mm
Speed Awal : 1225 mpm/-16%</t>
  </si>
  <si>
    <t>07.34 Cleaning Hood &amp; Area PM.</t>
  </si>
  <si>
    <t>23.54 Tiasue putus, sirkulasi UTM, cleaning rol felt, wire -&gt; sambung
05.15 Flushing Pulper</t>
  </si>
  <si>
    <t>17:07 sheet breaks, cleaning roll2 &amp; hood
19:24 cleaning stabilizer</t>
  </si>
  <si>
    <t>- Sheet Breaks (3x)</t>
  </si>
  <si>
    <t>13,5</t>
  </si>
  <si>
    <t>- Awal Shift PM Produksi 1. Toilet 13,5 Gsm  LB (Morcon)
- Deckle : 2565 mm dan 2680 mm
- Speed Awal : 1225 mpm / -16 %</t>
  </si>
  <si>
    <t>Awal shift produksi T13,5
00:20 Kertas putus nyelilit sisi DS, lanjut cleaning dan sambung
03:37 Kertas putus indikasi karena stabilizer kotor, lanjut cleaning lalu sambung</t>
  </si>
  <si>
    <t>- Awal Shift PM Produksi 1. Toilet 13,5 gsm
- (morcon) Deckle 2565 mm  &amp; 268 cm
speed pm
Awal : 1225 mpm / -16 %</t>
  </si>
  <si>
    <t>15:00 Awal shift pipa flowding shower wire 10bar pecah.
15:40 flushing pulper
18:30 pompa 10 bar dimatikan, med las pipa yang bocor
18:45 pompa 10 bar kembali menyala normal
19:00 sheet breaks, sisi Ds brosot</t>
  </si>
  <si>
    <t>- 09.33 Cleaning dan Change Blade.
11.35 Kertas Putus Nyelilit Ds. cleaning Lanjut Sambung.</t>
  </si>
  <si>
    <t>- Awal Shift PM Produksi Toilet 13.5 Gsm LB ( Morcon )
* Deckle : 2680 &amp; 2565 mm
Speed Awal : 1225 mpm/-18%</t>
  </si>
  <si>
    <t>1225/1004,5</t>
  </si>
  <si>
    <t>1225/1020,83</t>
  </si>
  <si>
    <t>- Awal Shift PM Produksi 1. Toilet 15 Gsm (Global Peper Indo)
- Deckle : 2600 mm
- Speed Awal : 1180 mpm / -23 %</t>
  </si>
  <si>
    <t xml:space="preserve">- Awal shift produksi T15
01:05 kertas putus terdapat kotoran buburan, lanjut cleaning PM dan sambung
</t>
  </si>
  <si>
    <t>- Awal Shift PM Produksi 1. T15 ( Global Paper Indo) 
- Deckle : 2600 mm
Speed Awal : 1180 mpm / 23%</t>
  </si>
  <si>
    <t>- Awal shift permukaan tissue gelombang, sisi DS  ada keriput. -&gt; setting temperatur dan costing release. 
16.00 Permukaan Jr masih gelombang, turun speed 1160 mpm, setting temperatur. 
16.30 Turun speed 1100 mpm
17.00 Speed naik bertahap 1180 mpm, Permukaan tissue masih gelombang. 
17.55 Ganti blade, cleaning rol felt wire. 
18.15 Permukaan Jr sudah rata.</t>
  </si>
  <si>
    <t>- Awal Shift PM Produksi Toilet 13.5 Gsm LB ( Morcon )
* Deckle : 256.5 mm
Toilet 15 HB (GPI)
. Deckle : 2.600 mm
Speed Awal : 1225 mpm/-16%</t>
  </si>
  <si>
    <t>07.22 Cleaning.
08.28 Jr Terdapat Pinhole, Center &amp; Ds, Karcher.
09.38 JR Pinhole Sudah Berkurang, Lanjut Karcher.
12.50 Tissue Putus, Tersangkut Kotoran Dari Breast Roll. Lanjut Cleaning.
14.45 Change Grade T15</t>
  </si>
  <si>
    <t>1180/908,6</t>
  </si>
  <si>
    <t>1173,75/903,79</t>
  </si>
  <si>
    <t>1225/1026,32</t>
  </si>
  <si>
    <t>1192,92/946,24</t>
  </si>
  <si>
    <t>- Change Blade (2x)</t>
  </si>
  <si>
    <t>13,5/15</t>
  </si>
  <si>
    <t>130*2</t>
  </si>
  <si>
    <t>- 15.45 Flushing Pulper</t>
  </si>
  <si>
    <t xml:space="preserve">- 18.20 Tissue putus, nyelilit FS -&gt; cleaning, ganti blade. </t>
  </si>
  <si>
    <t>- 23:24 Change blade karena sisi FS nyelilit, cleaning PM lanjut sambung</t>
  </si>
  <si>
    <t>- 02:21 Change blade karena sisi FS gripis, lanjut cleaning PM lalu sambung</t>
  </si>
  <si>
    <t>- 05:58 Ganti blade dan cleaning PM lanjut sambung</t>
  </si>
  <si>
    <t xml:space="preserve">- 01:29 Change blade karena sisi FS nyelilit, </t>
  </si>
  <si>
    <t>- 02:13 Change blade, lanjut cleaning PM lalu sambung</t>
  </si>
  <si>
    <t>- 17.10 Flushing Pulper</t>
  </si>
  <si>
    <t>- 19.15 Sirkulasi UTM, cleaning rol felt wire</t>
  </si>
  <si>
    <t>- 08:37 Nyelilit DS -&gt; change blade, cleaning</t>
  </si>
  <si>
    <t>- 11:20 Nyelilit DS -&gt; change blade, cleaning</t>
  </si>
  <si>
    <t>- 10:00 Ganti grade Towel 22 speed 860/-16%</t>
  </si>
  <si>
    <t>980/792</t>
  </si>
  <si>
    <t>- Awal Shift PM Produksi TW 22 speed 860/-16%</t>
  </si>
  <si>
    <t>860/722</t>
  </si>
  <si>
    <t>900/745</t>
  </si>
  <si>
    <t>- Change Spool (11x)</t>
  </si>
  <si>
    <t>TW 22 RC HW</t>
  </si>
  <si>
    <t>- Change Spool (23x)</t>
  </si>
  <si>
    <t>860/662</t>
  </si>
  <si>
    <t>- Change Blade (3x)</t>
  </si>
  <si>
    <t>- Change Blade (6x)</t>
  </si>
  <si>
    <t>Towel</t>
  </si>
  <si>
    <t>Toilet /Towel</t>
  </si>
  <si>
    <t>15/22</t>
  </si>
  <si>
    <t>22</t>
  </si>
  <si>
    <t>TW 22</t>
  </si>
  <si>
    <t>257*1</t>
  </si>
  <si>
    <t>- Awal Shift PM Produksi 1. Tw22 ( Purchasing ) 
- Deckle : 2570 mm
Speed Awal : 860 mpm / 16%</t>
  </si>
  <si>
    <t>- 10.25 Flushing Pulper 
11.50 Sirkulasi UTM, cleaning rol felt wire</t>
  </si>
  <si>
    <t>- Awal Shift PM Produksi Towel 22 Purchasing 
* Deckle 2570 mm
Speed Awal : 860 mpm/-16%</t>
  </si>
  <si>
    <t>- 02:30 Cleaning &amp; Ganti Blade.</t>
  </si>
  <si>
    <t>- 19.07 Flushing Pulper</t>
  </si>
  <si>
    <t>- Awal Shift PM Produksi 1. Towel 22 gsm
- (purchasing) Deckle 257 cm
speed pm
Awal : 860 mpm / -16 %</t>
  </si>
  <si>
    <t>- Awal Shift PM Produksi 1. Towel 22 Gsm (Purchasing)
- Deckle : 2570 mm
- Speed Awal : 860 mpm / -16 %</t>
  </si>
  <si>
    <t>- Awal shift produksi Tw 22
00:10 Change blade karena sisi FS nyelilit, cleaning PM lanjut sambung
03:31 Change blade karena sisi FS geripis, cleaning PM lanjut sambung</t>
  </si>
  <si>
    <t xml:space="preserve">- 19.20 Flushing Pulper 
20.35 Sirkulasi UTM, ganti blade, cleaning rol felt wire. </t>
  </si>
  <si>
    <t>- Awal Shift PM Produksi TW 22 speed 860 mpm/-23%</t>
  </si>
  <si>
    <t>- Awal Shift PM Produksi  TW 22 speed 860 mpm/-23%</t>
  </si>
  <si>
    <t>07:06 sheet breaks, cleaning, change blade
10:56 sheet breaks, sisi Fs brosot</t>
  </si>
  <si>
    <t>- Awal Shift PM Produksi .Towel 22 ( Purchasing )
* Deckle 2570 mm
2.Toilet 15 ( GPI )
* Deckle 2600 mm
Speed Awal : 860 mpm/-16%</t>
  </si>
  <si>
    <t>- 23:20 Ganti grade T15, cleaning &amp; ganti Blade.</t>
  </si>
  <si>
    <t>860/722,4</t>
  </si>
  <si>
    <t>Towel/Toilet</t>
  </si>
  <si>
    <t>22/15</t>
  </si>
  <si>
    <t>1166,67/900,84</t>
  </si>
  <si>
    <t>- Change Blade (4x)</t>
  </si>
  <si>
    <t>- Change Blade (5x)</t>
  </si>
  <si>
    <t>- Awal Shift PM Produksi 1. Toilet 15 gsm
- (GPI) Deckle 260 cm
speed pm
Awal : 1.180 mpm / -23 %</t>
  </si>
  <si>
    <t>- 08:26 sheet breaks, cleaning</t>
  </si>
  <si>
    <t>- Awal Shift PM Produksi1. Toilet 15 Gsm (Global Paper Indo)
- Deckle : 260 mm
2 Toilet 13,5 Gsm (Morcon)
Deckle : 2565 mm
- Speed Awal : 1180 mpm / -23 %</t>
  </si>
  <si>
    <t>- Awal shift produksi T15
18:30 Change grade T13,5 (LB)</t>
  </si>
  <si>
    <t>- Awal Shift PM Produksi Toilet 13.5 ( Morcon )
* Deckle 2565 mm
Speed Awal : 1225 mpm/-16%</t>
  </si>
  <si>
    <t>- 00:20 Kertas Putus, Nyelilit Ds,  Cleaning Area PM  &amp; Cleaning Blade.</t>
  </si>
  <si>
    <t>1205,31/976,325</t>
  </si>
  <si>
    <t>15/13,5</t>
  </si>
  <si>
    <t>1203,44/971,31</t>
  </si>
  <si>
    <t>- Awal Shift PM Produksi 1. Toilet 13,5 gsm
- (morcon) Deckle 256,5 cm
speed pm
Awal : 1.225 mpm / -16 %</t>
  </si>
  <si>
    <t>- 08:30 sheet breaks. cleaning hood, roll2, stabilizer &amp; holder blade
12:45 sheet breaks, brosot Ds</t>
  </si>
  <si>
    <t>- Awal Shift PM Produksi 1. Toilet 13,5 Gsm (Morcon)
- Deckle : 2565 mm dan 2680 mm
- Speed Awal : 1225 mpm / -16 %</t>
  </si>
  <si>
    <t>Awal shift produksi T13,5 
19:32 Kertas putus nyelilit sisi DS, lanjut cleaning lalu sambung</t>
  </si>
  <si>
    <t>- Awal Shift PM Produksi Toilet 13.5 ( Morcon )
* Deckle 2680 mm
Toilet 13.5 ( Purchasing )
* Deckle 2565 mm
Speed Awal : 1225 mpm/-16%</t>
  </si>
  <si>
    <t>05:30 setting water trim
05:40 PM jalan core 12" Deckle 256,5 cm water trim</t>
  </si>
  <si>
    <t>- Sheet Breaks (4x)</t>
  </si>
  <si>
    <t>- Awal Shift PM Produksi 1. Toilet 13,5 Gsm (Purchasing) Offreel
- Deckle : 2565 mm
- Speed Awal : 1225 mpm / -16 %</t>
  </si>
  <si>
    <t>Awal shift produksi T13,5 Offreel
08:50 Ganti blade, cleaning PM lanjut sambung</t>
  </si>
  <si>
    <t>44+</t>
  </si>
  <si>
    <t>110+82+180+</t>
  </si>
  <si>
    <t>30+75+249+650+</t>
  </si>
  <si>
    <t>133+</t>
  </si>
  <si>
    <t>280+120+120+</t>
  </si>
  <si>
    <t>180+150+</t>
  </si>
  <si>
    <t>580+</t>
  </si>
  <si>
    <t>180+80+100+</t>
  </si>
  <si>
    <t>81+20+47+</t>
  </si>
  <si>
    <t>540+</t>
  </si>
  <si>
    <t>200+170+120+</t>
  </si>
  <si>
    <t>70+205+147+</t>
  </si>
  <si>
    <t>80+122</t>
  </si>
  <si>
    <t>86+20+67+</t>
  </si>
  <si>
    <t>40+75+100+1000+</t>
  </si>
  <si>
    <t>23+25+150+</t>
  </si>
  <si>
    <t>1050+</t>
  </si>
  <si>
    <t>200+120+347+</t>
  </si>
  <si>
    <t>283+</t>
  </si>
  <si>
    <t>200+50+110+</t>
  </si>
  <si>
    <t>250+210+52+</t>
  </si>
  <si>
    <t>100+245+121+</t>
  </si>
  <si>
    <t>800+</t>
  </si>
  <si>
    <t>86+40+192+</t>
  </si>
  <si>
    <t>40+25+121+</t>
  </si>
  <si>
    <t>350+80+90+</t>
  </si>
  <si>
    <t>222+40+47+</t>
  </si>
  <si>
    <t>165+100+150+</t>
  </si>
  <si>
    <t>50+70+70+</t>
  </si>
  <si>
    <t>- Awal Shift PM Produksi Toilet 13.5 ( Purchasing )
* Deckle 2565 mm
Speed Awal : 1225 mpm/-16%</t>
  </si>
  <si>
    <t>- 02:55 Cleaning &amp; Ganti Blade.</t>
  </si>
  <si>
    <t>15.38 Sehat Break, Nyelilit Sisi FS, Cleaning Blade Lanjut Sambung.
16.36 Change New Blade.
21.17 Kertas Putus, Nyelilit DS, Cleaning Blade, Lanjut Sambung.</t>
  </si>
  <si>
    <t>03:45 Cleaning 
04:35 Ganti Blade &amp; Cleaning.</t>
  </si>
  <si>
    <t>Awal shift produksi T13,5 Offreel
15:55 Kertas putus terapat kotoran buburan, cleaning PM lanjut sambung
17:22 Sheet break, cleaning PM lanjut sambung
19:53 Kertas putus terdapat kotoran buburan lanjut cleaning lalu sambung</t>
  </si>
  <si>
    <t>- Awal Shift PM Produksi 1. T13.5 ( Purchasing ) 
- Deckle : 2565 mm
Speed Awal : 1225 mpm / 16%</t>
  </si>
  <si>
    <t>Awal shift produksi offreel. 
07.07 Tissue putus, cleaning -&gt; sambung
10.40 Flushing Pulper 
14.25 Sirkulasi UTM, cleaning rol felt wire</t>
  </si>
  <si>
    <t>- Awal Shift PM Produksi 1. Toilet 13,5 Gsm (Morcon)
- Deckle : 2680 mm
- Speed Awal : 1225 mpm / -16 %</t>
  </si>
  <si>
    <t xml:space="preserve">- Awal shift produksi T13,5 </t>
  </si>
  <si>
    <t>- Awal Shift PM Produksi 1. T13.5 ( Purchasing ) 
- Deckle : 2565 mm ( offreel ) 
2. T13.5 ( Morcon) 
- Deckle : 2680 mm
Speed Awal : 1225 mpm / 16%</t>
  </si>
  <si>
    <t>- Awal shift produksi offreel. 
08.45 Flushing pulper
10.50 Sirkulasi UTM, cleaning rol felt wire. 
- water trim off, gulung spool.</t>
  </si>
  <si>
    <t>- Awal Shift PM Produksi 1. Toilet 13,5 gsm
- (morcon) Deckle 268 cm
speed pm
Awal : 1.225 mpm / -16 %</t>
  </si>
  <si>
    <t>557+492+</t>
  </si>
  <si>
    <t>23:06 JR turun kertas geser melebihi karet spool ke sisi FS. (di rewinder kertas mepet frame dan geser2)
23:10 cek dosing coating release, cek shower &amp; temperature
- sisi Ct kertas dingin kisaran 42°C
- sisi Fs 52°C
- sisi Ds 54°C
01:18 change blade cleaning, setting temperature
06:42 steam drop hingga 14,1 bar
06:47 sheet breaks, temp kertas turun</t>
  </si>
  <si>
    <t>- Awal Shift PM Produksi 1. Toilet 14,5 gsm
- (Fg CtC) Deckle 268 cm
speed pm
Awal : 1.160 mpm / -16 %</t>
  </si>
  <si>
    <t>00:27 sheet breaks, cleaning stabilizer hood and felt/wire rolls
02:35 sisi Fs brosot, change blade</t>
  </si>
  <si>
    <t>- Awal Shift PM Produksi Toilet 13.5 ( Morcon )
* Deckle : 2680 mm
Toilet 14.5 ( FG CTC )
* Deckle : 2640 mm
Speed Awal : 1200 mpm/-16%</t>
  </si>
  <si>
    <t>- 22:45 Ganti grade T14.5</t>
  </si>
  <si>
    <t>- Awal Shift PM Produksi T13.5 ( Morcon) 
- Deckle : 2680 mm
Speed Awal : 1200 mpm / 16%</t>
  </si>
  <si>
    <t>- 09.05 Sirkulasi UTM, cleaning rol felt wire
- Flushing shower
13.30 Flushing pulper
- EID perbaikan control valve pulper.</t>
  </si>
  <si>
    <t>- Awal Shift PM Produksi 1. Toilet 13,5 gsm
- (morcon) Deckle 268 cm
speed pm
Awal : 1.200 mpm / -16 %</t>
  </si>
  <si>
    <t>- 04:25 cleaning stabilizer, hood &amp; roll felt/wire</t>
  </si>
  <si>
    <t>17.50 Flushing pulper
22.40 Sirkulasi UTM, cleaning rol felt wire</t>
  </si>
  <si>
    <t>Awal shift produksi T13,5 
Awal shift steam drop ke 14 bar keriput CT dan bergelombang bagian DS -&gt; turunkan press Spr bagian DS dan tutup damper hood wet belakang, turunkan press bosterpump 5 ke 4 bar
08:21 kertas putus nyelilit sisi DS lanjut cleaning lalu sambung
08: kertas putus dan sulit sambung ( indikasi buburan di bawah tail cutter )</t>
  </si>
  <si>
    <t>1200/1008</t>
  </si>
  <si>
    <t>1208,33/1015</t>
  </si>
  <si>
    <t>1186,67/996,8</t>
  </si>
  <si>
    <t>13,5/14,5</t>
  </si>
  <si>
    <t>264*1</t>
  </si>
  <si>
    <t xml:space="preserve">Cleaning PM </t>
  </si>
  <si>
    <t>Reject efek sinergy</t>
  </si>
  <si>
    <t>Sinergy black out</t>
  </si>
  <si>
    <t>- Awal Shift PM Produksi 1. Toilet 14,5 gsm
- (Fg CtC) Deckle 268 cm
2. Toilet 13,5 gsm
- (morcon) Deckle 2565 mm
speed pm
Awal : 1.080 mpm / -16 %</t>
  </si>
  <si>
    <t>- kacer wire, pin hole Ct ke sisi Ds
23:00 awal shift speed 1080 mpm, mengimbangi bubur DiP habis karena ada trouble
00:00 konsistensi bubur DiP mulai naik, speed menyesuaikan
01:45 pm mencapai speed terget 1160 mpm
02:45 change grade T13,5, cleaning
- speed 1200 mpm
05:38 change blade</t>
  </si>
  <si>
    <t>15.00 Produksi T14.5, 
15.51 JR  Muncul Hole, Bagian center Karcher Secara Bergantian.
16.50 Hole Center Sudah Berkurang, Pindah Sisi DS &amp; Fs, lanjut Karcher.
19.00 Turun speed 1000 mpm, menyesuaikan buburan dip 2 stop
21.45 Speed naik 1050 krn dip 2 sudah mulai jalan</t>
  </si>
  <si>
    <t>- Awal Shift PM Produksi .Toilet 14.5 ( FG CTC )
* Deckle : 2640 mm
Speed Awal : 1160 mpm/-16%</t>
  </si>
  <si>
    <t>- Awal Shift PM Produksi .T13.5 ( Morcon) 
- Deckle : 2680 mm
2. T14.5 ( FG CTC) 
- Deckle : 2640 mm
Speed Awal : 1180 mpm / 16%</t>
  </si>
  <si>
    <t>07.15 Produksi 14.5 speed 1160 mpm
- Sirkulasi UTM, cleaning rol felt wire. 
11.15 Flushing Pulper
14.40 Nyelilit DS, Ganti blade, cleaning</t>
  </si>
  <si>
    <t>- change grade T 13,5 gsm jam 6:35</t>
  </si>
  <si>
    <t>1162,08/976,15</t>
  </si>
  <si>
    <t>1153,75/969,15</t>
  </si>
  <si>
    <t>1087,81/913,76</t>
  </si>
  <si>
    <t>1160,63/974,925</t>
  </si>
  <si>
    <t>1134,06/952,61</t>
  </si>
  <si>
    <t xml:space="preserve">- 12.28 change blade </t>
  </si>
  <si>
    <t>- Awal Shift PM Produksi 1. Toilet 13,5 Gsm (Morcon)
- Deckle : 2565 mm
- Speed Awal : 1200 mpm / -16 %</t>
  </si>
  <si>
    <t>21.34, Tissue Putus Nyelilit Fs, Cleaning.</t>
  </si>
  <si>
    <t>- Awal Shift PM Produksi 1. Toilet 13,5 gsm
- (morcon) Deckle 2565 mm
2. Toilet 15 gsm
- (pals) Deckle 2565 mm
speed pm
Awal : 1.200 mpm / -16 %</t>
  </si>
  <si>
    <t>00:58 change grade T15
05:45 cleaning stabilizer hood and felt/wire rolls</t>
  </si>
  <si>
    <t>1129,67/948,92</t>
  </si>
  <si>
    <t>1176,56/988,31</t>
  </si>
  <si>
    <t>- Awal Shift PM Produksi .Toilet 13.5 ( Morcon )
* Deckle : 256.5 mm
Speed Awal : 1200 mpm/-16%</t>
  </si>
  <si>
    <t>MARET</t>
  </si>
  <si>
    <t>65+</t>
  </si>
  <si>
    <t>40+90+</t>
  </si>
  <si>
    <t>46+21+30+</t>
  </si>
  <si>
    <t>100+25+</t>
  </si>
  <si>
    <t>120+42+80+</t>
  </si>
  <si>
    <t>10+208+</t>
  </si>
  <si>
    <t>100+75+1302+</t>
  </si>
  <si>
    <t>61+65+889+850+</t>
  </si>
  <si>
    <t>1100+</t>
  </si>
  <si>
    <t>450+23+249+</t>
  </si>
  <si>
    <t>100+100+125+</t>
  </si>
  <si>
    <t>140+</t>
  </si>
  <si>
    <t>1737+</t>
  </si>
  <si>
    <t>81+93+600+300+</t>
  </si>
  <si>
    <t>1274+</t>
  </si>
  <si>
    <t>216+</t>
  </si>
  <si>
    <t>165+2600+80</t>
  </si>
  <si>
    <t>277+120+</t>
  </si>
  <si>
    <t>121+</t>
  </si>
  <si>
    <t>780+</t>
  </si>
  <si>
    <t>255+</t>
  </si>
  <si>
    <t>100+150+165+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</si>
</sst>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0_);_(* \(#,##0\);_(* &quot;-&quot;_);_(@_)"/>
    <numFmt numFmtId="43" formatCode="_(* #,##0.00_);_(* \(#,##0.00\);_(* &quot;-&quot;??_);_(@_)"/>
    <numFmt numFmtId="164" formatCode="_-* #,##0.00_-;\-* #,##0.00_-;_-* &quot;-&quot;??_-;_-@_-"/>
    <numFmt numFmtId="165" formatCode="0.0%"/>
    <numFmt numFmtId="166" formatCode="_(* #,##0_);_(* \(#,##0\);_(* &quot;-&quot;??_);_(@_)"/>
    <numFmt numFmtId="167" formatCode="#,##0.0"/>
    <numFmt numFmtId="168" formatCode="[$-409]d\-mmm;@"/>
    <numFmt numFmtId="169" formatCode="0.0000"/>
    <numFmt numFmtId="170" formatCode="#,##0.000"/>
    <numFmt numFmtId="171" formatCode="_(* #,##0.0_);_(* \(#,##0.0\);_(* &quot;-&quot;??_);_(@_)"/>
    <numFmt numFmtId="172" formatCode="[$-409]d\-mmm\-yy;@"/>
    <numFmt numFmtId="173" formatCode="_(* #,##0.000_);_(* \(#,##0.000\);_(* &quot;-&quot;??_);_(@_)"/>
    <numFmt numFmtId="174" formatCode="#,##0.000_);\(#,##0.000\)"/>
    <numFmt numFmtId="175" formatCode="0.0"/>
    <numFmt numFmtId="176" formatCode="0.000"/>
    <numFmt numFmtId="177" formatCode="0_);[Red]\(0\)"/>
    <numFmt numFmtId="178" formatCode="_(* #,##0.00_);_(* \(#,##0.00\);_(* &quot;-&quot;_);_(@_)"/>
    <numFmt numFmtId="179" formatCode="_(* #,##0.0_);_(* \(#,##0.0\);_(* &quot;-&quot;_);_(@_)"/>
    <numFmt numFmtId="180" formatCode="[$-409]mmm\-yy;@"/>
    <numFmt numFmtId="181" formatCode="_(* #,##0.000_);_(* \(#,##0.000\);_(* &quot;-&quot;_);_(@_)"/>
    <numFmt numFmtId="182" formatCode="#,##0.0000"/>
  </numFmts>
  <fonts count="65">
    <font>
      <sz val="10"/>
      <name val="Arial"/>
    </font>
    <font>
      <sz val="11"/>
      <color theme="1"/>
      <name val="Calibri"/>
      <family val="2"/>
      <scheme val="minor"/>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sz val="10"/>
      <color indexed="12"/>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10"/>
      <color theme="6" tint="-0.499984740745262"/>
      <name val="Arial"/>
      <family val="2"/>
    </font>
    <font>
      <b/>
      <sz val="10"/>
      <color theme="5" tint="-0.499984740745262"/>
      <name val="Arial"/>
      <family val="2"/>
    </font>
    <font>
      <b/>
      <sz val="10"/>
      <color theme="3" tint="-0.499984740745262"/>
      <name val="Arial"/>
      <family val="2"/>
    </font>
    <font>
      <b/>
      <sz val="10"/>
      <color theme="9" tint="-0.499984740745262"/>
      <name val="Arial"/>
      <family val="2"/>
    </font>
    <font>
      <sz val="9"/>
      <color indexed="81"/>
      <name val="Tahoma"/>
      <family val="2"/>
    </font>
    <font>
      <b/>
      <sz val="9"/>
      <color indexed="81"/>
      <name val="Tahoma"/>
      <family val="2"/>
    </font>
  </fonts>
  <fills count="4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4" tint="-0.499984740745262"/>
        <bgColor indexed="64"/>
      </patternFill>
    </fill>
    <fill>
      <patternFill patternType="solid">
        <fgColor rgb="FFFFFF66"/>
        <bgColor indexed="64"/>
      </patternFill>
    </fill>
    <fill>
      <patternFill patternType="solid">
        <fgColor theme="6" tint="0.59999389629810485"/>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style="medium">
        <color indexed="64"/>
      </right>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61">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9" fillId="3" borderId="0" applyNumberFormat="0" applyBorder="0" applyAlignment="0" applyProtection="0"/>
    <xf numFmtId="0" fontId="12" fillId="20" borderId="1" applyNumberFormat="0" applyAlignment="0" applyProtection="0"/>
    <xf numFmtId="0" fontId="17" fillId="21" borderId="2" applyNumberFormat="0" applyAlignment="0" applyProtection="0"/>
    <xf numFmtId="43" fontId="45" fillId="0" borderId="0" applyFont="0" applyFill="0" applyBorder="0" applyAlignment="0" applyProtection="0"/>
    <xf numFmtId="41" fontId="45" fillId="0" borderId="0" applyFont="0" applyFill="0" applyBorder="0" applyAlignment="0" applyProtection="0"/>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0" fontId="11" fillId="0" borderId="0" applyNumberFormat="0" applyFill="0" applyBorder="0" applyAlignment="0" applyProtection="0"/>
    <xf numFmtId="0" fontId="14" fillId="4"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9" fillId="7" borderId="1" applyNumberFormat="0" applyAlignment="0" applyProtection="0"/>
    <xf numFmtId="0" fontId="8" fillId="0" borderId="6" applyNumberFormat="0" applyFill="0" applyAlignment="0" applyProtection="0"/>
    <xf numFmtId="0" fontId="3" fillId="22" borderId="0" applyNumberFormat="0" applyBorder="0" applyAlignment="0" applyProtection="0"/>
    <xf numFmtId="0" fontId="48" fillId="0" borderId="0"/>
    <xf numFmtId="0" fontId="48" fillId="0" borderId="0"/>
    <xf numFmtId="0" fontId="45" fillId="0" borderId="0"/>
    <xf numFmtId="0" fontId="45" fillId="0" borderId="0"/>
    <xf numFmtId="0" fontId="45" fillId="0" borderId="0"/>
    <xf numFmtId="0" fontId="45" fillId="0" borderId="0"/>
    <xf numFmtId="0" fontId="45" fillId="0" borderId="0"/>
    <xf numFmtId="0" fontId="45" fillId="23" borderId="7" applyNumberFormat="0" applyFont="0" applyAlignment="0" applyProtection="0"/>
    <xf numFmtId="0" fontId="13" fillId="20" borderId="8" applyNumberFormat="0" applyAlignment="0" applyProtection="0"/>
    <xf numFmtId="9" fontId="45" fillId="0" borderId="0" applyFont="0" applyFill="0" applyBorder="0" applyAlignment="0" applyProtection="0"/>
    <xf numFmtId="9" fontId="49" fillId="0" borderId="0" applyFont="0" applyFill="0" applyBorder="0" applyAlignment="0" applyProtection="0">
      <alignment vertical="center"/>
    </xf>
    <xf numFmtId="0" fontId="6" fillId="0" borderId="0" applyNumberFormat="0" applyFill="0" applyBorder="0" applyAlignment="0" applyProtection="0"/>
    <xf numFmtId="0" fontId="4" fillId="0" borderId="9" applyNumberFormat="0" applyFill="0" applyAlignment="0" applyProtection="0"/>
    <xf numFmtId="0" fontId="7" fillId="0" borderId="0" applyNumberFormat="0" applyFill="0" applyBorder="0" applyAlignment="0" applyProtection="0"/>
    <xf numFmtId="0" fontId="45" fillId="0" borderId="0"/>
    <xf numFmtId="0" fontId="45" fillId="0" borderId="0"/>
    <xf numFmtId="41" fontId="45" fillId="0" borderId="0" applyFont="0" applyFill="0" applyBorder="0" applyAlignment="0" applyProtection="0"/>
    <xf numFmtId="164" fontId="1" fillId="0" borderId="0" applyFont="0" applyFill="0" applyBorder="0" applyAlignment="0" applyProtection="0"/>
    <xf numFmtId="0" fontId="1" fillId="0" borderId="0"/>
    <xf numFmtId="9" fontId="1" fillId="0" borderId="0" applyFont="0" applyFill="0" applyBorder="0" applyAlignment="0" applyProtection="0"/>
  </cellStyleXfs>
  <cellXfs count="806">
    <xf numFmtId="0" fontId="0" fillId="0" borderId="0" xfId="0"/>
    <xf numFmtId="0" fontId="0" fillId="0" borderId="0" xfId="0" applyAlignment="1">
      <alignment horizontal="center"/>
    </xf>
    <xf numFmtId="0" fontId="28" fillId="0" borderId="11" xfId="0" applyFont="1" applyBorder="1" applyAlignment="1">
      <alignment horizontal="center" vertical="center" wrapText="1"/>
    </xf>
    <xf numFmtId="0" fontId="0" fillId="0" borderId="11" xfId="0" applyBorder="1" applyAlignment="1">
      <alignment horizontal="center"/>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43" fontId="0" fillId="0" borderId="11" xfId="0" applyNumberFormat="1" applyBorder="1"/>
    <xf numFmtId="0" fontId="28" fillId="0" borderId="16" xfId="0" applyFont="1" applyBorder="1" applyAlignment="1">
      <alignment horizontal="center" vertical="center" wrapText="1"/>
    </xf>
    <xf numFmtId="43" fontId="0" fillId="0" borderId="11" xfId="28" applyFont="1" applyBorder="1"/>
    <xf numFmtId="0" fontId="28" fillId="0" borderId="18" xfId="0" applyFont="1" applyBorder="1"/>
    <xf numFmtId="43" fontId="28" fillId="0" borderId="18" xfId="28" applyFont="1" applyBorder="1"/>
    <xf numFmtId="4" fontId="0" fillId="0" borderId="11" xfId="0" applyNumberFormat="1" applyBorder="1"/>
    <xf numFmtId="43" fontId="0" fillId="0" borderId="0" xfId="0" applyNumberFormat="1"/>
    <xf numFmtId="2" fontId="0" fillId="0" borderId="11" xfId="28" applyNumberFormat="1" applyFont="1" applyBorder="1"/>
    <xf numFmtId="16" fontId="0" fillId="0" borderId="11" xfId="0" applyNumberFormat="1" applyBorder="1"/>
    <xf numFmtId="2" fontId="28" fillId="0" borderId="11" xfId="0" applyNumberFormat="1" applyFont="1" applyBorder="1"/>
    <xf numFmtId="43" fontId="28" fillId="0" borderId="18" xfId="28" applyFont="1" applyFill="1" applyBorder="1"/>
    <xf numFmtId="0" fontId="28" fillId="0" borderId="0" xfId="0" applyFont="1"/>
    <xf numFmtId="0" fontId="28" fillId="0" borderId="18" xfId="28" applyNumberFormat="1" applyFont="1" applyBorder="1"/>
    <xf numFmtId="0" fontId="27" fillId="24" borderId="11" xfId="0" quotePrefix="1" applyFont="1" applyFill="1" applyBorder="1"/>
    <xf numFmtId="0" fontId="41" fillId="0" borderId="0" xfId="0" applyFont="1"/>
    <xf numFmtId="0" fontId="42" fillId="0" borderId="0" xfId="0" applyFont="1" applyAlignment="1">
      <alignment horizontal="center" vertical="center" wrapText="1"/>
    </xf>
    <xf numFmtId="41" fontId="42" fillId="0" borderId="0" xfId="29" applyFont="1" applyFill="1" applyBorder="1" applyAlignment="1">
      <alignment horizontal="center" vertical="center" wrapText="1"/>
    </xf>
    <xf numFmtId="177" fontId="42" fillId="0" borderId="0" xfId="0" applyNumberFormat="1" applyFont="1" applyAlignment="1">
      <alignment horizontal="center" vertical="center" wrapText="1"/>
    </xf>
    <xf numFmtId="178" fontId="42" fillId="0" borderId="0" xfId="29" applyNumberFormat="1" applyFont="1" applyFill="1" applyBorder="1" applyAlignment="1">
      <alignment horizontal="center" vertical="center" wrapText="1"/>
    </xf>
    <xf numFmtId="165" fontId="42" fillId="0" borderId="0" xfId="50" applyNumberFormat="1" applyFont="1" applyFill="1" applyBorder="1" applyAlignment="1">
      <alignment horizontal="center" vertical="center" wrapText="1"/>
    </xf>
    <xf numFmtId="0" fontId="43" fillId="0" borderId="0" xfId="0" applyFont="1"/>
    <xf numFmtId="178" fontId="42" fillId="0" borderId="11" xfId="29" applyNumberFormat="1" applyFont="1" applyFill="1" applyBorder="1" applyAlignment="1">
      <alignment horizontal="center"/>
    </xf>
    <xf numFmtId="0" fontId="42" fillId="0" borderId="0" xfId="0" applyFont="1"/>
    <xf numFmtId="0" fontId="43" fillId="25" borderId="14" xfId="0" applyFont="1" applyFill="1" applyBorder="1" applyAlignment="1">
      <alignment horizontal="center" vertical="center" wrapText="1"/>
    </xf>
    <xf numFmtId="177" fontId="43" fillId="0" borderId="14" xfId="0" applyNumberFormat="1" applyFont="1" applyBorder="1" applyAlignment="1">
      <alignment horizontal="center" vertical="center" wrapText="1"/>
    </xf>
    <xf numFmtId="0" fontId="43" fillId="0" borderId="0" xfId="0" applyFont="1" applyAlignment="1">
      <alignment horizontal="center" vertical="center" wrapText="1"/>
    </xf>
    <xf numFmtId="0" fontId="42" fillId="0" borderId="11" xfId="0" applyFont="1" applyBorder="1"/>
    <xf numFmtId="41" fontId="42" fillId="0" borderId="11" xfId="29" applyFont="1" applyFill="1" applyBorder="1" applyAlignment="1">
      <alignment vertical="center"/>
    </xf>
    <xf numFmtId="177" fontId="42" fillId="0" borderId="11" xfId="0" applyNumberFormat="1" applyFont="1" applyBorder="1"/>
    <xf numFmtId="41" fontId="42" fillId="0" borderId="11" xfId="29" applyFont="1" applyFill="1" applyBorder="1" applyAlignment="1">
      <alignment horizontal="center"/>
    </xf>
    <xf numFmtId="178" fontId="42" fillId="0" borderId="11" xfId="29" applyNumberFormat="1" applyFont="1" applyFill="1" applyBorder="1" applyAlignment="1">
      <alignment vertical="center"/>
    </xf>
    <xf numFmtId="165" fontId="42" fillId="0" borderId="11" xfId="50" applyNumberFormat="1" applyFont="1" applyFill="1" applyBorder="1" applyAlignment="1">
      <alignment vertical="center"/>
    </xf>
    <xf numFmtId="0" fontId="42" fillId="0" borderId="11" xfId="0" applyFont="1" applyBorder="1" applyAlignment="1">
      <alignment wrapText="1"/>
    </xf>
    <xf numFmtId="172" fontId="39" fillId="0" borderId="11" xfId="44" applyNumberFormat="1" applyFont="1" applyBorder="1" applyAlignment="1">
      <alignment horizontal="center"/>
    </xf>
    <xf numFmtId="0" fontId="39" fillId="0" borderId="11" xfId="44" applyFont="1" applyBorder="1" applyAlignment="1">
      <alignment horizontal="center"/>
    </xf>
    <xf numFmtId="0" fontId="39" fillId="0" borderId="11" xfId="31" applyNumberFormat="1" applyFont="1" applyFill="1" applyBorder="1" applyAlignment="1">
      <alignment horizontal="center"/>
    </xf>
    <xf numFmtId="0" fontId="42" fillId="0" borderId="11" xfId="0" applyFont="1" applyBorder="1" applyAlignment="1">
      <alignment horizontal="center" vertical="center" wrapText="1"/>
    </xf>
    <xf numFmtId="9" fontId="42" fillId="0" borderId="11" xfId="29" applyNumberFormat="1" applyFont="1" applyFill="1" applyBorder="1" applyAlignment="1">
      <alignment vertical="center"/>
    </xf>
    <xf numFmtId="9" fontId="42" fillId="0" borderId="11" xfId="50" applyFont="1" applyFill="1" applyBorder="1" applyAlignment="1">
      <alignment vertical="center"/>
    </xf>
    <xf numFmtId="41" fontId="39" fillId="0" borderId="11" xfId="29" applyFont="1" applyFill="1" applyBorder="1" applyAlignment="1">
      <alignment horizontal="center"/>
    </xf>
    <xf numFmtId="178" fontId="39" fillId="0" borderId="11" xfId="29" applyNumberFormat="1" applyFont="1" applyFill="1" applyBorder="1" applyAlignment="1">
      <alignment horizontal="center"/>
    </xf>
    <xf numFmtId="178" fontId="42" fillId="0" borderId="11" xfId="29" applyNumberFormat="1" applyFont="1" applyBorder="1" applyAlignment="1">
      <alignment vertical="center"/>
    </xf>
    <xf numFmtId="2" fontId="42" fillId="0" borderId="11" xfId="0" applyNumberFormat="1" applyFont="1" applyBorder="1"/>
    <xf numFmtId="2" fontId="39" fillId="0" borderId="11" xfId="46" applyNumberFormat="1" applyFont="1" applyBorder="1"/>
    <xf numFmtId="178" fontId="43" fillId="0" borderId="11" xfId="29" applyNumberFormat="1" applyFont="1" applyFill="1" applyBorder="1" applyAlignment="1">
      <alignment vertical="center"/>
    </xf>
    <xf numFmtId="178" fontId="42" fillId="0" borderId="0" xfId="29" applyNumberFormat="1" applyFont="1" applyFill="1" applyBorder="1" applyAlignment="1">
      <alignment vertical="center"/>
    </xf>
    <xf numFmtId="0" fontId="42" fillId="0" borderId="0" xfId="0" applyFont="1" applyAlignment="1">
      <alignment horizontal="center"/>
    </xf>
    <xf numFmtId="177" fontId="42" fillId="0" borderId="0" xfId="0" applyNumberFormat="1" applyFont="1"/>
    <xf numFmtId="172" fontId="39" fillId="0" borderId="11" xfId="43" applyNumberFormat="1" applyFont="1" applyBorder="1" applyAlignment="1">
      <alignment horizontal="center"/>
    </xf>
    <xf numFmtId="0" fontId="39" fillId="0" borderId="11" xfId="43" applyFont="1" applyBorder="1" applyAlignment="1">
      <alignment horizontal="center"/>
    </xf>
    <xf numFmtId="0" fontId="39" fillId="0" borderId="11" xfId="30" applyNumberFormat="1" applyFont="1" applyFill="1" applyBorder="1" applyAlignment="1">
      <alignment horizontal="center"/>
    </xf>
    <xf numFmtId="41" fontId="43" fillId="0" borderId="11" xfId="29" applyFont="1" applyFill="1" applyBorder="1" applyAlignment="1">
      <alignment vertical="center"/>
    </xf>
    <xf numFmtId="9" fontId="43" fillId="25" borderId="11" xfId="29" applyNumberFormat="1" applyFont="1" applyFill="1" applyBorder="1" applyAlignment="1">
      <alignment vertical="center"/>
    </xf>
    <xf numFmtId="178" fontId="43" fillId="25" borderId="11" xfId="29" applyNumberFormat="1" applyFont="1" applyFill="1" applyBorder="1" applyAlignment="1">
      <alignment vertical="center"/>
    </xf>
    <xf numFmtId="177" fontId="43" fillId="0" borderId="11" xfId="0" applyNumberFormat="1" applyFont="1" applyBorder="1"/>
    <xf numFmtId="0" fontId="43" fillId="0" borderId="11" xfId="0" applyFont="1" applyBorder="1"/>
    <xf numFmtId="41" fontId="43" fillId="25" borderId="11" xfId="29" applyFont="1" applyFill="1" applyBorder="1" applyAlignment="1">
      <alignment horizontal="center"/>
    </xf>
    <xf numFmtId="0" fontId="42" fillId="0" borderId="11" xfId="47" applyFont="1" applyBorder="1"/>
    <xf numFmtId="10" fontId="43" fillId="25" borderId="11" xfId="50" applyNumberFormat="1" applyFont="1" applyFill="1" applyBorder="1" applyAlignment="1">
      <alignment vertical="center"/>
    </xf>
    <xf numFmtId="165" fontId="43" fillId="25" borderId="11" xfId="50" applyNumberFormat="1" applyFont="1" applyFill="1" applyBorder="1" applyAlignment="1">
      <alignment vertical="center"/>
    </xf>
    <xf numFmtId="43" fontId="43" fillId="0" borderId="11" xfId="0" applyNumberFormat="1" applyFont="1" applyBorder="1" applyAlignment="1">
      <alignment horizontal="right"/>
    </xf>
    <xf numFmtId="172" fontId="39" fillId="0" borderId="0" xfId="43" applyNumberFormat="1" applyFont="1" applyAlignment="1">
      <alignment horizontal="center"/>
    </xf>
    <xf numFmtId="0" fontId="39" fillId="0" borderId="0" xfId="43" applyFont="1" applyAlignment="1">
      <alignment horizontal="center"/>
    </xf>
    <xf numFmtId="0" fontId="39" fillId="0" borderId="0" xfId="30" applyNumberFormat="1" applyFont="1" applyFill="1" applyBorder="1" applyAlignment="1">
      <alignment horizontal="center"/>
    </xf>
    <xf numFmtId="41" fontId="42" fillId="0" borderId="0" xfId="29" applyFont="1" applyFill="1" applyBorder="1" applyAlignment="1">
      <alignment vertical="center"/>
    </xf>
    <xf numFmtId="41" fontId="42" fillId="0" borderId="0" xfId="29" applyFont="1" applyFill="1" applyBorder="1" applyAlignment="1">
      <alignment horizontal="center"/>
    </xf>
    <xf numFmtId="178" fontId="42" fillId="0" borderId="0" xfId="29" applyNumberFormat="1" applyFont="1" applyFill="1" applyBorder="1" applyAlignment="1">
      <alignment horizontal="center"/>
    </xf>
    <xf numFmtId="43" fontId="43" fillId="0" borderId="0" xfId="0" applyNumberFormat="1" applyFont="1" applyAlignment="1">
      <alignment horizontal="right"/>
    </xf>
    <xf numFmtId="178" fontId="43" fillId="0" borderId="0" xfId="29" applyNumberFormat="1" applyFont="1" applyFill="1" applyBorder="1" applyAlignment="1">
      <alignment horizontal="right"/>
    </xf>
    <xf numFmtId="165" fontId="43" fillId="0" borderId="0" xfId="50" applyNumberFormat="1" applyFont="1" applyFill="1" applyBorder="1" applyAlignment="1">
      <alignment vertical="center"/>
    </xf>
    <xf numFmtId="0" fontId="42" fillId="0" borderId="0" xfId="0" applyFont="1" applyAlignment="1">
      <alignment wrapText="1"/>
    </xf>
    <xf numFmtId="0" fontId="43" fillId="0" borderId="0" xfId="50" applyNumberFormat="1" applyFont="1" applyFill="1" applyBorder="1" applyAlignment="1">
      <alignment vertical="center"/>
    </xf>
    <xf numFmtId="43" fontId="42" fillId="0" borderId="0" xfId="29" applyNumberFormat="1" applyFont="1" applyFill="1" applyBorder="1" applyAlignment="1">
      <alignment horizontal="center" vertical="center" wrapText="1"/>
    </xf>
    <xf numFmtId="43" fontId="43" fillId="0" borderId="14" xfId="0" applyNumberFormat="1" applyFont="1" applyBorder="1" applyAlignment="1">
      <alignment horizontal="center" vertical="center" wrapText="1"/>
    </xf>
    <xf numFmtId="43" fontId="42" fillId="0" borderId="11" xfId="29" applyNumberFormat="1" applyFont="1" applyFill="1" applyBorder="1" applyAlignment="1">
      <alignment vertical="center"/>
    </xf>
    <xf numFmtId="43" fontId="42" fillId="0" borderId="0" xfId="0" applyNumberFormat="1" applyFont="1"/>
    <xf numFmtId="43" fontId="43" fillId="25" borderId="11" xfId="29" applyNumberFormat="1" applyFont="1" applyFill="1" applyBorder="1" applyAlignment="1">
      <alignment vertical="center"/>
    </xf>
    <xf numFmtId="43" fontId="43" fillId="0" borderId="11" xfId="29" applyNumberFormat="1" applyFont="1" applyFill="1" applyBorder="1" applyAlignment="1">
      <alignment vertical="center"/>
    </xf>
    <xf numFmtId="43" fontId="42" fillId="0" borderId="0" xfId="29" applyNumberFormat="1" applyFont="1" applyFill="1" applyBorder="1" applyAlignment="1">
      <alignment vertical="center"/>
    </xf>
    <xf numFmtId="43" fontId="0" fillId="0" borderId="11" xfId="28" applyFont="1" applyFill="1" applyBorder="1"/>
    <xf numFmtId="2" fontId="0" fillId="0" borderId="11" xfId="28" applyNumberFormat="1" applyFont="1" applyFill="1" applyBorder="1"/>
    <xf numFmtId="10" fontId="42" fillId="0" borderId="0" xfId="0" applyNumberFormat="1" applyFont="1"/>
    <xf numFmtId="15" fontId="43" fillId="0" borderId="0" xfId="0" applyNumberFormat="1" applyFont="1"/>
    <xf numFmtId="172" fontId="0" fillId="0" borderId="0" xfId="0" applyNumberFormat="1" applyAlignment="1">
      <alignment vertical="center"/>
    </xf>
    <xf numFmtId="0" fontId="0" fillId="0" borderId="0" xfId="0" applyAlignment="1">
      <alignment horizontal="center" vertical="center"/>
    </xf>
    <xf numFmtId="166"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43" fontId="0" fillId="0" borderId="11" xfId="28" applyFont="1" applyBorder="1" applyProtection="1">
      <protection locked="0"/>
    </xf>
    <xf numFmtId="43" fontId="0" fillId="0" borderId="11" xfId="28" applyFont="1" applyFill="1" applyBorder="1" applyProtection="1">
      <protection locked="0"/>
    </xf>
    <xf numFmtId="166" fontId="0" fillId="0" borderId="11" xfId="28" applyNumberFormat="1" applyFont="1" applyBorder="1" applyAlignment="1" applyProtection="1">
      <alignment vertical="center"/>
      <protection locked="0"/>
    </xf>
    <xf numFmtId="43" fontId="27" fillId="24" borderId="32" xfId="28" applyFont="1" applyFill="1" applyBorder="1" applyAlignment="1" applyProtection="1">
      <alignment horizontal="center" vertical="center"/>
    </xf>
    <xf numFmtId="43" fontId="27" fillId="24" borderId="33" xfId="28" applyFont="1" applyFill="1" applyBorder="1" applyAlignment="1" applyProtection="1">
      <alignment horizontal="center" vertical="center"/>
    </xf>
    <xf numFmtId="43" fontId="27" fillId="24" borderId="34" xfId="28" applyFont="1" applyFill="1" applyBorder="1" applyAlignment="1" applyProtection="1">
      <alignment horizontal="center" vertical="center"/>
    </xf>
    <xf numFmtId="43" fontId="27" fillId="24" borderId="35" xfId="28" applyFont="1" applyFill="1" applyBorder="1" applyAlignment="1" applyProtection="1">
      <alignment horizontal="center" vertical="center"/>
    </xf>
    <xf numFmtId="165" fontId="27" fillId="24" borderId="36" xfId="50" applyNumberFormat="1" applyFont="1" applyFill="1" applyBorder="1" applyAlignment="1" applyProtection="1">
      <alignment horizontal="center" vertical="center"/>
    </xf>
    <xf numFmtId="165" fontId="27" fillId="24" borderId="29" xfId="50" applyNumberFormat="1" applyFont="1" applyFill="1" applyBorder="1" applyAlignment="1" applyProtection="1">
      <alignment horizontal="center" vertical="center"/>
    </xf>
    <xf numFmtId="165" fontId="27" fillId="24" borderId="37" xfId="50" applyNumberFormat="1" applyFont="1" applyFill="1" applyBorder="1" applyAlignment="1" applyProtection="1">
      <alignment horizontal="center" vertical="center"/>
    </xf>
    <xf numFmtId="43" fontId="27" fillId="24" borderId="38" xfId="28" applyFont="1" applyFill="1" applyBorder="1" applyAlignment="1" applyProtection="1">
      <alignment horizontal="center" vertical="center"/>
    </xf>
    <xf numFmtId="43" fontId="27" fillId="24" borderId="38" xfId="28" applyFont="1" applyFill="1" applyBorder="1" applyAlignment="1" applyProtection="1">
      <alignment horizontal="center"/>
    </xf>
    <xf numFmtId="43" fontId="27" fillId="24" borderId="39" xfId="28" applyFont="1" applyFill="1" applyBorder="1" applyAlignment="1" applyProtection="1">
      <alignment horizontal="center"/>
    </xf>
    <xf numFmtId="165" fontId="27" fillId="24" borderId="40" xfId="50" applyNumberFormat="1" applyFont="1" applyFill="1" applyBorder="1" applyAlignment="1" applyProtection="1">
      <alignment horizontal="center" vertical="center"/>
    </xf>
    <xf numFmtId="43" fontId="23" fillId="24" borderId="0" xfId="28" applyFont="1" applyFill="1" applyProtection="1"/>
    <xf numFmtId="43" fontId="27" fillId="24" borderId="15" xfId="28" applyFont="1" applyFill="1" applyBorder="1" applyAlignment="1" applyProtection="1">
      <alignment horizontal="center" vertical="center"/>
    </xf>
    <xf numFmtId="43" fontId="27" fillId="24" borderId="41" xfId="28" applyFont="1" applyFill="1" applyBorder="1" applyAlignment="1" applyProtection="1">
      <alignment horizontal="center" vertical="center"/>
    </xf>
    <xf numFmtId="165" fontId="27" fillId="24" borderId="35" xfId="50" applyNumberFormat="1" applyFont="1" applyFill="1" applyBorder="1" applyAlignment="1" applyProtection="1">
      <alignment horizontal="center" vertical="center"/>
    </xf>
    <xf numFmtId="165" fontId="27" fillId="24" borderId="15" xfId="50" applyNumberFormat="1" applyFont="1" applyFill="1" applyBorder="1" applyAlignment="1" applyProtection="1">
      <alignment horizontal="center" vertical="center"/>
    </xf>
    <xf numFmtId="165" fontId="27" fillId="24" borderId="34" xfId="50" applyNumberFormat="1" applyFont="1" applyFill="1" applyBorder="1" applyAlignment="1" applyProtection="1">
      <alignment horizontal="center" vertical="center"/>
    </xf>
    <xf numFmtId="43" fontId="27" fillId="24" borderId="35" xfId="28" applyFont="1" applyFill="1" applyBorder="1" applyAlignment="1" applyProtection="1">
      <alignment horizontal="center"/>
    </xf>
    <xf numFmtId="43" fontId="27" fillId="24" borderId="42" xfId="28" applyFont="1" applyFill="1" applyBorder="1" applyAlignment="1" applyProtection="1">
      <alignment horizontal="center"/>
    </xf>
    <xf numFmtId="43" fontId="27" fillId="24" borderId="11" xfId="28" applyFont="1" applyFill="1" applyBorder="1" applyAlignment="1" applyProtection="1">
      <alignment horizontal="center"/>
    </xf>
    <xf numFmtId="43" fontId="27" fillId="24" borderId="43" xfId="28" applyFont="1" applyFill="1" applyBorder="1" applyAlignment="1" applyProtection="1">
      <alignment horizontal="center"/>
    </xf>
    <xf numFmtId="43" fontId="27" fillId="24" borderId="37" xfId="28" applyFont="1" applyFill="1" applyBorder="1" applyAlignment="1" applyProtection="1">
      <alignment horizontal="center"/>
    </xf>
    <xf numFmtId="0" fontId="27" fillId="24" borderId="44" xfId="0" applyFont="1" applyFill="1" applyBorder="1" applyAlignment="1">
      <alignment horizontal="left"/>
    </xf>
    <xf numFmtId="0" fontId="27" fillId="24" borderId="45" xfId="0" applyFont="1" applyFill="1" applyBorder="1" applyAlignment="1">
      <alignment horizontal="left"/>
    </xf>
    <xf numFmtId="0" fontId="27" fillId="24" borderId="46" xfId="0" applyFont="1" applyFill="1" applyBorder="1" applyAlignment="1">
      <alignment horizontal="left"/>
    </xf>
    <xf numFmtId="43" fontId="27" fillId="24" borderId="26" xfId="0" applyNumberFormat="1" applyFont="1" applyFill="1" applyBorder="1" applyAlignment="1">
      <alignment horizontal="left"/>
    </xf>
    <xf numFmtId="43" fontId="27" fillId="24" borderId="21" xfId="28" applyFont="1" applyFill="1" applyBorder="1" applyAlignment="1" applyProtection="1">
      <alignment horizontal="right" vertical="center"/>
    </xf>
    <xf numFmtId="0" fontId="27" fillId="24" borderId="47" xfId="0" applyFont="1" applyFill="1" applyBorder="1" applyAlignment="1">
      <alignment horizontal="center"/>
    </xf>
    <xf numFmtId="43" fontId="27" fillId="24" borderId="17" xfId="28" applyFont="1" applyFill="1" applyBorder="1" applyAlignment="1" applyProtection="1">
      <alignment horizontal="right" vertical="center"/>
    </xf>
    <xf numFmtId="0" fontId="27" fillId="24" borderId="48" xfId="0" applyFont="1" applyFill="1" applyBorder="1" applyAlignment="1">
      <alignment horizontal="center"/>
    </xf>
    <xf numFmtId="43" fontId="27" fillId="0" borderId="11" xfId="28" applyFont="1" applyFill="1" applyBorder="1" applyAlignment="1" applyProtection="1">
      <alignment horizontal="right"/>
    </xf>
    <xf numFmtId="0" fontId="27" fillId="24" borderId="49" xfId="0" applyFont="1" applyFill="1" applyBorder="1" applyAlignment="1">
      <alignment horizontal="center"/>
    </xf>
    <xf numFmtId="43" fontId="27" fillId="24" borderId="11" xfId="28" applyFont="1" applyFill="1" applyBorder="1" applyAlignment="1" applyProtection="1">
      <alignment horizontal="right" vertical="center"/>
    </xf>
    <xf numFmtId="43" fontId="23" fillId="20" borderId="11" xfId="28" applyFont="1" applyFill="1" applyBorder="1" applyAlignment="1" applyProtection="1">
      <alignment horizontal="right"/>
    </xf>
    <xf numFmtId="43" fontId="27" fillId="24" borderId="11" xfId="28" applyFont="1" applyFill="1" applyBorder="1" applyAlignment="1" applyProtection="1">
      <alignment horizontal="right"/>
    </xf>
    <xf numFmtId="174" fontId="27" fillId="24" borderId="11" xfId="28" applyNumberFormat="1" applyFont="1" applyFill="1" applyBorder="1" applyAlignment="1" applyProtection="1">
      <alignment horizontal="right"/>
    </xf>
    <xf numFmtId="39" fontId="27" fillId="24" borderId="11" xfId="28" applyNumberFormat="1" applyFont="1" applyFill="1" applyBorder="1" applyAlignment="1" applyProtection="1">
      <alignment horizontal="right"/>
    </xf>
    <xf numFmtId="43" fontId="27" fillId="24" borderId="14" xfId="28" applyFont="1" applyFill="1" applyBorder="1" applyAlignment="1" applyProtection="1">
      <alignment horizontal="right"/>
    </xf>
    <xf numFmtId="0" fontId="27" fillId="24" borderId="50" xfId="0" applyFont="1" applyFill="1" applyBorder="1" applyAlignment="1">
      <alignment horizontal="center"/>
    </xf>
    <xf numFmtId="43" fontId="27" fillId="24" borderId="23" xfId="0" applyNumberFormat="1" applyFont="1" applyFill="1" applyBorder="1" applyAlignment="1">
      <alignment horizontal="right"/>
    </xf>
    <xf numFmtId="0" fontId="27" fillId="24" borderId="24" xfId="0" applyFont="1" applyFill="1" applyBorder="1" applyAlignment="1">
      <alignment horizontal="center"/>
    </xf>
    <xf numFmtId="43" fontId="27" fillId="24" borderId="11" xfId="28" applyFont="1" applyFill="1" applyBorder="1" applyProtection="1"/>
    <xf numFmtId="43" fontId="27" fillId="24" borderId="14" xfId="28" applyFont="1" applyFill="1" applyBorder="1" applyProtection="1"/>
    <xf numFmtId="43" fontId="23" fillId="20" borderId="11" xfId="28" applyFont="1" applyFill="1" applyBorder="1" applyProtection="1"/>
    <xf numFmtId="43" fontId="27" fillId="24" borderId="49" xfId="28" applyFont="1" applyFill="1" applyBorder="1" applyAlignment="1" applyProtection="1">
      <alignment horizontal="center"/>
    </xf>
    <xf numFmtId="43" fontId="27" fillId="24" borderId="21" xfId="28" applyFont="1" applyFill="1" applyBorder="1" applyAlignment="1" applyProtection="1">
      <alignment horizontal="center"/>
    </xf>
    <xf numFmtId="43" fontId="27" fillId="24" borderId="47" xfId="28" applyFont="1" applyFill="1" applyBorder="1" applyAlignment="1" applyProtection="1">
      <alignment horizontal="center"/>
    </xf>
    <xf numFmtId="165" fontId="27" fillId="24" borderId="23" xfId="50" applyNumberFormat="1" applyFont="1" applyFill="1" applyBorder="1" applyProtection="1"/>
    <xf numFmtId="165" fontId="27" fillId="24" borderId="24" xfId="50" applyNumberFormat="1" applyFont="1" applyFill="1" applyBorder="1" applyProtection="1"/>
    <xf numFmtId="0" fontId="20" fillId="0" borderId="0" xfId="0" applyFont="1"/>
    <xf numFmtId="0" fontId="23" fillId="24" borderId="0" xfId="0" applyFont="1" applyFill="1"/>
    <xf numFmtId="0" fontId="21" fillId="0" borderId="0" xfId="0" applyFont="1"/>
    <xf numFmtId="0" fontId="22" fillId="0" borderId="0" xfId="0" applyFont="1"/>
    <xf numFmtId="0" fontId="24" fillId="24" borderId="0" xfId="0" applyFont="1" applyFill="1"/>
    <xf numFmtId="43" fontId="25" fillId="24" borderId="0" xfId="28" applyFont="1" applyFill="1" applyAlignment="1" applyProtection="1">
      <alignment horizontal="right"/>
    </xf>
    <xf numFmtId="0" fontId="26" fillId="24" borderId="0" xfId="0" applyFont="1" applyFill="1"/>
    <xf numFmtId="43" fontId="23" fillId="24" borderId="0" xfId="0" applyNumberFormat="1" applyFont="1" applyFill="1"/>
    <xf numFmtId="0" fontId="27" fillId="24" borderId="32" xfId="0" applyFont="1" applyFill="1" applyBorder="1" applyAlignment="1">
      <alignment horizontal="center" vertical="center"/>
    </xf>
    <xf numFmtId="0" fontId="27" fillId="24" borderId="15" xfId="0" applyFont="1" applyFill="1" applyBorder="1" applyAlignment="1">
      <alignment horizontal="center" vertical="center"/>
    </xf>
    <xf numFmtId="0" fontId="27" fillId="24" borderId="41" xfId="0" applyFont="1" applyFill="1" applyBorder="1" applyAlignment="1">
      <alignment horizontal="center" vertical="center"/>
    </xf>
    <xf numFmtId="0" fontId="27" fillId="24" borderId="51" xfId="0" applyFont="1" applyFill="1" applyBorder="1" applyAlignment="1">
      <alignment horizontal="center"/>
    </xf>
    <xf numFmtId="0" fontId="27" fillId="24" borderId="41" xfId="0" applyFont="1" applyFill="1" applyBorder="1" applyAlignment="1">
      <alignment horizontal="center" wrapText="1"/>
    </xf>
    <xf numFmtId="0" fontId="27" fillId="24" borderId="32" xfId="0" applyFont="1" applyFill="1" applyBorder="1" applyAlignment="1">
      <alignment horizontal="center"/>
    </xf>
    <xf numFmtId="0" fontId="27" fillId="24" borderId="15" xfId="0" applyFont="1" applyFill="1" applyBorder="1" applyAlignment="1">
      <alignment horizontal="center"/>
    </xf>
    <xf numFmtId="0" fontId="27" fillId="24" borderId="34" xfId="0" applyFont="1" applyFill="1" applyBorder="1" applyAlignment="1">
      <alignment horizontal="center"/>
    </xf>
    <xf numFmtId="43" fontId="27" fillId="24" borderId="11" xfId="0" applyNumberFormat="1" applyFont="1" applyFill="1" applyBorder="1" applyAlignment="1">
      <alignment horizontal="center"/>
    </xf>
    <xf numFmtId="0" fontId="27" fillId="24" borderId="52" xfId="0" applyFont="1" applyFill="1" applyBorder="1" applyAlignment="1">
      <alignment horizontal="left" vertical="center"/>
    </xf>
    <xf numFmtId="0" fontId="27" fillId="24" borderId="53" xfId="0" quotePrefix="1" applyFont="1" applyFill="1" applyBorder="1"/>
    <xf numFmtId="0" fontId="27" fillId="24" borderId="34" xfId="0" applyFont="1" applyFill="1" applyBorder="1" applyAlignment="1">
      <alignment vertical="center" wrapText="1"/>
    </xf>
    <xf numFmtId="0" fontId="27" fillId="24" borderId="40" xfId="0" applyFont="1" applyFill="1" applyBorder="1" applyAlignment="1">
      <alignment vertical="center" wrapText="1"/>
    </xf>
    <xf numFmtId="0" fontId="27" fillId="24" borderId="53" xfId="0" applyFont="1" applyFill="1" applyBorder="1" applyAlignment="1">
      <alignment horizontal="center"/>
    </xf>
    <xf numFmtId="0" fontId="27" fillId="24" borderId="53" xfId="0" applyFont="1" applyFill="1" applyBorder="1"/>
    <xf numFmtId="0" fontId="27" fillId="24" borderId="55" xfId="0" applyFont="1" applyFill="1" applyBorder="1" applyAlignment="1">
      <alignment horizontal="center" vertical="center"/>
    </xf>
    <xf numFmtId="0" fontId="27" fillId="24" borderId="45" xfId="0" applyFont="1" applyFill="1" applyBorder="1" applyAlignment="1">
      <alignment horizontal="left" vertical="center"/>
    </xf>
    <xf numFmtId="0" fontId="27" fillId="24" borderId="28" xfId="0" applyFont="1" applyFill="1" applyBorder="1" applyAlignment="1">
      <alignment horizontal="center"/>
    </xf>
    <xf numFmtId="0" fontId="27" fillId="24" borderId="0" xfId="0" applyFont="1" applyFill="1"/>
    <xf numFmtId="0" fontId="27" fillId="24" borderId="0" xfId="0" applyFont="1" applyFill="1" applyAlignment="1">
      <alignment horizontal="center" vertical="center" wrapText="1"/>
    </xf>
    <xf numFmtId="0" fontId="27" fillId="24" borderId="0" xfId="0" applyFont="1" applyFill="1" applyAlignment="1">
      <alignment horizontal="center"/>
    </xf>
    <xf numFmtId="0" fontId="27" fillId="24" borderId="36" xfId="0" applyFont="1" applyFill="1" applyBorder="1" applyAlignment="1">
      <alignment horizontal="center"/>
    </xf>
    <xf numFmtId="0" fontId="27" fillId="24" borderId="40" xfId="0" applyFont="1" applyFill="1" applyBorder="1" applyAlignment="1">
      <alignment horizontal="center"/>
    </xf>
    <xf numFmtId="0" fontId="23" fillId="24" borderId="32" xfId="0" applyFont="1" applyFill="1" applyBorder="1"/>
    <xf numFmtId="0" fontId="23" fillId="24" borderId="41" xfId="0" applyFont="1" applyFill="1" applyBorder="1"/>
    <xf numFmtId="0" fontId="27" fillId="24" borderId="15" xfId="0" applyFont="1" applyFill="1" applyBorder="1"/>
    <xf numFmtId="0" fontId="27" fillId="24" borderId="41" xfId="0" applyFont="1" applyFill="1" applyBorder="1" applyAlignment="1">
      <alignment horizontal="center"/>
    </xf>
    <xf numFmtId="43" fontId="23" fillId="24" borderId="0" xfId="28" applyFont="1" applyFill="1" applyBorder="1" applyProtection="1"/>
    <xf numFmtId="0" fontId="23" fillId="24" borderId="56" xfId="0" applyFont="1" applyFill="1" applyBorder="1" applyAlignment="1">
      <alignment horizontal="center"/>
    </xf>
    <xf numFmtId="0" fontId="23" fillId="24" borderId="10" xfId="0" applyFont="1" applyFill="1" applyBorder="1" applyAlignment="1">
      <alignment horizontal="center"/>
    </xf>
    <xf numFmtId="0" fontId="27" fillId="24" borderId="10" xfId="0" applyFont="1" applyFill="1" applyBorder="1" applyAlignment="1">
      <alignment horizontal="center"/>
    </xf>
    <xf numFmtId="43" fontId="27" fillId="24" borderId="0" xfId="28" applyFont="1" applyFill="1" applyBorder="1" applyProtection="1"/>
    <xf numFmtId="0" fontId="27" fillId="24" borderId="12" xfId="0" applyFont="1" applyFill="1" applyBorder="1" applyAlignment="1">
      <alignment horizontal="center"/>
    </xf>
    <xf numFmtId="0" fontId="27" fillId="24" borderId="57" xfId="0" applyFont="1" applyFill="1" applyBorder="1" applyAlignment="1">
      <alignment horizontal="center"/>
    </xf>
    <xf numFmtId="43" fontId="27" fillId="24" borderId="23" xfId="0" applyNumberFormat="1" applyFont="1" applyFill="1" applyBorder="1"/>
    <xf numFmtId="2" fontId="23" fillId="24" borderId="0" xfId="0" applyNumberFormat="1" applyFont="1" applyFill="1"/>
    <xf numFmtId="0" fontId="27" fillId="24" borderId="58" xfId="0" applyFont="1" applyFill="1" applyBorder="1"/>
    <xf numFmtId="0" fontId="27" fillId="24" borderId="59" xfId="0" applyFont="1" applyFill="1" applyBorder="1" applyAlignment="1">
      <alignment horizontal="left"/>
    </xf>
    <xf numFmtId="0" fontId="23" fillId="24" borderId="59" xfId="0" applyFont="1" applyFill="1" applyBorder="1"/>
    <xf numFmtId="43" fontId="23" fillId="24" borderId="59" xfId="28" applyFont="1" applyFill="1" applyBorder="1" applyProtection="1"/>
    <xf numFmtId="0" fontId="23" fillId="24" borderId="31" xfId="0" applyFont="1" applyFill="1" applyBorder="1"/>
    <xf numFmtId="0" fontId="23" fillId="24" borderId="11" xfId="0" applyFont="1" applyFill="1" applyBorder="1"/>
    <xf numFmtId="43" fontId="23" fillId="24" borderId="11" xfId="0" applyNumberFormat="1" applyFont="1" applyFill="1" applyBorder="1"/>
    <xf numFmtId="165" fontId="23" fillId="24" borderId="11" xfId="50" applyNumberFormat="1" applyFont="1" applyFill="1" applyBorder="1" applyProtection="1"/>
    <xf numFmtId="0" fontId="27" fillId="24" borderId="28" xfId="0" applyFont="1" applyFill="1" applyBorder="1"/>
    <xf numFmtId="0" fontId="27" fillId="24" borderId="0" xfId="0" applyFont="1" applyFill="1" applyAlignment="1">
      <alignment horizontal="left"/>
    </xf>
    <xf numFmtId="0" fontId="23" fillId="24" borderId="60" xfId="0" applyFont="1" applyFill="1" applyBorder="1"/>
    <xf numFmtId="0" fontId="23" fillId="24" borderId="28" xfId="0" applyFont="1" applyFill="1" applyBorder="1"/>
    <xf numFmtId="0" fontId="23" fillId="24" borderId="30" xfId="0" applyFont="1" applyFill="1" applyBorder="1"/>
    <xf numFmtId="0" fontId="27" fillId="24" borderId="61" xfId="0" applyFont="1" applyFill="1" applyBorder="1"/>
    <xf numFmtId="43" fontId="27" fillId="24" borderId="61" xfId="28" applyFont="1" applyFill="1" applyBorder="1" applyProtection="1"/>
    <xf numFmtId="0" fontId="23" fillId="24" borderId="16" xfId="0" applyFont="1" applyFill="1" applyBorder="1"/>
    <xf numFmtId="0" fontId="27" fillId="24" borderId="15" xfId="0" applyFont="1" applyFill="1" applyBorder="1" applyAlignment="1">
      <alignment horizontal="center" wrapText="1"/>
    </xf>
    <xf numFmtId="2" fontId="42" fillId="0" borderId="11" xfId="50" applyNumberFormat="1" applyFont="1" applyFill="1" applyBorder="1" applyAlignment="1">
      <alignment vertical="center"/>
    </xf>
    <xf numFmtId="43" fontId="27" fillId="24" borderId="17" xfId="0" applyNumberFormat="1" applyFont="1" applyFill="1" applyBorder="1" applyAlignment="1">
      <alignment horizontal="left"/>
    </xf>
    <xf numFmtId="0" fontId="27" fillId="24" borderId="14" xfId="0" applyFont="1" applyFill="1" applyBorder="1" applyAlignment="1">
      <alignment horizontal="left"/>
    </xf>
    <xf numFmtId="43" fontId="27" fillId="24" borderId="10" xfId="0" applyNumberFormat="1" applyFont="1" applyFill="1" applyBorder="1" applyAlignment="1">
      <alignment horizontal="left"/>
    </xf>
    <xf numFmtId="0" fontId="27" fillId="24" borderId="62" xfId="0" applyFont="1" applyFill="1" applyBorder="1" applyAlignment="1" applyProtection="1">
      <alignment horizontal="left" vertical="center"/>
      <protection locked="0"/>
    </xf>
    <xf numFmtId="43" fontId="27" fillId="24" borderId="60" xfId="28" applyFont="1" applyFill="1" applyBorder="1" applyAlignment="1" applyProtection="1">
      <alignment horizontal="center" vertical="center"/>
      <protection locked="0"/>
    </xf>
    <xf numFmtId="43" fontId="27" fillId="24" borderId="62" xfId="28" applyFont="1" applyFill="1" applyBorder="1" applyAlignment="1" applyProtection="1">
      <alignment horizontal="center" vertical="center"/>
      <protection locked="0"/>
    </xf>
    <xf numFmtId="43" fontId="27" fillId="24" borderId="42" xfId="28" applyFont="1" applyFill="1" applyBorder="1" applyAlignment="1" applyProtection="1">
      <alignment horizontal="center" vertical="center"/>
      <protection locked="0"/>
    </xf>
    <xf numFmtId="43" fontId="27" fillId="24" borderId="43" xfId="28" applyFont="1" applyFill="1" applyBorder="1" applyAlignment="1" applyProtection="1">
      <protection locked="0"/>
    </xf>
    <xf numFmtId="43" fontId="27" fillId="24" borderId="43" xfId="28" applyFont="1" applyFill="1" applyBorder="1" applyAlignment="1" applyProtection="1">
      <alignment horizontal="center"/>
      <protection locked="0"/>
    </xf>
    <xf numFmtId="43" fontId="27" fillId="24" borderId="54" xfId="50" applyNumberFormat="1" applyFont="1" applyFill="1" applyBorder="1" applyAlignment="1" applyProtection="1">
      <alignment horizontal="center" vertical="center"/>
      <protection locked="0"/>
    </xf>
    <xf numFmtId="43" fontId="27" fillId="24" borderId="64" xfId="50" applyNumberFormat="1" applyFont="1" applyFill="1" applyBorder="1" applyAlignment="1" applyProtection="1">
      <alignment horizontal="center" vertical="center"/>
      <protection locked="0"/>
    </xf>
    <xf numFmtId="43" fontId="27" fillId="24" borderId="43" xfId="28" applyFont="1" applyFill="1" applyBorder="1" applyAlignment="1" applyProtection="1">
      <alignment horizontal="center" vertical="center"/>
      <protection locked="0"/>
    </xf>
    <xf numFmtId="43" fontId="27" fillId="24" borderId="0" xfId="28" applyFont="1" applyFill="1" applyBorder="1" applyAlignment="1" applyProtection="1">
      <alignment horizontal="center" vertical="center"/>
      <protection locked="0"/>
    </xf>
    <xf numFmtId="43" fontId="23" fillId="24" borderId="43" xfId="28" applyFont="1" applyFill="1" applyBorder="1" applyProtection="1">
      <protection locked="0"/>
    </xf>
    <xf numFmtId="43" fontId="27" fillId="24" borderId="10" xfId="28" applyFont="1" applyFill="1" applyBorder="1" applyAlignment="1" applyProtection="1">
      <alignment horizontal="center"/>
      <protection locked="0"/>
    </xf>
    <xf numFmtId="43" fontId="27" fillId="24" borderId="11" xfId="0" applyNumberFormat="1" applyFont="1" applyFill="1" applyBorder="1" applyAlignment="1" applyProtection="1">
      <alignment horizontal="center"/>
      <protection locked="0"/>
    </xf>
    <xf numFmtId="0" fontId="27" fillId="24" borderId="11" xfId="0" quotePrefix="1" applyFont="1" applyFill="1" applyBorder="1" applyAlignment="1" applyProtection="1">
      <alignment wrapText="1"/>
      <protection locked="0"/>
    </xf>
    <xf numFmtId="43" fontId="27" fillId="24" borderId="27" xfId="28" applyFont="1" applyFill="1" applyBorder="1" applyAlignment="1" applyProtection="1">
      <alignment horizontal="center"/>
      <protection locked="0"/>
    </xf>
    <xf numFmtId="0" fontId="27" fillId="24" borderId="14" xfId="0" applyFont="1" applyFill="1" applyBorder="1" applyAlignment="1" applyProtection="1">
      <alignment horizontal="center"/>
      <protection locked="0"/>
    </xf>
    <xf numFmtId="0" fontId="27" fillId="24" borderId="13" xfId="0" quotePrefix="1" applyFont="1" applyFill="1" applyBorder="1" applyAlignment="1" applyProtection="1">
      <alignment wrapText="1"/>
      <protection locked="0"/>
    </xf>
    <xf numFmtId="2" fontId="27" fillId="24" borderId="0" xfId="0" applyNumberFormat="1" applyFont="1" applyFill="1" applyAlignment="1" applyProtection="1">
      <alignment horizontal="right"/>
      <protection locked="0"/>
    </xf>
    <xf numFmtId="43" fontId="27" fillId="24" borderId="12" xfId="28" applyFont="1" applyFill="1" applyBorder="1" applyAlignment="1" applyProtection="1">
      <alignment horizontal="center"/>
      <protection locked="0"/>
    </xf>
    <xf numFmtId="0" fontId="27" fillId="24" borderId="11" xfId="0" applyFont="1" applyFill="1" applyBorder="1" applyAlignment="1" applyProtection="1">
      <alignment horizontal="center"/>
      <protection locked="0"/>
    </xf>
    <xf numFmtId="43" fontId="27" fillId="24" borderId="21" xfId="0" applyNumberFormat="1" applyFont="1" applyFill="1" applyBorder="1" applyAlignment="1" applyProtection="1">
      <alignment horizontal="left"/>
      <protection locked="0"/>
    </xf>
    <xf numFmtId="43" fontId="27" fillId="24" borderId="11" xfId="0" applyNumberFormat="1" applyFont="1" applyFill="1" applyBorder="1" applyAlignment="1" applyProtection="1">
      <alignment horizontal="left"/>
      <protection locked="0"/>
    </xf>
    <xf numFmtId="43" fontId="27" fillId="24" borderId="11" xfId="0" applyNumberFormat="1" applyFont="1" applyFill="1" applyBorder="1" applyAlignment="1" applyProtection="1">
      <alignment horizontal="right"/>
      <protection locked="0"/>
    </xf>
    <xf numFmtId="43" fontId="27" fillId="24" borderId="23" xfId="0" applyNumberFormat="1" applyFont="1" applyFill="1" applyBorder="1" applyAlignment="1" applyProtection="1">
      <alignment horizontal="left"/>
      <protection locked="0"/>
    </xf>
    <xf numFmtId="43" fontId="27" fillId="24" borderId="63" xfId="0" applyNumberFormat="1" applyFont="1" applyFill="1" applyBorder="1" applyAlignment="1" applyProtection="1">
      <alignment horizontal="left"/>
      <protection locked="0"/>
    </xf>
    <xf numFmtId="43" fontId="27" fillId="24" borderId="14" xfId="0" applyNumberFormat="1" applyFont="1" applyFill="1" applyBorder="1" applyAlignment="1" applyProtection="1">
      <alignment horizontal="left"/>
      <protection locked="0"/>
    </xf>
    <xf numFmtId="43" fontId="27" fillId="24" borderId="54" xfId="28" applyFont="1" applyFill="1" applyBorder="1" applyAlignment="1" applyProtection="1">
      <alignment horizontal="center"/>
      <protection locked="0"/>
    </xf>
    <xf numFmtId="43" fontId="27" fillId="24" borderId="11" xfId="28" applyFont="1" applyFill="1" applyBorder="1" applyAlignment="1" applyProtection="1">
      <alignment horizontal="center"/>
      <protection locked="0"/>
    </xf>
    <xf numFmtId="49" fontId="27" fillId="0" borderId="11" xfId="28" applyNumberFormat="1" applyFont="1" applyFill="1" applyBorder="1" applyAlignment="1" applyProtection="1">
      <alignment horizontal="center"/>
      <protection locked="0"/>
    </xf>
    <xf numFmtId="178" fontId="42" fillId="0" borderId="17" xfId="29" applyNumberFormat="1" applyFont="1" applyBorder="1" applyAlignment="1">
      <alignment vertical="center"/>
    </xf>
    <xf numFmtId="178" fontId="42" fillId="0" borderId="17" xfId="29" applyNumberFormat="1" applyFont="1" applyFill="1" applyBorder="1" applyAlignment="1">
      <alignment vertical="center"/>
    </xf>
    <xf numFmtId="0" fontId="27" fillId="24" borderId="10" xfId="0" applyFont="1" applyFill="1" applyBorder="1" applyAlignment="1" applyProtection="1">
      <alignment horizontal="left"/>
      <protection locked="0"/>
    </xf>
    <xf numFmtId="0" fontId="27" fillId="24" borderId="25" xfId="0" applyFont="1" applyFill="1" applyBorder="1" applyAlignment="1" applyProtection="1">
      <alignment horizontal="left"/>
      <protection locked="0"/>
    </xf>
    <xf numFmtId="0" fontId="27" fillId="24" borderId="57" xfId="0" applyFont="1" applyFill="1" applyBorder="1" applyAlignment="1" applyProtection="1">
      <alignment horizontal="left"/>
      <protection locked="0"/>
    </xf>
    <xf numFmtId="43" fontId="0" fillId="0" borderId="11" xfId="0" applyNumberFormat="1" applyBorder="1" applyProtection="1">
      <protection locked="0"/>
    </xf>
    <xf numFmtId="43" fontId="34" fillId="0" borderId="0" xfId="28" applyFont="1" applyBorder="1" applyAlignment="1" applyProtection="1">
      <alignment horizontal="center"/>
    </xf>
    <xf numFmtId="0" fontId="29" fillId="0" borderId="0" xfId="0" applyFont="1"/>
    <xf numFmtId="0" fontId="0" fillId="0" borderId="65" xfId="0" applyBorder="1"/>
    <xf numFmtId="43" fontId="0" fillId="0" borderId="65" xfId="0" applyNumberFormat="1" applyBorder="1"/>
    <xf numFmtId="0" fontId="51" fillId="0" borderId="0" xfId="41" applyFont="1"/>
    <xf numFmtId="0" fontId="51" fillId="0" borderId="0" xfId="41" applyFont="1" applyAlignment="1">
      <alignment horizontal="center"/>
    </xf>
    <xf numFmtId="2" fontId="51" fillId="0" borderId="0" xfId="41" applyNumberFormat="1" applyFont="1" applyAlignment="1">
      <alignment horizontal="center"/>
    </xf>
    <xf numFmtId="0" fontId="48" fillId="0" borderId="0" xfId="41"/>
    <xf numFmtId="0" fontId="48" fillId="0" borderId="0" xfId="41" applyAlignment="1">
      <alignment horizontal="center"/>
    </xf>
    <xf numFmtId="2" fontId="48" fillId="0" borderId="0" xfId="41" applyNumberFormat="1" applyAlignment="1">
      <alignment horizontal="center"/>
    </xf>
    <xf numFmtId="2" fontId="48" fillId="0" borderId="0" xfId="41" applyNumberFormat="1"/>
    <xf numFmtId="168" fontId="30" fillId="0" borderId="0" xfId="0" applyNumberFormat="1" applyFont="1"/>
    <xf numFmtId="0" fontId="31" fillId="0" borderId="0" xfId="0" applyFont="1" applyAlignment="1">
      <alignment horizontal="center"/>
    </xf>
    <xf numFmtId="0" fontId="31" fillId="0" borderId="0" xfId="0" applyFont="1"/>
    <xf numFmtId="170" fontId="31" fillId="0" borderId="0" xfId="0" applyNumberFormat="1" applyFont="1"/>
    <xf numFmtId="4" fontId="31" fillId="0" borderId="0" xfId="0" applyNumberFormat="1" applyFont="1"/>
    <xf numFmtId="167" fontId="31" fillId="0" borderId="0" xfId="0" applyNumberFormat="1" applyFont="1"/>
    <xf numFmtId="2" fontId="31" fillId="0" borderId="0" xfId="0" applyNumberFormat="1" applyFont="1"/>
    <xf numFmtId="170" fontId="31" fillId="0" borderId="11" xfId="0" applyNumberFormat="1" applyFont="1" applyBorder="1" applyAlignment="1">
      <alignment horizontal="center"/>
    </xf>
    <xf numFmtId="4" fontId="32" fillId="0" borderId="11" xfId="0" applyNumberFormat="1" applyFont="1" applyBorder="1" applyAlignment="1">
      <alignment horizontal="center"/>
    </xf>
    <xf numFmtId="0" fontId="32" fillId="0" borderId="11" xfId="0" applyFont="1" applyBorder="1" applyAlignment="1">
      <alignment horizontal="center"/>
    </xf>
    <xf numFmtId="167" fontId="31" fillId="0" borderId="11" xfId="0" applyNumberFormat="1" applyFont="1" applyBorder="1" applyAlignment="1">
      <alignment horizontal="center"/>
    </xf>
    <xf numFmtId="2" fontId="31" fillId="0" borderId="11" xfId="0" applyNumberFormat="1" applyFont="1" applyBorder="1" applyAlignment="1">
      <alignment horizontal="center"/>
    </xf>
    <xf numFmtId="4" fontId="31" fillId="0" borderId="11" xfId="0" applyNumberFormat="1" applyFont="1" applyBorder="1" applyAlignment="1">
      <alignment horizontal="center"/>
    </xf>
    <xf numFmtId="169" fontId="31" fillId="0" borderId="11" xfId="0" applyNumberFormat="1" applyFont="1" applyBorder="1" applyAlignment="1">
      <alignment horizontal="center"/>
    </xf>
    <xf numFmtId="2" fontId="32"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7" fontId="0" fillId="0" borderId="62" xfId="0" applyNumberFormat="1" applyBorder="1"/>
    <xf numFmtId="4" fontId="0" fillId="0" borderId="62" xfId="0" applyNumberFormat="1" applyBorder="1" applyAlignment="1">
      <alignment vertical="justify"/>
    </xf>
    <xf numFmtId="4" fontId="28" fillId="0" borderId="66" xfId="0" applyNumberFormat="1" applyFont="1" applyBorder="1"/>
    <xf numFmtId="4" fontId="28" fillId="0" borderId="66" xfId="0" applyNumberFormat="1" applyFont="1" applyBorder="1" applyAlignment="1">
      <alignment vertical="justify"/>
    </xf>
    <xf numFmtId="167" fontId="33" fillId="0" borderId="0" xfId="0" applyNumberFormat="1" applyFont="1" applyAlignment="1">
      <alignment horizontal="center"/>
    </xf>
    <xf numFmtId="0" fontId="31" fillId="0" borderId="11" xfId="0" applyFont="1" applyBorder="1" applyAlignment="1">
      <alignment horizontal="center"/>
    </xf>
    <xf numFmtId="168" fontId="35" fillId="0" borderId="0" xfId="0" applyNumberFormat="1" applyFont="1" applyAlignment="1">
      <alignment vertical="justify" wrapText="1"/>
    </xf>
    <xf numFmtId="166" fontId="0" fillId="0" borderId="11" xfId="28" applyNumberFormat="1" applyFont="1" applyBorder="1" applyProtection="1"/>
    <xf numFmtId="166" fontId="0" fillId="0" borderId="17" xfId="28" applyNumberFormat="1" applyFont="1" applyBorder="1" applyAlignment="1" applyProtection="1">
      <alignment vertical="center"/>
    </xf>
    <xf numFmtId="171"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43" fontId="0" fillId="0" borderId="11" xfId="28" applyFont="1" applyBorder="1" applyProtection="1"/>
    <xf numFmtId="43" fontId="0" fillId="0" borderId="11" xfId="28" applyFont="1" applyBorder="1" applyAlignment="1" applyProtection="1">
      <alignment vertical="center"/>
    </xf>
    <xf numFmtId="166" fontId="28" fillId="0" borderId="11" xfId="28" applyNumberFormat="1" applyFont="1" applyBorder="1" applyProtection="1"/>
    <xf numFmtId="175" fontId="0" fillId="0" borderId="11" xfId="0" applyNumberFormat="1" applyBorder="1"/>
    <xf numFmtId="171" fontId="0" fillId="0" borderId="11" xfId="0" applyNumberFormat="1" applyBorder="1"/>
    <xf numFmtId="2" fontId="0" fillId="0" borderId="17" xfId="0" applyNumberFormat="1" applyBorder="1" applyAlignment="1">
      <alignment horizontal="center"/>
    </xf>
    <xf numFmtId="43" fontId="0" fillId="0" borderId="17" xfId="28" applyFont="1" applyBorder="1" applyProtection="1"/>
    <xf numFmtId="15" fontId="28" fillId="0" borderId="11" xfId="0" applyNumberFormat="1" applyFont="1" applyBorder="1" applyAlignment="1">
      <alignment horizontal="center"/>
    </xf>
    <xf numFmtId="2" fontId="28" fillId="0" borderId="17" xfId="0" applyNumberFormat="1" applyFont="1" applyBorder="1" applyAlignment="1">
      <alignment horizontal="center"/>
    </xf>
    <xf numFmtId="43" fontId="28" fillId="0" borderId="11" xfId="28" applyFont="1" applyBorder="1" applyProtection="1"/>
    <xf numFmtId="0" fontId="28" fillId="0" borderId="11" xfId="0" applyFont="1" applyBorder="1"/>
    <xf numFmtId="171" fontId="28" fillId="0" borderId="11" xfId="28" applyNumberFormat="1" applyFont="1" applyBorder="1" applyProtection="1"/>
    <xf numFmtId="1" fontId="28" fillId="0" borderId="17" xfId="0" applyNumberFormat="1" applyFont="1" applyBorder="1" applyAlignment="1">
      <alignment horizontal="center"/>
    </xf>
    <xf numFmtId="43" fontId="28" fillId="0" borderId="17" xfId="28" applyFont="1" applyBorder="1" applyProtection="1"/>
    <xf numFmtId="173" fontId="31" fillId="0" borderId="0" xfId="28" applyNumberFormat="1" applyFont="1" applyBorder="1" applyProtection="1"/>
    <xf numFmtId="43" fontId="23" fillId="24" borderId="0" xfId="28" applyFont="1" applyFill="1" applyBorder="1" applyProtection="1">
      <protection locked="0"/>
    </xf>
    <xf numFmtId="0" fontId="23" fillId="24" borderId="0" xfId="0" applyFont="1" applyFill="1" applyProtection="1">
      <protection locked="0"/>
    </xf>
    <xf numFmtId="43" fontId="23" fillId="24" borderId="0" xfId="0" applyNumberFormat="1" applyFont="1" applyFill="1" applyProtection="1">
      <protection locked="0"/>
    </xf>
    <xf numFmtId="0" fontId="27" fillId="24" borderId="0" xfId="0" applyFont="1" applyFill="1" applyProtection="1">
      <protection locked="0"/>
    </xf>
    <xf numFmtId="43" fontId="46" fillId="24" borderId="10" xfId="0" applyNumberFormat="1" applyFont="1" applyFill="1" applyBorder="1" applyAlignment="1">
      <alignment horizontal="left"/>
    </xf>
    <xf numFmtId="172" fontId="47" fillId="0" borderId="11" xfId="44" applyNumberFormat="1" applyFont="1" applyBorder="1" applyAlignment="1">
      <alignment horizontal="center"/>
    </xf>
    <xf numFmtId="16" fontId="23" fillId="24" borderId="0" xfId="28" applyNumberFormat="1" applyFont="1" applyFill="1" applyBorder="1" applyProtection="1">
      <protection locked="0"/>
    </xf>
    <xf numFmtId="172" fontId="48" fillId="0" borderId="67" xfId="0" applyNumberFormat="1" applyFont="1" applyBorder="1"/>
    <xf numFmtId="41" fontId="42" fillId="0" borderId="0" xfId="29" applyFont="1" applyFill="1"/>
    <xf numFmtId="41" fontId="43" fillId="25" borderId="11" xfId="29" applyFont="1" applyFill="1" applyBorder="1" applyAlignment="1">
      <alignment vertical="center"/>
    </xf>
    <xf numFmtId="178" fontId="43" fillId="0" borderId="0" xfId="29" applyNumberFormat="1" applyFont="1" applyFill="1" applyBorder="1" applyAlignment="1">
      <alignment vertical="center"/>
    </xf>
    <xf numFmtId="178" fontId="27" fillId="24" borderId="21" xfId="29" applyNumberFormat="1" applyFont="1" applyFill="1" applyBorder="1" applyAlignment="1" applyProtection="1">
      <alignment horizontal="right" vertical="center"/>
    </xf>
    <xf numFmtId="178" fontId="27" fillId="24" borderId="17" xfId="29" applyNumberFormat="1" applyFont="1" applyFill="1" applyBorder="1" applyAlignment="1" applyProtection="1">
      <alignment horizontal="right" vertical="center"/>
    </xf>
    <xf numFmtId="178" fontId="27" fillId="0" borderId="11" xfId="29" applyNumberFormat="1" applyFont="1" applyFill="1" applyBorder="1" applyAlignment="1" applyProtection="1">
      <alignment horizontal="right"/>
    </xf>
    <xf numFmtId="178" fontId="27" fillId="24" borderId="11" xfId="29" applyNumberFormat="1" applyFont="1" applyFill="1" applyBorder="1" applyAlignment="1" applyProtection="1">
      <alignment horizontal="right" vertical="center"/>
    </xf>
    <xf numFmtId="178" fontId="23" fillId="20" borderId="11" xfId="29" applyNumberFormat="1" applyFont="1" applyFill="1" applyBorder="1" applyAlignment="1" applyProtection="1">
      <alignment horizontal="right"/>
    </xf>
    <xf numFmtId="178" fontId="27" fillId="24" borderId="11" xfId="29" applyNumberFormat="1" applyFont="1" applyFill="1" applyBorder="1" applyAlignment="1" applyProtection="1">
      <alignment horizontal="right"/>
    </xf>
    <xf numFmtId="178" fontId="27" fillId="24" borderId="14" xfId="29" applyNumberFormat="1" applyFont="1" applyFill="1" applyBorder="1" applyAlignment="1" applyProtection="1">
      <alignment horizontal="right"/>
    </xf>
    <xf numFmtId="178" fontId="27" fillId="24" borderId="23" xfId="29" applyNumberFormat="1" applyFont="1" applyFill="1" applyBorder="1" applyAlignment="1" applyProtection="1">
      <alignment horizontal="right"/>
    </xf>
    <xf numFmtId="10" fontId="42" fillId="0" borderId="0" xfId="50" applyNumberFormat="1" applyFont="1" applyFill="1" applyBorder="1"/>
    <xf numFmtId="10" fontId="43" fillId="0" borderId="11" xfId="50" applyNumberFormat="1" applyFont="1" applyFill="1" applyBorder="1"/>
    <xf numFmtId="10" fontId="42" fillId="0" borderId="0" xfId="50" applyNumberFormat="1" applyFont="1" applyFill="1" applyBorder="1" applyAlignment="1">
      <alignment vertical="center"/>
    </xf>
    <xf numFmtId="10" fontId="43" fillId="27" borderId="0" xfId="50" applyNumberFormat="1" applyFont="1" applyFill="1" applyBorder="1"/>
    <xf numFmtId="10" fontId="43" fillId="0" borderId="11" xfId="50" applyNumberFormat="1" applyFont="1" applyFill="1" applyBorder="1" applyAlignment="1">
      <alignment vertical="center"/>
    </xf>
    <xf numFmtId="0" fontId="42" fillId="28" borderId="0" xfId="0" applyFont="1" applyFill="1"/>
    <xf numFmtId="0" fontId="50" fillId="28" borderId="0" xfId="0" applyFont="1" applyFill="1"/>
    <xf numFmtId="178" fontId="42" fillId="28" borderId="0" xfId="29" applyNumberFormat="1" applyFont="1" applyFill="1" applyBorder="1" applyAlignment="1">
      <alignment vertical="center"/>
    </xf>
    <xf numFmtId="0" fontId="42" fillId="28" borderId="0" xfId="0" applyFont="1" applyFill="1" applyAlignment="1">
      <alignment horizontal="right"/>
    </xf>
    <xf numFmtId="165" fontId="42" fillId="28" borderId="0" xfId="0" applyNumberFormat="1" applyFont="1" applyFill="1" applyAlignment="1">
      <alignment horizontal="right"/>
    </xf>
    <xf numFmtId="165" fontId="42" fillId="28" borderId="0" xfId="0" applyNumberFormat="1" applyFont="1" applyFill="1"/>
    <xf numFmtId="10" fontId="42" fillId="28" borderId="0" xfId="0" applyNumberFormat="1" applyFont="1" applyFill="1"/>
    <xf numFmtId="10" fontId="42" fillId="28" borderId="0" xfId="0" applyNumberFormat="1" applyFont="1" applyFill="1" applyAlignment="1">
      <alignment horizontal="right"/>
    </xf>
    <xf numFmtId="43" fontId="43" fillId="28" borderId="0" xfId="0" applyNumberFormat="1" applyFont="1" applyFill="1" applyAlignment="1">
      <alignment horizontal="right"/>
    </xf>
    <xf numFmtId="165" fontId="43" fillId="28" borderId="0" xfId="50" applyNumberFormat="1" applyFont="1" applyFill="1" applyBorder="1" applyAlignment="1">
      <alignment vertical="center"/>
    </xf>
    <xf numFmtId="178" fontId="43" fillId="25" borderId="13" xfId="29" applyNumberFormat="1" applyFont="1" applyFill="1" applyBorder="1" applyAlignment="1">
      <alignment vertical="center"/>
    </xf>
    <xf numFmtId="178" fontId="43" fillId="25" borderId="19" xfId="29" applyNumberFormat="1" applyFont="1" applyFill="1" applyBorder="1" applyAlignment="1">
      <alignment vertical="center"/>
    </xf>
    <xf numFmtId="165" fontId="43" fillId="25" borderId="19" xfId="50" applyNumberFormat="1" applyFont="1" applyFill="1" applyBorder="1" applyAlignment="1">
      <alignment vertical="center"/>
    </xf>
    <xf numFmtId="43" fontId="43" fillId="0" borderId="17" xfId="0" applyNumberFormat="1" applyFont="1" applyBorder="1" applyAlignment="1">
      <alignment horizontal="right"/>
    </xf>
    <xf numFmtId="0" fontId="42" fillId="0" borderId="17" xfId="0" applyFont="1" applyBorder="1"/>
    <xf numFmtId="178" fontId="43" fillId="4" borderId="11" xfId="29" applyNumberFormat="1" applyFont="1" applyFill="1" applyBorder="1" applyAlignment="1">
      <alignment horizontal="center"/>
    </xf>
    <xf numFmtId="0" fontId="0" fillId="0" borderId="68" xfId="0" applyBorder="1"/>
    <xf numFmtId="0" fontId="0" fillId="0" borderId="26" xfId="0" applyBorder="1"/>
    <xf numFmtId="0" fontId="45" fillId="0" borderId="26" xfId="0" applyFont="1" applyBorder="1"/>
    <xf numFmtId="166" fontId="33" fillId="30" borderId="11" xfId="28" applyNumberFormat="1" applyFont="1" applyFill="1" applyBorder="1" applyAlignment="1" applyProtection="1">
      <alignment horizontal="center"/>
    </xf>
    <xf numFmtId="167" fontId="37" fillId="30" borderId="13" xfId="0" applyNumberFormat="1" applyFont="1" applyFill="1" applyBorder="1" applyAlignment="1">
      <alignment horizontal="center" vertical="center" wrapText="1"/>
    </xf>
    <xf numFmtId="166" fontId="33" fillId="31" borderId="11" xfId="28" applyNumberFormat="1" applyFont="1" applyFill="1" applyBorder="1" applyAlignment="1" applyProtection="1">
      <alignment horizontal="center"/>
    </xf>
    <xf numFmtId="166" fontId="33" fillId="32" borderId="11" xfId="28" applyNumberFormat="1" applyFont="1" applyFill="1" applyBorder="1" applyAlignment="1" applyProtection="1">
      <alignment horizontal="center"/>
    </xf>
    <xf numFmtId="167" fontId="37" fillId="32" borderId="13" xfId="0" applyNumberFormat="1" applyFont="1" applyFill="1" applyBorder="1" applyAlignment="1">
      <alignment horizontal="center" vertical="center" wrapText="1"/>
    </xf>
    <xf numFmtId="166" fontId="33" fillId="33" borderId="11" xfId="28" applyNumberFormat="1" applyFont="1" applyFill="1" applyBorder="1" applyAlignment="1" applyProtection="1">
      <alignment horizontal="center"/>
    </xf>
    <xf numFmtId="166" fontId="33" fillId="34" borderId="11" xfId="28" applyNumberFormat="1" applyFont="1" applyFill="1" applyBorder="1" applyAlignment="1" applyProtection="1">
      <alignment horizontal="center"/>
    </xf>
    <xf numFmtId="166" fontId="33" fillId="27" borderId="17" xfId="28" applyNumberFormat="1" applyFont="1" applyFill="1" applyBorder="1" applyAlignment="1" applyProtection="1">
      <alignment horizontal="center"/>
    </xf>
    <xf numFmtId="0" fontId="28" fillId="27" borderId="11" xfId="0" applyFont="1" applyFill="1" applyBorder="1"/>
    <xf numFmtId="172" fontId="45" fillId="0" borderId="55" xfId="0" applyNumberFormat="1" applyFont="1" applyBorder="1" applyAlignment="1">
      <alignment horizontal="center" vertical="center"/>
    </xf>
    <xf numFmtId="0" fontId="45" fillId="0" borderId="0" xfId="0" applyFont="1"/>
    <xf numFmtId="178" fontId="52" fillId="0" borderId="0" xfId="29" applyNumberFormat="1" applyFont="1" applyProtection="1"/>
    <xf numFmtId="0" fontId="45" fillId="0" borderId="36" xfId="0" applyFont="1" applyBorder="1"/>
    <xf numFmtId="2" fontId="0" fillId="0" borderId="40" xfId="0" applyNumberFormat="1" applyBorder="1" applyAlignment="1">
      <alignment vertical="center"/>
    </xf>
    <xf numFmtId="10" fontId="42" fillId="0" borderId="11" xfId="50" applyNumberFormat="1" applyFont="1" applyFill="1" applyBorder="1" applyAlignment="1">
      <alignment vertical="center"/>
    </xf>
    <xf numFmtId="2" fontId="39" fillId="0" borderId="11" xfId="45" applyNumberFormat="1" applyFont="1" applyBorder="1" applyAlignment="1">
      <alignment horizontal="center"/>
    </xf>
    <xf numFmtId="2" fontId="42" fillId="0" borderId="0" xfId="0" applyNumberFormat="1" applyFont="1"/>
    <xf numFmtId="0" fontId="45" fillId="0" borderId="11" xfId="0" applyFont="1" applyBorder="1" applyAlignment="1">
      <alignment horizontal="center"/>
    </xf>
    <xf numFmtId="166"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7"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7"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5"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7" fontId="0" fillId="0" borderId="62" xfId="0" applyNumberFormat="1" applyBorder="1" applyAlignment="1">
      <alignment vertical="center"/>
    </xf>
    <xf numFmtId="2" fontId="0" fillId="0" borderId="62" xfId="0" applyNumberFormat="1" applyBorder="1" applyAlignment="1">
      <alignment vertical="center" wrapText="1"/>
    </xf>
    <xf numFmtId="16" fontId="28" fillId="0" borderId="66" xfId="0" applyNumberFormat="1" applyFont="1" applyBorder="1" applyAlignment="1">
      <alignment vertical="center"/>
    </xf>
    <xf numFmtId="0" fontId="28" fillId="0" borderId="66" xfId="0" applyFont="1" applyBorder="1" applyAlignment="1">
      <alignment horizontal="center" vertical="center"/>
    </xf>
    <xf numFmtId="4" fontId="28" fillId="0" borderId="66" xfId="0" applyNumberFormat="1" applyFont="1" applyBorder="1" applyAlignment="1">
      <alignment vertical="center"/>
    </xf>
    <xf numFmtId="170" fontId="28" fillId="0" borderId="66" xfId="0" applyNumberFormat="1" applyFont="1" applyBorder="1" applyAlignment="1">
      <alignment vertical="center"/>
    </xf>
    <xf numFmtId="167" fontId="28" fillId="0" borderId="66" xfId="0" applyNumberFormat="1" applyFont="1" applyBorder="1" applyAlignment="1">
      <alignment vertical="center"/>
    </xf>
    <xf numFmtId="2" fontId="28" fillId="0" borderId="66" xfId="0" applyNumberFormat="1" applyFont="1" applyBorder="1" applyAlignment="1">
      <alignment vertical="center" wrapText="1"/>
    </xf>
    <xf numFmtId="4" fontId="28"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0" applyFont="1" applyBorder="1" applyAlignment="1" applyProtection="1">
      <alignment horizontal="center" vertical="center"/>
      <protection locked="0"/>
    </xf>
    <xf numFmtId="9" fontId="0" fillId="0" borderId="62" xfId="50" applyFont="1" applyBorder="1" applyAlignment="1" applyProtection="1">
      <alignment horizontal="center" vertical="center"/>
    </xf>
    <xf numFmtId="9" fontId="28" fillId="0" borderId="66" xfId="50" applyFont="1" applyFill="1" applyBorder="1" applyAlignment="1" applyProtection="1">
      <alignment horizontal="center" vertical="center"/>
    </xf>
    <xf numFmtId="2" fontId="0" fillId="0" borderId="17" xfId="28" applyNumberFormat="1" applyFont="1" applyBorder="1" applyProtection="1"/>
    <xf numFmtId="10" fontId="45" fillId="0" borderId="11" xfId="50" applyNumberFormat="1" applyFont="1" applyFill="1" applyBorder="1" applyAlignment="1" applyProtection="1">
      <alignment horizontal="center" vertical="center"/>
      <protection locked="0"/>
    </xf>
    <xf numFmtId="10" fontId="45" fillId="27" borderId="11" xfId="50" applyNumberFormat="1" applyFont="1" applyFill="1" applyBorder="1" applyAlignment="1" applyProtection="1">
      <alignment horizontal="center" vertical="center"/>
      <protection locked="0"/>
    </xf>
    <xf numFmtId="2" fontId="39" fillId="0" borderId="11" xfId="44" applyNumberFormat="1" applyFont="1" applyBorder="1" applyAlignment="1">
      <alignment horizontal="center"/>
    </xf>
    <xf numFmtId="43" fontId="43" fillId="30" borderId="11" xfId="29" applyNumberFormat="1" applyFont="1" applyFill="1" applyBorder="1" applyAlignment="1">
      <alignment vertical="center"/>
    </xf>
    <xf numFmtId="0" fontId="45" fillId="0" borderId="11" xfId="0" applyFont="1" applyBorder="1" applyAlignment="1" applyProtection="1">
      <alignment horizontal="center" vertical="center"/>
      <protection locked="0"/>
    </xf>
    <xf numFmtId="0" fontId="38" fillId="27" borderId="11" xfId="0" applyFont="1" applyFill="1" applyBorder="1" applyAlignment="1">
      <alignment horizontal="center" vertical="center" wrapText="1"/>
    </xf>
    <xf numFmtId="10" fontId="45" fillId="27" borderId="62" xfId="50" applyNumberFormat="1" applyFont="1" applyFill="1" applyBorder="1" applyAlignment="1" applyProtection="1">
      <alignment horizontal="center" vertical="center"/>
      <protection locked="0"/>
    </xf>
    <xf numFmtId="0" fontId="38" fillId="27" borderId="11" xfId="0" applyFont="1" applyFill="1" applyBorder="1" applyAlignment="1">
      <alignment vertical="center" wrapText="1"/>
    </xf>
    <xf numFmtId="0" fontId="39" fillId="0" borderId="11" xfId="55" applyFont="1" applyBorder="1" applyAlignment="1">
      <alignment horizontal="left"/>
    </xf>
    <xf numFmtId="0" fontId="45" fillId="0" borderId="11" xfId="0" applyFont="1" applyBorder="1"/>
    <xf numFmtId="0" fontId="39" fillId="0" borderId="19" xfId="55" applyFont="1" applyBorder="1" applyAlignment="1">
      <alignment horizontal="left"/>
    </xf>
    <xf numFmtId="0" fontId="31" fillId="0" borderId="11" xfId="55" applyFont="1" applyBorder="1" applyAlignment="1">
      <alignment horizontal="left"/>
    </xf>
    <xf numFmtId="0" fontId="53" fillId="0" borderId="0" xfId="0" applyFont="1"/>
    <xf numFmtId="0" fontId="27" fillId="24" borderId="14" xfId="0" quotePrefix="1" applyFont="1" applyFill="1" applyBorder="1" applyAlignment="1" applyProtection="1">
      <alignment wrapText="1"/>
      <protection locked="0"/>
    </xf>
    <xf numFmtId="178" fontId="43" fillId="0" borderId="17" xfId="29" applyNumberFormat="1" applyFont="1" applyFill="1" applyBorder="1" applyAlignment="1">
      <alignment vertical="center" wrapText="1"/>
    </xf>
    <xf numFmtId="177" fontId="42" fillId="0" borderId="11" xfId="0" applyNumberFormat="1" applyFont="1" applyBorder="1" applyAlignment="1">
      <alignment horizontal="center" vertical="center" wrapText="1"/>
    </xf>
    <xf numFmtId="0" fontId="54" fillId="36" borderId="0" xfId="0" applyFont="1" applyFill="1"/>
    <xf numFmtId="16" fontId="45" fillId="0" borderId="11" xfId="0" quotePrefix="1" applyNumberFormat="1" applyFont="1" applyBorder="1" applyAlignment="1" applyProtection="1">
      <alignment horizontal="center" vertical="center"/>
      <protection locked="0"/>
    </xf>
    <xf numFmtId="181" fontId="43" fillId="25" borderId="11" xfId="29" applyNumberFormat="1" applyFont="1" applyFill="1" applyBorder="1" applyAlignment="1">
      <alignment vertical="center"/>
    </xf>
    <xf numFmtId="43" fontId="27" fillId="0" borderId="10" xfId="0" applyNumberFormat="1" applyFont="1" applyBorder="1" applyAlignment="1">
      <alignment horizontal="left"/>
    </xf>
    <xf numFmtId="43" fontId="27" fillId="0" borderId="21" xfId="0" applyNumberFormat="1" applyFont="1" applyBorder="1" applyAlignment="1" applyProtection="1">
      <alignment horizontal="left"/>
      <protection locked="0"/>
    </xf>
    <xf numFmtId="43" fontId="27" fillId="0" borderId="63" xfId="0" applyNumberFormat="1" applyFont="1" applyBorder="1" applyAlignment="1" applyProtection="1">
      <alignment horizontal="left"/>
      <protection locked="0"/>
    </xf>
    <xf numFmtId="43" fontId="27" fillId="0" borderId="42" xfId="28" applyFont="1" applyFill="1" applyBorder="1" applyAlignment="1" applyProtection="1">
      <alignment horizontal="center"/>
    </xf>
    <xf numFmtId="43" fontId="27" fillId="0" borderId="11" xfId="0" applyNumberFormat="1" applyFont="1" applyBorder="1" applyAlignment="1" applyProtection="1">
      <alignment horizontal="left"/>
      <protection locked="0"/>
    </xf>
    <xf numFmtId="43" fontId="27" fillId="0" borderId="11" xfId="0" applyNumberFormat="1" applyFont="1" applyBorder="1" applyAlignment="1" applyProtection="1">
      <alignment horizontal="center"/>
      <protection locked="0"/>
    </xf>
    <xf numFmtId="14" fontId="53" fillId="27" borderId="0" xfId="0" applyNumberFormat="1" applyFont="1" applyFill="1" applyAlignment="1">
      <alignment horizontal="center" vertical="center"/>
    </xf>
    <xf numFmtId="2" fontId="53" fillId="27" borderId="0" xfId="0" applyNumberFormat="1" applyFont="1" applyFill="1" applyAlignment="1">
      <alignment horizontal="center" vertical="center" wrapText="1"/>
    </xf>
    <xf numFmtId="0" fontId="53" fillId="27" borderId="0" xfId="0" applyFont="1" applyFill="1" applyAlignment="1">
      <alignment horizontal="center" vertical="center"/>
    </xf>
    <xf numFmtId="0" fontId="53" fillId="27" borderId="11" xfId="0" applyFont="1" applyFill="1" applyBorder="1" applyAlignment="1">
      <alignment horizontal="center" vertical="center"/>
    </xf>
    <xf numFmtId="0" fontId="53" fillId="27" borderId="11" xfId="0" applyFont="1" applyFill="1" applyBorder="1" applyAlignment="1">
      <alignment horizontal="center" vertical="center" wrapText="1"/>
    </xf>
    <xf numFmtId="10" fontId="0" fillId="0" borderId="11" xfId="50" applyNumberFormat="1" applyFont="1" applyBorder="1" applyAlignment="1">
      <alignment horizontal="center"/>
    </xf>
    <xf numFmtId="2" fontId="0" fillId="0" borderId="0" xfId="0" applyNumberFormat="1" applyAlignment="1">
      <alignment horizontal="center"/>
    </xf>
    <xf numFmtId="10" fontId="0" fillId="0" borderId="0" xfId="50" applyNumberFormat="1" applyFont="1" applyBorder="1" applyAlignment="1">
      <alignment horizontal="center"/>
    </xf>
    <xf numFmtId="0" fontId="0" fillId="27" borderId="11" xfId="0" applyFill="1" applyBorder="1"/>
    <xf numFmtId="10" fontId="0" fillId="0" borderId="11" xfId="50" applyNumberFormat="1" applyFont="1" applyBorder="1"/>
    <xf numFmtId="0" fontId="0" fillId="0" borderId="0" xfId="0" quotePrefix="1"/>
    <xf numFmtId="14" fontId="0" fillId="0" borderId="0" xfId="0" applyNumberFormat="1" applyAlignment="1">
      <alignment horizontal="center"/>
    </xf>
    <xf numFmtId="0" fontId="0" fillId="0" borderId="0" xfId="0" applyAlignment="1">
      <alignment horizontal="right"/>
    </xf>
    <xf numFmtId="2" fontId="53" fillId="27" borderId="11" xfId="0" applyNumberFormat="1" applyFont="1" applyFill="1" applyBorder="1" applyAlignment="1">
      <alignment horizontal="center" vertical="center" wrapText="1"/>
    </xf>
    <xf numFmtId="9" fontId="53" fillId="27" borderId="11" xfId="50" applyFont="1" applyFill="1" applyBorder="1" applyAlignment="1">
      <alignment horizontal="center" vertical="center" wrapText="1"/>
    </xf>
    <xf numFmtId="10" fontId="0" fillId="0" borderId="11" xfId="0" applyNumberFormat="1" applyBorder="1" applyAlignment="1">
      <alignment horizontal="right"/>
    </xf>
    <xf numFmtId="10" fontId="0" fillId="0" borderId="11" xfId="0" applyNumberFormat="1" applyBorder="1" applyAlignment="1">
      <alignment horizontal="center"/>
    </xf>
    <xf numFmtId="2" fontId="53" fillId="35" borderId="11" xfId="0" applyNumberFormat="1" applyFont="1" applyFill="1" applyBorder="1" applyAlignment="1">
      <alignment horizontal="center"/>
    </xf>
    <xf numFmtId="10" fontId="53" fillId="35" borderId="11" xfId="50" applyNumberFormat="1" applyFont="1" applyFill="1" applyBorder="1" applyAlignment="1">
      <alignment horizontal="center"/>
    </xf>
    <xf numFmtId="0" fontId="28" fillId="35" borderId="11" xfId="0" applyFont="1" applyFill="1" applyBorder="1"/>
    <xf numFmtId="0" fontId="39" fillId="37" borderId="11" xfId="55" applyFont="1" applyFill="1" applyBorder="1" applyAlignment="1">
      <alignment horizontal="left"/>
    </xf>
    <xf numFmtId="0" fontId="0" fillId="38" borderId="11" xfId="0" applyFill="1" applyBorder="1"/>
    <xf numFmtId="0" fontId="45" fillId="38" borderId="11" xfId="0" applyFont="1" applyFill="1" applyBorder="1"/>
    <xf numFmtId="10" fontId="0" fillId="37" borderId="17" xfId="50" applyNumberFormat="1" applyFont="1" applyFill="1" applyBorder="1"/>
    <xf numFmtId="10" fontId="0" fillId="0" borderId="17" xfId="50" applyNumberFormat="1" applyFont="1" applyBorder="1"/>
    <xf numFmtId="0" fontId="58" fillId="0" borderId="11" xfId="55" applyFont="1" applyBorder="1" applyAlignment="1">
      <alignment horizontal="left"/>
    </xf>
    <xf numFmtId="10" fontId="57" fillId="27" borderId="11" xfId="50" applyNumberFormat="1" applyFont="1" applyFill="1" applyBorder="1"/>
    <xf numFmtId="10" fontId="28" fillId="0" borderId="11" xfId="0" applyNumberFormat="1" applyFont="1" applyBorder="1"/>
    <xf numFmtId="0" fontId="0" fillId="0" borderId="11" xfId="0" applyBorder="1" applyAlignment="1">
      <alignment horizontal="center" vertical="center"/>
    </xf>
    <xf numFmtId="168" fontId="35" fillId="0" borderId="0" xfId="0" applyNumberFormat="1" applyFont="1" applyAlignment="1">
      <alignment horizontal="center" vertical="center"/>
    </xf>
    <xf numFmtId="0" fontId="28" fillId="0" borderId="19" xfId="0" applyFont="1" applyBorder="1" applyAlignment="1">
      <alignment horizontal="center" vertical="center" wrapText="1"/>
    </xf>
    <xf numFmtId="0" fontId="28" fillId="0" borderId="17" xfId="0" applyFont="1" applyBorder="1" applyAlignment="1">
      <alignment horizontal="center" vertical="center" wrapText="1"/>
    </xf>
    <xf numFmtId="0" fontId="0" fillId="0" borderId="11" xfId="0" applyBorder="1" applyAlignment="1">
      <alignment horizontal="center" vertical="center" wrapText="1"/>
    </xf>
    <xf numFmtId="9" fontId="28" fillId="0" borderId="17" xfId="0" applyNumberFormat="1" applyFont="1" applyBorder="1" applyAlignment="1">
      <alignment horizontal="center" vertical="center" wrapText="1"/>
    </xf>
    <xf numFmtId="0" fontId="0" fillId="0" borderId="11" xfId="28" applyNumberFormat="1" applyFont="1" applyBorder="1"/>
    <xf numFmtId="9" fontId="0" fillId="0" borderId="11" xfId="0" applyNumberFormat="1" applyBorder="1"/>
    <xf numFmtId="0" fontId="0" fillId="0" borderId="11" xfId="28" applyNumberFormat="1" applyFont="1" applyFill="1" applyBorder="1"/>
    <xf numFmtId="43" fontId="45" fillId="0" borderId="11" xfId="28" applyFont="1" applyFill="1" applyBorder="1" applyProtection="1">
      <protection locked="0"/>
    </xf>
    <xf numFmtId="166" fontId="33" fillId="37" borderId="17" xfId="28" applyNumberFormat="1" applyFont="1" applyFill="1" applyBorder="1" applyAlignment="1" applyProtection="1">
      <alignment horizontal="center"/>
    </xf>
    <xf numFmtId="0" fontId="28" fillId="37" borderId="11" xfId="0" applyFont="1" applyFill="1" applyBorder="1"/>
    <xf numFmtId="0" fontId="20" fillId="0" borderId="0" xfId="41" applyFont="1"/>
    <xf numFmtId="0" fontId="45" fillId="0" borderId="0" xfId="41" applyFont="1"/>
    <xf numFmtId="0" fontId="45" fillId="0" borderId="0" xfId="41" applyFont="1" applyAlignment="1">
      <alignment horizontal="center"/>
    </xf>
    <xf numFmtId="2" fontId="45" fillId="0" borderId="0" xfId="41" applyNumberFormat="1" applyFont="1" applyAlignment="1">
      <alignment horizontal="center"/>
    </xf>
    <xf numFmtId="0" fontId="21" fillId="0" borderId="0" xfId="41" applyFont="1"/>
    <xf numFmtId="0" fontId="22" fillId="0" borderId="0" xfId="41" applyFont="1"/>
    <xf numFmtId="16" fontId="45" fillId="0" borderId="10" xfId="41" applyNumberFormat="1" applyFont="1" applyBorder="1"/>
    <xf numFmtId="0" fontId="45" fillId="0" borderId="11" xfId="41" applyFont="1" applyBorder="1"/>
    <xf numFmtId="16" fontId="45" fillId="0" borderId="11" xfId="41" applyNumberFormat="1" applyFont="1" applyBorder="1"/>
    <xf numFmtId="2" fontId="45" fillId="0" borderId="11" xfId="41" applyNumberFormat="1" applyFont="1" applyBorder="1" applyAlignment="1">
      <alignment horizontal="center"/>
    </xf>
    <xf numFmtId="43" fontId="45" fillId="11" borderId="11" xfId="28" applyFont="1" applyFill="1" applyBorder="1" applyAlignment="1" applyProtection="1">
      <alignment horizontal="center"/>
    </xf>
    <xf numFmtId="0" fontId="28" fillId="0" borderId="0" xfId="41" applyFont="1"/>
    <xf numFmtId="43" fontId="28" fillId="0" borderId="23" xfId="28" applyFont="1" applyBorder="1" applyProtection="1"/>
    <xf numFmtId="0" fontId="45" fillId="0" borderId="0" xfId="42" applyFont="1" applyAlignment="1">
      <alignment horizontal="center"/>
    </xf>
    <xf numFmtId="39" fontId="45" fillId="0" borderId="0" xfId="42" quotePrefix="1" applyNumberFormat="1" applyFont="1" applyAlignment="1">
      <alignment horizontal="left"/>
    </xf>
    <xf numFmtId="0" fontId="45" fillId="0" borderId="0" xfId="41" quotePrefix="1" applyFont="1"/>
    <xf numFmtId="39" fontId="45" fillId="0" borderId="0" xfId="42" applyNumberFormat="1" applyFont="1"/>
    <xf numFmtId="39" fontId="45" fillId="0" borderId="0" xfId="42" quotePrefix="1" applyNumberFormat="1" applyFont="1"/>
    <xf numFmtId="0" fontId="43" fillId="0" borderId="14" xfId="0" applyFont="1" applyBorder="1" applyAlignment="1">
      <alignment horizontal="center" vertical="center" wrapText="1"/>
    </xf>
    <xf numFmtId="41" fontId="43" fillId="0" borderId="14" xfId="29" applyFont="1" applyFill="1" applyBorder="1" applyAlignment="1">
      <alignment horizontal="center" vertical="center" wrapText="1"/>
    </xf>
    <xf numFmtId="178" fontId="42" fillId="0" borderId="19" xfId="29" applyNumberFormat="1" applyFont="1" applyFill="1" applyBorder="1" applyAlignment="1">
      <alignment vertical="center"/>
    </xf>
    <xf numFmtId="2" fontId="36" fillId="0" borderId="11" xfId="46" applyNumberFormat="1" applyFont="1" applyBorder="1"/>
    <xf numFmtId="10" fontId="43" fillId="29" borderId="11" xfId="50" applyNumberFormat="1" applyFont="1" applyFill="1" applyBorder="1" applyAlignment="1">
      <alignment vertical="center"/>
    </xf>
    <xf numFmtId="10" fontId="43" fillId="4" borderId="11" xfId="50" applyNumberFormat="1" applyFont="1" applyFill="1" applyBorder="1" applyAlignment="1">
      <alignment vertical="center"/>
    </xf>
    <xf numFmtId="10" fontId="43" fillId="25" borderId="11" xfId="50" applyNumberFormat="1" applyFont="1" applyFill="1" applyBorder="1"/>
    <xf numFmtId="179" fontId="43" fillId="0" borderId="11" xfId="29" applyNumberFormat="1" applyFont="1" applyFill="1" applyBorder="1" applyAlignment="1">
      <alignment vertical="center"/>
    </xf>
    <xf numFmtId="165" fontId="43" fillId="0" borderId="0" xfId="51" applyNumberFormat="1" applyFont="1" applyFill="1" applyBorder="1" applyAlignment="1">
      <alignment vertical="center"/>
    </xf>
    <xf numFmtId="166" fontId="33" fillId="30" borderId="13" xfId="28" applyNumberFormat="1" applyFont="1" applyFill="1" applyBorder="1" applyAlignment="1" applyProtection="1">
      <alignment horizontal="center"/>
    </xf>
    <xf numFmtId="166" fontId="33" fillId="32" borderId="13" xfId="28" applyNumberFormat="1" applyFont="1" applyFill="1" applyBorder="1" applyAlignment="1" applyProtection="1">
      <alignment horizontal="center"/>
    </xf>
    <xf numFmtId="0" fontId="45" fillId="0" borderId="69" xfId="0" applyFont="1" applyBorder="1"/>
    <xf numFmtId="2" fontId="0" fillId="0" borderId="70" xfId="0" applyNumberFormat="1" applyBorder="1" applyAlignment="1">
      <alignment vertical="center"/>
    </xf>
    <xf numFmtId="2" fontId="0" fillId="0" borderId="17" xfId="28" applyNumberFormat="1" applyFont="1" applyBorder="1" applyAlignment="1" applyProtection="1">
      <alignment horizontal="center"/>
    </xf>
    <xf numFmtId="2" fontId="28" fillId="0" borderId="11" xfId="28" applyNumberFormat="1" applyFont="1" applyBorder="1" applyProtection="1"/>
    <xf numFmtId="0" fontId="45" fillId="0" borderId="0" xfId="0" quotePrefix="1" applyFont="1"/>
    <xf numFmtId="10" fontId="0" fillId="0" borderId="0" xfId="0" applyNumberFormat="1"/>
    <xf numFmtId="178" fontId="43" fillId="39" borderId="11" xfId="57" applyNumberFormat="1" applyFont="1" applyFill="1" applyBorder="1" applyAlignment="1">
      <alignment horizontal="center" vertical="center" wrapText="1"/>
    </xf>
    <xf numFmtId="178" fontId="43" fillId="26" borderId="14" xfId="57" applyNumberFormat="1" applyFont="1" applyFill="1" applyBorder="1" applyAlignment="1">
      <alignment horizontal="center" vertical="center" wrapText="1"/>
    </xf>
    <xf numFmtId="178" fontId="43" fillId="26" borderId="11" xfId="57" applyNumberFormat="1" applyFont="1" applyFill="1" applyBorder="1" applyAlignment="1">
      <alignment horizontal="center" vertical="center" wrapText="1"/>
    </xf>
    <xf numFmtId="178" fontId="43" fillId="39" borderId="14" xfId="57" applyNumberFormat="1" applyFont="1" applyFill="1" applyBorder="1" applyAlignment="1">
      <alignment horizontal="center" vertical="center" wrapText="1"/>
    </xf>
    <xf numFmtId="178" fontId="43" fillId="0" borderId="17" xfId="29" applyNumberFormat="1" applyFont="1" applyFill="1" applyBorder="1" applyAlignment="1">
      <alignment horizontal="center" vertical="center" wrapText="1"/>
    </xf>
    <xf numFmtId="178" fontId="43" fillId="4" borderId="14" xfId="29" applyNumberFormat="1" applyFont="1" applyFill="1" applyBorder="1" applyAlignment="1">
      <alignment horizontal="center" vertical="center" wrapText="1"/>
    </xf>
    <xf numFmtId="10" fontId="43" fillId="28" borderId="0" xfId="0" applyNumberFormat="1" applyFont="1" applyFill="1"/>
    <xf numFmtId="2" fontId="0" fillId="0" borderId="0" xfId="28" applyNumberFormat="1" applyFont="1" applyAlignment="1"/>
    <xf numFmtId="2" fontId="28" fillId="0" borderId="20" xfId="28" applyNumberFormat="1" applyFont="1" applyFill="1" applyBorder="1" applyAlignment="1" applyProtection="1">
      <alignment horizontal="center" vertical="center"/>
    </xf>
    <xf numFmtId="2" fontId="28" fillId="0" borderId="11" xfId="28" applyNumberFormat="1" applyFont="1" applyFill="1" applyBorder="1" applyAlignment="1" applyProtection="1">
      <alignment horizontal="center" vertical="center"/>
    </xf>
    <xf numFmtId="2" fontId="28" fillId="0" borderId="14" xfId="28" applyNumberFormat="1" applyFont="1" applyBorder="1" applyAlignment="1">
      <alignment horizontal="center" vertical="center"/>
    </xf>
    <xf numFmtId="2" fontId="28"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6" xfId="28" applyNumberFormat="1" applyFont="1" applyBorder="1" applyAlignment="1"/>
    <xf numFmtId="2" fontId="0" fillId="0" borderId="86" xfId="28" applyNumberFormat="1" applyFont="1" applyBorder="1" applyAlignment="1" applyProtection="1">
      <alignment horizontal="center" vertical="center"/>
      <protection hidden="1"/>
    </xf>
    <xf numFmtId="0" fontId="53" fillId="0" borderId="11" xfId="0" applyFont="1" applyBorder="1" applyAlignment="1">
      <alignment horizontal="left" vertical="center"/>
    </xf>
    <xf numFmtId="10" fontId="0" fillId="0" borderId="11" xfId="0" applyNumberFormat="1" applyBorder="1" applyAlignment="1">
      <alignment horizontal="center" vertical="center"/>
    </xf>
    <xf numFmtId="0" fontId="45" fillId="0" borderId="11" xfId="0" applyFont="1" applyBorder="1" applyAlignment="1">
      <alignment wrapText="1"/>
    </xf>
    <xf numFmtId="43" fontId="27" fillId="24" borderId="45" xfId="50" applyNumberFormat="1" applyFont="1" applyFill="1" applyBorder="1" applyAlignment="1" applyProtection="1">
      <alignment horizontal="center" vertical="center"/>
      <protection locked="0"/>
    </xf>
    <xf numFmtId="0" fontId="27" fillId="24" borderId="54" xfId="0" applyFont="1" applyFill="1" applyBorder="1" applyAlignment="1" applyProtection="1">
      <alignment horizontal="left" vertical="center"/>
      <protection locked="0"/>
    </xf>
    <xf numFmtId="0" fontId="27" fillId="24" borderId="39" xfId="0" applyFont="1" applyFill="1" applyBorder="1" applyAlignment="1">
      <alignment horizontal="left" vertical="center"/>
    </xf>
    <xf numFmtId="0" fontId="27" fillId="24" borderId="0" xfId="0" applyFont="1" applyFill="1" applyAlignment="1">
      <alignment horizontal="right"/>
    </xf>
    <xf numFmtId="0" fontId="59" fillId="24" borderId="0" xfId="0" applyFont="1" applyFill="1" applyAlignment="1">
      <alignment horizontal="right"/>
    </xf>
    <xf numFmtId="0" fontId="59" fillId="24" borderId="0" xfId="0" applyFont="1" applyFill="1"/>
    <xf numFmtId="0" fontId="45" fillId="24" borderId="0" xfId="0" applyFont="1" applyFill="1" applyAlignment="1">
      <alignment horizontal="right"/>
    </xf>
    <xf numFmtId="0" fontId="45" fillId="24" borderId="0" xfId="0" applyFont="1" applyFill="1"/>
    <xf numFmtId="0" fontId="0" fillId="0" borderId="35" xfId="0" applyBorder="1" applyAlignment="1">
      <alignment horizontal="center" vertical="center"/>
    </xf>
    <xf numFmtId="166" fontId="0" fillId="0" borderId="35" xfId="28" applyNumberFormat="1" applyFont="1" applyBorder="1" applyAlignment="1">
      <alignment horizontal="center" vertical="center" wrapText="1"/>
    </xf>
    <xf numFmtId="1" fontId="48" fillId="0" borderId="39" xfId="0" applyNumberFormat="1" applyFont="1" applyBorder="1" applyAlignment="1">
      <alignment horizontal="center" vertical="center"/>
    </xf>
    <xf numFmtId="16" fontId="45" fillId="0" borderId="25" xfId="41" applyNumberFormat="1" applyFont="1" applyBorder="1"/>
    <xf numFmtId="0" fontId="45" fillId="0" borderId="17" xfId="41" applyFont="1" applyBorder="1"/>
    <xf numFmtId="16" fontId="45" fillId="0" borderId="17" xfId="41" applyNumberFormat="1" applyFont="1" applyBorder="1"/>
    <xf numFmtId="2" fontId="45" fillId="0" borderId="17" xfId="41" applyNumberFormat="1" applyFont="1" applyBorder="1" applyAlignment="1">
      <alignment horizontal="center"/>
    </xf>
    <xf numFmtId="2" fontId="28" fillId="0" borderId="31" xfId="28" applyNumberFormat="1" applyFont="1" applyBorder="1" applyAlignment="1">
      <alignment horizontal="center" vertical="center"/>
    </xf>
    <xf numFmtId="43" fontId="45" fillId="11" borderId="17" xfId="28" applyFont="1" applyFill="1" applyBorder="1" applyAlignment="1" applyProtection="1">
      <alignment horizontal="center"/>
    </xf>
    <xf numFmtId="2" fontId="28" fillId="27" borderId="0" xfId="41" applyNumberFormat="1" applyFont="1" applyFill="1"/>
    <xf numFmtId="0" fontId="28" fillId="0" borderId="11" xfId="28" applyNumberFormat="1" applyFont="1" applyBorder="1" applyProtection="1"/>
    <xf numFmtId="172" fontId="28" fillId="27" borderId="0" xfId="0" applyNumberFormat="1" applyFont="1" applyFill="1" applyAlignment="1">
      <alignment vertical="center"/>
    </xf>
    <xf numFmtId="180" fontId="28" fillId="27" borderId="0" xfId="0" applyNumberFormat="1" applyFont="1" applyFill="1" applyAlignment="1">
      <alignment horizontal="right" vertical="center"/>
    </xf>
    <xf numFmtId="0" fontId="23" fillId="24" borderId="0" xfId="0" applyFont="1" applyFill="1" applyAlignment="1">
      <alignment horizontal="right"/>
    </xf>
    <xf numFmtId="9" fontId="42" fillId="0" borderId="11" xfId="0" applyNumberFormat="1" applyFont="1" applyBorder="1" applyAlignment="1">
      <alignment horizontal="center" vertical="center" wrapText="1"/>
    </xf>
    <xf numFmtId="0" fontId="60" fillId="24" borderId="0" xfId="0" applyFont="1" applyFill="1" applyAlignment="1">
      <alignment horizontal="right"/>
    </xf>
    <xf numFmtId="0" fontId="60" fillId="24" borderId="0" xfId="0" applyFont="1" applyFill="1"/>
    <xf numFmtId="2" fontId="23" fillId="24" borderId="0" xfId="28" applyNumberFormat="1" applyFont="1" applyFill="1" applyBorder="1" applyProtection="1">
      <protection locked="0"/>
    </xf>
    <xf numFmtId="2" fontId="23" fillId="24" borderId="0" xfId="28" applyNumberFormat="1" applyFont="1" applyFill="1" applyBorder="1" applyProtection="1"/>
    <xf numFmtId="0" fontId="39" fillId="0" borderId="11" xfId="0" applyFont="1" applyBorder="1" applyAlignment="1">
      <alignment horizontal="center"/>
    </xf>
    <xf numFmtId="0" fontId="0" fillId="0" borderId="62" xfId="0" applyBorder="1"/>
    <xf numFmtId="0" fontId="28" fillId="24" borderId="0" xfId="0" applyFont="1" applyFill="1"/>
    <xf numFmtId="0" fontId="61" fillId="24" borderId="0" xfId="0" applyFont="1" applyFill="1" applyAlignment="1">
      <alignment horizontal="right"/>
    </xf>
    <xf numFmtId="0" fontId="61" fillId="24" borderId="0" xfId="0" applyFont="1" applyFill="1"/>
    <xf numFmtId="0" fontId="61" fillId="42" borderId="0" xfId="0" applyFont="1" applyFill="1"/>
    <xf numFmtId="0" fontId="28" fillId="24" borderId="0" xfId="0" applyFont="1" applyFill="1" applyAlignment="1">
      <alignment horizontal="right"/>
    </xf>
    <xf numFmtId="14" fontId="0" fillId="0" borderId="11" xfId="0" applyNumberFormat="1" applyBorder="1" applyAlignment="1">
      <alignment horizontal="center"/>
    </xf>
    <xf numFmtId="0" fontId="0" fillId="0" borderId="0" xfId="0" applyAlignment="1">
      <alignment vertical="top" wrapText="1"/>
    </xf>
    <xf numFmtId="0" fontId="0" fillId="0" borderId="11" xfId="0" applyBorder="1" applyAlignment="1">
      <alignment vertical="top" wrapText="1"/>
    </xf>
    <xf numFmtId="10" fontId="2"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5" fillId="0" borderId="11" xfId="0" applyFont="1" applyBorder="1" applyAlignment="1">
      <alignment vertical="top" wrapText="1"/>
    </xf>
    <xf numFmtId="0" fontId="53" fillId="0" borderId="60" xfId="0" applyFont="1" applyBorder="1" applyAlignment="1">
      <alignment vertical="center"/>
    </xf>
    <xf numFmtId="10" fontId="53" fillId="0" borderId="11" xfId="50" applyNumberFormat="1" applyFont="1" applyBorder="1" applyAlignment="1">
      <alignment horizontal="center"/>
    </xf>
    <xf numFmtId="43" fontId="27" fillId="24" borderId="17" xfId="0" applyNumberFormat="1" applyFont="1" applyFill="1" applyBorder="1" applyAlignment="1" applyProtection="1">
      <alignment horizontal="center"/>
      <protection locked="0"/>
    </xf>
    <xf numFmtId="0" fontId="27" fillId="24" borderId="17" xfId="0" quotePrefix="1" applyFont="1" applyFill="1" applyBorder="1" applyAlignment="1" applyProtection="1">
      <alignment wrapText="1"/>
      <protection locked="0"/>
    </xf>
    <xf numFmtId="0" fontId="27" fillId="24" borderId="87" xfId="0" applyFont="1" applyFill="1" applyBorder="1" applyAlignment="1" applyProtection="1">
      <alignment horizontal="center"/>
      <protection locked="0"/>
    </xf>
    <xf numFmtId="0" fontId="28" fillId="24" borderId="13" xfId="0" quotePrefix="1" applyFont="1" applyFill="1" applyBorder="1" applyAlignment="1" applyProtection="1">
      <alignment wrapText="1"/>
      <protection locked="0"/>
    </xf>
    <xf numFmtId="0" fontId="62" fillId="24" borderId="0" xfId="0" applyFont="1" applyFill="1" applyAlignment="1">
      <alignment horizontal="right"/>
    </xf>
    <xf numFmtId="0" fontId="62" fillId="24" borderId="0" xfId="0" applyFont="1" applyFill="1"/>
    <xf numFmtId="0" fontId="62" fillId="0" borderId="0" xfId="0" applyFont="1"/>
    <xf numFmtId="43" fontId="27" fillId="24" borderId="63" xfId="28" applyFont="1" applyFill="1" applyBorder="1" applyAlignment="1" applyProtection="1">
      <alignment horizontal="center"/>
    </xf>
    <xf numFmtId="43" fontId="27" fillId="24" borderId="28" xfId="28" applyFont="1" applyFill="1" applyBorder="1" applyAlignment="1" applyProtection="1">
      <alignment horizontal="center"/>
    </xf>
    <xf numFmtId="43" fontId="27" fillId="24" borderId="52" xfId="28" applyFont="1" applyFill="1" applyBorder="1" applyAlignment="1" applyProtection="1">
      <alignment horizontal="center"/>
    </xf>
    <xf numFmtId="0" fontId="23" fillId="24" borderId="0" xfId="0" applyFont="1" applyFill="1" applyAlignment="1">
      <alignment horizontal="center" wrapText="1"/>
    </xf>
    <xf numFmtId="9" fontId="23" fillId="0" borderId="0" xfId="50" applyFont="1" applyFill="1" applyBorder="1" applyAlignment="1">
      <alignment vertical="center"/>
    </xf>
    <xf numFmtId="173" fontId="23" fillId="0" borderId="0" xfId="29" applyNumberFormat="1" applyFont="1" applyFill="1" applyBorder="1" applyAlignment="1">
      <alignment vertical="center"/>
    </xf>
    <xf numFmtId="176" fontId="23" fillId="24" borderId="0" xfId="0" applyNumberFormat="1" applyFont="1" applyFill="1"/>
    <xf numFmtId="1" fontId="45" fillId="27" borderId="39" xfId="0" applyNumberFormat="1" applyFont="1" applyFill="1" applyBorder="1" applyAlignment="1">
      <alignment horizontal="center" vertical="center"/>
    </xf>
    <xf numFmtId="172" fontId="48" fillId="0" borderId="85" xfId="0" applyNumberFormat="1" applyFont="1" applyBorder="1"/>
    <xf numFmtId="0" fontId="23" fillId="24" borderId="15" xfId="0" applyFont="1" applyFill="1" applyBorder="1"/>
    <xf numFmtId="0" fontId="57" fillId="24" borderId="15" xfId="0" applyFont="1" applyFill="1" applyBorder="1"/>
    <xf numFmtId="0" fontId="23" fillId="24" borderId="15" xfId="0" applyFont="1" applyFill="1" applyBorder="1" applyAlignment="1">
      <alignment horizontal="center" wrapText="1"/>
    </xf>
    <xf numFmtId="0" fontId="23" fillId="24" borderId="56" xfId="0" applyFont="1" applyFill="1" applyBorder="1"/>
    <xf numFmtId="9" fontId="23" fillId="0" borderId="21" xfId="50" applyFont="1" applyFill="1" applyBorder="1" applyAlignment="1">
      <alignment vertical="center"/>
    </xf>
    <xf numFmtId="0" fontId="57" fillId="24" borderId="21" xfId="0" applyFont="1" applyFill="1" applyBorder="1"/>
    <xf numFmtId="2" fontId="23" fillId="24" borderId="21" xfId="0" applyNumberFormat="1" applyFont="1" applyFill="1" applyBorder="1"/>
    <xf numFmtId="43" fontId="23" fillId="0" borderId="11" xfId="29" applyNumberFormat="1" applyFont="1" applyFill="1" applyBorder="1" applyAlignment="1">
      <alignment vertical="center"/>
    </xf>
    <xf numFmtId="43" fontId="23" fillId="24" borderId="21" xfId="0" applyNumberFormat="1" applyFont="1" applyFill="1" applyBorder="1"/>
    <xf numFmtId="10" fontId="42" fillId="0" borderId="13" xfId="50" applyNumberFormat="1" applyFont="1" applyFill="1" applyBorder="1" applyAlignment="1">
      <alignment vertical="center"/>
    </xf>
    <xf numFmtId="0" fontId="23" fillId="24" borderId="21" xfId="0" applyFont="1" applyFill="1" applyBorder="1"/>
    <xf numFmtId="10" fontId="42" fillId="0" borderId="30" xfId="50" applyNumberFormat="1" applyFont="1" applyFill="1" applyBorder="1" applyAlignment="1">
      <alignment vertical="center"/>
    </xf>
    <xf numFmtId="1" fontId="43" fillId="0" borderId="0" xfId="50" applyNumberFormat="1" applyFont="1" applyFill="1" applyBorder="1" applyAlignment="1">
      <alignment vertical="center"/>
    </xf>
    <xf numFmtId="1" fontId="42" fillId="0" borderId="0" xfId="29" applyNumberFormat="1" applyFont="1" applyFill="1" applyBorder="1" applyAlignment="1">
      <alignment vertical="center"/>
    </xf>
    <xf numFmtId="1" fontId="42" fillId="0" borderId="0" xfId="0" applyNumberFormat="1" applyFont="1"/>
    <xf numFmtId="0" fontId="42" fillId="0" borderId="19" xfId="0" applyFont="1" applyBorder="1"/>
    <xf numFmtId="0" fontId="0" fillId="0" borderId="70" xfId="0" applyBorder="1"/>
    <xf numFmtId="164" fontId="23" fillId="24" borderId="0" xfId="0" applyNumberFormat="1" applyFont="1" applyFill="1"/>
    <xf numFmtId="182" fontId="31" fillId="0" borderId="0" xfId="0" applyNumberFormat="1" applyFont="1"/>
    <xf numFmtId="182" fontId="31" fillId="0" borderId="11" xfId="0" applyNumberFormat="1" applyFont="1" applyBorder="1" applyAlignment="1">
      <alignment horizontal="center"/>
    </xf>
    <xf numFmtId="182" fontId="0" fillId="0" borderId="11" xfId="0" applyNumberFormat="1" applyBorder="1" applyAlignment="1">
      <alignment vertical="center"/>
    </xf>
    <xf numFmtId="182" fontId="0" fillId="0" borderId="62" xfId="0" applyNumberFormat="1" applyBorder="1" applyAlignment="1">
      <alignment vertical="center"/>
    </xf>
    <xf numFmtId="182" fontId="28" fillId="0" borderId="66" xfId="0" applyNumberFormat="1" applyFont="1" applyBorder="1" applyAlignment="1">
      <alignment vertical="center"/>
    </xf>
    <xf numFmtId="182" fontId="33" fillId="0" borderId="0" xfId="0" applyNumberFormat="1" applyFont="1" applyAlignment="1">
      <alignment horizontal="center"/>
    </xf>
    <xf numFmtId="182" fontId="36" fillId="0" borderId="0" xfId="28" applyNumberFormat="1" applyFont="1" applyBorder="1" applyAlignment="1" applyProtection="1">
      <alignment horizontal="right"/>
    </xf>
    <xf numFmtId="182" fontId="0" fillId="0" borderId="0" xfId="0" applyNumberFormat="1"/>
    <xf numFmtId="181" fontId="42" fillId="0" borderId="0" xfId="0" applyNumberFormat="1" applyFont="1"/>
    <xf numFmtId="170" fontId="38" fillId="0" borderId="11" xfId="0" applyNumberFormat="1" applyFont="1" applyBorder="1" applyAlignment="1">
      <alignment horizontal="center" vertical="center" wrapText="1"/>
    </xf>
    <xf numFmtId="0" fontId="38" fillId="27" borderId="58" xfId="0" applyFont="1" applyFill="1" applyBorder="1" applyAlignment="1">
      <alignment horizontal="center" vertical="center" wrapText="1"/>
    </xf>
    <xf numFmtId="0" fontId="38" fillId="27" borderId="31" xfId="0" applyFont="1" applyFill="1" applyBorder="1" applyAlignment="1">
      <alignment horizontal="center" vertical="center" wrapText="1"/>
    </xf>
    <xf numFmtId="0" fontId="38" fillId="27" borderId="28" xfId="0" applyFont="1" applyFill="1" applyBorder="1" applyAlignment="1">
      <alignment horizontal="center" vertical="center" wrapText="1"/>
    </xf>
    <xf numFmtId="0" fontId="38" fillId="27" borderId="60" xfId="0" applyFont="1" applyFill="1" applyBorder="1" applyAlignment="1">
      <alignment horizontal="center" vertical="center" wrapText="1"/>
    </xf>
    <xf numFmtId="167" fontId="38" fillId="0" borderId="11" xfId="0" applyNumberFormat="1" applyFont="1" applyBorder="1" applyAlignment="1">
      <alignment horizontal="center" vertical="center" wrapText="1"/>
    </xf>
    <xf numFmtId="2" fontId="38" fillId="0" borderId="11" xfId="0" applyNumberFormat="1" applyFont="1" applyBorder="1" applyAlignment="1">
      <alignment horizontal="center" vertical="center" wrapText="1"/>
    </xf>
    <xf numFmtId="4" fontId="38" fillId="0" borderId="11" xfId="0" applyNumberFormat="1" applyFont="1" applyBorder="1" applyAlignment="1">
      <alignment horizontal="center" vertical="center" wrapText="1"/>
    </xf>
    <xf numFmtId="0" fontId="38" fillId="0" borderId="11" xfId="0" applyFont="1" applyBorder="1" applyAlignment="1">
      <alignment horizontal="center" vertical="center" wrapText="1"/>
    </xf>
    <xf numFmtId="168" fontId="35" fillId="0" borderId="0" xfId="0" applyNumberFormat="1" applyFont="1" applyAlignment="1">
      <alignment horizontal="center" vertical="center"/>
    </xf>
    <xf numFmtId="0" fontId="28" fillId="0" borderId="14" xfId="0" applyFont="1" applyBorder="1" applyAlignment="1">
      <alignment horizontal="center" vertical="center"/>
    </xf>
    <xf numFmtId="0" fontId="28" fillId="0" borderId="17" xfId="0" applyFont="1" applyBorder="1" applyAlignment="1">
      <alignment horizontal="center" vertical="center"/>
    </xf>
    <xf numFmtId="0" fontId="38" fillId="0" borderId="71" xfId="0" applyFont="1" applyBorder="1" applyAlignment="1">
      <alignment horizontal="center" vertical="center" wrapText="1"/>
    </xf>
    <xf numFmtId="0" fontId="38" fillId="0" borderId="72" xfId="0" applyFont="1" applyBorder="1" applyAlignment="1">
      <alignment horizontal="center" vertical="center" wrapText="1"/>
    </xf>
    <xf numFmtId="0" fontId="38" fillId="0" borderId="73" xfId="0" applyFont="1" applyBorder="1" applyAlignment="1">
      <alignment horizontal="center" vertical="center" wrapText="1"/>
    </xf>
    <xf numFmtId="166" fontId="33" fillId="37" borderId="88" xfId="28" applyNumberFormat="1" applyFont="1" applyFill="1" applyBorder="1" applyAlignment="1" applyProtection="1">
      <alignment horizontal="center"/>
    </xf>
    <xf numFmtId="166" fontId="33" fillId="37" borderId="89" xfId="28" applyNumberFormat="1" applyFont="1" applyFill="1" applyBorder="1" applyAlignment="1" applyProtection="1">
      <alignment horizontal="center"/>
    </xf>
    <xf numFmtId="166" fontId="33" fillId="37" borderId="90" xfId="28" applyNumberFormat="1" applyFont="1" applyFill="1" applyBorder="1" applyAlignment="1" applyProtection="1">
      <alignment horizontal="center"/>
    </xf>
    <xf numFmtId="166" fontId="33" fillId="37" borderId="30" xfId="28" applyNumberFormat="1" applyFont="1" applyFill="1" applyBorder="1" applyAlignment="1" applyProtection="1">
      <alignment horizontal="center"/>
    </xf>
    <xf numFmtId="166" fontId="33" fillId="37" borderId="61" xfId="28" applyNumberFormat="1" applyFont="1" applyFill="1" applyBorder="1" applyAlignment="1" applyProtection="1">
      <alignment horizontal="center"/>
    </xf>
    <xf numFmtId="166" fontId="33" fillId="37" borderId="16" xfId="28" applyNumberFormat="1" applyFont="1" applyFill="1" applyBorder="1" applyAlignment="1" applyProtection="1">
      <alignment horizontal="center"/>
    </xf>
    <xf numFmtId="168" fontId="35" fillId="0" borderId="0" xfId="0" applyNumberFormat="1" applyFont="1" applyAlignment="1">
      <alignment horizontal="center" vertical="justify" wrapText="1"/>
    </xf>
    <xf numFmtId="166" fontId="33" fillId="0" borderId="20" xfId="28" applyNumberFormat="1" applyFont="1" applyFill="1" applyBorder="1" applyAlignment="1" applyProtection="1">
      <alignment horizontal="center"/>
    </xf>
    <xf numFmtId="166" fontId="33" fillId="27" borderId="58" xfId="28" applyNumberFormat="1" applyFont="1" applyFill="1" applyBorder="1" applyAlignment="1" applyProtection="1">
      <alignment horizontal="center"/>
    </xf>
    <xf numFmtId="166" fontId="33" fillId="27" borderId="59" xfId="28" applyNumberFormat="1" applyFont="1" applyFill="1" applyBorder="1" applyAlignment="1" applyProtection="1">
      <alignment horizontal="center"/>
    </xf>
    <xf numFmtId="166" fontId="33" fillId="27" borderId="31" xfId="28" applyNumberFormat="1" applyFont="1" applyFill="1" applyBorder="1" applyAlignment="1" applyProtection="1">
      <alignment horizontal="center"/>
    </xf>
    <xf numFmtId="166" fontId="33" fillId="27" borderId="30" xfId="28" applyNumberFormat="1" applyFont="1" applyFill="1" applyBorder="1" applyAlignment="1" applyProtection="1">
      <alignment horizontal="center"/>
    </xf>
    <xf numFmtId="166" fontId="33" fillId="27" borderId="61" xfId="28" applyNumberFormat="1" applyFont="1" applyFill="1" applyBorder="1" applyAlignment="1" applyProtection="1">
      <alignment horizontal="center"/>
    </xf>
    <xf numFmtId="166" fontId="33" fillId="27" borderId="16" xfId="28" applyNumberFormat="1" applyFont="1" applyFill="1" applyBorder="1" applyAlignment="1" applyProtection="1">
      <alignment horizontal="center"/>
    </xf>
    <xf numFmtId="166" fontId="33" fillId="37" borderId="58" xfId="28" applyNumberFormat="1" applyFont="1" applyFill="1" applyBorder="1" applyAlignment="1" applyProtection="1">
      <alignment horizontal="center"/>
    </xf>
    <xf numFmtId="166" fontId="33" fillId="37" borderId="59" xfId="28" applyNumberFormat="1" applyFont="1" applyFill="1" applyBorder="1" applyAlignment="1" applyProtection="1">
      <alignment horizontal="center"/>
    </xf>
    <xf numFmtId="166" fontId="33" fillId="37" borderId="31" xfId="28" applyNumberFormat="1" applyFont="1" applyFill="1" applyBorder="1" applyAlignment="1" applyProtection="1">
      <alignment horizontal="center"/>
    </xf>
    <xf numFmtId="0" fontId="40" fillId="4" borderId="14" xfId="0" applyFont="1" applyFill="1" applyBorder="1" applyAlignment="1">
      <alignment horizontal="center" vertical="center"/>
    </xf>
    <xf numFmtId="0" fontId="40" fillId="4" borderId="62" xfId="0" applyFont="1" applyFill="1" applyBorder="1" applyAlignment="1">
      <alignment horizontal="center" vertical="center"/>
    </xf>
    <xf numFmtId="0" fontId="40" fillId="4" borderId="17" xfId="0" applyFont="1" applyFill="1" applyBorder="1" applyAlignment="1">
      <alignment horizontal="center" vertical="center"/>
    </xf>
    <xf numFmtId="0" fontId="33" fillId="4" borderId="14" xfId="0" applyFont="1" applyFill="1" applyBorder="1" applyAlignment="1">
      <alignment horizontal="center" vertical="center" wrapText="1"/>
    </xf>
    <xf numFmtId="0" fontId="33" fillId="4" borderId="62" xfId="0" applyFont="1" applyFill="1" applyBorder="1" applyAlignment="1">
      <alignment horizontal="center" vertical="center" wrapText="1"/>
    </xf>
    <xf numFmtId="0" fontId="33" fillId="4" borderId="17" xfId="0" applyFont="1" applyFill="1" applyBorder="1" applyAlignment="1">
      <alignment horizontal="center" vertical="center" wrapText="1"/>
    </xf>
    <xf numFmtId="166" fontId="33" fillId="30" borderId="13" xfId="28" applyNumberFormat="1" applyFont="1" applyFill="1" applyBorder="1" applyAlignment="1" applyProtection="1">
      <alignment horizontal="center"/>
    </xf>
    <xf numFmtId="166" fontId="33" fillId="30" borderId="20" xfId="28" applyNumberFormat="1" applyFont="1" applyFill="1" applyBorder="1" applyAlignment="1" applyProtection="1">
      <alignment horizontal="center"/>
    </xf>
    <xf numFmtId="166" fontId="33" fillId="30" borderId="19" xfId="28" applyNumberFormat="1" applyFont="1" applyFill="1" applyBorder="1" applyAlignment="1" applyProtection="1">
      <alignment horizontal="center"/>
    </xf>
    <xf numFmtId="166" fontId="33" fillId="32" borderId="13" xfId="28" applyNumberFormat="1" applyFont="1" applyFill="1" applyBorder="1" applyAlignment="1" applyProtection="1">
      <alignment horizontal="center"/>
    </xf>
    <xf numFmtId="166" fontId="33" fillId="32" borderId="20" xfId="28" applyNumberFormat="1" applyFont="1" applyFill="1" applyBorder="1" applyAlignment="1" applyProtection="1">
      <alignment horizontal="center"/>
    </xf>
    <xf numFmtId="166" fontId="33" fillId="32" borderId="19" xfId="28" applyNumberFormat="1" applyFont="1" applyFill="1" applyBorder="1" applyAlignment="1" applyProtection="1">
      <alignment horizontal="center"/>
    </xf>
    <xf numFmtId="166" fontId="33" fillId="31" borderId="13" xfId="28" applyNumberFormat="1" applyFont="1" applyFill="1" applyBorder="1" applyAlignment="1" applyProtection="1">
      <alignment horizontal="center"/>
    </xf>
    <xf numFmtId="166" fontId="33" fillId="31" borderId="20" xfId="28" applyNumberFormat="1" applyFont="1" applyFill="1" applyBorder="1" applyAlignment="1" applyProtection="1">
      <alignment horizontal="center"/>
    </xf>
    <xf numFmtId="166" fontId="33" fillId="31" borderId="19" xfId="28" applyNumberFormat="1" applyFont="1" applyFill="1" applyBorder="1" applyAlignment="1" applyProtection="1">
      <alignment horizontal="center"/>
    </xf>
    <xf numFmtId="166" fontId="33" fillId="33" borderId="13" xfId="28" applyNumberFormat="1" applyFont="1" applyFill="1" applyBorder="1" applyAlignment="1" applyProtection="1">
      <alignment horizontal="center"/>
    </xf>
    <xf numFmtId="166" fontId="33" fillId="33" borderId="20" xfId="28" applyNumberFormat="1" applyFont="1" applyFill="1" applyBorder="1" applyAlignment="1" applyProtection="1">
      <alignment horizontal="center"/>
    </xf>
    <xf numFmtId="166" fontId="33" fillId="33" borderId="19" xfId="28" applyNumberFormat="1" applyFont="1" applyFill="1" applyBorder="1" applyAlignment="1" applyProtection="1">
      <alignment horizontal="center"/>
    </xf>
    <xf numFmtId="166" fontId="33" fillId="34" borderId="13" xfId="28" applyNumberFormat="1" applyFont="1" applyFill="1" applyBorder="1" applyAlignment="1" applyProtection="1">
      <alignment horizontal="center"/>
    </xf>
    <xf numFmtId="166" fontId="33" fillId="34" borderId="20" xfId="28" applyNumberFormat="1" applyFont="1" applyFill="1" applyBorder="1" applyAlignment="1" applyProtection="1">
      <alignment horizontal="center"/>
    </xf>
    <xf numFmtId="166" fontId="33" fillId="34" borderId="19" xfId="28" applyNumberFormat="1" applyFont="1" applyFill="1" applyBorder="1" applyAlignment="1" applyProtection="1">
      <alignment horizontal="center"/>
    </xf>
    <xf numFmtId="178" fontId="43" fillId="39" borderId="87" xfId="57" applyNumberFormat="1" applyFont="1" applyFill="1" applyBorder="1" applyAlignment="1">
      <alignment horizontal="center" vertical="center" wrapText="1"/>
    </xf>
    <xf numFmtId="178" fontId="43" fillId="39" borderId="62" xfId="57" applyNumberFormat="1" applyFont="1" applyFill="1" applyBorder="1" applyAlignment="1">
      <alignment horizontal="center" vertical="center" wrapText="1"/>
    </xf>
    <xf numFmtId="178" fontId="43" fillId="39" borderId="17" xfId="57" applyNumberFormat="1" applyFont="1" applyFill="1" applyBorder="1" applyAlignment="1">
      <alignment horizontal="center" vertical="center" wrapText="1"/>
    </xf>
    <xf numFmtId="178" fontId="43" fillId="26" borderId="87" xfId="57" applyNumberFormat="1" applyFont="1" applyFill="1" applyBorder="1" applyAlignment="1">
      <alignment horizontal="center" vertical="center" wrapText="1"/>
    </xf>
    <xf numFmtId="178" fontId="43" fillId="26" borderId="62" xfId="57" applyNumberFormat="1" applyFont="1" applyFill="1" applyBorder="1" applyAlignment="1">
      <alignment horizontal="center" vertical="center" wrapText="1"/>
    </xf>
    <xf numFmtId="178" fontId="43" fillId="26" borderId="17" xfId="57" applyNumberFormat="1" applyFont="1" applyFill="1" applyBorder="1" applyAlignment="1">
      <alignment horizontal="center" vertical="center" wrapText="1"/>
    </xf>
    <xf numFmtId="0" fontId="43" fillId="0" borderId="11" xfId="0" applyFont="1" applyBorder="1" applyAlignment="1">
      <alignment horizontal="center" vertical="center" wrapText="1"/>
    </xf>
    <xf numFmtId="0" fontId="43" fillId="0" borderId="87" xfId="0" applyFont="1" applyBorder="1" applyAlignment="1">
      <alignment horizontal="center" vertical="center" wrapText="1"/>
    </xf>
    <xf numFmtId="178" fontId="43" fillId="0" borderId="13" xfId="29" applyNumberFormat="1" applyFont="1" applyFill="1" applyBorder="1" applyAlignment="1">
      <alignment horizontal="right"/>
    </xf>
    <xf numFmtId="178" fontId="43" fillId="0" borderId="19" xfId="29" applyNumberFormat="1" applyFont="1" applyFill="1" applyBorder="1" applyAlignment="1">
      <alignment horizontal="right"/>
    </xf>
    <xf numFmtId="0" fontId="43" fillId="0" borderId="14" xfId="0" applyFont="1" applyBorder="1" applyAlignment="1">
      <alignment horizontal="center" vertical="center" wrapText="1"/>
    </xf>
    <xf numFmtId="0" fontId="43" fillId="0" borderId="62" xfId="0" applyFont="1" applyBorder="1" applyAlignment="1">
      <alignment horizontal="center" vertical="center" wrapText="1"/>
    </xf>
    <xf numFmtId="165" fontId="43" fillId="25" borderId="14" xfId="50" applyNumberFormat="1" applyFont="1" applyFill="1" applyBorder="1" applyAlignment="1">
      <alignment horizontal="center" vertical="center" wrapText="1"/>
    </xf>
    <xf numFmtId="165" fontId="43" fillId="25" borderId="62" xfId="50" applyNumberFormat="1" applyFont="1" applyFill="1" applyBorder="1" applyAlignment="1">
      <alignment horizontal="center" vertical="center" wrapText="1"/>
    </xf>
    <xf numFmtId="165" fontId="43" fillId="25" borderId="17" xfId="50" applyNumberFormat="1" applyFont="1" applyFill="1" applyBorder="1" applyAlignment="1">
      <alignment horizontal="center" vertical="center" wrapText="1"/>
    </xf>
    <xf numFmtId="0" fontId="43" fillId="0" borderId="17" xfId="0" applyFont="1" applyBorder="1" applyAlignment="1">
      <alignment horizontal="center" vertical="center" wrapText="1"/>
    </xf>
    <xf numFmtId="177" fontId="43" fillId="0" borderId="58" xfId="0" applyNumberFormat="1" applyFont="1" applyBorder="1" applyAlignment="1">
      <alignment horizontal="center" vertical="center"/>
    </xf>
    <xf numFmtId="177" fontId="43" fillId="0" borderId="59" xfId="0" applyNumberFormat="1" applyFont="1" applyBorder="1" applyAlignment="1">
      <alignment horizontal="center" vertical="center"/>
    </xf>
    <xf numFmtId="0" fontId="43" fillId="0" borderId="31" xfId="0" applyFont="1" applyBorder="1" applyAlignment="1">
      <alignment horizontal="center" vertical="center"/>
    </xf>
    <xf numFmtId="177" fontId="43" fillId="0" borderId="30" xfId="0" applyNumberFormat="1" applyFont="1" applyBorder="1" applyAlignment="1">
      <alignment horizontal="center" vertical="center"/>
    </xf>
    <xf numFmtId="177" fontId="43" fillId="0" borderId="61" xfId="0" applyNumberFormat="1" applyFont="1" applyBorder="1" applyAlignment="1">
      <alignment horizontal="center" vertical="center"/>
    </xf>
    <xf numFmtId="0" fontId="43" fillId="0" borderId="16" xfId="0" applyFont="1" applyBorder="1" applyAlignment="1">
      <alignment horizontal="center" vertical="center"/>
    </xf>
    <xf numFmtId="41" fontId="43" fillId="0" borderId="14" xfId="29" applyFont="1" applyFill="1" applyBorder="1" applyAlignment="1">
      <alignment horizontal="center" vertical="center" wrapText="1"/>
    </xf>
    <xf numFmtId="41" fontId="43" fillId="0" borderId="62" xfId="29" applyFont="1" applyFill="1" applyBorder="1" applyAlignment="1">
      <alignment horizontal="center" vertical="center" wrapText="1"/>
    </xf>
    <xf numFmtId="178" fontId="43" fillId="25" borderId="14" xfId="29" applyNumberFormat="1" applyFont="1" applyFill="1" applyBorder="1" applyAlignment="1">
      <alignment horizontal="center" vertical="center" wrapText="1"/>
    </xf>
    <xf numFmtId="178" fontId="43" fillId="25" borderId="62" xfId="29" applyNumberFormat="1" applyFont="1" applyFill="1" applyBorder="1" applyAlignment="1">
      <alignment horizontal="center" vertical="center" wrapText="1"/>
    </xf>
    <xf numFmtId="178" fontId="43" fillId="0" borderId="14" xfId="29" applyNumberFormat="1" applyFont="1" applyFill="1" applyBorder="1" applyAlignment="1">
      <alignment horizontal="center" vertical="center" wrapText="1"/>
    </xf>
    <xf numFmtId="178" fontId="43" fillId="0" borderId="62" xfId="29" applyNumberFormat="1" applyFont="1" applyFill="1" applyBorder="1" applyAlignment="1">
      <alignment horizontal="center" vertical="center" wrapText="1"/>
    </xf>
    <xf numFmtId="178" fontId="43" fillId="0" borderId="17" xfId="29" applyNumberFormat="1" applyFont="1" applyFill="1" applyBorder="1" applyAlignment="1">
      <alignment horizontal="center" vertical="center" wrapText="1"/>
    </xf>
    <xf numFmtId="178" fontId="43" fillId="22" borderId="14" xfId="29" applyNumberFormat="1" applyFont="1" applyFill="1" applyBorder="1" applyAlignment="1">
      <alignment horizontal="center" vertical="center" wrapText="1"/>
    </xf>
    <xf numFmtId="178" fontId="43" fillId="22" borderId="62" xfId="29" applyNumberFormat="1" applyFont="1" applyFill="1" applyBorder="1" applyAlignment="1">
      <alignment horizontal="center" vertical="center" wrapText="1"/>
    </xf>
    <xf numFmtId="178" fontId="43" fillId="22" borderId="17" xfId="29" applyNumberFormat="1" applyFont="1" applyFill="1" applyBorder="1" applyAlignment="1">
      <alignment horizontal="center" vertical="center" wrapText="1"/>
    </xf>
    <xf numFmtId="178" fontId="43" fillId="25" borderId="11" xfId="29" applyNumberFormat="1" applyFont="1" applyFill="1" applyBorder="1" applyAlignment="1">
      <alignment horizontal="center" vertical="center" wrapText="1"/>
    </xf>
    <xf numFmtId="178" fontId="43" fillId="0" borderId="13" xfId="29" applyNumberFormat="1" applyFont="1" applyFill="1" applyBorder="1" applyAlignment="1">
      <alignment horizontal="center" vertical="center" wrapText="1"/>
    </xf>
    <xf numFmtId="178" fontId="43" fillId="0" borderId="20" xfId="29" applyNumberFormat="1" applyFont="1" applyFill="1" applyBorder="1" applyAlignment="1">
      <alignment horizontal="center" vertical="center" wrapText="1"/>
    </xf>
    <xf numFmtId="178" fontId="43" fillId="0" borderId="19" xfId="29" applyNumberFormat="1" applyFont="1" applyFill="1" applyBorder="1" applyAlignment="1">
      <alignment horizontal="center" vertical="center" wrapText="1"/>
    </xf>
    <xf numFmtId="41" fontId="43" fillId="0" borderId="58" xfId="29" applyFont="1" applyFill="1" applyBorder="1" applyAlignment="1">
      <alignment horizontal="center" vertical="center"/>
    </xf>
    <xf numFmtId="41" fontId="43" fillId="0" borderId="59" xfId="29" applyFont="1" applyFill="1" applyBorder="1" applyAlignment="1">
      <alignment horizontal="center" vertical="center"/>
    </xf>
    <xf numFmtId="41" fontId="43" fillId="0" borderId="31" xfId="29" applyFont="1" applyFill="1" applyBorder="1" applyAlignment="1">
      <alignment horizontal="center" vertical="center"/>
    </xf>
    <xf numFmtId="41" fontId="43" fillId="0" borderId="30" xfId="29" applyFont="1" applyFill="1" applyBorder="1" applyAlignment="1">
      <alignment horizontal="center" vertical="center"/>
    </xf>
    <xf numFmtId="41" fontId="43" fillId="0" borderId="61" xfId="29" applyFont="1" applyFill="1" applyBorder="1" applyAlignment="1">
      <alignment horizontal="center" vertical="center"/>
    </xf>
    <xf numFmtId="41" fontId="43" fillId="0" borderId="16" xfId="29" applyFont="1" applyFill="1" applyBorder="1" applyAlignment="1">
      <alignment horizontal="center" vertical="center"/>
    </xf>
    <xf numFmtId="178" fontId="43" fillId="4" borderId="58" xfId="29" applyNumberFormat="1" applyFont="1" applyFill="1" applyBorder="1" applyAlignment="1">
      <alignment horizontal="center" vertical="center" wrapText="1"/>
    </xf>
    <xf numFmtId="178" fontId="43" fillId="4" borderId="31" xfId="29" applyNumberFormat="1" applyFont="1" applyFill="1" applyBorder="1" applyAlignment="1">
      <alignment horizontal="center" vertical="center" wrapText="1"/>
    </xf>
    <xf numFmtId="178" fontId="43" fillId="4" borderId="30" xfId="29" applyNumberFormat="1" applyFont="1" applyFill="1" applyBorder="1" applyAlignment="1">
      <alignment horizontal="center" vertical="center" wrapText="1"/>
    </xf>
    <xf numFmtId="178" fontId="43" fillId="4" borderId="16" xfId="29" applyNumberFormat="1" applyFont="1" applyFill="1" applyBorder="1" applyAlignment="1">
      <alignment horizontal="center" vertical="center" wrapText="1"/>
    </xf>
    <xf numFmtId="0" fontId="50" fillId="22" borderId="11" xfId="0" applyFont="1" applyFill="1" applyBorder="1" applyAlignment="1">
      <alignment horizontal="center"/>
    </xf>
    <xf numFmtId="178" fontId="43" fillId="0" borderId="11" xfId="29" applyNumberFormat="1" applyFont="1" applyFill="1" applyBorder="1" applyAlignment="1">
      <alignment horizontal="center" vertical="center" wrapText="1"/>
    </xf>
    <xf numFmtId="178" fontId="44" fillId="25" borderId="11" xfId="29" applyNumberFormat="1" applyFont="1" applyFill="1" applyBorder="1" applyAlignment="1">
      <alignment horizontal="center"/>
    </xf>
    <xf numFmtId="178" fontId="43" fillId="4" borderId="11" xfId="29" applyNumberFormat="1" applyFont="1" applyFill="1" applyBorder="1" applyAlignment="1">
      <alignment horizontal="center" vertical="center" wrapText="1"/>
    </xf>
    <xf numFmtId="178" fontId="43" fillId="4" borderId="14" xfId="29" applyNumberFormat="1" applyFont="1" applyFill="1" applyBorder="1" applyAlignment="1">
      <alignment horizontal="center" vertical="center" wrapText="1"/>
    </xf>
    <xf numFmtId="178" fontId="43" fillId="39" borderId="58" xfId="57" applyNumberFormat="1" applyFont="1" applyFill="1" applyBorder="1" applyAlignment="1">
      <alignment horizontal="center" vertical="center" wrapText="1"/>
    </xf>
    <xf numFmtId="178" fontId="43" fillId="39" borderId="31" xfId="57" applyNumberFormat="1" applyFont="1" applyFill="1" applyBorder="1" applyAlignment="1">
      <alignment horizontal="center" vertical="center" wrapText="1"/>
    </xf>
    <xf numFmtId="178" fontId="43" fillId="26" borderId="13" xfId="57" applyNumberFormat="1" applyFont="1" applyFill="1" applyBorder="1" applyAlignment="1">
      <alignment horizontal="center" vertical="center" wrapText="1"/>
    </xf>
    <xf numFmtId="178" fontId="43" fillId="26" borderId="19" xfId="57" applyNumberFormat="1" applyFont="1" applyFill="1" applyBorder="1" applyAlignment="1">
      <alignment horizontal="center" vertical="center" wrapText="1"/>
    </xf>
    <xf numFmtId="178" fontId="43" fillId="26" borderId="14" xfId="29" applyNumberFormat="1" applyFont="1" applyFill="1" applyBorder="1" applyAlignment="1">
      <alignment horizontal="center" vertical="center" wrapText="1"/>
    </xf>
    <xf numFmtId="178" fontId="43" fillId="26" borderId="62" xfId="29" applyNumberFormat="1" applyFont="1" applyFill="1" applyBorder="1" applyAlignment="1">
      <alignment horizontal="center" vertical="center" wrapText="1"/>
    </xf>
    <xf numFmtId="178" fontId="43" fillId="26" borderId="17" xfId="29" applyNumberFormat="1" applyFont="1" applyFill="1" applyBorder="1" applyAlignment="1">
      <alignment horizontal="center" vertical="center" wrapText="1"/>
    </xf>
    <xf numFmtId="2" fontId="28" fillId="0" borderId="13" xfId="28" applyNumberFormat="1" applyFont="1" applyBorder="1" applyAlignment="1">
      <alignment horizontal="center" vertical="center"/>
    </xf>
    <xf numFmtId="2" fontId="28" fillId="0" borderId="19" xfId="28" applyNumberFormat="1" applyFont="1" applyBorder="1" applyAlignment="1">
      <alignment horizontal="center" vertical="center"/>
    </xf>
    <xf numFmtId="2" fontId="28" fillId="0" borderId="11" xfId="28" applyNumberFormat="1" applyFont="1" applyBorder="1" applyAlignment="1">
      <alignment horizontal="center" vertical="center"/>
    </xf>
    <xf numFmtId="2" fontId="28" fillId="0" borderId="30" xfId="28" applyNumberFormat="1" applyFont="1" applyBorder="1" applyAlignment="1">
      <alignment horizontal="center" vertical="center"/>
    </xf>
    <xf numFmtId="2" fontId="28" fillId="0" borderId="61" xfId="28" applyNumberFormat="1" applyFont="1" applyBorder="1" applyAlignment="1">
      <alignment horizontal="center" vertical="center"/>
    </xf>
    <xf numFmtId="2" fontId="28" fillId="0" borderId="16" xfId="28" applyNumberFormat="1" applyFont="1" applyBorder="1" applyAlignment="1">
      <alignment horizontal="center" vertical="center"/>
    </xf>
    <xf numFmtId="2" fontId="0" fillId="30" borderId="13" xfId="28" applyNumberFormat="1" applyFont="1" applyFill="1" applyBorder="1" applyAlignment="1">
      <alignment horizontal="center"/>
    </xf>
    <xf numFmtId="2" fontId="0" fillId="30" borderId="20" xfId="28" applyNumberFormat="1" applyFont="1" applyFill="1" applyBorder="1" applyAlignment="1">
      <alignment horizontal="center"/>
    </xf>
    <xf numFmtId="2" fontId="0" fillId="30" borderId="19" xfId="28" applyNumberFormat="1" applyFont="1" applyFill="1" applyBorder="1" applyAlignment="1">
      <alignment horizontal="center"/>
    </xf>
    <xf numFmtId="2" fontId="0" fillId="0" borderId="11" xfId="28" applyNumberFormat="1" applyFont="1" applyBorder="1" applyAlignment="1">
      <alignment horizontal="center" vertical="center"/>
    </xf>
    <xf numFmtId="2" fontId="28" fillId="0" borderId="20" xfId="28" applyNumberFormat="1" applyFont="1" applyBorder="1" applyAlignment="1">
      <alignment horizontal="center" vertical="center"/>
    </xf>
    <xf numFmtId="0" fontId="28" fillId="0" borderId="76" xfId="41" applyFont="1" applyBorder="1" applyAlignment="1">
      <alignment horizontal="center"/>
    </xf>
    <xf numFmtId="0" fontId="28" fillId="0" borderId="77" xfId="41" applyFont="1" applyBorder="1" applyAlignment="1">
      <alignment horizontal="center"/>
    </xf>
    <xf numFmtId="0" fontId="28" fillId="0" borderId="22" xfId="41" applyFont="1" applyBorder="1" applyAlignment="1">
      <alignment horizontal="center"/>
    </xf>
    <xf numFmtId="2" fontId="0" fillId="27" borderId="20" xfId="28" applyNumberFormat="1" applyFont="1" applyFill="1" applyBorder="1" applyAlignment="1">
      <alignment horizontal="center"/>
    </xf>
    <xf numFmtId="2" fontId="0" fillId="27" borderId="19" xfId="28" applyNumberFormat="1" applyFont="1" applyFill="1" applyBorder="1" applyAlignment="1">
      <alignment horizontal="center"/>
    </xf>
    <xf numFmtId="0" fontId="28" fillId="0" borderId="67" xfId="41" applyFont="1" applyBorder="1" applyAlignment="1">
      <alignment horizontal="center" vertical="center"/>
    </xf>
    <xf numFmtId="0" fontId="28" fillId="0" borderId="85" xfId="41" applyFont="1" applyBorder="1" applyAlignment="1">
      <alignment horizontal="center" vertical="center"/>
    </xf>
    <xf numFmtId="0" fontId="28" fillId="0" borderId="68" xfId="41" applyFont="1" applyBorder="1" applyAlignment="1">
      <alignment horizontal="center" vertical="center"/>
    </xf>
    <xf numFmtId="0" fontId="28" fillId="0" borderId="67" xfId="0" applyFont="1" applyBorder="1" applyAlignment="1">
      <alignment horizontal="center" vertical="center" wrapText="1"/>
    </xf>
    <xf numFmtId="0" fontId="28" fillId="0" borderId="85" xfId="0" applyFont="1" applyBorder="1" applyAlignment="1">
      <alignment horizontal="center" vertical="center" wrapText="1"/>
    </xf>
    <xf numFmtId="0" fontId="28" fillId="0" borderId="68" xfId="0" applyFont="1" applyBorder="1" applyAlignment="1">
      <alignment horizontal="center" vertical="center" wrapText="1"/>
    </xf>
    <xf numFmtId="0" fontId="28" fillId="11" borderId="67" xfId="41" applyFont="1" applyFill="1" applyBorder="1" applyAlignment="1">
      <alignment horizontal="center" vertical="center" wrapText="1"/>
    </xf>
    <xf numFmtId="0" fontId="28" fillId="11" borderId="85" xfId="41" applyFont="1" applyFill="1" applyBorder="1" applyAlignment="1">
      <alignment horizontal="center" vertical="center" wrapText="1"/>
    </xf>
    <xf numFmtId="0" fontId="28" fillId="11" borderId="68" xfId="41" applyFont="1" applyFill="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28" fillId="0" borderId="79" xfId="0" applyFont="1" applyBorder="1" applyAlignment="1">
      <alignment horizontal="center" vertical="center" wrapText="1"/>
    </xf>
    <xf numFmtId="0" fontId="28" fillId="0" borderId="80" xfId="0" applyFont="1" applyBorder="1" applyAlignment="1">
      <alignment horizontal="center" vertical="center" wrapText="1"/>
    </xf>
    <xf numFmtId="0" fontId="28" fillId="0" borderId="81" xfId="0" applyFont="1" applyBorder="1" applyAlignment="1">
      <alignment horizontal="center" vertical="center" wrapText="1"/>
    </xf>
    <xf numFmtId="0" fontId="28" fillId="44" borderId="79" xfId="0" applyFont="1" applyFill="1" applyBorder="1" applyAlignment="1">
      <alignment horizontal="center" vertical="center" wrapText="1"/>
    </xf>
    <xf numFmtId="0" fontId="28" fillId="44" borderId="80" xfId="0" applyFont="1" applyFill="1" applyBorder="1" applyAlignment="1">
      <alignment horizontal="center" vertical="center" wrapText="1"/>
    </xf>
    <xf numFmtId="0" fontId="28" fillId="44" borderId="81" xfId="0" applyFont="1" applyFill="1" applyBorder="1" applyAlignment="1">
      <alignment horizontal="center" vertical="center" wrapText="1"/>
    </xf>
    <xf numFmtId="0" fontId="28" fillId="0" borderId="13" xfId="0" applyFont="1" applyBorder="1" applyAlignment="1">
      <alignment horizontal="center" vertical="center" wrapText="1"/>
    </xf>
    <xf numFmtId="0" fontId="28" fillId="0" borderId="20" xfId="0" applyFont="1" applyBorder="1" applyAlignment="1">
      <alignment horizontal="center" vertical="center" wrapText="1"/>
    </xf>
    <xf numFmtId="0" fontId="28" fillId="0" borderId="19" xfId="0" applyFont="1" applyBorder="1" applyAlignment="1">
      <alignment horizontal="center" vertical="center" wrapText="1"/>
    </xf>
    <xf numFmtId="0" fontId="28" fillId="41" borderId="80" xfId="0" applyFont="1" applyFill="1" applyBorder="1" applyAlignment="1">
      <alignment horizontal="center" vertical="center" wrapText="1"/>
    </xf>
    <xf numFmtId="0" fontId="28" fillId="41" borderId="81" xfId="0" applyFont="1" applyFill="1" applyBorder="1" applyAlignment="1">
      <alignment horizontal="center" vertical="center" wrapText="1"/>
    </xf>
    <xf numFmtId="0" fontId="28" fillId="30" borderId="79" xfId="0" applyFont="1" applyFill="1" applyBorder="1" applyAlignment="1">
      <alignment horizontal="center" vertical="center" wrapText="1"/>
    </xf>
    <xf numFmtId="0" fontId="28" fillId="30" borderId="80" xfId="0" applyFont="1" applyFill="1" applyBorder="1" applyAlignment="1">
      <alignment horizontal="center" vertical="center" wrapText="1"/>
    </xf>
    <xf numFmtId="0" fontId="28" fillId="30" borderId="81" xfId="0" applyFont="1" applyFill="1" applyBorder="1" applyAlignment="1">
      <alignment horizontal="center" vertical="center" wrapText="1"/>
    </xf>
    <xf numFmtId="0" fontId="28" fillId="40" borderId="79" xfId="0" applyFont="1" applyFill="1" applyBorder="1" applyAlignment="1">
      <alignment horizontal="center" vertical="center" wrapText="1"/>
    </xf>
    <xf numFmtId="0" fontId="28" fillId="40" borderId="80" xfId="0" applyFont="1" applyFill="1" applyBorder="1" applyAlignment="1">
      <alignment horizontal="center" vertical="center" wrapText="1"/>
    </xf>
    <xf numFmtId="0" fontId="28" fillId="40" borderId="81" xfId="0" applyFont="1" applyFill="1" applyBorder="1" applyAlignment="1">
      <alignment horizontal="center" vertical="center" wrapText="1"/>
    </xf>
    <xf numFmtId="0" fontId="28" fillId="0" borderId="82" xfId="0" applyFont="1" applyBorder="1" applyAlignment="1">
      <alignment horizontal="center" vertical="center"/>
    </xf>
    <xf numFmtId="0" fontId="28" fillId="43" borderId="79" xfId="0" applyFont="1" applyFill="1" applyBorder="1" applyAlignment="1">
      <alignment horizontal="center" vertical="center" wrapText="1"/>
    </xf>
    <xf numFmtId="0" fontId="28" fillId="43" borderId="80" xfId="0" applyFont="1" applyFill="1" applyBorder="1" applyAlignment="1">
      <alignment horizontal="center" vertical="center" wrapText="1"/>
    </xf>
    <xf numFmtId="0" fontId="28" fillId="43" borderId="81" xfId="0" applyFont="1" applyFill="1" applyBorder="1" applyAlignment="1">
      <alignment horizontal="center" vertical="center" wrapText="1"/>
    </xf>
    <xf numFmtId="0" fontId="28" fillId="0" borderId="82" xfId="0" applyFont="1" applyBorder="1" applyAlignment="1">
      <alignment horizontal="center" vertical="center" wrapText="1"/>
    </xf>
    <xf numFmtId="0" fontId="28" fillId="0" borderId="17" xfId="0" applyFont="1" applyBorder="1" applyAlignment="1">
      <alignment horizontal="center" vertical="center" wrapText="1"/>
    </xf>
    <xf numFmtId="0" fontId="28" fillId="0" borderId="83" xfId="0" applyFont="1" applyBorder="1" applyAlignment="1">
      <alignment horizontal="center" vertical="center" wrapText="1"/>
    </xf>
    <xf numFmtId="0" fontId="28" fillId="0" borderId="84" xfId="0" applyFont="1" applyBorder="1" applyAlignment="1">
      <alignment horizontal="center" vertical="center" wrapText="1"/>
    </xf>
    <xf numFmtId="0" fontId="28" fillId="27" borderId="79" xfId="0" applyFont="1" applyFill="1" applyBorder="1" applyAlignment="1">
      <alignment horizontal="center" vertical="center" wrapText="1"/>
    </xf>
    <xf numFmtId="0" fontId="28" fillId="27" borderId="80" xfId="0" applyFont="1" applyFill="1" applyBorder="1" applyAlignment="1">
      <alignment horizontal="center" vertical="center" wrapText="1"/>
    </xf>
    <xf numFmtId="0" fontId="28" fillId="27" borderId="81" xfId="0" applyFont="1" applyFill="1" applyBorder="1" applyAlignment="1">
      <alignment horizontal="center" vertical="center" wrapText="1"/>
    </xf>
    <xf numFmtId="10" fontId="57" fillId="27" borderId="11" xfId="0" applyNumberFormat="1" applyFont="1" applyFill="1" applyBorder="1" applyAlignment="1">
      <alignment horizontal="center" vertical="center"/>
    </xf>
    <xf numFmtId="0" fontId="57" fillId="27" borderId="11" xfId="0" applyFont="1" applyFill="1" applyBorder="1" applyAlignment="1">
      <alignment horizontal="center" vertical="center"/>
    </xf>
    <xf numFmtId="0" fontId="53" fillId="27" borderId="11" xfId="0" applyFont="1" applyFill="1" applyBorder="1" applyAlignment="1">
      <alignment horizontal="center" vertical="top" wrapText="1"/>
    </xf>
    <xf numFmtId="0" fontId="53" fillId="27" borderId="11" xfId="0" applyFont="1" applyFill="1" applyBorder="1" applyAlignment="1">
      <alignment horizontal="center" vertical="center"/>
    </xf>
    <xf numFmtId="0" fontId="53" fillId="27" borderId="87" xfId="0" applyFont="1" applyFill="1" applyBorder="1" applyAlignment="1">
      <alignment horizontal="center" vertical="center" wrapText="1"/>
    </xf>
    <xf numFmtId="0" fontId="53" fillId="27" borderId="17" xfId="0" applyFont="1" applyFill="1" applyBorder="1" applyAlignment="1">
      <alignment horizontal="center" vertical="center" wrapText="1"/>
    </xf>
    <xf numFmtId="0" fontId="53" fillId="0" borderId="11" xfId="0" applyFont="1" applyBorder="1" applyAlignment="1">
      <alignment horizontal="center" vertical="center"/>
    </xf>
    <xf numFmtId="10" fontId="53" fillId="0" borderId="11" xfId="0" applyNumberFormat="1" applyFont="1" applyBorder="1" applyAlignment="1">
      <alignment horizontal="center" vertical="center"/>
    </xf>
    <xf numFmtId="0" fontId="53" fillId="0" borderId="87" xfId="0" applyFont="1" applyBorder="1" applyAlignment="1">
      <alignment horizontal="left" vertical="center"/>
    </xf>
    <xf numFmtId="0" fontId="53" fillId="0" borderId="17" xfId="0" applyFont="1" applyBorder="1" applyAlignment="1">
      <alignment horizontal="left" vertical="center"/>
    </xf>
    <xf numFmtId="10" fontId="55" fillId="0" borderId="11" xfId="0" applyNumberFormat="1" applyFont="1" applyBorder="1" applyAlignment="1">
      <alignment horizontal="center" vertical="center"/>
    </xf>
    <xf numFmtId="0" fontId="55" fillId="0" borderId="11" xfId="0" applyFont="1" applyBorder="1" applyAlignment="1">
      <alignment horizontal="center" vertical="center"/>
    </xf>
    <xf numFmtId="0" fontId="53" fillId="0" borderId="87" xfId="0" applyFont="1" applyBorder="1" applyAlignment="1">
      <alignment horizontal="center" vertical="center"/>
    </xf>
    <xf numFmtId="0" fontId="53" fillId="0" borderId="62" xfId="0" applyFont="1" applyBorder="1" applyAlignment="1">
      <alignment horizontal="center" vertical="center"/>
    </xf>
    <xf numFmtId="10" fontId="56" fillId="0" borderId="11" xfId="0" applyNumberFormat="1" applyFont="1" applyBorder="1" applyAlignment="1">
      <alignment horizontal="center" vertical="center"/>
    </xf>
    <xf numFmtId="0" fontId="53" fillId="0" borderId="11" xfId="0" applyFont="1" applyBorder="1" applyAlignment="1">
      <alignment horizontal="left" vertical="center"/>
    </xf>
    <xf numFmtId="10" fontId="2" fillId="0" borderId="11" xfId="50" applyNumberFormat="1" applyFont="1" applyFill="1" applyBorder="1" applyAlignment="1">
      <alignment horizontal="center" vertical="center"/>
    </xf>
    <xf numFmtId="0" fontId="53" fillId="0" borderId="62" xfId="0" applyFont="1" applyBorder="1" applyAlignment="1">
      <alignment horizontal="left" vertical="center"/>
    </xf>
    <xf numFmtId="10" fontId="2" fillId="0" borderId="87" xfId="50" applyNumberFormat="1" applyFont="1" applyFill="1" applyBorder="1" applyAlignment="1">
      <alignment horizontal="center" vertical="center"/>
    </xf>
    <xf numFmtId="10" fontId="2" fillId="0" borderId="62" xfId="50" applyNumberFormat="1" applyFont="1" applyFill="1" applyBorder="1" applyAlignment="1">
      <alignment horizontal="center" vertical="center"/>
    </xf>
    <xf numFmtId="10" fontId="2" fillId="0" borderId="17" xfId="50" applyNumberFormat="1" applyFont="1" applyFill="1" applyBorder="1" applyAlignment="1">
      <alignment horizontal="center" vertical="center"/>
    </xf>
    <xf numFmtId="0" fontId="53" fillId="27" borderId="11" xfId="0" applyFont="1" applyFill="1" applyBorder="1" applyAlignment="1">
      <alignment horizontal="center"/>
    </xf>
    <xf numFmtId="10" fontId="53" fillId="0" borderId="87" xfId="50" applyNumberFormat="1" applyFont="1" applyFill="1" applyBorder="1" applyAlignment="1">
      <alignment horizontal="center" vertical="center"/>
    </xf>
    <xf numFmtId="10" fontId="53" fillId="0" borderId="17" xfId="50" applyNumberFormat="1" applyFont="1" applyFill="1" applyBorder="1" applyAlignment="1">
      <alignment horizontal="center" vertical="center"/>
    </xf>
    <xf numFmtId="0" fontId="27" fillId="24" borderId="27" xfId="0" applyFont="1" applyFill="1" applyBorder="1" applyAlignment="1">
      <alignment horizontal="center"/>
    </xf>
    <xf numFmtId="0" fontId="27" fillId="24" borderId="19" xfId="0" applyFont="1" applyFill="1" applyBorder="1" applyAlignment="1">
      <alignment horizontal="center"/>
    </xf>
    <xf numFmtId="0" fontId="27" fillId="24" borderId="44" xfId="0" applyFont="1" applyFill="1" applyBorder="1" applyAlignment="1" applyProtection="1">
      <alignment horizontal="center" vertical="center" textRotation="180" wrapText="1"/>
      <protection locked="0"/>
    </xf>
    <xf numFmtId="0" fontId="27" fillId="24" borderId="78" xfId="0" applyFont="1" applyFill="1" applyBorder="1" applyAlignment="1" applyProtection="1">
      <alignment horizontal="center" vertical="center" textRotation="180" wrapText="1"/>
      <protection locked="0"/>
    </xf>
    <xf numFmtId="0" fontId="27" fillId="24" borderId="46" xfId="0" applyFont="1" applyFill="1" applyBorder="1" applyAlignment="1" applyProtection="1">
      <alignment horizontal="center" vertical="center" textRotation="180" wrapText="1"/>
      <protection locked="0"/>
    </xf>
    <xf numFmtId="0" fontId="27"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27" fillId="24" borderId="55" xfId="0" applyFont="1" applyFill="1" applyBorder="1" applyAlignment="1" applyProtection="1">
      <alignment horizontal="center" vertical="center" textRotation="180" wrapText="1"/>
      <protection locked="0"/>
    </xf>
    <xf numFmtId="0" fontId="27" fillId="24" borderId="69" xfId="0" applyFont="1" applyFill="1" applyBorder="1" applyAlignment="1">
      <alignment horizontal="center"/>
    </xf>
    <xf numFmtId="0" fontId="27" fillId="24" borderId="70" xfId="0" applyFont="1" applyFill="1" applyBorder="1" applyAlignment="1">
      <alignment horizontal="center"/>
    </xf>
    <xf numFmtId="0" fontId="27" fillId="24" borderId="35" xfId="0" applyFont="1" applyFill="1" applyBorder="1" applyAlignment="1">
      <alignment horizontal="center"/>
    </xf>
    <xf numFmtId="0" fontId="27" fillId="24" borderId="33" xfId="0" applyFont="1" applyFill="1" applyBorder="1" applyAlignment="1">
      <alignment horizontal="center"/>
    </xf>
    <xf numFmtId="0" fontId="27" fillId="24" borderId="75" xfId="0" applyFont="1" applyFill="1" applyBorder="1" applyAlignment="1">
      <alignment horizontal="center"/>
    </xf>
    <xf numFmtId="0" fontId="27" fillId="24" borderId="74" xfId="0" applyFont="1" applyFill="1" applyBorder="1" applyAlignment="1">
      <alignment horizontal="center"/>
    </xf>
    <xf numFmtId="0" fontId="23" fillId="24" borderId="76" xfId="0" applyFont="1" applyFill="1" applyBorder="1" applyAlignment="1">
      <alignment horizontal="center"/>
    </xf>
    <xf numFmtId="0" fontId="23" fillId="24" borderId="22" xfId="0" applyFont="1" applyFill="1" applyBorder="1" applyAlignment="1">
      <alignment horizontal="center"/>
    </xf>
    <xf numFmtId="0" fontId="27" fillId="24" borderId="11" xfId="0" applyFont="1" applyFill="1" applyBorder="1" applyAlignment="1">
      <alignment horizontal="center"/>
    </xf>
    <xf numFmtId="0" fontId="27" fillId="24" borderId="36" xfId="0" applyFont="1" applyFill="1" applyBorder="1" applyAlignment="1">
      <alignment horizontal="center"/>
    </xf>
    <xf numFmtId="0" fontId="27" fillId="24" borderId="38" xfId="0" applyFont="1" applyFill="1" applyBorder="1" applyAlignment="1">
      <alignment horizontal="center"/>
    </xf>
  </cellXfs>
  <cellStyles count="6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7" xr:uid="{00000000-0005-0000-0000-00001D000000}"/>
    <cellStyle name="Comma 2" xfId="58" xr:uid="{00000000-0005-0000-0000-00001E000000}"/>
    <cellStyle name="Comma_April_2" xfId="30" xr:uid="{00000000-0005-0000-0000-00001F000000}"/>
    <cellStyle name="Comma_Juni" xfId="31" xr:uid="{00000000-0005-0000-0000-000020000000}"/>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xr:uid="{00000000-0005-0000-0000-00002B000000}"/>
    <cellStyle name="Normal 3" xfId="42" xr:uid="{00000000-0005-0000-0000-00002C000000}"/>
    <cellStyle name="Normal 4" xfId="56" xr:uid="{00000000-0005-0000-0000-00002D000000}"/>
    <cellStyle name="Normal 5" xfId="59" xr:uid="{00000000-0005-0000-0000-00002E000000}"/>
    <cellStyle name="Normal_April_3" xfId="43" xr:uid="{00000000-0005-0000-0000-00002F000000}"/>
    <cellStyle name="Normal_DES 11_1" xfId="55" xr:uid="{00000000-0005-0000-0000-000030000000}"/>
    <cellStyle name="Normal_Juni" xfId="44" xr:uid="{00000000-0005-0000-0000-000031000000}"/>
    <cellStyle name="Normal_Juni_4" xfId="45" xr:uid="{00000000-0005-0000-0000-000032000000}"/>
    <cellStyle name="Normal_Mar_18" xfId="46" xr:uid="{00000000-0005-0000-0000-000033000000}"/>
    <cellStyle name="Normal_Mar_6" xfId="47" xr:uid="{00000000-0005-0000-0000-000034000000}"/>
    <cellStyle name="Note" xfId="48" builtinId="10" customBuiltin="1"/>
    <cellStyle name="Output" xfId="49" builtinId="21" customBuiltin="1"/>
    <cellStyle name="Percent" xfId="50" builtinId="5"/>
    <cellStyle name="Percent 2" xfId="60" xr:uid="{00000000-0005-0000-0000-000038000000}"/>
    <cellStyle name="Percent_Okt_6" xfId="51" xr:uid="{00000000-0005-0000-0000-000039000000}"/>
    <cellStyle name="Title" xfId="52" builtinId="15" customBuiltin="1"/>
    <cellStyle name="Total" xfId="53" builtinId="25" customBuiltin="1"/>
    <cellStyle name="Warning Text" xfId="54" builtinId="11" customBuiltin="1"/>
  </cellStyles>
  <dxfs count="302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4.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Report1!$A$9:$A$39</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Report1!$R$9:$R$39</c:f>
              <c:numCache>
                <c:formatCode>#,##0.0000</c:formatCode>
                <c:ptCount val="31"/>
                <c:pt idx="0">
                  <c:v>56.237000000000002</c:v>
                </c:pt>
                <c:pt idx="1">
                  <c:v>52.433</c:v>
                </c:pt>
                <c:pt idx="2">
                  <c:v>49.889000000000003</c:v>
                </c:pt>
                <c:pt idx="3">
                  <c:v>39.68</c:v>
                </c:pt>
                <c:pt idx="4">
                  <c:v>54.177999999999997</c:v>
                </c:pt>
                <c:pt idx="5">
                  <c:v>33.015000000000001</c:v>
                </c:pt>
                <c:pt idx="6">
                  <c:v>38.323999999999998</c:v>
                </c:pt>
                <c:pt idx="7">
                  <c:v>46.311999999999998</c:v>
                </c:pt>
                <c:pt idx="8">
                  <c:v>66.956000000000003</c:v>
                </c:pt>
                <c:pt idx="9">
                  <c:v>55.335000000000001</c:v>
                </c:pt>
                <c:pt idx="10">
                  <c:v>48.823999999999998</c:v>
                </c:pt>
                <c:pt idx="11">
                  <c:v>52.936</c:v>
                </c:pt>
                <c:pt idx="12">
                  <c:v>50.177999999999997</c:v>
                </c:pt>
                <c:pt idx="13">
                  <c:v>49.991</c:v>
                </c:pt>
                <c:pt idx="14">
                  <c:v>49.429000000000002</c:v>
                </c:pt>
                <c:pt idx="15">
                  <c:v>50.436</c:v>
                </c:pt>
                <c:pt idx="16">
                  <c:v>52.076999999999998</c:v>
                </c:pt>
                <c:pt idx="17">
                  <c:v>59.319000000000003</c:v>
                </c:pt>
                <c:pt idx="18">
                  <c:v>57.947000000000003</c:v>
                </c:pt>
                <c:pt idx="19">
                  <c:v>56.204000000000001</c:v>
                </c:pt>
                <c:pt idx="20">
                  <c:v>57.914000000000001</c:v>
                </c:pt>
                <c:pt idx="21">
                  <c:v>54.481999999999999</c:v>
                </c:pt>
                <c:pt idx="22">
                  <c:v>45.463999999999999</c:v>
                </c:pt>
                <c:pt idx="23">
                  <c:v>50.433</c:v>
                </c:pt>
                <c:pt idx="24">
                  <c:v>53.863999999999997</c:v>
                </c:pt>
                <c:pt idx="25">
                  <c:v>49.85</c:v>
                </c:pt>
                <c:pt idx="26">
                  <c:v>42.185000000000002</c:v>
                </c:pt>
                <c:pt idx="27">
                  <c:v>43.594999999999999</c:v>
                </c:pt>
                <c:pt idx="28">
                  <c:v>45.021999999999998</c:v>
                </c:pt>
                <c:pt idx="29">
                  <c:v>54.600999999999999</c:v>
                </c:pt>
                <c:pt idx="30">
                  <c:v>39.250999999999998</c:v>
                </c:pt>
              </c:numCache>
            </c:numRef>
          </c:val>
          <c:smooth val="0"/>
          <c:extLst>
            <c:ext xmlns:c16="http://schemas.microsoft.com/office/drawing/2014/chart" uri="{C3380CC4-5D6E-409C-BE32-E72D297353CC}">
              <c16:uniqueId val="{00000000-496C-4CEB-A732-423BBE7B243C}"/>
            </c:ext>
          </c:extLst>
        </c:ser>
        <c:dLbls>
          <c:showLegendKey val="0"/>
          <c:showVal val="0"/>
          <c:showCatName val="0"/>
          <c:showSerName val="0"/>
          <c:showPercent val="0"/>
          <c:showBubbleSize val="0"/>
        </c:dLbls>
        <c:marker val="1"/>
        <c:smooth val="0"/>
        <c:axId val="321384800"/>
        <c:axId val="321385184"/>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c:ext xmlns:c16="http://schemas.microsoft.com/office/drawing/2014/chart" uri="{C3380CC4-5D6E-409C-BE32-E72D297353CC}">
                <c16:uniqueId val="{00000001-496C-4CEB-A732-423BBE7B243C}"/>
              </c:ext>
            </c:extLst>
          </c:dPt>
          <c:cat>
            <c:numRef>
              <c:f>Report1!$A$9:$A$39</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Report1!$J$9:$J$39</c:f>
              <c:numCache>
                <c:formatCode>0.00%</c:formatCode>
                <c:ptCount val="31"/>
                <c:pt idx="0">
                  <c:v>1.0724314318509538</c:v>
                </c:pt>
                <c:pt idx="1">
                  <c:v>0.98998156687122563</c:v>
                </c:pt>
                <c:pt idx="2">
                  <c:v>0.94194858943105642</c:v>
                </c:pt>
                <c:pt idx="3">
                  <c:v>0.70817378898891115</c:v>
                </c:pt>
                <c:pt idx="4">
                  <c:v>0.96417212001050989</c:v>
                </c:pt>
                <c:pt idx="5">
                  <c:v>0.62114023938527529</c:v>
                </c:pt>
                <c:pt idx="6">
                  <c:v>0.73353023272301254</c:v>
                </c:pt>
                <c:pt idx="7">
                  <c:v>0.88642240209446188</c:v>
                </c:pt>
                <c:pt idx="8">
                  <c:v>1.205168465653653</c:v>
                </c:pt>
                <c:pt idx="9">
                  <c:v>0.9875882457884142</c:v>
                </c:pt>
                <c:pt idx="10">
                  <c:v>0.87086174787931692</c:v>
                </c:pt>
                <c:pt idx="11">
                  <c:v>0.96265640403115471</c:v>
                </c:pt>
                <c:pt idx="12">
                  <c:v>0.91209932484407741</c:v>
                </c:pt>
                <c:pt idx="13">
                  <c:v>0.91384274980184321</c:v>
                </c:pt>
                <c:pt idx="14">
                  <c:v>0.92105049755528379</c:v>
                </c:pt>
                <c:pt idx="15">
                  <c:v>0.93446708034884973</c:v>
                </c:pt>
                <c:pt idx="16">
                  <c:v>0.98181630272720355</c:v>
                </c:pt>
                <c:pt idx="17">
                  <c:v>1.0212327727048958</c:v>
                </c:pt>
                <c:pt idx="18">
                  <c:v>0.98522386522341299</c:v>
                </c:pt>
                <c:pt idx="19">
                  <c:v>0.95558910937609709</c:v>
                </c:pt>
                <c:pt idx="20">
                  <c:v>0.98466279411442759</c:v>
                </c:pt>
                <c:pt idx="21">
                  <c:v>0.95667195322302678</c:v>
                </c:pt>
                <c:pt idx="22">
                  <c:v>0.86348074388702756</c:v>
                </c:pt>
                <c:pt idx="23">
                  <c:v>0.94213631974462397</c:v>
                </c:pt>
                <c:pt idx="24">
                  <c:v>1.0216305939044588</c:v>
                </c:pt>
                <c:pt idx="25">
                  <c:v>0.95212119614689827</c:v>
                </c:pt>
                <c:pt idx="26">
                  <c:v>0.775792998581042</c:v>
                </c:pt>
                <c:pt idx="27">
                  <c:v>0.79692293968136974</c:v>
                </c:pt>
                <c:pt idx="28">
                  <c:v>0.82676058849117651</c:v>
                </c:pt>
                <c:pt idx="29">
                  <c:v>1.0164980095839169</c:v>
                </c:pt>
                <c:pt idx="30">
                  <c:v>0.74968323109251556</c:v>
                </c:pt>
              </c:numCache>
            </c:numRef>
          </c:val>
          <c:smooth val="0"/>
          <c:extLst>
            <c:ext xmlns:c16="http://schemas.microsoft.com/office/drawing/2014/chart" uri="{C3380CC4-5D6E-409C-BE32-E72D297353CC}">
              <c16:uniqueId val="{00000002-496C-4CEB-A732-423BBE7B243C}"/>
            </c:ext>
          </c:extLst>
        </c:ser>
        <c:ser>
          <c:idx val="1"/>
          <c:order val="2"/>
          <c:tx>
            <c:v>EFF TARGET TODATE</c:v>
          </c:tx>
          <c:marker>
            <c:symbol val="square"/>
            <c:size val="5"/>
          </c:marker>
          <c:cat>
            <c:numRef>
              <c:f>Report1!$A$9:$A$39</c:f>
              <c:numCache>
                <c:formatCode>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Report1!$K$9:$K$39</c:f>
              <c:numCache>
                <c:formatCode>0.00%</c:formatCode>
                <c:ptCount val="31"/>
                <c:pt idx="0">
                  <c:v>1.0724314318509538</c:v>
                </c:pt>
                <c:pt idx="1">
                  <c:v>1.0310012286597281</c:v>
                </c:pt>
                <c:pt idx="2">
                  <c:v>1.0012186414168203</c:v>
                </c:pt>
                <c:pt idx="3">
                  <c:v>0.92463318745070011</c:v>
                </c:pt>
                <c:pt idx="4">
                  <c:v>0.93284395468597381</c:v>
                </c:pt>
                <c:pt idx="5">
                  <c:v>0.88166799109083738</c:v>
                </c:pt>
                <c:pt idx="6">
                  <c:v>0.86108322738256338</c:v>
                </c:pt>
                <c:pt idx="7">
                  <c:v>0.86417469921210288</c:v>
                </c:pt>
                <c:pt idx="8">
                  <c:v>0.90333365328967252</c:v>
                </c:pt>
                <c:pt idx="9">
                  <c:v>0.9120788196204016</c:v>
                </c:pt>
                <c:pt idx="10">
                  <c:v>0.90820089772876988</c:v>
                </c:pt>
                <c:pt idx="11">
                  <c:v>0.9128016046797901</c:v>
                </c:pt>
                <c:pt idx="12">
                  <c:v>0.91274687213313155</c:v>
                </c:pt>
                <c:pt idx="13">
                  <c:v>0.91282569107975708</c:v>
                </c:pt>
                <c:pt idx="14">
                  <c:v>0.91336776940734021</c:v>
                </c:pt>
                <c:pt idx="15">
                  <c:v>0.91467939419791522</c:v>
                </c:pt>
                <c:pt idx="16">
                  <c:v>0.91854474538141062</c:v>
                </c:pt>
                <c:pt idx="17">
                  <c:v>0.92463516674645674</c:v>
                </c:pt>
                <c:pt idx="18">
                  <c:v>0.92806772098809753</c:v>
                </c:pt>
                <c:pt idx="19">
                  <c:v>0.92954330377405603</c:v>
                </c:pt>
                <c:pt idx="20">
                  <c:v>0.93234819572739613</c:v>
                </c:pt>
                <c:pt idx="21">
                  <c:v>0.93349040917580839</c:v>
                </c:pt>
                <c:pt idx="22">
                  <c:v>0.93057739604898404</c:v>
                </c:pt>
                <c:pt idx="23">
                  <c:v>0.93104652684873113</c:v>
                </c:pt>
                <c:pt idx="24">
                  <c:v>0.93452837188921678</c:v>
                </c:pt>
                <c:pt idx="25">
                  <c:v>0.93517520582194813</c:v>
                </c:pt>
                <c:pt idx="26">
                  <c:v>0.92931299477020568</c:v>
                </c:pt>
                <c:pt idx="27">
                  <c:v>0.92458904387177443</c:v>
                </c:pt>
                <c:pt idx="28">
                  <c:v>0.92123335782229543</c:v>
                </c:pt>
                <c:pt idx="29">
                  <c:v>0.92435113991664331</c:v>
                </c:pt>
                <c:pt idx="30">
                  <c:v>0.91895145671120926</c:v>
                </c:pt>
              </c:numCache>
            </c:numRef>
          </c:val>
          <c:smooth val="0"/>
          <c:extLst>
            <c:ext xmlns:c16="http://schemas.microsoft.com/office/drawing/2014/chart" uri="{C3380CC4-5D6E-409C-BE32-E72D297353CC}">
              <c16:uniqueId val="{00000003-496C-4CEB-A732-423BBE7B243C}"/>
            </c:ext>
          </c:extLst>
        </c:ser>
        <c:dLbls>
          <c:showLegendKey val="0"/>
          <c:showVal val="0"/>
          <c:showCatName val="0"/>
          <c:showSerName val="0"/>
          <c:showPercent val="0"/>
          <c:showBubbleSize val="0"/>
        </c:dLbls>
        <c:marker val="1"/>
        <c:smooth val="0"/>
        <c:axId val="320390712"/>
        <c:axId val="320390328"/>
      </c:lineChart>
      <c:dateAx>
        <c:axId val="321384800"/>
        <c:scaling>
          <c:orientation val="minMax"/>
        </c:scaling>
        <c:delete val="0"/>
        <c:axPos val="b"/>
        <c:numFmt formatCode="d\-mmm" sourceLinked="1"/>
        <c:majorTickMark val="out"/>
        <c:minorTickMark val="none"/>
        <c:tickLblPos val="nextTo"/>
        <c:crossAx val="321385184"/>
        <c:crosses val="autoZero"/>
        <c:auto val="1"/>
        <c:lblOffset val="100"/>
        <c:baseTimeUnit val="days"/>
      </c:dateAx>
      <c:valAx>
        <c:axId val="321385184"/>
        <c:scaling>
          <c:orientation val="minMax"/>
        </c:scaling>
        <c:delete val="0"/>
        <c:axPos val="l"/>
        <c:majorGridlines/>
        <c:numFmt formatCode="#,##0.0000" sourceLinked="1"/>
        <c:majorTickMark val="out"/>
        <c:minorTickMark val="none"/>
        <c:tickLblPos val="nextTo"/>
        <c:crossAx val="321384800"/>
        <c:crosses val="autoZero"/>
        <c:crossBetween val="between"/>
      </c:valAx>
      <c:valAx>
        <c:axId val="320390328"/>
        <c:scaling>
          <c:orientation val="minMax"/>
        </c:scaling>
        <c:delete val="0"/>
        <c:axPos val="r"/>
        <c:numFmt formatCode="0.00%" sourceLinked="1"/>
        <c:majorTickMark val="out"/>
        <c:minorTickMark val="none"/>
        <c:tickLblPos val="nextTo"/>
        <c:crossAx val="320390712"/>
        <c:crosses val="max"/>
        <c:crossBetween val="between"/>
      </c:valAx>
      <c:dateAx>
        <c:axId val="320390712"/>
        <c:scaling>
          <c:orientation val="minMax"/>
        </c:scaling>
        <c:delete val="1"/>
        <c:axPos val="b"/>
        <c:numFmt formatCode="d\-mmm" sourceLinked="1"/>
        <c:majorTickMark val="out"/>
        <c:minorTickMark val="none"/>
        <c:tickLblPos val="none"/>
        <c:crossAx val="320390328"/>
        <c:crosses val="autoZero"/>
        <c:auto val="1"/>
        <c:lblOffset val="100"/>
        <c:baseTimeUnit val="days"/>
      </c:date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77" l="0.70000000000000062" r="0.70000000000000062" t="0.75000000000000477"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561975</xdr:colOff>
      <xdr:row>1</xdr:row>
      <xdr:rowOff>76200</xdr:rowOff>
    </xdr:from>
    <xdr:to>
      <xdr:col>17</xdr:col>
      <xdr:colOff>457199</xdr:colOff>
      <xdr:row>27</xdr:row>
      <xdr:rowOff>9524</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0120-P-PRD-DI\Documents%20Network%20Produksi%20-%20PM\2026\3.%20MARET\DAILY%20REPORT%20PM%2014%20MARET%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0120-P-PRD-DI\Documents%20Network%20Produksi%20-%20PM\2026\3.%20MARET\listrik%2020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0120-P-PRD-DI\2026\2.%20FEBRUARI\listrik%2020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120-P-PRD-DI\2024\12.%20DESEMBER\Listrik%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1"/>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row r="9">
          <cell r="AZ9">
            <v>3735.0526991041529</v>
          </cell>
        </row>
        <row r="10">
          <cell r="AZ10">
            <v>3946.6675275621051</v>
          </cell>
        </row>
        <row r="11">
          <cell r="AZ11">
            <v>3635.0489328435806</v>
          </cell>
        </row>
        <row r="12">
          <cell r="AZ12">
            <v>3119.1601781816125</v>
          </cell>
        </row>
        <row r="13">
          <cell r="AZ13">
            <v>3824.0561458743277</v>
          </cell>
        </row>
        <row r="14">
          <cell r="AZ14">
            <v>2068.6606885430156</v>
          </cell>
        </row>
        <row r="15">
          <cell r="AZ15">
            <v>3997.8691628287879</v>
          </cell>
        </row>
        <row r="16">
          <cell r="AZ16">
            <v>3559.8694463178026</v>
          </cell>
        </row>
        <row r="17">
          <cell r="AZ17">
            <v>3851.5604233450363</v>
          </cell>
        </row>
        <row r="18">
          <cell r="AZ18">
            <v>3763.2662878787878</v>
          </cell>
        </row>
        <row r="19">
          <cell r="AZ19">
            <v>3672.0504789215397</v>
          </cell>
        </row>
        <row r="20">
          <cell r="AZ20">
            <v>3690.066428686956</v>
          </cell>
        </row>
        <row r="21">
          <cell r="AZ21">
            <v>3466.1579030554694</v>
          </cell>
        </row>
        <row r="22">
          <cell r="AZ22">
            <v>3499.8967413945279</v>
          </cell>
        </row>
        <row r="23">
          <cell r="AZ23">
            <v>3378.7757485071811</v>
          </cell>
        </row>
        <row r="24">
          <cell r="AZ24">
            <v>3015.5204442378663</v>
          </cell>
        </row>
        <row r="25">
          <cell r="AZ25">
            <v>4765.5035633156649</v>
          </cell>
        </row>
        <row r="26">
          <cell r="AZ26">
            <v>3933.9584630665013</v>
          </cell>
        </row>
        <row r="27">
          <cell r="AZ27">
            <v>3752.4743444773953</v>
          </cell>
        </row>
        <row r="28">
          <cell r="AZ28">
            <v>3950.1688011802185</v>
          </cell>
        </row>
        <row r="29">
          <cell r="AZ29">
            <v>4009.242008986902</v>
          </cell>
        </row>
        <row r="30">
          <cell r="AZ30">
            <v>4020.5961298709599</v>
          </cell>
        </row>
        <row r="31">
          <cell r="AZ31">
            <v>3910.1204494727936</v>
          </cell>
        </row>
        <row r="32">
          <cell r="AZ32">
            <v>3619.339770825286</v>
          </cell>
        </row>
        <row r="33">
          <cell r="AZ33">
            <v>3619.8030881799114</v>
          </cell>
        </row>
        <row r="34">
          <cell r="AZ34">
            <v>3586.2410050639141</v>
          </cell>
        </row>
        <row r="35">
          <cell r="AZ35">
            <v>3644.9277556261404</v>
          </cell>
        </row>
        <row r="36">
          <cell r="AZ36">
            <v>3762.7395026498166</v>
          </cell>
        </row>
        <row r="37">
          <cell r="AZ37">
            <v>3761.701747104893</v>
          </cell>
        </row>
        <row r="38">
          <cell r="AZ38">
            <v>3711.3866575998409</v>
          </cell>
        </row>
        <row r="39">
          <cell r="AZ39">
            <v>3877.0003418378446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sheetName val="DailyJan"/>
      <sheetName val="Feb"/>
      <sheetName val="DailyFeb"/>
      <sheetName val="Mar"/>
      <sheetName val="Dailymar"/>
      <sheetName val="Apr"/>
      <sheetName val="DailyApr"/>
    </sheetNames>
    <sheetDataSet>
      <sheetData sheetId="0"/>
      <sheetData sheetId="1"/>
      <sheetData sheetId="2"/>
      <sheetData sheetId="3">
        <row r="38">
          <cell r="BD38">
            <v>1153864.3573532479</v>
          </cell>
        </row>
      </sheetData>
      <sheetData sheetId="4"/>
      <sheetData sheetId="5">
        <row r="7">
          <cell r="D7">
            <v>96.540000000968575</v>
          </cell>
          <cell r="AZ7">
            <v>11885.449999999932</v>
          </cell>
          <cell r="BA7">
            <v>16435.45</v>
          </cell>
          <cell r="BB7">
            <v>10980.020125376783</v>
          </cell>
          <cell r="BO7">
            <v>30967.4</v>
          </cell>
        </row>
        <row r="8">
          <cell r="AZ8">
            <v>10655.850000000091</v>
          </cell>
          <cell r="BA8">
            <v>15505.85</v>
          </cell>
          <cell r="BB8">
            <v>10794.684838608031</v>
          </cell>
          <cell r="BO8">
            <v>29196.000000000007</v>
          </cell>
        </row>
        <row r="9">
          <cell r="AZ9">
            <v>10398.489999999976</v>
          </cell>
          <cell r="BA9">
            <v>14248.49</v>
          </cell>
          <cell r="BB9">
            <v>11104.545498046309</v>
          </cell>
          <cell r="BO9">
            <v>21611.000000000004</v>
          </cell>
        </row>
        <row r="10">
          <cell r="AZ10">
            <v>8771.6800000007061</v>
          </cell>
          <cell r="BA10">
            <v>12821.679999999636</v>
          </cell>
          <cell r="BB10">
            <v>8869.1741164350206</v>
          </cell>
          <cell r="BO10">
            <v>18324.901000000365</v>
          </cell>
        </row>
        <row r="11">
          <cell r="AZ11">
            <v>9018.7099999992497</v>
          </cell>
          <cell r="BA11">
            <v>16468.709999999635</v>
          </cell>
          <cell r="BB11">
            <v>11996.801333856572</v>
          </cell>
          <cell r="BO11">
            <v>23445.414999999684</v>
          </cell>
        </row>
        <row r="12">
          <cell r="AZ12">
            <v>8344.5099999985687</v>
          </cell>
          <cell r="BA12">
            <v>10344.510000000728</v>
          </cell>
          <cell r="BB12">
            <v>8424.7668579894889</v>
          </cell>
          <cell r="BO12">
            <v>20592.308000000405</v>
          </cell>
        </row>
        <row r="13">
          <cell r="AZ13">
            <v>9879.5100000007515</v>
          </cell>
          <cell r="BA13">
            <v>15379.509999999273</v>
          </cell>
          <cell r="BB13">
            <v>11508.074523572248</v>
          </cell>
          <cell r="BO13">
            <v>19486.899999999339</v>
          </cell>
        </row>
        <row r="14">
          <cell r="AZ14">
            <v>9773.2300000014093</v>
          </cell>
          <cell r="BA14">
            <v>16423.230000000363</v>
          </cell>
          <cell r="BB14">
            <v>11287.792447723135</v>
          </cell>
          <cell r="BO14">
            <v>26268.044000000154</v>
          </cell>
        </row>
        <row r="15">
          <cell r="AZ15">
            <v>10892.549999999341</v>
          </cell>
          <cell r="BA15">
            <v>16642.550000000363</v>
          </cell>
          <cell r="BB15">
            <v>16510.234325343881</v>
          </cell>
          <cell r="BO15">
            <v>23221.70600000002</v>
          </cell>
        </row>
        <row r="16">
          <cell r="AZ16">
            <v>8367.1599999999544</v>
          </cell>
          <cell r="BA16">
            <v>17317.16</v>
          </cell>
          <cell r="BB16">
            <v>15340.25123827987</v>
          </cell>
          <cell r="BO16">
            <v>27725.951000000001</v>
          </cell>
        </row>
        <row r="17">
          <cell r="AZ17">
            <v>9406.8700000000008</v>
          </cell>
          <cell r="BA17">
            <v>17406.87</v>
          </cell>
          <cell r="BB17">
            <v>15236.195434050895</v>
          </cell>
          <cell r="BO17">
            <v>25138.048999999999</v>
          </cell>
        </row>
        <row r="18">
          <cell r="AZ18">
            <v>10703.889999999954</v>
          </cell>
          <cell r="BA18">
            <v>17653.89</v>
          </cell>
          <cell r="BB18">
            <v>11931.930217802146</v>
          </cell>
          <cell r="BO18">
            <v>23180.100000000009</v>
          </cell>
        </row>
        <row r="19">
          <cell r="AZ19">
            <v>10412.890000000069</v>
          </cell>
          <cell r="BA19">
            <v>18362.89</v>
          </cell>
          <cell r="BB19">
            <v>11611.882220054664</v>
          </cell>
          <cell r="BO19">
            <v>24190.451000000001</v>
          </cell>
        </row>
        <row r="20">
          <cell r="AZ20">
            <v>11232.300000000021</v>
          </cell>
          <cell r="BA20">
            <v>19132.3</v>
          </cell>
          <cell r="BB20">
            <v>12835.652848549189</v>
          </cell>
          <cell r="BO20">
            <v>25840.000000000004</v>
          </cell>
        </row>
        <row r="21">
          <cell r="AZ21">
            <v>10191.849999999955</v>
          </cell>
          <cell r="BA21">
            <v>19141.849999999999</v>
          </cell>
          <cell r="BB21">
            <v>11629.950087699148</v>
          </cell>
          <cell r="BO21">
            <v>23723.600000000002</v>
          </cell>
        </row>
        <row r="22">
          <cell r="AZ22">
            <v>10323.400000000023</v>
          </cell>
          <cell r="BA22">
            <v>18223.400000000001</v>
          </cell>
          <cell r="BB22">
            <v>11173.51323977426</v>
          </cell>
          <cell r="BO22">
            <v>20391.000000000004</v>
          </cell>
        </row>
        <row r="23">
          <cell r="AZ23">
            <v>11584.029999999977</v>
          </cell>
          <cell r="BA23">
            <v>17684.03</v>
          </cell>
          <cell r="BB23">
            <v>13522.269344031638</v>
          </cell>
          <cell r="BO23">
            <v>21455.651000000016</v>
          </cell>
        </row>
        <row r="24">
          <cell r="AZ24">
            <v>9975.6400000000449</v>
          </cell>
          <cell r="BA24">
            <v>12025.64</v>
          </cell>
          <cell r="BB24">
            <v>15451.280000001454</v>
          </cell>
          <cell r="BO24">
            <v>22982.945999999985</v>
          </cell>
        </row>
        <row r="25">
          <cell r="AZ25">
            <v>9352.5799999999763</v>
          </cell>
          <cell r="BA25">
            <v>12452.58</v>
          </cell>
          <cell r="BB25">
            <v>14005.159999998545</v>
          </cell>
          <cell r="BO25">
            <v>28270.912000000011</v>
          </cell>
        </row>
        <row r="26">
          <cell r="AZ26">
            <v>10627.490000000023</v>
          </cell>
          <cell r="BA26">
            <v>12527.49</v>
          </cell>
          <cell r="BB26">
            <v>15074.980000000436</v>
          </cell>
          <cell r="BO26">
            <v>27003.445000000018</v>
          </cell>
        </row>
        <row r="27">
          <cell r="AZ27">
            <v>11083.269999999931</v>
          </cell>
          <cell r="BA27">
            <v>14133.27</v>
          </cell>
          <cell r="BB27">
            <v>10296.539999998837</v>
          </cell>
          <cell r="BO27">
            <v>29083.554999999989</v>
          </cell>
        </row>
        <row r="28">
          <cell r="AZ28">
            <v>9360.1500000000451</v>
          </cell>
          <cell r="BA28">
            <v>12410.15</v>
          </cell>
          <cell r="BB28">
            <v>15410.300000000145</v>
          </cell>
          <cell r="BO28">
            <v>26157.246999999632</v>
          </cell>
        </row>
        <row r="29">
          <cell r="AZ29">
            <v>10297.009999999977</v>
          </cell>
          <cell r="BA29">
            <v>18397.009999999998</v>
          </cell>
          <cell r="BB29">
            <v>12814.020000000437</v>
          </cell>
          <cell r="BO29">
            <v>18237.1580000002</v>
          </cell>
        </row>
        <row r="30">
          <cell r="AZ30">
            <v>11683.83</v>
          </cell>
          <cell r="BA30">
            <v>17683.830000000002</v>
          </cell>
          <cell r="BB30">
            <v>13448.700000000081</v>
          </cell>
          <cell r="BO30">
            <v>20513.79800000001</v>
          </cell>
        </row>
        <row r="31">
          <cell r="AZ31">
            <v>9472.0099999999547</v>
          </cell>
          <cell r="BA31">
            <v>17422.009999999998</v>
          </cell>
          <cell r="BB31">
            <v>10675.755184334032</v>
          </cell>
          <cell r="BO31">
            <v>26694.000000000004</v>
          </cell>
        </row>
        <row r="32">
          <cell r="AZ32">
            <v>11334.300000000068</v>
          </cell>
          <cell r="BA32">
            <v>18284.3</v>
          </cell>
          <cell r="BB32">
            <v>11231.399967961039</v>
          </cell>
          <cell r="BO32">
            <v>20463.600000000006</v>
          </cell>
        </row>
        <row r="33">
          <cell r="AZ33">
            <v>9929.48</v>
          </cell>
          <cell r="BA33">
            <v>16929.48</v>
          </cell>
          <cell r="BB33">
            <v>10702.546902964541</v>
          </cell>
          <cell r="BO33">
            <v>23219.900000000413</v>
          </cell>
        </row>
        <row r="34">
          <cell r="AZ34">
            <v>10779.539999999228</v>
          </cell>
          <cell r="BA34">
            <v>17529.540000000365</v>
          </cell>
          <cell r="BB34">
            <v>10092.60178020597</v>
          </cell>
          <cell r="BO34">
            <v>23223.049999999897</v>
          </cell>
        </row>
        <row r="35">
          <cell r="AZ35">
            <v>10816.260000000728</v>
          </cell>
          <cell r="BA35">
            <v>17516.259999999635</v>
          </cell>
          <cell r="BB35">
            <v>11422.919955554966</v>
          </cell>
          <cell r="BO35">
            <v>23978.637999999835</v>
          </cell>
        </row>
        <row r="36">
          <cell r="AZ36">
            <v>10709.539999998568</v>
          </cell>
          <cell r="BA36">
            <v>16209.540000000728</v>
          </cell>
          <cell r="BB36">
            <v>14988.046586747398</v>
          </cell>
          <cell r="BO36">
            <v>21571.427999999603</v>
          </cell>
        </row>
        <row r="37">
          <cell r="AZ37">
            <v>10683.900000002934</v>
          </cell>
          <cell r="BA37">
            <v>16983.89999999891</v>
          </cell>
          <cell r="BB37">
            <v>14268.666109906288</v>
          </cell>
          <cell r="BO37">
            <v>31893.759999999784</v>
          </cell>
        </row>
      </sheetData>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sheetName val="DailyJan"/>
      <sheetName val="Feb"/>
      <sheetName val="DailyFeb"/>
      <sheetName val="Mar"/>
      <sheetName val="Dailymar"/>
      <sheetName val="Apr"/>
      <sheetName val="DailyApr"/>
    </sheetNames>
    <sheetDataSet>
      <sheetData sheetId="0"/>
      <sheetData sheetId="1"/>
      <sheetData sheetId="2"/>
      <sheetData sheetId="3">
        <row r="7">
          <cell r="D7">
            <v>20.53999999910593</v>
          </cell>
        </row>
      </sheetData>
      <sheetData sheetId="4"/>
      <sheetData sheetId="5">
        <row r="7">
          <cell r="AH7">
            <v>4500</v>
          </cell>
          <cell r="BC7">
            <v>9.9999999999909051</v>
          </cell>
        </row>
        <row r="8">
          <cell r="BC8">
            <v>9.9999999999909051</v>
          </cell>
        </row>
        <row r="9">
          <cell r="BC9">
            <v>9.9999999999909051</v>
          </cell>
        </row>
        <row r="10">
          <cell r="BC10">
            <v>9.9999999999909051</v>
          </cell>
        </row>
        <row r="11">
          <cell r="BC11">
            <v>9.9999999999909051</v>
          </cell>
        </row>
        <row r="12">
          <cell r="BC12">
            <v>9.9999999999909051</v>
          </cell>
        </row>
        <row r="13">
          <cell r="BC13">
            <v>9.9999999999909051</v>
          </cell>
        </row>
        <row r="14">
          <cell r="BC14">
            <v>9.9999999999909051</v>
          </cell>
        </row>
        <row r="15">
          <cell r="BC15">
            <v>9.9999999999909051</v>
          </cell>
        </row>
        <row r="16">
          <cell r="BC16">
            <v>9.9999999999909051</v>
          </cell>
        </row>
        <row r="17">
          <cell r="BC17">
            <v>9.9999999999909051</v>
          </cell>
        </row>
        <row r="18">
          <cell r="BC18">
            <v>9.9999999999909051</v>
          </cell>
        </row>
        <row r="19">
          <cell r="BC19">
            <v>9.9999999999909051</v>
          </cell>
        </row>
        <row r="20">
          <cell r="BC20">
            <v>9.9999999999909051</v>
          </cell>
        </row>
        <row r="21">
          <cell r="BC21">
            <v>9.9999999999909051</v>
          </cell>
        </row>
        <row r="22">
          <cell r="BC22">
            <v>9.9999999999909051</v>
          </cell>
        </row>
        <row r="23">
          <cell r="BC23">
            <v>9.9999999999909051</v>
          </cell>
        </row>
        <row r="24">
          <cell r="BC24">
            <v>9.9999999999909051</v>
          </cell>
        </row>
        <row r="25">
          <cell r="BC25">
            <v>9.9999999999909051</v>
          </cell>
        </row>
        <row r="26">
          <cell r="BC26">
            <v>9.9999999999909051</v>
          </cell>
        </row>
        <row r="27">
          <cell r="BC27">
            <v>9.9999999999909051</v>
          </cell>
        </row>
        <row r="28">
          <cell r="BC28">
            <v>9.9999999999909051</v>
          </cell>
        </row>
        <row r="29">
          <cell r="BC29">
            <v>10.000000000218279</v>
          </cell>
        </row>
        <row r="30">
          <cell r="BC30">
            <v>9.9999999999909051</v>
          </cell>
        </row>
        <row r="31">
          <cell r="BC31">
            <v>9.9999999999909051</v>
          </cell>
        </row>
        <row r="32">
          <cell r="BC32">
            <v>9.9999999999909051</v>
          </cell>
        </row>
        <row r="33">
          <cell r="BC33">
            <v>9.9999999999909051</v>
          </cell>
        </row>
        <row r="34">
          <cell r="BC34">
            <v>9.9999999999909051</v>
          </cell>
        </row>
        <row r="35">
          <cell r="BC35">
            <v>9.9999999999909051</v>
          </cell>
        </row>
        <row r="36">
          <cell r="BC36">
            <v>9.9999999999909051</v>
          </cell>
        </row>
        <row r="37">
          <cell r="BC37">
            <v>9.9999999999909051</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 val="Sep"/>
      <sheetName val="DailySep"/>
      <sheetName val="Oct"/>
      <sheetName val="DailyOct"/>
      <sheetName val="Nov"/>
      <sheetName val="DailyNov"/>
      <sheetName val="Des"/>
      <sheetName val="Daily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7">
          <cell r="D7">
            <v>10506.759999999776</v>
          </cell>
        </row>
        <row r="38">
          <cell r="BO38">
            <v>8717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sqref="A1:CK116"/>
    </sheetView>
  </sheetViews>
  <sheetFormatPr defaultRowHeight="13.2"/>
  <cols>
    <col min="1" max="1" width="11.5546875" customWidth="1"/>
    <col min="2" max="25" width="0" hidden="1" customWidth="1"/>
    <col min="26" max="34" width="9.109375" customWidth="1"/>
    <col min="35" max="35" width="9.33203125" customWidth="1"/>
    <col min="36" max="36" width="10.33203125" customWidth="1"/>
    <col min="37" max="51" width="9.109375" customWidth="1"/>
    <col min="52" max="52" width="12.88671875" customWidth="1"/>
    <col min="53" max="71" width="9.10937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65536"/>
  <sheetViews>
    <sheetView zoomScaleNormal="100" workbookViewId="0">
      <pane xSplit="3" ySplit="8" topLeftCell="Q24" activePane="bottomRight" state="frozen"/>
      <selection pane="topRight" activeCell="E1" sqref="E1"/>
      <selection pane="bottomLeft" activeCell="A9" sqref="A9"/>
      <selection pane="bottomRight" activeCell="Z9" sqref="Z9:Z39"/>
    </sheetView>
  </sheetViews>
  <sheetFormatPr defaultColWidth="9.109375" defaultRowHeight="13.2"/>
  <cols>
    <col min="1" max="1" width="7.5546875" style="261" customWidth="1"/>
    <col min="2" max="2" width="12" style="260" customWidth="1"/>
    <col min="3" max="3" width="12.33203125" style="260" bestFit="1" customWidth="1"/>
    <col min="4" max="4" width="8.33203125" style="260" customWidth="1"/>
    <col min="5" max="5" width="8" style="260" customWidth="1"/>
    <col min="6" max="6" width="6.88671875" style="260" customWidth="1"/>
    <col min="7" max="11" width="8.6640625" style="260" customWidth="1"/>
    <col min="12" max="12" width="8.6640625" style="262" customWidth="1"/>
    <col min="13" max="15" width="8.6640625" style="263" customWidth="1"/>
    <col min="16" max="16" width="8.6640625" style="262" customWidth="1"/>
    <col min="17" max="17" width="8.6640625" style="263" customWidth="1"/>
    <col min="18" max="18" width="8.6640625" style="587" customWidth="1"/>
    <col min="19" max="19" width="8.6640625" style="264" customWidth="1"/>
    <col min="20" max="21" width="10.109375" style="264" bestFit="1" customWidth="1"/>
    <col min="22" max="25" width="8.6640625" style="264" customWidth="1"/>
    <col min="26" max="26" width="8.109375" style="264" bestFit="1" customWidth="1"/>
    <col min="27" max="27" width="7.6640625" style="264" customWidth="1"/>
    <col min="28" max="29" width="7.6640625" style="265" customWidth="1"/>
    <col min="30" max="30" width="7.6640625" style="264" customWidth="1"/>
    <col min="31" max="31" width="7.6640625" style="265" customWidth="1"/>
    <col min="32" max="33" width="7.6640625" style="264" hidden="1" customWidth="1"/>
    <col min="34" max="35" width="7.6640625" style="265" hidden="1" customWidth="1"/>
    <col min="36" max="36" width="7.6640625" style="264" hidden="1" customWidth="1"/>
    <col min="37" max="37" width="7.6640625" style="265" hidden="1" customWidth="1"/>
    <col min="38" max="38" width="12" style="264" customWidth="1"/>
    <col min="39" max="39" width="11.109375" style="264" customWidth="1"/>
    <col min="40" max="43" width="7.5546875" style="265" customWidth="1"/>
    <col min="44" max="44" width="8.88671875" style="264" customWidth="1"/>
    <col min="45" max="45" width="11.109375" style="264" customWidth="1"/>
    <col min="46" max="49" width="7.5546875" style="265" customWidth="1"/>
    <col min="50" max="50" width="8.88671875" style="264" customWidth="1"/>
    <col min="51" max="51" width="6.88671875" style="264" bestFit="1" customWidth="1"/>
    <col min="52" max="55" width="7.5546875" style="265" customWidth="1"/>
    <col min="56" max="56" width="11.109375" style="92" hidden="1" customWidth="1"/>
    <col min="57" max="57" width="8.6640625" style="262" customWidth="1"/>
    <col min="58" max="58" width="8.6640625" style="263" customWidth="1"/>
    <col min="59" max="60" width="8.6640625" style="260" customWidth="1"/>
  </cols>
  <sheetData>
    <row r="1" spans="1:60" ht="12.75" customHeight="1">
      <c r="A1" s="259"/>
    </row>
    <row r="2" spans="1:60">
      <c r="A2" s="259"/>
    </row>
    <row r="3" spans="1:60" ht="12.75" customHeight="1">
      <c r="A3" s="605" t="s">
        <v>220</v>
      </c>
      <c r="B3" s="605"/>
      <c r="C3" s="605"/>
      <c r="D3" s="605"/>
      <c r="E3" s="605"/>
      <c r="F3" s="605"/>
      <c r="G3" s="605"/>
      <c r="H3" s="605"/>
      <c r="I3" s="605"/>
      <c r="J3" s="605"/>
      <c r="K3" s="605"/>
      <c r="L3" s="605"/>
      <c r="M3" s="605"/>
      <c r="N3" s="605"/>
      <c r="O3" s="605"/>
      <c r="P3" s="605"/>
      <c r="Q3" s="605"/>
      <c r="R3" s="605"/>
      <c r="S3" s="605"/>
      <c r="T3" s="605"/>
      <c r="U3" s="605"/>
      <c r="V3" s="605"/>
      <c r="W3" s="605"/>
      <c r="X3" s="605"/>
      <c r="Y3" s="605"/>
      <c r="Z3" s="605"/>
      <c r="AA3" s="605"/>
      <c r="AB3" s="605"/>
      <c r="AC3" s="605"/>
      <c r="AD3" s="605"/>
      <c r="AE3" s="605"/>
      <c r="AF3" s="605"/>
      <c r="AG3" s="605"/>
      <c r="AH3" s="605"/>
      <c r="AI3" s="605"/>
      <c r="AJ3" s="605"/>
      <c r="AK3" s="605"/>
      <c r="AL3" s="605"/>
      <c r="AM3" s="605"/>
      <c r="AN3" s="605"/>
      <c r="AO3" s="605"/>
      <c r="AP3" s="605"/>
      <c r="AQ3" s="605"/>
      <c r="AR3" s="445"/>
      <c r="AS3" s="445"/>
      <c r="AT3" s="445"/>
      <c r="AU3" s="445"/>
      <c r="AV3" s="445"/>
      <c r="AW3" s="445"/>
      <c r="AX3" s="445"/>
      <c r="AY3" s="445"/>
      <c r="AZ3" s="445"/>
      <c r="BA3" s="445"/>
      <c r="BB3" s="445"/>
      <c r="BC3" s="445"/>
      <c r="BE3"/>
      <c r="BF3"/>
      <c r="BG3"/>
      <c r="BH3"/>
    </row>
    <row r="4" spans="1:60" ht="12.75" customHeight="1">
      <c r="A4" s="605"/>
      <c r="B4" s="605"/>
      <c r="C4" s="605"/>
      <c r="D4" s="605"/>
      <c r="E4" s="605"/>
      <c r="F4" s="605"/>
      <c r="G4" s="605"/>
      <c r="H4" s="605"/>
      <c r="I4" s="605"/>
      <c r="J4" s="605"/>
      <c r="K4" s="605"/>
      <c r="L4" s="605"/>
      <c r="M4" s="605"/>
      <c r="N4" s="605"/>
      <c r="O4" s="605"/>
      <c r="P4" s="605"/>
      <c r="Q4" s="605"/>
      <c r="R4" s="605"/>
      <c r="S4" s="605"/>
      <c r="T4" s="605"/>
      <c r="U4" s="605"/>
      <c r="V4" s="605"/>
      <c r="W4" s="605"/>
      <c r="X4" s="605"/>
      <c r="Y4" s="605"/>
      <c r="Z4" s="605"/>
      <c r="AA4" s="605"/>
      <c r="AB4" s="605"/>
      <c r="AC4" s="605"/>
      <c r="AD4" s="605"/>
      <c r="AE4" s="605"/>
      <c r="AF4" s="605"/>
      <c r="AG4" s="605"/>
      <c r="AH4" s="605"/>
      <c r="AI4" s="605"/>
      <c r="AJ4" s="605"/>
      <c r="AK4" s="605"/>
      <c r="AL4" s="605"/>
      <c r="AM4" s="605"/>
      <c r="AN4" s="605"/>
      <c r="AO4" s="605"/>
      <c r="AP4" s="605"/>
      <c r="AQ4" s="605"/>
      <c r="AR4" s="445"/>
      <c r="AS4" s="445"/>
      <c r="AT4" s="445"/>
      <c r="AU4" s="445"/>
      <c r="AV4" s="445"/>
      <c r="AW4" s="445"/>
      <c r="AX4" s="445"/>
      <c r="AY4" s="445"/>
      <c r="AZ4" s="445"/>
      <c r="BA4" s="445"/>
      <c r="BB4" s="445"/>
      <c r="BC4" s="445"/>
      <c r="BE4"/>
      <c r="BF4"/>
      <c r="BG4"/>
      <c r="BH4"/>
    </row>
    <row r="5" spans="1:60">
      <c r="H5" s="262"/>
      <c r="I5" s="263"/>
      <c r="J5" s="263"/>
      <c r="K5" s="263"/>
      <c r="BG5" s="263"/>
      <c r="BH5" s="263"/>
    </row>
    <row r="6" spans="1:60" ht="22.65" customHeight="1">
      <c r="A6" s="608" t="s">
        <v>8</v>
      </c>
      <c r="B6" s="604" t="s">
        <v>9</v>
      </c>
      <c r="C6" s="604" t="s">
        <v>6</v>
      </c>
      <c r="D6" s="604" t="s">
        <v>189</v>
      </c>
      <c r="E6" s="604" t="s">
        <v>190</v>
      </c>
      <c r="F6" s="604" t="s">
        <v>186</v>
      </c>
      <c r="G6" s="604" t="s">
        <v>185</v>
      </c>
      <c r="H6" s="604" t="s">
        <v>187</v>
      </c>
      <c r="I6" s="604" t="s">
        <v>188</v>
      </c>
      <c r="J6" s="597" t="s">
        <v>192</v>
      </c>
      <c r="K6" s="598"/>
      <c r="L6" s="596" t="s">
        <v>191</v>
      </c>
      <c r="M6" s="596"/>
      <c r="N6" s="596" t="s">
        <v>193</v>
      </c>
      <c r="O6" s="596"/>
      <c r="P6" s="603" t="s">
        <v>30</v>
      </c>
      <c r="Q6" s="603"/>
      <c r="R6" s="601" t="s">
        <v>23</v>
      </c>
      <c r="S6" s="601"/>
      <c r="T6" s="601" t="s">
        <v>31</v>
      </c>
      <c r="U6" s="601"/>
      <c r="V6" s="601"/>
      <c r="W6" s="601"/>
      <c r="X6" s="601"/>
      <c r="Y6" s="601"/>
      <c r="Z6" s="601" t="s">
        <v>32</v>
      </c>
      <c r="AA6" s="601"/>
      <c r="AB6" s="601"/>
      <c r="AC6" s="601"/>
      <c r="AD6" s="601"/>
      <c r="AE6" s="601"/>
      <c r="AF6" s="601" t="s">
        <v>282</v>
      </c>
      <c r="AG6" s="601"/>
      <c r="AH6" s="601"/>
      <c r="AI6" s="601"/>
      <c r="AJ6" s="601"/>
      <c r="AK6" s="601"/>
      <c r="AL6" s="601" t="s">
        <v>33</v>
      </c>
      <c r="AM6" s="601"/>
      <c r="AN6" s="601"/>
      <c r="AO6" s="601"/>
      <c r="AP6" s="601"/>
      <c r="AQ6" s="601"/>
      <c r="AR6" s="601" t="s">
        <v>283</v>
      </c>
      <c r="AS6" s="601"/>
      <c r="AT6" s="601"/>
      <c r="AU6" s="601"/>
      <c r="AV6" s="601"/>
      <c r="AW6" s="601"/>
      <c r="AX6" s="601" t="s">
        <v>426</v>
      </c>
      <c r="AY6" s="601"/>
      <c r="AZ6" s="601"/>
      <c r="BA6" s="601"/>
      <c r="BB6" s="601"/>
      <c r="BC6" s="601"/>
      <c r="BD6" s="606" t="s">
        <v>276</v>
      </c>
      <c r="BE6" s="596" t="s">
        <v>363</v>
      </c>
      <c r="BF6" s="596"/>
      <c r="BG6" s="597" t="s">
        <v>364</v>
      </c>
      <c r="BH6" s="598"/>
    </row>
    <row r="7" spans="1:60" ht="22.65" customHeight="1">
      <c r="A7" s="609"/>
      <c r="B7" s="604"/>
      <c r="C7" s="604"/>
      <c r="D7" s="604"/>
      <c r="E7" s="604"/>
      <c r="F7" s="604"/>
      <c r="G7" s="604"/>
      <c r="H7" s="604"/>
      <c r="I7" s="604"/>
      <c r="J7" s="599"/>
      <c r="K7" s="600"/>
      <c r="L7" s="596"/>
      <c r="M7" s="596"/>
      <c r="N7" s="596"/>
      <c r="O7" s="596"/>
      <c r="P7" s="603"/>
      <c r="Q7" s="603"/>
      <c r="R7" s="601"/>
      <c r="S7" s="601"/>
      <c r="T7" s="601" t="s">
        <v>36</v>
      </c>
      <c r="U7" s="601"/>
      <c r="V7" s="601" t="s">
        <v>34</v>
      </c>
      <c r="W7" s="601"/>
      <c r="X7" s="601" t="s">
        <v>35</v>
      </c>
      <c r="Y7" s="601"/>
      <c r="Z7" s="601" t="s">
        <v>36</v>
      </c>
      <c r="AA7" s="601"/>
      <c r="AB7" s="602" t="s">
        <v>34</v>
      </c>
      <c r="AC7" s="602"/>
      <c r="AD7" s="601" t="s">
        <v>35</v>
      </c>
      <c r="AE7" s="601"/>
      <c r="AF7" s="601" t="s">
        <v>36</v>
      </c>
      <c r="AG7" s="601"/>
      <c r="AH7" s="602" t="s">
        <v>34</v>
      </c>
      <c r="AI7" s="602"/>
      <c r="AJ7" s="601" t="s">
        <v>35</v>
      </c>
      <c r="AK7" s="601"/>
      <c r="AL7" s="601" t="s">
        <v>36</v>
      </c>
      <c r="AM7" s="601"/>
      <c r="AN7" s="601" t="s">
        <v>26</v>
      </c>
      <c r="AO7" s="601"/>
      <c r="AP7" s="601" t="s">
        <v>27</v>
      </c>
      <c r="AQ7" s="601"/>
      <c r="AR7" s="601" t="s">
        <v>36</v>
      </c>
      <c r="AS7" s="601"/>
      <c r="AT7" s="601" t="s">
        <v>26</v>
      </c>
      <c r="AU7" s="601"/>
      <c r="AV7" s="601" t="s">
        <v>27</v>
      </c>
      <c r="AW7" s="601"/>
      <c r="AX7" s="601" t="s">
        <v>36</v>
      </c>
      <c r="AY7" s="601"/>
      <c r="AZ7" s="601" t="s">
        <v>26</v>
      </c>
      <c r="BA7" s="601"/>
      <c r="BB7" s="601" t="s">
        <v>27</v>
      </c>
      <c r="BC7" s="601"/>
      <c r="BD7" s="607"/>
      <c r="BE7" s="596"/>
      <c r="BF7" s="596"/>
      <c r="BG7" s="599"/>
      <c r="BH7" s="600"/>
    </row>
    <row r="8" spans="1:60" s="1" customFormat="1">
      <c r="A8" s="610"/>
      <c r="B8" s="604"/>
      <c r="C8" s="604"/>
      <c r="D8" s="604"/>
      <c r="E8" s="604"/>
      <c r="F8" s="604"/>
      <c r="G8" s="604"/>
      <c r="H8" s="604"/>
      <c r="I8" s="604"/>
      <c r="J8" s="398" t="s">
        <v>37</v>
      </c>
      <c r="K8" s="396" t="s">
        <v>38</v>
      </c>
      <c r="L8" s="266" t="s">
        <v>37</v>
      </c>
      <c r="M8" s="267" t="s">
        <v>38</v>
      </c>
      <c r="N8" s="266" t="s">
        <v>37</v>
      </c>
      <c r="O8" s="267" t="s">
        <v>38</v>
      </c>
      <c r="P8" s="266" t="s">
        <v>37</v>
      </c>
      <c r="Q8" s="267" t="s">
        <v>38</v>
      </c>
      <c r="R8" s="588" t="s">
        <v>37</v>
      </c>
      <c r="S8" s="268" t="s">
        <v>38</v>
      </c>
      <c r="T8" s="271" t="s">
        <v>37</v>
      </c>
      <c r="U8" s="267" t="s">
        <v>38</v>
      </c>
      <c r="V8" s="272" t="s">
        <v>37</v>
      </c>
      <c r="W8" s="267" t="s">
        <v>38</v>
      </c>
      <c r="X8" s="272" t="s">
        <v>37</v>
      </c>
      <c r="Y8" s="267" t="s">
        <v>38</v>
      </c>
      <c r="Z8" s="269" t="s">
        <v>37</v>
      </c>
      <c r="AA8" s="268" t="s">
        <v>38</v>
      </c>
      <c r="AB8" s="270" t="s">
        <v>37</v>
      </c>
      <c r="AC8" s="273" t="s">
        <v>38</v>
      </c>
      <c r="AD8" s="269" t="s">
        <v>37</v>
      </c>
      <c r="AE8" s="273" t="s">
        <v>38</v>
      </c>
      <c r="AF8" s="269" t="s">
        <v>37</v>
      </c>
      <c r="AG8" s="268" t="s">
        <v>38</v>
      </c>
      <c r="AH8" s="270" t="s">
        <v>37</v>
      </c>
      <c r="AI8" s="273" t="s">
        <v>38</v>
      </c>
      <c r="AJ8" s="269" t="s">
        <v>37</v>
      </c>
      <c r="AK8" s="273" t="s">
        <v>38</v>
      </c>
      <c r="AL8" s="269" t="s">
        <v>37</v>
      </c>
      <c r="AM8" s="268" t="s">
        <v>38</v>
      </c>
      <c r="AN8" s="270" t="s">
        <v>37</v>
      </c>
      <c r="AO8" s="273" t="s">
        <v>38</v>
      </c>
      <c r="AP8" s="270" t="s">
        <v>37</v>
      </c>
      <c r="AQ8" s="273" t="s">
        <v>38</v>
      </c>
      <c r="AR8" s="269" t="s">
        <v>37</v>
      </c>
      <c r="AS8" s="268" t="s">
        <v>38</v>
      </c>
      <c r="AT8" s="270" t="s">
        <v>37</v>
      </c>
      <c r="AU8" s="273" t="s">
        <v>38</v>
      </c>
      <c r="AV8" s="270" t="s">
        <v>37</v>
      </c>
      <c r="AW8" s="273" t="s">
        <v>38</v>
      </c>
      <c r="AX8" s="269" t="s">
        <v>37</v>
      </c>
      <c r="AY8" s="268" t="s">
        <v>38</v>
      </c>
      <c r="AZ8" s="270" t="s">
        <v>37</v>
      </c>
      <c r="BA8" s="273" t="s">
        <v>38</v>
      </c>
      <c r="BB8" s="270" t="s">
        <v>37</v>
      </c>
      <c r="BC8" s="273" t="s">
        <v>38</v>
      </c>
      <c r="BD8" s="444"/>
      <c r="BE8" s="266" t="s">
        <v>37</v>
      </c>
      <c r="BF8" s="267" t="s">
        <v>38</v>
      </c>
      <c r="BG8" s="398" t="s">
        <v>37</v>
      </c>
      <c r="BH8" s="396" t="s">
        <v>38</v>
      </c>
    </row>
    <row r="9" spans="1:60" s="372" customFormat="1" ht="12.75" customHeight="1">
      <c r="A9" s="386">
        <v>46082</v>
      </c>
      <c r="B9" s="395" t="s">
        <v>420</v>
      </c>
      <c r="C9" s="408" t="s">
        <v>421</v>
      </c>
      <c r="D9" s="365">
        <f>+'1'!F42</f>
        <v>1127.8645833333333</v>
      </c>
      <c r="E9" s="365">
        <f>+'1'!G42</f>
        <v>932.31562499999995</v>
      </c>
      <c r="F9" s="46">
        <f t="shared" ref="F9:F39" si="0">1-(E9/D9)</f>
        <v>0.17337981990302465</v>
      </c>
      <c r="G9" s="391">
        <f>+P9/N9</f>
        <v>0.97055379159175348</v>
      </c>
      <c r="H9" s="387">
        <f>+P9/L9</f>
        <v>0.95602903734167666</v>
      </c>
      <c r="I9" s="387">
        <f>+R9/P9</f>
        <v>1.1217561286976643</v>
      </c>
      <c r="J9" s="392">
        <f>+R9/L9</f>
        <v>1.0724314318509538</v>
      </c>
      <c r="K9" s="392">
        <f>+S9/M9</f>
        <v>1.0724314318509538</v>
      </c>
      <c r="L9" s="366">
        <f>+Efficiency1!K6</f>
        <v>52.438783804516277</v>
      </c>
      <c r="M9" s="367">
        <f>L9</f>
        <v>52.438783804516277</v>
      </c>
      <c r="N9" s="367">
        <f>+Efficiency1!C6</f>
        <v>51.654014887499997</v>
      </c>
      <c r="O9" s="367">
        <f>N9</f>
        <v>51.654014887499997</v>
      </c>
      <c r="P9" s="367">
        <f>'1'!I38</f>
        <v>50.133000000000003</v>
      </c>
      <c r="Q9" s="367">
        <f>P9</f>
        <v>50.133000000000003</v>
      </c>
      <c r="R9" s="589">
        <f>'1'!I40</f>
        <v>56.237000000000002</v>
      </c>
      <c r="S9" s="367">
        <f>R9</f>
        <v>56.237000000000002</v>
      </c>
      <c r="T9" s="95">
        <f>+[1]Report1!AZ9</f>
        <v>3735.0526991041529</v>
      </c>
      <c r="U9" s="274">
        <f>T9</f>
        <v>3735.0526991041529</v>
      </c>
      <c r="V9" s="274">
        <f>T9/P9</f>
        <v>74.502876331042486</v>
      </c>
      <c r="W9" s="274">
        <f>U9/Q9</f>
        <v>74.502876331042486</v>
      </c>
      <c r="X9" s="275">
        <f>IF(AND(R9&gt;0,T9&gt;0),(T9/(R9*1000))*1000,0)</f>
        <v>66.416286414711891</v>
      </c>
      <c r="Y9" s="274">
        <f>IF(AND(S9&gt;0,U9&gt;0),U9/S9,0)</f>
        <v>66.416286414711891</v>
      </c>
      <c r="Z9" s="95">
        <v>100.8</v>
      </c>
      <c r="AA9" s="370">
        <f>Z9</f>
        <v>100.8</v>
      </c>
      <c r="AB9" s="371">
        <f t="shared" ref="AB9:AC39" si="1">Z9/(P9)</f>
        <v>2.0106516665669316</v>
      </c>
      <c r="AC9" s="371">
        <f t="shared" si="1"/>
        <v>2.0106516665669316</v>
      </c>
      <c r="AD9" s="366">
        <f>IF(AND(R9&gt;0,Z9&gt;0),Z9/(R9),0)</f>
        <v>1.7924142468481603</v>
      </c>
      <c r="AE9" s="371">
        <f>IF(AND(S9&gt;0,AA9&gt;0),AA9/(S9),0)</f>
        <v>1.7924142468481603</v>
      </c>
      <c r="AF9" s="95">
        <v>0</v>
      </c>
      <c r="AG9" s="370">
        <f>AF9</f>
        <v>0</v>
      </c>
      <c r="AH9" s="371">
        <f>AF9/(P9)</f>
        <v>0</v>
      </c>
      <c r="AI9" s="371">
        <f>AG9/(Q9)</f>
        <v>0</v>
      </c>
      <c r="AJ9" s="366">
        <f>IF(AND(R9&gt;0,AF9&gt;0),AF9/(R9),0)</f>
        <v>0</v>
      </c>
      <c r="AK9" s="371">
        <f>IF(AND(S9&gt;0,AG9&gt;0),AG9/(S9),0)</f>
        <v>0</v>
      </c>
      <c r="AL9" s="370">
        <f>'1'!I46</f>
        <v>39310.92012537671</v>
      </c>
      <c r="AM9" s="370">
        <f>AL9</f>
        <v>39310.92012537671</v>
      </c>
      <c r="AN9" s="371">
        <f>IF(AND(L9&gt;0,AL9&gt;0),(AL9/(P9*1000)*1000),0)</f>
        <v>784.13260976555773</v>
      </c>
      <c r="AO9" s="371">
        <f>IF(AND(M9&gt;0,AM9&gt;0),(AM9/(Q9*1000)*1000),0)</f>
        <v>784.13260976555773</v>
      </c>
      <c r="AP9" s="371">
        <f>IF(AND(R9&gt;0,AL9&gt;0),(AL9/(R9*1000)*1000),0)</f>
        <v>699.02235406185798</v>
      </c>
      <c r="AQ9" s="371">
        <f>IF(AND(S9&gt;0,AM9&gt;0),(AM9/(S9*1000)*1000),0)</f>
        <v>699.02235406185798</v>
      </c>
      <c r="AR9" s="370">
        <f>+Listrik!AA8</f>
        <v>30967.4</v>
      </c>
      <c r="AS9" s="370">
        <f>AR9</f>
        <v>30967.4</v>
      </c>
      <c r="AT9" s="371">
        <f>IF(AND(L9&gt;0,AR9&gt;0),(AR9/(P9*1000)*1000),0)</f>
        <v>617.70490495282547</v>
      </c>
      <c r="AU9" s="371">
        <f>IF(AND(M9&gt;0,AS9&gt;0),(AS9/(Q9*1000)*1000),0)</f>
        <v>617.70490495282547</v>
      </c>
      <c r="AV9" s="371">
        <f>IF(AND(R9&gt;0,AR9&gt;0),(AR9/(R9*1000)*1000),0)</f>
        <v>550.6588189270409</v>
      </c>
      <c r="AW9" s="371">
        <f>IF(AND(S9&gt;0,AS9&gt;0),(AS9/(S9*1000)*1000),0)</f>
        <v>550.6588189270409</v>
      </c>
      <c r="AX9" s="370">
        <v>0</v>
      </c>
      <c r="AY9" s="370">
        <f>AX9</f>
        <v>0</v>
      </c>
      <c r="AZ9" s="371">
        <f>IF(AND(L9&gt;0,AX9&gt;0),(AX9/(P9*1000)*1000),0)</f>
        <v>0</v>
      </c>
      <c r="BA9" s="371">
        <f>IF(AND(M9&gt;0,AY9&gt;0),(AY9/(Q9*1000)*1000),0)</f>
        <v>0</v>
      </c>
      <c r="BB9" s="371">
        <f>IF(AND(R9&gt;0,AX9&gt;0),(AX9/(R9*1000)*1000),0)</f>
        <v>0</v>
      </c>
      <c r="BC9" s="371">
        <f>IF(AND(S9&gt;0,AY9&gt;0),(AY9/(S9*1000)*1000),0)</f>
        <v>0</v>
      </c>
      <c r="BD9" s="444"/>
      <c r="BE9" s="366">
        <f>+Efficiency2!K6</f>
        <v>52.438783804516277</v>
      </c>
      <c r="BF9" s="367">
        <f>BE9</f>
        <v>52.438783804516277</v>
      </c>
      <c r="BG9" s="392">
        <f>+R9/BE9</f>
        <v>1.0724314318509538</v>
      </c>
      <c r="BH9" s="392">
        <f>+S9/BF9</f>
        <v>1.0724314318509538</v>
      </c>
    </row>
    <row r="10" spans="1:60" s="372" customFormat="1" ht="12.75" customHeight="1">
      <c r="A10" s="386">
        <f t="shared" ref="A10:A38" si="2">A9+1</f>
        <v>46083</v>
      </c>
      <c r="B10" s="395" t="s">
        <v>420</v>
      </c>
      <c r="C10" s="408" t="s">
        <v>421</v>
      </c>
      <c r="D10" s="365">
        <f>+'2'!F42</f>
        <v>1124.6504267939815</v>
      </c>
      <c r="E10" s="365">
        <f>+'2'!G42</f>
        <v>955.95286277488424</v>
      </c>
      <c r="F10" s="46">
        <f t="shared" si="0"/>
        <v>0.15000000000000002</v>
      </c>
      <c r="G10" s="391">
        <f t="shared" ref="G10:G41" si="3">+P10/N10</f>
        <v>0.98507253615800083</v>
      </c>
      <c r="H10" s="387">
        <f t="shared" ref="H10:H41" si="4">+P10/L10</f>
        <v>0.98507253615800083</v>
      </c>
      <c r="I10" s="387">
        <f t="shared" ref="I10:I41" si="5">+R10/P10</f>
        <v>1.0049834205431929</v>
      </c>
      <c r="J10" s="392">
        <f t="shared" ref="J10:K41" si="6">+R10/L10</f>
        <v>0.98998156687122563</v>
      </c>
      <c r="K10" s="392">
        <f t="shared" si="6"/>
        <v>1.0310012286597281</v>
      </c>
      <c r="L10" s="366">
        <f>+Efficiency1!K10</f>
        <v>52.963612409179689</v>
      </c>
      <c r="M10" s="367">
        <f t="shared" ref="M10:O25" si="7">M9+L10</f>
        <v>105.40239621369597</v>
      </c>
      <c r="N10" s="366">
        <f>+Efficiency1!C10</f>
        <v>52.963612409179689</v>
      </c>
      <c r="O10" s="367">
        <f t="shared" si="7"/>
        <v>104.61762729667969</v>
      </c>
      <c r="P10" s="367">
        <f>'2'!I38</f>
        <v>52.173000000000002</v>
      </c>
      <c r="Q10" s="367">
        <f t="shared" ref="Q10:Q38" si="8">Q9+P10</f>
        <v>102.30600000000001</v>
      </c>
      <c r="R10" s="589">
        <f>'2'!I40</f>
        <v>52.433</v>
      </c>
      <c r="S10" s="367">
        <f t="shared" ref="S10:S38" si="9">S9+R10</f>
        <v>108.67</v>
      </c>
      <c r="T10" s="95">
        <f>+[1]Report1!AZ10</f>
        <v>3946.6675275621051</v>
      </c>
      <c r="U10" s="13">
        <f t="shared" ref="U10:U38" si="10">T10+U9</f>
        <v>7681.720226666258</v>
      </c>
      <c r="V10" s="274">
        <f t="shared" ref="V10:W39" si="11">T10/P10</f>
        <v>75.645784746173405</v>
      </c>
      <c r="W10" s="274">
        <f t="shared" si="11"/>
        <v>75.085725438060891</v>
      </c>
      <c r="X10" s="275">
        <f t="shared" ref="X10:X39" si="12">IF(AND(R10&gt;0,T10&gt;0),(T10/(R10*1000))*1000,0)</f>
        <v>75.27067929666633</v>
      </c>
      <c r="Y10" s="274">
        <f t="shared" ref="Y10:Y39" si="13">IF(AND(S10&gt;0,U10&gt;0),U10/S10,0)</f>
        <v>70.688508573352877</v>
      </c>
      <c r="Z10" s="95">
        <v>99.2</v>
      </c>
      <c r="AA10" s="368">
        <f t="shared" ref="AA10:AA38" si="14">Z10+AA9</f>
        <v>200</v>
      </c>
      <c r="AB10" s="371">
        <f t="shared" si="1"/>
        <v>1.9013666072489601</v>
      </c>
      <c r="AC10" s="371">
        <f t="shared" si="1"/>
        <v>1.9549195550603091</v>
      </c>
      <c r="AD10" s="366">
        <f t="shared" ref="AD10:AE39" si="15">IF(AND(R10&gt;0,Z10&gt;0),Z10/(R10),0)</f>
        <v>1.891938283142296</v>
      </c>
      <c r="AE10" s="371">
        <f t="shared" si="15"/>
        <v>1.8404343425048311</v>
      </c>
      <c r="AF10" s="95">
        <v>0</v>
      </c>
      <c r="AG10" s="370">
        <f>+AF10+AG9</f>
        <v>0</v>
      </c>
      <c r="AH10" s="371">
        <f t="shared" ref="AH10:AI39" si="16">AF10/(P10)</f>
        <v>0</v>
      </c>
      <c r="AI10" s="371">
        <f t="shared" si="16"/>
        <v>0</v>
      </c>
      <c r="AJ10" s="366">
        <f t="shared" ref="AJ10:AK39" si="17">IF(AND(R10&gt;0,AF10&gt;0),AF10/(R10),0)</f>
        <v>0</v>
      </c>
      <c r="AK10" s="371">
        <f t="shared" si="17"/>
        <v>0</v>
      </c>
      <c r="AL10" s="370">
        <f>'2'!I46</f>
        <v>36966.384838608115</v>
      </c>
      <c r="AM10" s="368">
        <f t="shared" ref="AM10:AM38" si="18">AL10+AM9</f>
        <v>76277.304963984818</v>
      </c>
      <c r="AN10" s="371">
        <f t="shared" ref="AN10:AO39" si="19">IF(AND(L10&gt;0,AL10&gt;0),(AL10/(P10*1000)*1000),0)</f>
        <v>708.53477543189229</v>
      </c>
      <c r="AO10" s="371">
        <f t="shared" si="19"/>
        <v>745.57997540696351</v>
      </c>
      <c r="AP10" s="371">
        <f t="shared" ref="AP10:AQ39" si="20">IF(AND(R10&gt;0,AL10&gt;0),(AL10/(R10*1000)*1000),0)</f>
        <v>705.02135751546007</v>
      </c>
      <c r="AQ10" s="371">
        <f t="shared" si="20"/>
        <v>701.91685804715939</v>
      </c>
      <c r="AR10" s="370">
        <f>+Listrik!AA9</f>
        <v>29196.000000000007</v>
      </c>
      <c r="AS10" s="368">
        <f t="shared" ref="AS10:AS38" si="21">AR10+AS9</f>
        <v>60163.400000000009</v>
      </c>
      <c r="AT10" s="371">
        <f t="shared" ref="AT10:AU39" si="22">IF(AND(L10&gt;0,AR10&gt;0),(AR10/(P10*1000)*1000),0)</f>
        <v>559.59979299637757</v>
      </c>
      <c r="AU10" s="371">
        <f t="shared" si="22"/>
        <v>588.07303579457698</v>
      </c>
      <c r="AV10" s="371">
        <f t="shared" ref="AV10:AW39" si="23">IF(AND(R10&gt;0,AR10&gt;0),(AR10/(R10*1000)*1000),0)</f>
        <v>556.82490034901696</v>
      </c>
      <c r="AW10" s="371">
        <f t="shared" si="23"/>
        <v>553.63393760927579</v>
      </c>
      <c r="AX10" s="370">
        <v>0</v>
      </c>
      <c r="AY10" s="368">
        <f t="shared" ref="AY10:AY38" si="24">AX10+AY9</f>
        <v>0</v>
      </c>
      <c r="AZ10" s="371">
        <f t="shared" ref="AZ10:BA39" si="25">IF(AND(L10&gt;0,AX10&gt;0),(AX10/(P10*1000)*1000),0)</f>
        <v>0</v>
      </c>
      <c r="BA10" s="371">
        <f t="shared" si="25"/>
        <v>0</v>
      </c>
      <c r="BB10" s="371">
        <f t="shared" ref="BB10:BC39" si="26">IF(AND(R10&gt;0,AX10&gt;0),(AX10/(R10*1000)*1000),0)</f>
        <v>0</v>
      </c>
      <c r="BC10" s="371">
        <f t="shared" si="26"/>
        <v>0</v>
      </c>
      <c r="BD10" s="444"/>
      <c r="BE10" s="366">
        <f>+Efficiency2!K10</f>
        <v>52.963612409179689</v>
      </c>
      <c r="BF10" s="367">
        <f t="shared" ref="BF10:BF38" si="27">BF9+BE10</f>
        <v>105.40239621369597</v>
      </c>
      <c r="BG10" s="392">
        <f t="shared" ref="BG10:BG41" si="28">+R10/BE10</f>
        <v>0.98998156687122563</v>
      </c>
      <c r="BH10" s="392">
        <f t="shared" ref="BH10:BH39" si="29">+S10/BF10</f>
        <v>1.0310012286597281</v>
      </c>
    </row>
    <row r="11" spans="1:60" s="372" customFormat="1" ht="12.75" customHeight="1">
      <c r="A11" s="386">
        <f t="shared" si="2"/>
        <v>46084</v>
      </c>
      <c r="B11" s="395" t="s">
        <v>420</v>
      </c>
      <c r="C11" s="408" t="s">
        <v>421</v>
      </c>
      <c r="D11" s="365">
        <f>+'3'!F42</f>
        <v>1125</v>
      </c>
      <c r="E11" s="365">
        <f>+'3'!G42</f>
        <v>945</v>
      </c>
      <c r="F11" s="46">
        <f t="shared" si="0"/>
        <v>0.16000000000000003</v>
      </c>
      <c r="G11" s="391">
        <f t="shared" si="3"/>
        <v>1.0134127480831951</v>
      </c>
      <c r="H11" s="387">
        <f>+P11/L11</f>
        <v>1.0134127480831951</v>
      </c>
      <c r="I11" s="387">
        <f t="shared" si="5"/>
        <v>0.92948168573238443</v>
      </c>
      <c r="J11" s="392">
        <f t="shared" si="6"/>
        <v>0.94194858943105642</v>
      </c>
      <c r="K11" s="392">
        <f t="shared" si="6"/>
        <v>1.0012186414168203</v>
      </c>
      <c r="L11" s="366">
        <f>+Efficiency1!K14</f>
        <v>52.963612409179689</v>
      </c>
      <c r="M11" s="367">
        <f t="shared" si="7"/>
        <v>158.36600862287565</v>
      </c>
      <c r="N11" s="366">
        <f>+Efficiency1!C14</f>
        <v>52.963612409179689</v>
      </c>
      <c r="O11" s="367">
        <f t="shared" si="7"/>
        <v>157.58123970585939</v>
      </c>
      <c r="P11" s="367">
        <f>'3'!I38</f>
        <v>53.673999999999999</v>
      </c>
      <c r="Q11" s="367">
        <f t="shared" si="8"/>
        <v>155.98000000000002</v>
      </c>
      <c r="R11" s="589">
        <f>'3'!I40</f>
        <v>49.889000000000003</v>
      </c>
      <c r="S11" s="367">
        <f t="shared" si="9"/>
        <v>158.559</v>
      </c>
      <c r="T11" s="95">
        <f>+[1]Report1!AZ11</f>
        <v>3635.0489328435806</v>
      </c>
      <c r="U11" s="13">
        <f t="shared" si="10"/>
        <v>11316.769159509839</v>
      </c>
      <c r="V11" s="274">
        <f t="shared" si="11"/>
        <v>67.724576756783179</v>
      </c>
      <c r="W11" s="274">
        <f t="shared" si="11"/>
        <v>72.552693675534286</v>
      </c>
      <c r="X11" s="275">
        <f t="shared" si="12"/>
        <v>72.862733926187744</v>
      </c>
      <c r="Y11" s="274">
        <f t="shared" si="13"/>
        <v>71.372606786810195</v>
      </c>
      <c r="Z11" s="95">
        <v>100.36</v>
      </c>
      <c r="AA11" s="368">
        <f t="shared" si="14"/>
        <v>300.36</v>
      </c>
      <c r="AB11" s="371">
        <f t="shared" si="1"/>
        <v>1.8698066102768567</v>
      </c>
      <c r="AC11" s="371">
        <f t="shared" si="1"/>
        <v>1.9256314912168224</v>
      </c>
      <c r="AD11" s="366">
        <f t="shared" si="15"/>
        <v>2.0116658982942131</v>
      </c>
      <c r="AE11" s="371">
        <f t="shared" si="15"/>
        <v>1.8943106351578909</v>
      </c>
      <c r="AF11" s="95"/>
      <c r="AG11" s="370">
        <f t="shared" ref="AG11:AG39" si="30">+AF11+AG10</f>
        <v>0</v>
      </c>
      <c r="AH11" s="371">
        <f t="shared" si="16"/>
        <v>0</v>
      </c>
      <c r="AI11" s="371">
        <f t="shared" si="16"/>
        <v>0</v>
      </c>
      <c r="AJ11" s="366">
        <f t="shared" si="17"/>
        <v>0</v>
      </c>
      <c r="AK11" s="371">
        <f t="shared" si="17"/>
        <v>0</v>
      </c>
      <c r="AL11" s="370">
        <f>'3'!I46</f>
        <v>35761.525498046278</v>
      </c>
      <c r="AM11" s="368">
        <f t="shared" si="18"/>
        <v>112038.8304620311</v>
      </c>
      <c r="AN11" s="371">
        <f t="shared" si="19"/>
        <v>666.27278566990117</v>
      </c>
      <c r="AO11" s="371">
        <f t="shared" si="19"/>
        <v>718.28971959245473</v>
      </c>
      <c r="AP11" s="371">
        <f t="shared" si="20"/>
        <v>716.8218544778664</v>
      </c>
      <c r="AQ11" s="371">
        <f t="shared" si="20"/>
        <v>706.60656577066641</v>
      </c>
      <c r="AR11" s="370">
        <f>+Listrik!AA10</f>
        <v>21611.000000000004</v>
      </c>
      <c r="AS11" s="368">
        <f t="shared" si="21"/>
        <v>81774.400000000009</v>
      </c>
      <c r="AT11" s="371">
        <f t="shared" si="22"/>
        <v>402.63442262547983</v>
      </c>
      <c r="AU11" s="371">
        <f t="shared" si="22"/>
        <v>524.26208488267719</v>
      </c>
      <c r="AV11" s="371">
        <f t="shared" si="23"/>
        <v>433.18166329250948</v>
      </c>
      <c r="AW11" s="371">
        <f t="shared" si="23"/>
        <v>515.73483687460202</v>
      </c>
      <c r="AX11" s="370">
        <v>0</v>
      </c>
      <c r="AY11" s="368">
        <f t="shared" si="24"/>
        <v>0</v>
      </c>
      <c r="AZ11" s="371">
        <f t="shared" si="25"/>
        <v>0</v>
      </c>
      <c r="BA11" s="371">
        <f t="shared" si="25"/>
        <v>0</v>
      </c>
      <c r="BB11" s="371">
        <f t="shared" si="26"/>
        <v>0</v>
      </c>
      <c r="BC11" s="371">
        <f t="shared" si="26"/>
        <v>0</v>
      </c>
      <c r="BD11" s="444"/>
      <c r="BE11" s="366">
        <f>+Efficiency1!K14</f>
        <v>52.963612409179689</v>
      </c>
      <c r="BF11" s="367">
        <f t="shared" si="27"/>
        <v>158.36600862287565</v>
      </c>
      <c r="BG11" s="392">
        <f t="shared" si="28"/>
        <v>0.94194858943105642</v>
      </c>
      <c r="BH11" s="392">
        <f t="shared" si="29"/>
        <v>1.0012186414168203</v>
      </c>
    </row>
    <row r="12" spans="1:60" s="372" customFormat="1" ht="12.75" customHeight="1">
      <c r="A12" s="386">
        <f t="shared" si="2"/>
        <v>46085</v>
      </c>
      <c r="B12" s="395" t="s">
        <v>420</v>
      </c>
      <c r="C12" s="408" t="s">
        <v>469</v>
      </c>
      <c r="D12" s="365">
        <f>+'4'!F42</f>
        <v>1108.1959706959708</v>
      </c>
      <c r="E12" s="365">
        <f>+'4'!G42</f>
        <v>930.88461538461536</v>
      </c>
      <c r="F12" s="46">
        <f t="shared" si="0"/>
        <v>0.16000000000000014</v>
      </c>
      <c r="G12" s="391">
        <f t="shared" si="3"/>
        <v>0.70984923420300261</v>
      </c>
      <c r="H12" s="387">
        <f t="shared" si="4"/>
        <v>0.67601327568855785</v>
      </c>
      <c r="I12" s="387">
        <f t="shared" si="5"/>
        <v>1.0475737895348223</v>
      </c>
      <c r="J12" s="392">
        <f t="shared" si="6"/>
        <v>0.70817378898891115</v>
      </c>
      <c r="K12" s="392">
        <f t="shared" si="6"/>
        <v>0.92463318745070011</v>
      </c>
      <c r="L12" s="366">
        <f>+SUM(Efficiency1!K18:K19)</f>
        <v>56.031444000000015</v>
      </c>
      <c r="M12" s="367">
        <f t="shared" si="7"/>
        <v>214.39745262287568</v>
      </c>
      <c r="N12" s="366">
        <f>+SUM(Efficiency1!C18:C19)</f>
        <v>53.360626700581399</v>
      </c>
      <c r="O12" s="367">
        <f t="shared" si="7"/>
        <v>210.94186640644079</v>
      </c>
      <c r="P12" s="367">
        <f>'4'!I38</f>
        <v>37.878</v>
      </c>
      <c r="Q12" s="367">
        <f t="shared" si="8"/>
        <v>193.858</v>
      </c>
      <c r="R12" s="589">
        <f>'4'!I40</f>
        <v>39.68</v>
      </c>
      <c r="S12" s="367">
        <f t="shared" si="9"/>
        <v>198.239</v>
      </c>
      <c r="T12" s="95">
        <f>+[1]Report1!AZ12</f>
        <v>3119.1601781816125</v>
      </c>
      <c r="U12" s="13">
        <f t="shared" si="10"/>
        <v>14435.92933769145</v>
      </c>
      <c r="V12" s="274">
        <f t="shared" si="11"/>
        <v>82.347541532858457</v>
      </c>
      <c r="W12" s="274">
        <f t="shared" si="11"/>
        <v>74.466513312277286</v>
      </c>
      <c r="X12" s="275">
        <f t="shared" si="12"/>
        <v>78.60786739368983</v>
      </c>
      <c r="Y12" s="274">
        <f t="shared" si="13"/>
        <v>72.8208341329983</v>
      </c>
      <c r="Z12" s="369">
        <v>81.400000000000006</v>
      </c>
      <c r="AA12" s="368">
        <f t="shared" si="14"/>
        <v>381.76</v>
      </c>
      <c r="AB12" s="371">
        <f t="shared" si="1"/>
        <v>2.1490046992977456</v>
      </c>
      <c r="AC12" s="371">
        <f t="shared" si="1"/>
        <v>1.9692764807230034</v>
      </c>
      <c r="AD12" s="366">
        <f t="shared" si="15"/>
        <v>2.051411290322581</v>
      </c>
      <c r="AE12" s="371">
        <f t="shared" si="15"/>
        <v>1.925756284081336</v>
      </c>
      <c r="AF12" s="95"/>
      <c r="AG12" s="370">
        <f t="shared" si="30"/>
        <v>0</v>
      </c>
      <c r="AH12" s="371">
        <f t="shared" si="16"/>
        <v>0</v>
      </c>
      <c r="AI12" s="371">
        <f t="shared" si="16"/>
        <v>0</v>
      </c>
      <c r="AJ12" s="366">
        <f t="shared" si="17"/>
        <v>0</v>
      </c>
      <c r="AK12" s="371">
        <f t="shared" si="17"/>
        <v>0</v>
      </c>
      <c r="AL12" s="370">
        <f>'4'!I46</f>
        <v>30472.534116435352</v>
      </c>
      <c r="AM12" s="368">
        <f t="shared" si="18"/>
        <v>142511.36457846645</v>
      </c>
      <c r="AN12" s="371">
        <f t="shared" si="19"/>
        <v>804.4916340998825</v>
      </c>
      <c r="AO12" s="371">
        <f t="shared" si="19"/>
        <v>735.13274963357958</v>
      </c>
      <c r="AP12" s="371">
        <f t="shared" si="20"/>
        <v>767.95700898274572</v>
      </c>
      <c r="AQ12" s="371">
        <f t="shared" si="20"/>
        <v>718.8866195777141</v>
      </c>
      <c r="AR12" s="370">
        <f>+Listrik!AA11</f>
        <v>18324.901000000365</v>
      </c>
      <c r="AS12" s="368">
        <f t="shared" si="21"/>
        <v>100099.30100000037</v>
      </c>
      <c r="AT12" s="371">
        <f t="shared" si="22"/>
        <v>483.78744917895256</v>
      </c>
      <c r="AU12" s="371">
        <f t="shared" si="22"/>
        <v>516.35372798646631</v>
      </c>
      <c r="AV12" s="371">
        <f t="shared" si="23"/>
        <v>461.81706149194468</v>
      </c>
      <c r="AW12" s="371">
        <f t="shared" si="23"/>
        <v>504.94252392314507</v>
      </c>
      <c r="AX12" s="370">
        <v>0</v>
      </c>
      <c r="AY12" s="368">
        <f t="shared" si="24"/>
        <v>0</v>
      </c>
      <c r="AZ12" s="371">
        <f t="shared" si="25"/>
        <v>0</v>
      </c>
      <c r="BA12" s="371">
        <f t="shared" si="25"/>
        <v>0</v>
      </c>
      <c r="BB12" s="371">
        <f t="shared" si="26"/>
        <v>0</v>
      </c>
      <c r="BC12" s="371">
        <f t="shared" si="26"/>
        <v>0</v>
      </c>
      <c r="BD12" s="444"/>
      <c r="BE12" s="366">
        <f>+SUM(Efficiency2!K18:K19)</f>
        <v>49.592867625000011</v>
      </c>
      <c r="BF12" s="367">
        <f t="shared" si="27"/>
        <v>207.95887624787565</v>
      </c>
      <c r="BG12" s="392">
        <f t="shared" si="28"/>
        <v>0.80011505485109546</v>
      </c>
      <c r="BH12" s="392">
        <f t="shared" si="29"/>
        <v>0.95326058486539389</v>
      </c>
    </row>
    <row r="13" spans="1:60" s="372" customFormat="1" ht="12.75" customHeight="1">
      <c r="A13" s="386">
        <f t="shared" si="2"/>
        <v>46086</v>
      </c>
      <c r="B13" s="395" t="s">
        <v>420</v>
      </c>
      <c r="C13" s="373" t="s">
        <v>496</v>
      </c>
      <c r="D13" s="365">
        <f>+'5'!F42</f>
        <v>1150</v>
      </c>
      <c r="E13" s="365">
        <f>+'5'!G42</f>
        <v>966</v>
      </c>
      <c r="F13" s="46">
        <f t="shared" si="0"/>
        <v>0.16000000000000003</v>
      </c>
      <c r="G13" s="391">
        <f t="shared" si="3"/>
        <v>0.94966946541159436</v>
      </c>
      <c r="H13" s="387">
        <f t="shared" si="4"/>
        <v>0.9374419615650933</v>
      </c>
      <c r="I13" s="387">
        <f t="shared" si="5"/>
        <v>1.0285139342395018</v>
      </c>
      <c r="J13" s="392">
        <f t="shared" si="6"/>
        <v>0.96417212001050989</v>
      </c>
      <c r="K13" s="392">
        <f t="shared" si="6"/>
        <v>0.93284395468597381</v>
      </c>
      <c r="L13" s="366">
        <f>+Efficiency1!K25</f>
        <v>56.191211999999993</v>
      </c>
      <c r="M13" s="367">
        <f t="shared" si="7"/>
        <v>270.58866462287568</v>
      </c>
      <c r="N13" s="366">
        <f>+Efficiency1!C25</f>
        <v>55.46772</v>
      </c>
      <c r="O13" s="367">
        <f t="shared" si="7"/>
        <v>266.40958640644078</v>
      </c>
      <c r="P13" s="367">
        <f>'5'!I38</f>
        <v>52.676000000000002</v>
      </c>
      <c r="Q13" s="367">
        <f t="shared" si="8"/>
        <v>246.53399999999999</v>
      </c>
      <c r="R13" s="589">
        <f>'5'!I40</f>
        <v>54.177999999999997</v>
      </c>
      <c r="S13" s="367">
        <f t="shared" si="9"/>
        <v>252.417</v>
      </c>
      <c r="T13" s="95">
        <f>+[1]Report1!AZ13</f>
        <v>3824.0561458743277</v>
      </c>
      <c r="U13" s="13">
        <f t="shared" si="10"/>
        <v>18259.985483565779</v>
      </c>
      <c r="V13" s="274">
        <f t="shared" si="11"/>
        <v>72.59579591985586</v>
      </c>
      <c r="W13" s="274">
        <f t="shared" si="11"/>
        <v>74.066804106394173</v>
      </c>
      <c r="X13" s="275">
        <f t="shared" si="12"/>
        <v>70.58319144070154</v>
      </c>
      <c r="Y13" s="274">
        <f t="shared" si="13"/>
        <v>72.340553463379166</v>
      </c>
      <c r="Z13" s="369">
        <v>96.2</v>
      </c>
      <c r="AA13" s="368">
        <f t="shared" si="14"/>
        <v>477.96</v>
      </c>
      <c r="AB13" s="371">
        <f t="shared" si="1"/>
        <v>1.8262586377097729</v>
      </c>
      <c r="AC13" s="371">
        <f t="shared" si="1"/>
        <v>1.938718391783689</v>
      </c>
      <c r="AD13" s="366">
        <f t="shared" si="15"/>
        <v>1.7756284838864484</v>
      </c>
      <c r="AE13" s="371">
        <f t="shared" si="15"/>
        <v>1.8935333198635591</v>
      </c>
      <c r="AF13" s="95"/>
      <c r="AG13" s="370">
        <f t="shared" si="30"/>
        <v>0</v>
      </c>
      <c r="AH13" s="371">
        <f t="shared" si="16"/>
        <v>0</v>
      </c>
      <c r="AI13" s="371">
        <f t="shared" si="16"/>
        <v>0</v>
      </c>
      <c r="AJ13" s="366">
        <f t="shared" si="17"/>
        <v>0</v>
      </c>
      <c r="AK13" s="371">
        <f t="shared" si="17"/>
        <v>0</v>
      </c>
      <c r="AL13" s="370">
        <f>'5'!I46</f>
        <v>37494.22133385545</v>
      </c>
      <c r="AM13" s="368">
        <f t="shared" si="18"/>
        <v>180005.5859123219</v>
      </c>
      <c r="AN13" s="371">
        <f t="shared" si="19"/>
        <v>711.78945504319711</v>
      </c>
      <c r="AO13" s="371">
        <f t="shared" si="19"/>
        <v>730.14507496865303</v>
      </c>
      <c r="AP13" s="371">
        <f t="shared" si="20"/>
        <v>692.05620978728359</v>
      </c>
      <c r="AQ13" s="371">
        <f t="shared" si="20"/>
        <v>713.12782384832201</v>
      </c>
      <c r="AR13" s="370">
        <f>+Listrik!AA12</f>
        <v>23445.414999999684</v>
      </c>
      <c r="AS13" s="368">
        <f t="shared" si="21"/>
        <v>123544.71600000006</v>
      </c>
      <c r="AT13" s="371">
        <f t="shared" si="22"/>
        <v>445.08723137671205</v>
      </c>
      <c r="AU13" s="371">
        <f t="shared" si="22"/>
        <v>501.12648154007178</v>
      </c>
      <c r="AV13" s="371">
        <f t="shared" si="23"/>
        <v>432.7478865960295</v>
      </c>
      <c r="AW13" s="371">
        <f t="shared" si="23"/>
        <v>489.44689145342852</v>
      </c>
      <c r="AX13" s="370">
        <v>0</v>
      </c>
      <c r="AY13" s="368">
        <f t="shared" si="24"/>
        <v>0</v>
      </c>
      <c r="AZ13" s="371">
        <f t="shared" si="25"/>
        <v>0</v>
      </c>
      <c r="BA13" s="371">
        <f t="shared" si="25"/>
        <v>0</v>
      </c>
      <c r="BB13" s="371">
        <f t="shared" si="26"/>
        <v>0</v>
      </c>
      <c r="BC13" s="371">
        <f t="shared" si="26"/>
        <v>0</v>
      </c>
      <c r="BD13" s="444"/>
      <c r="BE13" s="366">
        <f>+Efficiency2!K25</f>
        <v>56.191211999999993</v>
      </c>
      <c r="BF13" s="367">
        <f t="shared" si="27"/>
        <v>264.15008824787566</v>
      </c>
      <c r="BG13" s="392">
        <f t="shared" si="28"/>
        <v>0.96417212001050989</v>
      </c>
      <c r="BH13" s="392">
        <f t="shared" si="29"/>
        <v>0.95558173640712374</v>
      </c>
    </row>
    <row r="14" spans="1:60" s="372" customFormat="1" ht="12.75" customHeight="1">
      <c r="A14" s="386">
        <f t="shared" si="2"/>
        <v>46087</v>
      </c>
      <c r="B14" s="395" t="s">
        <v>420</v>
      </c>
      <c r="C14" s="373" t="s">
        <v>508</v>
      </c>
      <c r="D14" s="365">
        <f>+'6'!F42</f>
        <v>1134.9450549450548</v>
      </c>
      <c r="E14" s="365">
        <f>+'6'!G42</f>
        <v>953.35384615384612</v>
      </c>
      <c r="F14" s="46">
        <f t="shared" si="0"/>
        <v>0.15999999999999992</v>
      </c>
      <c r="G14" s="391">
        <f t="shared" si="3"/>
        <v>0.63123121291739348</v>
      </c>
      <c r="H14" s="387">
        <f t="shared" si="4"/>
        <v>0.6298886934611243</v>
      </c>
      <c r="I14" s="387">
        <f t="shared" si="5"/>
        <v>0.98611111111111105</v>
      </c>
      <c r="J14" s="392">
        <f t="shared" si="6"/>
        <v>0.62114023938527529</v>
      </c>
      <c r="K14" s="392">
        <f t="shared" si="6"/>
        <v>0.88166799109083738</v>
      </c>
      <c r="L14" s="366">
        <f>+SUM(Efficiency1!K29:K30)</f>
        <v>53.152247924999998</v>
      </c>
      <c r="M14" s="367">
        <f t="shared" si="7"/>
        <v>323.74091254787567</v>
      </c>
      <c r="N14" s="366">
        <f>+SUM(Efficiency1!C29:C30)</f>
        <v>53.039202299999999</v>
      </c>
      <c r="O14" s="367">
        <f t="shared" si="7"/>
        <v>319.44878870644078</v>
      </c>
      <c r="P14" s="367">
        <f>'6'!I38</f>
        <v>33.480000000000004</v>
      </c>
      <c r="Q14" s="367">
        <f t="shared" si="8"/>
        <v>280.01400000000001</v>
      </c>
      <c r="R14" s="589">
        <f>'6'!I40</f>
        <v>33.015000000000001</v>
      </c>
      <c r="S14" s="367">
        <f t="shared" si="9"/>
        <v>285.43200000000002</v>
      </c>
      <c r="T14" s="95">
        <f>+[1]Report1!AZ14</f>
        <v>2068.6606885430156</v>
      </c>
      <c r="U14" s="13">
        <f t="shared" si="10"/>
        <v>20328.646172108794</v>
      </c>
      <c r="V14" s="274">
        <f t="shared" si="11"/>
        <v>61.787953660185643</v>
      </c>
      <c r="W14" s="274">
        <f t="shared" si="11"/>
        <v>72.59867782364023</v>
      </c>
      <c r="X14" s="275">
        <f t="shared" si="12"/>
        <v>62.658206528638971</v>
      </c>
      <c r="Y14" s="274">
        <f t="shared" si="13"/>
        <v>71.220627582432215</v>
      </c>
      <c r="Z14" s="369">
        <v>63.6</v>
      </c>
      <c r="AA14" s="368">
        <f t="shared" si="14"/>
        <v>541.55999999999995</v>
      </c>
      <c r="AB14" s="371">
        <f t="shared" si="1"/>
        <v>1.8996415770609316</v>
      </c>
      <c r="AC14" s="371">
        <f t="shared" si="1"/>
        <v>1.9340461548351151</v>
      </c>
      <c r="AD14" s="366">
        <f t="shared" si="15"/>
        <v>1.9263970922308042</v>
      </c>
      <c r="AE14" s="371">
        <f t="shared" si="15"/>
        <v>1.8973345665517529</v>
      </c>
      <c r="AF14" s="95"/>
      <c r="AG14" s="370">
        <f t="shared" si="30"/>
        <v>0</v>
      </c>
      <c r="AH14" s="371">
        <f t="shared" si="16"/>
        <v>0</v>
      </c>
      <c r="AI14" s="371">
        <f t="shared" si="16"/>
        <v>0</v>
      </c>
      <c r="AJ14" s="366">
        <f t="shared" si="17"/>
        <v>0</v>
      </c>
      <c r="AK14" s="371">
        <f t="shared" si="17"/>
        <v>0</v>
      </c>
      <c r="AL14" s="370">
        <f>'6'!I46</f>
        <v>27123.78685798878</v>
      </c>
      <c r="AM14" s="368">
        <f t="shared" si="18"/>
        <v>207129.37277031067</v>
      </c>
      <c r="AN14" s="371">
        <f t="shared" si="19"/>
        <v>810.14895035808763</v>
      </c>
      <c r="AO14" s="371">
        <f t="shared" si="19"/>
        <v>739.71077435524887</v>
      </c>
      <c r="AP14" s="371">
        <f t="shared" si="20"/>
        <v>821.55949895468063</v>
      </c>
      <c r="AQ14" s="371">
        <f t="shared" si="20"/>
        <v>725.66976642531552</v>
      </c>
      <c r="AR14" s="370">
        <f>+Listrik!AA13</f>
        <v>20592.308000000405</v>
      </c>
      <c r="AS14" s="368">
        <f t="shared" si="21"/>
        <v>144137.02400000047</v>
      </c>
      <c r="AT14" s="371">
        <f t="shared" si="22"/>
        <v>615.06296296297489</v>
      </c>
      <c r="AU14" s="371">
        <f t="shared" si="22"/>
        <v>514.749348246875</v>
      </c>
      <c r="AV14" s="371">
        <f t="shared" si="23"/>
        <v>623.72582159625631</v>
      </c>
      <c r="AW14" s="371">
        <f t="shared" si="23"/>
        <v>504.97850276072921</v>
      </c>
      <c r="AX14" s="370">
        <v>0</v>
      </c>
      <c r="AY14" s="368">
        <f t="shared" si="24"/>
        <v>0</v>
      </c>
      <c r="AZ14" s="371">
        <f t="shared" si="25"/>
        <v>0</v>
      </c>
      <c r="BA14" s="371">
        <f t="shared" si="25"/>
        <v>0</v>
      </c>
      <c r="BB14" s="371">
        <f t="shared" si="26"/>
        <v>0</v>
      </c>
      <c r="BC14" s="371">
        <f t="shared" si="26"/>
        <v>0</v>
      </c>
      <c r="BD14" s="444"/>
      <c r="BE14" s="366">
        <f>+SUM(Efficiency2!K29:K30)</f>
        <v>33.796398824999997</v>
      </c>
      <c r="BF14" s="367">
        <f t="shared" si="27"/>
        <v>297.94648707287564</v>
      </c>
      <c r="BG14" s="392">
        <f t="shared" si="28"/>
        <v>0.97687922819688178</v>
      </c>
      <c r="BH14" s="392">
        <f t="shared" si="29"/>
        <v>0.95799753440350288</v>
      </c>
    </row>
    <row r="15" spans="1:60" s="372" customFormat="1" ht="12.75" customHeight="1">
      <c r="A15" s="386">
        <f t="shared" si="2"/>
        <v>46088</v>
      </c>
      <c r="B15" s="395" t="s">
        <v>420</v>
      </c>
      <c r="C15" s="373" t="s">
        <v>421</v>
      </c>
      <c r="D15" s="365">
        <f>+'7'!F42</f>
        <v>1149.5101088646968</v>
      </c>
      <c r="E15" s="365">
        <f>+'7'!G42</f>
        <v>942.59828926905129</v>
      </c>
      <c r="F15" s="46">
        <f t="shared" si="0"/>
        <v>0.18000000000000005</v>
      </c>
      <c r="G15" s="391">
        <f t="shared" si="3"/>
        <v>0.89292765647903716</v>
      </c>
      <c r="H15" s="387">
        <f t="shared" si="4"/>
        <v>0.89254727618044893</v>
      </c>
      <c r="I15" s="387">
        <f t="shared" si="5"/>
        <v>0.82183908045976994</v>
      </c>
      <c r="J15" s="392">
        <f t="shared" si="6"/>
        <v>0.73353023272301254</v>
      </c>
      <c r="K15" s="392">
        <f t="shared" si="6"/>
        <v>0.86108322738256338</v>
      </c>
      <c r="L15" s="366">
        <f>+Efficiency1!K34</f>
        <v>52.245972000000002</v>
      </c>
      <c r="M15" s="367">
        <f t="shared" si="7"/>
        <v>375.98688454787566</v>
      </c>
      <c r="N15" s="366">
        <f>+Efficiency1!C34</f>
        <v>52.22371561866251</v>
      </c>
      <c r="O15" s="367">
        <f t="shared" si="7"/>
        <v>371.67250432510332</v>
      </c>
      <c r="P15" s="367">
        <f>'7'!I38</f>
        <v>46.632000000000005</v>
      </c>
      <c r="Q15" s="367">
        <f t="shared" si="8"/>
        <v>326.64600000000002</v>
      </c>
      <c r="R15" s="589">
        <f>'7'!I40</f>
        <v>38.323999999999998</v>
      </c>
      <c r="S15" s="367">
        <f t="shared" si="9"/>
        <v>323.75600000000003</v>
      </c>
      <c r="T15" s="95">
        <f>+[1]Report1!AZ15</f>
        <v>3997.8691628287879</v>
      </c>
      <c r="U15" s="13">
        <f t="shared" si="10"/>
        <v>24326.515334937583</v>
      </c>
      <c r="V15" s="274">
        <f t="shared" si="11"/>
        <v>85.732311777937625</v>
      </c>
      <c r="W15" s="274">
        <f t="shared" si="11"/>
        <v>74.473636092092306</v>
      </c>
      <c r="X15" s="275">
        <f t="shared" si="12"/>
        <v>104.31763810742062</v>
      </c>
      <c r="Y15" s="274">
        <f t="shared" si="13"/>
        <v>75.138423179609276</v>
      </c>
      <c r="Z15" s="369">
        <v>94.3</v>
      </c>
      <c r="AA15" s="368">
        <f t="shared" si="14"/>
        <v>635.8599999999999</v>
      </c>
      <c r="AB15" s="371">
        <f t="shared" si="1"/>
        <v>2.0222165036884538</v>
      </c>
      <c r="AC15" s="371">
        <f t="shared" si="1"/>
        <v>1.9466333584369619</v>
      </c>
      <c r="AD15" s="366">
        <f t="shared" si="15"/>
        <v>2.4605991023901472</v>
      </c>
      <c r="AE15" s="371">
        <f t="shared" si="15"/>
        <v>1.964009933406639</v>
      </c>
      <c r="AF15" s="95"/>
      <c r="AG15" s="370">
        <f t="shared" si="30"/>
        <v>0</v>
      </c>
      <c r="AH15" s="371">
        <f t="shared" si="16"/>
        <v>0</v>
      </c>
      <c r="AI15" s="371">
        <f t="shared" si="16"/>
        <v>0</v>
      </c>
      <c r="AJ15" s="366">
        <f t="shared" si="17"/>
        <v>0</v>
      </c>
      <c r="AK15" s="371">
        <f t="shared" si="17"/>
        <v>0</v>
      </c>
      <c r="AL15" s="370">
        <f>'7'!I46</f>
        <v>36777.094523572268</v>
      </c>
      <c r="AM15" s="368">
        <f t="shared" si="18"/>
        <v>243906.46729388295</v>
      </c>
      <c r="AN15" s="371">
        <f t="shared" si="19"/>
        <v>788.66646344939659</v>
      </c>
      <c r="AO15" s="371">
        <f t="shared" si="19"/>
        <v>746.69969108417968</v>
      </c>
      <c r="AP15" s="371">
        <f t="shared" si="20"/>
        <v>959.63611636500025</v>
      </c>
      <c r="AQ15" s="371">
        <f t="shared" si="20"/>
        <v>753.3650875779382</v>
      </c>
      <c r="AR15" s="370">
        <f>+Listrik!AA14</f>
        <v>19486.899999999339</v>
      </c>
      <c r="AS15" s="368">
        <f t="shared" si="21"/>
        <v>163623.92399999982</v>
      </c>
      <c r="AT15" s="371">
        <f t="shared" si="22"/>
        <v>417.88685880938704</v>
      </c>
      <c r="AU15" s="371">
        <f t="shared" si="22"/>
        <v>500.92125420179588</v>
      </c>
      <c r="AV15" s="371">
        <f t="shared" si="23"/>
        <v>508.47771631352003</v>
      </c>
      <c r="AW15" s="371">
        <f t="shared" si="23"/>
        <v>505.39271550179711</v>
      </c>
      <c r="AX15" s="370">
        <v>0</v>
      </c>
      <c r="AY15" s="368">
        <f t="shared" si="24"/>
        <v>0</v>
      </c>
      <c r="AZ15" s="371">
        <f t="shared" si="25"/>
        <v>0</v>
      </c>
      <c r="BA15" s="371">
        <f t="shared" si="25"/>
        <v>0</v>
      </c>
      <c r="BB15" s="371">
        <f t="shared" si="26"/>
        <v>0</v>
      </c>
      <c r="BC15" s="371">
        <f t="shared" si="26"/>
        <v>0</v>
      </c>
      <c r="BD15" s="444"/>
      <c r="BE15" s="366">
        <f>+Efficiency2!K34</f>
        <v>46.658555550000003</v>
      </c>
      <c r="BF15" s="367">
        <f t="shared" si="27"/>
        <v>344.60504262287566</v>
      </c>
      <c r="BG15" s="392">
        <f t="shared" si="28"/>
        <v>0.82137133368673254</v>
      </c>
      <c r="BH15" s="392">
        <f t="shared" si="29"/>
        <v>0.93949873030241138</v>
      </c>
    </row>
    <row r="16" spans="1:60" s="372" customFormat="1" ht="12.75" customHeight="1">
      <c r="A16" s="386">
        <f t="shared" si="2"/>
        <v>46089</v>
      </c>
      <c r="B16" s="395" t="s">
        <v>420</v>
      </c>
      <c r="C16" s="373" t="s">
        <v>421</v>
      </c>
      <c r="D16" s="365">
        <f>+'8'!F42</f>
        <v>1148.4375</v>
      </c>
      <c r="E16" s="365">
        <f>+'8'!G42</f>
        <v>941.71875</v>
      </c>
      <c r="F16" s="46">
        <f t="shared" si="0"/>
        <v>0.18000000000000005</v>
      </c>
      <c r="G16" s="391">
        <f t="shared" si="3"/>
        <v>1.0028943826853234</v>
      </c>
      <c r="H16" s="387">
        <f t="shared" si="4"/>
        <v>1.0015317544479792</v>
      </c>
      <c r="I16" s="387">
        <f t="shared" si="5"/>
        <v>0.88506669724419984</v>
      </c>
      <c r="J16" s="392">
        <f t="shared" si="6"/>
        <v>0.88642240209446188</v>
      </c>
      <c r="K16" s="392">
        <f t="shared" si="6"/>
        <v>0.86417469921210288</v>
      </c>
      <c r="L16" s="366">
        <f>+Efficiency1!K40</f>
        <v>52.245972000000002</v>
      </c>
      <c r="M16" s="367">
        <f t="shared" si="7"/>
        <v>428.23285654787566</v>
      </c>
      <c r="N16" s="366">
        <f>+Efficiency1!C40</f>
        <v>52.174985624999998</v>
      </c>
      <c r="O16" s="367">
        <f t="shared" si="7"/>
        <v>423.8474899501033</v>
      </c>
      <c r="P16" s="367">
        <f>'8'!I38</f>
        <v>52.325999999999993</v>
      </c>
      <c r="Q16" s="367">
        <f t="shared" si="8"/>
        <v>378.97199999999998</v>
      </c>
      <c r="R16" s="589">
        <f>'8'!I40</f>
        <v>46.311999999999998</v>
      </c>
      <c r="S16" s="367">
        <f t="shared" si="9"/>
        <v>370.06800000000004</v>
      </c>
      <c r="T16" s="95">
        <f>+[1]Report1!AZ16</f>
        <v>3559.8694463178026</v>
      </c>
      <c r="U16" s="13">
        <f t="shared" si="10"/>
        <v>27886.384781255387</v>
      </c>
      <c r="V16" s="274">
        <f t="shared" si="11"/>
        <v>68.03251626949897</v>
      </c>
      <c r="W16" s="274">
        <f t="shared" si="11"/>
        <v>73.584287971816877</v>
      </c>
      <c r="X16" s="275">
        <f t="shared" si="12"/>
        <v>76.867106717865838</v>
      </c>
      <c r="Y16" s="274">
        <f t="shared" si="13"/>
        <v>75.354758534256902</v>
      </c>
      <c r="Z16" s="369">
        <v>99.6</v>
      </c>
      <c r="AA16" s="368">
        <f t="shared" si="14"/>
        <v>735.45999999999992</v>
      </c>
      <c r="AB16" s="371">
        <f t="shared" si="1"/>
        <v>1.9034514390551545</v>
      </c>
      <c r="AC16" s="371">
        <f t="shared" si="1"/>
        <v>1.9406710786021131</v>
      </c>
      <c r="AD16" s="366">
        <f t="shared" si="15"/>
        <v>2.1506305061323201</v>
      </c>
      <c r="AE16" s="371">
        <f t="shared" si="15"/>
        <v>1.9873644843650351</v>
      </c>
      <c r="AF16" s="95"/>
      <c r="AG16" s="370">
        <f t="shared" si="30"/>
        <v>0</v>
      </c>
      <c r="AH16" s="371">
        <f t="shared" si="16"/>
        <v>0</v>
      </c>
      <c r="AI16" s="371">
        <f t="shared" si="16"/>
        <v>0</v>
      </c>
      <c r="AJ16" s="366">
        <f t="shared" si="17"/>
        <v>0</v>
      </c>
      <c r="AK16" s="371">
        <f t="shared" si="17"/>
        <v>0</v>
      </c>
      <c r="AL16" s="370">
        <f>'8'!I46</f>
        <v>37494.252447724903</v>
      </c>
      <c r="AM16" s="368">
        <f t="shared" si="18"/>
        <v>281400.71974160784</v>
      </c>
      <c r="AN16" s="371">
        <f t="shared" si="19"/>
        <v>716.55109214778327</v>
      </c>
      <c r="AO16" s="371">
        <f t="shared" si="19"/>
        <v>742.53696774856144</v>
      </c>
      <c r="AP16" s="371">
        <f t="shared" si="20"/>
        <v>809.60123613156213</v>
      </c>
      <c r="AQ16" s="371">
        <f t="shared" si="20"/>
        <v>760.40273609608994</v>
      </c>
      <c r="AR16" s="370">
        <f>+Listrik!AA15</f>
        <v>26268.044000000154</v>
      </c>
      <c r="AS16" s="368">
        <f t="shared" si="21"/>
        <v>189891.96799999999</v>
      </c>
      <c r="AT16" s="371">
        <f t="shared" si="22"/>
        <v>502.0074914956266</v>
      </c>
      <c r="AU16" s="371">
        <f t="shared" si="22"/>
        <v>501.07123481418148</v>
      </c>
      <c r="AV16" s="371">
        <f t="shared" si="23"/>
        <v>567.19735705648975</v>
      </c>
      <c r="AW16" s="371">
        <f t="shared" si="23"/>
        <v>513.12723067111972</v>
      </c>
      <c r="AX16" s="370">
        <v>0</v>
      </c>
      <c r="AY16" s="368">
        <f t="shared" si="24"/>
        <v>0</v>
      </c>
      <c r="AZ16" s="371">
        <f t="shared" si="25"/>
        <v>0</v>
      </c>
      <c r="BA16" s="371">
        <f t="shared" si="25"/>
        <v>0</v>
      </c>
      <c r="BB16" s="371">
        <f t="shared" si="26"/>
        <v>0</v>
      </c>
      <c r="BC16" s="371">
        <f t="shared" si="26"/>
        <v>0</v>
      </c>
      <c r="BD16" s="444"/>
      <c r="BE16" s="366">
        <f>+Efficiency2!K40</f>
        <v>52.245972000000002</v>
      </c>
      <c r="BF16" s="367">
        <f t="shared" si="27"/>
        <v>396.85101462287565</v>
      </c>
      <c r="BG16" s="392">
        <f t="shared" si="28"/>
        <v>0.88642240209446188</v>
      </c>
      <c r="BH16" s="392">
        <f t="shared" si="29"/>
        <v>0.9325111600172491</v>
      </c>
    </row>
    <row r="17" spans="1:60" s="372" customFormat="1" ht="12.75" customHeight="1">
      <c r="A17" s="386">
        <f t="shared" si="2"/>
        <v>46090</v>
      </c>
      <c r="B17" s="395" t="s">
        <v>420</v>
      </c>
      <c r="C17" s="373" t="s">
        <v>469</v>
      </c>
      <c r="D17" s="365">
        <f>+'9'!F42</f>
        <v>1150</v>
      </c>
      <c r="E17" s="365">
        <f>+'9'!G42</f>
        <v>943</v>
      </c>
      <c r="F17" s="46">
        <f t="shared" si="0"/>
        <v>0.18000000000000005</v>
      </c>
      <c r="G17" s="391">
        <f t="shared" si="3"/>
        <v>1.0343089549611957</v>
      </c>
      <c r="H17" s="387">
        <f t="shared" si="4"/>
        <v>1.0036290769517597</v>
      </c>
      <c r="I17" s="387">
        <f t="shared" si="5"/>
        <v>1.2008106314675657</v>
      </c>
      <c r="J17" s="392">
        <f t="shared" si="6"/>
        <v>1.205168465653653</v>
      </c>
      <c r="K17" s="392">
        <f t="shared" si="6"/>
        <v>0.90333365328967252</v>
      </c>
      <c r="L17" s="366">
        <f>+SUM(Efficiency1!K44:K45)</f>
        <v>55.557377999999993</v>
      </c>
      <c r="M17" s="367">
        <f t="shared" si="7"/>
        <v>483.79023454787563</v>
      </c>
      <c r="N17" s="366">
        <f>+SUM(Efficiency1!C44:C45)</f>
        <v>53.909424000000001</v>
      </c>
      <c r="O17" s="367">
        <f t="shared" si="7"/>
        <v>477.7569139501033</v>
      </c>
      <c r="P17" s="367">
        <f>'9'!I38</f>
        <v>55.759</v>
      </c>
      <c r="Q17" s="367">
        <f t="shared" si="8"/>
        <v>434.73099999999999</v>
      </c>
      <c r="R17" s="589">
        <f>'9'!I40</f>
        <v>66.956000000000003</v>
      </c>
      <c r="S17" s="367">
        <f t="shared" si="9"/>
        <v>437.02400000000006</v>
      </c>
      <c r="T17" s="95">
        <f>+[1]Report1!AZ17</f>
        <v>3851.5604233450363</v>
      </c>
      <c r="U17" s="13">
        <f t="shared" si="10"/>
        <v>31737.945204600423</v>
      </c>
      <c r="V17" s="274">
        <f t="shared" si="11"/>
        <v>69.075134477753124</v>
      </c>
      <c r="W17" s="274">
        <f t="shared" si="11"/>
        <v>73.005939775632342</v>
      </c>
      <c r="X17" s="275">
        <f t="shared" si="12"/>
        <v>57.523753261022705</v>
      </c>
      <c r="Y17" s="274">
        <f t="shared" si="13"/>
        <v>72.622888456012532</v>
      </c>
      <c r="Z17" s="369">
        <v>96.6</v>
      </c>
      <c r="AA17" s="368">
        <f t="shared" si="14"/>
        <v>832.06</v>
      </c>
      <c r="AB17" s="371">
        <f t="shared" si="1"/>
        <v>1.7324557470542872</v>
      </c>
      <c r="AC17" s="371">
        <f t="shared" si="1"/>
        <v>1.9139651876677761</v>
      </c>
      <c r="AD17" s="366">
        <f t="shared" si="15"/>
        <v>1.44273851484557</v>
      </c>
      <c r="AE17" s="371">
        <f t="shared" si="15"/>
        <v>1.9039228966830193</v>
      </c>
      <c r="AF17" s="95"/>
      <c r="AG17" s="370">
        <f t="shared" si="30"/>
        <v>0</v>
      </c>
      <c r="AH17" s="371">
        <f t="shared" si="16"/>
        <v>0</v>
      </c>
      <c r="AI17" s="371">
        <f t="shared" si="16"/>
        <v>0</v>
      </c>
      <c r="AJ17" s="366">
        <f t="shared" si="17"/>
        <v>0</v>
      </c>
      <c r="AK17" s="371">
        <f t="shared" si="17"/>
        <v>0</v>
      </c>
      <c r="AL17" s="370">
        <f>'9'!I46</f>
        <v>44055.334325343581</v>
      </c>
      <c r="AM17" s="368">
        <f t="shared" si="18"/>
        <v>325456.05406695144</v>
      </c>
      <c r="AN17" s="371">
        <f t="shared" si="19"/>
        <v>790.10266190827633</v>
      </c>
      <c r="AO17" s="371">
        <f t="shared" si="19"/>
        <v>748.63778765938355</v>
      </c>
      <c r="AP17" s="371">
        <f t="shared" si="20"/>
        <v>657.97440595829471</v>
      </c>
      <c r="AQ17" s="371">
        <f t="shared" si="20"/>
        <v>744.70979641152758</v>
      </c>
      <c r="AR17" s="370">
        <f>+Listrik!AA16</f>
        <v>23221.70600000002</v>
      </c>
      <c r="AS17" s="368">
        <f t="shared" si="21"/>
        <v>213113.674</v>
      </c>
      <c r="AT17" s="371">
        <f t="shared" si="22"/>
        <v>416.46561093276455</v>
      </c>
      <c r="AU17" s="371">
        <f t="shared" si="22"/>
        <v>490.21963927118151</v>
      </c>
      <c r="AV17" s="371">
        <f t="shared" si="23"/>
        <v>346.82038950952892</v>
      </c>
      <c r="AW17" s="371">
        <f t="shared" si="23"/>
        <v>487.64752965512184</v>
      </c>
      <c r="AX17" s="370">
        <v>0</v>
      </c>
      <c r="AY17" s="368">
        <f t="shared" si="24"/>
        <v>0</v>
      </c>
      <c r="AZ17" s="371">
        <f t="shared" si="25"/>
        <v>0</v>
      </c>
      <c r="BA17" s="371">
        <f t="shared" si="25"/>
        <v>0</v>
      </c>
      <c r="BB17" s="371">
        <f t="shared" si="26"/>
        <v>0</v>
      </c>
      <c r="BC17" s="371">
        <f t="shared" si="26"/>
        <v>0</v>
      </c>
      <c r="BD17" s="444"/>
      <c r="BE17" s="366">
        <f>+SUM(Efficiency2!K44:K45)</f>
        <v>55.557377999999993</v>
      </c>
      <c r="BF17" s="367">
        <f t="shared" si="27"/>
        <v>452.40839262287562</v>
      </c>
      <c r="BG17" s="392">
        <f t="shared" si="28"/>
        <v>1.205168465653653</v>
      </c>
      <c r="BH17" s="392">
        <f t="shared" si="29"/>
        <v>0.96599445794167682</v>
      </c>
    </row>
    <row r="18" spans="1:60" s="372" customFormat="1" ht="12.75" customHeight="1">
      <c r="A18" s="386">
        <f t="shared" si="2"/>
        <v>46091</v>
      </c>
      <c r="B18" s="395" t="s">
        <v>420</v>
      </c>
      <c r="C18" s="373" t="s">
        <v>496</v>
      </c>
      <c r="D18" s="365">
        <f>+'10'!F42</f>
        <v>1150</v>
      </c>
      <c r="E18" s="365">
        <f>+'10'!G42</f>
        <v>943</v>
      </c>
      <c r="F18" s="46">
        <f t="shared" si="0"/>
        <v>0.18000000000000005</v>
      </c>
      <c r="G18" s="391">
        <f t="shared" si="3"/>
        <v>1.0553112209601037</v>
      </c>
      <c r="H18" s="387">
        <f t="shared" si="4"/>
        <v>1.0198385748774115</v>
      </c>
      <c r="I18" s="387">
        <f>+R18/P18</f>
        <v>0.96837702565538486</v>
      </c>
      <c r="J18" s="392">
        <f t="shared" si="6"/>
        <v>0.9875882457884142</v>
      </c>
      <c r="K18" s="392">
        <f t="shared" si="6"/>
        <v>0.9120788196204016</v>
      </c>
      <c r="L18" s="366">
        <f>+Efficiency1!K48</f>
        <v>56.030435999999987</v>
      </c>
      <c r="M18" s="367">
        <f t="shared" si="7"/>
        <v>539.82067054787558</v>
      </c>
      <c r="N18" s="366">
        <f>+Efficiency1!C48</f>
        <v>54.147060000000003</v>
      </c>
      <c r="O18" s="367">
        <f t="shared" si="7"/>
        <v>531.90397395010325</v>
      </c>
      <c r="P18" s="367">
        <f>'10'!I38</f>
        <v>57.141999999999996</v>
      </c>
      <c r="Q18" s="367">
        <f t="shared" si="8"/>
        <v>491.87299999999999</v>
      </c>
      <c r="R18" s="589">
        <f>'10'!I40</f>
        <v>55.335000000000001</v>
      </c>
      <c r="S18" s="367">
        <f t="shared" si="9"/>
        <v>492.35900000000004</v>
      </c>
      <c r="T18" s="95">
        <f>+[1]Report1!AZ18</f>
        <v>3763.2662878787878</v>
      </c>
      <c r="U18" s="13">
        <f t="shared" si="10"/>
        <v>35501.211492479211</v>
      </c>
      <c r="V18" s="274">
        <f t="shared" si="11"/>
        <v>65.858147910097443</v>
      </c>
      <c r="W18" s="274">
        <f t="shared" si="11"/>
        <v>72.17556461216455</v>
      </c>
      <c r="X18" s="275">
        <f t="shared" si="12"/>
        <v>68.008788070457911</v>
      </c>
      <c r="Y18" s="274">
        <f t="shared" si="13"/>
        <v>72.104321221871047</v>
      </c>
      <c r="Z18" s="369">
        <v>97.9</v>
      </c>
      <c r="AA18" s="368">
        <f t="shared" si="14"/>
        <v>929.95999999999992</v>
      </c>
      <c r="AB18" s="371">
        <f t="shared" si="1"/>
        <v>1.7132756991354872</v>
      </c>
      <c r="AC18" s="371">
        <f t="shared" si="1"/>
        <v>1.8906506354282506</v>
      </c>
      <c r="AD18" s="366">
        <f t="shared" si="15"/>
        <v>1.769223818559682</v>
      </c>
      <c r="AE18" s="371">
        <f t="shared" si="15"/>
        <v>1.8887844032504735</v>
      </c>
      <c r="AF18" s="95"/>
      <c r="AG18" s="370">
        <f t="shared" si="30"/>
        <v>0</v>
      </c>
      <c r="AH18" s="371">
        <f t="shared" si="16"/>
        <v>0</v>
      </c>
      <c r="AI18" s="371">
        <f t="shared" si="16"/>
        <v>0</v>
      </c>
      <c r="AJ18" s="366">
        <f t="shared" si="17"/>
        <v>0</v>
      </c>
      <c r="AK18" s="371">
        <f t="shared" si="17"/>
        <v>0</v>
      </c>
      <c r="AL18" s="370">
        <f>'10'!I46</f>
        <v>41034.571238279816</v>
      </c>
      <c r="AM18" s="368">
        <f t="shared" si="18"/>
        <v>366490.62530523125</v>
      </c>
      <c r="AN18" s="371">
        <f t="shared" si="19"/>
        <v>718.11576840642294</v>
      </c>
      <c r="AO18" s="371">
        <f t="shared" si="19"/>
        <v>745.09197558156529</v>
      </c>
      <c r="AP18" s="371">
        <f t="shared" si="20"/>
        <v>741.56630050202978</v>
      </c>
      <c r="AQ18" s="371">
        <f t="shared" si="20"/>
        <v>744.35650674656335</v>
      </c>
      <c r="AR18" s="370">
        <f>+Listrik!AA17</f>
        <v>27725.951000000001</v>
      </c>
      <c r="AS18" s="368">
        <f t="shared" si="21"/>
        <v>240839.625</v>
      </c>
      <c r="AT18" s="371">
        <f t="shared" si="22"/>
        <v>485.21142067131012</v>
      </c>
      <c r="AU18" s="371">
        <f t="shared" si="22"/>
        <v>489.63782317793414</v>
      </c>
      <c r="AV18" s="371">
        <f t="shared" si="23"/>
        <v>501.05631155688081</v>
      </c>
      <c r="AW18" s="371">
        <f t="shared" si="23"/>
        <v>489.15450920974325</v>
      </c>
      <c r="AX18" s="370">
        <v>0</v>
      </c>
      <c r="AY18" s="368">
        <f t="shared" si="24"/>
        <v>0</v>
      </c>
      <c r="AZ18" s="371">
        <f t="shared" si="25"/>
        <v>0</v>
      </c>
      <c r="BA18" s="371">
        <f t="shared" si="25"/>
        <v>0</v>
      </c>
      <c r="BB18" s="371">
        <f t="shared" si="26"/>
        <v>0</v>
      </c>
      <c r="BC18" s="371">
        <f t="shared" si="26"/>
        <v>0</v>
      </c>
      <c r="BD18" s="444"/>
      <c r="BE18" s="366">
        <f>+Efficiency2!K48</f>
        <v>56.030435999999987</v>
      </c>
      <c r="BF18" s="367">
        <f t="shared" si="27"/>
        <v>508.43882862287563</v>
      </c>
      <c r="BG18" s="392">
        <f t="shared" si="28"/>
        <v>0.9875882457884142</v>
      </c>
      <c r="BH18" s="392">
        <f t="shared" si="29"/>
        <v>0.96837411362458614</v>
      </c>
    </row>
    <row r="19" spans="1:60" s="372" customFormat="1" ht="12.75" customHeight="1">
      <c r="A19" s="386">
        <f t="shared" si="2"/>
        <v>46092</v>
      </c>
      <c r="B19" s="395" t="s">
        <v>420</v>
      </c>
      <c r="C19" s="373" t="s">
        <v>508</v>
      </c>
      <c r="D19" s="365">
        <f>+'11'!F42</f>
        <v>1157.2152777777778</v>
      </c>
      <c r="E19" s="365">
        <f>+'11'!G42</f>
        <v>930.88333333333333</v>
      </c>
      <c r="F19" s="46">
        <f t="shared" si="0"/>
        <v>0.19558326682229255</v>
      </c>
      <c r="G19" s="391">
        <f t="shared" si="3"/>
        <v>0.97437023444980864</v>
      </c>
      <c r="H19" s="387">
        <f t="shared" si="4"/>
        <v>0.95378482394622965</v>
      </c>
      <c r="I19" s="387">
        <f t="shared" si="5"/>
        <v>0.91305892693508872</v>
      </c>
      <c r="J19" s="392">
        <f t="shared" si="6"/>
        <v>0.87086174787931692</v>
      </c>
      <c r="K19" s="392">
        <f t="shared" si="6"/>
        <v>0.90820089772876988</v>
      </c>
      <c r="L19" s="366">
        <f>+SUM(Efficiency1!K52:K53)</f>
        <v>56.064007999999987</v>
      </c>
      <c r="M19" s="367">
        <f t="shared" si="7"/>
        <v>595.88467854787552</v>
      </c>
      <c r="N19" s="366">
        <f>+SUM(Efficiency1!C52:C53)</f>
        <v>54.879550000000002</v>
      </c>
      <c r="O19" s="367">
        <f t="shared" si="7"/>
        <v>586.78352395010324</v>
      </c>
      <c r="P19" s="367">
        <f>'11'!I38</f>
        <v>53.472999999999999</v>
      </c>
      <c r="Q19" s="367">
        <f t="shared" si="8"/>
        <v>545.346</v>
      </c>
      <c r="R19" s="589">
        <f>'11'!I40</f>
        <v>48.823999999999998</v>
      </c>
      <c r="S19" s="367">
        <f t="shared" si="9"/>
        <v>541.18299999999999</v>
      </c>
      <c r="T19" s="95">
        <f>+[1]Report1!AZ19</f>
        <v>3672.0504789215397</v>
      </c>
      <c r="U19" s="13">
        <f t="shared" si="10"/>
        <v>39173.261971400752</v>
      </c>
      <c r="V19" s="274">
        <f t="shared" si="11"/>
        <v>68.671113999991391</v>
      </c>
      <c r="W19" s="274">
        <f t="shared" si="11"/>
        <v>71.831941503927325</v>
      </c>
      <c r="X19" s="275">
        <f t="shared" si="12"/>
        <v>75.209947544681697</v>
      </c>
      <c r="Y19" s="274">
        <f t="shared" si="13"/>
        <v>72.384502047183219</v>
      </c>
      <c r="Z19" s="369">
        <v>96.3</v>
      </c>
      <c r="AA19" s="368">
        <f t="shared" si="14"/>
        <v>1026.26</v>
      </c>
      <c r="AB19" s="371">
        <f t="shared" si="1"/>
        <v>1.8009088698969573</v>
      </c>
      <c r="AC19" s="371">
        <f t="shared" si="1"/>
        <v>1.8818511550465209</v>
      </c>
      <c r="AD19" s="366">
        <f t="shared" si="15"/>
        <v>1.9723906275602163</v>
      </c>
      <c r="AE19" s="371">
        <f t="shared" si="15"/>
        <v>1.8963271204010475</v>
      </c>
      <c r="AF19" s="95"/>
      <c r="AG19" s="370">
        <f t="shared" si="30"/>
        <v>0</v>
      </c>
      <c r="AH19" s="371">
        <f t="shared" si="16"/>
        <v>0</v>
      </c>
      <c r="AI19" s="371">
        <f t="shared" si="16"/>
        <v>0</v>
      </c>
      <c r="AJ19" s="366">
        <f t="shared" si="17"/>
        <v>0</v>
      </c>
      <c r="AK19" s="371">
        <f t="shared" si="17"/>
        <v>0</v>
      </c>
      <c r="AL19" s="370">
        <f>'11'!I46</f>
        <v>42059.935434050887</v>
      </c>
      <c r="AM19" s="368">
        <f t="shared" si="18"/>
        <v>408550.56073928217</v>
      </c>
      <c r="AN19" s="371">
        <f t="shared" si="19"/>
        <v>786.56397497897785</v>
      </c>
      <c r="AO19" s="371">
        <f t="shared" si="19"/>
        <v>749.15844388568382</v>
      </c>
      <c r="AP19" s="371">
        <f t="shared" si="20"/>
        <v>861.46025385160749</v>
      </c>
      <c r="AQ19" s="371">
        <f t="shared" si="20"/>
        <v>754.92127568545607</v>
      </c>
      <c r="AR19" s="370">
        <f>+Listrik!AA18</f>
        <v>25138.048999999999</v>
      </c>
      <c r="AS19" s="368">
        <f t="shared" si="21"/>
        <v>265977.674</v>
      </c>
      <c r="AT19" s="371">
        <f t="shared" si="22"/>
        <v>470.10732519215304</v>
      </c>
      <c r="AU19" s="371">
        <f t="shared" si="22"/>
        <v>487.72279250237466</v>
      </c>
      <c r="AV19" s="371">
        <f t="shared" si="23"/>
        <v>514.87073980009836</v>
      </c>
      <c r="AW19" s="371">
        <f t="shared" si="23"/>
        <v>491.47455481787125</v>
      </c>
      <c r="AX19" s="370">
        <v>0</v>
      </c>
      <c r="AY19" s="368">
        <f t="shared" si="24"/>
        <v>0</v>
      </c>
      <c r="AZ19" s="371">
        <f t="shared" si="25"/>
        <v>0</v>
      </c>
      <c r="BA19" s="371">
        <f t="shared" si="25"/>
        <v>0</v>
      </c>
      <c r="BB19" s="371">
        <f t="shared" si="26"/>
        <v>0</v>
      </c>
      <c r="BC19" s="371">
        <f t="shared" si="26"/>
        <v>0</v>
      </c>
      <c r="BD19" s="444"/>
      <c r="BE19" s="366">
        <f>+SUM(Efficiency2!K52:K53)</f>
        <v>56.064007999999987</v>
      </c>
      <c r="BF19" s="367">
        <f t="shared" si="27"/>
        <v>564.50283662287563</v>
      </c>
      <c r="BG19" s="392">
        <f t="shared" si="28"/>
        <v>0.87086174787931692</v>
      </c>
      <c r="BH19" s="392">
        <f t="shared" si="29"/>
        <v>0.95868960240769385</v>
      </c>
    </row>
    <row r="20" spans="1:60" s="372" customFormat="1" ht="12.75" customHeight="1">
      <c r="A20" s="386">
        <f t="shared" si="2"/>
        <v>46093</v>
      </c>
      <c r="B20" s="395" t="s">
        <v>420</v>
      </c>
      <c r="C20" s="373" t="s">
        <v>575</v>
      </c>
      <c r="D20" s="365">
        <f>+'12'!F42</f>
        <v>1187.5</v>
      </c>
      <c r="E20" s="365">
        <f>+'12'!G42</f>
        <v>954.06666666666672</v>
      </c>
      <c r="F20" s="46">
        <f t="shared" si="0"/>
        <v>0.19657543859649118</v>
      </c>
      <c r="G20" s="391">
        <f t="shared" si="3"/>
        <v>0.97927808159606344</v>
      </c>
      <c r="H20" s="387">
        <f t="shared" si="4"/>
        <v>0.9541275039727708</v>
      </c>
      <c r="I20" s="387">
        <f t="shared" si="5"/>
        <v>1.0089389521032268</v>
      </c>
      <c r="J20" s="392">
        <f t="shared" si="6"/>
        <v>0.96265640403115471</v>
      </c>
      <c r="K20" s="392">
        <f t="shared" si="6"/>
        <v>0.9128016046797901</v>
      </c>
      <c r="L20" s="366">
        <f>+SUM(Efficiency1!K56:K57)</f>
        <v>54.98950589050132</v>
      </c>
      <c r="M20" s="367">
        <f t="shared" si="7"/>
        <v>650.8741844383768</v>
      </c>
      <c r="N20" s="366">
        <f>+SUM(Efficiency1!C56:C57)</f>
        <v>53.577222840000005</v>
      </c>
      <c r="O20" s="367">
        <f t="shared" si="7"/>
        <v>640.36074679010324</v>
      </c>
      <c r="P20" s="367">
        <f>'12'!I38</f>
        <v>52.466999999999999</v>
      </c>
      <c r="Q20" s="367">
        <f t="shared" si="8"/>
        <v>597.81299999999999</v>
      </c>
      <c r="R20" s="589">
        <f>'12'!I40</f>
        <v>52.936</v>
      </c>
      <c r="S20" s="367">
        <f t="shared" si="9"/>
        <v>594.11900000000003</v>
      </c>
      <c r="T20" s="95">
        <f>+[1]Report1!AZ20</f>
        <v>3690.066428686956</v>
      </c>
      <c r="U20" s="13">
        <f t="shared" si="10"/>
        <v>42863.32840008771</v>
      </c>
      <c r="V20" s="274">
        <f t="shared" si="11"/>
        <v>70.33118776920648</v>
      </c>
      <c r="W20" s="274">
        <f t="shared" si="11"/>
        <v>71.700227997865071</v>
      </c>
      <c r="X20" s="275">
        <f t="shared" si="12"/>
        <v>69.708070664329682</v>
      </c>
      <c r="Y20" s="274">
        <f t="shared" si="13"/>
        <v>72.146032024035094</v>
      </c>
      <c r="Z20" s="369">
        <v>95.6</v>
      </c>
      <c r="AA20" s="368">
        <f t="shared" si="14"/>
        <v>1121.8599999999999</v>
      </c>
      <c r="AB20" s="371">
        <f t="shared" si="1"/>
        <v>1.8220976995063562</v>
      </c>
      <c r="AC20" s="371">
        <f t="shared" si="1"/>
        <v>1.8766068988128393</v>
      </c>
      <c r="AD20" s="366">
        <f t="shared" si="15"/>
        <v>1.8059543599818648</v>
      </c>
      <c r="AE20" s="371">
        <f t="shared" si="15"/>
        <v>1.8882749078888235</v>
      </c>
      <c r="AF20" s="95"/>
      <c r="AG20" s="370">
        <f t="shared" si="30"/>
        <v>0</v>
      </c>
      <c r="AH20" s="371">
        <f t="shared" si="16"/>
        <v>0</v>
      </c>
      <c r="AI20" s="371">
        <f t="shared" si="16"/>
        <v>0</v>
      </c>
      <c r="AJ20" s="366">
        <f t="shared" si="17"/>
        <v>0</v>
      </c>
      <c r="AK20" s="371">
        <f t="shared" si="17"/>
        <v>0</v>
      </c>
      <c r="AL20" s="370">
        <f>'12'!I46</f>
        <v>40299.710217802094</v>
      </c>
      <c r="AM20" s="368">
        <f t="shared" si="18"/>
        <v>448850.27095708426</v>
      </c>
      <c r="AN20" s="371">
        <f t="shared" si="19"/>
        <v>768.09633136642265</v>
      </c>
      <c r="AO20" s="371">
        <f t="shared" si="19"/>
        <v>750.82052574481361</v>
      </c>
      <c r="AP20" s="371">
        <f t="shared" si="20"/>
        <v>761.29118591888505</v>
      </c>
      <c r="AQ20" s="371">
        <f t="shared" si="20"/>
        <v>755.48883465616188</v>
      </c>
      <c r="AR20" s="370">
        <f>+Listrik!AA19</f>
        <v>23180.100000000009</v>
      </c>
      <c r="AS20" s="368">
        <f t="shared" si="21"/>
        <v>289157.77400000003</v>
      </c>
      <c r="AT20" s="371">
        <f t="shared" si="22"/>
        <v>441.8034192921267</v>
      </c>
      <c r="AU20" s="371">
        <f t="shared" si="22"/>
        <v>483.69268316346421</v>
      </c>
      <c r="AV20" s="371">
        <f t="shared" si="23"/>
        <v>437.88914916125151</v>
      </c>
      <c r="AW20" s="371">
        <f t="shared" si="23"/>
        <v>486.70009543542631</v>
      </c>
      <c r="AX20" s="370">
        <v>0</v>
      </c>
      <c r="AY20" s="368">
        <f t="shared" si="24"/>
        <v>0</v>
      </c>
      <c r="AZ20" s="371">
        <f t="shared" si="25"/>
        <v>0</v>
      </c>
      <c r="BA20" s="371">
        <f t="shared" si="25"/>
        <v>0</v>
      </c>
      <c r="BB20" s="371">
        <f t="shared" si="26"/>
        <v>0</v>
      </c>
      <c r="BC20" s="371">
        <f t="shared" si="26"/>
        <v>0</v>
      </c>
      <c r="BD20" s="444"/>
      <c r="BE20" s="366">
        <f>+SUM(Efficiency2!K56:K57)</f>
        <v>54.98950589050132</v>
      </c>
      <c r="BF20" s="367">
        <f t="shared" si="27"/>
        <v>619.49234251337691</v>
      </c>
      <c r="BG20" s="392">
        <f t="shared" si="28"/>
        <v>0.96265640403115471</v>
      </c>
      <c r="BH20" s="392">
        <f t="shared" si="29"/>
        <v>0.95904171727057463</v>
      </c>
    </row>
    <row r="21" spans="1:60" s="372" customFormat="1" ht="12.75" customHeight="1">
      <c r="A21" s="386">
        <f t="shared" si="2"/>
        <v>46094</v>
      </c>
      <c r="B21" s="395" t="s">
        <v>420</v>
      </c>
      <c r="C21" s="373" t="s">
        <v>589</v>
      </c>
      <c r="D21" s="365">
        <f>+'13'!F42</f>
        <v>1225</v>
      </c>
      <c r="E21" s="365">
        <f>+'13'!G42</f>
        <v>1003.0708333333333</v>
      </c>
      <c r="F21" s="46">
        <f t="shared" si="0"/>
        <v>0.1811666666666667</v>
      </c>
      <c r="G21" s="391">
        <f t="shared" si="3"/>
        <v>0.98757807984595891</v>
      </c>
      <c r="H21" s="387">
        <f t="shared" si="4"/>
        <v>0.96172328667644091</v>
      </c>
      <c r="I21" s="387">
        <f t="shared" si="5"/>
        <v>0.94840099795872068</v>
      </c>
      <c r="J21" s="392">
        <f t="shared" si="6"/>
        <v>0.91209932484407741</v>
      </c>
      <c r="K21" s="392">
        <f t="shared" si="6"/>
        <v>0.91274687213313155</v>
      </c>
      <c r="L21" s="366">
        <f>+SUM(Efficiency1!K60:K61)</f>
        <v>55.013745360000001</v>
      </c>
      <c r="M21" s="367">
        <f t="shared" si="7"/>
        <v>705.88792979837683</v>
      </c>
      <c r="N21" s="366">
        <f>+SUM(Efficiency1!C60:C61)</f>
        <v>53.573485559999995</v>
      </c>
      <c r="O21" s="367">
        <f t="shared" si="7"/>
        <v>693.93423235010323</v>
      </c>
      <c r="P21" s="367">
        <f>'13'!I38</f>
        <v>52.908000000000001</v>
      </c>
      <c r="Q21" s="367">
        <f t="shared" si="8"/>
        <v>650.721</v>
      </c>
      <c r="R21" s="589">
        <f>'13'!I40</f>
        <v>50.177999999999997</v>
      </c>
      <c r="S21" s="367">
        <f t="shared" si="9"/>
        <v>644.29700000000003</v>
      </c>
      <c r="T21" s="95">
        <f>+[1]Report1!AZ21</f>
        <v>3466.1579030554694</v>
      </c>
      <c r="U21" s="13">
        <f t="shared" si="10"/>
        <v>46329.486303143181</v>
      </c>
      <c r="V21" s="274">
        <f t="shared" si="11"/>
        <v>65.512926269287618</v>
      </c>
      <c r="W21" s="274">
        <f t="shared" si="11"/>
        <v>71.19715869496018</v>
      </c>
      <c r="X21" s="275">
        <f t="shared" si="12"/>
        <v>69.077243075759682</v>
      </c>
      <c r="Y21" s="274">
        <f t="shared" si="13"/>
        <v>71.907034028007544</v>
      </c>
      <c r="Z21" s="369">
        <v>95.9</v>
      </c>
      <c r="AA21" s="368">
        <f t="shared" si="14"/>
        <v>1217.76</v>
      </c>
      <c r="AB21" s="371">
        <f t="shared" si="1"/>
        <v>1.812580328116731</v>
      </c>
      <c r="AC21" s="371">
        <f t="shared" si="1"/>
        <v>1.8714011073870369</v>
      </c>
      <c r="AD21" s="366">
        <f t="shared" si="15"/>
        <v>1.9111961417354222</v>
      </c>
      <c r="AE21" s="371">
        <f t="shared" si="15"/>
        <v>1.8900600189043251</v>
      </c>
      <c r="AF21" s="95"/>
      <c r="AG21" s="370">
        <f t="shared" si="30"/>
        <v>0</v>
      </c>
      <c r="AH21" s="371">
        <f t="shared" si="16"/>
        <v>0</v>
      </c>
      <c r="AI21" s="371">
        <f t="shared" si="16"/>
        <v>0</v>
      </c>
      <c r="AJ21" s="366">
        <f t="shared" si="17"/>
        <v>0</v>
      </c>
      <c r="AK21" s="371">
        <f t="shared" si="17"/>
        <v>0</v>
      </c>
      <c r="AL21" s="370">
        <f>'13'!I46</f>
        <v>40397.662220054721</v>
      </c>
      <c r="AM21" s="368">
        <f t="shared" si="18"/>
        <v>489247.93317713897</v>
      </c>
      <c r="AN21" s="371">
        <f t="shared" si="19"/>
        <v>763.54544152216533</v>
      </c>
      <c r="AO21" s="371">
        <f t="shared" si="19"/>
        <v>751.85514710165944</v>
      </c>
      <c r="AP21" s="371">
        <f t="shared" si="20"/>
        <v>805.08713420333061</v>
      </c>
      <c r="AQ21" s="371">
        <f t="shared" si="20"/>
        <v>759.35156174425606</v>
      </c>
      <c r="AR21" s="370">
        <f>+Listrik!AA20</f>
        <v>24190.451000000001</v>
      </c>
      <c r="AS21" s="368">
        <f t="shared" si="21"/>
        <v>313348.22500000003</v>
      </c>
      <c r="AT21" s="371">
        <f t="shared" si="22"/>
        <v>457.2172639298405</v>
      </c>
      <c r="AU21" s="371">
        <f t="shared" si="22"/>
        <v>481.54005326399488</v>
      </c>
      <c r="AV21" s="371">
        <f t="shared" si="23"/>
        <v>482.09276973972658</v>
      </c>
      <c r="AW21" s="371">
        <f t="shared" si="23"/>
        <v>486.34127584017932</v>
      </c>
      <c r="AX21" s="370">
        <v>0</v>
      </c>
      <c r="AY21" s="368">
        <f t="shared" si="24"/>
        <v>0</v>
      </c>
      <c r="AZ21" s="371">
        <f t="shared" si="25"/>
        <v>0</v>
      </c>
      <c r="BA21" s="371">
        <f t="shared" si="25"/>
        <v>0</v>
      </c>
      <c r="BB21" s="371">
        <f t="shared" si="26"/>
        <v>0</v>
      </c>
      <c r="BC21" s="371">
        <f t="shared" si="26"/>
        <v>0</v>
      </c>
      <c r="BD21" s="444"/>
      <c r="BE21" s="366">
        <f>+SUM(Efficiency2!K60:K61)</f>
        <v>55.013745360000001</v>
      </c>
      <c r="BF21" s="367">
        <f t="shared" si="27"/>
        <v>674.50608787337694</v>
      </c>
      <c r="BG21" s="392">
        <f t="shared" si="28"/>
        <v>0.91209932484407741</v>
      </c>
      <c r="BH21" s="392">
        <f t="shared" si="29"/>
        <v>0.95521302414241815</v>
      </c>
    </row>
    <row r="22" spans="1:60" s="372" customFormat="1" ht="12.75" customHeight="1">
      <c r="A22" s="386">
        <f t="shared" si="2"/>
        <v>46095</v>
      </c>
      <c r="B22" s="395" t="s">
        <v>420</v>
      </c>
      <c r="C22" s="373" t="s">
        <v>611</v>
      </c>
      <c r="D22" s="365">
        <f>+'14'!F42</f>
        <v>1225</v>
      </c>
      <c r="E22" s="365">
        <f>+'14'!G42</f>
        <v>1029</v>
      </c>
      <c r="F22" s="46">
        <f t="shared" si="0"/>
        <v>0.16000000000000003</v>
      </c>
      <c r="G22" s="391">
        <f t="shared" si="3"/>
        <v>1.0038597818237038</v>
      </c>
      <c r="H22" s="387">
        <f t="shared" si="4"/>
        <v>0.98378258618722969</v>
      </c>
      <c r="I22" s="387">
        <f t="shared" si="5"/>
        <v>0.92890722262482106</v>
      </c>
      <c r="J22" s="392">
        <f t="shared" si="6"/>
        <v>0.91384274980184321</v>
      </c>
      <c r="K22" s="392">
        <f t="shared" si="6"/>
        <v>0.91282569107975708</v>
      </c>
      <c r="L22" s="366">
        <f>+Efficiency1!K64</f>
        <v>54.704160000000002</v>
      </c>
      <c r="M22" s="367">
        <f t="shared" si="7"/>
        <v>760.59208979837683</v>
      </c>
      <c r="N22" s="366">
        <f>+Efficiency1!C64</f>
        <v>53.610076800000002</v>
      </c>
      <c r="O22" s="367">
        <f t="shared" si="7"/>
        <v>747.54430915010323</v>
      </c>
      <c r="P22" s="367">
        <f>'14'!I38</f>
        <v>53.817000000000007</v>
      </c>
      <c r="Q22" s="367">
        <f t="shared" si="8"/>
        <v>704.53800000000001</v>
      </c>
      <c r="R22" s="589">
        <f>'14'!I40</f>
        <v>49.991</v>
      </c>
      <c r="S22" s="367">
        <f t="shared" si="9"/>
        <v>694.28800000000001</v>
      </c>
      <c r="T22" s="95">
        <f>+[1]Report1!AZ22</f>
        <v>3499.8967413945279</v>
      </c>
      <c r="U22" s="13">
        <f t="shared" si="10"/>
        <v>49829.38304453771</v>
      </c>
      <c r="V22" s="274">
        <f t="shared" si="11"/>
        <v>65.033293223229222</v>
      </c>
      <c r="W22" s="274">
        <f t="shared" si="11"/>
        <v>70.726324264323154</v>
      </c>
      <c r="X22" s="275">
        <f t="shared" si="12"/>
        <v>70.010536724500966</v>
      </c>
      <c r="Y22" s="274">
        <f t="shared" si="13"/>
        <v>71.770480037877235</v>
      </c>
      <c r="Z22" s="369">
        <v>95.6</v>
      </c>
      <c r="AA22" s="368">
        <f t="shared" si="14"/>
        <v>1313.36</v>
      </c>
      <c r="AB22" s="371">
        <f t="shared" si="1"/>
        <v>1.7763903599234439</v>
      </c>
      <c r="AC22" s="371">
        <f t="shared" si="1"/>
        <v>1.8641435948096481</v>
      </c>
      <c r="AD22" s="366">
        <f t="shared" si="15"/>
        <v>1.9123442219599527</v>
      </c>
      <c r="AE22" s="371">
        <f t="shared" si="15"/>
        <v>1.891664554190768</v>
      </c>
      <c r="AF22" s="95"/>
      <c r="AG22" s="370">
        <f t="shared" si="30"/>
        <v>0</v>
      </c>
      <c r="AH22" s="371">
        <f t="shared" si="16"/>
        <v>0</v>
      </c>
      <c r="AI22" s="371">
        <f t="shared" si="16"/>
        <v>0</v>
      </c>
      <c r="AJ22" s="366">
        <f t="shared" si="17"/>
        <v>0</v>
      </c>
      <c r="AK22" s="371">
        <f t="shared" si="17"/>
        <v>0</v>
      </c>
      <c r="AL22" s="370">
        <f>'14'!I46</f>
        <v>43210.2528485492</v>
      </c>
      <c r="AM22" s="368">
        <f t="shared" si="18"/>
        <v>532458.18602568819</v>
      </c>
      <c r="AN22" s="371">
        <f t="shared" si="19"/>
        <v>802.91084320101811</v>
      </c>
      <c r="AO22" s="371">
        <f t="shared" si="19"/>
        <v>755.75509912267069</v>
      </c>
      <c r="AP22" s="371">
        <f t="shared" si="20"/>
        <v>864.36064188652358</v>
      </c>
      <c r="AQ22" s="371">
        <f t="shared" si="20"/>
        <v>766.91255793804328</v>
      </c>
      <c r="AR22" s="370">
        <f>+Listrik!AA21</f>
        <v>25840.000000000004</v>
      </c>
      <c r="AS22" s="368">
        <f t="shared" si="21"/>
        <v>339188.22500000003</v>
      </c>
      <c r="AT22" s="371">
        <f t="shared" si="22"/>
        <v>480.14567887470497</v>
      </c>
      <c r="AU22" s="371">
        <f t="shared" si="22"/>
        <v>481.43354226457626</v>
      </c>
      <c r="AV22" s="371">
        <f t="shared" si="23"/>
        <v>516.89304074733457</v>
      </c>
      <c r="AW22" s="371">
        <f t="shared" si="23"/>
        <v>488.54110253958015</v>
      </c>
      <c r="AX22" s="370">
        <v>0</v>
      </c>
      <c r="AY22" s="368">
        <f t="shared" si="24"/>
        <v>0</v>
      </c>
      <c r="AZ22" s="371">
        <f t="shared" si="25"/>
        <v>0</v>
      </c>
      <c r="BA22" s="371">
        <f t="shared" si="25"/>
        <v>0</v>
      </c>
      <c r="BB22" s="371">
        <f t="shared" si="26"/>
        <v>0</v>
      </c>
      <c r="BC22" s="371">
        <f t="shared" si="26"/>
        <v>0</v>
      </c>
      <c r="BD22" s="444"/>
      <c r="BE22" s="366">
        <f>+Efficiency2!K64</f>
        <v>54.704160000000002</v>
      </c>
      <c r="BF22" s="367">
        <f t="shared" si="27"/>
        <v>729.21024787337694</v>
      </c>
      <c r="BG22" s="392">
        <f t="shared" si="28"/>
        <v>0.91384274980184321</v>
      </c>
      <c r="BH22" s="392">
        <f t="shared" si="29"/>
        <v>0.95210949383223564</v>
      </c>
    </row>
    <row r="23" spans="1:60" s="372" customFormat="1" ht="12.75" customHeight="1">
      <c r="A23" s="386">
        <f t="shared" si="2"/>
        <v>46096</v>
      </c>
      <c r="B23" s="395" t="s">
        <v>420</v>
      </c>
      <c r="C23" s="373" t="s">
        <v>611</v>
      </c>
      <c r="D23" s="365">
        <f>+'15'!F42</f>
        <v>1225</v>
      </c>
      <c r="E23" s="365">
        <f>+'15'!G42</f>
        <v>1029</v>
      </c>
      <c r="F23" s="46">
        <f t="shared" si="0"/>
        <v>0.16000000000000003</v>
      </c>
      <c r="G23" s="391">
        <f t="shared" si="3"/>
        <v>0.95049533679293197</v>
      </c>
      <c r="H23" s="387">
        <f t="shared" si="4"/>
        <v>0.93148543005707329</v>
      </c>
      <c r="I23" s="387">
        <f t="shared" si="5"/>
        <v>0.9887975354578008</v>
      </c>
      <c r="J23" s="392">
        <f t="shared" si="6"/>
        <v>0.92105049755528379</v>
      </c>
      <c r="K23" s="392">
        <f t="shared" si="6"/>
        <v>0.91336776940734021</v>
      </c>
      <c r="L23" s="366">
        <f>+Efficiency1!K68</f>
        <v>53.665895769230772</v>
      </c>
      <c r="M23" s="367">
        <f t="shared" si="7"/>
        <v>814.25798556760765</v>
      </c>
      <c r="N23" s="366">
        <f>+Efficiency1!C68</f>
        <v>52.592577853846159</v>
      </c>
      <c r="O23" s="367">
        <f t="shared" si="7"/>
        <v>800.13688700394937</v>
      </c>
      <c r="P23" s="367">
        <f>'15'!I38</f>
        <v>49.988999999999997</v>
      </c>
      <c r="Q23" s="367">
        <f t="shared" si="8"/>
        <v>754.52700000000004</v>
      </c>
      <c r="R23" s="589">
        <f>'15'!I40</f>
        <v>49.429000000000002</v>
      </c>
      <c r="S23" s="367">
        <f t="shared" si="9"/>
        <v>743.71699999999998</v>
      </c>
      <c r="T23" s="95">
        <f>+[1]Report1!AZ23</f>
        <v>3378.7757485071811</v>
      </c>
      <c r="U23" s="13">
        <f t="shared" si="10"/>
        <v>53208.158793044888</v>
      </c>
      <c r="V23" s="274">
        <f t="shared" si="11"/>
        <v>67.590384854811688</v>
      </c>
      <c r="W23" s="274">
        <f t="shared" si="11"/>
        <v>70.518561685724805</v>
      </c>
      <c r="X23" s="275">
        <f t="shared" si="12"/>
        <v>68.356142113074938</v>
      </c>
      <c r="Y23" s="274">
        <f t="shared" si="13"/>
        <v>71.543555940021392</v>
      </c>
      <c r="Z23" s="369">
        <v>96.5</v>
      </c>
      <c r="AA23" s="368">
        <f t="shared" si="14"/>
        <v>1409.86</v>
      </c>
      <c r="AB23" s="371">
        <f t="shared" si="1"/>
        <v>1.9304246934325553</v>
      </c>
      <c r="AC23" s="371">
        <f t="shared" si="1"/>
        <v>1.8685348569368623</v>
      </c>
      <c r="AD23" s="366">
        <f t="shared" si="15"/>
        <v>1.9522952113131966</v>
      </c>
      <c r="AE23" s="371">
        <f t="shared" si="15"/>
        <v>1.895694195507162</v>
      </c>
      <c r="AF23" s="95"/>
      <c r="AG23" s="370">
        <f t="shared" si="30"/>
        <v>0</v>
      </c>
      <c r="AH23" s="371">
        <f t="shared" si="16"/>
        <v>0</v>
      </c>
      <c r="AI23" s="371">
        <f t="shared" si="16"/>
        <v>0</v>
      </c>
      <c r="AJ23" s="366">
        <f t="shared" si="17"/>
        <v>0</v>
      </c>
      <c r="AK23" s="371">
        <f t="shared" si="17"/>
        <v>0</v>
      </c>
      <c r="AL23" s="370">
        <f>'15'!I46</f>
        <v>40973.650087699098</v>
      </c>
      <c r="AM23" s="368">
        <f t="shared" si="18"/>
        <v>573431.83611338725</v>
      </c>
      <c r="AN23" s="371">
        <f t="shared" si="19"/>
        <v>819.65332548558877</v>
      </c>
      <c r="AO23" s="371">
        <f t="shared" si="19"/>
        <v>759.98849095312323</v>
      </c>
      <c r="AP23" s="371">
        <f t="shared" si="20"/>
        <v>828.93949073821238</v>
      </c>
      <c r="AQ23" s="371">
        <f t="shared" si="20"/>
        <v>771.03499868012591</v>
      </c>
      <c r="AR23" s="370">
        <f>+Listrik!AA22</f>
        <v>23723.600000000002</v>
      </c>
      <c r="AS23" s="368">
        <f t="shared" si="21"/>
        <v>362911.82500000001</v>
      </c>
      <c r="AT23" s="371">
        <f t="shared" si="22"/>
        <v>474.57640680949817</v>
      </c>
      <c r="AU23" s="371">
        <f t="shared" si="22"/>
        <v>480.97924262484975</v>
      </c>
      <c r="AV23" s="371">
        <f t="shared" si="23"/>
        <v>479.95306399077469</v>
      </c>
      <c r="AW23" s="371">
        <f t="shared" si="23"/>
        <v>487.97032338913863</v>
      </c>
      <c r="AX23" s="370">
        <v>0</v>
      </c>
      <c r="AY23" s="368">
        <f t="shared" si="24"/>
        <v>0</v>
      </c>
      <c r="AZ23" s="371">
        <f t="shared" si="25"/>
        <v>0</v>
      </c>
      <c r="BA23" s="371">
        <f t="shared" si="25"/>
        <v>0</v>
      </c>
      <c r="BB23" s="371">
        <f t="shared" si="26"/>
        <v>0</v>
      </c>
      <c r="BC23" s="371">
        <f t="shared" si="26"/>
        <v>0</v>
      </c>
      <c r="BD23" s="444"/>
      <c r="BE23" s="366">
        <f>+Efficiency2!K68</f>
        <v>53.665895769230772</v>
      </c>
      <c r="BF23" s="367">
        <f t="shared" si="27"/>
        <v>782.87614364260776</v>
      </c>
      <c r="BG23" s="392">
        <f t="shared" si="28"/>
        <v>0.92105049755528379</v>
      </c>
      <c r="BH23" s="392">
        <f t="shared" si="29"/>
        <v>0.9499804101062449</v>
      </c>
    </row>
    <row r="24" spans="1:60" s="372" customFormat="1" ht="12.75" customHeight="1">
      <c r="A24" s="386">
        <f t="shared" si="2"/>
        <v>46097</v>
      </c>
      <c r="B24" s="395" t="s">
        <v>420</v>
      </c>
      <c r="C24" s="373" t="s">
        <v>611</v>
      </c>
      <c r="D24" s="365">
        <f>+'16'!F42</f>
        <v>1225</v>
      </c>
      <c r="E24" s="365">
        <f>+'16'!G42</f>
        <v>1020.8333333333334</v>
      </c>
      <c r="F24" s="46">
        <f t="shared" si="0"/>
        <v>0.16666666666666663</v>
      </c>
      <c r="G24" s="391">
        <f t="shared" si="3"/>
        <v>0.94971279594544578</v>
      </c>
      <c r="H24" s="387">
        <f t="shared" si="4"/>
        <v>0.92333188494696117</v>
      </c>
      <c r="I24" s="387">
        <f t="shared" si="5"/>
        <v>1.0120597973311927</v>
      </c>
      <c r="J24" s="392">
        <f t="shared" si="6"/>
        <v>0.93446708034884973</v>
      </c>
      <c r="K24" s="392">
        <f t="shared" si="6"/>
        <v>0.91467939419791522</v>
      </c>
      <c r="L24" s="366">
        <f>+Efficiency1!K72</f>
        <v>53.973008852459017</v>
      </c>
      <c r="M24" s="367">
        <f t="shared" si="7"/>
        <v>868.23099442006662</v>
      </c>
      <c r="N24" s="366">
        <f>+Efficiency1!C72</f>
        <v>52.473758606557382</v>
      </c>
      <c r="O24" s="367">
        <f t="shared" si="7"/>
        <v>852.61064561050671</v>
      </c>
      <c r="P24" s="367">
        <f>'16'!I38</f>
        <v>49.835000000000008</v>
      </c>
      <c r="Q24" s="367">
        <f t="shared" si="8"/>
        <v>804.36200000000008</v>
      </c>
      <c r="R24" s="589">
        <f>'16'!I40</f>
        <v>50.436</v>
      </c>
      <c r="S24" s="367">
        <f t="shared" si="9"/>
        <v>794.15300000000002</v>
      </c>
      <c r="T24" s="95">
        <f>+[1]Report1!AZ24</f>
        <v>3015.5204442378663</v>
      </c>
      <c r="U24" s="13">
        <f t="shared" si="10"/>
        <v>56223.679237282755</v>
      </c>
      <c r="V24" s="274">
        <f t="shared" si="11"/>
        <v>60.510092188980956</v>
      </c>
      <c r="W24" s="274">
        <f t="shared" si="11"/>
        <v>69.898477597503046</v>
      </c>
      <c r="X24" s="275">
        <f t="shared" si="12"/>
        <v>59.789048382858795</v>
      </c>
      <c r="Y24" s="274">
        <f t="shared" si="13"/>
        <v>70.797036889973029</v>
      </c>
      <c r="Z24" s="369">
        <v>95.6</v>
      </c>
      <c r="AA24" s="368">
        <f t="shared" si="14"/>
        <v>1505.4599999999998</v>
      </c>
      <c r="AB24" s="371">
        <f t="shared" si="1"/>
        <v>1.9183304906190424</v>
      </c>
      <c r="AC24" s="371">
        <f t="shared" si="1"/>
        <v>1.8716199919936543</v>
      </c>
      <c r="AD24" s="366">
        <f t="shared" si="15"/>
        <v>1.8954714886192401</v>
      </c>
      <c r="AE24" s="371">
        <f t="shared" si="15"/>
        <v>1.8956800515769627</v>
      </c>
      <c r="AF24" s="95"/>
      <c r="AG24" s="370">
        <f t="shared" si="30"/>
        <v>0</v>
      </c>
      <c r="AH24" s="371">
        <f t="shared" si="16"/>
        <v>0</v>
      </c>
      <c r="AI24" s="371">
        <f t="shared" si="16"/>
        <v>0</v>
      </c>
      <c r="AJ24" s="366">
        <f t="shared" si="17"/>
        <v>0</v>
      </c>
      <c r="AK24" s="371">
        <f t="shared" si="17"/>
        <v>0</v>
      </c>
      <c r="AL24" s="370">
        <f>'16'!I46</f>
        <v>39730.313239774281</v>
      </c>
      <c r="AM24" s="368">
        <f t="shared" si="18"/>
        <v>613162.14935316157</v>
      </c>
      <c r="AN24" s="371">
        <f t="shared" si="19"/>
        <v>797.2371473818456</v>
      </c>
      <c r="AO24" s="371">
        <f t="shared" si="19"/>
        <v>762.29626629945415</v>
      </c>
      <c r="AP24" s="371">
        <f t="shared" si="20"/>
        <v>787.73719644250696</v>
      </c>
      <c r="AQ24" s="371">
        <f t="shared" si="20"/>
        <v>772.09574144171415</v>
      </c>
      <c r="AR24" s="370">
        <f>+Listrik!AA23</f>
        <v>20391.000000000004</v>
      </c>
      <c r="AS24" s="368">
        <f t="shared" si="21"/>
        <v>383302.82500000001</v>
      </c>
      <c r="AT24" s="371">
        <f t="shared" si="22"/>
        <v>409.17026186415171</v>
      </c>
      <c r="AU24" s="371">
        <f t="shared" si="22"/>
        <v>476.53025006153945</v>
      </c>
      <c r="AV24" s="371">
        <f t="shared" si="23"/>
        <v>404.29455151082567</v>
      </c>
      <c r="AW24" s="371">
        <f t="shared" si="23"/>
        <v>482.65614434498139</v>
      </c>
      <c r="AX24" s="370">
        <v>0</v>
      </c>
      <c r="AY24" s="368">
        <f t="shared" si="24"/>
        <v>0</v>
      </c>
      <c r="AZ24" s="371">
        <f t="shared" si="25"/>
        <v>0</v>
      </c>
      <c r="BA24" s="371">
        <f t="shared" si="25"/>
        <v>0</v>
      </c>
      <c r="BB24" s="371">
        <f t="shared" si="26"/>
        <v>0</v>
      </c>
      <c r="BC24" s="371">
        <f t="shared" si="26"/>
        <v>0</v>
      </c>
      <c r="BD24" s="444"/>
      <c r="BE24" s="366">
        <f>+Efficiency2!K72</f>
        <v>53.973008852459017</v>
      </c>
      <c r="BF24" s="367">
        <f t="shared" si="27"/>
        <v>836.84915249506673</v>
      </c>
      <c r="BG24" s="392">
        <f t="shared" si="28"/>
        <v>0.93446708034884973</v>
      </c>
      <c r="BH24" s="392">
        <f t="shared" si="29"/>
        <v>0.94897987006646534</v>
      </c>
    </row>
    <row r="25" spans="1:60" s="372" customFormat="1" ht="12.75" customHeight="1">
      <c r="A25" s="386">
        <f t="shared" si="2"/>
        <v>46098</v>
      </c>
      <c r="B25" s="395" t="s">
        <v>420</v>
      </c>
      <c r="C25" s="373" t="s">
        <v>631</v>
      </c>
      <c r="D25" s="365">
        <f>+'17'!F42</f>
        <v>1192.9166666666667</v>
      </c>
      <c r="E25" s="365">
        <f>+'17'!G42</f>
        <v>946.23593749999998</v>
      </c>
      <c r="F25" s="46">
        <f t="shared" si="0"/>
        <v>0.2067878973105135</v>
      </c>
      <c r="G25" s="391">
        <f t="shared" si="3"/>
        <v>0.96467366103137464</v>
      </c>
      <c r="H25" s="387">
        <f t="shared" si="4"/>
        <v>0.93319398875494208</v>
      </c>
      <c r="I25" s="387">
        <f t="shared" si="5"/>
        <v>1.052103115277385</v>
      </c>
      <c r="J25" s="392">
        <f t="shared" si="6"/>
        <v>0.98181630272720355</v>
      </c>
      <c r="K25" s="392">
        <f t="shared" si="6"/>
        <v>0.91854474538141062</v>
      </c>
      <c r="L25" s="366">
        <f>+SUM(Efficiency1!K76:K77)</f>
        <v>53.041490404411761</v>
      </c>
      <c r="M25" s="367">
        <f t="shared" si="7"/>
        <v>921.2724848244784</v>
      </c>
      <c r="N25" s="366">
        <f>+SUM(Efficiency1!C76:C77)</f>
        <v>51.310616221323521</v>
      </c>
      <c r="O25" s="367">
        <f t="shared" si="7"/>
        <v>903.92126183183018</v>
      </c>
      <c r="P25" s="367">
        <f>'17'!I38</f>
        <v>49.497999999999998</v>
      </c>
      <c r="Q25" s="367">
        <f t="shared" si="8"/>
        <v>853.86000000000013</v>
      </c>
      <c r="R25" s="589">
        <f>'17'!I40</f>
        <v>52.076999999999998</v>
      </c>
      <c r="S25" s="367">
        <f t="shared" si="9"/>
        <v>846.23</v>
      </c>
      <c r="T25" s="95">
        <f>+[1]Report1!AZ25</f>
        <v>4765.5035633156649</v>
      </c>
      <c r="U25" s="13">
        <f t="shared" si="10"/>
        <v>60989.182800598421</v>
      </c>
      <c r="V25" s="274">
        <f t="shared" si="11"/>
        <v>96.276689226143787</v>
      </c>
      <c r="W25" s="274">
        <f t="shared" si="11"/>
        <v>71.427614363711157</v>
      </c>
      <c r="X25" s="275">
        <f t="shared" si="12"/>
        <v>91.508795885240417</v>
      </c>
      <c r="Y25" s="274">
        <f t="shared" si="13"/>
        <v>72.071638680498708</v>
      </c>
      <c r="Z25" s="369">
        <v>94.7</v>
      </c>
      <c r="AA25" s="368">
        <f t="shared" si="14"/>
        <v>1600.1599999999999</v>
      </c>
      <c r="AB25" s="371">
        <f t="shared" si="1"/>
        <v>1.9132086144894744</v>
      </c>
      <c r="AC25" s="371">
        <f t="shared" si="1"/>
        <v>1.8740308715714515</v>
      </c>
      <c r="AD25" s="366">
        <f t="shared" si="15"/>
        <v>1.8184611248727847</v>
      </c>
      <c r="AE25" s="371">
        <f t="shared" si="15"/>
        <v>1.8909279982983347</v>
      </c>
      <c r="AF25" s="95"/>
      <c r="AG25" s="370">
        <f t="shared" si="30"/>
        <v>0</v>
      </c>
      <c r="AH25" s="371">
        <f t="shared" si="16"/>
        <v>0</v>
      </c>
      <c r="AI25" s="371">
        <f t="shared" si="16"/>
        <v>0</v>
      </c>
      <c r="AJ25" s="366">
        <f t="shared" si="17"/>
        <v>0</v>
      </c>
      <c r="AK25" s="371">
        <f t="shared" si="17"/>
        <v>0</v>
      </c>
      <c r="AL25" s="370">
        <f>'17'!I46</f>
        <v>42800.329344031605</v>
      </c>
      <c r="AM25" s="368">
        <f t="shared" si="18"/>
        <v>655962.4786971932</v>
      </c>
      <c r="AN25" s="371">
        <f t="shared" si="19"/>
        <v>864.6880549523537</v>
      </c>
      <c r="AO25" s="371">
        <f t="shared" si="19"/>
        <v>768.23188660575875</v>
      </c>
      <c r="AP25" s="371">
        <f t="shared" si="20"/>
        <v>821.8662623429077</v>
      </c>
      <c r="AQ25" s="371">
        <f t="shared" si="20"/>
        <v>775.1586196390972</v>
      </c>
      <c r="AR25" s="370">
        <f>+Listrik!AA24</f>
        <v>21455.651000000016</v>
      </c>
      <c r="AS25" s="368">
        <f t="shared" si="21"/>
        <v>404758.47600000002</v>
      </c>
      <c r="AT25" s="371">
        <f t="shared" si="22"/>
        <v>433.46500868722001</v>
      </c>
      <c r="AU25" s="371">
        <f t="shared" si="22"/>
        <v>474.03377134424846</v>
      </c>
      <c r="AV25" s="371">
        <f t="shared" si="23"/>
        <v>411.99859822954505</v>
      </c>
      <c r="AW25" s="371">
        <f t="shared" si="23"/>
        <v>478.3078784727557</v>
      </c>
      <c r="AX25" s="370">
        <v>0</v>
      </c>
      <c r="AY25" s="368">
        <f t="shared" si="24"/>
        <v>0</v>
      </c>
      <c r="AZ25" s="371">
        <f t="shared" si="25"/>
        <v>0</v>
      </c>
      <c r="BA25" s="371">
        <f t="shared" si="25"/>
        <v>0</v>
      </c>
      <c r="BB25" s="371">
        <f t="shared" si="26"/>
        <v>0</v>
      </c>
      <c r="BC25" s="371">
        <f t="shared" si="26"/>
        <v>0</v>
      </c>
      <c r="BD25" s="444"/>
      <c r="BE25" s="366">
        <f>+SUM(Efficiency2!K76:K77)</f>
        <v>53.041490404411761</v>
      </c>
      <c r="BF25" s="367">
        <f t="shared" si="27"/>
        <v>889.89064289947851</v>
      </c>
      <c r="BG25" s="392">
        <f t="shared" si="28"/>
        <v>0.98181630272720355</v>
      </c>
      <c r="BH25" s="392">
        <f t="shared" si="29"/>
        <v>0.9509370693490814</v>
      </c>
    </row>
    <row r="26" spans="1:60" s="372" customFormat="1" ht="12.75" customHeight="1">
      <c r="A26" s="386">
        <f t="shared" si="2"/>
        <v>46099</v>
      </c>
      <c r="B26" s="395" t="s">
        <v>656</v>
      </c>
      <c r="C26" s="373" t="s">
        <v>657</v>
      </c>
      <c r="D26" s="365">
        <f>+'18'!F42</f>
        <v>900</v>
      </c>
      <c r="E26" s="365">
        <f>+'18'!G42</f>
        <v>745.67499999999995</v>
      </c>
      <c r="F26" s="46">
        <f t="shared" si="0"/>
        <v>0.17147222222222225</v>
      </c>
      <c r="G26" s="391">
        <f t="shared" si="3"/>
        <v>0.98228918050758418</v>
      </c>
      <c r="H26" s="387">
        <f t="shared" si="4"/>
        <v>0.97817568872615468</v>
      </c>
      <c r="I26" s="387">
        <f t="shared" si="5"/>
        <v>1.0440177408567708</v>
      </c>
      <c r="J26" s="392">
        <f t="shared" si="6"/>
        <v>1.0212327727048958</v>
      </c>
      <c r="K26" s="392">
        <f t="shared" si="6"/>
        <v>0.92463516674645674</v>
      </c>
      <c r="L26" s="366">
        <f>+SUM(Efficiency1!K80:K81)</f>
        <v>58.08567996</v>
      </c>
      <c r="M26" s="367">
        <f t="shared" ref="M26:O38" si="31">M25+L26</f>
        <v>979.35816478447839</v>
      </c>
      <c r="N26" s="366">
        <f>+SUM(Efficiency1!C80:C81)</f>
        <v>57.842436960000001</v>
      </c>
      <c r="O26" s="367">
        <f t="shared" si="31"/>
        <v>961.76369879183017</v>
      </c>
      <c r="P26" s="367">
        <f>'18'!I38</f>
        <v>56.817999999999998</v>
      </c>
      <c r="Q26" s="367">
        <f t="shared" si="8"/>
        <v>910.67800000000011</v>
      </c>
      <c r="R26" s="589">
        <f>'18'!I40</f>
        <v>59.319000000000003</v>
      </c>
      <c r="S26" s="367">
        <f t="shared" si="9"/>
        <v>905.54899999999998</v>
      </c>
      <c r="T26" s="95">
        <f>+[1]Report1!AZ26</f>
        <v>3933.9584630665013</v>
      </c>
      <c r="U26" s="13">
        <f t="shared" si="10"/>
        <v>64923.141263664918</v>
      </c>
      <c r="V26" s="274">
        <f t="shared" si="11"/>
        <v>69.237890511220058</v>
      </c>
      <c r="W26" s="274">
        <f t="shared" si="11"/>
        <v>71.290995569965361</v>
      </c>
      <c r="X26" s="275">
        <f t="shared" si="12"/>
        <v>66.318691533345159</v>
      </c>
      <c r="Y26" s="274">
        <f t="shared" si="13"/>
        <v>71.694785443598221</v>
      </c>
      <c r="Z26" s="369">
        <v>98.9</v>
      </c>
      <c r="AA26" s="368">
        <f t="shared" si="14"/>
        <v>1699.06</v>
      </c>
      <c r="AB26" s="371">
        <f t="shared" si="1"/>
        <v>1.7406455700658243</v>
      </c>
      <c r="AC26" s="371">
        <f t="shared" si="1"/>
        <v>1.8657088454975301</v>
      </c>
      <c r="AD26" s="366">
        <f t="shared" si="15"/>
        <v>1.6672566968424958</v>
      </c>
      <c r="AE26" s="371">
        <f t="shared" si="15"/>
        <v>1.876276159545204</v>
      </c>
      <c r="AF26" s="95"/>
      <c r="AG26" s="370">
        <f t="shared" si="30"/>
        <v>0</v>
      </c>
      <c r="AH26" s="371">
        <f t="shared" si="16"/>
        <v>0</v>
      </c>
      <c r="AI26" s="371">
        <f t="shared" si="16"/>
        <v>0</v>
      </c>
      <c r="AJ26" s="366">
        <f t="shared" si="17"/>
        <v>0</v>
      </c>
      <c r="AK26" s="371">
        <f t="shared" si="17"/>
        <v>0</v>
      </c>
      <c r="AL26" s="370">
        <f>'18'!I46</f>
        <v>37462.560000001489</v>
      </c>
      <c r="AM26" s="368">
        <f t="shared" si="18"/>
        <v>693425.03869719466</v>
      </c>
      <c r="AN26" s="371">
        <f t="shared" si="19"/>
        <v>659.34316589815717</v>
      </c>
      <c r="AO26" s="371">
        <f t="shared" si="19"/>
        <v>761.4382237159507</v>
      </c>
      <c r="AP26" s="371">
        <f t="shared" si="20"/>
        <v>631.5440246801445</v>
      </c>
      <c r="AQ26" s="371">
        <f t="shared" si="20"/>
        <v>765.75098497949273</v>
      </c>
      <c r="AR26" s="370">
        <f>+Listrik!AA25</f>
        <v>22982.945999999985</v>
      </c>
      <c r="AS26" s="368">
        <f t="shared" si="21"/>
        <v>427741.42200000002</v>
      </c>
      <c r="AT26" s="371">
        <f t="shared" si="22"/>
        <v>404.50114400366056</v>
      </c>
      <c r="AU26" s="371">
        <f t="shared" si="22"/>
        <v>469.69556967446232</v>
      </c>
      <c r="AV26" s="371">
        <f t="shared" si="23"/>
        <v>387.44661912709228</v>
      </c>
      <c r="AW26" s="371">
        <f t="shared" si="23"/>
        <v>472.35591006118943</v>
      </c>
      <c r="AX26" s="370">
        <v>0</v>
      </c>
      <c r="AY26" s="368">
        <f t="shared" si="24"/>
        <v>0</v>
      </c>
      <c r="AZ26" s="371">
        <f t="shared" si="25"/>
        <v>0</v>
      </c>
      <c r="BA26" s="371">
        <f t="shared" si="25"/>
        <v>0</v>
      </c>
      <c r="BB26" s="371">
        <f t="shared" si="26"/>
        <v>0</v>
      </c>
      <c r="BC26" s="371">
        <f t="shared" si="26"/>
        <v>0</v>
      </c>
      <c r="BD26" s="444"/>
      <c r="BE26" s="366">
        <f>+SUM(Efficiency2!K80:K81)</f>
        <v>58.08567996</v>
      </c>
      <c r="BF26" s="367">
        <f t="shared" si="27"/>
        <v>947.9763228594785</v>
      </c>
      <c r="BG26" s="392">
        <f t="shared" si="28"/>
        <v>1.0212327727048958</v>
      </c>
      <c r="BH26" s="392">
        <f t="shared" si="29"/>
        <v>0.95524432220891276</v>
      </c>
    </row>
    <row r="27" spans="1:60" s="372" customFormat="1" ht="12.75" customHeight="1">
      <c r="A27" s="386">
        <f t="shared" si="2"/>
        <v>46100</v>
      </c>
      <c r="B27" s="373" t="s">
        <v>655</v>
      </c>
      <c r="C27" s="373" t="s">
        <v>658</v>
      </c>
      <c r="D27" s="365">
        <f>+'19'!F42</f>
        <v>860</v>
      </c>
      <c r="E27" s="365">
        <f>+'19'!G42</f>
        <v>662.2</v>
      </c>
      <c r="F27" s="46">
        <f t="shared" si="0"/>
        <v>0.22999999999999998</v>
      </c>
      <c r="G27" s="391">
        <f t="shared" si="3"/>
        <v>1.028103299673746</v>
      </c>
      <c r="H27" s="387">
        <f t="shared" si="4"/>
        <v>1.028103299673746</v>
      </c>
      <c r="I27" s="387">
        <f t="shared" si="5"/>
        <v>0.95829267889331726</v>
      </c>
      <c r="J27" s="392">
        <f t="shared" si="6"/>
        <v>0.98522386522341299</v>
      </c>
      <c r="K27" s="392">
        <f t="shared" si="6"/>
        <v>0.92806772098809753</v>
      </c>
      <c r="L27" s="366">
        <f>+Efficiency1!K84</f>
        <v>58.816074239999992</v>
      </c>
      <c r="M27" s="367">
        <f t="shared" si="31"/>
        <v>1038.1742390244783</v>
      </c>
      <c r="N27" s="366">
        <f>+Efficiency1!C84</f>
        <v>58.816074239999992</v>
      </c>
      <c r="O27" s="367">
        <f t="shared" si="31"/>
        <v>1020.5797730318302</v>
      </c>
      <c r="P27" s="367">
        <f>'19'!I38</f>
        <v>60.469000000000001</v>
      </c>
      <c r="Q27" s="367">
        <f t="shared" si="8"/>
        <v>971.14700000000016</v>
      </c>
      <c r="R27" s="589">
        <f>'19'!I40</f>
        <v>57.947000000000003</v>
      </c>
      <c r="S27" s="367">
        <f t="shared" si="9"/>
        <v>963.49599999999998</v>
      </c>
      <c r="T27" s="95">
        <f>+[1]Report1!AZ27</f>
        <v>3752.4743444773953</v>
      </c>
      <c r="U27" s="13">
        <f t="shared" si="10"/>
        <v>68675.615608142311</v>
      </c>
      <c r="V27" s="274">
        <f t="shared" si="11"/>
        <v>62.056166704880106</v>
      </c>
      <c r="W27" s="274">
        <f t="shared" si="11"/>
        <v>70.715983891359699</v>
      </c>
      <c r="X27" s="275">
        <f t="shared" si="12"/>
        <v>64.757008032812664</v>
      </c>
      <c r="Y27" s="274">
        <f t="shared" si="13"/>
        <v>71.277530584602644</v>
      </c>
      <c r="Z27" s="369">
        <v>100.1</v>
      </c>
      <c r="AA27" s="368">
        <f t="shared" si="14"/>
        <v>1799.1599999999999</v>
      </c>
      <c r="AB27" s="371">
        <f t="shared" si="1"/>
        <v>1.6553936727910168</v>
      </c>
      <c r="AC27" s="371">
        <f t="shared" si="1"/>
        <v>1.8526134560473333</v>
      </c>
      <c r="AD27" s="366">
        <f t="shared" si="15"/>
        <v>1.7274405922653457</v>
      </c>
      <c r="AE27" s="371">
        <f t="shared" si="15"/>
        <v>1.8673248254274017</v>
      </c>
      <c r="AF27" s="95"/>
      <c r="AG27" s="370">
        <f t="shared" si="30"/>
        <v>0</v>
      </c>
      <c r="AH27" s="371">
        <f t="shared" si="16"/>
        <v>0</v>
      </c>
      <c r="AI27" s="371">
        <f t="shared" si="16"/>
        <v>0</v>
      </c>
      <c r="AJ27" s="366">
        <f t="shared" si="17"/>
        <v>0</v>
      </c>
      <c r="AK27" s="371">
        <f t="shared" si="17"/>
        <v>0</v>
      </c>
      <c r="AL27" s="370">
        <f>'19'!I46</f>
        <v>35820.319999998515</v>
      </c>
      <c r="AM27" s="368">
        <f t="shared" si="18"/>
        <v>729245.35869719321</v>
      </c>
      <c r="AN27" s="371">
        <f t="shared" si="19"/>
        <v>592.3749359175531</v>
      </c>
      <c r="AO27" s="371">
        <f t="shared" si="19"/>
        <v>750.91140547949294</v>
      </c>
      <c r="AP27" s="371">
        <f t="shared" si="20"/>
        <v>618.15659136794852</v>
      </c>
      <c r="AQ27" s="371">
        <f t="shared" si="20"/>
        <v>756.87429807408978</v>
      </c>
      <c r="AR27" s="370">
        <f>+Listrik!AA26</f>
        <v>28270.912000000011</v>
      </c>
      <c r="AS27" s="368">
        <f t="shared" si="21"/>
        <v>456012.33400000003</v>
      </c>
      <c r="AT27" s="371">
        <f t="shared" si="22"/>
        <v>467.52736112718935</v>
      </c>
      <c r="AU27" s="371">
        <f t="shared" si="22"/>
        <v>469.56056498140856</v>
      </c>
      <c r="AV27" s="371">
        <f t="shared" si="23"/>
        <v>487.87533435725766</v>
      </c>
      <c r="AW27" s="371">
        <f t="shared" si="23"/>
        <v>473.28928609978664</v>
      </c>
      <c r="AX27" s="370">
        <v>0</v>
      </c>
      <c r="AY27" s="368">
        <f t="shared" si="24"/>
        <v>0</v>
      </c>
      <c r="AZ27" s="371">
        <f t="shared" si="25"/>
        <v>0</v>
      </c>
      <c r="BA27" s="371">
        <f t="shared" si="25"/>
        <v>0</v>
      </c>
      <c r="BB27" s="371">
        <f t="shared" si="26"/>
        <v>0</v>
      </c>
      <c r="BC27" s="371">
        <f t="shared" si="26"/>
        <v>0</v>
      </c>
      <c r="BD27" s="444"/>
      <c r="BE27" s="366">
        <f>+Efficiency2!K84</f>
        <v>58.816074239999992</v>
      </c>
      <c r="BF27" s="367">
        <f t="shared" si="27"/>
        <v>1006.7923970994785</v>
      </c>
      <c r="BG27" s="392">
        <f t="shared" si="28"/>
        <v>0.98522386522341299</v>
      </c>
      <c r="BH27" s="392">
        <f t="shared" si="29"/>
        <v>0.95699570514813836</v>
      </c>
    </row>
    <row r="28" spans="1:60" s="372" customFormat="1" ht="12.75" customHeight="1">
      <c r="A28" s="386">
        <f t="shared" si="2"/>
        <v>46101</v>
      </c>
      <c r="B28" s="373" t="s">
        <v>655</v>
      </c>
      <c r="C28" s="373" t="s">
        <v>658</v>
      </c>
      <c r="D28" s="365">
        <f>+'20'!F42</f>
        <v>860</v>
      </c>
      <c r="E28" s="365">
        <f>+'20'!G42</f>
        <v>722.4</v>
      </c>
      <c r="F28" s="46">
        <f t="shared" si="0"/>
        <v>0.16000000000000003</v>
      </c>
      <c r="G28" s="391">
        <f t="shared" si="3"/>
        <v>0.96419219971387216</v>
      </c>
      <c r="H28" s="387">
        <f t="shared" si="4"/>
        <v>0.96419219971387216</v>
      </c>
      <c r="I28" s="387">
        <f t="shared" si="5"/>
        <v>0.99107741139128902</v>
      </c>
      <c r="J28" s="392">
        <f t="shared" si="6"/>
        <v>0.95558910937609709</v>
      </c>
      <c r="K28" s="392">
        <f t="shared" si="6"/>
        <v>0.92954330377405603</v>
      </c>
      <c r="L28" s="366">
        <f>+Efficiency1!K88</f>
        <v>58.816074239999992</v>
      </c>
      <c r="M28" s="367">
        <f t="shared" si="31"/>
        <v>1096.9903132644783</v>
      </c>
      <c r="N28" s="366">
        <f>+Efficiency1!C88</f>
        <v>58.816074239999992</v>
      </c>
      <c r="O28" s="367">
        <f t="shared" si="31"/>
        <v>1079.3958472718302</v>
      </c>
      <c r="P28" s="367">
        <f>'20'!I38</f>
        <v>56.71</v>
      </c>
      <c r="Q28" s="367">
        <f t="shared" si="8"/>
        <v>1027.8570000000002</v>
      </c>
      <c r="R28" s="589">
        <f>'20'!I40</f>
        <v>56.204000000000001</v>
      </c>
      <c r="S28" s="367">
        <f t="shared" si="9"/>
        <v>1019.6999999999999</v>
      </c>
      <c r="T28" s="95">
        <f>+[1]Report1!AZ28</f>
        <v>3950.1688011802185</v>
      </c>
      <c r="U28" s="13">
        <f t="shared" si="10"/>
        <v>72625.784409322529</v>
      </c>
      <c r="V28" s="274">
        <f t="shared" si="11"/>
        <v>69.655595153944958</v>
      </c>
      <c r="W28" s="274">
        <f t="shared" si="11"/>
        <v>70.657479016363666</v>
      </c>
      <c r="X28" s="275">
        <f t="shared" si="12"/>
        <v>70.282698761302015</v>
      </c>
      <c r="Y28" s="274">
        <f t="shared" si="13"/>
        <v>71.222697273043579</v>
      </c>
      <c r="Z28" s="369">
        <v>100.3</v>
      </c>
      <c r="AA28" s="368">
        <f t="shared" si="14"/>
        <v>1899.4599999999998</v>
      </c>
      <c r="AB28" s="371">
        <f t="shared" si="1"/>
        <v>1.7686475048492329</v>
      </c>
      <c r="AC28" s="371">
        <f t="shared" si="1"/>
        <v>1.8479807988854475</v>
      </c>
      <c r="AD28" s="366">
        <f t="shared" si="15"/>
        <v>1.7845704932033306</v>
      </c>
      <c r="AE28" s="371">
        <f t="shared" si="15"/>
        <v>1.862763557909189</v>
      </c>
      <c r="AF28" s="95"/>
      <c r="AG28" s="370">
        <f t="shared" si="30"/>
        <v>0</v>
      </c>
      <c r="AH28" s="371">
        <f t="shared" si="16"/>
        <v>0</v>
      </c>
      <c r="AI28" s="371">
        <f t="shared" si="16"/>
        <v>0</v>
      </c>
      <c r="AJ28" s="366">
        <f t="shared" si="17"/>
        <v>0</v>
      </c>
      <c r="AK28" s="371">
        <f t="shared" si="17"/>
        <v>0</v>
      </c>
      <c r="AL28" s="370">
        <f>'20'!I46</f>
        <v>38239.96000000045</v>
      </c>
      <c r="AM28" s="368">
        <f t="shared" si="18"/>
        <v>767485.31869719364</v>
      </c>
      <c r="AN28" s="371">
        <f t="shared" si="19"/>
        <v>674.30717686475839</v>
      </c>
      <c r="AO28" s="371">
        <f t="shared" si="19"/>
        <v>746.68491696529134</v>
      </c>
      <c r="AP28" s="371">
        <f t="shared" si="20"/>
        <v>680.37790904562758</v>
      </c>
      <c r="AQ28" s="371">
        <f t="shared" si="20"/>
        <v>752.65795694536996</v>
      </c>
      <c r="AR28" s="370">
        <f>+Listrik!AA27</f>
        <v>27003.445000000018</v>
      </c>
      <c r="AS28" s="368">
        <f t="shared" si="21"/>
        <v>483015.77900000004</v>
      </c>
      <c r="AT28" s="371">
        <f t="shared" si="22"/>
        <v>476.16725445247783</v>
      </c>
      <c r="AU28" s="371">
        <f t="shared" si="22"/>
        <v>469.92507615358943</v>
      </c>
      <c r="AV28" s="371">
        <f t="shared" si="23"/>
        <v>480.45414917087783</v>
      </c>
      <c r="AW28" s="371">
        <f t="shared" si="23"/>
        <v>473.68420025497704</v>
      </c>
      <c r="AX28" s="370">
        <v>0</v>
      </c>
      <c r="AY28" s="368">
        <f t="shared" si="24"/>
        <v>0</v>
      </c>
      <c r="AZ28" s="371">
        <f t="shared" si="25"/>
        <v>0</v>
      </c>
      <c r="BA28" s="371">
        <f t="shared" si="25"/>
        <v>0</v>
      </c>
      <c r="BB28" s="371">
        <f t="shared" si="26"/>
        <v>0</v>
      </c>
      <c r="BC28" s="371">
        <f t="shared" si="26"/>
        <v>0</v>
      </c>
      <c r="BD28" s="444"/>
      <c r="BE28" s="366">
        <f>+Efficiency2!K88</f>
        <v>58.816074239999992</v>
      </c>
      <c r="BF28" s="367">
        <f t="shared" si="27"/>
        <v>1065.6084713394785</v>
      </c>
      <c r="BG28" s="392">
        <f t="shared" si="28"/>
        <v>0.95558910937609709</v>
      </c>
      <c r="BH28" s="392">
        <f t="shared" si="29"/>
        <v>0.95691806833914228</v>
      </c>
    </row>
    <row r="29" spans="1:60" s="372" customFormat="1" ht="12.75" customHeight="1">
      <c r="A29" s="386">
        <f t="shared" si="2"/>
        <v>46102</v>
      </c>
      <c r="B29" s="373" t="s">
        <v>655</v>
      </c>
      <c r="C29" s="373" t="s">
        <v>658</v>
      </c>
      <c r="D29" s="365">
        <f>+'21'!F42</f>
        <v>860</v>
      </c>
      <c r="E29" s="365">
        <f>+'21'!G42</f>
        <v>722.4</v>
      </c>
      <c r="F29" s="46">
        <f t="shared" si="0"/>
        <v>0.16000000000000003</v>
      </c>
      <c r="G29" s="391">
        <f t="shared" si="3"/>
        <v>1.0237847523500407</v>
      </c>
      <c r="H29" s="387">
        <f t="shared" si="4"/>
        <v>1.0237847523500407</v>
      </c>
      <c r="I29" s="387">
        <f t="shared" si="5"/>
        <v>0.96178693016690187</v>
      </c>
      <c r="J29" s="392">
        <f t="shared" si="6"/>
        <v>0.98466279411442759</v>
      </c>
      <c r="K29" s="392">
        <f t="shared" si="6"/>
        <v>0.93234819572739613</v>
      </c>
      <c r="L29" s="366">
        <f>+Efficiency1!K92</f>
        <v>58.816074239999992</v>
      </c>
      <c r="M29" s="367">
        <f t="shared" si="31"/>
        <v>1155.8063875044784</v>
      </c>
      <c r="N29" s="366">
        <f>+Efficiency1!C92</f>
        <v>58.816074239999992</v>
      </c>
      <c r="O29" s="367">
        <f t="shared" si="31"/>
        <v>1138.2119215118303</v>
      </c>
      <c r="P29" s="367">
        <f>'21'!I38</f>
        <v>60.215000000000003</v>
      </c>
      <c r="Q29" s="367">
        <f t="shared" si="8"/>
        <v>1088.0720000000001</v>
      </c>
      <c r="R29" s="589">
        <f>'21'!I40</f>
        <v>57.914000000000001</v>
      </c>
      <c r="S29" s="367">
        <f t="shared" si="9"/>
        <v>1077.614</v>
      </c>
      <c r="T29" s="95">
        <f>+[1]Report1!AZ29</f>
        <v>4009.242008986902</v>
      </c>
      <c r="U29" s="13">
        <f>T29+U28</f>
        <v>76635.026418309426</v>
      </c>
      <c r="V29" s="274">
        <f t="shared" si="11"/>
        <v>66.582114240420196</v>
      </c>
      <c r="W29" s="274">
        <f t="shared" si="11"/>
        <v>70.431944226401768</v>
      </c>
      <c r="X29" s="275">
        <f t="shared" si="12"/>
        <v>69.227509911021542</v>
      </c>
      <c r="Y29" s="274">
        <f t="shared" si="13"/>
        <v>71.11547030598102</v>
      </c>
      <c r="Z29" s="369">
        <v>98.7</v>
      </c>
      <c r="AA29" s="368">
        <f t="shared" si="14"/>
        <v>1998.1599999999999</v>
      </c>
      <c r="AB29" s="371">
        <f t="shared" si="1"/>
        <v>1.639126463505771</v>
      </c>
      <c r="AC29" s="371">
        <f t="shared" si="1"/>
        <v>1.8364225896815649</v>
      </c>
      <c r="AD29" s="366">
        <f t="shared" si="15"/>
        <v>1.7042511309873261</v>
      </c>
      <c r="AE29" s="371">
        <f t="shared" si="15"/>
        <v>1.8542446553218497</v>
      </c>
      <c r="AF29" s="95"/>
      <c r="AG29" s="370">
        <f t="shared" si="30"/>
        <v>0</v>
      </c>
      <c r="AH29" s="371">
        <f t="shared" si="16"/>
        <v>0</v>
      </c>
      <c r="AI29" s="371">
        <f t="shared" si="16"/>
        <v>0</v>
      </c>
      <c r="AJ29" s="366">
        <f t="shared" si="17"/>
        <v>0</v>
      </c>
      <c r="AK29" s="371">
        <f t="shared" si="17"/>
        <v>0</v>
      </c>
      <c r="AL29" s="370">
        <f>'21'!I46</f>
        <v>35523.079999998758</v>
      </c>
      <c r="AM29" s="368">
        <f t="shared" si="18"/>
        <v>803008.39869719243</v>
      </c>
      <c r="AN29" s="371">
        <f t="shared" si="19"/>
        <v>589.93739101550705</v>
      </c>
      <c r="AO29" s="371">
        <f t="shared" si="19"/>
        <v>738.01035105874644</v>
      </c>
      <c r="AP29" s="371">
        <f t="shared" si="20"/>
        <v>613.37638567529018</v>
      </c>
      <c r="AQ29" s="371">
        <f t="shared" si="20"/>
        <v>745.17257449995316</v>
      </c>
      <c r="AR29" s="370">
        <f>+Listrik!AA28</f>
        <v>29083.554999999989</v>
      </c>
      <c r="AS29" s="368">
        <f t="shared" si="21"/>
        <v>512099.33400000003</v>
      </c>
      <c r="AT29" s="371">
        <f t="shared" si="22"/>
        <v>482.9951839242712</v>
      </c>
      <c r="AU29" s="371">
        <f t="shared" si="22"/>
        <v>470.64838907719349</v>
      </c>
      <c r="AV29" s="371">
        <f t="shared" si="23"/>
        <v>502.18522291673838</v>
      </c>
      <c r="AW29" s="371">
        <f t="shared" si="23"/>
        <v>475.21592518285769</v>
      </c>
      <c r="AX29" s="370">
        <v>0</v>
      </c>
      <c r="AY29" s="368">
        <f t="shared" si="24"/>
        <v>0</v>
      </c>
      <c r="AZ29" s="371">
        <f t="shared" si="25"/>
        <v>0</v>
      </c>
      <c r="BA29" s="371">
        <f t="shared" si="25"/>
        <v>0</v>
      </c>
      <c r="BB29" s="371">
        <f t="shared" si="26"/>
        <v>0</v>
      </c>
      <c r="BC29" s="371">
        <f t="shared" si="26"/>
        <v>0</v>
      </c>
      <c r="BD29" s="444"/>
      <c r="BE29" s="366">
        <f>+Efficiency2!K92</f>
        <v>58.816074239999992</v>
      </c>
      <c r="BF29" s="367">
        <f t="shared" si="27"/>
        <v>1124.4245455794785</v>
      </c>
      <c r="BG29" s="392">
        <f t="shared" si="28"/>
        <v>0.98466279411442759</v>
      </c>
      <c r="BH29" s="392">
        <f t="shared" si="29"/>
        <v>0.95836933143846093</v>
      </c>
    </row>
    <row r="30" spans="1:60" s="372" customFormat="1" ht="12.75" customHeight="1">
      <c r="A30" s="386">
        <f t="shared" si="2"/>
        <v>46103</v>
      </c>
      <c r="B30" s="395" t="s">
        <v>676</v>
      </c>
      <c r="C30" s="373" t="s">
        <v>677</v>
      </c>
      <c r="D30" s="365">
        <f>+'22'!F42</f>
        <v>962.22222222222217</v>
      </c>
      <c r="E30" s="365">
        <f>+'22'!G42</f>
        <v>781.88055555555559</v>
      </c>
      <c r="F30" s="46">
        <f t="shared" si="0"/>
        <v>0.18742205542725165</v>
      </c>
      <c r="G30" s="391">
        <f t="shared" si="3"/>
        <v>0.96774439664934098</v>
      </c>
      <c r="H30" s="387">
        <f t="shared" si="4"/>
        <v>0.95718117620756227</v>
      </c>
      <c r="I30" s="387">
        <f t="shared" si="5"/>
        <v>0.99946799728495173</v>
      </c>
      <c r="J30" s="392">
        <f t="shared" si="6"/>
        <v>0.95667195322302678</v>
      </c>
      <c r="K30" s="392">
        <f t="shared" si="6"/>
        <v>0.93349040917580839</v>
      </c>
      <c r="L30" s="366">
        <f>+SUM(Efficiency1!K96:K97)</f>
        <v>56.949511079999994</v>
      </c>
      <c r="M30" s="367">
        <f t="shared" si="31"/>
        <v>1212.7558985844785</v>
      </c>
      <c r="N30" s="366">
        <f>+SUM(Efficiency1!C96:C97)</f>
        <v>56.327890079999996</v>
      </c>
      <c r="O30" s="367">
        <f t="shared" si="31"/>
        <v>1194.5398115918304</v>
      </c>
      <c r="P30" s="367">
        <f>'22'!I38</f>
        <v>54.510999999999996</v>
      </c>
      <c r="Q30" s="367">
        <f t="shared" si="8"/>
        <v>1142.5830000000001</v>
      </c>
      <c r="R30" s="589">
        <f>'22'!I40</f>
        <v>54.481999999999999</v>
      </c>
      <c r="S30" s="367">
        <f t="shared" si="9"/>
        <v>1132.096</v>
      </c>
      <c r="T30" s="95">
        <f>+[1]Report1!AZ30</f>
        <v>4020.5961298709599</v>
      </c>
      <c r="U30" s="13">
        <f t="shared" si="10"/>
        <v>80655.622548180385</v>
      </c>
      <c r="V30" s="274">
        <f t="shared" si="11"/>
        <v>73.757519213937741</v>
      </c>
      <c r="W30" s="274">
        <f t="shared" si="11"/>
        <v>70.590602650468611</v>
      </c>
      <c r="X30" s="275">
        <f t="shared" si="12"/>
        <v>73.796779300887621</v>
      </c>
      <c r="Y30" s="274">
        <f t="shared" si="13"/>
        <v>71.244508017147297</v>
      </c>
      <c r="Z30" s="369">
        <v>98.4</v>
      </c>
      <c r="AA30" s="368">
        <f t="shared" si="14"/>
        <v>2096.56</v>
      </c>
      <c r="AB30" s="371">
        <f t="shared" si="1"/>
        <v>1.8051402469226396</v>
      </c>
      <c r="AC30" s="371">
        <f t="shared" si="1"/>
        <v>1.8349301538706595</v>
      </c>
      <c r="AD30" s="366">
        <f t="shared" si="15"/>
        <v>1.8061010976102201</v>
      </c>
      <c r="AE30" s="371">
        <f t="shared" si="15"/>
        <v>1.8519277517101023</v>
      </c>
      <c r="AF30" s="95"/>
      <c r="AG30" s="370">
        <f t="shared" si="30"/>
        <v>0</v>
      </c>
      <c r="AH30" s="371">
        <f t="shared" si="16"/>
        <v>0</v>
      </c>
      <c r="AI30" s="371">
        <f t="shared" si="16"/>
        <v>0</v>
      </c>
      <c r="AJ30" s="366">
        <f t="shared" si="17"/>
        <v>0</v>
      </c>
      <c r="AK30" s="371">
        <f t="shared" si="17"/>
        <v>0</v>
      </c>
      <c r="AL30" s="370">
        <f>'22'!I46</f>
        <v>37190.600000000188</v>
      </c>
      <c r="AM30" s="368">
        <f t="shared" si="18"/>
        <v>840198.99869719264</v>
      </c>
      <c r="AN30" s="371">
        <f t="shared" si="19"/>
        <v>682.25862669920184</v>
      </c>
      <c r="AO30" s="371">
        <f t="shared" si="19"/>
        <v>735.35051606508478</v>
      </c>
      <c r="AP30" s="371">
        <f t="shared" si="20"/>
        <v>682.62178334129044</v>
      </c>
      <c r="AQ30" s="371">
        <f t="shared" si="20"/>
        <v>742.16232430570608</v>
      </c>
      <c r="AR30" s="370">
        <f>+Listrik!AA29</f>
        <v>26157.246999999632</v>
      </c>
      <c r="AS30" s="368">
        <f t="shared" si="21"/>
        <v>538256.58099999966</v>
      </c>
      <c r="AT30" s="371">
        <f t="shared" si="22"/>
        <v>479.85263524792492</v>
      </c>
      <c r="AU30" s="371">
        <f t="shared" si="22"/>
        <v>471.08751049157888</v>
      </c>
      <c r="AV30" s="371">
        <f t="shared" si="23"/>
        <v>480.10805403618866</v>
      </c>
      <c r="AW30" s="371">
        <f t="shared" si="23"/>
        <v>475.45135836536798</v>
      </c>
      <c r="AX30" s="370">
        <v>0</v>
      </c>
      <c r="AY30" s="368">
        <f t="shared" si="24"/>
        <v>0</v>
      </c>
      <c r="AZ30" s="371">
        <f t="shared" si="25"/>
        <v>0</v>
      </c>
      <c r="BA30" s="371">
        <f t="shared" si="25"/>
        <v>0</v>
      </c>
      <c r="BB30" s="371">
        <f t="shared" si="26"/>
        <v>0</v>
      </c>
      <c r="BC30" s="371">
        <f t="shared" si="26"/>
        <v>0</v>
      </c>
      <c r="BD30" s="444"/>
      <c r="BE30" s="366">
        <f>+SUM(Efficiency2!K96:K97)</f>
        <v>56.949511079999994</v>
      </c>
      <c r="BF30" s="367">
        <f t="shared" si="27"/>
        <v>1181.3740566594786</v>
      </c>
      <c r="BG30" s="392">
        <f t="shared" si="28"/>
        <v>0.95667195322302678</v>
      </c>
      <c r="BH30" s="392">
        <f t="shared" si="29"/>
        <v>0.95828750734647072</v>
      </c>
    </row>
    <row r="31" spans="1:60" s="372" customFormat="1" ht="12.75" customHeight="1">
      <c r="A31" s="386">
        <f t="shared" si="2"/>
        <v>46104</v>
      </c>
      <c r="B31" s="395" t="s">
        <v>422</v>
      </c>
      <c r="C31" s="373" t="s">
        <v>688</v>
      </c>
      <c r="D31" s="365">
        <f>+'23'!F42</f>
        <v>1203.4375</v>
      </c>
      <c r="E31" s="365">
        <f>+'23'!G42</f>
        <v>971.30833333333328</v>
      </c>
      <c r="F31" s="46">
        <f t="shared" si="0"/>
        <v>0.19288842724833377</v>
      </c>
      <c r="G31" s="391">
        <f t="shared" si="3"/>
        <v>1.024363857106088</v>
      </c>
      <c r="H31" s="387">
        <f t="shared" si="4"/>
        <v>0.99561244226864931</v>
      </c>
      <c r="I31" s="387">
        <f t="shared" si="5"/>
        <v>0.86728601133133665</v>
      </c>
      <c r="J31" s="392">
        <f t="shared" si="6"/>
        <v>0.86348074388702756</v>
      </c>
      <c r="K31" s="392">
        <f t="shared" si="6"/>
        <v>0.93057739604898404</v>
      </c>
      <c r="L31" s="366">
        <f>+SUM(Efficiency1!K100:K101)</f>
        <v>52.652013749999995</v>
      </c>
      <c r="M31" s="367">
        <f t="shared" si="31"/>
        <v>1265.4079123344784</v>
      </c>
      <c r="N31" s="366">
        <f>+SUM(Efficiency1!C100:C101)</f>
        <v>51.174199125000001</v>
      </c>
      <c r="O31" s="367">
        <f t="shared" si="31"/>
        <v>1245.7140107168304</v>
      </c>
      <c r="P31" s="367">
        <f>'23'!I38</f>
        <v>52.420999999999999</v>
      </c>
      <c r="Q31" s="367">
        <f t="shared" si="8"/>
        <v>1195.0040000000001</v>
      </c>
      <c r="R31" s="589">
        <f>'23'!I40</f>
        <v>45.463999999999999</v>
      </c>
      <c r="S31" s="367">
        <f t="shared" si="9"/>
        <v>1177.56</v>
      </c>
      <c r="T31" s="95">
        <f>+[1]Report1!AZ31</f>
        <v>3910.1204494727936</v>
      </c>
      <c r="U31" s="13">
        <f t="shared" si="10"/>
        <v>84565.742997653171</v>
      </c>
      <c r="V31" s="274">
        <f t="shared" si="11"/>
        <v>74.590726034848501</v>
      </c>
      <c r="W31" s="274">
        <f t="shared" si="11"/>
        <v>70.766075258035258</v>
      </c>
      <c r="X31" s="275">
        <f t="shared" si="12"/>
        <v>86.004760898134649</v>
      </c>
      <c r="Y31" s="274">
        <f t="shared" si="13"/>
        <v>71.814381430800282</v>
      </c>
      <c r="Z31" s="369">
        <v>93.6</v>
      </c>
      <c r="AA31" s="368">
        <f t="shared" si="14"/>
        <v>2190.16</v>
      </c>
      <c r="AB31" s="371">
        <f t="shared" si="1"/>
        <v>1.7855439613895194</v>
      </c>
      <c r="AC31" s="371">
        <f t="shared" si="1"/>
        <v>1.832763739702963</v>
      </c>
      <c r="AD31" s="366">
        <f t="shared" si="15"/>
        <v>2.058771775470702</v>
      </c>
      <c r="AE31" s="371">
        <f t="shared" si="15"/>
        <v>1.8599137198953768</v>
      </c>
      <c r="AF31" s="95"/>
      <c r="AG31" s="370">
        <f t="shared" si="30"/>
        <v>0</v>
      </c>
      <c r="AH31" s="371">
        <f t="shared" si="16"/>
        <v>0</v>
      </c>
      <c r="AI31" s="371">
        <f t="shared" si="16"/>
        <v>0</v>
      </c>
      <c r="AJ31" s="366">
        <f t="shared" si="17"/>
        <v>0</v>
      </c>
      <c r="AK31" s="371">
        <f t="shared" si="17"/>
        <v>0</v>
      </c>
      <c r="AL31" s="370">
        <f>'23'!I46</f>
        <v>41518.040000000634</v>
      </c>
      <c r="AM31" s="368">
        <f t="shared" si="18"/>
        <v>881717.03869719326</v>
      </c>
      <c r="AN31" s="371">
        <f t="shared" si="19"/>
        <v>792.01159840523144</v>
      </c>
      <c r="AO31" s="371">
        <f t="shared" si="19"/>
        <v>737.83605636231596</v>
      </c>
      <c r="AP31" s="371">
        <f t="shared" si="20"/>
        <v>913.20693295795877</v>
      </c>
      <c r="AQ31" s="371">
        <f t="shared" si="20"/>
        <v>748.76612546043782</v>
      </c>
      <c r="AR31" s="370">
        <f>+Listrik!AA30</f>
        <v>18237.1580000002</v>
      </c>
      <c r="AS31" s="368">
        <f t="shared" si="21"/>
        <v>556493.73899999983</v>
      </c>
      <c r="AT31" s="371">
        <f t="shared" si="22"/>
        <v>347.89794166460388</v>
      </c>
      <c r="AU31" s="371">
        <f t="shared" si="22"/>
        <v>465.68357846500908</v>
      </c>
      <c r="AV31" s="371">
        <f t="shared" si="23"/>
        <v>401.13404011965946</v>
      </c>
      <c r="AW31" s="371">
        <f t="shared" si="23"/>
        <v>472.5820671558136</v>
      </c>
      <c r="AX31" s="370">
        <v>0</v>
      </c>
      <c r="AY31" s="368">
        <f t="shared" si="24"/>
        <v>0</v>
      </c>
      <c r="AZ31" s="371">
        <f t="shared" si="25"/>
        <v>0</v>
      </c>
      <c r="BA31" s="371">
        <f t="shared" si="25"/>
        <v>0</v>
      </c>
      <c r="BB31" s="371">
        <f t="shared" si="26"/>
        <v>0</v>
      </c>
      <c r="BC31" s="371">
        <f t="shared" si="26"/>
        <v>0</v>
      </c>
      <c r="BD31" s="444"/>
      <c r="BE31" s="366">
        <f>+SUM(Efficiency2!K100:K101)</f>
        <v>52.652013749999995</v>
      </c>
      <c r="BF31" s="367">
        <f t="shared" si="27"/>
        <v>1234.0260704094785</v>
      </c>
      <c r="BG31" s="392">
        <f t="shared" si="28"/>
        <v>0.86348074388702756</v>
      </c>
      <c r="BH31" s="392">
        <f t="shared" si="29"/>
        <v>0.95424240073733468</v>
      </c>
    </row>
    <row r="32" spans="1:60" s="372" customFormat="1" ht="12.75" customHeight="1">
      <c r="A32" s="386">
        <f t="shared" si="2"/>
        <v>46105</v>
      </c>
      <c r="B32" s="395" t="s">
        <v>422</v>
      </c>
      <c r="C32" s="373" t="s">
        <v>611</v>
      </c>
      <c r="D32" s="365">
        <f>+'24'!F42</f>
        <v>1225</v>
      </c>
      <c r="E32" s="365">
        <f>+'24'!G42</f>
        <v>1029</v>
      </c>
      <c r="F32" s="46">
        <f t="shared" si="0"/>
        <v>0.16000000000000003</v>
      </c>
      <c r="G32" s="391">
        <f t="shared" si="3"/>
        <v>0.95368152770120018</v>
      </c>
      <c r="H32" s="387">
        <f t="shared" si="4"/>
        <v>0.93460789714717618</v>
      </c>
      <c r="I32" s="387">
        <f t="shared" si="5"/>
        <v>1.0080551668998601</v>
      </c>
      <c r="J32" s="392">
        <f t="shared" si="6"/>
        <v>0.94213631974462397</v>
      </c>
      <c r="K32" s="392">
        <f t="shared" si="6"/>
        <v>0.93104652684873113</v>
      </c>
      <c r="L32" s="366">
        <f>+Efficiency1!K104</f>
        <v>53.530470000000001</v>
      </c>
      <c r="M32" s="367">
        <f t="shared" si="31"/>
        <v>1318.9383823344783</v>
      </c>
      <c r="N32" s="366">
        <f>+Efficiency1!C104</f>
        <v>52.459860599999999</v>
      </c>
      <c r="O32" s="367">
        <f t="shared" si="31"/>
        <v>1298.1738713168304</v>
      </c>
      <c r="P32" s="367">
        <f>'24'!I38</f>
        <v>50.03</v>
      </c>
      <c r="Q32" s="367">
        <f t="shared" si="8"/>
        <v>1245.0340000000001</v>
      </c>
      <c r="R32" s="589">
        <f>'24'!I40</f>
        <v>50.433</v>
      </c>
      <c r="S32" s="367">
        <f t="shared" si="9"/>
        <v>1227.9929999999999</v>
      </c>
      <c r="T32" s="95">
        <f>+[1]Report1!AZ32</f>
        <v>3619.339770825286</v>
      </c>
      <c r="U32" s="13">
        <f t="shared" si="10"/>
        <v>88185.08276847846</v>
      </c>
      <c r="V32" s="274">
        <f t="shared" si="11"/>
        <v>72.343389382875998</v>
      </c>
      <c r="W32" s="274">
        <f t="shared" si="11"/>
        <v>70.829457483473107</v>
      </c>
      <c r="X32" s="275">
        <f t="shared" si="12"/>
        <v>71.765307850520216</v>
      </c>
      <c r="Y32" s="274">
        <f t="shared" si="13"/>
        <v>71.81236600573331</v>
      </c>
      <c r="Z32" s="369">
        <v>94.9</v>
      </c>
      <c r="AA32" s="368">
        <f t="shared" si="14"/>
        <v>2285.06</v>
      </c>
      <c r="AB32" s="371">
        <f t="shared" si="1"/>
        <v>1.8968618828702779</v>
      </c>
      <c r="AC32" s="371">
        <f t="shared" si="1"/>
        <v>1.8353394365133802</v>
      </c>
      <c r="AD32" s="366">
        <f t="shared" si="15"/>
        <v>1.881704439553467</v>
      </c>
      <c r="AE32" s="371">
        <f t="shared" si="15"/>
        <v>1.8608086528180536</v>
      </c>
      <c r="AF32" s="95"/>
      <c r="AG32" s="370">
        <f t="shared" si="30"/>
        <v>0</v>
      </c>
      <c r="AH32" s="371">
        <f t="shared" si="16"/>
        <v>0</v>
      </c>
      <c r="AI32" s="371">
        <f t="shared" si="16"/>
        <v>0</v>
      </c>
      <c r="AJ32" s="366">
        <f t="shared" si="17"/>
        <v>0</v>
      </c>
      <c r="AK32" s="371">
        <f t="shared" si="17"/>
        <v>0</v>
      </c>
      <c r="AL32" s="370">
        <f>+'24'!I46</f>
        <v>42826.360000000081</v>
      </c>
      <c r="AM32" s="368">
        <f t="shared" si="18"/>
        <v>924543.39869719336</v>
      </c>
      <c r="AN32" s="371">
        <f t="shared" si="19"/>
        <v>856.01359184489468</v>
      </c>
      <c r="AO32" s="371">
        <f t="shared" si="19"/>
        <v>742.58486008991997</v>
      </c>
      <c r="AP32" s="371">
        <f t="shared" si="20"/>
        <v>849.17335871354237</v>
      </c>
      <c r="AQ32" s="371">
        <f t="shared" si="20"/>
        <v>752.88979554215166</v>
      </c>
      <c r="AR32" s="370">
        <f>+Listrik!AA31</f>
        <v>20513.79800000001</v>
      </c>
      <c r="AS32" s="368">
        <f t="shared" si="21"/>
        <v>577007.53699999978</v>
      </c>
      <c r="AT32" s="371">
        <f t="shared" si="22"/>
        <v>410.02994203477931</v>
      </c>
      <c r="AU32" s="371">
        <f t="shared" si="22"/>
        <v>463.44721268656099</v>
      </c>
      <c r="AV32" s="371">
        <f t="shared" si="23"/>
        <v>406.75347490730297</v>
      </c>
      <c r="AW32" s="371">
        <f t="shared" si="23"/>
        <v>469.87852292317609</v>
      </c>
      <c r="AX32" s="370">
        <v>0</v>
      </c>
      <c r="AY32" s="368">
        <f t="shared" si="24"/>
        <v>0</v>
      </c>
      <c r="AZ32" s="371">
        <f t="shared" si="25"/>
        <v>0</v>
      </c>
      <c r="BA32" s="371">
        <f t="shared" si="25"/>
        <v>0</v>
      </c>
      <c r="BB32" s="371">
        <f t="shared" si="26"/>
        <v>0</v>
      </c>
      <c r="BC32" s="371">
        <f t="shared" si="26"/>
        <v>0</v>
      </c>
      <c r="BD32" s="444"/>
      <c r="BE32" s="366">
        <f>+Efficiency2!K104</f>
        <v>53.530470000000001</v>
      </c>
      <c r="BF32" s="367">
        <f t="shared" si="27"/>
        <v>1287.5565404094784</v>
      </c>
      <c r="BG32" s="392">
        <f t="shared" si="28"/>
        <v>0.94213631974462397</v>
      </c>
      <c r="BH32" s="392">
        <f t="shared" si="29"/>
        <v>0.95373908753511072</v>
      </c>
    </row>
    <row r="33" spans="1:60" s="372" customFormat="1" ht="12.75" customHeight="1">
      <c r="A33" s="386">
        <f t="shared" si="2"/>
        <v>46106</v>
      </c>
      <c r="B33" s="395" t="s">
        <v>422</v>
      </c>
      <c r="C33" s="373" t="s">
        <v>611</v>
      </c>
      <c r="D33" s="365">
        <f>+'25'!F42</f>
        <v>1225</v>
      </c>
      <c r="E33" s="365">
        <f>+'25'!G42</f>
        <v>1029</v>
      </c>
      <c r="F33" s="46">
        <f t="shared" si="0"/>
        <v>0.16000000000000003</v>
      </c>
      <c r="G33" s="391">
        <f t="shared" si="3"/>
        <v>0.96504511558698891</v>
      </c>
      <c r="H33" s="387">
        <f t="shared" si="4"/>
        <v>0.94574421327524927</v>
      </c>
      <c r="I33" s="387">
        <f t="shared" si="5"/>
        <v>1.0802398572087519</v>
      </c>
      <c r="J33" s="392">
        <f t="shared" si="6"/>
        <v>1.0216305939044588</v>
      </c>
      <c r="K33" s="392">
        <f t="shared" si="6"/>
        <v>0.93452837188921678</v>
      </c>
      <c r="L33" s="366">
        <f>+Efficiency1!K108</f>
        <v>52.723558124999997</v>
      </c>
      <c r="M33" s="367">
        <f t="shared" si="31"/>
        <v>1371.6619404594783</v>
      </c>
      <c r="N33" s="366">
        <f>+Efficiency1!C108</f>
        <v>51.669086962500003</v>
      </c>
      <c r="O33" s="367">
        <f t="shared" si="31"/>
        <v>1349.8429582793303</v>
      </c>
      <c r="P33" s="367">
        <f>'25'!I38</f>
        <v>49.863</v>
      </c>
      <c r="Q33" s="367">
        <f t="shared" si="8"/>
        <v>1294.8970000000002</v>
      </c>
      <c r="R33" s="589">
        <f>'25'!I40</f>
        <v>53.863999999999997</v>
      </c>
      <c r="S33" s="367">
        <f t="shared" si="9"/>
        <v>1281.857</v>
      </c>
      <c r="T33" s="95">
        <f>+[1]Report1!AZ33</f>
        <v>3619.8030881799114</v>
      </c>
      <c r="U33" s="13">
        <f t="shared" si="10"/>
        <v>91804.885856658366</v>
      </c>
      <c r="V33" s="274">
        <f t="shared" si="11"/>
        <v>72.594971986842182</v>
      </c>
      <c r="W33" s="274">
        <f t="shared" si="11"/>
        <v>70.897442697495137</v>
      </c>
      <c r="X33" s="275">
        <f t="shared" si="12"/>
        <v>67.202641619261698</v>
      </c>
      <c r="Y33" s="274">
        <f t="shared" si="13"/>
        <v>71.618664060545257</v>
      </c>
      <c r="Z33" s="369">
        <v>93.5</v>
      </c>
      <c r="AA33" s="368">
        <f t="shared" si="14"/>
        <v>2378.56</v>
      </c>
      <c r="AB33" s="371">
        <f t="shared" si="1"/>
        <v>1.8751378777851313</v>
      </c>
      <c r="AC33" s="371">
        <f t="shared" si="1"/>
        <v>1.8368719674228913</v>
      </c>
      <c r="AD33" s="366">
        <f t="shared" si="15"/>
        <v>1.7358532600623795</v>
      </c>
      <c r="AE33" s="371">
        <f t="shared" si="15"/>
        <v>1.8555579912579951</v>
      </c>
      <c r="AF33" s="95"/>
      <c r="AG33" s="370">
        <f t="shared" si="30"/>
        <v>0</v>
      </c>
      <c r="AH33" s="371">
        <f t="shared" si="16"/>
        <v>0</v>
      </c>
      <c r="AI33" s="371">
        <f t="shared" si="16"/>
        <v>0</v>
      </c>
      <c r="AJ33" s="366">
        <f t="shared" si="17"/>
        <v>0</v>
      </c>
      <c r="AK33" s="371">
        <f t="shared" si="17"/>
        <v>0</v>
      </c>
      <c r="AL33" s="370">
        <f>+'25'!I46</f>
        <v>37579.775184333979</v>
      </c>
      <c r="AM33" s="368">
        <f t="shared" si="18"/>
        <v>962123.17388152739</v>
      </c>
      <c r="AN33" s="371">
        <f t="shared" si="19"/>
        <v>753.66053354860276</v>
      </c>
      <c r="AO33" s="371">
        <f t="shared" si="19"/>
        <v>743.01135447956642</v>
      </c>
      <c r="AP33" s="371">
        <f t="shared" si="20"/>
        <v>697.67887985173741</v>
      </c>
      <c r="AQ33" s="371">
        <f t="shared" si="20"/>
        <v>750.56981697765616</v>
      </c>
      <c r="AR33" s="370">
        <f>+Listrik!AA32</f>
        <v>26694.000000000004</v>
      </c>
      <c r="AS33" s="368">
        <f t="shared" si="21"/>
        <v>603701.53699999978</v>
      </c>
      <c r="AT33" s="371">
        <f t="shared" si="22"/>
        <v>535.34685037001395</v>
      </c>
      <c r="AU33" s="371">
        <f t="shared" si="22"/>
        <v>466.21587431278294</v>
      </c>
      <c r="AV33" s="371">
        <f t="shared" si="23"/>
        <v>495.58146442893218</v>
      </c>
      <c r="AW33" s="371">
        <f t="shared" si="23"/>
        <v>470.95856792138261</v>
      </c>
      <c r="AX33" s="370">
        <v>0</v>
      </c>
      <c r="AY33" s="368">
        <f t="shared" si="24"/>
        <v>0</v>
      </c>
      <c r="AZ33" s="371">
        <f t="shared" si="25"/>
        <v>0</v>
      </c>
      <c r="BA33" s="371">
        <f t="shared" si="25"/>
        <v>0</v>
      </c>
      <c r="BB33" s="371">
        <f t="shared" si="26"/>
        <v>0</v>
      </c>
      <c r="BC33" s="371">
        <f t="shared" si="26"/>
        <v>0</v>
      </c>
      <c r="BD33" s="444"/>
      <c r="BE33" s="366">
        <f>+Efficiency2!K108</f>
        <v>52.723558124999997</v>
      </c>
      <c r="BF33" s="367">
        <f t="shared" si="27"/>
        <v>1340.2800985344784</v>
      </c>
      <c r="BG33" s="392">
        <f t="shared" si="28"/>
        <v>1.0216305939044588</v>
      </c>
      <c r="BH33" s="392">
        <f t="shared" si="29"/>
        <v>0.95640978434406299</v>
      </c>
    </row>
    <row r="34" spans="1:60" s="372" customFormat="1" ht="12.75" customHeight="1">
      <c r="A34" s="386">
        <f t="shared" si="2"/>
        <v>46107</v>
      </c>
      <c r="B34" s="395" t="s">
        <v>422</v>
      </c>
      <c r="C34" s="373" t="s">
        <v>611</v>
      </c>
      <c r="D34" s="365">
        <f>+'26'!F42</f>
        <v>1225</v>
      </c>
      <c r="E34" s="365">
        <f>+'26'!G42</f>
        <v>1029</v>
      </c>
      <c r="F34" s="46">
        <f t="shared" si="0"/>
        <v>0.16000000000000003</v>
      </c>
      <c r="G34" s="391">
        <f t="shared" si="3"/>
        <v>0.95028918189111433</v>
      </c>
      <c r="H34" s="387">
        <f t="shared" si="4"/>
        <v>0.93128339825329209</v>
      </c>
      <c r="I34" s="387">
        <f t="shared" si="5"/>
        <v>1.0223753563444697</v>
      </c>
      <c r="J34" s="392">
        <f t="shared" si="6"/>
        <v>0.95212119614689827</v>
      </c>
      <c r="K34" s="392">
        <f t="shared" si="6"/>
        <v>0.93517520582194813</v>
      </c>
      <c r="L34" s="366">
        <f>+Efficiency1!K112</f>
        <v>52.356780000000001</v>
      </c>
      <c r="M34" s="367">
        <f t="shared" si="31"/>
        <v>1424.0187204594783</v>
      </c>
      <c r="N34" s="366">
        <f>+Efficiency1!C112</f>
        <v>51.309644400000003</v>
      </c>
      <c r="O34" s="367">
        <f t="shared" si="31"/>
        <v>1401.1526026793304</v>
      </c>
      <c r="P34" s="367">
        <f>'26'!I38</f>
        <v>48.759</v>
      </c>
      <c r="Q34" s="367">
        <f t="shared" si="8"/>
        <v>1343.6560000000002</v>
      </c>
      <c r="R34" s="589">
        <f>'26'!I40</f>
        <v>49.85</v>
      </c>
      <c r="S34" s="367">
        <f t="shared" si="9"/>
        <v>1331.7069999999999</v>
      </c>
      <c r="T34" s="95">
        <f>+[1]Report1!AZ34</f>
        <v>3586.2410050639141</v>
      </c>
      <c r="U34" s="13">
        <f t="shared" si="10"/>
        <v>95391.126861722281</v>
      </c>
      <c r="V34" s="274">
        <f t="shared" si="11"/>
        <v>73.55033952837249</v>
      </c>
      <c r="W34" s="274">
        <f t="shared" si="11"/>
        <v>70.993711829309191</v>
      </c>
      <c r="X34" s="275">
        <f t="shared" si="12"/>
        <v>71.940642027360369</v>
      </c>
      <c r="Y34" s="274">
        <f t="shared" si="13"/>
        <v>71.6307167130024</v>
      </c>
      <c r="Z34" s="369">
        <v>94.9</v>
      </c>
      <c r="AA34" s="368">
        <f t="shared" si="14"/>
        <v>2473.46</v>
      </c>
      <c r="AB34" s="371">
        <f t="shared" si="1"/>
        <v>1.9463073483869646</v>
      </c>
      <c r="AC34" s="371">
        <f t="shared" si="1"/>
        <v>1.8408431920074779</v>
      </c>
      <c r="AD34" s="366">
        <f t="shared" si="15"/>
        <v>1.9037111334002006</v>
      </c>
      <c r="AE34" s="371">
        <f t="shared" si="15"/>
        <v>1.8573605154887676</v>
      </c>
      <c r="AF34" s="95"/>
      <c r="AG34" s="370">
        <f t="shared" si="30"/>
        <v>0</v>
      </c>
      <c r="AH34" s="371">
        <f t="shared" si="16"/>
        <v>0</v>
      </c>
      <c r="AI34" s="371">
        <f t="shared" si="16"/>
        <v>0</v>
      </c>
      <c r="AJ34" s="366">
        <f t="shared" si="17"/>
        <v>0</v>
      </c>
      <c r="AK34" s="371">
        <f t="shared" si="17"/>
        <v>0</v>
      </c>
      <c r="AL34" s="370">
        <f>'26'!I46</f>
        <v>40859.999967961099</v>
      </c>
      <c r="AM34" s="368">
        <f t="shared" si="18"/>
        <v>1002983.1738494885</v>
      </c>
      <c r="AN34" s="371">
        <f t="shared" si="19"/>
        <v>837.9991379634755</v>
      </c>
      <c r="AO34" s="371">
        <f t="shared" si="19"/>
        <v>746.45830022676068</v>
      </c>
      <c r="AP34" s="371">
        <f t="shared" si="20"/>
        <v>819.65897628808625</v>
      </c>
      <c r="AQ34" s="371">
        <f t="shared" si="20"/>
        <v>753.15604246991916</v>
      </c>
      <c r="AR34" s="370">
        <f>+Listrik!AA33</f>
        <v>20463.600000000006</v>
      </c>
      <c r="AS34" s="368">
        <f t="shared" si="21"/>
        <v>624165.13699999976</v>
      </c>
      <c r="AT34" s="371">
        <f t="shared" si="22"/>
        <v>419.68867286039512</v>
      </c>
      <c r="AU34" s="371">
        <f t="shared" si="22"/>
        <v>464.52748099215847</v>
      </c>
      <c r="AV34" s="371">
        <f t="shared" si="23"/>
        <v>410.50351053159488</v>
      </c>
      <c r="AW34" s="371">
        <f t="shared" si="23"/>
        <v>468.69554413996462</v>
      </c>
      <c r="AX34" s="370">
        <v>0</v>
      </c>
      <c r="AY34" s="368">
        <f t="shared" si="24"/>
        <v>0</v>
      </c>
      <c r="AZ34" s="371">
        <f t="shared" si="25"/>
        <v>0</v>
      </c>
      <c r="BA34" s="371">
        <f t="shared" si="25"/>
        <v>0</v>
      </c>
      <c r="BB34" s="371">
        <f t="shared" si="26"/>
        <v>0</v>
      </c>
      <c r="BC34" s="371">
        <f t="shared" si="26"/>
        <v>0</v>
      </c>
      <c r="BD34" s="444"/>
      <c r="BE34" s="366">
        <f>+Efficiency2!K112</f>
        <v>52.356780000000001</v>
      </c>
      <c r="BF34" s="367">
        <f t="shared" si="27"/>
        <v>1392.6368785344785</v>
      </c>
      <c r="BG34" s="392">
        <f t="shared" si="28"/>
        <v>0.95212119614689827</v>
      </c>
      <c r="BH34" s="392">
        <f t="shared" si="29"/>
        <v>0.95624855303372602</v>
      </c>
    </row>
    <row r="35" spans="1:60" s="372" customFormat="1" ht="12.75" customHeight="1">
      <c r="A35" s="386">
        <f t="shared" si="2"/>
        <v>46108</v>
      </c>
      <c r="B35" s="395" t="s">
        <v>422</v>
      </c>
      <c r="C35" s="373" t="s">
        <v>611</v>
      </c>
      <c r="D35" s="365">
        <f>+'27'!F42</f>
        <v>1225</v>
      </c>
      <c r="E35" s="365">
        <f>+'27'!G42</f>
        <v>1029</v>
      </c>
      <c r="F35" s="46">
        <f t="shared" si="0"/>
        <v>0.16000000000000003</v>
      </c>
      <c r="G35" s="391">
        <f t="shared" si="3"/>
        <v>0.96184798096019919</v>
      </c>
      <c r="H35" s="387">
        <f t="shared" si="4"/>
        <v>0.94261102134099528</v>
      </c>
      <c r="I35" s="387">
        <f t="shared" si="5"/>
        <v>0.82302559700327771</v>
      </c>
      <c r="J35" s="392">
        <f t="shared" si="6"/>
        <v>0.775792998581042</v>
      </c>
      <c r="K35" s="392">
        <f t="shared" si="6"/>
        <v>0.92931299477020568</v>
      </c>
      <c r="L35" s="366">
        <f>+Efficiency1!K116</f>
        <v>54.376618604651163</v>
      </c>
      <c r="M35" s="367">
        <f t="shared" si="31"/>
        <v>1478.3953390641295</v>
      </c>
      <c r="N35" s="366">
        <f>+Efficiency1!C116</f>
        <v>53.289086232558148</v>
      </c>
      <c r="O35" s="367">
        <f t="shared" si="31"/>
        <v>1454.4416889118886</v>
      </c>
      <c r="P35" s="367">
        <f>'27'!I38</f>
        <v>51.256</v>
      </c>
      <c r="Q35" s="367">
        <f t="shared" si="8"/>
        <v>1394.9120000000003</v>
      </c>
      <c r="R35" s="589">
        <f>'27'!I40</f>
        <v>42.185000000000002</v>
      </c>
      <c r="S35" s="367">
        <f t="shared" si="9"/>
        <v>1373.8919999999998</v>
      </c>
      <c r="T35" s="95">
        <f>+[1]Report1!AZ35</f>
        <v>3644.9277556261404</v>
      </c>
      <c r="U35" s="13">
        <f t="shared" si="10"/>
        <v>99036.054617348418</v>
      </c>
      <c r="V35" s="274">
        <f t="shared" si="11"/>
        <v>71.112216240559945</v>
      </c>
      <c r="W35" s="274">
        <f t="shared" si="11"/>
        <v>70.998066270380065</v>
      </c>
      <c r="X35" s="275">
        <f t="shared" si="12"/>
        <v>86.403407742708083</v>
      </c>
      <c r="Y35" s="274">
        <f t="shared" si="13"/>
        <v>72.084308386211163</v>
      </c>
      <c r="Z35" s="369">
        <v>95.3</v>
      </c>
      <c r="AA35" s="368">
        <f t="shared" si="14"/>
        <v>2568.7600000000002</v>
      </c>
      <c r="AB35" s="371">
        <f t="shared" si="1"/>
        <v>1.8592945216169814</v>
      </c>
      <c r="AC35" s="371">
        <f t="shared" si="1"/>
        <v>1.8415211855658276</v>
      </c>
      <c r="AD35" s="366">
        <f t="shared" si="15"/>
        <v>2.2590968353680214</v>
      </c>
      <c r="AE35" s="371">
        <f t="shared" si="15"/>
        <v>1.8696957257193436</v>
      </c>
      <c r="AF35" s="95"/>
      <c r="AG35" s="370">
        <f t="shared" si="30"/>
        <v>0</v>
      </c>
      <c r="AH35" s="371">
        <f t="shared" si="16"/>
        <v>0</v>
      </c>
      <c r="AI35" s="371">
        <f t="shared" si="16"/>
        <v>0</v>
      </c>
      <c r="AJ35" s="366">
        <f t="shared" si="17"/>
        <v>0</v>
      </c>
      <c r="AK35" s="371">
        <f t="shared" si="17"/>
        <v>0</v>
      </c>
      <c r="AL35" s="370">
        <f>'27'!I46</f>
        <v>37571.506902964531</v>
      </c>
      <c r="AM35" s="368">
        <f t="shared" si="18"/>
        <v>1040554.680752453</v>
      </c>
      <c r="AN35" s="371">
        <f t="shared" si="19"/>
        <v>733.01675712042561</v>
      </c>
      <c r="AO35" s="371">
        <f t="shared" si="19"/>
        <v>745.96439112463929</v>
      </c>
      <c r="AP35" s="371">
        <f t="shared" si="20"/>
        <v>890.63664579742874</v>
      </c>
      <c r="AQ35" s="371">
        <f t="shared" si="20"/>
        <v>757.37734898554856</v>
      </c>
      <c r="AR35" s="370">
        <f>+Listrik!AA34</f>
        <v>23219.900000000413</v>
      </c>
      <c r="AS35" s="368">
        <f t="shared" si="21"/>
        <v>647385.03700000013</v>
      </c>
      <c r="AT35" s="371">
        <f t="shared" si="22"/>
        <v>453.0181832370925</v>
      </c>
      <c r="AU35" s="371">
        <f t="shared" si="22"/>
        <v>464.10457218806636</v>
      </c>
      <c r="AV35" s="371">
        <f t="shared" si="23"/>
        <v>550.43024771839316</v>
      </c>
      <c r="AW35" s="371">
        <f t="shared" si="23"/>
        <v>471.20518716172762</v>
      </c>
      <c r="AX35" s="370">
        <v>0</v>
      </c>
      <c r="AY35" s="368">
        <f t="shared" si="24"/>
        <v>0</v>
      </c>
      <c r="AZ35" s="371">
        <f t="shared" si="25"/>
        <v>0</v>
      </c>
      <c r="BA35" s="371">
        <f t="shared" si="25"/>
        <v>0</v>
      </c>
      <c r="BB35" s="371">
        <f t="shared" si="26"/>
        <v>0</v>
      </c>
      <c r="BC35" s="371">
        <f>IF(AND(S35&gt;0,AY35&gt;0),(AY35/(S35*1000)*1000),0)</f>
        <v>0</v>
      </c>
      <c r="BD35" s="444"/>
      <c r="BE35" s="366">
        <f>+Efficiency2!K116</f>
        <v>54.376618604651163</v>
      </c>
      <c r="BF35" s="367">
        <f t="shared" si="27"/>
        <v>1447.0134971391296</v>
      </c>
      <c r="BG35" s="392">
        <f t="shared" si="28"/>
        <v>0.775792998581042</v>
      </c>
      <c r="BH35" s="392">
        <f t="shared" si="29"/>
        <v>0.94946730124929912</v>
      </c>
    </row>
    <row r="36" spans="1:60" s="372" customFormat="1" ht="12.75" customHeight="1">
      <c r="A36" s="386">
        <f t="shared" si="2"/>
        <v>46109</v>
      </c>
      <c r="B36" s="395" t="s">
        <v>422</v>
      </c>
      <c r="C36" s="373" t="s">
        <v>611</v>
      </c>
      <c r="D36" s="365">
        <f>+'28'!F42</f>
        <v>1208.3333333333333</v>
      </c>
      <c r="E36" s="365">
        <f>+'28'!G42</f>
        <v>1015</v>
      </c>
      <c r="F36" s="46">
        <f t="shared" si="0"/>
        <v>0.15999999999999992</v>
      </c>
      <c r="G36" s="391">
        <f t="shared" si="3"/>
        <v>0.98693874784685109</v>
      </c>
      <c r="H36" s="387">
        <f t="shared" si="4"/>
        <v>0.95404078958528937</v>
      </c>
      <c r="I36" s="387">
        <f t="shared" si="5"/>
        <v>0.83531327840582481</v>
      </c>
      <c r="J36" s="392">
        <f t="shared" si="6"/>
        <v>0.79692293968136974</v>
      </c>
      <c r="K36" s="392">
        <f t="shared" si="6"/>
        <v>0.92458904387177443</v>
      </c>
      <c r="L36" s="366">
        <f>+Efficiency1!K120</f>
        <v>54.704160000000002</v>
      </c>
      <c r="M36" s="367">
        <f t="shared" si="31"/>
        <v>1533.0994990641295</v>
      </c>
      <c r="N36" s="366">
        <f>+Efficiency1!C120</f>
        <v>52.880687999999999</v>
      </c>
      <c r="O36" s="367">
        <f t="shared" si="31"/>
        <v>1507.3223769118886</v>
      </c>
      <c r="P36" s="367">
        <f>'28'!I38</f>
        <v>52.190000000000005</v>
      </c>
      <c r="Q36" s="367">
        <f t="shared" si="8"/>
        <v>1447.1020000000003</v>
      </c>
      <c r="R36" s="589">
        <f>'28'!I40</f>
        <v>43.594999999999999</v>
      </c>
      <c r="S36" s="367">
        <f t="shared" si="9"/>
        <v>1417.4869999999999</v>
      </c>
      <c r="T36" s="95">
        <f>+[1]Report1!AZ36</f>
        <v>3762.7395026498166</v>
      </c>
      <c r="U36" s="13">
        <f t="shared" si="10"/>
        <v>102798.79411999823</v>
      </c>
      <c r="V36" s="274">
        <f t="shared" si="11"/>
        <v>72.096943909749299</v>
      </c>
      <c r="W36" s="274">
        <f t="shared" si="11"/>
        <v>71.037697494715786</v>
      </c>
      <c r="X36" s="275">
        <f t="shared" si="12"/>
        <v>86.311262820273356</v>
      </c>
      <c r="Y36" s="274">
        <f t="shared" si="13"/>
        <v>72.521860249863479</v>
      </c>
      <c r="Z36" s="369">
        <v>94</v>
      </c>
      <c r="AA36" s="368">
        <f t="shared" si="14"/>
        <v>2662.76</v>
      </c>
      <c r="AB36" s="371">
        <f t="shared" si="1"/>
        <v>1.8011113240084307</v>
      </c>
      <c r="AC36" s="371">
        <f t="shared" si="1"/>
        <v>1.8400637964704627</v>
      </c>
      <c r="AD36" s="366">
        <f t="shared" si="15"/>
        <v>2.1562105746071798</v>
      </c>
      <c r="AE36" s="371">
        <f t="shared" si="15"/>
        <v>1.8785075277586323</v>
      </c>
      <c r="AF36" s="95"/>
      <c r="AG36" s="370">
        <f t="shared" si="30"/>
        <v>0</v>
      </c>
      <c r="AH36" s="371">
        <f t="shared" si="16"/>
        <v>0</v>
      </c>
      <c r="AI36" s="371">
        <f t="shared" si="16"/>
        <v>0</v>
      </c>
      <c r="AJ36" s="366">
        <f t="shared" si="17"/>
        <v>0</v>
      </c>
      <c r="AK36" s="371">
        <f t="shared" si="17"/>
        <v>0</v>
      </c>
      <c r="AL36" s="370">
        <f>'28'!I46</f>
        <v>38411.681780205559</v>
      </c>
      <c r="AM36" s="368">
        <f t="shared" si="18"/>
        <v>1078966.3625326585</v>
      </c>
      <c r="AN36" s="371">
        <f t="shared" si="19"/>
        <v>735.99696838868658</v>
      </c>
      <c r="AO36" s="371">
        <f t="shared" si="19"/>
        <v>745.60491418895026</v>
      </c>
      <c r="AP36" s="371">
        <f t="shared" si="20"/>
        <v>881.10291960558686</v>
      </c>
      <c r="AQ36" s="371">
        <f t="shared" si="20"/>
        <v>761.18254525978625</v>
      </c>
      <c r="AR36" s="370">
        <f>+Listrik!AA35</f>
        <v>23223.049999999897</v>
      </c>
      <c r="AS36" s="368">
        <f t="shared" si="21"/>
        <v>670608.08700000006</v>
      </c>
      <c r="AT36" s="371">
        <f t="shared" si="22"/>
        <v>444.97125886184892</v>
      </c>
      <c r="AU36" s="371">
        <f t="shared" si="22"/>
        <v>463.41452572106181</v>
      </c>
      <c r="AV36" s="371">
        <f t="shared" si="23"/>
        <v>532.69985090033026</v>
      </c>
      <c r="AW36" s="371">
        <f t="shared" si="23"/>
        <v>473.09646367127192</v>
      </c>
      <c r="AX36" s="370">
        <v>0</v>
      </c>
      <c r="AY36" s="368">
        <f t="shared" si="24"/>
        <v>0</v>
      </c>
      <c r="AZ36" s="371">
        <f t="shared" si="25"/>
        <v>0</v>
      </c>
      <c r="BA36" s="371">
        <f t="shared" si="25"/>
        <v>0</v>
      </c>
      <c r="BB36" s="371">
        <f t="shared" si="26"/>
        <v>0</v>
      </c>
      <c r="BC36" s="371">
        <f t="shared" si="26"/>
        <v>0</v>
      </c>
      <c r="BD36" s="444"/>
      <c r="BE36" s="366">
        <f>+Efficiency2!K120</f>
        <v>54.704160000000002</v>
      </c>
      <c r="BF36" s="367">
        <f t="shared" si="27"/>
        <v>1501.7176571391296</v>
      </c>
      <c r="BG36" s="392">
        <f t="shared" si="28"/>
        <v>0.79692293968136974</v>
      </c>
      <c r="BH36" s="392">
        <f t="shared" si="29"/>
        <v>0.94391045697658327</v>
      </c>
    </row>
    <row r="37" spans="1:60" s="372" customFormat="1" ht="12.75" customHeight="1">
      <c r="A37" s="386">
        <f t="shared" si="2"/>
        <v>46110</v>
      </c>
      <c r="B37" s="395" t="s">
        <v>422</v>
      </c>
      <c r="C37" s="373" t="s">
        <v>755</v>
      </c>
      <c r="D37" s="365">
        <f>+'29'!F42</f>
        <v>1187.3611111111111</v>
      </c>
      <c r="E37" s="365">
        <f>+'29'!G42</f>
        <v>997.38333333333333</v>
      </c>
      <c r="F37" s="46">
        <f t="shared" si="0"/>
        <v>0.16000000000000003</v>
      </c>
      <c r="G37" s="391">
        <f t="shared" si="3"/>
        <v>0.9650066376579568</v>
      </c>
      <c r="H37" s="387">
        <f t="shared" si="4"/>
        <v>0.93754746224994479</v>
      </c>
      <c r="I37" s="387">
        <f t="shared" si="5"/>
        <v>0.88183331701106649</v>
      </c>
      <c r="J37" s="392">
        <f t="shared" si="6"/>
        <v>0.82676058849117651</v>
      </c>
      <c r="K37" s="392">
        <f t="shared" si="6"/>
        <v>0.92123335782229543</v>
      </c>
      <c r="L37" s="366">
        <f>+SUM(Efficiency1!K124:K125)</f>
        <v>54.455909759999997</v>
      </c>
      <c r="M37" s="367">
        <f t="shared" si="31"/>
        <v>1587.5554088241295</v>
      </c>
      <c r="N37" s="366">
        <f>+SUM(Efficiency1!C124:C125)</f>
        <v>52.906371839999991</v>
      </c>
      <c r="O37" s="367">
        <f t="shared" si="31"/>
        <v>1560.2287487518886</v>
      </c>
      <c r="P37" s="367">
        <f>'29'!I38</f>
        <v>51.055</v>
      </c>
      <c r="Q37" s="367">
        <f t="shared" si="8"/>
        <v>1498.1570000000004</v>
      </c>
      <c r="R37" s="589">
        <f>'29'!I40</f>
        <v>45.021999999999998</v>
      </c>
      <c r="S37" s="367">
        <f t="shared" si="9"/>
        <v>1462.5089999999998</v>
      </c>
      <c r="T37" s="95">
        <f>+[1]Report1!AZ37</f>
        <v>3761.701747104893</v>
      </c>
      <c r="U37" s="13">
        <f t="shared" si="10"/>
        <v>106560.49586710312</v>
      </c>
      <c r="V37" s="274">
        <f t="shared" si="11"/>
        <v>73.679399610320104</v>
      </c>
      <c r="W37" s="274">
        <f t="shared" si="11"/>
        <v>71.127722840198388</v>
      </c>
      <c r="X37" s="275">
        <f t="shared" si="12"/>
        <v>83.552524257138572</v>
      </c>
      <c r="Y37" s="274">
        <f t="shared" si="13"/>
        <v>72.861429137942494</v>
      </c>
      <c r="Z37" s="369">
        <v>93.8</v>
      </c>
      <c r="AA37" s="368">
        <f t="shared" si="14"/>
        <v>2756.5600000000004</v>
      </c>
      <c r="AB37" s="371">
        <f t="shared" si="1"/>
        <v>1.8372343551072372</v>
      </c>
      <c r="AC37" s="371">
        <f t="shared" si="1"/>
        <v>1.8399673732459281</v>
      </c>
      <c r="AD37" s="366">
        <f t="shared" si="15"/>
        <v>2.0834258806805561</v>
      </c>
      <c r="AE37" s="371">
        <f t="shared" si="15"/>
        <v>1.8848157515611874</v>
      </c>
      <c r="AF37" s="95"/>
      <c r="AG37" s="370">
        <f t="shared" si="30"/>
        <v>0</v>
      </c>
      <c r="AH37" s="371">
        <f t="shared" si="16"/>
        <v>0</v>
      </c>
      <c r="AI37" s="371">
        <f t="shared" si="16"/>
        <v>0</v>
      </c>
      <c r="AJ37" s="366">
        <f t="shared" si="17"/>
        <v>0</v>
      </c>
      <c r="AK37" s="371">
        <f t="shared" si="17"/>
        <v>0</v>
      </c>
      <c r="AL37" s="370">
        <f>'29'!I46</f>
        <v>39765.439955555317</v>
      </c>
      <c r="AM37" s="368">
        <f t="shared" si="18"/>
        <v>1118731.8024882139</v>
      </c>
      <c r="AN37" s="371">
        <f t="shared" si="19"/>
        <v>778.87454618656966</v>
      </c>
      <c r="AO37" s="371">
        <f t="shared" si="19"/>
        <v>746.73869460157619</v>
      </c>
      <c r="AP37" s="371">
        <f t="shared" si="20"/>
        <v>883.244634968578</v>
      </c>
      <c r="AQ37" s="371">
        <f t="shared" si="20"/>
        <v>764.9401148903795</v>
      </c>
      <c r="AR37" s="370">
        <f>+Listrik!AA36</f>
        <v>23978.637999999835</v>
      </c>
      <c r="AS37" s="368">
        <f t="shared" si="21"/>
        <v>694586.72499999986</v>
      </c>
      <c r="AT37" s="371">
        <f t="shared" si="22"/>
        <v>469.66287337185065</v>
      </c>
      <c r="AU37" s="371">
        <f t="shared" si="22"/>
        <v>463.62746027285499</v>
      </c>
      <c r="AV37" s="371">
        <f t="shared" si="23"/>
        <v>532.59824086002027</v>
      </c>
      <c r="AW37" s="371">
        <f t="shared" si="23"/>
        <v>474.92817138219317</v>
      </c>
      <c r="AX37" s="370">
        <v>0</v>
      </c>
      <c r="AY37" s="368">
        <f t="shared" si="24"/>
        <v>0</v>
      </c>
      <c r="AZ37" s="371">
        <f t="shared" si="25"/>
        <v>0</v>
      </c>
      <c r="BA37" s="371">
        <f t="shared" si="25"/>
        <v>0</v>
      </c>
      <c r="BB37" s="371">
        <f t="shared" si="26"/>
        <v>0</v>
      </c>
      <c r="BC37" s="371">
        <f t="shared" si="26"/>
        <v>0</v>
      </c>
      <c r="BD37" s="444"/>
      <c r="BE37" s="366">
        <f>+SUM(Efficiency2!K124:K125)</f>
        <v>54.455909759999997</v>
      </c>
      <c r="BF37" s="367">
        <f t="shared" si="27"/>
        <v>1556.1735668991296</v>
      </c>
      <c r="BG37" s="392">
        <f t="shared" si="28"/>
        <v>0.82676058849117651</v>
      </c>
      <c r="BH37" s="392">
        <f t="shared" si="29"/>
        <v>0.93981097681425851</v>
      </c>
    </row>
    <row r="38" spans="1:60" s="372" customFormat="1" ht="12.75" customHeight="1">
      <c r="A38" s="386">
        <f t="shared" si="2"/>
        <v>46111</v>
      </c>
      <c r="B38" s="395" t="s">
        <v>422</v>
      </c>
      <c r="C38" s="373" t="s">
        <v>755</v>
      </c>
      <c r="D38" s="365">
        <f>+'30'!F42</f>
        <v>1134.0625</v>
      </c>
      <c r="E38" s="365">
        <f>+'30'!G42</f>
        <v>952.61249999999995</v>
      </c>
      <c r="F38" s="46">
        <f t="shared" si="0"/>
        <v>0.16000000000000003</v>
      </c>
      <c r="G38" s="391">
        <f t="shared" si="3"/>
        <v>0.97443261880189846</v>
      </c>
      <c r="H38" s="387">
        <f t="shared" si="4"/>
        <v>0.9357753970025382</v>
      </c>
      <c r="I38" s="387">
        <f t="shared" si="5"/>
        <v>1.086262807122252</v>
      </c>
      <c r="J38" s="392">
        <f t="shared" si="6"/>
        <v>1.0164980095839169</v>
      </c>
      <c r="K38" s="392">
        <f t="shared" si="6"/>
        <v>0.92435113991664331</v>
      </c>
      <c r="L38" s="366">
        <f>+SUM(Efficiency1!K128:K129)</f>
        <v>53.714812508437497</v>
      </c>
      <c r="M38" s="367">
        <f t="shared" si="31"/>
        <v>1641.270221332567</v>
      </c>
      <c r="N38" s="366">
        <f>+SUM(Efficiency1!C128:C129)</f>
        <v>51.583864322812495</v>
      </c>
      <c r="O38" s="367">
        <f t="shared" si="31"/>
        <v>1611.8126130747012</v>
      </c>
      <c r="P38" s="367">
        <f>'30'!I38</f>
        <v>50.265000000000001</v>
      </c>
      <c r="Q38" s="367">
        <f t="shared" si="8"/>
        <v>1548.4220000000005</v>
      </c>
      <c r="R38" s="589">
        <f>'30'!I40</f>
        <v>54.600999999999999</v>
      </c>
      <c r="S38" s="367">
        <f t="shared" si="9"/>
        <v>1517.1099999999997</v>
      </c>
      <c r="T38" s="95">
        <f>+[1]Report1!AZ38</f>
        <v>3711.3866575998409</v>
      </c>
      <c r="U38" s="13">
        <f t="shared" si="10"/>
        <v>110271.88252470296</v>
      </c>
      <c r="V38" s="274">
        <f t="shared" si="11"/>
        <v>73.836400230773719</v>
      </c>
      <c r="W38" s="274">
        <f t="shared" si="11"/>
        <v>71.215652144378552</v>
      </c>
      <c r="X38" s="275">
        <f t="shared" si="12"/>
        <v>67.972869683702513</v>
      </c>
      <c r="Y38" s="274">
        <f t="shared" si="13"/>
        <v>72.685489202960227</v>
      </c>
      <c r="Z38" s="369">
        <v>91.2</v>
      </c>
      <c r="AA38" s="368">
        <f t="shared" si="14"/>
        <v>2847.76</v>
      </c>
      <c r="AB38" s="371">
        <f t="shared" si="1"/>
        <v>1.8143837660399882</v>
      </c>
      <c r="AC38" s="371">
        <f t="shared" si="1"/>
        <v>1.839136876122917</v>
      </c>
      <c r="AD38" s="366">
        <f t="shared" si="15"/>
        <v>1.6702990787714511</v>
      </c>
      <c r="AE38" s="371">
        <f t="shared" si="15"/>
        <v>1.8770952666583181</v>
      </c>
      <c r="AF38" s="95"/>
      <c r="AG38" s="370">
        <f t="shared" si="30"/>
        <v>0</v>
      </c>
      <c r="AH38" s="371">
        <f t="shared" si="16"/>
        <v>0</v>
      </c>
      <c r="AI38" s="371">
        <f t="shared" si="16"/>
        <v>0</v>
      </c>
      <c r="AJ38" s="366">
        <f t="shared" si="17"/>
        <v>0</v>
      </c>
      <c r="AK38" s="371">
        <f t="shared" si="17"/>
        <v>0</v>
      </c>
      <c r="AL38" s="370">
        <f>'30'!I46</f>
        <v>41917.126586746686</v>
      </c>
      <c r="AM38" s="368">
        <f t="shared" si="18"/>
        <v>1160648.9290749605</v>
      </c>
      <c r="AN38" s="371">
        <f t="shared" si="19"/>
        <v>833.92274120653906</v>
      </c>
      <c r="AO38" s="371">
        <f t="shared" si="19"/>
        <v>749.56887016263022</v>
      </c>
      <c r="AP38" s="371">
        <f t="shared" si="20"/>
        <v>767.69888073014567</v>
      </c>
      <c r="AQ38" s="371">
        <f t="shared" si="20"/>
        <v>765.03940325682424</v>
      </c>
      <c r="AR38" s="370">
        <f>+Listrik!AA37</f>
        <v>21571.427999999603</v>
      </c>
      <c r="AS38" s="368">
        <f t="shared" si="21"/>
        <v>716158.15299999947</v>
      </c>
      <c r="AT38" s="371">
        <f t="shared" si="22"/>
        <v>429.15404356907595</v>
      </c>
      <c r="AU38" s="371">
        <f t="shared" si="22"/>
        <v>462.50838143606796</v>
      </c>
      <c r="AV38" s="371">
        <f t="shared" si="23"/>
        <v>395.07386311605285</v>
      </c>
      <c r="AW38" s="371">
        <f t="shared" si="23"/>
        <v>472.05420371627605</v>
      </c>
      <c r="AX38" s="370">
        <v>0</v>
      </c>
      <c r="AY38" s="368">
        <f t="shared" si="24"/>
        <v>0</v>
      </c>
      <c r="AZ38" s="371">
        <f t="shared" si="25"/>
        <v>0</v>
      </c>
      <c r="BA38" s="371">
        <f t="shared" si="25"/>
        <v>0</v>
      </c>
      <c r="BB38" s="371">
        <f t="shared" si="26"/>
        <v>0</v>
      </c>
      <c r="BC38" s="371">
        <f t="shared" si="26"/>
        <v>0</v>
      </c>
      <c r="BD38" s="444"/>
      <c r="BE38" s="366">
        <f>+SUM(Efficiency2!K128:K129)</f>
        <v>53.714812508437497</v>
      </c>
      <c r="BF38" s="367">
        <f t="shared" si="27"/>
        <v>1609.8883794075671</v>
      </c>
      <c r="BG38" s="392">
        <f t="shared" si="28"/>
        <v>1.0164980095839169</v>
      </c>
      <c r="BH38" s="392">
        <f t="shared" si="29"/>
        <v>0.9423696819019779</v>
      </c>
    </row>
    <row r="39" spans="1:60" s="372" customFormat="1" ht="12.75" customHeight="1">
      <c r="A39" s="386">
        <f>A38+1</f>
        <v>46112</v>
      </c>
      <c r="B39" s="395" t="s">
        <v>422</v>
      </c>
      <c r="C39" s="373" t="s">
        <v>631</v>
      </c>
      <c r="D39" s="365">
        <f>+'31'!F42</f>
        <v>1176.5555555555557</v>
      </c>
      <c r="E39" s="365">
        <f>+'31'!G42</f>
        <v>988.30666666666673</v>
      </c>
      <c r="F39" s="46">
        <f t="shared" si="0"/>
        <v>0.16000000000000003</v>
      </c>
      <c r="G39" s="391">
        <f t="shared" si="3"/>
        <v>0.96931483471638413</v>
      </c>
      <c r="H39" s="387">
        <f t="shared" si="4"/>
        <v>0.94064226256847727</v>
      </c>
      <c r="I39" s="387">
        <f t="shared" si="5"/>
        <v>0.7969908018436922</v>
      </c>
      <c r="J39" s="392">
        <f t="shared" si="6"/>
        <v>0.74968323109251556</v>
      </c>
      <c r="K39" s="392">
        <f t="shared" si="6"/>
        <v>0.91895145671120926</v>
      </c>
      <c r="L39" s="366">
        <f>+SUM(Efficiency1!K132:K133)</f>
        <v>52.356780000000001</v>
      </c>
      <c r="M39" s="367">
        <f>M38+L39</f>
        <v>1693.627001332567</v>
      </c>
      <c r="N39" s="366">
        <f>+SUM(Efficiency1!C132:C133)</f>
        <v>50.808053520000001</v>
      </c>
      <c r="O39" s="367">
        <f>O38+N39</f>
        <v>1662.6206665947011</v>
      </c>
      <c r="P39" s="367">
        <f>'31'!I38</f>
        <v>49.249000000000002</v>
      </c>
      <c r="Q39" s="367">
        <f>Q38+P39</f>
        <v>1597.6710000000005</v>
      </c>
      <c r="R39" s="589">
        <f>'31'!I40</f>
        <v>39.250999999999998</v>
      </c>
      <c r="S39" s="367">
        <f>S38+R39</f>
        <v>1556.3609999999996</v>
      </c>
      <c r="T39" s="95">
        <f>+[1]Report1!AZ39</f>
        <v>3877.0003418378446</v>
      </c>
      <c r="U39" s="13">
        <f>T39+U38</f>
        <v>114148.88286654081</v>
      </c>
      <c r="V39" s="274">
        <f t="shared" si="11"/>
        <v>78.722417548332842</v>
      </c>
      <c r="W39" s="274">
        <f t="shared" si="11"/>
        <v>71.447051906519405</v>
      </c>
      <c r="X39" s="275">
        <f t="shared" si="12"/>
        <v>98.774562223582706</v>
      </c>
      <c r="Y39" s="274">
        <f t="shared" si="13"/>
        <v>73.343448510044155</v>
      </c>
      <c r="Z39" s="369">
        <v>94.1</v>
      </c>
      <c r="AA39" s="368">
        <f>Z39+AA38</f>
        <v>2941.86</v>
      </c>
      <c r="AB39" s="371">
        <f t="shared" si="1"/>
        <v>1.9106986943897335</v>
      </c>
      <c r="AC39" s="371">
        <f t="shared" si="1"/>
        <v>1.8413428046199745</v>
      </c>
      <c r="AD39" s="366">
        <f t="shared" si="15"/>
        <v>2.3973911492700823</v>
      </c>
      <c r="AE39" s="371">
        <f t="shared" si="15"/>
        <v>1.8902169869329808</v>
      </c>
      <c r="AF39" s="95"/>
      <c r="AG39" s="370">
        <f t="shared" si="30"/>
        <v>0</v>
      </c>
      <c r="AH39" s="371">
        <f t="shared" si="16"/>
        <v>0</v>
      </c>
      <c r="AI39" s="371">
        <f t="shared" si="16"/>
        <v>0</v>
      </c>
      <c r="AJ39" s="366">
        <f t="shared" si="17"/>
        <v>0</v>
      </c>
      <c r="AK39" s="371">
        <f t="shared" si="17"/>
        <v>0</v>
      </c>
      <c r="AL39" s="370">
        <f>'31'!I46</f>
        <v>41946.46610990812</v>
      </c>
      <c r="AM39" s="368">
        <f>AL39+AM38</f>
        <v>1202595.3951848687</v>
      </c>
      <c r="AN39" s="371">
        <f t="shared" si="19"/>
        <v>851.72218948421528</v>
      </c>
      <c r="AO39" s="371">
        <f t="shared" si="19"/>
        <v>752.71779683355851</v>
      </c>
      <c r="AP39" s="371">
        <f t="shared" si="20"/>
        <v>1068.6725461748265</v>
      </c>
      <c r="AQ39" s="371">
        <f t="shared" si="20"/>
        <v>772.69694832038908</v>
      </c>
      <c r="AR39" s="370">
        <f>+Listrik!AA38</f>
        <v>31893.759999999784</v>
      </c>
      <c r="AS39" s="368">
        <f>AR39+AS38</f>
        <v>748051.91299999924</v>
      </c>
      <c r="AT39" s="371">
        <f t="shared" si="22"/>
        <v>647.60218481593085</v>
      </c>
      <c r="AU39" s="371">
        <f t="shared" si="22"/>
        <v>468.21398961363076</v>
      </c>
      <c r="AV39" s="371">
        <f t="shared" si="23"/>
        <v>812.55917046698903</v>
      </c>
      <c r="AW39" s="371">
        <f t="shared" si="23"/>
        <v>480.64164612194691</v>
      </c>
      <c r="AX39" s="370">
        <v>0</v>
      </c>
      <c r="AY39" s="368">
        <f>AX39+AY38</f>
        <v>0</v>
      </c>
      <c r="AZ39" s="371">
        <f t="shared" si="25"/>
        <v>0</v>
      </c>
      <c r="BA39" s="371">
        <f t="shared" si="25"/>
        <v>0</v>
      </c>
      <c r="BB39" s="371">
        <f t="shared" si="26"/>
        <v>0</v>
      </c>
      <c r="BC39" s="371">
        <f>IF(AND(S39&gt;0,AY39&gt;0),(AY39/(S39*1000)*1000),0)</f>
        <v>0</v>
      </c>
      <c r="BD39" s="444"/>
      <c r="BE39" s="366">
        <f>+SUM(Efficiency2!K132:K133)</f>
        <v>52.356780000000001</v>
      </c>
      <c r="BF39" s="367">
        <f>BF38+BE39</f>
        <v>1662.2451594075671</v>
      </c>
      <c r="BG39" s="392">
        <f t="shared" si="28"/>
        <v>0.74968323109251556</v>
      </c>
      <c r="BH39" s="392">
        <f t="shared" si="29"/>
        <v>0.93630051571616235</v>
      </c>
    </row>
    <row r="40" spans="1:60" s="372" customFormat="1" ht="12.75" customHeight="1" thickBot="1">
      <c r="A40" s="386"/>
      <c r="B40" s="374"/>
      <c r="C40" s="374"/>
      <c r="D40" s="374"/>
      <c r="E40" s="374"/>
      <c r="F40" s="388"/>
      <c r="G40" s="391"/>
      <c r="H40" s="387"/>
      <c r="I40" s="387"/>
      <c r="J40" s="392"/>
      <c r="K40" s="397"/>
      <c r="L40" s="375"/>
      <c r="M40" s="376"/>
      <c r="N40" s="376"/>
      <c r="O40" s="376"/>
      <c r="P40" s="376"/>
      <c r="Q40" s="376"/>
      <c r="R40" s="590"/>
      <c r="S40" s="376"/>
      <c r="T40" s="277"/>
      <c r="U40" s="276"/>
      <c r="V40" s="278"/>
      <c r="W40" s="278"/>
      <c r="X40" s="275"/>
      <c r="Y40" s="278"/>
      <c r="Z40" s="377"/>
      <c r="AA40" s="377"/>
      <c r="AB40" s="378"/>
      <c r="AC40" s="378"/>
      <c r="AD40" s="375"/>
      <c r="AE40" s="378"/>
      <c r="AF40" s="377"/>
      <c r="AG40" s="377"/>
      <c r="AH40" s="378"/>
      <c r="AI40" s="378"/>
      <c r="AJ40" s="375"/>
      <c r="AK40" s="378"/>
      <c r="AL40" s="377"/>
      <c r="AM40" s="377"/>
      <c r="AN40" s="378"/>
      <c r="AO40" s="378"/>
      <c r="AP40" s="378"/>
      <c r="AQ40" s="378"/>
      <c r="AR40" s="377"/>
      <c r="AS40" s="377"/>
      <c r="AT40" s="378"/>
      <c r="AU40" s="378"/>
      <c r="AV40" s="378"/>
      <c r="AW40" s="378"/>
      <c r="AX40" s="377"/>
      <c r="AY40" s="377"/>
      <c r="AZ40" s="378"/>
      <c r="BA40" s="378"/>
      <c r="BB40" s="378"/>
      <c r="BC40" s="378"/>
      <c r="BD40" s="444"/>
      <c r="BE40" s="375"/>
      <c r="BF40" s="376"/>
      <c r="BG40" s="392"/>
      <c r="BH40" s="397"/>
    </row>
    <row r="41" spans="1:60" s="372" customFormat="1" ht="12.75" customHeight="1" thickTop="1" thickBot="1">
      <c r="A41" s="379"/>
      <c r="B41" s="380"/>
      <c r="C41" s="380"/>
      <c r="D41" s="380"/>
      <c r="E41" s="380"/>
      <c r="F41" s="389"/>
      <c r="G41" s="391">
        <f t="shared" si="3"/>
        <v>0.96093536673778546</v>
      </c>
      <c r="H41" s="387">
        <f t="shared" si="4"/>
        <v>0.94334289589321196</v>
      </c>
      <c r="I41" s="387">
        <f t="shared" si="5"/>
        <v>0.97414361279637618</v>
      </c>
      <c r="J41" s="392">
        <f t="shared" si="6"/>
        <v>0.91895145671120926</v>
      </c>
      <c r="K41" s="392"/>
      <c r="L41" s="381">
        <f>SUM(L9:L39)</f>
        <v>1693.627001332567</v>
      </c>
      <c r="M41" s="382"/>
      <c r="N41" s="381">
        <f>SUM(N9:N39)</f>
        <v>1662.6206665947011</v>
      </c>
      <c r="O41" s="382"/>
      <c r="P41" s="381">
        <f>SUM(P9:P39)</f>
        <v>1597.6710000000005</v>
      </c>
      <c r="Q41" s="382"/>
      <c r="R41" s="591">
        <f>SUM(R9:R39)</f>
        <v>1556.3609999999996</v>
      </c>
      <c r="S41" s="382"/>
      <c r="T41" s="279">
        <f>SUM(T9:T39)</f>
        <v>114148.88286654081</v>
      </c>
      <c r="U41" s="279"/>
      <c r="V41" s="280">
        <f>T41/P41</f>
        <v>71.447051906519405</v>
      </c>
      <c r="W41" s="280"/>
      <c r="X41" s="275">
        <f>IF(AND(R41&gt;0,T41&gt;0),(T41/(R41*1000))*1000,0)</f>
        <v>73.343448510044169</v>
      </c>
      <c r="Y41" s="280"/>
      <c r="Z41" s="381">
        <f>SUM(Z9:Z40)</f>
        <v>2941.86</v>
      </c>
      <c r="AA41" s="383"/>
      <c r="AB41" s="384">
        <f>Z41/P41</f>
        <v>1.8413428046199745</v>
      </c>
      <c r="AC41" s="384"/>
      <c r="AD41" s="385">
        <f>Z41/R41</f>
        <v>1.8902169869329808</v>
      </c>
      <c r="AE41" s="384"/>
      <c r="AF41" s="383">
        <f>SUM(AF9:AF40)</f>
        <v>0</v>
      </c>
      <c r="AG41" s="383"/>
      <c r="AH41" s="384">
        <f>AF41/V41</f>
        <v>0</v>
      </c>
      <c r="AI41" s="384"/>
      <c r="AJ41" s="385">
        <f>AF41/R41</f>
        <v>0</v>
      </c>
      <c r="AK41" s="384"/>
      <c r="AL41" s="383">
        <f>SUM(AL9:AL39)</f>
        <v>1202595.3951848687</v>
      </c>
      <c r="AM41" s="383"/>
      <c r="AN41" s="384">
        <f>AL41/P41</f>
        <v>752.71779683355851</v>
      </c>
      <c r="AO41" s="384"/>
      <c r="AP41" s="384">
        <f>AL41/R41</f>
        <v>772.69694832038897</v>
      </c>
      <c r="AQ41" s="384"/>
      <c r="AR41" s="383">
        <f>SUM(AR9:AR39)</f>
        <v>748051.91299999924</v>
      </c>
      <c r="AS41" s="383"/>
      <c r="AT41" s="384">
        <f>AR41/V41</f>
        <v>10470.017908908862</v>
      </c>
      <c r="AU41" s="384"/>
      <c r="AV41" s="384">
        <f>AR41/R41</f>
        <v>480.64164612194691</v>
      </c>
      <c r="AW41" s="384"/>
      <c r="AX41" s="383">
        <f>SUM(AX9:AX39)</f>
        <v>0</v>
      </c>
      <c r="AY41" s="383"/>
      <c r="AZ41" s="384">
        <f>AX41/P41</f>
        <v>0</v>
      </c>
      <c r="BA41" s="384"/>
      <c r="BB41" s="384">
        <f>AX41/R41</f>
        <v>0</v>
      </c>
      <c r="BC41" s="384"/>
      <c r="BD41" s="444"/>
      <c r="BE41" s="381">
        <f>SUM(BE9:BE39)</f>
        <v>1662.2451594075671</v>
      </c>
      <c r="BF41" s="382"/>
      <c r="BG41" s="392">
        <f t="shared" si="28"/>
        <v>0.93630051571616235</v>
      </c>
      <c r="BH41" s="392"/>
    </row>
    <row r="42" spans="1:60" ht="12.75" customHeight="1" thickTop="1">
      <c r="S42" s="263"/>
      <c r="T42" s="263"/>
      <c r="U42" s="263"/>
      <c r="V42" s="263"/>
      <c r="W42" s="263"/>
      <c r="X42" s="263"/>
      <c r="Y42" s="263"/>
      <c r="Z42" s="263"/>
      <c r="AA42" s="263"/>
      <c r="AD42" s="263"/>
      <c r="AF42" s="263"/>
      <c r="AG42" s="263"/>
      <c r="AJ42" s="263"/>
      <c r="AL42" s="263"/>
      <c r="AM42" s="263"/>
      <c r="AR42" s="263"/>
      <c r="AS42" s="263"/>
      <c r="AX42" s="263"/>
      <c r="AY42" s="263"/>
    </row>
    <row r="43" spans="1:60" ht="12.75" customHeight="1">
      <c r="S43" s="263"/>
      <c r="T43" s="263"/>
      <c r="U43" s="263"/>
      <c r="V43" s="263"/>
      <c r="W43" s="263"/>
      <c r="X43" s="263"/>
      <c r="Y43" s="263"/>
      <c r="Z43" s="263"/>
      <c r="AA43" s="263"/>
      <c r="AD43" s="263"/>
      <c r="AF43" s="263"/>
      <c r="AG43" s="263"/>
      <c r="AJ43" s="263"/>
      <c r="AL43" s="263"/>
      <c r="AM43" s="263"/>
      <c r="AR43" s="263"/>
      <c r="AS43" s="263"/>
      <c r="AX43" s="263"/>
      <c r="AY43" s="263"/>
    </row>
    <row r="44" spans="1:60">
      <c r="S44" s="263"/>
      <c r="T44" s="263"/>
      <c r="U44" s="263"/>
      <c r="V44" s="263"/>
      <c r="W44" s="263"/>
      <c r="X44" s="263"/>
      <c r="Y44" s="263"/>
      <c r="Z44" s="263"/>
      <c r="AA44" s="263"/>
      <c r="AD44" s="263"/>
      <c r="AF44" s="263"/>
      <c r="AG44" s="263"/>
      <c r="AJ44" s="263"/>
      <c r="AL44" s="263"/>
      <c r="AM44" s="263"/>
      <c r="AR44" s="263"/>
      <c r="AS44" s="263"/>
      <c r="AX44" s="263"/>
      <c r="AY44" s="263"/>
    </row>
    <row r="45" spans="1:60">
      <c r="R45" s="592"/>
      <c r="S45" s="281"/>
      <c r="T45" s="281"/>
      <c r="U45" s="281"/>
      <c r="V45" s="281"/>
      <c r="W45" s="281"/>
      <c r="X45" s="281"/>
      <c r="Y45" s="281"/>
    </row>
    <row r="46" spans="1:60">
      <c r="R46" s="593"/>
    </row>
    <row r="47" spans="1:60">
      <c r="R47" s="593"/>
    </row>
    <row r="48" spans="1:60">
      <c r="R48" s="593"/>
    </row>
    <row r="49" spans="12:58" customFormat="1">
      <c r="L49" s="262"/>
      <c r="M49" s="263"/>
      <c r="N49" s="263"/>
      <c r="O49" s="263"/>
      <c r="P49" s="262"/>
      <c r="Q49" s="263"/>
      <c r="R49" s="593"/>
      <c r="S49" s="264"/>
      <c r="T49" s="264"/>
      <c r="U49" s="264"/>
      <c r="V49" s="264"/>
      <c r="W49" s="264"/>
      <c r="X49" s="264"/>
      <c r="Y49" s="264"/>
      <c r="BE49" s="262"/>
      <c r="BF49" s="263"/>
    </row>
    <row r="50" spans="12:58" customFormat="1">
      <c r="L50" s="262"/>
      <c r="M50" s="263"/>
      <c r="N50" s="263"/>
      <c r="O50" s="263"/>
      <c r="P50" s="262"/>
      <c r="Q50" s="263"/>
      <c r="R50" s="593"/>
      <c r="S50" s="264"/>
      <c r="T50" s="264"/>
      <c r="U50" s="264"/>
      <c r="V50" s="264"/>
      <c r="W50" s="264"/>
      <c r="X50" s="264"/>
      <c r="Y50" s="264"/>
      <c r="BE50" s="262"/>
      <c r="BF50" s="263"/>
    </row>
    <row r="51" spans="12:58" customFormat="1">
      <c r="L51" s="262"/>
      <c r="M51" s="263"/>
      <c r="N51" s="263"/>
      <c r="O51" s="263"/>
      <c r="P51" s="262"/>
      <c r="Q51" s="263"/>
      <c r="R51" s="593"/>
      <c r="S51" s="264"/>
      <c r="T51" s="264"/>
      <c r="U51" s="264"/>
      <c r="V51" s="264"/>
      <c r="W51" s="264"/>
      <c r="X51" s="264"/>
      <c r="Y51" s="264"/>
      <c r="BE51" s="262"/>
      <c r="BF51" s="263"/>
    </row>
    <row r="52" spans="12:58" customFormat="1">
      <c r="L52" s="262"/>
      <c r="M52" s="263"/>
      <c r="N52" s="263"/>
      <c r="O52" s="263"/>
      <c r="P52" s="262"/>
      <c r="Q52" s="263"/>
      <c r="R52" s="593"/>
      <c r="S52" s="264"/>
      <c r="T52" s="264"/>
      <c r="U52" s="264"/>
      <c r="V52" s="264"/>
      <c r="W52" s="264"/>
      <c r="X52" s="264"/>
      <c r="Y52" s="264"/>
      <c r="BE52" s="262"/>
      <c r="BF52" s="263"/>
    </row>
    <row r="53" spans="12:58" customFormat="1">
      <c r="L53" s="262"/>
      <c r="M53" s="263"/>
      <c r="N53" s="263"/>
      <c r="O53" s="263"/>
      <c r="P53" s="262"/>
      <c r="Q53" s="263"/>
      <c r="R53" s="593"/>
      <c r="S53" s="264"/>
      <c r="T53" s="264"/>
      <c r="U53" s="264"/>
      <c r="V53" s="264"/>
      <c r="W53" s="264"/>
      <c r="X53" s="264"/>
      <c r="Y53" s="264"/>
      <c r="BE53" s="262"/>
      <c r="BF53" s="263"/>
    </row>
    <row r="54" spans="12:58" customFormat="1">
      <c r="L54" s="262"/>
      <c r="M54" s="263"/>
      <c r="N54" s="263"/>
      <c r="O54" s="263"/>
      <c r="P54" s="262"/>
      <c r="Q54" s="263"/>
      <c r="R54" s="593"/>
      <c r="S54" s="264"/>
      <c r="T54" s="264"/>
      <c r="U54" s="264"/>
      <c r="V54" s="264"/>
      <c r="W54" s="264"/>
      <c r="X54" s="264"/>
      <c r="Y54" s="264"/>
      <c r="BE54" s="262"/>
      <c r="BF54" s="263"/>
    </row>
    <row r="55" spans="12:58" customFormat="1">
      <c r="L55" s="262"/>
      <c r="M55" s="263"/>
      <c r="N55" s="263"/>
      <c r="O55" s="263"/>
      <c r="P55" s="262"/>
      <c r="Q55" s="263"/>
      <c r="R55" s="593"/>
      <c r="S55" s="264"/>
      <c r="T55" s="264"/>
      <c r="U55" s="264"/>
      <c r="V55" s="264"/>
      <c r="W55" s="264"/>
      <c r="X55" s="264"/>
      <c r="Y55" s="264"/>
      <c r="BE55" s="262"/>
      <c r="BF55" s="263"/>
    </row>
    <row r="56" spans="12:58" customFormat="1">
      <c r="L56" s="262"/>
      <c r="M56" s="263"/>
      <c r="N56" s="263"/>
      <c r="O56" s="263"/>
      <c r="P56" s="262"/>
      <c r="Q56" s="263"/>
      <c r="R56" s="593"/>
      <c r="S56" s="264"/>
      <c r="T56" s="264"/>
      <c r="U56" s="264"/>
      <c r="V56" s="264"/>
      <c r="W56" s="264"/>
      <c r="X56" s="264"/>
      <c r="Y56" s="264"/>
      <c r="BE56" s="262"/>
      <c r="BF56" s="263"/>
    </row>
    <row r="57" spans="12:58" customFormat="1">
      <c r="L57" s="262"/>
      <c r="M57" s="263"/>
      <c r="N57" s="263"/>
      <c r="O57" s="263"/>
      <c r="P57" s="262"/>
      <c r="Q57" s="263"/>
      <c r="R57" s="593"/>
      <c r="S57" s="264"/>
      <c r="T57" s="264"/>
      <c r="U57" s="264"/>
      <c r="V57" s="264"/>
      <c r="W57" s="264"/>
      <c r="X57" s="264"/>
      <c r="Y57" s="264"/>
      <c r="BE57" s="262"/>
      <c r="BF57" s="263"/>
    </row>
    <row r="58" spans="12:58" customFormat="1">
      <c r="L58" s="262"/>
      <c r="M58" s="263"/>
      <c r="N58" s="263"/>
      <c r="O58" s="263"/>
      <c r="P58" s="262"/>
      <c r="Q58" s="263"/>
      <c r="R58" s="593"/>
      <c r="S58" s="264"/>
      <c r="T58" s="264"/>
      <c r="U58" s="264"/>
      <c r="V58" s="264"/>
      <c r="W58" s="264"/>
      <c r="X58" s="264"/>
      <c r="Y58" s="264"/>
      <c r="BE58" s="262"/>
      <c r="BF58" s="263"/>
    </row>
    <row r="59" spans="12:58" customFormat="1">
      <c r="L59" s="262"/>
      <c r="M59" s="263"/>
      <c r="N59" s="263"/>
      <c r="O59" s="263"/>
      <c r="P59" s="262"/>
      <c r="Q59" s="263"/>
      <c r="R59" s="593"/>
      <c r="S59" s="264"/>
      <c r="T59" s="264"/>
      <c r="U59" s="264"/>
      <c r="V59" s="264"/>
      <c r="W59" s="264"/>
      <c r="X59" s="264"/>
      <c r="Y59" s="264"/>
      <c r="BE59" s="262"/>
      <c r="BF59" s="263"/>
    </row>
    <row r="60" spans="12:58" customFormat="1">
      <c r="L60" s="262"/>
      <c r="M60" s="263"/>
      <c r="N60" s="263"/>
      <c r="O60" s="263"/>
      <c r="P60" s="262"/>
      <c r="Q60" s="263"/>
      <c r="R60" s="587"/>
      <c r="S60" s="264"/>
      <c r="T60" s="264"/>
      <c r="U60" s="264"/>
      <c r="V60" s="264"/>
      <c r="W60" s="264"/>
      <c r="X60" s="264"/>
      <c r="Y60" s="264"/>
      <c r="BE60" s="262"/>
      <c r="BF60" s="263"/>
    </row>
    <row r="65536" spans="3:60" customFormat="1">
      <c r="C65536" s="282"/>
      <c r="D65536" s="260"/>
      <c r="E65536" s="260"/>
      <c r="F65536" s="260"/>
      <c r="G65536" s="260"/>
      <c r="H65536" s="260"/>
      <c r="I65536" s="260"/>
      <c r="J65536" s="260"/>
      <c r="K65536" s="260"/>
      <c r="R65536" s="594"/>
      <c r="BG65536" s="260"/>
      <c r="BH65536" s="260"/>
    </row>
  </sheetData>
  <mergeCells count="42">
    <mergeCell ref="BB7:BC7"/>
    <mergeCell ref="A3:AQ4"/>
    <mergeCell ref="AL6:AQ6"/>
    <mergeCell ref="AR6:AW6"/>
    <mergeCell ref="BD6:BD7"/>
    <mergeCell ref="AL7:AM7"/>
    <mergeCell ref="AN7:AO7"/>
    <mergeCell ref="AP7:AQ7"/>
    <mergeCell ref="AR7:AS7"/>
    <mergeCell ref="AT7:AU7"/>
    <mergeCell ref="AV7:AW7"/>
    <mergeCell ref="AF7:AG7"/>
    <mergeCell ref="AH7:AI7"/>
    <mergeCell ref="AJ7:AK7"/>
    <mergeCell ref="D6:D8"/>
    <mergeCell ref="A6:A8"/>
    <mergeCell ref="B6:B8"/>
    <mergeCell ref="C6:C8"/>
    <mergeCell ref="L6:M7"/>
    <mergeCell ref="V7:W7"/>
    <mergeCell ref="H6:H8"/>
    <mergeCell ref="I6:I8"/>
    <mergeCell ref="E6:E8"/>
    <mergeCell ref="F6:F8"/>
    <mergeCell ref="G6:G8"/>
    <mergeCell ref="N6:O7"/>
    <mergeCell ref="BE6:BF7"/>
    <mergeCell ref="BG6:BH7"/>
    <mergeCell ref="Z7:AA7"/>
    <mergeCell ref="AB7:AC7"/>
    <mergeCell ref="J6:K7"/>
    <mergeCell ref="AF6:AK6"/>
    <mergeCell ref="AD7:AE7"/>
    <mergeCell ref="Z6:AE6"/>
    <mergeCell ref="P6:Q7"/>
    <mergeCell ref="R6:S7"/>
    <mergeCell ref="T6:Y6"/>
    <mergeCell ref="T7:U7"/>
    <mergeCell ref="X7:Y7"/>
    <mergeCell ref="AX6:BC6"/>
    <mergeCell ref="AX7:AY7"/>
    <mergeCell ref="AZ7:BA7"/>
  </mergeCells>
  <pageMargins left="0.23622047244094491" right="0.11811023622047245" top="0.27559055118110237" bottom="0" header="0" footer="0"/>
  <pageSetup paperSize="9" scale="57" firstPageNumber="4294963191" fitToWidth="2"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A4" sqref="A4"/>
    </sheetView>
  </sheetViews>
  <sheetFormatPr defaultRowHeight="13.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K44"/>
  <sheetViews>
    <sheetView zoomScaleNormal="100" workbookViewId="0">
      <pane xSplit="3" ySplit="6" topLeftCell="T7" activePane="bottomRight" state="frozen"/>
      <selection pane="topRight" activeCell="D1" sqref="D1"/>
      <selection pane="bottomLeft" activeCell="A7" sqref="A7"/>
      <selection pane="bottomRight" activeCell="W25" sqref="W25"/>
    </sheetView>
  </sheetViews>
  <sheetFormatPr defaultColWidth="9.109375" defaultRowHeight="13.2"/>
  <cols>
    <col min="1" max="3" width="10.88671875" customWidth="1"/>
    <col min="4" max="4" width="12.33203125" customWidth="1"/>
    <col min="5" max="5" width="13" customWidth="1"/>
    <col min="6" max="7" width="11" customWidth="1"/>
    <col min="8" max="8" width="13.5546875" customWidth="1"/>
    <col min="9" max="9" width="12.44140625" customWidth="1"/>
    <col min="10" max="11" width="13.109375" customWidth="1"/>
    <col min="12" max="15" width="13.5546875" customWidth="1"/>
    <col min="16" max="19" width="13.5546875" hidden="1" customWidth="1"/>
    <col min="20" max="23" width="13.5546875" customWidth="1"/>
    <col min="24" max="24" width="13.88671875" bestFit="1" customWidth="1"/>
    <col min="25" max="26" width="11.5546875" bestFit="1" customWidth="1"/>
    <col min="27" max="27" width="13.88671875" bestFit="1" customWidth="1"/>
    <col min="28" max="29" width="10.88671875" bestFit="1" customWidth="1"/>
    <col min="30" max="30" width="13.88671875" bestFit="1" customWidth="1"/>
    <col min="31" max="32" width="10.88671875" bestFit="1" customWidth="1"/>
    <col min="34" max="34" width="10.109375" bestFit="1" customWidth="1"/>
    <col min="35" max="35" width="39" bestFit="1" customWidth="1"/>
  </cols>
  <sheetData>
    <row r="2" spans="1:37" ht="24.75" customHeight="1">
      <c r="A2" s="617" t="s">
        <v>21</v>
      </c>
      <c r="B2" s="617"/>
      <c r="C2" s="617"/>
      <c r="D2" s="617"/>
      <c r="E2" s="617"/>
      <c r="F2" s="617"/>
      <c r="G2" s="617"/>
      <c r="H2" s="617"/>
      <c r="I2" s="617"/>
      <c r="J2" s="617"/>
      <c r="K2" s="617"/>
      <c r="L2" s="617"/>
      <c r="M2" s="617"/>
      <c r="N2" s="617"/>
      <c r="O2" s="617"/>
      <c r="P2" s="617"/>
      <c r="Q2" s="617"/>
      <c r="R2" s="617"/>
      <c r="S2" s="617"/>
      <c r="T2" s="617"/>
      <c r="U2" s="617"/>
      <c r="V2" s="617"/>
      <c r="W2" s="617"/>
      <c r="X2" s="617"/>
      <c r="Y2" s="283"/>
      <c r="Z2" s="283"/>
      <c r="AA2" s="283"/>
      <c r="AB2" s="283"/>
      <c r="AC2" s="283"/>
      <c r="AD2" s="283"/>
      <c r="AE2" s="283"/>
      <c r="AF2" s="283"/>
      <c r="AG2" s="283"/>
      <c r="AH2" s="283"/>
      <c r="AI2" s="283"/>
    </row>
    <row r="3" spans="1:37" ht="12.75" customHeight="1">
      <c r="A3" s="283"/>
      <c r="B3" s="283"/>
      <c r="C3" s="283"/>
      <c r="D3" s="285"/>
      <c r="E3" s="284"/>
      <c r="F3" s="284"/>
      <c r="G3" s="284"/>
      <c r="H3" s="286"/>
      <c r="I3" s="284"/>
      <c r="J3" s="284"/>
      <c r="K3" s="284"/>
      <c r="L3" s="284"/>
      <c r="M3" s="284"/>
      <c r="N3" s="284"/>
      <c r="O3" s="284"/>
      <c r="P3" s="284"/>
      <c r="Q3" s="284"/>
      <c r="R3" s="284"/>
      <c r="S3" s="284"/>
      <c r="T3" s="284"/>
      <c r="U3" s="284"/>
      <c r="V3" s="284"/>
      <c r="W3" s="284"/>
      <c r="X3" s="284"/>
      <c r="Y3" s="6"/>
      <c r="Z3" s="6"/>
      <c r="AA3" s="284"/>
      <c r="AB3" s="6"/>
      <c r="AC3" s="6"/>
      <c r="AD3" s="284"/>
      <c r="AE3" s="6"/>
      <c r="AF3" s="6"/>
      <c r="AG3" s="283"/>
      <c r="AH3" s="283"/>
      <c r="AI3" s="283"/>
    </row>
    <row r="4" spans="1:37" ht="12.75" customHeight="1">
      <c r="A4" s="628" t="s">
        <v>8</v>
      </c>
      <c r="B4" s="631" t="s">
        <v>22</v>
      </c>
      <c r="C4" s="631" t="s">
        <v>23</v>
      </c>
      <c r="D4" s="618"/>
      <c r="E4" s="618"/>
      <c r="F4" s="618"/>
      <c r="G4" s="618"/>
      <c r="H4" s="618"/>
      <c r="I4" s="618"/>
      <c r="J4" s="618"/>
      <c r="K4" s="618"/>
      <c r="L4" s="618"/>
      <c r="M4" s="618"/>
      <c r="N4" s="618"/>
      <c r="O4" s="618"/>
      <c r="P4" s="618"/>
      <c r="Q4" s="618"/>
      <c r="R4" s="618"/>
      <c r="S4" s="618"/>
      <c r="T4" s="618"/>
      <c r="U4" s="618"/>
      <c r="V4" s="618"/>
      <c r="W4" s="618"/>
      <c r="X4" s="619" t="s">
        <v>221</v>
      </c>
      <c r="Y4" s="620"/>
      <c r="Z4" s="621"/>
      <c r="AA4" s="625" t="s">
        <v>284</v>
      </c>
      <c r="AB4" s="626"/>
      <c r="AC4" s="627"/>
      <c r="AD4" s="611" t="s">
        <v>425</v>
      </c>
      <c r="AE4" s="612"/>
      <c r="AF4" s="613"/>
    </row>
    <row r="5" spans="1:37" ht="14.25" customHeight="1">
      <c r="A5" s="629"/>
      <c r="B5" s="632"/>
      <c r="C5" s="632"/>
      <c r="D5" s="634" t="s">
        <v>179</v>
      </c>
      <c r="E5" s="635"/>
      <c r="F5" s="635"/>
      <c r="G5" s="636"/>
      <c r="H5" s="637" t="s">
        <v>298</v>
      </c>
      <c r="I5" s="638"/>
      <c r="J5" s="638"/>
      <c r="K5" s="639"/>
      <c r="L5" s="640" t="s">
        <v>180</v>
      </c>
      <c r="M5" s="641"/>
      <c r="N5" s="641"/>
      <c r="O5" s="642"/>
      <c r="P5" s="643" t="s">
        <v>181</v>
      </c>
      <c r="Q5" s="644"/>
      <c r="R5" s="644"/>
      <c r="S5" s="645"/>
      <c r="T5" s="646" t="s">
        <v>299</v>
      </c>
      <c r="U5" s="647"/>
      <c r="V5" s="647"/>
      <c r="W5" s="648"/>
      <c r="X5" s="622"/>
      <c r="Y5" s="623"/>
      <c r="Z5" s="624"/>
      <c r="AA5" s="614"/>
      <c r="AB5" s="615"/>
      <c r="AC5" s="616"/>
      <c r="AD5" s="614"/>
      <c r="AE5" s="615"/>
      <c r="AF5" s="616"/>
    </row>
    <row r="6" spans="1:37" ht="14.25" customHeight="1">
      <c r="A6" s="630"/>
      <c r="B6" s="633"/>
      <c r="C6" s="633"/>
      <c r="D6" s="483" t="s">
        <v>24</v>
      </c>
      <c r="E6" s="347" t="s">
        <v>25</v>
      </c>
      <c r="F6" s="348" t="s">
        <v>26</v>
      </c>
      <c r="G6" s="348" t="s">
        <v>27</v>
      </c>
      <c r="H6" s="484" t="s">
        <v>24</v>
      </c>
      <c r="I6" s="350" t="s">
        <v>25</v>
      </c>
      <c r="J6" s="351" t="s">
        <v>26</v>
      </c>
      <c r="K6" s="351" t="s">
        <v>27</v>
      </c>
      <c r="L6" s="349" t="s">
        <v>24</v>
      </c>
      <c r="M6" s="349" t="s">
        <v>25</v>
      </c>
      <c r="N6" s="349" t="s">
        <v>26</v>
      </c>
      <c r="O6" s="349" t="s">
        <v>27</v>
      </c>
      <c r="P6" s="352" t="s">
        <v>24</v>
      </c>
      <c r="Q6" s="352" t="s">
        <v>25</v>
      </c>
      <c r="R6" s="352" t="s">
        <v>26</v>
      </c>
      <c r="S6" s="352" t="s">
        <v>27</v>
      </c>
      <c r="T6" s="353" t="s">
        <v>24</v>
      </c>
      <c r="U6" s="353" t="s">
        <v>25</v>
      </c>
      <c r="V6" s="353" t="s">
        <v>26</v>
      </c>
      <c r="W6" s="353" t="s">
        <v>27</v>
      </c>
      <c r="X6" s="354" t="s">
        <v>25</v>
      </c>
      <c r="Y6" s="355" t="s">
        <v>26</v>
      </c>
      <c r="Z6" s="355" t="s">
        <v>27</v>
      </c>
      <c r="AA6" s="454" t="s">
        <v>25</v>
      </c>
      <c r="AB6" s="455" t="s">
        <v>26</v>
      </c>
      <c r="AC6" s="455" t="s">
        <v>27</v>
      </c>
      <c r="AD6" s="454" t="s">
        <v>25</v>
      </c>
      <c r="AE6" s="455" t="s">
        <v>26</v>
      </c>
      <c r="AF6" s="455" t="s">
        <v>27</v>
      </c>
      <c r="AH6" s="357"/>
    </row>
    <row r="7" spans="1:37">
      <c r="A7" s="287"/>
      <c r="B7" s="288"/>
      <c r="C7" s="288"/>
      <c r="D7" s="98"/>
      <c r="E7" s="98"/>
      <c r="F7" s="98"/>
      <c r="G7" s="98"/>
      <c r="H7" s="98"/>
      <c r="I7" s="98"/>
      <c r="J7" s="98"/>
      <c r="K7" s="98"/>
      <c r="L7" s="98"/>
      <c r="M7" s="98"/>
      <c r="N7" s="98"/>
      <c r="O7" s="98"/>
      <c r="P7" s="98"/>
      <c r="Q7" s="98"/>
      <c r="R7" s="98"/>
      <c r="S7" s="98"/>
      <c r="T7" s="98"/>
      <c r="U7" s="98"/>
      <c r="V7" s="98"/>
      <c r="W7" s="98"/>
      <c r="X7" s="291"/>
      <c r="Y7" s="98"/>
      <c r="Z7" s="98"/>
      <c r="AA7" s="291"/>
      <c r="AB7" s="98"/>
      <c r="AC7" s="98"/>
      <c r="AD7" s="291"/>
      <c r="AE7" s="98"/>
      <c r="AF7" s="98"/>
    </row>
    <row r="8" spans="1:37" ht="16.8">
      <c r="A8" s="287">
        <f>+Report1!A9</f>
        <v>46082</v>
      </c>
      <c r="B8" s="294">
        <f>+Report1!P9</f>
        <v>50.133000000000003</v>
      </c>
      <c r="C8" s="294">
        <f>+Report1!R9</f>
        <v>56.237000000000002</v>
      </c>
      <c r="D8" s="295">
        <f>+D7+E8</f>
        <v>11885.449999999932</v>
      </c>
      <c r="E8" s="295">
        <f>+[2]Dailymar!AZ7</f>
        <v>11885.449999999932</v>
      </c>
      <c r="F8" s="295">
        <f t="shared" ref="F8" si="0">E8/B8</f>
        <v>237.07837153172423</v>
      </c>
      <c r="G8" s="295">
        <f t="shared" ref="G8" si="1">E8/C8</f>
        <v>211.34573323612446</v>
      </c>
      <c r="H8" s="295">
        <f>+H7+I8</f>
        <v>16435.45</v>
      </c>
      <c r="I8" s="295">
        <f>+[2]Dailymar!BA7</f>
        <v>16435.45</v>
      </c>
      <c r="J8" s="295">
        <f t="shared" ref="J8" si="2">I8/B8</f>
        <v>327.83695370314962</v>
      </c>
      <c r="K8" s="295">
        <f t="shared" ref="K8" si="3">I8/C8</f>
        <v>292.25332076746628</v>
      </c>
      <c r="L8" s="295">
        <f>+L7+M8</f>
        <v>10980.020125376783</v>
      </c>
      <c r="M8" s="295">
        <f>+[2]Dailymar!BB7</f>
        <v>10980.020125376783</v>
      </c>
      <c r="N8" s="295">
        <f t="shared" ref="N8" si="4">M8/B8</f>
        <v>219.01781511931824</v>
      </c>
      <c r="O8" s="487">
        <f t="shared" ref="O8" si="5">M8/C8</f>
        <v>195.24548118457213</v>
      </c>
      <c r="P8" s="295">
        <f>+P7+Q8</f>
        <v>0</v>
      </c>
      <c r="Q8" s="295"/>
      <c r="R8" s="295">
        <f t="shared" ref="R8" si="6">Q8/B8</f>
        <v>0</v>
      </c>
      <c r="S8" s="390">
        <f t="shared" ref="S8" si="7">Q8/C8</f>
        <v>0</v>
      </c>
      <c r="T8" s="295">
        <f>+T7+U8</f>
        <v>9.9999999999909051</v>
      </c>
      <c r="U8" s="295">
        <f>+[3]Dailymar!BC7</f>
        <v>9.9999999999909051</v>
      </c>
      <c r="V8" s="295">
        <f t="shared" ref="V8" si="8">U8/B8</f>
        <v>0.19946941136558563</v>
      </c>
      <c r="W8" s="390">
        <f t="shared" ref="W8" si="9">U8/C8</f>
        <v>0.17781887369509228</v>
      </c>
      <c r="X8" s="295">
        <f>+E8+I8+M8+U8</f>
        <v>39310.92012537671</v>
      </c>
      <c r="Y8" s="7">
        <f t="shared" ref="Y8" si="10">X8/B8</f>
        <v>784.13260976555773</v>
      </c>
      <c r="Z8" s="293">
        <f t="shared" ref="Z8" si="11">X8/C8</f>
        <v>699.02235406185798</v>
      </c>
      <c r="AA8" s="295">
        <f>+[2]Dailymar!BO7</f>
        <v>30967.4</v>
      </c>
      <c r="AB8" s="7">
        <f>AA8/B8</f>
        <v>617.70490495282547</v>
      </c>
      <c r="AC8" s="6">
        <f>AA8/C8</f>
        <v>550.6588189270409</v>
      </c>
      <c r="AD8" s="295"/>
      <c r="AE8" s="7">
        <f>AD8/D8</f>
        <v>0</v>
      </c>
      <c r="AF8" s="6">
        <f>AD8/E8</f>
        <v>0</v>
      </c>
      <c r="AJ8" s="358" t="s">
        <v>182</v>
      </c>
      <c r="AK8" s="358" t="s">
        <v>183</v>
      </c>
    </row>
    <row r="9" spans="1:37" ht="16.8">
      <c r="A9" s="287">
        <f>+Report1!A10</f>
        <v>46083</v>
      </c>
      <c r="B9" s="294">
        <f>+Report1!P10</f>
        <v>52.173000000000002</v>
      </c>
      <c r="C9" s="294">
        <f>+Report1!R10</f>
        <v>52.433</v>
      </c>
      <c r="D9" s="295">
        <f t="shared" ref="D9:D38" si="12">+D8+E9</f>
        <v>22541.300000000025</v>
      </c>
      <c r="E9" s="295">
        <f>+[2]Dailymar!AZ8</f>
        <v>10655.850000000091</v>
      </c>
      <c r="F9" s="295">
        <f t="shared" ref="F9:F38" si="13">E9/B9</f>
        <v>204.24069921223796</v>
      </c>
      <c r="G9" s="295">
        <f t="shared" ref="G9:G38" si="14">E9/C9</f>
        <v>203.22792897602829</v>
      </c>
      <c r="H9" s="295">
        <f t="shared" ref="H9:H38" si="15">+H8+I9</f>
        <v>31941.300000000003</v>
      </c>
      <c r="I9" s="295">
        <f>+[2]Dailymar!BA8</f>
        <v>15505.85</v>
      </c>
      <c r="J9" s="295">
        <f t="shared" ref="J9:J38" si="16">I9/B9</f>
        <v>297.20065934487184</v>
      </c>
      <c r="K9" s="295">
        <f t="shared" ref="K9:K38" si="17">I9/C9</f>
        <v>295.72692769820532</v>
      </c>
      <c r="L9" s="295">
        <f t="shared" ref="L9:L38" si="18">+L8+M9</f>
        <v>21774.704963984812</v>
      </c>
      <c r="M9" s="295">
        <f>+[2]Dailymar!BB8</f>
        <v>10794.684838608031</v>
      </c>
      <c r="N9" s="295">
        <f t="shared" ref="N9:N38" si="19">M9/B9</f>
        <v>206.90174685389053</v>
      </c>
      <c r="O9" s="487">
        <f t="shared" ref="O9:O38" si="20">M9/C9</f>
        <v>205.87578125623236</v>
      </c>
      <c r="P9" s="295">
        <f t="shared" ref="P9:P38" si="21">+P8+Q9</f>
        <v>0</v>
      </c>
      <c r="Q9" s="295"/>
      <c r="R9" s="295">
        <f t="shared" ref="R9:R38" si="22">Q9/B9</f>
        <v>0</v>
      </c>
      <c r="S9" s="390">
        <f t="shared" ref="S9:S38" si="23">Q9/C9</f>
        <v>0</v>
      </c>
      <c r="T9" s="295">
        <f t="shared" ref="T9:T38" si="24">+T8+U9</f>
        <v>19.99999999998181</v>
      </c>
      <c r="U9" s="295">
        <f>+[3]Dailymar!BC8</f>
        <v>9.9999999999909051</v>
      </c>
      <c r="V9" s="295">
        <f t="shared" ref="V9:V38" si="25">U9/B9</f>
        <v>0.19167002089185795</v>
      </c>
      <c r="W9" s="390">
        <f t="shared" ref="W9:W38" si="26">U9/C9</f>
        <v>0.19071958499400959</v>
      </c>
      <c r="X9" s="295">
        <f t="shared" ref="X9:X38" si="27">+E9+I9+M9+U9</f>
        <v>36966.384838608115</v>
      </c>
      <c r="Y9" s="7">
        <f t="shared" ref="Y9:Y38" si="28">X9/B9</f>
        <v>708.53477543189229</v>
      </c>
      <c r="Z9" s="293">
        <f t="shared" ref="Z9:Z38" si="29">X9/C9</f>
        <v>705.02135751546007</v>
      </c>
      <c r="AA9" s="295">
        <f>+[2]Dailymar!BO8</f>
        <v>29196.000000000007</v>
      </c>
      <c r="AB9" s="7">
        <f t="shared" ref="AB9:AB38" si="30">AA9/B9</f>
        <v>559.59979299637757</v>
      </c>
      <c r="AC9" s="6">
        <f t="shared" ref="AC9:AC38" si="31">AA9/C9</f>
        <v>556.82490034901696</v>
      </c>
      <c r="AD9" s="295"/>
      <c r="AE9" s="7">
        <f t="shared" ref="AE9:AE38" si="32">AD9/D9</f>
        <v>0</v>
      </c>
      <c r="AF9" s="6">
        <f t="shared" ref="AF9:AF38" si="33">AD9/E9</f>
        <v>0</v>
      </c>
      <c r="AJ9" s="358" t="s">
        <v>182</v>
      </c>
      <c r="AK9" s="358" t="s">
        <v>183</v>
      </c>
    </row>
    <row r="10" spans="1:37" ht="16.8">
      <c r="A10" s="287">
        <f>+Report1!A11</f>
        <v>46084</v>
      </c>
      <c r="B10" s="294">
        <f>+Report1!P11</f>
        <v>53.673999999999999</v>
      </c>
      <c r="C10" s="294">
        <f>+Report1!R11</f>
        <v>49.889000000000003</v>
      </c>
      <c r="D10" s="295">
        <f t="shared" si="12"/>
        <v>32939.79</v>
      </c>
      <c r="E10" s="295">
        <f>+[2]Dailymar!AZ9</f>
        <v>10398.489999999976</v>
      </c>
      <c r="F10" s="295">
        <f t="shared" si="13"/>
        <v>193.73421023214175</v>
      </c>
      <c r="G10" s="295">
        <f t="shared" si="14"/>
        <v>208.43252019483205</v>
      </c>
      <c r="H10" s="295">
        <f t="shared" si="15"/>
        <v>46189.79</v>
      </c>
      <c r="I10" s="295">
        <f>+[2]Dailymar!BA9</f>
        <v>14248.49</v>
      </c>
      <c r="J10" s="295">
        <f t="shared" si="16"/>
        <v>265.46353914371952</v>
      </c>
      <c r="K10" s="295">
        <f t="shared" si="17"/>
        <v>285.60384052596766</v>
      </c>
      <c r="L10" s="295">
        <f t="shared" si="18"/>
        <v>32879.250462031123</v>
      </c>
      <c r="M10" s="295">
        <f>+[2]Dailymar!BB9</f>
        <v>11104.545498046309</v>
      </c>
      <c r="N10" s="295">
        <f t="shared" si="19"/>
        <v>206.88872634881525</v>
      </c>
      <c r="O10" s="487">
        <f t="shared" si="20"/>
        <v>222.58504876919378</v>
      </c>
      <c r="P10" s="295">
        <f t="shared" si="21"/>
        <v>0</v>
      </c>
      <c r="Q10" s="295"/>
      <c r="R10" s="295">
        <f t="shared" si="22"/>
        <v>0</v>
      </c>
      <c r="S10" s="390">
        <f t="shared" si="23"/>
        <v>0</v>
      </c>
      <c r="T10" s="295">
        <f t="shared" si="24"/>
        <v>29.999999999972715</v>
      </c>
      <c r="U10" s="295">
        <f>+[3]Dailymar!BC9</f>
        <v>9.9999999999909051</v>
      </c>
      <c r="V10" s="295">
        <f t="shared" si="25"/>
        <v>0.18630994522470665</v>
      </c>
      <c r="W10" s="390">
        <f t="shared" si="26"/>
        <v>0.20044498787289591</v>
      </c>
      <c r="X10" s="295">
        <f t="shared" si="27"/>
        <v>35761.525498046278</v>
      </c>
      <c r="Y10" s="7">
        <f t="shared" si="28"/>
        <v>666.27278566990117</v>
      </c>
      <c r="Z10" s="293">
        <f t="shared" si="29"/>
        <v>716.8218544778664</v>
      </c>
      <c r="AA10" s="295">
        <f>+[2]Dailymar!BO9</f>
        <v>21611.000000000004</v>
      </c>
      <c r="AB10" s="7">
        <f t="shared" si="30"/>
        <v>402.63442262547983</v>
      </c>
      <c r="AC10" s="6">
        <f t="shared" si="31"/>
        <v>433.18166329250943</v>
      </c>
      <c r="AD10" s="295"/>
      <c r="AE10" s="7">
        <f t="shared" si="32"/>
        <v>0</v>
      </c>
      <c r="AF10" s="6">
        <f t="shared" si="33"/>
        <v>0</v>
      </c>
      <c r="AJ10" s="358" t="s">
        <v>182</v>
      </c>
      <c r="AK10" s="358" t="s">
        <v>183</v>
      </c>
    </row>
    <row r="11" spans="1:37" ht="16.8">
      <c r="A11" s="287">
        <f>+Report1!A12</f>
        <v>46085</v>
      </c>
      <c r="B11" s="294">
        <f>+Report1!P12</f>
        <v>37.878</v>
      </c>
      <c r="C11" s="294">
        <f>+Report1!R12</f>
        <v>39.68</v>
      </c>
      <c r="D11" s="295">
        <f t="shared" si="12"/>
        <v>41711.470000000707</v>
      </c>
      <c r="E11" s="295">
        <f>+[2]Dailymar!AZ10</f>
        <v>8771.6800000007061</v>
      </c>
      <c r="F11" s="295">
        <f t="shared" si="13"/>
        <v>231.57716880512979</v>
      </c>
      <c r="G11" s="295">
        <f t="shared" si="14"/>
        <v>221.06048387098554</v>
      </c>
      <c r="H11" s="295">
        <f t="shared" si="15"/>
        <v>59011.469999999637</v>
      </c>
      <c r="I11" s="295">
        <f>+[2]Dailymar!BA10</f>
        <v>12821.679999999636</v>
      </c>
      <c r="J11" s="295">
        <f t="shared" si="16"/>
        <v>338.49939278736036</v>
      </c>
      <c r="K11" s="295">
        <f t="shared" si="17"/>
        <v>323.1270161290231</v>
      </c>
      <c r="L11" s="295">
        <f t="shared" si="18"/>
        <v>41748.424578466147</v>
      </c>
      <c r="M11" s="295">
        <f>+[2]Dailymar!BB10</f>
        <v>8869.1741164350206</v>
      </c>
      <c r="N11" s="295">
        <f t="shared" si="19"/>
        <v>234.15106701607849</v>
      </c>
      <c r="O11" s="487">
        <f t="shared" si="20"/>
        <v>223.51749285370516</v>
      </c>
      <c r="P11" s="295">
        <f t="shared" si="21"/>
        <v>0</v>
      </c>
      <c r="Q11" s="295"/>
      <c r="R11" s="295">
        <f t="shared" si="22"/>
        <v>0</v>
      </c>
      <c r="S11" s="390">
        <f t="shared" si="23"/>
        <v>0</v>
      </c>
      <c r="T11" s="295">
        <f t="shared" si="24"/>
        <v>39.99999999996362</v>
      </c>
      <c r="U11" s="295">
        <f>+[3]Dailymar!BC10</f>
        <v>9.9999999999909051</v>
      </c>
      <c r="V11" s="295">
        <f t="shared" si="25"/>
        <v>0.26400549131397921</v>
      </c>
      <c r="W11" s="390">
        <f t="shared" si="26"/>
        <v>0.25201612903202886</v>
      </c>
      <c r="X11" s="295">
        <f t="shared" si="27"/>
        <v>30472.534116435352</v>
      </c>
      <c r="Y11" s="7">
        <f t="shared" si="28"/>
        <v>804.49163409988262</v>
      </c>
      <c r="Z11" s="293">
        <f t="shared" si="29"/>
        <v>767.95700898274572</v>
      </c>
      <c r="AA11" s="295">
        <f>+[2]Dailymar!BO10</f>
        <v>18324.901000000365</v>
      </c>
      <c r="AB11" s="7">
        <f t="shared" si="30"/>
        <v>483.78744917895256</v>
      </c>
      <c r="AC11" s="6">
        <f t="shared" si="31"/>
        <v>461.81706149194468</v>
      </c>
      <c r="AD11" s="295"/>
      <c r="AE11" s="7">
        <f t="shared" si="32"/>
        <v>0</v>
      </c>
      <c r="AF11" s="6">
        <f t="shared" si="33"/>
        <v>0</v>
      </c>
      <c r="AJ11" s="358" t="s">
        <v>182</v>
      </c>
      <c r="AK11" s="358" t="s">
        <v>183</v>
      </c>
    </row>
    <row r="12" spans="1:37" ht="16.8">
      <c r="A12" s="287">
        <f>+Report1!A13</f>
        <v>46086</v>
      </c>
      <c r="B12" s="294">
        <f>+Report1!P13</f>
        <v>52.676000000000002</v>
      </c>
      <c r="C12" s="294">
        <f>+Report1!R13</f>
        <v>54.177999999999997</v>
      </c>
      <c r="D12" s="295">
        <f t="shared" si="12"/>
        <v>50730.179999999957</v>
      </c>
      <c r="E12" s="295">
        <f>+[2]Dailymar!AZ11</f>
        <v>9018.7099999992497</v>
      </c>
      <c r="F12" s="295">
        <f t="shared" si="13"/>
        <v>171.21098792617605</v>
      </c>
      <c r="G12" s="295">
        <f t="shared" si="14"/>
        <v>166.4644320572788</v>
      </c>
      <c r="H12" s="295">
        <f t="shared" si="15"/>
        <v>75480.179999999265</v>
      </c>
      <c r="I12" s="295">
        <f>+[2]Dailymar!BA11</f>
        <v>16468.709999999635</v>
      </c>
      <c r="J12" s="295">
        <f t="shared" si="16"/>
        <v>312.6416204723144</v>
      </c>
      <c r="K12" s="295">
        <f t="shared" si="17"/>
        <v>303.97412233747343</v>
      </c>
      <c r="L12" s="295">
        <f t="shared" si="18"/>
        <v>53745.22591232272</v>
      </c>
      <c r="M12" s="295">
        <f>+[2]Dailymar!BB11</f>
        <v>11996.801333856572</v>
      </c>
      <c r="N12" s="295">
        <f t="shared" si="19"/>
        <v>227.74700686947702</v>
      </c>
      <c r="O12" s="487">
        <f t="shared" si="20"/>
        <v>221.43307862705475</v>
      </c>
      <c r="P12" s="295">
        <f t="shared" si="21"/>
        <v>0</v>
      </c>
      <c r="Q12" s="295"/>
      <c r="R12" s="295">
        <f t="shared" si="22"/>
        <v>0</v>
      </c>
      <c r="S12" s="390">
        <f t="shared" si="23"/>
        <v>0</v>
      </c>
      <c r="T12" s="295">
        <f t="shared" si="24"/>
        <v>49.999999999954525</v>
      </c>
      <c r="U12" s="295">
        <f>+[3]Dailymar!BC11</f>
        <v>9.9999999999909051</v>
      </c>
      <c r="V12" s="295">
        <f t="shared" si="25"/>
        <v>0.18983977522953346</v>
      </c>
      <c r="W12" s="390">
        <f t="shared" si="26"/>
        <v>0.18457676547659393</v>
      </c>
      <c r="X12" s="295">
        <f t="shared" si="27"/>
        <v>37494.22133385545</v>
      </c>
      <c r="Y12" s="7">
        <f t="shared" si="28"/>
        <v>711.78945504319711</v>
      </c>
      <c r="Z12" s="293">
        <f t="shared" si="29"/>
        <v>692.05620978728359</v>
      </c>
      <c r="AA12" s="295">
        <f>+[2]Dailymar!BO11</f>
        <v>23445.414999999684</v>
      </c>
      <c r="AB12" s="7">
        <f t="shared" si="30"/>
        <v>445.08723137671205</v>
      </c>
      <c r="AC12" s="6">
        <f t="shared" si="31"/>
        <v>432.7478865960295</v>
      </c>
      <c r="AD12" s="295"/>
      <c r="AE12" s="7">
        <f t="shared" si="32"/>
        <v>0</v>
      </c>
      <c r="AF12" s="6">
        <f t="shared" si="33"/>
        <v>0</v>
      </c>
      <c r="AJ12" s="358" t="s">
        <v>182</v>
      </c>
      <c r="AK12" s="358" t="s">
        <v>183</v>
      </c>
    </row>
    <row r="13" spans="1:37" ht="16.8">
      <c r="A13" s="287">
        <f>+Report1!A14</f>
        <v>46087</v>
      </c>
      <c r="B13" s="294">
        <f>+Report1!P14</f>
        <v>33.480000000000004</v>
      </c>
      <c r="C13" s="294">
        <f>+Report1!R14</f>
        <v>33.015000000000001</v>
      </c>
      <c r="D13" s="295">
        <f t="shared" si="12"/>
        <v>59074.689999998525</v>
      </c>
      <c r="E13" s="295">
        <f>+[2]Dailymar!AZ12</f>
        <v>8344.5099999985687</v>
      </c>
      <c r="F13" s="295">
        <f t="shared" si="13"/>
        <v>249.23864994022006</v>
      </c>
      <c r="G13" s="295">
        <f t="shared" si="14"/>
        <v>252.74905346050488</v>
      </c>
      <c r="H13" s="295">
        <f t="shared" si="15"/>
        <v>85824.689999999988</v>
      </c>
      <c r="I13" s="295">
        <f>+[2]Dailymar!BA12</f>
        <v>10344.510000000728</v>
      </c>
      <c r="J13" s="295">
        <f t="shared" si="16"/>
        <v>308.97580645163458</v>
      </c>
      <c r="K13" s="295">
        <f t="shared" si="17"/>
        <v>313.32757837348862</v>
      </c>
      <c r="L13" s="295">
        <f t="shared" si="18"/>
        <v>62169.992770312208</v>
      </c>
      <c r="M13" s="295">
        <f>+[2]Dailymar!BB12</f>
        <v>8424.7668579894889</v>
      </c>
      <c r="N13" s="295">
        <f t="shared" si="19"/>
        <v>251.63580818367646</v>
      </c>
      <c r="O13" s="487">
        <f t="shared" si="20"/>
        <v>255.17997449612264</v>
      </c>
      <c r="P13" s="295">
        <f t="shared" si="21"/>
        <v>0</v>
      </c>
      <c r="Q13" s="295"/>
      <c r="R13" s="295">
        <f t="shared" si="22"/>
        <v>0</v>
      </c>
      <c r="S13" s="390">
        <f t="shared" si="23"/>
        <v>0</v>
      </c>
      <c r="T13" s="295">
        <f t="shared" si="24"/>
        <v>59.99999999994543</v>
      </c>
      <c r="U13" s="295">
        <f>+[3]Dailymar!BC12</f>
        <v>9.9999999999909051</v>
      </c>
      <c r="V13" s="295">
        <f t="shared" si="25"/>
        <v>0.2986857825564786</v>
      </c>
      <c r="W13" s="390">
        <f t="shared" si="26"/>
        <v>0.30289262456431637</v>
      </c>
      <c r="X13" s="295">
        <f t="shared" si="27"/>
        <v>27123.78685798878</v>
      </c>
      <c r="Y13" s="7">
        <f t="shared" si="28"/>
        <v>810.14895035808775</v>
      </c>
      <c r="Z13" s="293">
        <f t="shared" si="29"/>
        <v>821.55949895468063</v>
      </c>
      <c r="AA13" s="295">
        <f>+[2]Dailymar!BO12</f>
        <v>20592.308000000405</v>
      </c>
      <c r="AB13" s="7">
        <f t="shared" si="30"/>
        <v>615.06296296297501</v>
      </c>
      <c r="AC13" s="6">
        <f t="shared" si="31"/>
        <v>623.72582159625642</v>
      </c>
      <c r="AD13" s="295"/>
      <c r="AE13" s="7">
        <f t="shared" si="32"/>
        <v>0</v>
      </c>
      <c r="AF13" s="6">
        <f t="shared" si="33"/>
        <v>0</v>
      </c>
      <c r="AJ13" s="358" t="s">
        <v>182</v>
      </c>
      <c r="AK13" s="358" t="s">
        <v>183</v>
      </c>
    </row>
    <row r="14" spans="1:37" ht="16.8">
      <c r="A14" s="287">
        <f>+Report1!A15</f>
        <v>46088</v>
      </c>
      <c r="B14" s="294">
        <f>+Report1!P15</f>
        <v>46.632000000000005</v>
      </c>
      <c r="C14" s="294">
        <f>+Report1!R15</f>
        <v>38.323999999999998</v>
      </c>
      <c r="D14" s="295">
        <f t="shared" si="12"/>
        <v>68954.199999999284</v>
      </c>
      <c r="E14" s="295">
        <f>+[2]Dailymar!AZ13</f>
        <v>9879.5100000007515</v>
      </c>
      <c r="F14" s="295">
        <f t="shared" si="13"/>
        <v>211.86116829646488</v>
      </c>
      <c r="G14" s="295">
        <f t="shared" si="14"/>
        <v>257.78911387122304</v>
      </c>
      <c r="H14" s="295">
        <f t="shared" si="15"/>
        <v>101204.19999999925</v>
      </c>
      <c r="I14" s="295">
        <f>+[2]Dailymar!BA13</f>
        <v>15379.509999999273</v>
      </c>
      <c r="J14" s="295">
        <f t="shared" si="16"/>
        <v>329.80592726023485</v>
      </c>
      <c r="K14" s="295">
        <f t="shared" si="17"/>
        <v>401.30231708588019</v>
      </c>
      <c r="L14" s="295">
        <f t="shared" si="18"/>
        <v>73678.067293884451</v>
      </c>
      <c r="M14" s="295">
        <f>+[2]Dailymar!BB13</f>
        <v>11508.074523572248</v>
      </c>
      <c r="N14" s="295">
        <f t="shared" si="19"/>
        <v>246.78492287639918</v>
      </c>
      <c r="O14" s="487">
        <f t="shared" si="20"/>
        <v>300.28375231114313</v>
      </c>
      <c r="P14" s="295">
        <f t="shared" si="21"/>
        <v>0</v>
      </c>
      <c r="Q14" s="295"/>
      <c r="R14" s="295">
        <f t="shared" si="22"/>
        <v>0</v>
      </c>
      <c r="S14" s="390">
        <f t="shared" si="23"/>
        <v>0</v>
      </c>
      <c r="T14" s="295">
        <f t="shared" si="24"/>
        <v>69.999999999936335</v>
      </c>
      <c r="U14" s="295">
        <f>+[3]Dailymar!BC13</f>
        <v>9.9999999999909051</v>
      </c>
      <c r="V14" s="295">
        <f t="shared" si="25"/>
        <v>0.21444501629762619</v>
      </c>
      <c r="W14" s="390">
        <f t="shared" si="26"/>
        <v>0.26093309675375498</v>
      </c>
      <c r="X14" s="295">
        <f t="shared" si="27"/>
        <v>36777.094523572268</v>
      </c>
      <c r="Y14" s="7">
        <f t="shared" si="28"/>
        <v>788.6664634493967</v>
      </c>
      <c r="Z14" s="293">
        <f t="shared" si="29"/>
        <v>959.63611636500025</v>
      </c>
      <c r="AA14" s="295">
        <f>+[2]Dailymar!BO13</f>
        <v>19486.899999999339</v>
      </c>
      <c r="AB14" s="7">
        <f t="shared" si="30"/>
        <v>417.88685880938704</v>
      </c>
      <c r="AC14" s="6">
        <f t="shared" si="31"/>
        <v>508.47771631351998</v>
      </c>
      <c r="AD14" s="295"/>
      <c r="AE14" s="7">
        <f t="shared" si="32"/>
        <v>0</v>
      </c>
      <c r="AF14" s="6">
        <f t="shared" si="33"/>
        <v>0</v>
      </c>
      <c r="AJ14" s="358" t="s">
        <v>182</v>
      </c>
      <c r="AK14" s="358" t="s">
        <v>183</v>
      </c>
    </row>
    <row r="15" spans="1:37" ht="16.8">
      <c r="A15" s="287">
        <f>+Report1!A16</f>
        <v>46089</v>
      </c>
      <c r="B15" s="294">
        <f>+Report1!P16</f>
        <v>52.325999999999993</v>
      </c>
      <c r="C15" s="294">
        <f>+Report1!R16</f>
        <v>46.311999999999998</v>
      </c>
      <c r="D15" s="295">
        <f t="shared" si="12"/>
        <v>78727.430000000692</v>
      </c>
      <c r="E15" s="295">
        <f>+[2]Dailymar!AZ14</f>
        <v>9773.2300000014093</v>
      </c>
      <c r="F15" s="295">
        <f t="shared" si="13"/>
        <v>186.77579023814948</v>
      </c>
      <c r="G15" s="295">
        <f t="shared" si="14"/>
        <v>211.03018656074906</v>
      </c>
      <c r="H15" s="295">
        <f t="shared" si="15"/>
        <v>117627.42999999961</v>
      </c>
      <c r="I15" s="295">
        <f>+[2]Dailymar!BA14</f>
        <v>16423.230000000363</v>
      </c>
      <c r="J15" s="295">
        <f t="shared" si="16"/>
        <v>313.86366242404091</v>
      </c>
      <c r="K15" s="295">
        <f t="shared" si="17"/>
        <v>354.62148039385829</v>
      </c>
      <c r="L15" s="295">
        <f t="shared" si="18"/>
        <v>84965.859741607594</v>
      </c>
      <c r="M15" s="295">
        <f>+[2]Dailymar!BB14</f>
        <v>11287.792447723135</v>
      </c>
      <c r="N15" s="295">
        <f t="shared" si="19"/>
        <v>215.72052990335851</v>
      </c>
      <c r="O15" s="487">
        <f t="shared" si="20"/>
        <v>243.73364241931111</v>
      </c>
      <c r="P15" s="295">
        <f t="shared" si="21"/>
        <v>0</v>
      </c>
      <c r="Q15" s="295"/>
      <c r="R15" s="295">
        <f t="shared" si="22"/>
        <v>0</v>
      </c>
      <c r="S15" s="390">
        <f t="shared" si="23"/>
        <v>0</v>
      </c>
      <c r="T15" s="295">
        <f t="shared" si="24"/>
        <v>79.99999999992724</v>
      </c>
      <c r="U15" s="295">
        <f>+[3]Dailymar!BC14</f>
        <v>9.9999999999909051</v>
      </c>
      <c r="V15" s="295">
        <f t="shared" si="25"/>
        <v>0.19110958223427946</v>
      </c>
      <c r="W15" s="390">
        <f t="shared" si="26"/>
        <v>0.21592675764361086</v>
      </c>
      <c r="X15" s="295">
        <f t="shared" si="27"/>
        <v>37494.252447724903</v>
      </c>
      <c r="Y15" s="7">
        <f t="shared" si="28"/>
        <v>716.55109214778327</v>
      </c>
      <c r="Z15" s="293">
        <f t="shared" si="29"/>
        <v>809.60123613156213</v>
      </c>
      <c r="AA15" s="295">
        <f>+[2]Dailymar!BO14</f>
        <v>26268.044000000154</v>
      </c>
      <c r="AB15" s="7">
        <f t="shared" si="30"/>
        <v>502.0074914956266</v>
      </c>
      <c r="AC15" s="6">
        <f t="shared" si="31"/>
        <v>567.19735705648975</v>
      </c>
      <c r="AD15" s="295"/>
      <c r="AE15" s="7">
        <f t="shared" si="32"/>
        <v>0</v>
      </c>
      <c r="AF15" s="6">
        <f t="shared" si="33"/>
        <v>0</v>
      </c>
      <c r="AJ15" s="358" t="s">
        <v>182</v>
      </c>
      <c r="AK15" s="358" t="s">
        <v>183</v>
      </c>
    </row>
    <row r="16" spans="1:37" ht="16.8">
      <c r="A16" s="287">
        <f>+Report1!A17</f>
        <v>46090</v>
      </c>
      <c r="B16" s="294">
        <f>+Report1!P17</f>
        <v>55.759</v>
      </c>
      <c r="C16" s="294">
        <f>+Report1!R17</f>
        <v>66.956000000000003</v>
      </c>
      <c r="D16" s="295">
        <f t="shared" si="12"/>
        <v>89619.98000000004</v>
      </c>
      <c r="E16" s="295">
        <f>+[2]Dailymar!AZ15</f>
        <v>10892.549999999341</v>
      </c>
      <c r="F16" s="295">
        <f t="shared" si="13"/>
        <v>195.35052637241236</v>
      </c>
      <c r="G16" s="295">
        <f t="shared" si="14"/>
        <v>162.68220921200998</v>
      </c>
      <c r="H16" s="295">
        <f t="shared" si="15"/>
        <v>134269.97999999998</v>
      </c>
      <c r="I16" s="295">
        <f>+[2]Dailymar!BA15</f>
        <v>16642.550000000363</v>
      </c>
      <c r="J16" s="295">
        <f t="shared" si="16"/>
        <v>298.47289226851922</v>
      </c>
      <c r="K16" s="295">
        <f t="shared" si="17"/>
        <v>248.5595017623568</v>
      </c>
      <c r="L16" s="295">
        <f t="shared" si="18"/>
        <v>101476.09406695148</v>
      </c>
      <c r="M16" s="295">
        <f>+[2]Dailymar!BB15</f>
        <v>16510.234325343881</v>
      </c>
      <c r="N16" s="295">
        <f t="shared" si="19"/>
        <v>296.09990002230819</v>
      </c>
      <c r="O16" s="487">
        <f t="shared" si="20"/>
        <v>246.58334317079695</v>
      </c>
      <c r="P16" s="295">
        <f t="shared" si="21"/>
        <v>0</v>
      </c>
      <c r="Q16" s="295"/>
      <c r="R16" s="295">
        <f t="shared" si="22"/>
        <v>0</v>
      </c>
      <c r="S16" s="390">
        <f t="shared" si="23"/>
        <v>0</v>
      </c>
      <c r="T16" s="295">
        <f t="shared" si="24"/>
        <v>89.999999999918145</v>
      </c>
      <c r="U16" s="295">
        <f>+[3]Dailymar!BC15</f>
        <v>9.9999999999909051</v>
      </c>
      <c r="V16" s="295">
        <f t="shared" si="25"/>
        <v>0.17934324503651258</v>
      </c>
      <c r="W16" s="390">
        <f t="shared" si="26"/>
        <v>0.14935181313087556</v>
      </c>
      <c r="X16" s="295">
        <f t="shared" si="27"/>
        <v>44055.334325343581</v>
      </c>
      <c r="Y16" s="7">
        <f t="shared" si="28"/>
        <v>790.10266190827633</v>
      </c>
      <c r="Z16" s="293">
        <f t="shared" si="29"/>
        <v>657.97440595829471</v>
      </c>
      <c r="AA16" s="295">
        <f>+[2]Dailymar!BO15</f>
        <v>23221.70600000002</v>
      </c>
      <c r="AB16" s="7">
        <f t="shared" si="30"/>
        <v>416.46561093276455</v>
      </c>
      <c r="AC16" s="6">
        <f t="shared" si="31"/>
        <v>346.82038950952892</v>
      </c>
      <c r="AD16" s="295"/>
      <c r="AE16" s="7">
        <f t="shared" si="32"/>
        <v>0</v>
      </c>
      <c r="AF16" s="6">
        <f t="shared" si="33"/>
        <v>0</v>
      </c>
      <c r="AJ16" s="358" t="s">
        <v>182</v>
      </c>
      <c r="AK16" s="358" t="s">
        <v>183</v>
      </c>
    </row>
    <row r="17" spans="1:37" ht="16.8">
      <c r="A17" s="287">
        <f>+Report1!A18</f>
        <v>46091</v>
      </c>
      <c r="B17" s="294">
        <f>+Report1!P18</f>
        <v>57.141999999999996</v>
      </c>
      <c r="C17" s="294">
        <f>+Report1!R18</f>
        <v>55.335000000000001</v>
      </c>
      <c r="D17" s="295">
        <f t="shared" si="12"/>
        <v>97987.14</v>
      </c>
      <c r="E17" s="295">
        <f>+[2]Dailymar!AZ16</f>
        <v>8367.1599999999544</v>
      </c>
      <c r="F17" s="295">
        <f t="shared" si="13"/>
        <v>146.42749641244541</v>
      </c>
      <c r="G17" s="295">
        <f t="shared" si="14"/>
        <v>151.20918044637128</v>
      </c>
      <c r="H17" s="295">
        <f t="shared" si="15"/>
        <v>151587.13999999998</v>
      </c>
      <c r="I17" s="295">
        <f>+[2]Dailymar!BA16</f>
        <v>17317.16</v>
      </c>
      <c r="J17" s="295">
        <f t="shared" si="16"/>
        <v>303.05484582268735</v>
      </c>
      <c r="K17" s="295">
        <f t="shared" si="17"/>
        <v>312.95129664769132</v>
      </c>
      <c r="L17" s="295">
        <f t="shared" si="18"/>
        <v>116816.34530523136</v>
      </c>
      <c r="M17" s="295">
        <f>+[2]Dailymar!BB16</f>
        <v>15340.25123827987</v>
      </c>
      <c r="N17" s="295">
        <f t="shared" si="19"/>
        <v>268.45842354625097</v>
      </c>
      <c r="O17" s="487">
        <f t="shared" si="20"/>
        <v>277.22510595969766</v>
      </c>
      <c r="P17" s="295">
        <f t="shared" si="21"/>
        <v>0</v>
      </c>
      <c r="Q17" s="295"/>
      <c r="R17" s="295">
        <f t="shared" si="22"/>
        <v>0</v>
      </c>
      <c r="S17" s="390">
        <f t="shared" si="23"/>
        <v>0</v>
      </c>
      <c r="T17" s="295">
        <f t="shared" si="24"/>
        <v>99.999999999909051</v>
      </c>
      <c r="U17" s="295">
        <f>+[3]Dailymar!BC16</f>
        <v>9.9999999999909051</v>
      </c>
      <c r="V17" s="295">
        <f t="shared" si="25"/>
        <v>0.17500262503921643</v>
      </c>
      <c r="W17" s="390">
        <f t="shared" si="26"/>
        <v>0.18071744826946606</v>
      </c>
      <c r="X17" s="295">
        <f t="shared" si="27"/>
        <v>41034.571238279816</v>
      </c>
      <c r="Y17" s="7">
        <f t="shared" si="28"/>
        <v>718.11576840642294</v>
      </c>
      <c r="Z17" s="293">
        <f t="shared" si="29"/>
        <v>741.56630050202978</v>
      </c>
      <c r="AA17" s="295">
        <f>+[2]Dailymar!BO16</f>
        <v>27725.951000000001</v>
      </c>
      <c r="AB17" s="7">
        <f t="shared" si="30"/>
        <v>485.21142067131012</v>
      </c>
      <c r="AC17" s="6">
        <f t="shared" si="31"/>
        <v>501.05631155688081</v>
      </c>
      <c r="AD17" s="295"/>
      <c r="AE17" s="7">
        <f t="shared" si="32"/>
        <v>0</v>
      </c>
      <c r="AF17" s="6">
        <f t="shared" si="33"/>
        <v>0</v>
      </c>
      <c r="AJ17" s="358" t="s">
        <v>182</v>
      </c>
      <c r="AK17" s="358" t="s">
        <v>183</v>
      </c>
    </row>
    <row r="18" spans="1:37" ht="16.8">
      <c r="A18" s="287">
        <f>+Report1!A19</f>
        <v>46092</v>
      </c>
      <c r="B18" s="294">
        <f>+Report1!P19</f>
        <v>53.472999999999999</v>
      </c>
      <c r="C18" s="294">
        <f>+Report1!R19</f>
        <v>48.823999999999998</v>
      </c>
      <c r="D18" s="295">
        <f t="shared" si="12"/>
        <v>107394.01</v>
      </c>
      <c r="E18" s="295">
        <f>+[2]Dailymar!AZ17</f>
        <v>9406.8700000000008</v>
      </c>
      <c r="F18" s="295">
        <f t="shared" si="13"/>
        <v>175.9181269051671</v>
      </c>
      <c r="G18" s="295">
        <f t="shared" si="14"/>
        <v>192.66897427494678</v>
      </c>
      <c r="H18" s="295">
        <f t="shared" si="15"/>
        <v>168994.00999999998</v>
      </c>
      <c r="I18" s="295">
        <f>+[2]Dailymar!BA17</f>
        <v>17406.87</v>
      </c>
      <c r="J18" s="295">
        <f t="shared" si="16"/>
        <v>325.52634039608773</v>
      </c>
      <c r="K18" s="295">
        <f t="shared" si="17"/>
        <v>356.52281664755037</v>
      </c>
      <c r="L18" s="295">
        <f t="shared" si="18"/>
        <v>132052.54073928224</v>
      </c>
      <c r="M18" s="295">
        <f>+[2]Dailymar!BB17</f>
        <v>15236.195434050895</v>
      </c>
      <c r="N18" s="295">
        <f t="shared" si="19"/>
        <v>284.93249741085958</v>
      </c>
      <c r="O18" s="487">
        <f t="shared" si="20"/>
        <v>312.06364562614482</v>
      </c>
      <c r="P18" s="295">
        <f t="shared" si="21"/>
        <v>0</v>
      </c>
      <c r="Q18" s="295"/>
      <c r="R18" s="295">
        <f t="shared" si="22"/>
        <v>0</v>
      </c>
      <c r="S18" s="390">
        <f t="shared" si="23"/>
        <v>0</v>
      </c>
      <c r="T18" s="295">
        <f t="shared" si="24"/>
        <v>109.99999999989996</v>
      </c>
      <c r="U18" s="295">
        <f>+[3]Dailymar!BC17</f>
        <v>9.9999999999909051</v>
      </c>
      <c r="V18" s="295">
        <f t="shared" si="25"/>
        <v>0.18701026686348074</v>
      </c>
      <c r="W18" s="390">
        <f t="shared" si="26"/>
        <v>0.20481730296556827</v>
      </c>
      <c r="X18" s="295">
        <f t="shared" si="27"/>
        <v>42059.935434050887</v>
      </c>
      <c r="Y18" s="7">
        <f t="shared" si="28"/>
        <v>786.56397497897797</v>
      </c>
      <c r="Z18" s="293">
        <f t="shared" si="29"/>
        <v>861.4602538516076</v>
      </c>
      <c r="AA18" s="295">
        <f>+[2]Dailymar!BO17</f>
        <v>25138.048999999999</v>
      </c>
      <c r="AB18" s="7">
        <f t="shared" si="30"/>
        <v>470.10732519215304</v>
      </c>
      <c r="AC18" s="6">
        <f t="shared" si="31"/>
        <v>514.87073980009836</v>
      </c>
      <c r="AD18" s="295"/>
      <c r="AE18" s="7">
        <f t="shared" si="32"/>
        <v>0</v>
      </c>
      <c r="AF18" s="6">
        <f t="shared" si="33"/>
        <v>0</v>
      </c>
      <c r="AJ18" s="358" t="s">
        <v>182</v>
      </c>
      <c r="AK18" s="358" t="s">
        <v>183</v>
      </c>
    </row>
    <row r="19" spans="1:37" ht="16.8">
      <c r="A19" s="287">
        <f>+Report1!A20</f>
        <v>46093</v>
      </c>
      <c r="B19" s="294">
        <f>+Report1!P20</f>
        <v>52.466999999999999</v>
      </c>
      <c r="C19" s="294">
        <f>+Report1!R20</f>
        <v>52.936</v>
      </c>
      <c r="D19" s="295">
        <f t="shared" si="12"/>
        <v>118097.89999999995</v>
      </c>
      <c r="E19" s="295">
        <f>+[2]Dailymar!AZ18</f>
        <v>10703.889999999954</v>
      </c>
      <c r="F19" s="295">
        <f t="shared" si="13"/>
        <v>204.01185507080555</v>
      </c>
      <c r="G19" s="295">
        <f t="shared" si="14"/>
        <v>202.20435998186403</v>
      </c>
      <c r="H19" s="295">
        <f t="shared" si="15"/>
        <v>186647.89999999997</v>
      </c>
      <c r="I19" s="295">
        <f>+[2]Dailymar!BA18</f>
        <v>17653.89</v>
      </c>
      <c r="J19" s="295">
        <f t="shared" si="16"/>
        <v>336.47607067299447</v>
      </c>
      <c r="K19" s="295">
        <f t="shared" si="17"/>
        <v>333.49497506422847</v>
      </c>
      <c r="L19" s="295">
        <f t="shared" si="18"/>
        <v>143984.47095708438</v>
      </c>
      <c r="M19" s="295">
        <f>+[2]Dailymar!BB18</f>
        <v>11931.930217802146</v>
      </c>
      <c r="N19" s="295">
        <f t="shared" si="19"/>
        <v>227.41780962895052</v>
      </c>
      <c r="O19" s="487">
        <f t="shared" si="20"/>
        <v>225.4029435129618</v>
      </c>
      <c r="P19" s="295">
        <f t="shared" si="21"/>
        <v>0</v>
      </c>
      <c r="Q19" s="295"/>
      <c r="R19" s="295">
        <f t="shared" si="22"/>
        <v>0</v>
      </c>
      <c r="S19" s="390">
        <f t="shared" si="23"/>
        <v>0</v>
      </c>
      <c r="T19" s="295">
        <f t="shared" si="24"/>
        <v>119.99999999989086</v>
      </c>
      <c r="U19" s="295">
        <f>+[3]Dailymar!BC18</f>
        <v>9.9999999999909051</v>
      </c>
      <c r="V19" s="295">
        <f t="shared" si="25"/>
        <v>0.19059599367203967</v>
      </c>
      <c r="W19" s="390">
        <f t="shared" si="26"/>
        <v>0.1889073598305672</v>
      </c>
      <c r="X19" s="295">
        <f t="shared" si="27"/>
        <v>40299.710217802094</v>
      </c>
      <c r="Y19" s="7">
        <f t="shared" si="28"/>
        <v>768.09633136642265</v>
      </c>
      <c r="Z19" s="293">
        <f t="shared" si="29"/>
        <v>761.29118591888493</v>
      </c>
      <c r="AA19" s="295">
        <f>+[2]Dailymar!BO18</f>
        <v>23180.100000000009</v>
      </c>
      <c r="AB19" s="7">
        <f t="shared" si="30"/>
        <v>441.80341929212665</v>
      </c>
      <c r="AC19" s="6">
        <f t="shared" si="31"/>
        <v>437.88914916125151</v>
      </c>
      <c r="AD19" s="295"/>
      <c r="AE19" s="7">
        <f t="shared" si="32"/>
        <v>0</v>
      </c>
      <c r="AF19" s="6">
        <f t="shared" si="33"/>
        <v>0</v>
      </c>
      <c r="AJ19" s="358" t="s">
        <v>182</v>
      </c>
      <c r="AK19" s="358" t="s">
        <v>183</v>
      </c>
    </row>
    <row r="20" spans="1:37" ht="16.8">
      <c r="A20" s="287">
        <f>+Report1!A21</f>
        <v>46094</v>
      </c>
      <c r="B20" s="294">
        <f>+Report1!P21</f>
        <v>52.908000000000001</v>
      </c>
      <c r="C20" s="294">
        <f>+Report1!R21</f>
        <v>50.177999999999997</v>
      </c>
      <c r="D20" s="295">
        <f t="shared" si="12"/>
        <v>128510.79000000002</v>
      </c>
      <c r="E20" s="295">
        <f>+[2]Dailymar!AZ19</f>
        <v>10412.890000000069</v>
      </c>
      <c r="F20" s="295">
        <f t="shared" si="13"/>
        <v>196.81125727678364</v>
      </c>
      <c r="G20" s="295">
        <f t="shared" si="14"/>
        <v>207.51903224520845</v>
      </c>
      <c r="H20" s="295">
        <f t="shared" si="15"/>
        <v>205010.78999999998</v>
      </c>
      <c r="I20" s="295">
        <f>+[2]Dailymar!BA19</f>
        <v>18362.89</v>
      </c>
      <c r="J20" s="295">
        <f t="shared" si="16"/>
        <v>347.07208739699098</v>
      </c>
      <c r="K20" s="295">
        <f t="shared" si="17"/>
        <v>365.95500019929051</v>
      </c>
      <c r="L20" s="295">
        <f t="shared" si="18"/>
        <v>155596.35317713904</v>
      </c>
      <c r="M20" s="295">
        <f>+[2]Dailymar!BB19</f>
        <v>11611.882220054664</v>
      </c>
      <c r="N20" s="295">
        <f t="shared" si="19"/>
        <v>219.47308951490632</v>
      </c>
      <c r="O20" s="487">
        <f t="shared" si="20"/>
        <v>231.41381123310344</v>
      </c>
      <c r="P20" s="295">
        <f t="shared" si="21"/>
        <v>0</v>
      </c>
      <c r="Q20" s="295"/>
      <c r="R20" s="295">
        <f t="shared" si="22"/>
        <v>0</v>
      </c>
      <c r="S20" s="390">
        <f t="shared" si="23"/>
        <v>0</v>
      </c>
      <c r="T20" s="295">
        <f t="shared" si="24"/>
        <v>129.99999999988177</v>
      </c>
      <c r="U20" s="295">
        <f>+[3]Dailymar!BC19</f>
        <v>9.9999999999909051</v>
      </c>
      <c r="V20" s="295">
        <f t="shared" si="25"/>
        <v>0.1890073334843673</v>
      </c>
      <c r="W20" s="390">
        <f t="shared" si="26"/>
        <v>0.19929052572822561</v>
      </c>
      <c r="X20" s="295">
        <f t="shared" si="27"/>
        <v>40397.662220054721</v>
      </c>
      <c r="Y20" s="7">
        <f t="shared" si="28"/>
        <v>763.54544152216522</v>
      </c>
      <c r="Z20" s="293">
        <f t="shared" si="29"/>
        <v>805.08713420333061</v>
      </c>
      <c r="AA20" s="295">
        <f>+[2]Dailymar!BO19</f>
        <v>24190.451000000001</v>
      </c>
      <c r="AB20" s="7">
        <f t="shared" si="30"/>
        <v>457.2172639298405</v>
      </c>
      <c r="AC20" s="6">
        <f t="shared" si="31"/>
        <v>482.09276973972663</v>
      </c>
      <c r="AD20" s="295"/>
      <c r="AE20" s="7">
        <f t="shared" si="32"/>
        <v>0</v>
      </c>
      <c r="AF20" s="6">
        <f t="shared" si="33"/>
        <v>0</v>
      </c>
      <c r="AJ20" s="358" t="s">
        <v>182</v>
      </c>
      <c r="AK20" s="358" t="s">
        <v>183</v>
      </c>
    </row>
    <row r="21" spans="1:37" ht="16.8">
      <c r="A21" s="287">
        <f>+Report1!A22</f>
        <v>46095</v>
      </c>
      <c r="B21" s="294">
        <f>+Report1!P22</f>
        <v>53.817000000000007</v>
      </c>
      <c r="C21" s="294">
        <f>+Report1!R22</f>
        <v>49.991</v>
      </c>
      <c r="D21" s="295">
        <f t="shared" si="12"/>
        <v>139743.09000000005</v>
      </c>
      <c r="E21" s="295">
        <f>+[2]Dailymar!AZ20</f>
        <v>11232.300000000021</v>
      </c>
      <c r="F21" s="295">
        <f t="shared" si="13"/>
        <v>208.7128602486207</v>
      </c>
      <c r="G21" s="295">
        <f t="shared" si="14"/>
        <v>224.68644355984119</v>
      </c>
      <c r="H21" s="295">
        <f t="shared" si="15"/>
        <v>224143.08999999997</v>
      </c>
      <c r="I21" s="295">
        <f>+[2]Dailymar!BA20</f>
        <v>19132.3</v>
      </c>
      <c r="J21" s="295">
        <f t="shared" si="16"/>
        <v>355.50662430087141</v>
      </c>
      <c r="K21" s="295">
        <f t="shared" si="17"/>
        <v>382.71488867996237</v>
      </c>
      <c r="L21" s="295">
        <f t="shared" si="18"/>
        <v>168432.00602568823</v>
      </c>
      <c r="M21" s="295">
        <f>+[2]Dailymar!BB20</f>
        <v>12835.652848549189</v>
      </c>
      <c r="N21" s="295">
        <f t="shared" si="19"/>
        <v>238.50554376032085</v>
      </c>
      <c r="O21" s="487">
        <f t="shared" si="20"/>
        <v>256.75927364023903</v>
      </c>
      <c r="P21" s="295">
        <f t="shared" si="21"/>
        <v>0</v>
      </c>
      <c r="Q21" s="295"/>
      <c r="R21" s="295">
        <f t="shared" si="22"/>
        <v>0</v>
      </c>
      <c r="S21" s="390">
        <f t="shared" si="23"/>
        <v>0</v>
      </c>
      <c r="T21" s="295">
        <f t="shared" si="24"/>
        <v>139.99999999987267</v>
      </c>
      <c r="U21" s="295">
        <f>+[3]Dailymar!BC20</f>
        <v>9.9999999999909051</v>
      </c>
      <c r="V21" s="295">
        <f t="shared" si="25"/>
        <v>0.18581489120521216</v>
      </c>
      <c r="W21" s="390">
        <f t="shared" si="26"/>
        <v>0.20003600648098468</v>
      </c>
      <c r="X21" s="295">
        <f t="shared" si="27"/>
        <v>43210.2528485492</v>
      </c>
      <c r="Y21" s="7">
        <f t="shared" si="28"/>
        <v>802.91084320101811</v>
      </c>
      <c r="Z21" s="293">
        <f t="shared" si="29"/>
        <v>864.36064188652358</v>
      </c>
      <c r="AA21" s="295">
        <f>+[2]Dailymar!BO20</f>
        <v>25840.000000000004</v>
      </c>
      <c r="AB21" s="7">
        <f t="shared" si="30"/>
        <v>480.14567887470503</v>
      </c>
      <c r="AC21" s="6">
        <f t="shared" si="31"/>
        <v>516.89304074733457</v>
      </c>
      <c r="AD21" s="295"/>
      <c r="AE21" s="7">
        <f t="shared" si="32"/>
        <v>0</v>
      </c>
      <c r="AF21" s="6">
        <f t="shared" si="33"/>
        <v>0</v>
      </c>
      <c r="AJ21" s="358" t="s">
        <v>182</v>
      </c>
      <c r="AK21" s="358" t="s">
        <v>183</v>
      </c>
    </row>
    <row r="22" spans="1:37" ht="16.8">
      <c r="A22" s="287">
        <f>+Report1!A23</f>
        <v>46096</v>
      </c>
      <c r="B22" s="294">
        <f>+Report1!P23</f>
        <v>49.988999999999997</v>
      </c>
      <c r="C22" s="294">
        <f>+Report1!R23</f>
        <v>49.429000000000002</v>
      </c>
      <c r="D22" s="295">
        <f t="shared" si="12"/>
        <v>149934.94</v>
      </c>
      <c r="E22" s="295">
        <f>+[2]Dailymar!AZ21</f>
        <v>10191.849999999955</v>
      </c>
      <c r="F22" s="295">
        <f t="shared" si="13"/>
        <v>203.88185400788083</v>
      </c>
      <c r="G22" s="295">
        <f t="shared" si="14"/>
        <v>206.19170932043849</v>
      </c>
      <c r="H22" s="295">
        <f t="shared" si="15"/>
        <v>243284.93999999997</v>
      </c>
      <c r="I22" s="295">
        <f>+[2]Dailymar!BA21</f>
        <v>19141.849999999999</v>
      </c>
      <c r="J22" s="295">
        <f t="shared" si="16"/>
        <v>382.92124267338812</v>
      </c>
      <c r="K22" s="295">
        <f t="shared" si="17"/>
        <v>387.25950353031618</v>
      </c>
      <c r="L22" s="295">
        <f t="shared" si="18"/>
        <v>180061.95611338736</v>
      </c>
      <c r="M22" s="295">
        <f>+[2]Dailymar!BB21</f>
        <v>11629.950087699148</v>
      </c>
      <c r="N22" s="295">
        <f t="shared" si="19"/>
        <v>232.65018479463779</v>
      </c>
      <c r="O22" s="487">
        <f t="shared" si="20"/>
        <v>235.28596750286567</v>
      </c>
      <c r="P22" s="295">
        <f t="shared" si="21"/>
        <v>0</v>
      </c>
      <c r="Q22" s="295"/>
      <c r="R22" s="295">
        <f t="shared" si="22"/>
        <v>0</v>
      </c>
      <c r="S22" s="390">
        <f t="shared" si="23"/>
        <v>0</v>
      </c>
      <c r="T22" s="295">
        <f t="shared" si="24"/>
        <v>149.99999999986358</v>
      </c>
      <c r="U22" s="295">
        <f>+[3]Dailymar!BC21</f>
        <v>9.9999999999909051</v>
      </c>
      <c r="V22" s="295">
        <f t="shared" si="25"/>
        <v>0.20004400968194813</v>
      </c>
      <c r="W22" s="390">
        <f t="shared" si="26"/>
        <v>0.2023103845918571</v>
      </c>
      <c r="X22" s="295">
        <f t="shared" si="27"/>
        <v>40973.650087699098</v>
      </c>
      <c r="Y22" s="7">
        <f t="shared" si="28"/>
        <v>819.65332548558888</v>
      </c>
      <c r="Z22" s="293">
        <f t="shared" si="29"/>
        <v>828.93949073821227</v>
      </c>
      <c r="AA22" s="295">
        <f>+[2]Dailymar!BO21</f>
        <v>23723.600000000002</v>
      </c>
      <c r="AB22" s="7">
        <f t="shared" si="30"/>
        <v>474.57640680949817</v>
      </c>
      <c r="AC22" s="6">
        <f t="shared" si="31"/>
        <v>479.95306399077469</v>
      </c>
      <c r="AD22" s="295"/>
      <c r="AE22" s="7">
        <f t="shared" si="32"/>
        <v>0</v>
      </c>
      <c r="AF22" s="6">
        <f t="shared" si="33"/>
        <v>0</v>
      </c>
      <c r="AJ22" s="358" t="s">
        <v>182</v>
      </c>
      <c r="AK22" s="358" t="s">
        <v>183</v>
      </c>
    </row>
    <row r="23" spans="1:37" ht="16.8">
      <c r="A23" s="287">
        <f>+Report1!A24</f>
        <v>46097</v>
      </c>
      <c r="B23" s="294">
        <f>+Report1!P24</f>
        <v>49.835000000000008</v>
      </c>
      <c r="C23" s="294">
        <f>+Report1!R24</f>
        <v>50.436</v>
      </c>
      <c r="D23" s="295">
        <f t="shared" si="12"/>
        <v>160258.34000000003</v>
      </c>
      <c r="E23" s="295">
        <f>+[2]Dailymar!AZ22</f>
        <v>10323.400000000023</v>
      </c>
      <c r="F23" s="295">
        <f t="shared" si="13"/>
        <v>207.15160028092748</v>
      </c>
      <c r="G23" s="295">
        <f t="shared" si="14"/>
        <v>204.68316282020825</v>
      </c>
      <c r="H23" s="295">
        <f t="shared" si="15"/>
        <v>261508.33999999997</v>
      </c>
      <c r="I23" s="295">
        <f>+[2]Dailymar!BA22</f>
        <v>18223.400000000001</v>
      </c>
      <c r="J23" s="295">
        <f t="shared" si="16"/>
        <v>365.67472659777263</v>
      </c>
      <c r="K23" s="295">
        <f t="shared" si="17"/>
        <v>361.31731303037515</v>
      </c>
      <c r="L23" s="295">
        <f t="shared" si="18"/>
        <v>191235.46935316164</v>
      </c>
      <c r="M23" s="295">
        <f>+[2]Dailymar!BB22</f>
        <v>11173.51323977426</v>
      </c>
      <c r="N23" s="295">
        <f t="shared" si="19"/>
        <v>224.21015831793434</v>
      </c>
      <c r="O23" s="487">
        <f t="shared" si="20"/>
        <v>221.53844951570824</v>
      </c>
      <c r="P23" s="295">
        <f t="shared" si="21"/>
        <v>0</v>
      </c>
      <c r="Q23" s="295"/>
      <c r="R23" s="295">
        <f t="shared" si="22"/>
        <v>0</v>
      </c>
      <c r="S23" s="390">
        <f t="shared" si="23"/>
        <v>0</v>
      </c>
      <c r="T23" s="295">
        <f t="shared" si="24"/>
        <v>159.99999999985448</v>
      </c>
      <c r="U23" s="295">
        <f>+[3]Dailymar!BC22</f>
        <v>9.9999999999909051</v>
      </c>
      <c r="V23" s="295">
        <f t="shared" si="25"/>
        <v>0.20066218521101442</v>
      </c>
      <c r="W23" s="390">
        <f t="shared" si="26"/>
        <v>0.19827107621522136</v>
      </c>
      <c r="X23" s="295">
        <f t="shared" si="27"/>
        <v>39730.313239774281</v>
      </c>
      <c r="Y23" s="7">
        <f t="shared" si="28"/>
        <v>797.2371473818456</v>
      </c>
      <c r="Z23" s="293">
        <f t="shared" si="29"/>
        <v>787.73719644250696</v>
      </c>
      <c r="AA23" s="295">
        <f>+[2]Dailymar!BO22</f>
        <v>20391.000000000004</v>
      </c>
      <c r="AB23" s="7">
        <f t="shared" si="30"/>
        <v>409.17026186415171</v>
      </c>
      <c r="AC23" s="6">
        <f t="shared" si="31"/>
        <v>404.29455151082567</v>
      </c>
      <c r="AD23" s="295"/>
      <c r="AE23" s="7">
        <f t="shared" si="32"/>
        <v>0</v>
      </c>
      <c r="AF23" s="6">
        <f t="shared" si="33"/>
        <v>0</v>
      </c>
      <c r="AJ23" s="358" t="s">
        <v>182</v>
      </c>
      <c r="AK23" s="358" t="s">
        <v>183</v>
      </c>
    </row>
    <row r="24" spans="1:37" ht="16.8">
      <c r="A24" s="287">
        <f>+Report1!A25</f>
        <v>46098</v>
      </c>
      <c r="B24" s="294">
        <f>+Report1!P25</f>
        <v>49.497999999999998</v>
      </c>
      <c r="C24" s="294">
        <f>+Report1!R25</f>
        <v>52.076999999999998</v>
      </c>
      <c r="D24" s="295">
        <f t="shared" si="12"/>
        <v>171842.37</v>
      </c>
      <c r="E24" s="295">
        <f>+[2]Dailymar!AZ23</f>
        <v>11584.029999999977</v>
      </c>
      <c r="F24" s="295">
        <f t="shared" si="13"/>
        <v>234.03026384904396</v>
      </c>
      <c r="G24" s="295">
        <f t="shared" si="14"/>
        <v>222.44042475564984</v>
      </c>
      <c r="H24" s="295">
        <f t="shared" si="15"/>
        <v>279192.37</v>
      </c>
      <c r="I24" s="295">
        <f>+[2]Dailymar!BA23</f>
        <v>17684.03</v>
      </c>
      <c r="J24" s="295">
        <f t="shared" si="16"/>
        <v>357.26756636631785</v>
      </c>
      <c r="K24" s="295">
        <f t="shared" si="17"/>
        <v>339.57466827966277</v>
      </c>
      <c r="L24" s="295">
        <f t="shared" si="18"/>
        <v>204757.73869719327</v>
      </c>
      <c r="M24" s="295">
        <f>+[2]Dailymar!BB23</f>
        <v>13522.269344031638</v>
      </c>
      <c r="N24" s="295">
        <f t="shared" si="19"/>
        <v>273.18819637220975</v>
      </c>
      <c r="O24" s="487">
        <f t="shared" si="20"/>
        <v>259.65914595755589</v>
      </c>
      <c r="P24" s="295">
        <f t="shared" si="21"/>
        <v>0</v>
      </c>
      <c r="Q24" s="295"/>
      <c r="R24" s="295">
        <f t="shared" si="22"/>
        <v>0</v>
      </c>
      <c r="S24" s="390">
        <f t="shared" si="23"/>
        <v>0</v>
      </c>
      <c r="T24" s="295">
        <f t="shared" si="24"/>
        <v>169.99999999984539</v>
      </c>
      <c r="U24" s="295">
        <f>+[3]Dailymar!BC23</f>
        <v>9.9999999999909051</v>
      </c>
      <c r="V24" s="295">
        <f t="shared" si="25"/>
        <v>0.20202836478223171</v>
      </c>
      <c r="W24" s="390">
        <f t="shared" si="26"/>
        <v>0.19202335003919016</v>
      </c>
      <c r="X24" s="295">
        <f t="shared" si="27"/>
        <v>42800.329344031605</v>
      </c>
      <c r="Y24" s="7">
        <f t="shared" si="28"/>
        <v>864.68805495235381</v>
      </c>
      <c r="Z24" s="293">
        <f t="shared" si="29"/>
        <v>821.8662623429077</v>
      </c>
      <c r="AA24" s="295">
        <f>+[2]Dailymar!BO23</f>
        <v>21455.651000000016</v>
      </c>
      <c r="AB24" s="7">
        <f t="shared" si="30"/>
        <v>433.46500868722001</v>
      </c>
      <c r="AC24" s="6">
        <f t="shared" si="31"/>
        <v>411.99859822954505</v>
      </c>
      <c r="AD24" s="295"/>
      <c r="AE24" s="7">
        <f t="shared" si="32"/>
        <v>0</v>
      </c>
      <c r="AF24" s="6">
        <f t="shared" si="33"/>
        <v>0</v>
      </c>
      <c r="AJ24" s="358" t="s">
        <v>182</v>
      </c>
      <c r="AK24" s="358" t="s">
        <v>183</v>
      </c>
    </row>
    <row r="25" spans="1:37" ht="16.8">
      <c r="A25" s="287">
        <f>+Report1!A26</f>
        <v>46099</v>
      </c>
      <c r="B25" s="294">
        <f>+Report1!P26</f>
        <v>56.817999999999998</v>
      </c>
      <c r="C25" s="294">
        <f>+Report1!R26</f>
        <v>59.319000000000003</v>
      </c>
      <c r="D25" s="295">
        <f t="shared" si="12"/>
        <v>181818.01000000004</v>
      </c>
      <c r="E25" s="295">
        <f>+[2]Dailymar!AZ24</f>
        <v>9975.6400000000449</v>
      </c>
      <c r="F25" s="295">
        <f t="shared" si="13"/>
        <v>175.57182582984345</v>
      </c>
      <c r="G25" s="295">
        <f t="shared" si="14"/>
        <v>168.16938923447873</v>
      </c>
      <c r="H25" s="295">
        <f t="shared" si="15"/>
        <v>291218.01</v>
      </c>
      <c r="I25" s="295">
        <f>+[2]Dailymar!BA24</f>
        <v>12025.64</v>
      </c>
      <c r="J25" s="295">
        <f t="shared" si="16"/>
        <v>211.65194128621212</v>
      </c>
      <c r="K25" s="295">
        <f t="shared" si="17"/>
        <v>202.72829953303324</v>
      </c>
      <c r="L25" s="295">
        <f t="shared" si="18"/>
        <v>220209.01869719473</v>
      </c>
      <c r="M25" s="295">
        <f>+[2]Dailymar!BB24</f>
        <v>15451.280000001454</v>
      </c>
      <c r="N25" s="295">
        <f t="shared" si="19"/>
        <v>271.94339821889992</v>
      </c>
      <c r="O25" s="487">
        <f t="shared" si="20"/>
        <v>260.47775586239572</v>
      </c>
      <c r="P25" s="295">
        <f t="shared" si="21"/>
        <v>0</v>
      </c>
      <c r="Q25" s="295"/>
      <c r="R25" s="295">
        <f t="shared" si="22"/>
        <v>0</v>
      </c>
      <c r="S25" s="390">
        <f t="shared" si="23"/>
        <v>0</v>
      </c>
      <c r="T25" s="295">
        <f t="shared" si="24"/>
        <v>179.99999999983629</v>
      </c>
      <c r="U25" s="295">
        <f>+[3]Dailymar!BC24</f>
        <v>9.9999999999909051</v>
      </c>
      <c r="V25" s="295">
        <f t="shared" si="25"/>
        <v>0.17600056320164217</v>
      </c>
      <c r="W25" s="390">
        <f t="shared" si="26"/>
        <v>0.16858005023670164</v>
      </c>
      <c r="X25" s="295">
        <f t="shared" si="27"/>
        <v>37462.560000001489</v>
      </c>
      <c r="Y25" s="7">
        <f t="shared" si="28"/>
        <v>659.34316589815705</v>
      </c>
      <c r="Z25" s="293">
        <f t="shared" si="29"/>
        <v>631.54402468014439</v>
      </c>
      <c r="AA25" s="295">
        <f>+[2]Dailymar!BO24</f>
        <v>22982.945999999985</v>
      </c>
      <c r="AB25" s="7">
        <f t="shared" si="30"/>
        <v>404.50114400366056</v>
      </c>
      <c r="AC25" s="6">
        <f t="shared" si="31"/>
        <v>387.44661912709222</v>
      </c>
      <c r="AD25" s="295"/>
      <c r="AE25" s="7">
        <f t="shared" si="32"/>
        <v>0</v>
      </c>
      <c r="AF25" s="6">
        <f t="shared" si="33"/>
        <v>0</v>
      </c>
      <c r="AJ25" s="358" t="s">
        <v>182</v>
      </c>
      <c r="AK25" s="358" t="s">
        <v>183</v>
      </c>
    </row>
    <row r="26" spans="1:37" ht="16.8">
      <c r="A26" s="287">
        <f>+Report1!A27</f>
        <v>46100</v>
      </c>
      <c r="B26" s="294">
        <f>+Report1!P27</f>
        <v>60.469000000000001</v>
      </c>
      <c r="C26" s="294">
        <f>+Report1!R27</f>
        <v>57.947000000000003</v>
      </c>
      <c r="D26" s="295">
        <f t="shared" si="12"/>
        <v>191170.59000000003</v>
      </c>
      <c r="E26" s="295">
        <f>+[2]Dailymar!AZ25</f>
        <v>9352.5799999999763</v>
      </c>
      <c r="F26" s="295">
        <f t="shared" si="13"/>
        <v>154.6673502125052</v>
      </c>
      <c r="G26" s="295">
        <f t="shared" si="14"/>
        <v>161.39886447961027</v>
      </c>
      <c r="H26" s="295">
        <f t="shared" si="15"/>
        <v>303670.59000000003</v>
      </c>
      <c r="I26" s="295">
        <f>+[2]Dailymar!BA25</f>
        <v>12452.58</v>
      </c>
      <c r="J26" s="295">
        <f t="shared" si="16"/>
        <v>205.9332881311085</v>
      </c>
      <c r="K26" s="295">
        <f t="shared" si="17"/>
        <v>214.89602567863736</v>
      </c>
      <c r="L26" s="295">
        <f t="shared" si="18"/>
        <v>234214.17869719327</v>
      </c>
      <c r="M26" s="295">
        <f>+[2]Dailymar!BB25</f>
        <v>14005.159999998545</v>
      </c>
      <c r="N26" s="295">
        <f t="shared" si="19"/>
        <v>231.60892358065362</v>
      </c>
      <c r="O26" s="487">
        <f t="shared" si="20"/>
        <v>241.68912972196222</v>
      </c>
      <c r="P26" s="295">
        <f t="shared" si="21"/>
        <v>0</v>
      </c>
      <c r="Q26" s="295"/>
      <c r="R26" s="295">
        <f t="shared" si="22"/>
        <v>0</v>
      </c>
      <c r="S26" s="390">
        <f t="shared" si="23"/>
        <v>0</v>
      </c>
      <c r="T26" s="295">
        <f t="shared" si="24"/>
        <v>189.9999999998272</v>
      </c>
      <c r="U26" s="295">
        <f>+[3]Dailymar!BC25</f>
        <v>9.9999999999909051</v>
      </c>
      <c r="V26" s="295">
        <f t="shared" si="25"/>
        <v>0.16537399328566546</v>
      </c>
      <c r="W26" s="390">
        <f t="shared" si="26"/>
        <v>0.17257148773863884</v>
      </c>
      <c r="X26" s="295">
        <f t="shared" si="27"/>
        <v>35820.319999998515</v>
      </c>
      <c r="Y26" s="7">
        <f t="shared" si="28"/>
        <v>592.37493591755299</v>
      </c>
      <c r="Z26" s="293">
        <f t="shared" si="29"/>
        <v>618.15659136794852</v>
      </c>
      <c r="AA26" s="295">
        <f>+[2]Dailymar!BO25</f>
        <v>28270.912000000011</v>
      </c>
      <c r="AB26" s="7">
        <f t="shared" si="30"/>
        <v>467.52736112718929</v>
      </c>
      <c r="AC26" s="6">
        <f t="shared" si="31"/>
        <v>487.87533435725766</v>
      </c>
      <c r="AD26" s="295"/>
      <c r="AE26" s="7">
        <f t="shared" si="32"/>
        <v>0</v>
      </c>
      <c r="AF26" s="6">
        <f t="shared" si="33"/>
        <v>0</v>
      </c>
      <c r="AJ26" s="358" t="s">
        <v>182</v>
      </c>
      <c r="AK26" s="358" t="s">
        <v>183</v>
      </c>
    </row>
    <row r="27" spans="1:37" ht="16.8">
      <c r="A27" s="287">
        <f>+Report1!A28</f>
        <v>46101</v>
      </c>
      <c r="B27" s="294">
        <f>+Report1!P28</f>
        <v>56.71</v>
      </c>
      <c r="C27" s="294">
        <f>+Report1!R28</f>
        <v>56.204000000000001</v>
      </c>
      <c r="D27" s="295">
        <f t="shared" si="12"/>
        <v>201798.08000000005</v>
      </c>
      <c r="E27" s="295">
        <f>+[2]Dailymar!AZ26</f>
        <v>10627.490000000023</v>
      </c>
      <c r="F27" s="295">
        <f t="shared" si="13"/>
        <v>187.40063480867613</v>
      </c>
      <c r="G27" s="295">
        <f t="shared" si="14"/>
        <v>189.08778734609677</v>
      </c>
      <c r="H27" s="295">
        <f t="shared" si="15"/>
        <v>316198.08</v>
      </c>
      <c r="I27" s="295">
        <f>+[2]Dailymar!BA26</f>
        <v>12527.49</v>
      </c>
      <c r="J27" s="295">
        <f t="shared" si="16"/>
        <v>220.90442602715569</v>
      </c>
      <c r="K27" s="295">
        <f t="shared" si="17"/>
        <v>222.89321044765495</v>
      </c>
      <c r="L27" s="295">
        <f t="shared" si="18"/>
        <v>249289.15869719372</v>
      </c>
      <c r="M27" s="295">
        <f>+[2]Dailymar!BB26</f>
        <v>15074.980000000436</v>
      </c>
      <c r="N27" s="295">
        <f t="shared" si="19"/>
        <v>265.82578028567161</v>
      </c>
      <c r="O27" s="487">
        <f t="shared" si="20"/>
        <v>268.21898797239407</v>
      </c>
      <c r="P27" s="295">
        <f t="shared" si="21"/>
        <v>0</v>
      </c>
      <c r="Q27" s="295"/>
      <c r="R27" s="295">
        <f t="shared" si="22"/>
        <v>0</v>
      </c>
      <c r="S27" s="390">
        <f t="shared" si="23"/>
        <v>0</v>
      </c>
      <c r="T27" s="295">
        <f t="shared" si="24"/>
        <v>199.9999999998181</v>
      </c>
      <c r="U27" s="295">
        <f>+[3]Dailymar!BC26</f>
        <v>9.9999999999909051</v>
      </c>
      <c r="V27" s="295">
        <f t="shared" si="25"/>
        <v>0.17633574325499743</v>
      </c>
      <c r="W27" s="390">
        <f t="shared" si="26"/>
        <v>0.17792327948172559</v>
      </c>
      <c r="X27" s="295">
        <f t="shared" si="27"/>
        <v>38239.96000000045</v>
      </c>
      <c r="Y27" s="7">
        <f t="shared" si="28"/>
        <v>674.30717686475839</v>
      </c>
      <c r="Z27" s="293">
        <f t="shared" si="29"/>
        <v>680.37790904562758</v>
      </c>
      <c r="AA27" s="295">
        <f>+[2]Dailymar!BO26</f>
        <v>27003.445000000018</v>
      </c>
      <c r="AB27" s="7">
        <f t="shared" si="30"/>
        <v>476.16725445247783</v>
      </c>
      <c r="AC27" s="6">
        <f t="shared" si="31"/>
        <v>480.45414917087783</v>
      </c>
      <c r="AD27" s="295"/>
      <c r="AE27" s="7">
        <f t="shared" si="32"/>
        <v>0</v>
      </c>
      <c r="AF27" s="6">
        <f t="shared" si="33"/>
        <v>0</v>
      </c>
      <c r="AJ27" s="358" t="s">
        <v>182</v>
      </c>
      <c r="AK27" s="358" t="s">
        <v>183</v>
      </c>
    </row>
    <row r="28" spans="1:37" ht="16.8">
      <c r="A28" s="287">
        <f>+Report1!A29</f>
        <v>46102</v>
      </c>
      <c r="B28" s="294">
        <f>+Report1!P29</f>
        <v>60.215000000000003</v>
      </c>
      <c r="C28" s="294">
        <f>+Report1!R29</f>
        <v>57.914000000000001</v>
      </c>
      <c r="D28" s="295">
        <f t="shared" si="12"/>
        <v>212881.34999999998</v>
      </c>
      <c r="E28" s="295">
        <f>+[2]Dailymar!AZ27</f>
        <v>11083.269999999931</v>
      </c>
      <c r="F28" s="295">
        <f t="shared" si="13"/>
        <v>184.06161255501007</v>
      </c>
      <c r="G28" s="295">
        <f t="shared" si="14"/>
        <v>191.37462444313863</v>
      </c>
      <c r="H28" s="295">
        <f t="shared" si="15"/>
        <v>330331.35000000003</v>
      </c>
      <c r="I28" s="295">
        <f>+[2]Dailymar!BA27</f>
        <v>14133.27</v>
      </c>
      <c r="J28" s="295">
        <f t="shared" si="16"/>
        <v>234.71344349414596</v>
      </c>
      <c r="K28" s="295">
        <f t="shared" si="17"/>
        <v>244.03891977760128</v>
      </c>
      <c r="L28" s="295">
        <f t="shared" si="18"/>
        <v>259585.69869719257</v>
      </c>
      <c r="M28" s="295">
        <f>+[2]Dailymar!BB27</f>
        <v>10296.539999998837</v>
      </c>
      <c r="N28" s="295">
        <f t="shared" si="19"/>
        <v>170.99626338950156</v>
      </c>
      <c r="O28" s="487">
        <f t="shared" si="20"/>
        <v>177.79017163378174</v>
      </c>
      <c r="P28" s="295">
        <f t="shared" si="21"/>
        <v>0</v>
      </c>
      <c r="Q28" s="295"/>
      <c r="R28" s="295">
        <f t="shared" si="22"/>
        <v>0</v>
      </c>
      <c r="S28" s="390">
        <f t="shared" si="23"/>
        <v>0</v>
      </c>
      <c r="T28" s="295">
        <f t="shared" si="24"/>
        <v>209.99999999980901</v>
      </c>
      <c r="U28" s="295">
        <f>+[3]Dailymar!BC27</f>
        <v>9.9999999999909051</v>
      </c>
      <c r="V28" s="295">
        <f t="shared" si="25"/>
        <v>0.16607157684947113</v>
      </c>
      <c r="W28" s="390">
        <f t="shared" si="26"/>
        <v>0.17266982076856899</v>
      </c>
      <c r="X28" s="295">
        <f t="shared" si="27"/>
        <v>35523.079999998758</v>
      </c>
      <c r="Y28" s="7">
        <f t="shared" si="28"/>
        <v>589.93739101550705</v>
      </c>
      <c r="Z28" s="293">
        <f t="shared" si="29"/>
        <v>613.37638567529018</v>
      </c>
      <c r="AA28" s="295">
        <f>+[2]Dailymar!BO27</f>
        <v>29083.554999999989</v>
      </c>
      <c r="AB28" s="7">
        <f t="shared" si="30"/>
        <v>482.99518392427115</v>
      </c>
      <c r="AC28" s="6">
        <f t="shared" si="31"/>
        <v>502.18522291673844</v>
      </c>
      <c r="AD28" s="295"/>
      <c r="AE28" s="7">
        <f t="shared" si="32"/>
        <v>0</v>
      </c>
      <c r="AF28" s="6">
        <f t="shared" si="33"/>
        <v>0</v>
      </c>
      <c r="AJ28" s="358" t="s">
        <v>182</v>
      </c>
      <c r="AK28" s="358" t="s">
        <v>183</v>
      </c>
    </row>
    <row r="29" spans="1:37" ht="16.8">
      <c r="A29" s="287">
        <f>+Report1!A30</f>
        <v>46103</v>
      </c>
      <c r="B29" s="294">
        <f>+Report1!P30</f>
        <v>54.510999999999996</v>
      </c>
      <c r="C29" s="294">
        <f>+Report1!R30</f>
        <v>54.481999999999999</v>
      </c>
      <c r="D29" s="295">
        <f t="shared" si="12"/>
        <v>222241.50000000003</v>
      </c>
      <c r="E29" s="295">
        <f>+[2]Dailymar!AZ28</f>
        <v>9360.1500000000451</v>
      </c>
      <c r="F29" s="295">
        <f t="shared" si="13"/>
        <v>171.71121425033564</v>
      </c>
      <c r="G29" s="295">
        <f t="shared" si="14"/>
        <v>171.8026137072803</v>
      </c>
      <c r="H29" s="295">
        <f t="shared" si="15"/>
        <v>342741.50000000006</v>
      </c>
      <c r="I29" s="295">
        <f>+[2]Dailymar!BA28</f>
        <v>12410.15</v>
      </c>
      <c r="J29" s="295">
        <f t="shared" si="16"/>
        <v>227.66322393645319</v>
      </c>
      <c r="K29" s="295">
        <f t="shared" si="17"/>
        <v>227.78440585881575</v>
      </c>
      <c r="L29" s="295">
        <f t="shared" si="18"/>
        <v>274995.9986971927</v>
      </c>
      <c r="M29" s="295">
        <f>+[2]Dailymar!BB28</f>
        <v>15410.300000000145</v>
      </c>
      <c r="N29" s="295">
        <f t="shared" si="19"/>
        <v>282.70073930032737</v>
      </c>
      <c r="O29" s="487">
        <f t="shared" si="20"/>
        <v>282.85121691568122</v>
      </c>
      <c r="P29" s="295">
        <f t="shared" si="21"/>
        <v>0</v>
      </c>
      <c r="Q29" s="295"/>
      <c r="R29" s="295">
        <f t="shared" si="22"/>
        <v>0</v>
      </c>
      <c r="S29" s="390">
        <f t="shared" si="23"/>
        <v>0</v>
      </c>
      <c r="T29" s="295">
        <f t="shared" si="24"/>
        <v>219.99999999979991</v>
      </c>
      <c r="U29" s="295">
        <f>+[3]Dailymar!BC28</f>
        <v>9.9999999999909051</v>
      </c>
      <c r="V29" s="295">
        <f t="shared" si="25"/>
        <v>0.18344921208546727</v>
      </c>
      <c r="W29" s="390">
        <f t="shared" si="26"/>
        <v>0.18354685951306679</v>
      </c>
      <c r="X29" s="295">
        <f t="shared" si="27"/>
        <v>37190.600000000188</v>
      </c>
      <c r="Y29" s="7">
        <f t="shared" si="28"/>
        <v>682.25862669920184</v>
      </c>
      <c r="Z29" s="293">
        <f t="shared" si="29"/>
        <v>682.62178334129044</v>
      </c>
      <c r="AA29" s="295">
        <f>+[2]Dailymar!BO28</f>
        <v>26157.246999999632</v>
      </c>
      <c r="AB29" s="7">
        <f t="shared" si="30"/>
        <v>479.85263524792492</v>
      </c>
      <c r="AC29" s="6">
        <f t="shared" si="31"/>
        <v>480.10805403618872</v>
      </c>
      <c r="AD29" s="295"/>
      <c r="AE29" s="7">
        <f t="shared" si="32"/>
        <v>0</v>
      </c>
      <c r="AF29" s="6">
        <f t="shared" si="33"/>
        <v>0</v>
      </c>
      <c r="AJ29" s="358" t="s">
        <v>182</v>
      </c>
      <c r="AK29" s="358" t="s">
        <v>183</v>
      </c>
    </row>
    <row r="30" spans="1:37" ht="16.8">
      <c r="A30" s="287">
        <f>+Report1!A31</f>
        <v>46104</v>
      </c>
      <c r="B30" s="294">
        <f>+Report1!P31</f>
        <v>52.420999999999999</v>
      </c>
      <c r="C30" s="294">
        <f>+Report1!R31</f>
        <v>45.463999999999999</v>
      </c>
      <c r="D30" s="295">
        <f t="shared" si="12"/>
        <v>232538.51</v>
      </c>
      <c r="E30" s="295">
        <f>+[2]Dailymar!AZ29</f>
        <v>10297.009999999977</v>
      </c>
      <c r="F30" s="295">
        <f t="shared" si="13"/>
        <v>196.42910284046425</v>
      </c>
      <c r="G30" s="295">
        <f t="shared" si="14"/>
        <v>226.48711068097785</v>
      </c>
      <c r="H30" s="295">
        <f t="shared" si="15"/>
        <v>361138.51000000007</v>
      </c>
      <c r="I30" s="295">
        <f>+[2]Dailymar!BA29</f>
        <v>18397.009999999998</v>
      </c>
      <c r="J30" s="295">
        <f t="shared" si="16"/>
        <v>350.94733026840385</v>
      </c>
      <c r="K30" s="295">
        <f t="shared" si="17"/>
        <v>404.65005278901987</v>
      </c>
      <c r="L30" s="295">
        <f t="shared" si="18"/>
        <v>287810.01869719313</v>
      </c>
      <c r="M30" s="295">
        <f>+[2]Dailymar!BB29</f>
        <v>12814.020000000437</v>
      </c>
      <c r="N30" s="295">
        <f t="shared" si="19"/>
        <v>244.44440205262083</v>
      </c>
      <c r="O30" s="487">
        <f t="shared" si="20"/>
        <v>281.84981523844004</v>
      </c>
      <c r="P30" s="295">
        <f t="shared" si="21"/>
        <v>0</v>
      </c>
      <c r="Q30" s="295"/>
      <c r="R30" s="295">
        <f t="shared" si="22"/>
        <v>0</v>
      </c>
      <c r="S30" s="390">
        <f t="shared" si="23"/>
        <v>0</v>
      </c>
      <c r="T30" s="295">
        <f t="shared" si="24"/>
        <v>230.00000000001819</v>
      </c>
      <c r="U30" s="295">
        <f>+[3]Dailymar!BC29</f>
        <v>10.000000000218279</v>
      </c>
      <c r="V30" s="295">
        <f t="shared" si="25"/>
        <v>0.19076324374236048</v>
      </c>
      <c r="W30" s="390">
        <f t="shared" si="26"/>
        <v>0.21995424952090178</v>
      </c>
      <c r="X30" s="295">
        <f t="shared" si="27"/>
        <v>41518.040000000634</v>
      </c>
      <c r="Y30" s="7">
        <f t="shared" si="28"/>
        <v>792.01159840523144</v>
      </c>
      <c r="Z30" s="293">
        <f t="shared" si="29"/>
        <v>913.20693295795877</v>
      </c>
      <c r="AA30" s="295">
        <f>+[2]Dailymar!BO29</f>
        <v>18237.1580000002</v>
      </c>
      <c r="AB30" s="7">
        <f t="shared" si="30"/>
        <v>347.89794166460388</v>
      </c>
      <c r="AC30" s="6">
        <f t="shared" si="31"/>
        <v>401.13404011965952</v>
      </c>
      <c r="AD30" s="295"/>
      <c r="AE30" s="7">
        <f t="shared" si="32"/>
        <v>0</v>
      </c>
      <c r="AF30" s="6">
        <f t="shared" si="33"/>
        <v>0</v>
      </c>
      <c r="AJ30" s="358" t="s">
        <v>182</v>
      </c>
      <c r="AK30" s="358" t="s">
        <v>183</v>
      </c>
    </row>
    <row r="31" spans="1:37" ht="16.8">
      <c r="A31" s="287">
        <f>+Report1!A32</f>
        <v>46105</v>
      </c>
      <c r="B31" s="294">
        <f>+Report1!P32</f>
        <v>50.03</v>
      </c>
      <c r="C31" s="294">
        <f>+Report1!R32</f>
        <v>50.433</v>
      </c>
      <c r="D31" s="295">
        <f t="shared" si="12"/>
        <v>244222.34</v>
      </c>
      <c r="E31" s="295">
        <f>+[2]Dailymar!AZ30</f>
        <v>11683.83</v>
      </c>
      <c r="F31" s="295">
        <f t="shared" si="13"/>
        <v>233.53647811313212</v>
      </c>
      <c r="G31" s="295">
        <f t="shared" si="14"/>
        <v>231.67033489976802</v>
      </c>
      <c r="H31" s="295">
        <f t="shared" si="15"/>
        <v>378822.34000000008</v>
      </c>
      <c r="I31" s="295">
        <f>+[2]Dailymar!BA30</f>
        <v>17683.830000000002</v>
      </c>
      <c r="J31" s="295">
        <f t="shared" si="16"/>
        <v>353.46452128722768</v>
      </c>
      <c r="K31" s="295">
        <f t="shared" si="17"/>
        <v>350.64005710546667</v>
      </c>
      <c r="L31" s="295">
        <f t="shared" si="18"/>
        <v>301258.7186971932</v>
      </c>
      <c r="M31" s="295">
        <f>+[2]Dailymar!BB30</f>
        <v>13448.700000000081</v>
      </c>
      <c r="N31" s="295">
        <f t="shared" si="19"/>
        <v>268.81271237257806</v>
      </c>
      <c r="O31" s="487">
        <f t="shared" si="20"/>
        <v>266.66468383796484</v>
      </c>
      <c r="P31" s="295">
        <f t="shared" si="21"/>
        <v>0</v>
      </c>
      <c r="Q31" s="295"/>
      <c r="R31" s="295">
        <f t="shared" si="22"/>
        <v>0</v>
      </c>
      <c r="S31" s="390">
        <f t="shared" si="23"/>
        <v>0</v>
      </c>
      <c r="T31" s="295">
        <f t="shared" si="24"/>
        <v>240.00000000000909</v>
      </c>
      <c r="U31" s="295">
        <f>+[3]Dailymar!BC30</f>
        <v>9.9999999999909051</v>
      </c>
      <c r="V31" s="295">
        <f t="shared" si="25"/>
        <v>0.19988007195664412</v>
      </c>
      <c r="W31" s="390">
        <f t="shared" si="26"/>
        <v>0.19828287034265074</v>
      </c>
      <c r="X31" s="295">
        <f t="shared" si="27"/>
        <v>42826.360000000081</v>
      </c>
      <c r="Y31" s="7">
        <f t="shared" si="28"/>
        <v>856.01359184489468</v>
      </c>
      <c r="Z31" s="293">
        <f t="shared" si="29"/>
        <v>849.17335871354237</v>
      </c>
      <c r="AA31" s="295">
        <f>+[2]Dailymar!BO30</f>
        <v>20513.79800000001</v>
      </c>
      <c r="AB31" s="7">
        <f t="shared" si="30"/>
        <v>410.02994203477931</v>
      </c>
      <c r="AC31" s="6">
        <f t="shared" si="31"/>
        <v>406.75347490730297</v>
      </c>
      <c r="AD31" s="295"/>
      <c r="AE31" s="7">
        <f t="shared" si="32"/>
        <v>0</v>
      </c>
      <c r="AF31" s="6">
        <f t="shared" si="33"/>
        <v>0</v>
      </c>
      <c r="AJ31" s="358" t="s">
        <v>182</v>
      </c>
      <c r="AK31" s="358" t="s">
        <v>183</v>
      </c>
    </row>
    <row r="32" spans="1:37" ht="16.8">
      <c r="A32" s="287">
        <f>+Report1!A33</f>
        <v>46106</v>
      </c>
      <c r="B32" s="294">
        <f>+Report1!P33</f>
        <v>49.863</v>
      </c>
      <c r="C32" s="294">
        <f>+Report1!R33</f>
        <v>53.863999999999997</v>
      </c>
      <c r="D32" s="295">
        <f t="shared" si="12"/>
        <v>253694.34999999995</v>
      </c>
      <c r="E32" s="295">
        <f>+[2]Dailymar!AZ31</f>
        <v>9472.0099999999547</v>
      </c>
      <c r="F32" s="295">
        <f t="shared" si="13"/>
        <v>189.96069229689257</v>
      </c>
      <c r="G32" s="295">
        <f t="shared" si="14"/>
        <v>175.8504752710522</v>
      </c>
      <c r="H32" s="295">
        <f t="shared" si="15"/>
        <v>396244.35000000009</v>
      </c>
      <c r="I32" s="295">
        <f>+[2]Dailymar!BA31</f>
        <v>17422.009999999998</v>
      </c>
      <c r="J32" s="295">
        <f t="shared" si="16"/>
        <v>349.39754928504101</v>
      </c>
      <c r="K32" s="295">
        <f t="shared" si="17"/>
        <v>323.44441556512697</v>
      </c>
      <c r="L32" s="295">
        <f t="shared" si="18"/>
        <v>311934.4738815272</v>
      </c>
      <c r="M32" s="295">
        <f>+[2]Dailymar!BB31</f>
        <v>10675.755184334032</v>
      </c>
      <c r="N32" s="295">
        <f t="shared" si="19"/>
        <v>214.10174246102383</v>
      </c>
      <c r="O32" s="487">
        <f t="shared" si="20"/>
        <v>198.19833626047142</v>
      </c>
      <c r="P32" s="295">
        <f t="shared" si="21"/>
        <v>0</v>
      </c>
      <c r="Q32" s="295"/>
      <c r="R32" s="295">
        <f t="shared" si="22"/>
        <v>0</v>
      </c>
      <c r="S32" s="390">
        <f t="shared" si="23"/>
        <v>0</v>
      </c>
      <c r="T32" s="295">
        <f t="shared" si="24"/>
        <v>250</v>
      </c>
      <c r="U32" s="295">
        <f>+[3]Dailymar!BC31</f>
        <v>9.9999999999909051</v>
      </c>
      <c r="V32" s="295">
        <f t="shared" si="25"/>
        <v>0.20054950564528617</v>
      </c>
      <c r="W32" s="390">
        <f t="shared" si="26"/>
        <v>0.18565275508671664</v>
      </c>
      <c r="X32" s="295">
        <f t="shared" si="27"/>
        <v>37579.775184333979</v>
      </c>
      <c r="Y32" s="7">
        <f t="shared" si="28"/>
        <v>753.66053354860276</v>
      </c>
      <c r="Z32" s="293">
        <f t="shared" si="29"/>
        <v>697.67887985173741</v>
      </c>
      <c r="AA32" s="295">
        <f>+[2]Dailymar!BO31</f>
        <v>26694.000000000004</v>
      </c>
      <c r="AB32" s="7">
        <f t="shared" si="30"/>
        <v>535.34685037001395</v>
      </c>
      <c r="AC32" s="6">
        <f t="shared" si="31"/>
        <v>495.58146442893224</v>
      </c>
      <c r="AD32" s="295"/>
      <c r="AE32" s="7">
        <f t="shared" si="32"/>
        <v>0</v>
      </c>
      <c r="AF32" s="6">
        <f t="shared" si="33"/>
        <v>0</v>
      </c>
      <c r="AJ32" s="358" t="s">
        <v>182</v>
      </c>
      <c r="AK32" s="358" t="s">
        <v>183</v>
      </c>
    </row>
    <row r="33" spans="1:37" ht="16.8">
      <c r="A33" s="287">
        <f>+Report1!A34</f>
        <v>46107</v>
      </c>
      <c r="B33" s="294">
        <f>+Report1!P34</f>
        <v>48.759</v>
      </c>
      <c r="C33" s="294">
        <f>+Report1!R34</f>
        <v>49.85</v>
      </c>
      <c r="D33" s="295">
        <f t="shared" si="12"/>
        <v>265028.65000000002</v>
      </c>
      <c r="E33" s="295">
        <f>+[2]Dailymar!AZ32</f>
        <v>11334.300000000068</v>
      </c>
      <c r="F33" s="295">
        <f t="shared" si="13"/>
        <v>232.45554666830878</v>
      </c>
      <c r="G33" s="295">
        <f t="shared" si="14"/>
        <v>227.36810431294018</v>
      </c>
      <c r="H33" s="295">
        <f t="shared" si="15"/>
        <v>414528.65000000008</v>
      </c>
      <c r="I33" s="295">
        <f>+[2]Dailymar!BA32</f>
        <v>18284.3</v>
      </c>
      <c r="J33" s="295">
        <f t="shared" si="16"/>
        <v>374.99333456387535</v>
      </c>
      <c r="K33" s="295">
        <f t="shared" si="17"/>
        <v>366.78635907723168</v>
      </c>
      <c r="L33" s="295">
        <f t="shared" si="18"/>
        <v>323165.87384948821</v>
      </c>
      <c r="M33" s="295">
        <f>+[2]Dailymar!BB32</f>
        <v>11231.399967961039</v>
      </c>
      <c r="N33" s="295">
        <f t="shared" si="19"/>
        <v>230.34516638899564</v>
      </c>
      <c r="O33" s="487">
        <f t="shared" si="20"/>
        <v>225.30391109249825</v>
      </c>
      <c r="P33" s="295">
        <f t="shared" si="21"/>
        <v>0</v>
      </c>
      <c r="Q33" s="295"/>
      <c r="R33" s="295">
        <f t="shared" si="22"/>
        <v>0</v>
      </c>
      <c r="S33" s="390">
        <f t="shared" si="23"/>
        <v>0</v>
      </c>
      <c r="T33" s="295">
        <f t="shared" si="24"/>
        <v>259.99999999999091</v>
      </c>
      <c r="U33" s="295">
        <f>+[3]Dailymar!BC32</f>
        <v>9.9999999999909051</v>
      </c>
      <c r="V33" s="295">
        <f t="shared" si="25"/>
        <v>0.20509034229559475</v>
      </c>
      <c r="W33" s="390">
        <f t="shared" si="26"/>
        <v>0.20060180541606629</v>
      </c>
      <c r="X33" s="295">
        <f t="shared" si="27"/>
        <v>40859.999967961099</v>
      </c>
      <c r="Y33" s="7">
        <f t="shared" si="28"/>
        <v>837.99913796347539</v>
      </c>
      <c r="Z33" s="293">
        <f t="shared" si="29"/>
        <v>819.65897628808625</v>
      </c>
      <c r="AA33" s="295">
        <f>+[2]Dailymar!BO32</f>
        <v>20463.600000000006</v>
      </c>
      <c r="AB33" s="7">
        <f t="shared" si="30"/>
        <v>419.68867286039512</v>
      </c>
      <c r="AC33" s="6">
        <f t="shared" si="31"/>
        <v>410.50351053159488</v>
      </c>
      <c r="AD33" s="295"/>
      <c r="AE33" s="7">
        <f t="shared" si="32"/>
        <v>0</v>
      </c>
      <c r="AF33" s="6">
        <f t="shared" si="33"/>
        <v>0</v>
      </c>
      <c r="AJ33" s="358" t="s">
        <v>182</v>
      </c>
      <c r="AK33" s="358" t="s">
        <v>183</v>
      </c>
    </row>
    <row r="34" spans="1:37" ht="16.8">
      <c r="A34" s="287">
        <f>+Report1!A35</f>
        <v>46108</v>
      </c>
      <c r="B34" s="294">
        <f>+Report1!P35</f>
        <v>51.256</v>
      </c>
      <c r="C34" s="294">
        <f>+Report1!R35</f>
        <v>42.185000000000002</v>
      </c>
      <c r="D34" s="295">
        <f t="shared" si="12"/>
        <v>274958.13</v>
      </c>
      <c r="E34" s="295">
        <f>+[2]Dailymar!AZ33</f>
        <v>9929.48</v>
      </c>
      <c r="F34" s="295">
        <f t="shared" si="13"/>
        <v>193.72327142188232</v>
      </c>
      <c r="G34" s="295">
        <f t="shared" si="14"/>
        <v>235.37940026075617</v>
      </c>
      <c r="H34" s="295">
        <f t="shared" si="15"/>
        <v>431458.13000000006</v>
      </c>
      <c r="I34" s="295">
        <f>+[2]Dailymar!BA33</f>
        <v>16929.48</v>
      </c>
      <c r="J34" s="295">
        <f t="shared" si="16"/>
        <v>330.29264866552205</v>
      </c>
      <c r="K34" s="295">
        <f t="shared" si="17"/>
        <v>401.31515941685433</v>
      </c>
      <c r="L34" s="295">
        <f t="shared" si="18"/>
        <v>333868.42075245274</v>
      </c>
      <c r="M34" s="295">
        <f>+[2]Dailymar!BB33</f>
        <v>10702.546902964541</v>
      </c>
      <c r="N34" s="295">
        <f t="shared" si="19"/>
        <v>208.80573792267327</v>
      </c>
      <c r="O34" s="487">
        <f t="shared" si="20"/>
        <v>253.70503503530972</v>
      </c>
      <c r="P34" s="295">
        <f t="shared" si="21"/>
        <v>0</v>
      </c>
      <c r="Q34" s="295"/>
      <c r="R34" s="295">
        <f t="shared" si="22"/>
        <v>0</v>
      </c>
      <c r="S34" s="390">
        <f t="shared" si="23"/>
        <v>0</v>
      </c>
      <c r="T34" s="295">
        <f t="shared" si="24"/>
        <v>269.99999999998181</v>
      </c>
      <c r="U34" s="295">
        <f>+[3]Dailymar!BC33</f>
        <v>9.9999999999909051</v>
      </c>
      <c r="V34" s="295">
        <f t="shared" si="25"/>
        <v>0.19509911034787938</v>
      </c>
      <c r="W34" s="390">
        <f t="shared" si="26"/>
        <v>0.23705108450849602</v>
      </c>
      <c r="X34" s="295">
        <f t="shared" si="27"/>
        <v>37571.506902964531</v>
      </c>
      <c r="Y34" s="7">
        <f t="shared" si="28"/>
        <v>733.0167571204255</v>
      </c>
      <c r="Z34" s="293">
        <f t="shared" si="29"/>
        <v>890.63664579742863</v>
      </c>
      <c r="AA34" s="295">
        <f>+[2]Dailymar!BO33</f>
        <v>23219.900000000413</v>
      </c>
      <c r="AB34" s="7">
        <f t="shared" si="30"/>
        <v>453.0181832370925</v>
      </c>
      <c r="AC34" s="6">
        <f t="shared" si="31"/>
        <v>550.43024771839305</v>
      </c>
      <c r="AD34" s="295"/>
      <c r="AE34" s="7">
        <f t="shared" si="32"/>
        <v>0</v>
      </c>
      <c r="AF34" s="6">
        <f t="shared" si="33"/>
        <v>0</v>
      </c>
      <c r="AJ34" s="358" t="s">
        <v>182</v>
      </c>
      <c r="AK34" s="358" t="s">
        <v>183</v>
      </c>
    </row>
    <row r="35" spans="1:37" ht="16.8">
      <c r="A35" s="287">
        <f>+Report1!A36</f>
        <v>46109</v>
      </c>
      <c r="B35" s="294">
        <f>+Report1!P36</f>
        <v>52.190000000000005</v>
      </c>
      <c r="C35" s="294">
        <f>+Report1!R36</f>
        <v>43.594999999999999</v>
      </c>
      <c r="D35" s="295">
        <f t="shared" si="12"/>
        <v>285737.66999999923</v>
      </c>
      <c r="E35" s="295">
        <f>+[2]Dailymar!AZ34</f>
        <v>10779.539999999228</v>
      </c>
      <c r="F35" s="295">
        <f t="shared" si="13"/>
        <v>206.54416554894092</v>
      </c>
      <c r="G35" s="295">
        <f t="shared" si="14"/>
        <v>247.26551209999377</v>
      </c>
      <c r="H35" s="295">
        <f t="shared" si="15"/>
        <v>448987.67000000045</v>
      </c>
      <c r="I35" s="295">
        <f>+[2]Dailymar!BA34</f>
        <v>17529.540000000365</v>
      </c>
      <c r="J35" s="295">
        <f t="shared" si="16"/>
        <v>335.87928721978085</v>
      </c>
      <c r="K35" s="295">
        <f t="shared" si="17"/>
        <v>402.09978208510989</v>
      </c>
      <c r="L35" s="295">
        <f t="shared" si="18"/>
        <v>343961.02253265871</v>
      </c>
      <c r="M35" s="295">
        <f>+[2]Dailymar!BB34</f>
        <v>10092.60178020597</v>
      </c>
      <c r="N35" s="295">
        <f t="shared" si="19"/>
        <v>193.38190803230447</v>
      </c>
      <c r="O35" s="487">
        <f t="shared" si="20"/>
        <v>231.5082413168017</v>
      </c>
      <c r="P35" s="295">
        <f t="shared" si="21"/>
        <v>0</v>
      </c>
      <c r="Q35" s="295"/>
      <c r="R35" s="295">
        <f t="shared" si="22"/>
        <v>0</v>
      </c>
      <c r="S35" s="390">
        <f t="shared" si="23"/>
        <v>0</v>
      </c>
      <c r="T35" s="295">
        <f t="shared" si="24"/>
        <v>279.99999999997272</v>
      </c>
      <c r="U35" s="295">
        <f>+[3]Dailymar!BC34</f>
        <v>9.9999999999909051</v>
      </c>
      <c r="V35" s="295">
        <f t="shared" si="25"/>
        <v>0.19160758766029706</v>
      </c>
      <c r="W35" s="390">
        <f t="shared" si="26"/>
        <v>0.22938410368140624</v>
      </c>
      <c r="X35" s="295">
        <f t="shared" si="27"/>
        <v>38411.681780205559</v>
      </c>
      <c r="Y35" s="7">
        <f t="shared" si="28"/>
        <v>735.9969683886867</v>
      </c>
      <c r="Z35" s="293">
        <f t="shared" si="29"/>
        <v>881.10291960558686</v>
      </c>
      <c r="AA35" s="295">
        <f>+[2]Dailymar!BO34</f>
        <v>23223.049999999897</v>
      </c>
      <c r="AB35" s="7">
        <f t="shared" si="30"/>
        <v>444.97125886184892</v>
      </c>
      <c r="AC35" s="6">
        <f t="shared" si="31"/>
        <v>532.69985090033026</v>
      </c>
      <c r="AD35" s="295"/>
      <c r="AE35" s="7">
        <f t="shared" si="32"/>
        <v>0</v>
      </c>
      <c r="AF35" s="6">
        <f t="shared" si="33"/>
        <v>0</v>
      </c>
      <c r="AJ35" s="358" t="s">
        <v>182</v>
      </c>
      <c r="AK35" s="358" t="s">
        <v>183</v>
      </c>
    </row>
    <row r="36" spans="1:37" ht="16.8">
      <c r="A36" s="287">
        <f>+Report1!A37</f>
        <v>46110</v>
      </c>
      <c r="B36" s="294">
        <f>+Report1!P37</f>
        <v>51.055</v>
      </c>
      <c r="C36" s="294">
        <f>+Report1!R37</f>
        <v>45.021999999999998</v>
      </c>
      <c r="D36" s="295">
        <f t="shared" si="12"/>
        <v>296553.92999999993</v>
      </c>
      <c r="E36" s="295">
        <f>+[2]Dailymar!AZ35</f>
        <v>10816.260000000728</v>
      </c>
      <c r="F36" s="295">
        <f t="shared" si="13"/>
        <v>211.85505827050687</v>
      </c>
      <c r="G36" s="295">
        <f t="shared" si="14"/>
        <v>240.24388076941781</v>
      </c>
      <c r="H36" s="295">
        <f t="shared" si="15"/>
        <v>466503.93000000011</v>
      </c>
      <c r="I36" s="295">
        <f>+[2]Dailymar!BA35</f>
        <v>17516.259999999635</v>
      </c>
      <c r="J36" s="295">
        <f t="shared" si="16"/>
        <v>343.08608363528811</v>
      </c>
      <c r="K36" s="295">
        <f t="shared" si="17"/>
        <v>389.06001510371897</v>
      </c>
      <c r="L36" s="295">
        <f t="shared" si="18"/>
        <v>355383.94248821365</v>
      </c>
      <c r="M36" s="295">
        <f>+[2]Dailymar!BB35</f>
        <v>11422.919955554966</v>
      </c>
      <c r="N36" s="295">
        <f t="shared" si="19"/>
        <v>223.73753707873794</v>
      </c>
      <c r="O36" s="487">
        <f t="shared" si="20"/>
        <v>253.71862546210667</v>
      </c>
      <c r="P36" s="295">
        <f t="shared" si="21"/>
        <v>0</v>
      </c>
      <c r="Q36" s="295"/>
      <c r="R36" s="295">
        <f t="shared" si="22"/>
        <v>0</v>
      </c>
      <c r="S36" s="390">
        <f t="shared" si="23"/>
        <v>0</v>
      </c>
      <c r="T36" s="295">
        <f t="shared" si="24"/>
        <v>289.99999999996362</v>
      </c>
      <c r="U36" s="295">
        <f>+[3]Dailymar!BC35</f>
        <v>9.9999999999909051</v>
      </c>
      <c r="V36" s="295">
        <f t="shared" si="25"/>
        <v>0.19586720203684077</v>
      </c>
      <c r="W36" s="390">
        <f t="shared" si="26"/>
        <v>0.22211363333461209</v>
      </c>
      <c r="X36" s="295">
        <f t="shared" si="27"/>
        <v>39765.439955555317</v>
      </c>
      <c r="Y36" s="7">
        <f t="shared" si="28"/>
        <v>778.87454618656977</v>
      </c>
      <c r="Z36" s="293">
        <f t="shared" si="29"/>
        <v>883.244634968578</v>
      </c>
      <c r="AA36" s="295">
        <f>+[2]Dailymar!BO35</f>
        <v>23978.637999999835</v>
      </c>
      <c r="AB36" s="7">
        <f t="shared" si="30"/>
        <v>469.66287337185065</v>
      </c>
      <c r="AC36" s="6">
        <f t="shared" si="31"/>
        <v>532.59824086002038</v>
      </c>
      <c r="AD36" s="295"/>
      <c r="AE36" s="7">
        <f t="shared" si="32"/>
        <v>0</v>
      </c>
      <c r="AF36" s="6">
        <f t="shared" si="33"/>
        <v>0</v>
      </c>
      <c r="AJ36" s="358" t="s">
        <v>182</v>
      </c>
      <c r="AK36" s="358" t="s">
        <v>183</v>
      </c>
    </row>
    <row r="37" spans="1:37" ht="16.8">
      <c r="A37" s="287">
        <f>+Report1!A38</f>
        <v>46111</v>
      </c>
      <c r="B37" s="294">
        <f>+Report1!P38</f>
        <v>50.265000000000001</v>
      </c>
      <c r="C37" s="294">
        <f>+Report1!R38</f>
        <v>54.600999999999999</v>
      </c>
      <c r="D37" s="295">
        <f t="shared" si="12"/>
        <v>307263.46999999852</v>
      </c>
      <c r="E37" s="295">
        <f>+[2]Dailymar!AZ36</f>
        <v>10709.539999998568</v>
      </c>
      <c r="F37" s="295">
        <f t="shared" si="13"/>
        <v>213.0615736595756</v>
      </c>
      <c r="G37" s="295">
        <f t="shared" si="14"/>
        <v>196.14182890420628</v>
      </c>
      <c r="H37" s="295">
        <f t="shared" si="15"/>
        <v>482713.47000000085</v>
      </c>
      <c r="I37" s="295">
        <f>+[2]Dailymar!BA36</f>
        <v>16209.540000000728</v>
      </c>
      <c r="J37" s="295">
        <f t="shared" si="16"/>
        <v>322.4816472694863</v>
      </c>
      <c r="K37" s="295">
        <f t="shared" si="17"/>
        <v>296.87258475120836</v>
      </c>
      <c r="L37" s="295">
        <f t="shared" si="18"/>
        <v>370371.98907496105</v>
      </c>
      <c r="M37" s="295">
        <f>+[2]Dailymar!BB36</f>
        <v>14988.046586747398</v>
      </c>
      <c r="N37" s="295">
        <f t="shared" si="19"/>
        <v>298.18057468909575</v>
      </c>
      <c r="O37" s="487">
        <f t="shared" si="20"/>
        <v>274.50132024591852</v>
      </c>
      <c r="P37" s="295">
        <f t="shared" si="21"/>
        <v>0</v>
      </c>
      <c r="Q37" s="295"/>
      <c r="R37" s="295">
        <f t="shared" si="22"/>
        <v>0</v>
      </c>
      <c r="S37" s="390">
        <f t="shared" si="23"/>
        <v>0</v>
      </c>
      <c r="T37" s="295">
        <f t="shared" si="24"/>
        <v>299.99999999995453</v>
      </c>
      <c r="U37" s="295">
        <f>+[3]Dailymar!BC36</f>
        <v>9.9999999999909051</v>
      </c>
      <c r="V37" s="295">
        <f t="shared" si="25"/>
        <v>0.1989455883813967</v>
      </c>
      <c r="W37" s="390">
        <f t="shared" si="26"/>
        <v>0.18314682881249253</v>
      </c>
      <c r="X37" s="295">
        <f t="shared" si="27"/>
        <v>41917.126586746686</v>
      </c>
      <c r="Y37" s="7">
        <f t="shared" si="28"/>
        <v>833.92274120653906</v>
      </c>
      <c r="Z37" s="293">
        <f t="shared" si="29"/>
        <v>767.69888073014567</v>
      </c>
      <c r="AA37" s="295">
        <f>+[2]Dailymar!BO36</f>
        <v>21571.427999999603</v>
      </c>
      <c r="AB37" s="7">
        <f t="shared" si="30"/>
        <v>429.15404356907595</v>
      </c>
      <c r="AC37" s="6">
        <f t="shared" si="31"/>
        <v>395.07386311605291</v>
      </c>
      <c r="AD37" s="295"/>
      <c r="AE37" s="7">
        <f t="shared" si="32"/>
        <v>0</v>
      </c>
      <c r="AF37" s="6">
        <f t="shared" si="33"/>
        <v>0</v>
      </c>
      <c r="AJ37" s="358" t="s">
        <v>182</v>
      </c>
      <c r="AK37" s="358" t="s">
        <v>183</v>
      </c>
    </row>
    <row r="38" spans="1:37" ht="16.8">
      <c r="A38" s="287">
        <f>+Report1!A39</f>
        <v>46112</v>
      </c>
      <c r="B38" s="294">
        <f>+Report1!P39</f>
        <v>49.249000000000002</v>
      </c>
      <c r="C38" s="294">
        <f>+Report1!R39</f>
        <v>39.250999999999998</v>
      </c>
      <c r="D38" s="295">
        <f t="shared" si="12"/>
        <v>317947.37000000145</v>
      </c>
      <c r="E38" s="295">
        <f>+[2]Dailymar!AZ37</f>
        <v>10683.900000002934</v>
      </c>
      <c r="F38" s="295">
        <f t="shared" si="13"/>
        <v>216.93638449517621</v>
      </c>
      <c r="G38" s="295">
        <f t="shared" si="14"/>
        <v>272.19433899780728</v>
      </c>
      <c r="H38" s="295">
        <f t="shared" si="15"/>
        <v>499697.36999999976</v>
      </c>
      <c r="I38" s="295">
        <f>+[2]Dailymar!BA37</f>
        <v>16983.89999999891</v>
      </c>
      <c r="J38" s="295">
        <f t="shared" si="16"/>
        <v>344.85776360939121</v>
      </c>
      <c r="K38" s="295">
        <f t="shared" si="17"/>
        <v>432.69980382662635</v>
      </c>
      <c r="L38" s="295">
        <f t="shared" si="18"/>
        <v>384640.65518486733</v>
      </c>
      <c r="M38" s="295">
        <f>+[2]Dailymar!BB37</f>
        <v>14268.666109906288</v>
      </c>
      <c r="N38" s="295">
        <f t="shared" si="19"/>
        <v>289.7249915715301</v>
      </c>
      <c r="O38" s="487">
        <f t="shared" si="20"/>
        <v>363.52363277129979</v>
      </c>
      <c r="P38" s="295">
        <f t="shared" si="21"/>
        <v>0</v>
      </c>
      <c r="Q38" s="295"/>
      <c r="R38" s="295">
        <f t="shared" si="22"/>
        <v>0</v>
      </c>
      <c r="S38" s="390">
        <f t="shared" si="23"/>
        <v>0</v>
      </c>
      <c r="T38" s="295">
        <f t="shared" si="24"/>
        <v>309.99999999994543</v>
      </c>
      <c r="U38" s="295">
        <f>+[3]Dailymar!BC37</f>
        <v>9.9999999999909051</v>
      </c>
      <c r="V38" s="295">
        <f t="shared" si="25"/>
        <v>0.20304980811774664</v>
      </c>
      <c r="W38" s="390">
        <f t="shared" si="26"/>
        <v>0.25477057909329459</v>
      </c>
      <c r="X38" s="295">
        <f t="shared" si="27"/>
        <v>41946.46610990812</v>
      </c>
      <c r="Y38" s="7">
        <f t="shared" si="28"/>
        <v>851.72218948421528</v>
      </c>
      <c r="Z38" s="293">
        <f t="shared" si="29"/>
        <v>1068.6725461748267</v>
      </c>
      <c r="AA38" s="295">
        <f>+[2]Dailymar!BO37</f>
        <v>31893.759999999784</v>
      </c>
      <c r="AB38" s="7">
        <f t="shared" si="30"/>
        <v>647.60218481593097</v>
      </c>
      <c r="AC38" s="6">
        <f t="shared" si="31"/>
        <v>812.55917046698903</v>
      </c>
      <c r="AD38" s="295"/>
      <c r="AE38" s="7">
        <f t="shared" si="32"/>
        <v>0</v>
      </c>
      <c r="AF38" s="6">
        <f t="shared" si="33"/>
        <v>0</v>
      </c>
      <c r="AJ38" s="358" t="s">
        <v>182</v>
      </c>
      <c r="AK38" s="358" t="s">
        <v>183</v>
      </c>
    </row>
    <row r="39" spans="1:37">
      <c r="A39" s="287"/>
      <c r="B39" s="294"/>
      <c r="C39" s="294"/>
      <c r="D39" s="285"/>
      <c r="E39" s="295"/>
      <c r="F39" s="289"/>
      <c r="G39" s="289"/>
      <c r="H39" s="286"/>
      <c r="I39" s="295"/>
      <c r="J39" s="290"/>
      <c r="K39" s="290"/>
      <c r="L39" s="295"/>
      <c r="M39" s="295"/>
      <c r="N39" s="295"/>
      <c r="O39" s="295"/>
      <c r="P39" s="295"/>
      <c r="Q39" s="295"/>
      <c r="R39" s="295"/>
      <c r="S39" s="295"/>
      <c r="T39" s="295"/>
      <c r="U39" s="295"/>
      <c r="V39" s="295"/>
      <c r="W39" s="295"/>
      <c r="X39" s="295"/>
      <c r="Y39" s="292"/>
      <c r="Z39" s="293"/>
      <c r="AA39" s="291"/>
      <c r="AB39" s="292"/>
      <c r="AC39" s="293"/>
      <c r="AD39" s="291"/>
      <c r="AE39" s="292"/>
      <c r="AF39" s="293"/>
    </row>
    <row r="40" spans="1:37">
      <c r="A40" s="296" t="s">
        <v>28</v>
      </c>
      <c r="B40" s="297">
        <f>SUM(B8:B38)</f>
        <v>1597.6710000000005</v>
      </c>
      <c r="C40" s="297">
        <f>SUM(C8:C38)</f>
        <v>1556.3609999999996</v>
      </c>
      <c r="D40" s="299"/>
      <c r="E40" s="295">
        <f>SUM(E8:E39)</f>
        <v>317947.37000000145</v>
      </c>
      <c r="F40" s="298">
        <f>E40/B40</f>
        <v>199.00678550214741</v>
      </c>
      <c r="G40" s="529">
        <f>E40/C40</f>
        <v>204.28895995209436</v>
      </c>
      <c r="H40" s="300"/>
      <c r="I40" s="295">
        <f>SUM(I8:I39)</f>
        <v>499697.36999999976</v>
      </c>
      <c r="J40" s="298">
        <f>I40/B40</f>
        <v>312.76612644280306</v>
      </c>
      <c r="K40" s="529">
        <f>I40/C40</f>
        <v>321.0677792620092</v>
      </c>
      <c r="L40" s="302"/>
      <c r="M40" s="295">
        <f>SUM(M8:M39)</f>
        <v>384640.65518486733</v>
      </c>
      <c r="N40" s="488">
        <f>M40/B40</f>
        <v>240.75085245013975</v>
      </c>
      <c r="O40" s="529">
        <f>M40/C40</f>
        <v>247.14102652589432</v>
      </c>
      <c r="P40" s="302"/>
      <c r="Q40" s="301">
        <f>SUM(Q8:Q38)</f>
        <v>0</v>
      </c>
      <c r="R40" s="298">
        <f>Q40/B40</f>
        <v>0</v>
      </c>
      <c r="S40" s="298">
        <f>Q40/C40</f>
        <v>0</v>
      </c>
      <c r="T40" s="302"/>
      <c r="U40" s="295">
        <f>SUM(U8:U39)</f>
        <v>309.99999999994543</v>
      </c>
      <c r="V40" s="298">
        <f>U40/B40</f>
        <v>0.19403243846821111</v>
      </c>
      <c r="W40" s="529">
        <f>U40/C40</f>
        <v>0.19918258039101822</v>
      </c>
      <c r="X40" s="295">
        <f>+E40+I40+M40+U40</f>
        <v>1202595.3951848685</v>
      </c>
      <c r="Y40" s="488">
        <f>X40/B40</f>
        <v>752.7177968335584</v>
      </c>
      <c r="Z40" s="299">
        <f>X40/C40</f>
        <v>772.69694832038886</v>
      </c>
      <c r="AA40" s="291">
        <f>SUM(AA8:AA38)</f>
        <v>748051.91299999924</v>
      </c>
      <c r="AB40" s="7">
        <f>AA40/B40</f>
        <v>468.2139896136307</v>
      </c>
      <c r="AC40" s="7">
        <f>AA40/C40</f>
        <v>480.64164612194691</v>
      </c>
      <c r="AD40" s="291">
        <f>SUM(AD8:AD38)</f>
        <v>0</v>
      </c>
      <c r="AE40" s="7" t="e">
        <f>AD40/D40</f>
        <v>#DIV/0!</v>
      </c>
      <c r="AF40" s="7">
        <f>AD40/E40</f>
        <v>0</v>
      </c>
    </row>
    <row r="42" spans="1:37">
      <c r="X42" s="5">
        <v>0</v>
      </c>
      <c r="AA42" s="5">
        <v>0</v>
      </c>
      <c r="AD42" s="5">
        <f>+AD40-[4]DailyDes!$BO$38</f>
        <v>-8717</v>
      </c>
    </row>
    <row r="44" spans="1:37">
      <c r="D44" s="303"/>
    </row>
  </sheetData>
  <mergeCells count="13">
    <mergeCell ref="AD4:AF5"/>
    <mergeCell ref="A2:X2"/>
    <mergeCell ref="D4:W4"/>
    <mergeCell ref="X4:Z5"/>
    <mergeCell ref="AA4:AC5"/>
    <mergeCell ref="A4:A6"/>
    <mergeCell ref="B4:B6"/>
    <mergeCell ref="C4:C6"/>
    <mergeCell ref="D5:G5"/>
    <mergeCell ref="H5:K5"/>
    <mergeCell ref="L5:O5"/>
    <mergeCell ref="P5:S5"/>
    <mergeCell ref="T5:W5"/>
  </mergeCells>
  <phoneticPr fontId="31"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7"/>
  <sheetViews>
    <sheetView topLeftCell="A55" workbookViewId="0">
      <selection activeCell="L81" sqref="L80:L81"/>
    </sheetView>
  </sheetViews>
  <sheetFormatPr defaultRowHeight="13.2"/>
  <cols>
    <col min="1" max="1" width="10.109375" bestFit="1" customWidth="1"/>
    <col min="2" max="2" width="12.88671875" customWidth="1"/>
    <col min="4" max="4" width="22.33203125" customWidth="1"/>
  </cols>
  <sheetData>
    <row r="1" spans="1:9">
      <c r="A1" s="530" t="s">
        <v>222</v>
      </c>
      <c r="B1" s="531">
        <f>+Report1!A9</f>
        <v>46082</v>
      </c>
      <c r="C1" s="92"/>
      <c r="G1" s="93"/>
      <c r="H1" s="94"/>
    </row>
    <row r="2" spans="1:9" ht="13.8" thickBot="1">
      <c r="A2" s="91"/>
      <c r="B2" s="92"/>
      <c r="C2" s="92"/>
      <c r="G2" s="93"/>
      <c r="H2" s="94"/>
    </row>
    <row r="3" spans="1:9" ht="27" thickBot="1">
      <c r="A3" s="356" t="s">
        <v>131</v>
      </c>
      <c r="B3" s="519" t="s">
        <v>9</v>
      </c>
      <c r="C3" s="519" t="s">
        <v>104</v>
      </c>
      <c r="D3" s="519" t="s">
        <v>132</v>
      </c>
      <c r="E3" s="519" t="s">
        <v>133</v>
      </c>
      <c r="F3" s="519" t="s">
        <v>134</v>
      </c>
      <c r="G3" s="520" t="s">
        <v>135</v>
      </c>
      <c r="H3" s="521" t="s">
        <v>136</v>
      </c>
      <c r="I3" s="567" t="s">
        <v>398</v>
      </c>
    </row>
    <row r="4" spans="1:9">
      <c r="A4" s="311">
        <f>+B1</f>
        <v>46082</v>
      </c>
      <c r="B4" s="485" t="s">
        <v>410</v>
      </c>
      <c r="C4">
        <v>2</v>
      </c>
      <c r="D4" s="357" t="s">
        <v>427</v>
      </c>
      <c r="E4" s="357">
        <f>256.5*1</f>
        <v>256.5</v>
      </c>
      <c r="F4" s="357">
        <v>65</v>
      </c>
      <c r="G4">
        <f>+E4*F4</f>
        <v>16672.5</v>
      </c>
      <c r="H4" s="486">
        <f>+G4/F4</f>
        <v>256.5</v>
      </c>
      <c r="I4" s="486">
        <f>+'1'!I38</f>
        <v>50.133000000000003</v>
      </c>
    </row>
    <row r="5" spans="1:9" ht="13.8" thickBot="1">
      <c r="A5" s="344"/>
      <c r="B5" s="359"/>
      <c r="C5" s="345"/>
      <c r="D5" s="346"/>
      <c r="E5" s="345"/>
      <c r="F5" s="345"/>
      <c r="G5" s="345"/>
      <c r="H5" s="360"/>
      <c r="I5" s="360"/>
    </row>
    <row r="6" spans="1:9">
      <c r="A6" s="311">
        <f>+A4+1</f>
        <v>46083</v>
      </c>
      <c r="B6" s="485" t="s">
        <v>410</v>
      </c>
      <c r="C6">
        <v>2</v>
      </c>
      <c r="D6" s="357" t="s">
        <v>427</v>
      </c>
      <c r="E6" s="357">
        <f>256.5*1</f>
        <v>256.5</v>
      </c>
      <c r="F6" s="357">
        <v>60</v>
      </c>
      <c r="G6">
        <f>+E6*F6</f>
        <v>15390</v>
      </c>
      <c r="H6" s="486">
        <f>+G6/F6</f>
        <v>256.5</v>
      </c>
      <c r="I6" s="486">
        <f>+'2'!I38</f>
        <v>52.173000000000002</v>
      </c>
    </row>
    <row r="7" spans="1:9" ht="13.8" thickBot="1">
      <c r="A7" s="344"/>
      <c r="B7" s="359"/>
      <c r="C7" s="345"/>
      <c r="D7" s="346"/>
      <c r="E7" s="345"/>
      <c r="F7" s="345"/>
      <c r="G7" s="345"/>
      <c r="H7" s="360"/>
      <c r="I7" s="360"/>
    </row>
    <row r="8" spans="1:9">
      <c r="A8" s="311">
        <f>+A6+1</f>
        <v>46084</v>
      </c>
      <c r="B8" s="485" t="s">
        <v>410</v>
      </c>
      <c r="C8">
        <v>2</v>
      </c>
      <c r="D8" s="357" t="s">
        <v>427</v>
      </c>
      <c r="E8" s="357">
        <f>256.5*1</f>
        <v>256.5</v>
      </c>
      <c r="F8" s="357">
        <v>57</v>
      </c>
      <c r="G8">
        <f>+E8*F8</f>
        <v>14620.5</v>
      </c>
      <c r="H8" s="486">
        <f>+G8/F8</f>
        <v>256.5</v>
      </c>
      <c r="I8" s="486">
        <f>+'3'!I38</f>
        <v>53.673999999999999</v>
      </c>
    </row>
    <row r="9" spans="1:9" ht="13.8" thickBot="1">
      <c r="A9" s="344"/>
      <c r="B9" s="359"/>
      <c r="C9" s="345"/>
      <c r="D9" s="346"/>
      <c r="E9" s="345"/>
      <c r="F9" s="345"/>
      <c r="G9" s="345"/>
      <c r="H9" s="360"/>
      <c r="I9" s="360"/>
    </row>
    <row r="10" spans="1:9">
      <c r="A10" s="311">
        <f>+A8+1</f>
        <v>46085</v>
      </c>
      <c r="B10" s="485" t="s">
        <v>410</v>
      </c>
      <c r="C10">
        <v>2</v>
      </c>
      <c r="D10" s="357" t="s">
        <v>427</v>
      </c>
      <c r="E10" s="357">
        <f>256.5*1</f>
        <v>256.5</v>
      </c>
      <c r="F10" s="357">
        <f>5+3</f>
        <v>8</v>
      </c>
      <c r="G10">
        <f>+E10*F10</f>
        <v>2052</v>
      </c>
      <c r="H10" s="486">
        <f>+G10/F10</f>
        <v>256.5</v>
      </c>
      <c r="I10" s="486">
        <f>+'4'!I38</f>
        <v>37.878</v>
      </c>
    </row>
    <row r="11" spans="1:9">
      <c r="A11" s="568"/>
      <c r="B11" s="485" t="s">
        <v>465</v>
      </c>
      <c r="C11">
        <v>2</v>
      </c>
      <c r="D11" s="357" t="s">
        <v>479</v>
      </c>
      <c r="E11" s="357">
        <f>275*1</f>
        <v>275</v>
      </c>
      <c r="F11" s="357">
        <f>6+2+8</f>
        <v>16</v>
      </c>
      <c r="G11">
        <f>+E11*F11</f>
        <v>4400</v>
      </c>
      <c r="H11" s="486">
        <f>+G11/F11</f>
        <v>275</v>
      </c>
      <c r="I11" s="486"/>
    </row>
    <row r="12" spans="1:9" ht="13.8" thickBot="1">
      <c r="A12" s="344"/>
      <c r="B12" s="359"/>
      <c r="C12" s="345"/>
      <c r="D12" s="346"/>
      <c r="E12" s="345"/>
      <c r="F12" s="345"/>
      <c r="G12" s="345"/>
      <c r="H12" s="360"/>
      <c r="I12" s="360"/>
    </row>
    <row r="13" spans="1:9">
      <c r="A13" s="568">
        <v>46086</v>
      </c>
      <c r="B13" s="485" t="s">
        <v>465</v>
      </c>
      <c r="C13">
        <v>2</v>
      </c>
      <c r="D13" s="357" t="s">
        <v>479</v>
      </c>
      <c r="E13" s="357">
        <f>275*1</f>
        <v>275</v>
      </c>
      <c r="F13" s="357">
        <v>27</v>
      </c>
      <c r="G13">
        <f>+E13*F13</f>
        <v>7425</v>
      </c>
      <c r="H13" s="486">
        <f>+G13/F13</f>
        <v>275</v>
      </c>
      <c r="I13" s="486">
        <f>+'5'!I38</f>
        <v>52.676000000000002</v>
      </c>
    </row>
    <row r="14" spans="1:9" ht="13.8" thickBot="1">
      <c r="A14" s="344"/>
      <c r="B14" s="359"/>
      <c r="C14" s="345"/>
      <c r="D14" s="346"/>
      <c r="E14" s="345"/>
      <c r="F14" s="345"/>
      <c r="G14" s="345"/>
      <c r="H14" s="360"/>
      <c r="I14" s="360"/>
    </row>
    <row r="15" spans="1:9">
      <c r="A15" s="311">
        <v>46087</v>
      </c>
      <c r="B15" s="485" t="s">
        <v>410</v>
      </c>
      <c r="C15">
        <v>2</v>
      </c>
      <c r="D15" s="357" t="s">
        <v>427</v>
      </c>
      <c r="E15" s="357">
        <f>256.5*1</f>
        <v>256.5</v>
      </c>
      <c r="F15" s="357">
        <f>4+14+8</f>
        <v>26</v>
      </c>
      <c r="G15">
        <f>+E15*F15</f>
        <v>6669</v>
      </c>
      <c r="H15" s="486">
        <f>+G15/F15</f>
        <v>256.5</v>
      </c>
      <c r="I15" s="486">
        <f>+'6'!I38</f>
        <v>33.480000000000004</v>
      </c>
    </row>
    <row r="16" spans="1:9">
      <c r="A16" s="568"/>
      <c r="B16" s="485" t="s">
        <v>465</v>
      </c>
      <c r="C16">
        <v>2</v>
      </c>
      <c r="D16" s="357" t="s">
        <v>479</v>
      </c>
      <c r="E16" s="357">
        <f>275*1</f>
        <v>275</v>
      </c>
      <c r="F16" s="357">
        <v>5</v>
      </c>
      <c r="G16">
        <f>+E16*F16</f>
        <v>1375</v>
      </c>
      <c r="H16" s="486">
        <f>+G16/F16</f>
        <v>275</v>
      </c>
      <c r="I16" s="486"/>
    </row>
    <row r="17" spans="1:9" ht="13.8" thickBot="1">
      <c r="A17" s="344"/>
      <c r="B17" s="359"/>
      <c r="C17" s="345"/>
      <c r="D17" s="346"/>
      <c r="E17" s="345"/>
      <c r="F17" s="345"/>
      <c r="G17" s="345"/>
      <c r="H17" s="360"/>
      <c r="I17" s="360"/>
    </row>
    <row r="18" spans="1:9">
      <c r="A18" s="311">
        <v>46088</v>
      </c>
      <c r="B18" s="485" t="s">
        <v>410</v>
      </c>
      <c r="C18">
        <v>2</v>
      </c>
      <c r="D18" s="357" t="s">
        <v>427</v>
      </c>
      <c r="E18" s="357">
        <f>256.5*1</f>
        <v>256.5</v>
      </c>
      <c r="F18" s="357">
        <f>4+3+11+9+11+6</f>
        <v>44</v>
      </c>
      <c r="G18">
        <f>+E18*F18</f>
        <v>11286</v>
      </c>
      <c r="H18" s="486">
        <f>+G18/F18</f>
        <v>256.5</v>
      </c>
      <c r="I18" s="486">
        <f>+'7'!I38</f>
        <v>46.632000000000005</v>
      </c>
    </row>
    <row r="19" spans="1:9" ht="13.8" thickBot="1">
      <c r="A19" s="344"/>
      <c r="B19" s="359"/>
      <c r="C19" s="345"/>
      <c r="D19" s="346"/>
      <c r="E19" s="345"/>
      <c r="F19" s="345"/>
      <c r="G19" s="345"/>
      <c r="H19" s="360"/>
      <c r="I19" s="360"/>
    </row>
    <row r="20" spans="1:9">
      <c r="A20" s="311">
        <v>46089</v>
      </c>
      <c r="B20" s="485" t="s">
        <v>410</v>
      </c>
      <c r="C20">
        <v>2</v>
      </c>
      <c r="D20" s="357" t="s">
        <v>427</v>
      </c>
      <c r="E20" s="357">
        <f>256.5*1</f>
        <v>256.5</v>
      </c>
      <c r="F20" s="357">
        <f>12+9+11+11+10</f>
        <v>53</v>
      </c>
      <c r="G20">
        <f>+E20*F20</f>
        <v>13594.5</v>
      </c>
      <c r="H20" s="486">
        <f>+G20/F20</f>
        <v>256.5</v>
      </c>
      <c r="I20" s="486">
        <f>+'8'!I38</f>
        <v>52.325999999999993</v>
      </c>
    </row>
    <row r="21" spans="1:9" ht="13.8" thickBot="1">
      <c r="A21" s="344"/>
      <c r="B21" s="359"/>
      <c r="C21" s="345"/>
      <c r="D21" s="346"/>
      <c r="E21" s="345"/>
      <c r="F21" s="345"/>
      <c r="G21" s="345"/>
      <c r="H21" s="360"/>
      <c r="I21" s="360"/>
    </row>
    <row r="22" spans="1:9">
      <c r="A22" s="311">
        <v>46090</v>
      </c>
      <c r="B22" s="485" t="s">
        <v>465</v>
      </c>
      <c r="C22">
        <v>2</v>
      </c>
      <c r="D22" s="357" t="s">
        <v>479</v>
      </c>
      <c r="E22" s="357">
        <f>275*1</f>
        <v>275</v>
      </c>
      <c r="F22" s="357">
        <f>9+9+8</f>
        <v>26</v>
      </c>
      <c r="G22">
        <f>+E22*F22</f>
        <v>7150</v>
      </c>
      <c r="H22" s="486">
        <f>+G22/F22</f>
        <v>275</v>
      </c>
      <c r="I22" s="486">
        <f>+'9'!I38</f>
        <v>55.759</v>
      </c>
    </row>
    <row r="23" spans="1:9">
      <c r="A23" s="568"/>
      <c r="B23" s="485" t="s">
        <v>410</v>
      </c>
      <c r="C23">
        <v>2</v>
      </c>
      <c r="D23" s="357" t="s">
        <v>427</v>
      </c>
      <c r="E23" s="357">
        <f>256.5*1</f>
        <v>256.5</v>
      </c>
      <c r="F23" s="357">
        <f>9+2+2+2</f>
        <v>15</v>
      </c>
      <c r="G23">
        <f>+E23*F23</f>
        <v>3847.5</v>
      </c>
      <c r="H23" s="486">
        <f>+G23/F23</f>
        <v>256.5</v>
      </c>
      <c r="I23" s="486"/>
    </row>
    <row r="24" spans="1:9" ht="13.8" thickBot="1">
      <c r="A24" s="344"/>
      <c r="B24" s="359"/>
      <c r="C24" s="345"/>
      <c r="D24" s="346"/>
      <c r="E24" s="345"/>
      <c r="F24" s="345"/>
      <c r="G24" s="345"/>
      <c r="H24" s="360"/>
      <c r="I24" s="360"/>
    </row>
    <row r="25" spans="1:9">
      <c r="A25" s="568">
        <v>46091</v>
      </c>
      <c r="B25" s="485" t="s">
        <v>465</v>
      </c>
      <c r="C25">
        <v>2</v>
      </c>
      <c r="D25" s="357" t="s">
        <v>479</v>
      </c>
      <c r="E25" s="357">
        <f>275*1</f>
        <v>275</v>
      </c>
      <c r="F25" s="357">
        <v>27</v>
      </c>
      <c r="G25">
        <f>+E25*F25</f>
        <v>7425</v>
      </c>
      <c r="H25" s="486">
        <f>+G25/F25</f>
        <v>275</v>
      </c>
      <c r="I25" s="486">
        <f>+'10'!I38</f>
        <v>57.141999999999996</v>
      </c>
    </row>
    <row r="26" spans="1:9" ht="13.8" thickBot="1">
      <c r="A26" s="344"/>
      <c r="B26" s="359"/>
      <c r="C26" s="345"/>
      <c r="D26" s="346"/>
      <c r="E26" s="345"/>
      <c r="F26" s="345"/>
      <c r="G26" s="345"/>
      <c r="H26" s="360"/>
      <c r="I26" s="360"/>
    </row>
    <row r="27" spans="1:9">
      <c r="A27" s="311">
        <v>46092</v>
      </c>
      <c r="B27" s="485" t="s">
        <v>465</v>
      </c>
      <c r="C27">
        <v>2</v>
      </c>
      <c r="D27" s="357" t="s">
        <v>479</v>
      </c>
      <c r="E27" s="357">
        <f>275*1</f>
        <v>275</v>
      </c>
      <c r="F27" s="357">
        <v>7</v>
      </c>
      <c r="G27">
        <f>+E27*F27</f>
        <v>1925</v>
      </c>
      <c r="H27" s="486">
        <f>+G27/F27</f>
        <v>275</v>
      </c>
      <c r="I27" s="486">
        <f>+'11'!I38</f>
        <v>53.472999999999999</v>
      </c>
    </row>
    <row r="28" spans="1:9">
      <c r="A28" s="568"/>
      <c r="B28" s="485" t="s">
        <v>410</v>
      </c>
      <c r="C28">
        <v>2</v>
      </c>
      <c r="D28" s="357" t="s">
        <v>479</v>
      </c>
      <c r="E28" s="357">
        <v>275</v>
      </c>
      <c r="F28" s="357">
        <f>2+25+23</f>
        <v>50</v>
      </c>
      <c r="G28">
        <f>+E28*F28</f>
        <v>13750</v>
      </c>
      <c r="H28" s="486">
        <f>+G28/F28</f>
        <v>275</v>
      </c>
      <c r="I28" s="486"/>
    </row>
    <row r="29" spans="1:9" ht="13.8" thickBot="1">
      <c r="A29" s="344"/>
      <c r="B29" s="359"/>
      <c r="C29" s="345"/>
      <c r="D29" s="346"/>
      <c r="E29" s="345"/>
      <c r="F29" s="345"/>
      <c r="G29" s="345"/>
      <c r="H29" s="360"/>
      <c r="I29" s="360"/>
    </row>
    <row r="30" spans="1:9">
      <c r="A30" s="311">
        <v>46093</v>
      </c>
      <c r="B30" s="485" t="s">
        <v>410</v>
      </c>
      <c r="C30">
        <v>2</v>
      </c>
      <c r="D30" s="357" t="s">
        <v>479</v>
      </c>
      <c r="E30" s="357">
        <f>275*1</f>
        <v>275</v>
      </c>
      <c r="F30" s="357">
        <f>20+4+2+4</f>
        <v>30</v>
      </c>
      <c r="G30">
        <f>+E30*F30</f>
        <v>8250</v>
      </c>
      <c r="H30" s="585">
        <f>+SUM(F30*E30+F31*E31)/SUM(F30:F31)</f>
        <v>268.0625</v>
      </c>
      <c r="I30" s="486">
        <f>+'12'!I38</f>
        <v>52.466999999999999</v>
      </c>
    </row>
    <row r="31" spans="1:9">
      <c r="A31" s="568"/>
      <c r="B31" s="485" t="s">
        <v>410</v>
      </c>
      <c r="C31">
        <v>2</v>
      </c>
      <c r="D31" s="357" t="s">
        <v>427</v>
      </c>
      <c r="E31" s="357">
        <f>256.5*1</f>
        <v>256.5</v>
      </c>
      <c r="F31" s="357">
        <f>5+13</f>
        <v>18</v>
      </c>
      <c r="G31">
        <f>+E31*F31</f>
        <v>4617</v>
      </c>
      <c r="H31" s="486"/>
      <c r="I31" s="486"/>
    </row>
    <row r="32" spans="1:9">
      <c r="A32" s="568"/>
      <c r="B32" s="485" t="s">
        <v>571</v>
      </c>
      <c r="C32">
        <v>2</v>
      </c>
      <c r="D32" s="357" t="s">
        <v>576</v>
      </c>
      <c r="E32" s="357">
        <v>271</v>
      </c>
      <c r="F32" s="357">
        <f>20+6</f>
        <v>26</v>
      </c>
      <c r="G32">
        <f>+E32*F32</f>
        <v>7046</v>
      </c>
      <c r="H32" s="486">
        <f>+G32/F32</f>
        <v>271</v>
      </c>
      <c r="I32" s="486"/>
    </row>
    <row r="33" spans="1:9" ht="13.8" thickBot="1">
      <c r="A33" s="344"/>
      <c r="B33" s="359"/>
      <c r="C33" s="345"/>
      <c r="D33" s="346"/>
      <c r="E33" s="345"/>
      <c r="F33" s="345"/>
      <c r="G33" s="345"/>
      <c r="H33" s="360"/>
      <c r="I33" s="360"/>
    </row>
    <row r="34" spans="1:9">
      <c r="A34" s="311">
        <v>46094</v>
      </c>
      <c r="B34" s="485" t="s">
        <v>571</v>
      </c>
      <c r="C34">
        <v>2</v>
      </c>
      <c r="D34" s="357" t="s">
        <v>576</v>
      </c>
      <c r="E34" s="357">
        <v>271</v>
      </c>
      <c r="F34" s="357">
        <f>3+20+6+16+5</f>
        <v>50</v>
      </c>
      <c r="G34">
        <f>+E34*F34</f>
        <v>13550</v>
      </c>
      <c r="H34" s="486">
        <f>+G34/F34</f>
        <v>271</v>
      </c>
      <c r="I34" s="486">
        <f>+'13'!I38</f>
        <v>52.908000000000001</v>
      </c>
    </row>
    <row r="35" spans="1:9">
      <c r="A35" s="568"/>
      <c r="B35" s="485" t="s">
        <v>584</v>
      </c>
      <c r="C35">
        <v>2</v>
      </c>
      <c r="D35" s="357" t="s">
        <v>590</v>
      </c>
      <c r="E35" s="357">
        <f>254+14</f>
        <v>268</v>
      </c>
      <c r="F35" s="357">
        <f>3+13+7</f>
        <v>23</v>
      </c>
      <c r="G35">
        <f>+E35*F35</f>
        <v>6164</v>
      </c>
      <c r="H35" s="486">
        <f>+G35/F35</f>
        <v>268</v>
      </c>
      <c r="I35" s="486"/>
    </row>
    <row r="36" spans="1:9" ht="13.8" thickBot="1">
      <c r="A36" s="344"/>
      <c r="B36" s="359"/>
      <c r="C36" s="345"/>
      <c r="D36" s="346"/>
      <c r="E36" s="345"/>
      <c r="F36" s="345"/>
      <c r="G36" s="345"/>
      <c r="H36" s="360"/>
      <c r="I36" s="360"/>
    </row>
    <row r="37" spans="1:9">
      <c r="A37" s="568">
        <v>46095</v>
      </c>
      <c r="B37" s="485" t="s">
        <v>584</v>
      </c>
      <c r="C37">
        <v>2</v>
      </c>
      <c r="D37" s="357" t="s">
        <v>590</v>
      </c>
      <c r="E37" s="357">
        <f>254+14</f>
        <v>268</v>
      </c>
      <c r="F37" s="357">
        <f>118/2</f>
        <v>59</v>
      </c>
      <c r="G37">
        <f>+E37*F37</f>
        <v>15812</v>
      </c>
      <c r="H37" s="486">
        <f>+G37/F37</f>
        <v>268</v>
      </c>
      <c r="I37" s="486">
        <f>+'14'!I38</f>
        <v>53.817000000000007</v>
      </c>
    </row>
    <row r="38" spans="1:9" ht="13.8" thickBot="1">
      <c r="A38" s="344"/>
      <c r="B38" s="359"/>
      <c r="C38" s="345"/>
      <c r="D38" s="346"/>
      <c r="E38" s="345"/>
      <c r="F38" s="345"/>
      <c r="G38" s="345"/>
      <c r="H38" s="360"/>
      <c r="I38" s="360"/>
    </row>
    <row r="39" spans="1:9">
      <c r="A39" s="568">
        <v>46096</v>
      </c>
      <c r="B39" s="485" t="s">
        <v>584</v>
      </c>
      <c r="C39">
        <v>2</v>
      </c>
      <c r="D39" s="357" t="s">
        <v>590</v>
      </c>
      <c r="E39" s="357">
        <f>254+14</f>
        <v>268</v>
      </c>
      <c r="F39" s="357">
        <f>19+10</f>
        <v>29</v>
      </c>
      <c r="G39">
        <f>+E39*F39</f>
        <v>7772</v>
      </c>
      <c r="H39" s="585">
        <f>+SUM(F39*E39+F40*E40)/SUM(F39:F40)</f>
        <v>262.91346153846155</v>
      </c>
      <c r="I39" s="486">
        <f>+'15'!I38</f>
        <v>49.988999999999997</v>
      </c>
    </row>
    <row r="40" spans="1:9">
      <c r="A40" s="568"/>
      <c r="B40" s="485" t="s">
        <v>584</v>
      </c>
      <c r="C40">
        <v>2</v>
      </c>
      <c r="D40" s="357" t="s">
        <v>427</v>
      </c>
      <c r="E40" s="357">
        <f>256.5*1</f>
        <v>256.5</v>
      </c>
      <c r="F40" s="357">
        <f>3+13+7</f>
        <v>23</v>
      </c>
      <c r="G40">
        <f>+E40*F40</f>
        <v>5899.5</v>
      </c>
      <c r="H40" s="486"/>
      <c r="I40" s="486"/>
    </row>
    <row r="41" spans="1:9" ht="13.8" thickBot="1">
      <c r="A41" s="344"/>
      <c r="B41" s="359"/>
      <c r="C41" s="345"/>
      <c r="D41" s="346"/>
      <c r="E41" s="345"/>
      <c r="F41" s="345"/>
      <c r="G41" s="345"/>
      <c r="H41" s="360"/>
      <c r="I41" s="360"/>
    </row>
    <row r="42" spans="1:9">
      <c r="A42" s="568">
        <v>46097</v>
      </c>
      <c r="B42" s="485" t="s">
        <v>584</v>
      </c>
      <c r="C42">
        <v>2</v>
      </c>
      <c r="D42" s="357" t="s">
        <v>590</v>
      </c>
      <c r="E42" s="357">
        <f>254+14</f>
        <v>268</v>
      </c>
      <c r="F42" s="357">
        <f>10+9+23</f>
        <v>42</v>
      </c>
      <c r="G42">
        <f>+E42*F42</f>
        <v>11256</v>
      </c>
      <c r="H42" s="585">
        <f>+SUM(F42*E42+F43*E43)/SUM(F42:F43)</f>
        <v>264.41803278688525</v>
      </c>
      <c r="I42" s="486">
        <f>+'16'!I38</f>
        <v>49.835000000000008</v>
      </c>
    </row>
    <row r="43" spans="1:9">
      <c r="A43" s="568"/>
      <c r="B43" s="485" t="s">
        <v>584</v>
      </c>
      <c r="C43">
        <v>2</v>
      </c>
      <c r="D43" s="357" t="s">
        <v>427</v>
      </c>
      <c r="E43" s="357">
        <f>256.5*1</f>
        <v>256.5</v>
      </c>
      <c r="F43" s="357">
        <f>4+12+3</f>
        <v>19</v>
      </c>
      <c r="G43">
        <f>+E43*F43</f>
        <v>4873.5</v>
      </c>
      <c r="H43" s="486"/>
      <c r="I43" s="486"/>
    </row>
    <row r="44" spans="1:9" ht="13.8" thickBot="1">
      <c r="A44" s="344"/>
      <c r="B44" s="359"/>
      <c r="C44" s="345"/>
      <c r="D44" s="346"/>
      <c r="E44" s="345"/>
      <c r="F44" s="345"/>
      <c r="G44" s="345"/>
      <c r="H44" s="360"/>
      <c r="I44" s="360"/>
    </row>
    <row r="45" spans="1:9">
      <c r="A45" s="568">
        <v>46098</v>
      </c>
      <c r="B45" s="485" t="s">
        <v>584</v>
      </c>
      <c r="C45">
        <v>2</v>
      </c>
      <c r="D45" s="357" t="s">
        <v>590</v>
      </c>
      <c r="E45" s="357">
        <f>254+14</f>
        <v>268</v>
      </c>
      <c r="F45" s="357">
        <f>11+1</f>
        <v>12</v>
      </c>
      <c r="G45">
        <f>+E45*F45</f>
        <v>3216</v>
      </c>
      <c r="H45" s="585">
        <f>+SUM(F45*E45+F46*E46)/SUM(F45:F46)</f>
        <v>260.55882352941177</v>
      </c>
      <c r="I45" s="486">
        <f>+'17'!I38</f>
        <v>49.497999999999998</v>
      </c>
    </row>
    <row r="46" spans="1:9">
      <c r="A46" s="568"/>
      <c r="B46" s="485" t="s">
        <v>584</v>
      </c>
      <c r="C46">
        <v>2</v>
      </c>
      <c r="D46" s="357" t="s">
        <v>427</v>
      </c>
      <c r="E46" s="357">
        <f>256.5*1</f>
        <v>256.5</v>
      </c>
      <c r="F46" s="357">
        <f>6+16</f>
        <v>22</v>
      </c>
      <c r="G46">
        <f>+E46*F46</f>
        <v>5643</v>
      </c>
      <c r="H46" s="486"/>
      <c r="I46" s="486"/>
    </row>
    <row r="47" spans="1:9">
      <c r="A47" s="568"/>
      <c r="B47" s="485" t="s">
        <v>410</v>
      </c>
      <c r="C47">
        <v>2</v>
      </c>
      <c r="D47" s="357" t="s">
        <v>632</v>
      </c>
      <c r="E47" s="357">
        <f>130*2</f>
        <v>260</v>
      </c>
      <c r="F47" s="357">
        <f>76/2</f>
        <v>38</v>
      </c>
      <c r="G47">
        <f>+E47*F47</f>
        <v>9880</v>
      </c>
      <c r="H47" s="486">
        <f>+G47/F47</f>
        <v>260</v>
      </c>
      <c r="I47" s="486"/>
    </row>
    <row r="48" spans="1:9" ht="13.8" thickBot="1">
      <c r="A48" s="344"/>
      <c r="B48" s="359"/>
      <c r="C48" s="345"/>
      <c r="D48" s="346"/>
      <c r="E48" s="345"/>
      <c r="F48" s="345"/>
      <c r="G48" s="345"/>
      <c r="H48" s="360"/>
      <c r="I48" s="360"/>
    </row>
    <row r="49" spans="1:9">
      <c r="A49" s="568">
        <v>46099</v>
      </c>
      <c r="B49" s="485" t="s">
        <v>410</v>
      </c>
      <c r="C49">
        <v>2</v>
      </c>
      <c r="D49" s="357" t="s">
        <v>632</v>
      </c>
      <c r="E49" s="357">
        <f>130*2</f>
        <v>260</v>
      </c>
      <c r="F49" s="357">
        <v>20</v>
      </c>
      <c r="G49">
        <f>+E49*F49</f>
        <v>5200</v>
      </c>
      <c r="H49" s="486">
        <f>+G49/F49</f>
        <v>260</v>
      </c>
      <c r="I49" s="486">
        <f>+'18'!N37</f>
        <v>7.9570000000000007</v>
      </c>
    </row>
    <row r="50" spans="1:9">
      <c r="A50" s="568"/>
      <c r="B50" s="485" t="s">
        <v>659</v>
      </c>
      <c r="C50">
        <v>2</v>
      </c>
      <c r="D50" s="357" t="s">
        <v>660</v>
      </c>
      <c r="E50" s="357">
        <f>257*1</f>
        <v>257</v>
      </c>
      <c r="F50" s="357">
        <f>6+18+18</f>
        <v>42</v>
      </c>
      <c r="G50">
        <f>+E50*F50</f>
        <v>10794</v>
      </c>
      <c r="H50" s="486">
        <f>+G50/F50</f>
        <v>257</v>
      </c>
      <c r="I50" s="486">
        <f>+'18'!N38</f>
        <v>48.860999999999997</v>
      </c>
    </row>
    <row r="51" spans="1:9" ht="13.8" thickBot="1">
      <c r="A51" s="344"/>
      <c r="B51" s="359"/>
      <c r="C51" s="345"/>
      <c r="D51" s="346"/>
      <c r="E51" s="345"/>
      <c r="F51" s="345"/>
      <c r="G51" s="345"/>
      <c r="H51" s="360"/>
      <c r="I51" s="360"/>
    </row>
    <row r="52" spans="1:9">
      <c r="A52" s="568">
        <v>46100</v>
      </c>
      <c r="B52" s="485" t="s">
        <v>659</v>
      </c>
      <c r="C52">
        <v>2</v>
      </c>
      <c r="D52" s="357" t="s">
        <v>660</v>
      </c>
      <c r="E52" s="357">
        <f>257*1</f>
        <v>257</v>
      </c>
      <c r="F52" s="357">
        <v>53</v>
      </c>
      <c r="G52">
        <f>+E52*F52</f>
        <v>13621</v>
      </c>
      <c r="H52" s="486">
        <f>+G52/F52</f>
        <v>257</v>
      </c>
      <c r="I52" s="486">
        <f>+'19'!I38</f>
        <v>60.469000000000001</v>
      </c>
    </row>
    <row r="53" spans="1:9" ht="13.8" thickBot="1">
      <c r="A53" s="344"/>
      <c r="B53" s="359"/>
      <c r="C53" s="345"/>
      <c r="D53" s="346"/>
      <c r="E53" s="345"/>
      <c r="F53" s="345"/>
      <c r="G53" s="345"/>
      <c r="H53" s="360"/>
      <c r="I53" s="360"/>
    </row>
    <row r="54" spans="1:9">
      <c r="A54" s="568">
        <v>46101</v>
      </c>
      <c r="B54" s="485" t="s">
        <v>659</v>
      </c>
      <c r="C54">
        <v>2</v>
      </c>
      <c r="D54" s="357" t="s">
        <v>660</v>
      </c>
      <c r="E54" s="357">
        <f>257*1</f>
        <v>257</v>
      </c>
      <c r="F54" s="357">
        <v>51</v>
      </c>
      <c r="G54">
        <f>+E54*F54</f>
        <v>13107</v>
      </c>
      <c r="H54" s="486">
        <f>+G54/F54</f>
        <v>257</v>
      </c>
      <c r="I54" s="486">
        <f>+'20'!I38</f>
        <v>56.71</v>
      </c>
    </row>
    <row r="55" spans="1:9" ht="13.8" thickBot="1">
      <c r="A55" s="344"/>
      <c r="B55" s="359"/>
      <c r="C55" s="345"/>
      <c r="D55" s="346"/>
      <c r="E55" s="345"/>
      <c r="F55" s="345"/>
      <c r="G55" s="345"/>
      <c r="H55" s="360"/>
      <c r="I55" s="360"/>
    </row>
    <row r="56" spans="1:9">
      <c r="A56" s="568">
        <v>46102</v>
      </c>
      <c r="B56" s="485" t="s">
        <v>659</v>
      </c>
      <c r="C56">
        <v>2</v>
      </c>
      <c r="D56" s="357" t="s">
        <v>660</v>
      </c>
      <c r="E56" s="357">
        <f>257*1</f>
        <v>257</v>
      </c>
      <c r="F56" s="357">
        <v>53</v>
      </c>
      <c r="G56">
        <f>+E56*F56</f>
        <v>13621</v>
      </c>
      <c r="H56" s="486">
        <f>+G56/F56</f>
        <v>257</v>
      </c>
      <c r="I56" s="486">
        <f>+'21'!I38</f>
        <v>60.215000000000003</v>
      </c>
    </row>
    <row r="57" spans="1:9" ht="13.8" thickBot="1">
      <c r="A57" s="344"/>
      <c r="B57" s="359"/>
      <c r="C57" s="345"/>
      <c r="D57" s="346"/>
      <c r="E57" s="345"/>
      <c r="F57" s="345"/>
      <c r="G57" s="345"/>
      <c r="H57" s="360"/>
      <c r="I57" s="360"/>
    </row>
    <row r="58" spans="1:9">
      <c r="A58" s="568">
        <v>46103</v>
      </c>
      <c r="B58" s="485" t="s">
        <v>659</v>
      </c>
      <c r="C58">
        <v>2</v>
      </c>
      <c r="D58" s="357" t="s">
        <v>660</v>
      </c>
      <c r="E58" s="357">
        <f>257*1</f>
        <v>257</v>
      </c>
      <c r="F58" s="357">
        <f>5+18+17</f>
        <v>40</v>
      </c>
      <c r="G58">
        <f>+E58*F58</f>
        <v>10280</v>
      </c>
      <c r="H58" s="486">
        <f>+G58/F58</f>
        <v>257</v>
      </c>
      <c r="I58" s="486">
        <f>+'22'!I38</f>
        <v>54.510999999999996</v>
      </c>
    </row>
    <row r="59" spans="1:9">
      <c r="A59" s="568"/>
      <c r="B59" s="485" t="s">
        <v>410</v>
      </c>
      <c r="C59">
        <v>2</v>
      </c>
      <c r="D59" s="357" t="s">
        <v>632</v>
      </c>
      <c r="E59" s="357">
        <f>130*2</f>
        <v>260</v>
      </c>
      <c r="F59" s="357">
        <v>17</v>
      </c>
      <c r="G59">
        <f>+E59*F59</f>
        <v>4420</v>
      </c>
      <c r="H59" s="486">
        <f>+G59/F59</f>
        <v>260</v>
      </c>
      <c r="I59" s="486"/>
    </row>
    <row r="60" spans="1:9" ht="13.8" thickBot="1">
      <c r="A60" s="344"/>
      <c r="B60" s="359"/>
      <c r="C60" s="345"/>
      <c r="D60" s="346"/>
      <c r="E60" s="345"/>
      <c r="F60" s="345"/>
      <c r="G60" s="345"/>
      <c r="H60" s="360"/>
      <c r="I60" s="360"/>
    </row>
    <row r="61" spans="1:9">
      <c r="A61" s="568">
        <v>46104</v>
      </c>
      <c r="B61" s="485" t="s">
        <v>410</v>
      </c>
      <c r="C61">
        <v>2</v>
      </c>
      <c r="D61" s="357" t="s">
        <v>632</v>
      </c>
      <c r="E61" s="357">
        <f>130*2</f>
        <v>260</v>
      </c>
      <c r="F61" s="357">
        <f>94/2</f>
        <v>47</v>
      </c>
      <c r="G61">
        <f>+E61*F61</f>
        <v>12220</v>
      </c>
      <c r="H61" s="486">
        <f>+G61/F61</f>
        <v>260</v>
      </c>
      <c r="I61" s="486">
        <f>+'23'!I38</f>
        <v>52.420999999999999</v>
      </c>
    </row>
    <row r="62" spans="1:9">
      <c r="A62" s="568"/>
      <c r="B62" s="485" t="s">
        <v>584</v>
      </c>
      <c r="C62">
        <v>2</v>
      </c>
      <c r="D62" s="357" t="s">
        <v>427</v>
      </c>
      <c r="E62" s="357">
        <f>256.5*1</f>
        <v>256.5</v>
      </c>
      <c r="F62" s="357">
        <f>4+19</f>
        <v>23</v>
      </c>
      <c r="G62">
        <f>+E62*F62</f>
        <v>5899.5</v>
      </c>
      <c r="H62" s="486">
        <f>+G62/F62</f>
        <v>256.5</v>
      </c>
      <c r="I62" s="486"/>
    </row>
    <row r="63" spans="1:9" ht="13.8" thickBot="1">
      <c r="A63" s="344"/>
      <c r="B63" s="359"/>
      <c r="C63" s="345"/>
      <c r="D63" s="346"/>
      <c r="E63" s="345"/>
      <c r="F63" s="345"/>
      <c r="G63" s="345"/>
      <c r="H63" s="360"/>
      <c r="I63" s="360"/>
    </row>
    <row r="64" spans="1:9">
      <c r="A64" s="568">
        <v>46105</v>
      </c>
      <c r="B64" s="485" t="s">
        <v>584</v>
      </c>
      <c r="C64">
        <v>2</v>
      </c>
      <c r="D64" s="357" t="s">
        <v>590</v>
      </c>
      <c r="E64" s="357">
        <f>254+14</f>
        <v>268</v>
      </c>
      <c r="F64" s="357">
        <f>25+6</f>
        <v>31</v>
      </c>
      <c r="G64">
        <f>+E64*F64</f>
        <v>8308</v>
      </c>
      <c r="H64" s="585">
        <f>+SUM(F64*E64+F65*E65)/SUM(F64:F65)</f>
        <v>262.25</v>
      </c>
      <c r="I64" s="486">
        <f>+'24'!I38</f>
        <v>50.03</v>
      </c>
    </row>
    <row r="65" spans="1:9">
      <c r="A65" s="568"/>
      <c r="B65" s="485" t="s">
        <v>584</v>
      </c>
      <c r="C65">
        <v>2</v>
      </c>
      <c r="D65" s="357" t="s">
        <v>427</v>
      </c>
      <c r="E65" s="357">
        <f>256.5*1</f>
        <v>256.5</v>
      </c>
      <c r="F65" s="357">
        <f>19+12</f>
        <v>31</v>
      </c>
      <c r="G65">
        <f>+E65*F65</f>
        <v>7951.5</v>
      </c>
      <c r="H65" s="486"/>
      <c r="I65" s="486"/>
    </row>
    <row r="66" spans="1:9" ht="13.8" thickBot="1">
      <c r="A66" s="344"/>
      <c r="B66" s="359"/>
      <c r="C66" s="345"/>
      <c r="D66" s="346"/>
      <c r="E66" s="345"/>
      <c r="F66" s="345"/>
      <c r="G66" s="345"/>
      <c r="H66" s="360"/>
      <c r="I66" s="360"/>
    </row>
    <row r="67" spans="1:9">
      <c r="A67" s="568">
        <v>46106</v>
      </c>
      <c r="B67" s="485" t="s">
        <v>584</v>
      </c>
      <c r="C67">
        <v>2</v>
      </c>
      <c r="D67" s="357" t="s">
        <v>590</v>
      </c>
      <c r="E67" s="357">
        <f>254+14</f>
        <v>268</v>
      </c>
      <c r="F67" s="357">
        <v>5</v>
      </c>
      <c r="G67">
        <f>+E67*F67</f>
        <v>1340</v>
      </c>
      <c r="H67" s="585">
        <f>+SUM(F67*E67+F68*E68)/SUM(F67:F68)</f>
        <v>258.296875</v>
      </c>
      <c r="I67" s="486">
        <f>+'25'!I38</f>
        <v>49.863</v>
      </c>
    </row>
    <row r="68" spans="1:9">
      <c r="A68" s="568"/>
      <c r="B68" s="485" t="s">
        <v>584</v>
      </c>
      <c r="C68">
        <v>2</v>
      </c>
      <c r="D68" s="357" t="s">
        <v>427</v>
      </c>
      <c r="E68" s="357">
        <f>256.5*1</f>
        <v>256.5</v>
      </c>
      <c r="F68" s="357">
        <f>9+9+9</f>
        <v>27</v>
      </c>
      <c r="G68">
        <f>+E68*F68</f>
        <v>6925.5</v>
      </c>
      <c r="H68" s="486"/>
      <c r="I68" s="486"/>
    </row>
    <row r="69" spans="1:9" ht="13.8" thickBot="1">
      <c r="A69" s="344"/>
      <c r="B69" s="359"/>
      <c r="C69" s="345"/>
      <c r="D69" s="346"/>
      <c r="E69" s="345"/>
      <c r="F69" s="345"/>
      <c r="G69" s="345"/>
      <c r="H69" s="360"/>
      <c r="I69" s="360"/>
    </row>
    <row r="70" spans="1:9">
      <c r="A70" s="568">
        <v>46107</v>
      </c>
      <c r="B70" s="485" t="s">
        <v>584</v>
      </c>
      <c r="C70">
        <v>2</v>
      </c>
      <c r="D70" s="357" t="s">
        <v>427</v>
      </c>
      <c r="E70" s="357">
        <f>256.5*1</f>
        <v>256.5</v>
      </c>
      <c r="F70" s="357">
        <f>9+9+9</f>
        <v>27</v>
      </c>
      <c r="G70">
        <f>+E70*F70</f>
        <v>6925.5</v>
      </c>
      <c r="H70" s="486">
        <f>+G70/F70</f>
        <v>256.5</v>
      </c>
      <c r="I70" s="486">
        <f>+'26'!I38</f>
        <v>48.759</v>
      </c>
    </row>
    <row r="71" spans="1:9" ht="13.8" thickBot="1">
      <c r="A71" s="344"/>
      <c r="B71" s="359"/>
      <c r="C71" s="345"/>
      <c r="D71" s="346"/>
      <c r="E71" s="345"/>
      <c r="F71" s="345"/>
      <c r="G71" s="345"/>
      <c r="H71" s="360"/>
      <c r="I71" s="360"/>
    </row>
    <row r="72" spans="1:9">
      <c r="A72" s="568">
        <v>46108</v>
      </c>
      <c r="B72" s="485" t="s">
        <v>584</v>
      </c>
      <c r="C72">
        <v>2</v>
      </c>
      <c r="D72" s="357" t="s">
        <v>427</v>
      </c>
      <c r="E72" s="357">
        <f>256.5*1</f>
        <v>256.5</v>
      </c>
      <c r="F72" s="357">
        <v>6</v>
      </c>
      <c r="G72">
        <f>+E72*F72</f>
        <v>1539</v>
      </c>
      <c r="H72" s="585">
        <f>+SUM(F72*E72+F73*E73)/SUM(F72:F73)</f>
        <v>266.39534883720933</v>
      </c>
      <c r="I72" s="486">
        <f>+'27'!I38</f>
        <v>51.256</v>
      </c>
    </row>
    <row r="73" spans="1:9">
      <c r="A73" s="568"/>
      <c r="B73" s="485" t="s">
        <v>584</v>
      </c>
      <c r="C73">
        <v>2</v>
      </c>
      <c r="D73" s="357" t="s">
        <v>590</v>
      </c>
      <c r="E73" s="357">
        <f>254+14</f>
        <v>268</v>
      </c>
      <c r="F73" s="357">
        <f>74/2</f>
        <v>37</v>
      </c>
      <c r="G73">
        <f>+E73*F73</f>
        <v>9916</v>
      </c>
      <c r="H73" s="486"/>
      <c r="I73" s="486"/>
    </row>
    <row r="74" spans="1:9" ht="13.8" thickBot="1">
      <c r="A74" s="344"/>
      <c r="B74" s="359"/>
      <c r="C74" s="345"/>
      <c r="D74" s="346"/>
      <c r="E74" s="345"/>
      <c r="F74" s="345"/>
      <c r="G74" s="345"/>
      <c r="H74" s="360"/>
      <c r="I74" s="360"/>
    </row>
    <row r="75" spans="1:9">
      <c r="A75" s="568">
        <v>46109</v>
      </c>
      <c r="B75" s="485" t="s">
        <v>584</v>
      </c>
      <c r="C75">
        <v>2</v>
      </c>
      <c r="D75" s="357" t="s">
        <v>590</v>
      </c>
      <c r="E75" s="357">
        <f>254+14</f>
        <v>268</v>
      </c>
      <c r="F75" s="357">
        <f>104/2</f>
        <v>52</v>
      </c>
      <c r="G75">
        <f>+E75*F75</f>
        <v>13936</v>
      </c>
      <c r="H75" s="486">
        <f>+G75/F75</f>
        <v>268</v>
      </c>
      <c r="I75" s="486">
        <f>+'28'!I38</f>
        <v>52.190000000000005</v>
      </c>
    </row>
    <row r="76" spans="1:9" ht="13.8" thickBot="1">
      <c r="A76" s="344"/>
      <c r="B76" s="359"/>
      <c r="C76" s="345"/>
      <c r="D76" s="346"/>
      <c r="E76" s="345"/>
      <c r="F76" s="345"/>
      <c r="G76" s="345"/>
      <c r="H76" s="360"/>
      <c r="I76" s="360"/>
    </row>
    <row r="77" spans="1:9">
      <c r="A77" s="568">
        <v>46110</v>
      </c>
      <c r="B77" s="485" t="s">
        <v>584</v>
      </c>
      <c r="C77">
        <v>2</v>
      </c>
      <c r="D77" s="357" t="s">
        <v>590</v>
      </c>
      <c r="E77" s="357">
        <f>254+14</f>
        <v>268</v>
      </c>
      <c r="F77" s="357">
        <f>19+20+11</f>
        <v>50</v>
      </c>
      <c r="G77">
        <f>+E77*F77</f>
        <v>13400</v>
      </c>
      <c r="H77" s="486">
        <f>+G77/F77</f>
        <v>268</v>
      </c>
      <c r="I77" s="486">
        <f>+'29'!I38</f>
        <v>51.055</v>
      </c>
    </row>
    <row r="78" spans="1:9">
      <c r="A78" s="568"/>
      <c r="B78" s="485" t="s">
        <v>465</v>
      </c>
      <c r="C78">
        <v>2</v>
      </c>
      <c r="D78" s="357" t="s">
        <v>756</v>
      </c>
      <c r="E78" s="357">
        <f>264*1</f>
        <v>264</v>
      </c>
      <c r="F78" s="357">
        <v>3</v>
      </c>
      <c r="G78">
        <f>+E78*F78</f>
        <v>792</v>
      </c>
      <c r="H78" s="486">
        <f>+G78/F78</f>
        <v>264</v>
      </c>
      <c r="I78" s="486"/>
    </row>
    <row r="79" spans="1:9" ht="13.8" thickBot="1">
      <c r="A79" s="344"/>
      <c r="B79" s="359"/>
      <c r="C79" s="345"/>
      <c r="D79" s="346"/>
      <c r="E79" s="345"/>
      <c r="F79" s="345"/>
      <c r="G79" s="345"/>
      <c r="H79" s="360"/>
      <c r="I79" s="360"/>
    </row>
    <row r="80" spans="1:9">
      <c r="A80" s="568">
        <v>46111</v>
      </c>
      <c r="B80" s="485" t="s">
        <v>584</v>
      </c>
      <c r="C80">
        <v>2</v>
      </c>
      <c r="D80" s="357" t="s">
        <v>590</v>
      </c>
      <c r="E80" s="357">
        <f>254+14</f>
        <v>268</v>
      </c>
      <c r="F80" s="357">
        <v>5</v>
      </c>
      <c r="G80">
        <f>+E80*F80</f>
        <v>1340</v>
      </c>
      <c r="H80" s="585">
        <f>+SUM(F80*E80+F81*E81)/SUM(F80:F81)</f>
        <v>258.296875</v>
      </c>
      <c r="I80" s="486">
        <f>+'30'!I38</f>
        <v>50.265000000000001</v>
      </c>
    </row>
    <row r="81" spans="1:9">
      <c r="A81" s="568"/>
      <c r="B81" s="485" t="s">
        <v>584</v>
      </c>
      <c r="C81">
        <v>2</v>
      </c>
      <c r="D81" s="357" t="s">
        <v>427</v>
      </c>
      <c r="E81" s="357">
        <f>256.5*1</f>
        <v>256.5</v>
      </c>
      <c r="F81" s="357">
        <f>9+9+9</f>
        <v>27</v>
      </c>
      <c r="G81">
        <f>+E81*F81</f>
        <v>6925.5</v>
      </c>
      <c r="H81" s="486"/>
      <c r="I81" s="486"/>
    </row>
    <row r="82" spans="1:9">
      <c r="A82" s="568"/>
      <c r="B82" s="485" t="s">
        <v>465</v>
      </c>
      <c r="C82">
        <v>2</v>
      </c>
      <c r="D82" s="357" t="s">
        <v>756</v>
      </c>
      <c r="E82" s="357">
        <f>264*1</f>
        <v>264</v>
      </c>
      <c r="F82" s="357">
        <f>17+19+16</f>
        <v>52</v>
      </c>
      <c r="G82">
        <f>+E82*F82</f>
        <v>13728</v>
      </c>
      <c r="H82" s="486">
        <f>+G82/F82</f>
        <v>264</v>
      </c>
      <c r="I82" s="486"/>
    </row>
    <row r="83" spans="1:9" ht="13.8" thickBot="1">
      <c r="A83" s="344"/>
      <c r="B83" s="359"/>
      <c r="C83" s="345"/>
      <c r="D83" s="346"/>
      <c r="E83" s="345"/>
      <c r="F83" s="345"/>
      <c r="G83" s="345"/>
      <c r="H83" s="360"/>
      <c r="I83" s="360"/>
    </row>
    <row r="84" spans="1:9">
      <c r="A84" s="568">
        <v>46112</v>
      </c>
      <c r="B84" s="485" t="s">
        <v>584</v>
      </c>
      <c r="C84">
        <v>2</v>
      </c>
      <c r="D84" s="357" t="s">
        <v>427</v>
      </c>
      <c r="E84" s="357">
        <f>256.5*1</f>
        <v>256.5</v>
      </c>
      <c r="F84" s="357">
        <f>16+11+20</f>
        <v>47</v>
      </c>
      <c r="G84">
        <f>+E84*F84</f>
        <v>12055.5</v>
      </c>
      <c r="H84" s="486">
        <f>+G84/F84</f>
        <v>256.5</v>
      </c>
      <c r="I84" s="486">
        <f>+'31'!I38</f>
        <v>49.249000000000002</v>
      </c>
    </row>
    <row r="85" spans="1:9">
      <c r="A85" s="568"/>
      <c r="B85" s="485" t="s">
        <v>465</v>
      </c>
      <c r="C85">
        <v>2</v>
      </c>
      <c r="D85" s="357" t="s">
        <v>756</v>
      </c>
      <c r="E85" s="357">
        <f>264*1</f>
        <v>264</v>
      </c>
      <c r="F85" s="357">
        <v>1</v>
      </c>
      <c r="G85">
        <f>+E85*F85</f>
        <v>264</v>
      </c>
      <c r="H85" s="486">
        <f>+G85/F85</f>
        <v>264</v>
      </c>
      <c r="I85" s="486"/>
    </row>
    <row r="86" spans="1:9">
      <c r="A86" s="568"/>
      <c r="B86" s="485" t="s">
        <v>410</v>
      </c>
      <c r="C86">
        <v>2</v>
      </c>
      <c r="D86" s="357" t="s">
        <v>427</v>
      </c>
      <c r="E86" s="357">
        <f>256.5*1</f>
        <v>256.5</v>
      </c>
      <c r="F86" s="357">
        <v>0</v>
      </c>
      <c r="G86">
        <v>0</v>
      </c>
      <c r="H86" s="486">
        <f>+E86</f>
        <v>256.5</v>
      </c>
      <c r="I86" s="486"/>
    </row>
    <row r="87" spans="1:9" ht="13.8" thickBot="1">
      <c r="A87" s="344"/>
      <c r="B87" s="359"/>
      <c r="C87" s="345"/>
      <c r="D87" s="346"/>
      <c r="E87" s="345"/>
      <c r="F87" s="345"/>
      <c r="G87" s="345"/>
      <c r="H87" s="360"/>
      <c r="I87" s="360"/>
    </row>
  </sheetData>
  <phoneticPr fontId="31" type="noConversion"/>
  <pageMargins left="0.75" right="0.75" top="1" bottom="1" header="0.5" footer="0.5"/>
  <pageSetup orientation="portrait" horizontalDpi="0"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S179"/>
  <sheetViews>
    <sheetView zoomScale="90" zoomScaleNormal="90" workbookViewId="0">
      <pane xSplit="6" ySplit="6" topLeftCell="AW103" activePane="bottomRight" state="frozen"/>
      <selection pane="topRight" activeCell="F1" sqref="F1"/>
      <selection pane="bottomLeft" activeCell="A7" sqref="A7"/>
      <selection pane="bottomRight" activeCell="BD6" sqref="BD6:BF111"/>
    </sheetView>
  </sheetViews>
  <sheetFormatPr defaultColWidth="10.33203125" defaultRowHeight="11.4"/>
  <cols>
    <col min="1" max="1" width="12.33203125" style="30" customWidth="1"/>
    <col min="2" max="3" width="14.109375" style="30" customWidth="1"/>
    <col min="4" max="4" width="10.33203125" style="30" customWidth="1"/>
    <col min="5" max="5" width="7.5546875" style="30" bestFit="1" customWidth="1"/>
    <col min="6" max="6" width="7" style="54" customWidth="1"/>
    <col min="7" max="9" width="10.33203125" style="30" customWidth="1"/>
    <col min="10" max="11" width="10.33203125" style="83" customWidth="1"/>
    <col min="12" max="13" width="12.6640625" style="55" customWidth="1"/>
    <col min="14" max="15" width="10.33203125" style="30" customWidth="1"/>
    <col min="16" max="16" width="16.88671875" style="30" bestFit="1" customWidth="1"/>
    <col min="17" max="17" width="12.6640625" style="312" customWidth="1"/>
    <col min="18" max="19" width="10.33203125" style="30" customWidth="1"/>
    <col min="20" max="20" width="10.6640625" style="30" customWidth="1"/>
    <col min="21" max="21" width="10.33203125" style="30" customWidth="1"/>
    <col min="22" max="22" width="12.33203125" style="30" customWidth="1"/>
    <col min="23" max="23" width="13" style="30" customWidth="1"/>
    <col min="24" max="24" width="10.33203125" style="30" customWidth="1"/>
    <col min="25" max="25" width="10.109375" style="30" customWidth="1"/>
    <col min="26" max="26" width="14.109375" style="30" bestFit="1" customWidth="1"/>
    <col min="27" max="28" width="10.33203125" style="30" customWidth="1"/>
    <col min="29" max="29" width="12" style="30" customWidth="1"/>
    <col min="30" max="30" width="11.44140625" style="30" bestFit="1" customWidth="1"/>
    <col min="31" max="31" width="52.5546875" style="30" customWidth="1"/>
    <col min="32" max="36" width="10.33203125" style="30" customWidth="1"/>
    <col min="37" max="37" width="11.88671875" style="30" customWidth="1"/>
    <col min="38" max="39" width="11.6640625" style="30" customWidth="1"/>
    <col min="40" max="41" width="10.33203125" style="30" customWidth="1"/>
    <col min="42" max="42" width="12.44140625" style="30" customWidth="1"/>
    <col min="43" max="43" width="12.5546875" style="30" customWidth="1"/>
    <col min="44" max="44" width="29.6640625" style="30" customWidth="1"/>
    <col min="45" max="51" width="10.33203125" style="30" customWidth="1"/>
    <col min="52" max="52" width="13.88671875" style="30" customWidth="1"/>
    <col min="53" max="53" width="10.33203125" style="30" customWidth="1"/>
    <col min="54" max="16384" width="10.33203125" style="30"/>
  </cols>
  <sheetData>
    <row r="1" spans="1:58" s="23" customFormat="1" ht="15.6">
      <c r="A1" s="22" t="s">
        <v>223</v>
      </c>
      <c r="G1" s="24"/>
      <c r="H1" s="24"/>
      <c r="I1" s="24"/>
      <c r="J1" s="80"/>
      <c r="K1" s="80"/>
      <c r="L1" s="25"/>
      <c r="M1" s="25"/>
      <c r="O1" s="24"/>
      <c r="P1" s="26"/>
      <c r="Q1" s="24"/>
      <c r="R1" s="26"/>
      <c r="S1" s="26"/>
      <c r="W1" s="26"/>
      <c r="X1" s="27"/>
      <c r="Y1" s="27"/>
      <c r="Z1" s="26"/>
      <c r="AF1" s="26"/>
      <c r="AG1" s="26"/>
      <c r="AH1" s="26"/>
      <c r="AI1" s="26"/>
      <c r="AJ1" s="26"/>
      <c r="AK1" s="26"/>
      <c r="AL1" s="26"/>
      <c r="AM1" s="26"/>
      <c r="AN1" s="26"/>
      <c r="AO1" s="26"/>
      <c r="AP1" s="26"/>
      <c r="AQ1" s="26"/>
      <c r="AR1" s="26"/>
      <c r="AS1" s="26"/>
      <c r="AT1" s="26"/>
      <c r="AU1" s="26"/>
      <c r="AV1" s="26"/>
      <c r="AW1" s="26"/>
      <c r="AX1" s="26"/>
      <c r="AY1" s="26"/>
      <c r="AZ1" s="26"/>
      <c r="BA1" s="26"/>
    </row>
    <row r="2" spans="1:58" s="23" customFormat="1" ht="12">
      <c r="A2" s="90"/>
      <c r="G2" s="24"/>
      <c r="H2" s="24"/>
      <c r="I2" s="24"/>
      <c r="J2" s="80"/>
      <c r="K2" s="80"/>
      <c r="L2" s="25"/>
      <c r="M2" s="25"/>
      <c r="O2" s="24"/>
      <c r="P2" s="26"/>
      <c r="Q2" s="24"/>
      <c r="R2" s="26"/>
      <c r="S2" s="26"/>
      <c r="W2" s="26"/>
      <c r="X2" s="27"/>
      <c r="Y2" s="27"/>
      <c r="Z2" s="26"/>
      <c r="AF2" s="26"/>
      <c r="AG2" s="26"/>
      <c r="AH2" s="26"/>
      <c r="AI2" s="26"/>
      <c r="AJ2" s="26"/>
      <c r="AK2" s="26"/>
      <c r="AL2" s="26"/>
      <c r="AM2" s="26"/>
      <c r="AN2" s="26"/>
      <c r="AO2" s="26"/>
      <c r="AP2" s="26"/>
      <c r="AQ2" s="26"/>
      <c r="AR2" s="26"/>
      <c r="AS2" s="26"/>
      <c r="AT2" s="26"/>
      <c r="AU2" s="26"/>
      <c r="AV2" s="26"/>
      <c r="AW2" s="26"/>
      <c r="AX2" s="26"/>
      <c r="AY2" s="26"/>
      <c r="AZ2" s="26"/>
      <c r="BA2" s="26"/>
    </row>
    <row r="3" spans="1:58" ht="24" customHeight="1">
      <c r="A3" s="659" t="s">
        <v>8</v>
      </c>
      <c r="B3" s="659" t="s">
        <v>9</v>
      </c>
      <c r="C3" s="659" t="s">
        <v>194</v>
      </c>
      <c r="D3" s="659" t="s">
        <v>102</v>
      </c>
      <c r="E3" s="659" t="s">
        <v>103</v>
      </c>
      <c r="F3" s="659" t="s">
        <v>104</v>
      </c>
      <c r="G3" s="685" t="s">
        <v>105</v>
      </c>
      <c r="H3" s="686"/>
      <c r="I3" s="686"/>
      <c r="J3" s="686"/>
      <c r="K3" s="687"/>
      <c r="L3" s="665" t="s">
        <v>106</v>
      </c>
      <c r="M3" s="666"/>
      <c r="N3" s="667"/>
      <c r="O3" s="671" t="s">
        <v>107</v>
      </c>
      <c r="P3" s="675" t="s">
        <v>119</v>
      </c>
      <c r="Q3" s="671" t="s">
        <v>108</v>
      </c>
      <c r="R3" s="673" t="s">
        <v>109</v>
      </c>
      <c r="S3" s="673" t="s">
        <v>110</v>
      </c>
      <c r="T3" s="659" t="s">
        <v>163</v>
      </c>
      <c r="U3" s="659" t="s">
        <v>162</v>
      </c>
      <c r="V3" s="659" t="s">
        <v>164</v>
      </c>
      <c r="W3" s="673" t="s">
        <v>154</v>
      </c>
      <c r="X3" s="661" t="s">
        <v>112</v>
      </c>
      <c r="Y3" s="661" t="s">
        <v>294</v>
      </c>
      <c r="Z3" s="673" t="s">
        <v>113</v>
      </c>
      <c r="AA3" s="659" t="s">
        <v>165</v>
      </c>
      <c r="AB3" s="659" t="s">
        <v>176</v>
      </c>
      <c r="AC3" s="659" t="s">
        <v>174</v>
      </c>
      <c r="AD3" s="659" t="s">
        <v>137</v>
      </c>
      <c r="AE3" s="659" t="s">
        <v>138</v>
      </c>
      <c r="AF3" s="695" t="s">
        <v>139</v>
      </c>
      <c r="AG3" s="695"/>
      <c r="AH3" s="695"/>
      <c r="AI3" s="695"/>
      <c r="AJ3" s="695"/>
      <c r="AK3" s="695"/>
      <c r="AL3" s="695"/>
      <c r="AM3" s="678" t="s">
        <v>140</v>
      </c>
      <c r="AN3" s="697" t="s">
        <v>114</v>
      </c>
      <c r="AO3" s="697"/>
      <c r="AP3" s="697"/>
      <c r="AQ3" s="697"/>
      <c r="AR3" s="697"/>
      <c r="AS3" s="698" t="s">
        <v>115</v>
      </c>
      <c r="AT3" s="691" t="s">
        <v>227</v>
      </c>
      <c r="AU3" s="692"/>
      <c r="AV3" s="700" t="s">
        <v>141</v>
      </c>
      <c r="AW3" s="701"/>
      <c r="AX3" s="702" t="s">
        <v>141</v>
      </c>
      <c r="AY3" s="703"/>
      <c r="AZ3" s="704" t="s">
        <v>303</v>
      </c>
      <c r="BA3" s="681" t="s">
        <v>116</v>
      </c>
      <c r="BB3" s="655" t="s">
        <v>117</v>
      </c>
      <c r="BC3" s="655" t="s">
        <v>118</v>
      </c>
      <c r="BD3" s="649" t="s">
        <v>400</v>
      </c>
      <c r="BE3" s="652" t="s">
        <v>401</v>
      </c>
      <c r="BF3" s="655" t="s">
        <v>402</v>
      </c>
    </row>
    <row r="4" spans="1:58" ht="12" customHeight="1">
      <c r="A4" s="660"/>
      <c r="B4" s="660"/>
      <c r="C4" s="660"/>
      <c r="D4" s="660"/>
      <c r="E4" s="660"/>
      <c r="F4" s="660"/>
      <c r="G4" s="688"/>
      <c r="H4" s="689"/>
      <c r="I4" s="689"/>
      <c r="J4" s="689"/>
      <c r="K4" s="690"/>
      <c r="L4" s="668"/>
      <c r="M4" s="669"/>
      <c r="N4" s="670"/>
      <c r="O4" s="672"/>
      <c r="P4" s="676"/>
      <c r="Q4" s="672"/>
      <c r="R4" s="674"/>
      <c r="S4" s="674"/>
      <c r="T4" s="660"/>
      <c r="U4" s="660"/>
      <c r="V4" s="660"/>
      <c r="W4" s="674"/>
      <c r="X4" s="662"/>
      <c r="Y4" s="662"/>
      <c r="Z4" s="674"/>
      <c r="AA4" s="660"/>
      <c r="AB4" s="660"/>
      <c r="AC4" s="660"/>
      <c r="AD4" s="660"/>
      <c r="AE4" s="660"/>
      <c r="AF4" s="682" t="s">
        <v>142</v>
      </c>
      <c r="AG4" s="683"/>
      <c r="AH4" s="684"/>
      <c r="AI4" s="676" t="s">
        <v>218</v>
      </c>
      <c r="AJ4" s="676" t="s">
        <v>15</v>
      </c>
      <c r="AK4" s="676" t="s">
        <v>143</v>
      </c>
      <c r="AL4" s="676" t="s">
        <v>18</v>
      </c>
      <c r="AM4" s="679"/>
      <c r="AN4" s="696" t="s">
        <v>120</v>
      </c>
      <c r="AO4" s="696" t="s">
        <v>15</v>
      </c>
      <c r="AP4" s="696" t="s">
        <v>121</v>
      </c>
      <c r="AQ4" s="696" t="s">
        <v>18</v>
      </c>
      <c r="AR4" s="681" t="s">
        <v>122</v>
      </c>
      <c r="AS4" s="698"/>
      <c r="AT4" s="693"/>
      <c r="AU4" s="694"/>
      <c r="AV4" s="491" t="s">
        <v>7</v>
      </c>
      <c r="AW4" s="491" t="s">
        <v>144</v>
      </c>
      <c r="AX4" s="492" t="s">
        <v>7</v>
      </c>
      <c r="AY4" s="493" t="s">
        <v>144</v>
      </c>
      <c r="AZ4" s="705"/>
      <c r="BA4" s="681"/>
      <c r="BB4" s="655"/>
      <c r="BC4" s="655"/>
      <c r="BD4" s="650"/>
      <c r="BE4" s="653"/>
      <c r="BF4" s="655"/>
    </row>
    <row r="5" spans="1:58" s="33" customFormat="1" ht="48">
      <c r="A5" s="660"/>
      <c r="B5" s="660"/>
      <c r="C5" s="664"/>
      <c r="D5" s="660"/>
      <c r="E5" s="660"/>
      <c r="F5" s="660"/>
      <c r="G5" s="475" t="s">
        <v>123</v>
      </c>
      <c r="H5" s="474" t="s">
        <v>124</v>
      </c>
      <c r="I5" s="31" t="s">
        <v>125</v>
      </c>
      <c r="J5" s="81" t="s">
        <v>126</v>
      </c>
      <c r="K5" s="81" t="s">
        <v>111</v>
      </c>
      <c r="L5" s="32" t="s">
        <v>127</v>
      </c>
      <c r="M5" s="32" t="s">
        <v>128</v>
      </c>
      <c r="N5" s="474" t="s">
        <v>129</v>
      </c>
      <c r="O5" s="672"/>
      <c r="P5" s="677"/>
      <c r="Q5" s="672"/>
      <c r="R5" s="674"/>
      <c r="S5" s="674"/>
      <c r="T5" s="660"/>
      <c r="U5" s="660"/>
      <c r="V5" s="660"/>
      <c r="W5" s="674"/>
      <c r="X5" s="662"/>
      <c r="Y5" s="663"/>
      <c r="Z5" s="674"/>
      <c r="AA5" s="660"/>
      <c r="AB5" s="664"/>
      <c r="AC5" s="660"/>
      <c r="AD5" s="664"/>
      <c r="AE5" s="660"/>
      <c r="AF5" s="405" t="s">
        <v>211</v>
      </c>
      <c r="AG5" s="495" t="s">
        <v>212</v>
      </c>
      <c r="AH5" s="495" t="s">
        <v>213</v>
      </c>
      <c r="AI5" s="677"/>
      <c r="AJ5" s="677"/>
      <c r="AK5" s="677"/>
      <c r="AL5" s="677"/>
      <c r="AM5" s="680"/>
      <c r="AN5" s="675"/>
      <c r="AO5" s="675"/>
      <c r="AP5" s="675"/>
      <c r="AQ5" s="675"/>
      <c r="AR5" s="673"/>
      <c r="AS5" s="699"/>
      <c r="AT5" s="496" t="s">
        <v>291</v>
      </c>
      <c r="AU5" s="496" t="s">
        <v>292</v>
      </c>
      <c r="AV5" s="494" t="s">
        <v>293</v>
      </c>
      <c r="AW5" s="494" t="s">
        <v>293</v>
      </c>
      <c r="AX5" s="492" t="s">
        <v>17</v>
      </c>
      <c r="AY5" s="492" t="s">
        <v>17</v>
      </c>
      <c r="AZ5" s="706"/>
      <c r="BA5" s="673"/>
      <c r="BB5" s="659"/>
      <c r="BC5" s="659"/>
      <c r="BD5" s="651"/>
      <c r="BE5" s="654"/>
      <c r="BF5" s="656"/>
    </row>
    <row r="6" spans="1:58" ht="12.9" customHeight="1">
      <c r="A6" s="41">
        <f>+Report1!A9</f>
        <v>46082</v>
      </c>
      <c r="B6" s="42" t="s">
        <v>422</v>
      </c>
      <c r="C6" s="393">
        <f>(M6*E6*O6*Q6)/100000000</f>
        <v>51.654014887499997</v>
      </c>
      <c r="D6" s="42" t="s">
        <v>423</v>
      </c>
      <c r="E6" s="43">
        <v>15</v>
      </c>
      <c r="F6" s="43">
        <v>1</v>
      </c>
      <c r="G6" s="406">
        <v>1145</v>
      </c>
      <c r="H6" s="533">
        <f>+N6</f>
        <v>0.17337981990302465</v>
      </c>
      <c r="I6" s="45">
        <v>0.88</v>
      </c>
      <c r="J6" s="82">
        <f>E6*G6*(1-H6)*1440/1000000*2.7</f>
        <v>55.198719794227664</v>
      </c>
      <c r="K6" s="82">
        <f>(IF(G6&lt;L6,L6,G6)*(1-IF(H6&lt;N6,H6,N6))*E6*O6*Q6)/100000000</f>
        <v>52.438783804516277</v>
      </c>
      <c r="L6" s="36">
        <v>1127.8645833333333</v>
      </c>
      <c r="M6" s="36">
        <v>932.31562499999995</v>
      </c>
      <c r="N6" s="46">
        <f>1-(M6/L6)</f>
        <v>0.17337981990302465</v>
      </c>
      <c r="O6" s="47">
        <f>+'Trim Rwd'!H4</f>
        <v>256.5</v>
      </c>
      <c r="P6" s="48">
        <f>O6*(Q6-R6-S6)</f>
        <v>362434.5</v>
      </c>
      <c r="Q6" s="47">
        <v>1440</v>
      </c>
      <c r="R6" s="362">
        <v>0</v>
      </c>
      <c r="S6" s="362">
        <v>27</v>
      </c>
      <c r="T6" s="38">
        <f>E6*M6*O6*Q6/100000000</f>
        <v>51.654014887499997</v>
      </c>
      <c r="U6" s="38">
        <f>E6*M6*O6*(Q6-R6-S6)/100000000</f>
        <v>50.685502108359373</v>
      </c>
      <c r="V6" s="38">
        <f>E6*G6*(1-N6)*O6/100*(R6+S6)/1000000</f>
        <v>0.98322719633468036</v>
      </c>
      <c r="W6" s="38">
        <f>+'1'!K7/1000</f>
        <v>56.237000000000002</v>
      </c>
      <c r="X6" s="361">
        <f>SUM(W6:W9)/SUM(K6:K9)</f>
        <v>1.0724314318509538</v>
      </c>
      <c r="Y6" s="38">
        <v>0</v>
      </c>
      <c r="Z6" s="38">
        <v>0</v>
      </c>
      <c r="AA6" s="49">
        <f>SUM(U6:U9)-SUM(W6:W9)-SUM(Z6:Z9)-SUM(Y6:Y9)</f>
        <v>-5.5514978916406292</v>
      </c>
      <c r="AB6" s="49">
        <f>(SUM(K6:K9)-SUM(W6:W9)-SUM(Y6:Y9)-SUM(Z6:Z9)-SUM(AC6:AC9)-SUM(V6:V9))-AA6</f>
        <v>-1.4714417194055862E-2</v>
      </c>
      <c r="AC6" s="38">
        <f>K6-T6</f>
        <v>0.78476891701627949</v>
      </c>
      <c r="AD6" s="38">
        <f>+AM6+BA6</f>
        <v>0</v>
      </c>
      <c r="AE6" s="226" t="s">
        <v>417</v>
      </c>
      <c r="AF6" s="38">
        <v>0</v>
      </c>
      <c r="AG6" s="38"/>
      <c r="AH6" s="38"/>
      <c r="AI6" s="476"/>
      <c r="AJ6" s="38"/>
      <c r="AK6" s="38"/>
      <c r="AL6" s="38"/>
      <c r="AM6" s="38">
        <f>SUM(AF6:AL6)+AT6+AV6+AX6</f>
        <v>0</v>
      </c>
      <c r="AN6" s="38"/>
      <c r="AO6" s="38"/>
      <c r="AP6" s="38"/>
      <c r="AQ6" s="38"/>
      <c r="AR6" s="38">
        <f>SUM(AN6:AQ6)</f>
        <v>0</v>
      </c>
      <c r="AS6" s="38"/>
      <c r="AT6" s="38"/>
      <c r="AU6" s="38"/>
      <c r="AV6" s="38"/>
      <c r="AW6" s="38"/>
      <c r="AX6" s="38"/>
      <c r="AY6" s="38"/>
      <c r="AZ6" s="38"/>
      <c r="BA6" s="38">
        <f>+AR6+AS6+AU6+AW6+AY6+AZ6</f>
        <v>0</v>
      </c>
      <c r="BB6" s="34">
        <v>0</v>
      </c>
      <c r="BC6" s="51"/>
      <c r="BD6" s="51"/>
      <c r="BE6" s="34"/>
      <c r="BF6" s="51"/>
    </row>
    <row r="7" spans="1:58" ht="12.9" customHeight="1">
      <c r="A7" s="41"/>
      <c r="B7" s="42"/>
      <c r="C7" s="393"/>
      <c r="D7" s="42"/>
      <c r="E7" s="43"/>
      <c r="F7" s="43"/>
      <c r="G7" s="406"/>
      <c r="H7" s="533"/>
      <c r="I7" s="45"/>
      <c r="J7" s="82"/>
      <c r="K7" s="82"/>
      <c r="L7" s="36"/>
      <c r="M7" s="36"/>
      <c r="N7" s="46"/>
      <c r="O7" s="47"/>
      <c r="P7" s="48"/>
      <c r="Q7" s="47"/>
      <c r="R7" s="362"/>
      <c r="S7" s="362"/>
      <c r="T7" s="38"/>
      <c r="U7" s="38"/>
      <c r="V7" s="38"/>
      <c r="W7" s="38"/>
      <c r="X7" s="39"/>
      <c r="Y7" s="209"/>
      <c r="Z7" s="38"/>
      <c r="AA7" s="38"/>
      <c r="AB7" s="38"/>
      <c r="AC7" s="38"/>
      <c r="AD7" s="38">
        <f t="shared" ref="AD7:AD8" si="0">+AM7+BA7</f>
        <v>2</v>
      </c>
      <c r="AE7" s="226" t="s">
        <v>416</v>
      </c>
      <c r="AF7" s="38"/>
      <c r="AG7" s="38">
        <v>2</v>
      </c>
      <c r="AH7" s="38"/>
      <c r="AI7" s="476"/>
      <c r="AJ7" s="38"/>
      <c r="AK7" s="38"/>
      <c r="AL7" s="38"/>
      <c r="AM7" s="38">
        <f t="shared" ref="AM7:AM8" si="1">SUM(AF7:AL7)+AT7+AV7+AX7</f>
        <v>2</v>
      </c>
      <c r="AN7" s="83"/>
      <c r="AO7" s="38"/>
      <c r="AP7" s="38"/>
      <c r="AQ7" s="38"/>
      <c r="AR7" s="38">
        <f t="shared" ref="AR7:AR8" si="2">SUM(AN7:AQ7)</f>
        <v>0</v>
      </c>
      <c r="AS7" s="38"/>
      <c r="AT7" s="38"/>
      <c r="AU7" s="38"/>
      <c r="AV7" s="38"/>
      <c r="AW7" s="38"/>
      <c r="AX7" s="38"/>
      <c r="AY7" s="38"/>
      <c r="AZ7" s="38"/>
      <c r="BA7" s="38">
        <f t="shared" ref="BA7:BA8" si="3">+AR7+AS7+AU7+AW7+AY7+AZ7</f>
        <v>0</v>
      </c>
      <c r="BB7" s="50"/>
      <c r="BC7" s="51">
        <v>1</v>
      </c>
      <c r="BD7" s="51"/>
      <c r="BE7" s="50"/>
      <c r="BF7" s="51"/>
    </row>
    <row r="8" spans="1:58" ht="12.9" customHeight="1">
      <c r="A8" s="41"/>
      <c r="B8" s="42"/>
      <c r="C8" s="393"/>
      <c r="D8" s="42"/>
      <c r="E8" s="43"/>
      <c r="F8" s="43"/>
      <c r="G8" s="44"/>
      <c r="H8" s="533"/>
      <c r="I8" s="45"/>
      <c r="J8" s="82"/>
      <c r="K8" s="82"/>
      <c r="L8" s="36"/>
      <c r="M8" s="36"/>
      <c r="N8" s="46"/>
      <c r="O8" s="47"/>
      <c r="P8" s="48"/>
      <c r="Q8" s="47"/>
      <c r="R8" s="362"/>
      <c r="S8" s="362"/>
      <c r="T8" s="38"/>
      <c r="U8" s="38"/>
      <c r="V8" s="38"/>
      <c r="W8" s="38"/>
      <c r="X8" s="39"/>
      <c r="Y8" s="209"/>
      <c r="Z8" s="38"/>
      <c r="AA8" s="38"/>
      <c r="AB8" s="38"/>
      <c r="AC8" s="38"/>
      <c r="AD8" s="38">
        <f t="shared" si="0"/>
        <v>25</v>
      </c>
      <c r="AE8" s="226" t="s">
        <v>424</v>
      </c>
      <c r="AF8" s="34"/>
      <c r="AG8" s="34"/>
      <c r="AH8" s="34">
        <v>25</v>
      </c>
      <c r="AJ8" s="38"/>
      <c r="AK8" s="38"/>
      <c r="AL8" s="38"/>
      <c r="AM8" s="38">
        <f t="shared" si="1"/>
        <v>25</v>
      </c>
      <c r="AN8" s="38"/>
      <c r="AO8" s="38"/>
      <c r="AP8" s="38"/>
      <c r="AQ8" s="38"/>
      <c r="AR8" s="38">
        <f t="shared" si="2"/>
        <v>0</v>
      </c>
      <c r="AS8" s="38"/>
      <c r="AT8" s="38"/>
      <c r="AU8" s="38"/>
      <c r="AV8" s="38"/>
      <c r="AW8" s="38"/>
      <c r="AX8" s="38"/>
      <c r="AY8" s="38"/>
      <c r="AZ8" s="38"/>
      <c r="BA8" s="38">
        <f t="shared" si="3"/>
        <v>0</v>
      </c>
      <c r="BB8" s="34"/>
      <c r="BC8" s="477"/>
      <c r="BD8" s="477"/>
      <c r="BE8" s="34"/>
      <c r="BF8" s="477"/>
    </row>
    <row r="9" spans="1:58" ht="12.9" customHeight="1">
      <c r="A9" s="41"/>
      <c r="B9" s="42"/>
      <c r="C9" s="393"/>
      <c r="D9" s="42"/>
      <c r="E9" s="43"/>
      <c r="F9" s="43"/>
      <c r="G9" s="44"/>
      <c r="H9" s="533"/>
      <c r="I9" s="45"/>
      <c r="J9" s="82"/>
      <c r="K9" s="82"/>
      <c r="L9" s="36"/>
      <c r="M9" s="36"/>
      <c r="N9" s="46"/>
      <c r="O9" s="47"/>
      <c r="P9" s="48"/>
      <c r="Q9" s="35"/>
      <c r="R9" s="362"/>
      <c r="S9" s="362"/>
      <c r="T9" s="38"/>
      <c r="U9" s="38"/>
      <c r="V9" s="38"/>
      <c r="W9" s="38"/>
      <c r="X9" s="39"/>
      <c r="Y9" s="209"/>
      <c r="Z9" s="38"/>
      <c r="AA9" s="38"/>
      <c r="AB9" s="38"/>
      <c r="AC9" s="38"/>
      <c r="AD9" s="38"/>
      <c r="AE9" s="229"/>
      <c r="AF9" s="38"/>
      <c r="AG9" s="38"/>
      <c r="AH9" s="38"/>
      <c r="AI9" s="476"/>
      <c r="AJ9" s="38"/>
      <c r="AK9" s="38"/>
      <c r="AL9" s="38"/>
      <c r="AM9" s="38"/>
      <c r="AN9" s="38"/>
      <c r="AO9" s="38"/>
      <c r="AP9" s="38"/>
      <c r="AQ9" s="38"/>
      <c r="AR9" s="38"/>
      <c r="AS9" s="38"/>
      <c r="AT9" s="38"/>
      <c r="AU9" s="38"/>
      <c r="AV9" s="38"/>
      <c r="AW9" s="38"/>
      <c r="AX9" s="38"/>
      <c r="AY9" s="38"/>
      <c r="AZ9" s="38"/>
      <c r="BA9" s="38"/>
      <c r="BB9" s="50"/>
      <c r="BC9" s="51"/>
      <c r="BD9" s="51"/>
      <c r="BE9" s="50"/>
      <c r="BF9" s="51"/>
    </row>
    <row r="10" spans="1:58" ht="12.9" customHeight="1">
      <c r="A10" s="41">
        <v>46083</v>
      </c>
      <c r="B10" s="42" t="s">
        <v>422</v>
      </c>
      <c r="C10" s="393">
        <f>(M10*E10*O10*Q10)/100000000</f>
        <v>52.963612409179689</v>
      </c>
      <c r="D10" s="42" t="s">
        <v>423</v>
      </c>
      <c r="E10" s="43">
        <v>15</v>
      </c>
      <c r="F10" s="43">
        <v>1</v>
      </c>
      <c r="G10" s="406">
        <v>1110</v>
      </c>
      <c r="H10" s="533">
        <f>+N10</f>
        <v>0.15000000000000002</v>
      </c>
      <c r="I10" s="45">
        <v>0.88</v>
      </c>
      <c r="J10" s="82">
        <f>E10*G10*(1-H10)*1440/1000000*2.7</f>
        <v>55.024920000000002</v>
      </c>
      <c r="K10" s="82">
        <f>(IF(G10&lt;L10,L10,G10)*(1-IF(H10&lt;N10,H10,N10))*E10*O10*Q10)/100000000</f>
        <v>52.963612409179689</v>
      </c>
      <c r="L10" s="36">
        <v>1124.6504267939815</v>
      </c>
      <c r="M10" s="36">
        <v>955.95286277488424</v>
      </c>
      <c r="N10" s="46">
        <f>1-(M10/L10)</f>
        <v>0.15000000000000002</v>
      </c>
      <c r="O10" s="47">
        <f>+'Trim Rwd'!H6</f>
        <v>256.5</v>
      </c>
      <c r="P10" s="48">
        <f>O10*(Q10-R10-S10)</f>
        <v>361921.5</v>
      </c>
      <c r="Q10" s="47">
        <v>1440</v>
      </c>
      <c r="R10" s="362">
        <v>0</v>
      </c>
      <c r="S10" s="362">
        <v>29</v>
      </c>
      <c r="T10" s="38">
        <f>E10*M10*O10*Q10/100000000</f>
        <v>52.963612409179689</v>
      </c>
      <c r="U10" s="38">
        <f>E10*M10*O10*(Q10-R10-S10)/100000000</f>
        <v>51.896984103717038</v>
      </c>
      <c r="V10" s="38">
        <f>E10*G10*(1-N10)*O10/100*(R10+S10)/1000000</f>
        <v>1.0527337124999998</v>
      </c>
      <c r="W10" s="38">
        <f>+'2'!K7/1000</f>
        <v>52.433</v>
      </c>
      <c r="X10" s="361">
        <f>SUM(W10:W13)/SUM(K10:K13)</f>
        <v>0.98998156687122563</v>
      </c>
      <c r="Y10" s="38">
        <v>0</v>
      </c>
      <c r="Z10" s="38">
        <v>0</v>
      </c>
      <c r="AA10" s="49">
        <f>SUM(U10:U13)-SUM(W10:W13)-SUM(Z10:Z13)-SUM(Y10:Y13)</f>
        <v>-0.53601589628296153</v>
      </c>
      <c r="AB10" s="49">
        <f>(SUM(K10:K13)-SUM(W10:W13)-SUM(Y10:Y13)-SUM(Z10:Z13)-SUM(AC10:AC13)-SUM(V10:V13))-AA10</f>
        <v>1.3894592962650609E-2</v>
      </c>
      <c r="AC10" s="38">
        <f>K10-T10</f>
        <v>0</v>
      </c>
      <c r="AD10" s="38">
        <f>+AM10+BA10</f>
        <v>5</v>
      </c>
      <c r="AE10" s="226" t="s">
        <v>445</v>
      </c>
      <c r="AF10" s="38">
        <v>5</v>
      </c>
      <c r="AG10" s="38"/>
      <c r="AH10" s="38"/>
      <c r="AI10" s="38"/>
      <c r="AJ10" s="38"/>
      <c r="AK10" s="38"/>
      <c r="AL10" s="38"/>
      <c r="AM10" s="38">
        <f>SUM(AF10:AL10)+AT10+AV10+AX10</f>
        <v>5</v>
      </c>
      <c r="AN10" s="38"/>
      <c r="AO10" s="38"/>
      <c r="AP10" s="38"/>
      <c r="AQ10" s="38"/>
      <c r="AR10" s="38">
        <f>SUM(AN10:AQ10)</f>
        <v>0</v>
      </c>
      <c r="AS10" s="38"/>
      <c r="AT10" s="38"/>
      <c r="AU10" s="38"/>
      <c r="AV10" s="38"/>
      <c r="AW10" s="38"/>
      <c r="AX10" s="38"/>
      <c r="AY10" s="38"/>
      <c r="AZ10" s="38"/>
      <c r="BA10" s="38">
        <f>+AR10+AS10+AU10+AW10+AY10+AZ10</f>
        <v>0</v>
      </c>
      <c r="BB10" s="34">
        <v>2</v>
      </c>
      <c r="BC10" s="51"/>
      <c r="BD10" s="51"/>
      <c r="BE10" s="34"/>
      <c r="BF10" s="51"/>
    </row>
    <row r="11" spans="1:58" ht="12.9" customHeight="1">
      <c r="A11" s="41"/>
      <c r="B11" s="42"/>
      <c r="C11" s="393"/>
      <c r="D11" s="42"/>
      <c r="E11" s="43"/>
      <c r="F11" s="43"/>
      <c r="G11" s="406"/>
      <c r="H11" s="533"/>
      <c r="I11" s="45"/>
      <c r="J11" s="82"/>
      <c r="K11" s="82"/>
      <c r="L11" s="36"/>
      <c r="M11" s="36"/>
      <c r="N11" s="46"/>
      <c r="O11" s="47"/>
      <c r="P11" s="48"/>
      <c r="Q11" s="47"/>
      <c r="R11" s="362"/>
      <c r="S11" s="362"/>
      <c r="T11" s="38"/>
      <c r="U11" s="38"/>
      <c r="V11" s="38"/>
      <c r="W11" s="38"/>
      <c r="X11" s="39"/>
      <c r="Y11" s="209"/>
      <c r="Z11" s="38"/>
      <c r="AA11" s="38"/>
      <c r="AB11" s="38"/>
      <c r="AC11" s="38"/>
      <c r="AD11" s="38">
        <f t="shared" ref="AD11:AD12" si="4">+AM11+BA11</f>
        <v>3</v>
      </c>
      <c r="AE11" s="226" t="s">
        <v>416</v>
      </c>
      <c r="AF11" s="38"/>
      <c r="AG11" s="38">
        <v>3</v>
      </c>
      <c r="AH11" s="38"/>
      <c r="AI11" s="38"/>
      <c r="AJ11" s="38"/>
      <c r="AK11" s="38"/>
      <c r="AL11" s="38"/>
      <c r="AM11" s="38">
        <f t="shared" ref="AM11:AM12" si="5">SUM(AF11:AL11)+AT11+AV11+AX11</f>
        <v>3</v>
      </c>
      <c r="AN11" s="83"/>
      <c r="AO11" s="38"/>
      <c r="AP11" s="38"/>
      <c r="AQ11" s="38"/>
      <c r="AR11" s="38">
        <f t="shared" ref="AR11:AR12" si="6">SUM(AN11:AQ11)</f>
        <v>0</v>
      </c>
      <c r="AS11" s="38"/>
      <c r="AT11" s="38"/>
      <c r="AU11" s="38"/>
      <c r="AV11" s="38"/>
      <c r="AW11" s="38"/>
      <c r="AX11" s="38"/>
      <c r="AY11" s="38"/>
      <c r="AZ11" s="38"/>
      <c r="BA11" s="38">
        <f t="shared" ref="BA11:BA12" si="7">+AR11+AS11+AU11+AW11+AY11+AZ11</f>
        <v>0</v>
      </c>
      <c r="BB11" s="50"/>
      <c r="BC11" s="51">
        <v>1</v>
      </c>
      <c r="BD11" s="51"/>
      <c r="BE11" s="50"/>
      <c r="BF11" s="51"/>
    </row>
    <row r="12" spans="1:58" ht="12.9" customHeight="1">
      <c r="A12" s="41"/>
      <c r="B12" s="42"/>
      <c r="C12" s="393"/>
      <c r="D12" s="42"/>
      <c r="E12" s="43"/>
      <c r="F12" s="43"/>
      <c r="G12" s="44"/>
      <c r="H12" s="533"/>
      <c r="I12" s="45"/>
      <c r="J12" s="82"/>
      <c r="K12" s="82"/>
      <c r="L12" s="36"/>
      <c r="M12" s="36"/>
      <c r="N12" s="46"/>
      <c r="O12" s="47"/>
      <c r="P12" s="48"/>
      <c r="Q12" s="47"/>
      <c r="R12" s="362"/>
      <c r="S12" s="362"/>
      <c r="T12" s="38"/>
      <c r="U12" s="38"/>
      <c r="V12" s="38"/>
      <c r="W12" s="38"/>
      <c r="X12" s="39"/>
      <c r="Y12" s="209"/>
      <c r="Z12" s="38"/>
      <c r="AA12" s="38"/>
      <c r="AB12" s="38"/>
      <c r="AC12" s="38"/>
      <c r="AD12" s="38">
        <f t="shared" si="4"/>
        <v>21</v>
      </c>
      <c r="AE12" s="226" t="s">
        <v>446</v>
      </c>
      <c r="AF12" s="34"/>
      <c r="AG12" s="34"/>
      <c r="AH12" s="34">
        <v>21</v>
      </c>
      <c r="AI12" s="34"/>
      <c r="AJ12" s="38"/>
      <c r="AK12" s="38"/>
      <c r="AL12" s="38"/>
      <c r="AM12" s="38">
        <f t="shared" si="5"/>
        <v>21</v>
      </c>
      <c r="AN12" s="38"/>
      <c r="AO12" s="38"/>
      <c r="AP12" s="38"/>
      <c r="AQ12" s="38"/>
      <c r="AR12" s="38">
        <f t="shared" si="6"/>
        <v>0</v>
      </c>
      <c r="AS12" s="38"/>
      <c r="AT12" s="38"/>
      <c r="AU12" s="38"/>
      <c r="AV12" s="38"/>
      <c r="AW12" s="38"/>
      <c r="AX12" s="38"/>
      <c r="AY12" s="38"/>
      <c r="AZ12" s="38"/>
      <c r="BA12" s="38">
        <f t="shared" si="7"/>
        <v>0</v>
      </c>
      <c r="BB12" s="34"/>
      <c r="BC12" s="477"/>
      <c r="BD12" s="477"/>
      <c r="BE12" s="34"/>
      <c r="BF12" s="477"/>
    </row>
    <row r="13" spans="1:58" ht="12.9" customHeight="1">
      <c r="A13" s="41"/>
      <c r="B13" s="42"/>
      <c r="C13" s="393"/>
      <c r="D13" s="42"/>
      <c r="E13" s="43"/>
      <c r="F13" s="43"/>
      <c r="G13" s="44"/>
      <c r="H13" s="533"/>
      <c r="I13" s="45"/>
      <c r="J13" s="82"/>
      <c r="K13" s="82"/>
      <c r="L13" s="36"/>
      <c r="M13" s="36"/>
      <c r="N13" s="46"/>
      <c r="O13" s="47"/>
      <c r="P13" s="48"/>
      <c r="Q13" s="47"/>
      <c r="R13" s="362"/>
      <c r="S13" s="362"/>
      <c r="T13" s="38"/>
      <c r="U13" s="38"/>
      <c r="V13" s="38"/>
      <c r="W13" s="38"/>
      <c r="X13" s="39"/>
      <c r="Y13" s="209"/>
      <c r="Z13" s="38"/>
      <c r="AA13" s="38"/>
      <c r="AB13" s="38"/>
      <c r="AC13" s="38"/>
      <c r="AD13" s="38"/>
      <c r="AE13" s="226"/>
      <c r="AF13" s="34"/>
      <c r="AG13" s="34"/>
      <c r="AH13" s="34"/>
      <c r="AI13" s="34"/>
      <c r="AJ13" s="38"/>
      <c r="AK13" s="38"/>
      <c r="AL13" s="38"/>
      <c r="AM13" s="38"/>
      <c r="AN13" s="38"/>
      <c r="AO13" s="38"/>
      <c r="AP13" s="38"/>
      <c r="AQ13" s="38"/>
      <c r="AR13" s="38"/>
      <c r="AS13" s="38"/>
      <c r="AT13" s="38"/>
      <c r="AU13" s="38"/>
      <c r="AV13" s="38"/>
      <c r="AW13" s="38"/>
      <c r="AX13" s="38"/>
      <c r="AY13" s="38"/>
      <c r="AZ13" s="38"/>
      <c r="BA13" s="38"/>
      <c r="BB13" s="34"/>
      <c r="BC13" s="477"/>
      <c r="BD13" s="477"/>
      <c r="BE13" s="34"/>
      <c r="BF13" s="477"/>
    </row>
    <row r="14" spans="1:58" ht="12.9" customHeight="1">
      <c r="A14" s="41">
        <v>46084</v>
      </c>
      <c r="B14" s="42" t="s">
        <v>422</v>
      </c>
      <c r="C14" s="393">
        <f>(M14*E14*O14*Q14)/100000000</f>
        <v>52.963612409179689</v>
      </c>
      <c r="D14" s="42" t="s">
        <v>423</v>
      </c>
      <c r="E14" s="43">
        <v>15</v>
      </c>
      <c r="F14" s="43">
        <v>1</v>
      </c>
      <c r="G14" s="406">
        <v>1110</v>
      </c>
      <c r="H14" s="533">
        <f>+N14</f>
        <v>0.15000000000000002</v>
      </c>
      <c r="I14" s="45">
        <v>0.88</v>
      </c>
      <c r="J14" s="82">
        <f>E14*G14*(1-H14)*1440/1000000*2.7</f>
        <v>55.024920000000002</v>
      </c>
      <c r="K14" s="82">
        <f>(IF(G14&lt;L14,L14,G14)*(1-IF(H14&lt;N14,H14,N14))*E14*O14*Q14)/100000000</f>
        <v>52.963612409179689</v>
      </c>
      <c r="L14" s="36">
        <v>1124.6504267939815</v>
      </c>
      <c r="M14" s="36">
        <v>955.95286277488424</v>
      </c>
      <c r="N14" s="46">
        <f>1-(M14/L14)</f>
        <v>0.15000000000000002</v>
      </c>
      <c r="O14" s="47">
        <f>+'Trim Rwd'!H8</f>
        <v>256.5</v>
      </c>
      <c r="P14" s="48">
        <f>O14*(Q14-R14-S14)</f>
        <v>363717</v>
      </c>
      <c r="Q14" s="47">
        <v>1440</v>
      </c>
      <c r="R14" s="362">
        <v>0</v>
      </c>
      <c r="S14" s="362">
        <v>22</v>
      </c>
      <c r="T14" s="38">
        <f>E14*M14*O14*Q14/100000000</f>
        <v>52.963612409179689</v>
      </c>
      <c r="U14" s="38">
        <f>E14*M14*O14*(Q14-R14-S14)/100000000</f>
        <v>52.154446108483889</v>
      </c>
      <c r="V14" s="38">
        <f>E14*G14*(1-N14)*O14/100*(R14+S14)/1000000</f>
        <v>0.79862557499999998</v>
      </c>
      <c r="W14" s="38">
        <f>+'3'!K7/1000</f>
        <v>49.889000000000003</v>
      </c>
      <c r="X14" s="361">
        <f>SUM(W14:W17)/SUM(K14:K17)</f>
        <v>0.94194858943105642</v>
      </c>
      <c r="Y14" s="38">
        <v>0</v>
      </c>
      <c r="Z14" s="38">
        <f>+'1'!D42/1000</f>
        <v>0</v>
      </c>
      <c r="AA14" s="49">
        <f>SUM(U14:U17)-SUM(W14:W17)-SUM(Z14:Z17)-SUM(Y14:Y17)</f>
        <v>2.2654461084838857</v>
      </c>
      <c r="AB14" s="49">
        <f>(SUM(K14:K17)-SUM(W14:W17)-SUM(Y14:Y17)-SUM(Z14:Z17)-SUM(AC14:AC17)-SUM(V14:V17))-AA14</f>
        <v>1.0540725695800113E-2</v>
      </c>
      <c r="AC14" s="38">
        <f>K14-T14</f>
        <v>0</v>
      </c>
      <c r="AD14" s="38">
        <f>+AM14+BA14</f>
        <v>0</v>
      </c>
      <c r="AE14" s="226" t="s">
        <v>417</v>
      </c>
      <c r="AF14" s="38">
        <v>0</v>
      </c>
      <c r="AG14" s="38"/>
      <c r="AH14" s="38"/>
      <c r="AI14" s="38"/>
      <c r="AJ14" s="38"/>
      <c r="AK14" s="38"/>
      <c r="AL14" s="38"/>
      <c r="AM14" s="38">
        <f>SUM(AF14:AL14)+AT14+AV14+AX14</f>
        <v>0</v>
      </c>
      <c r="AN14" s="38"/>
      <c r="AO14" s="38"/>
      <c r="AP14" s="38"/>
      <c r="AQ14" s="38"/>
      <c r="AR14" s="38">
        <f>SUM(AN14:AQ14)</f>
        <v>0</v>
      </c>
      <c r="AS14" s="38"/>
      <c r="AT14" s="38"/>
      <c r="AU14" s="38"/>
      <c r="AV14" s="38"/>
      <c r="AW14" s="38"/>
      <c r="AX14" s="38"/>
      <c r="AY14" s="38"/>
      <c r="AZ14" s="38"/>
      <c r="BA14" s="38">
        <f>+AR14+AS14+AU14+AW14+AY14+AZ14</f>
        <v>0</v>
      </c>
      <c r="BB14" s="34">
        <v>0</v>
      </c>
      <c r="BC14" s="51"/>
      <c r="BD14" s="51"/>
      <c r="BE14" s="34"/>
      <c r="BF14" s="51"/>
    </row>
    <row r="15" spans="1:58" ht="12.9" customHeight="1">
      <c r="A15" s="41"/>
      <c r="B15" s="42"/>
      <c r="C15" s="393"/>
      <c r="D15" s="42"/>
      <c r="E15" s="43"/>
      <c r="F15" s="43"/>
      <c r="G15" s="406"/>
      <c r="H15" s="533"/>
      <c r="I15" s="45"/>
      <c r="J15" s="82"/>
      <c r="K15" s="82"/>
      <c r="L15" s="36"/>
      <c r="M15" s="36"/>
      <c r="N15" s="46"/>
      <c r="O15" s="47"/>
      <c r="P15" s="48"/>
      <c r="Q15" s="47"/>
      <c r="R15" s="362"/>
      <c r="S15" s="362"/>
      <c r="T15" s="38"/>
      <c r="U15" s="38"/>
      <c r="V15" s="38"/>
      <c r="W15" s="38"/>
      <c r="X15" s="39"/>
      <c r="Y15" s="209"/>
      <c r="Z15" s="38"/>
      <c r="AA15" s="38"/>
      <c r="AB15" s="38"/>
      <c r="AC15" s="38"/>
      <c r="AD15" s="38">
        <f t="shared" ref="AD15:AD16" si="8">+AM15+BA15</f>
        <v>3</v>
      </c>
      <c r="AE15" s="226" t="s">
        <v>416</v>
      </c>
      <c r="AF15" s="38"/>
      <c r="AG15" s="38">
        <v>3</v>
      </c>
      <c r="AH15" s="38"/>
      <c r="AI15" s="38"/>
      <c r="AJ15" s="38"/>
      <c r="AK15" s="38"/>
      <c r="AL15" s="38"/>
      <c r="AM15" s="38">
        <f t="shared" ref="AM15:AM16" si="9">SUM(AF15:AL15)+AT15+AV15+AX15</f>
        <v>3</v>
      </c>
      <c r="AN15" s="83"/>
      <c r="AO15" s="38"/>
      <c r="AP15" s="38"/>
      <c r="AQ15" s="38"/>
      <c r="AR15" s="38">
        <f t="shared" ref="AR15:AR16" si="10">SUM(AN15:AQ15)</f>
        <v>0</v>
      </c>
      <c r="AS15" s="38"/>
      <c r="AT15" s="38"/>
      <c r="AU15" s="38"/>
      <c r="AV15" s="38"/>
      <c r="AW15" s="38"/>
      <c r="AX15" s="38"/>
      <c r="AY15" s="38"/>
      <c r="AZ15" s="38"/>
      <c r="BA15" s="38">
        <f t="shared" ref="BA15:BA16" si="11">+AR15+AS15+AU15+AW15+AY15+AZ15</f>
        <v>0</v>
      </c>
      <c r="BB15" s="50"/>
      <c r="BC15" s="51">
        <v>1</v>
      </c>
      <c r="BD15" s="51"/>
      <c r="BE15" s="50"/>
      <c r="BF15" s="51"/>
    </row>
    <row r="16" spans="1:58" ht="12.9" customHeight="1">
      <c r="A16" s="41"/>
      <c r="B16" s="42"/>
      <c r="C16" s="393"/>
      <c r="D16" s="42"/>
      <c r="E16" s="43"/>
      <c r="F16" s="43"/>
      <c r="G16" s="44"/>
      <c r="H16" s="533"/>
      <c r="I16" s="45"/>
      <c r="J16" s="82"/>
      <c r="K16" s="82"/>
      <c r="L16" s="36"/>
      <c r="M16" s="36"/>
      <c r="N16" s="46"/>
      <c r="O16" s="47"/>
      <c r="P16" s="48"/>
      <c r="Q16" s="47"/>
      <c r="R16" s="362"/>
      <c r="S16" s="362"/>
      <c r="T16" s="38"/>
      <c r="U16" s="38"/>
      <c r="V16" s="38"/>
      <c r="W16" s="38"/>
      <c r="X16" s="39"/>
      <c r="Y16" s="209"/>
      <c r="Z16" s="38"/>
      <c r="AA16" s="38"/>
      <c r="AB16" s="38"/>
      <c r="AC16" s="38"/>
      <c r="AD16" s="38">
        <f t="shared" si="8"/>
        <v>19</v>
      </c>
      <c r="AE16" s="226" t="s">
        <v>457</v>
      </c>
      <c r="AF16" s="34"/>
      <c r="AG16" s="34"/>
      <c r="AH16" s="34">
        <v>19</v>
      </c>
      <c r="AI16" s="34"/>
      <c r="AJ16" s="38"/>
      <c r="AK16" s="38"/>
      <c r="AL16" s="38"/>
      <c r="AM16" s="38">
        <f t="shared" si="9"/>
        <v>19</v>
      </c>
      <c r="AN16" s="38"/>
      <c r="AO16" s="38"/>
      <c r="AP16" s="38"/>
      <c r="AQ16" s="38"/>
      <c r="AR16" s="38">
        <f t="shared" si="10"/>
        <v>0</v>
      </c>
      <c r="AS16" s="38"/>
      <c r="AT16" s="38"/>
      <c r="AU16" s="38"/>
      <c r="AV16" s="38"/>
      <c r="AW16" s="38"/>
      <c r="AX16" s="38"/>
      <c r="AY16" s="38"/>
      <c r="AZ16" s="38"/>
      <c r="BA16" s="38">
        <f t="shared" si="11"/>
        <v>0</v>
      </c>
      <c r="BB16" s="34"/>
      <c r="BC16" s="477"/>
      <c r="BD16" s="477"/>
      <c r="BE16" s="34"/>
      <c r="BF16" s="477"/>
    </row>
    <row r="17" spans="1:58" ht="12.9" customHeight="1">
      <c r="A17" s="41"/>
      <c r="B17" s="42"/>
      <c r="C17" s="393"/>
      <c r="D17" s="42"/>
      <c r="E17" s="43"/>
      <c r="F17" s="43"/>
      <c r="G17" s="44"/>
      <c r="H17" s="533"/>
      <c r="I17" s="45"/>
      <c r="J17" s="82"/>
      <c r="K17" s="82"/>
      <c r="L17" s="36"/>
      <c r="M17" s="36"/>
      <c r="N17" s="46"/>
      <c r="O17" s="47"/>
      <c r="P17" s="48"/>
      <c r="Q17" s="47"/>
      <c r="R17" s="362"/>
      <c r="S17" s="362"/>
      <c r="T17" s="38"/>
      <c r="U17" s="38"/>
      <c r="V17" s="38"/>
      <c r="W17" s="38"/>
      <c r="X17" s="39"/>
      <c r="Y17" s="209"/>
      <c r="Z17" s="38"/>
      <c r="AA17" s="38"/>
      <c r="AB17" s="38"/>
      <c r="AC17" s="38"/>
      <c r="AD17" s="38"/>
      <c r="AE17" s="226"/>
      <c r="AF17" s="34"/>
      <c r="AG17" s="34"/>
      <c r="AH17" s="34"/>
      <c r="AI17" s="34"/>
      <c r="AJ17" s="38"/>
      <c r="AK17" s="38"/>
      <c r="AL17" s="38"/>
      <c r="AM17" s="38"/>
      <c r="AN17" s="38"/>
      <c r="AO17" s="38"/>
      <c r="AP17" s="38"/>
      <c r="AQ17" s="38"/>
      <c r="AR17" s="38"/>
      <c r="AS17" s="38"/>
      <c r="AT17" s="38"/>
      <c r="AU17" s="38"/>
      <c r="AV17" s="38"/>
      <c r="AW17" s="38"/>
      <c r="AX17" s="38"/>
      <c r="AY17" s="38"/>
      <c r="AZ17" s="38"/>
      <c r="BA17" s="38"/>
      <c r="BB17" s="34"/>
      <c r="BC17" s="477"/>
      <c r="BD17" s="477"/>
      <c r="BE17" s="34"/>
      <c r="BF17" s="477"/>
    </row>
    <row r="18" spans="1:58" ht="12.9" customHeight="1">
      <c r="A18" s="41">
        <v>46085</v>
      </c>
      <c r="B18" s="42" t="s">
        <v>422</v>
      </c>
      <c r="C18" s="393">
        <f>(M18*E18*O18*Q18)/100000000</f>
        <v>2.1815324999999999</v>
      </c>
      <c r="D18" s="42" t="s">
        <v>423</v>
      </c>
      <c r="E18" s="43">
        <v>15</v>
      </c>
      <c r="F18" s="43">
        <v>1</v>
      </c>
      <c r="G18" s="406">
        <v>1125</v>
      </c>
      <c r="H18" s="533">
        <f>+N18</f>
        <v>0.16000000000000003</v>
      </c>
      <c r="I18" s="45">
        <v>0.88</v>
      </c>
      <c r="J18" s="82">
        <f>E18*G18*(1-H18)*1440/1000000*2.7</f>
        <v>55.112400000000001</v>
      </c>
      <c r="K18" s="82">
        <f>(IF(G18&lt;L18,L18,G18)*(1-IF(H18&lt;N18,H18,N18))*E18*O18*Q18)/100000000</f>
        <v>2.1815324999999999</v>
      </c>
      <c r="L18" s="36">
        <v>1125</v>
      </c>
      <c r="M18" s="36">
        <v>945</v>
      </c>
      <c r="N18" s="46">
        <f>1-(M18/L18)</f>
        <v>0.16000000000000003</v>
      </c>
      <c r="O18" s="47">
        <f>+'Trim Rwd'!H10</f>
        <v>256.5</v>
      </c>
      <c r="P18" s="48">
        <f>O18*(Q18-R18-S18)</f>
        <v>14620.5</v>
      </c>
      <c r="Q18" s="47">
        <v>60</v>
      </c>
      <c r="R18" s="362">
        <v>0</v>
      </c>
      <c r="S18" s="362">
        <v>3</v>
      </c>
      <c r="T18" s="38">
        <f>E18*M18*O18*Q18/100000000</f>
        <v>2.1815324999999999</v>
      </c>
      <c r="U18" s="38">
        <f>E18*M18*O18*(Q18-R18-S18)/100000000</f>
        <v>2.0724558750000002</v>
      </c>
      <c r="V18" s="38">
        <f>E18*G18*(1-N18)*O18/100*(R18+S18)/1000000</f>
        <v>0.109076625</v>
      </c>
      <c r="W18" s="38">
        <f>+'4'!K7/1000</f>
        <v>7.0750000000000002</v>
      </c>
      <c r="X18" s="361">
        <f>SUM(W18:W21)/SUM(K18:K21)</f>
        <v>0.70817378898891115</v>
      </c>
      <c r="Y18" s="38">
        <v>0</v>
      </c>
      <c r="Z18" s="38">
        <f>+'1'!D46/1000</f>
        <v>0</v>
      </c>
      <c r="AA18" s="49">
        <f>SUM(U18:U21)-SUM(W18:W21)-SUM(Z18:Z21)-SUM(Y18:Y21)</f>
        <v>-2.2643000864825495</v>
      </c>
      <c r="AB18" s="49">
        <f>(SUM(K18:K21)-SUM(W18:W21)-SUM(Y18:Y21)-SUM(Z18:Z21)-SUM(AC18:AC21)-SUM(V18:V21))-AA18</f>
        <v>-0.82640506293605398</v>
      </c>
      <c r="AC18" s="38">
        <f>K18-T18</f>
        <v>0</v>
      </c>
      <c r="AD18" s="38">
        <f>+AM18+BA18</f>
        <v>0</v>
      </c>
      <c r="AE18" s="226" t="s">
        <v>417</v>
      </c>
      <c r="AF18" s="38">
        <v>0</v>
      </c>
      <c r="AG18" s="38"/>
      <c r="AH18" s="38"/>
      <c r="AI18" s="38"/>
      <c r="AJ18" s="38"/>
      <c r="AK18" s="38"/>
      <c r="AL18" s="38"/>
      <c r="AM18" s="38">
        <f>SUM(AF18:AL18)+AT18+AV18+AX18</f>
        <v>0</v>
      </c>
      <c r="AN18" s="38"/>
      <c r="AO18" s="38"/>
      <c r="AP18" s="38"/>
      <c r="AQ18" s="38"/>
      <c r="AR18" s="38">
        <f>SUM(AN18:AQ18)</f>
        <v>0</v>
      </c>
      <c r="AS18" s="38"/>
      <c r="AT18" s="38"/>
      <c r="AU18" s="38"/>
      <c r="AV18" s="38"/>
      <c r="AW18" s="38"/>
      <c r="AX18" s="38"/>
      <c r="AY18" s="38"/>
      <c r="AZ18" s="38"/>
      <c r="BA18" s="38">
        <f>+AR18+AS18+AU18+AW18+AY18+AZ18</f>
        <v>0</v>
      </c>
      <c r="BB18" s="34">
        <v>0</v>
      </c>
      <c r="BC18" s="51"/>
      <c r="BD18" s="51">
        <v>2</v>
      </c>
      <c r="BE18" s="34"/>
      <c r="BF18" s="51">
        <v>1</v>
      </c>
    </row>
    <row r="19" spans="1:58" ht="12.9" customHeight="1">
      <c r="A19" s="41"/>
      <c r="B19" s="42" t="s">
        <v>422</v>
      </c>
      <c r="C19" s="393">
        <f>(M19*E19*O19*Q19)/100000000</f>
        <v>51.179094200581396</v>
      </c>
      <c r="D19" s="42" t="s">
        <v>423</v>
      </c>
      <c r="E19" s="43">
        <v>14.5</v>
      </c>
      <c r="F19" s="43">
        <v>1</v>
      </c>
      <c r="G19" s="406">
        <v>1165</v>
      </c>
      <c r="H19" s="533">
        <f>+N19</f>
        <v>0.15999999999999992</v>
      </c>
      <c r="I19" s="45">
        <v>0.88</v>
      </c>
      <c r="J19" s="82">
        <f>E19*G19*(1-H19)*1440/1000000*2.7</f>
        <v>55.1695536</v>
      </c>
      <c r="K19" s="82">
        <f>(IF(G19&lt;L19,L19,G19)*(1-IF(H19&lt;N19,H19,N19))*E19*O19*Q19)/100000000</f>
        <v>53.849911500000012</v>
      </c>
      <c r="L19" s="36">
        <v>1107.218992248062</v>
      </c>
      <c r="M19" s="36">
        <v>930.06395348837214</v>
      </c>
      <c r="N19" s="46">
        <f>1-(M19/L19)</f>
        <v>0.15999999999999992</v>
      </c>
      <c r="O19" s="47">
        <f>+'Trim Rwd'!H11</f>
        <v>275</v>
      </c>
      <c r="P19" s="48">
        <f>O19*(Q19-R19-S19)</f>
        <v>262075</v>
      </c>
      <c r="Q19" s="47">
        <f>1032+348</f>
        <v>1380</v>
      </c>
      <c r="R19" s="362">
        <v>348</v>
      </c>
      <c r="S19" s="362">
        <f>10+69</f>
        <v>79</v>
      </c>
      <c r="T19" s="38">
        <f>E19*M19*O19*Q19/100000000</f>
        <v>51.179094200581396</v>
      </c>
      <c r="U19" s="38">
        <f>E19*M19*O19*(Q19-R19-S19)/100000000</f>
        <v>35.343244038517447</v>
      </c>
      <c r="V19" s="38">
        <f>E19*G19*(1-N19)*O19/100*(R19+S19)/1000000</f>
        <v>16.662255225000003</v>
      </c>
      <c r="W19" s="38">
        <f>+'4'!K8/1000</f>
        <v>32.604999999999997</v>
      </c>
      <c r="X19" s="39"/>
      <c r="Y19" s="209"/>
      <c r="Z19" s="38"/>
      <c r="AA19" s="38"/>
      <c r="AB19" s="38"/>
      <c r="AC19" s="38">
        <f>K19-T19</f>
        <v>2.6708172994186157</v>
      </c>
      <c r="AD19" s="38">
        <f t="shared" ref="AD19:AD20" si="12">+AM19+BA19</f>
        <v>0</v>
      </c>
      <c r="AE19" s="226" t="s">
        <v>419</v>
      </c>
      <c r="AF19" s="38"/>
      <c r="AG19" s="38">
        <v>0</v>
      </c>
      <c r="AH19" s="38"/>
      <c r="AI19" s="38"/>
      <c r="AJ19" s="38"/>
      <c r="AK19" s="38"/>
      <c r="AL19" s="38"/>
      <c r="AM19" s="38">
        <f t="shared" ref="AM19:AM20" si="13">SUM(AF19:AL19)+AT19+AV19+AX19</f>
        <v>0</v>
      </c>
      <c r="AN19" s="83"/>
      <c r="AO19" s="38"/>
      <c r="AP19" s="38"/>
      <c r="AQ19" s="38"/>
      <c r="AR19" s="38">
        <f t="shared" ref="AR19:AR20" si="14">SUM(AN19:AQ19)</f>
        <v>0</v>
      </c>
      <c r="AS19" s="38"/>
      <c r="AT19" s="38"/>
      <c r="AU19" s="38"/>
      <c r="AV19" s="38"/>
      <c r="AW19" s="38"/>
      <c r="AX19" s="38"/>
      <c r="AY19" s="38"/>
      <c r="AZ19" s="38"/>
      <c r="BA19" s="38">
        <f t="shared" ref="BA19:BA20" si="15">+AR19+AS19+AU19+AW19+AY19+AZ19</f>
        <v>0</v>
      </c>
      <c r="BB19" s="50"/>
      <c r="BC19" s="51">
        <v>0</v>
      </c>
      <c r="BD19" s="51"/>
      <c r="BE19" s="50"/>
      <c r="BF19" s="51"/>
    </row>
    <row r="20" spans="1:58" ht="12.9" customHeight="1">
      <c r="A20" s="41"/>
      <c r="B20" s="42"/>
      <c r="C20" s="393"/>
      <c r="D20" s="42"/>
      <c r="E20" s="43"/>
      <c r="F20" s="43"/>
      <c r="G20" s="44"/>
      <c r="H20" s="533"/>
      <c r="I20" s="45"/>
      <c r="J20" s="82"/>
      <c r="K20" s="82"/>
      <c r="L20" s="36"/>
      <c r="M20" s="36"/>
      <c r="N20" s="46"/>
      <c r="O20" s="47"/>
      <c r="P20" s="48"/>
      <c r="Q20" s="47"/>
      <c r="R20" s="362"/>
      <c r="S20" s="362"/>
      <c r="T20" s="38"/>
      <c r="U20" s="38"/>
      <c r="V20" s="38"/>
      <c r="W20" s="38"/>
      <c r="X20" s="39"/>
      <c r="Y20" s="209"/>
      <c r="Z20" s="38"/>
      <c r="AA20" s="38"/>
      <c r="AB20" s="38"/>
      <c r="AC20" s="38"/>
      <c r="AD20" s="38">
        <f t="shared" si="12"/>
        <v>13</v>
      </c>
      <c r="AE20" s="226" t="s">
        <v>476</v>
      </c>
      <c r="AF20" s="34"/>
      <c r="AG20" s="34"/>
      <c r="AH20" s="34">
        <v>13</v>
      </c>
      <c r="AI20" s="34"/>
      <c r="AJ20" s="38"/>
      <c r="AK20" s="38"/>
      <c r="AL20" s="38"/>
      <c r="AM20" s="38">
        <f t="shared" si="13"/>
        <v>13</v>
      </c>
      <c r="AN20" s="38"/>
      <c r="AO20" s="38"/>
      <c r="AP20" s="38"/>
      <c r="AQ20" s="38"/>
      <c r="AR20" s="38">
        <f t="shared" si="14"/>
        <v>0</v>
      </c>
      <c r="AS20" s="38"/>
      <c r="AT20" s="38"/>
      <c r="AU20" s="38"/>
      <c r="AV20" s="38"/>
      <c r="AW20" s="38"/>
      <c r="AX20" s="38"/>
      <c r="AY20" s="38"/>
      <c r="AZ20" s="38"/>
      <c r="BA20" s="38">
        <f t="shared" si="15"/>
        <v>0</v>
      </c>
      <c r="BB20" s="34"/>
      <c r="BC20" s="477"/>
      <c r="BD20" s="477"/>
      <c r="BE20" s="34"/>
      <c r="BF20" s="477"/>
    </row>
    <row r="21" spans="1:58" ht="12.9" customHeight="1">
      <c r="A21" s="41"/>
      <c r="B21" s="42"/>
      <c r="C21" s="393"/>
      <c r="D21" s="42"/>
      <c r="E21" s="43"/>
      <c r="F21" s="43"/>
      <c r="G21" s="44"/>
      <c r="H21" s="533"/>
      <c r="I21" s="45"/>
      <c r="J21" s="82"/>
      <c r="K21" s="82"/>
      <c r="L21" s="36"/>
      <c r="M21" s="36"/>
      <c r="N21" s="46"/>
      <c r="O21" s="47"/>
      <c r="P21" s="48"/>
      <c r="Q21" s="47"/>
      <c r="R21" s="362"/>
      <c r="S21" s="362"/>
      <c r="T21" s="38"/>
      <c r="U21" s="38"/>
      <c r="V21" s="38"/>
      <c r="W21" s="38"/>
      <c r="X21" s="39"/>
      <c r="Y21" s="209"/>
      <c r="Z21" s="38"/>
      <c r="AA21" s="38"/>
      <c r="AB21" s="38"/>
      <c r="AC21" s="38"/>
      <c r="AD21" s="38">
        <f t="shared" ref="AD21" si="16">+AM21+BA21</f>
        <v>35</v>
      </c>
      <c r="AE21" s="226" t="s">
        <v>477</v>
      </c>
      <c r="AF21" s="34"/>
      <c r="AG21" s="34"/>
      <c r="AH21" s="34"/>
      <c r="AI21" s="34"/>
      <c r="AJ21" s="38"/>
      <c r="AK21" s="38"/>
      <c r="AL21" s="38"/>
      <c r="AM21" s="38">
        <f t="shared" ref="AM21" si="17">SUM(AF21:AL21)+AT21+AV21+AX21</f>
        <v>0</v>
      </c>
      <c r="AN21" s="38">
        <v>35</v>
      </c>
      <c r="AO21" s="38"/>
      <c r="AP21" s="38"/>
      <c r="AQ21" s="38"/>
      <c r="AR21" s="38">
        <f t="shared" ref="AR21" si="18">SUM(AN21:AQ21)</f>
        <v>35</v>
      </c>
      <c r="AS21" s="38"/>
      <c r="AT21" s="38"/>
      <c r="AU21" s="38"/>
      <c r="AV21" s="38"/>
      <c r="AW21" s="38"/>
      <c r="AX21" s="38"/>
      <c r="AY21" s="38"/>
      <c r="AZ21" s="38"/>
      <c r="BA21" s="38">
        <f t="shared" ref="BA21" si="19">+AR21+AS21+AU21+AW21+AY21+AZ21</f>
        <v>35</v>
      </c>
      <c r="BB21" s="34"/>
      <c r="BC21" s="477"/>
      <c r="BD21" s="477"/>
      <c r="BE21" s="34"/>
      <c r="BF21" s="477"/>
    </row>
    <row r="22" spans="1:58" ht="12.9" customHeight="1">
      <c r="A22" s="41"/>
      <c r="B22" s="42"/>
      <c r="C22" s="393"/>
      <c r="D22" s="42"/>
      <c r="E22" s="43"/>
      <c r="F22" s="43"/>
      <c r="G22" s="44"/>
      <c r="H22" s="533"/>
      <c r="I22" s="45"/>
      <c r="J22" s="82"/>
      <c r="K22" s="82"/>
      <c r="L22" s="36"/>
      <c r="M22" s="36"/>
      <c r="N22" s="46"/>
      <c r="O22" s="47"/>
      <c r="P22" s="48"/>
      <c r="Q22" s="47"/>
      <c r="R22" s="362"/>
      <c r="S22" s="362"/>
      <c r="T22" s="38"/>
      <c r="U22" s="38"/>
      <c r="V22" s="38"/>
      <c r="W22" s="38"/>
      <c r="X22" s="39"/>
      <c r="Y22" s="209"/>
      <c r="Z22" s="38"/>
      <c r="AA22" s="38"/>
      <c r="AB22" s="38"/>
      <c r="AC22" s="38"/>
      <c r="AD22" s="38">
        <f t="shared" ref="AD22" si="20">+AM22+BA22</f>
        <v>313</v>
      </c>
      <c r="AE22" s="226" t="s">
        <v>478</v>
      </c>
      <c r="AF22" s="34"/>
      <c r="AG22" s="34"/>
      <c r="AH22" s="34"/>
      <c r="AI22" s="34"/>
      <c r="AJ22" s="38"/>
      <c r="AK22" s="38"/>
      <c r="AL22" s="38"/>
      <c r="AM22" s="38">
        <f t="shared" ref="AM22" si="21">SUM(AF22:AL22)+AT22+AV22+AX22</f>
        <v>0</v>
      </c>
      <c r="AN22" s="38"/>
      <c r="AO22" s="38"/>
      <c r="AP22" s="38"/>
      <c r="AQ22" s="38"/>
      <c r="AR22" s="38">
        <f t="shared" ref="AR22" si="22">SUM(AN22:AQ22)</f>
        <v>0</v>
      </c>
      <c r="AS22" s="38"/>
      <c r="AT22" s="38"/>
      <c r="AU22" s="38"/>
      <c r="AV22" s="38"/>
      <c r="AW22" s="38">
        <f>348-35</f>
        <v>313</v>
      </c>
      <c r="AX22" s="38"/>
      <c r="AY22" s="38"/>
      <c r="AZ22" s="38"/>
      <c r="BA22" s="38">
        <f t="shared" ref="BA22" si="23">+AR22+AS22+AU22+AW22+AY22+AZ22</f>
        <v>313</v>
      </c>
      <c r="BB22" s="34"/>
      <c r="BC22" s="477"/>
      <c r="BD22" s="477"/>
      <c r="BE22" s="34"/>
      <c r="BF22" s="477"/>
    </row>
    <row r="23" spans="1:58" ht="12.9" customHeight="1">
      <c r="A23" s="41"/>
      <c r="B23" s="42"/>
      <c r="C23" s="393"/>
      <c r="D23" s="42"/>
      <c r="E23" s="43"/>
      <c r="F23" s="43"/>
      <c r="G23" s="44"/>
      <c r="H23" s="533"/>
      <c r="I23" s="45"/>
      <c r="J23" s="82"/>
      <c r="K23" s="82"/>
      <c r="L23" s="36"/>
      <c r="M23" s="36"/>
      <c r="N23" s="46"/>
      <c r="O23" s="47"/>
      <c r="P23" s="48"/>
      <c r="Q23" s="47"/>
      <c r="R23" s="362"/>
      <c r="S23" s="362"/>
      <c r="T23" s="38"/>
      <c r="U23" s="38"/>
      <c r="V23" s="38"/>
      <c r="W23" s="38"/>
      <c r="X23" s="39"/>
      <c r="Y23" s="209"/>
      <c r="Z23" s="38"/>
      <c r="AA23" s="38"/>
      <c r="AB23" s="38"/>
      <c r="AC23" s="38"/>
      <c r="AD23" s="38">
        <f t="shared" ref="AD23" si="24">+AM23+BA23</f>
        <v>69</v>
      </c>
      <c r="AE23" s="229" t="s">
        <v>490</v>
      </c>
      <c r="AF23" s="34"/>
      <c r="AG23" s="34"/>
      <c r="AH23" s="34"/>
      <c r="AI23" s="34"/>
      <c r="AJ23" s="38"/>
      <c r="AK23" s="38"/>
      <c r="AL23" s="38"/>
      <c r="AM23" s="38">
        <f t="shared" ref="AM23" si="25">SUM(AF23:AL23)+AT23+AV23+AX23</f>
        <v>69</v>
      </c>
      <c r="AN23" s="38"/>
      <c r="AO23" s="38"/>
      <c r="AP23" s="38"/>
      <c r="AQ23" s="38"/>
      <c r="AR23" s="38">
        <f t="shared" ref="AR23" si="26">SUM(AN23:AQ23)</f>
        <v>0</v>
      </c>
      <c r="AS23" s="38"/>
      <c r="AT23" s="38"/>
      <c r="AU23" s="38"/>
      <c r="AV23" s="38">
        <v>69</v>
      </c>
      <c r="AW23" s="38"/>
      <c r="AX23" s="38"/>
      <c r="AY23" s="38"/>
      <c r="AZ23" s="38"/>
      <c r="BA23" s="38">
        <f t="shared" ref="BA23" si="27">+AR23+AS23+AU23+AW23+AY23+AZ23</f>
        <v>0</v>
      </c>
      <c r="BB23" s="34"/>
      <c r="BC23" s="477"/>
      <c r="BD23" s="477"/>
      <c r="BE23" s="34"/>
      <c r="BF23" s="477"/>
    </row>
    <row r="24" spans="1:58" ht="12.9" customHeight="1">
      <c r="A24" s="41"/>
      <c r="B24" s="42"/>
      <c r="C24" s="393"/>
      <c r="D24" s="42"/>
      <c r="E24" s="43"/>
      <c r="F24" s="43"/>
      <c r="G24" s="406"/>
      <c r="H24" s="533"/>
      <c r="I24" s="45"/>
      <c r="J24" s="82"/>
      <c r="K24" s="82"/>
      <c r="L24" s="36"/>
      <c r="M24" s="36"/>
      <c r="N24" s="46"/>
      <c r="O24" s="47"/>
      <c r="P24" s="48"/>
      <c r="Q24" s="47"/>
      <c r="R24" s="362"/>
      <c r="S24" s="362"/>
      <c r="T24" s="38"/>
      <c r="U24" s="38"/>
      <c r="V24" s="38"/>
      <c r="W24" s="38"/>
      <c r="X24" s="39"/>
      <c r="Y24" s="209"/>
      <c r="Z24" s="38"/>
      <c r="AA24" s="38"/>
      <c r="AB24" s="38"/>
      <c r="AC24" s="38"/>
      <c r="AD24" s="38"/>
      <c r="AE24" s="226"/>
      <c r="AF24" s="38"/>
      <c r="AG24" s="38"/>
      <c r="AH24" s="38"/>
      <c r="AI24" s="38"/>
      <c r="AJ24" s="38"/>
      <c r="AK24" s="38"/>
      <c r="AL24" s="38"/>
      <c r="AM24" s="38"/>
      <c r="AN24" s="83"/>
      <c r="AO24" s="38"/>
      <c r="AP24" s="38"/>
      <c r="AQ24" s="38"/>
      <c r="AR24" s="38"/>
      <c r="AS24" s="38"/>
      <c r="AT24" s="38"/>
      <c r="AU24" s="38"/>
      <c r="AV24" s="38"/>
      <c r="AW24" s="38"/>
      <c r="AX24" s="38"/>
      <c r="AY24" s="38"/>
      <c r="AZ24" s="38"/>
      <c r="BA24" s="38"/>
      <c r="BB24" s="50"/>
      <c r="BC24" s="51"/>
      <c r="BD24" s="477"/>
      <c r="BE24" s="34"/>
      <c r="BF24" s="477"/>
    </row>
    <row r="25" spans="1:58" ht="12.9" customHeight="1">
      <c r="A25" s="41">
        <v>46086</v>
      </c>
      <c r="B25" s="42" t="s">
        <v>422</v>
      </c>
      <c r="C25" s="393">
        <f>(M25*E25*O25*Q25)/100000000</f>
        <v>55.46772</v>
      </c>
      <c r="D25" s="42" t="s">
        <v>423</v>
      </c>
      <c r="E25" s="43">
        <v>14.5</v>
      </c>
      <c r="F25" s="43">
        <v>1</v>
      </c>
      <c r="G25" s="406">
        <v>1165</v>
      </c>
      <c r="H25" s="533">
        <f>+N25</f>
        <v>0.16000000000000003</v>
      </c>
      <c r="I25" s="45">
        <v>0.88</v>
      </c>
      <c r="J25" s="82">
        <f>E25*G25*(1-H25)*1440/1000000*2.7</f>
        <v>55.1695536</v>
      </c>
      <c r="K25" s="82">
        <f>(IF(G25&lt;L25,L25,G25)*(1-IF(H25&lt;N25,H25,N25))*E25*O25*Q25)/100000000</f>
        <v>56.191211999999993</v>
      </c>
      <c r="L25" s="36">
        <v>1150</v>
      </c>
      <c r="M25" s="36">
        <v>966</v>
      </c>
      <c r="N25" s="46">
        <f>1-(M25/L25)</f>
        <v>0.16000000000000003</v>
      </c>
      <c r="O25" s="47">
        <f>+'Trim Rwd'!H13</f>
        <v>275</v>
      </c>
      <c r="P25" s="48">
        <f>O25*(Q25-R25-S25)</f>
        <v>387475</v>
      </c>
      <c r="Q25" s="47">
        <v>1440</v>
      </c>
      <c r="R25" s="362">
        <v>0</v>
      </c>
      <c r="S25" s="362">
        <v>31</v>
      </c>
      <c r="T25" s="38">
        <f>E25*M25*O25*Q25/100000000</f>
        <v>55.46772</v>
      </c>
      <c r="U25" s="38">
        <f>E25*M25*O25*(Q25-R25-S25)/100000000</f>
        <v>54.27362325</v>
      </c>
      <c r="V25" s="38">
        <f>E25*G25*(1-N25)*O25/100*(R25+S25)/1000000</f>
        <v>1.2096719249999999</v>
      </c>
      <c r="W25" s="38">
        <f>+'5'!K8/1000</f>
        <v>54.177999999999997</v>
      </c>
      <c r="X25" s="361">
        <f>SUM(W25:W28)/SUM(K25:K28)</f>
        <v>0.96417212001050989</v>
      </c>
      <c r="Y25" s="38">
        <v>0</v>
      </c>
      <c r="Z25" s="38">
        <v>0</v>
      </c>
      <c r="AA25" s="49">
        <f>SUM(U25:U28)-SUM(W25:W28)-SUM(Z25:Z28)-SUM(Y25:Y28)</f>
        <v>9.5623250000002713E-2</v>
      </c>
      <c r="AB25" s="49">
        <f>(SUM(K25:K28)-SUM(W25:W28)-SUM(Y25:Y28)-SUM(Z25:Z28)-SUM(AC25:AC28)-SUM(V25:V28))-AA25</f>
        <v>-1.5575174999999941E-2</v>
      </c>
      <c r="AC25" s="38">
        <f>K25-T25</f>
        <v>0.72349199999999314</v>
      </c>
      <c r="AD25" s="38">
        <f>+AM25+BA25</f>
        <v>4</v>
      </c>
      <c r="AE25" s="226" t="s">
        <v>445</v>
      </c>
      <c r="AF25" s="38">
        <v>4</v>
      </c>
      <c r="AG25" s="38"/>
      <c r="AH25" s="38"/>
      <c r="AI25" s="38"/>
      <c r="AJ25" s="38"/>
      <c r="AK25" s="38"/>
      <c r="AL25" s="38"/>
      <c r="AM25" s="38">
        <f>SUM(AF25:AL25)+AT25+AV25+AX25</f>
        <v>4</v>
      </c>
      <c r="AN25" s="38"/>
      <c r="AO25" s="38"/>
      <c r="AP25" s="38"/>
      <c r="AQ25" s="38"/>
      <c r="AR25" s="38">
        <f>SUM(AN25:AQ25)</f>
        <v>0</v>
      </c>
      <c r="AS25" s="38"/>
      <c r="AT25" s="38"/>
      <c r="AU25" s="38"/>
      <c r="AV25" s="38"/>
      <c r="AW25" s="38"/>
      <c r="AX25" s="38"/>
      <c r="AY25" s="38"/>
      <c r="AZ25" s="38"/>
      <c r="BA25" s="38">
        <f>+AR25+AS25+AU25+AW25+AY25+AZ25</f>
        <v>0</v>
      </c>
      <c r="BB25" s="34">
        <v>2</v>
      </c>
      <c r="BC25" s="51"/>
      <c r="BD25" s="51"/>
      <c r="BE25" s="34"/>
      <c r="BF25" s="51"/>
    </row>
    <row r="26" spans="1:58" ht="12.9" customHeight="1">
      <c r="A26" s="41"/>
      <c r="B26" s="42"/>
      <c r="C26" s="393"/>
      <c r="D26" s="42"/>
      <c r="E26" s="43"/>
      <c r="F26" s="43"/>
      <c r="G26" s="406"/>
      <c r="H26" s="533"/>
      <c r="I26" s="45"/>
      <c r="J26" s="82"/>
      <c r="K26" s="82"/>
      <c r="L26" s="36"/>
      <c r="M26" s="36"/>
      <c r="N26" s="46"/>
      <c r="O26" s="47"/>
      <c r="P26" s="48"/>
      <c r="Q26" s="47"/>
      <c r="R26" s="362"/>
      <c r="S26" s="362"/>
      <c r="T26" s="38"/>
      <c r="U26" s="38"/>
      <c r="V26" s="38"/>
      <c r="W26" s="38"/>
      <c r="X26" s="39"/>
      <c r="Y26" s="209"/>
      <c r="Z26" s="38"/>
      <c r="AA26" s="38"/>
      <c r="AB26" s="38"/>
      <c r="AC26" s="38"/>
      <c r="AD26" s="38">
        <f t="shared" ref="AD26:AD27" si="28">+AM26+BA26</f>
        <v>3</v>
      </c>
      <c r="AE26" s="226" t="s">
        <v>416</v>
      </c>
      <c r="AF26" s="38"/>
      <c r="AG26" s="38">
        <v>3</v>
      </c>
      <c r="AH26" s="38"/>
      <c r="AI26" s="38"/>
      <c r="AJ26" s="38"/>
      <c r="AK26" s="38"/>
      <c r="AL26" s="38"/>
      <c r="AM26" s="38">
        <f t="shared" ref="AM26:AM27" si="29">SUM(AF26:AL26)+AT26+AV26+AX26</f>
        <v>3</v>
      </c>
      <c r="AN26" s="83"/>
      <c r="AO26" s="38"/>
      <c r="AP26" s="38"/>
      <c r="AQ26" s="38"/>
      <c r="AR26" s="38">
        <f t="shared" ref="AR26:AR27" si="30">SUM(AN26:AQ26)</f>
        <v>0</v>
      </c>
      <c r="AS26" s="38"/>
      <c r="AT26" s="38"/>
      <c r="AU26" s="38"/>
      <c r="AV26" s="38"/>
      <c r="AW26" s="38"/>
      <c r="AX26" s="38"/>
      <c r="AY26" s="38"/>
      <c r="AZ26" s="38"/>
      <c r="BA26" s="38">
        <f t="shared" ref="BA26:BA27" si="31">+AR26+AS26+AU26+AW26+AY26+AZ26</f>
        <v>0</v>
      </c>
      <c r="BB26" s="50"/>
      <c r="BC26" s="51">
        <v>1</v>
      </c>
      <c r="BD26" s="51"/>
      <c r="BE26" s="50"/>
      <c r="BF26" s="51"/>
    </row>
    <row r="27" spans="1:58" ht="12.9" customHeight="1">
      <c r="A27" s="41"/>
      <c r="B27" s="42"/>
      <c r="C27" s="393"/>
      <c r="D27" s="42"/>
      <c r="E27" s="43"/>
      <c r="F27" s="43"/>
      <c r="G27" s="44"/>
      <c r="H27" s="533"/>
      <c r="I27" s="45"/>
      <c r="J27" s="82"/>
      <c r="K27" s="82"/>
      <c r="L27" s="36"/>
      <c r="M27" s="36"/>
      <c r="N27" s="46"/>
      <c r="O27" s="47"/>
      <c r="P27" s="48"/>
      <c r="Q27" s="47"/>
      <c r="R27" s="362"/>
      <c r="S27" s="362"/>
      <c r="T27" s="38"/>
      <c r="U27" s="38"/>
      <c r="V27" s="38"/>
      <c r="W27" s="38"/>
      <c r="X27" s="39"/>
      <c r="Y27" s="209"/>
      <c r="Z27" s="38"/>
      <c r="AA27" s="38"/>
      <c r="AB27" s="38"/>
      <c r="AC27" s="38"/>
      <c r="AD27" s="38">
        <f t="shared" si="28"/>
        <v>24</v>
      </c>
      <c r="AE27" s="226" t="s">
        <v>498</v>
      </c>
      <c r="AF27" s="34"/>
      <c r="AG27" s="34"/>
      <c r="AH27" s="34">
        <v>24</v>
      </c>
      <c r="AI27" s="34"/>
      <c r="AJ27" s="38"/>
      <c r="AK27" s="38"/>
      <c r="AL27" s="38"/>
      <c r="AM27" s="38">
        <f t="shared" si="29"/>
        <v>24</v>
      </c>
      <c r="AN27" s="38"/>
      <c r="AO27" s="38"/>
      <c r="AP27" s="38"/>
      <c r="AQ27" s="38"/>
      <c r="AR27" s="38">
        <f t="shared" si="30"/>
        <v>0</v>
      </c>
      <c r="AS27" s="38"/>
      <c r="AT27" s="38"/>
      <c r="AU27" s="38"/>
      <c r="AV27" s="38"/>
      <c r="AW27" s="38"/>
      <c r="AX27" s="38"/>
      <c r="AY27" s="38"/>
      <c r="AZ27" s="38"/>
      <c r="BA27" s="38">
        <f t="shared" si="31"/>
        <v>0</v>
      </c>
      <c r="BB27" s="34"/>
      <c r="BC27" s="477"/>
      <c r="BD27" s="477"/>
      <c r="BE27" s="34"/>
      <c r="BF27" s="477"/>
    </row>
    <row r="28" spans="1:58" ht="12.9" customHeight="1">
      <c r="A28" s="41"/>
      <c r="B28" s="42"/>
      <c r="C28" s="393"/>
      <c r="D28" s="42"/>
      <c r="E28" s="43"/>
      <c r="F28" s="43"/>
      <c r="G28" s="406"/>
      <c r="H28" s="533"/>
      <c r="I28" s="45"/>
      <c r="J28" s="82"/>
      <c r="K28" s="82"/>
      <c r="L28" s="36"/>
      <c r="M28" s="36"/>
      <c r="N28" s="46"/>
      <c r="O28" s="47"/>
      <c r="P28" s="48"/>
      <c r="Q28" s="47"/>
      <c r="R28" s="362"/>
      <c r="S28" s="362"/>
      <c r="T28" s="38"/>
      <c r="U28" s="38"/>
      <c r="V28" s="38"/>
      <c r="W28" s="38"/>
      <c r="X28" s="39"/>
      <c r="Y28" s="209"/>
      <c r="Z28" s="38"/>
      <c r="AA28" s="38"/>
      <c r="AB28" s="38"/>
      <c r="AC28" s="38"/>
      <c r="AD28" s="38"/>
      <c r="AE28" s="226"/>
      <c r="AF28" s="38"/>
      <c r="AG28" s="38"/>
      <c r="AH28" s="38"/>
      <c r="AI28" s="476"/>
      <c r="AJ28" s="38"/>
      <c r="AK28" s="38"/>
      <c r="AL28" s="38"/>
      <c r="AM28" s="38"/>
      <c r="AN28" s="83"/>
      <c r="AO28" s="38"/>
      <c r="AP28" s="38"/>
      <c r="AQ28" s="38"/>
      <c r="AR28" s="38"/>
      <c r="AS28" s="38"/>
      <c r="AT28" s="38"/>
      <c r="AU28" s="38"/>
      <c r="AV28" s="38"/>
      <c r="AW28" s="38"/>
      <c r="AX28" s="38"/>
      <c r="AY28" s="38"/>
      <c r="AZ28" s="38"/>
      <c r="BA28" s="38"/>
      <c r="BB28" s="50"/>
      <c r="BC28" s="51"/>
      <c r="BD28" s="477"/>
      <c r="BE28" s="34"/>
      <c r="BF28" s="477"/>
    </row>
    <row r="29" spans="1:58" ht="12.9" customHeight="1">
      <c r="A29" s="41">
        <v>46087</v>
      </c>
      <c r="B29" s="42" t="s">
        <v>422</v>
      </c>
      <c r="C29" s="393">
        <f>(M29*E29*O29*Q29)/100000000</f>
        <v>8.6668312499999995</v>
      </c>
      <c r="D29" s="42" t="s">
        <v>423</v>
      </c>
      <c r="E29" s="43">
        <v>14.5</v>
      </c>
      <c r="F29" s="43">
        <v>1</v>
      </c>
      <c r="G29" s="406">
        <v>1165</v>
      </c>
      <c r="H29" s="533">
        <f>+N29</f>
        <v>0.16000000000000003</v>
      </c>
      <c r="I29" s="45">
        <v>0.88</v>
      </c>
      <c r="J29" s="82">
        <f>E29*G29*(1-H29)*1440/1000000*2.7</f>
        <v>55.1695536</v>
      </c>
      <c r="K29" s="82">
        <f>(IF(G29&lt;L29,L29,G29)*(1-IF(H29&lt;N29,H29,N29))*E29*O29*Q29)/100000000</f>
        <v>8.7798768749999994</v>
      </c>
      <c r="L29" s="36">
        <v>1150</v>
      </c>
      <c r="M29" s="36">
        <v>966</v>
      </c>
      <c r="N29" s="46">
        <f>1-(M29/L29)</f>
        <v>0.16000000000000003</v>
      </c>
      <c r="O29" s="47">
        <f>+'Trim Rwd'!H16</f>
        <v>275</v>
      </c>
      <c r="P29" s="48">
        <f>O29*(Q29-R29-S29)</f>
        <v>60500</v>
      </c>
      <c r="Q29" s="47">
        <v>225</v>
      </c>
      <c r="R29" s="362">
        <v>0</v>
      </c>
      <c r="S29" s="362">
        <v>5</v>
      </c>
      <c r="T29" s="38">
        <f>E29*M29*O29*Q29/100000000</f>
        <v>8.6668312499999995</v>
      </c>
      <c r="U29" s="38">
        <f>E29*M29*O29*(Q29-R29-S29)/100000000</f>
        <v>8.4742350000000002</v>
      </c>
      <c r="V29" s="38">
        <f>E29*G29*(1-N29)*O29/100*(R29+S29)/1000000</f>
        <v>0.19510837499999997</v>
      </c>
      <c r="W29" s="38">
        <f>+'6'!K8/1000</f>
        <v>10.114000000000001</v>
      </c>
      <c r="X29" s="361">
        <f>SUM(W29:W32)/SUM(K29:K32)</f>
        <v>0.62114023938527529</v>
      </c>
      <c r="Y29" s="38">
        <v>0</v>
      </c>
      <c r="Z29" s="38">
        <v>0</v>
      </c>
      <c r="AA29" s="49">
        <f>SUM(U29:U32)-SUM(W29:W32)-SUM(Z29:Z32)-SUM(Y29:Y32)</f>
        <v>-0.1085705699999977</v>
      </c>
      <c r="AB29" s="49">
        <f>(SUM(K29:K32)-SUM(W29:W32)-SUM(Y29:Y32)-SUM(Z29:Z32)-SUM(AC29:AC32)-SUM(V29:V32))-AA29</f>
        <v>8.5718744999994101E-2</v>
      </c>
      <c r="AC29" s="38">
        <f>K29-T29</f>
        <v>0.11304562499999982</v>
      </c>
      <c r="AD29" s="38">
        <f>+AM29+BA29</f>
        <v>0</v>
      </c>
      <c r="AE29" s="226" t="s">
        <v>417</v>
      </c>
      <c r="AF29" s="38">
        <v>0</v>
      </c>
      <c r="AG29" s="38"/>
      <c r="AH29" s="38"/>
      <c r="AI29" s="38"/>
      <c r="AJ29" s="38"/>
      <c r="AK29" s="38"/>
      <c r="AL29" s="38"/>
      <c r="AM29" s="38">
        <f>SUM(AF29:AL29)+AT29+AV29+AX29</f>
        <v>0</v>
      </c>
      <c r="AN29" s="38"/>
      <c r="AO29" s="38"/>
      <c r="AP29" s="38"/>
      <c r="AQ29" s="38"/>
      <c r="AR29" s="38">
        <f>SUM(AN29:AQ29)</f>
        <v>0</v>
      </c>
      <c r="AS29" s="38"/>
      <c r="AT29" s="38"/>
      <c r="AU29" s="38"/>
      <c r="AV29" s="38"/>
      <c r="AW29" s="38"/>
      <c r="AX29" s="38"/>
      <c r="AY29" s="38"/>
      <c r="AZ29" s="38"/>
      <c r="BA29" s="38">
        <f>+AR29+AS29+AU29+AW29+AY29+AZ29</f>
        <v>0</v>
      </c>
      <c r="BB29" s="34">
        <v>0</v>
      </c>
      <c r="BC29" s="51"/>
      <c r="BD29" s="51">
        <v>2</v>
      </c>
      <c r="BE29" s="34"/>
      <c r="BF29" s="51"/>
    </row>
    <row r="30" spans="1:58" ht="12.9" customHeight="1">
      <c r="A30" s="41"/>
      <c r="B30" s="42" t="s">
        <v>422</v>
      </c>
      <c r="C30" s="393">
        <f>(M30*E30*O30*Q30)/100000000</f>
        <v>44.372371049999998</v>
      </c>
      <c r="D30" s="42" t="s">
        <v>423</v>
      </c>
      <c r="E30" s="43">
        <v>15</v>
      </c>
      <c r="F30" s="43">
        <v>1</v>
      </c>
      <c r="G30" s="406">
        <v>1125</v>
      </c>
      <c r="H30" s="533">
        <f>+N30</f>
        <v>0.15999999999999992</v>
      </c>
      <c r="I30" s="45">
        <v>0.88</v>
      </c>
      <c r="J30" s="82">
        <f>E30*G30*(1-H30)*1440/1000000*2.7</f>
        <v>55.112400000000008</v>
      </c>
      <c r="K30" s="82">
        <f>(IF(G30&lt;L30,L30,G30)*(1-IF(H30&lt;N30,H30,N30))*E30*O30*Q30)/100000000</f>
        <v>44.372371049999998</v>
      </c>
      <c r="L30" s="36">
        <v>1130</v>
      </c>
      <c r="M30" s="36">
        <v>949.2</v>
      </c>
      <c r="N30" s="46">
        <f>1-(M30/L30)</f>
        <v>0.15999999999999992</v>
      </c>
      <c r="O30" s="47">
        <f>+'Trim Rwd'!H15</f>
        <v>256.5</v>
      </c>
      <c r="P30" s="48">
        <f>O30*(Q30-R30-S30)</f>
        <v>171598.5</v>
      </c>
      <c r="Q30" s="47">
        <f>685+530</f>
        <v>1215</v>
      </c>
      <c r="R30" s="362">
        <v>530</v>
      </c>
      <c r="S30" s="362">
        <v>16</v>
      </c>
      <c r="T30" s="38">
        <f>E30*M30*O30*Q30/100000000</f>
        <v>44.372371049999998</v>
      </c>
      <c r="U30" s="38">
        <f>E30*M30*O30*(Q30-R30-S30)/100000000</f>
        <v>24.432194429999999</v>
      </c>
      <c r="V30" s="38">
        <f>E30*G30*(1-N30)*O30/100*(R30+S30)/1000000</f>
        <v>19.851945750000002</v>
      </c>
      <c r="W30" s="38">
        <f>+'6'!K7/1000</f>
        <v>22.901</v>
      </c>
      <c r="X30" s="39"/>
      <c r="Y30" s="209"/>
      <c r="Z30" s="38"/>
      <c r="AA30" s="38"/>
      <c r="AB30" s="38"/>
      <c r="AC30" s="38">
        <f>K30-T30</f>
        <v>0</v>
      </c>
      <c r="AD30" s="38">
        <f t="shared" ref="AD30:AD32" si="32">+AM30+BA30</f>
        <v>2</v>
      </c>
      <c r="AE30" s="226" t="s">
        <v>416</v>
      </c>
      <c r="AF30" s="38"/>
      <c r="AG30" s="38">
        <v>2</v>
      </c>
      <c r="AH30" s="38"/>
      <c r="AI30" s="38"/>
      <c r="AJ30" s="38"/>
      <c r="AK30" s="38"/>
      <c r="AL30" s="38"/>
      <c r="AM30" s="38">
        <f t="shared" ref="AM30:AM31" si="33">SUM(AF30:AL30)+AT30+AV30+AX30</f>
        <v>2</v>
      </c>
      <c r="AN30" s="83"/>
      <c r="AO30" s="38"/>
      <c r="AP30" s="38"/>
      <c r="AQ30" s="38"/>
      <c r="AR30" s="38">
        <f t="shared" ref="AR30:AR32" si="34">SUM(AN30:AQ30)</f>
        <v>0</v>
      </c>
      <c r="AS30" s="38"/>
      <c r="AT30" s="38"/>
      <c r="AU30" s="38"/>
      <c r="AV30" s="38"/>
      <c r="AW30" s="38"/>
      <c r="AX30" s="38"/>
      <c r="AY30" s="38"/>
      <c r="AZ30" s="38"/>
      <c r="BA30" s="38">
        <f t="shared" ref="BA30:BA32" si="35">+AR30+AS30+AU30+AW30+AY30+AZ30</f>
        <v>0</v>
      </c>
      <c r="BB30" s="50"/>
      <c r="BC30" s="51">
        <v>1</v>
      </c>
      <c r="BD30" s="51"/>
      <c r="BE30" s="50"/>
      <c r="BF30" s="51"/>
    </row>
    <row r="31" spans="1:58" ht="12.9" customHeight="1">
      <c r="A31" s="41"/>
      <c r="B31" s="42"/>
      <c r="C31" s="393"/>
      <c r="D31" s="42"/>
      <c r="E31" s="43"/>
      <c r="F31" s="43"/>
      <c r="G31" s="44"/>
      <c r="H31" s="533"/>
      <c r="I31" s="45"/>
      <c r="J31" s="82"/>
      <c r="K31" s="82"/>
      <c r="L31" s="36"/>
      <c r="M31" s="36"/>
      <c r="N31" s="46"/>
      <c r="O31" s="47"/>
      <c r="P31" s="48"/>
      <c r="Q31" s="47"/>
      <c r="R31" s="362"/>
      <c r="S31" s="362"/>
      <c r="T31" s="38"/>
      <c r="U31" s="38"/>
      <c r="V31" s="38"/>
      <c r="W31" s="38"/>
      <c r="X31" s="39"/>
      <c r="Y31" s="209"/>
      <c r="Z31" s="38"/>
      <c r="AA31" s="38"/>
      <c r="AB31" s="38"/>
      <c r="AC31" s="38"/>
      <c r="AD31" s="38">
        <f t="shared" si="32"/>
        <v>19</v>
      </c>
      <c r="AE31" s="226" t="s">
        <v>511</v>
      </c>
      <c r="AF31" s="34"/>
      <c r="AG31" s="34"/>
      <c r="AH31" s="34">
        <v>19</v>
      </c>
      <c r="AI31" s="34"/>
      <c r="AJ31" s="38"/>
      <c r="AK31" s="38"/>
      <c r="AL31" s="38"/>
      <c r="AM31" s="38">
        <f t="shared" si="33"/>
        <v>19</v>
      </c>
      <c r="AN31" s="38"/>
      <c r="AO31" s="38"/>
      <c r="AP31" s="38"/>
      <c r="AQ31" s="38"/>
      <c r="AR31" s="38">
        <f t="shared" si="34"/>
        <v>0</v>
      </c>
      <c r="AS31" s="38"/>
      <c r="AT31" s="38"/>
      <c r="AU31" s="38"/>
      <c r="AV31" s="38"/>
      <c r="AW31" s="38"/>
      <c r="AX31" s="38"/>
      <c r="AY31" s="38"/>
      <c r="AZ31" s="38"/>
      <c r="BA31" s="38">
        <f t="shared" si="35"/>
        <v>0</v>
      </c>
      <c r="BB31" s="34"/>
      <c r="BC31" s="477"/>
      <c r="BD31" s="477"/>
      <c r="BE31" s="34"/>
      <c r="BF31" s="477"/>
    </row>
    <row r="32" spans="1:58" ht="12.9" customHeight="1">
      <c r="A32" s="41"/>
      <c r="B32" s="42"/>
      <c r="C32" s="393"/>
      <c r="D32" s="42"/>
      <c r="E32" s="43"/>
      <c r="F32" s="43"/>
      <c r="G32" s="44"/>
      <c r="H32" s="533"/>
      <c r="I32" s="45"/>
      <c r="J32" s="82"/>
      <c r="K32" s="82"/>
      <c r="L32" s="36"/>
      <c r="M32" s="36"/>
      <c r="N32" s="46"/>
      <c r="O32" s="47"/>
      <c r="P32" s="48"/>
      <c r="Q32" s="47"/>
      <c r="R32" s="362"/>
      <c r="S32" s="362"/>
      <c r="T32" s="38"/>
      <c r="U32" s="38"/>
      <c r="V32" s="38"/>
      <c r="W32" s="38"/>
      <c r="X32" s="39"/>
      <c r="Y32" s="209"/>
      <c r="Z32" s="38"/>
      <c r="AA32" s="38"/>
      <c r="AB32" s="38"/>
      <c r="AC32" s="38"/>
      <c r="AD32" s="38">
        <f t="shared" si="32"/>
        <v>530</v>
      </c>
      <c r="AE32" s="226" t="s">
        <v>512</v>
      </c>
      <c r="AF32" s="34"/>
      <c r="AG32" s="34"/>
      <c r="AH32" s="34"/>
      <c r="AI32" s="34"/>
      <c r="AJ32" s="38"/>
      <c r="AK32" s="38"/>
      <c r="AL32" s="38"/>
      <c r="AM32" s="38">
        <f t="shared" ref="AM32" si="36">SUM(AF32:AL32)+AT32+AV32+AX32</f>
        <v>0</v>
      </c>
      <c r="AN32" s="38"/>
      <c r="AO32" s="38"/>
      <c r="AP32" s="38"/>
      <c r="AQ32" s="38"/>
      <c r="AR32" s="38">
        <f t="shared" si="34"/>
        <v>0</v>
      </c>
      <c r="AS32" s="38"/>
      <c r="AT32" s="38"/>
      <c r="AU32" s="38"/>
      <c r="AV32" s="38"/>
      <c r="AW32" s="38">
        <v>530</v>
      </c>
      <c r="AX32" s="38"/>
      <c r="AY32" s="38"/>
      <c r="AZ32" s="38"/>
      <c r="BA32" s="38">
        <f t="shared" si="35"/>
        <v>530</v>
      </c>
      <c r="BB32" s="34"/>
      <c r="BC32" s="477"/>
      <c r="BD32" s="477"/>
      <c r="BE32" s="34"/>
      <c r="BF32" s="477"/>
    </row>
    <row r="33" spans="1:58" ht="12.9" customHeight="1">
      <c r="A33" s="41"/>
      <c r="B33" s="42"/>
      <c r="C33" s="393"/>
      <c r="D33" s="42"/>
      <c r="E33" s="43"/>
      <c r="F33" s="43"/>
      <c r="G33" s="406"/>
      <c r="H33" s="533"/>
      <c r="I33" s="45"/>
      <c r="J33" s="82"/>
      <c r="K33" s="82"/>
      <c r="L33" s="36"/>
      <c r="M33" s="36"/>
      <c r="N33" s="46"/>
      <c r="O33" s="47"/>
      <c r="P33" s="48"/>
      <c r="Q33" s="47"/>
      <c r="R33" s="362"/>
      <c r="S33" s="362"/>
      <c r="T33" s="38"/>
      <c r="U33" s="38"/>
      <c r="V33" s="38"/>
      <c r="W33" s="38"/>
      <c r="X33" s="361"/>
      <c r="Y33" s="38"/>
      <c r="Z33" s="38"/>
      <c r="AA33" s="49"/>
      <c r="AB33" s="49"/>
      <c r="AC33" s="38"/>
      <c r="AD33" s="38"/>
      <c r="AE33" s="226"/>
      <c r="AF33" s="38"/>
      <c r="AG33" s="38"/>
      <c r="AH33" s="38"/>
      <c r="AI33" s="476"/>
      <c r="AJ33" s="38"/>
      <c r="AK33" s="38"/>
      <c r="AL33" s="38"/>
      <c r="AM33" s="38"/>
      <c r="AN33" s="38"/>
      <c r="AO33" s="38"/>
      <c r="AP33" s="38"/>
      <c r="AQ33" s="38"/>
      <c r="AR33" s="38"/>
      <c r="AS33" s="38"/>
      <c r="AT33" s="38"/>
      <c r="AU33" s="38"/>
      <c r="AV33" s="38"/>
      <c r="AW33" s="38"/>
      <c r="AX33" s="38"/>
      <c r="AY33" s="38"/>
      <c r="AZ33" s="38"/>
      <c r="BA33" s="38"/>
      <c r="BB33" s="34"/>
      <c r="BC33" s="51"/>
      <c r="BD33" s="51"/>
      <c r="BE33" s="34"/>
      <c r="BF33" s="51"/>
    </row>
    <row r="34" spans="1:58" ht="12.9" customHeight="1">
      <c r="A34" s="41">
        <v>46088</v>
      </c>
      <c r="B34" s="42" t="s">
        <v>422</v>
      </c>
      <c r="C34" s="393">
        <f>(M34*E34*O34*Q34)/100000000</f>
        <v>52.22371561866251</v>
      </c>
      <c r="D34" s="42" t="s">
        <v>423</v>
      </c>
      <c r="E34" s="43">
        <v>15</v>
      </c>
      <c r="F34" s="43">
        <v>1</v>
      </c>
      <c r="G34" s="406">
        <v>1150</v>
      </c>
      <c r="H34" s="533">
        <f>+N34</f>
        <v>0.18000000000000005</v>
      </c>
      <c r="I34" s="45">
        <v>0.88</v>
      </c>
      <c r="J34" s="82">
        <f>E34*G34*(1-H34)*1440/1000000*2.7</f>
        <v>54.995760000000004</v>
      </c>
      <c r="K34" s="82">
        <f>(IF(G34&lt;L34,L34,G34)*(1-IF(H34&lt;N34,H34,N34))*E34*O34*Q34)/100000000</f>
        <v>52.245972000000002</v>
      </c>
      <c r="L34" s="36">
        <v>1149.5101088646968</v>
      </c>
      <c r="M34" s="36">
        <v>942.59828926905129</v>
      </c>
      <c r="N34" s="46">
        <f>1-(M34/L34)</f>
        <v>0.18000000000000005</v>
      </c>
      <c r="O34" s="47">
        <f>+'Trim Rwd'!H18</f>
        <v>256.5</v>
      </c>
      <c r="P34" s="48">
        <f>O34*(Q34-R34-S34)</f>
        <v>323959.5</v>
      </c>
      <c r="Q34" s="47">
        <v>1440</v>
      </c>
      <c r="R34" s="362">
        <v>154</v>
      </c>
      <c r="S34" s="362">
        <f>17+6</f>
        <v>23</v>
      </c>
      <c r="T34" s="38">
        <f>E34*M34*O34*Q34/100000000</f>
        <v>52.22371561866251</v>
      </c>
      <c r="U34" s="38">
        <f>E34*M34*O34*(Q34-R34-S34)/100000000</f>
        <v>45.804550573868582</v>
      </c>
      <c r="V34" s="38">
        <f>E34*G34*(1-N34)*O34/100*(R34+S34)/1000000</f>
        <v>6.4219007250000004</v>
      </c>
      <c r="W34" s="38">
        <f>+'7'!K7/1000</f>
        <v>38.323999999999998</v>
      </c>
      <c r="X34" s="361">
        <f>SUM(W34:W37)/SUM(K34:K37)</f>
        <v>0.73353023272301254</v>
      </c>
      <c r="Y34" s="38">
        <v>0</v>
      </c>
      <c r="Z34" s="38">
        <v>0</v>
      </c>
      <c r="AA34" s="49">
        <f>SUM(U34:U37)-SUM(W34:W37)-SUM(Z34:Z37)-SUM(Y34:Y37)</f>
        <v>7.4805505738685838</v>
      </c>
      <c r="AB34" s="49">
        <f>(SUM(K34:K37)-SUM(W34:W37)-SUM(Y34:Y37)-SUM(Z34:Z37)-SUM(AC34:AC37)-SUM(V34:V37))-AA34</f>
        <v>-2.7356802060722885E-3</v>
      </c>
      <c r="AC34" s="38">
        <f>K34-T34</f>
        <v>2.225638133749186E-2</v>
      </c>
      <c r="AD34" s="38">
        <f>+AM34+BA34</f>
        <v>0</v>
      </c>
      <c r="AE34" s="226" t="s">
        <v>417</v>
      </c>
      <c r="AF34" s="38">
        <v>0</v>
      </c>
      <c r="AG34" s="38"/>
      <c r="AH34" s="38"/>
      <c r="AI34" s="38"/>
      <c r="AJ34" s="38"/>
      <c r="AK34" s="38"/>
      <c r="AL34" s="38"/>
      <c r="AM34" s="38">
        <f>SUM(AF34:AL34)+AT34+AV34+AX34</f>
        <v>0</v>
      </c>
      <c r="AN34" s="38"/>
      <c r="AO34" s="38"/>
      <c r="AP34" s="38"/>
      <c r="AQ34" s="38"/>
      <c r="AR34" s="38">
        <f>SUM(AN34:AQ34)</f>
        <v>0</v>
      </c>
      <c r="AS34" s="38"/>
      <c r="AT34" s="38"/>
      <c r="AU34" s="38"/>
      <c r="AV34" s="38"/>
      <c r="AW34" s="38"/>
      <c r="AX34" s="38"/>
      <c r="AY34" s="38"/>
      <c r="AZ34" s="38"/>
      <c r="BA34" s="38">
        <f>+AR34+AS34+AU34+AW34+AY34+AZ34</f>
        <v>0</v>
      </c>
      <c r="BB34" s="34">
        <v>0</v>
      </c>
      <c r="BC34" s="51"/>
      <c r="BD34" s="51">
        <v>2</v>
      </c>
      <c r="BE34" s="34"/>
      <c r="BF34" s="51"/>
    </row>
    <row r="35" spans="1:58" ht="12.9" customHeight="1">
      <c r="A35" s="41"/>
      <c r="B35" s="42"/>
      <c r="C35" s="393"/>
      <c r="D35" s="42"/>
      <c r="E35" s="43"/>
      <c r="F35" s="43"/>
      <c r="G35" s="406"/>
      <c r="H35" s="533"/>
      <c r="I35" s="45"/>
      <c r="J35" s="82"/>
      <c r="K35" s="82"/>
      <c r="L35" s="36"/>
      <c r="M35" s="36"/>
      <c r="N35" s="46"/>
      <c r="O35" s="47"/>
      <c r="P35" s="48"/>
      <c r="Q35" s="47"/>
      <c r="R35" s="362"/>
      <c r="S35" s="362"/>
      <c r="T35" s="38"/>
      <c r="U35" s="38"/>
      <c r="V35" s="38"/>
      <c r="W35" s="38"/>
      <c r="X35" s="39"/>
      <c r="Y35" s="209"/>
      <c r="Z35" s="38"/>
      <c r="AA35" s="38"/>
      <c r="AB35" s="38"/>
      <c r="AC35" s="38"/>
      <c r="AD35" s="38">
        <f t="shared" ref="AD35:AD38" si="37">+AM35+BA35</f>
        <v>0</v>
      </c>
      <c r="AE35" s="226" t="s">
        <v>419</v>
      </c>
      <c r="AF35" s="38"/>
      <c r="AG35" s="38">
        <v>0</v>
      </c>
      <c r="AH35" s="38"/>
      <c r="AI35" s="38"/>
      <c r="AJ35" s="38"/>
      <c r="AK35" s="38"/>
      <c r="AL35" s="38"/>
      <c r="AM35" s="38">
        <f t="shared" ref="AM35:AM36" si="38">SUM(AF35:AL35)+AT35+AV35+AX35</f>
        <v>0</v>
      </c>
      <c r="AN35" s="83"/>
      <c r="AO35" s="38"/>
      <c r="AP35" s="38"/>
      <c r="AQ35" s="38"/>
      <c r="AR35" s="38">
        <f t="shared" ref="AR35:AR38" si="39">SUM(AN35:AQ35)</f>
        <v>0</v>
      </c>
      <c r="AS35" s="38"/>
      <c r="AT35" s="38"/>
      <c r="AU35" s="38"/>
      <c r="AV35" s="38"/>
      <c r="AW35" s="38"/>
      <c r="AX35" s="38"/>
      <c r="AY35" s="38"/>
      <c r="AZ35" s="38"/>
      <c r="BA35" s="38">
        <f t="shared" ref="BA35:BA38" si="40">+AR35+AS35+AU35+AW35+AY35+AZ35</f>
        <v>0</v>
      </c>
      <c r="BB35" s="50"/>
      <c r="BC35" s="51">
        <v>0</v>
      </c>
      <c r="BD35" s="51"/>
      <c r="BE35" s="50"/>
      <c r="BF35" s="51"/>
    </row>
    <row r="36" spans="1:58" ht="12.9" customHeight="1">
      <c r="A36" s="41"/>
      <c r="B36" s="42"/>
      <c r="C36" s="393"/>
      <c r="D36" s="42"/>
      <c r="E36" s="43"/>
      <c r="F36" s="43"/>
      <c r="G36" s="44"/>
      <c r="H36" s="533"/>
      <c r="I36" s="45"/>
      <c r="J36" s="82"/>
      <c r="K36" s="82"/>
      <c r="L36" s="36"/>
      <c r="M36" s="36"/>
      <c r="N36" s="46"/>
      <c r="O36" s="47"/>
      <c r="P36" s="48"/>
      <c r="Q36" s="47"/>
      <c r="R36" s="362"/>
      <c r="S36" s="362"/>
      <c r="T36" s="38"/>
      <c r="U36" s="38"/>
      <c r="V36" s="38"/>
      <c r="W36" s="38"/>
      <c r="X36" s="39"/>
      <c r="Y36" s="209"/>
      <c r="Z36" s="38"/>
      <c r="AA36" s="38"/>
      <c r="AB36" s="38"/>
      <c r="AC36" s="38"/>
      <c r="AD36" s="38">
        <f t="shared" si="37"/>
        <v>17</v>
      </c>
      <c r="AE36" s="226" t="s">
        <v>476</v>
      </c>
      <c r="AF36" s="34"/>
      <c r="AG36" s="34"/>
      <c r="AH36" s="34">
        <v>17</v>
      </c>
      <c r="AI36" s="34"/>
      <c r="AJ36" s="38"/>
      <c r="AK36" s="38"/>
      <c r="AL36" s="38"/>
      <c r="AM36" s="38">
        <f t="shared" si="38"/>
        <v>17</v>
      </c>
      <c r="AN36" s="38"/>
      <c r="AO36" s="38"/>
      <c r="AP36" s="38"/>
      <c r="AQ36" s="38"/>
      <c r="AR36" s="38">
        <f t="shared" si="39"/>
        <v>0</v>
      </c>
      <c r="AS36" s="38"/>
      <c r="AT36" s="38"/>
      <c r="AU36" s="38"/>
      <c r="AV36" s="38"/>
      <c r="AW36" s="38"/>
      <c r="AX36" s="38"/>
      <c r="AY36" s="38"/>
      <c r="AZ36" s="38"/>
      <c r="BA36" s="38">
        <f t="shared" si="40"/>
        <v>0</v>
      </c>
      <c r="BB36" s="34"/>
      <c r="BC36" s="477"/>
      <c r="BD36" s="477"/>
      <c r="BE36" s="34"/>
      <c r="BF36" s="477"/>
    </row>
    <row r="37" spans="1:58" ht="12" customHeight="1">
      <c r="A37" s="41"/>
      <c r="B37" s="42"/>
      <c r="C37" s="393"/>
      <c r="D37" s="42"/>
      <c r="E37" s="43"/>
      <c r="F37" s="43"/>
      <c r="G37" s="44"/>
      <c r="H37" s="533"/>
      <c r="I37" s="45"/>
      <c r="J37" s="82"/>
      <c r="K37" s="82"/>
      <c r="L37" s="36"/>
      <c r="M37" s="36"/>
      <c r="N37" s="46"/>
      <c r="O37" s="47"/>
      <c r="P37" s="48"/>
      <c r="Q37" s="47"/>
      <c r="R37" s="362"/>
      <c r="S37" s="362"/>
      <c r="T37" s="38"/>
      <c r="U37" s="38"/>
      <c r="V37" s="38"/>
      <c r="W37" s="38"/>
      <c r="X37" s="39"/>
      <c r="Y37" s="209"/>
      <c r="Z37" s="38"/>
      <c r="AA37" s="38"/>
      <c r="AB37" s="38"/>
      <c r="AC37" s="38"/>
      <c r="AD37" s="38">
        <f t="shared" si="37"/>
        <v>154</v>
      </c>
      <c r="AE37" s="226" t="s">
        <v>512</v>
      </c>
      <c r="AF37" s="34"/>
      <c r="AG37" s="34"/>
      <c r="AH37" s="34"/>
      <c r="AI37" s="34"/>
      <c r="AJ37" s="38"/>
      <c r="AK37" s="38"/>
      <c r="AL37" s="38"/>
      <c r="AM37" s="38">
        <f t="shared" ref="AM37:AM38" si="41">SUM(AF37:AL37)+AT37+AV37+AX37</f>
        <v>0</v>
      </c>
      <c r="AN37" s="38"/>
      <c r="AO37" s="38"/>
      <c r="AP37" s="38"/>
      <c r="AQ37" s="38"/>
      <c r="AR37" s="38">
        <f t="shared" si="39"/>
        <v>0</v>
      </c>
      <c r="AS37" s="38"/>
      <c r="AT37" s="38"/>
      <c r="AU37" s="38"/>
      <c r="AV37" s="38"/>
      <c r="AW37" s="38">
        <v>154</v>
      </c>
      <c r="AX37" s="38"/>
      <c r="AY37" s="38"/>
      <c r="AZ37" s="38"/>
      <c r="BA37" s="38">
        <f t="shared" si="40"/>
        <v>154</v>
      </c>
      <c r="BB37" s="34"/>
      <c r="BC37" s="477"/>
      <c r="BD37" s="477"/>
      <c r="BE37" s="34"/>
      <c r="BF37" s="477"/>
    </row>
    <row r="38" spans="1:58" ht="12" customHeight="1">
      <c r="A38" s="41"/>
      <c r="B38" s="42"/>
      <c r="C38" s="393"/>
      <c r="D38" s="42"/>
      <c r="E38" s="43"/>
      <c r="F38" s="43"/>
      <c r="G38" s="44"/>
      <c r="H38" s="533"/>
      <c r="I38" s="45"/>
      <c r="J38" s="82"/>
      <c r="K38" s="82"/>
      <c r="L38" s="36"/>
      <c r="M38" s="36"/>
      <c r="N38" s="46"/>
      <c r="O38" s="47"/>
      <c r="P38" s="48"/>
      <c r="Q38" s="47"/>
      <c r="R38" s="362"/>
      <c r="S38" s="362"/>
      <c r="T38" s="38"/>
      <c r="U38" s="38"/>
      <c r="V38" s="38"/>
      <c r="W38" s="38"/>
      <c r="X38" s="39"/>
      <c r="Y38" s="209"/>
      <c r="Z38" s="38"/>
      <c r="AA38" s="38"/>
      <c r="AB38" s="38"/>
      <c r="AC38" s="38"/>
      <c r="AD38" s="38">
        <f t="shared" si="37"/>
        <v>6</v>
      </c>
      <c r="AE38" s="226" t="s">
        <v>543</v>
      </c>
      <c r="AF38" s="34"/>
      <c r="AG38" s="34"/>
      <c r="AH38" s="34"/>
      <c r="AI38" s="584"/>
      <c r="AJ38" s="38"/>
      <c r="AK38" s="38"/>
      <c r="AL38" s="38"/>
      <c r="AM38" s="38">
        <f t="shared" si="41"/>
        <v>6</v>
      </c>
      <c r="AN38" s="53"/>
      <c r="AO38" s="38"/>
      <c r="AP38" s="38"/>
      <c r="AQ38" s="38"/>
      <c r="AR38" s="38">
        <f t="shared" si="39"/>
        <v>0</v>
      </c>
      <c r="AS38" s="38"/>
      <c r="AT38" s="38"/>
      <c r="AU38" s="38"/>
      <c r="AV38" s="38">
        <v>6</v>
      </c>
      <c r="AW38" s="38"/>
      <c r="AX38" s="38"/>
      <c r="AY38" s="38"/>
      <c r="AZ38" s="38"/>
      <c r="BA38" s="38">
        <f t="shared" si="40"/>
        <v>0</v>
      </c>
      <c r="BB38" s="34"/>
      <c r="BC38" s="477"/>
      <c r="BD38" s="477"/>
      <c r="BE38" s="34"/>
      <c r="BF38" s="477"/>
    </row>
    <row r="39" spans="1:58" ht="12.9" customHeight="1">
      <c r="A39" s="41"/>
      <c r="B39" s="42"/>
      <c r="C39" s="393"/>
      <c r="D39" s="42"/>
      <c r="E39" s="43"/>
      <c r="F39" s="43"/>
      <c r="G39" s="406"/>
      <c r="H39" s="533"/>
      <c r="I39" s="45"/>
      <c r="J39" s="82"/>
      <c r="K39" s="82"/>
      <c r="L39" s="36"/>
      <c r="M39" s="36"/>
      <c r="N39" s="46"/>
      <c r="O39" s="47"/>
      <c r="P39" s="48"/>
      <c r="Q39" s="47"/>
      <c r="R39" s="362"/>
      <c r="S39" s="362"/>
      <c r="T39" s="38"/>
      <c r="U39" s="38"/>
      <c r="V39" s="38"/>
      <c r="W39" s="38"/>
      <c r="X39" s="361"/>
      <c r="Y39" s="209"/>
      <c r="Z39" s="38"/>
      <c r="AA39" s="38"/>
      <c r="AB39" s="38"/>
      <c r="AC39" s="38"/>
      <c r="AD39" s="38"/>
      <c r="AE39" s="226"/>
      <c r="AF39" s="38"/>
      <c r="AG39" s="38"/>
      <c r="AH39" s="38"/>
      <c r="AI39" s="476"/>
      <c r="AJ39" s="38"/>
      <c r="AK39" s="38"/>
      <c r="AL39" s="38"/>
      <c r="AM39" s="38"/>
      <c r="AN39" s="83"/>
      <c r="AO39" s="38"/>
      <c r="AP39" s="38"/>
      <c r="AQ39" s="38"/>
      <c r="AR39" s="38"/>
      <c r="AS39" s="38"/>
      <c r="AT39" s="38"/>
      <c r="AU39" s="38"/>
      <c r="AV39" s="38"/>
      <c r="AW39" s="38"/>
      <c r="AX39" s="38"/>
      <c r="AY39" s="38"/>
      <c r="AZ39" s="38"/>
      <c r="BA39" s="38"/>
      <c r="BB39" s="50"/>
      <c r="BC39" s="51"/>
      <c r="BD39" s="51"/>
      <c r="BE39" s="34"/>
      <c r="BF39" s="51"/>
    </row>
    <row r="40" spans="1:58" ht="12.9" customHeight="1">
      <c r="A40" s="41">
        <v>46089</v>
      </c>
      <c r="B40" s="42" t="s">
        <v>422</v>
      </c>
      <c r="C40" s="393">
        <f>(M40*E40*O40*Q40)/100000000</f>
        <v>52.174985624999998</v>
      </c>
      <c r="D40" s="42" t="s">
        <v>423</v>
      </c>
      <c r="E40" s="43">
        <v>15</v>
      </c>
      <c r="F40" s="43">
        <v>1</v>
      </c>
      <c r="G40" s="406">
        <v>1150</v>
      </c>
      <c r="H40" s="533">
        <f>+N40</f>
        <v>0.18000000000000005</v>
      </c>
      <c r="I40" s="45">
        <v>0.88</v>
      </c>
      <c r="J40" s="82">
        <f>E40*G40*(1-H40)*1440/1000000*2.7</f>
        <v>54.995760000000004</v>
      </c>
      <c r="K40" s="82">
        <f>(IF(G40&lt;L40,L40,G40)*(1-IF(H40&lt;N40,H40,N40))*E40*O40*Q40)/100000000</f>
        <v>52.245972000000002</v>
      </c>
      <c r="L40" s="36">
        <v>1148.4375</v>
      </c>
      <c r="M40" s="36">
        <v>941.71875</v>
      </c>
      <c r="N40" s="46">
        <f>1-(M40/L40)</f>
        <v>0.18000000000000005</v>
      </c>
      <c r="O40" s="47">
        <f>+'Trim Rwd'!H20</f>
        <v>256.5</v>
      </c>
      <c r="P40" s="48">
        <f>O40*(Q40-R40-S40)</f>
        <v>363204</v>
      </c>
      <c r="Q40" s="47">
        <v>1440</v>
      </c>
      <c r="R40" s="362">
        <v>0</v>
      </c>
      <c r="S40" s="362">
        <v>24</v>
      </c>
      <c r="T40" s="38">
        <f>E40*M40*O40*Q40/100000000</f>
        <v>52.174985624999998</v>
      </c>
      <c r="U40" s="38">
        <f>E40*M40*O40*(Q40-R40-S40)/100000000</f>
        <v>51.305402531250003</v>
      </c>
      <c r="V40" s="38">
        <f>E40*G40*(1-N40)*O40/100*(R40+S40)/1000000</f>
        <v>0.87076620000000005</v>
      </c>
      <c r="W40" s="38">
        <f>+'8'!K7/1000</f>
        <v>46.311999999999998</v>
      </c>
      <c r="X40" s="361">
        <f>SUM(W40:W43)/SUM(K40:K43)</f>
        <v>0.88642240209446188</v>
      </c>
      <c r="Y40" s="38">
        <v>0</v>
      </c>
      <c r="Z40" s="38">
        <v>0</v>
      </c>
      <c r="AA40" s="49">
        <f>SUM(U40:U43)-SUM(W40:W43)-SUM(Z40:Z43)-SUM(Y40:Y43)</f>
        <v>4.9934025312500054</v>
      </c>
      <c r="AB40" s="49">
        <f>(SUM(K40:K43)-SUM(W40:W43)-SUM(Y40:Y43)-SUM(Z40:Z43)-SUM(AC40:AC43)-SUM(V40:V43))-AA40</f>
        <v>-1.1831062500053946E-3</v>
      </c>
      <c r="AC40" s="38">
        <f>K40-T40</f>
        <v>7.0986375000003932E-2</v>
      </c>
      <c r="AD40" s="38">
        <f>+AM40+BA40</f>
        <v>0</v>
      </c>
      <c r="AE40" s="226" t="s">
        <v>417</v>
      </c>
      <c r="AF40" s="38">
        <v>0</v>
      </c>
      <c r="AG40" s="38"/>
      <c r="AH40" s="38"/>
      <c r="AI40" s="38"/>
      <c r="AJ40" s="38"/>
      <c r="AK40" s="38"/>
      <c r="AL40" s="38"/>
      <c r="AM40" s="38">
        <f>SUM(AF40:AL40)+AT40+AV40+AX40</f>
        <v>0</v>
      </c>
      <c r="AN40" s="38"/>
      <c r="AO40" s="38"/>
      <c r="AP40" s="38"/>
      <c r="AQ40" s="38"/>
      <c r="AR40" s="38">
        <f>SUM(AN40:AQ40)</f>
        <v>0</v>
      </c>
      <c r="AS40" s="38"/>
      <c r="AT40" s="38"/>
      <c r="AU40" s="38"/>
      <c r="AV40" s="38"/>
      <c r="AW40" s="38"/>
      <c r="AX40" s="38"/>
      <c r="AY40" s="38"/>
      <c r="AZ40" s="38"/>
      <c r="BA40" s="38">
        <f>+AR40+AS40+AU40+AW40+AY40+AZ40</f>
        <v>0</v>
      </c>
      <c r="BB40" s="34">
        <v>0</v>
      </c>
      <c r="BC40" s="51"/>
      <c r="BD40" s="51"/>
      <c r="BE40" s="34"/>
      <c r="BF40" s="51"/>
    </row>
    <row r="41" spans="1:58" ht="12.9" customHeight="1">
      <c r="A41" s="41"/>
      <c r="B41" s="42"/>
      <c r="C41" s="393"/>
      <c r="D41" s="42"/>
      <c r="E41" s="43"/>
      <c r="F41" s="43"/>
      <c r="G41" s="406"/>
      <c r="H41" s="533"/>
      <c r="I41" s="45"/>
      <c r="J41" s="82"/>
      <c r="K41" s="82"/>
      <c r="L41" s="36"/>
      <c r="M41" s="36"/>
      <c r="N41" s="46"/>
      <c r="O41" s="47"/>
      <c r="P41" s="48"/>
      <c r="Q41" s="47"/>
      <c r="R41" s="362"/>
      <c r="S41" s="362"/>
      <c r="T41" s="38"/>
      <c r="U41" s="38"/>
      <c r="V41" s="38"/>
      <c r="W41" s="38"/>
      <c r="X41" s="39"/>
      <c r="Y41" s="209"/>
      <c r="Z41" s="38"/>
      <c r="AA41" s="38"/>
      <c r="AB41" s="38"/>
      <c r="AC41" s="38"/>
      <c r="AD41" s="38">
        <f t="shared" ref="AD41:AD42" si="42">+AM41+BA41</f>
        <v>3</v>
      </c>
      <c r="AE41" s="226" t="s">
        <v>416</v>
      </c>
      <c r="AF41" s="38"/>
      <c r="AG41" s="38">
        <v>3</v>
      </c>
      <c r="AH41" s="38"/>
      <c r="AI41" s="38"/>
      <c r="AJ41" s="38"/>
      <c r="AK41" s="38"/>
      <c r="AL41" s="38"/>
      <c r="AM41" s="38">
        <f t="shared" ref="AM41:AM42" si="43">SUM(AF41:AL41)+AT41+AV41+AX41</f>
        <v>3</v>
      </c>
      <c r="AN41" s="83"/>
      <c r="AO41" s="38"/>
      <c r="AP41" s="38"/>
      <c r="AQ41" s="38"/>
      <c r="AR41" s="38">
        <f t="shared" ref="AR41:AR42" si="44">SUM(AN41:AQ41)</f>
        <v>0</v>
      </c>
      <c r="AS41" s="38"/>
      <c r="AT41" s="38"/>
      <c r="AU41" s="38"/>
      <c r="AV41" s="38"/>
      <c r="AW41" s="38"/>
      <c r="AX41" s="38"/>
      <c r="AY41" s="38"/>
      <c r="AZ41" s="38"/>
      <c r="BA41" s="38">
        <f t="shared" ref="BA41:BA42" si="45">+AR41+AS41+AU41+AW41+AY41+AZ41</f>
        <v>0</v>
      </c>
      <c r="BB41" s="50"/>
      <c r="BC41" s="51">
        <v>1</v>
      </c>
      <c r="BD41" s="51"/>
      <c r="BE41" s="50"/>
      <c r="BF41" s="51"/>
    </row>
    <row r="42" spans="1:58" ht="12.9" customHeight="1">
      <c r="A42" s="41"/>
      <c r="B42" s="42"/>
      <c r="C42" s="393"/>
      <c r="D42" s="42"/>
      <c r="E42" s="43"/>
      <c r="F42" s="43"/>
      <c r="G42" s="44"/>
      <c r="H42" s="533"/>
      <c r="I42" s="45"/>
      <c r="J42" s="82"/>
      <c r="K42" s="82"/>
      <c r="L42" s="36"/>
      <c r="M42" s="36"/>
      <c r="N42" s="46"/>
      <c r="O42" s="47"/>
      <c r="P42" s="48"/>
      <c r="Q42" s="47"/>
      <c r="R42" s="362"/>
      <c r="S42" s="362"/>
      <c r="T42" s="38"/>
      <c r="U42" s="38"/>
      <c r="V42" s="38"/>
      <c r="W42" s="38"/>
      <c r="X42" s="39"/>
      <c r="Y42" s="209"/>
      <c r="Z42" s="38"/>
      <c r="AA42" s="38"/>
      <c r="AB42" s="38"/>
      <c r="AC42" s="38"/>
      <c r="AD42" s="38">
        <f t="shared" si="42"/>
        <v>21</v>
      </c>
      <c r="AE42" s="226" t="s">
        <v>446</v>
      </c>
      <c r="AF42" s="34"/>
      <c r="AG42" s="34"/>
      <c r="AH42" s="34">
        <v>21</v>
      </c>
      <c r="AI42" s="34"/>
      <c r="AJ42" s="38"/>
      <c r="AK42" s="38"/>
      <c r="AL42" s="38"/>
      <c r="AM42" s="38">
        <f t="shared" si="43"/>
        <v>21</v>
      </c>
      <c r="AN42" s="38"/>
      <c r="AO42" s="38"/>
      <c r="AP42" s="38"/>
      <c r="AQ42" s="38"/>
      <c r="AR42" s="38">
        <f t="shared" si="44"/>
        <v>0</v>
      </c>
      <c r="AS42" s="38"/>
      <c r="AT42" s="38"/>
      <c r="AU42" s="38"/>
      <c r="AV42" s="38"/>
      <c r="AW42" s="38"/>
      <c r="AX42" s="38"/>
      <c r="AY42" s="38"/>
      <c r="AZ42" s="38"/>
      <c r="BA42" s="38">
        <f t="shared" si="45"/>
        <v>0</v>
      </c>
      <c r="BB42" s="34"/>
      <c r="BC42" s="477"/>
      <c r="BD42" s="477"/>
      <c r="BE42" s="34"/>
      <c r="BF42" s="477"/>
    </row>
    <row r="43" spans="1:58" ht="12.9" customHeight="1">
      <c r="A43" s="41"/>
      <c r="B43" s="42"/>
      <c r="C43" s="393"/>
      <c r="D43" s="42"/>
      <c r="E43" s="43"/>
      <c r="F43" s="43"/>
      <c r="G43" s="44"/>
      <c r="H43" s="533"/>
      <c r="I43" s="45"/>
      <c r="J43" s="82"/>
      <c r="K43" s="82"/>
      <c r="L43" s="36"/>
      <c r="M43" s="36"/>
      <c r="N43" s="46"/>
      <c r="O43" s="47"/>
      <c r="P43" s="48"/>
      <c r="Q43" s="47"/>
      <c r="R43" s="362"/>
      <c r="S43" s="362"/>
      <c r="T43" s="38"/>
      <c r="U43" s="38"/>
      <c r="V43" s="38"/>
      <c r="W43" s="38"/>
      <c r="X43" s="39"/>
      <c r="Y43" s="209"/>
      <c r="Z43" s="38"/>
      <c r="AA43" s="38"/>
      <c r="AB43" s="38"/>
      <c r="AC43" s="38"/>
      <c r="AD43" s="38"/>
      <c r="AE43" s="226"/>
      <c r="AF43" s="34"/>
      <c r="AG43" s="34"/>
      <c r="AH43" s="34"/>
      <c r="AI43" s="34"/>
      <c r="AJ43" s="38"/>
      <c r="AK43" s="38"/>
      <c r="AL43" s="38"/>
      <c r="AM43" s="38"/>
      <c r="AN43" s="38"/>
      <c r="AO43" s="38"/>
      <c r="AP43" s="38"/>
      <c r="AQ43" s="38"/>
      <c r="AR43" s="38"/>
      <c r="AS43" s="38"/>
      <c r="AT43" s="38"/>
      <c r="AU43" s="38"/>
      <c r="AV43" s="38"/>
      <c r="AW43" s="38"/>
      <c r="AX43" s="38"/>
      <c r="AY43" s="38"/>
      <c r="AZ43" s="38"/>
      <c r="BA43" s="38"/>
      <c r="BB43" s="34"/>
      <c r="BC43" s="477"/>
      <c r="BD43" s="477"/>
      <c r="BE43" s="34"/>
      <c r="BF43" s="477"/>
    </row>
    <row r="44" spans="1:58" ht="12.9" customHeight="1">
      <c r="A44" s="41">
        <v>46090</v>
      </c>
      <c r="B44" s="42" t="s">
        <v>422</v>
      </c>
      <c r="C44" s="393">
        <f>(M44*E44*O44*Q44)/100000000</f>
        <v>6.5307465000000002</v>
      </c>
      <c r="D44" s="42" t="s">
        <v>423</v>
      </c>
      <c r="E44" s="43">
        <v>15</v>
      </c>
      <c r="F44" s="43">
        <v>1</v>
      </c>
      <c r="G44" s="406">
        <v>1150</v>
      </c>
      <c r="H44" s="533">
        <f>+N44</f>
        <v>0.18000000000000005</v>
      </c>
      <c r="I44" s="45">
        <v>0.88</v>
      </c>
      <c r="J44" s="82">
        <f>E44*G44*(1-H44)*1440/1000000*2.7</f>
        <v>54.995760000000004</v>
      </c>
      <c r="K44" s="82">
        <f>(IF(G44&lt;L44,L44,G44)*(1-IF(H44&lt;N44,H44,N44))*E44*O44*Q44)/100000000</f>
        <v>6.5307465000000002</v>
      </c>
      <c r="L44" s="36">
        <v>1150</v>
      </c>
      <c r="M44" s="36">
        <v>943</v>
      </c>
      <c r="N44" s="46">
        <f>1-(M44/L44)</f>
        <v>0.18000000000000005</v>
      </c>
      <c r="O44" s="47">
        <f>+'Trim Rwd'!H23</f>
        <v>256.5</v>
      </c>
      <c r="P44" s="48">
        <f>O44*(Q44-R44-S44)</f>
        <v>44631</v>
      </c>
      <c r="Q44" s="47">
        <v>180</v>
      </c>
      <c r="R44" s="362">
        <v>0</v>
      </c>
      <c r="S44" s="362">
        <v>6</v>
      </c>
      <c r="T44" s="38">
        <f>E44*M44*O44*Q44/100000000</f>
        <v>6.5307465000000002</v>
      </c>
      <c r="U44" s="38">
        <f>E44*M44*O44*(Q44-R44-S44)/100000000</f>
        <v>6.3130549499999997</v>
      </c>
      <c r="V44" s="38">
        <f>E44*G44*(1-N44)*O44/100*(R44+S44)/1000000</f>
        <v>0.21769155000000001</v>
      </c>
      <c r="W44" s="38">
        <f>+'9'!K7/1000</f>
        <v>27.425000000000001</v>
      </c>
      <c r="X44" s="361">
        <f>SUM(W44:W47)/SUM(K44:K47)</f>
        <v>1.205168465653653</v>
      </c>
      <c r="Y44" s="38">
        <v>0</v>
      </c>
      <c r="Z44" s="38">
        <v>0</v>
      </c>
      <c r="AA44" s="49">
        <f>SUM(U44:U47)-SUM(W44:W47)-SUM(Z44:Z47)-SUM(Y44:Y47)</f>
        <v>-13.865901550000004</v>
      </c>
      <c r="AB44" s="49">
        <f>(SUM(K44:K47)-SUM(W44:W47)-SUM(Y44:Y47)-SUM(Z44:Z47)-SUM(AC44:AC47)-SUM(V44:V47))-AA44</f>
        <v>-2.0926399999996903E-2</v>
      </c>
      <c r="AC44" s="38">
        <f>K44-T44</f>
        <v>0</v>
      </c>
      <c r="AD44" s="38">
        <f>+AM44+BA44</f>
        <v>0</v>
      </c>
      <c r="AE44" s="226" t="s">
        <v>417</v>
      </c>
      <c r="AF44" s="38">
        <v>0</v>
      </c>
      <c r="AG44" s="38"/>
      <c r="AH44" s="38"/>
      <c r="AI44" s="38"/>
      <c r="AJ44" s="38"/>
      <c r="AK44" s="38"/>
      <c r="AL44" s="38"/>
      <c r="AM44" s="38">
        <f>SUM(AF44:AL44)+AT44+AV44+AX44</f>
        <v>0</v>
      </c>
      <c r="AN44" s="38"/>
      <c r="AO44" s="38"/>
      <c r="AP44" s="38"/>
      <c r="AQ44" s="38"/>
      <c r="AR44" s="38">
        <f>SUM(AN44:AQ44)</f>
        <v>0</v>
      </c>
      <c r="AS44" s="38"/>
      <c r="AT44" s="38"/>
      <c r="AU44" s="38"/>
      <c r="AV44" s="38"/>
      <c r="AW44" s="38"/>
      <c r="AX44" s="38"/>
      <c r="AY44" s="38"/>
      <c r="AZ44" s="38"/>
      <c r="BA44" s="38">
        <f>+AR44+AS44+AU44+AW44+AY44+AZ44</f>
        <v>0</v>
      </c>
      <c r="BB44" s="34">
        <v>0</v>
      </c>
      <c r="BC44" s="51"/>
      <c r="BD44" s="51"/>
      <c r="BE44" s="34"/>
      <c r="BF44" s="51"/>
    </row>
    <row r="45" spans="1:58" ht="12.9" customHeight="1">
      <c r="A45" s="41"/>
      <c r="B45" s="42" t="s">
        <v>422</v>
      </c>
      <c r="C45" s="393">
        <f>(M45*E45*O45*Q45)/100000000</f>
        <v>47.378677500000002</v>
      </c>
      <c r="D45" s="42" t="s">
        <v>423</v>
      </c>
      <c r="E45" s="43">
        <v>14.5</v>
      </c>
      <c r="F45" s="43">
        <v>1</v>
      </c>
      <c r="G45" s="406">
        <v>1190</v>
      </c>
      <c r="H45" s="533">
        <f>+N45</f>
        <v>0.18000000000000005</v>
      </c>
      <c r="I45" s="45">
        <v>0.88</v>
      </c>
      <c r="J45" s="82">
        <f>E45*G45*(1-H45)*1440/1000000*2.7</f>
        <v>55.0117008</v>
      </c>
      <c r="K45" s="82">
        <f>(IF(G45&lt;L45,L45,G45)*(1-IF(H45&lt;N45,H45,N45))*E45*O45*Q45)/100000000</f>
        <v>49.026631499999993</v>
      </c>
      <c r="L45" s="36">
        <v>1150</v>
      </c>
      <c r="M45" s="36">
        <v>943</v>
      </c>
      <c r="N45" s="46">
        <f>1-(M45/L45)</f>
        <v>0.18000000000000005</v>
      </c>
      <c r="O45" s="47">
        <f>+'Trim Rwd'!H22</f>
        <v>275</v>
      </c>
      <c r="P45" s="48">
        <f>O45*(Q45-R45-S45)</f>
        <v>342100</v>
      </c>
      <c r="Q45" s="47">
        <v>1260</v>
      </c>
      <c r="R45" s="362">
        <v>0</v>
      </c>
      <c r="S45" s="362">
        <v>16</v>
      </c>
      <c r="T45" s="38">
        <f>E45*M45*O45*Q45/100000000</f>
        <v>47.378677500000002</v>
      </c>
      <c r="U45" s="38">
        <f>E45*M45*O45*(Q45-R45-S45)/100000000</f>
        <v>46.777043499999998</v>
      </c>
      <c r="V45" s="38">
        <f>E45*G45*(1-N45)*O45/100*(R45+S45)/1000000</f>
        <v>0.6225603999999999</v>
      </c>
      <c r="W45" s="38">
        <f>+'9'!K8/1000</f>
        <v>39.530999999999999</v>
      </c>
      <c r="X45" s="39"/>
      <c r="Y45" s="209"/>
      <c r="Z45" s="38"/>
      <c r="AA45" s="38"/>
      <c r="AB45" s="38"/>
      <c r="AC45" s="38">
        <f>K45-T45</f>
        <v>1.6479539999999915</v>
      </c>
      <c r="AD45" s="38">
        <f t="shared" ref="AD45:AD46" si="46">+AM45+BA45</f>
        <v>0</v>
      </c>
      <c r="AE45" s="226" t="s">
        <v>419</v>
      </c>
      <c r="AF45" s="38"/>
      <c r="AG45" s="38">
        <v>0</v>
      </c>
      <c r="AH45" s="38"/>
      <c r="AI45" s="38"/>
      <c r="AJ45" s="38"/>
      <c r="AK45" s="38"/>
      <c r="AL45" s="38"/>
      <c r="AM45" s="38">
        <f t="shared" ref="AM45:AM46" si="47">SUM(AF45:AL45)+AT45+AV45+AX45</f>
        <v>0</v>
      </c>
      <c r="AN45" s="83"/>
      <c r="AO45" s="38"/>
      <c r="AP45" s="38"/>
      <c r="AQ45" s="38"/>
      <c r="AR45" s="38">
        <f t="shared" ref="AR45:AR46" si="48">SUM(AN45:AQ45)</f>
        <v>0</v>
      </c>
      <c r="AS45" s="38"/>
      <c r="AT45" s="38"/>
      <c r="AU45" s="38"/>
      <c r="AV45" s="38"/>
      <c r="AW45" s="38"/>
      <c r="AX45" s="38"/>
      <c r="AY45" s="38"/>
      <c r="AZ45" s="38"/>
      <c r="BA45" s="38">
        <f t="shared" ref="BA45:BA46" si="49">+AR45+AS45+AU45+AW45+AY45+AZ45</f>
        <v>0</v>
      </c>
      <c r="BB45" s="50"/>
      <c r="BC45" s="51">
        <v>0</v>
      </c>
      <c r="BD45" s="51"/>
      <c r="BE45" s="50"/>
      <c r="BF45" s="51"/>
    </row>
    <row r="46" spans="1:58" ht="12.9" customHeight="1">
      <c r="A46" s="41"/>
      <c r="B46" s="42"/>
      <c r="C46" s="393"/>
      <c r="D46" s="42"/>
      <c r="E46" s="43"/>
      <c r="F46" s="43"/>
      <c r="G46" s="44"/>
      <c r="H46" s="533"/>
      <c r="I46" s="45"/>
      <c r="J46" s="82"/>
      <c r="K46" s="82"/>
      <c r="L46" s="36"/>
      <c r="M46" s="36"/>
      <c r="N46" s="46"/>
      <c r="O46" s="47"/>
      <c r="P46" s="48"/>
      <c r="Q46" s="47"/>
      <c r="R46" s="362"/>
      <c r="S46" s="362"/>
      <c r="T46" s="38"/>
      <c r="U46" s="38"/>
      <c r="V46" s="38"/>
      <c r="W46" s="38"/>
      <c r="X46" s="39"/>
      <c r="Y46" s="209"/>
      <c r="Z46" s="38"/>
      <c r="AA46" s="38"/>
      <c r="AB46" s="38"/>
      <c r="AC46" s="38"/>
      <c r="AD46" s="38">
        <f t="shared" si="46"/>
        <v>22</v>
      </c>
      <c r="AE46" s="226" t="s">
        <v>392</v>
      </c>
      <c r="AF46" s="34"/>
      <c r="AG46" s="34"/>
      <c r="AH46" s="34">
        <v>22</v>
      </c>
      <c r="AI46" s="34"/>
      <c r="AJ46" s="38"/>
      <c r="AK46" s="38"/>
      <c r="AL46" s="38"/>
      <c r="AM46" s="38">
        <f t="shared" si="47"/>
        <v>22</v>
      </c>
      <c r="AN46" s="38"/>
      <c r="AO46" s="38"/>
      <c r="AP46" s="38"/>
      <c r="AQ46" s="38"/>
      <c r="AR46" s="38">
        <f t="shared" si="48"/>
        <v>0</v>
      </c>
      <c r="AS46" s="38"/>
      <c r="AT46" s="38"/>
      <c r="AU46" s="38"/>
      <c r="AV46" s="38"/>
      <c r="AW46" s="38"/>
      <c r="AX46" s="38"/>
      <c r="AY46" s="38"/>
      <c r="AZ46" s="38"/>
      <c r="BA46" s="38">
        <f t="shared" si="49"/>
        <v>0</v>
      </c>
      <c r="BB46" s="34"/>
      <c r="BC46" s="477"/>
      <c r="BD46" s="477"/>
      <c r="BE46" s="34"/>
      <c r="BF46" s="477"/>
    </row>
    <row r="47" spans="1:58" ht="12.9" customHeight="1">
      <c r="A47" s="41"/>
      <c r="B47" s="42"/>
      <c r="C47" s="393"/>
      <c r="D47" s="42"/>
      <c r="E47" s="43"/>
      <c r="F47" s="43"/>
      <c r="G47" s="406"/>
      <c r="H47" s="533"/>
      <c r="I47" s="45"/>
      <c r="J47" s="82"/>
      <c r="K47" s="82"/>
      <c r="L47" s="36"/>
      <c r="M47" s="36"/>
      <c r="N47" s="46"/>
      <c r="O47" s="47"/>
      <c r="P47" s="48"/>
      <c r="Q47" s="47"/>
      <c r="R47" s="362"/>
      <c r="S47" s="362"/>
      <c r="T47" s="38"/>
      <c r="U47" s="38"/>
      <c r="V47" s="38"/>
      <c r="W47" s="38"/>
      <c r="X47" s="361"/>
      <c r="Y47" s="209"/>
      <c r="Z47" s="38"/>
      <c r="AA47" s="38"/>
      <c r="AB47" s="38"/>
      <c r="AC47" s="38"/>
      <c r="AD47" s="38"/>
      <c r="AE47" s="226"/>
      <c r="AF47" s="38"/>
      <c r="AG47" s="38"/>
      <c r="AH47" s="38"/>
      <c r="AI47" s="476"/>
      <c r="AJ47" s="38"/>
      <c r="AK47" s="38"/>
      <c r="AL47" s="38"/>
      <c r="AM47" s="38"/>
      <c r="AN47" s="83"/>
      <c r="AO47" s="38"/>
      <c r="AP47" s="38"/>
      <c r="AQ47" s="38"/>
      <c r="AR47" s="38"/>
      <c r="AS47" s="38"/>
      <c r="AT47" s="38"/>
      <c r="AU47" s="38"/>
      <c r="AV47" s="38"/>
      <c r="AW47" s="38"/>
      <c r="AX47" s="38"/>
      <c r="AY47" s="38"/>
      <c r="AZ47" s="38"/>
      <c r="BA47" s="38"/>
      <c r="BB47" s="50"/>
      <c r="BC47" s="51"/>
      <c r="BD47" s="477"/>
      <c r="BE47" s="34"/>
      <c r="BF47" s="477"/>
    </row>
    <row r="48" spans="1:58" ht="12.9" customHeight="1">
      <c r="A48" s="41">
        <v>46091</v>
      </c>
      <c r="B48" s="42" t="s">
        <v>422</v>
      </c>
      <c r="C48" s="393">
        <f>(M48*E48*O48*Q48)/100000000</f>
        <v>54.147060000000003</v>
      </c>
      <c r="D48" s="42" t="s">
        <v>423</v>
      </c>
      <c r="E48" s="43">
        <v>14.5</v>
      </c>
      <c r="F48" s="43">
        <v>1</v>
      </c>
      <c r="G48" s="406">
        <v>1190</v>
      </c>
      <c r="H48" s="533">
        <f>+N48</f>
        <v>0.18000000000000005</v>
      </c>
      <c r="I48" s="45">
        <v>0.88</v>
      </c>
      <c r="J48" s="82">
        <f>E48*G48*(1-H48)*1440/1000000*2.7</f>
        <v>55.0117008</v>
      </c>
      <c r="K48" s="82">
        <f>(IF(G48&lt;L48,L48,G48)*(1-IF(H48&lt;N48,H48,N48))*E48*O48*Q48)/100000000</f>
        <v>56.030435999999987</v>
      </c>
      <c r="L48" s="36">
        <v>1150</v>
      </c>
      <c r="M48" s="36">
        <v>943</v>
      </c>
      <c r="N48" s="46">
        <f>1-(M48/L48)</f>
        <v>0.18000000000000005</v>
      </c>
      <c r="O48" s="47">
        <f>+'Trim Rwd'!H25</f>
        <v>275</v>
      </c>
      <c r="P48" s="48">
        <f>O48*(Q48-R48-S48)</f>
        <v>389400</v>
      </c>
      <c r="Q48" s="47">
        <v>1440</v>
      </c>
      <c r="R48" s="362">
        <v>0</v>
      </c>
      <c r="S48" s="362">
        <v>24</v>
      </c>
      <c r="T48" s="38">
        <f>E48*M48*O48*Q48/100000000</f>
        <v>54.147060000000003</v>
      </c>
      <c r="U48" s="38">
        <f>E48*M48*O48*(Q48-R48-S48)/100000000</f>
        <v>53.244608999999997</v>
      </c>
      <c r="V48" s="38">
        <f>E48*G48*(1-N48)*O48/100*(R48+S48)/1000000</f>
        <v>0.93384059999999991</v>
      </c>
      <c r="W48" s="38">
        <f>+'10'!K8/1000</f>
        <v>55.335000000000001</v>
      </c>
      <c r="X48" s="361">
        <f>SUM(W48:W51)/SUM(K48:K51)</f>
        <v>0.9875882457884142</v>
      </c>
      <c r="Y48" s="38">
        <v>0</v>
      </c>
      <c r="Z48" s="38">
        <v>0</v>
      </c>
      <c r="AA48" s="49">
        <f>SUM(U48:U51)-SUM(W48:W51)-SUM(Z48:Z51)-SUM(Y48:Y51)</f>
        <v>-2.0903910000000039</v>
      </c>
      <c r="AB48" s="49">
        <f>(SUM(K48:K51)-SUM(W48:W51)-SUM(Y48:Y51)-SUM(Z48:Z51)-SUM(AC48:AC51)-SUM(V48:V51))-AA48</f>
        <v>-3.1389599999993578E-2</v>
      </c>
      <c r="AC48" s="38">
        <f>K48-T48</f>
        <v>1.8833759999999842</v>
      </c>
      <c r="AD48" s="38">
        <f>+AM48+BA48</f>
        <v>0</v>
      </c>
      <c r="AE48" s="226" t="s">
        <v>417</v>
      </c>
      <c r="AF48" s="38">
        <v>0</v>
      </c>
      <c r="AG48" s="38"/>
      <c r="AH48" s="38"/>
      <c r="AI48" s="38"/>
      <c r="AJ48" s="38"/>
      <c r="AK48" s="38"/>
      <c r="AL48" s="38"/>
      <c r="AM48" s="38">
        <f>SUM(AF48:AL48)+AT48+AV48+AX48</f>
        <v>0</v>
      </c>
      <c r="AN48" s="38"/>
      <c r="AO48" s="38"/>
      <c r="AP48" s="38"/>
      <c r="AQ48" s="38"/>
      <c r="AR48" s="38">
        <f>SUM(AN48:AQ48)</f>
        <v>0</v>
      </c>
      <c r="AS48" s="38"/>
      <c r="AT48" s="38"/>
      <c r="AU48" s="38"/>
      <c r="AV48" s="38"/>
      <c r="AW48" s="38"/>
      <c r="AX48" s="38"/>
      <c r="AY48" s="38"/>
      <c r="AZ48" s="38"/>
      <c r="BA48" s="38">
        <f>+AR48+AS48+AU48+AW48+AY48+AZ48</f>
        <v>0</v>
      </c>
      <c r="BB48" s="34">
        <v>0</v>
      </c>
      <c r="BC48" s="51"/>
      <c r="BD48" s="51"/>
      <c r="BE48" s="34"/>
      <c r="BF48" s="51"/>
    </row>
    <row r="49" spans="1:58" ht="12.9" customHeight="1">
      <c r="A49" s="41"/>
      <c r="B49" s="42"/>
      <c r="C49" s="393"/>
      <c r="D49" s="42"/>
      <c r="E49" s="43"/>
      <c r="F49" s="43"/>
      <c r="G49" s="406"/>
      <c r="H49" s="533"/>
      <c r="I49" s="45"/>
      <c r="J49" s="82"/>
      <c r="K49" s="82"/>
      <c r="L49" s="36"/>
      <c r="M49" s="36"/>
      <c r="N49" s="46"/>
      <c r="O49" s="47"/>
      <c r="P49" s="48"/>
      <c r="Q49" s="47"/>
      <c r="R49" s="362"/>
      <c r="S49" s="362"/>
      <c r="T49" s="38"/>
      <c r="U49" s="38"/>
      <c r="V49" s="38"/>
      <c r="W49" s="38"/>
      <c r="X49" s="39"/>
      <c r="Y49" s="209"/>
      <c r="Z49" s="38"/>
      <c r="AA49" s="38"/>
      <c r="AB49" s="38"/>
      <c r="AC49" s="38"/>
      <c r="AD49" s="38">
        <f t="shared" ref="AD49:AD50" si="50">+AM49+BA49</f>
        <v>0</v>
      </c>
      <c r="AE49" s="226" t="s">
        <v>419</v>
      </c>
      <c r="AF49" s="38"/>
      <c r="AG49" s="38">
        <v>0</v>
      </c>
      <c r="AH49" s="38"/>
      <c r="AI49" s="38"/>
      <c r="AJ49" s="38"/>
      <c r="AK49" s="38"/>
      <c r="AL49" s="38"/>
      <c r="AM49" s="38">
        <f t="shared" ref="AM49:AM50" si="51">SUM(AF49:AL49)+AT49+AV49+AX49</f>
        <v>0</v>
      </c>
      <c r="AN49" s="83"/>
      <c r="AO49" s="38"/>
      <c r="AP49" s="38"/>
      <c r="AQ49" s="38"/>
      <c r="AR49" s="38">
        <f t="shared" ref="AR49:AR50" si="52">SUM(AN49:AQ49)</f>
        <v>0</v>
      </c>
      <c r="AS49" s="38"/>
      <c r="AT49" s="38"/>
      <c r="AU49" s="38"/>
      <c r="AV49" s="38"/>
      <c r="AW49" s="38"/>
      <c r="AX49" s="38"/>
      <c r="AY49" s="38"/>
      <c r="AZ49" s="38"/>
      <c r="BA49" s="38">
        <f t="shared" ref="BA49:BA50" si="53">+AR49+AS49+AU49+AW49+AY49+AZ49</f>
        <v>0</v>
      </c>
      <c r="BB49" s="50"/>
      <c r="BC49" s="51">
        <v>0</v>
      </c>
      <c r="BD49" s="51"/>
      <c r="BE49" s="50"/>
      <c r="BF49" s="51"/>
    </row>
    <row r="50" spans="1:58" ht="12.9" customHeight="1">
      <c r="A50" s="41"/>
      <c r="B50" s="42"/>
      <c r="C50" s="393"/>
      <c r="D50" s="42"/>
      <c r="E50" s="43"/>
      <c r="F50" s="43"/>
      <c r="G50" s="44"/>
      <c r="H50" s="533"/>
      <c r="I50" s="45"/>
      <c r="J50" s="82"/>
      <c r="K50" s="82"/>
      <c r="L50" s="36"/>
      <c r="M50" s="36"/>
      <c r="N50" s="46"/>
      <c r="O50" s="47"/>
      <c r="P50" s="48"/>
      <c r="Q50" s="47"/>
      <c r="R50" s="362"/>
      <c r="S50" s="362"/>
      <c r="T50" s="38"/>
      <c r="U50" s="38"/>
      <c r="V50" s="38"/>
      <c r="W50" s="38"/>
      <c r="X50" s="39"/>
      <c r="Y50" s="209"/>
      <c r="Z50" s="38"/>
      <c r="AA50" s="38"/>
      <c r="AB50" s="38"/>
      <c r="AC50" s="38"/>
      <c r="AD50" s="38">
        <f t="shared" si="50"/>
        <v>24</v>
      </c>
      <c r="AE50" s="226" t="s">
        <v>556</v>
      </c>
      <c r="AF50" s="34"/>
      <c r="AG50" s="34"/>
      <c r="AH50" s="34">
        <v>24</v>
      </c>
      <c r="AI50" s="34"/>
      <c r="AJ50" s="38"/>
      <c r="AK50" s="38"/>
      <c r="AL50" s="38"/>
      <c r="AM50" s="38">
        <f t="shared" si="51"/>
        <v>24</v>
      </c>
      <c r="AN50" s="38"/>
      <c r="AO50" s="38"/>
      <c r="AP50" s="38"/>
      <c r="AQ50" s="38"/>
      <c r="AR50" s="38">
        <f t="shared" si="52"/>
        <v>0</v>
      </c>
      <c r="AS50" s="38"/>
      <c r="AT50" s="38"/>
      <c r="AU50" s="38"/>
      <c r="AV50" s="38"/>
      <c r="AW50" s="38"/>
      <c r="AX50" s="38"/>
      <c r="AY50" s="38"/>
      <c r="AZ50" s="38"/>
      <c r="BA50" s="38">
        <f t="shared" si="53"/>
        <v>0</v>
      </c>
      <c r="BB50" s="34"/>
      <c r="BC50" s="477"/>
      <c r="BD50" s="477"/>
      <c r="BE50" s="34"/>
      <c r="BF50" s="477"/>
    </row>
    <row r="51" spans="1:58" ht="12.9" customHeight="1">
      <c r="A51" s="41"/>
      <c r="B51" s="42"/>
      <c r="C51" s="393"/>
      <c r="D51" s="42"/>
      <c r="E51" s="43"/>
      <c r="F51" s="43"/>
      <c r="G51" s="406"/>
      <c r="H51" s="533"/>
      <c r="I51" s="45"/>
      <c r="J51" s="82"/>
      <c r="K51" s="82"/>
      <c r="L51" s="36"/>
      <c r="M51" s="36"/>
      <c r="N51" s="46"/>
      <c r="O51" s="47"/>
      <c r="P51" s="48"/>
      <c r="Q51" s="47"/>
      <c r="R51" s="362"/>
      <c r="S51" s="362"/>
      <c r="T51" s="38"/>
      <c r="U51" s="38"/>
      <c r="V51" s="38"/>
      <c r="W51" s="38"/>
      <c r="X51" s="361"/>
      <c r="Y51" s="38"/>
      <c r="Z51" s="38"/>
      <c r="AA51" s="49"/>
      <c r="AB51" s="49"/>
      <c r="AC51" s="38"/>
      <c r="AD51" s="38"/>
      <c r="AE51" s="226"/>
      <c r="AF51" s="38"/>
      <c r="AG51" s="38"/>
      <c r="AH51" s="38"/>
      <c r="AI51" s="476"/>
      <c r="AJ51" s="38"/>
      <c r="AK51" s="38"/>
      <c r="AL51" s="38"/>
      <c r="AM51" s="38"/>
      <c r="AN51" s="38"/>
      <c r="AO51" s="38"/>
      <c r="AP51" s="38"/>
      <c r="AQ51" s="38"/>
      <c r="AR51" s="38"/>
      <c r="AS51" s="38"/>
      <c r="AT51" s="38"/>
      <c r="AU51" s="38"/>
      <c r="AV51" s="38"/>
      <c r="AW51" s="38"/>
      <c r="AX51" s="38"/>
      <c r="AY51" s="38"/>
      <c r="AZ51" s="38"/>
      <c r="BA51" s="38"/>
      <c r="BB51" s="34"/>
      <c r="BC51" s="51"/>
      <c r="BD51" s="51"/>
      <c r="BE51" s="51"/>
      <c r="BF51" s="51"/>
    </row>
    <row r="52" spans="1:58" ht="12.9" customHeight="1">
      <c r="A52" s="41">
        <v>46092</v>
      </c>
      <c r="B52" s="42" t="s">
        <v>422</v>
      </c>
      <c r="C52" s="393">
        <f>(M52*E52*O52*Q52)/100000000</f>
        <v>12.032679999999999</v>
      </c>
      <c r="D52" s="42" t="s">
        <v>423</v>
      </c>
      <c r="E52" s="43">
        <v>14.5</v>
      </c>
      <c r="F52" s="43">
        <v>1</v>
      </c>
      <c r="G52" s="406">
        <v>1190</v>
      </c>
      <c r="H52" s="533">
        <f>+N52</f>
        <v>0.18000000000000005</v>
      </c>
      <c r="I52" s="45">
        <v>0.88</v>
      </c>
      <c r="J52" s="82">
        <f>E52*G52*(1-H52)*1440/1000000*2.7</f>
        <v>55.0117008</v>
      </c>
      <c r="K52" s="82">
        <f>(IF(G52&lt;L52,L52,G52)*(1-IF(H52&lt;N52,H52,N52))*E52*O52*Q52)/100000000</f>
        <v>12.451207999999998</v>
      </c>
      <c r="L52" s="36">
        <v>1150</v>
      </c>
      <c r="M52" s="36">
        <v>943</v>
      </c>
      <c r="N52" s="46">
        <f>1-(M52/L52)</f>
        <v>0.18000000000000005</v>
      </c>
      <c r="O52" s="47">
        <f>+'Trim Rwd'!H27</f>
        <v>275</v>
      </c>
      <c r="P52" s="48">
        <f>O52*(Q52-R52-S52)</f>
        <v>85800</v>
      </c>
      <c r="Q52" s="47">
        <v>320</v>
      </c>
      <c r="R52" s="362">
        <v>0</v>
      </c>
      <c r="S52" s="362">
        <v>8</v>
      </c>
      <c r="T52" s="38">
        <f>E52*M52*O52*Q52/100000000</f>
        <v>12.032679999999999</v>
      </c>
      <c r="U52" s="38">
        <f>E52*M52*O52*(Q52-R52-S52)/100000000</f>
        <v>11.731863000000001</v>
      </c>
      <c r="V52" s="38">
        <f>E52*G52*(1-N52)*O52/100*(R52+S52)/1000000</f>
        <v>0.31128019999999995</v>
      </c>
      <c r="W52" s="38">
        <f>+'11'!K8/1000</f>
        <v>14.356999999999999</v>
      </c>
      <c r="X52" s="361">
        <f>SUM(W52:W55)/SUM(K52:K55)</f>
        <v>0.87086174787931692</v>
      </c>
      <c r="Y52" s="38">
        <v>0</v>
      </c>
      <c r="Z52" s="38">
        <v>0</v>
      </c>
      <c r="AA52" s="49">
        <f>SUM(U52:U55)-SUM(W52:W55)-SUM(Z52:Z55)-SUM(Y52:Y55)</f>
        <v>5.1808909910714362</v>
      </c>
      <c r="AB52" s="49">
        <f>(SUM(K52:K55)-SUM(W52:W55)-SUM(Y52:Y55)-SUM(Z52:Z55)-SUM(AC52:AC55)-SUM(V52:V55))-AA52</f>
        <v>-2.0721191071435996E-2</v>
      </c>
      <c r="AC52" s="38">
        <f>K52-T52</f>
        <v>0.41852799999999846</v>
      </c>
      <c r="AD52" s="38">
        <f>+AM52+BA52</f>
        <v>0</v>
      </c>
      <c r="AE52" s="226" t="s">
        <v>417</v>
      </c>
      <c r="AF52" s="38">
        <v>0</v>
      </c>
      <c r="AG52" s="38"/>
      <c r="AH52" s="38"/>
      <c r="AI52" s="38"/>
      <c r="AJ52" s="38"/>
      <c r="AK52" s="38"/>
      <c r="AL52" s="38"/>
      <c r="AM52" s="38">
        <f>SUM(AF52:AL52)+AT52+AV52+AX52</f>
        <v>0</v>
      </c>
      <c r="AN52" s="38"/>
      <c r="AO52" s="38"/>
      <c r="AP52" s="38"/>
      <c r="AQ52" s="38"/>
      <c r="AR52" s="38">
        <f>SUM(AN52:AQ52)</f>
        <v>0</v>
      </c>
      <c r="AS52" s="38"/>
      <c r="AT52" s="38"/>
      <c r="AU52" s="38"/>
      <c r="AV52" s="38"/>
      <c r="AW52" s="38"/>
      <c r="AX52" s="38"/>
      <c r="AY52" s="38"/>
      <c r="AZ52" s="38"/>
      <c r="BA52" s="38">
        <f>+AR52+AS52+AU52+AW52+AY52+AZ52</f>
        <v>0</v>
      </c>
      <c r="BB52" s="34">
        <v>0</v>
      </c>
      <c r="BC52" s="51"/>
      <c r="BD52" s="51"/>
      <c r="BE52" s="34"/>
      <c r="BF52" s="51"/>
    </row>
    <row r="53" spans="1:58" ht="12.9" customHeight="1">
      <c r="A53" s="41"/>
      <c r="B53" s="42" t="s">
        <v>422</v>
      </c>
      <c r="C53" s="393">
        <f>(M53*E53*O53*Q53)/100000000</f>
        <v>42.846870000000003</v>
      </c>
      <c r="D53" s="42" t="s">
        <v>423</v>
      </c>
      <c r="E53" s="43">
        <v>15</v>
      </c>
      <c r="F53" s="43">
        <v>1</v>
      </c>
      <c r="G53" s="406">
        <v>1180</v>
      </c>
      <c r="H53" s="533">
        <f>+N53</f>
        <v>0.20000000000000007</v>
      </c>
      <c r="I53" s="45">
        <v>0.88</v>
      </c>
      <c r="J53" s="82">
        <f>E53*G53*(1-H53)*1440/1000000*2.7</f>
        <v>55.054079999999992</v>
      </c>
      <c r="K53" s="82">
        <f>(IF(G53&lt;L53,L53,G53)*(1-IF(H53&lt;N53,H53,N53))*E53*O53*Q53)/100000000</f>
        <v>43.612799999999993</v>
      </c>
      <c r="L53" s="36">
        <v>1159.2767857142858</v>
      </c>
      <c r="M53" s="36">
        <v>927.42142857142858</v>
      </c>
      <c r="N53" s="46">
        <f>1-(M53/L53)</f>
        <v>0.20000000000000007</v>
      </c>
      <c r="O53" s="47">
        <f>+'Trim Rwd'!H28</f>
        <v>275</v>
      </c>
      <c r="P53" s="48">
        <f>O53*(Q53-R53-S53)</f>
        <v>303875</v>
      </c>
      <c r="Q53" s="47">
        <v>1120</v>
      </c>
      <c r="R53" s="362">
        <v>0</v>
      </c>
      <c r="S53" s="362">
        <v>15</v>
      </c>
      <c r="T53" s="38">
        <f>E53*M53*O53*Q53/100000000</f>
        <v>42.846870000000003</v>
      </c>
      <c r="U53" s="38">
        <f>E53*M53*O53*(Q53-R53-S53)/100000000</f>
        <v>42.273027991071437</v>
      </c>
      <c r="V53" s="38">
        <f>E53*G53*(1-N53)*O53/100*(R53+S53)/1000000</f>
        <v>0.58409999999999984</v>
      </c>
      <c r="W53" s="38">
        <f>+'11'!K7/1000</f>
        <v>34.466999999999999</v>
      </c>
      <c r="X53" s="39"/>
      <c r="Y53" s="209"/>
      <c r="Z53" s="38"/>
      <c r="AA53" s="38"/>
      <c r="AB53" s="38"/>
      <c r="AC53" s="38">
        <f>K53-T53</f>
        <v>0.76592999999999023</v>
      </c>
      <c r="AD53" s="38">
        <f t="shared" ref="AD53:AD54" si="54">+AM53+BA53</f>
        <v>2</v>
      </c>
      <c r="AE53" s="226" t="s">
        <v>416</v>
      </c>
      <c r="AF53" s="38"/>
      <c r="AG53" s="38">
        <v>2</v>
      </c>
      <c r="AH53" s="38"/>
      <c r="AI53" s="38"/>
      <c r="AJ53" s="38"/>
      <c r="AK53" s="38"/>
      <c r="AL53" s="38"/>
      <c r="AM53" s="38">
        <f t="shared" ref="AM53:AM54" si="55">SUM(AF53:AL53)+AT53+AV53+AX53</f>
        <v>2</v>
      </c>
      <c r="AN53" s="83"/>
      <c r="AO53" s="38"/>
      <c r="AP53" s="38"/>
      <c r="AQ53" s="38"/>
      <c r="AR53" s="38">
        <f t="shared" ref="AR53:AR54" si="56">SUM(AN53:AQ53)</f>
        <v>0</v>
      </c>
      <c r="AS53" s="38"/>
      <c r="AT53" s="38"/>
      <c r="AU53" s="38"/>
      <c r="AV53" s="38"/>
      <c r="AW53" s="38"/>
      <c r="AX53" s="38"/>
      <c r="AY53" s="38"/>
      <c r="AZ53" s="38"/>
      <c r="BA53" s="38">
        <f t="shared" ref="BA53:BA54" si="57">+AR53+AS53+AU53+AW53+AY53+AZ53</f>
        <v>0</v>
      </c>
      <c r="BB53" s="50"/>
      <c r="BC53" s="51">
        <v>1</v>
      </c>
      <c r="BD53" s="51"/>
      <c r="BE53" s="50"/>
      <c r="BF53" s="51"/>
    </row>
    <row r="54" spans="1:58" ht="12.9" customHeight="1">
      <c r="A54" s="41"/>
      <c r="B54" s="42"/>
      <c r="C54" s="393"/>
      <c r="D54" s="42"/>
      <c r="E54" s="43"/>
      <c r="F54" s="43"/>
      <c r="G54" s="44"/>
      <c r="H54" s="533"/>
      <c r="I54" s="45"/>
      <c r="J54" s="82"/>
      <c r="K54" s="82"/>
      <c r="L54" s="36"/>
      <c r="M54" s="36"/>
      <c r="N54" s="46"/>
      <c r="O54" s="47"/>
      <c r="P54" s="48"/>
      <c r="Q54" s="47"/>
      <c r="R54" s="362"/>
      <c r="S54" s="362"/>
      <c r="T54" s="38"/>
      <c r="U54" s="38"/>
      <c r="V54" s="38"/>
      <c r="W54" s="38"/>
      <c r="X54" s="39"/>
      <c r="Y54" s="209"/>
      <c r="Z54" s="38"/>
      <c r="AA54" s="38"/>
      <c r="AB54" s="38"/>
      <c r="AC54" s="38"/>
      <c r="AD54" s="38">
        <f t="shared" si="54"/>
        <v>21</v>
      </c>
      <c r="AE54" s="226" t="s">
        <v>565</v>
      </c>
      <c r="AF54" s="34"/>
      <c r="AG54" s="34"/>
      <c r="AH54" s="34">
        <v>21</v>
      </c>
      <c r="AI54" s="34"/>
      <c r="AJ54" s="38"/>
      <c r="AK54" s="38"/>
      <c r="AL54" s="38"/>
      <c r="AM54" s="38">
        <f t="shared" si="55"/>
        <v>21</v>
      </c>
      <c r="AN54" s="38"/>
      <c r="AO54" s="38"/>
      <c r="AP54" s="38"/>
      <c r="AQ54" s="38"/>
      <c r="AR54" s="38">
        <f t="shared" si="56"/>
        <v>0</v>
      </c>
      <c r="AS54" s="38"/>
      <c r="AT54" s="38"/>
      <c r="AU54" s="38"/>
      <c r="AV54" s="38"/>
      <c r="AW54" s="38"/>
      <c r="AX54" s="38"/>
      <c r="AY54" s="38"/>
      <c r="AZ54" s="38"/>
      <c r="BA54" s="38">
        <f t="shared" si="57"/>
        <v>0</v>
      </c>
      <c r="BB54" s="34"/>
      <c r="BC54" s="477"/>
      <c r="BD54" s="477"/>
      <c r="BE54" s="34"/>
      <c r="BF54" s="477"/>
    </row>
    <row r="55" spans="1:58" ht="12.9" customHeight="1">
      <c r="A55" s="41"/>
      <c r="B55" s="42"/>
      <c r="C55" s="393"/>
      <c r="D55" s="42"/>
      <c r="E55" s="43"/>
      <c r="F55" s="43"/>
      <c r="G55" s="406"/>
      <c r="H55" s="533"/>
      <c r="I55" s="45"/>
      <c r="J55" s="82"/>
      <c r="K55" s="82"/>
      <c r="L55" s="36"/>
      <c r="M55" s="36"/>
      <c r="N55" s="46"/>
      <c r="O55" s="47"/>
      <c r="P55" s="48"/>
      <c r="Q55" s="47"/>
      <c r="R55" s="362"/>
      <c r="S55" s="362"/>
      <c r="T55" s="38"/>
      <c r="U55" s="38"/>
      <c r="V55" s="38"/>
      <c r="W55" s="38"/>
      <c r="X55" s="361"/>
      <c r="Y55" s="209"/>
      <c r="Z55" s="38"/>
      <c r="AA55" s="49"/>
      <c r="AB55" s="49"/>
      <c r="AC55" s="38"/>
      <c r="AD55" s="38"/>
      <c r="AE55" s="226"/>
      <c r="AF55" s="38"/>
      <c r="AG55" s="38"/>
      <c r="AH55" s="38"/>
      <c r="AI55" s="38"/>
      <c r="AJ55" s="38"/>
      <c r="AK55" s="38"/>
      <c r="AL55" s="38"/>
      <c r="AM55" s="38"/>
      <c r="AN55" s="38"/>
      <c r="AO55" s="38"/>
      <c r="AP55" s="38"/>
      <c r="AQ55" s="38"/>
      <c r="AR55" s="38"/>
      <c r="AS55" s="34"/>
      <c r="AT55" s="34"/>
      <c r="AU55" s="34"/>
      <c r="AV55" s="34"/>
      <c r="AW55" s="34"/>
      <c r="AX55" s="34"/>
      <c r="AY55" s="34"/>
      <c r="AZ55" s="34"/>
      <c r="BA55" s="38"/>
      <c r="BB55" s="34"/>
      <c r="BC55" s="51"/>
      <c r="BD55" s="51"/>
      <c r="BE55" s="51"/>
      <c r="BF55" s="51"/>
    </row>
    <row r="56" spans="1:58" ht="12.9" customHeight="1">
      <c r="A56" s="41">
        <v>46093</v>
      </c>
      <c r="B56" s="42" t="s">
        <v>422</v>
      </c>
      <c r="C56" s="393">
        <f>(M56*E56*O56*Q56)/100000000</f>
        <v>25.746867000000002</v>
      </c>
      <c r="D56" s="42" t="s">
        <v>423</v>
      </c>
      <c r="E56" s="43">
        <v>15</v>
      </c>
      <c r="F56" s="43">
        <v>1</v>
      </c>
      <c r="G56" s="406">
        <v>1180</v>
      </c>
      <c r="H56" s="533">
        <f>+N56</f>
        <v>0.19999999999999996</v>
      </c>
      <c r="I56" s="45">
        <v>0.88</v>
      </c>
      <c r="J56" s="82">
        <f>E56*G56*(1-H56)*1440/1000000*2.7</f>
        <v>55.054080000000006</v>
      </c>
      <c r="K56" s="82">
        <f>(IF(G56&lt;L56,L56,G56)*(1-IF(H56&lt;N56,H56,N56))*E56*O56*Q56)/100000000</f>
        <v>26.1907785</v>
      </c>
      <c r="L56" s="36">
        <v>1160</v>
      </c>
      <c r="M56" s="36">
        <v>928</v>
      </c>
      <c r="N56" s="46">
        <f>1-(M56/L56)</f>
        <v>0.19999999999999996</v>
      </c>
      <c r="O56" s="47">
        <f>+'Trim Rwd'!H30</f>
        <v>268.0625</v>
      </c>
      <c r="P56" s="48">
        <f>O56*(Q56-R56-S56)</f>
        <v>182014.4375</v>
      </c>
      <c r="Q56" s="47">
        <v>690</v>
      </c>
      <c r="R56" s="362">
        <v>0</v>
      </c>
      <c r="S56" s="362">
        <v>11</v>
      </c>
      <c r="T56" s="38">
        <f>E56*M56*O56*Q56/100000000</f>
        <v>25.746867000000002</v>
      </c>
      <c r="U56" s="38">
        <f>E56*M56*O56*(Q56-R56-S56)/100000000</f>
        <v>25.336409700000001</v>
      </c>
      <c r="V56" s="38">
        <f>E56*G56*(1-N56)*O56/100*(R56+S56)/1000000</f>
        <v>0.41753415000000005</v>
      </c>
      <c r="W56" s="38">
        <f>+'12'!K7/1000</f>
        <v>33.936999999999998</v>
      </c>
      <c r="X56" s="361">
        <f>SUM(W56:W59)/SUM(K56:K59)</f>
        <v>0.9626564040311546</v>
      </c>
      <c r="Y56" s="38">
        <v>0</v>
      </c>
      <c r="Z56" s="38">
        <v>0</v>
      </c>
      <c r="AA56" s="49">
        <f>SUM(U56:U59)-SUM(W56:W59)-SUM(Z56:Z59)-SUM(Y56:Y59)</f>
        <v>-0.25162729455999511</v>
      </c>
      <c r="AB56" s="49">
        <f>(SUM(K56:K59)-SUM(W56:W59)-SUM(Y56:Y59)-SUM(Z56:Z59)-SUM(AC56:AC59)-SUM(V56:V59))-AA56</f>
        <v>-2.3861956875352974E-2</v>
      </c>
      <c r="AC56" s="38">
        <f>K56-T56</f>
        <v>0.44391149999999868</v>
      </c>
      <c r="AD56" s="38">
        <f>+AM56+BA56</f>
        <v>0</v>
      </c>
      <c r="AE56" s="226" t="s">
        <v>417</v>
      </c>
      <c r="AF56" s="38">
        <v>0</v>
      </c>
      <c r="AG56" s="38"/>
      <c r="AH56" s="38"/>
      <c r="AI56" s="38"/>
      <c r="AJ56" s="38"/>
      <c r="AK56" s="38"/>
      <c r="AL56" s="38"/>
      <c r="AM56" s="38">
        <f>SUM(AF56:AL56)+AT56+AV56+AX56</f>
        <v>0</v>
      </c>
      <c r="AN56" s="38"/>
      <c r="AO56" s="38"/>
      <c r="AP56" s="38"/>
      <c r="AQ56" s="38"/>
      <c r="AR56" s="38">
        <f>SUM(AN56:AQ56)</f>
        <v>0</v>
      </c>
      <c r="AS56" s="38"/>
      <c r="AT56" s="38"/>
      <c r="AU56" s="38"/>
      <c r="AV56" s="38"/>
      <c r="AW56" s="38"/>
      <c r="AX56" s="38"/>
      <c r="AY56" s="38"/>
      <c r="AZ56" s="38"/>
      <c r="BA56" s="38">
        <f>+AR56+AS56+AU56+AW56+AY56+AZ56</f>
        <v>0</v>
      </c>
      <c r="BB56" s="34">
        <v>0</v>
      </c>
      <c r="BC56" s="51"/>
      <c r="BD56" s="51"/>
      <c r="BE56" s="34"/>
      <c r="BF56" s="51"/>
    </row>
    <row r="57" spans="1:58" ht="12.9" customHeight="1">
      <c r="A57" s="41"/>
      <c r="B57" s="42" t="s">
        <v>422</v>
      </c>
      <c r="C57" s="393">
        <f>(M57*E57*O57*Q57)/100000000</f>
        <v>27.830355839999999</v>
      </c>
      <c r="D57" s="42" t="s">
        <v>423</v>
      </c>
      <c r="E57" s="43">
        <v>14</v>
      </c>
      <c r="F57" s="43">
        <v>1</v>
      </c>
      <c r="G57" s="406">
        <v>1255</v>
      </c>
      <c r="H57" s="533">
        <f>+N57</f>
        <v>0.19356200527704481</v>
      </c>
      <c r="I57" s="45">
        <v>0.88</v>
      </c>
      <c r="J57" s="82">
        <f>E57*G57*(1-H57)*1440/1000000*2.7</f>
        <v>55.08952132559368</v>
      </c>
      <c r="K57" s="82">
        <f>(IF(G57&lt;L57,L57,G57)*(1-IF(H57&lt;N57,H57,N57))*E57*O57*Q57)/100000000</f>
        <v>28.79872739050132</v>
      </c>
      <c r="L57" s="36">
        <v>1212.8</v>
      </c>
      <c r="M57" s="36">
        <v>978.048</v>
      </c>
      <c r="N57" s="46">
        <f>1-(M57/L57)</f>
        <v>0.19356200527704481</v>
      </c>
      <c r="O57" s="47">
        <f>+'Trim Rwd'!H32</f>
        <v>271</v>
      </c>
      <c r="P57" s="48">
        <f>O57*(Q57-R57-S57)</f>
        <v>199727</v>
      </c>
      <c r="Q57" s="47">
        <v>750</v>
      </c>
      <c r="R57" s="362">
        <v>0</v>
      </c>
      <c r="S57" s="362">
        <v>13</v>
      </c>
      <c r="T57" s="38">
        <f>E57*M57*O57*Q57/100000000</f>
        <v>27.830355839999999</v>
      </c>
      <c r="U57" s="38">
        <f>E57*M57*O57*(Q57-R57-S57)/100000000</f>
        <v>27.34796300544</v>
      </c>
      <c r="V57" s="38">
        <f>E57*G57*(1-N57)*O57/100*(R57+S57)/1000000</f>
        <v>0.49917794143535621</v>
      </c>
      <c r="W57" s="38">
        <f>+'12'!K9/1000</f>
        <v>18.998999999999999</v>
      </c>
      <c r="X57" s="39"/>
      <c r="Y57" s="209"/>
      <c r="Z57" s="38"/>
      <c r="AA57" s="38"/>
      <c r="AB57" s="38"/>
      <c r="AC57" s="38">
        <f>K57-T57</f>
        <v>0.9683715505013204</v>
      </c>
      <c r="AD57" s="38">
        <f t="shared" ref="AD57:AD58" si="58">+AM57+BA57</f>
        <v>0</v>
      </c>
      <c r="AE57" s="226" t="s">
        <v>419</v>
      </c>
      <c r="AF57" s="38"/>
      <c r="AG57" s="38">
        <v>0</v>
      </c>
      <c r="AH57" s="38"/>
      <c r="AI57" s="38"/>
      <c r="AJ57" s="38"/>
      <c r="AK57" s="38"/>
      <c r="AL57" s="38"/>
      <c r="AM57" s="38">
        <f t="shared" ref="AM57:AM58" si="59">SUM(AF57:AL57)+AT57+AV57+AX57</f>
        <v>0</v>
      </c>
      <c r="AN57" s="83"/>
      <c r="AO57" s="38"/>
      <c r="AP57" s="38"/>
      <c r="AQ57" s="38"/>
      <c r="AR57" s="38">
        <f t="shared" ref="AR57:AR58" si="60">SUM(AN57:AQ57)</f>
        <v>0</v>
      </c>
      <c r="AS57" s="38"/>
      <c r="AT57" s="38"/>
      <c r="AU57" s="38"/>
      <c r="AV57" s="38"/>
      <c r="AW57" s="38"/>
      <c r="AX57" s="38"/>
      <c r="AY57" s="38"/>
      <c r="AZ57" s="38"/>
      <c r="BA57" s="38">
        <f t="shared" ref="BA57:BA58" si="61">+AR57+AS57+AU57+AW57+AY57+AZ57</f>
        <v>0</v>
      </c>
      <c r="BB57" s="50"/>
      <c r="BC57" s="51">
        <v>0</v>
      </c>
      <c r="BD57" s="51"/>
      <c r="BE57" s="50"/>
      <c r="BF57" s="51"/>
    </row>
    <row r="58" spans="1:58" ht="12.9" customHeight="1">
      <c r="A58" s="41"/>
      <c r="B58" s="42"/>
      <c r="C58" s="393"/>
      <c r="D58" s="42"/>
      <c r="E58" s="43"/>
      <c r="F58" s="43"/>
      <c r="G58" s="44"/>
      <c r="H58" s="533"/>
      <c r="I58" s="45"/>
      <c r="J58" s="82"/>
      <c r="K58" s="82"/>
      <c r="L58" s="36"/>
      <c r="M58" s="36"/>
      <c r="N58" s="46"/>
      <c r="O58" s="47"/>
      <c r="P58" s="48"/>
      <c r="Q58" s="47"/>
      <c r="R58" s="362"/>
      <c r="S58" s="362"/>
      <c r="T58" s="38"/>
      <c r="U58" s="38"/>
      <c r="V58" s="38"/>
      <c r="W58" s="38"/>
      <c r="X58" s="39"/>
      <c r="Y58" s="209"/>
      <c r="Z58" s="38"/>
      <c r="AA58" s="38"/>
      <c r="AB58" s="38"/>
      <c r="AC58" s="38"/>
      <c r="AD58" s="38">
        <f t="shared" si="58"/>
        <v>24</v>
      </c>
      <c r="AE58" s="226" t="s">
        <v>457</v>
      </c>
      <c r="AF58" s="34"/>
      <c r="AG58" s="34"/>
      <c r="AH58" s="34">
        <v>24</v>
      </c>
      <c r="AI58" s="34"/>
      <c r="AJ58" s="38"/>
      <c r="AK58" s="38"/>
      <c r="AL58" s="38"/>
      <c r="AM58" s="38">
        <f t="shared" si="59"/>
        <v>24</v>
      </c>
      <c r="AN58" s="38"/>
      <c r="AO58" s="38"/>
      <c r="AP58" s="38"/>
      <c r="AQ58" s="38"/>
      <c r="AR58" s="38">
        <f t="shared" si="60"/>
        <v>0</v>
      </c>
      <c r="AS58" s="38"/>
      <c r="AT58" s="38"/>
      <c r="AU58" s="38"/>
      <c r="AV58" s="38"/>
      <c r="AW58" s="38"/>
      <c r="AX58" s="38"/>
      <c r="AY58" s="38"/>
      <c r="AZ58" s="38"/>
      <c r="BA58" s="38">
        <f t="shared" si="61"/>
        <v>0</v>
      </c>
      <c r="BB58" s="34"/>
      <c r="BC58" s="477"/>
      <c r="BD58" s="477"/>
      <c r="BE58" s="34"/>
      <c r="BF58" s="477"/>
    </row>
    <row r="59" spans="1:58" ht="12.9" customHeight="1">
      <c r="A59" s="41"/>
      <c r="B59" s="42"/>
      <c r="C59" s="393"/>
      <c r="D59" s="42"/>
      <c r="E59" s="43"/>
      <c r="F59" s="43"/>
      <c r="G59" s="406"/>
      <c r="H59" s="533"/>
      <c r="I59" s="45"/>
      <c r="J59" s="82"/>
      <c r="K59" s="82"/>
      <c r="L59" s="36"/>
      <c r="M59" s="36"/>
      <c r="N59" s="46"/>
      <c r="O59" s="47"/>
      <c r="P59" s="48"/>
      <c r="Q59" s="47"/>
      <c r="R59" s="362"/>
      <c r="S59" s="362"/>
      <c r="T59" s="38"/>
      <c r="U59" s="38"/>
      <c r="V59" s="38"/>
      <c r="W59" s="38"/>
      <c r="X59" s="361"/>
      <c r="Y59" s="209"/>
      <c r="Z59" s="38"/>
      <c r="AA59" s="49"/>
      <c r="AB59" s="49"/>
      <c r="AC59" s="38"/>
      <c r="AD59" s="38"/>
      <c r="AE59" s="226"/>
      <c r="AF59" s="38"/>
      <c r="AG59" s="38"/>
      <c r="AH59" s="38"/>
      <c r="AI59" s="38"/>
      <c r="AJ59" s="38"/>
      <c r="AK59" s="38"/>
      <c r="AL59" s="38"/>
      <c r="AM59" s="38"/>
      <c r="AN59" s="38"/>
      <c r="AO59" s="38"/>
      <c r="AP59" s="38"/>
      <c r="AQ59" s="38"/>
      <c r="AR59" s="38"/>
      <c r="AS59" s="34"/>
      <c r="AT59" s="34"/>
      <c r="AU59" s="34"/>
      <c r="AV59" s="34"/>
      <c r="AW59" s="34"/>
      <c r="AX59" s="34"/>
      <c r="AY59" s="34"/>
      <c r="AZ59" s="34"/>
      <c r="BA59" s="38"/>
      <c r="BB59" s="34"/>
      <c r="BC59" s="51"/>
      <c r="BD59" s="51"/>
      <c r="BE59" s="51"/>
      <c r="BF59" s="51"/>
    </row>
    <row r="60" spans="1:58" ht="12.9" customHeight="1">
      <c r="A60" s="41">
        <v>46094</v>
      </c>
      <c r="B60" s="42" t="s">
        <v>422</v>
      </c>
      <c r="C60" s="393">
        <f>(M60*E60*O60*Q60)/100000000</f>
        <v>28.3320744</v>
      </c>
      <c r="D60" s="42" t="s">
        <v>423</v>
      </c>
      <c r="E60" s="43">
        <v>14</v>
      </c>
      <c r="F60" s="43">
        <v>1</v>
      </c>
      <c r="G60" s="406">
        <v>1265</v>
      </c>
      <c r="H60" s="533">
        <f>+N60</f>
        <v>0.19999999999999996</v>
      </c>
      <c r="I60" s="45">
        <v>0.88</v>
      </c>
      <c r="J60" s="82">
        <f>E60*G60*(1-H60)*1440/1000000*2.7</f>
        <v>55.085184000000005</v>
      </c>
      <c r="K60" s="82">
        <f>(IF(G60&lt;L60,L60,G60)*(1-IF(H60&lt;N60,H60,N60))*E60*O60*Q60)/100000000</f>
        <v>29.257203359999998</v>
      </c>
      <c r="L60" s="36">
        <v>1225</v>
      </c>
      <c r="M60" s="36">
        <v>980</v>
      </c>
      <c r="N60" s="46">
        <f>1-(M60/L60)</f>
        <v>0.19999999999999996</v>
      </c>
      <c r="O60" s="47">
        <f>+'Trim Rwd'!H34</f>
        <v>271</v>
      </c>
      <c r="P60" s="48">
        <f>O60*(Q60-R60-S60)</f>
        <v>202708</v>
      </c>
      <c r="Q60" s="47">
        <v>762</v>
      </c>
      <c r="R60" s="362">
        <v>0</v>
      </c>
      <c r="S60" s="362">
        <v>14</v>
      </c>
      <c r="T60" s="38">
        <f>E60*M60*O60*Q60/100000000</f>
        <v>28.3320744</v>
      </c>
      <c r="U60" s="38">
        <f>E60*M60*O60*(Q60-R60-S60)/100000000</f>
        <v>27.811537600000001</v>
      </c>
      <c r="V60" s="38">
        <f>E60*G60*(1-N60)*O60/100*(R60+S60)/1000000</f>
        <v>0.53753391999999989</v>
      </c>
      <c r="W60" s="38">
        <f>+'13'!K9/1000</f>
        <v>30.646999999999998</v>
      </c>
      <c r="X60" s="361">
        <f>SUM(W60:W63)/SUM(K60:K63)</f>
        <v>0.91209932484407741</v>
      </c>
      <c r="Y60" s="38">
        <v>0</v>
      </c>
      <c r="Z60" s="38">
        <v>0</v>
      </c>
      <c r="AA60" s="49">
        <f>SUM(U60:U63)-SUM(W60:W63)-SUM(Z60:Z63)-SUM(Y60:Y63)</f>
        <v>2.5026565600000055</v>
      </c>
      <c r="AB60" s="49">
        <f>(SUM(K60:K63)-SUM(W60:W63)-SUM(Y60:Y63)-SUM(Z60:Z63)-SUM(AC60:AC63)-SUM(V60:V63))-AA60</f>
        <v>-2.4594920000001075E-2</v>
      </c>
      <c r="AC60" s="38">
        <f>K60-T60</f>
        <v>0.92512895999999856</v>
      </c>
      <c r="AD60" s="38">
        <f>+AM60+BA60</f>
        <v>0</v>
      </c>
      <c r="AE60" s="226" t="s">
        <v>417</v>
      </c>
      <c r="AF60" s="38">
        <v>0</v>
      </c>
      <c r="AG60" s="38"/>
      <c r="AH60" s="38"/>
      <c r="AI60" s="38"/>
      <c r="AJ60" s="38"/>
      <c r="AK60" s="38"/>
      <c r="AL60" s="38"/>
      <c r="AM60" s="38">
        <f>SUM(AF60:AL60)+AT60+AV60+AX60</f>
        <v>0</v>
      </c>
      <c r="AN60" s="38"/>
      <c r="AO60" s="38"/>
      <c r="AP60" s="38"/>
      <c r="AQ60" s="38"/>
      <c r="AR60" s="38">
        <f>SUM(AN60:AQ60)</f>
        <v>0</v>
      </c>
      <c r="AS60" s="38"/>
      <c r="AT60" s="38"/>
      <c r="AU60" s="38"/>
      <c r="AV60" s="38"/>
      <c r="AW60" s="38"/>
      <c r="AX60" s="38"/>
      <c r="AY60" s="38"/>
      <c r="AZ60" s="38"/>
      <c r="BA60" s="38">
        <f>+AR60+AS60+AU60+AW60+AY60+AZ60</f>
        <v>0</v>
      </c>
      <c r="BB60" s="34">
        <v>0</v>
      </c>
      <c r="BC60" s="51"/>
      <c r="BD60" s="51"/>
      <c r="BE60" s="34"/>
      <c r="BF60" s="51"/>
    </row>
    <row r="61" spans="1:58" ht="12.9" customHeight="1">
      <c r="A61" s="41"/>
      <c r="B61" s="42" t="s">
        <v>422</v>
      </c>
      <c r="C61" s="393">
        <f>(M61*E61*O61*Q61)/100000000</f>
        <v>25.241411159999998</v>
      </c>
      <c r="D61" s="42" t="s">
        <v>423</v>
      </c>
      <c r="E61" s="43">
        <v>13.5</v>
      </c>
      <c r="F61" s="43">
        <v>1</v>
      </c>
      <c r="G61" s="406">
        <v>1250</v>
      </c>
      <c r="H61" s="533">
        <f>+N61</f>
        <v>0.16000000000000003</v>
      </c>
      <c r="I61" s="45">
        <v>0.88</v>
      </c>
      <c r="J61" s="82">
        <f>E61*G61*(1-H61)*1440/1000000*2.7</f>
        <v>55.112400000000001</v>
      </c>
      <c r="K61" s="82">
        <f>(IF(G61&lt;L61,L61,G61)*(1-IF(H61&lt;N61,H61,N61))*E61*O61*Q61)/100000000</f>
        <v>25.756542</v>
      </c>
      <c r="L61" s="36">
        <v>1225</v>
      </c>
      <c r="M61" s="36">
        <v>1029</v>
      </c>
      <c r="N61" s="46">
        <f>1-(M61/L61)</f>
        <v>0.16000000000000003</v>
      </c>
      <c r="O61" s="47">
        <f>+'Trim Rwd'!H35</f>
        <v>268</v>
      </c>
      <c r="P61" s="48">
        <f>O61*(Q61-R61-S61)</f>
        <v>179024</v>
      </c>
      <c r="Q61" s="47">
        <v>678</v>
      </c>
      <c r="R61" s="362">
        <v>0</v>
      </c>
      <c r="S61" s="362">
        <v>10</v>
      </c>
      <c r="T61" s="38">
        <f>E61*M61*O61*Q61/100000000</f>
        <v>25.241411159999998</v>
      </c>
      <c r="U61" s="38">
        <f>E61*M61*O61*(Q61-R61-S61)/100000000</f>
        <v>24.869118960000002</v>
      </c>
      <c r="V61" s="38">
        <f>E61*G61*(1-N61)*O61/100*(R61+S61)/1000000</f>
        <v>0.37989000000000001</v>
      </c>
      <c r="W61" s="38">
        <f>+'13'!K10/1000</f>
        <v>19.530999999999999</v>
      </c>
      <c r="X61" s="39"/>
      <c r="Y61" s="209"/>
      <c r="Z61" s="38"/>
      <c r="AA61" s="38"/>
      <c r="AB61" s="38"/>
      <c r="AC61" s="38">
        <f>K61-T61</f>
        <v>0.5151308400000012</v>
      </c>
      <c r="AD61" s="38">
        <f t="shared" ref="AD61:AD62" si="62">+AM61+BA61</f>
        <v>3</v>
      </c>
      <c r="AE61" s="226" t="s">
        <v>416</v>
      </c>
      <c r="AF61" s="38"/>
      <c r="AG61" s="38">
        <v>3</v>
      </c>
      <c r="AH61" s="38"/>
      <c r="AI61" s="38"/>
      <c r="AJ61" s="38"/>
      <c r="AK61" s="38"/>
      <c r="AL61" s="38"/>
      <c r="AM61" s="38">
        <f t="shared" ref="AM61:AM62" si="63">SUM(AF61:AL61)+AT61+AV61+AX61</f>
        <v>3</v>
      </c>
      <c r="AN61" s="83"/>
      <c r="AO61" s="38"/>
      <c r="AP61" s="38"/>
      <c r="AQ61" s="38"/>
      <c r="AR61" s="38">
        <f t="shared" ref="AR61:AR62" si="64">SUM(AN61:AQ61)</f>
        <v>0</v>
      </c>
      <c r="AS61" s="38"/>
      <c r="AT61" s="38"/>
      <c r="AU61" s="38"/>
      <c r="AV61" s="38"/>
      <c r="AW61" s="38"/>
      <c r="AX61" s="38"/>
      <c r="AY61" s="38"/>
      <c r="AZ61" s="38"/>
      <c r="BA61" s="38">
        <f t="shared" ref="BA61:BA62" si="65">+AR61+AS61+AU61+AW61+AY61+AZ61</f>
        <v>0</v>
      </c>
      <c r="BB61" s="50"/>
      <c r="BC61" s="51">
        <v>1</v>
      </c>
      <c r="BD61" s="51"/>
      <c r="BE61" s="50"/>
      <c r="BF61" s="51"/>
    </row>
    <row r="62" spans="1:58" ht="12.9" customHeight="1">
      <c r="A62" s="41"/>
      <c r="B62" s="42"/>
      <c r="C62" s="393"/>
      <c r="D62" s="42"/>
      <c r="E62" s="43"/>
      <c r="F62" s="43"/>
      <c r="G62" s="44"/>
      <c r="H62" s="533"/>
      <c r="I62" s="45"/>
      <c r="J62" s="82"/>
      <c r="K62" s="82"/>
      <c r="L62" s="36"/>
      <c r="M62" s="36"/>
      <c r="N62" s="46"/>
      <c r="O62" s="47"/>
      <c r="P62" s="48"/>
      <c r="Q62" s="47"/>
      <c r="R62" s="362"/>
      <c r="S62" s="362"/>
      <c r="T62" s="38"/>
      <c r="U62" s="38"/>
      <c r="V62" s="38"/>
      <c r="W62" s="38"/>
      <c r="X62" s="39"/>
      <c r="Y62" s="209"/>
      <c r="Z62" s="38"/>
      <c r="AA62" s="38"/>
      <c r="AB62" s="38"/>
      <c r="AC62" s="38"/>
      <c r="AD62" s="38">
        <f t="shared" si="62"/>
        <v>21</v>
      </c>
      <c r="AE62" s="226" t="s">
        <v>565</v>
      </c>
      <c r="AF62" s="34"/>
      <c r="AG62" s="34"/>
      <c r="AH62" s="34">
        <v>21</v>
      </c>
      <c r="AI62" s="34"/>
      <c r="AJ62" s="38"/>
      <c r="AK62" s="38"/>
      <c r="AL62" s="38"/>
      <c r="AM62" s="38">
        <f t="shared" si="63"/>
        <v>21</v>
      </c>
      <c r="AN62" s="38"/>
      <c r="AO62" s="38"/>
      <c r="AP62" s="38"/>
      <c r="AQ62" s="38"/>
      <c r="AR62" s="38">
        <f t="shared" si="64"/>
        <v>0</v>
      </c>
      <c r="AS62" s="38"/>
      <c r="AT62" s="38"/>
      <c r="AU62" s="38"/>
      <c r="AV62" s="38"/>
      <c r="AW62" s="38"/>
      <c r="AX62" s="38"/>
      <c r="AY62" s="38"/>
      <c r="AZ62" s="38"/>
      <c r="BA62" s="38">
        <f t="shared" si="65"/>
        <v>0</v>
      </c>
      <c r="BB62" s="34"/>
      <c r="BC62" s="477"/>
      <c r="BD62" s="477"/>
      <c r="BE62" s="34"/>
      <c r="BF62" s="477"/>
    </row>
    <row r="63" spans="1:58" ht="12.9" customHeight="1">
      <c r="A63" s="41"/>
      <c r="B63" s="42"/>
      <c r="C63" s="393"/>
      <c r="D63" s="42"/>
      <c r="E63" s="43"/>
      <c r="F63" s="43"/>
      <c r="G63" s="406"/>
      <c r="H63" s="533"/>
      <c r="I63" s="45"/>
      <c r="J63" s="82"/>
      <c r="K63" s="82"/>
      <c r="L63" s="36"/>
      <c r="M63" s="36"/>
      <c r="N63" s="46"/>
      <c r="O63" s="47"/>
      <c r="P63" s="48"/>
      <c r="Q63" s="47"/>
      <c r="R63" s="362"/>
      <c r="S63" s="362"/>
      <c r="T63" s="38"/>
      <c r="U63" s="38"/>
      <c r="V63" s="38"/>
      <c r="W63" s="38"/>
      <c r="X63" s="361"/>
      <c r="Y63" s="209"/>
      <c r="Z63" s="38"/>
      <c r="AA63" s="49"/>
      <c r="AB63" s="49"/>
      <c r="AC63" s="38"/>
      <c r="AD63" s="38"/>
      <c r="AE63" s="226"/>
      <c r="AF63" s="38"/>
      <c r="AG63" s="38"/>
      <c r="AH63" s="38"/>
      <c r="AI63" s="38"/>
      <c r="AJ63" s="38"/>
      <c r="AK63" s="38"/>
      <c r="AL63" s="38"/>
      <c r="AM63" s="38"/>
      <c r="AN63" s="38"/>
      <c r="AO63" s="38"/>
      <c r="AP63" s="38"/>
      <c r="AQ63" s="38"/>
      <c r="AR63" s="38"/>
      <c r="AS63" s="34"/>
      <c r="AT63" s="34"/>
      <c r="AU63" s="34"/>
      <c r="AV63" s="34"/>
      <c r="AW63" s="34"/>
      <c r="AX63" s="34"/>
      <c r="AY63" s="34"/>
      <c r="AZ63" s="34"/>
      <c r="BA63" s="38"/>
      <c r="BB63" s="34"/>
      <c r="BC63" s="51"/>
      <c r="BD63" s="51"/>
      <c r="BE63" s="51"/>
      <c r="BF63" s="51"/>
    </row>
    <row r="64" spans="1:58" ht="12.9" customHeight="1">
      <c r="A64" s="41">
        <v>46095</v>
      </c>
      <c r="B64" s="42" t="s">
        <v>422</v>
      </c>
      <c r="C64" s="393">
        <f>(M64*E64*O64*Q64)/100000000</f>
        <v>53.610076800000002</v>
      </c>
      <c r="D64" s="42" t="s">
        <v>423</v>
      </c>
      <c r="E64" s="43">
        <v>13.5</v>
      </c>
      <c r="F64" s="43">
        <v>1</v>
      </c>
      <c r="G64" s="406">
        <v>1250</v>
      </c>
      <c r="H64" s="533">
        <f>+N64</f>
        <v>0.16000000000000003</v>
      </c>
      <c r="I64" s="45">
        <v>0.88</v>
      </c>
      <c r="J64" s="82">
        <f>E64*G64*(1-H64)*1440/1000000*2.7</f>
        <v>55.112400000000001</v>
      </c>
      <c r="K64" s="82">
        <f>(IF(G64&lt;L64,L64,G64)*(1-IF(H64&lt;N64,H64,N64))*E64*O64*Q64)/100000000</f>
        <v>54.704160000000002</v>
      </c>
      <c r="L64" s="36">
        <v>1225</v>
      </c>
      <c r="M64" s="36">
        <v>1029</v>
      </c>
      <c r="N64" s="46">
        <f>1-(M64/L64)</f>
        <v>0.16000000000000003</v>
      </c>
      <c r="O64" s="47">
        <f>+'Trim Rwd'!H37</f>
        <v>268</v>
      </c>
      <c r="P64" s="48">
        <f>O64*(Q64-R64-S64)</f>
        <v>379756</v>
      </c>
      <c r="Q64" s="47">
        <v>1440</v>
      </c>
      <c r="R64" s="362">
        <v>0</v>
      </c>
      <c r="S64" s="362">
        <v>23</v>
      </c>
      <c r="T64" s="38">
        <f>E64*M64*O64*Q64/100000000</f>
        <v>53.610076800000002</v>
      </c>
      <c r="U64" s="38">
        <f>E64*M64*O64*(Q64-R64-S64)/100000000</f>
        <v>52.75380474</v>
      </c>
      <c r="V64" s="38">
        <f>E64*G64*(1-N64)*O64/100*(R64+S64)/1000000</f>
        <v>0.87374700000000005</v>
      </c>
      <c r="W64" s="38">
        <f>+'14'!K10/1000</f>
        <v>49.991</v>
      </c>
      <c r="X64" s="361">
        <f>SUM(W64:W67)/SUM(K64:K67)</f>
        <v>0.91384274980184321</v>
      </c>
      <c r="Y64" s="38">
        <v>0</v>
      </c>
      <c r="Z64" s="38">
        <v>0</v>
      </c>
      <c r="AA64" s="49">
        <f>SUM(U64:U67)-SUM(W64:W67)-SUM(Z64:Z67)-SUM(Y64:Y67)</f>
        <v>2.76280474</v>
      </c>
      <c r="AB64" s="49">
        <f>(SUM(K64:K67)-SUM(W64:W67)-SUM(Y64:Y67)-SUM(Z64:Z67)-SUM(AC64:AC67)-SUM(V64:V67))-AA64</f>
        <v>-1.7474939999997829E-2</v>
      </c>
      <c r="AC64" s="38">
        <f>K64-T64</f>
        <v>1.0940832</v>
      </c>
      <c r="AD64" s="38">
        <f>+AM64+BA64</f>
        <v>0</v>
      </c>
      <c r="AE64" s="226" t="s">
        <v>417</v>
      </c>
      <c r="AF64" s="38">
        <v>0</v>
      </c>
      <c r="AG64" s="38"/>
      <c r="AH64" s="38"/>
      <c r="AI64" s="38"/>
      <c r="AJ64" s="38"/>
      <c r="AK64" s="38"/>
      <c r="AL64" s="38"/>
      <c r="AM64" s="38">
        <f>SUM(AF64:AL64)+AT64+AV64+AX64</f>
        <v>0</v>
      </c>
      <c r="AN64" s="38"/>
      <c r="AO64" s="38"/>
      <c r="AP64" s="38"/>
      <c r="AQ64" s="38"/>
      <c r="AR64" s="38">
        <f>SUM(AN64:AQ64)</f>
        <v>0</v>
      </c>
      <c r="AS64" s="38"/>
      <c r="AT64" s="38"/>
      <c r="AU64" s="38"/>
      <c r="AV64" s="38"/>
      <c r="AW64" s="38"/>
      <c r="AX64" s="38"/>
      <c r="AY64" s="38"/>
      <c r="AZ64" s="38"/>
      <c r="BA64" s="38">
        <f>+AR64+AS64+AU64+AW64+AY64+AZ64</f>
        <v>0</v>
      </c>
      <c r="BB64" s="34">
        <v>0</v>
      </c>
      <c r="BC64" s="51"/>
      <c r="BD64" s="51"/>
      <c r="BE64" s="34"/>
      <c r="BF64" s="51"/>
    </row>
    <row r="65" spans="1:58" ht="12.9" customHeight="1">
      <c r="A65" s="41"/>
      <c r="B65" s="42"/>
      <c r="C65" s="393"/>
      <c r="D65" s="42"/>
      <c r="E65" s="43"/>
      <c r="F65" s="43"/>
      <c r="G65" s="406"/>
      <c r="H65" s="533"/>
      <c r="I65" s="45"/>
      <c r="J65" s="82"/>
      <c r="K65" s="82"/>
      <c r="L65" s="36"/>
      <c r="M65" s="36"/>
      <c r="N65" s="46"/>
      <c r="O65" s="47"/>
      <c r="P65" s="48"/>
      <c r="Q65" s="47"/>
      <c r="R65" s="362"/>
      <c r="S65" s="362"/>
      <c r="T65" s="38"/>
      <c r="U65" s="38"/>
      <c r="V65" s="38"/>
      <c r="W65" s="38"/>
      <c r="X65" s="39"/>
      <c r="Y65" s="209"/>
      <c r="Z65" s="38"/>
      <c r="AA65" s="38"/>
      <c r="AB65" s="38"/>
      <c r="AC65" s="38"/>
      <c r="AD65" s="38">
        <f t="shared" ref="AD65:AD66" si="66">+AM65+BA65</f>
        <v>0</v>
      </c>
      <c r="AE65" s="226" t="s">
        <v>419</v>
      </c>
      <c r="AF65" s="38"/>
      <c r="AG65" s="38">
        <v>0</v>
      </c>
      <c r="AH65" s="38"/>
      <c r="AI65" s="38"/>
      <c r="AJ65" s="38"/>
      <c r="AK65" s="38"/>
      <c r="AL65" s="38"/>
      <c r="AM65" s="38">
        <f t="shared" ref="AM65:AM66" si="67">SUM(AF65:AL65)+AT65+AV65+AX65</f>
        <v>0</v>
      </c>
      <c r="AN65" s="83"/>
      <c r="AO65" s="38"/>
      <c r="AP65" s="38"/>
      <c r="AQ65" s="38"/>
      <c r="AR65" s="38">
        <f t="shared" ref="AR65:AR66" si="68">SUM(AN65:AQ65)</f>
        <v>0</v>
      </c>
      <c r="AS65" s="38"/>
      <c r="AT65" s="38"/>
      <c r="AU65" s="38"/>
      <c r="AV65" s="38"/>
      <c r="AW65" s="38"/>
      <c r="AX65" s="38"/>
      <c r="AY65" s="38"/>
      <c r="AZ65" s="38"/>
      <c r="BA65" s="38">
        <f t="shared" ref="BA65:BA66" si="69">+AR65+AS65+AU65+AW65+AY65+AZ65</f>
        <v>0</v>
      </c>
      <c r="BB65" s="50"/>
      <c r="BC65" s="51">
        <v>0</v>
      </c>
      <c r="BD65" s="51"/>
      <c r="BE65" s="50"/>
      <c r="BF65" s="51"/>
    </row>
    <row r="66" spans="1:58" ht="12.9" customHeight="1">
      <c r="A66" s="41"/>
      <c r="B66" s="42"/>
      <c r="C66" s="393"/>
      <c r="D66" s="42"/>
      <c r="E66" s="43"/>
      <c r="F66" s="43"/>
      <c r="G66" s="44"/>
      <c r="H66" s="533"/>
      <c r="I66" s="45"/>
      <c r="J66" s="82"/>
      <c r="K66" s="82"/>
      <c r="L66" s="36"/>
      <c r="M66" s="36"/>
      <c r="N66" s="46"/>
      <c r="O66" s="47"/>
      <c r="P66" s="48"/>
      <c r="Q66" s="47"/>
      <c r="R66" s="362"/>
      <c r="S66" s="362"/>
      <c r="T66" s="38"/>
      <c r="U66" s="38"/>
      <c r="V66" s="38"/>
      <c r="W66" s="38"/>
      <c r="X66" s="39"/>
      <c r="Y66" s="209"/>
      <c r="Z66" s="38"/>
      <c r="AA66" s="38"/>
      <c r="AB66" s="38"/>
      <c r="AC66" s="38"/>
      <c r="AD66" s="38">
        <f t="shared" si="66"/>
        <v>23</v>
      </c>
      <c r="AE66" s="226" t="s">
        <v>457</v>
      </c>
      <c r="AF66" s="34"/>
      <c r="AG66" s="34"/>
      <c r="AH66" s="34">
        <v>23</v>
      </c>
      <c r="AI66" s="34"/>
      <c r="AJ66" s="38"/>
      <c r="AK66" s="38"/>
      <c r="AL66" s="38"/>
      <c r="AM66" s="38">
        <f t="shared" si="67"/>
        <v>23</v>
      </c>
      <c r="AN66" s="38"/>
      <c r="AO66" s="38"/>
      <c r="AP66" s="38"/>
      <c r="AQ66" s="38"/>
      <c r="AR66" s="38">
        <f t="shared" si="68"/>
        <v>0</v>
      </c>
      <c r="AS66" s="38"/>
      <c r="AT66" s="38"/>
      <c r="AU66" s="38"/>
      <c r="AV66" s="38"/>
      <c r="AW66" s="38"/>
      <c r="AX66" s="38"/>
      <c r="AY66" s="38"/>
      <c r="AZ66" s="38"/>
      <c r="BA66" s="38">
        <f t="shared" si="69"/>
        <v>0</v>
      </c>
      <c r="BB66" s="34"/>
      <c r="BC66" s="477"/>
      <c r="BD66" s="477"/>
      <c r="BE66" s="34"/>
      <c r="BF66" s="477"/>
    </row>
    <row r="67" spans="1:58" ht="12.9" customHeight="1">
      <c r="A67" s="41"/>
      <c r="B67" s="42"/>
      <c r="C67" s="393"/>
      <c r="D67" s="42"/>
      <c r="E67" s="43"/>
      <c r="F67" s="43"/>
      <c r="G67" s="406"/>
      <c r="H67" s="533"/>
      <c r="I67" s="45"/>
      <c r="J67" s="82"/>
      <c r="K67" s="82"/>
      <c r="L67" s="36"/>
      <c r="M67" s="36"/>
      <c r="N67" s="46"/>
      <c r="O67" s="47"/>
      <c r="P67" s="48"/>
      <c r="Q67" s="47"/>
      <c r="R67" s="362"/>
      <c r="S67" s="362"/>
      <c r="T67" s="38"/>
      <c r="U67" s="38"/>
      <c r="V67" s="38"/>
      <c r="W67" s="38"/>
      <c r="X67" s="361"/>
      <c r="Y67" s="38"/>
      <c r="Z67" s="38"/>
      <c r="AA67" s="49"/>
      <c r="AB67" s="49"/>
      <c r="AC67" s="38"/>
      <c r="AD67" s="38"/>
      <c r="AE67" s="226"/>
      <c r="AF67" s="38"/>
      <c r="AG67" s="38"/>
      <c r="AH67" s="38"/>
      <c r="AI67" s="476"/>
      <c r="AJ67" s="38"/>
      <c r="AK67" s="38"/>
      <c r="AL67" s="38"/>
      <c r="AM67" s="38"/>
      <c r="AN67" s="38"/>
      <c r="AO67" s="38"/>
      <c r="AP67" s="38"/>
      <c r="AQ67" s="38"/>
      <c r="AR67" s="38"/>
      <c r="AS67" s="38"/>
      <c r="AT67" s="38"/>
      <c r="AU67" s="38"/>
      <c r="AV67" s="38"/>
      <c r="AW67" s="38"/>
      <c r="AX67" s="38"/>
      <c r="AY67" s="38"/>
      <c r="AZ67" s="38"/>
      <c r="BA67" s="38"/>
      <c r="BB67" s="34"/>
      <c r="BC67" s="51"/>
      <c r="BD67" s="51"/>
      <c r="BE67" s="51"/>
      <c r="BF67" s="51"/>
    </row>
    <row r="68" spans="1:58" ht="12.9" customHeight="1">
      <c r="A68" s="41">
        <v>46096</v>
      </c>
      <c r="B68" s="42" t="s">
        <v>422</v>
      </c>
      <c r="C68" s="393">
        <f>(M68*E68*O68*Q68)/100000000</f>
        <v>52.592577853846159</v>
      </c>
      <c r="D68" s="42" t="s">
        <v>423</v>
      </c>
      <c r="E68" s="43">
        <v>13.5</v>
      </c>
      <c r="F68" s="43">
        <v>1</v>
      </c>
      <c r="G68" s="406">
        <v>1250</v>
      </c>
      <c r="H68" s="533">
        <f>+N68</f>
        <v>0.16000000000000003</v>
      </c>
      <c r="I68" s="45">
        <v>0.88</v>
      </c>
      <c r="J68" s="82">
        <f>E68*G68*(1-H68)*1440/1000000*2.7</f>
        <v>55.112400000000001</v>
      </c>
      <c r="K68" s="82">
        <f>(IF(G68&lt;L68,L68,G68)*(1-IF(H68&lt;N68,H68,N68))*E68*O68*Q68)/100000000</f>
        <v>53.665895769230772</v>
      </c>
      <c r="L68" s="36">
        <v>1225</v>
      </c>
      <c r="M68" s="36">
        <v>1029</v>
      </c>
      <c r="N68" s="46">
        <f>1-(M68/L68)</f>
        <v>0.16000000000000003</v>
      </c>
      <c r="O68" s="47">
        <f>+'Trim Rwd'!H39</f>
        <v>262.91346153846155</v>
      </c>
      <c r="P68" s="48">
        <f>O68*(Q68-R68-S68)</f>
        <v>368341.75961538462</v>
      </c>
      <c r="Q68" s="47">
        <v>1440</v>
      </c>
      <c r="R68" s="362">
        <v>0</v>
      </c>
      <c r="S68" s="362">
        <v>39</v>
      </c>
      <c r="T68" s="38">
        <f>E68*M68*O68*Q68/100000000</f>
        <v>52.592577853846159</v>
      </c>
      <c r="U68" s="38">
        <f>E68*M68*O68*(Q68-R68-S68)/100000000</f>
        <v>51.168195536971162</v>
      </c>
      <c r="V68" s="38">
        <f>E68*G68*(1-N68)*O68/100*(R68+S68)/1000000</f>
        <v>1.4534513437500001</v>
      </c>
      <c r="W68" s="38">
        <f>+'15'!K10/1000</f>
        <v>49.429000000000002</v>
      </c>
      <c r="X68" s="361">
        <f>SUM(W68:W71)/SUM(K68:K71)</f>
        <v>0.92105049755528379</v>
      </c>
      <c r="Y68" s="38">
        <v>0</v>
      </c>
      <c r="Z68" s="38">
        <v>0</v>
      </c>
      <c r="AA68" s="49">
        <f>SUM(U68:U71)-SUM(W68:W71)-SUM(Z68:Z71)-SUM(Y68:Y71)</f>
        <v>1.7391955369711596</v>
      </c>
      <c r="AB68" s="49">
        <f>(SUM(K68:K71)-SUM(W68:W71)-SUM(Y68:Y71)-SUM(Z68:Z71)-SUM(AC68:AC71)-SUM(V68:V71))-AA68</f>
        <v>-2.9069026875003123E-2</v>
      </c>
      <c r="AC68" s="38">
        <f>K68-T68</f>
        <v>1.0733179153846137</v>
      </c>
      <c r="AD68" s="38">
        <f>+AM68+BA68</f>
        <v>15</v>
      </c>
      <c r="AE68" s="226" t="s">
        <v>391</v>
      </c>
      <c r="AF68" s="38">
        <v>15</v>
      </c>
      <c r="AG68" s="38"/>
      <c r="AH68" s="38"/>
      <c r="AI68" s="38"/>
      <c r="AJ68" s="38"/>
      <c r="AK68" s="38"/>
      <c r="AL68" s="38"/>
      <c r="AM68" s="38">
        <f>SUM(AF68:AL68)+AT68+AV68+AX68</f>
        <v>15</v>
      </c>
      <c r="AN68" s="38"/>
      <c r="AO68" s="38"/>
      <c r="AP68" s="38"/>
      <c r="AQ68" s="38"/>
      <c r="AR68" s="38">
        <f>SUM(AN68:AQ68)</f>
        <v>0</v>
      </c>
      <c r="AS68" s="38"/>
      <c r="AT68" s="38"/>
      <c r="AU68" s="38"/>
      <c r="AV68" s="38"/>
      <c r="AW68" s="38"/>
      <c r="AX68" s="38"/>
      <c r="AY68" s="38"/>
      <c r="AZ68" s="38"/>
      <c r="BA68" s="38">
        <f>+AR68+AS68+AU68+AW68+AY68+AZ68</f>
        <v>0</v>
      </c>
      <c r="BB68" s="34">
        <v>6</v>
      </c>
      <c r="BC68" s="51"/>
      <c r="BD68" s="51"/>
      <c r="BE68" s="34"/>
      <c r="BF68" s="51"/>
    </row>
    <row r="69" spans="1:58" ht="12.9" customHeight="1">
      <c r="A69" s="41"/>
      <c r="B69" s="42"/>
      <c r="C69" s="393"/>
      <c r="D69" s="42"/>
      <c r="E69" s="43"/>
      <c r="F69" s="43"/>
      <c r="G69" s="406"/>
      <c r="H69" s="533"/>
      <c r="I69" s="45"/>
      <c r="J69" s="82"/>
      <c r="K69" s="82"/>
      <c r="L69" s="36"/>
      <c r="M69" s="36"/>
      <c r="N69" s="46"/>
      <c r="O69" s="47"/>
      <c r="P69" s="48"/>
      <c r="Q69" s="47"/>
      <c r="R69" s="362"/>
      <c r="S69" s="362"/>
      <c r="T69" s="38"/>
      <c r="U69" s="38"/>
      <c r="V69" s="38"/>
      <c r="W69" s="38"/>
      <c r="X69" s="39"/>
      <c r="Y69" s="209"/>
      <c r="Z69" s="38"/>
      <c r="AA69" s="38"/>
      <c r="AB69" s="38"/>
      <c r="AC69" s="38"/>
      <c r="AD69" s="38">
        <f t="shared" ref="AD69:AD70" si="70">+AM69+BA69</f>
        <v>2</v>
      </c>
      <c r="AE69" s="226" t="s">
        <v>416</v>
      </c>
      <c r="AF69" s="38"/>
      <c r="AG69" s="38">
        <v>2</v>
      </c>
      <c r="AH69" s="38"/>
      <c r="AI69" s="38"/>
      <c r="AJ69" s="38"/>
      <c r="AK69" s="38"/>
      <c r="AL69" s="38"/>
      <c r="AM69" s="38">
        <f t="shared" ref="AM69:AM70" si="71">SUM(AF69:AL69)+AT69+AV69+AX69</f>
        <v>2</v>
      </c>
      <c r="AN69" s="83"/>
      <c r="AO69" s="38"/>
      <c r="AP69" s="38"/>
      <c r="AQ69" s="38"/>
      <c r="AR69" s="38">
        <f t="shared" ref="AR69:AR70" si="72">SUM(AN69:AQ69)</f>
        <v>0</v>
      </c>
      <c r="AS69" s="38"/>
      <c r="AT69" s="38"/>
      <c r="AU69" s="38"/>
      <c r="AV69" s="38"/>
      <c r="AW69" s="38"/>
      <c r="AX69" s="38"/>
      <c r="AY69" s="38"/>
      <c r="AZ69" s="38"/>
      <c r="BA69" s="38">
        <f t="shared" ref="BA69:BA70" si="73">+AR69+AS69+AU69+AW69+AY69+AZ69</f>
        <v>0</v>
      </c>
      <c r="BB69" s="50"/>
      <c r="BC69" s="51">
        <v>1</v>
      </c>
      <c r="BD69" s="51"/>
      <c r="BE69" s="50"/>
      <c r="BF69" s="51"/>
    </row>
    <row r="70" spans="1:58" ht="12.9" customHeight="1">
      <c r="A70" s="41"/>
      <c r="B70" s="42"/>
      <c r="C70" s="393"/>
      <c r="D70" s="42"/>
      <c r="E70" s="43"/>
      <c r="F70" s="43"/>
      <c r="G70" s="44"/>
      <c r="H70" s="533"/>
      <c r="I70" s="45"/>
      <c r="J70" s="82"/>
      <c r="K70" s="82"/>
      <c r="L70" s="36"/>
      <c r="M70" s="36"/>
      <c r="N70" s="46"/>
      <c r="O70" s="47"/>
      <c r="P70" s="48"/>
      <c r="Q70" s="47"/>
      <c r="R70" s="362"/>
      <c r="S70" s="362"/>
      <c r="T70" s="38"/>
      <c r="U70" s="38"/>
      <c r="V70" s="38"/>
      <c r="W70" s="38"/>
      <c r="X70" s="39"/>
      <c r="Y70" s="209"/>
      <c r="Z70" s="38"/>
      <c r="AA70" s="38"/>
      <c r="AB70" s="38"/>
      <c r="AC70" s="38"/>
      <c r="AD70" s="38">
        <f t="shared" si="70"/>
        <v>22</v>
      </c>
      <c r="AE70" s="226" t="s">
        <v>457</v>
      </c>
      <c r="AF70" s="34"/>
      <c r="AG70" s="34"/>
      <c r="AH70" s="34">
        <v>22</v>
      </c>
      <c r="AI70" s="34"/>
      <c r="AJ70" s="38"/>
      <c r="AK70" s="38"/>
      <c r="AL70" s="38"/>
      <c r="AM70" s="38">
        <f t="shared" si="71"/>
        <v>22</v>
      </c>
      <c r="AN70" s="38"/>
      <c r="AO70" s="38"/>
      <c r="AP70" s="38"/>
      <c r="AQ70" s="38"/>
      <c r="AR70" s="38">
        <f t="shared" si="72"/>
        <v>0</v>
      </c>
      <c r="AS70" s="38"/>
      <c r="AT70" s="38"/>
      <c r="AU70" s="38"/>
      <c r="AV70" s="38"/>
      <c r="AW70" s="38"/>
      <c r="AX70" s="38"/>
      <c r="AY70" s="38"/>
      <c r="AZ70" s="38"/>
      <c r="BA70" s="38">
        <f t="shared" si="73"/>
        <v>0</v>
      </c>
      <c r="BB70" s="34"/>
      <c r="BC70" s="477"/>
      <c r="BD70" s="477"/>
      <c r="BE70" s="34"/>
      <c r="BF70" s="477"/>
    </row>
    <row r="71" spans="1:58" ht="12.9" customHeight="1">
      <c r="A71" s="41"/>
      <c r="B71" s="42"/>
      <c r="C71" s="393"/>
      <c r="D71" s="42"/>
      <c r="E71" s="43"/>
      <c r="F71" s="43"/>
      <c r="G71" s="44"/>
      <c r="H71" s="533"/>
      <c r="I71" s="45"/>
      <c r="J71" s="82"/>
      <c r="K71" s="82"/>
      <c r="L71" s="36"/>
      <c r="M71" s="36"/>
      <c r="N71" s="46"/>
      <c r="O71" s="47"/>
      <c r="P71" s="48"/>
      <c r="Q71" s="47"/>
      <c r="R71" s="362"/>
      <c r="S71" s="362"/>
      <c r="T71" s="38"/>
      <c r="U71" s="38"/>
      <c r="V71" s="38"/>
      <c r="W71" s="38"/>
      <c r="X71" s="361"/>
      <c r="Y71" s="209"/>
      <c r="Z71" s="38"/>
      <c r="AA71" s="49"/>
      <c r="AB71" s="49"/>
      <c r="AC71" s="38"/>
      <c r="AD71" s="38"/>
      <c r="AE71" s="226"/>
      <c r="AF71" s="38"/>
      <c r="AG71" s="38"/>
      <c r="AH71" s="38"/>
      <c r="AI71" s="38"/>
      <c r="AJ71" s="38"/>
      <c r="AK71" s="38"/>
      <c r="AL71" s="38"/>
      <c r="AM71" s="38"/>
      <c r="AN71" s="38"/>
      <c r="AO71" s="38"/>
      <c r="AP71" s="38"/>
      <c r="AQ71" s="38"/>
      <c r="AR71" s="38"/>
      <c r="AS71" s="38"/>
      <c r="AT71" s="38"/>
      <c r="AU71" s="38"/>
      <c r="AV71" s="38"/>
      <c r="AW71" s="38"/>
      <c r="AX71" s="38"/>
      <c r="AY71" s="38"/>
      <c r="AZ71" s="38"/>
      <c r="BA71" s="38"/>
      <c r="BB71" s="34"/>
      <c r="BC71" s="51"/>
      <c r="BD71" s="477"/>
      <c r="BE71" s="34"/>
      <c r="BF71" s="477"/>
    </row>
    <row r="72" spans="1:58" ht="12.9" customHeight="1">
      <c r="A72" s="41">
        <v>46097</v>
      </c>
      <c r="B72" s="42" t="s">
        <v>422</v>
      </c>
      <c r="C72" s="393">
        <f>(M72*E72*O72*Q72)/100000000</f>
        <v>52.473758606557382</v>
      </c>
      <c r="D72" s="42" t="s">
        <v>423</v>
      </c>
      <c r="E72" s="43">
        <v>13.5</v>
      </c>
      <c r="F72" s="43">
        <v>1</v>
      </c>
      <c r="G72" s="406">
        <v>1260</v>
      </c>
      <c r="H72" s="533">
        <f>+N72</f>
        <v>0.16666666666666663</v>
      </c>
      <c r="I72" s="45">
        <v>0.88</v>
      </c>
      <c r="J72" s="82">
        <f>E72*G72*(1-H72)*1440/1000000*2.7</f>
        <v>55.112400000000001</v>
      </c>
      <c r="K72" s="82">
        <f>(IF(G72&lt;L72,L72,G72)*(1-IF(H72&lt;N72,H72,N72))*E72*O72*Q72)/100000000</f>
        <v>53.973008852459017</v>
      </c>
      <c r="L72" s="36">
        <v>1225</v>
      </c>
      <c r="M72" s="36">
        <v>1020.8333333333334</v>
      </c>
      <c r="N72" s="46">
        <f>1-(M72/L72)</f>
        <v>0.16666666666666663</v>
      </c>
      <c r="O72" s="47">
        <f>+'Trim Rwd'!H42</f>
        <v>264.41803278688525</v>
      </c>
      <c r="P72" s="48">
        <f>O72*(Q72-R72-S72)</f>
        <v>374151.51639344264</v>
      </c>
      <c r="Q72" s="47">
        <v>1440</v>
      </c>
      <c r="R72" s="362">
        <v>0</v>
      </c>
      <c r="S72" s="362">
        <v>25</v>
      </c>
      <c r="T72" s="38">
        <f>E72*M72*O72*Q72/100000000</f>
        <v>52.473758606557382</v>
      </c>
      <c r="U72" s="38">
        <f>E72*M72*O72*(Q72-R72-S72)/100000000</f>
        <v>51.562755852971314</v>
      </c>
      <c r="V72" s="38">
        <f>E72*G72*(1-N72)*O72/100*(R72+S72)/1000000</f>
        <v>0.93703140368852456</v>
      </c>
      <c r="W72" s="38">
        <f>+'16'!K10/1000</f>
        <v>50.436</v>
      </c>
      <c r="X72" s="361">
        <f>SUM(W72:W75)/SUM(K72:K75)</f>
        <v>0.93446708034884973</v>
      </c>
      <c r="Y72" s="38">
        <v>0</v>
      </c>
      <c r="Z72" s="38">
        <v>0</v>
      </c>
      <c r="AA72" s="49">
        <f>SUM(U72:U75)-SUM(W72:W75)-SUM(Z72:Z75)-SUM(Y72:Y75)</f>
        <v>1.1267558529713142</v>
      </c>
      <c r="AB72" s="49">
        <f>(SUM(K72:K75)-SUM(W72:W75)-SUM(Y72:Y75)-SUM(Z72:Z75)-SUM(AC72:AC75)-SUM(V72:V75))-AA72</f>
        <v>-2.6028650102456474E-2</v>
      </c>
      <c r="AC72" s="38">
        <f>K72-T72</f>
        <v>1.499250245901635</v>
      </c>
      <c r="AD72" s="38">
        <f>+AM72+BA72</f>
        <v>0</v>
      </c>
      <c r="AE72" s="226" t="s">
        <v>417</v>
      </c>
      <c r="AF72" s="38">
        <v>0</v>
      </c>
      <c r="AG72" s="38"/>
      <c r="AH72" s="38"/>
      <c r="AI72" s="38"/>
      <c r="AJ72" s="38"/>
      <c r="AK72" s="38"/>
      <c r="AL72" s="38"/>
      <c r="AM72" s="38">
        <f>SUM(AF72:AL72)+AT72+AV72+AX72</f>
        <v>0</v>
      </c>
      <c r="AN72" s="38"/>
      <c r="AO72" s="38"/>
      <c r="AP72" s="38"/>
      <c r="AQ72" s="38"/>
      <c r="AR72" s="38">
        <f>SUM(AN72:AQ72)</f>
        <v>0</v>
      </c>
      <c r="AS72" s="38"/>
      <c r="AT72" s="38"/>
      <c r="AU72" s="38"/>
      <c r="AV72" s="38"/>
      <c r="AW72" s="38"/>
      <c r="AX72" s="38"/>
      <c r="AY72" s="38"/>
      <c r="AZ72" s="38"/>
      <c r="BA72" s="38">
        <f>+AR72+AS72+AU72+AW72+AY72+AZ72</f>
        <v>0</v>
      </c>
      <c r="BB72" s="34">
        <v>0</v>
      </c>
      <c r="BC72" s="51"/>
      <c r="BD72" s="51"/>
      <c r="BE72" s="34"/>
      <c r="BF72" s="51"/>
    </row>
    <row r="73" spans="1:58" ht="12.9" customHeight="1">
      <c r="A73" s="41"/>
      <c r="B73" s="42"/>
      <c r="C73" s="393"/>
      <c r="D73" s="42"/>
      <c r="E73" s="43"/>
      <c r="F73" s="43"/>
      <c r="G73" s="406"/>
      <c r="H73" s="533"/>
      <c r="I73" s="45"/>
      <c r="J73" s="82"/>
      <c r="K73" s="82"/>
      <c r="L73" s="36"/>
      <c r="M73" s="36"/>
      <c r="N73" s="46"/>
      <c r="O73" s="47"/>
      <c r="P73" s="48"/>
      <c r="Q73" s="47"/>
      <c r="R73" s="362"/>
      <c r="S73" s="362"/>
      <c r="T73" s="38"/>
      <c r="U73" s="38"/>
      <c r="V73" s="38"/>
      <c r="W73" s="38"/>
      <c r="X73" s="39"/>
      <c r="Y73" s="209"/>
      <c r="Z73" s="38"/>
      <c r="AA73" s="38"/>
      <c r="AB73" s="38"/>
      <c r="AC73" s="38"/>
      <c r="AD73" s="38">
        <f t="shared" ref="AD73:AD74" si="74">+AM73+BA73</f>
        <v>0</v>
      </c>
      <c r="AE73" s="226" t="s">
        <v>419</v>
      </c>
      <c r="AF73" s="38"/>
      <c r="AG73" s="38">
        <v>0</v>
      </c>
      <c r="AH73" s="38"/>
      <c r="AI73" s="38"/>
      <c r="AJ73" s="38"/>
      <c r="AK73" s="38"/>
      <c r="AL73" s="38"/>
      <c r="AM73" s="38">
        <f t="shared" ref="AM73:AM74" si="75">SUM(AF73:AL73)+AT73+AV73+AX73</f>
        <v>0</v>
      </c>
      <c r="AN73" s="83"/>
      <c r="AO73" s="38"/>
      <c r="AP73" s="38"/>
      <c r="AQ73" s="38"/>
      <c r="AR73" s="38">
        <f t="shared" ref="AR73:AR74" si="76">SUM(AN73:AQ73)</f>
        <v>0</v>
      </c>
      <c r="AS73" s="38"/>
      <c r="AT73" s="38"/>
      <c r="AU73" s="38"/>
      <c r="AV73" s="38"/>
      <c r="AW73" s="38"/>
      <c r="AX73" s="38"/>
      <c r="AY73" s="38"/>
      <c r="AZ73" s="38"/>
      <c r="BA73" s="38">
        <f t="shared" ref="BA73:BA74" si="77">+AR73+AS73+AU73+AW73+AY73+AZ73</f>
        <v>0</v>
      </c>
      <c r="BB73" s="50"/>
      <c r="BC73" s="51">
        <v>0</v>
      </c>
      <c r="BD73" s="51"/>
      <c r="BE73" s="50"/>
      <c r="BF73" s="51"/>
    </row>
    <row r="74" spans="1:58" ht="12.9" customHeight="1">
      <c r="A74" s="41"/>
      <c r="B74" s="42"/>
      <c r="C74" s="393"/>
      <c r="D74" s="42"/>
      <c r="E74" s="43"/>
      <c r="F74" s="43"/>
      <c r="G74" s="44"/>
      <c r="H74" s="533"/>
      <c r="I74" s="45"/>
      <c r="J74" s="82"/>
      <c r="K74" s="82"/>
      <c r="L74" s="36"/>
      <c r="M74" s="36"/>
      <c r="N74" s="46"/>
      <c r="O74" s="47"/>
      <c r="P74" s="48"/>
      <c r="Q74" s="47"/>
      <c r="R74" s="362"/>
      <c r="S74" s="362"/>
      <c r="T74" s="38"/>
      <c r="U74" s="38"/>
      <c r="V74" s="38"/>
      <c r="W74" s="38"/>
      <c r="X74" s="39"/>
      <c r="Y74" s="209"/>
      <c r="Z74" s="38"/>
      <c r="AA74" s="38"/>
      <c r="AB74" s="38"/>
      <c r="AC74" s="38"/>
      <c r="AD74" s="38">
        <f t="shared" si="74"/>
        <v>25</v>
      </c>
      <c r="AE74" s="226" t="s">
        <v>457</v>
      </c>
      <c r="AF74" s="34"/>
      <c r="AG74" s="34"/>
      <c r="AH74" s="34">
        <v>25</v>
      </c>
      <c r="AI74" s="34"/>
      <c r="AJ74" s="38"/>
      <c r="AK74" s="38"/>
      <c r="AL74" s="38"/>
      <c r="AM74" s="38">
        <f t="shared" si="75"/>
        <v>25</v>
      </c>
      <c r="AN74" s="38"/>
      <c r="AO74" s="38"/>
      <c r="AP74" s="38"/>
      <c r="AQ74" s="38"/>
      <c r="AR74" s="38">
        <f t="shared" si="76"/>
        <v>0</v>
      </c>
      <c r="AS74" s="38"/>
      <c r="AT74" s="38"/>
      <c r="AU74" s="38"/>
      <c r="AV74" s="38"/>
      <c r="AW74" s="38"/>
      <c r="AX74" s="38"/>
      <c r="AY74" s="38"/>
      <c r="AZ74" s="38"/>
      <c r="BA74" s="38">
        <f t="shared" si="77"/>
        <v>0</v>
      </c>
      <c r="BB74" s="34"/>
      <c r="BC74" s="477"/>
      <c r="BD74" s="477"/>
      <c r="BE74" s="34"/>
      <c r="BF74" s="477"/>
    </row>
    <row r="75" spans="1:58" ht="12.9" customHeight="1">
      <c r="A75" s="41"/>
      <c r="B75" s="42"/>
      <c r="C75" s="393"/>
      <c r="D75" s="42"/>
      <c r="E75" s="43"/>
      <c r="F75" s="43"/>
      <c r="G75" s="406"/>
      <c r="H75" s="533"/>
      <c r="I75" s="45"/>
      <c r="J75" s="82"/>
      <c r="K75" s="82"/>
      <c r="L75" s="36"/>
      <c r="M75" s="36"/>
      <c r="N75" s="46"/>
      <c r="O75" s="47"/>
      <c r="P75" s="48"/>
      <c r="Q75" s="47"/>
      <c r="R75" s="362"/>
      <c r="S75" s="362"/>
      <c r="T75" s="38"/>
      <c r="U75" s="38"/>
      <c r="V75" s="38"/>
      <c r="W75" s="38"/>
      <c r="X75" s="361"/>
      <c r="Y75" s="209"/>
      <c r="Z75" s="38"/>
      <c r="AA75" s="38"/>
      <c r="AB75" s="38"/>
      <c r="AC75" s="38"/>
      <c r="AD75" s="38"/>
      <c r="AE75" s="226"/>
      <c r="AF75" s="38"/>
      <c r="AG75" s="38"/>
      <c r="AH75" s="38"/>
      <c r="AI75" s="476"/>
      <c r="AJ75" s="38"/>
      <c r="AK75" s="38"/>
      <c r="AL75" s="38"/>
      <c r="AM75" s="38"/>
      <c r="AN75" s="83"/>
      <c r="AO75" s="38"/>
      <c r="AP75" s="38"/>
      <c r="AQ75" s="38"/>
      <c r="AR75" s="38"/>
      <c r="AS75" s="38"/>
      <c r="AT75" s="38"/>
      <c r="AU75" s="38"/>
      <c r="AV75" s="38"/>
      <c r="AW75" s="38"/>
      <c r="AX75" s="38"/>
      <c r="AY75" s="38"/>
      <c r="AZ75" s="38"/>
      <c r="BA75" s="38"/>
      <c r="BB75" s="50"/>
      <c r="BC75" s="51"/>
      <c r="BD75" s="51"/>
      <c r="BE75" s="51"/>
      <c r="BF75" s="51"/>
    </row>
    <row r="76" spans="1:58" ht="12.9" customHeight="1">
      <c r="A76" s="41">
        <v>46098</v>
      </c>
      <c r="B76" s="42" t="s">
        <v>422</v>
      </c>
      <c r="C76" s="393">
        <f>(M76*E76*O76*Q76)/100000000</f>
        <v>16.830920971323529</v>
      </c>
      <c r="D76" s="42" t="s">
        <v>423</v>
      </c>
      <c r="E76" s="43">
        <v>13.5</v>
      </c>
      <c r="F76" s="43">
        <v>1</v>
      </c>
      <c r="G76" s="406">
        <v>1250</v>
      </c>
      <c r="H76" s="533">
        <f>+N76</f>
        <v>0.16000000000000003</v>
      </c>
      <c r="I76" s="45">
        <v>0.88</v>
      </c>
      <c r="J76" s="82">
        <f>E76*G76*(1-H76)*1440/1000000*2.7</f>
        <v>55.112400000000001</v>
      </c>
      <c r="K76" s="82">
        <f>(IF(G76&lt;L76,L76,G76)*(1-IF(H76&lt;N76,H76,N76))*E76*O76*Q76)/100000000</f>
        <v>17.174409154411766</v>
      </c>
      <c r="L76" s="36">
        <v>1225</v>
      </c>
      <c r="M76" s="36">
        <v>1029</v>
      </c>
      <c r="N76" s="46">
        <f>1-(M76/L76)</f>
        <v>0.16000000000000003</v>
      </c>
      <c r="O76" s="47">
        <f>+'Trim Rwd'!H45</f>
        <v>260.55882352941177</v>
      </c>
      <c r="P76" s="48">
        <f>O76*(Q76-R76-S76)</f>
        <v>117772.58823529413</v>
      </c>
      <c r="Q76" s="47">
        <v>465</v>
      </c>
      <c r="R76" s="362">
        <v>0</v>
      </c>
      <c r="S76" s="362">
        <v>13</v>
      </c>
      <c r="T76" s="38">
        <f>E76*M76*O76*Q76/100000000</f>
        <v>16.830920971323529</v>
      </c>
      <c r="U76" s="38">
        <f>E76*M76*O76*(Q76-R76-S76)/100000000</f>
        <v>16.36037909470588</v>
      </c>
      <c r="V76" s="38">
        <f>E76*G76*(1-N76)*O76/100*(R76+S76)/1000000</f>
        <v>0.48014477205882355</v>
      </c>
      <c r="W76" s="38">
        <f>+'17'!K10/1000</f>
        <v>26.974</v>
      </c>
      <c r="X76" s="361">
        <f>SUM(W76:W79)/SUM(K76:K79)</f>
        <v>0.98181630272720355</v>
      </c>
      <c r="Y76" s="38">
        <v>0</v>
      </c>
      <c r="Z76" s="38">
        <f>+'17'!D25/1000</f>
        <v>0.71</v>
      </c>
      <c r="AA76" s="49">
        <f>SUM(U76:U79)-SUM(W76:W79)-SUM(Z76:Z79)-SUM(Y76:Y79)</f>
        <v>-2.6542014552941202</v>
      </c>
      <c r="AB76" s="49">
        <f>(SUM(K76:K79)-SUM(W76:W79)-SUM(Y76:Y79)-SUM(Z76:Z79)-SUM(AC76:AC79)-SUM(V76:V79))-AA76</f>
        <v>1.3493239045588221</v>
      </c>
      <c r="AC76" s="38">
        <f>K76-T76</f>
        <v>0.34348818308823681</v>
      </c>
      <c r="AD76" s="38">
        <f>+AM76+BA76</f>
        <v>0</v>
      </c>
      <c r="AE76" s="226" t="s">
        <v>417</v>
      </c>
      <c r="AF76" s="38">
        <v>0</v>
      </c>
      <c r="AG76" s="38"/>
      <c r="AH76" s="38"/>
      <c r="AI76" s="38"/>
      <c r="AJ76" s="38"/>
      <c r="AK76" s="38"/>
      <c r="AL76" s="38"/>
      <c r="AM76" s="38">
        <f>SUM(AF76:AL76)+AT76+AV76+AX76</f>
        <v>0</v>
      </c>
      <c r="AN76" s="38"/>
      <c r="AO76" s="38"/>
      <c r="AP76" s="38"/>
      <c r="AQ76" s="38"/>
      <c r="AR76" s="38">
        <f>SUM(AN76:AQ76)</f>
        <v>0</v>
      </c>
      <c r="AS76" s="38"/>
      <c r="AT76" s="38"/>
      <c r="AU76" s="38"/>
      <c r="AV76" s="38"/>
      <c r="AW76" s="38"/>
      <c r="AX76" s="38"/>
      <c r="AY76" s="38"/>
      <c r="AZ76" s="38"/>
      <c r="BA76" s="38">
        <f>+AR76+AS76+AU76+AW76+AY76+AZ76</f>
        <v>0</v>
      </c>
      <c r="BB76" s="34">
        <v>0</v>
      </c>
      <c r="BC76" s="51"/>
      <c r="BD76" s="51"/>
      <c r="BE76" s="34"/>
      <c r="BF76" s="51"/>
    </row>
    <row r="77" spans="1:58" ht="12.9" customHeight="1">
      <c r="A77" s="41"/>
      <c r="B77" s="42" t="s">
        <v>422</v>
      </c>
      <c r="C77" s="393">
        <f>(M77*E77*O77*Q77)/100000000</f>
        <v>34.479695249999992</v>
      </c>
      <c r="D77" s="42" t="s">
        <v>423</v>
      </c>
      <c r="E77" s="43">
        <v>15</v>
      </c>
      <c r="F77" s="43">
        <v>1</v>
      </c>
      <c r="G77" s="406">
        <v>1225</v>
      </c>
      <c r="H77" s="533">
        <f>+N77</f>
        <v>0.22999999999999998</v>
      </c>
      <c r="I77" s="45">
        <v>0.88</v>
      </c>
      <c r="J77" s="82">
        <f>E77*G77*(1-H77)*1440/1000000*2.7</f>
        <v>55.010339999999999</v>
      </c>
      <c r="K77" s="82">
        <f>(IF(G77&lt;L77,L77,G77)*(1-IF(H77&lt;N77,H77,N77))*E77*O77*Q77)/100000000</f>
        <v>35.867081249999998</v>
      </c>
      <c r="L77" s="36">
        <v>1177.6153846153845</v>
      </c>
      <c r="M77" s="36">
        <v>906.76384615384609</v>
      </c>
      <c r="N77" s="46">
        <f>1-(M77/L77)</f>
        <v>0.22999999999999998</v>
      </c>
      <c r="O77" s="47">
        <f>+'Trim Rwd'!H47</f>
        <v>260</v>
      </c>
      <c r="P77" s="48">
        <f>O77*(Q77-R77-S77)</f>
        <v>248300</v>
      </c>
      <c r="Q77" s="47">
        <v>975</v>
      </c>
      <c r="R77" s="362">
        <v>0</v>
      </c>
      <c r="S77" s="362">
        <v>20</v>
      </c>
      <c r="T77" s="38">
        <f>E77*M77*O77*Q77/100000000</f>
        <v>34.479695249999992</v>
      </c>
      <c r="U77" s="38">
        <f>E77*M77*O77*(Q77-R77-S77)/100000000</f>
        <v>33.772419449999994</v>
      </c>
      <c r="V77" s="38">
        <f>E77*G77*(1-N77)*O77/100*(R77+S77)/1000000</f>
        <v>0.73573500000000003</v>
      </c>
      <c r="W77" s="38">
        <f>+'17'!K7/1000</f>
        <v>25.103000000000002</v>
      </c>
      <c r="X77" s="39"/>
      <c r="Y77" s="209"/>
      <c r="Z77" s="38"/>
      <c r="AA77" s="38"/>
      <c r="AB77" s="38"/>
      <c r="AC77" s="38"/>
      <c r="AD77" s="38">
        <f t="shared" ref="AD77:AD78" si="78">+AM77+BA77</f>
        <v>4</v>
      </c>
      <c r="AE77" s="226" t="s">
        <v>630</v>
      </c>
      <c r="AF77" s="38"/>
      <c r="AG77" s="38">
        <v>4</v>
      </c>
      <c r="AH77" s="38"/>
      <c r="AI77" s="38"/>
      <c r="AJ77" s="38"/>
      <c r="AK77" s="38"/>
      <c r="AL77" s="38"/>
      <c r="AM77" s="38">
        <f t="shared" ref="AM77:AM78" si="79">SUM(AF77:AL77)+AT77+AV77+AX77</f>
        <v>4</v>
      </c>
      <c r="AN77" s="83"/>
      <c r="AO77" s="38"/>
      <c r="AP77" s="38"/>
      <c r="AQ77" s="38"/>
      <c r="AR77" s="38">
        <f t="shared" ref="AR77:AR78" si="80">SUM(AN77:AQ77)</f>
        <v>0</v>
      </c>
      <c r="AS77" s="38"/>
      <c r="AT77" s="38"/>
      <c r="AU77" s="38"/>
      <c r="AV77" s="38"/>
      <c r="AW77" s="38"/>
      <c r="AX77" s="38"/>
      <c r="AY77" s="38"/>
      <c r="AZ77" s="38"/>
      <c r="BA77" s="38">
        <f t="shared" ref="BA77:BA78" si="81">+AR77+AS77+AU77+AW77+AY77+AZ77</f>
        <v>0</v>
      </c>
      <c r="BB77" s="50"/>
      <c r="BC77" s="51">
        <v>2</v>
      </c>
      <c r="BD77" s="51"/>
      <c r="BE77" s="50"/>
      <c r="BF77" s="51"/>
    </row>
    <row r="78" spans="1:58" ht="12.9" customHeight="1">
      <c r="A78" s="41"/>
      <c r="B78" s="42"/>
      <c r="C78" s="393"/>
      <c r="D78" s="42"/>
      <c r="E78" s="43"/>
      <c r="F78" s="43"/>
      <c r="G78" s="44"/>
      <c r="H78" s="533"/>
      <c r="I78" s="45"/>
      <c r="J78" s="82"/>
      <c r="K78" s="82"/>
      <c r="L78" s="36"/>
      <c r="M78" s="36"/>
      <c r="N78" s="46"/>
      <c r="O78" s="47"/>
      <c r="P78" s="48"/>
      <c r="Q78" s="47"/>
      <c r="R78" s="362"/>
      <c r="S78" s="362"/>
      <c r="T78" s="38"/>
      <c r="U78" s="38"/>
      <c r="V78" s="38"/>
      <c r="W78" s="38"/>
      <c r="X78" s="39"/>
      <c r="Y78" s="209"/>
      <c r="Z78" s="38"/>
      <c r="AA78" s="38"/>
      <c r="AB78" s="38"/>
      <c r="AC78" s="38"/>
      <c r="AD78" s="38">
        <f t="shared" si="78"/>
        <v>29</v>
      </c>
      <c r="AE78" s="226" t="s">
        <v>457</v>
      </c>
      <c r="AF78" s="34"/>
      <c r="AG78" s="34"/>
      <c r="AH78" s="34">
        <v>29</v>
      </c>
      <c r="AI78" s="34"/>
      <c r="AJ78" s="38"/>
      <c r="AK78" s="38"/>
      <c r="AL78" s="38"/>
      <c r="AM78" s="38">
        <f t="shared" si="79"/>
        <v>29</v>
      </c>
      <c r="AN78" s="38"/>
      <c r="AO78" s="38"/>
      <c r="AP78" s="38"/>
      <c r="AQ78" s="38"/>
      <c r="AR78" s="38">
        <f t="shared" si="80"/>
        <v>0</v>
      </c>
      <c r="AS78" s="38"/>
      <c r="AT78" s="38"/>
      <c r="AU78" s="38"/>
      <c r="AV78" s="38"/>
      <c r="AW78" s="38"/>
      <c r="AX78" s="38"/>
      <c r="AY78" s="38"/>
      <c r="AZ78" s="38"/>
      <c r="BA78" s="38">
        <f t="shared" si="81"/>
        <v>0</v>
      </c>
      <c r="BB78" s="34"/>
      <c r="BC78" s="477"/>
      <c r="BD78" s="477"/>
      <c r="BE78" s="34"/>
      <c r="BF78" s="477"/>
    </row>
    <row r="79" spans="1:58" ht="12.9" customHeight="1">
      <c r="A79" s="41"/>
      <c r="B79" s="42"/>
      <c r="C79" s="393"/>
      <c r="D79" s="42"/>
      <c r="E79" s="43"/>
      <c r="F79" s="43"/>
      <c r="G79" s="406"/>
      <c r="H79" s="533"/>
      <c r="I79" s="45"/>
      <c r="J79" s="82"/>
      <c r="K79" s="82"/>
      <c r="L79" s="36"/>
      <c r="M79" s="36"/>
      <c r="N79" s="46"/>
      <c r="O79" s="47"/>
      <c r="P79" s="48"/>
      <c r="Q79" s="47"/>
      <c r="R79" s="362"/>
      <c r="S79" s="362"/>
      <c r="T79" s="38"/>
      <c r="U79" s="38"/>
      <c r="V79" s="38"/>
      <c r="W79" s="38"/>
      <c r="X79" s="361"/>
      <c r="Y79" s="209"/>
      <c r="Z79" s="38"/>
      <c r="AA79" s="49"/>
      <c r="AB79" s="49"/>
      <c r="AC79" s="38"/>
      <c r="AD79" s="38"/>
      <c r="AE79" s="226"/>
      <c r="AF79" s="38"/>
      <c r="AG79" s="38"/>
      <c r="AH79" s="38"/>
      <c r="AI79" s="38"/>
      <c r="AJ79" s="38"/>
      <c r="AK79" s="38"/>
      <c r="AL79" s="38"/>
      <c r="AM79" s="38"/>
      <c r="AN79" s="38"/>
      <c r="AO79" s="38"/>
      <c r="AP79" s="38"/>
      <c r="AQ79" s="38"/>
      <c r="AR79" s="38"/>
      <c r="AS79" s="38"/>
      <c r="AT79" s="38"/>
      <c r="AU79" s="38"/>
      <c r="AV79" s="38"/>
      <c r="AW79" s="38"/>
      <c r="AX79" s="38"/>
      <c r="AY79" s="38"/>
      <c r="AZ79" s="38"/>
      <c r="BA79" s="38"/>
      <c r="BB79" s="34"/>
      <c r="BC79" s="51"/>
      <c r="BD79" s="51"/>
      <c r="BE79" s="51"/>
      <c r="BF79" s="51"/>
    </row>
    <row r="80" spans="1:58" ht="12.9" customHeight="1">
      <c r="A80" s="41">
        <v>46099</v>
      </c>
      <c r="B80" s="42" t="s">
        <v>422</v>
      </c>
      <c r="C80" s="393">
        <f>(M80*E80*O80*Q80)/100000000</f>
        <v>6.3783719999999988</v>
      </c>
      <c r="D80" s="42" t="s">
        <v>423</v>
      </c>
      <c r="E80" s="43">
        <v>15</v>
      </c>
      <c r="F80" s="43">
        <v>1</v>
      </c>
      <c r="G80" s="406">
        <v>1225</v>
      </c>
      <c r="H80" s="533">
        <f>+N80</f>
        <v>0.23000000000000009</v>
      </c>
      <c r="I80" s="45">
        <v>0.88</v>
      </c>
      <c r="J80" s="82">
        <f>E80*G80*(1-H80)*1440/1000000*2.7</f>
        <v>55.010339999999992</v>
      </c>
      <c r="K80" s="82">
        <f>(IF(G80&lt;L80,L80,G80)*(1-IF(H80&lt;N80,H80,N80))*E80*O80*Q80)/100000000</f>
        <v>6.6216149999999985</v>
      </c>
      <c r="L80" s="36">
        <v>1180</v>
      </c>
      <c r="M80" s="36">
        <f>+L80-L80*0.23</f>
        <v>908.59999999999991</v>
      </c>
      <c r="N80" s="46">
        <f>1-(M80/L80)</f>
        <v>0.23000000000000009</v>
      </c>
      <c r="O80" s="47">
        <f>+'Trim Rwd'!H49</f>
        <v>260</v>
      </c>
      <c r="P80" s="48">
        <f>O80*(Q80-R80-S80)</f>
        <v>46280</v>
      </c>
      <c r="Q80" s="47">
        <v>180</v>
      </c>
      <c r="R80" s="362">
        <v>0</v>
      </c>
      <c r="S80" s="362">
        <v>2</v>
      </c>
      <c r="T80" s="38">
        <f>E80*M80*O80*Q80/100000000</f>
        <v>6.3783719999999988</v>
      </c>
      <c r="U80" s="38">
        <f>E80*M80*O80*(Q80-R80-S80)/100000000</f>
        <v>6.307501199999999</v>
      </c>
      <c r="V80" s="38">
        <f>E80*G80*(1-N80)*O80/100*(R80+S80)/1000000</f>
        <v>7.3573499999999986E-2</v>
      </c>
      <c r="W80" s="38">
        <f>+'18'!K7/1000</f>
        <v>12.499000000000001</v>
      </c>
      <c r="X80" s="361">
        <f>SUM(W80:W83)/SUM(K80:K83)</f>
        <v>1.0212327727048958</v>
      </c>
      <c r="Y80" s="38">
        <v>0</v>
      </c>
      <c r="Z80" s="38">
        <v>0</v>
      </c>
      <c r="AA80" s="49">
        <f>SUM(U80:U83)-SUM(W80:W83)-SUM(Z80:Z83)-SUM(Y80:Y83)</f>
        <v>-2.6502352320000142</v>
      </c>
      <c r="AB80" s="49">
        <f>(SUM(K80:K83)-SUM(W80:W83)-SUM(Y80:Y83)-SUM(Z80:Z83)-SUM(AC80:AC83)-SUM(V80:V83))-AA80</f>
        <v>0.11270674800001235</v>
      </c>
      <c r="AC80" s="38">
        <f>K80-T80</f>
        <v>0.24324299999999965</v>
      </c>
      <c r="AD80" s="38">
        <f>+AM80+BA80</f>
        <v>0</v>
      </c>
      <c r="AE80" s="226" t="s">
        <v>417</v>
      </c>
      <c r="AF80" s="38">
        <v>0</v>
      </c>
      <c r="AG80" s="38"/>
      <c r="AH80" s="38"/>
      <c r="AI80" s="476"/>
      <c r="AJ80" s="38"/>
      <c r="AK80" s="38"/>
      <c r="AL80" s="38"/>
      <c r="AM80" s="38">
        <f>SUM(AF80:AL80)+AT80+AV80+AX80</f>
        <v>0</v>
      </c>
      <c r="AN80" s="38"/>
      <c r="AO80" s="38"/>
      <c r="AP80" s="38"/>
      <c r="AQ80" s="38"/>
      <c r="AR80" s="38">
        <f>SUM(AN80:AQ80)</f>
        <v>0</v>
      </c>
      <c r="AS80" s="38"/>
      <c r="AT80" s="38"/>
      <c r="AU80" s="38"/>
      <c r="AV80" s="38"/>
      <c r="AW80" s="38"/>
      <c r="AX80" s="38"/>
      <c r="AY80" s="38"/>
      <c r="AZ80" s="38"/>
      <c r="BA80" s="38">
        <f>+AR80+AS80+AU80+AW80+AY80+AZ80</f>
        <v>0</v>
      </c>
      <c r="BB80" s="34">
        <v>0</v>
      </c>
      <c r="BC80" s="51"/>
      <c r="BD80" s="51"/>
      <c r="BE80" s="51"/>
      <c r="BF80" s="51"/>
    </row>
    <row r="81" spans="1:58" ht="12.9" customHeight="1">
      <c r="A81" s="41"/>
      <c r="B81" s="42" t="s">
        <v>655</v>
      </c>
      <c r="C81" s="393">
        <f>(M81*E81*O81*Q81)/100000000</f>
        <v>51.464064960000002</v>
      </c>
      <c r="D81" s="42" t="s">
        <v>423</v>
      </c>
      <c r="E81" s="43">
        <v>22</v>
      </c>
      <c r="F81" s="43">
        <v>1</v>
      </c>
      <c r="G81" s="406">
        <v>770</v>
      </c>
      <c r="H81" s="533">
        <f>+N81</f>
        <v>0.16000000000000003</v>
      </c>
      <c r="I81" s="45">
        <v>0.88</v>
      </c>
      <c r="J81" s="82">
        <f>E81*G81*(1-H81)*1440/1000000*2.7</f>
        <v>55.324684800000007</v>
      </c>
      <c r="K81" s="82">
        <f>(IF(G81&lt;L81,L81,G81)*(1-IF(H81&lt;N81,H81,N81))*E81*O81*Q81)/100000000</f>
        <v>51.464064960000002</v>
      </c>
      <c r="L81" s="36">
        <v>860</v>
      </c>
      <c r="M81" s="36">
        <f>+L81-L81*0.16</f>
        <v>722.4</v>
      </c>
      <c r="N81" s="46">
        <f>1-(M81/L81)</f>
        <v>0.16000000000000003</v>
      </c>
      <c r="O81" s="47">
        <f>+'Trim Rwd'!H50</f>
        <v>257</v>
      </c>
      <c r="P81" s="48">
        <f>O81*(Q81-R81-S81)</f>
        <v>316881</v>
      </c>
      <c r="Q81" s="47">
        <f>1440-Q80</f>
        <v>1260</v>
      </c>
      <c r="R81" s="362">
        <v>0</v>
      </c>
      <c r="S81" s="362">
        <v>27</v>
      </c>
      <c r="T81" s="38">
        <f>E81*M81*O81*Q81/100000000</f>
        <v>51.464064960000002</v>
      </c>
      <c r="U81" s="38">
        <f>E81*M81*O81*(Q81-R81-S81)/100000000</f>
        <v>50.361263567999991</v>
      </c>
      <c r="V81" s="38">
        <f>E81*G81*(1-N81)*O81/100*(R81+S81)/1000000</f>
        <v>0.98739194399999997</v>
      </c>
      <c r="W81" s="38">
        <f>+'18'!K11/1000</f>
        <v>46.82</v>
      </c>
      <c r="X81" s="361"/>
      <c r="Y81" s="209"/>
      <c r="Z81" s="38"/>
      <c r="AA81" s="38"/>
      <c r="AB81" s="38"/>
      <c r="AC81" s="38">
        <f>K81-T81</f>
        <v>0</v>
      </c>
      <c r="AD81" s="38">
        <f t="shared" ref="AD81:AD82" si="82">+AM81+BA81</f>
        <v>2</v>
      </c>
      <c r="AE81" s="226" t="s">
        <v>630</v>
      </c>
      <c r="AF81" s="38"/>
      <c r="AG81" s="38">
        <v>2</v>
      </c>
      <c r="AH81" s="38"/>
      <c r="AI81" s="476"/>
      <c r="AJ81" s="38"/>
      <c r="AK81" s="38"/>
      <c r="AL81" s="38"/>
      <c r="AM81" s="38">
        <f t="shared" ref="AM81:AM82" si="83">SUM(AF81:AL81)+AT81+AV81+AX81</f>
        <v>2</v>
      </c>
      <c r="AN81" s="83"/>
      <c r="AO81" s="38"/>
      <c r="AP81" s="38"/>
      <c r="AQ81" s="38"/>
      <c r="AR81" s="38">
        <f t="shared" ref="AR81:AR82" si="84">SUM(AN81:AQ81)</f>
        <v>0</v>
      </c>
      <c r="AS81" s="38"/>
      <c r="AT81" s="38"/>
      <c r="AU81" s="38"/>
      <c r="AV81" s="38"/>
      <c r="AW81" s="38"/>
      <c r="AX81" s="38"/>
      <c r="AY81" s="38"/>
      <c r="AZ81" s="38"/>
      <c r="BA81" s="38">
        <f t="shared" ref="BA81:BA82" si="85">+AR81+AS81+AU81+AW81+AY81+AZ81</f>
        <v>0</v>
      </c>
      <c r="BB81" s="50"/>
      <c r="BC81" s="51">
        <v>2</v>
      </c>
      <c r="BD81" s="51"/>
      <c r="BE81" s="51"/>
      <c r="BF81" s="51"/>
    </row>
    <row r="82" spans="1:58" ht="12.9" customHeight="1">
      <c r="A82" s="41"/>
      <c r="B82" s="42"/>
      <c r="C82" s="393"/>
      <c r="D82" s="42"/>
      <c r="E82" s="43"/>
      <c r="F82" s="43"/>
      <c r="G82" s="406"/>
      <c r="H82" s="533"/>
      <c r="I82" s="45"/>
      <c r="J82" s="82"/>
      <c r="K82" s="82"/>
      <c r="L82" s="36"/>
      <c r="M82" s="36"/>
      <c r="N82" s="46"/>
      <c r="O82" s="47"/>
      <c r="P82" s="48"/>
      <c r="Q82" s="47"/>
      <c r="R82" s="362"/>
      <c r="S82" s="362"/>
      <c r="T82" s="38"/>
      <c r="U82" s="38"/>
      <c r="V82" s="38"/>
      <c r="W82" s="38"/>
      <c r="X82" s="361"/>
      <c r="Y82" s="209"/>
      <c r="Z82" s="38"/>
      <c r="AA82" s="38"/>
      <c r="AB82" s="38"/>
      <c r="AC82" s="38"/>
      <c r="AD82" s="38">
        <f t="shared" si="82"/>
        <v>27</v>
      </c>
      <c r="AE82" s="226" t="s">
        <v>651</v>
      </c>
      <c r="AF82" s="34"/>
      <c r="AG82" s="34"/>
      <c r="AH82" s="34">
        <v>27</v>
      </c>
      <c r="AJ82" s="38"/>
      <c r="AK82" s="38"/>
      <c r="AL82" s="38"/>
      <c r="AM82" s="38">
        <f t="shared" si="83"/>
        <v>27</v>
      </c>
      <c r="AN82" s="38"/>
      <c r="AO82" s="38"/>
      <c r="AP82" s="38"/>
      <c r="AQ82" s="38"/>
      <c r="AR82" s="38">
        <f t="shared" si="84"/>
        <v>0</v>
      </c>
      <c r="AS82" s="38"/>
      <c r="AT82" s="38"/>
      <c r="AU82" s="38"/>
      <c r="AV82" s="38"/>
      <c r="AW82" s="38"/>
      <c r="AX82" s="38"/>
      <c r="AY82" s="38"/>
      <c r="AZ82" s="38"/>
      <c r="BA82" s="38">
        <f t="shared" si="85"/>
        <v>0</v>
      </c>
      <c r="BB82" s="34"/>
      <c r="BC82" s="477"/>
      <c r="BD82" s="51"/>
      <c r="BE82" s="51"/>
      <c r="BF82" s="51"/>
    </row>
    <row r="83" spans="1:58" ht="12.9" customHeight="1">
      <c r="A83" s="41"/>
      <c r="B83" s="42"/>
      <c r="C83" s="393"/>
      <c r="D83" s="42"/>
      <c r="E83" s="43"/>
      <c r="F83" s="43"/>
      <c r="G83" s="406"/>
      <c r="H83" s="533"/>
      <c r="I83" s="45"/>
      <c r="J83" s="82"/>
      <c r="K83" s="82"/>
      <c r="L83" s="36"/>
      <c r="M83" s="36"/>
      <c r="N83" s="46"/>
      <c r="O83" s="47"/>
      <c r="P83" s="48"/>
      <c r="Q83" s="47"/>
      <c r="R83" s="362"/>
      <c r="S83" s="362"/>
      <c r="T83" s="38"/>
      <c r="U83" s="38"/>
      <c r="V83" s="38"/>
      <c r="W83" s="38"/>
      <c r="X83" s="361"/>
      <c r="Y83" s="209"/>
      <c r="Z83" s="38"/>
      <c r="AA83" s="49"/>
      <c r="AB83" s="49"/>
      <c r="AC83" s="38"/>
      <c r="AD83" s="38"/>
      <c r="AE83" s="226"/>
      <c r="AF83" s="38"/>
      <c r="AG83" s="38"/>
      <c r="AH83" s="38"/>
      <c r="AI83" s="38"/>
      <c r="AJ83" s="38"/>
      <c r="AK83" s="38"/>
      <c r="AL83" s="38"/>
      <c r="AM83" s="38"/>
      <c r="AN83" s="38"/>
      <c r="AO83" s="38"/>
      <c r="AP83" s="38"/>
      <c r="AQ83" s="38"/>
      <c r="AR83" s="38"/>
      <c r="AS83" s="38"/>
      <c r="AT83" s="38"/>
      <c r="AU83" s="38"/>
      <c r="AV83" s="38"/>
      <c r="AW83" s="38"/>
      <c r="AX83" s="38"/>
      <c r="AY83" s="38"/>
      <c r="AZ83" s="38"/>
      <c r="BA83" s="38"/>
      <c r="BB83" s="34"/>
      <c r="BC83" s="51"/>
      <c r="BD83" s="51"/>
      <c r="BE83" s="51"/>
      <c r="BF83" s="51"/>
    </row>
    <row r="84" spans="1:58" ht="12.9" customHeight="1">
      <c r="A84" s="41">
        <v>46100</v>
      </c>
      <c r="B84" s="42" t="s">
        <v>655</v>
      </c>
      <c r="C84" s="393">
        <f>(M84*E84*O84*Q84)/100000000</f>
        <v>58.816074239999992</v>
      </c>
      <c r="D84" s="42" t="s">
        <v>423</v>
      </c>
      <c r="E84" s="43">
        <v>22</v>
      </c>
      <c r="F84" s="43">
        <v>1</v>
      </c>
      <c r="G84" s="406">
        <v>770</v>
      </c>
      <c r="H84" s="533">
        <f>+N84</f>
        <v>0.16000000000000003</v>
      </c>
      <c r="I84" s="45">
        <v>0.88</v>
      </c>
      <c r="J84" s="82">
        <f>E84*G84*(1-H84)*1440/1000000*2.7</f>
        <v>55.324684800000007</v>
      </c>
      <c r="K84" s="82">
        <f>(IF(G84&lt;L84,L84,G84)*(1-IF(H84&lt;N84,H84,N84))*E84*O84*Q84)/100000000</f>
        <v>58.816074239999992</v>
      </c>
      <c r="L84" s="36">
        <v>860</v>
      </c>
      <c r="M84" s="36">
        <f>+L84-L84*0.16</f>
        <v>722.4</v>
      </c>
      <c r="N84" s="46">
        <f>1-(M84/L84)</f>
        <v>0.16000000000000003</v>
      </c>
      <c r="O84" s="47">
        <f>+'Trim Rwd'!H52</f>
        <v>257</v>
      </c>
      <c r="P84" s="48">
        <f>O84*(Q84-R84-S84)</f>
        <v>358258</v>
      </c>
      <c r="Q84" s="47">
        <f>1440-Q83</f>
        <v>1440</v>
      </c>
      <c r="R84" s="362">
        <v>0</v>
      </c>
      <c r="S84" s="362">
        <v>46</v>
      </c>
      <c r="T84" s="38">
        <f>E84*M84*O84*Q84/100000000</f>
        <v>58.816074239999992</v>
      </c>
      <c r="U84" s="38">
        <f>E84*M84*O84*(Q84-R84-S84)/100000000</f>
        <v>56.937227424</v>
      </c>
      <c r="V84" s="38">
        <f>E84*G84*(1-N84)*O84/100*(R84+S84)/1000000</f>
        <v>1.6822233119999999</v>
      </c>
      <c r="W84" s="38">
        <f>+'19'!K34/1000</f>
        <v>57.947000000000003</v>
      </c>
      <c r="X84" s="361">
        <f>SUM(W84:W87)/SUM(K84:K87)</f>
        <v>0.98522386522341299</v>
      </c>
      <c r="Y84" s="38">
        <v>0</v>
      </c>
      <c r="Z84" s="38">
        <v>0</v>
      </c>
      <c r="AA84" s="49">
        <f>SUM(U84:U87)-SUM(W84:W87)-SUM(Z84:Z87)-SUM(Y84:Y87)</f>
        <v>-1.0097725760000031</v>
      </c>
      <c r="AB84" s="49">
        <f>(SUM(K84:K87)-SUM(W84:W87)-SUM(Y84:Y87)-SUM(Z84:Z87)-SUM(AC84:AC87)-SUM(V84:V87))-AA84</f>
        <v>0.1966235039999924</v>
      </c>
      <c r="AC84" s="38">
        <f>K84-T84</f>
        <v>0</v>
      </c>
      <c r="AD84" s="38">
        <f>+AM84+BA84</f>
        <v>10</v>
      </c>
      <c r="AE84" s="226" t="s">
        <v>445</v>
      </c>
      <c r="AF84" s="38">
        <v>10</v>
      </c>
      <c r="AG84" s="38"/>
      <c r="AH84" s="38"/>
      <c r="AI84" s="476"/>
      <c r="AJ84" s="38"/>
      <c r="AK84" s="38"/>
      <c r="AL84" s="38"/>
      <c r="AM84" s="38">
        <f>SUM(AF84:AL84)+AT84+AV84+AX84</f>
        <v>10</v>
      </c>
      <c r="AN84" s="38"/>
      <c r="AO84" s="38"/>
      <c r="AP84" s="38"/>
      <c r="AQ84" s="38"/>
      <c r="AR84" s="38">
        <f>SUM(AN84:AQ84)</f>
        <v>0</v>
      </c>
      <c r="AS84" s="38"/>
      <c r="AT84" s="38"/>
      <c r="AU84" s="38"/>
      <c r="AV84" s="38"/>
      <c r="AW84" s="38"/>
      <c r="AX84" s="38"/>
      <c r="AY84" s="38"/>
      <c r="AZ84" s="38"/>
      <c r="BA84" s="38">
        <f>+AR84+AS84+AU84+AW84+AY84+AZ84</f>
        <v>0</v>
      </c>
      <c r="BB84" s="34">
        <v>2</v>
      </c>
      <c r="BC84" s="51"/>
      <c r="BD84" s="51"/>
      <c r="BE84" s="51"/>
      <c r="BF84" s="51"/>
    </row>
    <row r="85" spans="1:58" ht="12.9" customHeight="1">
      <c r="A85" s="41"/>
      <c r="B85" s="42"/>
      <c r="C85" s="393"/>
      <c r="D85" s="42"/>
      <c r="E85" s="43"/>
      <c r="F85" s="43"/>
      <c r="G85" s="406"/>
      <c r="H85" s="533"/>
      <c r="I85" s="45"/>
      <c r="J85" s="82"/>
      <c r="K85" s="82"/>
      <c r="L85" s="36"/>
      <c r="M85" s="36"/>
      <c r="N85" s="46"/>
      <c r="O85" s="47"/>
      <c r="P85" s="48"/>
      <c r="Q85" s="47"/>
      <c r="R85" s="362"/>
      <c r="S85" s="362"/>
      <c r="T85" s="38"/>
      <c r="U85" s="38"/>
      <c r="V85" s="38"/>
      <c r="W85" s="38"/>
      <c r="X85" s="361"/>
      <c r="Y85" s="209"/>
      <c r="Z85" s="38"/>
      <c r="AA85" s="38"/>
      <c r="AB85" s="38"/>
      <c r="AC85" s="38"/>
      <c r="AD85" s="38">
        <f t="shared" ref="AD85:AD86" si="86">+AM85+BA85</f>
        <v>12</v>
      </c>
      <c r="AE85" s="226" t="s">
        <v>654</v>
      </c>
      <c r="AF85" s="38"/>
      <c r="AG85" s="38">
        <v>12</v>
      </c>
      <c r="AH85" s="38"/>
      <c r="AI85" s="476"/>
      <c r="AJ85" s="38"/>
      <c r="AK85" s="38"/>
      <c r="AL85" s="38"/>
      <c r="AM85" s="38">
        <f t="shared" ref="AM85:AM86" si="87">SUM(AF85:AL85)+AT85+AV85+AX85</f>
        <v>12</v>
      </c>
      <c r="AN85" s="83"/>
      <c r="AO85" s="38"/>
      <c r="AP85" s="38"/>
      <c r="AQ85" s="38"/>
      <c r="AR85" s="38">
        <f t="shared" ref="AR85:AR86" si="88">SUM(AN85:AQ85)</f>
        <v>0</v>
      </c>
      <c r="AS85" s="38"/>
      <c r="AT85" s="38"/>
      <c r="AU85" s="38"/>
      <c r="AV85" s="38"/>
      <c r="AW85" s="38"/>
      <c r="AX85" s="38"/>
      <c r="AY85" s="38"/>
      <c r="AZ85" s="38"/>
      <c r="BA85" s="38">
        <f t="shared" ref="BA85:BA86" si="89">+AR85+AS85+AU85+AW85+AY85+AZ85</f>
        <v>0</v>
      </c>
      <c r="BB85" s="50"/>
      <c r="BC85" s="51">
        <v>6</v>
      </c>
      <c r="BD85" s="51"/>
      <c r="BE85" s="51"/>
      <c r="BF85" s="51"/>
    </row>
    <row r="86" spans="1:58" ht="12.9" customHeight="1">
      <c r="A86" s="41"/>
      <c r="B86" s="42"/>
      <c r="C86" s="393"/>
      <c r="D86" s="42"/>
      <c r="E86" s="43"/>
      <c r="F86" s="43"/>
      <c r="G86" s="406"/>
      <c r="H86" s="533"/>
      <c r="I86" s="45"/>
      <c r="J86" s="82"/>
      <c r="K86" s="82"/>
      <c r="L86" s="36"/>
      <c r="M86" s="36"/>
      <c r="N86" s="46"/>
      <c r="O86" s="47"/>
      <c r="P86" s="48"/>
      <c r="Q86" s="47"/>
      <c r="R86" s="362"/>
      <c r="S86" s="362"/>
      <c r="T86" s="38"/>
      <c r="U86" s="38"/>
      <c r="V86" s="38"/>
      <c r="W86" s="38"/>
      <c r="X86" s="361"/>
      <c r="Y86" s="209"/>
      <c r="Z86" s="38"/>
      <c r="AA86" s="38"/>
      <c r="AB86" s="38"/>
      <c r="AC86" s="38"/>
      <c r="AD86" s="38">
        <f t="shared" si="86"/>
        <v>24</v>
      </c>
      <c r="AE86" s="226" t="s">
        <v>565</v>
      </c>
      <c r="AF86" s="34"/>
      <c r="AG86" s="34"/>
      <c r="AH86" s="34">
        <v>24</v>
      </c>
      <c r="AJ86" s="38"/>
      <c r="AK86" s="38"/>
      <c r="AL86" s="38"/>
      <c r="AM86" s="38">
        <f t="shared" si="87"/>
        <v>24</v>
      </c>
      <c r="AN86" s="38"/>
      <c r="AO86" s="38"/>
      <c r="AP86" s="38"/>
      <c r="AQ86" s="38"/>
      <c r="AR86" s="38">
        <f t="shared" si="88"/>
        <v>0</v>
      </c>
      <c r="AS86" s="38"/>
      <c r="AT86" s="38"/>
      <c r="AU86" s="38"/>
      <c r="AV86" s="38"/>
      <c r="AW86" s="38"/>
      <c r="AX86" s="38"/>
      <c r="AY86" s="38"/>
      <c r="AZ86" s="38"/>
      <c r="BA86" s="38">
        <f t="shared" si="89"/>
        <v>0</v>
      </c>
      <c r="BB86" s="34"/>
      <c r="BC86" s="477"/>
      <c r="BD86" s="51"/>
      <c r="BE86" s="51"/>
      <c r="BF86" s="51"/>
    </row>
    <row r="87" spans="1:58" ht="12.9" customHeight="1">
      <c r="A87" s="41"/>
      <c r="B87" s="538"/>
      <c r="C87" s="393"/>
      <c r="D87" s="42"/>
      <c r="E87" s="43"/>
      <c r="F87" s="43"/>
      <c r="G87" s="44"/>
      <c r="H87" s="533"/>
      <c r="I87" s="45"/>
      <c r="J87" s="82"/>
      <c r="K87" s="82"/>
      <c r="L87" s="36"/>
      <c r="M87" s="36"/>
      <c r="N87" s="46"/>
      <c r="O87" s="47"/>
      <c r="P87" s="48"/>
      <c r="Q87" s="35"/>
      <c r="R87" s="362"/>
      <c r="S87" s="362"/>
      <c r="T87" s="38"/>
      <c r="U87" s="38"/>
      <c r="V87" s="38"/>
      <c r="W87" s="38"/>
      <c r="X87" s="39"/>
      <c r="Y87" s="39"/>
      <c r="Z87" s="38"/>
      <c r="AA87" s="49"/>
      <c r="AB87" s="49"/>
      <c r="AC87" s="38"/>
      <c r="AD87" s="38"/>
      <c r="AE87" s="21"/>
      <c r="AF87" s="38"/>
      <c r="AG87" s="38"/>
      <c r="AH87" s="38"/>
      <c r="AI87" s="38"/>
      <c r="AJ87" s="38"/>
      <c r="AK87" s="38"/>
      <c r="AL87" s="38"/>
      <c r="AM87" s="38"/>
      <c r="AN87" s="38"/>
      <c r="AO87" s="38"/>
      <c r="AP87" s="38"/>
      <c r="AQ87" s="38"/>
      <c r="AR87" s="38"/>
      <c r="AS87" s="38"/>
      <c r="AT87" s="38"/>
      <c r="AU87" s="38"/>
      <c r="AV87" s="38"/>
      <c r="AW87" s="38"/>
      <c r="AX87" s="38"/>
      <c r="AY87" s="38"/>
      <c r="AZ87" s="38"/>
      <c r="BA87" s="38"/>
      <c r="BB87" s="34"/>
      <c r="BC87" s="51"/>
      <c r="BD87" s="477"/>
      <c r="BE87" s="34"/>
      <c r="BF87" s="477"/>
    </row>
    <row r="88" spans="1:58" ht="12.9" customHeight="1">
      <c r="A88" s="41">
        <v>46101</v>
      </c>
      <c r="B88" s="42" t="s">
        <v>655</v>
      </c>
      <c r="C88" s="393">
        <f>(M88*E88*O88*Q88)/100000000</f>
        <v>58.816074239999992</v>
      </c>
      <c r="D88" s="42" t="s">
        <v>423</v>
      </c>
      <c r="E88" s="43">
        <v>22</v>
      </c>
      <c r="F88" s="43">
        <v>1</v>
      </c>
      <c r="G88" s="406">
        <v>770</v>
      </c>
      <c r="H88" s="533">
        <f>+N88</f>
        <v>0.16000000000000003</v>
      </c>
      <c r="I88" s="45">
        <v>0.88</v>
      </c>
      <c r="J88" s="82">
        <f>E88*G88*(1-H88)*1440/1000000*2.7</f>
        <v>55.324684800000007</v>
      </c>
      <c r="K88" s="82">
        <f>(IF(G88&lt;L88,L88,G88)*(1-IF(H88&lt;N88,H88,N88))*E88*O88*Q88)/100000000</f>
        <v>58.816074239999992</v>
      </c>
      <c r="L88" s="36">
        <v>860</v>
      </c>
      <c r="M88" s="36">
        <v>722.4</v>
      </c>
      <c r="N88" s="46">
        <f>1-(M88/L88)</f>
        <v>0.16000000000000003</v>
      </c>
      <c r="O88" s="47">
        <f>+'Trim Rwd'!H54</f>
        <v>257</v>
      </c>
      <c r="P88" s="48">
        <f>O88*(Q88-R88-S88)</f>
        <v>359800</v>
      </c>
      <c r="Q88" s="47">
        <f>1440-Q87</f>
        <v>1440</v>
      </c>
      <c r="R88" s="362">
        <v>0</v>
      </c>
      <c r="S88" s="362">
        <v>40</v>
      </c>
      <c r="T88" s="38">
        <f>E88*M88*O88*Q88/100000000</f>
        <v>58.816074239999992</v>
      </c>
      <c r="U88" s="38">
        <f>E88*M88*O88*(Q88-R88-S88)/100000000</f>
        <v>57.182294399999989</v>
      </c>
      <c r="V88" s="38">
        <f>E88*G88*(1-N88)*O88/100*(R88+S88)/1000000</f>
        <v>1.4628028799999999</v>
      </c>
      <c r="W88" s="38">
        <f>+'20'!K11/1000</f>
        <v>56.204000000000001</v>
      </c>
      <c r="X88" s="361">
        <f>SUM(W88:W91)/SUM(K88:K91)</f>
        <v>0.95558910937609709</v>
      </c>
      <c r="Y88" s="38">
        <v>0</v>
      </c>
      <c r="Z88" s="38">
        <v>0</v>
      </c>
      <c r="AA88" s="49">
        <f>SUM(U88:U91)-SUM(W88:W91)-SUM(Z88:Z91)-SUM(Y88:Y91)</f>
        <v>0.97829439999998868</v>
      </c>
      <c r="AB88" s="49">
        <f>(SUM(K88:K91)-SUM(W88:W91)-SUM(Y88:Y91)-SUM(Z88:Z91)-SUM(AC88:AC91)-SUM(V88:V91))-AA88</f>
        <v>0.17097696000000262</v>
      </c>
      <c r="AC88" s="38">
        <f>K88-T88</f>
        <v>0</v>
      </c>
      <c r="AD88" s="38">
        <f>+AM88+BA88</f>
        <v>0</v>
      </c>
      <c r="AE88" s="226" t="s">
        <v>417</v>
      </c>
      <c r="AF88" s="38">
        <v>0</v>
      </c>
      <c r="AG88" s="38"/>
      <c r="AH88" s="38"/>
      <c r="AI88" s="476"/>
      <c r="AJ88" s="38"/>
      <c r="AK88" s="38"/>
      <c r="AL88" s="38"/>
      <c r="AM88" s="38">
        <f>SUM(AF88:AL88)+AT88+AV88+AX88</f>
        <v>0</v>
      </c>
      <c r="AN88" s="38"/>
      <c r="AO88" s="38"/>
      <c r="AP88" s="38"/>
      <c r="AQ88" s="38"/>
      <c r="AR88" s="38">
        <f>SUM(AN88:AQ88)</f>
        <v>0</v>
      </c>
      <c r="AS88" s="38"/>
      <c r="AT88" s="38"/>
      <c r="AU88" s="38"/>
      <c r="AV88" s="38"/>
      <c r="AW88" s="38"/>
      <c r="AX88" s="38"/>
      <c r="AY88" s="38"/>
      <c r="AZ88" s="38"/>
      <c r="BA88" s="38">
        <f>+AR88+AS88+AU88+AW88+AY88+AZ88</f>
        <v>0</v>
      </c>
      <c r="BB88" s="34">
        <v>0</v>
      </c>
      <c r="BC88" s="51"/>
      <c r="BD88" s="51"/>
      <c r="BE88" s="51"/>
      <c r="BF88" s="51"/>
    </row>
    <row r="89" spans="1:58" ht="12.9" customHeight="1">
      <c r="A89" s="41"/>
      <c r="B89" s="42"/>
      <c r="C89" s="393"/>
      <c r="D89" s="42"/>
      <c r="E89" s="43"/>
      <c r="F89" s="43"/>
      <c r="G89" s="406"/>
      <c r="H89" s="533"/>
      <c r="I89" s="45"/>
      <c r="J89" s="82"/>
      <c r="K89" s="82"/>
      <c r="L89" s="36"/>
      <c r="M89" s="36"/>
      <c r="N89" s="46"/>
      <c r="O89" s="47"/>
      <c r="P89" s="48"/>
      <c r="Q89" s="47"/>
      <c r="R89" s="362"/>
      <c r="S89" s="362"/>
      <c r="T89" s="38"/>
      <c r="U89" s="38"/>
      <c r="V89" s="38"/>
      <c r="W89" s="38"/>
      <c r="X89" s="361"/>
      <c r="Y89" s="209"/>
      <c r="Z89" s="38"/>
      <c r="AA89" s="38"/>
      <c r="AB89" s="38"/>
      <c r="AC89" s="38"/>
      <c r="AD89" s="38">
        <f t="shared" ref="AD89:AD90" si="90">+AM89+BA89</f>
        <v>14</v>
      </c>
      <c r="AE89" s="226" t="s">
        <v>680</v>
      </c>
      <c r="AF89" s="38"/>
      <c r="AG89" s="38">
        <v>14</v>
      </c>
      <c r="AH89" s="38"/>
      <c r="AI89" s="476"/>
      <c r="AJ89" s="38"/>
      <c r="AK89" s="38"/>
      <c r="AL89" s="38"/>
      <c r="AM89" s="38">
        <f t="shared" ref="AM89:AM90" si="91">SUM(AF89:AL89)+AT89+AV89+AX89</f>
        <v>14</v>
      </c>
      <c r="AN89" s="83"/>
      <c r="AO89" s="38"/>
      <c r="AP89" s="38"/>
      <c r="AQ89" s="38"/>
      <c r="AR89" s="38">
        <f t="shared" ref="AR89:AR90" si="92">SUM(AN89:AQ89)</f>
        <v>0</v>
      </c>
      <c r="AS89" s="38"/>
      <c r="AT89" s="38"/>
      <c r="AU89" s="38"/>
      <c r="AV89" s="38"/>
      <c r="AW89" s="38"/>
      <c r="AX89" s="38"/>
      <c r="AY89" s="38"/>
      <c r="AZ89" s="38"/>
      <c r="BA89" s="38">
        <f t="shared" ref="BA89:BA90" si="93">+AR89+AS89+AU89+AW89+AY89+AZ89</f>
        <v>0</v>
      </c>
      <c r="BB89" s="50"/>
      <c r="BC89" s="51">
        <v>5</v>
      </c>
      <c r="BD89" s="51"/>
      <c r="BE89" s="51"/>
      <c r="BF89" s="51"/>
    </row>
    <row r="90" spans="1:58" ht="12.9" customHeight="1">
      <c r="A90" s="41"/>
      <c r="B90" s="42"/>
      <c r="C90" s="393"/>
      <c r="D90" s="42"/>
      <c r="E90" s="43"/>
      <c r="F90" s="43"/>
      <c r="G90" s="406"/>
      <c r="H90" s="533"/>
      <c r="I90" s="45"/>
      <c r="J90" s="82"/>
      <c r="K90" s="82"/>
      <c r="L90" s="36"/>
      <c r="M90" s="36"/>
      <c r="N90" s="46"/>
      <c r="O90" s="47"/>
      <c r="P90" s="48"/>
      <c r="Q90" s="47"/>
      <c r="R90" s="362"/>
      <c r="S90" s="362"/>
      <c r="T90" s="38"/>
      <c r="U90" s="38"/>
      <c r="V90" s="38"/>
      <c r="W90" s="38"/>
      <c r="X90" s="361"/>
      <c r="Y90" s="209"/>
      <c r="Z90" s="38"/>
      <c r="AA90" s="38"/>
      <c r="AB90" s="38"/>
      <c r="AC90" s="38"/>
      <c r="AD90" s="38">
        <f t="shared" si="90"/>
        <v>26</v>
      </c>
      <c r="AE90" s="226" t="s">
        <v>446</v>
      </c>
      <c r="AF90" s="34"/>
      <c r="AG90" s="34"/>
      <c r="AH90" s="34">
        <v>26</v>
      </c>
      <c r="AJ90" s="38"/>
      <c r="AK90" s="38"/>
      <c r="AL90" s="38"/>
      <c r="AM90" s="38">
        <f t="shared" si="91"/>
        <v>26</v>
      </c>
      <c r="AN90" s="38"/>
      <c r="AO90" s="38"/>
      <c r="AP90" s="38"/>
      <c r="AQ90" s="38"/>
      <c r="AR90" s="38">
        <f t="shared" si="92"/>
        <v>0</v>
      </c>
      <c r="AS90" s="38"/>
      <c r="AT90" s="38"/>
      <c r="AU90" s="38"/>
      <c r="AV90" s="38"/>
      <c r="AW90" s="38"/>
      <c r="AX90" s="38"/>
      <c r="AY90" s="38"/>
      <c r="AZ90" s="38"/>
      <c r="BA90" s="38">
        <f t="shared" si="93"/>
        <v>0</v>
      </c>
      <c r="BB90" s="34"/>
      <c r="BC90" s="477"/>
      <c r="BD90" s="51"/>
      <c r="BE90" s="51"/>
      <c r="BF90" s="51"/>
    </row>
    <row r="91" spans="1:58" ht="12.9" customHeight="1">
      <c r="A91" s="41"/>
      <c r="B91" s="538"/>
      <c r="C91" s="393"/>
      <c r="D91" s="42"/>
      <c r="E91" s="43"/>
      <c r="F91" s="43"/>
      <c r="G91" s="44"/>
      <c r="H91" s="533"/>
      <c r="I91" s="45"/>
      <c r="J91" s="82"/>
      <c r="K91" s="82"/>
      <c r="L91" s="36"/>
      <c r="M91" s="36"/>
      <c r="N91" s="46"/>
      <c r="O91" s="47"/>
      <c r="P91" s="48"/>
      <c r="Q91" s="35"/>
      <c r="R91" s="362"/>
      <c r="S91" s="362"/>
      <c r="T91" s="38"/>
      <c r="U91" s="38"/>
      <c r="V91" s="38"/>
      <c r="W91" s="38"/>
      <c r="X91" s="39"/>
      <c r="Y91" s="39"/>
      <c r="Z91" s="38"/>
      <c r="AA91" s="49"/>
      <c r="AB91" s="49"/>
      <c r="AC91" s="38"/>
      <c r="AD91" s="38"/>
      <c r="AE91" s="21"/>
      <c r="AF91" s="38"/>
      <c r="AG91" s="38"/>
      <c r="AH91" s="38"/>
      <c r="AI91" s="38"/>
      <c r="AJ91" s="38"/>
      <c r="AK91" s="38"/>
      <c r="AL91" s="38"/>
      <c r="AM91" s="38"/>
      <c r="AN91" s="38"/>
      <c r="AO91" s="38"/>
      <c r="AP91" s="38"/>
      <c r="AQ91" s="38"/>
      <c r="AR91" s="38"/>
      <c r="AS91" s="38"/>
      <c r="AT91" s="38"/>
      <c r="AU91" s="38"/>
      <c r="AV91" s="38"/>
      <c r="AW91" s="38"/>
      <c r="AX91" s="38"/>
      <c r="AY91" s="38"/>
      <c r="AZ91" s="38"/>
      <c r="BA91" s="38"/>
      <c r="BB91" s="34"/>
      <c r="BC91" s="51"/>
      <c r="BD91" s="477"/>
      <c r="BE91" s="34"/>
      <c r="BF91" s="477"/>
    </row>
    <row r="92" spans="1:58" ht="12.9" customHeight="1">
      <c r="A92" s="41">
        <v>46102</v>
      </c>
      <c r="B92" s="42" t="s">
        <v>655</v>
      </c>
      <c r="C92" s="393">
        <f>(M92*E92*O92*Q92)/100000000</f>
        <v>58.816074239999992</v>
      </c>
      <c r="D92" s="42" t="s">
        <v>423</v>
      </c>
      <c r="E92" s="43">
        <v>22</v>
      </c>
      <c r="F92" s="43">
        <v>1</v>
      </c>
      <c r="G92" s="406">
        <v>770</v>
      </c>
      <c r="H92" s="533">
        <f>+N92</f>
        <v>0.16000000000000003</v>
      </c>
      <c r="I92" s="45">
        <v>0.88</v>
      </c>
      <c r="J92" s="82">
        <f>E92*G92*(1-H92)*1440/1000000*2.7</f>
        <v>55.324684800000007</v>
      </c>
      <c r="K92" s="82">
        <f>(IF(G92&lt;L92,L92,G92)*(1-IF(H92&lt;N92,H92,N92))*E92*O92*Q92)/100000000</f>
        <v>58.816074239999992</v>
      </c>
      <c r="L92" s="36">
        <v>860</v>
      </c>
      <c r="M92" s="36">
        <v>722.4</v>
      </c>
      <c r="N92" s="46">
        <f>1-(M92/L92)</f>
        <v>0.16000000000000003</v>
      </c>
      <c r="O92" s="47">
        <f>+'Trim Rwd'!H56</f>
        <v>257</v>
      </c>
      <c r="P92" s="48">
        <f>O92*(Q92-R92-S92)</f>
        <v>364426</v>
      </c>
      <c r="Q92" s="47">
        <f>1440-Q91</f>
        <v>1440</v>
      </c>
      <c r="R92" s="362">
        <v>0</v>
      </c>
      <c r="S92" s="362">
        <v>22</v>
      </c>
      <c r="T92" s="38">
        <f>E92*M92*O92*Q92/100000000</f>
        <v>58.816074239999992</v>
      </c>
      <c r="U92" s="38">
        <f>E92*M92*O92*(Q92-R92-S92)/100000000</f>
        <v>57.917495327999994</v>
      </c>
      <c r="V92" s="38">
        <f>E92*G92*(1-N92)*O92/100*(R92+S92)/1000000</f>
        <v>0.80454158399999998</v>
      </c>
      <c r="W92" s="38">
        <f>+'21'!K11/1000</f>
        <v>57.914000000000001</v>
      </c>
      <c r="X92" s="361">
        <f>SUM(W92:W95)/SUM(K92:K95)</f>
        <v>0.98466279411442759</v>
      </c>
      <c r="Y92" s="38">
        <v>0</v>
      </c>
      <c r="Z92" s="38">
        <v>0</v>
      </c>
      <c r="AA92" s="49">
        <f>SUM(U92:U95)-SUM(W92:W95)-SUM(Z92:Z95)-SUM(Y92:Y95)</f>
        <v>3.4953279999925257E-3</v>
      </c>
      <c r="AB92" s="49">
        <f>(SUM(K92:K95)-SUM(W92:W95)-SUM(Y92:Y95)-SUM(Z92:Z95)-SUM(AC92:AC95)-SUM(V92:V95))-AA92</f>
        <v>9.4037327999997866E-2</v>
      </c>
      <c r="AC92" s="38">
        <f>K92-T92</f>
        <v>0</v>
      </c>
      <c r="AD92" s="38">
        <f>+AM92+BA92</f>
        <v>0</v>
      </c>
      <c r="AE92" s="226" t="s">
        <v>417</v>
      </c>
      <c r="AF92" s="38">
        <v>0</v>
      </c>
      <c r="AG92" s="38"/>
      <c r="AH92" s="38"/>
      <c r="AI92" s="476"/>
      <c r="AJ92" s="38"/>
      <c r="AK92" s="38"/>
      <c r="AL92" s="38"/>
      <c r="AM92" s="38">
        <f>SUM(AF92:AL92)+AT92+AV92+AX92</f>
        <v>0</v>
      </c>
      <c r="AN92" s="38"/>
      <c r="AO92" s="38"/>
      <c r="AP92" s="38"/>
      <c r="AQ92" s="38"/>
      <c r="AR92" s="38">
        <f>SUM(AN92:AQ92)</f>
        <v>0</v>
      </c>
      <c r="AS92" s="38"/>
      <c r="AT92" s="38"/>
      <c r="AU92" s="38"/>
      <c r="AV92" s="38"/>
      <c r="AW92" s="38"/>
      <c r="AX92" s="38"/>
      <c r="AY92" s="38"/>
      <c r="AZ92" s="38"/>
      <c r="BA92" s="38">
        <f>+AR92+AS92+AU92+AW92+AY92+AZ92</f>
        <v>0</v>
      </c>
      <c r="BB92" s="34">
        <v>0</v>
      </c>
      <c r="BC92" s="51"/>
      <c r="BD92" s="51"/>
      <c r="BE92" s="51"/>
      <c r="BF92" s="51"/>
    </row>
    <row r="93" spans="1:58" ht="12.9" customHeight="1">
      <c r="A93" s="41"/>
      <c r="B93" s="42"/>
      <c r="C93" s="393"/>
      <c r="D93" s="42"/>
      <c r="E93" s="43"/>
      <c r="F93" s="43"/>
      <c r="G93" s="406"/>
      <c r="H93" s="533"/>
      <c r="I93" s="45"/>
      <c r="J93" s="82"/>
      <c r="K93" s="82"/>
      <c r="L93" s="36"/>
      <c r="M93" s="36"/>
      <c r="N93" s="46"/>
      <c r="O93" s="47"/>
      <c r="P93" s="48"/>
      <c r="Q93" s="47"/>
      <c r="R93" s="362"/>
      <c r="S93" s="362"/>
      <c r="T93" s="38"/>
      <c r="U93" s="38"/>
      <c r="V93" s="38"/>
      <c r="W93" s="38"/>
      <c r="X93" s="361"/>
      <c r="Y93" s="209"/>
      <c r="Z93" s="38"/>
      <c r="AA93" s="38"/>
      <c r="AB93" s="38"/>
      <c r="AC93" s="38"/>
      <c r="AD93" s="38">
        <f t="shared" ref="AD93:AD94" si="94">+AM93+BA93</f>
        <v>6</v>
      </c>
      <c r="AE93" s="226" t="s">
        <v>679</v>
      </c>
      <c r="AF93" s="38"/>
      <c r="AG93" s="38">
        <v>6</v>
      </c>
      <c r="AH93" s="38"/>
      <c r="AI93" s="476"/>
      <c r="AJ93" s="38"/>
      <c r="AK93" s="38"/>
      <c r="AL93" s="38"/>
      <c r="AM93" s="38">
        <f t="shared" ref="AM93:AM94" si="95">SUM(AF93:AL93)+AT93+AV93+AX93</f>
        <v>6</v>
      </c>
      <c r="AN93" s="83"/>
      <c r="AO93" s="38"/>
      <c r="AP93" s="38"/>
      <c r="AQ93" s="38"/>
      <c r="AR93" s="38">
        <f t="shared" ref="AR93:AR94" si="96">SUM(AN93:AQ93)</f>
        <v>0</v>
      </c>
      <c r="AS93" s="38"/>
      <c r="AT93" s="38"/>
      <c r="AU93" s="38"/>
      <c r="AV93" s="38"/>
      <c r="AW93" s="38"/>
      <c r="AX93" s="38"/>
      <c r="AY93" s="38"/>
      <c r="AZ93" s="38"/>
      <c r="BA93" s="38">
        <f t="shared" ref="BA93:BA94" si="97">+AR93+AS93+AU93+AW93+AY93+AZ93</f>
        <v>0</v>
      </c>
      <c r="BB93" s="50"/>
      <c r="BC93" s="51">
        <v>4</v>
      </c>
      <c r="BD93" s="51"/>
      <c r="BE93" s="51"/>
      <c r="BF93" s="51"/>
    </row>
    <row r="94" spans="1:58" ht="12.9" customHeight="1">
      <c r="A94" s="41"/>
      <c r="B94" s="42"/>
      <c r="C94" s="393"/>
      <c r="D94" s="42"/>
      <c r="E94" s="43"/>
      <c r="F94" s="43"/>
      <c r="G94" s="406"/>
      <c r="H94" s="533"/>
      <c r="I94" s="45"/>
      <c r="J94" s="82"/>
      <c r="K94" s="82"/>
      <c r="L94" s="36"/>
      <c r="M94" s="36"/>
      <c r="N94" s="46"/>
      <c r="O94" s="47"/>
      <c r="P94" s="48"/>
      <c r="Q94" s="47"/>
      <c r="R94" s="362"/>
      <c r="S94" s="362"/>
      <c r="T94" s="38"/>
      <c r="U94" s="38"/>
      <c r="V94" s="38"/>
      <c r="W94" s="38"/>
      <c r="X94" s="361"/>
      <c r="Y94" s="209"/>
      <c r="Z94" s="38"/>
      <c r="AA94" s="38"/>
      <c r="AB94" s="38"/>
      <c r="AC94" s="38"/>
      <c r="AD94" s="38">
        <f t="shared" si="94"/>
        <v>16</v>
      </c>
      <c r="AE94" s="226" t="s">
        <v>446</v>
      </c>
      <c r="AF94" s="34"/>
      <c r="AG94" s="34"/>
      <c r="AH94" s="34">
        <v>16</v>
      </c>
      <c r="AJ94" s="38"/>
      <c r="AK94" s="38"/>
      <c r="AL94" s="38"/>
      <c r="AM94" s="38">
        <f t="shared" si="95"/>
        <v>16</v>
      </c>
      <c r="AN94" s="38"/>
      <c r="AO94" s="38"/>
      <c r="AP94" s="38"/>
      <c r="AQ94" s="38"/>
      <c r="AR94" s="38">
        <f t="shared" si="96"/>
        <v>0</v>
      </c>
      <c r="AS94" s="38"/>
      <c r="AT94" s="38"/>
      <c r="AU94" s="38"/>
      <c r="AV94" s="38"/>
      <c r="AW94" s="38"/>
      <c r="AX94" s="38"/>
      <c r="AY94" s="38"/>
      <c r="AZ94" s="38"/>
      <c r="BA94" s="38">
        <f t="shared" si="97"/>
        <v>0</v>
      </c>
      <c r="BB94" s="34"/>
      <c r="BC94" s="477"/>
      <c r="BD94" s="51"/>
      <c r="BE94" s="51"/>
      <c r="BF94" s="51"/>
    </row>
    <row r="95" spans="1:58" ht="12.9" customHeight="1">
      <c r="A95" s="41"/>
      <c r="B95" s="538"/>
      <c r="C95" s="393"/>
      <c r="D95" s="42"/>
      <c r="E95" s="43"/>
      <c r="F95" s="43"/>
      <c r="G95" s="44"/>
      <c r="H95" s="533"/>
      <c r="I95" s="45"/>
      <c r="J95" s="82"/>
      <c r="K95" s="82"/>
      <c r="L95" s="36"/>
      <c r="M95" s="36"/>
      <c r="N95" s="46"/>
      <c r="O95" s="47"/>
      <c r="P95" s="48"/>
      <c r="Q95" s="35"/>
      <c r="R95" s="362"/>
      <c r="S95" s="362"/>
      <c r="T95" s="38"/>
      <c r="U95" s="38"/>
      <c r="V95" s="38"/>
      <c r="W95" s="38"/>
      <c r="X95" s="39"/>
      <c r="Y95" s="39"/>
      <c r="Z95" s="38"/>
      <c r="AA95" s="49"/>
      <c r="AB95" s="49"/>
      <c r="AC95" s="38"/>
      <c r="AD95" s="38"/>
      <c r="AE95" s="21"/>
      <c r="AF95" s="38"/>
      <c r="AG95" s="38"/>
      <c r="AH95" s="38"/>
      <c r="AI95" s="38"/>
      <c r="AJ95" s="38"/>
      <c r="AK95" s="38"/>
      <c r="AL95" s="38"/>
      <c r="AM95" s="38"/>
      <c r="AN95" s="38"/>
      <c r="AO95" s="38"/>
      <c r="AP95" s="38"/>
      <c r="AQ95" s="38"/>
      <c r="AR95" s="38"/>
      <c r="AS95" s="38"/>
      <c r="AT95" s="38"/>
      <c r="AU95" s="38"/>
      <c r="AV95" s="38"/>
      <c r="AW95" s="38"/>
      <c r="AX95" s="38"/>
      <c r="AY95" s="38"/>
      <c r="AZ95" s="38"/>
      <c r="BA95" s="38"/>
      <c r="BB95" s="34"/>
      <c r="BC95" s="51"/>
      <c r="BD95" s="477"/>
      <c r="BE95" s="34"/>
      <c r="BF95" s="477"/>
    </row>
    <row r="96" spans="1:58" ht="12.9" customHeight="1">
      <c r="A96" s="41">
        <v>46103</v>
      </c>
      <c r="B96" s="42" t="s">
        <v>655</v>
      </c>
      <c r="C96" s="393">
        <f>(M96*E96*O96*Q96)/100000000</f>
        <v>40.027606079999998</v>
      </c>
      <c r="D96" s="42" t="s">
        <v>423</v>
      </c>
      <c r="E96" s="43">
        <v>22</v>
      </c>
      <c r="F96" s="43">
        <v>1</v>
      </c>
      <c r="G96" s="406">
        <v>770</v>
      </c>
      <c r="H96" s="533">
        <f>+N96</f>
        <v>0.16000000000000003</v>
      </c>
      <c r="I96" s="45">
        <v>0.88</v>
      </c>
      <c r="J96" s="82">
        <f>E96*G96*(1-H96)*1440/1000000*2.7</f>
        <v>55.324684800000007</v>
      </c>
      <c r="K96" s="82">
        <f>(IF(G96&lt;L96,L96,G96)*(1-IF(H96&lt;N96,H96,N96))*E96*O96*Q96)/100000000</f>
        <v>40.027606079999998</v>
      </c>
      <c r="L96" s="36">
        <v>860</v>
      </c>
      <c r="M96" s="36">
        <v>722.4</v>
      </c>
      <c r="N96" s="46">
        <f>1-(M96/L96)</f>
        <v>0.16000000000000003</v>
      </c>
      <c r="O96" s="47">
        <f>+'Trim Rwd'!H58</f>
        <v>257</v>
      </c>
      <c r="P96" s="48">
        <f>O96*(Q96-R96-S96)</f>
        <v>247234</v>
      </c>
      <c r="Q96" s="47">
        <v>980</v>
      </c>
      <c r="R96" s="362">
        <v>0</v>
      </c>
      <c r="S96" s="362">
        <v>18</v>
      </c>
      <c r="T96" s="38">
        <f>E96*M96*O96*Q96/100000000</f>
        <v>40.027606079999998</v>
      </c>
      <c r="U96" s="38">
        <f>E96*M96*O96*(Q96-R96-S96)/100000000</f>
        <v>39.292405152000001</v>
      </c>
      <c r="V96" s="38">
        <f>E96*G96*(1-N96)*O96/100*(R96+S96)/1000000</f>
        <v>0.65826129599999994</v>
      </c>
      <c r="W96" s="38">
        <f>+'22'!K11/1000</f>
        <v>44.061</v>
      </c>
      <c r="X96" s="361">
        <f>SUM(W96:W99)/SUM(K96:K99)</f>
        <v>0.95667195322302678</v>
      </c>
      <c r="Y96" s="38">
        <v>0</v>
      </c>
      <c r="Z96" s="38">
        <v>0</v>
      </c>
      <c r="AA96" s="49">
        <f>SUM(U96:U99)-SUM(W96:W99)-SUM(Z96:Z99)-SUM(Y96:Y99)</f>
        <v>0.82720595199999991</v>
      </c>
      <c r="AB96" s="49">
        <f>(SUM(K96:K99)-SUM(W96:W99)-SUM(Y96:Y99)-SUM(Z96:Z99)-SUM(AC96:AC99)-SUM(V96:V99))-AA96</f>
        <v>6.6128831999993309E-2</v>
      </c>
      <c r="AC96" s="38">
        <f>K96-T96</f>
        <v>0</v>
      </c>
      <c r="AD96" s="38">
        <f>+AM96+BA96</f>
        <v>0</v>
      </c>
      <c r="AE96" s="226" t="s">
        <v>417</v>
      </c>
      <c r="AF96" s="38">
        <v>0</v>
      </c>
      <c r="AG96" s="38"/>
      <c r="AH96" s="38"/>
      <c r="AI96" s="476"/>
      <c r="AJ96" s="38"/>
      <c r="AK96" s="38"/>
      <c r="AL96" s="38"/>
      <c r="AM96" s="38">
        <f>SUM(AF96:AL96)+AT96+AV96+AX96</f>
        <v>0</v>
      </c>
      <c r="AN96" s="38"/>
      <c r="AO96" s="38"/>
      <c r="AP96" s="38"/>
      <c r="AQ96" s="38"/>
      <c r="AR96" s="38">
        <f>SUM(AN96:AQ96)</f>
        <v>0</v>
      </c>
      <c r="AS96" s="38"/>
      <c r="AT96" s="38"/>
      <c r="AU96" s="38"/>
      <c r="AV96" s="38"/>
      <c r="AW96" s="38"/>
      <c r="AX96" s="38"/>
      <c r="AY96" s="38"/>
      <c r="AZ96" s="38"/>
      <c r="BA96" s="38">
        <f>+AR96+AS96+AU96+AW96+AY96+AZ96</f>
        <v>0</v>
      </c>
      <c r="BB96" s="34">
        <v>0</v>
      </c>
      <c r="BC96" s="51"/>
      <c r="BD96" s="51"/>
      <c r="BE96" s="51"/>
      <c r="BF96" s="51"/>
    </row>
    <row r="97" spans="1:58" ht="12.9" customHeight="1">
      <c r="A97" s="41"/>
      <c r="B97" s="42" t="s">
        <v>422</v>
      </c>
      <c r="C97" s="393">
        <f>(M97*E97*O97*Q97)/100000000</f>
        <v>16.300283999999998</v>
      </c>
      <c r="D97" s="42" t="s">
        <v>423</v>
      </c>
      <c r="E97" s="43">
        <v>15</v>
      </c>
      <c r="F97" s="43">
        <v>1</v>
      </c>
      <c r="G97" s="406">
        <v>1225</v>
      </c>
      <c r="H97" s="533">
        <f>+N97</f>
        <v>0.23000000000000009</v>
      </c>
      <c r="I97" s="45">
        <v>0.88</v>
      </c>
      <c r="J97" s="82">
        <f>E97*G97*(1-H97)*1440/1000000*2.7</f>
        <v>55.010339999999992</v>
      </c>
      <c r="K97" s="82">
        <f>(IF(G97&lt;L97,L97,G97)*(1-IF(H97&lt;N97,H97,N97))*E97*O97*Q97)/100000000</f>
        <v>16.921904999999999</v>
      </c>
      <c r="L97" s="36">
        <v>1180</v>
      </c>
      <c r="M97" s="36">
        <v>908.59999999999991</v>
      </c>
      <c r="N97" s="46">
        <f>1-(M97/L97)</f>
        <v>0.23000000000000009</v>
      </c>
      <c r="O97" s="47">
        <f>+'Trim Rwd'!H59</f>
        <v>260</v>
      </c>
      <c r="P97" s="48">
        <f>O97*(Q97-R97-S97)</f>
        <v>117520</v>
      </c>
      <c r="Q97" s="47">
        <v>460</v>
      </c>
      <c r="R97" s="362">
        <v>0</v>
      </c>
      <c r="S97" s="362">
        <v>8</v>
      </c>
      <c r="T97" s="38">
        <f>E97*M97*O97*Q97/100000000</f>
        <v>16.300283999999998</v>
      </c>
      <c r="U97" s="38">
        <f>E97*M97*O97*(Q97-R97-S97)/100000000</f>
        <v>16.016800799999999</v>
      </c>
      <c r="V97" s="38">
        <f>E97*G97*(1-N97)*O97/100*(R97+S97)/1000000</f>
        <v>0.29429399999999994</v>
      </c>
      <c r="W97" s="38">
        <f>+'22'!K7/1000</f>
        <v>10.420999999999999</v>
      </c>
      <c r="X97" s="361"/>
      <c r="Y97" s="209"/>
      <c r="Z97" s="38"/>
      <c r="AA97" s="38"/>
      <c r="AB97" s="38"/>
      <c r="AC97" s="38">
        <f>K97-T97</f>
        <v>0.62162100000000109</v>
      </c>
      <c r="AD97" s="38">
        <f t="shared" ref="AD97:AD98" si="98">+AM97+BA97</f>
        <v>4</v>
      </c>
      <c r="AE97" s="226" t="s">
        <v>653</v>
      </c>
      <c r="AF97" s="38"/>
      <c r="AG97" s="38">
        <v>4</v>
      </c>
      <c r="AH97" s="38"/>
      <c r="AI97" s="476"/>
      <c r="AJ97" s="38"/>
      <c r="AK97" s="38"/>
      <c r="AL97" s="38"/>
      <c r="AM97" s="38">
        <f t="shared" ref="AM97:AM98" si="99">SUM(AF97:AL97)+AT97+AV97+AX97</f>
        <v>4</v>
      </c>
      <c r="AN97" s="83"/>
      <c r="AO97" s="38"/>
      <c r="AP97" s="38"/>
      <c r="AQ97" s="38"/>
      <c r="AR97" s="38">
        <f t="shared" ref="AR97:AR98" si="100">SUM(AN97:AQ97)</f>
        <v>0</v>
      </c>
      <c r="AS97" s="38"/>
      <c r="AT97" s="38"/>
      <c r="AU97" s="38"/>
      <c r="AV97" s="38"/>
      <c r="AW97" s="38"/>
      <c r="AX97" s="38"/>
      <c r="AY97" s="38"/>
      <c r="AZ97" s="38"/>
      <c r="BA97" s="38">
        <f t="shared" ref="BA97:BA98" si="101">+AR97+AS97+AU97+AW97+AY97+AZ97</f>
        <v>0</v>
      </c>
      <c r="BB97" s="50"/>
      <c r="BC97" s="51">
        <v>3</v>
      </c>
      <c r="BD97" s="51"/>
      <c r="BE97" s="51"/>
      <c r="BF97" s="51"/>
    </row>
    <row r="98" spans="1:58" ht="12.9" customHeight="1">
      <c r="A98" s="41"/>
      <c r="B98" s="42"/>
      <c r="C98" s="393"/>
      <c r="D98" s="42"/>
      <c r="E98" s="43"/>
      <c r="F98" s="43"/>
      <c r="G98" s="406"/>
      <c r="H98" s="533"/>
      <c r="I98" s="45"/>
      <c r="J98" s="82"/>
      <c r="K98" s="82"/>
      <c r="L98" s="36"/>
      <c r="M98" s="36"/>
      <c r="N98" s="46"/>
      <c r="O98" s="47"/>
      <c r="P98" s="48"/>
      <c r="Q98" s="47"/>
      <c r="R98" s="362"/>
      <c r="S98" s="362"/>
      <c r="T98" s="38"/>
      <c r="U98" s="38"/>
      <c r="V98" s="38"/>
      <c r="W98" s="38"/>
      <c r="X98" s="361"/>
      <c r="Y98" s="209"/>
      <c r="Z98" s="38"/>
      <c r="AA98" s="38"/>
      <c r="AB98" s="38"/>
      <c r="AC98" s="38"/>
      <c r="AD98" s="38">
        <f t="shared" si="98"/>
        <v>22</v>
      </c>
      <c r="AE98" s="226" t="s">
        <v>565</v>
      </c>
      <c r="AF98" s="34"/>
      <c r="AG98" s="34"/>
      <c r="AH98" s="34">
        <v>22</v>
      </c>
      <c r="AJ98" s="38"/>
      <c r="AK98" s="38"/>
      <c r="AL98" s="38"/>
      <c r="AM98" s="38">
        <f t="shared" si="99"/>
        <v>22</v>
      </c>
      <c r="AN98" s="38"/>
      <c r="AO98" s="38"/>
      <c r="AP98" s="38"/>
      <c r="AQ98" s="38"/>
      <c r="AR98" s="38">
        <f t="shared" si="100"/>
        <v>0</v>
      </c>
      <c r="AS98" s="38"/>
      <c r="AT98" s="38"/>
      <c r="AU98" s="38"/>
      <c r="AV98" s="38"/>
      <c r="AW98" s="38"/>
      <c r="AX98" s="38"/>
      <c r="AY98" s="38"/>
      <c r="AZ98" s="38"/>
      <c r="BA98" s="38">
        <f t="shared" si="101"/>
        <v>0</v>
      </c>
      <c r="BB98" s="34"/>
      <c r="BC98" s="477"/>
      <c r="BD98" s="51"/>
      <c r="BE98" s="51"/>
      <c r="BF98" s="51"/>
    </row>
    <row r="99" spans="1:58" ht="13.5" customHeight="1">
      <c r="A99" s="41"/>
      <c r="B99" s="538"/>
      <c r="C99" s="393"/>
      <c r="D99" s="42"/>
      <c r="E99" s="43"/>
      <c r="F99" s="43"/>
      <c r="G99" s="44"/>
      <c r="H99" s="533"/>
      <c r="I99" s="45"/>
      <c r="J99" s="82"/>
      <c r="K99" s="82"/>
      <c r="L99" s="36"/>
      <c r="M99" s="36"/>
      <c r="N99" s="46"/>
      <c r="O99" s="47"/>
      <c r="P99" s="48"/>
      <c r="Q99" s="35"/>
      <c r="R99" s="362"/>
      <c r="S99" s="362"/>
      <c r="T99" s="38"/>
      <c r="U99" s="38"/>
      <c r="V99" s="38"/>
      <c r="W99" s="38"/>
      <c r="X99" s="39"/>
      <c r="Y99" s="39"/>
      <c r="Z99" s="38"/>
      <c r="AA99" s="49"/>
      <c r="AB99" s="49"/>
      <c r="AC99" s="38"/>
      <c r="AD99" s="38"/>
      <c r="AE99" s="21"/>
      <c r="AF99" s="38"/>
      <c r="AG99" s="38"/>
      <c r="AH99" s="38"/>
      <c r="AI99" s="38"/>
      <c r="AJ99" s="38"/>
      <c r="AK99" s="38"/>
      <c r="AL99" s="38"/>
      <c r="AM99" s="38"/>
      <c r="AN99" s="38"/>
      <c r="AO99" s="38"/>
      <c r="AP99" s="38"/>
      <c r="AQ99" s="38"/>
      <c r="AR99" s="38"/>
      <c r="AS99" s="38"/>
      <c r="AT99" s="38"/>
      <c r="AU99" s="38"/>
      <c r="AV99" s="38"/>
      <c r="AW99" s="38"/>
      <c r="AX99" s="38"/>
      <c r="AY99" s="38"/>
      <c r="AZ99" s="38"/>
      <c r="BA99" s="38"/>
      <c r="BB99" s="34"/>
      <c r="BC99" s="51"/>
      <c r="BD99" s="477"/>
      <c r="BE99" s="34"/>
      <c r="BF99" s="477"/>
    </row>
    <row r="100" spans="1:58" ht="12.9" customHeight="1">
      <c r="A100" s="41">
        <v>46104</v>
      </c>
      <c r="B100" s="42" t="s">
        <v>422</v>
      </c>
      <c r="C100" s="393">
        <f>(M100*E100*O100*Q100)/100000000</f>
        <v>24.450425999999997</v>
      </c>
      <c r="D100" s="42" t="s">
        <v>423</v>
      </c>
      <c r="E100" s="43">
        <v>15</v>
      </c>
      <c r="F100" s="43">
        <v>1</v>
      </c>
      <c r="G100" s="406">
        <v>1225</v>
      </c>
      <c r="H100" s="533">
        <f>+N100</f>
        <v>0.23000000000000009</v>
      </c>
      <c r="I100" s="45">
        <v>0.88</v>
      </c>
      <c r="J100" s="82">
        <f>E100*G100*(1-H100)*1440/1000000*2.7</f>
        <v>55.010339999999992</v>
      </c>
      <c r="K100" s="82">
        <f>(IF(G100&lt;L100,L100,G100)*(1-IF(H100&lt;N100,H100,N100))*E100*O100*Q100)/100000000</f>
        <v>25.382857499999997</v>
      </c>
      <c r="L100" s="36">
        <v>1180</v>
      </c>
      <c r="M100" s="36">
        <v>908.59999999999991</v>
      </c>
      <c r="N100" s="46">
        <f>1-(M100/L100)</f>
        <v>0.23000000000000009</v>
      </c>
      <c r="O100" s="47">
        <f>+'Trim Rwd'!H61</f>
        <v>260</v>
      </c>
      <c r="P100" s="48">
        <f>O100*(Q100-R100-S100)</f>
        <v>176280</v>
      </c>
      <c r="Q100" s="47">
        <v>690</v>
      </c>
      <c r="R100" s="362">
        <v>0</v>
      </c>
      <c r="S100" s="362">
        <v>12</v>
      </c>
      <c r="T100" s="38">
        <f>E100*M100*O100*Q100/100000000</f>
        <v>24.450425999999997</v>
      </c>
      <c r="U100" s="38">
        <f>E100*M100*O100*(Q100-R100-S100)/100000000</f>
        <v>24.025201199999994</v>
      </c>
      <c r="V100" s="38">
        <f>E100*G100*(1-N100)*O100/100*(R100+S100)/1000000</f>
        <v>0.44144099999999986</v>
      </c>
      <c r="W100" s="38">
        <f>+'23'!K7/1000</f>
        <v>27.837</v>
      </c>
      <c r="X100" s="361">
        <f>SUM(W100:W103)/SUM(K100:K103)</f>
        <v>0.86348074388702756</v>
      </c>
      <c r="Y100" s="38">
        <v>0</v>
      </c>
      <c r="Z100" s="38">
        <f>+'23'!D7/1000</f>
        <v>1.5</v>
      </c>
      <c r="AA100" s="49">
        <f>SUM(U100:U103)-SUM(W100:W103)-SUM(Z100:Z103)-SUM(Y100:Y103)</f>
        <v>3.2861305599999966</v>
      </c>
      <c r="AB100" s="49">
        <f>(SUM(K100:K103)-SUM(W100:W103)-SUM(Y100:Y103)-SUM(Z100:Z103)-SUM(AC100:AC103)-SUM(V100:V103))-AA100</f>
        <v>-2.6396685000000808E-2</v>
      </c>
      <c r="AC100" s="38">
        <f>K100-T100</f>
        <v>0.93243149999999986</v>
      </c>
      <c r="AD100" s="38">
        <f>+AM100+BA100</f>
        <v>4</v>
      </c>
      <c r="AE100" s="226" t="s">
        <v>445</v>
      </c>
      <c r="AF100" s="38">
        <v>4</v>
      </c>
      <c r="AG100" s="38"/>
      <c r="AH100" s="38"/>
      <c r="AI100" s="476"/>
      <c r="AJ100" s="38"/>
      <c r="AK100" s="38"/>
      <c r="AL100" s="38"/>
      <c r="AM100" s="38">
        <f>SUM(AF100:AL100)+AT100+AV100+AX100</f>
        <v>4</v>
      </c>
      <c r="AN100" s="38"/>
      <c r="AO100" s="38"/>
      <c r="AP100" s="38"/>
      <c r="AQ100" s="38"/>
      <c r="AR100" s="38">
        <f>SUM(AN100:AQ100)</f>
        <v>0</v>
      </c>
      <c r="AS100" s="38"/>
      <c r="AT100" s="38"/>
      <c r="AU100" s="38"/>
      <c r="AV100" s="38"/>
      <c r="AW100" s="38"/>
      <c r="AX100" s="38"/>
      <c r="AY100" s="38"/>
      <c r="AZ100" s="38"/>
      <c r="BA100" s="38">
        <f>+AR100+AS100+AU100+AW100+AY100+AZ100</f>
        <v>0</v>
      </c>
      <c r="BB100" s="34">
        <v>2</v>
      </c>
      <c r="BC100" s="51"/>
      <c r="BD100" s="51"/>
      <c r="BE100" s="51"/>
      <c r="BF100" s="51"/>
    </row>
    <row r="101" spans="1:58" ht="12.9" customHeight="1">
      <c r="A101" s="41"/>
      <c r="B101" s="42" t="s">
        <v>422</v>
      </c>
      <c r="C101" s="393">
        <f>(M101*E101*O101*Q101)/100000000</f>
        <v>26.723773125000001</v>
      </c>
      <c r="D101" s="42" t="s">
        <v>423</v>
      </c>
      <c r="E101" s="43">
        <v>13.5</v>
      </c>
      <c r="F101" s="43">
        <v>1</v>
      </c>
      <c r="G101" s="406">
        <v>1250</v>
      </c>
      <c r="H101" s="533">
        <f>+N101</f>
        <v>0.16000000000000003</v>
      </c>
      <c r="I101" s="45">
        <v>0.88</v>
      </c>
      <c r="J101" s="82">
        <f>E101*G101*(1-H101)*1440/1000000*2.7</f>
        <v>55.112400000000001</v>
      </c>
      <c r="K101" s="82">
        <f>(IF(G101&lt;L101,L101,G101)*(1-IF(H101&lt;N101,H101,N101))*E101*O101*Q101)/100000000</f>
        <v>27.269156250000002</v>
      </c>
      <c r="L101" s="36">
        <v>1225</v>
      </c>
      <c r="M101" s="36">
        <v>1029</v>
      </c>
      <c r="N101" s="46">
        <f>1-(M101/L101)</f>
        <v>0.16000000000000003</v>
      </c>
      <c r="O101" s="47">
        <f>+'Trim Rwd'!H62</f>
        <v>256.5</v>
      </c>
      <c r="P101" s="48">
        <f>O101*(Q101-R101-S101)</f>
        <v>188784</v>
      </c>
      <c r="Q101" s="47">
        <v>750</v>
      </c>
      <c r="R101" s="362">
        <v>0</v>
      </c>
      <c r="S101" s="362">
        <v>14</v>
      </c>
      <c r="T101" s="38">
        <f>E101*M101*O101*Q101/100000000</f>
        <v>26.723773125000001</v>
      </c>
      <c r="U101" s="38">
        <f>E101*M101*O101*(Q101-R101-S101)/100000000</f>
        <v>26.224929360000001</v>
      </c>
      <c r="V101" s="38">
        <f>E101*G101*(1-N101)*O101/100*(R101+S101)/1000000</f>
        <v>0.50902424999999996</v>
      </c>
      <c r="W101" s="38">
        <f>+'23'!K10/1000</f>
        <v>17.626999999999999</v>
      </c>
      <c r="X101" s="361"/>
      <c r="Y101" s="209"/>
      <c r="Z101" s="38"/>
      <c r="AA101" s="38"/>
      <c r="AB101" s="38"/>
      <c r="AC101" s="38">
        <f>K101-T101</f>
        <v>0.54538312500000075</v>
      </c>
      <c r="AD101" s="38">
        <f t="shared" ref="AD101:AD102" si="102">+AM101+BA101</f>
        <v>0</v>
      </c>
      <c r="AE101" s="226" t="s">
        <v>419</v>
      </c>
      <c r="AF101" s="38"/>
      <c r="AG101" s="38">
        <v>0</v>
      </c>
      <c r="AH101" s="38"/>
      <c r="AI101" s="476"/>
      <c r="AJ101" s="38"/>
      <c r="AK101" s="38"/>
      <c r="AL101" s="38"/>
      <c r="AM101" s="38">
        <f t="shared" ref="AM101:AM102" si="103">SUM(AF101:AL101)+AT101+AV101+AX101</f>
        <v>0</v>
      </c>
      <c r="AN101" s="83"/>
      <c r="AO101" s="38"/>
      <c r="AP101" s="38"/>
      <c r="AQ101" s="38"/>
      <c r="AR101" s="38">
        <f t="shared" ref="AR101:AR102" si="104">SUM(AN101:AQ101)</f>
        <v>0</v>
      </c>
      <c r="AS101" s="38"/>
      <c r="AT101" s="38"/>
      <c r="AU101" s="38"/>
      <c r="AV101" s="38"/>
      <c r="AW101" s="38"/>
      <c r="AX101" s="38"/>
      <c r="AY101" s="38"/>
      <c r="AZ101" s="38"/>
      <c r="BA101" s="38">
        <f t="shared" ref="BA101:BA102" si="105">+AR101+AS101+AU101+AW101+AY101+AZ101</f>
        <v>0</v>
      </c>
      <c r="BB101" s="50"/>
      <c r="BC101" s="51">
        <v>0</v>
      </c>
      <c r="BD101" s="51"/>
      <c r="BE101" s="51"/>
      <c r="BF101" s="51"/>
    </row>
    <row r="102" spans="1:58" ht="12.9" customHeight="1">
      <c r="A102" s="41"/>
      <c r="B102" s="42"/>
      <c r="C102" s="393"/>
      <c r="D102" s="42"/>
      <c r="E102" s="43"/>
      <c r="F102" s="43"/>
      <c r="G102" s="406"/>
      <c r="H102" s="533"/>
      <c r="I102" s="45"/>
      <c r="J102" s="82"/>
      <c r="K102" s="82"/>
      <c r="L102" s="36"/>
      <c r="M102" s="36"/>
      <c r="N102" s="46"/>
      <c r="O102" s="47"/>
      <c r="P102" s="48"/>
      <c r="Q102" s="47"/>
      <c r="R102" s="362"/>
      <c r="S102" s="362"/>
      <c r="T102" s="38"/>
      <c r="U102" s="38"/>
      <c r="V102" s="38"/>
      <c r="W102" s="38"/>
      <c r="X102" s="361"/>
      <c r="Y102" s="209"/>
      <c r="Z102" s="38"/>
      <c r="AA102" s="38"/>
      <c r="AB102" s="38"/>
      <c r="AC102" s="38"/>
      <c r="AD102" s="38">
        <f t="shared" si="102"/>
        <v>22</v>
      </c>
      <c r="AE102" s="226" t="s">
        <v>651</v>
      </c>
      <c r="AF102" s="34"/>
      <c r="AG102" s="34"/>
      <c r="AH102" s="34">
        <v>22</v>
      </c>
      <c r="AJ102" s="38"/>
      <c r="AK102" s="38"/>
      <c r="AL102" s="38"/>
      <c r="AM102" s="38">
        <f t="shared" si="103"/>
        <v>22</v>
      </c>
      <c r="AN102" s="38"/>
      <c r="AO102" s="38"/>
      <c r="AP102" s="38"/>
      <c r="AQ102" s="38"/>
      <c r="AR102" s="38">
        <f t="shared" si="104"/>
        <v>0</v>
      </c>
      <c r="AS102" s="38"/>
      <c r="AT102" s="38"/>
      <c r="AU102" s="38"/>
      <c r="AV102" s="38"/>
      <c r="AW102" s="38"/>
      <c r="AX102" s="38"/>
      <c r="AY102" s="38"/>
      <c r="AZ102" s="38"/>
      <c r="BA102" s="38">
        <f t="shared" si="105"/>
        <v>0</v>
      </c>
      <c r="BB102" s="34"/>
      <c r="BC102" s="477"/>
      <c r="BD102" s="51"/>
      <c r="BE102" s="51"/>
      <c r="BF102" s="51"/>
    </row>
    <row r="103" spans="1:58" ht="12.9" customHeight="1">
      <c r="A103" s="41"/>
      <c r="B103" s="42"/>
      <c r="C103" s="393"/>
      <c r="D103" s="42"/>
      <c r="E103" s="43"/>
      <c r="F103" s="43"/>
      <c r="G103" s="406"/>
      <c r="H103" s="533"/>
      <c r="I103" s="45"/>
      <c r="J103" s="82"/>
      <c r="K103" s="82"/>
      <c r="L103" s="36"/>
      <c r="M103" s="36"/>
      <c r="N103" s="46"/>
      <c r="O103" s="47"/>
      <c r="P103" s="48"/>
      <c r="Q103" s="47"/>
      <c r="R103" s="362"/>
      <c r="S103" s="362"/>
      <c r="T103" s="38"/>
      <c r="U103" s="38"/>
      <c r="V103" s="38"/>
      <c r="W103" s="38"/>
      <c r="X103" s="361"/>
      <c r="Y103" s="209"/>
      <c r="Z103" s="38"/>
      <c r="AA103" s="38"/>
      <c r="AB103" s="38"/>
      <c r="AC103" s="38"/>
      <c r="AD103" s="38"/>
      <c r="AE103" s="226"/>
      <c r="AF103" s="38"/>
      <c r="AG103" s="38"/>
      <c r="AH103" s="38"/>
      <c r="AI103" s="476"/>
      <c r="AJ103" s="38"/>
      <c r="AK103" s="38"/>
      <c r="AL103" s="38"/>
      <c r="AM103" s="38"/>
      <c r="AN103" s="83"/>
      <c r="AO103" s="38"/>
      <c r="AP103" s="38"/>
      <c r="AQ103" s="38"/>
      <c r="AR103" s="38"/>
      <c r="AS103" s="38"/>
      <c r="AT103" s="38"/>
      <c r="AU103" s="38"/>
      <c r="AV103" s="38"/>
      <c r="AW103" s="38"/>
      <c r="AX103" s="38"/>
      <c r="AY103" s="38"/>
      <c r="AZ103" s="38"/>
      <c r="BA103" s="38"/>
      <c r="BB103" s="50"/>
      <c r="BC103" s="51"/>
      <c r="BD103" s="51"/>
      <c r="BE103" s="51"/>
      <c r="BF103" s="51"/>
    </row>
    <row r="104" spans="1:58" ht="12.75" customHeight="1">
      <c r="A104" s="41">
        <v>46105</v>
      </c>
      <c r="B104" s="42" t="s">
        <v>422</v>
      </c>
      <c r="C104" s="393">
        <f>(M104*E104*O104*Q104)/100000000</f>
        <v>52.459860599999999</v>
      </c>
      <c r="D104" s="42" t="s">
        <v>423</v>
      </c>
      <c r="E104" s="43">
        <v>13.5</v>
      </c>
      <c r="F104" s="43">
        <v>1</v>
      </c>
      <c r="G104" s="406">
        <v>1250</v>
      </c>
      <c r="H104" s="533">
        <f>+N104</f>
        <v>0.16000000000000003</v>
      </c>
      <c r="I104" s="45">
        <v>0.88</v>
      </c>
      <c r="J104" s="82">
        <f>E104*G104*(1-H104)*1440/1000000*2.7</f>
        <v>55.112400000000001</v>
      </c>
      <c r="K104" s="82">
        <f>(IF(G104&lt;L104,L104,G104)*(1-IF(H104&lt;N104,H104,N104))*E104*O104*Q104)/100000000</f>
        <v>53.530470000000001</v>
      </c>
      <c r="L104" s="36">
        <v>1225</v>
      </c>
      <c r="M104" s="36">
        <v>1029</v>
      </c>
      <c r="N104" s="46">
        <f>1-(M104/L104)</f>
        <v>0.16000000000000003</v>
      </c>
      <c r="O104" s="47">
        <f>+'Trim Rwd'!H64</f>
        <v>262.25</v>
      </c>
      <c r="P104" s="48">
        <f>O104*(Q104-R104-S104)</f>
        <v>369772.5</v>
      </c>
      <c r="Q104" s="47">
        <v>1440</v>
      </c>
      <c r="R104" s="362">
        <v>0</v>
      </c>
      <c r="S104" s="362">
        <v>30</v>
      </c>
      <c r="T104" s="38">
        <f>E104*M104*O104*Q104/100000000</f>
        <v>52.459860599999999</v>
      </c>
      <c r="U104" s="38">
        <f>E104*M104*O104*(Q104-R104-S104)/100000000</f>
        <v>51.366946837500002</v>
      </c>
      <c r="V104" s="38">
        <f>E104*G104*(1-N104)*O104/100*(R104+S104)/1000000</f>
        <v>1.1152181249999999</v>
      </c>
      <c r="W104" s="38">
        <f>+'24'!K10/1000</f>
        <v>50.433</v>
      </c>
      <c r="X104" s="361">
        <f>SUM(W104:W107)/SUM(K104:K107)</f>
        <v>0.94213631974462397</v>
      </c>
      <c r="Y104" s="38">
        <v>0</v>
      </c>
      <c r="Z104" s="38">
        <f>+'23'!D11/1000</f>
        <v>0</v>
      </c>
      <c r="AA104" s="49">
        <f>SUM(U104:U107)-SUM(W104:W107)-SUM(Z104:Z107)-SUM(Y104:Y107)</f>
        <v>0.9339468375000024</v>
      </c>
      <c r="AB104" s="49">
        <f>(SUM(K104:K107)-SUM(W104:W107)-SUM(Y104:Y107)-SUM(Z104:Z107)-SUM(AC104:AC107)-SUM(V104:V107))-AA104</f>
        <v>-2.2304362500003228E-2</v>
      </c>
      <c r="AC104" s="38">
        <f>K104-T104</f>
        <v>1.0706094000000022</v>
      </c>
      <c r="AD104" s="38">
        <f>+AM104+BA104</f>
        <v>8</v>
      </c>
      <c r="AE104" s="226" t="s">
        <v>696</v>
      </c>
      <c r="AF104" s="38">
        <v>8</v>
      </c>
      <c r="AG104" s="38"/>
      <c r="AH104" s="38"/>
      <c r="AI104" s="476"/>
      <c r="AJ104" s="38"/>
      <c r="AK104" s="38"/>
      <c r="AL104" s="38"/>
      <c r="AM104" s="38">
        <f>SUM(AF104:AL104)+AT104+AV104+AX104</f>
        <v>8</v>
      </c>
      <c r="AN104" s="38"/>
      <c r="AO104" s="38"/>
      <c r="AP104" s="38"/>
      <c r="AQ104" s="38"/>
      <c r="AR104" s="38">
        <f>SUM(AN104:AQ104)</f>
        <v>0</v>
      </c>
      <c r="AS104" s="38"/>
      <c r="AT104" s="38"/>
      <c r="AU104" s="38"/>
      <c r="AV104" s="38"/>
      <c r="AW104" s="38"/>
      <c r="AX104" s="38"/>
      <c r="AY104" s="38"/>
      <c r="AZ104" s="38"/>
      <c r="BA104" s="38">
        <f>+AR104+AS104+AU104+AW104+AY104+AZ104</f>
        <v>0</v>
      </c>
      <c r="BB104" s="34">
        <v>4</v>
      </c>
      <c r="BC104" s="51"/>
      <c r="BD104" s="51"/>
      <c r="BE104" s="51"/>
      <c r="BF104" s="51"/>
    </row>
    <row r="105" spans="1:58" ht="12.9" customHeight="1">
      <c r="A105" s="41"/>
      <c r="B105" s="42"/>
      <c r="C105" s="393"/>
      <c r="D105" s="42"/>
      <c r="E105" s="43"/>
      <c r="F105" s="43"/>
      <c r="G105" s="406"/>
      <c r="H105" s="533"/>
      <c r="I105" s="45"/>
      <c r="J105" s="82"/>
      <c r="K105" s="82"/>
      <c r="L105" s="36"/>
      <c r="M105" s="36"/>
      <c r="N105" s="46"/>
      <c r="O105" s="47"/>
      <c r="P105" s="48"/>
      <c r="Q105" s="47"/>
      <c r="R105" s="362"/>
      <c r="S105" s="362"/>
      <c r="T105" s="38"/>
      <c r="U105" s="38"/>
      <c r="V105" s="38"/>
      <c r="W105" s="38"/>
      <c r="X105" s="361"/>
      <c r="Y105" s="209"/>
      <c r="Z105" s="38"/>
      <c r="AA105" s="38"/>
      <c r="AB105" s="38"/>
      <c r="AC105" s="38"/>
      <c r="AD105" s="38">
        <f t="shared" ref="AD105:AD106" si="106">+AM105+BA105</f>
        <v>0</v>
      </c>
      <c r="AE105" s="226" t="s">
        <v>419</v>
      </c>
      <c r="AF105" s="38"/>
      <c r="AG105" s="38">
        <v>0</v>
      </c>
      <c r="AH105" s="38"/>
      <c r="AI105" s="476"/>
      <c r="AJ105" s="38"/>
      <c r="AK105" s="38"/>
      <c r="AL105" s="38"/>
      <c r="AM105" s="38">
        <f t="shared" ref="AM105:AM106" si="107">SUM(AF105:AL105)+AT105+AV105+AX105</f>
        <v>0</v>
      </c>
      <c r="AN105" s="83"/>
      <c r="AO105" s="38"/>
      <c r="AP105" s="38"/>
      <c r="AQ105" s="38"/>
      <c r="AR105" s="38">
        <f t="shared" ref="AR105:AR106" si="108">SUM(AN105:AQ105)</f>
        <v>0</v>
      </c>
      <c r="AS105" s="38"/>
      <c r="AT105" s="38"/>
      <c r="AU105" s="38"/>
      <c r="AV105" s="38"/>
      <c r="AW105" s="38"/>
      <c r="AX105" s="38"/>
      <c r="AY105" s="38"/>
      <c r="AZ105" s="38"/>
      <c r="BA105" s="38">
        <f t="shared" ref="BA105:BA106" si="109">+AR105+AS105+AU105+AW105+AY105+AZ105</f>
        <v>0</v>
      </c>
      <c r="BB105" s="50"/>
      <c r="BC105" s="51">
        <v>0</v>
      </c>
      <c r="BD105" s="51"/>
      <c r="BE105" s="51"/>
      <c r="BF105" s="51"/>
    </row>
    <row r="106" spans="1:58" ht="12.9" customHeight="1">
      <c r="A106" s="41"/>
      <c r="B106" s="42"/>
      <c r="C106" s="393"/>
      <c r="D106" s="42"/>
      <c r="E106" s="43"/>
      <c r="F106" s="43"/>
      <c r="G106" s="406"/>
      <c r="H106" s="533"/>
      <c r="I106" s="45"/>
      <c r="J106" s="82"/>
      <c r="K106" s="82"/>
      <c r="L106" s="36"/>
      <c r="M106" s="36"/>
      <c r="N106" s="46"/>
      <c r="O106" s="47"/>
      <c r="P106" s="48"/>
      <c r="Q106" s="47"/>
      <c r="R106" s="362"/>
      <c r="S106" s="362"/>
      <c r="T106" s="38"/>
      <c r="U106" s="38"/>
      <c r="V106" s="38"/>
      <c r="W106" s="38"/>
      <c r="X106" s="361"/>
      <c r="Y106" s="209"/>
      <c r="Z106" s="38"/>
      <c r="AA106" s="38"/>
      <c r="AB106" s="38"/>
      <c r="AC106" s="38"/>
      <c r="AD106" s="38">
        <f t="shared" si="106"/>
        <v>22</v>
      </c>
      <c r="AE106" s="226" t="s">
        <v>457</v>
      </c>
      <c r="AF106" s="34"/>
      <c r="AG106" s="34"/>
      <c r="AH106" s="34">
        <v>22</v>
      </c>
      <c r="AJ106" s="38"/>
      <c r="AK106" s="38"/>
      <c r="AL106" s="38"/>
      <c r="AM106" s="38">
        <f t="shared" si="107"/>
        <v>22</v>
      </c>
      <c r="AN106" s="38"/>
      <c r="AO106" s="38"/>
      <c r="AP106" s="38"/>
      <c r="AQ106" s="38"/>
      <c r="AR106" s="38">
        <f t="shared" si="108"/>
        <v>0</v>
      </c>
      <c r="AS106" s="38"/>
      <c r="AT106" s="38"/>
      <c r="AU106" s="38"/>
      <c r="AV106" s="38"/>
      <c r="AW106" s="38"/>
      <c r="AX106" s="38"/>
      <c r="AY106" s="38"/>
      <c r="AZ106" s="38"/>
      <c r="BA106" s="38">
        <f t="shared" si="109"/>
        <v>0</v>
      </c>
      <c r="BB106" s="34"/>
      <c r="BC106" s="477"/>
      <c r="BD106" s="51"/>
      <c r="BE106" s="51"/>
      <c r="BF106" s="51"/>
    </row>
    <row r="107" spans="1:58" ht="12.9" customHeight="1">
      <c r="A107" s="41"/>
      <c r="B107" s="42"/>
      <c r="C107" s="393"/>
      <c r="D107" s="42"/>
      <c r="E107" s="43"/>
      <c r="F107" s="43"/>
      <c r="G107" s="406"/>
      <c r="H107" s="533"/>
      <c r="I107" s="45"/>
      <c r="J107" s="82"/>
      <c r="K107" s="82"/>
      <c r="L107" s="36"/>
      <c r="M107" s="36"/>
      <c r="N107" s="46"/>
      <c r="O107" s="47"/>
      <c r="P107" s="48"/>
      <c r="Q107" s="47"/>
      <c r="R107" s="362"/>
      <c r="S107" s="362"/>
      <c r="T107" s="38"/>
      <c r="U107" s="38"/>
      <c r="V107" s="38"/>
      <c r="W107" s="38"/>
      <c r="X107" s="361"/>
      <c r="Y107" s="209"/>
      <c r="Z107" s="38"/>
      <c r="AA107" s="38"/>
      <c r="AB107" s="38"/>
      <c r="AC107" s="38"/>
      <c r="AD107" s="38"/>
      <c r="AE107" s="226"/>
      <c r="AF107" s="38"/>
      <c r="AG107" s="38"/>
      <c r="AH107" s="38"/>
      <c r="AI107" s="476"/>
      <c r="AJ107" s="38"/>
      <c r="AK107" s="38"/>
      <c r="AL107" s="38"/>
      <c r="AM107" s="38"/>
      <c r="AN107" s="83"/>
      <c r="AO107" s="38"/>
      <c r="AP107" s="38"/>
      <c r="AQ107" s="38"/>
      <c r="AR107" s="38"/>
      <c r="AS107" s="38"/>
      <c r="AT107" s="38"/>
      <c r="AU107" s="38"/>
      <c r="AV107" s="38"/>
      <c r="AW107" s="38"/>
      <c r="AX107" s="38"/>
      <c r="AY107" s="38"/>
      <c r="AZ107" s="38"/>
      <c r="BA107" s="38"/>
      <c r="BB107" s="50"/>
      <c r="BC107" s="51"/>
      <c r="BD107" s="51"/>
      <c r="BE107" s="51"/>
      <c r="BF107" s="51"/>
    </row>
    <row r="108" spans="1:58" ht="12.75" customHeight="1">
      <c r="A108" s="41">
        <v>46106</v>
      </c>
      <c r="B108" s="42" t="s">
        <v>422</v>
      </c>
      <c r="C108" s="393">
        <f>(M108*E108*O108*Q108)/100000000</f>
        <v>51.669086962500003</v>
      </c>
      <c r="D108" s="42" t="s">
        <v>423</v>
      </c>
      <c r="E108" s="43">
        <v>13.5</v>
      </c>
      <c r="F108" s="43">
        <v>1</v>
      </c>
      <c r="G108" s="406">
        <v>1250</v>
      </c>
      <c r="H108" s="533">
        <f>+N108</f>
        <v>0.16000000000000003</v>
      </c>
      <c r="I108" s="45">
        <v>0.88</v>
      </c>
      <c r="J108" s="82">
        <f>E108*G108*(1-H108)*1440/1000000*2.7</f>
        <v>55.112400000000001</v>
      </c>
      <c r="K108" s="82">
        <f>(IF(G108&lt;L108,L108,G108)*(1-IF(H108&lt;N108,H108,N108))*E108*O108*Q108)/100000000</f>
        <v>52.723558124999997</v>
      </c>
      <c r="L108" s="36">
        <v>1225</v>
      </c>
      <c r="M108" s="36">
        <v>1029</v>
      </c>
      <c r="N108" s="46">
        <f>1-(M108/L108)</f>
        <v>0.16000000000000003</v>
      </c>
      <c r="O108" s="47">
        <f>+'Trim Rwd'!H67</f>
        <v>258.296875</v>
      </c>
      <c r="P108" s="48">
        <f>O108*(Q108-R108-S108)</f>
        <v>362648.8125</v>
      </c>
      <c r="Q108" s="47">
        <v>1440</v>
      </c>
      <c r="R108" s="362">
        <v>0</v>
      </c>
      <c r="S108" s="362">
        <v>36</v>
      </c>
      <c r="T108" s="38">
        <f>E108*M108*O108*Q108/100000000</f>
        <v>51.669086962500003</v>
      </c>
      <c r="U108" s="38">
        <f>E108*M108*O108*(Q108-R108-S108)/100000000</f>
        <v>50.377359788437502</v>
      </c>
      <c r="V108" s="38">
        <f>E108*G108*(1-N108)*O108/100*(R108+S108)/1000000</f>
        <v>1.318088953125</v>
      </c>
      <c r="W108" s="38">
        <f>+'25'!K10/1000</f>
        <v>53.863999999999997</v>
      </c>
      <c r="X108" s="361">
        <f>SUM(W108:W111)/SUM(K108:K111)</f>
        <v>1.0216305939044588</v>
      </c>
      <c r="Y108" s="38">
        <v>0</v>
      </c>
      <c r="Z108" s="38">
        <v>0</v>
      </c>
      <c r="AA108" s="49">
        <f>SUM(U108:U111)-SUM(W108:W111)-SUM(Z108:Z111)-SUM(Y108:Y111)</f>
        <v>-3.486640211562495</v>
      </c>
      <c r="AB108" s="49">
        <f>(SUM(K108:K111)-SUM(W108:W111)-SUM(Y108:Y111)-SUM(Z108:Z111)-SUM(AC108:AC111)-SUM(V108:V111))-AA108</f>
        <v>-2.6361779062498591E-2</v>
      </c>
      <c r="AC108" s="38">
        <f>K108-T108</f>
        <v>1.0544711624999934</v>
      </c>
      <c r="AD108" s="38">
        <f>+AM108+BA108</f>
        <v>0</v>
      </c>
      <c r="AE108" s="226" t="s">
        <v>417</v>
      </c>
      <c r="AF108" s="38">
        <v>0</v>
      </c>
      <c r="AG108" s="38"/>
      <c r="AH108" s="38"/>
      <c r="AI108" s="476"/>
      <c r="AJ108" s="38"/>
      <c r="AK108" s="38"/>
      <c r="AL108" s="38"/>
      <c r="AM108" s="38">
        <f>SUM(AF108:AL108)+AT108+AV108+AX108</f>
        <v>0</v>
      </c>
      <c r="AN108" s="38"/>
      <c r="AO108" s="38"/>
      <c r="AP108" s="38"/>
      <c r="AQ108" s="38"/>
      <c r="AR108" s="38">
        <f>SUM(AN108:AQ108)</f>
        <v>0</v>
      </c>
      <c r="AS108" s="38"/>
      <c r="AT108" s="38"/>
      <c r="AU108" s="38"/>
      <c r="AV108" s="38"/>
      <c r="AW108" s="38"/>
      <c r="AX108" s="38"/>
      <c r="AY108" s="38"/>
      <c r="AZ108" s="38"/>
      <c r="BA108" s="38">
        <f>+AR108+AS108+AU108+AW108+AY108+AZ108</f>
        <v>0</v>
      </c>
      <c r="BB108" s="34">
        <v>0</v>
      </c>
      <c r="BC108" s="51"/>
      <c r="BD108" s="51"/>
      <c r="BE108" s="51"/>
      <c r="BF108" s="51"/>
    </row>
    <row r="109" spans="1:58" ht="12.9" customHeight="1">
      <c r="A109" s="41"/>
      <c r="B109" s="42"/>
      <c r="C109" s="393"/>
      <c r="D109" s="42"/>
      <c r="E109" s="43"/>
      <c r="F109" s="43"/>
      <c r="G109" s="406"/>
      <c r="H109" s="533"/>
      <c r="I109" s="45"/>
      <c r="J109" s="82"/>
      <c r="K109" s="82"/>
      <c r="L109" s="36"/>
      <c r="M109" s="36"/>
      <c r="N109" s="46"/>
      <c r="O109" s="47"/>
      <c r="P109" s="48"/>
      <c r="Q109" s="47"/>
      <c r="R109" s="362"/>
      <c r="S109" s="362"/>
      <c r="T109" s="38"/>
      <c r="U109" s="38"/>
      <c r="V109" s="38"/>
      <c r="W109" s="38"/>
      <c r="X109" s="361"/>
      <c r="Y109" s="209"/>
      <c r="Z109" s="38"/>
      <c r="AA109" s="38"/>
      <c r="AB109" s="38"/>
      <c r="AC109" s="38"/>
      <c r="AD109" s="38">
        <f t="shared" ref="AD109:AD110" si="110">+AM109+BA109</f>
        <v>8</v>
      </c>
      <c r="AE109" s="226" t="s">
        <v>653</v>
      </c>
      <c r="AF109" s="38"/>
      <c r="AG109" s="38">
        <v>8</v>
      </c>
      <c r="AH109" s="38"/>
      <c r="AI109" s="476"/>
      <c r="AJ109" s="38"/>
      <c r="AK109" s="38"/>
      <c r="AL109" s="38"/>
      <c r="AM109" s="38">
        <f t="shared" ref="AM109:AM110" si="111">SUM(AF109:AL109)+AT109+AV109+AX109</f>
        <v>8</v>
      </c>
      <c r="AN109" s="83"/>
      <c r="AO109" s="38"/>
      <c r="AP109" s="38"/>
      <c r="AQ109" s="38"/>
      <c r="AR109" s="38">
        <f t="shared" ref="AR109:AR110" si="112">SUM(AN109:AQ109)</f>
        <v>0</v>
      </c>
      <c r="AS109" s="38"/>
      <c r="AT109" s="38"/>
      <c r="AU109" s="38"/>
      <c r="AV109" s="38"/>
      <c r="AW109" s="38"/>
      <c r="AX109" s="38"/>
      <c r="AY109" s="38"/>
      <c r="AZ109" s="38"/>
      <c r="BA109" s="38">
        <f t="shared" ref="BA109:BA110" si="113">+AR109+AS109+AU109+AW109+AY109+AZ109</f>
        <v>0</v>
      </c>
      <c r="BB109" s="50"/>
      <c r="BC109" s="51">
        <v>3</v>
      </c>
      <c r="BD109" s="51"/>
      <c r="BE109" s="51"/>
      <c r="BF109" s="51"/>
    </row>
    <row r="110" spans="1:58" ht="12.9" customHeight="1">
      <c r="A110" s="41"/>
      <c r="B110" s="42"/>
      <c r="C110" s="393"/>
      <c r="D110" s="42"/>
      <c r="E110" s="43"/>
      <c r="F110" s="43"/>
      <c r="G110" s="406"/>
      <c r="H110" s="533"/>
      <c r="I110" s="45"/>
      <c r="J110" s="82"/>
      <c r="K110" s="82"/>
      <c r="L110" s="36"/>
      <c r="M110" s="36"/>
      <c r="N110" s="46"/>
      <c r="O110" s="47"/>
      <c r="P110" s="48"/>
      <c r="Q110" s="47"/>
      <c r="R110" s="362"/>
      <c r="S110" s="362"/>
      <c r="T110" s="38"/>
      <c r="U110" s="38"/>
      <c r="V110" s="38"/>
      <c r="W110" s="38"/>
      <c r="X110" s="361"/>
      <c r="Y110" s="209"/>
      <c r="Z110" s="38"/>
      <c r="AA110" s="38"/>
      <c r="AB110" s="38"/>
      <c r="AC110" s="38"/>
      <c r="AD110" s="38">
        <f t="shared" si="110"/>
        <v>28</v>
      </c>
      <c r="AE110" s="226" t="s">
        <v>392</v>
      </c>
      <c r="AF110" s="34"/>
      <c r="AG110" s="34"/>
      <c r="AH110" s="34">
        <v>28</v>
      </c>
      <c r="AJ110" s="38"/>
      <c r="AK110" s="38"/>
      <c r="AL110" s="38"/>
      <c r="AM110" s="38">
        <f t="shared" si="111"/>
        <v>28</v>
      </c>
      <c r="AN110" s="38"/>
      <c r="AO110" s="38"/>
      <c r="AP110" s="38"/>
      <c r="AQ110" s="38"/>
      <c r="AR110" s="38">
        <f t="shared" si="112"/>
        <v>0</v>
      </c>
      <c r="AS110" s="38"/>
      <c r="AT110" s="38"/>
      <c r="AU110" s="38"/>
      <c r="AV110" s="38"/>
      <c r="AW110" s="38"/>
      <c r="AX110" s="38"/>
      <c r="AY110" s="38"/>
      <c r="AZ110" s="38"/>
      <c r="BA110" s="38">
        <f t="shared" si="113"/>
        <v>0</v>
      </c>
      <c r="BB110" s="34"/>
      <c r="BC110" s="477"/>
      <c r="BD110" s="51"/>
      <c r="BE110" s="51"/>
      <c r="BF110" s="51"/>
    </row>
    <row r="111" spans="1:58" ht="12.9" customHeight="1">
      <c r="A111" s="41"/>
      <c r="B111" s="42"/>
      <c r="C111" s="393"/>
      <c r="D111" s="42"/>
      <c r="E111" s="43"/>
      <c r="F111" s="43"/>
      <c r="G111" s="406"/>
      <c r="H111" s="533"/>
      <c r="I111" s="45"/>
      <c r="J111" s="82"/>
      <c r="K111" s="82"/>
      <c r="L111" s="36"/>
      <c r="M111" s="36"/>
      <c r="N111" s="46"/>
      <c r="O111" s="47"/>
      <c r="P111" s="48"/>
      <c r="Q111" s="47"/>
      <c r="R111" s="362"/>
      <c r="S111" s="362"/>
      <c r="T111" s="38"/>
      <c r="U111" s="38"/>
      <c r="V111" s="38"/>
      <c r="W111" s="38"/>
      <c r="X111" s="361"/>
      <c r="Y111" s="209"/>
      <c r="Z111" s="38"/>
      <c r="AA111" s="49"/>
      <c r="AB111" s="49"/>
      <c r="AC111" s="38"/>
      <c r="AD111" s="38"/>
      <c r="AE111" s="226"/>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4"/>
      <c r="BC111" s="51"/>
      <c r="BD111" s="51"/>
      <c r="BE111" s="51"/>
      <c r="BF111" s="51"/>
    </row>
    <row r="112" spans="1:58" ht="12.75" customHeight="1">
      <c r="A112" s="41">
        <v>46107</v>
      </c>
      <c r="B112" s="42" t="s">
        <v>422</v>
      </c>
      <c r="C112" s="393">
        <f>(M112*E112*O112*Q112)/100000000</f>
        <v>51.309644400000003</v>
      </c>
      <c r="D112" s="42" t="s">
        <v>423</v>
      </c>
      <c r="E112" s="43">
        <v>13.5</v>
      </c>
      <c r="F112" s="43">
        <v>1</v>
      </c>
      <c r="G112" s="406">
        <v>1250</v>
      </c>
      <c r="H112" s="533">
        <f>+N112</f>
        <v>0.16000000000000003</v>
      </c>
      <c r="I112" s="45">
        <v>0.88</v>
      </c>
      <c r="J112" s="82">
        <f>E112*G112*(1-H112)*1440/1000000*2.7</f>
        <v>55.112400000000001</v>
      </c>
      <c r="K112" s="82">
        <f>(IF(G112&lt;L112,L112,G112)*(1-IF(H112&lt;N112,H112,N112))*E112*O112*Q112)/100000000</f>
        <v>52.356780000000001</v>
      </c>
      <c r="L112" s="36">
        <v>1225</v>
      </c>
      <c r="M112" s="36">
        <v>1029</v>
      </c>
      <c r="N112" s="46">
        <f>1-(M112/L112)</f>
        <v>0.16000000000000003</v>
      </c>
      <c r="O112" s="47">
        <f>+'Trim Rwd'!H70</f>
        <v>256.5</v>
      </c>
      <c r="P112" s="48">
        <f>O112*(Q112-R112-S112)</f>
        <v>360639</v>
      </c>
      <c r="Q112" s="47">
        <v>1440</v>
      </c>
      <c r="R112" s="362">
        <v>0</v>
      </c>
      <c r="S112" s="362">
        <v>34</v>
      </c>
      <c r="T112" s="38">
        <f>E112*M112*O112*Q112/100000000</f>
        <v>51.309644400000003</v>
      </c>
      <c r="U112" s="38">
        <f>E112*M112*O112*(Q112-R112-S112)/100000000</f>
        <v>50.098166685000002</v>
      </c>
      <c r="V112" s="38">
        <f>E112*G112*(1-N112)*O112/100*(R112+S112)/1000000</f>
        <v>1.23620175</v>
      </c>
      <c r="W112" s="38">
        <f>+'26'!K10/1000</f>
        <v>49.85</v>
      </c>
      <c r="X112" s="361">
        <f>SUM(W112:W115)/SUM(K112:K115)</f>
        <v>0.95212119614689827</v>
      </c>
      <c r="Y112" s="38">
        <v>0</v>
      </c>
      <c r="Z112" s="38">
        <f>+'23'!D19/1000</f>
        <v>0</v>
      </c>
      <c r="AA112" s="49">
        <f>SUM(U112:U115)-SUM(W112:W115)-SUM(Z112:Z115)-SUM(Y112:Y115)</f>
        <v>0.24816668500000105</v>
      </c>
      <c r="AB112" s="49">
        <f>(SUM(K112:K115)-SUM(W112:W115)-SUM(Y112:Y115)-SUM(Z112:Z115)-SUM(AC112:AC115)-SUM(V112:V115))-AA112</f>
        <v>-2.4724034999999089E-2</v>
      </c>
      <c r="AC112" s="38">
        <f>K112-T112</f>
        <v>1.0471355999999972</v>
      </c>
      <c r="AD112" s="38">
        <f>+AM112+BA112</f>
        <v>0</v>
      </c>
      <c r="AE112" s="226" t="s">
        <v>417</v>
      </c>
      <c r="AF112" s="38">
        <v>0</v>
      </c>
      <c r="AG112" s="38"/>
      <c r="AH112" s="38"/>
      <c r="AI112" s="476"/>
      <c r="AJ112" s="38"/>
      <c r="AK112" s="38"/>
      <c r="AL112" s="38"/>
      <c r="AM112" s="38">
        <f>SUM(AF112:AL112)+AT112+AV112+AX112</f>
        <v>0</v>
      </c>
      <c r="AN112" s="38"/>
      <c r="AO112" s="38"/>
      <c r="AP112" s="38"/>
      <c r="AQ112" s="38"/>
      <c r="AR112" s="38">
        <f>SUM(AN112:AQ112)</f>
        <v>0</v>
      </c>
      <c r="AS112" s="38"/>
      <c r="AT112" s="38"/>
      <c r="AU112" s="38"/>
      <c r="AV112" s="38"/>
      <c r="AW112" s="38"/>
      <c r="AX112" s="38"/>
      <c r="AY112" s="38"/>
      <c r="AZ112" s="38"/>
      <c r="BA112" s="38">
        <f>+AR112+AS112+AU112+AW112+AY112+AZ112</f>
        <v>0</v>
      </c>
      <c r="BB112" s="34">
        <v>0</v>
      </c>
      <c r="BC112" s="51"/>
      <c r="BD112" s="51"/>
      <c r="BE112" s="51"/>
      <c r="BF112" s="51"/>
    </row>
    <row r="113" spans="1:58" ht="12.9" customHeight="1">
      <c r="A113" s="41"/>
      <c r="B113" s="42"/>
      <c r="C113" s="393"/>
      <c r="D113" s="42"/>
      <c r="E113" s="43"/>
      <c r="F113" s="43"/>
      <c r="G113" s="406"/>
      <c r="H113" s="533"/>
      <c r="I113" s="45"/>
      <c r="J113" s="82"/>
      <c r="K113" s="82"/>
      <c r="L113" s="36"/>
      <c r="M113" s="36"/>
      <c r="N113" s="46"/>
      <c r="O113" s="47"/>
      <c r="P113" s="48"/>
      <c r="Q113" s="47"/>
      <c r="R113" s="362"/>
      <c r="S113" s="362"/>
      <c r="T113" s="38"/>
      <c r="U113" s="38"/>
      <c r="V113" s="38"/>
      <c r="W113" s="38"/>
      <c r="X113" s="361"/>
      <c r="Y113" s="209"/>
      <c r="Z113" s="38"/>
      <c r="AA113" s="38"/>
      <c r="AB113" s="38"/>
      <c r="AC113" s="38"/>
      <c r="AD113" s="38">
        <f t="shared" ref="AD113:AD114" si="114">+AM113+BA113</f>
        <v>2</v>
      </c>
      <c r="AE113" s="226" t="s">
        <v>416</v>
      </c>
      <c r="AF113" s="38"/>
      <c r="AG113" s="38">
        <v>2</v>
      </c>
      <c r="AH113" s="38"/>
      <c r="AI113" s="476"/>
      <c r="AJ113" s="38"/>
      <c r="AK113" s="38"/>
      <c r="AL113" s="38"/>
      <c r="AM113" s="38">
        <f t="shared" ref="AM113:AM114" si="115">SUM(AF113:AL113)+AT113+AV113+AX113</f>
        <v>2</v>
      </c>
      <c r="AN113" s="83"/>
      <c r="AO113" s="38"/>
      <c r="AP113" s="38"/>
      <c r="AQ113" s="38"/>
      <c r="AR113" s="38">
        <f t="shared" ref="AR113:AR114" si="116">SUM(AN113:AQ113)</f>
        <v>0</v>
      </c>
      <c r="AS113" s="38"/>
      <c r="AT113" s="38"/>
      <c r="AU113" s="38"/>
      <c r="AV113" s="38"/>
      <c r="AW113" s="38"/>
      <c r="AX113" s="38"/>
      <c r="AY113" s="38"/>
      <c r="AZ113" s="38"/>
      <c r="BA113" s="38">
        <f t="shared" ref="BA113:BA114" si="117">+AR113+AS113+AU113+AW113+AY113+AZ113</f>
        <v>0</v>
      </c>
      <c r="BB113" s="50"/>
      <c r="BC113" s="51">
        <v>1</v>
      </c>
      <c r="BD113" s="51"/>
      <c r="BE113" s="51"/>
      <c r="BF113" s="51"/>
    </row>
    <row r="114" spans="1:58" ht="12.9" customHeight="1">
      <c r="A114" s="41"/>
      <c r="B114" s="42"/>
      <c r="C114" s="393"/>
      <c r="D114" s="42"/>
      <c r="E114" s="43"/>
      <c r="F114" s="43"/>
      <c r="G114" s="406"/>
      <c r="H114" s="533"/>
      <c r="I114" s="45"/>
      <c r="J114" s="82"/>
      <c r="K114" s="82"/>
      <c r="L114" s="36"/>
      <c r="M114" s="36"/>
      <c r="N114" s="46"/>
      <c r="O114" s="47"/>
      <c r="P114" s="48"/>
      <c r="Q114" s="47"/>
      <c r="R114" s="362"/>
      <c r="S114" s="362"/>
      <c r="T114" s="38"/>
      <c r="U114" s="38"/>
      <c r="V114" s="38"/>
      <c r="W114" s="38"/>
      <c r="X114" s="361"/>
      <c r="Y114" s="209"/>
      <c r="Z114" s="38"/>
      <c r="AA114" s="38"/>
      <c r="AB114" s="38"/>
      <c r="AC114" s="38"/>
      <c r="AD114" s="38">
        <f t="shared" si="114"/>
        <v>32</v>
      </c>
      <c r="AE114" s="226" t="s">
        <v>498</v>
      </c>
      <c r="AF114" s="34"/>
      <c r="AG114" s="34"/>
      <c r="AH114" s="34">
        <v>32</v>
      </c>
      <c r="AJ114" s="38"/>
      <c r="AK114" s="38"/>
      <c r="AL114" s="38"/>
      <c r="AM114" s="38">
        <f t="shared" si="115"/>
        <v>32</v>
      </c>
      <c r="AN114" s="38"/>
      <c r="AO114" s="38"/>
      <c r="AP114" s="38"/>
      <c r="AQ114" s="38"/>
      <c r="AR114" s="38">
        <f t="shared" si="116"/>
        <v>0</v>
      </c>
      <c r="AS114" s="38"/>
      <c r="AT114" s="38"/>
      <c r="AU114" s="38"/>
      <c r="AV114" s="38"/>
      <c r="AW114" s="38"/>
      <c r="AX114" s="38"/>
      <c r="AY114" s="38"/>
      <c r="AZ114" s="38"/>
      <c r="BA114" s="38">
        <f t="shared" si="117"/>
        <v>0</v>
      </c>
      <c r="BB114" s="34"/>
      <c r="BC114" s="477"/>
      <c r="BD114" s="51"/>
      <c r="BE114" s="51"/>
      <c r="BF114" s="51"/>
    </row>
    <row r="115" spans="1:58" ht="12.9" customHeight="1">
      <c r="A115" s="41"/>
      <c r="B115" s="42"/>
      <c r="C115" s="393"/>
      <c r="D115" s="42"/>
      <c r="E115" s="43"/>
      <c r="F115" s="43"/>
      <c r="G115" s="406"/>
      <c r="H115" s="533"/>
      <c r="I115" s="45"/>
      <c r="J115" s="82"/>
      <c r="K115" s="82"/>
      <c r="L115" s="36"/>
      <c r="M115" s="36"/>
      <c r="N115" s="46"/>
      <c r="O115" s="47"/>
      <c r="P115" s="48"/>
      <c r="Q115" s="47"/>
      <c r="R115" s="362"/>
      <c r="S115" s="362"/>
      <c r="T115" s="38"/>
      <c r="U115" s="38"/>
      <c r="V115" s="38"/>
      <c r="W115" s="38"/>
      <c r="X115" s="39"/>
      <c r="Y115" s="209"/>
      <c r="Z115" s="38"/>
      <c r="AA115" s="49"/>
      <c r="AB115" s="49"/>
      <c r="AC115" s="38"/>
      <c r="AD115" s="38"/>
      <c r="AE115" s="21"/>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4"/>
      <c r="BC115" s="51"/>
      <c r="BD115" s="51"/>
      <c r="BE115" s="51"/>
      <c r="BF115" s="51"/>
    </row>
    <row r="116" spans="1:58" ht="12.75" customHeight="1">
      <c r="A116" s="41">
        <v>46108</v>
      </c>
      <c r="B116" s="42" t="s">
        <v>422</v>
      </c>
      <c r="C116" s="393">
        <f>(M116*E116*O116*Q116)/100000000</f>
        <v>53.289086232558148</v>
      </c>
      <c r="D116" s="42" t="s">
        <v>423</v>
      </c>
      <c r="E116" s="43">
        <v>13.5</v>
      </c>
      <c r="F116" s="43">
        <v>1</v>
      </c>
      <c r="G116" s="406">
        <v>1250</v>
      </c>
      <c r="H116" s="533">
        <f>+N116</f>
        <v>0.16000000000000003</v>
      </c>
      <c r="I116" s="45">
        <v>0.88</v>
      </c>
      <c r="J116" s="82">
        <f>E116*G116*(1-H116)*1440/1000000*2.7</f>
        <v>55.112400000000001</v>
      </c>
      <c r="K116" s="82">
        <f>(IF(G116&lt;L116,L116,G116)*(1-IF(H116&lt;N116,H116,N116))*E116*O116*Q116)/100000000</f>
        <v>54.376618604651163</v>
      </c>
      <c r="L116" s="36">
        <v>1225</v>
      </c>
      <c r="M116" s="36">
        <v>1029</v>
      </c>
      <c r="N116" s="46">
        <f>1-(M116/L116)</f>
        <v>0.16000000000000003</v>
      </c>
      <c r="O116" s="47">
        <f>+'Trim Rwd'!H72</f>
        <v>266.39534883720933</v>
      </c>
      <c r="P116" s="48">
        <f>O116*(Q116-R116-S116)</f>
        <v>376683.02325581398</v>
      </c>
      <c r="Q116" s="47">
        <v>1440</v>
      </c>
      <c r="R116" s="362">
        <v>0</v>
      </c>
      <c r="S116" s="362">
        <v>26</v>
      </c>
      <c r="T116" s="38">
        <f>E116*M116*O116*Q116/100000000</f>
        <v>53.289086232558148</v>
      </c>
      <c r="U116" s="38">
        <f>E116*M116*O116*(Q116-R116-S116)/100000000</f>
        <v>52.326922175581394</v>
      </c>
      <c r="V116" s="38">
        <f>E116*G116*(1-N116)*O116/100*(R116+S116)/1000000</f>
        <v>0.98180005813953486</v>
      </c>
      <c r="W116" s="38">
        <f>+'27'!K10/1000</f>
        <v>42.185000000000002</v>
      </c>
      <c r="X116" s="361">
        <f>SUM(W116:W119)/SUM(K116:K119)</f>
        <v>0.775792998581042</v>
      </c>
      <c r="Y116" s="38">
        <v>0</v>
      </c>
      <c r="Z116" s="38">
        <f>+'27'!D34/1000</f>
        <v>0.85</v>
      </c>
      <c r="AA116" s="49">
        <f>SUM(U116:U119)-SUM(W116:W119)-SUM(Z116:Z119)-SUM(Y116:Y119)</f>
        <v>9.2919221755813926</v>
      </c>
      <c r="AB116" s="49">
        <f>(SUM(K116:K119)-SUM(W116:W119)-SUM(Y116:Y119)-SUM(Z116:Z119)-SUM(AC116:AC119)-SUM(V116:V119))-AA116</f>
        <v>-1.963600116278208E-2</v>
      </c>
      <c r="AC116" s="38">
        <f>K116-T116</f>
        <v>1.0875323720930155</v>
      </c>
      <c r="AD116" s="38">
        <f>+AM116+BA116</f>
        <v>0</v>
      </c>
      <c r="AE116" s="226" t="s">
        <v>417</v>
      </c>
      <c r="AF116" s="38">
        <v>0</v>
      </c>
      <c r="AG116" s="38"/>
      <c r="AH116" s="38"/>
      <c r="AI116" s="476"/>
      <c r="AJ116" s="38"/>
      <c r="AK116" s="38"/>
      <c r="AL116" s="38"/>
      <c r="AM116" s="38">
        <f>SUM(AF116:AL116)+AT116+AV116+AX116</f>
        <v>0</v>
      </c>
      <c r="AN116" s="38"/>
      <c r="AO116" s="38"/>
      <c r="AP116" s="38"/>
      <c r="AQ116" s="38"/>
      <c r="AR116" s="38">
        <f>SUM(AN116:AQ116)</f>
        <v>0</v>
      </c>
      <c r="AS116" s="38"/>
      <c r="AT116" s="38"/>
      <c r="AU116" s="38"/>
      <c r="AV116" s="38"/>
      <c r="AW116" s="38"/>
      <c r="AX116" s="38"/>
      <c r="AY116" s="38"/>
      <c r="AZ116" s="38"/>
      <c r="BA116" s="38">
        <f>+AR116+AS116+AU116+AW116+AY116+AZ116</f>
        <v>0</v>
      </c>
      <c r="BB116" s="34">
        <v>0</v>
      </c>
      <c r="BC116" s="51"/>
      <c r="BD116" s="51"/>
      <c r="BE116" s="51"/>
      <c r="BF116" s="51"/>
    </row>
    <row r="117" spans="1:58" ht="12.9" customHeight="1">
      <c r="A117" s="41"/>
      <c r="B117" s="42"/>
      <c r="C117" s="393"/>
      <c r="D117" s="42"/>
      <c r="E117" s="43"/>
      <c r="F117" s="43"/>
      <c r="G117" s="406"/>
      <c r="H117" s="533"/>
      <c r="I117" s="45"/>
      <c r="J117" s="82"/>
      <c r="K117" s="82"/>
      <c r="L117" s="36"/>
      <c r="M117" s="36"/>
      <c r="N117" s="46"/>
      <c r="O117" s="47"/>
      <c r="P117" s="48"/>
      <c r="Q117" s="47"/>
      <c r="R117" s="362"/>
      <c r="S117" s="362"/>
      <c r="T117" s="38"/>
      <c r="U117" s="38"/>
      <c r="V117" s="38"/>
      <c r="W117" s="38"/>
      <c r="X117" s="361"/>
      <c r="Y117" s="209"/>
      <c r="Z117" s="38"/>
      <c r="AA117" s="38"/>
      <c r="AB117" s="38"/>
      <c r="AC117" s="38"/>
      <c r="AD117" s="38">
        <f t="shared" ref="AD117:AD118" si="118">+AM117+BA117</f>
        <v>2</v>
      </c>
      <c r="AE117" s="226" t="s">
        <v>416</v>
      </c>
      <c r="AF117" s="38"/>
      <c r="AG117" s="38">
        <v>2</v>
      </c>
      <c r="AH117" s="38"/>
      <c r="AI117" s="476"/>
      <c r="AJ117" s="38"/>
      <c r="AK117" s="38"/>
      <c r="AL117" s="38"/>
      <c r="AM117" s="38">
        <f t="shared" ref="AM117:AM118" si="119">SUM(AF117:AL117)+AT117+AV117+AX117</f>
        <v>2</v>
      </c>
      <c r="AN117" s="83"/>
      <c r="AO117" s="38"/>
      <c r="AP117" s="38"/>
      <c r="AQ117" s="38"/>
      <c r="AR117" s="38">
        <f t="shared" ref="AR117:AR118" si="120">SUM(AN117:AQ117)</f>
        <v>0</v>
      </c>
      <c r="AS117" s="38"/>
      <c r="AT117" s="38"/>
      <c r="AU117" s="38"/>
      <c r="AV117" s="38"/>
      <c r="AW117" s="38"/>
      <c r="AX117" s="38"/>
      <c r="AY117" s="38"/>
      <c r="AZ117" s="38"/>
      <c r="BA117" s="38">
        <f t="shared" ref="BA117:BA118" si="121">+AR117+AS117+AU117+AW117+AY117+AZ117</f>
        <v>0</v>
      </c>
      <c r="BB117" s="50"/>
      <c r="BC117" s="51">
        <v>1</v>
      </c>
      <c r="BD117" s="51"/>
      <c r="BE117" s="51"/>
      <c r="BF117" s="51"/>
    </row>
    <row r="118" spans="1:58" ht="12.9" customHeight="1">
      <c r="A118" s="41"/>
      <c r="B118" s="42"/>
      <c r="C118" s="393"/>
      <c r="D118" s="42"/>
      <c r="E118" s="43"/>
      <c r="F118" s="43"/>
      <c r="G118" s="406"/>
      <c r="H118" s="533"/>
      <c r="I118" s="45"/>
      <c r="J118" s="82"/>
      <c r="K118" s="82"/>
      <c r="L118" s="36"/>
      <c r="M118" s="36"/>
      <c r="N118" s="46"/>
      <c r="O118" s="47"/>
      <c r="P118" s="48"/>
      <c r="Q118" s="47"/>
      <c r="R118" s="362"/>
      <c r="S118" s="362"/>
      <c r="T118" s="38"/>
      <c r="U118" s="38"/>
      <c r="V118" s="38"/>
      <c r="W118" s="38"/>
      <c r="X118" s="361"/>
      <c r="Y118" s="209"/>
      <c r="Z118" s="38"/>
      <c r="AA118" s="38"/>
      <c r="AB118" s="38"/>
      <c r="AC118" s="38"/>
      <c r="AD118" s="38">
        <f t="shared" si="118"/>
        <v>24</v>
      </c>
      <c r="AE118" s="226" t="s">
        <v>651</v>
      </c>
      <c r="AF118" s="34"/>
      <c r="AG118" s="34"/>
      <c r="AH118" s="34">
        <v>24</v>
      </c>
      <c r="AJ118" s="38"/>
      <c r="AK118" s="38"/>
      <c r="AL118" s="38"/>
      <c r="AM118" s="38">
        <f t="shared" si="119"/>
        <v>24</v>
      </c>
      <c r="AN118" s="38"/>
      <c r="AO118" s="38"/>
      <c r="AP118" s="38"/>
      <c r="AQ118" s="38"/>
      <c r="AR118" s="38">
        <f t="shared" si="120"/>
        <v>0</v>
      </c>
      <c r="AS118" s="38"/>
      <c r="AT118" s="38"/>
      <c r="AU118" s="38"/>
      <c r="AV118" s="38"/>
      <c r="AW118" s="38"/>
      <c r="AX118" s="38"/>
      <c r="AY118" s="38"/>
      <c r="AZ118" s="38"/>
      <c r="BA118" s="38">
        <f t="shared" si="121"/>
        <v>0</v>
      </c>
      <c r="BB118" s="34"/>
      <c r="BC118" s="477"/>
      <c r="BD118" s="51"/>
      <c r="BE118" s="51"/>
      <c r="BF118" s="51"/>
    </row>
    <row r="119" spans="1:58" ht="12.9" customHeight="1">
      <c r="A119" s="41"/>
      <c r="B119" s="42"/>
      <c r="C119" s="393"/>
      <c r="D119" s="42"/>
      <c r="E119" s="43"/>
      <c r="F119" s="43"/>
      <c r="G119" s="406"/>
      <c r="H119" s="533"/>
      <c r="I119" s="45"/>
      <c r="J119" s="82"/>
      <c r="K119" s="82"/>
      <c r="L119" s="36"/>
      <c r="M119" s="36"/>
      <c r="N119" s="46"/>
      <c r="O119" s="47"/>
      <c r="P119" s="48"/>
      <c r="Q119" s="47"/>
      <c r="R119" s="362"/>
      <c r="S119" s="362"/>
      <c r="T119" s="38"/>
      <c r="U119" s="38"/>
      <c r="V119" s="38"/>
      <c r="W119" s="38"/>
      <c r="X119" s="39"/>
      <c r="Y119" s="209"/>
      <c r="Z119" s="38"/>
      <c r="AA119" s="49"/>
      <c r="AB119" s="49"/>
      <c r="AC119" s="38"/>
      <c r="AD119" s="38"/>
      <c r="AE119" s="21"/>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4"/>
      <c r="BC119" s="51"/>
      <c r="BD119" s="51"/>
      <c r="BE119" s="51"/>
      <c r="BF119" s="51"/>
    </row>
    <row r="120" spans="1:58" ht="12.75" customHeight="1">
      <c r="A120" s="41">
        <v>46109</v>
      </c>
      <c r="B120" s="42" t="s">
        <v>422</v>
      </c>
      <c r="C120" s="393">
        <f>(M120*E120*O120*Q120)/100000000</f>
        <v>52.880687999999999</v>
      </c>
      <c r="D120" s="42" t="s">
        <v>423</v>
      </c>
      <c r="E120" s="43">
        <v>13.5</v>
      </c>
      <c r="F120" s="43">
        <v>1</v>
      </c>
      <c r="G120" s="406">
        <v>1250</v>
      </c>
      <c r="H120" s="533">
        <f>+N120</f>
        <v>0.15999999999999992</v>
      </c>
      <c r="I120" s="45">
        <v>0.88</v>
      </c>
      <c r="J120" s="82">
        <f>E120*G120*(1-H120)*1440/1000000*2.7</f>
        <v>55.112400000000008</v>
      </c>
      <c r="K120" s="82">
        <f>(IF(G120&lt;L120,L120,G120)*(1-IF(H120&lt;N120,H120,N120))*E120*O120*Q120)/100000000</f>
        <v>54.704160000000002</v>
      </c>
      <c r="L120" s="36">
        <v>1208.3333333333333</v>
      </c>
      <c r="M120" s="36">
        <v>1015</v>
      </c>
      <c r="N120" s="46">
        <f>1-(M120/L120)</f>
        <v>0.15999999999999992</v>
      </c>
      <c r="O120" s="47">
        <f>+'Trim Rwd'!H75</f>
        <v>268</v>
      </c>
      <c r="P120" s="48">
        <f>O120*(Q120-R120-S120)</f>
        <v>378952</v>
      </c>
      <c r="Q120" s="47">
        <v>1440</v>
      </c>
      <c r="R120" s="362">
        <v>0</v>
      </c>
      <c r="S120" s="362">
        <v>26</v>
      </c>
      <c r="T120" s="38">
        <f>E120*M120*O120*Q120/100000000</f>
        <v>52.880687999999999</v>
      </c>
      <c r="U120" s="38">
        <f>E120*M120*O120*(Q120-R120-S120)/100000000</f>
        <v>51.925897800000001</v>
      </c>
      <c r="V120" s="38">
        <f>E120*G120*(1-N120)*O120/100*(R120+S120)/1000000</f>
        <v>0.9877140000000002</v>
      </c>
      <c r="W120" s="38">
        <f>+'28'!K10/1000</f>
        <v>43.594999999999999</v>
      </c>
      <c r="X120" s="361">
        <f>SUM(W120:W123)/SUM(K120:K123)</f>
        <v>0.79692293968136974</v>
      </c>
      <c r="Y120" s="38">
        <v>0</v>
      </c>
      <c r="Z120" s="38">
        <v>0</v>
      </c>
      <c r="AA120" s="49">
        <f>SUM(U120:U123)-SUM(W120:W123)-SUM(Z120:Z123)-SUM(Y120:Y123)</f>
        <v>8.3308978000000025</v>
      </c>
      <c r="AB120" s="49">
        <f>(SUM(K120:K123)-SUM(W120:W123)-SUM(Y120:Y123)-SUM(Z120:Z123)-SUM(AC120:AC123)-SUM(V120:V123))-AA120</f>
        <v>-3.2923800000002501E-2</v>
      </c>
      <c r="AC120" s="38">
        <f>K120-T120</f>
        <v>1.8234720000000024</v>
      </c>
      <c r="AD120" s="38">
        <f>+AM120+BA120</f>
        <v>0</v>
      </c>
      <c r="AE120" s="226" t="s">
        <v>417</v>
      </c>
      <c r="AF120" s="38">
        <v>0</v>
      </c>
      <c r="AG120" s="38"/>
      <c r="AH120" s="38"/>
      <c r="AI120" s="38"/>
      <c r="AJ120" s="38"/>
      <c r="AK120" s="38"/>
      <c r="AL120" s="38"/>
      <c r="AM120" s="38">
        <f>SUM(AF120:AL120)+AT120+AV120+AX120</f>
        <v>0</v>
      </c>
      <c r="AN120" s="38"/>
      <c r="AO120" s="38"/>
      <c r="AP120" s="38"/>
      <c r="AQ120" s="38"/>
      <c r="AR120" s="38">
        <f>SUM(AN120:AQ120)</f>
        <v>0</v>
      </c>
      <c r="AS120" s="38"/>
      <c r="AT120" s="38"/>
      <c r="AU120" s="38"/>
      <c r="AV120" s="38"/>
      <c r="AW120" s="38"/>
      <c r="AX120" s="38"/>
      <c r="AY120" s="38"/>
      <c r="AZ120" s="38"/>
      <c r="BA120" s="38">
        <f>+AR120+AS120+AU120+AW120+AY120+AZ120</f>
        <v>0</v>
      </c>
      <c r="BB120" s="34">
        <v>0</v>
      </c>
      <c r="BC120" s="51"/>
      <c r="BD120" s="51"/>
      <c r="BE120" s="51"/>
      <c r="BF120" s="51"/>
    </row>
    <row r="121" spans="1:58" ht="12.9" customHeight="1">
      <c r="A121" s="41"/>
      <c r="B121" s="42"/>
      <c r="C121" s="393"/>
      <c r="D121" s="42"/>
      <c r="E121" s="43"/>
      <c r="F121" s="43"/>
      <c r="G121" s="406"/>
      <c r="H121" s="533"/>
      <c r="I121" s="45"/>
      <c r="J121" s="82"/>
      <c r="K121" s="82"/>
      <c r="L121" s="36"/>
      <c r="M121" s="36"/>
      <c r="N121" s="46"/>
      <c r="O121" s="47"/>
      <c r="P121" s="48"/>
      <c r="Q121" s="47"/>
      <c r="R121" s="362"/>
      <c r="S121" s="362"/>
      <c r="T121" s="38"/>
      <c r="U121" s="38"/>
      <c r="V121" s="38"/>
      <c r="W121" s="38"/>
      <c r="X121" s="361"/>
      <c r="Y121" s="209"/>
      <c r="Z121" s="38"/>
      <c r="AA121" s="38"/>
      <c r="AB121" s="38"/>
      <c r="AC121" s="38"/>
      <c r="AD121" s="38">
        <f t="shared" ref="AD121:AD122" si="122">+AM121+BA121</f>
        <v>3</v>
      </c>
      <c r="AE121" s="226" t="s">
        <v>416</v>
      </c>
      <c r="AF121" s="38"/>
      <c r="AG121" s="38">
        <v>3</v>
      </c>
      <c r="AH121" s="38"/>
      <c r="AI121" s="38"/>
      <c r="AJ121" s="38"/>
      <c r="AK121" s="38"/>
      <c r="AL121" s="38"/>
      <c r="AM121" s="38">
        <f t="shared" ref="AM121:AM122" si="123">SUM(AF121:AL121)+AT121+AV121+AX121</f>
        <v>3</v>
      </c>
      <c r="AN121" s="83"/>
      <c r="AO121" s="38"/>
      <c r="AP121" s="38"/>
      <c r="AQ121" s="38"/>
      <c r="AR121" s="38">
        <f t="shared" ref="AR121:AR122" si="124">SUM(AN121:AQ121)</f>
        <v>0</v>
      </c>
      <c r="AS121" s="38"/>
      <c r="AT121" s="38"/>
      <c r="AU121" s="38"/>
      <c r="AV121" s="38"/>
      <c r="AW121" s="38"/>
      <c r="AX121" s="38"/>
      <c r="AY121" s="38"/>
      <c r="AZ121" s="38"/>
      <c r="BA121" s="38">
        <f t="shared" ref="BA121:BA122" si="125">+AR121+AS121+AU121+AW121+AY121+AZ121</f>
        <v>0</v>
      </c>
      <c r="BB121" s="50"/>
      <c r="BC121" s="51">
        <v>1</v>
      </c>
      <c r="BD121" s="51"/>
      <c r="BE121" s="51"/>
      <c r="BF121" s="51"/>
    </row>
    <row r="122" spans="1:58" ht="12.9" customHeight="1">
      <c r="A122" s="41"/>
      <c r="B122" s="42"/>
      <c r="C122" s="393"/>
      <c r="D122" s="42"/>
      <c r="E122" s="43"/>
      <c r="F122" s="43"/>
      <c r="G122" s="406"/>
      <c r="H122" s="533"/>
      <c r="I122" s="45"/>
      <c r="J122" s="82"/>
      <c r="K122" s="82"/>
      <c r="L122" s="36"/>
      <c r="M122" s="36"/>
      <c r="N122" s="46"/>
      <c r="O122" s="47"/>
      <c r="P122" s="48"/>
      <c r="Q122" s="47"/>
      <c r="R122" s="362"/>
      <c r="S122" s="362"/>
      <c r="T122" s="38"/>
      <c r="U122" s="38"/>
      <c r="V122" s="38"/>
      <c r="W122" s="38"/>
      <c r="X122" s="361"/>
      <c r="Y122" s="209"/>
      <c r="Z122" s="38"/>
      <c r="AA122" s="38"/>
      <c r="AB122" s="38"/>
      <c r="AC122" s="38"/>
      <c r="AD122" s="38">
        <f t="shared" si="122"/>
        <v>23</v>
      </c>
      <c r="AE122" s="226" t="s">
        <v>565</v>
      </c>
      <c r="AF122" s="34"/>
      <c r="AG122" s="34"/>
      <c r="AH122" s="34">
        <v>23</v>
      </c>
      <c r="AI122" s="34"/>
      <c r="AJ122" s="38"/>
      <c r="AK122" s="38"/>
      <c r="AL122" s="38"/>
      <c r="AM122" s="38">
        <f t="shared" si="123"/>
        <v>23</v>
      </c>
      <c r="AN122" s="38"/>
      <c r="AO122" s="38"/>
      <c r="AP122" s="38"/>
      <c r="AQ122" s="38"/>
      <c r="AR122" s="38">
        <f t="shared" si="124"/>
        <v>0</v>
      </c>
      <c r="AS122" s="38"/>
      <c r="AT122" s="38"/>
      <c r="AU122" s="38"/>
      <c r="AV122" s="38"/>
      <c r="AW122" s="38"/>
      <c r="AX122" s="38"/>
      <c r="AY122" s="38"/>
      <c r="AZ122" s="38"/>
      <c r="BA122" s="38">
        <f t="shared" si="125"/>
        <v>0</v>
      </c>
      <c r="BB122" s="34"/>
      <c r="BC122" s="477"/>
      <c r="BD122" s="51"/>
      <c r="BE122" s="51"/>
      <c r="BF122" s="51"/>
    </row>
    <row r="123" spans="1:58" ht="12.9" customHeight="1">
      <c r="A123" s="41"/>
      <c r="B123" s="42"/>
      <c r="C123" s="393"/>
      <c r="D123" s="42"/>
      <c r="E123" s="43"/>
      <c r="F123" s="43"/>
      <c r="G123" s="406"/>
      <c r="H123" s="533"/>
      <c r="I123" s="45"/>
      <c r="J123" s="82"/>
      <c r="K123" s="82"/>
      <c r="L123" s="36"/>
      <c r="M123" s="36"/>
      <c r="N123" s="46"/>
      <c r="O123" s="47"/>
      <c r="P123" s="48"/>
      <c r="Q123" s="47"/>
      <c r="R123" s="362"/>
      <c r="S123" s="362"/>
      <c r="T123" s="38"/>
      <c r="U123" s="38"/>
      <c r="V123" s="38"/>
      <c r="W123" s="38"/>
      <c r="X123" s="361"/>
      <c r="Y123" s="209"/>
      <c r="Z123" s="38"/>
      <c r="AA123" s="38"/>
      <c r="AB123" s="38"/>
      <c r="AC123" s="38"/>
      <c r="AD123" s="38"/>
      <c r="AE123" s="226"/>
      <c r="AF123" s="34"/>
      <c r="AG123" s="34"/>
      <c r="AH123" s="34"/>
      <c r="AI123" s="34"/>
      <c r="AJ123" s="38"/>
      <c r="AK123" s="38"/>
      <c r="AL123" s="38"/>
      <c r="AM123" s="38"/>
      <c r="AN123" s="38"/>
      <c r="AO123" s="38"/>
      <c r="AP123" s="38"/>
      <c r="AQ123" s="38"/>
      <c r="AR123" s="38"/>
      <c r="AS123" s="38"/>
      <c r="AT123" s="38"/>
      <c r="AU123" s="38"/>
      <c r="AV123" s="38"/>
      <c r="AW123" s="38"/>
      <c r="AX123" s="38"/>
      <c r="AY123" s="38"/>
      <c r="AZ123" s="38"/>
      <c r="BA123" s="38"/>
      <c r="BB123" s="34"/>
      <c r="BC123" s="477"/>
      <c r="BD123" s="51"/>
      <c r="BE123" s="51"/>
      <c r="BF123" s="51"/>
    </row>
    <row r="124" spans="1:58" ht="12.75" customHeight="1">
      <c r="A124" s="41">
        <v>46110</v>
      </c>
      <c r="B124" s="42" t="s">
        <v>422</v>
      </c>
      <c r="C124" s="393">
        <f>(M124*E124*O124*Q124)/100000000</f>
        <v>35.375356799999999</v>
      </c>
      <c r="D124" s="42" t="s">
        <v>423</v>
      </c>
      <c r="E124" s="43">
        <v>13.5</v>
      </c>
      <c r="F124" s="43">
        <v>1</v>
      </c>
      <c r="G124" s="406">
        <v>1250</v>
      </c>
      <c r="H124" s="533">
        <f>+N124</f>
        <v>0.16000000000000003</v>
      </c>
      <c r="I124" s="45">
        <v>0.88</v>
      </c>
      <c r="J124" s="82">
        <f>E124*G124*(1-H124)*1440/1000000*2.7</f>
        <v>55.112400000000001</v>
      </c>
      <c r="K124" s="82">
        <f>(IF(G124&lt;L124,L124,G124)*(1-IF(H124&lt;N124,H124,N124))*E124*O124*Q124)/100000000</f>
        <v>36.849330000000002</v>
      </c>
      <c r="L124" s="36">
        <v>1200</v>
      </c>
      <c r="M124" s="36">
        <v>1008</v>
      </c>
      <c r="N124" s="46">
        <f>1-(M124/L124)</f>
        <v>0.16000000000000003</v>
      </c>
      <c r="O124" s="47">
        <f>+'Trim Rwd'!H77</f>
        <v>268</v>
      </c>
      <c r="P124" s="48">
        <f>O124*(Q124-R124-S124)</f>
        <v>254064</v>
      </c>
      <c r="Q124" s="47">
        <v>970</v>
      </c>
      <c r="R124" s="362">
        <v>0</v>
      </c>
      <c r="S124" s="362">
        <v>22</v>
      </c>
      <c r="T124" s="38">
        <f>E124*M124*O124*Q124/100000000</f>
        <v>35.375356799999999</v>
      </c>
      <c r="U124" s="38">
        <f>E124*M124*O124*(Q124-R124-S124)/100000000</f>
        <v>34.573029120000001</v>
      </c>
      <c r="V124" s="38">
        <f>E124*G124*(1-N124)*O124/100*(R124+S124)/1000000</f>
        <v>0.835758</v>
      </c>
      <c r="W124" s="38">
        <f>+'29'!K10/1000</f>
        <v>42.406999999999996</v>
      </c>
      <c r="X124" s="361">
        <f>SUM(W124:W127)/SUM(K124:K127)</f>
        <v>0.82676058849117651</v>
      </c>
      <c r="Y124" s="38">
        <v>0</v>
      </c>
      <c r="Z124" s="38">
        <f>+'27'!D42/1000</f>
        <v>0</v>
      </c>
      <c r="AA124" s="49">
        <f>SUM(U124:U127)-SUM(W124:W127)-SUM(Z124:Z127)-SUM(Y124:Y127)</f>
        <v>6.7090438399999996</v>
      </c>
      <c r="AB124" s="49">
        <f>(SUM(K124:K127)-SUM(W124:W127)-SUM(Y124:Y127)-SUM(Z124:Z127)-SUM(AC124:AC127)-SUM(V124:V127))-AA124</f>
        <v>-3.5038080000006744E-2</v>
      </c>
      <c r="AC124" s="38">
        <f>K124-T124</f>
        <v>1.4739732000000032</v>
      </c>
      <c r="AD124" s="38">
        <f>+AM124+BA124</f>
        <v>0</v>
      </c>
      <c r="AE124" s="226" t="s">
        <v>417</v>
      </c>
      <c r="AF124" s="38">
        <v>0</v>
      </c>
      <c r="AG124" s="38"/>
      <c r="AH124" s="38"/>
      <c r="AI124" s="38"/>
      <c r="AJ124" s="38"/>
      <c r="AK124" s="38"/>
      <c r="AL124" s="38"/>
      <c r="AM124" s="38">
        <f>SUM(AF124:AL124)+AT124+AV124+AX124</f>
        <v>0</v>
      </c>
      <c r="AN124" s="38"/>
      <c r="AO124" s="38"/>
      <c r="AP124" s="38"/>
      <c r="AQ124" s="38"/>
      <c r="AR124" s="38">
        <f>SUM(AN124:AQ124)</f>
        <v>0</v>
      </c>
      <c r="AS124" s="38"/>
      <c r="AT124" s="38"/>
      <c r="AU124" s="38"/>
      <c r="AV124" s="38"/>
      <c r="AW124" s="38"/>
      <c r="AX124" s="38"/>
      <c r="AY124" s="38"/>
      <c r="AZ124" s="38"/>
      <c r="BA124" s="38">
        <f>+AR124+AS124+AU124+AW124+AY124+AZ124</f>
        <v>0</v>
      </c>
      <c r="BB124" s="34">
        <v>0</v>
      </c>
      <c r="BC124" s="51"/>
      <c r="BD124" s="51"/>
      <c r="BE124" s="51"/>
      <c r="BF124" s="51"/>
    </row>
    <row r="125" spans="1:58" ht="12.9" customHeight="1">
      <c r="A125" s="41"/>
      <c r="B125" s="42" t="s">
        <v>422</v>
      </c>
      <c r="C125" s="393">
        <f>(M125*E125*O125*Q125)/100000000</f>
        <v>17.531015039999996</v>
      </c>
      <c r="D125" s="42" t="s">
        <v>423</v>
      </c>
      <c r="E125" s="43">
        <v>14.5</v>
      </c>
      <c r="F125" s="43">
        <v>1</v>
      </c>
      <c r="G125" s="406">
        <v>1165</v>
      </c>
      <c r="H125" s="533">
        <f>+N125</f>
        <v>0.16000000000000003</v>
      </c>
      <c r="I125" s="45">
        <v>0.88</v>
      </c>
      <c r="J125" s="82">
        <f>E125*G125*(1-H125)*1440/1000000*2.7</f>
        <v>55.1695536</v>
      </c>
      <c r="K125" s="82">
        <f>(IF(G125&lt;L125,L125,G125)*(1-IF(H125&lt;N125,H125,N125))*E125*O125*Q125)/100000000</f>
        <v>17.606579759999999</v>
      </c>
      <c r="L125" s="36">
        <v>1160</v>
      </c>
      <c r="M125" s="36">
        <v>974.4</v>
      </c>
      <c r="N125" s="46">
        <f>1-(M125/L125)</f>
        <v>0.16000000000000003</v>
      </c>
      <c r="O125" s="47">
        <f>+'Trim Rwd'!H78</f>
        <v>264</v>
      </c>
      <c r="P125" s="48">
        <f>O125*(Q125-R125-S125)</f>
        <v>121440</v>
      </c>
      <c r="Q125" s="47">
        <v>470</v>
      </c>
      <c r="R125" s="362">
        <v>0</v>
      </c>
      <c r="S125" s="362">
        <v>10</v>
      </c>
      <c r="T125" s="38">
        <f>E125*M125*O125*Q125/100000000</f>
        <v>17.531015039999996</v>
      </c>
      <c r="U125" s="38">
        <f>E125*M125*O125*(Q125-R125-S125)/100000000</f>
        <v>17.158014719999997</v>
      </c>
      <c r="V125" s="38">
        <f>E125*G125*(1-N125)*O125/100*(R125+S125)/1000000</f>
        <v>0.37460807999999995</v>
      </c>
      <c r="W125" s="38">
        <f>+'29'!K8/1000</f>
        <v>2.6150000000000002</v>
      </c>
      <c r="X125" s="361"/>
      <c r="Y125" s="209"/>
      <c r="Z125" s="38"/>
      <c r="AA125" s="38"/>
      <c r="AB125" s="38"/>
      <c r="AC125" s="38">
        <f>K125-T125</f>
        <v>7.5564720000002694E-2</v>
      </c>
      <c r="AD125" s="38">
        <f t="shared" ref="AD125:AD126" si="126">+AM125+BA125</f>
        <v>4</v>
      </c>
      <c r="AE125" s="226" t="s">
        <v>630</v>
      </c>
      <c r="AF125" s="38"/>
      <c r="AG125" s="38">
        <v>4</v>
      </c>
      <c r="AH125" s="38"/>
      <c r="AI125" s="38"/>
      <c r="AJ125" s="38"/>
      <c r="AK125" s="38"/>
      <c r="AL125" s="38"/>
      <c r="AM125" s="38">
        <f t="shared" ref="AM125:AM126" si="127">SUM(AF125:AL125)+AT125+AV125+AX125</f>
        <v>4</v>
      </c>
      <c r="AN125" s="83"/>
      <c r="AO125" s="38"/>
      <c r="AP125" s="38"/>
      <c r="AQ125" s="38"/>
      <c r="AR125" s="38">
        <f t="shared" ref="AR125:AR126" si="128">SUM(AN125:AQ125)</f>
        <v>0</v>
      </c>
      <c r="AS125" s="38"/>
      <c r="AT125" s="38"/>
      <c r="AU125" s="38"/>
      <c r="AV125" s="38"/>
      <c r="AW125" s="38"/>
      <c r="AX125" s="38"/>
      <c r="AY125" s="38"/>
      <c r="AZ125" s="38"/>
      <c r="BA125" s="38">
        <f t="shared" ref="BA125:BA126" si="129">+AR125+AS125+AU125+AW125+AY125+AZ125</f>
        <v>0</v>
      </c>
      <c r="BB125" s="50"/>
      <c r="BC125" s="51">
        <v>2</v>
      </c>
      <c r="BD125" s="51"/>
      <c r="BE125" s="51"/>
      <c r="BF125" s="51"/>
    </row>
    <row r="126" spans="1:58" ht="12.9" customHeight="1">
      <c r="A126" s="41"/>
      <c r="B126" s="42"/>
      <c r="C126" s="393"/>
      <c r="D126" s="42"/>
      <c r="E126" s="43"/>
      <c r="F126" s="43"/>
      <c r="G126" s="406"/>
      <c r="H126" s="533"/>
      <c r="I126" s="45"/>
      <c r="J126" s="82"/>
      <c r="K126" s="82"/>
      <c r="L126" s="36"/>
      <c r="M126" s="36"/>
      <c r="N126" s="46"/>
      <c r="O126" s="47"/>
      <c r="P126" s="48"/>
      <c r="Q126" s="47"/>
      <c r="R126" s="362"/>
      <c r="S126" s="362"/>
      <c r="T126" s="38"/>
      <c r="U126" s="38"/>
      <c r="V126" s="38"/>
      <c r="W126" s="38"/>
      <c r="X126" s="361"/>
      <c r="Y126" s="209"/>
      <c r="Z126" s="38"/>
      <c r="AA126" s="38"/>
      <c r="AB126" s="38"/>
      <c r="AC126" s="38"/>
      <c r="AD126" s="38">
        <f t="shared" si="126"/>
        <v>28</v>
      </c>
      <c r="AE126" s="226" t="s">
        <v>457</v>
      </c>
      <c r="AF126" s="34"/>
      <c r="AG126" s="34"/>
      <c r="AH126" s="34">
        <v>28</v>
      </c>
      <c r="AI126" s="34"/>
      <c r="AJ126" s="38"/>
      <c r="AK126" s="38"/>
      <c r="AL126" s="38"/>
      <c r="AM126" s="38">
        <f t="shared" si="127"/>
        <v>28</v>
      </c>
      <c r="AN126" s="38"/>
      <c r="AO126" s="38"/>
      <c r="AP126" s="38"/>
      <c r="AQ126" s="38"/>
      <c r="AR126" s="38">
        <f t="shared" si="128"/>
        <v>0</v>
      </c>
      <c r="AS126" s="38"/>
      <c r="AT126" s="38"/>
      <c r="AU126" s="38"/>
      <c r="AV126" s="38"/>
      <c r="AW126" s="38"/>
      <c r="AX126" s="38"/>
      <c r="AY126" s="38"/>
      <c r="AZ126" s="38"/>
      <c r="BA126" s="38">
        <f t="shared" si="129"/>
        <v>0</v>
      </c>
      <c r="BB126" s="34"/>
      <c r="BC126" s="477"/>
      <c r="BD126" s="51"/>
      <c r="BE126" s="51"/>
      <c r="BF126" s="51"/>
    </row>
    <row r="127" spans="1:58" ht="12.9" customHeight="1">
      <c r="A127" s="41"/>
      <c r="B127" s="42"/>
      <c r="C127" s="393"/>
      <c r="D127" s="42"/>
      <c r="E127" s="43"/>
      <c r="F127" s="43"/>
      <c r="G127" s="406"/>
      <c r="H127" s="533"/>
      <c r="I127" s="45"/>
      <c r="J127" s="82"/>
      <c r="K127" s="82"/>
      <c r="L127" s="36"/>
      <c r="M127" s="36"/>
      <c r="N127" s="46"/>
      <c r="O127" s="47"/>
      <c r="P127" s="48"/>
      <c r="Q127" s="47"/>
      <c r="R127" s="362"/>
      <c r="S127" s="362"/>
      <c r="T127" s="38"/>
      <c r="U127" s="38"/>
      <c r="V127" s="38"/>
      <c r="W127" s="38"/>
      <c r="X127" s="361"/>
      <c r="Y127" s="209"/>
      <c r="Z127" s="38"/>
      <c r="AA127" s="38"/>
      <c r="AB127" s="38"/>
      <c r="AC127" s="38"/>
      <c r="AD127" s="38"/>
      <c r="AE127" s="226"/>
      <c r="AF127" s="38"/>
      <c r="AG127" s="38"/>
      <c r="AH127" s="38"/>
      <c r="AI127" s="476"/>
      <c r="AJ127" s="38"/>
      <c r="AK127" s="38"/>
      <c r="AL127" s="38"/>
      <c r="AM127" s="38"/>
      <c r="AN127" s="83"/>
      <c r="AO127" s="38"/>
      <c r="AP127" s="38"/>
      <c r="AQ127" s="38"/>
      <c r="AR127" s="38"/>
      <c r="AS127" s="38"/>
      <c r="AT127" s="38"/>
      <c r="AU127" s="38"/>
      <c r="AV127" s="38"/>
      <c r="AW127" s="38"/>
      <c r="AX127" s="38"/>
      <c r="AY127" s="38"/>
      <c r="AZ127" s="38"/>
      <c r="BA127" s="38"/>
      <c r="BB127" s="50"/>
      <c r="BC127" s="51"/>
      <c r="BD127" s="51"/>
      <c r="BE127" s="51"/>
      <c r="BF127" s="51"/>
    </row>
    <row r="128" spans="1:58" ht="12.75" customHeight="1">
      <c r="A128" s="41">
        <v>46111</v>
      </c>
      <c r="B128" s="42" t="s">
        <v>422</v>
      </c>
      <c r="C128" s="393">
        <f>(M128*E128*O128*Q128)/100000000</f>
        <v>9.4814532028125011</v>
      </c>
      <c r="D128" s="42" t="s">
        <v>423</v>
      </c>
      <c r="E128" s="43">
        <v>13.5</v>
      </c>
      <c r="F128" s="43">
        <v>1</v>
      </c>
      <c r="G128" s="406">
        <v>1250</v>
      </c>
      <c r="H128" s="533">
        <f>+N128</f>
        <v>0.15999999999999992</v>
      </c>
      <c r="I128" s="45">
        <v>0.88</v>
      </c>
      <c r="J128" s="82">
        <f>E128*G128*(1-H128)*1440/1000000*2.7</f>
        <v>55.112400000000008</v>
      </c>
      <c r="K128" s="82">
        <f>(IF(G128&lt;L128,L128,G128)*(1-IF(H128&lt;N128,H128,N128))*E128*O128*Q128)/100000000</f>
        <v>9.8856671484375003</v>
      </c>
      <c r="L128" s="36">
        <v>1198.8888888888889</v>
      </c>
      <c r="M128" s="36">
        <v>1007.0666666666667</v>
      </c>
      <c r="N128" s="46">
        <f>1-(M128/L128)</f>
        <v>0.15999999999999992</v>
      </c>
      <c r="O128" s="47">
        <f>+'Trim Rwd'!H80</f>
        <v>258.296875</v>
      </c>
      <c r="P128" s="48">
        <f>O128*(Q128-R128-S128)</f>
        <v>68190.375</v>
      </c>
      <c r="Q128" s="47">
        <v>270</v>
      </c>
      <c r="R128" s="362">
        <v>0</v>
      </c>
      <c r="S128" s="362">
        <v>6</v>
      </c>
      <c r="T128" s="38">
        <f>E128*M128*O128*Q128/100000000</f>
        <v>9.4814532028125011</v>
      </c>
      <c r="U128" s="38">
        <f>E128*M128*O128*(Q128-R128-S128)/100000000</f>
        <v>9.2707542427500016</v>
      </c>
      <c r="V128" s="38">
        <f>E128*G128*(1-N128)*O128/100*(R128+S128)/1000000</f>
        <v>0.21968149218750005</v>
      </c>
      <c r="W128" s="38">
        <f>+'30'!K10/1000</f>
        <v>4.2240000000000002</v>
      </c>
      <c r="X128" s="361">
        <f>SUM(W128:W131)/SUM(K128:K131)</f>
        <v>1.0164980095839169</v>
      </c>
      <c r="Y128" s="38">
        <v>0</v>
      </c>
      <c r="Z128" s="38">
        <f>+'27'!D46/1000</f>
        <v>0</v>
      </c>
      <c r="AA128" s="49">
        <f>SUM(U128:U131)-SUM(W128:W131)-SUM(Z128:Z131)-SUM(Y128:Y131)</f>
        <v>-3.7676091387884583</v>
      </c>
      <c r="AB128" s="49">
        <f>(SUM(K128:K131)-SUM(W128:W131)-SUM(Y128:Y131)-SUM(Z128:Z131)-SUM(AC128:AC131)-SUM(V128:V131))-AA128</f>
        <v>-3.1120150586549045E-2</v>
      </c>
      <c r="AC128" s="38">
        <f>K128-T128</f>
        <v>0.40421394562499913</v>
      </c>
      <c r="AD128" s="38">
        <f>+AM128+BA128</f>
        <v>0</v>
      </c>
      <c r="AE128" s="226" t="s">
        <v>417</v>
      </c>
      <c r="AF128" s="38">
        <v>0</v>
      </c>
      <c r="AG128" s="38"/>
      <c r="AH128" s="38"/>
      <c r="AI128" s="38"/>
      <c r="AJ128" s="38"/>
      <c r="AK128" s="38"/>
      <c r="AL128" s="38"/>
      <c r="AM128" s="38">
        <f>SUM(AF128:AL128)+AT128+AV128+AX128</f>
        <v>0</v>
      </c>
      <c r="AN128" s="38"/>
      <c r="AO128" s="38"/>
      <c r="AP128" s="38"/>
      <c r="AQ128" s="38"/>
      <c r="AR128" s="38">
        <f>SUM(AN128:AQ128)</f>
        <v>0</v>
      </c>
      <c r="AS128" s="38"/>
      <c r="AT128" s="38"/>
      <c r="AU128" s="38"/>
      <c r="AV128" s="38"/>
      <c r="AW128" s="38"/>
      <c r="AX128" s="38"/>
      <c r="AY128" s="38"/>
      <c r="AZ128" s="38"/>
      <c r="BA128" s="38">
        <f>+AR128+AS128+AU128+AW128+AY128+AZ128</f>
        <v>0</v>
      </c>
      <c r="BB128" s="34">
        <v>0</v>
      </c>
      <c r="BC128" s="51"/>
      <c r="BD128" s="51"/>
      <c r="BE128" s="51"/>
      <c r="BF128" s="51"/>
    </row>
    <row r="129" spans="1:97" ht="12.9" customHeight="1">
      <c r="A129" s="41"/>
      <c r="B129" s="42" t="s">
        <v>422</v>
      </c>
      <c r="C129" s="393">
        <f>(M129*E129*O129*Q129)/100000000</f>
        <v>42.102411119999992</v>
      </c>
      <c r="D129" s="42" t="s">
        <v>423</v>
      </c>
      <c r="E129" s="43">
        <v>14.5</v>
      </c>
      <c r="F129" s="43">
        <v>1</v>
      </c>
      <c r="G129" s="406">
        <v>1165</v>
      </c>
      <c r="H129" s="533">
        <f>+N129</f>
        <v>0.16000000000000003</v>
      </c>
      <c r="I129" s="45">
        <v>0.88</v>
      </c>
      <c r="J129" s="82">
        <f>E129*G129*(1-H129)*1440/1000000*2.7</f>
        <v>55.1695536</v>
      </c>
      <c r="K129" s="82">
        <f>(IF(G129&lt;L129,L129,G129)*(1-IF(H129&lt;N129,H129,N129))*E129*O129*Q129)/100000000</f>
        <v>43.829145359999998</v>
      </c>
      <c r="L129" s="36">
        <v>1119.1025641025642</v>
      </c>
      <c r="M129" s="36">
        <v>940.04615384615386</v>
      </c>
      <c r="N129" s="46">
        <f>1-(M129/L129)</f>
        <v>0.16000000000000003</v>
      </c>
      <c r="O129" s="47">
        <f>+'Trim Rwd'!H82</f>
        <v>264</v>
      </c>
      <c r="P129" s="48">
        <f>O129*(Q129-R129-S129)</f>
        <v>304920</v>
      </c>
      <c r="Q129" s="47">
        <v>1170</v>
      </c>
      <c r="R129" s="362">
        <v>0</v>
      </c>
      <c r="S129" s="362">
        <v>15</v>
      </c>
      <c r="T129" s="38">
        <f>E129*M129*O129*Q129/100000000</f>
        <v>42.102411119999992</v>
      </c>
      <c r="U129" s="38">
        <f>E129*M129*O129*(Q129-R129-S129)/100000000</f>
        <v>41.562636618461539</v>
      </c>
      <c r="V129" s="38">
        <f>E129*G129*(1-N129)*O129/100*(R129+S129)/1000000</f>
        <v>0.56191212000000001</v>
      </c>
      <c r="W129" s="38">
        <f>+'30'!K8/1000</f>
        <v>50.377000000000002</v>
      </c>
      <c r="X129" s="361"/>
      <c r="Y129" s="209"/>
      <c r="Z129" s="38"/>
      <c r="AA129" s="38"/>
      <c r="AB129" s="38"/>
      <c r="AC129" s="38">
        <f>K129-T129</f>
        <v>1.7267342400000061</v>
      </c>
      <c r="AD129" s="38">
        <f t="shared" ref="AD129:AD130" si="130">+AM129+BA129</f>
        <v>3</v>
      </c>
      <c r="AE129" s="226" t="s">
        <v>630</v>
      </c>
      <c r="AF129" s="38"/>
      <c r="AG129" s="38">
        <v>3</v>
      </c>
      <c r="AH129" s="38"/>
      <c r="AI129" s="38"/>
      <c r="AJ129" s="38"/>
      <c r="AK129" s="38"/>
      <c r="AL129" s="38"/>
      <c r="AM129" s="38">
        <f t="shared" ref="AM129:AM130" si="131">SUM(AF129:AL129)+AT129+AV129+AX129</f>
        <v>3</v>
      </c>
      <c r="AN129" s="83"/>
      <c r="AO129" s="38"/>
      <c r="AP129" s="38"/>
      <c r="AQ129" s="38"/>
      <c r="AR129" s="38">
        <f t="shared" ref="AR129:AR130" si="132">SUM(AN129:AQ129)</f>
        <v>0</v>
      </c>
      <c r="AS129" s="38"/>
      <c r="AT129" s="38"/>
      <c r="AU129" s="38"/>
      <c r="AV129" s="38"/>
      <c r="AW129" s="38"/>
      <c r="AX129" s="38"/>
      <c r="AY129" s="38"/>
      <c r="AZ129" s="38"/>
      <c r="BA129" s="38">
        <f t="shared" ref="BA129:BA130" si="133">+AR129+AS129+AU129+AW129+AY129+AZ129</f>
        <v>0</v>
      </c>
      <c r="BB129" s="50"/>
      <c r="BC129" s="51">
        <v>2</v>
      </c>
      <c r="BD129" s="51"/>
      <c r="BE129" s="51"/>
      <c r="BF129" s="51"/>
    </row>
    <row r="130" spans="1:97" ht="12.9" customHeight="1">
      <c r="A130" s="41"/>
      <c r="B130" s="42"/>
      <c r="C130" s="393"/>
      <c r="D130" s="42"/>
      <c r="E130" s="43"/>
      <c r="F130" s="43"/>
      <c r="G130" s="406"/>
      <c r="H130" s="533"/>
      <c r="I130" s="45"/>
      <c r="J130" s="82"/>
      <c r="K130" s="82"/>
      <c r="L130" s="36"/>
      <c r="M130" s="36"/>
      <c r="N130" s="46"/>
      <c r="O130" s="47"/>
      <c r="P130" s="48"/>
      <c r="Q130" s="47"/>
      <c r="R130" s="362"/>
      <c r="S130" s="362"/>
      <c r="T130" s="38"/>
      <c r="U130" s="38"/>
      <c r="V130" s="38"/>
      <c r="W130" s="38"/>
      <c r="X130" s="361"/>
      <c r="Y130" s="209"/>
      <c r="Z130" s="38"/>
      <c r="AA130" s="38"/>
      <c r="AB130" s="38"/>
      <c r="AC130" s="38"/>
      <c r="AD130" s="38">
        <f t="shared" si="130"/>
        <v>18</v>
      </c>
      <c r="AE130" s="226" t="s">
        <v>565</v>
      </c>
      <c r="AF130" s="34"/>
      <c r="AG130" s="34"/>
      <c r="AH130" s="34">
        <v>18</v>
      </c>
      <c r="AI130" s="34"/>
      <c r="AJ130" s="38"/>
      <c r="AK130" s="38"/>
      <c r="AL130" s="38"/>
      <c r="AM130" s="38">
        <f t="shared" si="131"/>
        <v>18</v>
      </c>
      <c r="AN130" s="38"/>
      <c r="AO130" s="38"/>
      <c r="AP130" s="38"/>
      <c r="AQ130" s="38"/>
      <c r="AR130" s="38">
        <f t="shared" si="132"/>
        <v>0</v>
      </c>
      <c r="AS130" s="38"/>
      <c r="AT130" s="38"/>
      <c r="AU130" s="38"/>
      <c r="AV130" s="38"/>
      <c r="AW130" s="38"/>
      <c r="AX130" s="38"/>
      <c r="AY130" s="38"/>
      <c r="AZ130" s="38"/>
      <c r="BA130" s="38">
        <f t="shared" si="133"/>
        <v>0</v>
      </c>
      <c r="BB130" s="34"/>
      <c r="BC130" s="477"/>
      <c r="BD130" s="51"/>
      <c r="BE130" s="51"/>
      <c r="BF130" s="51"/>
    </row>
    <row r="131" spans="1:97" ht="12.9" customHeight="1">
      <c r="A131" s="41"/>
      <c r="B131" s="42"/>
      <c r="C131" s="393"/>
      <c r="D131" s="42"/>
      <c r="E131" s="43"/>
      <c r="F131" s="43"/>
      <c r="G131" s="406"/>
      <c r="H131" s="533"/>
      <c r="I131" s="45"/>
      <c r="J131" s="82"/>
      <c r="K131" s="82"/>
      <c r="L131" s="36"/>
      <c r="M131" s="36"/>
      <c r="N131" s="46"/>
      <c r="O131" s="47"/>
      <c r="P131" s="48"/>
      <c r="Q131" s="47"/>
      <c r="R131" s="362"/>
      <c r="S131" s="362"/>
      <c r="T131" s="38"/>
      <c r="U131" s="38"/>
      <c r="V131" s="38"/>
      <c r="W131" s="38"/>
      <c r="X131" s="361"/>
      <c r="Y131" s="209"/>
      <c r="Z131" s="38"/>
      <c r="AA131" s="38"/>
      <c r="AB131" s="38"/>
      <c r="AC131" s="38"/>
      <c r="AD131" s="38"/>
      <c r="AE131" s="226"/>
      <c r="AF131" s="38"/>
      <c r="AG131" s="38"/>
      <c r="AH131" s="38"/>
      <c r="AI131" s="476"/>
      <c r="AJ131" s="38"/>
      <c r="AK131" s="38"/>
      <c r="AL131" s="38"/>
      <c r="AM131" s="38"/>
      <c r="AN131" s="83"/>
      <c r="AO131" s="38"/>
      <c r="AP131" s="38"/>
      <c r="AQ131" s="38"/>
      <c r="AR131" s="38"/>
      <c r="AS131" s="38"/>
      <c r="AT131" s="38"/>
      <c r="AU131" s="38"/>
      <c r="AV131" s="38"/>
      <c r="AW131" s="38"/>
      <c r="AX131" s="38"/>
      <c r="AY131" s="38"/>
      <c r="AZ131" s="38"/>
      <c r="BA131" s="38"/>
      <c r="BB131" s="50"/>
      <c r="BC131" s="51"/>
      <c r="BD131" s="51"/>
      <c r="BE131" s="51"/>
      <c r="BF131" s="51"/>
    </row>
    <row r="132" spans="1:97" ht="12.75" customHeight="1">
      <c r="A132" s="41">
        <v>46112</v>
      </c>
      <c r="B132" s="42" t="s">
        <v>422</v>
      </c>
      <c r="C132" s="393">
        <f>(M132*E132*O132*Q132)/100000000</f>
        <v>35.532801360000001</v>
      </c>
      <c r="D132" s="42" t="s">
        <v>423</v>
      </c>
      <c r="E132" s="43">
        <v>13.5</v>
      </c>
      <c r="F132" s="43">
        <v>1</v>
      </c>
      <c r="G132" s="406">
        <v>1250</v>
      </c>
      <c r="H132" s="533">
        <f>+N132</f>
        <v>0.16000000000000003</v>
      </c>
      <c r="I132" s="45">
        <v>0.88</v>
      </c>
      <c r="J132" s="82">
        <f>E132*G132*(1-H132)*1440/1000000*2.7</f>
        <v>55.112400000000001</v>
      </c>
      <c r="K132" s="82">
        <f>(IF(G132&lt;L132,L132,G132)*(1-IF(H132&lt;N132,H132,N132))*E132*O132*Q132)/100000000</f>
        <v>37.013334749999999</v>
      </c>
      <c r="L132" s="36">
        <v>1200</v>
      </c>
      <c r="M132" s="36">
        <v>1008</v>
      </c>
      <c r="N132" s="46">
        <f>1-(M132/L132)</f>
        <v>0.16000000000000003</v>
      </c>
      <c r="O132" s="47">
        <f>+'Trim Rwd'!H84</f>
        <v>256.5</v>
      </c>
      <c r="P132" s="48">
        <f>O132*(Q132-R132-S132)</f>
        <v>257013</v>
      </c>
      <c r="Q132" s="47">
        <v>1018</v>
      </c>
      <c r="R132" s="362">
        <v>0</v>
      </c>
      <c r="S132" s="362">
        <v>16</v>
      </c>
      <c r="T132" s="38">
        <f>E132*M132*O132*Q132/100000000</f>
        <v>35.532801360000001</v>
      </c>
      <c r="U132" s="38">
        <f>E132*M132*O132*(Q132-R132-S132)/100000000</f>
        <v>34.974329040000001</v>
      </c>
      <c r="V132" s="38">
        <f>E132*G132*(1-N132)*O132/100*(R132+S132)/1000000</f>
        <v>0.58174199999999998</v>
      </c>
      <c r="W132" s="38">
        <f>+'31'!K10/1000</f>
        <v>38.36</v>
      </c>
      <c r="X132" s="361">
        <f>SUM(W132:W134)/SUM(K132:K134)</f>
        <v>0.74968323109251556</v>
      </c>
      <c r="Y132" s="38">
        <f>+SUM(RBP!AG3:AG4)</f>
        <v>17.25</v>
      </c>
      <c r="Z132" s="38">
        <f>+'31'!D7/1000</f>
        <v>0.75</v>
      </c>
      <c r="AA132" s="49">
        <f>SUM(U132:U134)-SUM(W132:W134)-SUM(Z132:Z134)-SUM(Y132:Y134)</f>
        <v>-7.2909970400000006</v>
      </c>
      <c r="AB132" s="49">
        <f>(SUM(K132:K134)-SUM(W132:W134)-SUM(Y132:Y134)-SUM(Z132:Z134)-SUM(AC132:AC134)-SUM(V132:V134))-AA132</f>
        <v>-2.456243999999419E-2</v>
      </c>
      <c r="AC132" s="38">
        <f>K132-T132</f>
        <v>1.480533389999998</v>
      </c>
      <c r="AD132" s="38">
        <f>+AM132+BA132</f>
        <v>0</v>
      </c>
      <c r="AE132" s="226" t="s">
        <v>417</v>
      </c>
      <c r="AF132" s="38">
        <v>0</v>
      </c>
      <c r="AG132" s="38"/>
      <c r="AH132" s="38"/>
      <c r="AI132" s="38"/>
      <c r="AJ132" s="38"/>
      <c r="AK132" s="38"/>
      <c r="AL132" s="38"/>
      <c r="AM132" s="38">
        <f>SUM(AF132:AL132)+AT132+AV132+AX132</f>
        <v>0</v>
      </c>
      <c r="AN132" s="38"/>
      <c r="AO132" s="38"/>
      <c r="AP132" s="38"/>
      <c r="AQ132" s="38"/>
      <c r="AR132" s="38">
        <f>SUM(AN132:AQ132)</f>
        <v>0</v>
      </c>
      <c r="AS132" s="38"/>
      <c r="AT132" s="38"/>
      <c r="AU132" s="38"/>
      <c r="AV132" s="38"/>
      <c r="AW132" s="38"/>
      <c r="AX132" s="38"/>
      <c r="AY132" s="38"/>
      <c r="AZ132" s="38"/>
      <c r="BA132" s="38">
        <f>+AR132+AS132+AU132+AW132+AY132+AZ132</f>
        <v>0</v>
      </c>
      <c r="BB132" s="34">
        <v>0</v>
      </c>
      <c r="BC132" s="51"/>
      <c r="BD132" s="51"/>
      <c r="BE132" s="51"/>
      <c r="BF132" s="51"/>
    </row>
    <row r="133" spans="1:97" ht="12.9" customHeight="1">
      <c r="A133" s="41"/>
      <c r="B133" s="42" t="s">
        <v>422</v>
      </c>
      <c r="C133" s="393">
        <f>(M133*E133*O133*Q133)/100000000</f>
        <v>15.275252160000001</v>
      </c>
      <c r="D133" s="42" t="s">
        <v>423</v>
      </c>
      <c r="E133" s="43">
        <v>15</v>
      </c>
      <c r="F133" s="43">
        <v>1</v>
      </c>
      <c r="G133" s="406">
        <v>1125</v>
      </c>
      <c r="H133" s="533">
        <f>+N133</f>
        <v>0.16000000000000003</v>
      </c>
      <c r="I133" s="45">
        <v>0.88</v>
      </c>
      <c r="J133" s="82">
        <f>E133*G133*(1-H133)*1440/1000000*2.7</f>
        <v>55.112400000000001</v>
      </c>
      <c r="K133" s="82">
        <f>(IF(G133&lt;L133,L133,G133)*(1-IF(H133&lt;N133,H133,N133))*E133*O133*Q133)/100000000</f>
        <v>15.34344525</v>
      </c>
      <c r="L133" s="36">
        <v>1120</v>
      </c>
      <c r="M133" s="36">
        <v>940.8</v>
      </c>
      <c r="N133" s="46">
        <f>1-(M133/L133)</f>
        <v>0.16000000000000003</v>
      </c>
      <c r="O133" s="47">
        <f>+'Trim Rwd'!H86</f>
        <v>256.5</v>
      </c>
      <c r="P133" s="48">
        <f>O133*(Q133-R133-S133)</f>
        <v>106191</v>
      </c>
      <c r="Q133" s="47">
        <v>422</v>
      </c>
      <c r="R133" s="362">
        <v>0</v>
      </c>
      <c r="S133" s="362">
        <v>8</v>
      </c>
      <c r="T133" s="38">
        <f>E133*M133*O133*Q133/100000000</f>
        <v>15.275252160000001</v>
      </c>
      <c r="U133" s="38">
        <f>E133*M133*O133*(Q133-R133-S133)/100000000</f>
        <v>14.98567392</v>
      </c>
      <c r="V133" s="38">
        <f>E133*G133*(1-N133)*O133/100*(R133+S133)/1000000</f>
        <v>0.29087099999999999</v>
      </c>
      <c r="W133" s="38">
        <f>+'31'!K7/1000</f>
        <v>0</v>
      </c>
      <c r="X133" s="361"/>
      <c r="Y133" s="209"/>
      <c r="Z133" s="38"/>
      <c r="AA133" s="38"/>
      <c r="AB133" s="38"/>
      <c r="AC133" s="38">
        <f>K133-T133</f>
        <v>6.8193089999999401E-2</v>
      </c>
      <c r="AD133" s="38">
        <f t="shared" ref="AD133:AD134" si="134">+AM133+BA133</f>
        <v>0</v>
      </c>
      <c r="AE133" s="226" t="s">
        <v>419</v>
      </c>
      <c r="AF133" s="38"/>
      <c r="AG133" s="38">
        <v>0</v>
      </c>
      <c r="AH133" s="38"/>
      <c r="AI133" s="38"/>
      <c r="AJ133" s="38"/>
      <c r="AK133" s="38"/>
      <c r="AL133" s="38"/>
      <c r="AM133" s="38">
        <f t="shared" ref="AM133:AM134" si="135">SUM(AF133:AL133)+AT133+AV133+AX133</f>
        <v>0</v>
      </c>
      <c r="AN133" s="83"/>
      <c r="AO133" s="38"/>
      <c r="AP133" s="38"/>
      <c r="AQ133" s="38"/>
      <c r="AR133" s="38">
        <f t="shared" ref="AR133:AR134" si="136">SUM(AN133:AQ133)</f>
        <v>0</v>
      </c>
      <c r="AS133" s="38"/>
      <c r="AT133" s="38"/>
      <c r="AU133" s="38"/>
      <c r="AV133" s="38"/>
      <c r="AW133" s="38"/>
      <c r="AX133" s="38"/>
      <c r="AY133" s="38"/>
      <c r="AZ133" s="38"/>
      <c r="BA133" s="38">
        <f t="shared" ref="BA133:BA134" si="137">+AR133+AS133+AU133+AW133+AY133+AZ133</f>
        <v>0</v>
      </c>
      <c r="BB133" s="50"/>
      <c r="BC133" s="51">
        <v>0</v>
      </c>
      <c r="BD133" s="51"/>
      <c r="BE133" s="51"/>
      <c r="BF133" s="51"/>
    </row>
    <row r="134" spans="1:97" ht="12.9" customHeight="1">
      <c r="A134" s="41"/>
      <c r="B134" s="42" t="s">
        <v>422</v>
      </c>
      <c r="C134" s="393"/>
      <c r="D134" s="42"/>
      <c r="E134" s="43">
        <v>14.5</v>
      </c>
      <c r="F134" s="43"/>
      <c r="G134" s="406"/>
      <c r="H134" s="533"/>
      <c r="I134" s="45"/>
      <c r="J134" s="82"/>
      <c r="K134" s="82"/>
      <c r="L134" s="36"/>
      <c r="M134" s="36"/>
      <c r="N134" s="46"/>
      <c r="O134" s="47"/>
      <c r="P134" s="48"/>
      <c r="Q134" s="47"/>
      <c r="R134" s="362"/>
      <c r="S134" s="362"/>
      <c r="T134" s="38"/>
      <c r="U134" s="38"/>
      <c r="V134" s="38"/>
      <c r="W134" s="38">
        <f>+'31'!K8/1000</f>
        <v>0.89100000000000001</v>
      </c>
      <c r="X134" s="361"/>
      <c r="Y134" s="209"/>
      <c r="Z134" s="38"/>
      <c r="AA134" s="38"/>
      <c r="AB134" s="38"/>
      <c r="AC134" s="38"/>
      <c r="AD134" s="38">
        <f t="shared" si="134"/>
        <v>24</v>
      </c>
      <c r="AE134" s="226" t="s">
        <v>446</v>
      </c>
      <c r="AF134" s="34"/>
      <c r="AG134" s="34"/>
      <c r="AH134" s="34">
        <v>24</v>
      </c>
      <c r="AI134" s="34"/>
      <c r="AJ134" s="38"/>
      <c r="AK134" s="38"/>
      <c r="AL134" s="38"/>
      <c r="AM134" s="38">
        <f t="shared" si="135"/>
        <v>24</v>
      </c>
      <c r="AN134" s="38"/>
      <c r="AO134" s="38"/>
      <c r="AP134" s="38"/>
      <c r="AQ134" s="38"/>
      <c r="AR134" s="38">
        <f t="shared" si="136"/>
        <v>0</v>
      </c>
      <c r="AS134" s="38"/>
      <c r="AT134" s="38"/>
      <c r="AU134" s="38"/>
      <c r="AV134" s="38"/>
      <c r="AW134" s="38"/>
      <c r="AX134" s="38"/>
      <c r="AY134" s="38"/>
      <c r="AZ134" s="38"/>
      <c r="BA134" s="38">
        <f t="shared" si="137"/>
        <v>0</v>
      </c>
      <c r="BB134" s="34"/>
      <c r="BC134" s="477"/>
      <c r="BD134" s="51"/>
      <c r="BE134" s="51"/>
      <c r="BF134" s="51"/>
    </row>
    <row r="135" spans="1:97" ht="12.9" customHeight="1">
      <c r="R135" s="363"/>
      <c r="S135" s="363"/>
      <c r="AA135" s="242">
        <f>U135-W135-Z135</f>
        <v>0</v>
      </c>
      <c r="AB135" s="242"/>
      <c r="AC135" s="243">
        <f>K135-T135</f>
        <v>0</v>
      </c>
      <c r="AD135" s="38"/>
      <c r="AF135" s="52"/>
      <c r="AG135" s="52"/>
      <c r="AH135" s="52"/>
      <c r="AI135" s="52"/>
      <c r="AJ135" s="52"/>
      <c r="AK135" s="52"/>
      <c r="AL135" s="52"/>
      <c r="AM135" s="38">
        <f t="shared" ref="AM135" si="138">SUM(AF135:AL135)</f>
        <v>0</v>
      </c>
      <c r="AN135" s="52"/>
      <c r="AO135" s="52"/>
      <c r="AP135" s="52"/>
      <c r="AQ135" s="52"/>
      <c r="AR135" s="38">
        <f t="shared" ref="AR135" si="139">SUM(AN135:AQ135)</f>
        <v>0</v>
      </c>
      <c r="AS135" s="52"/>
      <c r="AT135" s="52"/>
      <c r="AU135" s="52"/>
      <c r="AV135" s="52"/>
      <c r="AW135" s="52"/>
      <c r="AX135" s="52"/>
      <c r="AY135" s="52"/>
      <c r="AZ135" s="52"/>
      <c r="BA135" s="38"/>
      <c r="BB135" s="63"/>
      <c r="BC135" s="63"/>
      <c r="BD135" s="51"/>
      <c r="BE135" s="51"/>
      <c r="BF135" s="51"/>
    </row>
    <row r="136" spans="1:97" ht="12.9" customHeight="1">
      <c r="A136" s="56"/>
      <c r="B136" s="57"/>
      <c r="C136" s="394">
        <f>SUM(C6:C134)</f>
        <v>1662.6206665947004</v>
      </c>
      <c r="D136" s="57"/>
      <c r="E136" s="58"/>
      <c r="F136" s="58"/>
      <c r="G136" s="59"/>
      <c r="H136" s="59"/>
      <c r="I136" s="60">
        <v>0.85</v>
      </c>
      <c r="J136" s="82"/>
      <c r="K136" s="84">
        <f>SUM(K6:K134)</f>
        <v>1693.6270013325668</v>
      </c>
      <c r="L136" s="62"/>
      <c r="M136" s="62"/>
      <c r="N136" s="63"/>
      <c r="O136" s="64">
        <f>P136/(Q136-R136-S136)</f>
        <v>262.91946204384539</v>
      </c>
      <c r="P136" s="61">
        <f>SUM(P6:P134)</f>
        <v>11225083.512499936</v>
      </c>
      <c r="Q136" s="313">
        <f>SUM(Q6:Q135)</f>
        <v>44640</v>
      </c>
      <c r="R136" s="61">
        <f t="shared" ref="R136:W136" si="140">SUM(R6:R134)</f>
        <v>1032</v>
      </c>
      <c r="S136" s="61">
        <f t="shared" si="140"/>
        <v>914</v>
      </c>
      <c r="T136" s="61">
        <f t="shared" si="140"/>
        <v>1662.6206665947004</v>
      </c>
      <c r="U136" s="61">
        <f t="shared" si="140"/>
        <v>1590.6496697800867</v>
      </c>
      <c r="V136" s="338">
        <f t="shared" si="140"/>
        <v>72.556178934219417</v>
      </c>
      <c r="W136" s="409">
        <f t="shared" si="140"/>
        <v>1556.3609999999996</v>
      </c>
      <c r="X136" s="478">
        <f>W136/K136</f>
        <v>0.91895145671120937</v>
      </c>
      <c r="Y136" s="339">
        <f>SUM(Y6:Y134)</f>
        <v>17.25</v>
      </c>
      <c r="Z136" s="409">
        <f>SUM(Z6:Z134)</f>
        <v>3.81</v>
      </c>
      <c r="AA136" s="61">
        <f>SUM(AA6:AA134)</f>
        <v>13.228669780086538</v>
      </c>
      <c r="AB136" s="61">
        <f>SUM(AB6:AB134)</f>
        <v>0.80220388039500379</v>
      </c>
      <c r="AC136" s="61">
        <f>SUM(AC6:AC134)</f>
        <v>29.618948737866177</v>
      </c>
      <c r="AD136" s="38">
        <f>SUM(AD6:AD135)</f>
        <v>1946</v>
      </c>
      <c r="AE136" s="65"/>
      <c r="AF136" s="61">
        <f t="shared" ref="AF136:BF136" si="141">SUM(AF6:AF135)</f>
        <v>46</v>
      </c>
      <c r="AG136" s="61">
        <f t="shared" si="141"/>
        <v>87</v>
      </c>
      <c r="AH136" s="61">
        <f t="shared" si="141"/>
        <v>706</v>
      </c>
      <c r="AI136" s="61">
        <f t="shared" si="141"/>
        <v>0</v>
      </c>
      <c r="AJ136" s="61">
        <f t="shared" si="141"/>
        <v>0</v>
      </c>
      <c r="AK136" s="61">
        <f t="shared" si="141"/>
        <v>0</v>
      </c>
      <c r="AL136" s="61">
        <f t="shared" si="141"/>
        <v>0</v>
      </c>
      <c r="AM136" s="61">
        <f t="shared" si="141"/>
        <v>914</v>
      </c>
      <c r="AN136" s="52">
        <f t="shared" si="141"/>
        <v>35</v>
      </c>
      <c r="AO136" s="52">
        <f t="shared" si="141"/>
        <v>0</v>
      </c>
      <c r="AP136" s="52">
        <f t="shared" si="141"/>
        <v>0</v>
      </c>
      <c r="AQ136" s="52">
        <f t="shared" si="141"/>
        <v>0</v>
      </c>
      <c r="AR136" s="61">
        <f t="shared" si="141"/>
        <v>35</v>
      </c>
      <c r="AS136" s="61">
        <f t="shared" si="141"/>
        <v>0</v>
      </c>
      <c r="AT136" s="61">
        <f t="shared" si="141"/>
        <v>0</v>
      </c>
      <c r="AU136" s="61">
        <f t="shared" si="141"/>
        <v>0</v>
      </c>
      <c r="AV136" s="61">
        <f t="shared" si="141"/>
        <v>75</v>
      </c>
      <c r="AW136" s="61">
        <f t="shared" si="141"/>
        <v>997</v>
      </c>
      <c r="AX136" s="61">
        <f t="shared" si="141"/>
        <v>0</v>
      </c>
      <c r="AY136" s="61">
        <f t="shared" si="141"/>
        <v>0</v>
      </c>
      <c r="AZ136" s="61">
        <f t="shared" si="141"/>
        <v>0</v>
      </c>
      <c r="BA136" s="61">
        <f t="shared" si="141"/>
        <v>1032</v>
      </c>
      <c r="BB136" s="52">
        <f t="shared" si="141"/>
        <v>18</v>
      </c>
      <c r="BC136" s="52">
        <f t="shared" si="141"/>
        <v>41</v>
      </c>
      <c r="BD136" s="52">
        <f t="shared" si="141"/>
        <v>6</v>
      </c>
      <c r="BE136" s="52">
        <f t="shared" si="141"/>
        <v>0</v>
      </c>
      <c r="BF136" s="52">
        <f t="shared" si="141"/>
        <v>1</v>
      </c>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c r="CP136" s="28"/>
      <c r="CQ136" s="28"/>
      <c r="CR136" s="28"/>
      <c r="CS136" s="28"/>
    </row>
    <row r="137" spans="1:97" ht="12.9" customHeight="1">
      <c r="A137" s="56"/>
      <c r="B137" s="57"/>
      <c r="C137" s="57"/>
      <c r="D137" s="57"/>
      <c r="E137" s="58"/>
      <c r="F137" s="58"/>
      <c r="G137" s="59"/>
      <c r="H137" s="59"/>
      <c r="I137" s="59"/>
      <c r="J137" s="85"/>
      <c r="K137" s="85"/>
      <c r="L137" s="62"/>
      <c r="M137" s="62"/>
      <c r="N137" s="63"/>
      <c r="O137" s="657"/>
      <c r="P137" s="658"/>
      <c r="Q137" s="59">
        <f>31*1440-Q136</f>
        <v>0</v>
      </c>
      <c r="R137" s="66">
        <f>R136/Q136</f>
        <v>2.3118279569892472E-2</v>
      </c>
      <c r="S137" s="66">
        <f>S136/Q136</f>
        <v>2.0474910394265234E-2</v>
      </c>
      <c r="T137" s="324"/>
      <c r="U137" s="324"/>
      <c r="V137" s="326">
        <f>V136/K136</f>
        <v>4.2840707474037266E-2</v>
      </c>
      <c r="W137" s="343" t="s">
        <v>178</v>
      </c>
      <c r="X137" s="479">
        <v>0.85</v>
      </c>
      <c r="Y137" s="340">
        <f>Y136/K136</f>
        <v>1.0185241488490373E-2</v>
      </c>
      <c r="Z137" s="67">
        <f>Z136/K136</f>
        <v>2.2496098591970044E-3</v>
      </c>
      <c r="AA137" s="67">
        <f>AA136/K136</f>
        <v>7.810851958358042E-3</v>
      </c>
      <c r="AB137" s="67">
        <f>AB136/K136</f>
        <v>4.7366030404795141E-4</v>
      </c>
      <c r="AC137" s="480">
        <f>AC136/K136</f>
        <v>1.748847220465995E-2</v>
      </c>
      <c r="AD137" s="327"/>
      <c r="AE137" s="40"/>
      <c r="AF137" s="67">
        <f>AF136/$AD$136*$V$137</f>
        <v>1.0126785939392161E-3</v>
      </c>
      <c r="AG137" s="67">
        <f>AG136/$AD$136*$V$137</f>
        <v>1.9152834276676474E-3</v>
      </c>
      <c r="AH137" s="67">
        <f>AH136/$AD$136*$V$137</f>
        <v>1.5542414941762749E-2</v>
      </c>
      <c r="AI137" s="67">
        <f>AI136/$AD$136*$V$137</f>
        <v>0</v>
      </c>
      <c r="AJ137" s="67">
        <f t="shared" ref="AJ137:BA137" si="142">AJ136/$AD$136*$V$137</f>
        <v>0</v>
      </c>
      <c r="AK137" s="67">
        <f t="shared" si="142"/>
        <v>0</v>
      </c>
      <c r="AL137" s="67">
        <f t="shared" si="142"/>
        <v>0</v>
      </c>
      <c r="AM137" s="67">
        <f t="shared" si="142"/>
        <v>2.0121483366531377E-2</v>
      </c>
      <c r="AN137" s="67">
        <f t="shared" si="142"/>
        <v>7.7051632147549039E-4</v>
      </c>
      <c r="AO137" s="67">
        <f t="shared" si="142"/>
        <v>0</v>
      </c>
      <c r="AP137" s="67">
        <f t="shared" si="142"/>
        <v>0</v>
      </c>
      <c r="AQ137" s="67">
        <f t="shared" si="142"/>
        <v>0</v>
      </c>
      <c r="AR137" s="67">
        <f t="shared" si="142"/>
        <v>7.7051632147549039E-4</v>
      </c>
      <c r="AS137" s="67">
        <f t="shared" si="142"/>
        <v>0</v>
      </c>
      <c r="AT137" s="67">
        <f t="shared" si="142"/>
        <v>0</v>
      </c>
      <c r="AU137" s="67">
        <f t="shared" si="142"/>
        <v>0</v>
      </c>
      <c r="AV137" s="67">
        <f t="shared" si="142"/>
        <v>1.6511064031617653E-3</v>
      </c>
      <c r="AW137" s="67">
        <f t="shared" si="142"/>
        <v>2.1948707786030398E-2</v>
      </c>
      <c r="AX137" s="67">
        <f t="shared" si="142"/>
        <v>0</v>
      </c>
      <c r="AY137" s="67">
        <f t="shared" si="142"/>
        <v>0</v>
      </c>
      <c r="AZ137" s="67">
        <f t="shared" si="142"/>
        <v>0</v>
      </c>
      <c r="BA137" s="67">
        <f t="shared" si="142"/>
        <v>2.2719224107505889E-2</v>
      </c>
      <c r="BB137" s="35" t="s">
        <v>177</v>
      </c>
      <c r="BC137" s="35" t="s">
        <v>177</v>
      </c>
      <c r="BD137" s="35" t="s">
        <v>403</v>
      </c>
      <c r="BE137" s="35" t="s">
        <v>403</v>
      </c>
      <c r="BF137" s="35" t="s">
        <v>403</v>
      </c>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c r="CC137" s="28"/>
      <c r="CD137" s="28"/>
      <c r="CE137" s="28"/>
      <c r="CF137" s="28"/>
      <c r="CG137" s="28"/>
      <c r="CH137" s="28"/>
      <c r="CI137" s="28"/>
      <c r="CJ137" s="28"/>
      <c r="CK137" s="28"/>
      <c r="CL137" s="28"/>
      <c r="CM137" s="28"/>
      <c r="CN137" s="28"/>
      <c r="CO137" s="28"/>
      <c r="CP137" s="28"/>
      <c r="CQ137" s="28"/>
      <c r="CR137" s="28"/>
      <c r="CS137" s="28"/>
    </row>
    <row r="138" spans="1:97" ht="12.9" customHeight="1">
      <c r="A138" s="56"/>
      <c r="B138" s="57"/>
      <c r="C138" s="57"/>
      <c r="D138" s="57"/>
      <c r="E138" s="58"/>
      <c r="F138" s="58"/>
      <c r="G138" s="35"/>
      <c r="H138" s="35"/>
      <c r="I138" s="35"/>
      <c r="J138" s="82"/>
      <c r="K138" s="82"/>
      <c r="L138" s="36"/>
      <c r="M138" s="36"/>
      <c r="N138" s="34"/>
      <c r="O138" s="37"/>
      <c r="P138" s="29"/>
      <c r="Q138" s="35"/>
      <c r="R138" s="38">
        <f>R136-(BA136)</f>
        <v>0</v>
      </c>
      <c r="S138" s="38">
        <f>S136-SUM(AF136:AL136)+AT136-AV136-AX136</f>
        <v>0</v>
      </c>
      <c r="T138" s="34"/>
      <c r="U138" s="34"/>
      <c r="V138" s="34"/>
      <c r="W138" s="341"/>
      <c r="X138" s="342"/>
      <c r="Y138" s="68">
        <f>+Y136-(SUM(RBP!AG3:AG4))</f>
        <v>0</v>
      </c>
      <c r="Z138" s="38"/>
      <c r="AA138" s="34"/>
      <c r="AB138" s="34"/>
      <c r="AC138" s="34"/>
      <c r="AD138" s="34"/>
      <c r="AE138" s="40"/>
      <c r="AF138" s="314"/>
      <c r="AG138" s="314"/>
      <c r="AH138" s="314"/>
      <c r="AI138" s="314"/>
      <c r="AJ138" s="77"/>
      <c r="AK138" s="77"/>
      <c r="AL138" s="77"/>
      <c r="AM138" s="77"/>
      <c r="AN138" s="77"/>
      <c r="AO138" s="77"/>
      <c r="AP138" s="77"/>
      <c r="AQ138" s="77"/>
      <c r="AR138" s="77"/>
      <c r="AS138" s="77"/>
      <c r="AT138" s="77"/>
      <c r="AU138" s="77"/>
      <c r="AV138" s="77"/>
      <c r="AW138" s="77"/>
      <c r="AX138" s="77"/>
      <c r="AY138" s="77"/>
      <c r="AZ138" s="77"/>
      <c r="BA138" s="77"/>
      <c r="BB138" s="481">
        <f>BB136/($Q$136/1440)/2</f>
        <v>0.29032258064516131</v>
      </c>
      <c r="BC138" s="481">
        <f>BC136/($Q$136/1440)/2</f>
        <v>0.66129032258064513</v>
      </c>
      <c r="BD138" s="481">
        <f>BD136/($Q$136/1440)</f>
        <v>0.19354838709677419</v>
      </c>
      <c r="BE138" s="481">
        <f>BE136/($Q$136/1440)</f>
        <v>0</v>
      </c>
      <c r="BF138" s="481">
        <f>BF136/($Q$136/1440)</f>
        <v>3.2258064516129031E-2</v>
      </c>
    </row>
    <row r="139" spans="1:97" ht="12.9" customHeight="1">
      <c r="A139" s="69"/>
      <c r="B139" s="70"/>
      <c r="C139" s="70"/>
      <c r="D139" s="70"/>
      <c r="E139" s="71"/>
      <c r="F139" s="71"/>
      <c r="G139" s="72"/>
      <c r="H139" s="72"/>
      <c r="I139" s="72"/>
      <c r="J139" s="86"/>
      <c r="K139" s="86"/>
      <c r="O139" s="73"/>
      <c r="P139" s="74"/>
      <c r="Q139" s="72"/>
      <c r="R139" s="53"/>
      <c r="S139" s="53"/>
      <c r="U139" s="75"/>
      <c r="V139" s="75"/>
      <c r="W139" s="76" t="s">
        <v>130</v>
      </c>
      <c r="X139" s="482">
        <f>W136/U136</f>
        <v>0.97844360676551256</v>
      </c>
      <c r="Y139" s="482"/>
      <c r="Z139" s="53"/>
      <c r="AD139" s="83"/>
      <c r="AE139" s="78"/>
      <c r="AF139" s="79"/>
      <c r="AG139" s="79"/>
      <c r="AH139" s="79"/>
      <c r="AI139" s="79"/>
      <c r="AJ139" s="79"/>
      <c r="AK139" s="79"/>
      <c r="AL139" s="79"/>
      <c r="AM139" s="79"/>
      <c r="AN139" s="77"/>
      <c r="AO139" s="77"/>
      <c r="AP139" s="77"/>
      <c r="AQ139" s="77"/>
      <c r="AR139" s="77"/>
      <c r="AS139" s="79"/>
      <c r="AT139" s="79"/>
      <c r="AU139" s="79"/>
      <c r="AV139" s="79"/>
      <c r="AW139" s="79"/>
      <c r="AX139" s="79"/>
      <c r="AY139" s="79"/>
      <c r="AZ139" s="79"/>
      <c r="BA139" s="77"/>
      <c r="BB139" s="28"/>
      <c r="BC139" s="77"/>
      <c r="BD139" s="77"/>
      <c r="BE139" s="28"/>
      <c r="BF139" s="77"/>
    </row>
    <row r="140" spans="1:97" ht="12.9" customHeight="1">
      <c r="A140" s="69"/>
      <c r="B140" s="70"/>
      <c r="C140" s="70"/>
      <c r="D140" s="70"/>
      <c r="E140" s="71"/>
      <c r="F140" s="71"/>
      <c r="G140" s="72"/>
      <c r="H140" s="72"/>
      <c r="I140" s="72"/>
      <c r="J140" s="86"/>
      <c r="K140" s="86"/>
      <c r="O140" s="73"/>
      <c r="P140" s="74"/>
      <c r="Q140" s="72"/>
      <c r="R140" s="53"/>
      <c r="S140" s="53"/>
      <c r="U140" s="75"/>
      <c r="V140" s="75"/>
      <c r="W140" s="76"/>
      <c r="X140" s="77"/>
      <c r="Y140" s="77"/>
      <c r="Z140" s="53">
        <f>+Z136-'31'!J56/1000</f>
        <v>0</v>
      </c>
      <c r="AA140" s="595">
        <f>+W136-'31'!M34/1000</f>
        <v>0</v>
      </c>
      <c r="AB140" s="89"/>
      <c r="AD140" s="83"/>
      <c r="AE140" s="78"/>
      <c r="AF140" s="79"/>
      <c r="AG140" s="79"/>
      <c r="AH140" s="79"/>
      <c r="AI140" s="79"/>
      <c r="AJ140" s="79"/>
      <c r="AK140" s="79"/>
      <c r="AL140" s="79"/>
      <c r="AM140" s="79"/>
      <c r="AN140" s="79"/>
      <c r="AO140" s="77"/>
      <c r="AP140" s="77"/>
      <c r="AQ140" s="77"/>
      <c r="AR140" s="79"/>
      <c r="AS140" s="77"/>
      <c r="AT140" s="77"/>
      <c r="AU140" s="77"/>
      <c r="AV140" s="77"/>
      <c r="AW140" s="77"/>
      <c r="AX140" s="77"/>
      <c r="AY140" s="77"/>
      <c r="AZ140" s="77"/>
      <c r="BA140" s="77"/>
      <c r="BB140" s="28"/>
      <c r="BC140" s="77"/>
      <c r="BD140" s="77"/>
      <c r="BE140" s="28"/>
      <c r="BF140" s="77"/>
    </row>
    <row r="141" spans="1:97" ht="12.9" customHeight="1">
      <c r="A141" s="69"/>
      <c r="B141" s="70"/>
      <c r="C141" s="70"/>
      <c r="D141" s="70"/>
      <c r="E141" s="71"/>
      <c r="F141" s="71"/>
      <c r="G141" s="72"/>
      <c r="H141" s="72"/>
      <c r="I141" s="72"/>
      <c r="J141" s="86"/>
      <c r="K141" s="86"/>
      <c r="O141" s="73"/>
      <c r="P141" s="74"/>
      <c r="Q141" s="72"/>
      <c r="R141" s="325"/>
      <c r="S141" s="53"/>
      <c r="U141" s="75"/>
      <c r="V141" s="75"/>
      <c r="W141" s="76" t="s">
        <v>153</v>
      </c>
      <c r="X141" s="314">
        <f>+W136+Y136</f>
        <v>1573.6109999999996</v>
      </c>
      <c r="Y141" s="77"/>
      <c r="Z141" s="53"/>
      <c r="AD141" s="83"/>
      <c r="AE141" s="78"/>
      <c r="AF141" s="83"/>
      <c r="AG141" s="83"/>
      <c r="AH141" s="83"/>
      <c r="AI141" s="83"/>
      <c r="AJ141" s="77"/>
      <c r="AK141" s="77"/>
      <c r="AL141" s="77"/>
      <c r="AM141" s="79"/>
      <c r="AN141" s="77"/>
      <c r="AO141" s="77"/>
      <c r="AP141" s="77"/>
      <c r="AQ141" s="77"/>
      <c r="AR141" s="79"/>
      <c r="AS141" s="77"/>
      <c r="AT141" s="77"/>
      <c r="AU141" s="77"/>
      <c r="AV141" s="77"/>
      <c r="AW141" s="77"/>
      <c r="AX141" s="77"/>
      <c r="AY141" s="77"/>
      <c r="AZ141" s="77"/>
      <c r="BA141" s="77"/>
      <c r="BB141" s="28"/>
      <c r="BC141" s="77"/>
      <c r="BD141" s="77"/>
      <c r="BE141" s="28"/>
      <c r="BF141" s="77"/>
    </row>
    <row r="142" spans="1:97" ht="12.9" customHeight="1">
      <c r="A142" s="69"/>
      <c r="C142" s="70" t="s">
        <v>295</v>
      </c>
      <c r="D142" s="70"/>
      <c r="E142" s="71"/>
      <c r="F142" s="71"/>
      <c r="G142" s="72"/>
      <c r="H142" s="72"/>
      <c r="I142" s="72"/>
      <c r="J142" s="86"/>
      <c r="K142" s="86"/>
      <c r="O142" s="73"/>
      <c r="P142" s="74"/>
      <c r="Q142" s="72"/>
      <c r="R142" s="325"/>
      <c r="S142" s="53"/>
      <c r="U142" s="75"/>
      <c r="V142" s="336"/>
      <c r="W142" s="337"/>
      <c r="X142" s="330"/>
      <c r="Y142" s="337"/>
      <c r="Z142" s="330"/>
      <c r="AD142" s="323"/>
      <c r="AE142" s="78"/>
      <c r="AF142" s="323"/>
      <c r="AG142" s="323"/>
      <c r="AH142" s="323"/>
      <c r="AI142" s="323"/>
      <c r="AJ142" s="77"/>
      <c r="AK142" s="77"/>
      <c r="AL142" s="77"/>
      <c r="AM142" s="77"/>
      <c r="AN142" s="77"/>
      <c r="AO142" s="77"/>
      <c r="AP142" s="77"/>
      <c r="AQ142" s="77"/>
      <c r="AR142" s="77"/>
      <c r="AS142" s="77"/>
      <c r="AT142" s="77"/>
      <c r="AU142" s="77"/>
      <c r="AV142" s="77"/>
      <c r="AW142" s="77"/>
      <c r="AX142" s="77"/>
      <c r="AY142" s="77"/>
      <c r="AZ142" s="77"/>
      <c r="BA142" s="77"/>
      <c r="BB142" s="28"/>
      <c r="BC142" s="77"/>
      <c r="BD142" s="77"/>
      <c r="BE142" s="28"/>
      <c r="BF142" s="77"/>
    </row>
    <row r="143" spans="1:97" ht="12.9" customHeight="1">
      <c r="A143" s="69"/>
      <c r="B143" s="70"/>
      <c r="C143" s="70" t="s">
        <v>296</v>
      </c>
      <c r="D143" s="70"/>
      <c r="E143" s="71"/>
      <c r="F143" s="71"/>
      <c r="G143" s="72"/>
      <c r="H143" s="72"/>
      <c r="I143" s="72"/>
      <c r="J143" s="86"/>
      <c r="K143" s="86"/>
      <c r="O143" s="73"/>
      <c r="P143" s="74"/>
      <c r="Q143" s="72"/>
      <c r="R143" s="325"/>
      <c r="S143" s="53"/>
      <c r="V143" s="328"/>
      <c r="W143" s="329" t="s">
        <v>300</v>
      </c>
      <c r="X143" s="328"/>
      <c r="Y143" s="328"/>
      <c r="Z143" s="330"/>
      <c r="AE143" s="78"/>
      <c r="AF143" s="53"/>
      <c r="AG143" s="53"/>
      <c r="AH143" s="53"/>
      <c r="AI143" s="53"/>
      <c r="AJ143" s="53"/>
      <c r="AK143" s="53"/>
      <c r="AL143" s="53"/>
      <c r="AM143" s="53"/>
      <c r="AN143" s="53"/>
      <c r="AO143" s="53"/>
      <c r="AP143" s="53"/>
      <c r="AQ143" s="53"/>
      <c r="AS143" s="53"/>
      <c r="AT143" s="53"/>
      <c r="AU143" s="53"/>
      <c r="AV143" s="53"/>
      <c r="AW143" s="53"/>
      <c r="AX143" s="53"/>
      <c r="AY143" s="53"/>
      <c r="AZ143" s="53"/>
      <c r="BA143" s="53"/>
      <c r="BB143" s="28"/>
      <c r="BE143" s="28"/>
    </row>
    <row r="144" spans="1:97" ht="12.9" customHeight="1">
      <c r="A144" s="69"/>
      <c r="B144" s="70"/>
      <c r="C144" s="70"/>
      <c r="D144" s="70"/>
      <c r="E144" s="71"/>
      <c r="F144" s="71"/>
      <c r="G144" s="72"/>
      <c r="H144" s="72"/>
      <c r="I144" s="72"/>
      <c r="J144" s="86"/>
      <c r="K144" s="86"/>
      <c r="O144" s="73"/>
      <c r="P144" s="74"/>
      <c r="Q144" s="72"/>
      <c r="R144" s="325"/>
      <c r="S144" s="53"/>
      <c r="V144" s="328"/>
      <c r="W144" s="331" t="s">
        <v>294</v>
      </c>
      <c r="X144" s="335">
        <f>Y137</f>
        <v>1.0185241488490373E-2</v>
      </c>
      <c r="Y144" s="332"/>
      <c r="Z144" s="330"/>
      <c r="AE144" s="78"/>
      <c r="AF144" s="53"/>
      <c r="AG144" s="53"/>
      <c r="AH144" s="53"/>
      <c r="AI144" s="53"/>
      <c r="AJ144" s="53"/>
      <c r="AK144" s="53"/>
      <c r="AL144" s="53"/>
      <c r="AM144" s="53"/>
      <c r="AN144" s="53"/>
      <c r="AO144" s="53"/>
      <c r="AP144" s="53"/>
      <c r="AQ144" s="53"/>
      <c r="AS144" s="53"/>
      <c r="AT144" s="53"/>
      <c r="AU144" s="53"/>
      <c r="AV144" s="53"/>
      <c r="AW144" s="53"/>
      <c r="AX144" s="53"/>
      <c r="AY144" s="53"/>
      <c r="AZ144" s="53"/>
      <c r="BA144" s="53"/>
      <c r="BB144" s="28"/>
      <c r="BE144" s="28"/>
    </row>
    <row r="145" spans="1:97" ht="12.9" customHeight="1">
      <c r="R145" s="89"/>
      <c r="V145" s="328"/>
      <c r="W145" s="331" t="s">
        <v>157</v>
      </c>
      <c r="X145" s="334">
        <f>Z137</f>
        <v>2.2496098591970044E-3</v>
      </c>
      <c r="Y145" s="333"/>
      <c r="Z145" s="328"/>
    </row>
    <row r="146" spans="1:97" ht="12.9" customHeight="1">
      <c r="R146" s="89"/>
      <c r="V146" s="328"/>
      <c r="W146" s="331" t="s">
        <v>158</v>
      </c>
      <c r="X146" s="334">
        <f>AC137</f>
        <v>1.748847220465995E-2</v>
      </c>
      <c r="Y146" s="334"/>
      <c r="Z146" s="328"/>
    </row>
    <row r="147" spans="1:97" ht="12.9" customHeight="1">
      <c r="R147" s="89"/>
      <c r="V147" s="328"/>
      <c r="W147" s="331" t="s">
        <v>159</v>
      </c>
      <c r="X147" s="334">
        <f>AA137</f>
        <v>7.810851958358042E-3</v>
      </c>
      <c r="Y147" s="333"/>
      <c r="Z147" s="328"/>
    </row>
    <row r="148" spans="1:97">
      <c r="V148" s="328"/>
      <c r="W148" s="331" t="s">
        <v>175</v>
      </c>
      <c r="X148" s="334">
        <f>AB137</f>
        <v>4.7366030404795141E-4</v>
      </c>
      <c r="Y148" s="333" t="s">
        <v>173</v>
      </c>
      <c r="Z148" s="328"/>
    </row>
    <row r="149" spans="1:97" s="28" customFormat="1" ht="12.9" customHeight="1">
      <c r="A149" s="30"/>
      <c r="B149" s="30"/>
      <c r="C149" s="30"/>
      <c r="D149" s="30"/>
      <c r="E149" s="30"/>
      <c r="F149" s="54"/>
      <c r="G149" s="30"/>
      <c r="H149" s="30"/>
      <c r="I149" s="30"/>
      <c r="J149" s="83"/>
      <c r="K149" s="83"/>
      <c r="L149" s="55"/>
      <c r="M149" s="55"/>
      <c r="N149" s="30"/>
      <c r="O149" s="30"/>
      <c r="P149" s="30"/>
      <c r="Q149" s="312"/>
      <c r="R149" s="30"/>
      <c r="S149" s="30"/>
      <c r="T149" s="30"/>
      <c r="U149" s="30"/>
      <c r="V149" s="328"/>
      <c r="W149" s="331" t="s">
        <v>214</v>
      </c>
      <c r="X149" s="334">
        <f>AF137</f>
        <v>1.0126785939392161E-3</v>
      </c>
      <c r="Y149" s="333"/>
      <c r="Z149" s="328"/>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30"/>
      <c r="CJ149" s="30"/>
      <c r="CK149" s="30"/>
      <c r="CL149" s="30"/>
      <c r="CM149" s="30"/>
      <c r="CN149" s="30"/>
      <c r="CO149" s="30"/>
      <c r="CP149" s="30"/>
      <c r="CQ149" s="30"/>
      <c r="CR149" s="30"/>
      <c r="CS149" s="30"/>
    </row>
    <row r="150" spans="1:97" s="28" customFormat="1" ht="12.9" customHeight="1">
      <c r="A150" s="30"/>
      <c r="B150" s="30"/>
      <c r="C150" s="30"/>
      <c r="D150" s="30"/>
      <c r="E150" s="30"/>
      <c r="F150" s="54"/>
      <c r="G150" s="30"/>
      <c r="H150" s="30"/>
      <c r="I150" s="30"/>
      <c r="J150" s="83"/>
      <c r="K150" s="83"/>
      <c r="L150" s="55"/>
      <c r="M150" s="55"/>
      <c r="N150" s="30"/>
      <c r="O150" s="30"/>
      <c r="P150" s="30"/>
      <c r="Q150" s="312"/>
      <c r="R150" s="30"/>
      <c r="S150" s="30"/>
      <c r="T150" s="30"/>
      <c r="U150" s="30"/>
      <c r="V150" s="328"/>
      <c r="W150" s="331" t="s">
        <v>215</v>
      </c>
      <c r="X150" s="334">
        <f>+AG137</f>
        <v>1.9152834276676474E-3</v>
      </c>
      <c r="Y150" s="333"/>
      <c r="Z150" s="328"/>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c r="BZ150" s="30"/>
      <c r="CA150" s="30"/>
      <c r="CB150" s="30"/>
      <c r="CC150" s="30"/>
      <c r="CD150" s="30"/>
      <c r="CE150" s="30"/>
      <c r="CF150" s="30"/>
      <c r="CG150" s="30"/>
      <c r="CH150" s="30"/>
      <c r="CI150" s="30"/>
      <c r="CJ150" s="30"/>
      <c r="CK150" s="30"/>
      <c r="CL150" s="30"/>
      <c r="CM150" s="30"/>
      <c r="CN150" s="30"/>
      <c r="CO150" s="30"/>
      <c r="CP150" s="30"/>
      <c r="CQ150" s="30"/>
      <c r="CR150" s="30"/>
      <c r="CS150" s="30"/>
    </row>
    <row r="151" spans="1:97" ht="12.9" customHeight="1">
      <c r="V151" s="328"/>
      <c r="W151" s="331" t="s">
        <v>216</v>
      </c>
      <c r="X151" s="334">
        <f>+AH137</f>
        <v>1.5542414941762749E-2</v>
      </c>
      <c r="Y151" s="333"/>
      <c r="Z151" s="328"/>
    </row>
    <row r="152" spans="1:97">
      <c r="V152" s="328"/>
      <c r="W152" s="331" t="s">
        <v>217</v>
      </c>
      <c r="X152" s="334">
        <f>+AI137</f>
        <v>0</v>
      </c>
      <c r="Y152" s="333"/>
      <c r="Z152" s="328"/>
    </row>
    <row r="153" spans="1:97">
      <c r="V153" s="328"/>
      <c r="W153" s="331" t="s">
        <v>166</v>
      </c>
      <c r="X153" s="334">
        <f>+AJ137</f>
        <v>0</v>
      </c>
      <c r="Y153" s="333"/>
      <c r="Z153" s="328"/>
    </row>
    <row r="154" spans="1:97">
      <c r="V154" s="328"/>
      <c r="W154" s="331" t="s">
        <v>168</v>
      </c>
      <c r="X154" s="334">
        <f>+AK137</f>
        <v>0</v>
      </c>
      <c r="Y154" s="333"/>
      <c r="Z154" s="328"/>
    </row>
    <row r="155" spans="1:97">
      <c r="V155" s="328"/>
      <c r="W155" s="331" t="s">
        <v>167</v>
      </c>
      <c r="X155" s="334">
        <f>+AL137</f>
        <v>0</v>
      </c>
      <c r="Y155" s="333"/>
      <c r="Z155" s="328"/>
    </row>
    <row r="156" spans="1:97">
      <c r="V156" s="328"/>
      <c r="W156" s="331" t="s">
        <v>160</v>
      </c>
      <c r="X156" s="334">
        <f>+AN137</f>
        <v>7.7051632147549039E-4</v>
      </c>
      <c r="Y156" s="333"/>
      <c r="Z156" s="328"/>
    </row>
    <row r="157" spans="1:97">
      <c r="V157" s="328"/>
      <c r="W157" s="331" t="s">
        <v>170</v>
      </c>
      <c r="X157" s="334">
        <f>+AO137</f>
        <v>0</v>
      </c>
      <c r="Y157" s="333"/>
      <c r="Z157" s="328"/>
    </row>
    <row r="158" spans="1:97">
      <c r="V158" s="328"/>
      <c r="W158" s="331" t="s">
        <v>161</v>
      </c>
      <c r="X158" s="334">
        <f>+AP137</f>
        <v>0</v>
      </c>
      <c r="Y158" s="333"/>
      <c r="Z158" s="328"/>
    </row>
    <row r="159" spans="1:97">
      <c r="V159" s="328"/>
      <c r="W159" s="331" t="s">
        <v>169</v>
      </c>
      <c r="X159" s="334">
        <f>+AQ137</f>
        <v>0</v>
      </c>
      <c r="Y159" s="333"/>
      <c r="Z159" s="328"/>
    </row>
    <row r="160" spans="1:97">
      <c r="V160" s="328"/>
      <c r="W160" s="331" t="s">
        <v>172</v>
      </c>
      <c r="X160" s="334">
        <f>+AS137</f>
        <v>0</v>
      </c>
      <c r="Y160" s="333"/>
      <c r="Z160" s="328"/>
    </row>
    <row r="161" spans="22:26">
      <c r="V161" s="328"/>
      <c r="W161" s="331" t="s">
        <v>297</v>
      </c>
      <c r="X161" s="334">
        <f>+AT137</f>
        <v>0</v>
      </c>
      <c r="Y161" s="333"/>
      <c r="Z161" s="328"/>
    </row>
    <row r="162" spans="22:26">
      <c r="V162" s="328"/>
      <c r="W162" s="331" t="s">
        <v>253</v>
      </c>
      <c r="X162" s="334">
        <f>+AU137</f>
        <v>0</v>
      </c>
      <c r="Y162" s="333"/>
      <c r="Z162" s="328"/>
    </row>
    <row r="163" spans="22:26">
      <c r="V163" s="328"/>
      <c r="W163" s="331" t="s">
        <v>301</v>
      </c>
      <c r="X163" s="334">
        <f>+AW137</f>
        <v>2.1948707786030398E-2</v>
      </c>
      <c r="Y163" s="333"/>
      <c r="Z163" s="328"/>
    </row>
    <row r="164" spans="22:26">
      <c r="V164" s="328"/>
      <c r="W164" s="331" t="s">
        <v>302</v>
      </c>
      <c r="X164" s="334">
        <f>+AV137</f>
        <v>1.6511064031617653E-3</v>
      </c>
      <c r="Y164" s="333"/>
      <c r="Z164" s="328"/>
    </row>
    <row r="165" spans="22:26">
      <c r="V165" s="328"/>
      <c r="W165" s="328" t="s">
        <v>171</v>
      </c>
      <c r="X165" s="334">
        <f>+AX137+AY137</f>
        <v>0</v>
      </c>
      <c r="Y165" s="334"/>
      <c r="Z165" s="328"/>
    </row>
    <row r="166" spans="22:26">
      <c r="V166" s="328"/>
      <c r="W166" s="328" t="s">
        <v>303</v>
      </c>
      <c r="X166" s="334">
        <f>+AZ137</f>
        <v>0</v>
      </c>
      <c r="Y166" s="328"/>
      <c r="Z166" s="328"/>
    </row>
    <row r="167" spans="22:26" ht="12">
      <c r="V167" s="328"/>
      <c r="W167" s="328"/>
      <c r="X167" s="497">
        <f>SUM(X144:X166)</f>
        <v>8.1048543288790589E-2</v>
      </c>
      <c r="Y167" s="328"/>
      <c r="Z167" s="328"/>
    </row>
    <row r="169" spans="22:26">
      <c r="X169" s="89">
        <f>+X167+X136</f>
        <v>1</v>
      </c>
    </row>
    <row r="175" spans="22:26" ht="12" customHeight="1"/>
    <row r="176" spans="22:26" ht="12" customHeight="1"/>
    <row r="178" ht="12" customHeight="1"/>
    <row r="179" ht="12" customHeight="1"/>
  </sheetData>
  <mergeCells count="50">
    <mergeCell ref="BB3:BB5"/>
    <mergeCell ref="BC3:BC5"/>
    <mergeCell ref="AN4:AN5"/>
    <mergeCell ref="AO4:AO5"/>
    <mergeCell ref="AP4:AP5"/>
    <mergeCell ref="AQ4:AQ5"/>
    <mergeCell ref="AR4:AR5"/>
    <mergeCell ref="AN3:AR3"/>
    <mergeCell ref="AS3:AS5"/>
    <mergeCell ref="AV3:AW3"/>
    <mergeCell ref="AX3:AY3"/>
    <mergeCell ref="AZ3:AZ5"/>
    <mergeCell ref="AM3:AM5"/>
    <mergeCell ref="BA3:BA5"/>
    <mergeCell ref="AF4:AH4"/>
    <mergeCell ref="AI4:AI5"/>
    <mergeCell ref="G3:K4"/>
    <mergeCell ref="AT3:AU4"/>
    <mergeCell ref="AC3:AC5"/>
    <mergeCell ref="AE3:AE5"/>
    <mergeCell ref="AD3:AD5"/>
    <mergeCell ref="AF3:AL3"/>
    <mergeCell ref="AJ4:AJ5"/>
    <mergeCell ref="V3:V5"/>
    <mergeCell ref="AK4:AK5"/>
    <mergeCell ref="AL4:AL5"/>
    <mergeCell ref="U3:U5"/>
    <mergeCell ref="W3:W5"/>
    <mergeCell ref="P3:P5"/>
    <mergeCell ref="C3:C5"/>
    <mergeCell ref="A3:A5"/>
    <mergeCell ref="B3:B5"/>
    <mergeCell ref="D3:D5"/>
    <mergeCell ref="E3:E5"/>
    <mergeCell ref="BD3:BD5"/>
    <mergeCell ref="BE3:BE5"/>
    <mergeCell ref="BF3:BF5"/>
    <mergeCell ref="O137:P137"/>
    <mergeCell ref="F3:F5"/>
    <mergeCell ref="Y3:Y5"/>
    <mergeCell ref="AA3:AA5"/>
    <mergeCell ref="AB3:AB5"/>
    <mergeCell ref="L3:N4"/>
    <mergeCell ref="O3:O5"/>
    <mergeCell ref="Q3:Q5"/>
    <mergeCell ref="R3:R5"/>
    <mergeCell ref="X3:X5"/>
    <mergeCell ref="Z3:Z5"/>
    <mergeCell ref="S3:S5"/>
    <mergeCell ref="T3:T5"/>
  </mergeCells>
  <phoneticPr fontId="31" type="noConversion"/>
  <conditionalFormatting sqref="B8:C9 B87:C87 C137 B12:C13 C135 B135:B137">
    <cfRule type="cellIs" dxfId="3022" priority="3725" stopIfTrue="1" operator="equal">
      <formula>"Towel"</formula>
    </cfRule>
    <cfRule type="cellIs" dxfId="3021" priority="3726" stopIfTrue="1" operator="equal">
      <formula>"Napkin Hs"</formula>
    </cfRule>
  </conditionalFormatting>
  <conditionalFormatting sqref="B55:C55">
    <cfRule type="cellIs" dxfId="3020" priority="3599" stopIfTrue="1" operator="equal">
      <formula>"Towel"</formula>
    </cfRule>
    <cfRule type="cellIs" dxfId="3019" priority="3600" stopIfTrue="1" operator="equal">
      <formula>"Napkin Hs"</formula>
    </cfRule>
  </conditionalFormatting>
  <conditionalFormatting sqref="B71:C71">
    <cfRule type="cellIs" dxfId="3018" priority="3543" stopIfTrue="1" operator="equal">
      <formula>"Towel"</formula>
    </cfRule>
    <cfRule type="cellIs" dxfId="3017" priority="3544" stopIfTrue="1" operator="equal">
      <formula>"Napkin Hs"</formula>
    </cfRule>
  </conditionalFormatting>
  <conditionalFormatting sqref="B79:C79">
    <cfRule type="cellIs" dxfId="3016" priority="3507" stopIfTrue="1" operator="equal">
      <formula>"Towel"</formula>
    </cfRule>
    <cfRule type="cellIs" dxfId="3015" priority="3508" stopIfTrue="1" operator="equal">
      <formula>"Napkin Hs"</formula>
    </cfRule>
  </conditionalFormatting>
  <conditionalFormatting sqref="B83:C83">
    <cfRule type="cellIs" dxfId="3014" priority="3501" stopIfTrue="1" operator="equal">
      <formula>"Towel"</formula>
    </cfRule>
    <cfRule type="cellIs" dxfId="3013" priority="3502" stopIfTrue="1" operator="equal">
      <formula>"Napkin Hs"</formula>
    </cfRule>
  </conditionalFormatting>
  <conditionalFormatting sqref="B111:C111">
    <cfRule type="cellIs" dxfId="3012" priority="3365" stopIfTrue="1" operator="equal">
      <formula>"Towel"</formula>
    </cfRule>
    <cfRule type="cellIs" dxfId="3011" priority="3366" stopIfTrue="1" operator="equal">
      <formula>"Napkin Hs"</formula>
    </cfRule>
  </conditionalFormatting>
  <conditionalFormatting sqref="B116:C116">
    <cfRule type="cellIs" dxfId="3010" priority="3347" stopIfTrue="1" operator="equal">
      <formula>"Towel"</formula>
    </cfRule>
    <cfRule type="cellIs" dxfId="3009" priority="3348" stopIfTrue="1" operator="equal">
      <formula>"Napkin Hs"</formula>
    </cfRule>
  </conditionalFormatting>
  <conditionalFormatting sqref="C8:C9 C87 C12:C13">
    <cfRule type="cellIs" dxfId="3008" priority="3724" stopIfTrue="1" operator="equal">
      <formula>"Napkin Hs"</formula>
    </cfRule>
  </conditionalFormatting>
  <conditionalFormatting sqref="C8:C9">
    <cfRule type="cellIs" dxfId="3007" priority="3263" stopIfTrue="1" operator="equal">
      <formula>"Towel"</formula>
    </cfRule>
    <cfRule type="cellIs" dxfId="3006" priority="3264" stopIfTrue="1" operator="equal">
      <formula>"Napkin Hs"</formula>
    </cfRule>
  </conditionalFormatting>
  <conditionalFormatting sqref="C87 C8:C9 C12:C13">
    <cfRule type="cellIs" dxfId="3005" priority="3723" stopIfTrue="1" operator="equal">
      <formula>"Towel"</formula>
    </cfRule>
  </conditionalFormatting>
  <conditionalFormatting sqref="C55">
    <cfRule type="cellIs" dxfId="3004" priority="3597" stopIfTrue="1" operator="equal">
      <formula>"Towel"</formula>
    </cfRule>
    <cfRule type="cellIs" dxfId="3003" priority="3598" stopIfTrue="1" operator="equal">
      <formula>"Napkin Hs"</formula>
    </cfRule>
  </conditionalFormatting>
  <conditionalFormatting sqref="C55">
    <cfRule type="cellIs" dxfId="3002" priority="3591" stopIfTrue="1" operator="equal">
      <formula>"Towel"</formula>
    </cfRule>
    <cfRule type="cellIs" dxfId="3001" priority="3592" stopIfTrue="1" operator="equal">
      <formula>"Napkin Hs"</formula>
    </cfRule>
  </conditionalFormatting>
  <conditionalFormatting sqref="C71">
    <cfRule type="cellIs" dxfId="3000" priority="3535" stopIfTrue="1" operator="equal">
      <formula>"Towel"</formula>
    </cfRule>
    <cfRule type="cellIs" dxfId="2999" priority="3536" stopIfTrue="1" operator="equal">
      <formula>"Napkin Hs"</formula>
    </cfRule>
  </conditionalFormatting>
  <conditionalFormatting sqref="C71">
    <cfRule type="cellIs" dxfId="2998" priority="3541" stopIfTrue="1" operator="equal">
      <formula>"Towel"</formula>
    </cfRule>
    <cfRule type="cellIs" dxfId="2997" priority="3542" stopIfTrue="1" operator="equal">
      <formula>"Napkin Hs"</formula>
    </cfRule>
  </conditionalFormatting>
  <conditionalFormatting sqref="C79">
    <cfRule type="cellIs" dxfId="2996" priority="3505" stopIfTrue="1" operator="equal">
      <formula>"Towel"</formula>
    </cfRule>
    <cfRule type="cellIs" dxfId="2995" priority="3506" stopIfTrue="1" operator="equal">
      <formula>"Napkin Hs"</formula>
    </cfRule>
  </conditionalFormatting>
  <conditionalFormatting sqref="C79">
    <cfRule type="cellIs" dxfId="2994" priority="3503" stopIfTrue="1" operator="equal">
      <formula>"Towel"</formula>
    </cfRule>
    <cfRule type="cellIs" dxfId="2993" priority="3504" stopIfTrue="1" operator="equal">
      <formula>"Napkin Hs"</formula>
    </cfRule>
  </conditionalFormatting>
  <conditionalFormatting sqref="C83">
    <cfRule type="cellIs" dxfId="2992" priority="3499" stopIfTrue="1" operator="equal">
      <formula>"Towel"</formula>
    </cfRule>
    <cfRule type="cellIs" dxfId="2991" priority="3500" stopIfTrue="1" operator="equal">
      <formula>"Napkin Hs"</formula>
    </cfRule>
  </conditionalFormatting>
  <conditionalFormatting sqref="C83">
    <cfRule type="cellIs" dxfId="2990" priority="3493" stopIfTrue="1" operator="equal">
      <formula>"Towel"</formula>
    </cfRule>
    <cfRule type="cellIs" dxfId="2989" priority="3494" stopIfTrue="1" operator="equal">
      <formula>"Napkin Hs"</formula>
    </cfRule>
  </conditionalFormatting>
  <conditionalFormatting sqref="C87">
    <cfRule type="cellIs" dxfId="2988" priority="3481" stopIfTrue="1" operator="equal">
      <formula>"Towel"</formula>
    </cfRule>
    <cfRule type="cellIs" dxfId="2987" priority="3482" stopIfTrue="1" operator="equal">
      <formula>"Napkin Hs"</formula>
    </cfRule>
  </conditionalFormatting>
  <conditionalFormatting sqref="C111">
    <cfRule type="cellIs" dxfId="2986" priority="3363" stopIfTrue="1" operator="equal">
      <formula>"Towel"</formula>
    </cfRule>
    <cfRule type="cellIs" dxfId="2985" priority="3364" stopIfTrue="1" operator="equal">
      <formula>"Napkin Hs"</formula>
    </cfRule>
  </conditionalFormatting>
  <conditionalFormatting sqref="C111">
    <cfRule type="cellIs" dxfId="2984" priority="3357" stopIfTrue="1" operator="equal">
      <formula>"Towel"</formula>
    </cfRule>
    <cfRule type="cellIs" dxfId="2983" priority="3358" stopIfTrue="1" operator="equal">
      <formula>"Napkin Hs"</formula>
    </cfRule>
  </conditionalFormatting>
  <conditionalFormatting sqref="C116">
    <cfRule type="cellIs" dxfId="2982" priority="3345" stopIfTrue="1" operator="equal">
      <formula>"Towel"</formula>
    </cfRule>
    <cfRule type="cellIs" dxfId="2981" priority="3346" stopIfTrue="1" operator="equal">
      <formula>"Napkin Hs"</formula>
    </cfRule>
  </conditionalFormatting>
  <conditionalFormatting sqref="C116">
    <cfRule type="cellIs" dxfId="2980" priority="3341" stopIfTrue="1" operator="equal">
      <formula>"Towel"</formula>
    </cfRule>
    <cfRule type="cellIs" dxfId="2979" priority="3342" stopIfTrue="1" operator="equal">
      <formula>"Napkin Hs"</formula>
    </cfRule>
  </conditionalFormatting>
  <conditionalFormatting sqref="C7">
    <cfRule type="cellIs" dxfId="2978" priority="3219" stopIfTrue="1" operator="equal">
      <formula>"Towel"</formula>
    </cfRule>
    <cfRule type="cellIs" dxfId="2977" priority="3220" stopIfTrue="1" operator="equal">
      <formula>"Napkin Hs"</formula>
    </cfRule>
  </conditionalFormatting>
  <conditionalFormatting sqref="C7">
    <cfRule type="cellIs" dxfId="2976" priority="3215" stopIfTrue="1" operator="equal">
      <formula>"Towel"</formula>
    </cfRule>
    <cfRule type="cellIs" dxfId="2975" priority="3216" stopIfTrue="1" operator="equal">
      <formula>"Napkin Hs"</formula>
    </cfRule>
  </conditionalFormatting>
  <conditionalFormatting sqref="B7">
    <cfRule type="cellIs" dxfId="2974" priority="3205" stopIfTrue="1" operator="equal">
      <formula>"Towel"</formula>
    </cfRule>
    <cfRule type="cellIs" dxfId="2973" priority="3206" stopIfTrue="1" operator="equal">
      <formula>"Napkin Hs"</formula>
    </cfRule>
  </conditionalFormatting>
  <conditionalFormatting sqref="B7">
    <cfRule type="cellIs" dxfId="2972" priority="3207" stopIfTrue="1" operator="equal">
      <formula>"Towel"</formula>
    </cfRule>
    <cfRule type="cellIs" dxfId="2971" priority="3208" stopIfTrue="1" operator="equal">
      <formula>"Napkin Hs"</formula>
    </cfRule>
  </conditionalFormatting>
  <conditionalFormatting sqref="C7">
    <cfRule type="cellIs" dxfId="2970" priority="3209" stopIfTrue="1" operator="equal">
      <formula>"Towel"</formula>
    </cfRule>
    <cfRule type="cellIs" dxfId="2969" priority="3210" stopIfTrue="1" operator="equal">
      <formula>"Napkin Hs"</formula>
    </cfRule>
  </conditionalFormatting>
  <conditionalFormatting sqref="C7">
    <cfRule type="cellIs" dxfId="2968" priority="3218" stopIfTrue="1" operator="equal">
      <formula>"Napkin Hs"</formula>
    </cfRule>
  </conditionalFormatting>
  <conditionalFormatting sqref="C7">
    <cfRule type="cellIs" dxfId="2967" priority="3217" stopIfTrue="1" operator="equal">
      <formula>"Towel"</formula>
    </cfRule>
  </conditionalFormatting>
  <conditionalFormatting sqref="C7">
    <cfRule type="cellIs" dxfId="2966" priority="3213" stopIfTrue="1" operator="equal">
      <formula>"Towel"</formula>
    </cfRule>
    <cfRule type="cellIs" dxfId="2965" priority="3214" stopIfTrue="1" operator="equal">
      <formula>"Napkin Hs"</formula>
    </cfRule>
  </conditionalFormatting>
  <conditionalFormatting sqref="C7">
    <cfRule type="cellIs" dxfId="2964" priority="3212" stopIfTrue="1" operator="equal">
      <formula>"Napkin Hs"</formula>
    </cfRule>
  </conditionalFormatting>
  <conditionalFormatting sqref="C7">
    <cfRule type="cellIs" dxfId="2963" priority="3211" stopIfTrue="1" operator="equal">
      <formula>"Towel"</formula>
    </cfRule>
  </conditionalFormatting>
  <conditionalFormatting sqref="C33">
    <cfRule type="cellIs" dxfId="2962" priority="2841" stopIfTrue="1" operator="equal">
      <formula>"Towel"</formula>
    </cfRule>
    <cfRule type="cellIs" dxfId="2961" priority="2842" stopIfTrue="1" operator="equal">
      <formula>"Napkin Hs"</formula>
    </cfRule>
  </conditionalFormatting>
  <conditionalFormatting sqref="B33:C33">
    <cfRule type="cellIs" dxfId="2960" priority="2845" stopIfTrue="1" operator="equal">
      <formula>"Towel"</formula>
    </cfRule>
    <cfRule type="cellIs" dxfId="2959" priority="2846" stopIfTrue="1" operator="equal">
      <formula>"Napkin Hs"</formula>
    </cfRule>
  </conditionalFormatting>
  <conditionalFormatting sqref="C33">
    <cfRule type="cellIs" dxfId="2958" priority="2844" stopIfTrue="1" operator="equal">
      <formula>"Napkin Hs"</formula>
    </cfRule>
  </conditionalFormatting>
  <conditionalFormatting sqref="C33">
    <cfRule type="cellIs" dxfId="2957" priority="2843" stopIfTrue="1" operator="equal">
      <formula>"Towel"</formula>
    </cfRule>
  </conditionalFormatting>
  <conditionalFormatting sqref="C39">
    <cfRule type="cellIs" dxfId="2956" priority="2719" stopIfTrue="1" operator="equal">
      <formula>"Towel"</formula>
    </cfRule>
    <cfRule type="cellIs" dxfId="2955" priority="2720" stopIfTrue="1" operator="equal">
      <formula>"Napkin Hs"</formula>
    </cfRule>
  </conditionalFormatting>
  <conditionalFormatting sqref="C39">
    <cfRule type="cellIs" dxfId="2954" priority="2715" stopIfTrue="1" operator="equal">
      <formula>"Towel"</formula>
    </cfRule>
    <cfRule type="cellIs" dxfId="2953" priority="2716" stopIfTrue="1" operator="equal">
      <formula>"Napkin Hs"</formula>
    </cfRule>
  </conditionalFormatting>
  <conditionalFormatting sqref="B39">
    <cfRule type="cellIs" dxfId="2952" priority="2705" stopIfTrue="1" operator="equal">
      <formula>"Towel"</formula>
    </cfRule>
    <cfRule type="cellIs" dxfId="2951" priority="2706" stopIfTrue="1" operator="equal">
      <formula>"Napkin Hs"</formula>
    </cfRule>
  </conditionalFormatting>
  <conditionalFormatting sqref="B39">
    <cfRule type="cellIs" dxfId="2950" priority="2707" stopIfTrue="1" operator="equal">
      <formula>"Towel"</formula>
    </cfRule>
    <cfRule type="cellIs" dxfId="2949" priority="2708" stopIfTrue="1" operator="equal">
      <formula>"Napkin Hs"</formula>
    </cfRule>
  </conditionalFormatting>
  <conditionalFormatting sqref="C39">
    <cfRule type="cellIs" dxfId="2948" priority="2709" stopIfTrue="1" operator="equal">
      <formula>"Towel"</formula>
    </cfRule>
    <cfRule type="cellIs" dxfId="2947" priority="2710" stopIfTrue="1" operator="equal">
      <formula>"Napkin Hs"</formula>
    </cfRule>
  </conditionalFormatting>
  <conditionalFormatting sqref="C39">
    <cfRule type="cellIs" dxfId="2946" priority="2718" stopIfTrue="1" operator="equal">
      <formula>"Napkin Hs"</formula>
    </cfRule>
  </conditionalFormatting>
  <conditionalFormatting sqref="C39">
    <cfRule type="cellIs" dxfId="2945" priority="2717" stopIfTrue="1" operator="equal">
      <formula>"Towel"</formula>
    </cfRule>
  </conditionalFormatting>
  <conditionalFormatting sqref="C39">
    <cfRule type="cellIs" dxfId="2944" priority="2713" stopIfTrue="1" operator="equal">
      <formula>"Towel"</formula>
    </cfRule>
    <cfRule type="cellIs" dxfId="2943" priority="2714" stopIfTrue="1" operator="equal">
      <formula>"Napkin Hs"</formula>
    </cfRule>
  </conditionalFormatting>
  <conditionalFormatting sqref="C39">
    <cfRule type="cellIs" dxfId="2942" priority="2712" stopIfTrue="1" operator="equal">
      <formula>"Napkin Hs"</formula>
    </cfRule>
  </conditionalFormatting>
  <conditionalFormatting sqref="C39">
    <cfRule type="cellIs" dxfId="2941" priority="2711" stopIfTrue="1" operator="equal">
      <formula>"Towel"</formula>
    </cfRule>
  </conditionalFormatting>
  <conditionalFormatting sqref="B47">
    <cfRule type="cellIs" dxfId="2940" priority="2621" stopIfTrue="1" operator="equal">
      <formula>"Towel"</formula>
    </cfRule>
    <cfRule type="cellIs" dxfId="2939" priority="2622" stopIfTrue="1" operator="equal">
      <formula>"Napkin Hs"</formula>
    </cfRule>
  </conditionalFormatting>
  <conditionalFormatting sqref="C47">
    <cfRule type="cellIs" dxfId="2938" priority="2635" stopIfTrue="1" operator="equal">
      <formula>"Towel"</formula>
    </cfRule>
    <cfRule type="cellIs" dxfId="2937" priority="2636" stopIfTrue="1" operator="equal">
      <formula>"Napkin Hs"</formula>
    </cfRule>
  </conditionalFormatting>
  <conditionalFormatting sqref="C47">
    <cfRule type="cellIs" dxfId="2936" priority="2631" stopIfTrue="1" operator="equal">
      <formula>"Towel"</formula>
    </cfRule>
    <cfRule type="cellIs" dxfId="2935" priority="2632" stopIfTrue="1" operator="equal">
      <formula>"Napkin Hs"</formula>
    </cfRule>
  </conditionalFormatting>
  <conditionalFormatting sqref="B47">
    <cfRule type="cellIs" dxfId="2934" priority="2623" stopIfTrue="1" operator="equal">
      <formula>"Towel"</formula>
    </cfRule>
    <cfRule type="cellIs" dxfId="2933" priority="2624" stopIfTrue="1" operator="equal">
      <formula>"Napkin Hs"</formula>
    </cfRule>
  </conditionalFormatting>
  <conditionalFormatting sqref="C47">
    <cfRule type="cellIs" dxfId="2932" priority="2625" stopIfTrue="1" operator="equal">
      <formula>"Towel"</formula>
    </cfRule>
    <cfRule type="cellIs" dxfId="2931" priority="2626" stopIfTrue="1" operator="equal">
      <formula>"Napkin Hs"</formula>
    </cfRule>
  </conditionalFormatting>
  <conditionalFormatting sqref="C47">
    <cfRule type="cellIs" dxfId="2930" priority="2634" stopIfTrue="1" operator="equal">
      <formula>"Napkin Hs"</formula>
    </cfRule>
  </conditionalFormatting>
  <conditionalFormatting sqref="C47">
    <cfRule type="cellIs" dxfId="2929" priority="2633" stopIfTrue="1" operator="equal">
      <formula>"Towel"</formula>
    </cfRule>
  </conditionalFormatting>
  <conditionalFormatting sqref="C47">
    <cfRule type="cellIs" dxfId="2928" priority="2629" stopIfTrue="1" operator="equal">
      <formula>"Towel"</formula>
    </cfRule>
    <cfRule type="cellIs" dxfId="2927" priority="2630" stopIfTrue="1" operator="equal">
      <formula>"Napkin Hs"</formula>
    </cfRule>
  </conditionalFormatting>
  <conditionalFormatting sqref="C47">
    <cfRule type="cellIs" dxfId="2926" priority="2628" stopIfTrue="1" operator="equal">
      <formula>"Napkin Hs"</formula>
    </cfRule>
  </conditionalFormatting>
  <conditionalFormatting sqref="C47">
    <cfRule type="cellIs" dxfId="2925" priority="2627" stopIfTrue="1" operator="equal">
      <formula>"Towel"</formula>
    </cfRule>
  </conditionalFormatting>
  <conditionalFormatting sqref="B51">
    <cfRule type="cellIs" dxfId="2924" priority="2545" stopIfTrue="1" operator="equal">
      <formula>"Towel"</formula>
    </cfRule>
    <cfRule type="cellIs" dxfId="2923" priority="2546" stopIfTrue="1" operator="equal">
      <formula>"Napkin Hs"</formula>
    </cfRule>
  </conditionalFormatting>
  <conditionalFormatting sqref="C51">
    <cfRule type="cellIs" dxfId="2922" priority="2559" stopIfTrue="1" operator="equal">
      <formula>"Towel"</formula>
    </cfRule>
    <cfRule type="cellIs" dxfId="2921" priority="2560" stopIfTrue="1" operator="equal">
      <formula>"Napkin Hs"</formula>
    </cfRule>
  </conditionalFormatting>
  <conditionalFormatting sqref="C51">
    <cfRule type="cellIs" dxfId="2920" priority="2555" stopIfTrue="1" operator="equal">
      <formula>"Towel"</formula>
    </cfRule>
    <cfRule type="cellIs" dxfId="2919" priority="2556" stopIfTrue="1" operator="equal">
      <formula>"Napkin Hs"</formula>
    </cfRule>
  </conditionalFormatting>
  <conditionalFormatting sqref="B51">
    <cfRule type="cellIs" dxfId="2918" priority="2547" stopIfTrue="1" operator="equal">
      <formula>"Towel"</formula>
    </cfRule>
    <cfRule type="cellIs" dxfId="2917" priority="2548" stopIfTrue="1" operator="equal">
      <formula>"Napkin Hs"</formula>
    </cfRule>
  </conditionalFormatting>
  <conditionalFormatting sqref="C51">
    <cfRule type="cellIs" dxfId="2916" priority="2549" stopIfTrue="1" operator="equal">
      <formula>"Towel"</formula>
    </cfRule>
    <cfRule type="cellIs" dxfId="2915" priority="2550" stopIfTrue="1" operator="equal">
      <formula>"Napkin Hs"</formula>
    </cfRule>
  </conditionalFormatting>
  <conditionalFormatting sqref="C51">
    <cfRule type="cellIs" dxfId="2914" priority="2558" stopIfTrue="1" operator="equal">
      <formula>"Napkin Hs"</formula>
    </cfRule>
  </conditionalFormatting>
  <conditionalFormatting sqref="C51">
    <cfRule type="cellIs" dxfId="2913" priority="2557" stopIfTrue="1" operator="equal">
      <formula>"Towel"</formula>
    </cfRule>
  </conditionalFormatting>
  <conditionalFormatting sqref="C51">
    <cfRule type="cellIs" dxfId="2912" priority="2553" stopIfTrue="1" operator="equal">
      <formula>"Towel"</formula>
    </cfRule>
    <cfRule type="cellIs" dxfId="2911" priority="2554" stopIfTrue="1" operator="equal">
      <formula>"Napkin Hs"</formula>
    </cfRule>
  </conditionalFormatting>
  <conditionalFormatting sqref="C51">
    <cfRule type="cellIs" dxfId="2910" priority="2552" stopIfTrue="1" operator="equal">
      <formula>"Napkin Hs"</formula>
    </cfRule>
  </conditionalFormatting>
  <conditionalFormatting sqref="C51">
    <cfRule type="cellIs" dxfId="2909" priority="2551" stopIfTrue="1" operator="equal">
      <formula>"Towel"</formula>
    </cfRule>
  </conditionalFormatting>
  <conditionalFormatting sqref="C67">
    <cfRule type="cellIs" dxfId="2908" priority="2397" stopIfTrue="1" operator="equal">
      <formula>"Towel"</formula>
    </cfRule>
    <cfRule type="cellIs" dxfId="2907" priority="2398" stopIfTrue="1" operator="equal">
      <formula>"Napkin Hs"</formula>
    </cfRule>
  </conditionalFormatting>
  <conditionalFormatting sqref="B67:C67">
    <cfRule type="cellIs" dxfId="2906" priority="2401" stopIfTrue="1" operator="equal">
      <formula>"Towel"</formula>
    </cfRule>
    <cfRule type="cellIs" dxfId="2905" priority="2402" stopIfTrue="1" operator="equal">
      <formula>"Napkin Hs"</formula>
    </cfRule>
  </conditionalFormatting>
  <conditionalFormatting sqref="C67">
    <cfRule type="cellIs" dxfId="2904" priority="2400" stopIfTrue="1" operator="equal">
      <formula>"Napkin Hs"</formula>
    </cfRule>
  </conditionalFormatting>
  <conditionalFormatting sqref="C67">
    <cfRule type="cellIs" dxfId="2903" priority="2399" stopIfTrue="1" operator="equal">
      <formula>"Towel"</formula>
    </cfRule>
  </conditionalFormatting>
  <conditionalFormatting sqref="B75">
    <cfRule type="cellIs" dxfId="2902" priority="2311" stopIfTrue="1" operator="equal">
      <formula>"Towel"</formula>
    </cfRule>
    <cfRule type="cellIs" dxfId="2901" priority="2312" stopIfTrue="1" operator="equal">
      <formula>"Napkin Hs"</formula>
    </cfRule>
  </conditionalFormatting>
  <conditionalFormatting sqref="C75">
    <cfRule type="cellIs" dxfId="2900" priority="2325" stopIfTrue="1" operator="equal">
      <formula>"Towel"</formula>
    </cfRule>
    <cfRule type="cellIs" dxfId="2899" priority="2326" stopIfTrue="1" operator="equal">
      <formula>"Napkin Hs"</formula>
    </cfRule>
  </conditionalFormatting>
  <conditionalFormatting sqref="C75">
    <cfRule type="cellIs" dxfId="2898" priority="2321" stopIfTrue="1" operator="equal">
      <formula>"Towel"</formula>
    </cfRule>
    <cfRule type="cellIs" dxfId="2897" priority="2322" stopIfTrue="1" operator="equal">
      <formula>"Napkin Hs"</formula>
    </cfRule>
  </conditionalFormatting>
  <conditionalFormatting sqref="B75">
    <cfRule type="cellIs" dxfId="2896" priority="2313" stopIfTrue="1" operator="equal">
      <formula>"Towel"</formula>
    </cfRule>
    <cfRule type="cellIs" dxfId="2895" priority="2314" stopIfTrue="1" operator="equal">
      <formula>"Napkin Hs"</formula>
    </cfRule>
  </conditionalFormatting>
  <conditionalFormatting sqref="C75">
    <cfRule type="cellIs" dxfId="2894" priority="2315" stopIfTrue="1" operator="equal">
      <formula>"Towel"</formula>
    </cfRule>
    <cfRule type="cellIs" dxfId="2893" priority="2316" stopIfTrue="1" operator="equal">
      <formula>"Napkin Hs"</formula>
    </cfRule>
  </conditionalFormatting>
  <conditionalFormatting sqref="C75">
    <cfRule type="cellIs" dxfId="2892" priority="2324" stopIfTrue="1" operator="equal">
      <formula>"Napkin Hs"</formula>
    </cfRule>
  </conditionalFormatting>
  <conditionalFormatting sqref="C75">
    <cfRule type="cellIs" dxfId="2891" priority="2323" stopIfTrue="1" operator="equal">
      <formula>"Towel"</formula>
    </cfRule>
  </conditionalFormatting>
  <conditionalFormatting sqref="C75">
    <cfRule type="cellIs" dxfId="2890" priority="2319" stopIfTrue="1" operator="equal">
      <formula>"Towel"</formula>
    </cfRule>
    <cfRule type="cellIs" dxfId="2889" priority="2320" stopIfTrue="1" operator="equal">
      <formula>"Napkin Hs"</formula>
    </cfRule>
  </conditionalFormatting>
  <conditionalFormatting sqref="C75">
    <cfRule type="cellIs" dxfId="2888" priority="2318" stopIfTrue="1" operator="equal">
      <formula>"Napkin Hs"</formula>
    </cfRule>
  </conditionalFormatting>
  <conditionalFormatting sqref="C75">
    <cfRule type="cellIs" dxfId="2887" priority="2317" stopIfTrue="1" operator="equal">
      <formula>"Towel"</formula>
    </cfRule>
  </conditionalFormatting>
  <conditionalFormatting sqref="B82:C82">
    <cfRule type="cellIs" dxfId="2886" priority="2309" stopIfTrue="1" operator="equal">
      <formula>"Towel"</formula>
    </cfRule>
    <cfRule type="cellIs" dxfId="2885" priority="2310" stopIfTrue="1" operator="equal">
      <formula>"Napkin Hs"</formula>
    </cfRule>
  </conditionalFormatting>
  <conditionalFormatting sqref="C82">
    <cfRule type="cellIs" dxfId="2884" priority="2299" stopIfTrue="1" operator="equal">
      <formula>"Towel"</formula>
    </cfRule>
    <cfRule type="cellIs" dxfId="2883" priority="2300" stopIfTrue="1" operator="equal">
      <formula>"Napkin Hs"</formula>
    </cfRule>
  </conditionalFormatting>
  <conditionalFormatting sqref="C82">
    <cfRule type="cellIs" dxfId="2882" priority="2303" stopIfTrue="1" operator="equal">
      <formula>"Towel"</formula>
    </cfRule>
    <cfRule type="cellIs" dxfId="2881" priority="2304" stopIfTrue="1" operator="equal">
      <formula>"Napkin Hs"</formula>
    </cfRule>
  </conditionalFormatting>
  <conditionalFormatting sqref="C82">
    <cfRule type="cellIs" dxfId="2880" priority="2307" stopIfTrue="1" operator="equal">
      <formula>"Towel"</formula>
    </cfRule>
    <cfRule type="cellIs" dxfId="2879" priority="2308" stopIfTrue="1" operator="equal">
      <formula>"Napkin Hs"</formula>
    </cfRule>
  </conditionalFormatting>
  <conditionalFormatting sqref="B82">
    <cfRule type="cellIs" dxfId="2878" priority="2291" stopIfTrue="1" operator="equal">
      <formula>"Towel"</formula>
    </cfRule>
    <cfRule type="cellIs" dxfId="2877" priority="2292" stopIfTrue="1" operator="equal">
      <formula>"Napkin Hs"</formula>
    </cfRule>
  </conditionalFormatting>
  <conditionalFormatting sqref="C82">
    <cfRule type="cellIs" dxfId="2876" priority="2305" stopIfTrue="1" operator="equal">
      <formula>"Towel"</formula>
    </cfRule>
    <cfRule type="cellIs" dxfId="2875" priority="2306" stopIfTrue="1" operator="equal">
      <formula>"Napkin Hs"</formula>
    </cfRule>
  </conditionalFormatting>
  <conditionalFormatting sqref="B82">
    <cfRule type="cellIs" dxfId="2874" priority="2289" stopIfTrue="1" operator="equal">
      <formula>"Towel"</formula>
    </cfRule>
    <cfRule type="cellIs" dxfId="2873" priority="2290" stopIfTrue="1" operator="equal">
      <formula>"Napkin Hs"</formula>
    </cfRule>
  </conditionalFormatting>
  <conditionalFormatting sqref="C82">
    <cfRule type="cellIs" dxfId="2872" priority="2293" stopIfTrue="1" operator="equal">
      <formula>"Towel"</formula>
    </cfRule>
    <cfRule type="cellIs" dxfId="2871" priority="2294" stopIfTrue="1" operator="equal">
      <formula>"Napkin Hs"</formula>
    </cfRule>
  </conditionalFormatting>
  <conditionalFormatting sqref="C82">
    <cfRule type="cellIs" dxfId="2870" priority="2302" stopIfTrue="1" operator="equal">
      <formula>"Napkin Hs"</formula>
    </cfRule>
  </conditionalFormatting>
  <conditionalFormatting sqref="C82">
    <cfRule type="cellIs" dxfId="2869" priority="2301" stopIfTrue="1" operator="equal">
      <formula>"Towel"</formula>
    </cfRule>
  </conditionalFormatting>
  <conditionalFormatting sqref="C82">
    <cfRule type="cellIs" dxfId="2868" priority="2297" stopIfTrue="1" operator="equal">
      <formula>"Towel"</formula>
    </cfRule>
    <cfRule type="cellIs" dxfId="2867" priority="2298" stopIfTrue="1" operator="equal">
      <formula>"Napkin Hs"</formula>
    </cfRule>
  </conditionalFormatting>
  <conditionalFormatting sqref="C82">
    <cfRule type="cellIs" dxfId="2866" priority="2296" stopIfTrue="1" operator="equal">
      <formula>"Napkin Hs"</formula>
    </cfRule>
  </conditionalFormatting>
  <conditionalFormatting sqref="C82">
    <cfRule type="cellIs" dxfId="2865" priority="2295" stopIfTrue="1" operator="equal">
      <formula>"Towel"</formula>
    </cfRule>
  </conditionalFormatting>
  <conditionalFormatting sqref="C80">
    <cfRule type="cellIs" dxfId="2864" priority="2283" stopIfTrue="1" operator="equal">
      <formula>"Towel"</formula>
    </cfRule>
    <cfRule type="cellIs" dxfId="2863" priority="2284" stopIfTrue="1" operator="equal">
      <formula>"Napkin Hs"</formula>
    </cfRule>
  </conditionalFormatting>
  <conditionalFormatting sqref="B80:C80">
    <cfRule type="cellIs" dxfId="2862" priority="2287" stopIfTrue="1" operator="equal">
      <formula>"Towel"</formula>
    </cfRule>
    <cfRule type="cellIs" dxfId="2861" priority="2288" stopIfTrue="1" operator="equal">
      <formula>"Napkin Hs"</formula>
    </cfRule>
  </conditionalFormatting>
  <conditionalFormatting sqref="C80">
    <cfRule type="cellIs" dxfId="2860" priority="2286" stopIfTrue="1" operator="equal">
      <formula>"Napkin Hs"</formula>
    </cfRule>
  </conditionalFormatting>
  <conditionalFormatting sqref="C80">
    <cfRule type="cellIs" dxfId="2859" priority="2285" stopIfTrue="1" operator="equal">
      <formula>"Towel"</formula>
    </cfRule>
  </conditionalFormatting>
  <conditionalFormatting sqref="C81">
    <cfRule type="cellIs" dxfId="2858" priority="2261" stopIfTrue="1" operator="equal">
      <formula>"Towel"</formula>
    </cfRule>
    <cfRule type="cellIs" dxfId="2857" priority="2262" stopIfTrue="1" operator="equal">
      <formula>"Napkin Hs"</formula>
    </cfRule>
  </conditionalFormatting>
  <conditionalFormatting sqref="B81">
    <cfRule type="cellIs" dxfId="2856" priority="2251" stopIfTrue="1" operator="equal">
      <formula>"Towel"</formula>
    </cfRule>
    <cfRule type="cellIs" dxfId="2855" priority="2252" stopIfTrue="1" operator="equal">
      <formula>"Napkin Hs"</formula>
    </cfRule>
  </conditionalFormatting>
  <conditionalFormatting sqref="C81">
    <cfRule type="cellIs" dxfId="2854" priority="2255" stopIfTrue="1" operator="equal">
      <formula>"Towel"</formula>
    </cfRule>
    <cfRule type="cellIs" dxfId="2853" priority="2256" stopIfTrue="1" operator="equal">
      <formula>"Napkin Hs"</formula>
    </cfRule>
  </conditionalFormatting>
  <conditionalFormatting sqref="C81">
    <cfRule type="cellIs" dxfId="2852" priority="2265" stopIfTrue="1" operator="equal">
      <formula>"Towel"</formula>
    </cfRule>
    <cfRule type="cellIs" dxfId="2851" priority="2266" stopIfTrue="1" operator="equal">
      <formula>"Napkin Hs"</formula>
    </cfRule>
  </conditionalFormatting>
  <conditionalFormatting sqref="B81">
    <cfRule type="cellIs" dxfId="2850" priority="2253" stopIfTrue="1" operator="equal">
      <formula>"Towel"</formula>
    </cfRule>
    <cfRule type="cellIs" dxfId="2849" priority="2254" stopIfTrue="1" operator="equal">
      <formula>"Napkin Hs"</formula>
    </cfRule>
  </conditionalFormatting>
  <conditionalFormatting sqref="C81">
    <cfRule type="cellIs" dxfId="2848" priority="2264" stopIfTrue="1" operator="equal">
      <formula>"Napkin Hs"</formula>
    </cfRule>
  </conditionalFormatting>
  <conditionalFormatting sqref="C81">
    <cfRule type="cellIs" dxfId="2847" priority="2263" stopIfTrue="1" operator="equal">
      <formula>"Towel"</formula>
    </cfRule>
  </conditionalFormatting>
  <conditionalFormatting sqref="C81">
    <cfRule type="cellIs" dxfId="2846" priority="2259" stopIfTrue="1" operator="equal">
      <formula>"Towel"</formula>
    </cfRule>
    <cfRule type="cellIs" dxfId="2845" priority="2260" stopIfTrue="1" operator="equal">
      <formula>"Napkin Hs"</formula>
    </cfRule>
  </conditionalFormatting>
  <conditionalFormatting sqref="C81">
    <cfRule type="cellIs" dxfId="2844" priority="2258" stopIfTrue="1" operator="equal">
      <formula>"Napkin Hs"</formula>
    </cfRule>
  </conditionalFormatting>
  <conditionalFormatting sqref="C81">
    <cfRule type="cellIs" dxfId="2843" priority="2257" stopIfTrue="1" operator="equal">
      <formula>"Towel"</formula>
    </cfRule>
  </conditionalFormatting>
  <conditionalFormatting sqref="C84">
    <cfRule type="cellIs" dxfId="2842" priority="2201" stopIfTrue="1" operator="equal">
      <formula>"Towel"</formula>
    </cfRule>
    <cfRule type="cellIs" dxfId="2841" priority="2202" stopIfTrue="1" operator="equal">
      <formula>"Napkin Hs"</formula>
    </cfRule>
  </conditionalFormatting>
  <conditionalFormatting sqref="C84">
    <cfRule type="cellIs" dxfId="2840" priority="2195" stopIfTrue="1" operator="equal">
      <formula>"Towel"</formula>
    </cfRule>
    <cfRule type="cellIs" dxfId="2839" priority="2196" stopIfTrue="1" operator="equal">
      <formula>"Napkin Hs"</formula>
    </cfRule>
  </conditionalFormatting>
  <conditionalFormatting sqref="C84">
    <cfRule type="cellIs" dxfId="2838" priority="2205" stopIfTrue="1" operator="equal">
      <formula>"Towel"</formula>
    </cfRule>
    <cfRule type="cellIs" dxfId="2837" priority="2206" stopIfTrue="1" operator="equal">
      <formula>"Napkin Hs"</formula>
    </cfRule>
  </conditionalFormatting>
  <conditionalFormatting sqref="C84">
    <cfRule type="cellIs" dxfId="2836" priority="2204" stopIfTrue="1" operator="equal">
      <formula>"Napkin Hs"</formula>
    </cfRule>
  </conditionalFormatting>
  <conditionalFormatting sqref="C84">
    <cfRule type="cellIs" dxfId="2835" priority="2203" stopIfTrue="1" operator="equal">
      <formula>"Towel"</formula>
    </cfRule>
  </conditionalFormatting>
  <conditionalFormatting sqref="C84">
    <cfRule type="cellIs" dxfId="2834" priority="2199" stopIfTrue="1" operator="equal">
      <formula>"Towel"</formula>
    </cfRule>
    <cfRule type="cellIs" dxfId="2833" priority="2200" stopIfTrue="1" operator="equal">
      <formula>"Napkin Hs"</formula>
    </cfRule>
  </conditionalFormatting>
  <conditionalFormatting sqref="C84">
    <cfRule type="cellIs" dxfId="2832" priority="2198" stopIfTrue="1" operator="equal">
      <formula>"Napkin Hs"</formula>
    </cfRule>
  </conditionalFormatting>
  <conditionalFormatting sqref="C84">
    <cfRule type="cellIs" dxfId="2831" priority="2197" stopIfTrue="1" operator="equal">
      <formula>"Towel"</formula>
    </cfRule>
  </conditionalFormatting>
  <conditionalFormatting sqref="B85:C85">
    <cfRule type="cellIs" dxfId="2830" priority="2189" stopIfTrue="1" operator="equal">
      <formula>"Towel"</formula>
    </cfRule>
    <cfRule type="cellIs" dxfId="2829" priority="2190" stopIfTrue="1" operator="equal">
      <formula>"Napkin Hs"</formula>
    </cfRule>
  </conditionalFormatting>
  <conditionalFormatting sqref="C85">
    <cfRule type="cellIs" dxfId="2828" priority="2187" stopIfTrue="1" operator="equal">
      <formula>"Towel"</formula>
    </cfRule>
    <cfRule type="cellIs" dxfId="2827" priority="2188" stopIfTrue="1" operator="equal">
      <formula>"Napkin Hs"</formula>
    </cfRule>
  </conditionalFormatting>
  <conditionalFormatting sqref="C85">
    <cfRule type="cellIs" dxfId="2826" priority="2185" stopIfTrue="1" operator="equal">
      <formula>"Towel"</formula>
    </cfRule>
    <cfRule type="cellIs" dxfId="2825" priority="2186" stopIfTrue="1" operator="equal">
      <formula>"Napkin Hs"</formula>
    </cfRule>
  </conditionalFormatting>
  <conditionalFormatting sqref="C85">
    <cfRule type="cellIs" dxfId="2824" priority="2179" stopIfTrue="1" operator="equal">
      <formula>"Towel"</formula>
    </cfRule>
    <cfRule type="cellIs" dxfId="2823" priority="2180" stopIfTrue="1" operator="equal">
      <formula>"Napkin Hs"</formula>
    </cfRule>
  </conditionalFormatting>
  <conditionalFormatting sqref="B85">
    <cfRule type="cellIs" dxfId="2822" priority="2169" stopIfTrue="1" operator="equal">
      <formula>"Towel"</formula>
    </cfRule>
    <cfRule type="cellIs" dxfId="2821" priority="2170" stopIfTrue="1" operator="equal">
      <formula>"Napkin Hs"</formula>
    </cfRule>
  </conditionalFormatting>
  <conditionalFormatting sqref="C85">
    <cfRule type="cellIs" dxfId="2820" priority="2173" stopIfTrue="1" operator="equal">
      <formula>"Towel"</formula>
    </cfRule>
    <cfRule type="cellIs" dxfId="2819" priority="2174" stopIfTrue="1" operator="equal">
      <formula>"Napkin Hs"</formula>
    </cfRule>
  </conditionalFormatting>
  <conditionalFormatting sqref="C85">
    <cfRule type="cellIs" dxfId="2818" priority="2183" stopIfTrue="1" operator="equal">
      <formula>"Towel"</formula>
    </cfRule>
    <cfRule type="cellIs" dxfId="2817" priority="2184" stopIfTrue="1" operator="equal">
      <formula>"Napkin Hs"</formula>
    </cfRule>
  </conditionalFormatting>
  <conditionalFormatting sqref="B85">
    <cfRule type="cellIs" dxfId="2816" priority="2171" stopIfTrue="1" operator="equal">
      <formula>"Towel"</formula>
    </cfRule>
    <cfRule type="cellIs" dxfId="2815" priority="2172" stopIfTrue="1" operator="equal">
      <formula>"Napkin Hs"</formula>
    </cfRule>
  </conditionalFormatting>
  <conditionalFormatting sqref="C85">
    <cfRule type="cellIs" dxfId="2814" priority="2182" stopIfTrue="1" operator="equal">
      <formula>"Napkin Hs"</formula>
    </cfRule>
  </conditionalFormatting>
  <conditionalFormatting sqref="C85">
    <cfRule type="cellIs" dxfId="2813" priority="2181" stopIfTrue="1" operator="equal">
      <formula>"Towel"</formula>
    </cfRule>
  </conditionalFormatting>
  <conditionalFormatting sqref="C85">
    <cfRule type="cellIs" dxfId="2812" priority="2177" stopIfTrue="1" operator="equal">
      <formula>"Towel"</formula>
    </cfRule>
    <cfRule type="cellIs" dxfId="2811" priority="2178" stopIfTrue="1" operator="equal">
      <formula>"Napkin Hs"</formula>
    </cfRule>
  </conditionalFormatting>
  <conditionalFormatting sqref="C85">
    <cfRule type="cellIs" dxfId="2810" priority="2176" stopIfTrue="1" operator="equal">
      <formula>"Napkin Hs"</formula>
    </cfRule>
  </conditionalFormatting>
  <conditionalFormatting sqref="C85">
    <cfRule type="cellIs" dxfId="2809" priority="2175" stopIfTrue="1" operator="equal">
      <formula>"Towel"</formula>
    </cfRule>
  </conditionalFormatting>
  <conditionalFormatting sqref="B86:C86">
    <cfRule type="cellIs" dxfId="2808" priority="2167" stopIfTrue="1" operator="equal">
      <formula>"Towel"</formula>
    </cfRule>
    <cfRule type="cellIs" dxfId="2807" priority="2168" stopIfTrue="1" operator="equal">
      <formula>"Napkin Hs"</formula>
    </cfRule>
  </conditionalFormatting>
  <conditionalFormatting sqref="C86">
    <cfRule type="cellIs" dxfId="2806" priority="2165" stopIfTrue="1" operator="equal">
      <formula>"Towel"</formula>
    </cfRule>
    <cfRule type="cellIs" dxfId="2805" priority="2166" stopIfTrue="1" operator="equal">
      <formula>"Napkin Hs"</formula>
    </cfRule>
  </conditionalFormatting>
  <conditionalFormatting sqref="C86">
    <cfRule type="cellIs" dxfId="2804" priority="2163" stopIfTrue="1" operator="equal">
      <formula>"Towel"</formula>
    </cfRule>
    <cfRule type="cellIs" dxfId="2803" priority="2164" stopIfTrue="1" operator="equal">
      <formula>"Napkin Hs"</formula>
    </cfRule>
  </conditionalFormatting>
  <conditionalFormatting sqref="C86">
    <cfRule type="cellIs" dxfId="2802" priority="2157" stopIfTrue="1" operator="equal">
      <formula>"Towel"</formula>
    </cfRule>
    <cfRule type="cellIs" dxfId="2801" priority="2158" stopIfTrue="1" operator="equal">
      <formula>"Napkin Hs"</formula>
    </cfRule>
  </conditionalFormatting>
  <conditionalFormatting sqref="B86">
    <cfRule type="cellIs" dxfId="2800" priority="2147" stopIfTrue="1" operator="equal">
      <formula>"Towel"</formula>
    </cfRule>
    <cfRule type="cellIs" dxfId="2799" priority="2148" stopIfTrue="1" operator="equal">
      <formula>"Napkin Hs"</formula>
    </cfRule>
  </conditionalFormatting>
  <conditionalFormatting sqref="C86">
    <cfRule type="cellIs" dxfId="2798" priority="2151" stopIfTrue="1" operator="equal">
      <formula>"Towel"</formula>
    </cfRule>
    <cfRule type="cellIs" dxfId="2797" priority="2152" stopIfTrue="1" operator="equal">
      <formula>"Napkin Hs"</formula>
    </cfRule>
  </conditionalFormatting>
  <conditionalFormatting sqref="C86">
    <cfRule type="cellIs" dxfId="2796" priority="2161" stopIfTrue="1" operator="equal">
      <formula>"Towel"</formula>
    </cfRule>
    <cfRule type="cellIs" dxfId="2795" priority="2162" stopIfTrue="1" operator="equal">
      <formula>"Napkin Hs"</formula>
    </cfRule>
  </conditionalFormatting>
  <conditionalFormatting sqref="B86">
    <cfRule type="cellIs" dxfId="2794" priority="2149" stopIfTrue="1" operator="equal">
      <formula>"Towel"</formula>
    </cfRule>
    <cfRule type="cellIs" dxfId="2793" priority="2150" stopIfTrue="1" operator="equal">
      <formula>"Napkin Hs"</formula>
    </cfRule>
  </conditionalFormatting>
  <conditionalFormatting sqref="C86">
    <cfRule type="cellIs" dxfId="2792" priority="2160" stopIfTrue="1" operator="equal">
      <formula>"Napkin Hs"</formula>
    </cfRule>
  </conditionalFormatting>
  <conditionalFormatting sqref="C86">
    <cfRule type="cellIs" dxfId="2791" priority="2159" stopIfTrue="1" operator="equal">
      <formula>"Towel"</formula>
    </cfRule>
  </conditionalFormatting>
  <conditionalFormatting sqref="C86">
    <cfRule type="cellIs" dxfId="2790" priority="2155" stopIfTrue="1" operator="equal">
      <formula>"Towel"</formula>
    </cfRule>
    <cfRule type="cellIs" dxfId="2789" priority="2156" stopIfTrue="1" operator="equal">
      <formula>"Napkin Hs"</formula>
    </cfRule>
  </conditionalFormatting>
  <conditionalFormatting sqref="C86">
    <cfRule type="cellIs" dxfId="2788" priority="2154" stopIfTrue="1" operator="equal">
      <formula>"Napkin Hs"</formula>
    </cfRule>
  </conditionalFormatting>
  <conditionalFormatting sqref="C86">
    <cfRule type="cellIs" dxfId="2787" priority="2153" stopIfTrue="1" operator="equal">
      <formula>"Towel"</formula>
    </cfRule>
  </conditionalFormatting>
  <conditionalFormatting sqref="C103">
    <cfRule type="cellIs" dxfId="2786" priority="1803" stopIfTrue="1" operator="equal">
      <formula>"Towel"</formula>
    </cfRule>
    <cfRule type="cellIs" dxfId="2785" priority="1804" stopIfTrue="1" operator="equal">
      <formula>"Napkin Hs"</formula>
    </cfRule>
  </conditionalFormatting>
  <conditionalFormatting sqref="B103">
    <cfRule type="cellIs" dxfId="2784" priority="1793" stopIfTrue="1" operator="equal">
      <formula>"Towel"</formula>
    </cfRule>
    <cfRule type="cellIs" dxfId="2783" priority="1794" stopIfTrue="1" operator="equal">
      <formula>"Napkin Hs"</formula>
    </cfRule>
  </conditionalFormatting>
  <conditionalFormatting sqref="C103">
    <cfRule type="cellIs" dxfId="2782" priority="1797" stopIfTrue="1" operator="equal">
      <formula>"Towel"</formula>
    </cfRule>
    <cfRule type="cellIs" dxfId="2781" priority="1798" stopIfTrue="1" operator="equal">
      <formula>"Napkin Hs"</formula>
    </cfRule>
  </conditionalFormatting>
  <conditionalFormatting sqref="C103">
    <cfRule type="cellIs" dxfId="2780" priority="1807" stopIfTrue="1" operator="equal">
      <formula>"Towel"</formula>
    </cfRule>
    <cfRule type="cellIs" dxfId="2779" priority="1808" stopIfTrue="1" operator="equal">
      <formula>"Napkin Hs"</formula>
    </cfRule>
  </conditionalFormatting>
  <conditionalFormatting sqref="B103">
    <cfRule type="cellIs" dxfId="2778" priority="1795" stopIfTrue="1" operator="equal">
      <formula>"Towel"</formula>
    </cfRule>
    <cfRule type="cellIs" dxfId="2777" priority="1796" stopIfTrue="1" operator="equal">
      <formula>"Napkin Hs"</formula>
    </cfRule>
  </conditionalFormatting>
  <conditionalFormatting sqref="C103">
    <cfRule type="cellIs" dxfId="2776" priority="1806" stopIfTrue="1" operator="equal">
      <formula>"Napkin Hs"</formula>
    </cfRule>
  </conditionalFormatting>
  <conditionalFormatting sqref="C103">
    <cfRule type="cellIs" dxfId="2775" priority="1805" stopIfTrue="1" operator="equal">
      <formula>"Towel"</formula>
    </cfRule>
  </conditionalFormatting>
  <conditionalFormatting sqref="C103">
    <cfRule type="cellIs" dxfId="2774" priority="1801" stopIfTrue="1" operator="equal">
      <formula>"Towel"</formula>
    </cfRule>
    <cfRule type="cellIs" dxfId="2773" priority="1802" stopIfTrue="1" operator="equal">
      <formula>"Napkin Hs"</formula>
    </cfRule>
  </conditionalFormatting>
  <conditionalFormatting sqref="C103">
    <cfRule type="cellIs" dxfId="2772" priority="1800" stopIfTrue="1" operator="equal">
      <formula>"Napkin Hs"</formula>
    </cfRule>
  </conditionalFormatting>
  <conditionalFormatting sqref="C103">
    <cfRule type="cellIs" dxfId="2771" priority="1799" stopIfTrue="1" operator="equal">
      <formula>"Towel"</formula>
    </cfRule>
  </conditionalFormatting>
  <conditionalFormatting sqref="B103:C103">
    <cfRule type="cellIs" dxfId="2770" priority="1813" stopIfTrue="1" operator="equal">
      <formula>"Towel"</formula>
    </cfRule>
    <cfRule type="cellIs" dxfId="2769" priority="1814" stopIfTrue="1" operator="equal">
      <formula>"Napkin Hs"</formula>
    </cfRule>
  </conditionalFormatting>
  <conditionalFormatting sqref="C103">
    <cfRule type="cellIs" dxfId="2768" priority="1811" stopIfTrue="1" operator="equal">
      <formula>"Towel"</formula>
    </cfRule>
    <cfRule type="cellIs" dxfId="2767" priority="1812" stopIfTrue="1" operator="equal">
      <formula>"Napkin Hs"</formula>
    </cfRule>
  </conditionalFormatting>
  <conditionalFormatting sqref="C103">
    <cfRule type="cellIs" dxfId="2766" priority="1809" stopIfTrue="1" operator="equal">
      <formula>"Towel"</formula>
    </cfRule>
    <cfRule type="cellIs" dxfId="2765" priority="1810" stopIfTrue="1" operator="equal">
      <formula>"Napkin Hs"</formula>
    </cfRule>
  </conditionalFormatting>
  <conditionalFormatting sqref="C115">
    <cfRule type="cellIs" dxfId="2764" priority="1703" stopIfTrue="1" operator="equal">
      <formula>"Towel"</formula>
    </cfRule>
    <cfRule type="cellIs" dxfId="2763" priority="1704" stopIfTrue="1" operator="equal">
      <formula>"Napkin Hs"</formula>
    </cfRule>
  </conditionalFormatting>
  <conditionalFormatting sqref="C107">
    <cfRule type="cellIs" dxfId="2762" priority="1743" stopIfTrue="1" operator="equal">
      <formula>"Towel"</formula>
    </cfRule>
    <cfRule type="cellIs" dxfId="2761" priority="1744" stopIfTrue="1" operator="equal">
      <formula>"Napkin Hs"</formula>
    </cfRule>
  </conditionalFormatting>
  <conditionalFormatting sqref="B107">
    <cfRule type="cellIs" dxfId="2760" priority="1733" stopIfTrue="1" operator="equal">
      <formula>"Towel"</formula>
    </cfRule>
    <cfRule type="cellIs" dxfId="2759" priority="1734" stopIfTrue="1" operator="equal">
      <formula>"Napkin Hs"</formula>
    </cfRule>
  </conditionalFormatting>
  <conditionalFormatting sqref="C107">
    <cfRule type="cellIs" dxfId="2758" priority="1737" stopIfTrue="1" operator="equal">
      <formula>"Towel"</formula>
    </cfRule>
    <cfRule type="cellIs" dxfId="2757" priority="1738" stopIfTrue="1" operator="equal">
      <formula>"Napkin Hs"</formula>
    </cfRule>
  </conditionalFormatting>
  <conditionalFormatting sqref="C107">
    <cfRule type="cellIs" dxfId="2756" priority="1747" stopIfTrue="1" operator="equal">
      <formula>"Towel"</formula>
    </cfRule>
    <cfRule type="cellIs" dxfId="2755" priority="1748" stopIfTrue="1" operator="equal">
      <formula>"Napkin Hs"</formula>
    </cfRule>
  </conditionalFormatting>
  <conditionalFormatting sqref="B107">
    <cfRule type="cellIs" dxfId="2754" priority="1735" stopIfTrue="1" operator="equal">
      <formula>"Towel"</formula>
    </cfRule>
    <cfRule type="cellIs" dxfId="2753" priority="1736" stopIfTrue="1" operator="equal">
      <formula>"Napkin Hs"</formula>
    </cfRule>
  </conditionalFormatting>
  <conditionalFormatting sqref="C107">
    <cfRule type="cellIs" dxfId="2752" priority="1746" stopIfTrue="1" operator="equal">
      <formula>"Napkin Hs"</formula>
    </cfRule>
  </conditionalFormatting>
  <conditionalFormatting sqref="C107">
    <cfRule type="cellIs" dxfId="2751" priority="1745" stopIfTrue="1" operator="equal">
      <formula>"Towel"</formula>
    </cfRule>
  </conditionalFormatting>
  <conditionalFormatting sqref="C107">
    <cfRule type="cellIs" dxfId="2750" priority="1741" stopIfTrue="1" operator="equal">
      <formula>"Towel"</formula>
    </cfRule>
    <cfRule type="cellIs" dxfId="2749" priority="1742" stopIfTrue="1" operator="equal">
      <formula>"Napkin Hs"</formula>
    </cfRule>
  </conditionalFormatting>
  <conditionalFormatting sqref="C107">
    <cfRule type="cellIs" dxfId="2748" priority="1740" stopIfTrue="1" operator="equal">
      <formula>"Napkin Hs"</formula>
    </cfRule>
  </conditionalFormatting>
  <conditionalFormatting sqref="C107">
    <cfRule type="cellIs" dxfId="2747" priority="1739" stopIfTrue="1" operator="equal">
      <formula>"Towel"</formula>
    </cfRule>
  </conditionalFormatting>
  <conditionalFormatting sqref="B107:C107">
    <cfRule type="cellIs" dxfId="2746" priority="1753" stopIfTrue="1" operator="equal">
      <formula>"Towel"</formula>
    </cfRule>
    <cfRule type="cellIs" dxfId="2745" priority="1754" stopIfTrue="1" operator="equal">
      <formula>"Napkin Hs"</formula>
    </cfRule>
  </conditionalFormatting>
  <conditionalFormatting sqref="C107">
    <cfRule type="cellIs" dxfId="2744" priority="1751" stopIfTrue="1" operator="equal">
      <formula>"Towel"</formula>
    </cfRule>
    <cfRule type="cellIs" dxfId="2743" priority="1752" stopIfTrue="1" operator="equal">
      <formula>"Napkin Hs"</formula>
    </cfRule>
  </conditionalFormatting>
  <conditionalFormatting sqref="C107">
    <cfRule type="cellIs" dxfId="2742" priority="1749" stopIfTrue="1" operator="equal">
      <formula>"Towel"</formula>
    </cfRule>
    <cfRule type="cellIs" dxfId="2741" priority="1750" stopIfTrue="1" operator="equal">
      <formula>"Napkin Hs"</formula>
    </cfRule>
  </conditionalFormatting>
  <conditionalFormatting sqref="B115:C115">
    <cfRule type="cellIs" dxfId="2740" priority="1701" stopIfTrue="1" operator="equal">
      <formula>"Towel"</formula>
    </cfRule>
    <cfRule type="cellIs" dxfId="2739" priority="1702" stopIfTrue="1" operator="equal">
      <formula>"Napkin Hs"</formula>
    </cfRule>
  </conditionalFormatting>
  <conditionalFormatting sqref="C115">
    <cfRule type="cellIs" dxfId="2738" priority="1699" stopIfTrue="1" operator="equal">
      <formula>"Towel"</formula>
    </cfRule>
    <cfRule type="cellIs" dxfId="2737" priority="1700" stopIfTrue="1" operator="equal">
      <formula>"Napkin Hs"</formula>
    </cfRule>
  </conditionalFormatting>
  <conditionalFormatting sqref="B118">
    <cfRule type="cellIs" dxfId="2736" priority="1623" stopIfTrue="1" operator="equal">
      <formula>"Towel"</formula>
    </cfRule>
    <cfRule type="cellIs" dxfId="2735" priority="1624" stopIfTrue="1" operator="equal">
      <formula>"Napkin Hs"</formula>
    </cfRule>
  </conditionalFormatting>
  <conditionalFormatting sqref="C118">
    <cfRule type="cellIs" dxfId="2734" priority="1631" stopIfTrue="1" operator="equal">
      <formula>"Towel"</formula>
    </cfRule>
    <cfRule type="cellIs" dxfId="2733" priority="1632" stopIfTrue="1" operator="equal">
      <formula>"Napkin Hs"</formula>
    </cfRule>
  </conditionalFormatting>
  <conditionalFormatting sqref="B118">
    <cfRule type="cellIs" dxfId="2732" priority="1621" stopIfTrue="1" operator="equal">
      <formula>"Towel"</formula>
    </cfRule>
    <cfRule type="cellIs" dxfId="2731" priority="1622" stopIfTrue="1" operator="equal">
      <formula>"Napkin Hs"</formula>
    </cfRule>
  </conditionalFormatting>
  <conditionalFormatting sqref="C118">
    <cfRule type="cellIs" dxfId="2730" priority="1625" stopIfTrue="1" operator="equal">
      <formula>"Towel"</formula>
    </cfRule>
    <cfRule type="cellIs" dxfId="2729" priority="1626" stopIfTrue="1" operator="equal">
      <formula>"Napkin Hs"</formula>
    </cfRule>
  </conditionalFormatting>
  <conditionalFormatting sqref="C118">
    <cfRule type="cellIs" dxfId="2728" priority="1635" stopIfTrue="1" operator="equal">
      <formula>"Towel"</formula>
    </cfRule>
    <cfRule type="cellIs" dxfId="2727" priority="1636" stopIfTrue="1" operator="equal">
      <formula>"Napkin Hs"</formula>
    </cfRule>
  </conditionalFormatting>
  <conditionalFormatting sqref="C118">
    <cfRule type="cellIs" dxfId="2726" priority="1634" stopIfTrue="1" operator="equal">
      <formula>"Napkin Hs"</formula>
    </cfRule>
  </conditionalFormatting>
  <conditionalFormatting sqref="C118">
    <cfRule type="cellIs" dxfId="2725" priority="1633" stopIfTrue="1" operator="equal">
      <formula>"Towel"</formula>
    </cfRule>
  </conditionalFormatting>
  <conditionalFormatting sqref="C118">
    <cfRule type="cellIs" dxfId="2724" priority="1629" stopIfTrue="1" operator="equal">
      <formula>"Towel"</formula>
    </cfRule>
    <cfRule type="cellIs" dxfId="2723" priority="1630" stopIfTrue="1" operator="equal">
      <formula>"Napkin Hs"</formula>
    </cfRule>
  </conditionalFormatting>
  <conditionalFormatting sqref="C118">
    <cfRule type="cellIs" dxfId="2722" priority="1628" stopIfTrue="1" operator="equal">
      <formula>"Napkin Hs"</formula>
    </cfRule>
  </conditionalFormatting>
  <conditionalFormatting sqref="C118">
    <cfRule type="cellIs" dxfId="2721" priority="1627" stopIfTrue="1" operator="equal">
      <formula>"Towel"</formula>
    </cfRule>
  </conditionalFormatting>
  <conditionalFormatting sqref="B118:C118">
    <cfRule type="cellIs" dxfId="2720" priority="1641" stopIfTrue="1" operator="equal">
      <formula>"Towel"</formula>
    </cfRule>
    <cfRule type="cellIs" dxfId="2719" priority="1642" stopIfTrue="1" operator="equal">
      <formula>"Napkin Hs"</formula>
    </cfRule>
  </conditionalFormatting>
  <conditionalFormatting sqref="C118">
    <cfRule type="cellIs" dxfId="2718" priority="1639" stopIfTrue="1" operator="equal">
      <formula>"Towel"</formula>
    </cfRule>
    <cfRule type="cellIs" dxfId="2717" priority="1640" stopIfTrue="1" operator="equal">
      <formula>"Napkin Hs"</formula>
    </cfRule>
  </conditionalFormatting>
  <conditionalFormatting sqref="C118">
    <cfRule type="cellIs" dxfId="2716" priority="1637" stopIfTrue="1" operator="equal">
      <formula>"Towel"</formula>
    </cfRule>
    <cfRule type="cellIs" dxfId="2715" priority="1638" stopIfTrue="1" operator="equal">
      <formula>"Napkin Hs"</formula>
    </cfRule>
  </conditionalFormatting>
  <conditionalFormatting sqref="C119">
    <cfRule type="cellIs" dxfId="2714" priority="1615" stopIfTrue="1" operator="equal">
      <formula>"Towel"</formula>
    </cfRule>
    <cfRule type="cellIs" dxfId="2713" priority="1616" stopIfTrue="1" operator="equal">
      <formula>"Napkin Hs"</formula>
    </cfRule>
  </conditionalFormatting>
  <conditionalFormatting sqref="B119:C119">
    <cfRule type="cellIs" dxfId="2712" priority="1619" stopIfTrue="1" operator="equal">
      <formula>"Towel"</formula>
    </cfRule>
    <cfRule type="cellIs" dxfId="2711" priority="1620" stopIfTrue="1" operator="equal">
      <formula>"Napkin Hs"</formula>
    </cfRule>
  </conditionalFormatting>
  <conditionalFormatting sqref="C119">
    <cfRule type="cellIs" dxfId="2710" priority="1618" stopIfTrue="1" operator="equal">
      <formula>"Napkin Hs"</formula>
    </cfRule>
  </conditionalFormatting>
  <conditionalFormatting sqref="C119">
    <cfRule type="cellIs" dxfId="2709" priority="1617" stopIfTrue="1" operator="equal">
      <formula>"Towel"</formula>
    </cfRule>
  </conditionalFormatting>
  <conditionalFormatting sqref="C117">
    <cfRule type="cellIs" dxfId="2708" priority="1609" stopIfTrue="1" operator="equal">
      <formula>"Towel"</formula>
    </cfRule>
    <cfRule type="cellIs" dxfId="2707" priority="1610" stopIfTrue="1" operator="equal">
      <formula>"Napkin Hs"</formula>
    </cfRule>
  </conditionalFormatting>
  <conditionalFormatting sqref="B117:C117">
    <cfRule type="cellIs" dxfId="2706" priority="1613" stopIfTrue="1" operator="equal">
      <formula>"Towel"</formula>
    </cfRule>
    <cfRule type="cellIs" dxfId="2705" priority="1614" stopIfTrue="1" operator="equal">
      <formula>"Napkin Hs"</formula>
    </cfRule>
  </conditionalFormatting>
  <conditionalFormatting sqref="C117">
    <cfRule type="cellIs" dxfId="2704" priority="1612" stopIfTrue="1" operator="equal">
      <formula>"Napkin Hs"</formula>
    </cfRule>
  </conditionalFormatting>
  <conditionalFormatting sqref="C117">
    <cfRule type="cellIs" dxfId="2703" priority="1611" stopIfTrue="1" operator="equal">
      <formula>"Towel"</formula>
    </cfRule>
  </conditionalFormatting>
  <conditionalFormatting sqref="C123">
    <cfRule type="cellIs" dxfId="2702" priority="1575" stopIfTrue="1" operator="equal">
      <formula>"Towel"</formula>
    </cfRule>
    <cfRule type="cellIs" dxfId="2701" priority="1576" stopIfTrue="1" operator="equal">
      <formula>"Napkin Hs"</formula>
    </cfRule>
  </conditionalFormatting>
  <conditionalFormatting sqref="B123:C123">
    <cfRule type="cellIs" dxfId="2700" priority="1579" stopIfTrue="1" operator="equal">
      <formula>"Towel"</formula>
    </cfRule>
    <cfRule type="cellIs" dxfId="2699" priority="1580" stopIfTrue="1" operator="equal">
      <formula>"Napkin Hs"</formula>
    </cfRule>
  </conditionalFormatting>
  <conditionalFormatting sqref="C123">
    <cfRule type="cellIs" dxfId="2698" priority="1578" stopIfTrue="1" operator="equal">
      <formula>"Napkin Hs"</formula>
    </cfRule>
  </conditionalFormatting>
  <conditionalFormatting sqref="C123">
    <cfRule type="cellIs" dxfId="2697" priority="1577" stopIfTrue="1" operator="equal">
      <formula>"Towel"</formula>
    </cfRule>
  </conditionalFormatting>
  <conditionalFormatting sqref="B127">
    <cfRule type="cellIs" dxfId="2696" priority="1543" stopIfTrue="1" operator="equal">
      <formula>"Towel"</formula>
    </cfRule>
    <cfRule type="cellIs" dxfId="2695" priority="1544" stopIfTrue="1" operator="equal">
      <formula>"Napkin Hs"</formula>
    </cfRule>
  </conditionalFormatting>
  <conditionalFormatting sqref="C127">
    <cfRule type="cellIs" dxfId="2694" priority="1551" stopIfTrue="1" operator="equal">
      <formula>"Towel"</formula>
    </cfRule>
    <cfRule type="cellIs" dxfId="2693" priority="1552" stopIfTrue="1" operator="equal">
      <formula>"Napkin Hs"</formula>
    </cfRule>
  </conditionalFormatting>
  <conditionalFormatting sqref="B127">
    <cfRule type="cellIs" dxfId="2692" priority="1541" stopIfTrue="1" operator="equal">
      <formula>"Towel"</formula>
    </cfRule>
    <cfRule type="cellIs" dxfId="2691" priority="1542" stopIfTrue="1" operator="equal">
      <formula>"Napkin Hs"</formula>
    </cfRule>
  </conditionalFormatting>
  <conditionalFormatting sqref="C127">
    <cfRule type="cellIs" dxfId="2690" priority="1545" stopIfTrue="1" operator="equal">
      <formula>"Towel"</formula>
    </cfRule>
    <cfRule type="cellIs" dxfId="2689" priority="1546" stopIfTrue="1" operator="equal">
      <formula>"Napkin Hs"</formula>
    </cfRule>
  </conditionalFormatting>
  <conditionalFormatting sqref="C127">
    <cfRule type="cellIs" dxfId="2688" priority="1555" stopIfTrue="1" operator="equal">
      <formula>"Towel"</formula>
    </cfRule>
    <cfRule type="cellIs" dxfId="2687" priority="1556" stopIfTrue="1" operator="equal">
      <formula>"Napkin Hs"</formula>
    </cfRule>
  </conditionalFormatting>
  <conditionalFormatting sqref="C127">
    <cfRule type="cellIs" dxfId="2686" priority="1554" stopIfTrue="1" operator="equal">
      <formula>"Napkin Hs"</formula>
    </cfRule>
  </conditionalFormatting>
  <conditionalFormatting sqref="C127">
    <cfRule type="cellIs" dxfId="2685" priority="1553" stopIfTrue="1" operator="equal">
      <formula>"Towel"</formula>
    </cfRule>
  </conditionalFormatting>
  <conditionalFormatting sqref="C127">
    <cfRule type="cellIs" dxfId="2684" priority="1549" stopIfTrue="1" operator="equal">
      <formula>"Towel"</formula>
    </cfRule>
    <cfRule type="cellIs" dxfId="2683" priority="1550" stopIfTrue="1" operator="equal">
      <formula>"Napkin Hs"</formula>
    </cfRule>
  </conditionalFormatting>
  <conditionalFormatting sqref="C127">
    <cfRule type="cellIs" dxfId="2682" priority="1548" stopIfTrue="1" operator="equal">
      <formula>"Napkin Hs"</formula>
    </cfRule>
  </conditionalFormatting>
  <conditionalFormatting sqref="C127">
    <cfRule type="cellIs" dxfId="2681" priority="1547" stopIfTrue="1" operator="equal">
      <formula>"Towel"</formula>
    </cfRule>
  </conditionalFormatting>
  <conditionalFormatting sqref="B127:C127">
    <cfRule type="cellIs" dxfId="2680" priority="1561" stopIfTrue="1" operator="equal">
      <formula>"Towel"</formula>
    </cfRule>
    <cfRule type="cellIs" dxfId="2679" priority="1562" stopIfTrue="1" operator="equal">
      <formula>"Napkin Hs"</formula>
    </cfRule>
  </conditionalFormatting>
  <conditionalFormatting sqref="C127">
    <cfRule type="cellIs" dxfId="2678" priority="1559" stopIfTrue="1" operator="equal">
      <formula>"Towel"</formula>
    </cfRule>
    <cfRule type="cellIs" dxfId="2677" priority="1560" stopIfTrue="1" operator="equal">
      <formula>"Napkin Hs"</formula>
    </cfRule>
  </conditionalFormatting>
  <conditionalFormatting sqref="C127">
    <cfRule type="cellIs" dxfId="2676" priority="1557" stopIfTrue="1" operator="equal">
      <formula>"Towel"</formula>
    </cfRule>
    <cfRule type="cellIs" dxfId="2675" priority="1558" stopIfTrue="1" operator="equal">
      <formula>"Napkin Hs"</formula>
    </cfRule>
  </conditionalFormatting>
  <conditionalFormatting sqref="C6">
    <cfRule type="cellIs" dxfId="2674" priority="1414" stopIfTrue="1" operator="equal">
      <formula>"Napkin Hs"</formula>
    </cfRule>
  </conditionalFormatting>
  <conditionalFormatting sqref="C6">
    <cfRule type="cellIs" dxfId="2673" priority="1413" stopIfTrue="1" operator="equal">
      <formula>"Napkin Hs"</formula>
    </cfRule>
  </conditionalFormatting>
  <conditionalFormatting sqref="B12:C13">
    <cfRule type="cellIs" dxfId="2672" priority="1411" stopIfTrue="1" operator="equal">
      <formula>"Towel"</formula>
    </cfRule>
    <cfRule type="cellIs" dxfId="2671" priority="1412" stopIfTrue="1" operator="equal">
      <formula>"Napkin Hs"</formula>
    </cfRule>
  </conditionalFormatting>
  <conditionalFormatting sqref="C12:C13">
    <cfRule type="cellIs" dxfId="2670" priority="1410" stopIfTrue="1" operator="equal">
      <formula>"Napkin Hs"</formula>
    </cfRule>
  </conditionalFormatting>
  <conditionalFormatting sqref="C12:C13">
    <cfRule type="cellIs" dxfId="2669" priority="1407" stopIfTrue="1" operator="equal">
      <formula>"Towel"</formula>
    </cfRule>
    <cfRule type="cellIs" dxfId="2668" priority="1408" stopIfTrue="1" operator="equal">
      <formula>"Napkin Hs"</formula>
    </cfRule>
  </conditionalFormatting>
  <conditionalFormatting sqref="C12:C13">
    <cfRule type="cellIs" dxfId="2667" priority="1409" stopIfTrue="1" operator="equal">
      <formula>"Towel"</formula>
    </cfRule>
  </conditionalFormatting>
  <conditionalFormatting sqref="C10">
    <cfRule type="cellIs" dxfId="2666" priority="1390" stopIfTrue="1" operator="equal">
      <formula>"Napkin Hs"</formula>
    </cfRule>
  </conditionalFormatting>
  <conditionalFormatting sqref="C10">
    <cfRule type="cellIs" dxfId="2665" priority="1389" stopIfTrue="1" operator="equal">
      <formula>"Napkin Hs"</formula>
    </cfRule>
  </conditionalFormatting>
  <conditionalFormatting sqref="C11">
    <cfRule type="cellIs" dxfId="2664" priority="1388" stopIfTrue="1" operator="equal">
      <formula>"Napkin Hs"</formula>
    </cfRule>
  </conditionalFormatting>
  <conditionalFormatting sqref="C11">
    <cfRule type="cellIs" dxfId="2663" priority="1387" stopIfTrue="1" operator="equal">
      <formula>"Napkin Hs"</formula>
    </cfRule>
  </conditionalFormatting>
  <conditionalFormatting sqref="C24">
    <cfRule type="cellIs" dxfId="2662" priority="1356" stopIfTrue="1" operator="equal">
      <formula>"Napkin Hs"</formula>
    </cfRule>
  </conditionalFormatting>
  <conditionalFormatting sqref="C24">
    <cfRule type="cellIs" dxfId="2661" priority="1355" stopIfTrue="1" operator="equal">
      <formula>"Napkin Hs"</formula>
    </cfRule>
  </conditionalFormatting>
  <conditionalFormatting sqref="C28">
    <cfRule type="cellIs" dxfId="2660" priority="1352" stopIfTrue="1" operator="equal">
      <formula>"Napkin Hs"</formula>
    </cfRule>
  </conditionalFormatting>
  <conditionalFormatting sqref="C28">
    <cfRule type="cellIs" dxfId="2659" priority="1351" stopIfTrue="1" operator="equal">
      <formula>"Napkin Hs"</formula>
    </cfRule>
  </conditionalFormatting>
  <conditionalFormatting sqref="C12:C13">
    <cfRule type="cellIs" dxfId="2658" priority="1347" stopIfTrue="1" operator="equal">
      <formula>"Towel"</formula>
    </cfRule>
    <cfRule type="cellIs" dxfId="2657" priority="1348" stopIfTrue="1" operator="equal">
      <formula>"Napkin Hs"</formula>
    </cfRule>
  </conditionalFormatting>
  <conditionalFormatting sqref="C11">
    <cfRule type="cellIs" dxfId="2656" priority="1345" stopIfTrue="1" operator="equal">
      <formula>"Towel"</formula>
    </cfRule>
    <cfRule type="cellIs" dxfId="2655" priority="1346" stopIfTrue="1" operator="equal">
      <formula>"Napkin Hs"</formula>
    </cfRule>
  </conditionalFormatting>
  <conditionalFormatting sqref="C11">
    <cfRule type="cellIs" dxfId="2654" priority="1341" stopIfTrue="1" operator="equal">
      <formula>"Towel"</formula>
    </cfRule>
    <cfRule type="cellIs" dxfId="2653" priority="1342" stopIfTrue="1" operator="equal">
      <formula>"Napkin Hs"</formula>
    </cfRule>
  </conditionalFormatting>
  <conditionalFormatting sqref="B11">
    <cfRule type="cellIs" dxfId="2652" priority="1331" stopIfTrue="1" operator="equal">
      <formula>"Towel"</formula>
    </cfRule>
    <cfRule type="cellIs" dxfId="2651" priority="1332" stopIfTrue="1" operator="equal">
      <formula>"Napkin Hs"</formula>
    </cfRule>
  </conditionalFormatting>
  <conditionalFormatting sqref="B11">
    <cfRule type="cellIs" dxfId="2650" priority="1333" stopIfTrue="1" operator="equal">
      <formula>"Towel"</formula>
    </cfRule>
    <cfRule type="cellIs" dxfId="2649" priority="1334" stopIfTrue="1" operator="equal">
      <formula>"Napkin Hs"</formula>
    </cfRule>
  </conditionalFormatting>
  <conditionalFormatting sqref="C11">
    <cfRule type="cellIs" dxfId="2648" priority="1335" stopIfTrue="1" operator="equal">
      <formula>"Towel"</formula>
    </cfRule>
    <cfRule type="cellIs" dxfId="2647" priority="1336" stopIfTrue="1" operator="equal">
      <formula>"Napkin Hs"</formula>
    </cfRule>
  </conditionalFormatting>
  <conditionalFormatting sqref="C11">
    <cfRule type="cellIs" dxfId="2646" priority="1344" stopIfTrue="1" operator="equal">
      <formula>"Napkin Hs"</formula>
    </cfRule>
  </conditionalFormatting>
  <conditionalFormatting sqref="C11">
    <cfRule type="cellIs" dxfId="2645" priority="1343" stopIfTrue="1" operator="equal">
      <formula>"Towel"</formula>
    </cfRule>
  </conditionalFormatting>
  <conditionalFormatting sqref="C11">
    <cfRule type="cellIs" dxfId="2644" priority="1339" stopIfTrue="1" operator="equal">
      <formula>"Towel"</formula>
    </cfRule>
    <cfRule type="cellIs" dxfId="2643" priority="1340" stopIfTrue="1" operator="equal">
      <formula>"Napkin Hs"</formula>
    </cfRule>
  </conditionalFormatting>
  <conditionalFormatting sqref="C11">
    <cfRule type="cellIs" dxfId="2642" priority="1338" stopIfTrue="1" operator="equal">
      <formula>"Napkin Hs"</formula>
    </cfRule>
  </conditionalFormatting>
  <conditionalFormatting sqref="C11">
    <cfRule type="cellIs" dxfId="2641" priority="1337" stopIfTrue="1" operator="equal">
      <formula>"Towel"</formula>
    </cfRule>
  </conditionalFormatting>
  <conditionalFormatting sqref="C10">
    <cfRule type="cellIs" dxfId="2640" priority="1330" stopIfTrue="1" operator="equal">
      <formula>"Napkin Hs"</formula>
    </cfRule>
  </conditionalFormatting>
  <conditionalFormatting sqref="C10">
    <cfRule type="cellIs" dxfId="2639" priority="1329" stopIfTrue="1" operator="equal">
      <formula>"Napkin Hs"</formula>
    </cfRule>
  </conditionalFormatting>
  <conditionalFormatting sqref="B16:C17">
    <cfRule type="cellIs" dxfId="2638" priority="1325" stopIfTrue="1" operator="equal">
      <formula>"Towel"</formula>
    </cfRule>
    <cfRule type="cellIs" dxfId="2637" priority="1326" stopIfTrue="1" operator="equal">
      <formula>"Napkin Hs"</formula>
    </cfRule>
  </conditionalFormatting>
  <conditionalFormatting sqref="C16:C17">
    <cfRule type="cellIs" dxfId="2636" priority="1324" stopIfTrue="1" operator="equal">
      <formula>"Napkin Hs"</formula>
    </cfRule>
  </conditionalFormatting>
  <conditionalFormatting sqref="C16:C17">
    <cfRule type="cellIs" dxfId="2635" priority="1323" stopIfTrue="1" operator="equal">
      <formula>"Towel"</formula>
    </cfRule>
  </conditionalFormatting>
  <conditionalFormatting sqref="B16:C17">
    <cfRule type="cellIs" dxfId="2634" priority="1321" stopIfTrue="1" operator="equal">
      <formula>"Towel"</formula>
    </cfRule>
    <cfRule type="cellIs" dxfId="2633" priority="1322" stopIfTrue="1" operator="equal">
      <formula>"Napkin Hs"</formula>
    </cfRule>
  </conditionalFormatting>
  <conditionalFormatting sqref="C16:C17">
    <cfRule type="cellIs" dxfId="2632" priority="1320" stopIfTrue="1" operator="equal">
      <formula>"Napkin Hs"</formula>
    </cfRule>
  </conditionalFormatting>
  <conditionalFormatting sqref="C16:C17">
    <cfRule type="cellIs" dxfId="2631" priority="1317" stopIfTrue="1" operator="equal">
      <formula>"Towel"</formula>
    </cfRule>
    <cfRule type="cellIs" dxfId="2630" priority="1318" stopIfTrue="1" operator="equal">
      <formula>"Napkin Hs"</formula>
    </cfRule>
  </conditionalFormatting>
  <conditionalFormatting sqref="C16:C17">
    <cfRule type="cellIs" dxfId="2629" priority="1319" stopIfTrue="1" operator="equal">
      <formula>"Towel"</formula>
    </cfRule>
  </conditionalFormatting>
  <conditionalFormatting sqref="C14">
    <cfRule type="cellIs" dxfId="2628" priority="1316" stopIfTrue="1" operator="equal">
      <formula>"Napkin Hs"</formula>
    </cfRule>
  </conditionalFormatting>
  <conditionalFormatting sqref="C14">
    <cfRule type="cellIs" dxfId="2627" priority="1315" stopIfTrue="1" operator="equal">
      <formula>"Napkin Hs"</formula>
    </cfRule>
  </conditionalFormatting>
  <conditionalFormatting sqref="C15">
    <cfRule type="cellIs" dxfId="2626" priority="1314" stopIfTrue="1" operator="equal">
      <formula>"Napkin Hs"</formula>
    </cfRule>
  </conditionalFormatting>
  <conditionalFormatting sqref="C15">
    <cfRule type="cellIs" dxfId="2625" priority="1313" stopIfTrue="1" operator="equal">
      <formula>"Napkin Hs"</formula>
    </cfRule>
  </conditionalFormatting>
  <conditionalFormatting sqref="C16:C17">
    <cfRule type="cellIs" dxfId="2624" priority="1311" stopIfTrue="1" operator="equal">
      <formula>"Towel"</formula>
    </cfRule>
    <cfRule type="cellIs" dxfId="2623" priority="1312" stopIfTrue="1" operator="equal">
      <formula>"Napkin Hs"</formula>
    </cfRule>
  </conditionalFormatting>
  <conditionalFormatting sqref="C15">
    <cfRule type="cellIs" dxfId="2622" priority="1309" stopIfTrue="1" operator="equal">
      <formula>"Towel"</formula>
    </cfRule>
    <cfRule type="cellIs" dxfId="2621" priority="1310" stopIfTrue="1" operator="equal">
      <formula>"Napkin Hs"</formula>
    </cfRule>
  </conditionalFormatting>
  <conditionalFormatting sqref="C15">
    <cfRule type="cellIs" dxfId="2620" priority="1305" stopIfTrue="1" operator="equal">
      <formula>"Towel"</formula>
    </cfRule>
    <cfRule type="cellIs" dxfId="2619" priority="1306" stopIfTrue="1" operator="equal">
      <formula>"Napkin Hs"</formula>
    </cfRule>
  </conditionalFormatting>
  <conditionalFormatting sqref="B15">
    <cfRule type="cellIs" dxfId="2618" priority="1295" stopIfTrue="1" operator="equal">
      <formula>"Towel"</formula>
    </cfRule>
    <cfRule type="cellIs" dxfId="2617" priority="1296" stopIfTrue="1" operator="equal">
      <formula>"Napkin Hs"</formula>
    </cfRule>
  </conditionalFormatting>
  <conditionalFormatting sqref="B15">
    <cfRule type="cellIs" dxfId="2616" priority="1297" stopIfTrue="1" operator="equal">
      <formula>"Towel"</formula>
    </cfRule>
    <cfRule type="cellIs" dxfId="2615" priority="1298" stopIfTrue="1" operator="equal">
      <formula>"Napkin Hs"</formula>
    </cfRule>
  </conditionalFormatting>
  <conditionalFormatting sqref="C15">
    <cfRule type="cellIs" dxfId="2614" priority="1299" stopIfTrue="1" operator="equal">
      <formula>"Towel"</formula>
    </cfRule>
    <cfRule type="cellIs" dxfId="2613" priority="1300" stopIfTrue="1" operator="equal">
      <formula>"Napkin Hs"</formula>
    </cfRule>
  </conditionalFormatting>
  <conditionalFormatting sqref="C15">
    <cfRule type="cellIs" dxfId="2612" priority="1308" stopIfTrue="1" operator="equal">
      <formula>"Napkin Hs"</formula>
    </cfRule>
  </conditionalFormatting>
  <conditionalFormatting sqref="C15">
    <cfRule type="cellIs" dxfId="2611" priority="1307" stopIfTrue="1" operator="equal">
      <formula>"Towel"</formula>
    </cfRule>
  </conditionalFormatting>
  <conditionalFormatting sqref="C15">
    <cfRule type="cellIs" dxfId="2610" priority="1303" stopIfTrue="1" operator="equal">
      <formula>"Towel"</formula>
    </cfRule>
    <cfRule type="cellIs" dxfId="2609" priority="1304" stopIfTrue="1" operator="equal">
      <formula>"Napkin Hs"</formula>
    </cfRule>
  </conditionalFormatting>
  <conditionalFormatting sqref="C15">
    <cfRule type="cellIs" dxfId="2608" priority="1302" stopIfTrue="1" operator="equal">
      <formula>"Napkin Hs"</formula>
    </cfRule>
  </conditionalFormatting>
  <conditionalFormatting sqref="C15">
    <cfRule type="cellIs" dxfId="2607" priority="1301" stopIfTrue="1" operator="equal">
      <formula>"Towel"</formula>
    </cfRule>
  </conditionalFormatting>
  <conditionalFormatting sqref="C14">
    <cfRule type="cellIs" dxfId="2606" priority="1294" stopIfTrue="1" operator="equal">
      <formula>"Napkin Hs"</formula>
    </cfRule>
  </conditionalFormatting>
  <conditionalFormatting sqref="C14">
    <cfRule type="cellIs" dxfId="2605" priority="1293" stopIfTrue="1" operator="equal">
      <formula>"Napkin Hs"</formula>
    </cfRule>
  </conditionalFormatting>
  <conditionalFormatting sqref="B20:C23">
    <cfRule type="cellIs" dxfId="2604" priority="1291" stopIfTrue="1" operator="equal">
      <formula>"Towel"</formula>
    </cfRule>
    <cfRule type="cellIs" dxfId="2603" priority="1292" stopIfTrue="1" operator="equal">
      <formula>"Napkin Hs"</formula>
    </cfRule>
  </conditionalFormatting>
  <conditionalFormatting sqref="C20:C23">
    <cfRule type="cellIs" dxfId="2602" priority="1290" stopIfTrue="1" operator="equal">
      <formula>"Napkin Hs"</formula>
    </cfRule>
  </conditionalFormatting>
  <conditionalFormatting sqref="C20:C23">
    <cfRule type="cellIs" dxfId="2601" priority="1289" stopIfTrue="1" operator="equal">
      <formula>"Towel"</formula>
    </cfRule>
  </conditionalFormatting>
  <conditionalFormatting sqref="B20:C23">
    <cfRule type="cellIs" dxfId="2600" priority="1287" stopIfTrue="1" operator="equal">
      <formula>"Towel"</formula>
    </cfRule>
    <cfRule type="cellIs" dxfId="2599" priority="1288" stopIfTrue="1" operator="equal">
      <formula>"Napkin Hs"</formula>
    </cfRule>
  </conditionalFormatting>
  <conditionalFormatting sqref="C20:C23">
    <cfRule type="cellIs" dxfId="2598" priority="1286" stopIfTrue="1" operator="equal">
      <formula>"Napkin Hs"</formula>
    </cfRule>
  </conditionalFormatting>
  <conditionalFormatting sqref="C20:C23">
    <cfRule type="cellIs" dxfId="2597" priority="1283" stopIfTrue="1" operator="equal">
      <formula>"Towel"</formula>
    </cfRule>
    <cfRule type="cellIs" dxfId="2596" priority="1284" stopIfTrue="1" operator="equal">
      <formula>"Napkin Hs"</formula>
    </cfRule>
  </conditionalFormatting>
  <conditionalFormatting sqref="C20:C23">
    <cfRule type="cellIs" dxfId="2595" priority="1285" stopIfTrue="1" operator="equal">
      <formula>"Towel"</formula>
    </cfRule>
  </conditionalFormatting>
  <conditionalFormatting sqref="C18:C19">
    <cfRule type="cellIs" dxfId="2594" priority="1282" stopIfTrue="1" operator="equal">
      <formula>"Napkin Hs"</formula>
    </cfRule>
  </conditionalFormatting>
  <conditionalFormatting sqref="C18:C19">
    <cfRule type="cellIs" dxfId="2593" priority="1281" stopIfTrue="1" operator="equal">
      <formula>"Napkin Hs"</formula>
    </cfRule>
  </conditionalFormatting>
  <conditionalFormatting sqref="C20:C23">
    <cfRule type="cellIs" dxfId="2592" priority="1277" stopIfTrue="1" operator="equal">
      <formula>"Towel"</formula>
    </cfRule>
    <cfRule type="cellIs" dxfId="2591" priority="1278" stopIfTrue="1" operator="equal">
      <formula>"Napkin Hs"</formula>
    </cfRule>
  </conditionalFormatting>
  <conditionalFormatting sqref="C18:C19">
    <cfRule type="cellIs" dxfId="2590" priority="1260" stopIfTrue="1" operator="equal">
      <formula>"Napkin Hs"</formula>
    </cfRule>
  </conditionalFormatting>
  <conditionalFormatting sqref="C18:C19">
    <cfRule type="cellIs" dxfId="2589" priority="1259" stopIfTrue="1" operator="equal">
      <formula>"Napkin Hs"</formula>
    </cfRule>
  </conditionalFormatting>
  <conditionalFormatting sqref="B27:C27">
    <cfRule type="cellIs" dxfId="2588" priority="1257" stopIfTrue="1" operator="equal">
      <formula>"Towel"</formula>
    </cfRule>
    <cfRule type="cellIs" dxfId="2587" priority="1258" stopIfTrue="1" operator="equal">
      <formula>"Napkin Hs"</formula>
    </cfRule>
  </conditionalFormatting>
  <conditionalFormatting sqref="C27">
    <cfRule type="cellIs" dxfId="2586" priority="1256" stopIfTrue="1" operator="equal">
      <formula>"Napkin Hs"</formula>
    </cfRule>
  </conditionalFormatting>
  <conditionalFormatting sqref="C27">
    <cfRule type="cellIs" dxfId="2585" priority="1255" stopIfTrue="1" operator="equal">
      <formula>"Towel"</formula>
    </cfRule>
  </conditionalFormatting>
  <conditionalFormatting sqref="B27:C27">
    <cfRule type="cellIs" dxfId="2584" priority="1253" stopIfTrue="1" operator="equal">
      <formula>"Towel"</formula>
    </cfRule>
    <cfRule type="cellIs" dxfId="2583" priority="1254" stopIfTrue="1" operator="equal">
      <formula>"Napkin Hs"</formula>
    </cfRule>
  </conditionalFormatting>
  <conditionalFormatting sqref="C27">
    <cfRule type="cellIs" dxfId="2582" priority="1252" stopIfTrue="1" operator="equal">
      <formula>"Napkin Hs"</formula>
    </cfRule>
  </conditionalFormatting>
  <conditionalFormatting sqref="C27">
    <cfRule type="cellIs" dxfId="2581" priority="1249" stopIfTrue="1" operator="equal">
      <formula>"Towel"</formula>
    </cfRule>
    <cfRule type="cellIs" dxfId="2580" priority="1250" stopIfTrue="1" operator="equal">
      <formula>"Napkin Hs"</formula>
    </cfRule>
  </conditionalFormatting>
  <conditionalFormatting sqref="C27">
    <cfRule type="cellIs" dxfId="2579" priority="1251" stopIfTrue="1" operator="equal">
      <formula>"Towel"</formula>
    </cfRule>
  </conditionalFormatting>
  <conditionalFormatting sqref="C25">
    <cfRule type="cellIs" dxfId="2578" priority="1248" stopIfTrue="1" operator="equal">
      <formula>"Napkin Hs"</formula>
    </cfRule>
  </conditionalFormatting>
  <conditionalFormatting sqref="C25">
    <cfRule type="cellIs" dxfId="2577" priority="1247" stopIfTrue="1" operator="equal">
      <formula>"Napkin Hs"</formula>
    </cfRule>
  </conditionalFormatting>
  <conditionalFormatting sqref="C26">
    <cfRule type="cellIs" dxfId="2576" priority="1246" stopIfTrue="1" operator="equal">
      <formula>"Napkin Hs"</formula>
    </cfRule>
  </conditionalFormatting>
  <conditionalFormatting sqref="C26">
    <cfRule type="cellIs" dxfId="2575" priority="1245" stopIfTrue="1" operator="equal">
      <formula>"Napkin Hs"</formula>
    </cfRule>
  </conditionalFormatting>
  <conditionalFormatting sqref="C27">
    <cfRule type="cellIs" dxfId="2574" priority="1243" stopIfTrue="1" operator="equal">
      <formula>"Towel"</formula>
    </cfRule>
    <cfRule type="cellIs" dxfId="2573" priority="1244" stopIfTrue="1" operator="equal">
      <formula>"Napkin Hs"</formula>
    </cfRule>
  </conditionalFormatting>
  <conditionalFormatting sqref="C26">
    <cfRule type="cellIs" dxfId="2572" priority="1241" stopIfTrue="1" operator="equal">
      <formula>"Towel"</formula>
    </cfRule>
    <cfRule type="cellIs" dxfId="2571" priority="1242" stopIfTrue="1" operator="equal">
      <formula>"Napkin Hs"</formula>
    </cfRule>
  </conditionalFormatting>
  <conditionalFormatting sqref="C26">
    <cfRule type="cellIs" dxfId="2570" priority="1237" stopIfTrue="1" operator="equal">
      <formula>"Towel"</formula>
    </cfRule>
    <cfRule type="cellIs" dxfId="2569" priority="1238" stopIfTrue="1" operator="equal">
      <formula>"Napkin Hs"</formula>
    </cfRule>
  </conditionalFormatting>
  <conditionalFormatting sqref="B26">
    <cfRule type="cellIs" dxfId="2568" priority="1227" stopIfTrue="1" operator="equal">
      <formula>"Towel"</formula>
    </cfRule>
    <cfRule type="cellIs" dxfId="2567" priority="1228" stopIfTrue="1" operator="equal">
      <formula>"Napkin Hs"</formula>
    </cfRule>
  </conditionalFormatting>
  <conditionalFormatting sqref="B26">
    <cfRule type="cellIs" dxfId="2566" priority="1229" stopIfTrue="1" operator="equal">
      <formula>"Towel"</formula>
    </cfRule>
    <cfRule type="cellIs" dxfId="2565" priority="1230" stopIfTrue="1" operator="equal">
      <formula>"Napkin Hs"</formula>
    </cfRule>
  </conditionalFormatting>
  <conditionalFormatting sqref="C26">
    <cfRule type="cellIs" dxfId="2564" priority="1231" stopIfTrue="1" operator="equal">
      <formula>"Towel"</formula>
    </cfRule>
    <cfRule type="cellIs" dxfId="2563" priority="1232" stopIfTrue="1" operator="equal">
      <formula>"Napkin Hs"</formula>
    </cfRule>
  </conditionalFormatting>
  <conditionalFormatting sqref="C26">
    <cfRule type="cellIs" dxfId="2562" priority="1240" stopIfTrue="1" operator="equal">
      <formula>"Napkin Hs"</formula>
    </cfRule>
  </conditionalFormatting>
  <conditionalFormatting sqref="C26">
    <cfRule type="cellIs" dxfId="2561" priority="1239" stopIfTrue="1" operator="equal">
      <formula>"Towel"</formula>
    </cfRule>
  </conditionalFormatting>
  <conditionalFormatting sqref="C26">
    <cfRule type="cellIs" dxfId="2560" priority="1235" stopIfTrue="1" operator="equal">
      <formula>"Towel"</formula>
    </cfRule>
    <cfRule type="cellIs" dxfId="2559" priority="1236" stopIfTrue="1" operator="equal">
      <formula>"Napkin Hs"</formula>
    </cfRule>
  </conditionalFormatting>
  <conditionalFormatting sqref="C26">
    <cfRule type="cellIs" dxfId="2558" priority="1234" stopIfTrue="1" operator="equal">
      <formula>"Napkin Hs"</formula>
    </cfRule>
  </conditionalFormatting>
  <conditionalFormatting sqref="C26">
    <cfRule type="cellIs" dxfId="2557" priority="1233" stopIfTrue="1" operator="equal">
      <formula>"Towel"</formula>
    </cfRule>
  </conditionalFormatting>
  <conditionalFormatting sqref="C25">
    <cfRule type="cellIs" dxfId="2556" priority="1226" stopIfTrue="1" operator="equal">
      <formula>"Napkin Hs"</formula>
    </cfRule>
  </conditionalFormatting>
  <conditionalFormatting sqref="C25">
    <cfRule type="cellIs" dxfId="2555" priority="1225" stopIfTrue="1" operator="equal">
      <formula>"Napkin Hs"</formula>
    </cfRule>
  </conditionalFormatting>
  <conditionalFormatting sqref="B31:C31">
    <cfRule type="cellIs" dxfId="2554" priority="1223" stopIfTrue="1" operator="equal">
      <formula>"Towel"</formula>
    </cfRule>
    <cfRule type="cellIs" dxfId="2553" priority="1224" stopIfTrue="1" operator="equal">
      <formula>"Napkin Hs"</formula>
    </cfRule>
  </conditionalFormatting>
  <conditionalFormatting sqref="C31">
    <cfRule type="cellIs" dxfId="2552" priority="1222" stopIfTrue="1" operator="equal">
      <formula>"Napkin Hs"</formula>
    </cfRule>
  </conditionalFormatting>
  <conditionalFormatting sqref="C31">
    <cfRule type="cellIs" dxfId="2551" priority="1221" stopIfTrue="1" operator="equal">
      <formula>"Towel"</formula>
    </cfRule>
  </conditionalFormatting>
  <conditionalFormatting sqref="B31:C31">
    <cfRule type="cellIs" dxfId="2550" priority="1219" stopIfTrue="1" operator="equal">
      <formula>"Towel"</formula>
    </cfRule>
    <cfRule type="cellIs" dxfId="2549" priority="1220" stopIfTrue="1" operator="equal">
      <formula>"Napkin Hs"</formula>
    </cfRule>
  </conditionalFormatting>
  <conditionalFormatting sqref="C31">
    <cfRule type="cellIs" dxfId="2548" priority="1218" stopIfTrue="1" operator="equal">
      <formula>"Napkin Hs"</formula>
    </cfRule>
  </conditionalFormatting>
  <conditionalFormatting sqref="C31">
    <cfRule type="cellIs" dxfId="2547" priority="1215" stopIfTrue="1" operator="equal">
      <formula>"Towel"</formula>
    </cfRule>
    <cfRule type="cellIs" dxfId="2546" priority="1216" stopIfTrue="1" operator="equal">
      <formula>"Napkin Hs"</formula>
    </cfRule>
  </conditionalFormatting>
  <conditionalFormatting sqref="C31">
    <cfRule type="cellIs" dxfId="2545" priority="1217" stopIfTrue="1" operator="equal">
      <formula>"Towel"</formula>
    </cfRule>
  </conditionalFormatting>
  <conditionalFormatting sqref="C29:C30">
    <cfRule type="cellIs" dxfId="2544" priority="1214" stopIfTrue="1" operator="equal">
      <formula>"Napkin Hs"</formula>
    </cfRule>
  </conditionalFormatting>
  <conditionalFormatting sqref="C29:C30">
    <cfRule type="cellIs" dxfId="2543" priority="1213" stopIfTrue="1" operator="equal">
      <formula>"Napkin Hs"</formula>
    </cfRule>
  </conditionalFormatting>
  <conditionalFormatting sqref="C31">
    <cfRule type="cellIs" dxfId="2542" priority="1209" stopIfTrue="1" operator="equal">
      <formula>"Towel"</formula>
    </cfRule>
    <cfRule type="cellIs" dxfId="2541" priority="1210" stopIfTrue="1" operator="equal">
      <formula>"Napkin Hs"</formula>
    </cfRule>
  </conditionalFormatting>
  <conditionalFormatting sqref="C29:C30">
    <cfRule type="cellIs" dxfId="2540" priority="1192" stopIfTrue="1" operator="equal">
      <formula>"Napkin Hs"</formula>
    </cfRule>
  </conditionalFormatting>
  <conditionalFormatting sqref="C29:C30">
    <cfRule type="cellIs" dxfId="2539" priority="1191" stopIfTrue="1" operator="equal">
      <formula>"Napkin Hs"</formula>
    </cfRule>
  </conditionalFormatting>
  <conditionalFormatting sqref="B32:C32">
    <cfRule type="cellIs" dxfId="2538" priority="1189" stopIfTrue="1" operator="equal">
      <formula>"Towel"</formula>
    </cfRule>
    <cfRule type="cellIs" dxfId="2537" priority="1190" stopIfTrue="1" operator="equal">
      <formula>"Napkin Hs"</formula>
    </cfRule>
  </conditionalFormatting>
  <conditionalFormatting sqref="C32">
    <cfRule type="cellIs" dxfId="2536" priority="1188" stopIfTrue="1" operator="equal">
      <formula>"Napkin Hs"</formula>
    </cfRule>
  </conditionalFormatting>
  <conditionalFormatting sqref="C32">
    <cfRule type="cellIs" dxfId="2535" priority="1187" stopIfTrue="1" operator="equal">
      <formula>"Towel"</formula>
    </cfRule>
  </conditionalFormatting>
  <conditionalFormatting sqref="B32:C32">
    <cfRule type="cellIs" dxfId="2534" priority="1185" stopIfTrue="1" operator="equal">
      <formula>"Towel"</formula>
    </cfRule>
    <cfRule type="cellIs" dxfId="2533" priority="1186" stopIfTrue="1" operator="equal">
      <formula>"Napkin Hs"</formula>
    </cfRule>
  </conditionalFormatting>
  <conditionalFormatting sqref="C32">
    <cfRule type="cellIs" dxfId="2532" priority="1184" stopIfTrue="1" operator="equal">
      <formula>"Napkin Hs"</formula>
    </cfRule>
  </conditionalFormatting>
  <conditionalFormatting sqref="C32">
    <cfRule type="cellIs" dxfId="2531" priority="1181" stopIfTrue="1" operator="equal">
      <formula>"Towel"</formula>
    </cfRule>
    <cfRule type="cellIs" dxfId="2530" priority="1182" stopIfTrue="1" operator="equal">
      <formula>"Napkin Hs"</formula>
    </cfRule>
  </conditionalFormatting>
  <conditionalFormatting sqref="C32">
    <cfRule type="cellIs" dxfId="2529" priority="1183" stopIfTrue="1" operator="equal">
      <formula>"Towel"</formula>
    </cfRule>
  </conditionalFormatting>
  <conditionalFormatting sqref="C32">
    <cfRule type="cellIs" dxfId="2528" priority="1179" stopIfTrue="1" operator="equal">
      <formula>"Towel"</formula>
    </cfRule>
    <cfRule type="cellIs" dxfId="2527" priority="1180" stopIfTrue="1" operator="equal">
      <formula>"Napkin Hs"</formula>
    </cfRule>
  </conditionalFormatting>
  <conditionalFormatting sqref="B36:C36">
    <cfRule type="cellIs" dxfId="2526" priority="1177" stopIfTrue="1" operator="equal">
      <formula>"Towel"</formula>
    </cfRule>
    <cfRule type="cellIs" dxfId="2525" priority="1178" stopIfTrue="1" operator="equal">
      <formula>"Napkin Hs"</formula>
    </cfRule>
  </conditionalFormatting>
  <conditionalFormatting sqref="C36">
    <cfRule type="cellIs" dxfId="2524" priority="1176" stopIfTrue="1" operator="equal">
      <formula>"Napkin Hs"</formula>
    </cfRule>
  </conditionalFormatting>
  <conditionalFormatting sqref="C36">
    <cfRule type="cellIs" dxfId="2523" priority="1175" stopIfTrue="1" operator="equal">
      <formula>"Towel"</formula>
    </cfRule>
  </conditionalFormatting>
  <conditionalFormatting sqref="B36:C36">
    <cfRule type="cellIs" dxfId="2522" priority="1173" stopIfTrue="1" operator="equal">
      <formula>"Towel"</formula>
    </cfRule>
    <cfRule type="cellIs" dxfId="2521" priority="1174" stopIfTrue="1" operator="equal">
      <formula>"Napkin Hs"</formula>
    </cfRule>
  </conditionalFormatting>
  <conditionalFormatting sqref="C36">
    <cfRule type="cellIs" dxfId="2520" priority="1172" stopIfTrue="1" operator="equal">
      <formula>"Napkin Hs"</formula>
    </cfRule>
  </conditionalFormatting>
  <conditionalFormatting sqref="C36">
    <cfRule type="cellIs" dxfId="2519" priority="1169" stopIfTrue="1" operator="equal">
      <formula>"Towel"</formula>
    </cfRule>
    <cfRule type="cellIs" dxfId="2518" priority="1170" stopIfTrue="1" operator="equal">
      <formula>"Napkin Hs"</formula>
    </cfRule>
  </conditionalFormatting>
  <conditionalFormatting sqref="C36">
    <cfRule type="cellIs" dxfId="2517" priority="1171" stopIfTrue="1" operator="equal">
      <formula>"Towel"</formula>
    </cfRule>
  </conditionalFormatting>
  <conditionalFormatting sqref="C35">
    <cfRule type="cellIs" dxfId="2516" priority="1168" stopIfTrue="1" operator="equal">
      <formula>"Napkin Hs"</formula>
    </cfRule>
  </conditionalFormatting>
  <conditionalFormatting sqref="C35">
    <cfRule type="cellIs" dxfId="2515" priority="1167" stopIfTrue="1" operator="equal">
      <formula>"Napkin Hs"</formula>
    </cfRule>
  </conditionalFormatting>
  <conditionalFormatting sqref="C36">
    <cfRule type="cellIs" dxfId="2514" priority="1165" stopIfTrue="1" operator="equal">
      <formula>"Towel"</formula>
    </cfRule>
    <cfRule type="cellIs" dxfId="2513" priority="1166" stopIfTrue="1" operator="equal">
      <formula>"Napkin Hs"</formula>
    </cfRule>
  </conditionalFormatting>
  <conditionalFormatting sqref="C35">
    <cfRule type="cellIs" dxfId="2512" priority="1164" stopIfTrue="1" operator="equal">
      <formula>"Napkin Hs"</formula>
    </cfRule>
  </conditionalFormatting>
  <conditionalFormatting sqref="C35">
    <cfRule type="cellIs" dxfId="2511" priority="1163" stopIfTrue="1" operator="equal">
      <formula>"Napkin Hs"</formula>
    </cfRule>
  </conditionalFormatting>
  <conditionalFormatting sqref="B37:C38">
    <cfRule type="cellIs" dxfId="2510" priority="1161" stopIfTrue="1" operator="equal">
      <formula>"Towel"</formula>
    </cfRule>
    <cfRule type="cellIs" dxfId="2509" priority="1162" stopIfTrue="1" operator="equal">
      <formula>"Napkin Hs"</formula>
    </cfRule>
  </conditionalFormatting>
  <conditionalFormatting sqref="C37:C38">
    <cfRule type="cellIs" dxfId="2508" priority="1160" stopIfTrue="1" operator="equal">
      <formula>"Napkin Hs"</formula>
    </cfRule>
  </conditionalFormatting>
  <conditionalFormatting sqref="C37:C38">
    <cfRule type="cellIs" dxfId="2507" priority="1159" stopIfTrue="1" operator="equal">
      <formula>"Towel"</formula>
    </cfRule>
  </conditionalFormatting>
  <conditionalFormatting sqref="B37:C38">
    <cfRule type="cellIs" dxfId="2506" priority="1157" stopIfTrue="1" operator="equal">
      <formula>"Towel"</formula>
    </cfRule>
    <cfRule type="cellIs" dxfId="2505" priority="1158" stopIfTrue="1" operator="equal">
      <formula>"Napkin Hs"</formula>
    </cfRule>
  </conditionalFormatting>
  <conditionalFormatting sqref="C37:C38">
    <cfRule type="cellIs" dxfId="2504" priority="1156" stopIfTrue="1" operator="equal">
      <formula>"Napkin Hs"</formula>
    </cfRule>
  </conditionalFormatting>
  <conditionalFormatting sqref="C37:C38">
    <cfRule type="cellIs" dxfId="2503" priority="1153" stopIfTrue="1" operator="equal">
      <formula>"Towel"</formula>
    </cfRule>
    <cfRule type="cellIs" dxfId="2502" priority="1154" stopIfTrue="1" operator="equal">
      <formula>"Napkin Hs"</formula>
    </cfRule>
  </conditionalFormatting>
  <conditionalFormatting sqref="C37:C38">
    <cfRule type="cellIs" dxfId="2501" priority="1155" stopIfTrue="1" operator="equal">
      <formula>"Towel"</formula>
    </cfRule>
  </conditionalFormatting>
  <conditionalFormatting sqref="C37:C38">
    <cfRule type="cellIs" dxfId="2500" priority="1151" stopIfTrue="1" operator="equal">
      <formula>"Towel"</formula>
    </cfRule>
    <cfRule type="cellIs" dxfId="2499" priority="1152" stopIfTrue="1" operator="equal">
      <formula>"Napkin Hs"</formula>
    </cfRule>
  </conditionalFormatting>
  <conditionalFormatting sqref="C34">
    <cfRule type="cellIs" dxfId="2498" priority="1150" stopIfTrue="1" operator="equal">
      <formula>"Napkin Hs"</formula>
    </cfRule>
  </conditionalFormatting>
  <conditionalFormatting sqref="C34">
    <cfRule type="cellIs" dxfId="2497" priority="1149" stopIfTrue="1" operator="equal">
      <formula>"Napkin Hs"</formula>
    </cfRule>
  </conditionalFormatting>
  <conditionalFormatting sqref="C34">
    <cfRule type="cellIs" dxfId="2496" priority="1148" stopIfTrue="1" operator="equal">
      <formula>"Napkin Hs"</formula>
    </cfRule>
  </conditionalFormatting>
  <conditionalFormatting sqref="C34">
    <cfRule type="cellIs" dxfId="2495" priority="1147" stopIfTrue="1" operator="equal">
      <formula>"Napkin Hs"</formula>
    </cfRule>
  </conditionalFormatting>
  <conditionalFormatting sqref="B42:C42">
    <cfRule type="cellIs" dxfId="2494" priority="1145" stopIfTrue="1" operator="equal">
      <formula>"Towel"</formula>
    </cfRule>
    <cfRule type="cellIs" dxfId="2493" priority="1146" stopIfTrue="1" operator="equal">
      <formula>"Napkin Hs"</formula>
    </cfRule>
  </conditionalFormatting>
  <conditionalFormatting sqref="C42">
    <cfRule type="cellIs" dxfId="2492" priority="1144" stopIfTrue="1" operator="equal">
      <formula>"Napkin Hs"</formula>
    </cfRule>
  </conditionalFormatting>
  <conditionalFormatting sqref="C42">
    <cfRule type="cellIs" dxfId="2491" priority="1143" stopIfTrue="1" operator="equal">
      <formula>"Towel"</formula>
    </cfRule>
  </conditionalFormatting>
  <conditionalFormatting sqref="B42:C42">
    <cfRule type="cellIs" dxfId="2490" priority="1141" stopIfTrue="1" operator="equal">
      <formula>"Towel"</formula>
    </cfRule>
    <cfRule type="cellIs" dxfId="2489" priority="1142" stopIfTrue="1" operator="equal">
      <formula>"Napkin Hs"</formula>
    </cfRule>
  </conditionalFormatting>
  <conditionalFormatting sqref="C42">
    <cfRule type="cellIs" dxfId="2488" priority="1140" stopIfTrue="1" operator="equal">
      <formula>"Napkin Hs"</formula>
    </cfRule>
  </conditionalFormatting>
  <conditionalFormatting sqref="C42">
    <cfRule type="cellIs" dxfId="2487" priority="1137" stopIfTrue="1" operator="equal">
      <formula>"Towel"</formula>
    </cfRule>
    <cfRule type="cellIs" dxfId="2486" priority="1138" stopIfTrue="1" operator="equal">
      <formula>"Napkin Hs"</formula>
    </cfRule>
  </conditionalFormatting>
  <conditionalFormatting sqref="C42">
    <cfRule type="cellIs" dxfId="2485" priority="1139" stopIfTrue="1" operator="equal">
      <formula>"Towel"</formula>
    </cfRule>
  </conditionalFormatting>
  <conditionalFormatting sqref="C41">
    <cfRule type="cellIs" dxfId="2484" priority="1136" stopIfTrue="1" operator="equal">
      <formula>"Napkin Hs"</formula>
    </cfRule>
  </conditionalFormatting>
  <conditionalFormatting sqref="C41">
    <cfRule type="cellIs" dxfId="2483" priority="1135" stopIfTrue="1" operator="equal">
      <formula>"Napkin Hs"</formula>
    </cfRule>
  </conditionalFormatting>
  <conditionalFormatting sqref="C42">
    <cfRule type="cellIs" dxfId="2482" priority="1133" stopIfTrue="1" operator="equal">
      <formula>"Towel"</formula>
    </cfRule>
    <cfRule type="cellIs" dxfId="2481" priority="1134" stopIfTrue="1" operator="equal">
      <formula>"Napkin Hs"</formula>
    </cfRule>
  </conditionalFormatting>
  <conditionalFormatting sqref="C41">
    <cfRule type="cellIs" dxfId="2480" priority="1132" stopIfTrue="1" operator="equal">
      <formula>"Napkin Hs"</formula>
    </cfRule>
  </conditionalFormatting>
  <conditionalFormatting sqref="C41">
    <cfRule type="cellIs" dxfId="2479" priority="1131" stopIfTrue="1" operator="equal">
      <formula>"Napkin Hs"</formula>
    </cfRule>
  </conditionalFormatting>
  <conditionalFormatting sqref="B43:C43">
    <cfRule type="cellIs" dxfId="2478" priority="1129" stopIfTrue="1" operator="equal">
      <formula>"Towel"</formula>
    </cfRule>
    <cfRule type="cellIs" dxfId="2477" priority="1130" stopIfTrue="1" operator="equal">
      <formula>"Napkin Hs"</formula>
    </cfRule>
  </conditionalFormatting>
  <conditionalFormatting sqref="C43">
    <cfRule type="cellIs" dxfId="2476" priority="1128" stopIfTrue="1" operator="equal">
      <formula>"Napkin Hs"</formula>
    </cfRule>
  </conditionalFormatting>
  <conditionalFormatting sqref="C43">
    <cfRule type="cellIs" dxfId="2475" priority="1127" stopIfTrue="1" operator="equal">
      <formula>"Towel"</formula>
    </cfRule>
  </conditionalFormatting>
  <conditionalFormatting sqref="B43:C43">
    <cfRule type="cellIs" dxfId="2474" priority="1125" stopIfTrue="1" operator="equal">
      <formula>"Towel"</formula>
    </cfRule>
    <cfRule type="cellIs" dxfId="2473" priority="1126" stopIfTrue="1" operator="equal">
      <formula>"Napkin Hs"</formula>
    </cfRule>
  </conditionalFormatting>
  <conditionalFormatting sqref="C43">
    <cfRule type="cellIs" dxfId="2472" priority="1124" stopIfTrue="1" operator="equal">
      <formula>"Napkin Hs"</formula>
    </cfRule>
  </conditionalFormatting>
  <conditionalFormatting sqref="C43">
    <cfRule type="cellIs" dxfId="2471" priority="1121" stopIfTrue="1" operator="equal">
      <formula>"Towel"</formula>
    </cfRule>
    <cfRule type="cellIs" dxfId="2470" priority="1122" stopIfTrue="1" operator="equal">
      <formula>"Napkin Hs"</formula>
    </cfRule>
  </conditionalFormatting>
  <conditionalFormatting sqref="C43">
    <cfRule type="cellIs" dxfId="2469" priority="1123" stopIfTrue="1" operator="equal">
      <formula>"Towel"</formula>
    </cfRule>
  </conditionalFormatting>
  <conditionalFormatting sqref="C43">
    <cfRule type="cellIs" dxfId="2468" priority="1119" stopIfTrue="1" operator="equal">
      <formula>"Towel"</formula>
    </cfRule>
    <cfRule type="cellIs" dxfId="2467" priority="1120" stopIfTrue="1" operator="equal">
      <formula>"Napkin Hs"</formula>
    </cfRule>
  </conditionalFormatting>
  <conditionalFormatting sqref="C40">
    <cfRule type="cellIs" dxfId="2466" priority="1118" stopIfTrue="1" operator="equal">
      <formula>"Napkin Hs"</formula>
    </cfRule>
  </conditionalFormatting>
  <conditionalFormatting sqref="C40">
    <cfRule type="cellIs" dxfId="2465" priority="1117" stopIfTrue="1" operator="equal">
      <formula>"Napkin Hs"</formula>
    </cfRule>
  </conditionalFormatting>
  <conditionalFormatting sqref="C40">
    <cfRule type="cellIs" dxfId="2464" priority="1116" stopIfTrue="1" operator="equal">
      <formula>"Napkin Hs"</formula>
    </cfRule>
  </conditionalFormatting>
  <conditionalFormatting sqref="C40">
    <cfRule type="cellIs" dxfId="2463" priority="1115" stopIfTrue="1" operator="equal">
      <formula>"Napkin Hs"</formula>
    </cfRule>
  </conditionalFormatting>
  <conditionalFormatting sqref="B46:C46">
    <cfRule type="cellIs" dxfId="2462" priority="1113" stopIfTrue="1" operator="equal">
      <formula>"Towel"</formula>
    </cfRule>
    <cfRule type="cellIs" dxfId="2461" priority="1114" stopIfTrue="1" operator="equal">
      <formula>"Napkin Hs"</formula>
    </cfRule>
  </conditionalFormatting>
  <conditionalFormatting sqref="C46">
    <cfRule type="cellIs" dxfId="2460" priority="1112" stopIfTrue="1" operator="equal">
      <formula>"Napkin Hs"</formula>
    </cfRule>
  </conditionalFormatting>
  <conditionalFormatting sqref="C46">
    <cfRule type="cellIs" dxfId="2459" priority="1111" stopIfTrue="1" operator="equal">
      <formula>"Towel"</formula>
    </cfRule>
  </conditionalFormatting>
  <conditionalFormatting sqref="B46:C46">
    <cfRule type="cellIs" dxfId="2458" priority="1109" stopIfTrue="1" operator="equal">
      <formula>"Towel"</formula>
    </cfRule>
    <cfRule type="cellIs" dxfId="2457" priority="1110" stopIfTrue="1" operator="equal">
      <formula>"Napkin Hs"</formula>
    </cfRule>
  </conditionalFormatting>
  <conditionalFormatting sqref="C46">
    <cfRule type="cellIs" dxfId="2456" priority="1108" stopIfTrue="1" operator="equal">
      <formula>"Napkin Hs"</formula>
    </cfRule>
  </conditionalFormatting>
  <conditionalFormatting sqref="C46">
    <cfRule type="cellIs" dxfId="2455" priority="1105" stopIfTrue="1" operator="equal">
      <formula>"Towel"</formula>
    </cfRule>
    <cfRule type="cellIs" dxfId="2454" priority="1106" stopIfTrue="1" operator="equal">
      <formula>"Napkin Hs"</formula>
    </cfRule>
  </conditionalFormatting>
  <conditionalFormatting sqref="C46">
    <cfRule type="cellIs" dxfId="2453" priority="1107" stopIfTrue="1" operator="equal">
      <formula>"Towel"</formula>
    </cfRule>
  </conditionalFormatting>
  <conditionalFormatting sqref="C46">
    <cfRule type="cellIs" dxfId="2452" priority="1101" stopIfTrue="1" operator="equal">
      <formula>"Towel"</formula>
    </cfRule>
    <cfRule type="cellIs" dxfId="2451" priority="1102" stopIfTrue="1" operator="equal">
      <formula>"Napkin Hs"</formula>
    </cfRule>
  </conditionalFormatting>
  <conditionalFormatting sqref="C45">
    <cfRule type="cellIs" dxfId="2450" priority="1098" stopIfTrue="1" operator="equal">
      <formula>"Napkin Hs"</formula>
    </cfRule>
  </conditionalFormatting>
  <conditionalFormatting sqref="C45">
    <cfRule type="cellIs" dxfId="2449" priority="1097" stopIfTrue="1" operator="equal">
      <formula>"Napkin Hs"</formula>
    </cfRule>
  </conditionalFormatting>
  <conditionalFormatting sqref="C45">
    <cfRule type="cellIs" dxfId="2448" priority="1096" stopIfTrue="1" operator="equal">
      <formula>"Napkin Hs"</formula>
    </cfRule>
  </conditionalFormatting>
  <conditionalFormatting sqref="C45">
    <cfRule type="cellIs" dxfId="2447" priority="1095" stopIfTrue="1" operator="equal">
      <formula>"Napkin Hs"</formula>
    </cfRule>
  </conditionalFormatting>
  <conditionalFormatting sqref="C44">
    <cfRule type="cellIs" dxfId="2446" priority="1094" stopIfTrue="1" operator="equal">
      <formula>"Napkin Hs"</formula>
    </cfRule>
  </conditionalFormatting>
  <conditionalFormatting sqref="C44">
    <cfRule type="cellIs" dxfId="2445" priority="1093" stopIfTrue="1" operator="equal">
      <formula>"Napkin Hs"</formula>
    </cfRule>
  </conditionalFormatting>
  <conditionalFormatting sqref="C44">
    <cfRule type="cellIs" dxfId="2444" priority="1092" stopIfTrue="1" operator="equal">
      <formula>"Napkin Hs"</formula>
    </cfRule>
  </conditionalFormatting>
  <conditionalFormatting sqref="C44">
    <cfRule type="cellIs" dxfId="2443" priority="1091" stopIfTrue="1" operator="equal">
      <formula>"Napkin Hs"</formula>
    </cfRule>
  </conditionalFormatting>
  <conditionalFormatting sqref="B50:C50">
    <cfRule type="cellIs" dxfId="2442" priority="1089" stopIfTrue="1" operator="equal">
      <formula>"Towel"</formula>
    </cfRule>
    <cfRule type="cellIs" dxfId="2441" priority="1090" stopIfTrue="1" operator="equal">
      <formula>"Napkin Hs"</formula>
    </cfRule>
  </conditionalFormatting>
  <conditionalFormatting sqref="C50">
    <cfRule type="cellIs" dxfId="2440" priority="1088" stopIfTrue="1" operator="equal">
      <formula>"Napkin Hs"</formula>
    </cfRule>
  </conditionalFormatting>
  <conditionalFormatting sqref="C50">
    <cfRule type="cellIs" dxfId="2439" priority="1087" stopIfTrue="1" operator="equal">
      <formula>"Towel"</formula>
    </cfRule>
  </conditionalFormatting>
  <conditionalFormatting sqref="B50:C50">
    <cfRule type="cellIs" dxfId="2438" priority="1085" stopIfTrue="1" operator="equal">
      <formula>"Towel"</formula>
    </cfRule>
    <cfRule type="cellIs" dxfId="2437" priority="1086" stopIfTrue="1" operator="equal">
      <formula>"Napkin Hs"</formula>
    </cfRule>
  </conditionalFormatting>
  <conditionalFormatting sqref="C50">
    <cfRule type="cellIs" dxfId="2436" priority="1084" stopIfTrue="1" operator="equal">
      <formula>"Napkin Hs"</formula>
    </cfRule>
  </conditionalFormatting>
  <conditionalFormatting sqref="C50">
    <cfRule type="cellIs" dxfId="2435" priority="1081" stopIfTrue="1" operator="equal">
      <formula>"Towel"</formula>
    </cfRule>
    <cfRule type="cellIs" dxfId="2434" priority="1082" stopIfTrue="1" operator="equal">
      <formula>"Napkin Hs"</formula>
    </cfRule>
  </conditionalFormatting>
  <conditionalFormatting sqref="C50">
    <cfRule type="cellIs" dxfId="2433" priority="1083" stopIfTrue="1" operator="equal">
      <formula>"Towel"</formula>
    </cfRule>
  </conditionalFormatting>
  <conditionalFormatting sqref="C49">
    <cfRule type="cellIs" dxfId="2432" priority="1080" stopIfTrue="1" operator="equal">
      <formula>"Napkin Hs"</formula>
    </cfRule>
  </conditionalFormatting>
  <conditionalFormatting sqref="C49">
    <cfRule type="cellIs" dxfId="2431" priority="1079" stopIfTrue="1" operator="equal">
      <formula>"Napkin Hs"</formula>
    </cfRule>
  </conditionalFormatting>
  <conditionalFormatting sqref="C50">
    <cfRule type="cellIs" dxfId="2430" priority="1077" stopIfTrue="1" operator="equal">
      <formula>"Towel"</formula>
    </cfRule>
    <cfRule type="cellIs" dxfId="2429" priority="1078" stopIfTrue="1" operator="equal">
      <formula>"Napkin Hs"</formula>
    </cfRule>
  </conditionalFormatting>
  <conditionalFormatting sqref="C49">
    <cfRule type="cellIs" dxfId="2428" priority="1076" stopIfTrue="1" operator="equal">
      <formula>"Napkin Hs"</formula>
    </cfRule>
  </conditionalFormatting>
  <conditionalFormatting sqref="C49">
    <cfRule type="cellIs" dxfId="2427" priority="1075" stopIfTrue="1" operator="equal">
      <formula>"Napkin Hs"</formula>
    </cfRule>
  </conditionalFormatting>
  <conditionalFormatting sqref="C48">
    <cfRule type="cellIs" dxfId="2426" priority="1070" stopIfTrue="1" operator="equal">
      <formula>"Napkin Hs"</formula>
    </cfRule>
  </conditionalFormatting>
  <conditionalFormatting sqref="C48">
    <cfRule type="cellIs" dxfId="2425" priority="1069" stopIfTrue="1" operator="equal">
      <formula>"Napkin Hs"</formula>
    </cfRule>
  </conditionalFormatting>
  <conditionalFormatting sqref="C48">
    <cfRule type="cellIs" dxfId="2424" priority="1068" stopIfTrue="1" operator="equal">
      <formula>"Napkin Hs"</formula>
    </cfRule>
  </conditionalFormatting>
  <conditionalFormatting sqref="C48">
    <cfRule type="cellIs" dxfId="2423" priority="1067" stopIfTrue="1" operator="equal">
      <formula>"Napkin Hs"</formula>
    </cfRule>
  </conditionalFormatting>
  <conditionalFormatting sqref="B54:C54">
    <cfRule type="cellIs" dxfId="2422" priority="1065" stopIfTrue="1" operator="equal">
      <formula>"Towel"</formula>
    </cfRule>
    <cfRule type="cellIs" dxfId="2421" priority="1066" stopIfTrue="1" operator="equal">
      <formula>"Napkin Hs"</formula>
    </cfRule>
  </conditionalFormatting>
  <conditionalFormatting sqref="C54">
    <cfRule type="cellIs" dxfId="2420" priority="1064" stopIfTrue="1" operator="equal">
      <formula>"Napkin Hs"</formula>
    </cfRule>
  </conditionalFormatting>
  <conditionalFormatting sqref="C54">
    <cfRule type="cellIs" dxfId="2419" priority="1063" stopIfTrue="1" operator="equal">
      <formula>"Towel"</formula>
    </cfRule>
  </conditionalFormatting>
  <conditionalFormatting sqref="B54:C54">
    <cfRule type="cellIs" dxfId="2418" priority="1061" stopIfTrue="1" operator="equal">
      <formula>"Towel"</formula>
    </cfRule>
    <cfRule type="cellIs" dxfId="2417" priority="1062" stopIfTrue="1" operator="equal">
      <formula>"Napkin Hs"</formula>
    </cfRule>
  </conditionalFormatting>
  <conditionalFormatting sqref="C54">
    <cfRule type="cellIs" dxfId="2416" priority="1060" stopIfTrue="1" operator="equal">
      <formula>"Napkin Hs"</formula>
    </cfRule>
  </conditionalFormatting>
  <conditionalFormatting sqref="C54">
    <cfRule type="cellIs" dxfId="2415" priority="1057" stopIfTrue="1" operator="equal">
      <formula>"Towel"</formula>
    </cfRule>
    <cfRule type="cellIs" dxfId="2414" priority="1058" stopIfTrue="1" operator="equal">
      <formula>"Napkin Hs"</formula>
    </cfRule>
  </conditionalFormatting>
  <conditionalFormatting sqref="C54">
    <cfRule type="cellIs" dxfId="2413" priority="1059" stopIfTrue="1" operator="equal">
      <formula>"Towel"</formula>
    </cfRule>
  </conditionalFormatting>
  <conditionalFormatting sqref="C54">
    <cfRule type="cellIs" dxfId="2412" priority="1053" stopIfTrue="1" operator="equal">
      <formula>"Towel"</formula>
    </cfRule>
    <cfRule type="cellIs" dxfId="2411" priority="1054" stopIfTrue="1" operator="equal">
      <formula>"Napkin Hs"</formula>
    </cfRule>
  </conditionalFormatting>
  <conditionalFormatting sqref="C52:C53">
    <cfRule type="cellIs" dxfId="2410" priority="1050" stopIfTrue="1" operator="equal">
      <formula>"Napkin Hs"</formula>
    </cfRule>
  </conditionalFormatting>
  <conditionalFormatting sqref="C52:C53">
    <cfRule type="cellIs" dxfId="2409" priority="1049" stopIfTrue="1" operator="equal">
      <formula>"Napkin Hs"</formula>
    </cfRule>
  </conditionalFormatting>
  <conditionalFormatting sqref="C52:C53">
    <cfRule type="cellIs" dxfId="2408" priority="1048" stopIfTrue="1" operator="equal">
      <formula>"Napkin Hs"</formula>
    </cfRule>
  </conditionalFormatting>
  <conditionalFormatting sqref="C52:C53">
    <cfRule type="cellIs" dxfId="2407" priority="1047" stopIfTrue="1" operator="equal">
      <formula>"Napkin Hs"</formula>
    </cfRule>
  </conditionalFormatting>
  <conditionalFormatting sqref="B59:C59">
    <cfRule type="cellIs" dxfId="2406" priority="1045" stopIfTrue="1" operator="equal">
      <formula>"Towel"</formula>
    </cfRule>
    <cfRule type="cellIs" dxfId="2405" priority="1046" stopIfTrue="1" operator="equal">
      <formula>"Napkin Hs"</formula>
    </cfRule>
  </conditionalFormatting>
  <conditionalFormatting sqref="C59">
    <cfRule type="cellIs" dxfId="2404" priority="1043" stopIfTrue="1" operator="equal">
      <formula>"Towel"</formula>
    </cfRule>
    <cfRule type="cellIs" dxfId="2403" priority="1044" stopIfTrue="1" operator="equal">
      <formula>"Napkin Hs"</formula>
    </cfRule>
  </conditionalFormatting>
  <conditionalFormatting sqref="C59">
    <cfRule type="cellIs" dxfId="2402" priority="1041" stopIfTrue="1" operator="equal">
      <formula>"Towel"</formula>
    </cfRule>
    <cfRule type="cellIs" dxfId="2401" priority="1042" stopIfTrue="1" operator="equal">
      <formula>"Napkin Hs"</formula>
    </cfRule>
  </conditionalFormatting>
  <conditionalFormatting sqref="B58:C58">
    <cfRule type="cellIs" dxfId="2400" priority="1039" stopIfTrue="1" operator="equal">
      <formula>"Towel"</formula>
    </cfRule>
    <cfRule type="cellIs" dxfId="2399" priority="1040" stopIfTrue="1" operator="equal">
      <formula>"Napkin Hs"</formula>
    </cfRule>
  </conditionalFormatting>
  <conditionalFormatting sqref="C58">
    <cfRule type="cellIs" dxfId="2398" priority="1038" stopIfTrue="1" operator="equal">
      <formula>"Napkin Hs"</formula>
    </cfRule>
  </conditionalFormatting>
  <conditionalFormatting sqref="C58">
    <cfRule type="cellIs" dxfId="2397" priority="1037" stopIfTrue="1" operator="equal">
      <formula>"Towel"</formula>
    </cfRule>
  </conditionalFormatting>
  <conditionalFormatting sqref="B58:C58">
    <cfRule type="cellIs" dxfId="2396" priority="1035" stopIfTrue="1" operator="equal">
      <formula>"Towel"</formula>
    </cfRule>
    <cfRule type="cellIs" dxfId="2395" priority="1036" stopIfTrue="1" operator="equal">
      <formula>"Napkin Hs"</formula>
    </cfRule>
  </conditionalFormatting>
  <conditionalFormatting sqref="C58">
    <cfRule type="cellIs" dxfId="2394" priority="1034" stopIfTrue="1" operator="equal">
      <formula>"Napkin Hs"</formula>
    </cfRule>
  </conditionalFormatting>
  <conditionalFormatting sqref="C58">
    <cfRule type="cellIs" dxfId="2393" priority="1031" stopIfTrue="1" operator="equal">
      <formula>"Towel"</formula>
    </cfRule>
    <cfRule type="cellIs" dxfId="2392" priority="1032" stopIfTrue="1" operator="equal">
      <formula>"Napkin Hs"</formula>
    </cfRule>
  </conditionalFormatting>
  <conditionalFormatting sqref="C58">
    <cfRule type="cellIs" dxfId="2391" priority="1033" stopIfTrue="1" operator="equal">
      <formula>"Towel"</formula>
    </cfRule>
  </conditionalFormatting>
  <conditionalFormatting sqref="C58">
    <cfRule type="cellIs" dxfId="2390" priority="1029" stopIfTrue="1" operator="equal">
      <formula>"Towel"</formula>
    </cfRule>
    <cfRule type="cellIs" dxfId="2389" priority="1030" stopIfTrue="1" operator="equal">
      <formula>"Napkin Hs"</formula>
    </cfRule>
  </conditionalFormatting>
  <conditionalFormatting sqref="C57">
    <cfRule type="cellIs" dxfId="2388" priority="1028" stopIfTrue="1" operator="equal">
      <formula>"Napkin Hs"</formula>
    </cfRule>
  </conditionalFormatting>
  <conditionalFormatting sqref="C57">
    <cfRule type="cellIs" dxfId="2387" priority="1027" stopIfTrue="1" operator="equal">
      <formula>"Napkin Hs"</formula>
    </cfRule>
  </conditionalFormatting>
  <conditionalFormatting sqref="C57">
    <cfRule type="cellIs" dxfId="2386" priority="1026" stopIfTrue="1" operator="equal">
      <formula>"Napkin Hs"</formula>
    </cfRule>
  </conditionalFormatting>
  <conditionalFormatting sqref="C57">
    <cfRule type="cellIs" dxfId="2385" priority="1025" stopIfTrue="1" operator="equal">
      <formula>"Napkin Hs"</formula>
    </cfRule>
  </conditionalFormatting>
  <conditionalFormatting sqref="C56">
    <cfRule type="cellIs" dxfId="2384" priority="1024" stopIfTrue="1" operator="equal">
      <formula>"Napkin Hs"</formula>
    </cfRule>
  </conditionalFormatting>
  <conditionalFormatting sqref="C56">
    <cfRule type="cellIs" dxfId="2383" priority="1023" stopIfTrue="1" operator="equal">
      <formula>"Napkin Hs"</formula>
    </cfRule>
  </conditionalFormatting>
  <conditionalFormatting sqref="C56">
    <cfRule type="cellIs" dxfId="2382" priority="1022" stopIfTrue="1" operator="equal">
      <formula>"Napkin Hs"</formula>
    </cfRule>
  </conditionalFormatting>
  <conditionalFormatting sqref="C56">
    <cfRule type="cellIs" dxfId="2381" priority="1021" stopIfTrue="1" operator="equal">
      <formula>"Napkin Hs"</formula>
    </cfRule>
  </conditionalFormatting>
  <conditionalFormatting sqref="B63:C63">
    <cfRule type="cellIs" dxfId="2380" priority="1019" stopIfTrue="1" operator="equal">
      <formula>"Towel"</formula>
    </cfRule>
    <cfRule type="cellIs" dxfId="2379" priority="1020" stopIfTrue="1" operator="equal">
      <formula>"Napkin Hs"</formula>
    </cfRule>
  </conditionalFormatting>
  <conditionalFormatting sqref="C63">
    <cfRule type="cellIs" dxfId="2378" priority="1017" stopIfTrue="1" operator="equal">
      <formula>"Towel"</formula>
    </cfRule>
    <cfRule type="cellIs" dxfId="2377" priority="1018" stopIfTrue="1" operator="equal">
      <formula>"Napkin Hs"</formula>
    </cfRule>
  </conditionalFormatting>
  <conditionalFormatting sqref="C63">
    <cfRule type="cellIs" dxfId="2376" priority="1015" stopIfTrue="1" operator="equal">
      <formula>"Towel"</formula>
    </cfRule>
    <cfRule type="cellIs" dxfId="2375" priority="1016" stopIfTrue="1" operator="equal">
      <formula>"Napkin Hs"</formula>
    </cfRule>
  </conditionalFormatting>
  <conditionalFormatting sqref="B62:C62">
    <cfRule type="cellIs" dxfId="2374" priority="1013" stopIfTrue="1" operator="equal">
      <formula>"Towel"</formula>
    </cfRule>
    <cfRule type="cellIs" dxfId="2373" priority="1014" stopIfTrue="1" operator="equal">
      <formula>"Napkin Hs"</formula>
    </cfRule>
  </conditionalFormatting>
  <conditionalFormatting sqref="C62">
    <cfRule type="cellIs" dxfId="2372" priority="1012" stopIfTrue="1" operator="equal">
      <formula>"Napkin Hs"</formula>
    </cfRule>
  </conditionalFormatting>
  <conditionalFormatting sqref="C62">
    <cfRule type="cellIs" dxfId="2371" priority="1011" stopIfTrue="1" operator="equal">
      <formula>"Towel"</formula>
    </cfRule>
  </conditionalFormatting>
  <conditionalFormatting sqref="B62:C62">
    <cfRule type="cellIs" dxfId="2370" priority="1009" stopIfTrue="1" operator="equal">
      <formula>"Towel"</formula>
    </cfRule>
    <cfRule type="cellIs" dxfId="2369" priority="1010" stopIfTrue="1" operator="equal">
      <formula>"Napkin Hs"</formula>
    </cfRule>
  </conditionalFormatting>
  <conditionalFormatting sqref="C62">
    <cfRule type="cellIs" dxfId="2368" priority="1008" stopIfTrue="1" operator="equal">
      <formula>"Napkin Hs"</formula>
    </cfRule>
  </conditionalFormatting>
  <conditionalFormatting sqref="C62">
    <cfRule type="cellIs" dxfId="2367" priority="1005" stopIfTrue="1" operator="equal">
      <formula>"Towel"</formula>
    </cfRule>
    <cfRule type="cellIs" dxfId="2366" priority="1006" stopIfTrue="1" operator="equal">
      <formula>"Napkin Hs"</formula>
    </cfRule>
  </conditionalFormatting>
  <conditionalFormatting sqref="C62">
    <cfRule type="cellIs" dxfId="2365" priority="1007" stopIfTrue="1" operator="equal">
      <formula>"Towel"</formula>
    </cfRule>
  </conditionalFormatting>
  <conditionalFormatting sqref="C62">
    <cfRule type="cellIs" dxfId="2364" priority="1003" stopIfTrue="1" operator="equal">
      <formula>"Towel"</formula>
    </cfRule>
    <cfRule type="cellIs" dxfId="2363" priority="1004" stopIfTrue="1" operator="equal">
      <formula>"Napkin Hs"</formula>
    </cfRule>
  </conditionalFormatting>
  <conditionalFormatting sqref="C61">
    <cfRule type="cellIs" dxfId="2362" priority="1002" stopIfTrue="1" operator="equal">
      <formula>"Napkin Hs"</formula>
    </cfRule>
  </conditionalFormatting>
  <conditionalFormatting sqref="C61">
    <cfRule type="cellIs" dxfId="2361" priority="1001" stopIfTrue="1" operator="equal">
      <formula>"Napkin Hs"</formula>
    </cfRule>
  </conditionalFormatting>
  <conditionalFormatting sqref="C61">
    <cfRule type="cellIs" dxfId="2360" priority="1000" stopIfTrue="1" operator="equal">
      <formula>"Napkin Hs"</formula>
    </cfRule>
  </conditionalFormatting>
  <conditionalFormatting sqref="C61">
    <cfRule type="cellIs" dxfId="2359" priority="999" stopIfTrue="1" operator="equal">
      <formula>"Napkin Hs"</formula>
    </cfRule>
  </conditionalFormatting>
  <conditionalFormatting sqref="C60">
    <cfRule type="cellIs" dxfId="2358" priority="994" stopIfTrue="1" operator="equal">
      <formula>"Napkin Hs"</formula>
    </cfRule>
  </conditionalFormatting>
  <conditionalFormatting sqref="C60">
    <cfRule type="cellIs" dxfId="2357" priority="993" stopIfTrue="1" operator="equal">
      <formula>"Napkin Hs"</formula>
    </cfRule>
  </conditionalFormatting>
  <conditionalFormatting sqref="C60">
    <cfRule type="cellIs" dxfId="2356" priority="992" stopIfTrue="1" operator="equal">
      <formula>"Napkin Hs"</formula>
    </cfRule>
  </conditionalFormatting>
  <conditionalFormatting sqref="C60">
    <cfRule type="cellIs" dxfId="2355" priority="991" stopIfTrue="1" operator="equal">
      <formula>"Napkin Hs"</formula>
    </cfRule>
  </conditionalFormatting>
  <conditionalFormatting sqref="B66:C66">
    <cfRule type="cellIs" dxfId="2354" priority="989" stopIfTrue="1" operator="equal">
      <formula>"Towel"</formula>
    </cfRule>
    <cfRule type="cellIs" dxfId="2353" priority="990" stopIfTrue="1" operator="equal">
      <formula>"Napkin Hs"</formula>
    </cfRule>
  </conditionalFormatting>
  <conditionalFormatting sqref="C66">
    <cfRule type="cellIs" dxfId="2352" priority="988" stopIfTrue="1" operator="equal">
      <formula>"Napkin Hs"</formula>
    </cfRule>
  </conditionalFormatting>
  <conditionalFormatting sqref="C66">
    <cfRule type="cellIs" dxfId="2351" priority="987" stopIfTrue="1" operator="equal">
      <formula>"Towel"</formula>
    </cfRule>
  </conditionalFormatting>
  <conditionalFormatting sqref="B66:C66">
    <cfRule type="cellIs" dxfId="2350" priority="985" stopIfTrue="1" operator="equal">
      <formula>"Towel"</formula>
    </cfRule>
    <cfRule type="cellIs" dxfId="2349" priority="986" stopIfTrue="1" operator="equal">
      <formula>"Napkin Hs"</formula>
    </cfRule>
  </conditionalFormatting>
  <conditionalFormatting sqref="C66">
    <cfRule type="cellIs" dxfId="2348" priority="984" stopIfTrue="1" operator="equal">
      <formula>"Napkin Hs"</formula>
    </cfRule>
  </conditionalFormatting>
  <conditionalFormatting sqref="C66">
    <cfRule type="cellIs" dxfId="2347" priority="981" stopIfTrue="1" operator="equal">
      <formula>"Towel"</formula>
    </cfRule>
    <cfRule type="cellIs" dxfId="2346" priority="982" stopIfTrue="1" operator="equal">
      <formula>"Napkin Hs"</formula>
    </cfRule>
  </conditionalFormatting>
  <conditionalFormatting sqref="C66">
    <cfRule type="cellIs" dxfId="2345" priority="983" stopIfTrue="1" operator="equal">
      <formula>"Towel"</formula>
    </cfRule>
  </conditionalFormatting>
  <conditionalFormatting sqref="C66">
    <cfRule type="cellIs" dxfId="2344" priority="979" stopIfTrue="1" operator="equal">
      <formula>"Towel"</formula>
    </cfRule>
    <cfRule type="cellIs" dxfId="2343" priority="980" stopIfTrue="1" operator="equal">
      <formula>"Napkin Hs"</formula>
    </cfRule>
  </conditionalFormatting>
  <conditionalFormatting sqref="C65">
    <cfRule type="cellIs" dxfId="2342" priority="978" stopIfTrue="1" operator="equal">
      <formula>"Napkin Hs"</formula>
    </cfRule>
  </conditionalFormatting>
  <conditionalFormatting sqref="C65">
    <cfRule type="cellIs" dxfId="2341" priority="977" stopIfTrue="1" operator="equal">
      <formula>"Napkin Hs"</formula>
    </cfRule>
  </conditionalFormatting>
  <conditionalFormatting sqref="C65">
    <cfRule type="cellIs" dxfId="2340" priority="976" stopIfTrue="1" operator="equal">
      <formula>"Napkin Hs"</formula>
    </cfRule>
  </conditionalFormatting>
  <conditionalFormatting sqref="C65">
    <cfRule type="cellIs" dxfId="2339" priority="975" stopIfTrue="1" operator="equal">
      <formula>"Napkin Hs"</formula>
    </cfRule>
  </conditionalFormatting>
  <conditionalFormatting sqref="B70:C70">
    <cfRule type="cellIs" dxfId="2338" priority="969" stopIfTrue="1" operator="equal">
      <formula>"Towel"</formula>
    </cfRule>
    <cfRule type="cellIs" dxfId="2337" priority="970" stopIfTrue="1" operator="equal">
      <formula>"Napkin Hs"</formula>
    </cfRule>
  </conditionalFormatting>
  <conditionalFormatting sqref="C70">
    <cfRule type="cellIs" dxfId="2336" priority="968" stopIfTrue="1" operator="equal">
      <formula>"Napkin Hs"</formula>
    </cfRule>
  </conditionalFormatting>
  <conditionalFormatting sqref="C70">
    <cfRule type="cellIs" dxfId="2335" priority="967" stopIfTrue="1" operator="equal">
      <formula>"Towel"</formula>
    </cfRule>
  </conditionalFormatting>
  <conditionalFormatting sqref="B70:C70">
    <cfRule type="cellIs" dxfId="2334" priority="965" stopIfTrue="1" operator="equal">
      <formula>"Towel"</formula>
    </cfRule>
    <cfRule type="cellIs" dxfId="2333" priority="966" stopIfTrue="1" operator="equal">
      <formula>"Napkin Hs"</formula>
    </cfRule>
  </conditionalFormatting>
  <conditionalFormatting sqref="C70">
    <cfRule type="cellIs" dxfId="2332" priority="964" stopIfTrue="1" operator="equal">
      <formula>"Napkin Hs"</formula>
    </cfRule>
  </conditionalFormatting>
  <conditionalFormatting sqref="C70">
    <cfRule type="cellIs" dxfId="2331" priority="961" stopIfTrue="1" operator="equal">
      <formula>"Towel"</formula>
    </cfRule>
    <cfRule type="cellIs" dxfId="2330" priority="962" stopIfTrue="1" operator="equal">
      <formula>"Napkin Hs"</formula>
    </cfRule>
  </conditionalFormatting>
  <conditionalFormatting sqref="C70">
    <cfRule type="cellIs" dxfId="2329" priority="963" stopIfTrue="1" operator="equal">
      <formula>"Towel"</formula>
    </cfRule>
  </conditionalFormatting>
  <conditionalFormatting sqref="C70">
    <cfRule type="cellIs" dxfId="2328" priority="959" stopIfTrue="1" operator="equal">
      <formula>"Towel"</formula>
    </cfRule>
    <cfRule type="cellIs" dxfId="2327" priority="960" stopIfTrue="1" operator="equal">
      <formula>"Napkin Hs"</formula>
    </cfRule>
  </conditionalFormatting>
  <conditionalFormatting sqref="C69">
    <cfRule type="cellIs" dxfId="2326" priority="958" stopIfTrue="1" operator="equal">
      <formula>"Napkin Hs"</formula>
    </cfRule>
  </conditionalFormatting>
  <conditionalFormatting sqref="C69">
    <cfRule type="cellIs" dxfId="2325" priority="957" stopIfTrue="1" operator="equal">
      <formula>"Napkin Hs"</formula>
    </cfRule>
  </conditionalFormatting>
  <conditionalFormatting sqref="C69">
    <cfRule type="cellIs" dxfId="2324" priority="956" stopIfTrue="1" operator="equal">
      <formula>"Napkin Hs"</formula>
    </cfRule>
  </conditionalFormatting>
  <conditionalFormatting sqref="C69">
    <cfRule type="cellIs" dxfId="2323" priority="955" stopIfTrue="1" operator="equal">
      <formula>"Napkin Hs"</formula>
    </cfRule>
  </conditionalFormatting>
  <conditionalFormatting sqref="C64">
    <cfRule type="cellIs" dxfId="2322" priority="950" stopIfTrue="1" operator="equal">
      <formula>"Napkin Hs"</formula>
    </cfRule>
  </conditionalFormatting>
  <conditionalFormatting sqref="C64">
    <cfRule type="cellIs" dxfId="2321" priority="949" stopIfTrue="1" operator="equal">
      <formula>"Napkin Hs"</formula>
    </cfRule>
  </conditionalFormatting>
  <conditionalFormatting sqref="C64">
    <cfRule type="cellIs" dxfId="2320" priority="948" stopIfTrue="1" operator="equal">
      <formula>"Napkin Hs"</formula>
    </cfRule>
  </conditionalFormatting>
  <conditionalFormatting sqref="C64">
    <cfRule type="cellIs" dxfId="2319" priority="947" stopIfTrue="1" operator="equal">
      <formula>"Napkin Hs"</formula>
    </cfRule>
  </conditionalFormatting>
  <conditionalFormatting sqref="C68">
    <cfRule type="cellIs" dxfId="2318" priority="946" stopIfTrue="1" operator="equal">
      <formula>"Napkin Hs"</formula>
    </cfRule>
  </conditionalFormatting>
  <conditionalFormatting sqref="C68">
    <cfRule type="cellIs" dxfId="2317" priority="945" stopIfTrue="1" operator="equal">
      <formula>"Napkin Hs"</formula>
    </cfRule>
  </conditionalFormatting>
  <conditionalFormatting sqref="C68">
    <cfRule type="cellIs" dxfId="2316" priority="944" stopIfTrue="1" operator="equal">
      <formula>"Napkin Hs"</formula>
    </cfRule>
  </conditionalFormatting>
  <conditionalFormatting sqref="C68">
    <cfRule type="cellIs" dxfId="2315" priority="943" stopIfTrue="1" operator="equal">
      <formula>"Napkin Hs"</formula>
    </cfRule>
  </conditionalFormatting>
  <conditionalFormatting sqref="B74:C74">
    <cfRule type="cellIs" dxfId="2314" priority="941" stopIfTrue="1" operator="equal">
      <formula>"Towel"</formula>
    </cfRule>
    <cfRule type="cellIs" dxfId="2313" priority="942" stopIfTrue="1" operator="equal">
      <formula>"Napkin Hs"</formula>
    </cfRule>
  </conditionalFormatting>
  <conditionalFormatting sqref="C74">
    <cfRule type="cellIs" dxfId="2312" priority="940" stopIfTrue="1" operator="equal">
      <formula>"Napkin Hs"</formula>
    </cfRule>
  </conditionalFormatting>
  <conditionalFormatting sqref="C74">
    <cfRule type="cellIs" dxfId="2311" priority="939" stopIfTrue="1" operator="equal">
      <formula>"Towel"</formula>
    </cfRule>
  </conditionalFormatting>
  <conditionalFormatting sqref="B74:C74">
    <cfRule type="cellIs" dxfId="2310" priority="937" stopIfTrue="1" operator="equal">
      <formula>"Towel"</formula>
    </cfRule>
    <cfRule type="cellIs" dxfId="2309" priority="938" stopIfTrue="1" operator="equal">
      <formula>"Napkin Hs"</formula>
    </cfRule>
  </conditionalFormatting>
  <conditionalFormatting sqref="C74">
    <cfRule type="cellIs" dxfId="2308" priority="936" stopIfTrue="1" operator="equal">
      <formula>"Napkin Hs"</formula>
    </cfRule>
  </conditionalFormatting>
  <conditionalFormatting sqref="C74">
    <cfRule type="cellIs" dxfId="2307" priority="933" stopIfTrue="1" operator="equal">
      <formula>"Towel"</formula>
    </cfRule>
    <cfRule type="cellIs" dxfId="2306" priority="934" stopIfTrue="1" operator="equal">
      <formula>"Napkin Hs"</formula>
    </cfRule>
  </conditionalFormatting>
  <conditionalFormatting sqref="C74">
    <cfRule type="cellIs" dxfId="2305" priority="935" stopIfTrue="1" operator="equal">
      <formula>"Towel"</formula>
    </cfRule>
  </conditionalFormatting>
  <conditionalFormatting sqref="C74">
    <cfRule type="cellIs" dxfId="2304" priority="931" stopIfTrue="1" operator="equal">
      <formula>"Towel"</formula>
    </cfRule>
    <cfRule type="cellIs" dxfId="2303" priority="932" stopIfTrue="1" operator="equal">
      <formula>"Napkin Hs"</formula>
    </cfRule>
  </conditionalFormatting>
  <conditionalFormatting sqref="C73">
    <cfRule type="cellIs" dxfId="2302" priority="930" stopIfTrue="1" operator="equal">
      <formula>"Napkin Hs"</formula>
    </cfRule>
  </conditionalFormatting>
  <conditionalFormatting sqref="C73">
    <cfRule type="cellIs" dxfId="2301" priority="929" stopIfTrue="1" operator="equal">
      <formula>"Napkin Hs"</formula>
    </cfRule>
  </conditionalFormatting>
  <conditionalFormatting sqref="C73">
    <cfRule type="cellIs" dxfId="2300" priority="928" stopIfTrue="1" operator="equal">
      <formula>"Napkin Hs"</formula>
    </cfRule>
  </conditionalFormatting>
  <conditionalFormatting sqref="C73">
    <cfRule type="cellIs" dxfId="2299" priority="927" stopIfTrue="1" operator="equal">
      <formula>"Napkin Hs"</formula>
    </cfRule>
  </conditionalFormatting>
  <conditionalFormatting sqref="C72">
    <cfRule type="cellIs" dxfId="2298" priority="926" stopIfTrue="1" operator="equal">
      <formula>"Napkin Hs"</formula>
    </cfRule>
  </conditionalFormatting>
  <conditionalFormatting sqref="C72">
    <cfRule type="cellIs" dxfId="2297" priority="925" stopIfTrue="1" operator="equal">
      <formula>"Napkin Hs"</formula>
    </cfRule>
  </conditionalFormatting>
  <conditionalFormatting sqref="C72">
    <cfRule type="cellIs" dxfId="2296" priority="924" stopIfTrue="1" operator="equal">
      <formula>"Napkin Hs"</formula>
    </cfRule>
  </conditionalFormatting>
  <conditionalFormatting sqref="C72">
    <cfRule type="cellIs" dxfId="2295" priority="923" stopIfTrue="1" operator="equal">
      <formula>"Napkin Hs"</formula>
    </cfRule>
  </conditionalFormatting>
  <conditionalFormatting sqref="B78:C78">
    <cfRule type="cellIs" dxfId="2294" priority="921" stopIfTrue="1" operator="equal">
      <formula>"Towel"</formula>
    </cfRule>
    <cfRule type="cellIs" dxfId="2293" priority="922" stopIfTrue="1" operator="equal">
      <formula>"Napkin Hs"</formula>
    </cfRule>
  </conditionalFormatting>
  <conditionalFormatting sqref="C78">
    <cfRule type="cellIs" dxfId="2292" priority="920" stopIfTrue="1" operator="equal">
      <formula>"Napkin Hs"</formula>
    </cfRule>
  </conditionalFormatting>
  <conditionalFormatting sqref="C78">
    <cfRule type="cellIs" dxfId="2291" priority="919" stopIfTrue="1" operator="equal">
      <formula>"Towel"</formula>
    </cfRule>
  </conditionalFormatting>
  <conditionalFormatting sqref="B78:C78">
    <cfRule type="cellIs" dxfId="2290" priority="917" stopIfTrue="1" operator="equal">
      <formula>"Towel"</formula>
    </cfRule>
    <cfRule type="cellIs" dxfId="2289" priority="918" stopIfTrue="1" operator="equal">
      <formula>"Napkin Hs"</formula>
    </cfRule>
  </conditionalFormatting>
  <conditionalFormatting sqref="C78">
    <cfRule type="cellIs" dxfId="2288" priority="916" stopIfTrue="1" operator="equal">
      <formula>"Napkin Hs"</formula>
    </cfRule>
  </conditionalFormatting>
  <conditionalFormatting sqref="C78">
    <cfRule type="cellIs" dxfId="2287" priority="913" stopIfTrue="1" operator="equal">
      <formula>"Towel"</formula>
    </cfRule>
    <cfRule type="cellIs" dxfId="2286" priority="914" stopIfTrue="1" operator="equal">
      <formula>"Napkin Hs"</formula>
    </cfRule>
  </conditionalFormatting>
  <conditionalFormatting sqref="C78">
    <cfRule type="cellIs" dxfId="2285" priority="915" stopIfTrue="1" operator="equal">
      <formula>"Towel"</formula>
    </cfRule>
  </conditionalFormatting>
  <conditionalFormatting sqref="C78">
    <cfRule type="cellIs" dxfId="2284" priority="911" stopIfTrue="1" operator="equal">
      <formula>"Towel"</formula>
    </cfRule>
    <cfRule type="cellIs" dxfId="2283" priority="912" stopIfTrue="1" operator="equal">
      <formula>"Napkin Hs"</formula>
    </cfRule>
  </conditionalFormatting>
  <conditionalFormatting sqref="C76:C77">
    <cfRule type="cellIs" dxfId="2282" priority="906" stopIfTrue="1" operator="equal">
      <formula>"Napkin Hs"</formula>
    </cfRule>
  </conditionalFormatting>
  <conditionalFormatting sqref="C76:C77">
    <cfRule type="cellIs" dxfId="2281" priority="905" stopIfTrue="1" operator="equal">
      <formula>"Napkin Hs"</formula>
    </cfRule>
  </conditionalFormatting>
  <conditionalFormatting sqref="C76:C77">
    <cfRule type="cellIs" dxfId="2280" priority="904" stopIfTrue="1" operator="equal">
      <formula>"Napkin Hs"</formula>
    </cfRule>
  </conditionalFormatting>
  <conditionalFormatting sqref="C76:C77">
    <cfRule type="cellIs" dxfId="2279" priority="903" stopIfTrue="1" operator="equal">
      <formula>"Napkin Hs"</formula>
    </cfRule>
  </conditionalFormatting>
  <conditionalFormatting sqref="B84">
    <cfRule type="cellIs" dxfId="2278" priority="899" stopIfTrue="1" operator="equal">
      <formula>"Towel"</formula>
    </cfRule>
    <cfRule type="cellIs" dxfId="2277" priority="900" stopIfTrue="1" operator="equal">
      <formula>"Napkin Hs"</formula>
    </cfRule>
  </conditionalFormatting>
  <conditionalFormatting sqref="B84">
    <cfRule type="cellIs" dxfId="2276" priority="901" stopIfTrue="1" operator="equal">
      <formula>"Towel"</formula>
    </cfRule>
    <cfRule type="cellIs" dxfId="2275" priority="902" stopIfTrue="1" operator="equal">
      <formula>"Napkin Hs"</formula>
    </cfRule>
  </conditionalFormatting>
  <conditionalFormatting sqref="B91:C91">
    <cfRule type="cellIs" dxfId="2274" priority="897" stopIfTrue="1" operator="equal">
      <formula>"Towel"</formula>
    </cfRule>
    <cfRule type="cellIs" dxfId="2273" priority="898" stopIfTrue="1" operator="equal">
      <formula>"Napkin Hs"</formula>
    </cfRule>
  </conditionalFormatting>
  <conditionalFormatting sqref="C91">
    <cfRule type="cellIs" dxfId="2272" priority="896" stopIfTrue="1" operator="equal">
      <formula>"Napkin Hs"</formula>
    </cfRule>
  </conditionalFormatting>
  <conditionalFormatting sqref="C91">
    <cfRule type="cellIs" dxfId="2271" priority="895" stopIfTrue="1" operator="equal">
      <formula>"Towel"</formula>
    </cfRule>
  </conditionalFormatting>
  <conditionalFormatting sqref="C91">
    <cfRule type="cellIs" dxfId="2270" priority="893" stopIfTrue="1" operator="equal">
      <formula>"Towel"</formula>
    </cfRule>
    <cfRule type="cellIs" dxfId="2269" priority="894" stopIfTrue="1" operator="equal">
      <formula>"Napkin Hs"</formula>
    </cfRule>
  </conditionalFormatting>
  <conditionalFormatting sqref="C88">
    <cfRule type="cellIs" dxfId="2268" priority="887" stopIfTrue="1" operator="equal">
      <formula>"Towel"</formula>
    </cfRule>
    <cfRule type="cellIs" dxfId="2267" priority="888" stopIfTrue="1" operator="equal">
      <formula>"Napkin Hs"</formula>
    </cfRule>
  </conditionalFormatting>
  <conditionalFormatting sqref="C88">
    <cfRule type="cellIs" dxfId="2266" priority="881" stopIfTrue="1" operator="equal">
      <formula>"Towel"</formula>
    </cfRule>
    <cfRule type="cellIs" dxfId="2265" priority="882" stopIfTrue="1" operator="equal">
      <formula>"Napkin Hs"</formula>
    </cfRule>
  </conditionalFormatting>
  <conditionalFormatting sqref="C88">
    <cfRule type="cellIs" dxfId="2264" priority="891" stopIfTrue="1" operator="equal">
      <formula>"Towel"</formula>
    </cfRule>
    <cfRule type="cellIs" dxfId="2263" priority="892" stopIfTrue="1" operator="equal">
      <formula>"Napkin Hs"</formula>
    </cfRule>
  </conditionalFormatting>
  <conditionalFormatting sqref="C88">
    <cfRule type="cellIs" dxfId="2262" priority="890" stopIfTrue="1" operator="equal">
      <formula>"Napkin Hs"</formula>
    </cfRule>
  </conditionalFormatting>
  <conditionalFormatting sqref="C88">
    <cfRule type="cellIs" dxfId="2261" priority="889" stopIfTrue="1" operator="equal">
      <formula>"Towel"</formula>
    </cfRule>
  </conditionalFormatting>
  <conditionalFormatting sqref="C88">
    <cfRule type="cellIs" dxfId="2260" priority="885" stopIfTrue="1" operator="equal">
      <formula>"Towel"</formula>
    </cfRule>
    <cfRule type="cellIs" dxfId="2259" priority="886" stopIfTrue="1" operator="equal">
      <formula>"Napkin Hs"</formula>
    </cfRule>
  </conditionalFormatting>
  <conditionalFormatting sqref="C88">
    <cfRule type="cellIs" dxfId="2258" priority="884" stopIfTrue="1" operator="equal">
      <formula>"Napkin Hs"</formula>
    </cfRule>
  </conditionalFormatting>
  <conditionalFormatting sqref="C88">
    <cfRule type="cellIs" dxfId="2257" priority="883" stopIfTrue="1" operator="equal">
      <formula>"Towel"</formula>
    </cfRule>
  </conditionalFormatting>
  <conditionalFormatting sqref="B89:C89">
    <cfRule type="cellIs" dxfId="2256" priority="879" stopIfTrue="1" operator="equal">
      <formula>"Towel"</formula>
    </cfRule>
    <cfRule type="cellIs" dxfId="2255" priority="880" stopIfTrue="1" operator="equal">
      <formula>"Napkin Hs"</formula>
    </cfRule>
  </conditionalFormatting>
  <conditionalFormatting sqref="C89">
    <cfRule type="cellIs" dxfId="2254" priority="877" stopIfTrue="1" operator="equal">
      <formula>"Towel"</formula>
    </cfRule>
    <cfRule type="cellIs" dxfId="2253" priority="878" stopIfTrue="1" operator="equal">
      <formula>"Napkin Hs"</formula>
    </cfRule>
  </conditionalFormatting>
  <conditionalFormatting sqref="C89">
    <cfRule type="cellIs" dxfId="2252" priority="875" stopIfTrue="1" operator="equal">
      <formula>"Towel"</formula>
    </cfRule>
    <cfRule type="cellIs" dxfId="2251" priority="876" stopIfTrue="1" operator="equal">
      <formula>"Napkin Hs"</formula>
    </cfRule>
  </conditionalFormatting>
  <conditionalFormatting sqref="C89">
    <cfRule type="cellIs" dxfId="2250" priority="869" stopIfTrue="1" operator="equal">
      <formula>"Towel"</formula>
    </cfRule>
    <cfRule type="cellIs" dxfId="2249" priority="870" stopIfTrue="1" operator="equal">
      <formula>"Napkin Hs"</formula>
    </cfRule>
  </conditionalFormatting>
  <conditionalFormatting sqref="B89">
    <cfRule type="cellIs" dxfId="2248" priority="859" stopIfTrue="1" operator="equal">
      <formula>"Towel"</formula>
    </cfRule>
    <cfRule type="cellIs" dxfId="2247" priority="860" stopIfTrue="1" operator="equal">
      <formula>"Napkin Hs"</formula>
    </cfRule>
  </conditionalFormatting>
  <conditionalFormatting sqref="C89">
    <cfRule type="cellIs" dxfId="2246" priority="863" stopIfTrue="1" operator="equal">
      <formula>"Towel"</formula>
    </cfRule>
    <cfRule type="cellIs" dxfId="2245" priority="864" stopIfTrue="1" operator="equal">
      <formula>"Napkin Hs"</formula>
    </cfRule>
  </conditionalFormatting>
  <conditionalFormatting sqref="C89">
    <cfRule type="cellIs" dxfId="2244" priority="873" stopIfTrue="1" operator="equal">
      <formula>"Towel"</formula>
    </cfRule>
    <cfRule type="cellIs" dxfId="2243" priority="874" stopIfTrue="1" operator="equal">
      <formula>"Napkin Hs"</formula>
    </cfRule>
  </conditionalFormatting>
  <conditionalFormatting sqref="B89">
    <cfRule type="cellIs" dxfId="2242" priority="861" stopIfTrue="1" operator="equal">
      <formula>"Towel"</formula>
    </cfRule>
    <cfRule type="cellIs" dxfId="2241" priority="862" stopIfTrue="1" operator="equal">
      <formula>"Napkin Hs"</formula>
    </cfRule>
  </conditionalFormatting>
  <conditionalFormatting sqref="C89">
    <cfRule type="cellIs" dxfId="2240" priority="872" stopIfTrue="1" operator="equal">
      <formula>"Napkin Hs"</formula>
    </cfRule>
  </conditionalFormatting>
  <conditionalFormatting sqref="C89">
    <cfRule type="cellIs" dxfId="2239" priority="871" stopIfTrue="1" operator="equal">
      <formula>"Towel"</formula>
    </cfRule>
  </conditionalFormatting>
  <conditionalFormatting sqref="C89">
    <cfRule type="cellIs" dxfId="2238" priority="867" stopIfTrue="1" operator="equal">
      <formula>"Towel"</formula>
    </cfRule>
    <cfRule type="cellIs" dxfId="2237" priority="868" stopIfTrue="1" operator="equal">
      <formula>"Napkin Hs"</formula>
    </cfRule>
  </conditionalFormatting>
  <conditionalFormatting sqref="C89">
    <cfRule type="cellIs" dxfId="2236" priority="866" stopIfTrue="1" operator="equal">
      <formula>"Napkin Hs"</formula>
    </cfRule>
  </conditionalFormatting>
  <conditionalFormatting sqref="C89">
    <cfRule type="cellIs" dxfId="2235" priority="865" stopIfTrue="1" operator="equal">
      <formula>"Towel"</formula>
    </cfRule>
  </conditionalFormatting>
  <conditionalFormatting sqref="B90:C90">
    <cfRule type="cellIs" dxfId="2234" priority="857" stopIfTrue="1" operator="equal">
      <formula>"Towel"</formula>
    </cfRule>
    <cfRule type="cellIs" dxfId="2233" priority="858" stopIfTrue="1" operator="equal">
      <formula>"Napkin Hs"</formula>
    </cfRule>
  </conditionalFormatting>
  <conditionalFormatting sqref="C90">
    <cfRule type="cellIs" dxfId="2232" priority="855" stopIfTrue="1" operator="equal">
      <formula>"Towel"</formula>
    </cfRule>
    <cfRule type="cellIs" dxfId="2231" priority="856" stopIfTrue="1" operator="equal">
      <formula>"Napkin Hs"</formula>
    </cfRule>
  </conditionalFormatting>
  <conditionalFormatting sqref="C90">
    <cfRule type="cellIs" dxfId="2230" priority="853" stopIfTrue="1" operator="equal">
      <formula>"Towel"</formula>
    </cfRule>
    <cfRule type="cellIs" dxfId="2229" priority="854" stopIfTrue="1" operator="equal">
      <formula>"Napkin Hs"</formula>
    </cfRule>
  </conditionalFormatting>
  <conditionalFormatting sqref="C90">
    <cfRule type="cellIs" dxfId="2228" priority="847" stopIfTrue="1" operator="equal">
      <formula>"Towel"</formula>
    </cfRule>
    <cfRule type="cellIs" dxfId="2227" priority="848" stopIfTrue="1" operator="equal">
      <formula>"Napkin Hs"</formula>
    </cfRule>
  </conditionalFormatting>
  <conditionalFormatting sqref="B90">
    <cfRule type="cellIs" dxfId="2226" priority="837" stopIfTrue="1" operator="equal">
      <formula>"Towel"</formula>
    </cfRule>
    <cfRule type="cellIs" dxfId="2225" priority="838" stopIfTrue="1" operator="equal">
      <formula>"Napkin Hs"</formula>
    </cfRule>
  </conditionalFormatting>
  <conditionalFormatting sqref="C90">
    <cfRule type="cellIs" dxfId="2224" priority="841" stopIfTrue="1" operator="equal">
      <formula>"Towel"</formula>
    </cfRule>
    <cfRule type="cellIs" dxfId="2223" priority="842" stopIfTrue="1" operator="equal">
      <formula>"Napkin Hs"</formula>
    </cfRule>
  </conditionalFormatting>
  <conditionalFormatting sqref="C90">
    <cfRule type="cellIs" dxfId="2222" priority="851" stopIfTrue="1" operator="equal">
      <formula>"Towel"</formula>
    </cfRule>
    <cfRule type="cellIs" dxfId="2221" priority="852" stopIfTrue="1" operator="equal">
      <formula>"Napkin Hs"</formula>
    </cfRule>
  </conditionalFormatting>
  <conditionalFormatting sqref="B90">
    <cfRule type="cellIs" dxfId="2220" priority="839" stopIfTrue="1" operator="equal">
      <formula>"Towel"</formula>
    </cfRule>
    <cfRule type="cellIs" dxfId="2219" priority="840" stopIfTrue="1" operator="equal">
      <formula>"Napkin Hs"</formula>
    </cfRule>
  </conditionalFormatting>
  <conditionalFormatting sqref="C90">
    <cfRule type="cellIs" dxfId="2218" priority="850" stopIfTrue="1" operator="equal">
      <formula>"Napkin Hs"</formula>
    </cfRule>
  </conditionalFormatting>
  <conditionalFormatting sqref="C90">
    <cfRule type="cellIs" dxfId="2217" priority="849" stopIfTrue="1" operator="equal">
      <formula>"Towel"</formula>
    </cfRule>
  </conditionalFormatting>
  <conditionalFormatting sqref="C90">
    <cfRule type="cellIs" dxfId="2216" priority="845" stopIfTrue="1" operator="equal">
      <formula>"Towel"</formula>
    </cfRule>
    <cfRule type="cellIs" dxfId="2215" priority="846" stopIfTrue="1" operator="equal">
      <formula>"Napkin Hs"</formula>
    </cfRule>
  </conditionalFormatting>
  <conditionalFormatting sqref="C90">
    <cfRule type="cellIs" dxfId="2214" priority="844" stopIfTrue="1" operator="equal">
      <formula>"Napkin Hs"</formula>
    </cfRule>
  </conditionalFormatting>
  <conditionalFormatting sqref="C90">
    <cfRule type="cellIs" dxfId="2213" priority="843" stopIfTrue="1" operator="equal">
      <formula>"Towel"</formula>
    </cfRule>
  </conditionalFormatting>
  <conditionalFormatting sqref="B88">
    <cfRule type="cellIs" dxfId="2212" priority="833" stopIfTrue="1" operator="equal">
      <formula>"Towel"</formula>
    </cfRule>
    <cfRule type="cellIs" dxfId="2211" priority="834" stopIfTrue="1" operator="equal">
      <formula>"Napkin Hs"</formula>
    </cfRule>
  </conditionalFormatting>
  <conditionalFormatting sqref="B88">
    <cfRule type="cellIs" dxfId="2210" priority="835" stopIfTrue="1" operator="equal">
      <formula>"Towel"</formula>
    </cfRule>
    <cfRule type="cellIs" dxfId="2209" priority="836" stopIfTrue="1" operator="equal">
      <formula>"Napkin Hs"</formula>
    </cfRule>
  </conditionalFormatting>
  <conditionalFormatting sqref="B95:C95">
    <cfRule type="cellIs" dxfId="2208" priority="831" stopIfTrue="1" operator="equal">
      <formula>"Towel"</formula>
    </cfRule>
    <cfRule type="cellIs" dxfId="2207" priority="832" stopIfTrue="1" operator="equal">
      <formula>"Napkin Hs"</formula>
    </cfRule>
  </conditionalFormatting>
  <conditionalFormatting sqref="C95">
    <cfRule type="cellIs" dxfId="2206" priority="830" stopIfTrue="1" operator="equal">
      <formula>"Napkin Hs"</formula>
    </cfRule>
  </conditionalFormatting>
  <conditionalFormatting sqref="C95">
    <cfRule type="cellIs" dxfId="2205" priority="829" stopIfTrue="1" operator="equal">
      <formula>"Towel"</formula>
    </cfRule>
  </conditionalFormatting>
  <conditionalFormatting sqref="C95">
    <cfRule type="cellIs" dxfId="2204" priority="827" stopIfTrue="1" operator="equal">
      <formula>"Towel"</formula>
    </cfRule>
    <cfRule type="cellIs" dxfId="2203" priority="828" stopIfTrue="1" operator="equal">
      <formula>"Napkin Hs"</formula>
    </cfRule>
  </conditionalFormatting>
  <conditionalFormatting sqref="C92">
    <cfRule type="cellIs" dxfId="2202" priority="821" stopIfTrue="1" operator="equal">
      <formula>"Towel"</formula>
    </cfRule>
    <cfRule type="cellIs" dxfId="2201" priority="822" stopIfTrue="1" operator="equal">
      <formula>"Napkin Hs"</formula>
    </cfRule>
  </conditionalFormatting>
  <conditionalFormatting sqref="C92">
    <cfRule type="cellIs" dxfId="2200" priority="815" stopIfTrue="1" operator="equal">
      <formula>"Towel"</formula>
    </cfRule>
    <cfRule type="cellIs" dxfId="2199" priority="816" stopIfTrue="1" operator="equal">
      <formula>"Napkin Hs"</formula>
    </cfRule>
  </conditionalFormatting>
  <conditionalFormatting sqref="C92">
    <cfRule type="cellIs" dxfId="2198" priority="825" stopIfTrue="1" operator="equal">
      <formula>"Towel"</formula>
    </cfRule>
    <cfRule type="cellIs" dxfId="2197" priority="826" stopIfTrue="1" operator="equal">
      <formula>"Napkin Hs"</formula>
    </cfRule>
  </conditionalFormatting>
  <conditionalFormatting sqref="C92">
    <cfRule type="cellIs" dxfId="2196" priority="824" stopIfTrue="1" operator="equal">
      <formula>"Napkin Hs"</formula>
    </cfRule>
  </conditionalFormatting>
  <conditionalFormatting sqref="C92">
    <cfRule type="cellIs" dxfId="2195" priority="823" stopIfTrue="1" operator="equal">
      <formula>"Towel"</formula>
    </cfRule>
  </conditionalFormatting>
  <conditionalFormatting sqref="C92">
    <cfRule type="cellIs" dxfId="2194" priority="819" stopIfTrue="1" operator="equal">
      <formula>"Towel"</formula>
    </cfRule>
    <cfRule type="cellIs" dxfId="2193" priority="820" stopIfTrue="1" operator="equal">
      <formula>"Napkin Hs"</formula>
    </cfRule>
  </conditionalFormatting>
  <conditionalFormatting sqref="C92">
    <cfRule type="cellIs" dxfId="2192" priority="818" stopIfTrue="1" operator="equal">
      <formula>"Napkin Hs"</formula>
    </cfRule>
  </conditionalFormatting>
  <conditionalFormatting sqref="C92">
    <cfRule type="cellIs" dxfId="2191" priority="817" stopIfTrue="1" operator="equal">
      <formula>"Towel"</formula>
    </cfRule>
  </conditionalFormatting>
  <conditionalFormatting sqref="B93:C93">
    <cfRule type="cellIs" dxfId="2190" priority="813" stopIfTrue="1" operator="equal">
      <formula>"Towel"</formula>
    </cfRule>
    <cfRule type="cellIs" dxfId="2189" priority="814" stopIfTrue="1" operator="equal">
      <formula>"Napkin Hs"</formula>
    </cfRule>
  </conditionalFormatting>
  <conditionalFormatting sqref="C93">
    <cfRule type="cellIs" dxfId="2188" priority="811" stopIfTrue="1" operator="equal">
      <formula>"Towel"</formula>
    </cfRule>
    <cfRule type="cellIs" dxfId="2187" priority="812" stopIfTrue="1" operator="equal">
      <formula>"Napkin Hs"</formula>
    </cfRule>
  </conditionalFormatting>
  <conditionalFormatting sqref="C93">
    <cfRule type="cellIs" dxfId="2186" priority="809" stopIfTrue="1" operator="equal">
      <formula>"Towel"</formula>
    </cfRule>
    <cfRule type="cellIs" dxfId="2185" priority="810" stopIfTrue="1" operator="equal">
      <formula>"Napkin Hs"</formula>
    </cfRule>
  </conditionalFormatting>
  <conditionalFormatting sqref="C93">
    <cfRule type="cellIs" dxfId="2184" priority="803" stopIfTrue="1" operator="equal">
      <formula>"Towel"</formula>
    </cfRule>
    <cfRule type="cellIs" dxfId="2183" priority="804" stopIfTrue="1" operator="equal">
      <formula>"Napkin Hs"</formula>
    </cfRule>
  </conditionalFormatting>
  <conditionalFormatting sqref="B93">
    <cfRule type="cellIs" dxfId="2182" priority="793" stopIfTrue="1" operator="equal">
      <formula>"Towel"</formula>
    </cfRule>
    <cfRule type="cellIs" dxfId="2181" priority="794" stopIfTrue="1" operator="equal">
      <formula>"Napkin Hs"</formula>
    </cfRule>
  </conditionalFormatting>
  <conditionalFormatting sqref="C93">
    <cfRule type="cellIs" dxfId="2180" priority="797" stopIfTrue="1" operator="equal">
      <formula>"Towel"</formula>
    </cfRule>
    <cfRule type="cellIs" dxfId="2179" priority="798" stopIfTrue="1" operator="equal">
      <formula>"Napkin Hs"</formula>
    </cfRule>
  </conditionalFormatting>
  <conditionalFormatting sqref="C93">
    <cfRule type="cellIs" dxfId="2178" priority="807" stopIfTrue="1" operator="equal">
      <formula>"Towel"</formula>
    </cfRule>
    <cfRule type="cellIs" dxfId="2177" priority="808" stopIfTrue="1" operator="equal">
      <formula>"Napkin Hs"</formula>
    </cfRule>
  </conditionalFormatting>
  <conditionalFormatting sqref="B93">
    <cfRule type="cellIs" dxfId="2176" priority="795" stopIfTrue="1" operator="equal">
      <formula>"Towel"</formula>
    </cfRule>
    <cfRule type="cellIs" dxfId="2175" priority="796" stopIfTrue="1" operator="equal">
      <formula>"Napkin Hs"</formula>
    </cfRule>
  </conditionalFormatting>
  <conditionalFormatting sqref="C93">
    <cfRule type="cellIs" dxfId="2174" priority="806" stopIfTrue="1" operator="equal">
      <formula>"Napkin Hs"</formula>
    </cfRule>
  </conditionalFormatting>
  <conditionalFormatting sqref="C93">
    <cfRule type="cellIs" dxfId="2173" priority="805" stopIfTrue="1" operator="equal">
      <formula>"Towel"</formula>
    </cfRule>
  </conditionalFormatting>
  <conditionalFormatting sqref="C93">
    <cfRule type="cellIs" dxfId="2172" priority="801" stopIfTrue="1" operator="equal">
      <formula>"Towel"</formula>
    </cfRule>
    <cfRule type="cellIs" dxfId="2171" priority="802" stopIfTrue="1" operator="equal">
      <formula>"Napkin Hs"</formula>
    </cfRule>
  </conditionalFormatting>
  <conditionalFormatting sqref="C93">
    <cfRule type="cellIs" dxfId="2170" priority="800" stopIfTrue="1" operator="equal">
      <formula>"Napkin Hs"</formula>
    </cfRule>
  </conditionalFormatting>
  <conditionalFormatting sqref="C93">
    <cfRule type="cellIs" dxfId="2169" priority="799" stopIfTrue="1" operator="equal">
      <formula>"Towel"</formula>
    </cfRule>
  </conditionalFormatting>
  <conditionalFormatting sqref="B94:C94">
    <cfRule type="cellIs" dxfId="2168" priority="791" stopIfTrue="1" operator="equal">
      <formula>"Towel"</formula>
    </cfRule>
    <cfRule type="cellIs" dxfId="2167" priority="792" stopIfTrue="1" operator="equal">
      <formula>"Napkin Hs"</formula>
    </cfRule>
  </conditionalFormatting>
  <conditionalFormatting sqref="C94">
    <cfRule type="cellIs" dxfId="2166" priority="789" stopIfTrue="1" operator="equal">
      <formula>"Towel"</formula>
    </cfRule>
    <cfRule type="cellIs" dxfId="2165" priority="790" stopIfTrue="1" operator="equal">
      <formula>"Napkin Hs"</formula>
    </cfRule>
  </conditionalFormatting>
  <conditionalFormatting sqref="C94">
    <cfRule type="cellIs" dxfId="2164" priority="787" stopIfTrue="1" operator="equal">
      <formula>"Towel"</formula>
    </cfRule>
    <cfRule type="cellIs" dxfId="2163" priority="788" stopIfTrue="1" operator="equal">
      <formula>"Napkin Hs"</formula>
    </cfRule>
  </conditionalFormatting>
  <conditionalFormatting sqref="C94">
    <cfRule type="cellIs" dxfId="2162" priority="781" stopIfTrue="1" operator="equal">
      <formula>"Towel"</formula>
    </cfRule>
    <cfRule type="cellIs" dxfId="2161" priority="782" stopIfTrue="1" operator="equal">
      <formula>"Napkin Hs"</formula>
    </cfRule>
  </conditionalFormatting>
  <conditionalFormatting sqref="B94">
    <cfRule type="cellIs" dxfId="2160" priority="771" stopIfTrue="1" operator="equal">
      <formula>"Towel"</formula>
    </cfRule>
    <cfRule type="cellIs" dxfId="2159" priority="772" stopIfTrue="1" operator="equal">
      <formula>"Napkin Hs"</formula>
    </cfRule>
  </conditionalFormatting>
  <conditionalFormatting sqref="C94">
    <cfRule type="cellIs" dxfId="2158" priority="775" stopIfTrue="1" operator="equal">
      <formula>"Towel"</formula>
    </cfRule>
    <cfRule type="cellIs" dxfId="2157" priority="776" stopIfTrue="1" operator="equal">
      <formula>"Napkin Hs"</formula>
    </cfRule>
  </conditionalFormatting>
  <conditionalFormatting sqref="C94">
    <cfRule type="cellIs" dxfId="2156" priority="785" stopIfTrue="1" operator="equal">
      <formula>"Towel"</formula>
    </cfRule>
    <cfRule type="cellIs" dxfId="2155" priority="786" stopIfTrue="1" operator="equal">
      <formula>"Napkin Hs"</formula>
    </cfRule>
  </conditionalFormatting>
  <conditionalFormatting sqref="B94">
    <cfRule type="cellIs" dxfId="2154" priority="773" stopIfTrue="1" operator="equal">
      <formula>"Towel"</formula>
    </cfRule>
    <cfRule type="cellIs" dxfId="2153" priority="774" stopIfTrue="1" operator="equal">
      <formula>"Napkin Hs"</formula>
    </cfRule>
  </conditionalFormatting>
  <conditionalFormatting sqref="C94">
    <cfRule type="cellIs" dxfId="2152" priority="784" stopIfTrue="1" operator="equal">
      <formula>"Napkin Hs"</formula>
    </cfRule>
  </conditionalFormatting>
  <conditionalFormatting sqref="C94">
    <cfRule type="cellIs" dxfId="2151" priority="783" stopIfTrue="1" operator="equal">
      <formula>"Towel"</formula>
    </cfRule>
  </conditionalFormatting>
  <conditionalFormatting sqref="C94">
    <cfRule type="cellIs" dxfId="2150" priority="779" stopIfTrue="1" operator="equal">
      <formula>"Towel"</formula>
    </cfRule>
    <cfRule type="cellIs" dxfId="2149" priority="780" stopIfTrue="1" operator="equal">
      <formula>"Napkin Hs"</formula>
    </cfRule>
  </conditionalFormatting>
  <conditionalFormatting sqref="C94">
    <cfRule type="cellIs" dxfId="2148" priority="778" stopIfTrue="1" operator="equal">
      <formula>"Napkin Hs"</formula>
    </cfRule>
  </conditionalFormatting>
  <conditionalFormatting sqref="C94">
    <cfRule type="cellIs" dxfId="2147" priority="777" stopIfTrue="1" operator="equal">
      <formula>"Towel"</formula>
    </cfRule>
  </conditionalFormatting>
  <conditionalFormatting sqref="B92">
    <cfRule type="cellIs" dxfId="2146" priority="767" stopIfTrue="1" operator="equal">
      <formula>"Towel"</formula>
    </cfRule>
    <cfRule type="cellIs" dxfId="2145" priority="768" stopIfTrue="1" operator="equal">
      <formula>"Napkin Hs"</formula>
    </cfRule>
  </conditionalFormatting>
  <conditionalFormatting sqref="B92">
    <cfRule type="cellIs" dxfId="2144" priority="769" stopIfTrue="1" operator="equal">
      <formula>"Towel"</formula>
    </cfRule>
    <cfRule type="cellIs" dxfId="2143" priority="770" stopIfTrue="1" operator="equal">
      <formula>"Napkin Hs"</formula>
    </cfRule>
  </conditionalFormatting>
  <conditionalFormatting sqref="B99:C99">
    <cfRule type="cellIs" dxfId="2142" priority="765" stopIfTrue="1" operator="equal">
      <formula>"Towel"</formula>
    </cfRule>
    <cfRule type="cellIs" dxfId="2141" priority="766" stopIfTrue="1" operator="equal">
      <formula>"Napkin Hs"</formula>
    </cfRule>
  </conditionalFormatting>
  <conditionalFormatting sqref="C99">
    <cfRule type="cellIs" dxfId="2140" priority="764" stopIfTrue="1" operator="equal">
      <formula>"Napkin Hs"</formula>
    </cfRule>
  </conditionalFormatting>
  <conditionalFormatting sqref="C99">
    <cfRule type="cellIs" dxfId="2139" priority="763" stopIfTrue="1" operator="equal">
      <formula>"Towel"</formula>
    </cfRule>
  </conditionalFormatting>
  <conditionalFormatting sqref="C99">
    <cfRule type="cellIs" dxfId="2138" priority="761" stopIfTrue="1" operator="equal">
      <formula>"Towel"</formula>
    </cfRule>
    <cfRule type="cellIs" dxfId="2137" priority="762" stopIfTrue="1" operator="equal">
      <formula>"Napkin Hs"</formula>
    </cfRule>
  </conditionalFormatting>
  <conditionalFormatting sqref="C96:C97">
    <cfRule type="cellIs" dxfId="2136" priority="755" stopIfTrue="1" operator="equal">
      <formula>"Towel"</formula>
    </cfRule>
    <cfRule type="cellIs" dxfId="2135" priority="756" stopIfTrue="1" operator="equal">
      <formula>"Napkin Hs"</formula>
    </cfRule>
  </conditionalFormatting>
  <conditionalFormatting sqref="C96:C97">
    <cfRule type="cellIs" dxfId="2134" priority="749" stopIfTrue="1" operator="equal">
      <formula>"Towel"</formula>
    </cfRule>
    <cfRule type="cellIs" dxfId="2133" priority="750" stopIfTrue="1" operator="equal">
      <formula>"Napkin Hs"</formula>
    </cfRule>
  </conditionalFormatting>
  <conditionalFormatting sqref="C96:C97">
    <cfRule type="cellIs" dxfId="2132" priority="759" stopIfTrue="1" operator="equal">
      <formula>"Towel"</formula>
    </cfRule>
    <cfRule type="cellIs" dxfId="2131" priority="760" stopIfTrue="1" operator="equal">
      <formula>"Napkin Hs"</formula>
    </cfRule>
  </conditionalFormatting>
  <conditionalFormatting sqref="C96:C97">
    <cfRule type="cellIs" dxfId="2130" priority="758" stopIfTrue="1" operator="equal">
      <formula>"Napkin Hs"</formula>
    </cfRule>
  </conditionalFormatting>
  <conditionalFormatting sqref="C96:C97">
    <cfRule type="cellIs" dxfId="2129" priority="757" stopIfTrue="1" operator="equal">
      <formula>"Towel"</formula>
    </cfRule>
  </conditionalFormatting>
  <conditionalFormatting sqref="C96:C97">
    <cfRule type="cellIs" dxfId="2128" priority="753" stopIfTrue="1" operator="equal">
      <formula>"Towel"</formula>
    </cfRule>
    <cfRule type="cellIs" dxfId="2127" priority="754" stopIfTrue="1" operator="equal">
      <formula>"Napkin Hs"</formula>
    </cfRule>
  </conditionalFormatting>
  <conditionalFormatting sqref="C96:C97">
    <cfRule type="cellIs" dxfId="2126" priority="752" stopIfTrue="1" operator="equal">
      <formula>"Napkin Hs"</formula>
    </cfRule>
  </conditionalFormatting>
  <conditionalFormatting sqref="C96:C97">
    <cfRule type="cellIs" dxfId="2125" priority="751" stopIfTrue="1" operator="equal">
      <formula>"Towel"</formula>
    </cfRule>
  </conditionalFormatting>
  <conditionalFormatting sqref="B98:C98">
    <cfRule type="cellIs" dxfId="2124" priority="725" stopIfTrue="1" operator="equal">
      <formula>"Towel"</formula>
    </cfRule>
    <cfRule type="cellIs" dxfId="2123" priority="726" stopIfTrue="1" operator="equal">
      <formula>"Napkin Hs"</formula>
    </cfRule>
  </conditionalFormatting>
  <conditionalFormatting sqref="C98">
    <cfRule type="cellIs" dxfId="2122" priority="723" stopIfTrue="1" operator="equal">
      <formula>"Towel"</formula>
    </cfRule>
    <cfRule type="cellIs" dxfId="2121" priority="724" stopIfTrue="1" operator="equal">
      <formula>"Napkin Hs"</formula>
    </cfRule>
  </conditionalFormatting>
  <conditionalFormatting sqref="C98">
    <cfRule type="cellIs" dxfId="2120" priority="721" stopIfTrue="1" operator="equal">
      <formula>"Towel"</formula>
    </cfRule>
    <cfRule type="cellIs" dxfId="2119" priority="722" stopIfTrue="1" operator="equal">
      <formula>"Napkin Hs"</formula>
    </cfRule>
  </conditionalFormatting>
  <conditionalFormatting sqref="C98">
    <cfRule type="cellIs" dxfId="2118" priority="715" stopIfTrue="1" operator="equal">
      <formula>"Towel"</formula>
    </cfRule>
    <cfRule type="cellIs" dxfId="2117" priority="716" stopIfTrue="1" operator="equal">
      <formula>"Napkin Hs"</formula>
    </cfRule>
  </conditionalFormatting>
  <conditionalFormatting sqref="B98">
    <cfRule type="cellIs" dxfId="2116" priority="705" stopIfTrue="1" operator="equal">
      <formula>"Towel"</formula>
    </cfRule>
    <cfRule type="cellIs" dxfId="2115" priority="706" stopIfTrue="1" operator="equal">
      <formula>"Napkin Hs"</formula>
    </cfRule>
  </conditionalFormatting>
  <conditionalFormatting sqref="C98">
    <cfRule type="cellIs" dxfId="2114" priority="709" stopIfTrue="1" operator="equal">
      <formula>"Towel"</formula>
    </cfRule>
    <cfRule type="cellIs" dxfId="2113" priority="710" stopIfTrue="1" operator="equal">
      <formula>"Napkin Hs"</formula>
    </cfRule>
  </conditionalFormatting>
  <conditionalFormatting sqref="C98">
    <cfRule type="cellIs" dxfId="2112" priority="719" stopIfTrue="1" operator="equal">
      <formula>"Towel"</formula>
    </cfRule>
    <cfRule type="cellIs" dxfId="2111" priority="720" stopIfTrue="1" operator="equal">
      <formula>"Napkin Hs"</formula>
    </cfRule>
  </conditionalFormatting>
  <conditionalFormatting sqref="B98">
    <cfRule type="cellIs" dxfId="2110" priority="707" stopIfTrue="1" operator="equal">
      <formula>"Towel"</formula>
    </cfRule>
    <cfRule type="cellIs" dxfId="2109" priority="708" stopIfTrue="1" operator="equal">
      <formula>"Napkin Hs"</formula>
    </cfRule>
  </conditionalFormatting>
  <conditionalFormatting sqref="C98">
    <cfRule type="cellIs" dxfId="2108" priority="718" stopIfTrue="1" operator="equal">
      <formula>"Napkin Hs"</formula>
    </cfRule>
  </conditionalFormatting>
  <conditionalFormatting sqref="C98">
    <cfRule type="cellIs" dxfId="2107" priority="717" stopIfTrue="1" operator="equal">
      <formula>"Towel"</formula>
    </cfRule>
  </conditionalFormatting>
  <conditionalFormatting sqref="C98">
    <cfRule type="cellIs" dxfId="2106" priority="713" stopIfTrue="1" operator="equal">
      <formula>"Towel"</formula>
    </cfRule>
    <cfRule type="cellIs" dxfId="2105" priority="714" stopIfTrue="1" operator="equal">
      <formula>"Napkin Hs"</formula>
    </cfRule>
  </conditionalFormatting>
  <conditionalFormatting sqref="C98">
    <cfRule type="cellIs" dxfId="2104" priority="712" stopIfTrue="1" operator="equal">
      <formula>"Napkin Hs"</formula>
    </cfRule>
  </conditionalFormatting>
  <conditionalFormatting sqref="C98">
    <cfRule type="cellIs" dxfId="2103" priority="711" stopIfTrue="1" operator="equal">
      <formula>"Towel"</formula>
    </cfRule>
  </conditionalFormatting>
  <conditionalFormatting sqref="B96:B97">
    <cfRule type="cellIs" dxfId="2102" priority="701" stopIfTrue="1" operator="equal">
      <formula>"Towel"</formula>
    </cfRule>
    <cfRule type="cellIs" dxfId="2101" priority="702" stopIfTrue="1" operator="equal">
      <formula>"Napkin Hs"</formula>
    </cfRule>
  </conditionalFormatting>
  <conditionalFormatting sqref="B96:B97">
    <cfRule type="cellIs" dxfId="2100" priority="703" stopIfTrue="1" operator="equal">
      <formula>"Towel"</formula>
    </cfRule>
    <cfRule type="cellIs" dxfId="2099" priority="704" stopIfTrue="1" operator="equal">
      <formula>"Napkin Hs"</formula>
    </cfRule>
  </conditionalFormatting>
  <conditionalFormatting sqref="C101">
    <cfRule type="cellIs" dxfId="2098" priority="695" stopIfTrue="1" operator="equal">
      <formula>"Towel"</formula>
    </cfRule>
    <cfRule type="cellIs" dxfId="2097" priority="696" stopIfTrue="1" operator="equal">
      <formula>"Napkin Hs"</formula>
    </cfRule>
  </conditionalFormatting>
  <conditionalFormatting sqref="C101">
    <cfRule type="cellIs" dxfId="2096" priority="689" stopIfTrue="1" operator="equal">
      <formula>"Towel"</formula>
    </cfRule>
    <cfRule type="cellIs" dxfId="2095" priority="690" stopIfTrue="1" operator="equal">
      <formula>"Napkin Hs"</formula>
    </cfRule>
  </conditionalFormatting>
  <conditionalFormatting sqref="C101">
    <cfRule type="cellIs" dxfId="2094" priority="699" stopIfTrue="1" operator="equal">
      <formula>"Towel"</formula>
    </cfRule>
    <cfRule type="cellIs" dxfId="2093" priority="700" stopIfTrue="1" operator="equal">
      <formula>"Napkin Hs"</formula>
    </cfRule>
  </conditionalFormatting>
  <conditionalFormatting sqref="C101">
    <cfRule type="cellIs" dxfId="2092" priority="698" stopIfTrue="1" operator="equal">
      <formula>"Napkin Hs"</formula>
    </cfRule>
  </conditionalFormatting>
  <conditionalFormatting sqref="C101">
    <cfRule type="cellIs" dxfId="2091" priority="697" stopIfTrue="1" operator="equal">
      <formula>"Towel"</formula>
    </cfRule>
  </conditionalFormatting>
  <conditionalFormatting sqref="C101">
    <cfRule type="cellIs" dxfId="2090" priority="693" stopIfTrue="1" operator="equal">
      <formula>"Towel"</formula>
    </cfRule>
    <cfRule type="cellIs" dxfId="2089" priority="694" stopIfTrue="1" operator="equal">
      <formula>"Napkin Hs"</formula>
    </cfRule>
  </conditionalFormatting>
  <conditionalFormatting sqref="C101">
    <cfRule type="cellIs" dxfId="2088" priority="692" stopIfTrue="1" operator="equal">
      <formula>"Napkin Hs"</formula>
    </cfRule>
  </conditionalFormatting>
  <conditionalFormatting sqref="C101">
    <cfRule type="cellIs" dxfId="2087" priority="691" stopIfTrue="1" operator="equal">
      <formula>"Towel"</formula>
    </cfRule>
  </conditionalFormatting>
  <conditionalFormatting sqref="B102:C102">
    <cfRule type="cellIs" dxfId="2086" priority="687" stopIfTrue="1" operator="equal">
      <formula>"Towel"</formula>
    </cfRule>
    <cfRule type="cellIs" dxfId="2085" priority="688" stopIfTrue="1" operator="equal">
      <formula>"Napkin Hs"</formula>
    </cfRule>
  </conditionalFormatting>
  <conditionalFormatting sqref="C102">
    <cfRule type="cellIs" dxfId="2084" priority="685" stopIfTrue="1" operator="equal">
      <formula>"Towel"</formula>
    </cfRule>
    <cfRule type="cellIs" dxfId="2083" priority="686" stopIfTrue="1" operator="equal">
      <formula>"Napkin Hs"</formula>
    </cfRule>
  </conditionalFormatting>
  <conditionalFormatting sqref="C102">
    <cfRule type="cellIs" dxfId="2082" priority="683" stopIfTrue="1" operator="equal">
      <formula>"Towel"</formula>
    </cfRule>
    <cfRule type="cellIs" dxfId="2081" priority="684" stopIfTrue="1" operator="equal">
      <formula>"Napkin Hs"</formula>
    </cfRule>
  </conditionalFormatting>
  <conditionalFormatting sqref="C102">
    <cfRule type="cellIs" dxfId="2080" priority="677" stopIfTrue="1" operator="equal">
      <formula>"Towel"</formula>
    </cfRule>
    <cfRule type="cellIs" dxfId="2079" priority="678" stopIfTrue="1" operator="equal">
      <formula>"Napkin Hs"</formula>
    </cfRule>
  </conditionalFormatting>
  <conditionalFormatting sqref="B102">
    <cfRule type="cellIs" dxfId="2078" priority="667" stopIfTrue="1" operator="equal">
      <formula>"Towel"</formula>
    </cfRule>
    <cfRule type="cellIs" dxfId="2077" priority="668" stopIfTrue="1" operator="equal">
      <formula>"Napkin Hs"</formula>
    </cfRule>
  </conditionalFormatting>
  <conditionalFormatting sqref="C102">
    <cfRule type="cellIs" dxfId="2076" priority="671" stopIfTrue="1" operator="equal">
      <formula>"Towel"</formula>
    </cfRule>
    <cfRule type="cellIs" dxfId="2075" priority="672" stopIfTrue="1" operator="equal">
      <formula>"Napkin Hs"</formula>
    </cfRule>
  </conditionalFormatting>
  <conditionalFormatting sqref="C102">
    <cfRule type="cellIs" dxfId="2074" priority="681" stopIfTrue="1" operator="equal">
      <formula>"Towel"</formula>
    </cfRule>
    <cfRule type="cellIs" dxfId="2073" priority="682" stopIfTrue="1" operator="equal">
      <formula>"Napkin Hs"</formula>
    </cfRule>
  </conditionalFormatting>
  <conditionalFormatting sqref="B102">
    <cfRule type="cellIs" dxfId="2072" priority="669" stopIfTrue="1" operator="equal">
      <formula>"Towel"</formula>
    </cfRule>
    <cfRule type="cellIs" dxfId="2071" priority="670" stopIfTrue="1" operator="equal">
      <formula>"Napkin Hs"</formula>
    </cfRule>
  </conditionalFormatting>
  <conditionalFormatting sqref="C102">
    <cfRule type="cellIs" dxfId="2070" priority="680" stopIfTrue="1" operator="equal">
      <formula>"Napkin Hs"</formula>
    </cfRule>
  </conditionalFormatting>
  <conditionalFormatting sqref="C102">
    <cfRule type="cellIs" dxfId="2069" priority="679" stopIfTrue="1" operator="equal">
      <formula>"Towel"</formula>
    </cfRule>
  </conditionalFormatting>
  <conditionalFormatting sqref="C102">
    <cfRule type="cellIs" dxfId="2068" priority="675" stopIfTrue="1" operator="equal">
      <formula>"Towel"</formula>
    </cfRule>
    <cfRule type="cellIs" dxfId="2067" priority="676" stopIfTrue="1" operator="equal">
      <formula>"Napkin Hs"</formula>
    </cfRule>
  </conditionalFormatting>
  <conditionalFormatting sqref="C102">
    <cfRule type="cellIs" dxfId="2066" priority="674" stopIfTrue="1" operator="equal">
      <formula>"Napkin Hs"</formula>
    </cfRule>
  </conditionalFormatting>
  <conditionalFormatting sqref="C102">
    <cfRule type="cellIs" dxfId="2065" priority="673" stopIfTrue="1" operator="equal">
      <formula>"Towel"</formula>
    </cfRule>
  </conditionalFormatting>
  <conditionalFormatting sqref="B101">
    <cfRule type="cellIs" dxfId="2064" priority="663" stopIfTrue="1" operator="equal">
      <formula>"Towel"</formula>
    </cfRule>
    <cfRule type="cellIs" dxfId="2063" priority="664" stopIfTrue="1" operator="equal">
      <formula>"Napkin Hs"</formula>
    </cfRule>
  </conditionalFormatting>
  <conditionalFormatting sqref="B101">
    <cfRule type="cellIs" dxfId="2062" priority="665" stopIfTrue="1" operator="equal">
      <formula>"Towel"</formula>
    </cfRule>
    <cfRule type="cellIs" dxfId="2061" priority="666" stopIfTrue="1" operator="equal">
      <formula>"Napkin Hs"</formula>
    </cfRule>
  </conditionalFormatting>
  <conditionalFormatting sqref="C100">
    <cfRule type="cellIs" dxfId="2060" priority="657" stopIfTrue="1" operator="equal">
      <formula>"Towel"</formula>
    </cfRule>
    <cfRule type="cellIs" dxfId="2059" priority="658" stopIfTrue="1" operator="equal">
      <formula>"Napkin Hs"</formula>
    </cfRule>
  </conditionalFormatting>
  <conditionalFormatting sqref="C100">
    <cfRule type="cellIs" dxfId="2058" priority="651" stopIfTrue="1" operator="equal">
      <formula>"Towel"</formula>
    </cfRule>
    <cfRule type="cellIs" dxfId="2057" priority="652" stopIfTrue="1" operator="equal">
      <formula>"Napkin Hs"</formula>
    </cfRule>
  </conditionalFormatting>
  <conditionalFormatting sqref="C100">
    <cfRule type="cellIs" dxfId="2056" priority="661" stopIfTrue="1" operator="equal">
      <formula>"Towel"</formula>
    </cfRule>
    <cfRule type="cellIs" dxfId="2055" priority="662" stopIfTrue="1" operator="equal">
      <formula>"Napkin Hs"</formula>
    </cfRule>
  </conditionalFormatting>
  <conditionalFormatting sqref="C100">
    <cfRule type="cellIs" dxfId="2054" priority="660" stopIfTrue="1" operator="equal">
      <formula>"Napkin Hs"</formula>
    </cfRule>
  </conditionalFormatting>
  <conditionalFormatting sqref="C100">
    <cfRule type="cellIs" dxfId="2053" priority="659" stopIfTrue="1" operator="equal">
      <formula>"Towel"</formula>
    </cfRule>
  </conditionalFormatting>
  <conditionalFormatting sqref="C100">
    <cfRule type="cellIs" dxfId="2052" priority="655" stopIfTrue="1" operator="equal">
      <formula>"Towel"</formula>
    </cfRule>
    <cfRule type="cellIs" dxfId="2051" priority="656" stopIfTrue="1" operator="equal">
      <formula>"Napkin Hs"</formula>
    </cfRule>
  </conditionalFormatting>
  <conditionalFormatting sqref="C100">
    <cfRule type="cellIs" dxfId="2050" priority="654" stopIfTrue="1" operator="equal">
      <formula>"Napkin Hs"</formula>
    </cfRule>
  </conditionalFormatting>
  <conditionalFormatting sqref="C100">
    <cfRule type="cellIs" dxfId="2049" priority="653" stopIfTrue="1" operator="equal">
      <formula>"Towel"</formula>
    </cfRule>
  </conditionalFormatting>
  <conditionalFormatting sqref="B100">
    <cfRule type="cellIs" dxfId="2048" priority="647" stopIfTrue="1" operator="equal">
      <formula>"Towel"</formula>
    </cfRule>
    <cfRule type="cellIs" dxfId="2047" priority="648" stopIfTrue="1" operator="equal">
      <formula>"Napkin Hs"</formula>
    </cfRule>
  </conditionalFormatting>
  <conditionalFormatting sqref="B100">
    <cfRule type="cellIs" dxfId="2046" priority="649" stopIfTrue="1" operator="equal">
      <formula>"Towel"</formula>
    </cfRule>
    <cfRule type="cellIs" dxfId="2045" priority="650" stopIfTrue="1" operator="equal">
      <formula>"Napkin Hs"</formula>
    </cfRule>
  </conditionalFormatting>
  <conditionalFormatting sqref="B106:C106">
    <cfRule type="cellIs" dxfId="2044" priority="633" stopIfTrue="1" operator="equal">
      <formula>"Towel"</formula>
    </cfRule>
    <cfRule type="cellIs" dxfId="2043" priority="634" stopIfTrue="1" operator="equal">
      <formula>"Napkin Hs"</formula>
    </cfRule>
  </conditionalFormatting>
  <conditionalFormatting sqref="C106">
    <cfRule type="cellIs" dxfId="2042" priority="631" stopIfTrue="1" operator="equal">
      <formula>"Towel"</formula>
    </cfRule>
    <cfRule type="cellIs" dxfId="2041" priority="632" stopIfTrue="1" operator="equal">
      <formula>"Napkin Hs"</formula>
    </cfRule>
  </conditionalFormatting>
  <conditionalFormatting sqref="C106">
    <cfRule type="cellIs" dxfId="2040" priority="629" stopIfTrue="1" operator="equal">
      <formula>"Towel"</formula>
    </cfRule>
    <cfRule type="cellIs" dxfId="2039" priority="630" stopIfTrue="1" operator="equal">
      <formula>"Napkin Hs"</formula>
    </cfRule>
  </conditionalFormatting>
  <conditionalFormatting sqref="C106">
    <cfRule type="cellIs" dxfId="2038" priority="623" stopIfTrue="1" operator="equal">
      <formula>"Towel"</formula>
    </cfRule>
    <cfRule type="cellIs" dxfId="2037" priority="624" stopIfTrue="1" operator="equal">
      <formula>"Napkin Hs"</formula>
    </cfRule>
  </conditionalFormatting>
  <conditionalFormatting sqref="B106">
    <cfRule type="cellIs" dxfId="2036" priority="613" stopIfTrue="1" operator="equal">
      <formula>"Towel"</formula>
    </cfRule>
    <cfRule type="cellIs" dxfId="2035" priority="614" stopIfTrue="1" operator="equal">
      <formula>"Napkin Hs"</formula>
    </cfRule>
  </conditionalFormatting>
  <conditionalFormatting sqref="C106">
    <cfRule type="cellIs" dxfId="2034" priority="617" stopIfTrue="1" operator="equal">
      <formula>"Towel"</formula>
    </cfRule>
    <cfRule type="cellIs" dxfId="2033" priority="618" stopIfTrue="1" operator="equal">
      <formula>"Napkin Hs"</formula>
    </cfRule>
  </conditionalFormatting>
  <conditionalFormatting sqref="C106">
    <cfRule type="cellIs" dxfId="2032" priority="627" stopIfTrue="1" operator="equal">
      <formula>"Towel"</formula>
    </cfRule>
    <cfRule type="cellIs" dxfId="2031" priority="628" stopIfTrue="1" operator="equal">
      <formula>"Napkin Hs"</formula>
    </cfRule>
  </conditionalFormatting>
  <conditionalFormatting sqref="B106">
    <cfRule type="cellIs" dxfId="2030" priority="615" stopIfTrue="1" operator="equal">
      <formula>"Towel"</formula>
    </cfRule>
    <cfRule type="cellIs" dxfId="2029" priority="616" stopIfTrue="1" operator="equal">
      <formula>"Napkin Hs"</formula>
    </cfRule>
  </conditionalFormatting>
  <conditionalFormatting sqref="C106">
    <cfRule type="cellIs" dxfId="2028" priority="626" stopIfTrue="1" operator="equal">
      <formula>"Napkin Hs"</formula>
    </cfRule>
  </conditionalFormatting>
  <conditionalFormatting sqref="C106">
    <cfRule type="cellIs" dxfId="2027" priority="625" stopIfTrue="1" operator="equal">
      <formula>"Towel"</formula>
    </cfRule>
  </conditionalFormatting>
  <conditionalFormatting sqref="C106">
    <cfRule type="cellIs" dxfId="2026" priority="621" stopIfTrue="1" operator="equal">
      <formula>"Towel"</formula>
    </cfRule>
    <cfRule type="cellIs" dxfId="2025" priority="622" stopIfTrue="1" operator="equal">
      <formula>"Napkin Hs"</formula>
    </cfRule>
  </conditionalFormatting>
  <conditionalFormatting sqref="C106">
    <cfRule type="cellIs" dxfId="2024" priority="620" stopIfTrue="1" operator="equal">
      <formula>"Napkin Hs"</formula>
    </cfRule>
  </conditionalFormatting>
  <conditionalFormatting sqref="C106">
    <cfRule type="cellIs" dxfId="2023" priority="619" stopIfTrue="1" operator="equal">
      <formula>"Towel"</formula>
    </cfRule>
  </conditionalFormatting>
  <conditionalFormatting sqref="C105">
    <cfRule type="cellIs" dxfId="2022" priority="587" stopIfTrue="1" operator="equal">
      <formula>"Towel"</formula>
    </cfRule>
    <cfRule type="cellIs" dxfId="2021" priority="588" stopIfTrue="1" operator="equal">
      <formula>"Napkin Hs"</formula>
    </cfRule>
  </conditionalFormatting>
  <conditionalFormatting sqref="C105">
    <cfRule type="cellIs" dxfId="2020" priority="581" stopIfTrue="1" operator="equal">
      <formula>"Towel"</formula>
    </cfRule>
    <cfRule type="cellIs" dxfId="2019" priority="582" stopIfTrue="1" operator="equal">
      <formula>"Napkin Hs"</formula>
    </cfRule>
  </conditionalFormatting>
  <conditionalFormatting sqref="C105">
    <cfRule type="cellIs" dxfId="2018" priority="591" stopIfTrue="1" operator="equal">
      <formula>"Towel"</formula>
    </cfRule>
    <cfRule type="cellIs" dxfId="2017" priority="592" stopIfTrue="1" operator="equal">
      <formula>"Napkin Hs"</formula>
    </cfRule>
  </conditionalFormatting>
  <conditionalFormatting sqref="C105">
    <cfRule type="cellIs" dxfId="2016" priority="590" stopIfTrue="1" operator="equal">
      <formula>"Napkin Hs"</formula>
    </cfRule>
  </conditionalFormatting>
  <conditionalFormatting sqref="C105">
    <cfRule type="cellIs" dxfId="2015" priority="589" stopIfTrue="1" operator="equal">
      <formula>"Towel"</formula>
    </cfRule>
  </conditionalFormatting>
  <conditionalFormatting sqref="C105">
    <cfRule type="cellIs" dxfId="2014" priority="585" stopIfTrue="1" operator="equal">
      <formula>"Towel"</formula>
    </cfRule>
    <cfRule type="cellIs" dxfId="2013" priority="586" stopIfTrue="1" operator="equal">
      <formula>"Napkin Hs"</formula>
    </cfRule>
  </conditionalFormatting>
  <conditionalFormatting sqref="C105">
    <cfRule type="cellIs" dxfId="2012" priority="584" stopIfTrue="1" operator="equal">
      <formula>"Napkin Hs"</formula>
    </cfRule>
  </conditionalFormatting>
  <conditionalFormatting sqref="C105">
    <cfRule type="cellIs" dxfId="2011" priority="583" stopIfTrue="1" operator="equal">
      <formula>"Towel"</formula>
    </cfRule>
  </conditionalFormatting>
  <conditionalFormatting sqref="B105">
    <cfRule type="cellIs" dxfId="2010" priority="577" stopIfTrue="1" operator="equal">
      <formula>"Towel"</formula>
    </cfRule>
    <cfRule type="cellIs" dxfId="2009" priority="578" stopIfTrue="1" operator="equal">
      <formula>"Napkin Hs"</formula>
    </cfRule>
  </conditionalFormatting>
  <conditionalFormatting sqref="B105">
    <cfRule type="cellIs" dxfId="2008" priority="579" stopIfTrue="1" operator="equal">
      <formula>"Towel"</formula>
    </cfRule>
    <cfRule type="cellIs" dxfId="2007" priority="580" stopIfTrue="1" operator="equal">
      <formula>"Napkin Hs"</formula>
    </cfRule>
  </conditionalFormatting>
  <conditionalFormatting sqref="C104">
    <cfRule type="cellIs" dxfId="2006" priority="571" stopIfTrue="1" operator="equal">
      <formula>"Towel"</formula>
    </cfRule>
    <cfRule type="cellIs" dxfId="2005" priority="572" stopIfTrue="1" operator="equal">
      <formula>"Napkin Hs"</formula>
    </cfRule>
  </conditionalFormatting>
  <conditionalFormatting sqref="C104">
    <cfRule type="cellIs" dxfId="2004" priority="565" stopIfTrue="1" operator="equal">
      <formula>"Towel"</formula>
    </cfRule>
    <cfRule type="cellIs" dxfId="2003" priority="566" stopIfTrue="1" operator="equal">
      <formula>"Napkin Hs"</formula>
    </cfRule>
  </conditionalFormatting>
  <conditionalFormatting sqref="C104">
    <cfRule type="cellIs" dxfId="2002" priority="575" stopIfTrue="1" operator="equal">
      <formula>"Towel"</formula>
    </cfRule>
    <cfRule type="cellIs" dxfId="2001" priority="576" stopIfTrue="1" operator="equal">
      <formula>"Napkin Hs"</formula>
    </cfRule>
  </conditionalFormatting>
  <conditionalFormatting sqref="C104">
    <cfRule type="cellIs" dxfId="2000" priority="574" stopIfTrue="1" operator="equal">
      <formula>"Napkin Hs"</formula>
    </cfRule>
  </conditionalFormatting>
  <conditionalFormatting sqref="C104">
    <cfRule type="cellIs" dxfId="1999" priority="573" stopIfTrue="1" operator="equal">
      <formula>"Towel"</formula>
    </cfRule>
  </conditionalFormatting>
  <conditionalFormatting sqref="C104">
    <cfRule type="cellIs" dxfId="1998" priority="569" stopIfTrue="1" operator="equal">
      <formula>"Towel"</formula>
    </cfRule>
    <cfRule type="cellIs" dxfId="1997" priority="570" stopIfTrue="1" operator="equal">
      <formula>"Napkin Hs"</formula>
    </cfRule>
  </conditionalFormatting>
  <conditionalFormatting sqref="C104">
    <cfRule type="cellIs" dxfId="1996" priority="568" stopIfTrue="1" operator="equal">
      <formula>"Napkin Hs"</formula>
    </cfRule>
  </conditionalFormatting>
  <conditionalFormatting sqref="C104">
    <cfRule type="cellIs" dxfId="1995" priority="567" stopIfTrue="1" operator="equal">
      <formula>"Towel"</formula>
    </cfRule>
  </conditionalFormatting>
  <conditionalFormatting sqref="B104">
    <cfRule type="cellIs" dxfId="1994" priority="561" stopIfTrue="1" operator="equal">
      <formula>"Towel"</formula>
    </cfRule>
    <cfRule type="cellIs" dxfId="1993" priority="562" stopIfTrue="1" operator="equal">
      <formula>"Napkin Hs"</formula>
    </cfRule>
  </conditionalFormatting>
  <conditionalFormatting sqref="B104">
    <cfRule type="cellIs" dxfId="1992" priority="563" stopIfTrue="1" operator="equal">
      <formula>"Towel"</formula>
    </cfRule>
    <cfRule type="cellIs" dxfId="1991" priority="564" stopIfTrue="1" operator="equal">
      <formula>"Napkin Hs"</formula>
    </cfRule>
  </conditionalFormatting>
  <conditionalFormatting sqref="B110:C110">
    <cfRule type="cellIs" dxfId="1990" priority="559" stopIfTrue="1" operator="equal">
      <formula>"Towel"</formula>
    </cfRule>
    <cfRule type="cellIs" dxfId="1989" priority="560" stopIfTrue="1" operator="equal">
      <formula>"Napkin Hs"</formula>
    </cfRule>
  </conditionalFormatting>
  <conditionalFormatting sqref="C110">
    <cfRule type="cellIs" dxfId="1988" priority="557" stopIfTrue="1" operator="equal">
      <formula>"Towel"</formula>
    </cfRule>
    <cfRule type="cellIs" dxfId="1987" priority="558" stopIfTrue="1" operator="equal">
      <formula>"Napkin Hs"</formula>
    </cfRule>
  </conditionalFormatting>
  <conditionalFormatting sqref="C110">
    <cfRule type="cellIs" dxfId="1986" priority="555" stopIfTrue="1" operator="equal">
      <formula>"Towel"</formula>
    </cfRule>
    <cfRule type="cellIs" dxfId="1985" priority="556" stopIfTrue="1" operator="equal">
      <formula>"Napkin Hs"</formula>
    </cfRule>
  </conditionalFormatting>
  <conditionalFormatting sqref="C110">
    <cfRule type="cellIs" dxfId="1984" priority="549" stopIfTrue="1" operator="equal">
      <formula>"Towel"</formula>
    </cfRule>
    <cfRule type="cellIs" dxfId="1983" priority="550" stopIfTrue="1" operator="equal">
      <formula>"Napkin Hs"</formula>
    </cfRule>
  </conditionalFormatting>
  <conditionalFormatting sqref="B110">
    <cfRule type="cellIs" dxfId="1982" priority="539" stopIfTrue="1" operator="equal">
      <formula>"Towel"</formula>
    </cfRule>
    <cfRule type="cellIs" dxfId="1981" priority="540" stopIfTrue="1" operator="equal">
      <formula>"Napkin Hs"</formula>
    </cfRule>
  </conditionalFormatting>
  <conditionalFormatting sqref="C110">
    <cfRule type="cellIs" dxfId="1980" priority="543" stopIfTrue="1" operator="equal">
      <formula>"Towel"</formula>
    </cfRule>
    <cfRule type="cellIs" dxfId="1979" priority="544" stopIfTrue="1" operator="equal">
      <formula>"Napkin Hs"</formula>
    </cfRule>
  </conditionalFormatting>
  <conditionalFormatting sqref="C110">
    <cfRule type="cellIs" dxfId="1978" priority="553" stopIfTrue="1" operator="equal">
      <formula>"Towel"</formula>
    </cfRule>
    <cfRule type="cellIs" dxfId="1977" priority="554" stopIfTrue="1" operator="equal">
      <formula>"Napkin Hs"</formula>
    </cfRule>
  </conditionalFormatting>
  <conditionalFormatting sqref="B110">
    <cfRule type="cellIs" dxfId="1976" priority="541" stopIfTrue="1" operator="equal">
      <formula>"Towel"</formula>
    </cfRule>
    <cfRule type="cellIs" dxfId="1975" priority="542" stopIfTrue="1" operator="equal">
      <formula>"Napkin Hs"</formula>
    </cfRule>
  </conditionalFormatting>
  <conditionalFormatting sqref="C110">
    <cfRule type="cellIs" dxfId="1974" priority="552" stopIfTrue="1" operator="equal">
      <formula>"Napkin Hs"</formula>
    </cfRule>
  </conditionalFormatting>
  <conditionalFormatting sqref="C110">
    <cfRule type="cellIs" dxfId="1973" priority="551" stopIfTrue="1" operator="equal">
      <formula>"Towel"</formula>
    </cfRule>
  </conditionalFormatting>
  <conditionalFormatting sqref="C110">
    <cfRule type="cellIs" dxfId="1972" priority="547" stopIfTrue="1" operator="equal">
      <formula>"Towel"</formula>
    </cfRule>
    <cfRule type="cellIs" dxfId="1971" priority="548" stopIfTrue="1" operator="equal">
      <formula>"Napkin Hs"</formula>
    </cfRule>
  </conditionalFormatting>
  <conditionalFormatting sqref="C110">
    <cfRule type="cellIs" dxfId="1970" priority="546" stopIfTrue="1" operator="equal">
      <formula>"Napkin Hs"</formula>
    </cfRule>
  </conditionalFormatting>
  <conditionalFormatting sqref="C110">
    <cfRule type="cellIs" dxfId="1969" priority="545" stopIfTrue="1" operator="equal">
      <formula>"Towel"</formula>
    </cfRule>
  </conditionalFormatting>
  <conditionalFormatting sqref="C109">
    <cfRule type="cellIs" dxfId="1968" priority="533" stopIfTrue="1" operator="equal">
      <formula>"Towel"</formula>
    </cfRule>
    <cfRule type="cellIs" dxfId="1967" priority="534" stopIfTrue="1" operator="equal">
      <formula>"Napkin Hs"</formula>
    </cfRule>
  </conditionalFormatting>
  <conditionalFormatting sqref="C109">
    <cfRule type="cellIs" dxfId="1966" priority="527" stopIfTrue="1" operator="equal">
      <formula>"Towel"</formula>
    </cfRule>
    <cfRule type="cellIs" dxfId="1965" priority="528" stopIfTrue="1" operator="equal">
      <formula>"Napkin Hs"</formula>
    </cfRule>
  </conditionalFormatting>
  <conditionalFormatting sqref="C109">
    <cfRule type="cellIs" dxfId="1964" priority="537" stopIfTrue="1" operator="equal">
      <formula>"Towel"</formula>
    </cfRule>
    <cfRule type="cellIs" dxfId="1963" priority="538" stopIfTrue="1" operator="equal">
      <formula>"Napkin Hs"</formula>
    </cfRule>
  </conditionalFormatting>
  <conditionalFormatting sqref="C109">
    <cfRule type="cellIs" dxfId="1962" priority="536" stopIfTrue="1" operator="equal">
      <formula>"Napkin Hs"</formula>
    </cfRule>
  </conditionalFormatting>
  <conditionalFormatting sqref="C109">
    <cfRule type="cellIs" dxfId="1961" priority="535" stopIfTrue="1" operator="equal">
      <formula>"Towel"</formula>
    </cfRule>
  </conditionalFormatting>
  <conditionalFormatting sqref="C109">
    <cfRule type="cellIs" dxfId="1960" priority="531" stopIfTrue="1" operator="equal">
      <formula>"Towel"</formula>
    </cfRule>
    <cfRule type="cellIs" dxfId="1959" priority="532" stopIfTrue="1" operator="equal">
      <formula>"Napkin Hs"</formula>
    </cfRule>
  </conditionalFormatting>
  <conditionalFormatting sqref="C109">
    <cfRule type="cellIs" dxfId="1958" priority="530" stopIfTrue="1" operator="equal">
      <formula>"Napkin Hs"</formula>
    </cfRule>
  </conditionalFormatting>
  <conditionalFormatting sqref="C109">
    <cfRule type="cellIs" dxfId="1957" priority="529" stopIfTrue="1" operator="equal">
      <formula>"Towel"</formula>
    </cfRule>
  </conditionalFormatting>
  <conditionalFormatting sqref="B109">
    <cfRule type="cellIs" dxfId="1956" priority="523" stopIfTrue="1" operator="equal">
      <formula>"Towel"</formula>
    </cfRule>
    <cfRule type="cellIs" dxfId="1955" priority="524" stopIfTrue="1" operator="equal">
      <formula>"Napkin Hs"</formula>
    </cfRule>
  </conditionalFormatting>
  <conditionalFormatting sqref="B109">
    <cfRule type="cellIs" dxfId="1954" priority="525" stopIfTrue="1" operator="equal">
      <formula>"Towel"</formula>
    </cfRule>
    <cfRule type="cellIs" dxfId="1953" priority="526" stopIfTrue="1" operator="equal">
      <formula>"Napkin Hs"</formula>
    </cfRule>
  </conditionalFormatting>
  <conditionalFormatting sqref="C108">
    <cfRule type="cellIs" dxfId="1952" priority="517" stopIfTrue="1" operator="equal">
      <formula>"Towel"</formula>
    </cfRule>
    <cfRule type="cellIs" dxfId="1951" priority="518" stopIfTrue="1" operator="equal">
      <formula>"Napkin Hs"</formula>
    </cfRule>
  </conditionalFormatting>
  <conditionalFormatting sqref="C108">
    <cfRule type="cellIs" dxfId="1950" priority="511" stopIfTrue="1" operator="equal">
      <formula>"Towel"</formula>
    </cfRule>
    <cfRule type="cellIs" dxfId="1949" priority="512" stopIfTrue="1" operator="equal">
      <formula>"Napkin Hs"</formula>
    </cfRule>
  </conditionalFormatting>
  <conditionalFormatting sqref="C108">
    <cfRule type="cellIs" dxfId="1948" priority="521" stopIfTrue="1" operator="equal">
      <formula>"Towel"</formula>
    </cfRule>
    <cfRule type="cellIs" dxfId="1947" priority="522" stopIfTrue="1" operator="equal">
      <formula>"Napkin Hs"</formula>
    </cfRule>
  </conditionalFormatting>
  <conditionalFormatting sqref="C108">
    <cfRule type="cellIs" dxfId="1946" priority="520" stopIfTrue="1" operator="equal">
      <formula>"Napkin Hs"</formula>
    </cfRule>
  </conditionalFormatting>
  <conditionalFormatting sqref="C108">
    <cfRule type="cellIs" dxfId="1945" priority="519" stopIfTrue="1" operator="equal">
      <formula>"Towel"</formula>
    </cfRule>
  </conditionalFormatting>
  <conditionalFormatting sqref="C108">
    <cfRule type="cellIs" dxfId="1944" priority="515" stopIfTrue="1" operator="equal">
      <formula>"Towel"</formula>
    </cfRule>
    <cfRule type="cellIs" dxfId="1943" priority="516" stopIfTrue="1" operator="equal">
      <formula>"Napkin Hs"</formula>
    </cfRule>
  </conditionalFormatting>
  <conditionalFormatting sqref="C108">
    <cfRule type="cellIs" dxfId="1942" priority="514" stopIfTrue="1" operator="equal">
      <formula>"Napkin Hs"</formula>
    </cfRule>
  </conditionalFormatting>
  <conditionalFormatting sqref="C108">
    <cfRule type="cellIs" dxfId="1941" priority="513" stopIfTrue="1" operator="equal">
      <formula>"Towel"</formula>
    </cfRule>
  </conditionalFormatting>
  <conditionalFormatting sqref="B108">
    <cfRule type="cellIs" dxfId="1940" priority="507" stopIfTrue="1" operator="equal">
      <formula>"Towel"</formula>
    </cfRule>
    <cfRule type="cellIs" dxfId="1939" priority="508" stopIfTrue="1" operator="equal">
      <formula>"Napkin Hs"</formula>
    </cfRule>
  </conditionalFormatting>
  <conditionalFormatting sqref="B108">
    <cfRule type="cellIs" dxfId="1938" priority="509" stopIfTrue="1" operator="equal">
      <formula>"Towel"</formula>
    </cfRule>
    <cfRule type="cellIs" dxfId="1937" priority="510" stopIfTrue="1" operator="equal">
      <formula>"Napkin Hs"</formula>
    </cfRule>
  </conditionalFormatting>
  <conditionalFormatting sqref="B114:C114">
    <cfRule type="cellIs" dxfId="1936" priority="505" stopIfTrue="1" operator="equal">
      <formula>"Towel"</formula>
    </cfRule>
    <cfRule type="cellIs" dxfId="1935" priority="506" stopIfTrue="1" operator="equal">
      <formula>"Napkin Hs"</formula>
    </cfRule>
  </conditionalFormatting>
  <conditionalFormatting sqref="C114">
    <cfRule type="cellIs" dxfId="1934" priority="503" stopIfTrue="1" operator="equal">
      <formula>"Towel"</formula>
    </cfRule>
    <cfRule type="cellIs" dxfId="1933" priority="504" stopIfTrue="1" operator="equal">
      <formula>"Napkin Hs"</formula>
    </cfRule>
  </conditionalFormatting>
  <conditionalFormatting sqref="C114">
    <cfRule type="cellIs" dxfId="1932" priority="501" stopIfTrue="1" operator="equal">
      <formula>"Towel"</formula>
    </cfRule>
    <cfRule type="cellIs" dxfId="1931" priority="502" stopIfTrue="1" operator="equal">
      <formula>"Napkin Hs"</formula>
    </cfRule>
  </conditionalFormatting>
  <conditionalFormatting sqref="C114">
    <cfRule type="cellIs" dxfId="1930" priority="495" stopIfTrue="1" operator="equal">
      <formula>"Towel"</formula>
    </cfRule>
    <cfRule type="cellIs" dxfId="1929" priority="496" stopIfTrue="1" operator="equal">
      <formula>"Napkin Hs"</formula>
    </cfRule>
  </conditionalFormatting>
  <conditionalFormatting sqref="B114">
    <cfRule type="cellIs" dxfId="1928" priority="485" stopIfTrue="1" operator="equal">
      <formula>"Towel"</formula>
    </cfRule>
    <cfRule type="cellIs" dxfId="1927" priority="486" stopIfTrue="1" operator="equal">
      <formula>"Napkin Hs"</formula>
    </cfRule>
  </conditionalFormatting>
  <conditionalFormatting sqref="C114">
    <cfRule type="cellIs" dxfId="1926" priority="489" stopIfTrue="1" operator="equal">
      <formula>"Towel"</formula>
    </cfRule>
    <cfRule type="cellIs" dxfId="1925" priority="490" stopIfTrue="1" operator="equal">
      <formula>"Napkin Hs"</formula>
    </cfRule>
  </conditionalFormatting>
  <conditionalFormatting sqref="C114">
    <cfRule type="cellIs" dxfId="1924" priority="499" stopIfTrue="1" operator="equal">
      <formula>"Towel"</formula>
    </cfRule>
    <cfRule type="cellIs" dxfId="1923" priority="500" stopIfTrue="1" operator="equal">
      <formula>"Napkin Hs"</formula>
    </cfRule>
  </conditionalFormatting>
  <conditionalFormatting sqref="B114">
    <cfRule type="cellIs" dxfId="1922" priority="487" stopIfTrue="1" operator="equal">
      <formula>"Towel"</formula>
    </cfRule>
    <cfRule type="cellIs" dxfId="1921" priority="488" stopIfTrue="1" operator="equal">
      <formula>"Napkin Hs"</formula>
    </cfRule>
  </conditionalFormatting>
  <conditionalFormatting sqref="C114">
    <cfRule type="cellIs" dxfId="1920" priority="498" stopIfTrue="1" operator="equal">
      <formula>"Napkin Hs"</formula>
    </cfRule>
  </conditionalFormatting>
  <conditionalFormatting sqref="C114">
    <cfRule type="cellIs" dxfId="1919" priority="497" stopIfTrue="1" operator="equal">
      <formula>"Towel"</formula>
    </cfRule>
  </conditionalFormatting>
  <conditionalFormatting sqref="C114">
    <cfRule type="cellIs" dxfId="1918" priority="493" stopIfTrue="1" operator="equal">
      <formula>"Towel"</formula>
    </cfRule>
    <cfRule type="cellIs" dxfId="1917" priority="494" stopIfTrue="1" operator="equal">
      <formula>"Napkin Hs"</formula>
    </cfRule>
  </conditionalFormatting>
  <conditionalFormatting sqref="C114">
    <cfRule type="cellIs" dxfId="1916" priority="492" stopIfTrue="1" operator="equal">
      <formula>"Napkin Hs"</formula>
    </cfRule>
  </conditionalFormatting>
  <conditionalFormatting sqref="C114">
    <cfRule type="cellIs" dxfId="1915" priority="491" stopIfTrue="1" operator="equal">
      <formula>"Towel"</formula>
    </cfRule>
  </conditionalFormatting>
  <conditionalFormatting sqref="C113">
    <cfRule type="cellIs" dxfId="1914" priority="479" stopIfTrue="1" operator="equal">
      <formula>"Towel"</formula>
    </cfRule>
    <cfRule type="cellIs" dxfId="1913" priority="480" stopIfTrue="1" operator="equal">
      <formula>"Napkin Hs"</formula>
    </cfRule>
  </conditionalFormatting>
  <conditionalFormatting sqref="C113">
    <cfRule type="cellIs" dxfId="1912" priority="473" stopIfTrue="1" operator="equal">
      <formula>"Towel"</formula>
    </cfRule>
    <cfRule type="cellIs" dxfId="1911" priority="474" stopIfTrue="1" operator="equal">
      <formula>"Napkin Hs"</formula>
    </cfRule>
  </conditionalFormatting>
  <conditionalFormatting sqref="C113">
    <cfRule type="cellIs" dxfId="1910" priority="483" stopIfTrue="1" operator="equal">
      <formula>"Towel"</formula>
    </cfRule>
    <cfRule type="cellIs" dxfId="1909" priority="484" stopIfTrue="1" operator="equal">
      <formula>"Napkin Hs"</formula>
    </cfRule>
  </conditionalFormatting>
  <conditionalFormatting sqref="C113">
    <cfRule type="cellIs" dxfId="1908" priority="482" stopIfTrue="1" operator="equal">
      <formula>"Napkin Hs"</formula>
    </cfRule>
  </conditionalFormatting>
  <conditionalFormatting sqref="C113">
    <cfRule type="cellIs" dxfId="1907" priority="481" stopIfTrue="1" operator="equal">
      <formula>"Towel"</formula>
    </cfRule>
  </conditionalFormatting>
  <conditionalFormatting sqref="C113">
    <cfRule type="cellIs" dxfId="1906" priority="477" stopIfTrue="1" operator="equal">
      <formula>"Towel"</formula>
    </cfRule>
    <cfRule type="cellIs" dxfId="1905" priority="478" stopIfTrue="1" operator="equal">
      <formula>"Napkin Hs"</formula>
    </cfRule>
  </conditionalFormatting>
  <conditionalFormatting sqref="C113">
    <cfRule type="cellIs" dxfId="1904" priority="476" stopIfTrue="1" operator="equal">
      <formula>"Napkin Hs"</formula>
    </cfRule>
  </conditionalFormatting>
  <conditionalFormatting sqref="C113">
    <cfRule type="cellIs" dxfId="1903" priority="475" stopIfTrue="1" operator="equal">
      <formula>"Towel"</formula>
    </cfRule>
  </conditionalFormatting>
  <conditionalFormatting sqref="B113">
    <cfRule type="cellIs" dxfId="1902" priority="469" stopIfTrue="1" operator="equal">
      <formula>"Towel"</formula>
    </cfRule>
    <cfRule type="cellIs" dxfId="1901" priority="470" stopIfTrue="1" operator="equal">
      <formula>"Napkin Hs"</formula>
    </cfRule>
  </conditionalFormatting>
  <conditionalFormatting sqref="B113">
    <cfRule type="cellIs" dxfId="1900" priority="471" stopIfTrue="1" operator="equal">
      <formula>"Towel"</formula>
    </cfRule>
    <cfRule type="cellIs" dxfId="1899" priority="472" stopIfTrue="1" operator="equal">
      <formula>"Napkin Hs"</formula>
    </cfRule>
  </conditionalFormatting>
  <conditionalFormatting sqref="C112">
    <cfRule type="cellIs" dxfId="1898" priority="463" stopIfTrue="1" operator="equal">
      <formula>"Towel"</formula>
    </cfRule>
    <cfRule type="cellIs" dxfId="1897" priority="464" stopIfTrue="1" operator="equal">
      <formula>"Napkin Hs"</formula>
    </cfRule>
  </conditionalFormatting>
  <conditionalFormatting sqref="C112">
    <cfRule type="cellIs" dxfId="1896" priority="457" stopIfTrue="1" operator="equal">
      <formula>"Towel"</formula>
    </cfRule>
    <cfRule type="cellIs" dxfId="1895" priority="458" stopIfTrue="1" operator="equal">
      <formula>"Napkin Hs"</formula>
    </cfRule>
  </conditionalFormatting>
  <conditionalFormatting sqref="C112">
    <cfRule type="cellIs" dxfId="1894" priority="467" stopIfTrue="1" operator="equal">
      <formula>"Towel"</formula>
    </cfRule>
    <cfRule type="cellIs" dxfId="1893" priority="468" stopIfTrue="1" operator="equal">
      <formula>"Napkin Hs"</formula>
    </cfRule>
  </conditionalFormatting>
  <conditionalFormatting sqref="C112">
    <cfRule type="cellIs" dxfId="1892" priority="466" stopIfTrue="1" operator="equal">
      <formula>"Napkin Hs"</formula>
    </cfRule>
  </conditionalFormatting>
  <conditionalFormatting sqref="C112">
    <cfRule type="cellIs" dxfId="1891" priority="465" stopIfTrue="1" operator="equal">
      <formula>"Towel"</formula>
    </cfRule>
  </conditionalFormatting>
  <conditionalFormatting sqref="C112">
    <cfRule type="cellIs" dxfId="1890" priority="461" stopIfTrue="1" operator="equal">
      <formula>"Towel"</formula>
    </cfRule>
    <cfRule type="cellIs" dxfId="1889" priority="462" stopIfTrue="1" operator="equal">
      <formula>"Napkin Hs"</formula>
    </cfRule>
  </conditionalFormatting>
  <conditionalFormatting sqref="C112">
    <cfRule type="cellIs" dxfId="1888" priority="460" stopIfTrue="1" operator="equal">
      <formula>"Napkin Hs"</formula>
    </cfRule>
  </conditionalFormatting>
  <conditionalFormatting sqref="C112">
    <cfRule type="cellIs" dxfId="1887" priority="459" stopIfTrue="1" operator="equal">
      <formula>"Towel"</formula>
    </cfRule>
  </conditionalFormatting>
  <conditionalFormatting sqref="B112">
    <cfRule type="cellIs" dxfId="1886" priority="453" stopIfTrue="1" operator="equal">
      <formula>"Towel"</formula>
    </cfRule>
    <cfRule type="cellIs" dxfId="1885" priority="454" stopIfTrue="1" operator="equal">
      <formula>"Napkin Hs"</formula>
    </cfRule>
  </conditionalFormatting>
  <conditionalFormatting sqref="B112">
    <cfRule type="cellIs" dxfId="1884" priority="455" stopIfTrue="1" operator="equal">
      <formula>"Towel"</formula>
    </cfRule>
    <cfRule type="cellIs" dxfId="1883" priority="456" stopIfTrue="1" operator="equal">
      <formula>"Napkin Hs"</formula>
    </cfRule>
  </conditionalFormatting>
  <conditionalFormatting sqref="C119">
    <cfRule type="cellIs" dxfId="1882" priority="445" stopIfTrue="1" operator="equal">
      <formula>"Towel"</formula>
    </cfRule>
    <cfRule type="cellIs" dxfId="1881" priority="446" stopIfTrue="1" operator="equal">
      <formula>"Napkin Hs"</formula>
    </cfRule>
  </conditionalFormatting>
  <conditionalFormatting sqref="B119:C119">
    <cfRule type="cellIs" dxfId="1880" priority="443" stopIfTrue="1" operator="equal">
      <formula>"Towel"</formula>
    </cfRule>
    <cfRule type="cellIs" dxfId="1879" priority="444" stopIfTrue="1" operator="equal">
      <formula>"Napkin Hs"</formula>
    </cfRule>
  </conditionalFormatting>
  <conditionalFormatting sqref="C119">
    <cfRule type="cellIs" dxfId="1878" priority="441" stopIfTrue="1" operator="equal">
      <formula>"Towel"</formula>
    </cfRule>
    <cfRule type="cellIs" dxfId="1877" priority="442" stopIfTrue="1" operator="equal">
      <formula>"Napkin Hs"</formula>
    </cfRule>
  </conditionalFormatting>
  <conditionalFormatting sqref="C123">
    <cfRule type="cellIs" dxfId="1876" priority="413" stopIfTrue="1" operator="equal">
      <formula>"Towel"</formula>
    </cfRule>
    <cfRule type="cellIs" dxfId="1875" priority="414" stopIfTrue="1" operator="equal">
      <formula>"Napkin Hs"</formula>
    </cfRule>
  </conditionalFormatting>
  <conditionalFormatting sqref="B123:C123">
    <cfRule type="cellIs" dxfId="1874" priority="417" stopIfTrue="1" operator="equal">
      <formula>"Towel"</formula>
    </cfRule>
    <cfRule type="cellIs" dxfId="1873" priority="418" stopIfTrue="1" operator="equal">
      <formula>"Napkin Hs"</formula>
    </cfRule>
  </conditionalFormatting>
  <conditionalFormatting sqref="C123">
    <cfRule type="cellIs" dxfId="1872" priority="416" stopIfTrue="1" operator="equal">
      <formula>"Napkin Hs"</formula>
    </cfRule>
  </conditionalFormatting>
  <conditionalFormatting sqref="C123">
    <cfRule type="cellIs" dxfId="1871" priority="415" stopIfTrue="1" operator="equal">
      <formula>"Towel"</formula>
    </cfRule>
  </conditionalFormatting>
  <conditionalFormatting sqref="B118:C118">
    <cfRule type="cellIs" dxfId="1870" priority="405" stopIfTrue="1" operator="equal">
      <formula>"Towel"</formula>
    </cfRule>
    <cfRule type="cellIs" dxfId="1869" priority="406" stopIfTrue="1" operator="equal">
      <formula>"Napkin Hs"</formula>
    </cfRule>
  </conditionalFormatting>
  <conditionalFormatting sqref="C118">
    <cfRule type="cellIs" dxfId="1868" priority="403" stopIfTrue="1" operator="equal">
      <formula>"Towel"</formula>
    </cfRule>
    <cfRule type="cellIs" dxfId="1867" priority="404" stopIfTrue="1" operator="equal">
      <formula>"Napkin Hs"</formula>
    </cfRule>
  </conditionalFormatting>
  <conditionalFormatting sqref="C118">
    <cfRule type="cellIs" dxfId="1866" priority="401" stopIfTrue="1" operator="equal">
      <formula>"Towel"</formula>
    </cfRule>
    <cfRule type="cellIs" dxfId="1865" priority="402" stopIfTrue="1" operator="equal">
      <formula>"Napkin Hs"</formula>
    </cfRule>
  </conditionalFormatting>
  <conditionalFormatting sqref="C118">
    <cfRule type="cellIs" dxfId="1864" priority="395" stopIfTrue="1" operator="equal">
      <formula>"Towel"</formula>
    </cfRule>
    <cfRule type="cellIs" dxfId="1863" priority="396" stopIfTrue="1" operator="equal">
      <formula>"Napkin Hs"</formula>
    </cfRule>
  </conditionalFormatting>
  <conditionalFormatting sqref="B118">
    <cfRule type="cellIs" dxfId="1862" priority="385" stopIfTrue="1" operator="equal">
      <formula>"Towel"</formula>
    </cfRule>
    <cfRule type="cellIs" dxfId="1861" priority="386" stopIfTrue="1" operator="equal">
      <formula>"Napkin Hs"</formula>
    </cfRule>
  </conditionalFormatting>
  <conditionalFormatting sqref="C118">
    <cfRule type="cellIs" dxfId="1860" priority="389" stopIfTrue="1" operator="equal">
      <formula>"Towel"</formula>
    </cfRule>
    <cfRule type="cellIs" dxfId="1859" priority="390" stopIfTrue="1" operator="equal">
      <formula>"Napkin Hs"</formula>
    </cfRule>
  </conditionalFormatting>
  <conditionalFormatting sqref="C118">
    <cfRule type="cellIs" dxfId="1858" priority="399" stopIfTrue="1" operator="equal">
      <formula>"Towel"</formula>
    </cfRule>
    <cfRule type="cellIs" dxfId="1857" priority="400" stopIfTrue="1" operator="equal">
      <formula>"Napkin Hs"</formula>
    </cfRule>
  </conditionalFormatting>
  <conditionalFormatting sqref="B118">
    <cfRule type="cellIs" dxfId="1856" priority="387" stopIfTrue="1" operator="equal">
      <formula>"Towel"</formula>
    </cfRule>
    <cfRule type="cellIs" dxfId="1855" priority="388" stopIfTrue="1" operator="equal">
      <formula>"Napkin Hs"</formula>
    </cfRule>
  </conditionalFormatting>
  <conditionalFormatting sqref="C118">
    <cfRule type="cellIs" dxfId="1854" priority="398" stopIfTrue="1" operator="equal">
      <formula>"Napkin Hs"</formula>
    </cfRule>
  </conditionalFormatting>
  <conditionalFormatting sqref="C118">
    <cfRule type="cellIs" dxfId="1853" priority="397" stopIfTrue="1" operator="equal">
      <formula>"Towel"</formula>
    </cfRule>
  </conditionalFormatting>
  <conditionalFormatting sqref="C118">
    <cfRule type="cellIs" dxfId="1852" priority="393" stopIfTrue="1" operator="equal">
      <formula>"Towel"</formula>
    </cfRule>
    <cfRule type="cellIs" dxfId="1851" priority="394" stopIfTrue="1" operator="equal">
      <formula>"Napkin Hs"</formula>
    </cfRule>
  </conditionalFormatting>
  <conditionalFormatting sqref="C118">
    <cfRule type="cellIs" dxfId="1850" priority="392" stopIfTrue="1" operator="equal">
      <formula>"Napkin Hs"</formula>
    </cfRule>
  </conditionalFormatting>
  <conditionalFormatting sqref="C118">
    <cfRule type="cellIs" dxfId="1849" priority="391" stopIfTrue="1" operator="equal">
      <formula>"Towel"</formula>
    </cfRule>
  </conditionalFormatting>
  <conditionalFormatting sqref="C117">
    <cfRule type="cellIs" dxfId="1848" priority="379" stopIfTrue="1" operator="equal">
      <formula>"Towel"</formula>
    </cfRule>
    <cfRule type="cellIs" dxfId="1847" priority="380" stopIfTrue="1" operator="equal">
      <formula>"Napkin Hs"</formula>
    </cfRule>
  </conditionalFormatting>
  <conditionalFormatting sqref="C117">
    <cfRule type="cellIs" dxfId="1846" priority="373" stopIfTrue="1" operator="equal">
      <formula>"Towel"</formula>
    </cfRule>
    <cfRule type="cellIs" dxfId="1845" priority="374" stopIfTrue="1" operator="equal">
      <formula>"Napkin Hs"</formula>
    </cfRule>
  </conditionalFormatting>
  <conditionalFormatting sqref="C117">
    <cfRule type="cellIs" dxfId="1844" priority="383" stopIfTrue="1" operator="equal">
      <formula>"Towel"</formula>
    </cfRule>
    <cfRule type="cellIs" dxfId="1843" priority="384" stopIfTrue="1" operator="equal">
      <formula>"Napkin Hs"</formula>
    </cfRule>
  </conditionalFormatting>
  <conditionalFormatting sqref="C117">
    <cfRule type="cellIs" dxfId="1842" priority="382" stopIfTrue="1" operator="equal">
      <formula>"Napkin Hs"</formula>
    </cfRule>
  </conditionalFormatting>
  <conditionalFormatting sqref="C117">
    <cfRule type="cellIs" dxfId="1841" priority="381" stopIfTrue="1" operator="equal">
      <formula>"Towel"</formula>
    </cfRule>
  </conditionalFormatting>
  <conditionalFormatting sqref="C117">
    <cfRule type="cellIs" dxfId="1840" priority="377" stopIfTrue="1" operator="equal">
      <formula>"Towel"</formula>
    </cfRule>
    <cfRule type="cellIs" dxfId="1839" priority="378" stopIfTrue="1" operator="equal">
      <formula>"Napkin Hs"</formula>
    </cfRule>
  </conditionalFormatting>
  <conditionalFormatting sqref="C117">
    <cfRule type="cellIs" dxfId="1838" priority="376" stopIfTrue="1" operator="equal">
      <formula>"Napkin Hs"</formula>
    </cfRule>
  </conditionalFormatting>
  <conditionalFormatting sqref="C117">
    <cfRule type="cellIs" dxfId="1837" priority="375" stopIfTrue="1" operator="equal">
      <formula>"Towel"</formula>
    </cfRule>
  </conditionalFormatting>
  <conditionalFormatting sqref="B117">
    <cfRule type="cellIs" dxfId="1836" priority="369" stopIfTrue="1" operator="equal">
      <formula>"Towel"</formula>
    </cfRule>
    <cfRule type="cellIs" dxfId="1835" priority="370" stopIfTrue="1" operator="equal">
      <formula>"Napkin Hs"</formula>
    </cfRule>
  </conditionalFormatting>
  <conditionalFormatting sqref="B117">
    <cfRule type="cellIs" dxfId="1834" priority="371" stopIfTrue="1" operator="equal">
      <formula>"Towel"</formula>
    </cfRule>
    <cfRule type="cellIs" dxfId="1833" priority="372" stopIfTrue="1" operator="equal">
      <formula>"Napkin Hs"</formula>
    </cfRule>
  </conditionalFormatting>
  <conditionalFormatting sqref="C116">
    <cfRule type="cellIs" dxfId="1832" priority="363" stopIfTrue="1" operator="equal">
      <formula>"Towel"</formula>
    </cfRule>
    <cfRule type="cellIs" dxfId="1831" priority="364" stopIfTrue="1" operator="equal">
      <formula>"Napkin Hs"</formula>
    </cfRule>
  </conditionalFormatting>
  <conditionalFormatting sqref="C116">
    <cfRule type="cellIs" dxfId="1830" priority="357" stopIfTrue="1" operator="equal">
      <formula>"Towel"</formula>
    </cfRule>
    <cfRule type="cellIs" dxfId="1829" priority="358" stopIfTrue="1" operator="equal">
      <formula>"Napkin Hs"</formula>
    </cfRule>
  </conditionalFormatting>
  <conditionalFormatting sqref="C116">
    <cfRule type="cellIs" dxfId="1828" priority="367" stopIfTrue="1" operator="equal">
      <formula>"Towel"</formula>
    </cfRule>
    <cfRule type="cellIs" dxfId="1827" priority="368" stopIfTrue="1" operator="equal">
      <formula>"Napkin Hs"</formula>
    </cfRule>
  </conditionalFormatting>
  <conditionalFormatting sqref="C116">
    <cfRule type="cellIs" dxfId="1826" priority="366" stopIfTrue="1" operator="equal">
      <formula>"Napkin Hs"</formula>
    </cfRule>
  </conditionalFormatting>
  <conditionalFormatting sqref="C116">
    <cfRule type="cellIs" dxfId="1825" priority="365" stopIfTrue="1" operator="equal">
      <formula>"Towel"</formula>
    </cfRule>
  </conditionalFormatting>
  <conditionalFormatting sqref="C116">
    <cfRule type="cellIs" dxfId="1824" priority="361" stopIfTrue="1" operator="equal">
      <formula>"Towel"</formula>
    </cfRule>
    <cfRule type="cellIs" dxfId="1823" priority="362" stopIfTrue="1" operator="equal">
      <formula>"Napkin Hs"</formula>
    </cfRule>
  </conditionalFormatting>
  <conditionalFormatting sqref="C116">
    <cfRule type="cellIs" dxfId="1822" priority="360" stopIfTrue="1" operator="equal">
      <formula>"Napkin Hs"</formula>
    </cfRule>
  </conditionalFormatting>
  <conditionalFormatting sqref="C116">
    <cfRule type="cellIs" dxfId="1821" priority="359" stopIfTrue="1" operator="equal">
      <formula>"Towel"</formula>
    </cfRule>
  </conditionalFormatting>
  <conditionalFormatting sqref="B116">
    <cfRule type="cellIs" dxfId="1820" priority="353" stopIfTrue="1" operator="equal">
      <formula>"Towel"</formula>
    </cfRule>
    <cfRule type="cellIs" dxfId="1819" priority="354" stopIfTrue="1" operator="equal">
      <formula>"Napkin Hs"</formula>
    </cfRule>
  </conditionalFormatting>
  <conditionalFormatting sqref="B116">
    <cfRule type="cellIs" dxfId="1818" priority="355" stopIfTrue="1" operator="equal">
      <formula>"Towel"</formula>
    </cfRule>
    <cfRule type="cellIs" dxfId="1817" priority="356" stopIfTrue="1" operator="equal">
      <formula>"Napkin Hs"</formula>
    </cfRule>
  </conditionalFormatting>
  <conditionalFormatting sqref="B120:C120">
    <cfRule type="cellIs" dxfId="1816" priority="351" stopIfTrue="1" operator="equal">
      <formula>"Towel"</formula>
    </cfRule>
    <cfRule type="cellIs" dxfId="1815" priority="352" stopIfTrue="1" operator="equal">
      <formula>"Napkin Hs"</formula>
    </cfRule>
  </conditionalFormatting>
  <conditionalFormatting sqref="C120">
    <cfRule type="cellIs" dxfId="1814" priority="349" stopIfTrue="1" operator="equal">
      <formula>"Towel"</formula>
    </cfRule>
    <cfRule type="cellIs" dxfId="1813" priority="350" stopIfTrue="1" operator="equal">
      <formula>"Napkin Hs"</formula>
    </cfRule>
  </conditionalFormatting>
  <conditionalFormatting sqref="C120">
    <cfRule type="cellIs" dxfId="1812" priority="347" stopIfTrue="1" operator="equal">
      <formula>"Towel"</formula>
    </cfRule>
    <cfRule type="cellIs" dxfId="1811" priority="348" stopIfTrue="1" operator="equal">
      <formula>"Napkin Hs"</formula>
    </cfRule>
  </conditionalFormatting>
  <conditionalFormatting sqref="B122">
    <cfRule type="cellIs" dxfId="1810" priority="327" stopIfTrue="1" operator="equal">
      <formula>"Towel"</formula>
    </cfRule>
    <cfRule type="cellIs" dxfId="1809" priority="328" stopIfTrue="1" operator="equal">
      <formula>"Napkin Hs"</formula>
    </cfRule>
  </conditionalFormatting>
  <conditionalFormatting sqref="C122">
    <cfRule type="cellIs" dxfId="1808" priority="335" stopIfTrue="1" operator="equal">
      <formula>"Towel"</formula>
    </cfRule>
    <cfRule type="cellIs" dxfId="1807" priority="336" stopIfTrue="1" operator="equal">
      <formula>"Napkin Hs"</formula>
    </cfRule>
  </conditionalFormatting>
  <conditionalFormatting sqref="B122">
    <cfRule type="cellIs" dxfId="1806" priority="325" stopIfTrue="1" operator="equal">
      <formula>"Towel"</formula>
    </cfRule>
    <cfRule type="cellIs" dxfId="1805" priority="326" stopIfTrue="1" operator="equal">
      <formula>"Napkin Hs"</formula>
    </cfRule>
  </conditionalFormatting>
  <conditionalFormatting sqref="C122">
    <cfRule type="cellIs" dxfId="1804" priority="329" stopIfTrue="1" operator="equal">
      <formula>"Towel"</formula>
    </cfRule>
    <cfRule type="cellIs" dxfId="1803" priority="330" stopIfTrue="1" operator="equal">
      <formula>"Napkin Hs"</formula>
    </cfRule>
  </conditionalFormatting>
  <conditionalFormatting sqref="C122">
    <cfRule type="cellIs" dxfId="1802" priority="339" stopIfTrue="1" operator="equal">
      <formula>"Towel"</formula>
    </cfRule>
    <cfRule type="cellIs" dxfId="1801" priority="340" stopIfTrue="1" operator="equal">
      <formula>"Napkin Hs"</formula>
    </cfRule>
  </conditionalFormatting>
  <conditionalFormatting sqref="C122">
    <cfRule type="cellIs" dxfId="1800" priority="338" stopIfTrue="1" operator="equal">
      <formula>"Napkin Hs"</formula>
    </cfRule>
  </conditionalFormatting>
  <conditionalFormatting sqref="C122">
    <cfRule type="cellIs" dxfId="1799" priority="337" stopIfTrue="1" operator="equal">
      <formula>"Towel"</formula>
    </cfRule>
  </conditionalFormatting>
  <conditionalFormatting sqref="C122">
    <cfRule type="cellIs" dxfId="1798" priority="333" stopIfTrue="1" operator="equal">
      <formula>"Towel"</formula>
    </cfRule>
    <cfRule type="cellIs" dxfId="1797" priority="334" stopIfTrue="1" operator="equal">
      <formula>"Napkin Hs"</formula>
    </cfRule>
  </conditionalFormatting>
  <conditionalFormatting sqref="C122">
    <cfRule type="cellIs" dxfId="1796" priority="332" stopIfTrue="1" operator="equal">
      <formula>"Napkin Hs"</formula>
    </cfRule>
  </conditionalFormatting>
  <conditionalFormatting sqref="C122">
    <cfRule type="cellIs" dxfId="1795" priority="331" stopIfTrue="1" operator="equal">
      <formula>"Towel"</formula>
    </cfRule>
  </conditionalFormatting>
  <conditionalFormatting sqref="B122:C122">
    <cfRule type="cellIs" dxfId="1794" priority="345" stopIfTrue="1" operator="equal">
      <formula>"Towel"</formula>
    </cfRule>
    <cfRule type="cellIs" dxfId="1793" priority="346" stopIfTrue="1" operator="equal">
      <formula>"Napkin Hs"</formula>
    </cfRule>
  </conditionalFormatting>
  <conditionalFormatting sqref="C122">
    <cfRule type="cellIs" dxfId="1792" priority="343" stopIfTrue="1" operator="equal">
      <formula>"Towel"</formula>
    </cfRule>
    <cfRule type="cellIs" dxfId="1791" priority="344" stopIfTrue="1" operator="equal">
      <formula>"Napkin Hs"</formula>
    </cfRule>
  </conditionalFormatting>
  <conditionalFormatting sqref="C122">
    <cfRule type="cellIs" dxfId="1790" priority="341" stopIfTrue="1" operator="equal">
      <formula>"Towel"</formula>
    </cfRule>
    <cfRule type="cellIs" dxfId="1789" priority="342" stopIfTrue="1" operator="equal">
      <formula>"Napkin Hs"</formula>
    </cfRule>
  </conditionalFormatting>
  <conditionalFormatting sqref="C121">
    <cfRule type="cellIs" dxfId="1788" priority="319" stopIfTrue="1" operator="equal">
      <formula>"Towel"</formula>
    </cfRule>
    <cfRule type="cellIs" dxfId="1787" priority="320" stopIfTrue="1" operator="equal">
      <formula>"Napkin Hs"</formula>
    </cfRule>
  </conditionalFormatting>
  <conditionalFormatting sqref="B121:C121">
    <cfRule type="cellIs" dxfId="1786" priority="323" stopIfTrue="1" operator="equal">
      <formula>"Towel"</formula>
    </cfRule>
    <cfRule type="cellIs" dxfId="1785" priority="324" stopIfTrue="1" operator="equal">
      <formula>"Napkin Hs"</formula>
    </cfRule>
  </conditionalFormatting>
  <conditionalFormatting sqref="C121">
    <cfRule type="cellIs" dxfId="1784" priority="322" stopIfTrue="1" operator="equal">
      <formula>"Napkin Hs"</formula>
    </cfRule>
  </conditionalFormatting>
  <conditionalFormatting sqref="C121">
    <cfRule type="cellIs" dxfId="1783" priority="321" stopIfTrue="1" operator="equal">
      <formula>"Towel"</formula>
    </cfRule>
  </conditionalFormatting>
  <conditionalFormatting sqref="B122:C122">
    <cfRule type="cellIs" dxfId="1782" priority="317" stopIfTrue="1" operator="equal">
      <formula>"Towel"</formula>
    </cfRule>
    <cfRule type="cellIs" dxfId="1781" priority="318" stopIfTrue="1" operator="equal">
      <formula>"Napkin Hs"</formula>
    </cfRule>
  </conditionalFormatting>
  <conditionalFormatting sqref="C122">
    <cfRule type="cellIs" dxfId="1780" priority="315" stopIfTrue="1" operator="equal">
      <formula>"Towel"</formula>
    </cfRule>
    <cfRule type="cellIs" dxfId="1779" priority="316" stopIfTrue="1" operator="equal">
      <formula>"Napkin Hs"</formula>
    </cfRule>
  </conditionalFormatting>
  <conditionalFormatting sqref="C122">
    <cfRule type="cellIs" dxfId="1778" priority="313" stopIfTrue="1" operator="equal">
      <formula>"Towel"</formula>
    </cfRule>
    <cfRule type="cellIs" dxfId="1777" priority="314" stopIfTrue="1" operator="equal">
      <formula>"Napkin Hs"</formula>
    </cfRule>
  </conditionalFormatting>
  <conditionalFormatting sqref="C122">
    <cfRule type="cellIs" dxfId="1776" priority="307" stopIfTrue="1" operator="equal">
      <formula>"Towel"</formula>
    </cfRule>
    <cfRule type="cellIs" dxfId="1775" priority="308" stopIfTrue="1" operator="equal">
      <formula>"Napkin Hs"</formula>
    </cfRule>
  </conditionalFormatting>
  <conditionalFormatting sqref="B122">
    <cfRule type="cellIs" dxfId="1774" priority="297" stopIfTrue="1" operator="equal">
      <formula>"Towel"</formula>
    </cfRule>
    <cfRule type="cellIs" dxfId="1773" priority="298" stopIfTrue="1" operator="equal">
      <formula>"Napkin Hs"</formula>
    </cfRule>
  </conditionalFormatting>
  <conditionalFormatting sqref="C122">
    <cfRule type="cellIs" dxfId="1772" priority="301" stopIfTrue="1" operator="equal">
      <formula>"Towel"</formula>
    </cfRule>
    <cfRule type="cellIs" dxfId="1771" priority="302" stopIfTrue="1" operator="equal">
      <formula>"Napkin Hs"</formula>
    </cfRule>
  </conditionalFormatting>
  <conditionalFormatting sqref="C122">
    <cfRule type="cellIs" dxfId="1770" priority="311" stopIfTrue="1" operator="equal">
      <formula>"Towel"</formula>
    </cfRule>
    <cfRule type="cellIs" dxfId="1769" priority="312" stopIfTrue="1" operator="equal">
      <formula>"Napkin Hs"</formula>
    </cfRule>
  </conditionalFormatting>
  <conditionalFormatting sqref="B122">
    <cfRule type="cellIs" dxfId="1768" priority="299" stopIfTrue="1" operator="equal">
      <formula>"Towel"</formula>
    </cfRule>
    <cfRule type="cellIs" dxfId="1767" priority="300" stopIfTrue="1" operator="equal">
      <formula>"Napkin Hs"</formula>
    </cfRule>
  </conditionalFormatting>
  <conditionalFormatting sqref="C122">
    <cfRule type="cellIs" dxfId="1766" priority="310" stopIfTrue="1" operator="equal">
      <formula>"Napkin Hs"</formula>
    </cfRule>
  </conditionalFormatting>
  <conditionalFormatting sqref="C122">
    <cfRule type="cellIs" dxfId="1765" priority="309" stopIfTrue="1" operator="equal">
      <formula>"Towel"</formula>
    </cfRule>
  </conditionalFormatting>
  <conditionalFormatting sqref="C122">
    <cfRule type="cellIs" dxfId="1764" priority="305" stopIfTrue="1" operator="equal">
      <formula>"Towel"</formula>
    </cfRule>
    <cfRule type="cellIs" dxfId="1763" priority="306" stopIfTrue="1" operator="equal">
      <formula>"Napkin Hs"</formula>
    </cfRule>
  </conditionalFormatting>
  <conditionalFormatting sqref="C122">
    <cfRule type="cellIs" dxfId="1762" priority="304" stopIfTrue="1" operator="equal">
      <formula>"Napkin Hs"</formula>
    </cfRule>
  </conditionalFormatting>
  <conditionalFormatting sqref="C122">
    <cfRule type="cellIs" dxfId="1761" priority="303" stopIfTrue="1" operator="equal">
      <formula>"Towel"</formula>
    </cfRule>
  </conditionalFormatting>
  <conditionalFormatting sqref="C121">
    <cfRule type="cellIs" dxfId="1760" priority="291" stopIfTrue="1" operator="equal">
      <formula>"Towel"</formula>
    </cfRule>
    <cfRule type="cellIs" dxfId="1759" priority="292" stopIfTrue="1" operator="equal">
      <formula>"Napkin Hs"</formula>
    </cfRule>
  </conditionalFormatting>
  <conditionalFormatting sqref="C121">
    <cfRule type="cellIs" dxfId="1758" priority="285" stopIfTrue="1" operator="equal">
      <formula>"Towel"</formula>
    </cfRule>
    <cfRule type="cellIs" dxfId="1757" priority="286" stopIfTrue="1" operator="equal">
      <formula>"Napkin Hs"</formula>
    </cfRule>
  </conditionalFormatting>
  <conditionalFormatting sqref="C121">
    <cfRule type="cellIs" dxfId="1756" priority="295" stopIfTrue="1" operator="equal">
      <formula>"Towel"</formula>
    </cfRule>
    <cfRule type="cellIs" dxfId="1755" priority="296" stopIfTrue="1" operator="equal">
      <formula>"Napkin Hs"</formula>
    </cfRule>
  </conditionalFormatting>
  <conditionalFormatting sqref="C121">
    <cfRule type="cellIs" dxfId="1754" priority="294" stopIfTrue="1" operator="equal">
      <formula>"Napkin Hs"</formula>
    </cfRule>
  </conditionalFormatting>
  <conditionalFormatting sqref="C121">
    <cfRule type="cellIs" dxfId="1753" priority="293" stopIfTrue="1" operator="equal">
      <formula>"Towel"</formula>
    </cfRule>
  </conditionalFormatting>
  <conditionalFormatting sqref="C121">
    <cfRule type="cellIs" dxfId="1752" priority="289" stopIfTrue="1" operator="equal">
      <formula>"Towel"</formula>
    </cfRule>
    <cfRule type="cellIs" dxfId="1751" priority="290" stopIfTrue="1" operator="equal">
      <formula>"Napkin Hs"</formula>
    </cfRule>
  </conditionalFormatting>
  <conditionalFormatting sqref="C121">
    <cfRule type="cellIs" dxfId="1750" priority="288" stopIfTrue="1" operator="equal">
      <formula>"Napkin Hs"</formula>
    </cfRule>
  </conditionalFormatting>
  <conditionalFormatting sqref="C121">
    <cfRule type="cellIs" dxfId="1749" priority="287" stopIfTrue="1" operator="equal">
      <formula>"Towel"</formula>
    </cfRule>
  </conditionalFormatting>
  <conditionalFormatting sqref="B121">
    <cfRule type="cellIs" dxfId="1748" priority="281" stopIfTrue="1" operator="equal">
      <formula>"Towel"</formula>
    </cfRule>
    <cfRule type="cellIs" dxfId="1747" priority="282" stopIfTrue="1" operator="equal">
      <formula>"Napkin Hs"</formula>
    </cfRule>
  </conditionalFormatting>
  <conditionalFormatting sqref="B121">
    <cfRule type="cellIs" dxfId="1746" priority="283" stopIfTrue="1" operator="equal">
      <formula>"Towel"</formula>
    </cfRule>
    <cfRule type="cellIs" dxfId="1745" priority="284" stopIfTrue="1" operator="equal">
      <formula>"Napkin Hs"</formula>
    </cfRule>
  </conditionalFormatting>
  <conditionalFormatting sqref="C120">
    <cfRule type="cellIs" dxfId="1744" priority="275" stopIfTrue="1" operator="equal">
      <formula>"Towel"</formula>
    </cfRule>
    <cfRule type="cellIs" dxfId="1743" priority="276" stopIfTrue="1" operator="equal">
      <formula>"Napkin Hs"</formula>
    </cfRule>
  </conditionalFormatting>
  <conditionalFormatting sqref="C120">
    <cfRule type="cellIs" dxfId="1742" priority="269" stopIfTrue="1" operator="equal">
      <formula>"Towel"</formula>
    </cfRule>
    <cfRule type="cellIs" dxfId="1741" priority="270" stopIfTrue="1" operator="equal">
      <formula>"Napkin Hs"</formula>
    </cfRule>
  </conditionalFormatting>
  <conditionalFormatting sqref="C120">
    <cfRule type="cellIs" dxfId="1740" priority="279" stopIfTrue="1" operator="equal">
      <formula>"Towel"</formula>
    </cfRule>
    <cfRule type="cellIs" dxfId="1739" priority="280" stopIfTrue="1" operator="equal">
      <formula>"Napkin Hs"</formula>
    </cfRule>
  </conditionalFormatting>
  <conditionalFormatting sqref="C120">
    <cfRule type="cellIs" dxfId="1738" priority="278" stopIfTrue="1" operator="equal">
      <formula>"Napkin Hs"</formula>
    </cfRule>
  </conditionalFormatting>
  <conditionalFormatting sqref="C120">
    <cfRule type="cellIs" dxfId="1737" priority="277" stopIfTrue="1" operator="equal">
      <formula>"Towel"</formula>
    </cfRule>
  </conditionalFormatting>
  <conditionalFormatting sqref="C120">
    <cfRule type="cellIs" dxfId="1736" priority="273" stopIfTrue="1" operator="equal">
      <formula>"Towel"</formula>
    </cfRule>
    <cfRule type="cellIs" dxfId="1735" priority="274" stopIfTrue="1" operator="equal">
      <formula>"Napkin Hs"</formula>
    </cfRule>
  </conditionalFormatting>
  <conditionalFormatting sqref="C120">
    <cfRule type="cellIs" dxfId="1734" priority="272" stopIfTrue="1" operator="equal">
      <formula>"Napkin Hs"</formula>
    </cfRule>
  </conditionalFormatting>
  <conditionalFormatting sqref="C120">
    <cfRule type="cellIs" dxfId="1733" priority="271" stopIfTrue="1" operator="equal">
      <formula>"Towel"</formula>
    </cfRule>
  </conditionalFormatting>
  <conditionalFormatting sqref="B120">
    <cfRule type="cellIs" dxfId="1732" priority="265" stopIfTrue="1" operator="equal">
      <formula>"Towel"</formula>
    </cfRule>
    <cfRule type="cellIs" dxfId="1731" priority="266" stopIfTrue="1" operator="equal">
      <formula>"Napkin Hs"</formula>
    </cfRule>
  </conditionalFormatting>
  <conditionalFormatting sqref="B120">
    <cfRule type="cellIs" dxfId="1730" priority="267" stopIfTrue="1" operator="equal">
      <formula>"Towel"</formula>
    </cfRule>
    <cfRule type="cellIs" dxfId="1729" priority="268" stopIfTrue="1" operator="equal">
      <formula>"Napkin Hs"</formula>
    </cfRule>
  </conditionalFormatting>
  <conditionalFormatting sqref="B124:C125">
    <cfRule type="cellIs" dxfId="1728" priority="263" stopIfTrue="1" operator="equal">
      <formula>"Towel"</formula>
    </cfRule>
    <cfRule type="cellIs" dxfId="1727" priority="264" stopIfTrue="1" operator="equal">
      <formula>"Napkin Hs"</formula>
    </cfRule>
  </conditionalFormatting>
  <conditionalFormatting sqref="C124:C125">
    <cfRule type="cellIs" dxfId="1726" priority="261" stopIfTrue="1" operator="equal">
      <formula>"Towel"</formula>
    </cfRule>
    <cfRule type="cellIs" dxfId="1725" priority="262" stopIfTrue="1" operator="equal">
      <formula>"Napkin Hs"</formula>
    </cfRule>
  </conditionalFormatting>
  <conditionalFormatting sqref="C124:C125">
    <cfRule type="cellIs" dxfId="1724" priority="259" stopIfTrue="1" operator="equal">
      <formula>"Towel"</formula>
    </cfRule>
    <cfRule type="cellIs" dxfId="1723" priority="260" stopIfTrue="1" operator="equal">
      <formula>"Napkin Hs"</formula>
    </cfRule>
  </conditionalFormatting>
  <conditionalFormatting sqref="B126">
    <cfRule type="cellIs" dxfId="1722" priority="239" stopIfTrue="1" operator="equal">
      <formula>"Towel"</formula>
    </cfRule>
    <cfRule type="cellIs" dxfId="1721" priority="240" stopIfTrue="1" operator="equal">
      <formula>"Napkin Hs"</formula>
    </cfRule>
  </conditionalFormatting>
  <conditionalFormatting sqref="C126">
    <cfRule type="cellIs" dxfId="1720" priority="247" stopIfTrue="1" operator="equal">
      <formula>"Towel"</formula>
    </cfRule>
    <cfRule type="cellIs" dxfId="1719" priority="248" stopIfTrue="1" operator="equal">
      <formula>"Napkin Hs"</formula>
    </cfRule>
  </conditionalFormatting>
  <conditionalFormatting sqref="B126">
    <cfRule type="cellIs" dxfId="1718" priority="237" stopIfTrue="1" operator="equal">
      <formula>"Towel"</formula>
    </cfRule>
    <cfRule type="cellIs" dxfId="1717" priority="238" stopIfTrue="1" operator="equal">
      <formula>"Napkin Hs"</formula>
    </cfRule>
  </conditionalFormatting>
  <conditionalFormatting sqref="C126">
    <cfRule type="cellIs" dxfId="1716" priority="241" stopIfTrue="1" operator="equal">
      <formula>"Towel"</formula>
    </cfRule>
    <cfRule type="cellIs" dxfId="1715" priority="242" stopIfTrue="1" operator="equal">
      <formula>"Napkin Hs"</formula>
    </cfRule>
  </conditionalFormatting>
  <conditionalFormatting sqref="C126">
    <cfRule type="cellIs" dxfId="1714" priority="251" stopIfTrue="1" operator="equal">
      <formula>"Towel"</formula>
    </cfRule>
    <cfRule type="cellIs" dxfId="1713" priority="252" stopIfTrue="1" operator="equal">
      <formula>"Napkin Hs"</formula>
    </cfRule>
  </conditionalFormatting>
  <conditionalFormatting sqref="C126">
    <cfRule type="cellIs" dxfId="1712" priority="250" stopIfTrue="1" operator="equal">
      <formula>"Napkin Hs"</formula>
    </cfRule>
  </conditionalFormatting>
  <conditionalFormatting sqref="C126">
    <cfRule type="cellIs" dxfId="1711" priority="249" stopIfTrue="1" operator="equal">
      <formula>"Towel"</formula>
    </cfRule>
  </conditionalFormatting>
  <conditionalFormatting sqref="C126">
    <cfRule type="cellIs" dxfId="1710" priority="245" stopIfTrue="1" operator="equal">
      <formula>"Towel"</formula>
    </cfRule>
    <cfRule type="cellIs" dxfId="1709" priority="246" stopIfTrue="1" operator="equal">
      <formula>"Napkin Hs"</formula>
    </cfRule>
  </conditionalFormatting>
  <conditionalFormatting sqref="C126">
    <cfRule type="cellIs" dxfId="1708" priority="244" stopIfTrue="1" operator="equal">
      <formula>"Napkin Hs"</formula>
    </cfRule>
  </conditionalFormatting>
  <conditionalFormatting sqref="C126">
    <cfRule type="cellIs" dxfId="1707" priority="243" stopIfTrue="1" operator="equal">
      <formula>"Towel"</formula>
    </cfRule>
  </conditionalFormatting>
  <conditionalFormatting sqref="B126:C126">
    <cfRule type="cellIs" dxfId="1706" priority="257" stopIfTrue="1" operator="equal">
      <formula>"Towel"</formula>
    </cfRule>
    <cfRule type="cellIs" dxfId="1705" priority="258" stopIfTrue="1" operator="equal">
      <formula>"Napkin Hs"</formula>
    </cfRule>
  </conditionalFormatting>
  <conditionalFormatting sqref="C126">
    <cfRule type="cellIs" dxfId="1704" priority="255" stopIfTrue="1" operator="equal">
      <formula>"Towel"</formula>
    </cfRule>
    <cfRule type="cellIs" dxfId="1703" priority="256" stopIfTrue="1" operator="equal">
      <formula>"Napkin Hs"</formula>
    </cfRule>
  </conditionalFormatting>
  <conditionalFormatting sqref="C126">
    <cfRule type="cellIs" dxfId="1702" priority="253" stopIfTrue="1" operator="equal">
      <formula>"Towel"</formula>
    </cfRule>
    <cfRule type="cellIs" dxfId="1701" priority="254" stopIfTrue="1" operator="equal">
      <formula>"Napkin Hs"</formula>
    </cfRule>
  </conditionalFormatting>
  <conditionalFormatting sqref="B126:C126">
    <cfRule type="cellIs" dxfId="1700" priority="229" stopIfTrue="1" operator="equal">
      <formula>"Towel"</formula>
    </cfRule>
    <cfRule type="cellIs" dxfId="1699" priority="230" stopIfTrue="1" operator="equal">
      <formula>"Napkin Hs"</formula>
    </cfRule>
  </conditionalFormatting>
  <conditionalFormatting sqref="C126">
    <cfRule type="cellIs" dxfId="1698" priority="227" stopIfTrue="1" operator="equal">
      <formula>"Towel"</formula>
    </cfRule>
    <cfRule type="cellIs" dxfId="1697" priority="228" stopIfTrue="1" operator="equal">
      <formula>"Napkin Hs"</formula>
    </cfRule>
  </conditionalFormatting>
  <conditionalFormatting sqref="C126">
    <cfRule type="cellIs" dxfId="1696" priority="225" stopIfTrue="1" operator="equal">
      <formula>"Towel"</formula>
    </cfRule>
    <cfRule type="cellIs" dxfId="1695" priority="226" stopIfTrue="1" operator="equal">
      <formula>"Napkin Hs"</formula>
    </cfRule>
  </conditionalFormatting>
  <conditionalFormatting sqref="C126">
    <cfRule type="cellIs" dxfId="1694" priority="219" stopIfTrue="1" operator="equal">
      <formula>"Towel"</formula>
    </cfRule>
    <cfRule type="cellIs" dxfId="1693" priority="220" stopIfTrue="1" operator="equal">
      <formula>"Napkin Hs"</formula>
    </cfRule>
  </conditionalFormatting>
  <conditionalFormatting sqref="B126">
    <cfRule type="cellIs" dxfId="1692" priority="209" stopIfTrue="1" operator="equal">
      <formula>"Towel"</formula>
    </cfRule>
    <cfRule type="cellIs" dxfId="1691" priority="210" stopIfTrue="1" operator="equal">
      <formula>"Napkin Hs"</formula>
    </cfRule>
  </conditionalFormatting>
  <conditionalFormatting sqref="C126">
    <cfRule type="cellIs" dxfId="1690" priority="213" stopIfTrue="1" operator="equal">
      <formula>"Towel"</formula>
    </cfRule>
    <cfRule type="cellIs" dxfId="1689" priority="214" stopIfTrue="1" operator="equal">
      <formula>"Napkin Hs"</formula>
    </cfRule>
  </conditionalFormatting>
  <conditionalFormatting sqref="C126">
    <cfRule type="cellIs" dxfId="1688" priority="223" stopIfTrue="1" operator="equal">
      <formula>"Towel"</formula>
    </cfRule>
    <cfRule type="cellIs" dxfId="1687" priority="224" stopIfTrue="1" operator="equal">
      <formula>"Napkin Hs"</formula>
    </cfRule>
  </conditionalFormatting>
  <conditionalFormatting sqref="B126">
    <cfRule type="cellIs" dxfId="1686" priority="211" stopIfTrue="1" operator="equal">
      <formula>"Towel"</formula>
    </cfRule>
    <cfRule type="cellIs" dxfId="1685" priority="212" stopIfTrue="1" operator="equal">
      <formula>"Napkin Hs"</formula>
    </cfRule>
  </conditionalFormatting>
  <conditionalFormatting sqref="C126">
    <cfRule type="cellIs" dxfId="1684" priority="222" stopIfTrue="1" operator="equal">
      <formula>"Napkin Hs"</formula>
    </cfRule>
  </conditionalFormatting>
  <conditionalFormatting sqref="C126">
    <cfRule type="cellIs" dxfId="1683" priority="221" stopIfTrue="1" operator="equal">
      <formula>"Towel"</formula>
    </cfRule>
  </conditionalFormatting>
  <conditionalFormatting sqref="C126">
    <cfRule type="cellIs" dxfId="1682" priority="217" stopIfTrue="1" operator="equal">
      <formula>"Towel"</formula>
    </cfRule>
    <cfRule type="cellIs" dxfId="1681" priority="218" stopIfTrue="1" operator="equal">
      <formula>"Napkin Hs"</formula>
    </cfRule>
  </conditionalFormatting>
  <conditionalFormatting sqref="C126">
    <cfRule type="cellIs" dxfId="1680" priority="216" stopIfTrue="1" operator="equal">
      <formula>"Napkin Hs"</formula>
    </cfRule>
  </conditionalFormatting>
  <conditionalFormatting sqref="C126">
    <cfRule type="cellIs" dxfId="1679" priority="215" stopIfTrue="1" operator="equal">
      <formula>"Towel"</formula>
    </cfRule>
  </conditionalFormatting>
  <conditionalFormatting sqref="C124:C125">
    <cfRule type="cellIs" dxfId="1678" priority="187" stopIfTrue="1" operator="equal">
      <formula>"Towel"</formula>
    </cfRule>
    <cfRule type="cellIs" dxfId="1677" priority="188" stopIfTrue="1" operator="equal">
      <formula>"Napkin Hs"</formula>
    </cfRule>
  </conditionalFormatting>
  <conditionalFormatting sqref="C124:C125">
    <cfRule type="cellIs" dxfId="1676" priority="181" stopIfTrue="1" operator="equal">
      <formula>"Towel"</formula>
    </cfRule>
    <cfRule type="cellIs" dxfId="1675" priority="182" stopIfTrue="1" operator="equal">
      <formula>"Napkin Hs"</formula>
    </cfRule>
  </conditionalFormatting>
  <conditionalFormatting sqref="C124:C125">
    <cfRule type="cellIs" dxfId="1674" priority="191" stopIfTrue="1" operator="equal">
      <formula>"Towel"</formula>
    </cfRule>
    <cfRule type="cellIs" dxfId="1673" priority="192" stopIfTrue="1" operator="equal">
      <formula>"Napkin Hs"</formula>
    </cfRule>
  </conditionalFormatting>
  <conditionalFormatting sqref="C124:C125">
    <cfRule type="cellIs" dxfId="1672" priority="190" stopIfTrue="1" operator="equal">
      <formula>"Napkin Hs"</formula>
    </cfRule>
  </conditionalFormatting>
  <conditionalFormatting sqref="C124:C125">
    <cfRule type="cellIs" dxfId="1671" priority="189" stopIfTrue="1" operator="equal">
      <formula>"Towel"</formula>
    </cfRule>
  </conditionalFormatting>
  <conditionalFormatting sqref="C124:C125">
    <cfRule type="cellIs" dxfId="1670" priority="185" stopIfTrue="1" operator="equal">
      <formula>"Towel"</formula>
    </cfRule>
    <cfRule type="cellIs" dxfId="1669" priority="186" stopIfTrue="1" operator="equal">
      <formula>"Napkin Hs"</formula>
    </cfRule>
  </conditionalFormatting>
  <conditionalFormatting sqref="C124:C125">
    <cfRule type="cellIs" dxfId="1668" priority="184" stopIfTrue="1" operator="equal">
      <formula>"Napkin Hs"</formula>
    </cfRule>
  </conditionalFormatting>
  <conditionalFormatting sqref="C124:C125">
    <cfRule type="cellIs" dxfId="1667" priority="183" stopIfTrue="1" operator="equal">
      <formula>"Towel"</formula>
    </cfRule>
  </conditionalFormatting>
  <conditionalFormatting sqref="B124:B125">
    <cfRule type="cellIs" dxfId="1666" priority="177" stopIfTrue="1" operator="equal">
      <formula>"Towel"</formula>
    </cfRule>
    <cfRule type="cellIs" dxfId="1665" priority="178" stopIfTrue="1" operator="equal">
      <formula>"Napkin Hs"</formula>
    </cfRule>
  </conditionalFormatting>
  <conditionalFormatting sqref="B124:B125">
    <cfRule type="cellIs" dxfId="1664" priority="179" stopIfTrue="1" operator="equal">
      <formula>"Towel"</formula>
    </cfRule>
    <cfRule type="cellIs" dxfId="1663" priority="180" stopIfTrue="1" operator="equal">
      <formula>"Napkin Hs"</formula>
    </cfRule>
  </conditionalFormatting>
  <conditionalFormatting sqref="B131">
    <cfRule type="cellIs" dxfId="1662" priority="157" stopIfTrue="1" operator="equal">
      <formula>"Towel"</formula>
    </cfRule>
    <cfRule type="cellIs" dxfId="1661" priority="158" stopIfTrue="1" operator="equal">
      <formula>"Napkin Hs"</formula>
    </cfRule>
  </conditionalFormatting>
  <conditionalFormatting sqref="C131">
    <cfRule type="cellIs" dxfId="1660" priority="165" stopIfTrue="1" operator="equal">
      <formula>"Towel"</formula>
    </cfRule>
    <cfRule type="cellIs" dxfId="1659" priority="166" stopIfTrue="1" operator="equal">
      <formula>"Napkin Hs"</formula>
    </cfRule>
  </conditionalFormatting>
  <conditionalFormatting sqref="B131">
    <cfRule type="cellIs" dxfId="1658" priority="155" stopIfTrue="1" operator="equal">
      <formula>"Towel"</formula>
    </cfRule>
    <cfRule type="cellIs" dxfId="1657" priority="156" stopIfTrue="1" operator="equal">
      <formula>"Napkin Hs"</formula>
    </cfRule>
  </conditionalFormatting>
  <conditionalFormatting sqref="C131">
    <cfRule type="cellIs" dxfId="1656" priority="159" stopIfTrue="1" operator="equal">
      <formula>"Towel"</formula>
    </cfRule>
    <cfRule type="cellIs" dxfId="1655" priority="160" stopIfTrue="1" operator="equal">
      <formula>"Napkin Hs"</formula>
    </cfRule>
  </conditionalFormatting>
  <conditionalFormatting sqref="C131">
    <cfRule type="cellIs" dxfId="1654" priority="169" stopIfTrue="1" operator="equal">
      <formula>"Towel"</formula>
    </cfRule>
    <cfRule type="cellIs" dxfId="1653" priority="170" stopIfTrue="1" operator="equal">
      <formula>"Napkin Hs"</formula>
    </cfRule>
  </conditionalFormatting>
  <conditionalFormatting sqref="C131">
    <cfRule type="cellIs" dxfId="1652" priority="168" stopIfTrue="1" operator="equal">
      <formula>"Napkin Hs"</formula>
    </cfRule>
  </conditionalFormatting>
  <conditionalFormatting sqref="C131">
    <cfRule type="cellIs" dxfId="1651" priority="167" stopIfTrue="1" operator="equal">
      <formula>"Towel"</formula>
    </cfRule>
  </conditionalFormatting>
  <conditionalFormatting sqref="C131">
    <cfRule type="cellIs" dxfId="1650" priority="163" stopIfTrue="1" operator="equal">
      <formula>"Towel"</formula>
    </cfRule>
    <cfRule type="cellIs" dxfId="1649" priority="164" stopIfTrue="1" operator="equal">
      <formula>"Napkin Hs"</formula>
    </cfRule>
  </conditionalFormatting>
  <conditionalFormatting sqref="C131">
    <cfRule type="cellIs" dxfId="1648" priority="162" stopIfTrue="1" operator="equal">
      <formula>"Napkin Hs"</formula>
    </cfRule>
  </conditionalFormatting>
  <conditionalFormatting sqref="C131">
    <cfRule type="cellIs" dxfId="1647" priority="161" stopIfTrue="1" operator="equal">
      <formula>"Towel"</formula>
    </cfRule>
  </conditionalFormatting>
  <conditionalFormatting sqref="B131:C131">
    <cfRule type="cellIs" dxfId="1646" priority="175" stopIfTrue="1" operator="equal">
      <formula>"Towel"</formula>
    </cfRule>
    <cfRule type="cellIs" dxfId="1645" priority="176" stopIfTrue="1" operator="equal">
      <formula>"Napkin Hs"</formula>
    </cfRule>
  </conditionalFormatting>
  <conditionalFormatting sqref="C131">
    <cfRule type="cellIs" dxfId="1644" priority="173" stopIfTrue="1" operator="equal">
      <formula>"Towel"</formula>
    </cfRule>
    <cfRule type="cellIs" dxfId="1643" priority="174" stopIfTrue="1" operator="equal">
      <formula>"Napkin Hs"</formula>
    </cfRule>
  </conditionalFormatting>
  <conditionalFormatting sqref="C131">
    <cfRule type="cellIs" dxfId="1642" priority="171" stopIfTrue="1" operator="equal">
      <formula>"Towel"</formula>
    </cfRule>
    <cfRule type="cellIs" dxfId="1641" priority="172" stopIfTrue="1" operator="equal">
      <formula>"Napkin Hs"</formula>
    </cfRule>
  </conditionalFormatting>
  <conditionalFormatting sqref="B128:C129">
    <cfRule type="cellIs" dxfId="1640" priority="153" stopIfTrue="1" operator="equal">
      <formula>"Towel"</formula>
    </cfRule>
    <cfRule type="cellIs" dxfId="1639" priority="154" stopIfTrue="1" operator="equal">
      <formula>"Napkin Hs"</formula>
    </cfRule>
  </conditionalFormatting>
  <conditionalFormatting sqref="C128:C129">
    <cfRule type="cellIs" dxfId="1638" priority="151" stopIfTrue="1" operator="equal">
      <formula>"Towel"</formula>
    </cfRule>
    <cfRule type="cellIs" dxfId="1637" priority="152" stopIfTrue="1" operator="equal">
      <formula>"Napkin Hs"</formula>
    </cfRule>
  </conditionalFormatting>
  <conditionalFormatting sqref="C128:C129">
    <cfRule type="cellIs" dxfId="1636" priority="149" stopIfTrue="1" operator="equal">
      <formula>"Towel"</formula>
    </cfRule>
    <cfRule type="cellIs" dxfId="1635" priority="150" stopIfTrue="1" operator="equal">
      <formula>"Napkin Hs"</formula>
    </cfRule>
  </conditionalFormatting>
  <conditionalFormatting sqref="B130">
    <cfRule type="cellIs" dxfId="1634" priority="129" stopIfTrue="1" operator="equal">
      <formula>"Towel"</formula>
    </cfRule>
    <cfRule type="cellIs" dxfId="1633" priority="130" stopIfTrue="1" operator="equal">
      <formula>"Napkin Hs"</formula>
    </cfRule>
  </conditionalFormatting>
  <conditionalFormatting sqref="C130">
    <cfRule type="cellIs" dxfId="1632" priority="137" stopIfTrue="1" operator="equal">
      <formula>"Towel"</formula>
    </cfRule>
    <cfRule type="cellIs" dxfId="1631" priority="138" stopIfTrue="1" operator="equal">
      <formula>"Napkin Hs"</formula>
    </cfRule>
  </conditionalFormatting>
  <conditionalFormatting sqref="B130">
    <cfRule type="cellIs" dxfId="1630" priority="127" stopIfTrue="1" operator="equal">
      <formula>"Towel"</formula>
    </cfRule>
    <cfRule type="cellIs" dxfId="1629" priority="128" stopIfTrue="1" operator="equal">
      <formula>"Napkin Hs"</formula>
    </cfRule>
  </conditionalFormatting>
  <conditionalFormatting sqref="C130">
    <cfRule type="cellIs" dxfId="1628" priority="131" stopIfTrue="1" operator="equal">
      <formula>"Towel"</formula>
    </cfRule>
    <cfRule type="cellIs" dxfId="1627" priority="132" stopIfTrue="1" operator="equal">
      <formula>"Napkin Hs"</formula>
    </cfRule>
  </conditionalFormatting>
  <conditionalFormatting sqref="C130">
    <cfRule type="cellIs" dxfId="1626" priority="141" stopIfTrue="1" operator="equal">
      <formula>"Towel"</formula>
    </cfRule>
    <cfRule type="cellIs" dxfId="1625" priority="142" stopIfTrue="1" operator="equal">
      <formula>"Napkin Hs"</formula>
    </cfRule>
  </conditionalFormatting>
  <conditionalFormatting sqref="C130">
    <cfRule type="cellIs" dxfId="1624" priority="140" stopIfTrue="1" operator="equal">
      <formula>"Napkin Hs"</formula>
    </cfRule>
  </conditionalFormatting>
  <conditionalFormatting sqref="C130">
    <cfRule type="cellIs" dxfId="1623" priority="139" stopIfTrue="1" operator="equal">
      <formula>"Towel"</formula>
    </cfRule>
  </conditionalFormatting>
  <conditionalFormatting sqref="C130">
    <cfRule type="cellIs" dxfId="1622" priority="135" stopIfTrue="1" operator="equal">
      <formula>"Towel"</formula>
    </cfRule>
    <cfRule type="cellIs" dxfId="1621" priority="136" stopIfTrue="1" operator="equal">
      <formula>"Napkin Hs"</formula>
    </cfRule>
  </conditionalFormatting>
  <conditionalFormatting sqref="C130">
    <cfRule type="cellIs" dxfId="1620" priority="134" stopIfTrue="1" operator="equal">
      <formula>"Napkin Hs"</formula>
    </cfRule>
  </conditionalFormatting>
  <conditionalFormatting sqref="C130">
    <cfRule type="cellIs" dxfId="1619" priority="133" stopIfTrue="1" operator="equal">
      <formula>"Towel"</formula>
    </cfRule>
  </conditionalFormatting>
  <conditionalFormatting sqref="B130:C130">
    <cfRule type="cellIs" dxfId="1618" priority="147" stopIfTrue="1" operator="equal">
      <formula>"Towel"</formula>
    </cfRule>
    <cfRule type="cellIs" dxfId="1617" priority="148" stopIfTrue="1" operator="equal">
      <formula>"Napkin Hs"</formula>
    </cfRule>
  </conditionalFormatting>
  <conditionalFormatting sqref="C130">
    <cfRule type="cellIs" dxfId="1616" priority="145" stopIfTrue="1" operator="equal">
      <formula>"Towel"</formula>
    </cfRule>
    <cfRule type="cellIs" dxfId="1615" priority="146" stopIfTrue="1" operator="equal">
      <formula>"Napkin Hs"</formula>
    </cfRule>
  </conditionalFormatting>
  <conditionalFormatting sqref="C130">
    <cfRule type="cellIs" dxfId="1614" priority="143" stopIfTrue="1" operator="equal">
      <formula>"Towel"</formula>
    </cfRule>
    <cfRule type="cellIs" dxfId="1613" priority="144" stopIfTrue="1" operator="equal">
      <formula>"Napkin Hs"</formula>
    </cfRule>
  </conditionalFormatting>
  <conditionalFormatting sqref="B130:C130">
    <cfRule type="cellIs" dxfId="1612" priority="125" stopIfTrue="1" operator="equal">
      <formula>"Towel"</formula>
    </cfRule>
    <cfRule type="cellIs" dxfId="1611" priority="126" stopIfTrue="1" operator="equal">
      <formula>"Napkin Hs"</formula>
    </cfRule>
  </conditionalFormatting>
  <conditionalFormatting sqref="C130">
    <cfRule type="cellIs" dxfId="1610" priority="123" stopIfTrue="1" operator="equal">
      <formula>"Towel"</formula>
    </cfRule>
    <cfRule type="cellIs" dxfId="1609" priority="124" stopIfTrue="1" operator="equal">
      <formula>"Napkin Hs"</formula>
    </cfRule>
  </conditionalFormatting>
  <conditionalFormatting sqref="C130">
    <cfRule type="cellIs" dxfId="1608" priority="121" stopIfTrue="1" operator="equal">
      <formula>"Towel"</formula>
    </cfRule>
    <cfRule type="cellIs" dxfId="1607" priority="122" stopIfTrue="1" operator="equal">
      <formula>"Napkin Hs"</formula>
    </cfRule>
  </conditionalFormatting>
  <conditionalFormatting sqref="C130">
    <cfRule type="cellIs" dxfId="1606" priority="115" stopIfTrue="1" operator="equal">
      <formula>"Towel"</formula>
    </cfRule>
    <cfRule type="cellIs" dxfId="1605" priority="116" stopIfTrue="1" operator="equal">
      <formula>"Napkin Hs"</formula>
    </cfRule>
  </conditionalFormatting>
  <conditionalFormatting sqref="B130">
    <cfRule type="cellIs" dxfId="1604" priority="105" stopIfTrue="1" operator="equal">
      <formula>"Towel"</formula>
    </cfRule>
    <cfRule type="cellIs" dxfId="1603" priority="106" stopIfTrue="1" operator="equal">
      <formula>"Napkin Hs"</formula>
    </cfRule>
  </conditionalFormatting>
  <conditionalFormatting sqref="C130">
    <cfRule type="cellIs" dxfId="1602" priority="109" stopIfTrue="1" operator="equal">
      <formula>"Towel"</formula>
    </cfRule>
    <cfRule type="cellIs" dxfId="1601" priority="110" stopIfTrue="1" operator="equal">
      <formula>"Napkin Hs"</formula>
    </cfRule>
  </conditionalFormatting>
  <conditionalFormatting sqref="C130">
    <cfRule type="cellIs" dxfId="1600" priority="119" stopIfTrue="1" operator="equal">
      <formula>"Towel"</formula>
    </cfRule>
    <cfRule type="cellIs" dxfId="1599" priority="120" stopIfTrue="1" operator="equal">
      <formula>"Napkin Hs"</formula>
    </cfRule>
  </conditionalFormatting>
  <conditionalFormatting sqref="B130">
    <cfRule type="cellIs" dxfId="1598" priority="107" stopIfTrue="1" operator="equal">
      <formula>"Towel"</formula>
    </cfRule>
    <cfRule type="cellIs" dxfId="1597" priority="108" stopIfTrue="1" operator="equal">
      <formula>"Napkin Hs"</formula>
    </cfRule>
  </conditionalFormatting>
  <conditionalFormatting sqref="C130">
    <cfRule type="cellIs" dxfId="1596" priority="118" stopIfTrue="1" operator="equal">
      <formula>"Napkin Hs"</formula>
    </cfRule>
  </conditionalFormatting>
  <conditionalFormatting sqref="C130">
    <cfRule type="cellIs" dxfId="1595" priority="117" stopIfTrue="1" operator="equal">
      <formula>"Towel"</formula>
    </cfRule>
  </conditionalFormatting>
  <conditionalFormatting sqref="C130">
    <cfRule type="cellIs" dxfId="1594" priority="113" stopIfTrue="1" operator="equal">
      <formula>"Towel"</formula>
    </cfRule>
    <cfRule type="cellIs" dxfId="1593" priority="114" stopIfTrue="1" operator="equal">
      <formula>"Napkin Hs"</formula>
    </cfRule>
  </conditionalFormatting>
  <conditionalFormatting sqref="C130">
    <cfRule type="cellIs" dxfId="1592" priority="112" stopIfTrue="1" operator="equal">
      <formula>"Napkin Hs"</formula>
    </cfRule>
  </conditionalFormatting>
  <conditionalFormatting sqref="C130">
    <cfRule type="cellIs" dxfId="1591" priority="111" stopIfTrue="1" operator="equal">
      <formula>"Towel"</formula>
    </cfRule>
  </conditionalFormatting>
  <conditionalFormatting sqref="C128:C129">
    <cfRule type="cellIs" dxfId="1590" priority="99" stopIfTrue="1" operator="equal">
      <formula>"Towel"</formula>
    </cfRule>
    <cfRule type="cellIs" dxfId="1589" priority="100" stopIfTrue="1" operator="equal">
      <formula>"Napkin Hs"</formula>
    </cfRule>
  </conditionalFormatting>
  <conditionalFormatting sqref="C128:C129">
    <cfRule type="cellIs" dxfId="1588" priority="93" stopIfTrue="1" operator="equal">
      <formula>"Towel"</formula>
    </cfRule>
    <cfRule type="cellIs" dxfId="1587" priority="94" stopIfTrue="1" operator="equal">
      <formula>"Napkin Hs"</formula>
    </cfRule>
  </conditionalFormatting>
  <conditionalFormatting sqref="C128:C129">
    <cfRule type="cellIs" dxfId="1586" priority="103" stopIfTrue="1" operator="equal">
      <formula>"Towel"</formula>
    </cfRule>
    <cfRule type="cellIs" dxfId="1585" priority="104" stopIfTrue="1" operator="equal">
      <formula>"Napkin Hs"</formula>
    </cfRule>
  </conditionalFormatting>
  <conditionalFormatting sqref="C128:C129">
    <cfRule type="cellIs" dxfId="1584" priority="102" stopIfTrue="1" operator="equal">
      <formula>"Napkin Hs"</formula>
    </cfRule>
  </conditionalFormatting>
  <conditionalFormatting sqref="C128:C129">
    <cfRule type="cellIs" dxfId="1583" priority="101" stopIfTrue="1" operator="equal">
      <formula>"Towel"</formula>
    </cfRule>
  </conditionalFormatting>
  <conditionalFormatting sqref="C128:C129">
    <cfRule type="cellIs" dxfId="1582" priority="97" stopIfTrue="1" operator="equal">
      <formula>"Towel"</formula>
    </cfRule>
    <cfRule type="cellIs" dxfId="1581" priority="98" stopIfTrue="1" operator="equal">
      <formula>"Napkin Hs"</formula>
    </cfRule>
  </conditionalFormatting>
  <conditionalFormatting sqref="C128:C129">
    <cfRule type="cellIs" dxfId="1580" priority="96" stopIfTrue="1" operator="equal">
      <formula>"Napkin Hs"</formula>
    </cfRule>
  </conditionalFormatting>
  <conditionalFormatting sqref="C128:C129">
    <cfRule type="cellIs" dxfId="1579" priority="95" stopIfTrue="1" operator="equal">
      <formula>"Towel"</formula>
    </cfRule>
  </conditionalFormatting>
  <conditionalFormatting sqref="B128:B129">
    <cfRule type="cellIs" dxfId="1578" priority="89" stopIfTrue="1" operator="equal">
      <formula>"Towel"</formula>
    </cfRule>
    <cfRule type="cellIs" dxfId="1577" priority="90" stopIfTrue="1" operator="equal">
      <formula>"Napkin Hs"</formula>
    </cfRule>
  </conditionalFormatting>
  <conditionalFormatting sqref="B128:B129">
    <cfRule type="cellIs" dxfId="1576" priority="91" stopIfTrue="1" operator="equal">
      <formula>"Towel"</formula>
    </cfRule>
    <cfRule type="cellIs" dxfId="1575" priority="92" stopIfTrue="1" operator="equal">
      <formula>"Napkin Hs"</formula>
    </cfRule>
  </conditionalFormatting>
  <conditionalFormatting sqref="B132:C133 B134">
    <cfRule type="cellIs" dxfId="1574" priority="65" stopIfTrue="1" operator="equal">
      <formula>"Towel"</formula>
    </cfRule>
    <cfRule type="cellIs" dxfId="1573" priority="66" stopIfTrue="1" operator="equal">
      <formula>"Napkin Hs"</formula>
    </cfRule>
  </conditionalFormatting>
  <conditionalFormatting sqref="C132:C133">
    <cfRule type="cellIs" dxfId="1572" priority="63" stopIfTrue="1" operator="equal">
      <formula>"Towel"</formula>
    </cfRule>
    <cfRule type="cellIs" dxfId="1571" priority="64" stopIfTrue="1" operator="equal">
      <formula>"Napkin Hs"</formula>
    </cfRule>
  </conditionalFormatting>
  <conditionalFormatting sqref="C132:C133">
    <cfRule type="cellIs" dxfId="1570" priority="61" stopIfTrue="1" operator="equal">
      <formula>"Towel"</formula>
    </cfRule>
    <cfRule type="cellIs" dxfId="1569" priority="62" stopIfTrue="1" operator="equal">
      <formula>"Napkin Hs"</formula>
    </cfRule>
  </conditionalFormatting>
  <conditionalFormatting sqref="C134">
    <cfRule type="cellIs" dxfId="1568" priority="49" stopIfTrue="1" operator="equal">
      <formula>"Towel"</formula>
    </cfRule>
    <cfRule type="cellIs" dxfId="1567" priority="50" stopIfTrue="1" operator="equal">
      <formula>"Napkin Hs"</formula>
    </cfRule>
  </conditionalFormatting>
  <conditionalFormatting sqref="C134">
    <cfRule type="cellIs" dxfId="1566" priority="43" stopIfTrue="1" operator="equal">
      <formula>"Towel"</formula>
    </cfRule>
    <cfRule type="cellIs" dxfId="1565" priority="44" stopIfTrue="1" operator="equal">
      <formula>"Napkin Hs"</formula>
    </cfRule>
  </conditionalFormatting>
  <conditionalFormatting sqref="C134">
    <cfRule type="cellIs" dxfId="1564" priority="53" stopIfTrue="1" operator="equal">
      <formula>"Towel"</formula>
    </cfRule>
    <cfRule type="cellIs" dxfId="1563" priority="54" stopIfTrue="1" operator="equal">
      <formula>"Napkin Hs"</formula>
    </cfRule>
  </conditionalFormatting>
  <conditionalFormatting sqref="C134">
    <cfRule type="cellIs" dxfId="1562" priority="52" stopIfTrue="1" operator="equal">
      <formula>"Napkin Hs"</formula>
    </cfRule>
  </conditionalFormatting>
  <conditionalFormatting sqref="C134">
    <cfRule type="cellIs" dxfId="1561" priority="51" stopIfTrue="1" operator="equal">
      <formula>"Towel"</formula>
    </cfRule>
  </conditionalFormatting>
  <conditionalFormatting sqref="C134">
    <cfRule type="cellIs" dxfId="1560" priority="47" stopIfTrue="1" operator="equal">
      <formula>"Towel"</formula>
    </cfRule>
    <cfRule type="cellIs" dxfId="1559" priority="48" stopIfTrue="1" operator="equal">
      <formula>"Napkin Hs"</formula>
    </cfRule>
  </conditionalFormatting>
  <conditionalFormatting sqref="C134">
    <cfRule type="cellIs" dxfId="1558" priority="46" stopIfTrue="1" operator="equal">
      <formula>"Napkin Hs"</formula>
    </cfRule>
  </conditionalFormatting>
  <conditionalFormatting sqref="C134">
    <cfRule type="cellIs" dxfId="1557" priority="45" stopIfTrue="1" operator="equal">
      <formula>"Towel"</formula>
    </cfRule>
  </conditionalFormatting>
  <conditionalFormatting sqref="C134">
    <cfRule type="cellIs" dxfId="1556" priority="59" stopIfTrue="1" operator="equal">
      <formula>"Towel"</formula>
    </cfRule>
    <cfRule type="cellIs" dxfId="1555" priority="60" stopIfTrue="1" operator="equal">
      <formula>"Napkin Hs"</formula>
    </cfRule>
  </conditionalFormatting>
  <conditionalFormatting sqref="C134">
    <cfRule type="cellIs" dxfId="1554" priority="57" stopIfTrue="1" operator="equal">
      <formula>"Towel"</formula>
    </cfRule>
    <cfRule type="cellIs" dxfId="1553" priority="58" stopIfTrue="1" operator="equal">
      <formula>"Napkin Hs"</formula>
    </cfRule>
  </conditionalFormatting>
  <conditionalFormatting sqref="C134">
    <cfRule type="cellIs" dxfId="1552" priority="55" stopIfTrue="1" operator="equal">
      <formula>"Towel"</formula>
    </cfRule>
    <cfRule type="cellIs" dxfId="1551" priority="56" stopIfTrue="1" operator="equal">
      <formula>"Napkin Hs"</formula>
    </cfRule>
  </conditionalFormatting>
  <conditionalFormatting sqref="C134">
    <cfRule type="cellIs" dxfId="1550" priority="37" stopIfTrue="1" operator="equal">
      <formula>"Towel"</formula>
    </cfRule>
    <cfRule type="cellIs" dxfId="1549" priority="38" stopIfTrue="1" operator="equal">
      <formula>"Napkin Hs"</formula>
    </cfRule>
  </conditionalFormatting>
  <conditionalFormatting sqref="C134">
    <cfRule type="cellIs" dxfId="1548" priority="35" stopIfTrue="1" operator="equal">
      <formula>"Towel"</formula>
    </cfRule>
    <cfRule type="cellIs" dxfId="1547" priority="36" stopIfTrue="1" operator="equal">
      <formula>"Napkin Hs"</formula>
    </cfRule>
  </conditionalFormatting>
  <conditionalFormatting sqref="C134">
    <cfRule type="cellIs" dxfId="1546" priority="33" stopIfTrue="1" operator="equal">
      <formula>"Towel"</formula>
    </cfRule>
    <cfRule type="cellIs" dxfId="1545" priority="34" stopIfTrue="1" operator="equal">
      <formula>"Napkin Hs"</formula>
    </cfRule>
  </conditionalFormatting>
  <conditionalFormatting sqref="C134">
    <cfRule type="cellIs" dxfId="1544" priority="27" stopIfTrue="1" operator="equal">
      <formula>"Towel"</formula>
    </cfRule>
    <cfRule type="cellIs" dxfId="1543" priority="28" stopIfTrue="1" operator="equal">
      <formula>"Napkin Hs"</formula>
    </cfRule>
  </conditionalFormatting>
  <conditionalFormatting sqref="C134">
    <cfRule type="cellIs" dxfId="1542" priority="21" stopIfTrue="1" operator="equal">
      <formula>"Towel"</formula>
    </cfRule>
    <cfRule type="cellIs" dxfId="1541" priority="22" stopIfTrue="1" operator="equal">
      <formula>"Napkin Hs"</formula>
    </cfRule>
  </conditionalFormatting>
  <conditionalFormatting sqref="C134">
    <cfRule type="cellIs" dxfId="1540" priority="31" stopIfTrue="1" operator="equal">
      <formula>"Towel"</formula>
    </cfRule>
    <cfRule type="cellIs" dxfId="1539" priority="32" stopIfTrue="1" operator="equal">
      <formula>"Napkin Hs"</formula>
    </cfRule>
  </conditionalFormatting>
  <conditionalFormatting sqref="C134">
    <cfRule type="cellIs" dxfId="1538" priority="30" stopIfTrue="1" operator="equal">
      <formula>"Napkin Hs"</formula>
    </cfRule>
  </conditionalFormatting>
  <conditionalFormatting sqref="C134">
    <cfRule type="cellIs" dxfId="1537" priority="29" stopIfTrue="1" operator="equal">
      <formula>"Towel"</formula>
    </cfRule>
  </conditionalFormatting>
  <conditionalFormatting sqref="C134">
    <cfRule type="cellIs" dxfId="1536" priority="25" stopIfTrue="1" operator="equal">
      <formula>"Towel"</formula>
    </cfRule>
    <cfRule type="cellIs" dxfId="1535" priority="26" stopIfTrue="1" operator="equal">
      <formula>"Napkin Hs"</formula>
    </cfRule>
  </conditionalFormatting>
  <conditionalFormatting sqref="C134">
    <cfRule type="cellIs" dxfId="1534" priority="24" stopIfTrue="1" operator="equal">
      <formula>"Napkin Hs"</formula>
    </cfRule>
  </conditionalFormatting>
  <conditionalFormatting sqref="C134">
    <cfRule type="cellIs" dxfId="1533" priority="23" stopIfTrue="1" operator="equal">
      <formula>"Towel"</formula>
    </cfRule>
  </conditionalFormatting>
  <conditionalFormatting sqref="C132:C133">
    <cfRule type="cellIs" dxfId="1532" priority="11" stopIfTrue="1" operator="equal">
      <formula>"Towel"</formula>
    </cfRule>
    <cfRule type="cellIs" dxfId="1531" priority="12" stopIfTrue="1" operator="equal">
      <formula>"Napkin Hs"</formula>
    </cfRule>
  </conditionalFormatting>
  <conditionalFormatting sqref="C132:C133">
    <cfRule type="cellIs" dxfId="1530" priority="5" stopIfTrue="1" operator="equal">
      <formula>"Towel"</formula>
    </cfRule>
    <cfRule type="cellIs" dxfId="1529" priority="6" stopIfTrue="1" operator="equal">
      <formula>"Napkin Hs"</formula>
    </cfRule>
  </conditionalFormatting>
  <conditionalFormatting sqref="C132:C133">
    <cfRule type="cellIs" dxfId="1528" priority="15" stopIfTrue="1" operator="equal">
      <formula>"Towel"</formula>
    </cfRule>
    <cfRule type="cellIs" dxfId="1527" priority="16" stopIfTrue="1" operator="equal">
      <formula>"Napkin Hs"</formula>
    </cfRule>
  </conditionalFormatting>
  <conditionalFormatting sqref="C132:C133">
    <cfRule type="cellIs" dxfId="1526" priority="14" stopIfTrue="1" operator="equal">
      <formula>"Napkin Hs"</formula>
    </cfRule>
  </conditionalFormatting>
  <conditionalFormatting sqref="C132:C133">
    <cfRule type="cellIs" dxfId="1525" priority="13" stopIfTrue="1" operator="equal">
      <formula>"Towel"</formula>
    </cfRule>
  </conditionalFormatting>
  <conditionalFormatting sqref="C132:C133">
    <cfRule type="cellIs" dxfId="1524" priority="9" stopIfTrue="1" operator="equal">
      <formula>"Towel"</formula>
    </cfRule>
    <cfRule type="cellIs" dxfId="1523" priority="10" stopIfTrue="1" operator="equal">
      <formula>"Napkin Hs"</formula>
    </cfRule>
  </conditionalFormatting>
  <conditionalFormatting sqref="C132:C133">
    <cfRule type="cellIs" dxfId="1522" priority="8" stopIfTrue="1" operator="equal">
      <formula>"Napkin Hs"</formula>
    </cfRule>
  </conditionalFormatting>
  <conditionalFormatting sqref="C132:C133">
    <cfRule type="cellIs" dxfId="1521" priority="7" stopIfTrue="1" operator="equal">
      <formula>"Towel"</formula>
    </cfRule>
  </conditionalFormatting>
  <conditionalFormatting sqref="B132:B134">
    <cfRule type="cellIs" dxfId="1520" priority="1" stopIfTrue="1" operator="equal">
      <formula>"Towel"</formula>
    </cfRule>
    <cfRule type="cellIs" dxfId="1519" priority="2" stopIfTrue="1" operator="equal">
      <formula>"Napkin Hs"</formula>
    </cfRule>
  </conditionalFormatting>
  <conditionalFormatting sqref="B132:B134">
    <cfRule type="cellIs" dxfId="1518" priority="3" stopIfTrue="1" operator="equal">
      <formula>"Towel"</formula>
    </cfRule>
    <cfRule type="cellIs" dxfId="1517" priority="4" stopIfTrue="1" operator="equal">
      <formula>"Napkin Hs"</formula>
    </cfRule>
  </conditionalFormatting>
  <pageMargins left="0.75" right="0.75" top="1" bottom="1" header="0.5" footer="0.5"/>
  <pageSetup scale="2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S179"/>
  <sheetViews>
    <sheetView zoomScale="90" zoomScaleNormal="90" workbookViewId="0">
      <pane xSplit="6" ySplit="6" topLeftCell="AX109" activePane="bottomRight" state="frozen"/>
      <selection pane="topRight" activeCell="F1" sqref="F1"/>
      <selection pane="bottomLeft" activeCell="A7" sqref="A7"/>
      <selection pane="bottomRight" activeCell="BD6" sqref="BD6:BF111"/>
    </sheetView>
  </sheetViews>
  <sheetFormatPr defaultColWidth="10.33203125" defaultRowHeight="11.4"/>
  <cols>
    <col min="1" max="1" width="12.33203125" style="30" customWidth="1"/>
    <col min="2" max="3" width="14.109375" style="30" customWidth="1"/>
    <col min="4" max="4" width="10.33203125" style="30" customWidth="1"/>
    <col min="5" max="5" width="7.5546875" style="30" bestFit="1" customWidth="1"/>
    <col min="6" max="6" width="7" style="54" customWidth="1"/>
    <col min="7" max="9" width="10.33203125" style="30" customWidth="1"/>
    <col min="10" max="11" width="10.33203125" style="83" customWidth="1"/>
    <col min="12" max="13" width="12.6640625" style="55" customWidth="1"/>
    <col min="14" max="15" width="10.33203125" style="30" customWidth="1"/>
    <col min="16" max="16" width="16.88671875" style="30" bestFit="1" customWidth="1"/>
    <col min="17" max="17" width="12.6640625" style="312" customWidth="1"/>
    <col min="18" max="19" width="10.33203125" style="30" customWidth="1"/>
    <col min="20" max="20" width="10.6640625" style="30" customWidth="1"/>
    <col min="21" max="21" width="10.33203125" style="30" customWidth="1"/>
    <col min="22" max="22" width="12.33203125" style="30" customWidth="1"/>
    <col min="23" max="23" width="13" style="30" customWidth="1"/>
    <col min="24" max="24" width="10.33203125" style="30" customWidth="1"/>
    <col min="25" max="25" width="10.109375" style="30" customWidth="1"/>
    <col min="26" max="28" width="10.33203125" style="30" customWidth="1"/>
    <col min="29" max="29" width="12" style="30" customWidth="1"/>
    <col min="30" max="30" width="11.44140625" style="30" bestFit="1" customWidth="1"/>
    <col min="31" max="31" width="50" style="30" customWidth="1"/>
    <col min="32" max="37" width="10.33203125" style="30" customWidth="1"/>
    <col min="38" max="39" width="11.6640625" style="30" customWidth="1"/>
    <col min="40" max="41" width="10.33203125" style="30" customWidth="1"/>
    <col min="42" max="42" width="12.44140625" style="30" customWidth="1"/>
    <col min="43" max="43" width="12.5546875" style="30" customWidth="1"/>
    <col min="44" max="44" width="29.6640625" style="30" bestFit="1" customWidth="1"/>
    <col min="45" max="16384" width="10.33203125" style="30"/>
  </cols>
  <sheetData>
    <row r="1" spans="1:58" s="23" customFormat="1" ht="15.6">
      <c r="A1" s="22" t="s">
        <v>399</v>
      </c>
      <c r="G1" s="24"/>
      <c r="H1" s="24"/>
      <c r="I1" s="24"/>
      <c r="J1" s="80"/>
      <c r="K1" s="80"/>
      <c r="L1" s="25"/>
      <c r="M1" s="25"/>
      <c r="O1" s="24"/>
      <c r="P1" s="26"/>
      <c r="Q1" s="24"/>
      <c r="R1" s="26"/>
      <c r="S1" s="26"/>
      <c r="W1" s="26"/>
      <c r="X1" s="27"/>
      <c r="Y1" s="27"/>
      <c r="Z1" s="26"/>
      <c r="AF1" s="26"/>
      <c r="AG1" s="26"/>
      <c r="AH1" s="26"/>
      <c r="AI1" s="26"/>
      <c r="AJ1" s="26"/>
      <c r="AK1" s="26"/>
      <c r="AL1" s="26"/>
      <c r="AM1" s="26"/>
      <c r="AN1" s="26"/>
      <c r="AO1" s="26"/>
      <c r="AP1" s="26"/>
      <c r="AQ1" s="26"/>
      <c r="AR1" s="26"/>
      <c r="AS1" s="26"/>
      <c r="AT1" s="26"/>
      <c r="AU1" s="26"/>
      <c r="AV1" s="26"/>
      <c r="AW1" s="26"/>
      <c r="AX1" s="26"/>
      <c r="AY1" s="26"/>
      <c r="AZ1" s="26"/>
      <c r="BA1" s="26"/>
    </row>
    <row r="2" spans="1:58" s="23" customFormat="1" ht="12">
      <c r="A2" s="90"/>
      <c r="G2" s="24"/>
      <c r="H2" s="24"/>
      <c r="I2" s="24"/>
      <c r="J2" s="80"/>
      <c r="K2" s="80"/>
      <c r="L2" s="25"/>
      <c r="M2" s="25"/>
      <c r="O2" s="24"/>
      <c r="P2" s="26"/>
      <c r="Q2" s="24"/>
      <c r="R2" s="26"/>
      <c r="S2" s="26"/>
      <c r="W2" s="26"/>
      <c r="X2" s="27"/>
      <c r="Y2" s="27"/>
      <c r="Z2" s="26"/>
      <c r="AF2" s="26"/>
      <c r="AG2" s="26"/>
      <c r="AH2" s="26"/>
      <c r="AI2" s="26"/>
      <c r="AJ2" s="26"/>
      <c r="AK2" s="26"/>
      <c r="AL2" s="26"/>
      <c r="AM2" s="26"/>
      <c r="AN2" s="26"/>
      <c r="AO2" s="26"/>
      <c r="AP2" s="26"/>
      <c r="AQ2" s="26"/>
      <c r="AR2" s="26"/>
      <c r="AS2" s="26"/>
      <c r="AT2" s="26"/>
      <c r="AU2" s="26"/>
      <c r="AV2" s="26"/>
      <c r="AW2" s="26"/>
      <c r="AX2" s="26"/>
      <c r="AY2" s="26"/>
      <c r="AZ2" s="26"/>
      <c r="BA2" s="26"/>
    </row>
    <row r="3" spans="1:58" ht="24" customHeight="1">
      <c r="A3" s="659" t="s">
        <v>8</v>
      </c>
      <c r="B3" s="659" t="s">
        <v>9</v>
      </c>
      <c r="C3" s="659" t="s">
        <v>194</v>
      </c>
      <c r="D3" s="659" t="s">
        <v>102</v>
      </c>
      <c r="E3" s="659" t="s">
        <v>103</v>
      </c>
      <c r="F3" s="659" t="s">
        <v>104</v>
      </c>
      <c r="G3" s="685" t="s">
        <v>105</v>
      </c>
      <c r="H3" s="686"/>
      <c r="I3" s="686"/>
      <c r="J3" s="686"/>
      <c r="K3" s="687"/>
      <c r="L3" s="665" t="s">
        <v>106</v>
      </c>
      <c r="M3" s="666"/>
      <c r="N3" s="667"/>
      <c r="O3" s="671" t="s">
        <v>107</v>
      </c>
      <c r="P3" s="675" t="s">
        <v>119</v>
      </c>
      <c r="Q3" s="671" t="s">
        <v>108</v>
      </c>
      <c r="R3" s="673" t="s">
        <v>109</v>
      </c>
      <c r="S3" s="673" t="s">
        <v>110</v>
      </c>
      <c r="T3" s="659" t="s">
        <v>163</v>
      </c>
      <c r="U3" s="659" t="s">
        <v>162</v>
      </c>
      <c r="V3" s="659" t="s">
        <v>164</v>
      </c>
      <c r="W3" s="673" t="s">
        <v>154</v>
      </c>
      <c r="X3" s="661" t="s">
        <v>112</v>
      </c>
      <c r="Y3" s="661" t="s">
        <v>294</v>
      </c>
      <c r="Z3" s="673" t="s">
        <v>113</v>
      </c>
      <c r="AA3" s="659" t="s">
        <v>165</v>
      </c>
      <c r="AB3" s="659" t="s">
        <v>176</v>
      </c>
      <c r="AC3" s="659" t="s">
        <v>174</v>
      </c>
      <c r="AD3" s="659" t="s">
        <v>137</v>
      </c>
      <c r="AE3" s="659" t="s">
        <v>138</v>
      </c>
      <c r="AF3" s="695" t="s">
        <v>139</v>
      </c>
      <c r="AG3" s="695"/>
      <c r="AH3" s="695"/>
      <c r="AI3" s="695"/>
      <c r="AJ3" s="695"/>
      <c r="AK3" s="695"/>
      <c r="AL3" s="695"/>
      <c r="AM3" s="678" t="s">
        <v>140</v>
      </c>
      <c r="AN3" s="697" t="s">
        <v>114</v>
      </c>
      <c r="AO3" s="697"/>
      <c r="AP3" s="697"/>
      <c r="AQ3" s="697"/>
      <c r="AR3" s="697"/>
      <c r="AS3" s="698" t="s">
        <v>115</v>
      </c>
      <c r="AT3" s="691" t="s">
        <v>227</v>
      </c>
      <c r="AU3" s="692"/>
      <c r="AV3" s="700" t="s">
        <v>141</v>
      </c>
      <c r="AW3" s="701"/>
      <c r="AX3" s="702" t="s">
        <v>141</v>
      </c>
      <c r="AY3" s="703"/>
      <c r="AZ3" s="704" t="s">
        <v>303</v>
      </c>
      <c r="BA3" s="681" t="s">
        <v>116</v>
      </c>
      <c r="BB3" s="655" t="s">
        <v>117</v>
      </c>
      <c r="BC3" s="655" t="s">
        <v>118</v>
      </c>
      <c r="BD3" s="649" t="s">
        <v>400</v>
      </c>
      <c r="BE3" s="652" t="s">
        <v>401</v>
      </c>
      <c r="BF3" s="655" t="s">
        <v>402</v>
      </c>
    </row>
    <row r="4" spans="1:58" ht="12" customHeight="1">
      <c r="A4" s="660"/>
      <c r="B4" s="660"/>
      <c r="C4" s="660"/>
      <c r="D4" s="660"/>
      <c r="E4" s="660"/>
      <c r="F4" s="660"/>
      <c r="G4" s="688"/>
      <c r="H4" s="689"/>
      <c r="I4" s="689"/>
      <c r="J4" s="689"/>
      <c r="K4" s="690"/>
      <c r="L4" s="668"/>
      <c r="M4" s="669"/>
      <c r="N4" s="670"/>
      <c r="O4" s="672"/>
      <c r="P4" s="676"/>
      <c r="Q4" s="672"/>
      <c r="R4" s="674"/>
      <c r="S4" s="674"/>
      <c r="T4" s="660"/>
      <c r="U4" s="660"/>
      <c r="V4" s="660"/>
      <c r="W4" s="674"/>
      <c r="X4" s="662"/>
      <c r="Y4" s="662"/>
      <c r="Z4" s="674"/>
      <c r="AA4" s="660"/>
      <c r="AB4" s="660"/>
      <c r="AC4" s="660"/>
      <c r="AD4" s="660"/>
      <c r="AE4" s="660"/>
      <c r="AF4" s="682" t="s">
        <v>142</v>
      </c>
      <c r="AG4" s="683"/>
      <c r="AH4" s="684"/>
      <c r="AI4" s="676" t="s">
        <v>218</v>
      </c>
      <c r="AJ4" s="676" t="s">
        <v>15</v>
      </c>
      <c r="AK4" s="676" t="s">
        <v>143</v>
      </c>
      <c r="AL4" s="676" t="s">
        <v>18</v>
      </c>
      <c r="AM4" s="679"/>
      <c r="AN4" s="696" t="s">
        <v>120</v>
      </c>
      <c r="AO4" s="696" t="s">
        <v>15</v>
      </c>
      <c r="AP4" s="696" t="s">
        <v>121</v>
      </c>
      <c r="AQ4" s="696" t="s">
        <v>18</v>
      </c>
      <c r="AR4" s="681" t="s">
        <v>122</v>
      </c>
      <c r="AS4" s="698"/>
      <c r="AT4" s="693"/>
      <c r="AU4" s="694"/>
      <c r="AV4" s="491" t="s">
        <v>7</v>
      </c>
      <c r="AW4" s="491" t="s">
        <v>144</v>
      </c>
      <c r="AX4" s="492" t="s">
        <v>7</v>
      </c>
      <c r="AY4" s="493" t="s">
        <v>144</v>
      </c>
      <c r="AZ4" s="705"/>
      <c r="BA4" s="681"/>
      <c r="BB4" s="655"/>
      <c r="BC4" s="655"/>
      <c r="BD4" s="650"/>
      <c r="BE4" s="653"/>
      <c r="BF4" s="655"/>
    </row>
    <row r="5" spans="1:58" s="33" customFormat="1" ht="48">
      <c r="A5" s="660"/>
      <c r="B5" s="660"/>
      <c r="C5" s="664"/>
      <c r="D5" s="660"/>
      <c r="E5" s="660"/>
      <c r="F5" s="660"/>
      <c r="G5" s="475" t="s">
        <v>123</v>
      </c>
      <c r="H5" s="474" t="s">
        <v>124</v>
      </c>
      <c r="I5" s="31" t="s">
        <v>125</v>
      </c>
      <c r="J5" s="81" t="s">
        <v>126</v>
      </c>
      <c r="K5" s="81" t="s">
        <v>111</v>
      </c>
      <c r="L5" s="32" t="s">
        <v>127</v>
      </c>
      <c r="M5" s="32" t="s">
        <v>128</v>
      </c>
      <c r="N5" s="474" t="s">
        <v>129</v>
      </c>
      <c r="O5" s="672"/>
      <c r="P5" s="677"/>
      <c r="Q5" s="672"/>
      <c r="R5" s="674"/>
      <c r="S5" s="674"/>
      <c r="T5" s="660"/>
      <c r="U5" s="660"/>
      <c r="V5" s="660"/>
      <c r="W5" s="674"/>
      <c r="X5" s="662"/>
      <c r="Y5" s="663"/>
      <c r="Z5" s="674"/>
      <c r="AA5" s="660"/>
      <c r="AB5" s="664"/>
      <c r="AC5" s="660"/>
      <c r="AD5" s="664"/>
      <c r="AE5" s="660"/>
      <c r="AF5" s="405" t="s">
        <v>211</v>
      </c>
      <c r="AG5" s="495" t="s">
        <v>212</v>
      </c>
      <c r="AH5" s="495" t="s">
        <v>213</v>
      </c>
      <c r="AI5" s="677"/>
      <c r="AJ5" s="677"/>
      <c r="AK5" s="677"/>
      <c r="AL5" s="677"/>
      <c r="AM5" s="680"/>
      <c r="AN5" s="675"/>
      <c r="AO5" s="675"/>
      <c r="AP5" s="675"/>
      <c r="AQ5" s="675"/>
      <c r="AR5" s="673"/>
      <c r="AS5" s="699"/>
      <c r="AT5" s="496" t="s">
        <v>291</v>
      </c>
      <c r="AU5" s="496" t="s">
        <v>292</v>
      </c>
      <c r="AV5" s="494" t="s">
        <v>293</v>
      </c>
      <c r="AW5" s="494" t="s">
        <v>293</v>
      </c>
      <c r="AX5" s="492" t="s">
        <v>17</v>
      </c>
      <c r="AY5" s="492" t="s">
        <v>17</v>
      </c>
      <c r="AZ5" s="706"/>
      <c r="BA5" s="673"/>
      <c r="BB5" s="659"/>
      <c r="BC5" s="659"/>
      <c r="BD5" s="651"/>
      <c r="BE5" s="654"/>
      <c r="BF5" s="656"/>
    </row>
    <row r="6" spans="1:58" ht="12.9" customHeight="1">
      <c r="A6" s="41">
        <f>+Report1!A9</f>
        <v>46082</v>
      </c>
      <c r="B6" s="42" t="s">
        <v>422</v>
      </c>
      <c r="C6" s="393">
        <f>(M6*E6*O6*Q6)/100000000</f>
        <v>51.654014887499997</v>
      </c>
      <c r="D6" s="42" t="s">
        <v>423</v>
      </c>
      <c r="E6" s="43">
        <v>15</v>
      </c>
      <c r="F6" s="43">
        <v>1</v>
      </c>
      <c r="G6" s="406">
        <v>1145</v>
      </c>
      <c r="H6" s="533">
        <f>+N6</f>
        <v>0.17337981990302465</v>
      </c>
      <c r="I6" s="45">
        <v>0.88</v>
      </c>
      <c r="J6" s="82">
        <f>E6*G6*(1-H6)*1440/1000000*2.7</f>
        <v>55.198719794227664</v>
      </c>
      <c r="K6" s="82">
        <f>(IF(G6&lt;L6,L6,G6)*(1-IF(H6&lt;N6,H6,N6))*E6*O6*Q6)/100000000</f>
        <v>52.438783804516277</v>
      </c>
      <c r="L6" s="36">
        <v>1127.8645833333333</v>
      </c>
      <c r="M6" s="36">
        <v>932.31562499999995</v>
      </c>
      <c r="N6" s="46">
        <f>1-(M6/L6)</f>
        <v>0.17337981990302465</v>
      </c>
      <c r="O6" s="47">
        <f>+'Trim Rwd'!H4</f>
        <v>256.5</v>
      </c>
      <c r="P6" s="48">
        <f>O6*(Q6-R6-S6)</f>
        <v>362434.5</v>
      </c>
      <c r="Q6" s="47">
        <v>1440</v>
      </c>
      <c r="R6" s="362">
        <v>0</v>
      </c>
      <c r="S6" s="362">
        <v>27</v>
      </c>
      <c r="T6" s="38">
        <f>E6*M6*O6*Q6/100000000</f>
        <v>51.654014887499997</v>
      </c>
      <c r="U6" s="38">
        <f>E6*M6*O6*(Q6-R6-S6)/100000000</f>
        <v>50.685502108359373</v>
      </c>
      <c r="V6" s="38">
        <f>E6*G6*(1-N6)*O6/100*(R6+S6)/1000000</f>
        <v>0.98322719633468036</v>
      </c>
      <c r="W6" s="38">
        <f>+'1'!K7/1000</f>
        <v>56.237000000000002</v>
      </c>
      <c r="X6" s="361">
        <f>SUM(W6:W9)/SUM(K6:K9)</f>
        <v>1.0724314318509538</v>
      </c>
      <c r="Y6" s="38">
        <v>0</v>
      </c>
      <c r="Z6" s="38">
        <v>0</v>
      </c>
      <c r="AA6" s="49">
        <f>SUM(U6:U9)-SUM(W6:W9)-SUM(Z6:Z9)-SUM(Y6:Y9)</f>
        <v>-5.5514978916406292</v>
      </c>
      <c r="AB6" s="49">
        <f>(SUM(K6:K9)-SUM(W6:W9)-SUM(Y6:Y9)-SUM(Z6:Z9)-SUM(AC6:AC9)-SUM(V6:V9))-AA6</f>
        <v>-1.4714417194055862E-2</v>
      </c>
      <c r="AC6" s="38">
        <f>K6-T6</f>
        <v>0.78476891701627949</v>
      </c>
      <c r="AD6" s="38">
        <f>+AM6+BA6</f>
        <v>0</v>
      </c>
      <c r="AE6" s="226" t="s">
        <v>417</v>
      </c>
      <c r="AF6" s="38">
        <v>0</v>
      </c>
      <c r="AG6" s="38"/>
      <c r="AH6" s="38"/>
      <c r="AI6" s="476"/>
      <c r="AJ6" s="38"/>
      <c r="AK6" s="38"/>
      <c r="AL6" s="38"/>
      <c r="AM6" s="38">
        <f>SUM(AF6:AL6)+AT6+AV6+AX6</f>
        <v>0</v>
      </c>
      <c r="AN6" s="38"/>
      <c r="AO6" s="38"/>
      <c r="AP6" s="38"/>
      <c r="AQ6" s="38"/>
      <c r="AR6" s="38">
        <f>SUM(AN6:AQ6)</f>
        <v>0</v>
      </c>
      <c r="AS6" s="38"/>
      <c r="AT6" s="38"/>
      <c r="AU6" s="38"/>
      <c r="AV6" s="38"/>
      <c r="AW6" s="38"/>
      <c r="AX6" s="38"/>
      <c r="AY6" s="38"/>
      <c r="AZ6" s="38"/>
      <c r="BA6" s="38">
        <f>+AR6+AS6+AU6+AW6+AY6+AZ6</f>
        <v>0</v>
      </c>
      <c r="BB6" s="34">
        <v>0</v>
      </c>
      <c r="BC6" s="51"/>
      <c r="BD6" s="51"/>
      <c r="BE6" s="34"/>
      <c r="BF6" s="51"/>
    </row>
    <row r="7" spans="1:58" ht="12.9" customHeight="1">
      <c r="A7" s="41"/>
      <c r="B7" s="42"/>
      <c r="C7" s="393"/>
      <c r="D7" s="42"/>
      <c r="E7" s="43"/>
      <c r="F7" s="43"/>
      <c r="G7" s="406"/>
      <c r="H7" s="533"/>
      <c r="I7" s="45"/>
      <c r="J7" s="82"/>
      <c r="K7" s="82"/>
      <c r="L7" s="36"/>
      <c r="M7" s="36"/>
      <c r="N7" s="46"/>
      <c r="O7" s="47"/>
      <c r="P7" s="48"/>
      <c r="Q7" s="47"/>
      <c r="R7" s="362"/>
      <c r="S7" s="362"/>
      <c r="T7" s="38"/>
      <c r="U7" s="38"/>
      <c r="V7" s="38"/>
      <c r="W7" s="38"/>
      <c r="X7" s="39"/>
      <c r="Y7" s="209"/>
      <c r="Z7" s="38"/>
      <c r="AA7" s="38"/>
      <c r="AB7" s="38"/>
      <c r="AC7" s="38"/>
      <c r="AD7" s="38">
        <f t="shared" ref="AD7:AD8" si="0">+AM7+BA7</f>
        <v>2</v>
      </c>
      <c r="AE7" s="226" t="s">
        <v>416</v>
      </c>
      <c r="AF7" s="38"/>
      <c r="AG7" s="38">
        <v>2</v>
      </c>
      <c r="AH7" s="38"/>
      <c r="AI7" s="476"/>
      <c r="AJ7" s="38"/>
      <c r="AK7" s="38"/>
      <c r="AL7" s="38"/>
      <c r="AM7" s="38">
        <f t="shared" ref="AM7:AM8" si="1">SUM(AF7:AL7)+AT7+AV7+AX7</f>
        <v>2</v>
      </c>
      <c r="AN7" s="83"/>
      <c r="AO7" s="38"/>
      <c r="AP7" s="38"/>
      <c r="AQ7" s="38"/>
      <c r="AR7" s="38">
        <f t="shared" ref="AR7:AR8" si="2">SUM(AN7:AQ7)</f>
        <v>0</v>
      </c>
      <c r="AS7" s="38"/>
      <c r="AT7" s="38"/>
      <c r="AU7" s="38"/>
      <c r="AV7" s="38"/>
      <c r="AW7" s="38"/>
      <c r="AX7" s="38"/>
      <c r="AY7" s="38"/>
      <c r="AZ7" s="38"/>
      <c r="BA7" s="38">
        <f t="shared" ref="BA7:BA8" si="3">+AR7+AS7+AU7+AW7+AY7+AZ7</f>
        <v>0</v>
      </c>
      <c r="BB7" s="50"/>
      <c r="BC7" s="51">
        <v>1</v>
      </c>
      <c r="BD7" s="51"/>
      <c r="BE7" s="50"/>
      <c r="BF7" s="51"/>
    </row>
    <row r="8" spans="1:58" ht="12.9" customHeight="1">
      <c r="A8" s="41"/>
      <c r="B8" s="42"/>
      <c r="C8" s="393"/>
      <c r="D8" s="42"/>
      <c r="E8" s="43"/>
      <c r="F8" s="43"/>
      <c r="G8" s="44"/>
      <c r="H8" s="533"/>
      <c r="I8" s="45"/>
      <c r="J8" s="82"/>
      <c r="K8" s="82"/>
      <c r="L8" s="36"/>
      <c r="M8" s="36"/>
      <c r="N8" s="46"/>
      <c r="O8" s="47"/>
      <c r="P8" s="48"/>
      <c r="Q8" s="47"/>
      <c r="R8" s="362"/>
      <c r="S8" s="362"/>
      <c r="T8" s="38"/>
      <c r="U8" s="38"/>
      <c r="V8" s="38"/>
      <c r="W8" s="38"/>
      <c r="X8" s="39"/>
      <c r="Y8" s="209"/>
      <c r="Z8" s="38"/>
      <c r="AA8" s="38"/>
      <c r="AB8" s="38"/>
      <c r="AC8" s="38"/>
      <c r="AD8" s="38">
        <f t="shared" si="0"/>
        <v>25</v>
      </c>
      <c r="AE8" s="226" t="s">
        <v>424</v>
      </c>
      <c r="AF8" s="34"/>
      <c r="AG8" s="34"/>
      <c r="AH8" s="34">
        <v>25</v>
      </c>
      <c r="AJ8" s="38"/>
      <c r="AK8" s="38"/>
      <c r="AL8" s="38"/>
      <c r="AM8" s="38">
        <f t="shared" si="1"/>
        <v>25</v>
      </c>
      <c r="AN8" s="38"/>
      <c r="AO8" s="38"/>
      <c r="AP8" s="38"/>
      <c r="AQ8" s="38"/>
      <c r="AR8" s="38">
        <f t="shared" si="2"/>
        <v>0</v>
      </c>
      <c r="AS8" s="38"/>
      <c r="AT8" s="38"/>
      <c r="AU8" s="38"/>
      <c r="AV8" s="38"/>
      <c r="AW8" s="38"/>
      <c r="AX8" s="38"/>
      <c r="AY8" s="38"/>
      <c r="AZ8" s="38"/>
      <c r="BA8" s="38">
        <f t="shared" si="3"/>
        <v>0</v>
      </c>
      <c r="BB8" s="34"/>
      <c r="BC8" s="477"/>
      <c r="BD8" s="477"/>
      <c r="BE8" s="34"/>
      <c r="BF8" s="477"/>
    </row>
    <row r="9" spans="1:58" ht="12.9" customHeight="1">
      <c r="A9" s="41"/>
      <c r="B9" s="42"/>
      <c r="C9" s="393"/>
      <c r="D9" s="42"/>
      <c r="E9" s="43"/>
      <c r="F9" s="43"/>
      <c r="G9" s="44"/>
      <c r="H9" s="533"/>
      <c r="I9" s="45"/>
      <c r="J9" s="82"/>
      <c r="K9" s="82"/>
      <c r="L9" s="36"/>
      <c r="M9" s="36"/>
      <c r="N9" s="46"/>
      <c r="O9" s="47"/>
      <c r="P9" s="48"/>
      <c r="Q9" s="35"/>
      <c r="R9" s="362"/>
      <c r="S9" s="362"/>
      <c r="T9" s="38"/>
      <c r="U9" s="38"/>
      <c r="V9" s="38"/>
      <c r="W9" s="38"/>
      <c r="X9" s="39"/>
      <c r="Y9" s="209"/>
      <c r="Z9" s="38"/>
      <c r="AA9" s="38"/>
      <c r="AB9" s="38"/>
      <c r="AC9" s="38"/>
      <c r="AD9" s="38"/>
      <c r="AE9" s="229"/>
      <c r="AF9" s="38"/>
      <c r="AG9" s="38"/>
      <c r="AH9" s="38"/>
      <c r="AI9" s="476"/>
      <c r="AJ9" s="38"/>
      <c r="AK9" s="38"/>
      <c r="AL9" s="38"/>
      <c r="AM9" s="38"/>
      <c r="AN9" s="38"/>
      <c r="AO9" s="38"/>
      <c r="AP9" s="38"/>
      <c r="AQ9" s="38"/>
      <c r="AR9" s="38"/>
      <c r="AS9" s="38"/>
      <c r="AT9" s="38"/>
      <c r="AU9" s="38"/>
      <c r="AV9" s="38"/>
      <c r="AW9" s="38"/>
      <c r="AX9" s="38"/>
      <c r="AY9" s="38"/>
      <c r="AZ9" s="38"/>
      <c r="BA9" s="38"/>
      <c r="BB9" s="50"/>
      <c r="BC9" s="51"/>
      <c r="BD9" s="51"/>
      <c r="BE9" s="50"/>
      <c r="BF9" s="51"/>
    </row>
    <row r="10" spans="1:58" ht="12.9" customHeight="1">
      <c r="A10" s="41">
        <v>46083</v>
      </c>
      <c r="B10" s="42" t="s">
        <v>422</v>
      </c>
      <c r="C10" s="393">
        <f>(M10*E10*O10*Q10)/100000000</f>
        <v>52.963612409179689</v>
      </c>
      <c r="D10" s="42" t="s">
        <v>423</v>
      </c>
      <c r="E10" s="43">
        <v>15</v>
      </c>
      <c r="F10" s="43">
        <v>1</v>
      </c>
      <c r="G10" s="406">
        <v>1110</v>
      </c>
      <c r="H10" s="533">
        <f>+N10</f>
        <v>0.15000000000000002</v>
      </c>
      <c r="I10" s="45">
        <v>0.88</v>
      </c>
      <c r="J10" s="82">
        <f>E10*G10*(1-H10)*1440/1000000*2.7</f>
        <v>55.024920000000002</v>
      </c>
      <c r="K10" s="82">
        <f>(IF(G10&lt;L10,L10,G10)*(1-IF(H10&lt;N10,H10,N10))*E10*O10*Q10)/100000000</f>
        <v>52.963612409179689</v>
      </c>
      <c r="L10" s="36">
        <v>1124.6504267939815</v>
      </c>
      <c r="M10" s="36">
        <v>955.95286277488424</v>
      </c>
      <c r="N10" s="46">
        <f>1-(M10/L10)</f>
        <v>0.15000000000000002</v>
      </c>
      <c r="O10" s="47">
        <f>+'Trim Rwd'!H6</f>
        <v>256.5</v>
      </c>
      <c r="P10" s="48">
        <f>O10*(Q10-R10-S10)</f>
        <v>361921.5</v>
      </c>
      <c r="Q10" s="47">
        <v>1440</v>
      </c>
      <c r="R10" s="362">
        <v>0</v>
      </c>
      <c r="S10" s="362">
        <v>29</v>
      </c>
      <c r="T10" s="38">
        <f>E10*M10*O10*Q10/100000000</f>
        <v>52.963612409179689</v>
      </c>
      <c r="U10" s="38">
        <f>E10*M10*O10*(Q10-R10-S10)/100000000</f>
        <v>51.896984103717038</v>
      </c>
      <c r="V10" s="38">
        <f>E10*G10*(1-N10)*O10/100*(R10+S10)/1000000</f>
        <v>1.0527337124999998</v>
      </c>
      <c r="W10" s="38">
        <f>+'2'!K7/1000</f>
        <v>52.433</v>
      </c>
      <c r="X10" s="361">
        <f>SUM(W10:W13)/SUM(K10:K13)</f>
        <v>0.98998156687122563</v>
      </c>
      <c r="Y10" s="38">
        <v>0</v>
      </c>
      <c r="Z10" s="38">
        <v>0</v>
      </c>
      <c r="AA10" s="49">
        <f>SUM(U10:U13)-SUM(W10:W13)-SUM(Z10:Z13)-SUM(Y10:Y13)</f>
        <v>-0.53601589628296153</v>
      </c>
      <c r="AB10" s="49">
        <f>(SUM(K10:K13)-SUM(W10:W13)-SUM(Y10:Y13)-SUM(Z10:Z13)-SUM(AC10:AC13)-SUM(V10:V13))-AA10</f>
        <v>1.3894592962650609E-2</v>
      </c>
      <c r="AC10" s="38">
        <f>K10-T10</f>
        <v>0</v>
      </c>
      <c r="AD10" s="38">
        <f>+AM10+BA10</f>
        <v>5</v>
      </c>
      <c r="AE10" s="226" t="s">
        <v>445</v>
      </c>
      <c r="AF10" s="38">
        <v>5</v>
      </c>
      <c r="AG10" s="38"/>
      <c r="AH10" s="38"/>
      <c r="AI10" s="38"/>
      <c r="AJ10" s="38"/>
      <c r="AK10" s="38"/>
      <c r="AL10" s="38"/>
      <c r="AM10" s="38">
        <f>SUM(AF10:AL10)+AT10+AV10+AX10</f>
        <v>5</v>
      </c>
      <c r="AN10" s="38"/>
      <c r="AO10" s="38"/>
      <c r="AP10" s="38"/>
      <c r="AQ10" s="38"/>
      <c r="AR10" s="38">
        <f>SUM(AN10:AQ10)</f>
        <v>0</v>
      </c>
      <c r="AS10" s="38"/>
      <c r="AT10" s="38"/>
      <c r="AU10" s="38"/>
      <c r="AV10" s="38"/>
      <c r="AW10" s="38"/>
      <c r="AX10" s="38"/>
      <c r="AY10" s="38"/>
      <c r="AZ10" s="38"/>
      <c r="BA10" s="38">
        <f>+AR10+AS10+AU10+AW10+AY10+AZ10</f>
        <v>0</v>
      </c>
      <c r="BB10" s="34">
        <v>2</v>
      </c>
      <c r="BC10" s="51"/>
      <c r="BD10" s="51"/>
      <c r="BE10" s="34"/>
      <c r="BF10" s="51"/>
    </row>
    <row r="11" spans="1:58" ht="12.9" customHeight="1">
      <c r="A11" s="41"/>
      <c r="B11" s="42"/>
      <c r="C11" s="393"/>
      <c r="D11" s="42"/>
      <c r="E11" s="43"/>
      <c r="F11" s="43"/>
      <c r="G11" s="406"/>
      <c r="H11" s="533"/>
      <c r="I11" s="45"/>
      <c r="J11" s="82"/>
      <c r="K11" s="82"/>
      <c r="L11" s="36"/>
      <c r="M11" s="36"/>
      <c r="N11" s="46"/>
      <c r="O11" s="47"/>
      <c r="P11" s="48"/>
      <c r="Q11" s="47"/>
      <c r="R11" s="362"/>
      <c r="S11" s="362"/>
      <c r="T11" s="38"/>
      <c r="U11" s="38"/>
      <c r="V11" s="38"/>
      <c r="W11" s="38"/>
      <c r="X11" s="39"/>
      <c r="Y11" s="209"/>
      <c r="Z11" s="38"/>
      <c r="AA11" s="38"/>
      <c r="AB11" s="38"/>
      <c r="AC11" s="38"/>
      <c r="AD11" s="38">
        <f t="shared" ref="AD11:AD12" si="4">+AM11+BA11</f>
        <v>3</v>
      </c>
      <c r="AE11" s="226" t="s">
        <v>416</v>
      </c>
      <c r="AF11" s="38"/>
      <c r="AG11" s="38">
        <v>3</v>
      </c>
      <c r="AH11" s="38"/>
      <c r="AI11" s="38"/>
      <c r="AJ11" s="38"/>
      <c r="AK11" s="38"/>
      <c r="AL11" s="38"/>
      <c r="AM11" s="38">
        <f t="shared" ref="AM11:AM12" si="5">SUM(AF11:AL11)+AT11+AV11+AX11</f>
        <v>3</v>
      </c>
      <c r="AN11" s="83"/>
      <c r="AO11" s="38"/>
      <c r="AP11" s="38"/>
      <c r="AQ11" s="38"/>
      <c r="AR11" s="38">
        <f t="shared" ref="AR11:AR12" si="6">SUM(AN11:AQ11)</f>
        <v>0</v>
      </c>
      <c r="AS11" s="38"/>
      <c r="AT11" s="38"/>
      <c r="AU11" s="38"/>
      <c r="AV11" s="38"/>
      <c r="AW11" s="38"/>
      <c r="AX11" s="38"/>
      <c r="AY11" s="38"/>
      <c r="AZ11" s="38"/>
      <c r="BA11" s="38">
        <f t="shared" ref="BA11:BA12" si="7">+AR11+AS11+AU11+AW11+AY11+AZ11</f>
        <v>0</v>
      </c>
      <c r="BB11" s="50"/>
      <c r="BC11" s="51">
        <v>1</v>
      </c>
      <c r="BD11" s="51"/>
      <c r="BE11" s="50"/>
      <c r="BF11" s="51"/>
    </row>
    <row r="12" spans="1:58" ht="12.9" customHeight="1">
      <c r="A12" s="41"/>
      <c r="B12" s="42"/>
      <c r="C12" s="393"/>
      <c r="D12" s="42"/>
      <c r="E12" s="43"/>
      <c r="F12" s="43"/>
      <c r="G12" s="44"/>
      <c r="H12" s="533"/>
      <c r="I12" s="45"/>
      <c r="J12" s="82"/>
      <c r="K12" s="82"/>
      <c r="L12" s="36"/>
      <c r="M12" s="36"/>
      <c r="N12" s="46"/>
      <c r="O12" s="47"/>
      <c r="P12" s="48"/>
      <c r="Q12" s="47"/>
      <c r="R12" s="362"/>
      <c r="S12" s="362"/>
      <c r="T12" s="38"/>
      <c r="U12" s="38"/>
      <c r="V12" s="38"/>
      <c r="W12" s="38"/>
      <c r="X12" s="39"/>
      <c r="Y12" s="209"/>
      <c r="Z12" s="38"/>
      <c r="AA12" s="38"/>
      <c r="AB12" s="38"/>
      <c r="AC12" s="38"/>
      <c r="AD12" s="38">
        <f t="shared" si="4"/>
        <v>21</v>
      </c>
      <c r="AE12" s="226" t="s">
        <v>446</v>
      </c>
      <c r="AF12" s="34"/>
      <c r="AG12" s="34"/>
      <c r="AH12" s="34">
        <v>21</v>
      </c>
      <c r="AI12" s="34"/>
      <c r="AJ12" s="38"/>
      <c r="AK12" s="38"/>
      <c r="AL12" s="38"/>
      <c r="AM12" s="38">
        <f t="shared" si="5"/>
        <v>21</v>
      </c>
      <c r="AN12" s="38"/>
      <c r="AO12" s="38"/>
      <c r="AP12" s="38"/>
      <c r="AQ12" s="38"/>
      <c r="AR12" s="38">
        <f t="shared" si="6"/>
        <v>0</v>
      </c>
      <c r="AS12" s="38"/>
      <c r="AT12" s="38"/>
      <c r="AU12" s="38"/>
      <c r="AV12" s="38"/>
      <c r="AW12" s="38"/>
      <c r="AX12" s="38"/>
      <c r="AY12" s="38"/>
      <c r="AZ12" s="38"/>
      <c r="BA12" s="38">
        <f t="shared" si="7"/>
        <v>0</v>
      </c>
      <c r="BB12" s="34"/>
      <c r="BC12" s="477"/>
      <c r="BD12" s="477"/>
      <c r="BE12" s="34"/>
      <c r="BF12" s="477"/>
    </row>
    <row r="13" spans="1:58" ht="12.9" customHeight="1">
      <c r="A13" s="41"/>
      <c r="B13" s="42"/>
      <c r="C13" s="393"/>
      <c r="D13" s="42"/>
      <c r="E13" s="43"/>
      <c r="F13" s="43"/>
      <c r="G13" s="44"/>
      <c r="H13" s="533"/>
      <c r="I13" s="45"/>
      <c r="J13" s="82"/>
      <c r="K13" s="82"/>
      <c r="L13" s="36"/>
      <c r="M13" s="36"/>
      <c r="N13" s="46"/>
      <c r="O13" s="47"/>
      <c r="P13" s="48"/>
      <c r="Q13" s="47"/>
      <c r="R13" s="362"/>
      <c r="S13" s="362"/>
      <c r="T13" s="38"/>
      <c r="U13" s="38"/>
      <c r="V13" s="38"/>
      <c r="W13" s="38"/>
      <c r="X13" s="39"/>
      <c r="Y13" s="209"/>
      <c r="Z13" s="38"/>
      <c r="AA13" s="38"/>
      <c r="AB13" s="38"/>
      <c r="AC13" s="38"/>
      <c r="AD13" s="38"/>
      <c r="AE13" s="226"/>
      <c r="AF13" s="34"/>
      <c r="AG13" s="34"/>
      <c r="AH13" s="34"/>
      <c r="AI13" s="34"/>
      <c r="AJ13" s="38"/>
      <c r="AK13" s="38"/>
      <c r="AL13" s="38"/>
      <c r="AM13" s="38"/>
      <c r="AN13" s="38"/>
      <c r="AO13" s="38"/>
      <c r="AP13" s="38"/>
      <c r="AQ13" s="38"/>
      <c r="AR13" s="38"/>
      <c r="AS13" s="38"/>
      <c r="AT13" s="38"/>
      <c r="AU13" s="38"/>
      <c r="AV13" s="38"/>
      <c r="AW13" s="38"/>
      <c r="AX13" s="38"/>
      <c r="AY13" s="38"/>
      <c r="AZ13" s="38"/>
      <c r="BA13" s="38"/>
      <c r="BB13" s="34"/>
      <c r="BC13" s="477"/>
      <c r="BD13" s="477"/>
      <c r="BE13" s="34"/>
      <c r="BF13" s="477"/>
    </row>
    <row r="14" spans="1:58" ht="12.9" customHeight="1">
      <c r="A14" s="41">
        <v>46084</v>
      </c>
      <c r="B14" s="42" t="s">
        <v>422</v>
      </c>
      <c r="C14" s="393">
        <f>(M14*E14*O14*Q14)/100000000</f>
        <v>52.963612409179689</v>
      </c>
      <c r="D14" s="42" t="s">
        <v>423</v>
      </c>
      <c r="E14" s="43">
        <v>15</v>
      </c>
      <c r="F14" s="43">
        <v>1</v>
      </c>
      <c r="G14" s="406">
        <v>1110</v>
      </c>
      <c r="H14" s="533">
        <f>+N14</f>
        <v>0.15000000000000002</v>
      </c>
      <c r="I14" s="45">
        <v>0.88</v>
      </c>
      <c r="J14" s="82">
        <f>E14*G14*(1-H14)*1440/1000000*2.7</f>
        <v>55.024920000000002</v>
      </c>
      <c r="K14" s="82">
        <f>(IF(G14&lt;L14,L14,G14)*(1-IF(H14&lt;N14,H14,N14))*E14*O14*Q14)/100000000</f>
        <v>52.963612409179689</v>
      </c>
      <c r="L14" s="36">
        <v>1124.6504267939815</v>
      </c>
      <c r="M14" s="36">
        <v>955.95286277488424</v>
      </c>
      <c r="N14" s="46">
        <f>1-(M14/L14)</f>
        <v>0.15000000000000002</v>
      </c>
      <c r="O14" s="47">
        <f>+'Trim Rwd'!H8</f>
        <v>256.5</v>
      </c>
      <c r="P14" s="48">
        <f>O14*(Q14-R14-S14)</f>
        <v>363717</v>
      </c>
      <c r="Q14" s="47">
        <v>1440</v>
      </c>
      <c r="R14" s="362">
        <v>0</v>
      </c>
      <c r="S14" s="362">
        <v>22</v>
      </c>
      <c r="T14" s="38">
        <f>E14*M14*O14*Q14/100000000</f>
        <v>52.963612409179689</v>
      </c>
      <c r="U14" s="38">
        <f>E14*M14*O14*(Q14-R14-S14)/100000000</f>
        <v>52.154446108483889</v>
      </c>
      <c r="V14" s="38">
        <f>E14*G14*(1-N14)*O14/100*(R14+S14)/1000000</f>
        <v>0.79862557499999998</v>
      </c>
      <c r="W14" s="38">
        <f>+'3'!K7/1000</f>
        <v>49.889000000000003</v>
      </c>
      <c r="X14" s="361">
        <f>SUM(W14:W17)/SUM(K14:K17)</f>
        <v>0.94194858943105642</v>
      </c>
      <c r="Y14" s="38">
        <v>0</v>
      </c>
      <c r="Z14" s="38">
        <f>+'1'!D42/1000</f>
        <v>0</v>
      </c>
      <c r="AA14" s="49">
        <f>SUM(U14:U17)-SUM(W14:W17)-SUM(Z14:Z17)-SUM(Y14:Y17)</f>
        <v>2.2654461084838857</v>
      </c>
      <c r="AB14" s="49">
        <f>(SUM(K14:K17)-SUM(W14:W17)-SUM(Y14:Y17)-SUM(Z14:Z17)-SUM(AC14:AC17)-SUM(V14:V17))-AA14</f>
        <v>1.0540725695800113E-2</v>
      </c>
      <c r="AC14" s="38">
        <f>K14-T14</f>
        <v>0</v>
      </c>
      <c r="AD14" s="38">
        <f>+AM14+BA14</f>
        <v>0</v>
      </c>
      <c r="AE14" s="226" t="s">
        <v>417</v>
      </c>
      <c r="AF14" s="38">
        <v>0</v>
      </c>
      <c r="AG14" s="38"/>
      <c r="AH14" s="38"/>
      <c r="AI14" s="38"/>
      <c r="AJ14" s="38"/>
      <c r="AK14" s="38"/>
      <c r="AL14" s="38"/>
      <c r="AM14" s="38">
        <f>SUM(AF14:AL14)+AT14+AV14+AX14</f>
        <v>0</v>
      </c>
      <c r="AN14" s="38"/>
      <c r="AO14" s="38"/>
      <c r="AP14" s="38"/>
      <c r="AQ14" s="38"/>
      <c r="AR14" s="38">
        <f>SUM(AN14:AQ14)</f>
        <v>0</v>
      </c>
      <c r="AS14" s="38"/>
      <c r="AT14" s="38"/>
      <c r="AU14" s="38"/>
      <c r="AV14" s="38"/>
      <c r="AW14" s="38"/>
      <c r="AX14" s="38"/>
      <c r="AY14" s="38"/>
      <c r="AZ14" s="38"/>
      <c r="BA14" s="38">
        <f>+AR14+AS14+AU14+AW14+AY14+AZ14</f>
        <v>0</v>
      </c>
      <c r="BB14" s="34">
        <v>0</v>
      </c>
      <c r="BC14" s="51"/>
      <c r="BD14" s="51"/>
      <c r="BE14" s="34"/>
      <c r="BF14" s="51"/>
    </row>
    <row r="15" spans="1:58" ht="12.9" customHeight="1">
      <c r="A15" s="41"/>
      <c r="B15" s="42"/>
      <c r="C15" s="393"/>
      <c r="D15" s="42"/>
      <c r="E15" s="43"/>
      <c r="F15" s="43"/>
      <c r="G15" s="406"/>
      <c r="H15" s="533"/>
      <c r="I15" s="45"/>
      <c r="J15" s="82"/>
      <c r="K15" s="82"/>
      <c r="L15" s="36"/>
      <c r="M15" s="36"/>
      <c r="N15" s="46"/>
      <c r="O15" s="47"/>
      <c r="P15" s="48"/>
      <c r="Q15" s="47"/>
      <c r="R15" s="362"/>
      <c r="S15" s="362"/>
      <c r="T15" s="38"/>
      <c r="U15" s="38"/>
      <c r="V15" s="38"/>
      <c r="W15" s="38"/>
      <c r="X15" s="39"/>
      <c r="Y15" s="209"/>
      <c r="Z15" s="38"/>
      <c r="AA15" s="38"/>
      <c r="AB15" s="38"/>
      <c r="AC15" s="38"/>
      <c r="AD15" s="38">
        <f t="shared" ref="AD15:AD16" si="8">+AM15+BA15</f>
        <v>3</v>
      </c>
      <c r="AE15" s="226" t="s">
        <v>416</v>
      </c>
      <c r="AF15" s="38"/>
      <c r="AG15" s="38">
        <v>3</v>
      </c>
      <c r="AH15" s="38"/>
      <c r="AI15" s="38"/>
      <c r="AJ15" s="38"/>
      <c r="AK15" s="38"/>
      <c r="AL15" s="38"/>
      <c r="AM15" s="38">
        <f t="shared" ref="AM15:AM16" si="9">SUM(AF15:AL15)+AT15+AV15+AX15</f>
        <v>3</v>
      </c>
      <c r="AN15" s="83"/>
      <c r="AO15" s="38"/>
      <c r="AP15" s="38"/>
      <c r="AQ15" s="38"/>
      <c r="AR15" s="38">
        <f t="shared" ref="AR15:AR16" si="10">SUM(AN15:AQ15)</f>
        <v>0</v>
      </c>
      <c r="AS15" s="38"/>
      <c r="AT15" s="38"/>
      <c r="AU15" s="38"/>
      <c r="AV15" s="38"/>
      <c r="AW15" s="38"/>
      <c r="AX15" s="38"/>
      <c r="AY15" s="38"/>
      <c r="AZ15" s="38"/>
      <c r="BA15" s="38">
        <f t="shared" ref="BA15:BA16" si="11">+AR15+AS15+AU15+AW15+AY15+AZ15</f>
        <v>0</v>
      </c>
      <c r="BB15" s="50"/>
      <c r="BC15" s="51">
        <v>1</v>
      </c>
      <c r="BD15" s="51"/>
      <c r="BE15" s="50"/>
      <c r="BF15" s="51"/>
    </row>
    <row r="16" spans="1:58" ht="12.9" customHeight="1">
      <c r="A16" s="41"/>
      <c r="B16" s="42"/>
      <c r="C16" s="393"/>
      <c r="D16" s="42"/>
      <c r="E16" s="43"/>
      <c r="F16" s="43"/>
      <c r="G16" s="44"/>
      <c r="H16" s="533"/>
      <c r="I16" s="45"/>
      <c r="J16" s="82"/>
      <c r="K16" s="82"/>
      <c r="L16" s="36"/>
      <c r="M16" s="36"/>
      <c r="N16" s="46"/>
      <c r="O16" s="47"/>
      <c r="P16" s="48"/>
      <c r="Q16" s="47"/>
      <c r="R16" s="362"/>
      <c r="S16" s="362"/>
      <c r="T16" s="38"/>
      <c r="U16" s="38"/>
      <c r="V16" s="38"/>
      <c r="W16" s="38"/>
      <c r="X16" s="39"/>
      <c r="Y16" s="209"/>
      <c r="Z16" s="38"/>
      <c r="AA16" s="38"/>
      <c r="AB16" s="38"/>
      <c r="AC16" s="38"/>
      <c r="AD16" s="38">
        <f t="shared" si="8"/>
        <v>19</v>
      </c>
      <c r="AE16" s="226" t="s">
        <v>457</v>
      </c>
      <c r="AF16" s="34"/>
      <c r="AG16" s="34"/>
      <c r="AH16" s="34">
        <v>19</v>
      </c>
      <c r="AI16" s="34"/>
      <c r="AJ16" s="38"/>
      <c r="AK16" s="38"/>
      <c r="AL16" s="38"/>
      <c r="AM16" s="38">
        <f t="shared" si="9"/>
        <v>19</v>
      </c>
      <c r="AN16" s="38"/>
      <c r="AO16" s="38"/>
      <c r="AP16" s="38"/>
      <c r="AQ16" s="38"/>
      <c r="AR16" s="38">
        <f t="shared" si="10"/>
        <v>0</v>
      </c>
      <c r="AS16" s="38"/>
      <c r="AT16" s="38"/>
      <c r="AU16" s="38"/>
      <c r="AV16" s="38"/>
      <c r="AW16" s="38"/>
      <c r="AX16" s="38"/>
      <c r="AY16" s="38"/>
      <c r="AZ16" s="38"/>
      <c r="BA16" s="38">
        <f t="shared" si="11"/>
        <v>0</v>
      </c>
      <c r="BB16" s="34"/>
      <c r="BC16" s="477"/>
      <c r="BD16" s="477"/>
      <c r="BE16" s="34"/>
      <c r="BF16" s="477"/>
    </row>
    <row r="17" spans="1:58" ht="12.9" customHeight="1">
      <c r="A17" s="41"/>
      <c r="B17" s="42"/>
      <c r="C17" s="393"/>
      <c r="D17" s="42"/>
      <c r="E17" s="43"/>
      <c r="F17" s="43"/>
      <c r="G17" s="44"/>
      <c r="H17" s="533"/>
      <c r="I17" s="45"/>
      <c r="J17" s="82"/>
      <c r="K17" s="82"/>
      <c r="L17" s="36"/>
      <c r="M17" s="36"/>
      <c r="N17" s="46"/>
      <c r="O17" s="47"/>
      <c r="P17" s="48"/>
      <c r="Q17" s="47"/>
      <c r="R17" s="362"/>
      <c r="S17" s="362"/>
      <c r="T17" s="38"/>
      <c r="U17" s="38"/>
      <c r="V17" s="38"/>
      <c r="W17" s="38"/>
      <c r="X17" s="39"/>
      <c r="Y17" s="209"/>
      <c r="Z17" s="38"/>
      <c r="AA17" s="38"/>
      <c r="AB17" s="38"/>
      <c r="AC17" s="38"/>
      <c r="AD17" s="38"/>
      <c r="AE17" s="226"/>
      <c r="AF17" s="34"/>
      <c r="AG17" s="34"/>
      <c r="AH17" s="34"/>
      <c r="AI17" s="34"/>
      <c r="AJ17" s="38"/>
      <c r="AK17" s="38"/>
      <c r="AL17" s="38"/>
      <c r="AM17" s="38"/>
      <c r="AN17" s="38"/>
      <c r="AO17" s="38"/>
      <c r="AP17" s="38"/>
      <c r="AQ17" s="38"/>
      <c r="AR17" s="38"/>
      <c r="AS17" s="38"/>
      <c r="AT17" s="38"/>
      <c r="AU17" s="38"/>
      <c r="AV17" s="38"/>
      <c r="AW17" s="38"/>
      <c r="AX17" s="38"/>
      <c r="AY17" s="38"/>
      <c r="AZ17" s="38"/>
      <c r="BA17" s="38"/>
      <c r="BB17" s="34"/>
      <c r="BC17" s="477"/>
      <c r="BD17" s="477"/>
      <c r="BE17" s="34"/>
      <c r="BF17" s="477"/>
    </row>
    <row r="18" spans="1:58" ht="12.9" customHeight="1">
      <c r="A18" s="41">
        <v>46085</v>
      </c>
      <c r="B18" s="42" t="s">
        <v>422</v>
      </c>
      <c r="C18" s="393">
        <f>(M18*E18*O18*Q18)/100000000</f>
        <v>2.1815324999999999</v>
      </c>
      <c r="D18" s="42" t="s">
        <v>423</v>
      </c>
      <c r="E18" s="43">
        <v>15</v>
      </c>
      <c r="F18" s="43">
        <v>1</v>
      </c>
      <c r="G18" s="406">
        <v>1125</v>
      </c>
      <c r="H18" s="533">
        <f>+N18</f>
        <v>0.16000000000000003</v>
      </c>
      <c r="I18" s="45">
        <v>0.88</v>
      </c>
      <c r="J18" s="82">
        <f>E18*G18*(1-H18)*1440/1000000*2.7</f>
        <v>55.112400000000001</v>
      </c>
      <c r="K18" s="82">
        <f>(IF(G18&lt;L18,L18,G18)*(1-IF(H18&lt;N18,H18,N18))*E18*O18*Q18)/100000000</f>
        <v>2.1815324999999999</v>
      </c>
      <c r="L18" s="36">
        <v>1125</v>
      </c>
      <c r="M18" s="36">
        <v>945</v>
      </c>
      <c r="N18" s="46">
        <f>1-(M18/L18)</f>
        <v>0.16000000000000003</v>
      </c>
      <c r="O18" s="47">
        <f>+'Trim Rwd'!H10</f>
        <v>256.5</v>
      </c>
      <c r="P18" s="48">
        <f>O18*(Q18-R18-S18)</f>
        <v>14620.5</v>
      </c>
      <c r="Q18" s="47">
        <v>60</v>
      </c>
      <c r="R18" s="362">
        <v>0</v>
      </c>
      <c r="S18" s="362">
        <v>3</v>
      </c>
      <c r="T18" s="38">
        <f>E18*M18*O18*Q18/100000000</f>
        <v>2.1815324999999999</v>
      </c>
      <c r="U18" s="38">
        <f>E18*M18*O18*(Q18-R18-S18)/100000000</f>
        <v>2.0724558750000002</v>
      </c>
      <c r="V18" s="38">
        <f>E18*G18*(1-N18)*O18/100*(R18+S18)/1000000</f>
        <v>0.109076625</v>
      </c>
      <c r="W18" s="38">
        <f>+'4'!K7/1000</f>
        <v>7.0750000000000002</v>
      </c>
      <c r="X18" s="361">
        <f>SUM(W18:W21)/SUM(K18:K21)</f>
        <v>0.80011505485109546</v>
      </c>
      <c r="Y18" s="38">
        <v>0</v>
      </c>
      <c r="Z18" s="38">
        <f>+'1'!D46/1000</f>
        <v>0</v>
      </c>
      <c r="AA18" s="49">
        <f>SUM(U18:U21)-SUM(W18:W21)-SUM(Z18:Z21)-SUM(Y18:Y21)</f>
        <v>-2.2643000864825495</v>
      </c>
      <c r="AB18" s="49">
        <f>(SUM(K18:K21)-SUM(W18:W21)-SUM(Y18:Y21)-SUM(Z18:Z21)-SUM(AC18:AC21)-SUM(V18:V21))-AA18</f>
        <v>-0.50706821191860207</v>
      </c>
      <c r="AC18" s="38">
        <f>K18-T18</f>
        <v>0</v>
      </c>
      <c r="AD18" s="38">
        <f>+AM18+BA18</f>
        <v>0</v>
      </c>
      <c r="AE18" s="226" t="s">
        <v>417</v>
      </c>
      <c r="AF18" s="38">
        <v>0</v>
      </c>
      <c r="AG18" s="38"/>
      <c r="AH18" s="38"/>
      <c r="AI18" s="38"/>
      <c r="AJ18" s="38"/>
      <c r="AK18" s="38"/>
      <c r="AL18" s="38"/>
      <c r="AM18" s="38">
        <f>SUM(AF18:AL18)+AT18+AV18+AX18</f>
        <v>0</v>
      </c>
      <c r="AN18" s="38"/>
      <c r="AO18" s="38"/>
      <c r="AP18" s="38"/>
      <c r="AQ18" s="38"/>
      <c r="AR18" s="38">
        <f>SUM(AN18:AQ18)</f>
        <v>0</v>
      </c>
      <c r="AS18" s="38"/>
      <c r="AT18" s="38"/>
      <c r="AU18" s="38"/>
      <c r="AV18" s="38"/>
      <c r="AW18" s="38"/>
      <c r="AX18" s="38"/>
      <c r="AY18" s="38"/>
      <c r="AZ18" s="38"/>
      <c r="BA18" s="38">
        <f>+AR18+AS18+AU18+AW18+AY18+AZ18</f>
        <v>0</v>
      </c>
      <c r="BB18" s="34">
        <v>0</v>
      </c>
      <c r="BC18" s="51"/>
      <c r="BD18" s="51">
        <v>2</v>
      </c>
      <c r="BE18" s="34"/>
      <c r="BF18" s="51">
        <v>1</v>
      </c>
    </row>
    <row r="19" spans="1:58" ht="12.9" customHeight="1">
      <c r="A19" s="41"/>
      <c r="B19" s="42" t="s">
        <v>422</v>
      </c>
      <c r="C19" s="393">
        <f>(M19*E19*O19*Q19)/100000000</f>
        <v>45.059854676598846</v>
      </c>
      <c r="D19" s="42" t="s">
        <v>423</v>
      </c>
      <c r="E19" s="43">
        <v>14.5</v>
      </c>
      <c r="F19" s="43">
        <v>1</v>
      </c>
      <c r="G19" s="406">
        <v>1165</v>
      </c>
      <c r="H19" s="533">
        <f>+N19</f>
        <v>0.15999999999999992</v>
      </c>
      <c r="I19" s="45">
        <v>0.88</v>
      </c>
      <c r="J19" s="82">
        <f>E19*G19*(1-H19)*1440/1000000*2.7</f>
        <v>55.1695536</v>
      </c>
      <c r="K19" s="82">
        <f>(IF(G19&lt;L19,L19,G19)*(1-IF(H19&lt;N19,H19,N19))*E19*O19*Q19)/100000000</f>
        <v>47.411335125000008</v>
      </c>
      <c r="L19" s="36">
        <v>1107.218992248062</v>
      </c>
      <c r="M19" s="36">
        <v>930.06395348837214</v>
      </c>
      <c r="N19" s="46">
        <f>1-(M19/L19)</f>
        <v>0.15999999999999992</v>
      </c>
      <c r="O19" s="47">
        <f>+'Trim Rwd'!H11</f>
        <v>275</v>
      </c>
      <c r="P19" s="48">
        <f>O19*(Q19-R19-S19)</f>
        <v>262075</v>
      </c>
      <c r="Q19" s="47">
        <f>1380-159-6</f>
        <v>1215</v>
      </c>
      <c r="R19" s="362">
        <f>348-159-6</f>
        <v>183</v>
      </c>
      <c r="S19" s="362">
        <f>10+69</f>
        <v>79</v>
      </c>
      <c r="T19" s="38">
        <f>E19*M19*O19*Q19/100000000</f>
        <v>45.059854676598846</v>
      </c>
      <c r="U19" s="38">
        <f>E19*M19*O19*(Q19-R19-S19)/100000000</f>
        <v>35.343244038517447</v>
      </c>
      <c r="V19" s="38">
        <f>E19*G19*(1-N19)*O19/100*(R19+S19)/1000000</f>
        <v>10.223678850000001</v>
      </c>
      <c r="W19" s="38">
        <f>+'4'!K8/1000</f>
        <v>32.604999999999997</v>
      </c>
      <c r="X19" s="39"/>
      <c r="Y19" s="209"/>
      <c r="Z19" s="38"/>
      <c r="AA19" s="38"/>
      <c r="AB19" s="38"/>
      <c r="AC19" s="38">
        <f>K19-T19</f>
        <v>2.351480448401162</v>
      </c>
      <c r="AD19" s="38">
        <f t="shared" ref="AD19:AD23" si="12">+AM19+BA19</f>
        <v>0</v>
      </c>
      <c r="AE19" s="226" t="s">
        <v>419</v>
      </c>
      <c r="AF19" s="38"/>
      <c r="AG19" s="38">
        <v>0</v>
      </c>
      <c r="AH19" s="38"/>
      <c r="AI19" s="38"/>
      <c r="AJ19" s="38"/>
      <c r="AK19" s="38"/>
      <c r="AL19" s="38"/>
      <c r="AM19" s="38">
        <f t="shared" ref="AM19:AM20" si="13">SUM(AF19:AL19)+AT19+AV19+AX19</f>
        <v>0</v>
      </c>
      <c r="AN19" s="83"/>
      <c r="AO19" s="38"/>
      <c r="AP19" s="38"/>
      <c r="AQ19" s="38"/>
      <c r="AR19" s="38">
        <f t="shared" ref="AR19:AR23" si="14">SUM(AN19:AQ19)</f>
        <v>0</v>
      </c>
      <c r="AS19" s="38"/>
      <c r="AT19" s="38"/>
      <c r="AU19" s="38"/>
      <c r="AV19" s="38"/>
      <c r="AW19" s="38"/>
      <c r="AX19" s="38"/>
      <c r="AY19" s="38"/>
      <c r="AZ19" s="38"/>
      <c r="BA19" s="38">
        <f t="shared" ref="BA19:BA23" si="15">+AR19+AS19+AU19+AW19+AY19+AZ19</f>
        <v>0</v>
      </c>
      <c r="BB19" s="50"/>
      <c r="BC19" s="51">
        <v>0</v>
      </c>
      <c r="BD19" s="51"/>
      <c r="BE19" s="50"/>
      <c r="BF19" s="51"/>
    </row>
    <row r="20" spans="1:58" ht="12.9" customHeight="1">
      <c r="A20" s="41"/>
      <c r="B20" s="42"/>
      <c r="C20" s="393"/>
      <c r="D20" s="42"/>
      <c r="E20" s="43"/>
      <c r="F20" s="43"/>
      <c r="G20" s="44"/>
      <c r="H20" s="533"/>
      <c r="I20" s="45"/>
      <c r="J20" s="82"/>
      <c r="K20" s="82"/>
      <c r="L20" s="36"/>
      <c r="M20" s="36"/>
      <c r="N20" s="46"/>
      <c r="O20" s="47"/>
      <c r="P20" s="48"/>
      <c r="Q20" s="47"/>
      <c r="R20" s="362"/>
      <c r="S20" s="362"/>
      <c r="T20" s="38"/>
      <c r="U20" s="38"/>
      <c r="V20" s="38"/>
      <c r="W20" s="38"/>
      <c r="X20" s="39"/>
      <c r="Y20" s="209"/>
      <c r="Z20" s="38"/>
      <c r="AA20" s="38"/>
      <c r="AB20" s="38"/>
      <c r="AC20" s="38"/>
      <c r="AD20" s="38">
        <f t="shared" si="12"/>
        <v>13</v>
      </c>
      <c r="AE20" s="226" t="s">
        <v>476</v>
      </c>
      <c r="AF20" s="34"/>
      <c r="AG20" s="34"/>
      <c r="AH20" s="34">
        <v>13</v>
      </c>
      <c r="AI20" s="34"/>
      <c r="AJ20" s="38"/>
      <c r="AK20" s="38"/>
      <c r="AL20" s="38"/>
      <c r="AM20" s="38">
        <f t="shared" si="13"/>
        <v>13</v>
      </c>
      <c r="AN20" s="38"/>
      <c r="AO20" s="38"/>
      <c r="AP20" s="38"/>
      <c r="AQ20" s="38"/>
      <c r="AR20" s="38">
        <f t="shared" si="14"/>
        <v>0</v>
      </c>
      <c r="AS20" s="38"/>
      <c r="AT20" s="38"/>
      <c r="AU20" s="38"/>
      <c r="AV20" s="38"/>
      <c r="AW20" s="38"/>
      <c r="AX20" s="38"/>
      <c r="AY20" s="38"/>
      <c r="AZ20" s="38"/>
      <c r="BA20" s="38">
        <f t="shared" si="15"/>
        <v>0</v>
      </c>
      <c r="BB20" s="34"/>
      <c r="BC20" s="477"/>
      <c r="BD20" s="477"/>
      <c r="BE20" s="34"/>
      <c r="BF20" s="477"/>
    </row>
    <row r="21" spans="1:58" ht="12.9" customHeight="1">
      <c r="A21" s="41"/>
      <c r="B21" s="42"/>
      <c r="C21" s="393"/>
      <c r="D21" s="42"/>
      <c r="E21" s="43"/>
      <c r="F21" s="43"/>
      <c r="G21" s="44"/>
      <c r="H21" s="533"/>
      <c r="I21" s="45"/>
      <c r="J21" s="82"/>
      <c r="K21" s="82"/>
      <c r="L21" s="36"/>
      <c r="M21" s="36"/>
      <c r="N21" s="46"/>
      <c r="O21" s="47"/>
      <c r="P21" s="48"/>
      <c r="Q21" s="47"/>
      <c r="R21" s="362"/>
      <c r="S21" s="362"/>
      <c r="T21" s="38"/>
      <c r="U21" s="38"/>
      <c r="V21" s="38"/>
      <c r="W21" s="38"/>
      <c r="X21" s="39"/>
      <c r="Y21" s="209"/>
      <c r="Z21" s="38"/>
      <c r="AA21" s="38"/>
      <c r="AB21" s="38"/>
      <c r="AC21" s="38"/>
      <c r="AD21" s="38">
        <f t="shared" si="12"/>
        <v>35</v>
      </c>
      <c r="AE21" s="226" t="s">
        <v>477</v>
      </c>
      <c r="AF21" s="34"/>
      <c r="AG21" s="34"/>
      <c r="AH21" s="34"/>
      <c r="AI21" s="34"/>
      <c r="AJ21" s="38"/>
      <c r="AK21" s="38"/>
      <c r="AL21" s="38"/>
      <c r="AM21" s="38">
        <f t="shared" ref="AM21:AM23" si="16">SUM(AF21:AL21)+AT21+AV21+AX21</f>
        <v>0</v>
      </c>
      <c r="AN21" s="38">
        <v>35</v>
      </c>
      <c r="AO21" s="38"/>
      <c r="AP21" s="38"/>
      <c r="AQ21" s="38"/>
      <c r="AR21" s="38">
        <f t="shared" si="14"/>
        <v>35</v>
      </c>
      <c r="AS21" s="38"/>
      <c r="AT21" s="38"/>
      <c r="AU21" s="38"/>
      <c r="AV21" s="38"/>
      <c r="AW21" s="38"/>
      <c r="AX21" s="38"/>
      <c r="AY21" s="38"/>
      <c r="AZ21" s="38"/>
      <c r="BA21" s="38">
        <f t="shared" si="15"/>
        <v>35</v>
      </c>
      <c r="BB21" s="34"/>
      <c r="BC21" s="477"/>
      <c r="BD21" s="477"/>
      <c r="BE21" s="34"/>
      <c r="BF21" s="477"/>
    </row>
    <row r="22" spans="1:58" ht="12.9" customHeight="1">
      <c r="A22" s="41"/>
      <c r="B22" s="42"/>
      <c r="C22" s="393"/>
      <c r="D22" s="42"/>
      <c r="E22" s="43"/>
      <c r="F22" s="43"/>
      <c r="G22" s="44"/>
      <c r="H22" s="533"/>
      <c r="I22" s="45"/>
      <c r="J22" s="82"/>
      <c r="K22" s="82"/>
      <c r="L22" s="36"/>
      <c r="M22" s="36"/>
      <c r="N22" s="46"/>
      <c r="O22" s="47"/>
      <c r="P22" s="48"/>
      <c r="Q22" s="47"/>
      <c r="R22" s="362"/>
      <c r="S22" s="362"/>
      <c r="T22" s="38"/>
      <c r="U22" s="38"/>
      <c r="V22" s="38"/>
      <c r="W22" s="38"/>
      <c r="X22" s="39"/>
      <c r="Y22" s="209"/>
      <c r="Z22" s="38"/>
      <c r="AA22" s="38"/>
      <c r="AB22" s="38"/>
      <c r="AC22" s="38"/>
      <c r="AD22" s="38">
        <f t="shared" si="12"/>
        <v>148</v>
      </c>
      <c r="AE22" s="226" t="s">
        <v>478</v>
      </c>
      <c r="AF22" s="34"/>
      <c r="AG22" s="34"/>
      <c r="AH22" s="34"/>
      <c r="AI22" s="34"/>
      <c r="AJ22" s="38"/>
      <c r="AK22" s="38"/>
      <c r="AL22" s="38"/>
      <c r="AM22" s="38">
        <f t="shared" si="16"/>
        <v>0</v>
      </c>
      <c r="AN22" s="38"/>
      <c r="AO22" s="38"/>
      <c r="AP22" s="38"/>
      <c r="AQ22" s="38"/>
      <c r="AR22" s="38">
        <f t="shared" si="14"/>
        <v>0</v>
      </c>
      <c r="AS22" s="38"/>
      <c r="AT22" s="38"/>
      <c r="AU22" s="38"/>
      <c r="AV22" s="38"/>
      <c r="AW22" s="38">
        <f>313-159-6</f>
        <v>148</v>
      </c>
      <c r="AX22" s="38"/>
      <c r="AY22" s="38"/>
      <c r="AZ22" s="38"/>
      <c r="BA22" s="38">
        <f t="shared" si="15"/>
        <v>148</v>
      </c>
      <c r="BB22" s="34"/>
      <c r="BC22" s="477"/>
      <c r="BD22" s="477"/>
      <c r="BE22" s="34"/>
      <c r="BF22" s="477"/>
    </row>
    <row r="23" spans="1:58" ht="12.9" customHeight="1">
      <c r="A23" s="41"/>
      <c r="B23" s="42"/>
      <c r="C23" s="393"/>
      <c r="D23" s="42"/>
      <c r="E23" s="43"/>
      <c r="F23" s="43"/>
      <c r="G23" s="44"/>
      <c r="H23" s="533"/>
      <c r="I23" s="45"/>
      <c r="J23" s="82"/>
      <c r="K23" s="82"/>
      <c r="L23" s="36"/>
      <c r="M23" s="36"/>
      <c r="N23" s="46"/>
      <c r="O23" s="47"/>
      <c r="P23" s="48"/>
      <c r="Q23" s="47"/>
      <c r="R23" s="362"/>
      <c r="S23" s="362"/>
      <c r="T23" s="38"/>
      <c r="U23" s="38"/>
      <c r="V23" s="38"/>
      <c r="W23" s="38"/>
      <c r="X23" s="39"/>
      <c r="Y23" s="209"/>
      <c r="Z23" s="38"/>
      <c r="AA23" s="38"/>
      <c r="AB23" s="38"/>
      <c r="AC23" s="38"/>
      <c r="AD23" s="38">
        <f t="shared" si="12"/>
        <v>69</v>
      </c>
      <c r="AE23" s="229" t="s">
        <v>490</v>
      </c>
      <c r="AF23" s="34"/>
      <c r="AG23" s="34"/>
      <c r="AH23" s="34"/>
      <c r="AI23" s="34"/>
      <c r="AJ23" s="38"/>
      <c r="AK23" s="38"/>
      <c r="AL23" s="38"/>
      <c r="AM23" s="38">
        <f t="shared" si="16"/>
        <v>69</v>
      </c>
      <c r="AN23" s="38"/>
      <c r="AO23" s="38"/>
      <c r="AP23" s="38"/>
      <c r="AQ23" s="38"/>
      <c r="AR23" s="38">
        <f t="shared" si="14"/>
        <v>0</v>
      </c>
      <c r="AS23" s="38"/>
      <c r="AT23" s="38"/>
      <c r="AU23" s="38"/>
      <c r="AV23" s="38">
        <v>69</v>
      </c>
      <c r="AW23" s="38"/>
      <c r="AX23" s="38"/>
      <c r="AY23" s="38"/>
      <c r="AZ23" s="38"/>
      <c r="BA23" s="38">
        <f t="shared" si="15"/>
        <v>0</v>
      </c>
      <c r="BB23" s="34"/>
      <c r="BC23" s="477"/>
      <c r="BD23" s="477"/>
      <c r="BE23" s="34"/>
      <c r="BF23" s="477"/>
    </row>
    <row r="24" spans="1:58" ht="12.9" customHeight="1">
      <c r="A24" s="41"/>
      <c r="B24" s="42"/>
      <c r="C24" s="393"/>
      <c r="D24" s="42"/>
      <c r="E24" s="43"/>
      <c r="F24" s="43"/>
      <c r="G24" s="406"/>
      <c r="H24" s="533"/>
      <c r="I24" s="45"/>
      <c r="J24" s="82"/>
      <c r="K24" s="82"/>
      <c r="L24" s="36"/>
      <c r="M24" s="36"/>
      <c r="N24" s="46"/>
      <c r="O24" s="47"/>
      <c r="P24" s="48"/>
      <c r="Q24" s="47"/>
      <c r="R24" s="362"/>
      <c r="S24" s="362"/>
      <c r="T24" s="38"/>
      <c r="U24" s="38"/>
      <c r="V24" s="38"/>
      <c r="W24" s="38"/>
      <c r="X24" s="39"/>
      <c r="Y24" s="209"/>
      <c r="Z24" s="38"/>
      <c r="AA24" s="38"/>
      <c r="AB24" s="38"/>
      <c r="AC24" s="38"/>
      <c r="AD24" s="38"/>
      <c r="AE24" s="226"/>
      <c r="AF24" s="38"/>
      <c r="AG24" s="38"/>
      <c r="AH24" s="38"/>
      <c r="AI24" s="38"/>
      <c r="AJ24" s="38"/>
      <c r="AK24" s="38"/>
      <c r="AL24" s="38"/>
      <c r="AM24" s="38"/>
      <c r="AN24" s="83"/>
      <c r="AO24" s="38"/>
      <c r="AP24" s="38"/>
      <c r="AQ24" s="38"/>
      <c r="AR24" s="38"/>
      <c r="AS24" s="38"/>
      <c r="AT24" s="38"/>
      <c r="AU24" s="38"/>
      <c r="AV24" s="38"/>
      <c r="AW24" s="38"/>
      <c r="AX24" s="38"/>
      <c r="AY24" s="38"/>
      <c r="AZ24" s="38"/>
      <c r="BA24" s="38"/>
      <c r="BB24" s="50"/>
      <c r="BC24" s="51"/>
      <c r="BD24" s="477"/>
      <c r="BE24" s="34"/>
      <c r="BF24" s="477"/>
    </row>
    <row r="25" spans="1:58" ht="12.9" customHeight="1">
      <c r="A25" s="41">
        <v>46086</v>
      </c>
      <c r="B25" s="42" t="s">
        <v>422</v>
      </c>
      <c r="C25" s="393">
        <f>(M25*E25*O25*Q25)/100000000</f>
        <v>55.46772</v>
      </c>
      <c r="D25" s="42" t="s">
        <v>423</v>
      </c>
      <c r="E25" s="43">
        <v>14.5</v>
      </c>
      <c r="F25" s="43">
        <v>1</v>
      </c>
      <c r="G25" s="406">
        <v>1165</v>
      </c>
      <c r="H25" s="533">
        <f>+N25</f>
        <v>0.16000000000000003</v>
      </c>
      <c r="I25" s="45">
        <v>0.88</v>
      </c>
      <c r="J25" s="82">
        <f>E25*G25*(1-H25)*1440/1000000*2.7</f>
        <v>55.1695536</v>
      </c>
      <c r="K25" s="82">
        <f>(IF(G25&lt;L25,L25,G25)*(1-IF(H25&lt;N25,H25,N25))*E25*O25*Q25)/100000000</f>
        <v>56.191211999999993</v>
      </c>
      <c r="L25" s="36">
        <v>1150</v>
      </c>
      <c r="M25" s="36">
        <v>966</v>
      </c>
      <c r="N25" s="46">
        <f>1-(M25/L25)</f>
        <v>0.16000000000000003</v>
      </c>
      <c r="O25" s="47">
        <f>+'Trim Rwd'!H13</f>
        <v>275</v>
      </c>
      <c r="P25" s="48">
        <f>O25*(Q25-R25-S25)</f>
        <v>387475</v>
      </c>
      <c r="Q25" s="47">
        <v>1440</v>
      </c>
      <c r="R25" s="362">
        <v>0</v>
      </c>
      <c r="S25" s="362">
        <v>31</v>
      </c>
      <c r="T25" s="38">
        <f>E25*M25*O25*Q25/100000000</f>
        <v>55.46772</v>
      </c>
      <c r="U25" s="38">
        <f>E25*M25*O25*(Q25-R25-S25)/100000000</f>
        <v>54.27362325</v>
      </c>
      <c r="V25" s="38">
        <f>E25*G25*(1-N25)*O25/100*(R25+S25)/1000000</f>
        <v>1.2096719249999999</v>
      </c>
      <c r="W25" s="38">
        <f>+'5'!K8/1000</f>
        <v>54.177999999999997</v>
      </c>
      <c r="X25" s="361">
        <f>SUM(W25:W28)/SUM(K25:K28)</f>
        <v>0.96417212001050989</v>
      </c>
      <c r="Y25" s="38">
        <v>0</v>
      </c>
      <c r="Z25" s="38">
        <v>0</v>
      </c>
      <c r="AA25" s="49">
        <f>SUM(U25:U28)-SUM(W25:W28)-SUM(Z25:Z28)-SUM(Y25:Y28)</f>
        <v>9.5623250000002713E-2</v>
      </c>
      <c r="AB25" s="49">
        <f>(SUM(K25:K28)-SUM(W25:W28)-SUM(Y25:Y28)-SUM(Z25:Z28)-SUM(AC25:AC28)-SUM(V25:V28))-AA25</f>
        <v>-1.5575174999999941E-2</v>
      </c>
      <c r="AC25" s="38">
        <f>K25-T25</f>
        <v>0.72349199999999314</v>
      </c>
      <c r="AD25" s="38">
        <f>+AM25+BA25</f>
        <v>4</v>
      </c>
      <c r="AE25" s="226" t="s">
        <v>445</v>
      </c>
      <c r="AF25" s="38">
        <v>4</v>
      </c>
      <c r="AG25" s="38"/>
      <c r="AH25" s="38"/>
      <c r="AI25" s="38"/>
      <c r="AJ25" s="38"/>
      <c r="AK25" s="38"/>
      <c r="AL25" s="38"/>
      <c r="AM25" s="38">
        <f>SUM(AF25:AL25)+AT25+AV25+AX25</f>
        <v>4</v>
      </c>
      <c r="AN25" s="38"/>
      <c r="AO25" s="38"/>
      <c r="AP25" s="38"/>
      <c r="AQ25" s="38"/>
      <c r="AR25" s="38">
        <f>SUM(AN25:AQ25)</f>
        <v>0</v>
      </c>
      <c r="AS25" s="38"/>
      <c r="AT25" s="38"/>
      <c r="AU25" s="38"/>
      <c r="AV25" s="38"/>
      <c r="AW25" s="38"/>
      <c r="AX25" s="38"/>
      <c r="AY25" s="38"/>
      <c r="AZ25" s="38"/>
      <c r="BA25" s="38">
        <f>+AR25+AS25+AU25+AW25+AY25+AZ25</f>
        <v>0</v>
      </c>
      <c r="BB25" s="34">
        <v>2</v>
      </c>
      <c r="BC25" s="51"/>
      <c r="BD25" s="51"/>
      <c r="BE25" s="34"/>
      <c r="BF25" s="51"/>
    </row>
    <row r="26" spans="1:58" ht="12.9" customHeight="1">
      <c r="A26" s="41"/>
      <c r="B26" s="42"/>
      <c r="C26" s="393"/>
      <c r="D26" s="42"/>
      <c r="E26" s="43"/>
      <c r="F26" s="43"/>
      <c r="G26" s="406"/>
      <c r="H26" s="533"/>
      <c r="I26" s="45"/>
      <c r="J26" s="82"/>
      <c r="K26" s="82"/>
      <c r="L26" s="36"/>
      <c r="M26" s="36"/>
      <c r="N26" s="46"/>
      <c r="O26" s="47"/>
      <c r="P26" s="48"/>
      <c r="Q26" s="47"/>
      <c r="R26" s="362"/>
      <c r="S26" s="362"/>
      <c r="T26" s="38"/>
      <c r="U26" s="38"/>
      <c r="V26" s="38"/>
      <c r="W26" s="38"/>
      <c r="X26" s="39"/>
      <c r="Y26" s="209"/>
      <c r="Z26" s="38"/>
      <c r="AA26" s="38"/>
      <c r="AB26" s="38"/>
      <c r="AC26" s="38"/>
      <c r="AD26" s="38">
        <f t="shared" ref="AD26:AD27" si="17">+AM26+BA26</f>
        <v>3</v>
      </c>
      <c r="AE26" s="226" t="s">
        <v>416</v>
      </c>
      <c r="AF26" s="38"/>
      <c r="AG26" s="38">
        <v>3</v>
      </c>
      <c r="AH26" s="38"/>
      <c r="AI26" s="38"/>
      <c r="AJ26" s="38"/>
      <c r="AK26" s="38"/>
      <c r="AL26" s="38"/>
      <c r="AM26" s="38">
        <f t="shared" ref="AM26:AM27" si="18">SUM(AF26:AL26)+AT26+AV26+AX26</f>
        <v>3</v>
      </c>
      <c r="AN26" s="83"/>
      <c r="AO26" s="38"/>
      <c r="AP26" s="38"/>
      <c r="AQ26" s="38"/>
      <c r="AR26" s="38">
        <f t="shared" ref="AR26:AR27" si="19">SUM(AN26:AQ26)</f>
        <v>0</v>
      </c>
      <c r="AS26" s="38"/>
      <c r="AT26" s="38"/>
      <c r="AU26" s="38"/>
      <c r="AV26" s="38"/>
      <c r="AW26" s="38"/>
      <c r="AX26" s="38"/>
      <c r="AY26" s="38"/>
      <c r="AZ26" s="38"/>
      <c r="BA26" s="38">
        <f t="shared" ref="BA26:BA27" si="20">+AR26+AS26+AU26+AW26+AY26+AZ26</f>
        <v>0</v>
      </c>
      <c r="BB26" s="50"/>
      <c r="BC26" s="51">
        <v>1</v>
      </c>
      <c r="BD26" s="51"/>
      <c r="BE26" s="50"/>
      <c r="BF26" s="51"/>
    </row>
    <row r="27" spans="1:58" ht="12.9" customHeight="1">
      <c r="A27" s="41"/>
      <c r="B27" s="42"/>
      <c r="C27" s="393"/>
      <c r="D27" s="42"/>
      <c r="E27" s="43"/>
      <c r="F27" s="43"/>
      <c r="G27" s="44"/>
      <c r="H27" s="533"/>
      <c r="I27" s="45"/>
      <c r="J27" s="82"/>
      <c r="K27" s="82"/>
      <c r="L27" s="36"/>
      <c r="M27" s="36"/>
      <c r="N27" s="46"/>
      <c r="O27" s="47"/>
      <c r="P27" s="48"/>
      <c r="Q27" s="47"/>
      <c r="R27" s="362"/>
      <c r="S27" s="362"/>
      <c r="T27" s="38"/>
      <c r="U27" s="38"/>
      <c r="V27" s="38"/>
      <c r="W27" s="38"/>
      <c r="X27" s="39"/>
      <c r="Y27" s="209"/>
      <c r="Z27" s="38"/>
      <c r="AA27" s="38"/>
      <c r="AB27" s="38"/>
      <c r="AC27" s="38"/>
      <c r="AD27" s="38">
        <f t="shared" si="17"/>
        <v>24</v>
      </c>
      <c r="AE27" s="226" t="s">
        <v>498</v>
      </c>
      <c r="AF27" s="34"/>
      <c r="AG27" s="34"/>
      <c r="AH27" s="34">
        <v>24</v>
      </c>
      <c r="AI27" s="34"/>
      <c r="AJ27" s="38"/>
      <c r="AK27" s="38"/>
      <c r="AL27" s="38"/>
      <c r="AM27" s="38">
        <f t="shared" si="18"/>
        <v>24</v>
      </c>
      <c r="AN27" s="38"/>
      <c r="AO27" s="38"/>
      <c r="AP27" s="38"/>
      <c r="AQ27" s="38"/>
      <c r="AR27" s="38">
        <f t="shared" si="19"/>
        <v>0</v>
      </c>
      <c r="AS27" s="38"/>
      <c r="AT27" s="38"/>
      <c r="AU27" s="38"/>
      <c r="AV27" s="38"/>
      <c r="AW27" s="38"/>
      <c r="AX27" s="38"/>
      <c r="AY27" s="38"/>
      <c r="AZ27" s="38"/>
      <c r="BA27" s="38">
        <f t="shared" si="20"/>
        <v>0</v>
      </c>
      <c r="BB27" s="34"/>
      <c r="BC27" s="477"/>
      <c r="BD27" s="477"/>
      <c r="BE27" s="34"/>
      <c r="BF27" s="477"/>
    </row>
    <row r="28" spans="1:58" ht="12.9" customHeight="1">
      <c r="A28" s="41"/>
      <c r="B28" s="42"/>
      <c r="C28" s="393"/>
      <c r="D28" s="42"/>
      <c r="E28" s="43"/>
      <c r="F28" s="43"/>
      <c r="G28" s="406"/>
      <c r="H28" s="533"/>
      <c r="I28" s="45"/>
      <c r="J28" s="82"/>
      <c r="K28" s="82"/>
      <c r="L28" s="36"/>
      <c r="M28" s="36"/>
      <c r="N28" s="46"/>
      <c r="O28" s="47"/>
      <c r="P28" s="48"/>
      <c r="Q28" s="47"/>
      <c r="R28" s="362"/>
      <c r="S28" s="362"/>
      <c r="T28" s="38"/>
      <c r="U28" s="38"/>
      <c r="V28" s="38"/>
      <c r="W28" s="38"/>
      <c r="X28" s="39"/>
      <c r="Y28" s="209"/>
      <c r="Z28" s="38"/>
      <c r="AA28" s="38"/>
      <c r="AB28" s="38"/>
      <c r="AC28" s="38"/>
      <c r="AD28" s="38"/>
      <c r="AE28" s="226"/>
      <c r="AF28" s="38"/>
      <c r="AG28" s="38"/>
      <c r="AH28" s="38"/>
      <c r="AI28" s="476"/>
      <c r="AJ28" s="38"/>
      <c r="AK28" s="38"/>
      <c r="AL28" s="38"/>
      <c r="AM28" s="38"/>
      <c r="AN28" s="83"/>
      <c r="AO28" s="38"/>
      <c r="AP28" s="38"/>
      <c r="AQ28" s="38"/>
      <c r="AR28" s="38"/>
      <c r="AS28" s="38"/>
      <c r="AT28" s="38"/>
      <c r="AU28" s="38"/>
      <c r="AV28" s="38"/>
      <c r="AW28" s="38"/>
      <c r="AX28" s="38"/>
      <c r="AY28" s="38"/>
      <c r="AZ28" s="38"/>
      <c r="BA28" s="38"/>
      <c r="BB28" s="50"/>
      <c r="BC28" s="51"/>
      <c r="BD28" s="477"/>
      <c r="BE28" s="34"/>
      <c r="BF28" s="477"/>
    </row>
    <row r="29" spans="1:58" ht="12.9" customHeight="1">
      <c r="A29" s="41">
        <v>46087</v>
      </c>
      <c r="B29" s="42" t="s">
        <v>422</v>
      </c>
      <c r="C29" s="393">
        <f>(M29*E29*O29*Q29)/100000000</f>
        <v>8.6668312499999995</v>
      </c>
      <c r="D29" s="42" t="s">
        <v>423</v>
      </c>
      <c r="E29" s="43">
        <v>14.5</v>
      </c>
      <c r="F29" s="43">
        <v>1</v>
      </c>
      <c r="G29" s="406">
        <v>1165</v>
      </c>
      <c r="H29" s="533">
        <f>+N29</f>
        <v>0.16000000000000003</v>
      </c>
      <c r="I29" s="45">
        <v>0.88</v>
      </c>
      <c r="J29" s="82">
        <f>E29*G29*(1-H29)*1440/1000000*2.7</f>
        <v>55.1695536</v>
      </c>
      <c r="K29" s="82">
        <f>(IF(G29&lt;L29,L29,G29)*(1-IF(H29&lt;N29,H29,N29))*E29*O29*Q29)/100000000</f>
        <v>8.7798768749999994</v>
      </c>
      <c r="L29" s="36">
        <v>1150</v>
      </c>
      <c r="M29" s="36">
        <v>966</v>
      </c>
      <c r="N29" s="46">
        <f>1-(M29/L29)</f>
        <v>0.16000000000000003</v>
      </c>
      <c r="O29" s="47">
        <f>+'Trim Rwd'!H16</f>
        <v>275</v>
      </c>
      <c r="P29" s="48">
        <f>O29*(Q29-R29-S29)</f>
        <v>60500</v>
      </c>
      <c r="Q29" s="47">
        <v>225</v>
      </c>
      <c r="R29" s="362">
        <v>0</v>
      </c>
      <c r="S29" s="362">
        <v>5</v>
      </c>
      <c r="T29" s="38">
        <f>E29*M29*O29*Q29/100000000</f>
        <v>8.6668312499999995</v>
      </c>
      <c r="U29" s="38">
        <f>E29*M29*O29*(Q29-R29-S29)/100000000</f>
        <v>8.4742350000000002</v>
      </c>
      <c r="V29" s="38">
        <f>E29*G29*(1-N29)*O29/100*(R29+S29)/1000000</f>
        <v>0.19510837499999997</v>
      </c>
      <c r="W29" s="38">
        <f>+'6'!K8/1000</f>
        <v>10.114000000000001</v>
      </c>
      <c r="X29" s="361">
        <f>SUM(W29:W32)/SUM(K29:K32)</f>
        <v>0.97687922819688178</v>
      </c>
      <c r="Y29" s="38">
        <v>0</v>
      </c>
      <c r="Z29" s="38">
        <v>0</v>
      </c>
      <c r="AA29" s="49">
        <f>SUM(U29:U32)-SUM(W29:W32)-SUM(Z29:Z32)-SUM(Y29:Y32)</f>
        <v>-0.1085705699999977</v>
      </c>
      <c r="AB29" s="49">
        <f>(SUM(K29:K32)-SUM(W29:W32)-SUM(Y29:Y32)-SUM(Z29:Z32)-SUM(AC29:AC32)-SUM(V29:V32))-AA29</f>
        <v>7.3394999994369492E-5</v>
      </c>
      <c r="AC29" s="38">
        <f>K29-T29</f>
        <v>0.11304562499999982</v>
      </c>
      <c r="AD29" s="38">
        <f>+AM29+BA29</f>
        <v>0</v>
      </c>
      <c r="AE29" s="226" t="s">
        <v>417</v>
      </c>
      <c r="AF29" s="38">
        <v>0</v>
      </c>
      <c r="AG29" s="38"/>
      <c r="AH29" s="38"/>
      <c r="AI29" s="38"/>
      <c r="AJ29" s="38"/>
      <c r="AK29" s="38"/>
      <c r="AL29" s="38"/>
      <c r="AM29" s="38">
        <f>SUM(AF29:AL29)+AT29+AV29+AX29</f>
        <v>0</v>
      </c>
      <c r="AN29" s="38"/>
      <c r="AO29" s="38"/>
      <c r="AP29" s="38"/>
      <c r="AQ29" s="38"/>
      <c r="AR29" s="38">
        <f>SUM(AN29:AQ29)</f>
        <v>0</v>
      </c>
      <c r="AS29" s="38"/>
      <c r="AT29" s="38"/>
      <c r="AU29" s="38"/>
      <c r="AV29" s="38"/>
      <c r="AW29" s="38"/>
      <c r="AX29" s="38"/>
      <c r="AY29" s="38"/>
      <c r="AZ29" s="38"/>
      <c r="BA29" s="38">
        <f>+AR29+AS29+AU29+AW29+AY29+AZ29</f>
        <v>0</v>
      </c>
      <c r="BB29" s="34">
        <v>0</v>
      </c>
      <c r="BC29" s="51"/>
      <c r="BD29" s="51">
        <v>2</v>
      </c>
      <c r="BE29" s="34"/>
      <c r="BF29" s="51"/>
    </row>
    <row r="30" spans="1:58" ht="12.9" customHeight="1">
      <c r="A30" s="41"/>
      <c r="B30" s="42" t="s">
        <v>422</v>
      </c>
      <c r="C30" s="393">
        <f>(M30*E30*O30*Q30)/100000000</f>
        <v>25.016521950000001</v>
      </c>
      <c r="D30" s="42" t="s">
        <v>423</v>
      </c>
      <c r="E30" s="43">
        <v>15</v>
      </c>
      <c r="F30" s="43">
        <v>1</v>
      </c>
      <c r="G30" s="406">
        <v>1125</v>
      </c>
      <c r="H30" s="533">
        <f>+N30</f>
        <v>0.15999999999999992</v>
      </c>
      <c r="I30" s="45">
        <v>0.88</v>
      </c>
      <c r="J30" s="82">
        <f>E30*G30*(1-H30)*1440/1000000*2.7</f>
        <v>55.112400000000008</v>
      </c>
      <c r="K30" s="82">
        <f>(IF(G30&lt;L30,L30,G30)*(1-IF(H30&lt;N30,H30,N30))*E30*O30*Q30)/100000000</f>
        <v>25.016521950000001</v>
      </c>
      <c r="L30" s="36">
        <v>1130</v>
      </c>
      <c r="M30" s="36">
        <v>949.2</v>
      </c>
      <c r="N30" s="46">
        <f>1-(M30/L30)</f>
        <v>0.15999999999999992</v>
      </c>
      <c r="O30" s="47">
        <f>+'Trim Rwd'!H15</f>
        <v>256.5</v>
      </c>
      <c r="P30" s="48">
        <f>O30*(Q30-R30-S30)</f>
        <v>171598.5</v>
      </c>
      <c r="Q30" s="47">
        <f>1215-530</f>
        <v>685</v>
      </c>
      <c r="R30" s="362">
        <f>530-530</f>
        <v>0</v>
      </c>
      <c r="S30" s="362">
        <v>16</v>
      </c>
      <c r="T30" s="38">
        <f>E30*M30*O30*Q30/100000000</f>
        <v>25.016521950000001</v>
      </c>
      <c r="U30" s="38">
        <f>E30*M30*O30*(Q30-R30-S30)/100000000</f>
        <v>24.432194429999999</v>
      </c>
      <c r="V30" s="38">
        <f>E30*G30*(1-N30)*O30/100*(R30+S30)/1000000</f>
        <v>0.58174200000000009</v>
      </c>
      <c r="W30" s="38">
        <f>+'6'!K7/1000</f>
        <v>22.901</v>
      </c>
      <c r="X30" s="39"/>
      <c r="Y30" s="209"/>
      <c r="Z30" s="38"/>
      <c r="AA30" s="38"/>
      <c r="AB30" s="38"/>
      <c r="AC30" s="38">
        <f>K30-T30</f>
        <v>0</v>
      </c>
      <c r="AD30" s="38">
        <f t="shared" ref="AD30:AD32" si="21">+AM30+BA30</f>
        <v>2</v>
      </c>
      <c r="AE30" s="226" t="s">
        <v>416</v>
      </c>
      <c r="AF30" s="38"/>
      <c r="AG30" s="38">
        <v>2</v>
      </c>
      <c r="AH30" s="38"/>
      <c r="AI30" s="38"/>
      <c r="AJ30" s="38"/>
      <c r="AK30" s="38"/>
      <c r="AL30" s="38"/>
      <c r="AM30" s="38">
        <f t="shared" ref="AM30:AM31" si="22">SUM(AF30:AL30)+AT30+AV30+AX30</f>
        <v>2</v>
      </c>
      <c r="AN30" s="83"/>
      <c r="AO30" s="38"/>
      <c r="AP30" s="38"/>
      <c r="AQ30" s="38"/>
      <c r="AR30" s="38">
        <f t="shared" ref="AR30:AR32" si="23">SUM(AN30:AQ30)</f>
        <v>0</v>
      </c>
      <c r="AS30" s="38"/>
      <c r="AT30" s="38"/>
      <c r="AU30" s="38"/>
      <c r="AV30" s="38"/>
      <c r="AW30" s="38"/>
      <c r="AX30" s="38"/>
      <c r="AY30" s="38"/>
      <c r="AZ30" s="38"/>
      <c r="BA30" s="38">
        <f t="shared" ref="BA30:BA32" si="24">+AR30+AS30+AU30+AW30+AY30+AZ30</f>
        <v>0</v>
      </c>
      <c r="BB30" s="50"/>
      <c r="BC30" s="51">
        <v>1</v>
      </c>
      <c r="BD30" s="51"/>
      <c r="BE30" s="50"/>
      <c r="BF30" s="51"/>
    </row>
    <row r="31" spans="1:58" ht="12.9" customHeight="1">
      <c r="A31" s="41"/>
      <c r="B31" s="42"/>
      <c r="C31" s="393"/>
      <c r="D31" s="42"/>
      <c r="E31" s="43"/>
      <c r="F31" s="43"/>
      <c r="G31" s="44"/>
      <c r="H31" s="533"/>
      <c r="I31" s="45"/>
      <c r="J31" s="82"/>
      <c r="K31" s="82"/>
      <c r="L31" s="36"/>
      <c r="M31" s="36"/>
      <c r="N31" s="46"/>
      <c r="O31" s="47"/>
      <c r="P31" s="48"/>
      <c r="Q31" s="47"/>
      <c r="R31" s="362"/>
      <c r="S31" s="362"/>
      <c r="T31" s="38"/>
      <c r="U31" s="38"/>
      <c r="V31" s="38"/>
      <c r="W31" s="38"/>
      <c r="X31" s="39"/>
      <c r="Y31" s="209"/>
      <c r="Z31" s="38"/>
      <c r="AA31" s="38"/>
      <c r="AB31" s="38"/>
      <c r="AC31" s="38"/>
      <c r="AD31" s="38">
        <f t="shared" si="21"/>
        <v>19</v>
      </c>
      <c r="AE31" s="226" t="s">
        <v>511</v>
      </c>
      <c r="AF31" s="34"/>
      <c r="AG31" s="34"/>
      <c r="AH31" s="34">
        <v>19</v>
      </c>
      <c r="AI31" s="34"/>
      <c r="AJ31" s="38"/>
      <c r="AK31" s="38"/>
      <c r="AL31" s="38"/>
      <c r="AM31" s="38">
        <f t="shared" si="22"/>
        <v>19</v>
      </c>
      <c r="AN31" s="38"/>
      <c r="AO31" s="38"/>
      <c r="AP31" s="38"/>
      <c r="AQ31" s="38"/>
      <c r="AR31" s="38">
        <f t="shared" si="23"/>
        <v>0</v>
      </c>
      <c r="AS31" s="38"/>
      <c r="AT31" s="38"/>
      <c r="AU31" s="38"/>
      <c r="AV31" s="38"/>
      <c r="AW31" s="38"/>
      <c r="AX31" s="38"/>
      <c r="AY31" s="38"/>
      <c r="AZ31" s="38"/>
      <c r="BA31" s="38">
        <f t="shared" si="24"/>
        <v>0</v>
      </c>
      <c r="BB31" s="34"/>
      <c r="BC31" s="477"/>
      <c r="BD31" s="477"/>
      <c r="BE31" s="34"/>
      <c r="BF31" s="477"/>
    </row>
    <row r="32" spans="1:58" ht="12.9" customHeight="1">
      <c r="A32" s="41"/>
      <c r="B32" s="42"/>
      <c r="C32" s="393"/>
      <c r="D32" s="42"/>
      <c r="E32" s="43"/>
      <c r="F32" s="43"/>
      <c r="G32" s="44"/>
      <c r="H32" s="533"/>
      <c r="I32" s="45"/>
      <c r="J32" s="82"/>
      <c r="K32" s="82"/>
      <c r="L32" s="36"/>
      <c r="M32" s="36"/>
      <c r="N32" s="46"/>
      <c r="O32" s="47"/>
      <c r="P32" s="48"/>
      <c r="Q32" s="47"/>
      <c r="R32" s="362"/>
      <c r="S32" s="362"/>
      <c r="T32" s="38"/>
      <c r="U32" s="38"/>
      <c r="V32" s="38"/>
      <c r="W32" s="38"/>
      <c r="X32" s="39"/>
      <c r="Y32" s="209"/>
      <c r="Z32" s="38"/>
      <c r="AA32" s="38"/>
      <c r="AB32" s="38"/>
      <c r="AC32" s="38"/>
      <c r="AD32" s="38">
        <f t="shared" si="21"/>
        <v>0</v>
      </c>
      <c r="AE32" s="226" t="s">
        <v>512</v>
      </c>
      <c r="AF32" s="34"/>
      <c r="AG32" s="34"/>
      <c r="AH32" s="34"/>
      <c r="AI32" s="34"/>
      <c r="AJ32" s="38"/>
      <c r="AK32" s="38"/>
      <c r="AL32" s="38"/>
      <c r="AM32" s="38">
        <f t="shared" ref="AM32" si="25">SUM(AF32:AL32)+AT32+AV32+AX32</f>
        <v>0</v>
      </c>
      <c r="AN32" s="38"/>
      <c r="AO32" s="38"/>
      <c r="AP32" s="38"/>
      <c r="AQ32" s="38"/>
      <c r="AR32" s="38">
        <f t="shared" si="23"/>
        <v>0</v>
      </c>
      <c r="AS32" s="38"/>
      <c r="AT32" s="38"/>
      <c r="AU32" s="38"/>
      <c r="AV32" s="38"/>
      <c r="AW32" s="38">
        <f>530-530</f>
        <v>0</v>
      </c>
      <c r="AX32" s="38"/>
      <c r="AY32" s="38"/>
      <c r="AZ32" s="38"/>
      <c r="BA32" s="38">
        <f t="shared" si="24"/>
        <v>0</v>
      </c>
      <c r="BB32" s="34"/>
      <c r="BC32" s="477"/>
      <c r="BD32" s="477"/>
      <c r="BE32" s="34"/>
      <c r="BF32" s="477"/>
    </row>
    <row r="33" spans="1:58" ht="12.9" customHeight="1">
      <c r="A33" s="41"/>
      <c r="B33" s="42"/>
      <c r="C33" s="393"/>
      <c r="D33" s="42"/>
      <c r="E33" s="43"/>
      <c r="F33" s="43"/>
      <c r="G33" s="406"/>
      <c r="H33" s="533"/>
      <c r="I33" s="45"/>
      <c r="J33" s="82"/>
      <c r="K33" s="82"/>
      <c r="L33" s="36"/>
      <c r="M33" s="36"/>
      <c r="N33" s="46"/>
      <c r="O33" s="47"/>
      <c r="P33" s="48"/>
      <c r="Q33" s="47"/>
      <c r="R33" s="362"/>
      <c r="S33" s="362"/>
      <c r="T33" s="38"/>
      <c r="U33" s="38"/>
      <c r="V33" s="38"/>
      <c r="W33" s="38"/>
      <c r="X33" s="361"/>
      <c r="Y33" s="38"/>
      <c r="Z33" s="38"/>
      <c r="AA33" s="49"/>
      <c r="AB33" s="49"/>
      <c r="AC33" s="38"/>
      <c r="AD33" s="38"/>
      <c r="AE33" s="226"/>
      <c r="AF33" s="38"/>
      <c r="AG33" s="38"/>
      <c r="AH33" s="38"/>
      <c r="AI33" s="476"/>
      <c r="AJ33" s="38"/>
      <c r="AK33" s="38"/>
      <c r="AL33" s="38"/>
      <c r="AM33" s="38"/>
      <c r="AN33" s="38"/>
      <c r="AO33" s="38"/>
      <c r="AP33" s="38"/>
      <c r="AQ33" s="38"/>
      <c r="AR33" s="38"/>
      <c r="AS33" s="38"/>
      <c r="AT33" s="38"/>
      <c r="AU33" s="38"/>
      <c r="AV33" s="38"/>
      <c r="AW33" s="38"/>
      <c r="AX33" s="38"/>
      <c r="AY33" s="38"/>
      <c r="AZ33" s="38"/>
      <c r="BA33" s="38"/>
      <c r="BB33" s="34"/>
      <c r="BC33" s="51"/>
      <c r="BD33" s="51"/>
      <c r="BE33" s="34"/>
      <c r="BF33" s="51"/>
    </row>
    <row r="34" spans="1:58" ht="12.9" customHeight="1">
      <c r="A34" s="41">
        <v>46088</v>
      </c>
      <c r="B34" s="42" t="s">
        <v>422</v>
      </c>
      <c r="C34" s="393">
        <f>(M34*E34*O34*Q34)/100000000</f>
        <v>46.638679364999987</v>
      </c>
      <c r="D34" s="42" t="s">
        <v>423</v>
      </c>
      <c r="E34" s="43">
        <v>15</v>
      </c>
      <c r="F34" s="43">
        <v>1</v>
      </c>
      <c r="G34" s="406">
        <v>1150</v>
      </c>
      <c r="H34" s="533">
        <f>+N34</f>
        <v>0.18000000000000005</v>
      </c>
      <c r="I34" s="45">
        <v>0.88</v>
      </c>
      <c r="J34" s="82">
        <f>E34*G34*(1-H34)*1440/1000000*2.7</f>
        <v>54.995760000000004</v>
      </c>
      <c r="K34" s="82">
        <f>(IF(G34&lt;L34,L34,G34)*(1-IF(H34&lt;N34,H34,N34))*E34*O34*Q34)/100000000</f>
        <v>46.658555550000003</v>
      </c>
      <c r="L34" s="36">
        <v>1149.5101088646968</v>
      </c>
      <c r="M34" s="36">
        <v>942.59828926905129</v>
      </c>
      <c r="N34" s="46">
        <f>1-(M34/L34)</f>
        <v>0.18000000000000005</v>
      </c>
      <c r="O34" s="47">
        <f>+'Trim Rwd'!H18</f>
        <v>256.5</v>
      </c>
      <c r="P34" s="48">
        <f>O34*(Q34-R34-S34)</f>
        <v>323959.5</v>
      </c>
      <c r="Q34" s="47">
        <f>1440-154</f>
        <v>1286</v>
      </c>
      <c r="R34" s="362">
        <f>154-154</f>
        <v>0</v>
      </c>
      <c r="S34" s="362">
        <f>17+6</f>
        <v>23</v>
      </c>
      <c r="T34" s="38">
        <f>E34*M34*O34*Q34/100000000</f>
        <v>46.638679364999987</v>
      </c>
      <c r="U34" s="38">
        <f>E34*M34*O34*(Q34-R34-S34)/100000000</f>
        <v>45.804550573868582</v>
      </c>
      <c r="V34" s="38">
        <f>E34*G34*(1-N34)*O34/100*(R34+S34)/1000000</f>
        <v>0.834484275</v>
      </c>
      <c r="W34" s="38">
        <f>+'7'!K7/1000</f>
        <v>38.323999999999998</v>
      </c>
      <c r="X34" s="361">
        <f>SUM(W34:W37)/SUM(K34:K37)</f>
        <v>0.82137133368673254</v>
      </c>
      <c r="Y34" s="38">
        <v>0</v>
      </c>
      <c r="Z34" s="38">
        <v>0</v>
      </c>
      <c r="AA34" s="49">
        <f>SUM(U34:U37)-SUM(W34:W37)-SUM(Z34:Z37)-SUM(Y34:Y37)</f>
        <v>7.4805505738685838</v>
      </c>
      <c r="AB34" s="49">
        <f>(SUM(K34:K37)-SUM(W34:W37)-SUM(Y34:Y37)-SUM(Z34:Z37)-SUM(AC34:AC37)-SUM(V34:V37))-AA34</f>
        <v>-3.5548386859485248E-4</v>
      </c>
      <c r="AC34" s="38">
        <f>K34-T34</f>
        <v>1.9876185000015312E-2</v>
      </c>
      <c r="AD34" s="38">
        <f>+AM34+BA34</f>
        <v>0</v>
      </c>
      <c r="AE34" s="226" t="s">
        <v>417</v>
      </c>
      <c r="AF34" s="38">
        <v>0</v>
      </c>
      <c r="AG34" s="38"/>
      <c r="AH34" s="38"/>
      <c r="AI34" s="38"/>
      <c r="AJ34" s="38"/>
      <c r="AK34" s="38"/>
      <c r="AL34" s="38"/>
      <c r="AM34" s="38">
        <f>SUM(AF34:AL34)+AT34+AV34+AX34</f>
        <v>0</v>
      </c>
      <c r="AN34" s="38"/>
      <c r="AO34" s="38"/>
      <c r="AP34" s="38"/>
      <c r="AQ34" s="38"/>
      <c r="AR34" s="38">
        <f>SUM(AN34:AQ34)</f>
        <v>0</v>
      </c>
      <c r="AS34" s="38"/>
      <c r="AT34" s="38"/>
      <c r="AU34" s="38"/>
      <c r="AV34" s="38"/>
      <c r="AW34" s="38"/>
      <c r="AX34" s="38"/>
      <c r="AY34" s="38"/>
      <c r="AZ34" s="38"/>
      <c r="BA34" s="38">
        <f>+AR34+AS34+AU34+AW34+AY34+AZ34</f>
        <v>0</v>
      </c>
      <c r="BB34" s="34">
        <v>0</v>
      </c>
      <c r="BC34" s="51"/>
      <c r="BD34" s="51">
        <v>2</v>
      </c>
      <c r="BE34" s="34"/>
      <c r="BF34" s="51"/>
    </row>
    <row r="35" spans="1:58" ht="12.9" customHeight="1">
      <c r="A35" s="41"/>
      <c r="B35" s="42"/>
      <c r="C35" s="393"/>
      <c r="D35" s="42"/>
      <c r="E35" s="43"/>
      <c r="F35" s="43"/>
      <c r="G35" s="406"/>
      <c r="H35" s="533"/>
      <c r="I35" s="45"/>
      <c r="J35" s="82"/>
      <c r="K35" s="82"/>
      <c r="L35" s="36"/>
      <c r="M35" s="36"/>
      <c r="N35" s="46"/>
      <c r="O35" s="47"/>
      <c r="P35" s="48"/>
      <c r="Q35" s="47"/>
      <c r="R35" s="362"/>
      <c r="S35" s="362"/>
      <c r="T35" s="38"/>
      <c r="U35" s="38"/>
      <c r="V35" s="38"/>
      <c r="W35" s="38"/>
      <c r="X35" s="39"/>
      <c r="Y35" s="209"/>
      <c r="Z35" s="38"/>
      <c r="AA35" s="38"/>
      <c r="AB35" s="38"/>
      <c r="AC35" s="38"/>
      <c r="AD35" s="38">
        <f t="shared" ref="AD35:AD38" si="26">+AM35+BA35</f>
        <v>0</v>
      </c>
      <c r="AE35" s="226" t="s">
        <v>419</v>
      </c>
      <c r="AF35" s="38"/>
      <c r="AG35" s="38">
        <v>0</v>
      </c>
      <c r="AH35" s="38"/>
      <c r="AI35" s="38"/>
      <c r="AJ35" s="38"/>
      <c r="AK35" s="38"/>
      <c r="AL35" s="38"/>
      <c r="AM35" s="38">
        <f t="shared" ref="AM35:AM36" si="27">SUM(AF35:AL35)+AT35+AV35+AX35</f>
        <v>0</v>
      </c>
      <c r="AN35" s="83"/>
      <c r="AO35" s="38"/>
      <c r="AP35" s="38"/>
      <c r="AQ35" s="38"/>
      <c r="AR35" s="38">
        <f t="shared" ref="AR35:AR38" si="28">SUM(AN35:AQ35)</f>
        <v>0</v>
      </c>
      <c r="AS35" s="38"/>
      <c r="AT35" s="38"/>
      <c r="AU35" s="38"/>
      <c r="AV35" s="38"/>
      <c r="AW35" s="38"/>
      <c r="AX35" s="38"/>
      <c r="AY35" s="38"/>
      <c r="AZ35" s="38"/>
      <c r="BA35" s="38">
        <f t="shared" ref="BA35:BA38" si="29">+AR35+AS35+AU35+AW35+AY35+AZ35</f>
        <v>0</v>
      </c>
      <c r="BB35" s="50"/>
      <c r="BC35" s="51">
        <v>0</v>
      </c>
      <c r="BD35" s="51"/>
      <c r="BE35" s="50"/>
      <c r="BF35" s="51"/>
    </row>
    <row r="36" spans="1:58" ht="12.9" customHeight="1">
      <c r="A36" s="41"/>
      <c r="B36" s="42"/>
      <c r="C36" s="393"/>
      <c r="D36" s="42"/>
      <c r="E36" s="43"/>
      <c r="F36" s="43"/>
      <c r="G36" s="44"/>
      <c r="H36" s="533"/>
      <c r="I36" s="45"/>
      <c r="J36" s="82"/>
      <c r="K36" s="82"/>
      <c r="L36" s="36"/>
      <c r="M36" s="36"/>
      <c r="N36" s="46"/>
      <c r="O36" s="47"/>
      <c r="P36" s="48"/>
      <c r="Q36" s="47"/>
      <c r="R36" s="362"/>
      <c r="S36" s="362"/>
      <c r="T36" s="38"/>
      <c r="U36" s="38"/>
      <c r="V36" s="38"/>
      <c r="W36" s="38"/>
      <c r="X36" s="39"/>
      <c r="Y36" s="209"/>
      <c r="Z36" s="38"/>
      <c r="AA36" s="38"/>
      <c r="AB36" s="38"/>
      <c r="AC36" s="38"/>
      <c r="AD36" s="38">
        <f t="shared" si="26"/>
        <v>17</v>
      </c>
      <c r="AE36" s="226" t="s">
        <v>476</v>
      </c>
      <c r="AF36" s="34"/>
      <c r="AG36" s="34"/>
      <c r="AH36" s="34">
        <v>17</v>
      </c>
      <c r="AI36" s="34"/>
      <c r="AJ36" s="38"/>
      <c r="AK36" s="38"/>
      <c r="AL36" s="38"/>
      <c r="AM36" s="38">
        <f t="shared" si="27"/>
        <v>17</v>
      </c>
      <c r="AN36" s="38"/>
      <c r="AO36" s="38"/>
      <c r="AP36" s="38"/>
      <c r="AQ36" s="38"/>
      <c r="AR36" s="38">
        <f t="shared" si="28"/>
        <v>0</v>
      </c>
      <c r="AS36" s="38"/>
      <c r="AT36" s="38"/>
      <c r="AU36" s="38"/>
      <c r="AV36" s="38"/>
      <c r="AW36" s="38"/>
      <c r="AX36" s="38"/>
      <c r="AY36" s="38"/>
      <c r="AZ36" s="38"/>
      <c r="BA36" s="38">
        <f t="shared" si="29"/>
        <v>0</v>
      </c>
      <c r="BB36" s="34"/>
      <c r="BC36" s="477"/>
      <c r="BD36" s="477"/>
      <c r="BE36" s="34"/>
      <c r="BF36" s="477"/>
    </row>
    <row r="37" spans="1:58" ht="12" customHeight="1">
      <c r="A37" s="41"/>
      <c r="B37" s="42"/>
      <c r="C37" s="393"/>
      <c r="D37" s="42"/>
      <c r="E37" s="43"/>
      <c r="F37" s="43"/>
      <c r="G37" s="44"/>
      <c r="H37" s="533"/>
      <c r="I37" s="45"/>
      <c r="J37" s="82"/>
      <c r="K37" s="82"/>
      <c r="L37" s="36"/>
      <c r="M37" s="36"/>
      <c r="N37" s="46"/>
      <c r="O37" s="47"/>
      <c r="P37" s="48"/>
      <c r="Q37" s="47"/>
      <c r="R37" s="362"/>
      <c r="S37" s="362"/>
      <c r="T37" s="38"/>
      <c r="U37" s="38"/>
      <c r="V37" s="38"/>
      <c r="W37" s="38"/>
      <c r="X37" s="39"/>
      <c r="Y37" s="209"/>
      <c r="Z37" s="38"/>
      <c r="AA37" s="38"/>
      <c r="AB37" s="38"/>
      <c r="AC37" s="38"/>
      <c r="AD37" s="38">
        <f t="shared" si="26"/>
        <v>0</v>
      </c>
      <c r="AE37" s="226" t="s">
        <v>512</v>
      </c>
      <c r="AF37" s="34"/>
      <c r="AG37" s="34"/>
      <c r="AH37" s="34"/>
      <c r="AI37" s="34"/>
      <c r="AJ37" s="38"/>
      <c r="AK37" s="38"/>
      <c r="AL37" s="38"/>
      <c r="AM37" s="38">
        <f t="shared" ref="AM37:AM38" si="30">SUM(AF37:AL37)+AT37+AV37+AX37</f>
        <v>0</v>
      </c>
      <c r="AN37" s="38"/>
      <c r="AO37" s="38"/>
      <c r="AP37" s="38"/>
      <c r="AQ37" s="38"/>
      <c r="AR37" s="38">
        <f t="shared" si="28"/>
        <v>0</v>
      </c>
      <c r="AS37" s="38"/>
      <c r="AT37" s="38"/>
      <c r="AU37" s="38"/>
      <c r="AV37" s="38"/>
      <c r="AW37" s="38">
        <f>154-154</f>
        <v>0</v>
      </c>
      <c r="AX37" s="38"/>
      <c r="AY37" s="38"/>
      <c r="AZ37" s="38"/>
      <c r="BA37" s="38">
        <f t="shared" si="29"/>
        <v>0</v>
      </c>
      <c r="BB37" s="34"/>
      <c r="BC37" s="477"/>
      <c r="BD37" s="477"/>
      <c r="BE37" s="34"/>
      <c r="BF37" s="477"/>
    </row>
    <row r="38" spans="1:58" ht="12" customHeight="1">
      <c r="A38" s="41"/>
      <c r="B38" s="42"/>
      <c r="C38" s="393"/>
      <c r="D38" s="42"/>
      <c r="E38" s="43"/>
      <c r="F38" s="43"/>
      <c r="G38" s="44"/>
      <c r="H38" s="533"/>
      <c r="I38" s="45"/>
      <c r="J38" s="82"/>
      <c r="K38" s="82"/>
      <c r="L38" s="36"/>
      <c r="M38" s="36"/>
      <c r="N38" s="46"/>
      <c r="O38" s="47"/>
      <c r="P38" s="48"/>
      <c r="Q38" s="47"/>
      <c r="R38" s="362"/>
      <c r="S38" s="362"/>
      <c r="T38" s="38"/>
      <c r="U38" s="38"/>
      <c r="V38" s="38"/>
      <c r="W38" s="38"/>
      <c r="X38" s="39"/>
      <c r="Y38" s="209"/>
      <c r="Z38" s="38"/>
      <c r="AA38" s="38"/>
      <c r="AB38" s="38"/>
      <c r="AC38" s="38"/>
      <c r="AD38" s="38">
        <f t="shared" si="26"/>
        <v>6</v>
      </c>
      <c r="AE38" s="226" t="s">
        <v>543</v>
      </c>
      <c r="AF38" s="34"/>
      <c r="AG38" s="34"/>
      <c r="AH38" s="34"/>
      <c r="AI38" s="584"/>
      <c r="AJ38" s="38"/>
      <c r="AK38" s="38"/>
      <c r="AL38" s="38"/>
      <c r="AM38" s="38">
        <f t="shared" si="30"/>
        <v>6</v>
      </c>
      <c r="AN38" s="53"/>
      <c r="AO38" s="38"/>
      <c r="AP38" s="38"/>
      <c r="AQ38" s="38"/>
      <c r="AR38" s="38">
        <f t="shared" si="28"/>
        <v>0</v>
      </c>
      <c r="AS38" s="38"/>
      <c r="AT38" s="38"/>
      <c r="AU38" s="38"/>
      <c r="AV38" s="38">
        <v>6</v>
      </c>
      <c r="AW38" s="38"/>
      <c r="AX38" s="38"/>
      <c r="AY38" s="38"/>
      <c r="AZ38" s="38"/>
      <c r="BA38" s="38">
        <f t="shared" si="29"/>
        <v>0</v>
      </c>
      <c r="BB38" s="34"/>
      <c r="BC38" s="477"/>
      <c r="BD38" s="477"/>
      <c r="BE38" s="34"/>
      <c r="BF38" s="477"/>
    </row>
    <row r="39" spans="1:58" ht="12.9" customHeight="1">
      <c r="A39" s="41"/>
      <c r="B39" s="42"/>
      <c r="C39" s="393"/>
      <c r="D39" s="42"/>
      <c r="E39" s="43"/>
      <c r="F39" s="43"/>
      <c r="G39" s="406"/>
      <c r="H39" s="533"/>
      <c r="I39" s="45"/>
      <c r="J39" s="82"/>
      <c r="K39" s="82"/>
      <c r="L39" s="36"/>
      <c r="M39" s="36"/>
      <c r="N39" s="46"/>
      <c r="O39" s="47"/>
      <c r="P39" s="48"/>
      <c r="Q39" s="47"/>
      <c r="R39" s="362"/>
      <c r="S39" s="362"/>
      <c r="T39" s="38"/>
      <c r="U39" s="38"/>
      <c r="V39" s="38"/>
      <c r="W39" s="38"/>
      <c r="X39" s="361"/>
      <c r="Y39" s="209"/>
      <c r="Z39" s="38"/>
      <c r="AA39" s="38"/>
      <c r="AB39" s="38"/>
      <c r="AC39" s="38"/>
      <c r="AD39" s="38"/>
      <c r="AE39" s="226"/>
      <c r="AF39" s="38"/>
      <c r="AG39" s="38"/>
      <c r="AH39" s="38"/>
      <c r="AI39" s="476"/>
      <c r="AJ39" s="38"/>
      <c r="AK39" s="38"/>
      <c r="AL39" s="38"/>
      <c r="AM39" s="38"/>
      <c r="AN39" s="83"/>
      <c r="AO39" s="38"/>
      <c r="AP39" s="38"/>
      <c r="AQ39" s="38"/>
      <c r="AR39" s="38"/>
      <c r="AS39" s="38"/>
      <c r="AT39" s="38"/>
      <c r="AU39" s="38"/>
      <c r="AV39" s="38"/>
      <c r="AW39" s="38"/>
      <c r="AX39" s="38"/>
      <c r="AY39" s="38"/>
      <c r="AZ39" s="38"/>
      <c r="BA39" s="38"/>
      <c r="BB39" s="50"/>
      <c r="BC39" s="51"/>
      <c r="BD39" s="51"/>
      <c r="BE39" s="34"/>
      <c r="BF39" s="51"/>
    </row>
    <row r="40" spans="1:58" ht="12.9" customHeight="1">
      <c r="A40" s="41">
        <v>46089</v>
      </c>
      <c r="B40" s="42" t="s">
        <v>422</v>
      </c>
      <c r="C40" s="393">
        <f>(M40*E40*O40*Q40)/100000000</f>
        <v>52.174985624999998</v>
      </c>
      <c r="D40" s="42" t="s">
        <v>423</v>
      </c>
      <c r="E40" s="43">
        <v>15</v>
      </c>
      <c r="F40" s="43">
        <v>1</v>
      </c>
      <c r="G40" s="406">
        <v>1150</v>
      </c>
      <c r="H40" s="533">
        <f>+N40</f>
        <v>0.18000000000000005</v>
      </c>
      <c r="I40" s="45">
        <v>0.88</v>
      </c>
      <c r="J40" s="82">
        <f>E40*G40*(1-H40)*1440/1000000*2.7</f>
        <v>54.995760000000004</v>
      </c>
      <c r="K40" s="82">
        <f>(IF(G40&lt;L40,L40,G40)*(1-IF(H40&lt;N40,H40,N40))*E40*O40*Q40)/100000000</f>
        <v>52.245972000000002</v>
      </c>
      <c r="L40" s="36">
        <v>1148.4375</v>
      </c>
      <c r="M40" s="36">
        <v>941.71875</v>
      </c>
      <c r="N40" s="46">
        <f>1-(M40/L40)</f>
        <v>0.18000000000000005</v>
      </c>
      <c r="O40" s="47">
        <f>+'Trim Rwd'!H20</f>
        <v>256.5</v>
      </c>
      <c r="P40" s="48">
        <f>O40*(Q40-R40-S40)</f>
        <v>363204</v>
      </c>
      <c r="Q40" s="47">
        <v>1440</v>
      </c>
      <c r="R40" s="362">
        <v>0</v>
      </c>
      <c r="S40" s="362">
        <v>24</v>
      </c>
      <c r="T40" s="38">
        <f>E40*M40*O40*Q40/100000000</f>
        <v>52.174985624999998</v>
      </c>
      <c r="U40" s="38">
        <f>E40*M40*O40*(Q40-R40-S40)/100000000</f>
        <v>51.305402531250003</v>
      </c>
      <c r="V40" s="38">
        <f>E40*G40*(1-N40)*O40/100*(R40+S40)/1000000</f>
        <v>0.87076620000000005</v>
      </c>
      <c r="W40" s="38">
        <f>+'8'!K7/1000</f>
        <v>46.311999999999998</v>
      </c>
      <c r="X40" s="361">
        <f>SUM(W40:W43)/SUM(K40:K43)</f>
        <v>0.88642240209446188</v>
      </c>
      <c r="Y40" s="38">
        <v>0</v>
      </c>
      <c r="Z40" s="38">
        <v>0</v>
      </c>
      <c r="AA40" s="49">
        <f>SUM(U40:U43)-SUM(W40:W43)-SUM(Z40:Z43)-SUM(Y40:Y43)</f>
        <v>4.9934025312500054</v>
      </c>
      <c r="AB40" s="49">
        <f>(SUM(K40:K43)-SUM(W40:W43)-SUM(Y40:Y43)-SUM(Z40:Z43)-SUM(AC40:AC43)-SUM(V40:V43))-AA40</f>
        <v>-1.1831062500053946E-3</v>
      </c>
      <c r="AC40" s="38">
        <f>K40-T40</f>
        <v>7.0986375000003932E-2</v>
      </c>
      <c r="AD40" s="38">
        <f>+AM40+BA40</f>
        <v>0</v>
      </c>
      <c r="AE40" s="226" t="s">
        <v>417</v>
      </c>
      <c r="AF40" s="38">
        <v>0</v>
      </c>
      <c r="AG40" s="38"/>
      <c r="AH40" s="38"/>
      <c r="AI40" s="38"/>
      <c r="AJ40" s="38"/>
      <c r="AK40" s="38"/>
      <c r="AL40" s="38"/>
      <c r="AM40" s="38">
        <f>SUM(AF40:AL40)+AT40+AV40+AX40</f>
        <v>0</v>
      </c>
      <c r="AN40" s="38"/>
      <c r="AO40" s="38"/>
      <c r="AP40" s="38"/>
      <c r="AQ40" s="38"/>
      <c r="AR40" s="38">
        <f>SUM(AN40:AQ40)</f>
        <v>0</v>
      </c>
      <c r="AS40" s="38"/>
      <c r="AT40" s="38"/>
      <c r="AU40" s="38"/>
      <c r="AV40" s="38"/>
      <c r="AW40" s="38"/>
      <c r="AX40" s="38"/>
      <c r="AY40" s="38"/>
      <c r="AZ40" s="38"/>
      <c r="BA40" s="38">
        <f>+AR40+AS40+AU40+AW40+AY40+AZ40</f>
        <v>0</v>
      </c>
      <c r="BB40" s="34">
        <v>0</v>
      </c>
      <c r="BC40" s="51"/>
      <c r="BD40" s="51"/>
      <c r="BE40" s="34"/>
      <c r="BF40" s="51"/>
    </row>
    <row r="41" spans="1:58" ht="12.9" customHeight="1">
      <c r="A41" s="41"/>
      <c r="B41" s="42"/>
      <c r="C41" s="393"/>
      <c r="D41" s="42"/>
      <c r="E41" s="43"/>
      <c r="F41" s="43"/>
      <c r="G41" s="406"/>
      <c r="H41" s="533"/>
      <c r="I41" s="45"/>
      <c r="J41" s="82"/>
      <c r="K41" s="82"/>
      <c r="L41" s="36"/>
      <c r="M41" s="36"/>
      <c r="N41" s="46"/>
      <c r="O41" s="47"/>
      <c r="P41" s="48"/>
      <c r="Q41" s="47"/>
      <c r="R41" s="362"/>
      <c r="S41" s="362"/>
      <c r="T41" s="38"/>
      <c r="U41" s="38"/>
      <c r="V41" s="38"/>
      <c r="W41" s="38"/>
      <c r="X41" s="39"/>
      <c r="Y41" s="209"/>
      <c r="Z41" s="38"/>
      <c r="AA41" s="38"/>
      <c r="AB41" s="38"/>
      <c r="AC41" s="38"/>
      <c r="AD41" s="38">
        <f t="shared" ref="AD41:AD42" si="31">+AM41+BA41</f>
        <v>3</v>
      </c>
      <c r="AE41" s="226" t="s">
        <v>416</v>
      </c>
      <c r="AF41" s="38"/>
      <c r="AG41" s="38">
        <v>3</v>
      </c>
      <c r="AH41" s="38"/>
      <c r="AI41" s="38"/>
      <c r="AJ41" s="38"/>
      <c r="AK41" s="38"/>
      <c r="AL41" s="38"/>
      <c r="AM41" s="38">
        <f t="shared" ref="AM41:AM42" si="32">SUM(AF41:AL41)+AT41+AV41+AX41</f>
        <v>3</v>
      </c>
      <c r="AN41" s="83"/>
      <c r="AO41" s="38"/>
      <c r="AP41" s="38"/>
      <c r="AQ41" s="38"/>
      <c r="AR41" s="38">
        <f t="shared" ref="AR41:AR42" si="33">SUM(AN41:AQ41)</f>
        <v>0</v>
      </c>
      <c r="AS41" s="38"/>
      <c r="AT41" s="38"/>
      <c r="AU41" s="38"/>
      <c r="AV41" s="38"/>
      <c r="AW41" s="38"/>
      <c r="AX41" s="38"/>
      <c r="AY41" s="38"/>
      <c r="AZ41" s="38"/>
      <c r="BA41" s="38">
        <f t="shared" ref="BA41:BA42" si="34">+AR41+AS41+AU41+AW41+AY41+AZ41</f>
        <v>0</v>
      </c>
      <c r="BB41" s="50"/>
      <c r="BC41" s="51">
        <v>1</v>
      </c>
      <c r="BD41" s="51"/>
      <c r="BE41" s="50"/>
      <c r="BF41" s="51"/>
    </row>
    <row r="42" spans="1:58" ht="12.9" customHeight="1">
      <c r="A42" s="41"/>
      <c r="B42" s="42"/>
      <c r="C42" s="393"/>
      <c r="D42" s="42"/>
      <c r="E42" s="43"/>
      <c r="F42" s="43"/>
      <c r="G42" s="44"/>
      <c r="H42" s="533"/>
      <c r="I42" s="45"/>
      <c r="J42" s="82"/>
      <c r="K42" s="82"/>
      <c r="L42" s="36"/>
      <c r="M42" s="36"/>
      <c r="N42" s="46"/>
      <c r="O42" s="47"/>
      <c r="P42" s="48"/>
      <c r="Q42" s="47"/>
      <c r="R42" s="362"/>
      <c r="S42" s="362"/>
      <c r="T42" s="38"/>
      <c r="U42" s="38"/>
      <c r="V42" s="38"/>
      <c r="W42" s="38"/>
      <c r="X42" s="39"/>
      <c r="Y42" s="209"/>
      <c r="Z42" s="38"/>
      <c r="AA42" s="38"/>
      <c r="AB42" s="38"/>
      <c r="AC42" s="38"/>
      <c r="AD42" s="38">
        <f t="shared" si="31"/>
        <v>21</v>
      </c>
      <c r="AE42" s="226" t="s">
        <v>446</v>
      </c>
      <c r="AF42" s="34"/>
      <c r="AG42" s="34"/>
      <c r="AH42" s="34">
        <v>21</v>
      </c>
      <c r="AI42" s="34"/>
      <c r="AJ42" s="38"/>
      <c r="AK42" s="38"/>
      <c r="AL42" s="38"/>
      <c r="AM42" s="38">
        <f t="shared" si="32"/>
        <v>21</v>
      </c>
      <c r="AN42" s="38"/>
      <c r="AO42" s="38"/>
      <c r="AP42" s="38"/>
      <c r="AQ42" s="38"/>
      <c r="AR42" s="38">
        <f t="shared" si="33"/>
        <v>0</v>
      </c>
      <c r="AS42" s="38"/>
      <c r="AT42" s="38"/>
      <c r="AU42" s="38"/>
      <c r="AV42" s="38"/>
      <c r="AW42" s="38"/>
      <c r="AX42" s="38"/>
      <c r="AY42" s="38"/>
      <c r="AZ42" s="38"/>
      <c r="BA42" s="38">
        <f t="shared" si="34"/>
        <v>0</v>
      </c>
      <c r="BB42" s="34"/>
      <c r="BC42" s="477"/>
      <c r="BD42" s="477"/>
      <c r="BE42" s="34"/>
      <c r="BF42" s="477"/>
    </row>
    <row r="43" spans="1:58" ht="12.9" customHeight="1">
      <c r="A43" s="41"/>
      <c r="B43" s="42"/>
      <c r="C43" s="393"/>
      <c r="D43" s="42"/>
      <c r="E43" s="43"/>
      <c r="F43" s="43"/>
      <c r="G43" s="44"/>
      <c r="H43" s="533"/>
      <c r="I43" s="45"/>
      <c r="J43" s="82"/>
      <c r="K43" s="82"/>
      <c r="L43" s="36"/>
      <c r="M43" s="36"/>
      <c r="N43" s="46"/>
      <c r="O43" s="47"/>
      <c r="P43" s="48"/>
      <c r="Q43" s="47"/>
      <c r="R43" s="362"/>
      <c r="S43" s="362"/>
      <c r="T43" s="38"/>
      <c r="U43" s="38"/>
      <c r="V43" s="38"/>
      <c r="W43" s="38"/>
      <c r="X43" s="39"/>
      <c r="Y43" s="209"/>
      <c r="Z43" s="38"/>
      <c r="AA43" s="38"/>
      <c r="AB43" s="38"/>
      <c r="AC43" s="38"/>
      <c r="AD43" s="38"/>
      <c r="AE43" s="226"/>
      <c r="AF43" s="34"/>
      <c r="AG43" s="34"/>
      <c r="AH43" s="34"/>
      <c r="AI43" s="34"/>
      <c r="AJ43" s="38"/>
      <c r="AK43" s="38"/>
      <c r="AL43" s="38"/>
      <c r="AM43" s="38"/>
      <c r="AN43" s="38"/>
      <c r="AO43" s="38"/>
      <c r="AP43" s="38"/>
      <c r="AQ43" s="38"/>
      <c r="AR43" s="38"/>
      <c r="AS43" s="38"/>
      <c r="AT43" s="38"/>
      <c r="AU43" s="38"/>
      <c r="AV43" s="38"/>
      <c r="AW43" s="38"/>
      <c r="AX43" s="38"/>
      <c r="AY43" s="38"/>
      <c r="AZ43" s="38"/>
      <c r="BA43" s="38"/>
      <c r="BB43" s="34"/>
      <c r="BC43" s="477"/>
      <c r="BD43" s="477"/>
      <c r="BE43" s="34"/>
      <c r="BF43" s="477"/>
    </row>
    <row r="44" spans="1:58" ht="12.9" customHeight="1">
      <c r="A44" s="41">
        <v>46090</v>
      </c>
      <c r="B44" s="42" t="s">
        <v>422</v>
      </c>
      <c r="C44" s="393">
        <f>(M44*E44*O44*Q44)/100000000</f>
        <v>6.5307465000000002</v>
      </c>
      <c r="D44" s="42" t="s">
        <v>423</v>
      </c>
      <c r="E44" s="43">
        <v>15</v>
      </c>
      <c r="F44" s="43">
        <v>1</v>
      </c>
      <c r="G44" s="406">
        <v>1150</v>
      </c>
      <c r="H44" s="533">
        <f>+N44</f>
        <v>0.18000000000000005</v>
      </c>
      <c r="I44" s="45">
        <v>0.88</v>
      </c>
      <c r="J44" s="82">
        <f>E44*G44*(1-H44)*1440/1000000*2.7</f>
        <v>54.995760000000004</v>
      </c>
      <c r="K44" s="82">
        <f>(IF(G44&lt;L44,L44,G44)*(1-IF(H44&lt;N44,H44,N44))*E44*O44*Q44)/100000000</f>
        <v>6.5307465000000002</v>
      </c>
      <c r="L44" s="36">
        <v>1150</v>
      </c>
      <c r="M44" s="36">
        <v>943</v>
      </c>
      <c r="N44" s="46">
        <f>1-(M44/L44)</f>
        <v>0.18000000000000005</v>
      </c>
      <c r="O44" s="47">
        <f>+'Trim Rwd'!H23</f>
        <v>256.5</v>
      </c>
      <c r="P44" s="48">
        <f>O44*(Q44-R44-S44)</f>
        <v>44631</v>
      </c>
      <c r="Q44" s="47">
        <v>180</v>
      </c>
      <c r="R44" s="362">
        <v>0</v>
      </c>
      <c r="S44" s="362">
        <v>6</v>
      </c>
      <c r="T44" s="38">
        <f>E44*M44*O44*Q44/100000000</f>
        <v>6.5307465000000002</v>
      </c>
      <c r="U44" s="38">
        <f>E44*M44*O44*(Q44-R44-S44)/100000000</f>
        <v>6.3130549499999997</v>
      </c>
      <c r="V44" s="38">
        <f>E44*G44*(1-N44)*O44/100*(R44+S44)/1000000</f>
        <v>0.21769155000000001</v>
      </c>
      <c r="W44" s="38">
        <f>+'9'!K7/1000</f>
        <v>27.425000000000001</v>
      </c>
      <c r="X44" s="361">
        <f>SUM(W44:W47)/SUM(K44:K47)</f>
        <v>1.205168465653653</v>
      </c>
      <c r="Y44" s="38">
        <v>0</v>
      </c>
      <c r="Z44" s="38">
        <v>0</v>
      </c>
      <c r="AA44" s="49">
        <f>SUM(U44:U47)-SUM(W44:W47)-SUM(Z44:Z47)-SUM(Y44:Y47)</f>
        <v>-13.865901550000004</v>
      </c>
      <c r="AB44" s="49">
        <f>(SUM(K44:K47)-SUM(W44:W47)-SUM(Y44:Y47)-SUM(Z44:Z47)-SUM(AC44:AC47)-SUM(V44:V47))-AA44</f>
        <v>-2.0926399999996903E-2</v>
      </c>
      <c r="AC44" s="38">
        <f>K44-T44</f>
        <v>0</v>
      </c>
      <c r="AD44" s="38">
        <f>+AM44+BA44</f>
        <v>0</v>
      </c>
      <c r="AE44" s="226" t="s">
        <v>417</v>
      </c>
      <c r="AF44" s="38">
        <v>0</v>
      </c>
      <c r="AG44" s="38"/>
      <c r="AH44" s="38"/>
      <c r="AI44" s="38"/>
      <c r="AJ44" s="38"/>
      <c r="AK44" s="38"/>
      <c r="AL44" s="38"/>
      <c r="AM44" s="38">
        <f>SUM(AF44:AL44)+AT44+AV44+AX44</f>
        <v>0</v>
      </c>
      <c r="AN44" s="38"/>
      <c r="AO44" s="38"/>
      <c r="AP44" s="38"/>
      <c r="AQ44" s="38"/>
      <c r="AR44" s="38">
        <f>SUM(AN44:AQ44)</f>
        <v>0</v>
      </c>
      <c r="AS44" s="38"/>
      <c r="AT44" s="38"/>
      <c r="AU44" s="38"/>
      <c r="AV44" s="38"/>
      <c r="AW44" s="38"/>
      <c r="AX44" s="38"/>
      <c r="AY44" s="38"/>
      <c r="AZ44" s="38"/>
      <c r="BA44" s="38">
        <f>+AR44+AS44+AU44+AW44+AY44+AZ44</f>
        <v>0</v>
      </c>
      <c r="BB44" s="34">
        <v>0</v>
      </c>
      <c r="BC44" s="51"/>
      <c r="BD44" s="51"/>
      <c r="BE44" s="34"/>
      <c r="BF44" s="51"/>
    </row>
    <row r="45" spans="1:58" ht="12.9" customHeight="1">
      <c r="A45" s="41"/>
      <c r="B45" s="42" t="s">
        <v>422</v>
      </c>
      <c r="C45" s="393">
        <f>(M45*E45*O45*Q45)/100000000</f>
        <v>47.378677500000002</v>
      </c>
      <c r="D45" s="42" t="s">
        <v>423</v>
      </c>
      <c r="E45" s="43">
        <v>14.5</v>
      </c>
      <c r="F45" s="43">
        <v>1</v>
      </c>
      <c r="G45" s="406">
        <v>1190</v>
      </c>
      <c r="H45" s="533">
        <f>+N45</f>
        <v>0.18000000000000005</v>
      </c>
      <c r="I45" s="45">
        <v>0.88</v>
      </c>
      <c r="J45" s="82">
        <f>E45*G45*(1-H45)*1440/1000000*2.7</f>
        <v>55.0117008</v>
      </c>
      <c r="K45" s="82">
        <f>(IF(G45&lt;L45,L45,G45)*(1-IF(H45&lt;N45,H45,N45))*E45*O45*Q45)/100000000</f>
        <v>49.026631499999993</v>
      </c>
      <c r="L45" s="36">
        <v>1150</v>
      </c>
      <c r="M45" s="36">
        <v>943</v>
      </c>
      <c r="N45" s="46">
        <f>1-(M45/L45)</f>
        <v>0.18000000000000005</v>
      </c>
      <c r="O45" s="47">
        <f>+'Trim Rwd'!H22</f>
        <v>275</v>
      </c>
      <c r="P45" s="48">
        <f>O45*(Q45-R45-S45)</f>
        <v>342100</v>
      </c>
      <c r="Q45" s="47">
        <v>1260</v>
      </c>
      <c r="R45" s="362">
        <v>0</v>
      </c>
      <c r="S45" s="362">
        <v>16</v>
      </c>
      <c r="T45" s="38">
        <f>E45*M45*O45*Q45/100000000</f>
        <v>47.378677500000002</v>
      </c>
      <c r="U45" s="38">
        <f>E45*M45*O45*(Q45-R45-S45)/100000000</f>
        <v>46.777043499999998</v>
      </c>
      <c r="V45" s="38">
        <f>E45*G45*(1-N45)*O45/100*(R45+S45)/1000000</f>
        <v>0.6225603999999999</v>
      </c>
      <c r="W45" s="38">
        <f>+'9'!K8/1000</f>
        <v>39.530999999999999</v>
      </c>
      <c r="X45" s="39"/>
      <c r="Y45" s="209"/>
      <c r="Z45" s="38"/>
      <c r="AA45" s="38"/>
      <c r="AB45" s="38"/>
      <c r="AC45" s="38">
        <f>K45-T45</f>
        <v>1.6479539999999915</v>
      </c>
      <c r="AD45" s="38">
        <f t="shared" ref="AD45:AD46" si="35">+AM45+BA45</f>
        <v>0</v>
      </c>
      <c r="AE45" s="226" t="s">
        <v>419</v>
      </c>
      <c r="AF45" s="38"/>
      <c r="AG45" s="38">
        <v>0</v>
      </c>
      <c r="AH45" s="38"/>
      <c r="AI45" s="38"/>
      <c r="AJ45" s="38"/>
      <c r="AK45" s="38"/>
      <c r="AL45" s="38"/>
      <c r="AM45" s="38">
        <f t="shared" ref="AM45:AM46" si="36">SUM(AF45:AL45)+AT45+AV45+AX45</f>
        <v>0</v>
      </c>
      <c r="AN45" s="83"/>
      <c r="AO45" s="38"/>
      <c r="AP45" s="38"/>
      <c r="AQ45" s="38"/>
      <c r="AR45" s="38">
        <f t="shared" ref="AR45:AR46" si="37">SUM(AN45:AQ45)</f>
        <v>0</v>
      </c>
      <c r="AS45" s="38"/>
      <c r="AT45" s="38"/>
      <c r="AU45" s="38"/>
      <c r="AV45" s="38"/>
      <c r="AW45" s="38"/>
      <c r="AX45" s="38"/>
      <c r="AY45" s="38"/>
      <c r="AZ45" s="38"/>
      <c r="BA45" s="38">
        <f t="shared" ref="BA45:BA46" si="38">+AR45+AS45+AU45+AW45+AY45+AZ45</f>
        <v>0</v>
      </c>
      <c r="BB45" s="50"/>
      <c r="BC45" s="51">
        <v>0</v>
      </c>
      <c r="BD45" s="51"/>
      <c r="BE45" s="50"/>
      <c r="BF45" s="51"/>
    </row>
    <row r="46" spans="1:58" ht="12.9" customHeight="1">
      <c r="A46" s="41"/>
      <c r="B46" s="42"/>
      <c r="C46" s="393"/>
      <c r="D46" s="42"/>
      <c r="E46" s="43"/>
      <c r="F46" s="43"/>
      <c r="G46" s="44"/>
      <c r="H46" s="533"/>
      <c r="I46" s="45"/>
      <c r="J46" s="82"/>
      <c r="K46" s="82"/>
      <c r="L46" s="36"/>
      <c r="M46" s="36"/>
      <c r="N46" s="46"/>
      <c r="O46" s="47"/>
      <c r="P46" s="48"/>
      <c r="Q46" s="47"/>
      <c r="R46" s="362"/>
      <c r="S46" s="362"/>
      <c r="T46" s="38"/>
      <c r="U46" s="38"/>
      <c r="V46" s="38"/>
      <c r="W46" s="38"/>
      <c r="X46" s="39"/>
      <c r="Y46" s="209"/>
      <c r="Z46" s="38"/>
      <c r="AA46" s="38"/>
      <c r="AB46" s="38"/>
      <c r="AC46" s="38"/>
      <c r="AD46" s="38">
        <f t="shared" si="35"/>
        <v>22</v>
      </c>
      <c r="AE46" s="226" t="s">
        <v>392</v>
      </c>
      <c r="AF46" s="34"/>
      <c r="AG46" s="34"/>
      <c r="AH46" s="34">
        <v>22</v>
      </c>
      <c r="AI46" s="34"/>
      <c r="AJ46" s="38"/>
      <c r="AK46" s="38"/>
      <c r="AL46" s="38"/>
      <c r="AM46" s="38">
        <f t="shared" si="36"/>
        <v>22</v>
      </c>
      <c r="AN46" s="38"/>
      <c r="AO46" s="38"/>
      <c r="AP46" s="38"/>
      <c r="AQ46" s="38"/>
      <c r="AR46" s="38">
        <f t="shared" si="37"/>
        <v>0</v>
      </c>
      <c r="AS46" s="38"/>
      <c r="AT46" s="38"/>
      <c r="AU46" s="38"/>
      <c r="AV46" s="38"/>
      <c r="AW46" s="38"/>
      <c r="AX46" s="38"/>
      <c r="AY46" s="38"/>
      <c r="AZ46" s="38"/>
      <c r="BA46" s="38">
        <f t="shared" si="38"/>
        <v>0</v>
      </c>
      <c r="BB46" s="34"/>
      <c r="BC46" s="477"/>
      <c r="BD46" s="477"/>
      <c r="BE46" s="34"/>
      <c r="BF46" s="477"/>
    </row>
    <row r="47" spans="1:58" ht="12.9" customHeight="1">
      <c r="A47" s="41"/>
      <c r="B47" s="42"/>
      <c r="C47" s="393"/>
      <c r="D47" s="42"/>
      <c r="E47" s="43"/>
      <c r="F47" s="43"/>
      <c r="G47" s="406"/>
      <c r="H47" s="533"/>
      <c r="I47" s="45"/>
      <c r="J47" s="82"/>
      <c r="K47" s="82"/>
      <c r="L47" s="36"/>
      <c r="M47" s="36"/>
      <c r="N47" s="46"/>
      <c r="O47" s="47"/>
      <c r="P47" s="48"/>
      <c r="Q47" s="47"/>
      <c r="R47" s="362"/>
      <c r="S47" s="362"/>
      <c r="T47" s="38"/>
      <c r="U47" s="38"/>
      <c r="V47" s="38"/>
      <c r="W47" s="38"/>
      <c r="X47" s="361"/>
      <c r="Y47" s="209"/>
      <c r="Z47" s="38"/>
      <c r="AA47" s="38"/>
      <c r="AB47" s="38"/>
      <c r="AC47" s="38"/>
      <c r="AD47" s="38"/>
      <c r="AE47" s="226"/>
      <c r="AF47" s="38"/>
      <c r="AG47" s="38"/>
      <c r="AH47" s="38"/>
      <c r="AI47" s="476"/>
      <c r="AJ47" s="38"/>
      <c r="AK47" s="38"/>
      <c r="AL47" s="38"/>
      <c r="AM47" s="38"/>
      <c r="AN47" s="83"/>
      <c r="AO47" s="38"/>
      <c r="AP47" s="38"/>
      <c r="AQ47" s="38"/>
      <c r="AR47" s="38"/>
      <c r="AS47" s="38"/>
      <c r="AT47" s="38"/>
      <c r="AU47" s="38"/>
      <c r="AV47" s="38"/>
      <c r="AW47" s="38"/>
      <c r="AX47" s="38"/>
      <c r="AY47" s="38"/>
      <c r="AZ47" s="38"/>
      <c r="BA47" s="38"/>
      <c r="BB47" s="50"/>
      <c r="BC47" s="51"/>
      <c r="BD47" s="477"/>
      <c r="BE47" s="34"/>
      <c r="BF47" s="477"/>
    </row>
    <row r="48" spans="1:58" ht="12.9" customHeight="1">
      <c r="A48" s="41">
        <v>46091</v>
      </c>
      <c r="B48" s="42" t="s">
        <v>422</v>
      </c>
      <c r="C48" s="393">
        <f>(M48*E48*O48*Q48)/100000000</f>
        <v>54.147060000000003</v>
      </c>
      <c r="D48" s="42" t="s">
        <v>423</v>
      </c>
      <c r="E48" s="43">
        <v>14.5</v>
      </c>
      <c r="F48" s="43">
        <v>1</v>
      </c>
      <c r="G48" s="406">
        <v>1190</v>
      </c>
      <c r="H48" s="533">
        <f>+N48</f>
        <v>0.18000000000000005</v>
      </c>
      <c r="I48" s="45">
        <v>0.88</v>
      </c>
      <c r="J48" s="82">
        <f>E48*G48*(1-H48)*1440/1000000*2.7</f>
        <v>55.0117008</v>
      </c>
      <c r="K48" s="82">
        <f>(IF(G48&lt;L48,L48,G48)*(1-IF(H48&lt;N48,H48,N48))*E48*O48*Q48)/100000000</f>
        <v>56.030435999999987</v>
      </c>
      <c r="L48" s="36">
        <v>1150</v>
      </c>
      <c r="M48" s="36">
        <v>943</v>
      </c>
      <c r="N48" s="46">
        <f>1-(M48/L48)</f>
        <v>0.18000000000000005</v>
      </c>
      <c r="O48" s="47">
        <f>+'Trim Rwd'!H25</f>
        <v>275</v>
      </c>
      <c r="P48" s="48">
        <f>O48*(Q48-R48-S48)</f>
        <v>389400</v>
      </c>
      <c r="Q48" s="47">
        <v>1440</v>
      </c>
      <c r="R48" s="362">
        <v>0</v>
      </c>
      <c r="S48" s="362">
        <v>24</v>
      </c>
      <c r="T48" s="38">
        <f>E48*M48*O48*Q48/100000000</f>
        <v>54.147060000000003</v>
      </c>
      <c r="U48" s="38">
        <f>E48*M48*O48*(Q48-R48-S48)/100000000</f>
        <v>53.244608999999997</v>
      </c>
      <c r="V48" s="38">
        <f>E48*G48*(1-N48)*O48/100*(R48+S48)/1000000</f>
        <v>0.93384059999999991</v>
      </c>
      <c r="W48" s="38">
        <f>+'10'!K8/1000</f>
        <v>55.335000000000001</v>
      </c>
      <c r="X48" s="361">
        <f>SUM(W48:W51)/SUM(K48:K51)</f>
        <v>0.9875882457884142</v>
      </c>
      <c r="Y48" s="38">
        <v>0</v>
      </c>
      <c r="Z48" s="38">
        <v>0</v>
      </c>
      <c r="AA48" s="49">
        <f>SUM(U48:U51)-SUM(W48:W51)-SUM(Z48:Z51)-SUM(Y48:Y51)</f>
        <v>-2.0903910000000039</v>
      </c>
      <c r="AB48" s="49">
        <f>(SUM(K48:K51)-SUM(W48:W51)-SUM(Y48:Y51)-SUM(Z48:Z51)-SUM(AC48:AC51)-SUM(V48:V51))-AA48</f>
        <v>-3.1389599999993578E-2</v>
      </c>
      <c r="AC48" s="38">
        <f>K48-T48</f>
        <v>1.8833759999999842</v>
      </c>
      <c r="AD48" s="38">
        <f>+AM48+BA48</f>
        <v>0</v>
      </c>
      <c r="AE48" s="226" t="s">
        <v>417</v>
      </c>
      <c r="AF48" s="38">
        <v>0</v>
      </c>
      <c r="AG48" s="38"/>
      <c r="AH48" s="38"/>
      <c r="AI48" s="38"/>
      <c r="AJ48" s="38"/>
      <c r="AK48" s="38"/>
      <c r="AL48" s="38"/>
      <c r="AM48" s="38">
        <f>SUM(AF48:AL48)+AT48+AV48+AX48</f>
        <v>0</v>
      </c>
      <c r="AN48" s="38"/>
      <c r="AO48" s="38"/>
      <c r="AP48" s="38"/>
      <c r="AQ48" s="38"/>
      <c r="AR48" s="38">
        <f>SUM(AN48:AQ48)</f>
        <v>0</v>
      </c>
      <c r="AS48" s="38"/>
      <c r="AT48" s="38"/>
      <c r="AU48" s="38"/>
      <c r="AV48" s="38"/>
      <c r="AW48" s="38"/>
      <c r="AX48" s="38"/>
      <c r="AY48" s="38"/>
      <c r="AZ48" s="38"/>
      <c r="BA48" s="38">
        <f>+AR48+AS48+AU48+AW48+AY48+AZ48</f>
        <v>0</v>
      </c>
      <c r="BB48" s="34">
        <v>0</v>
      </c>
      <c r="BC48" s="51"/>
      <c r="BD48" s="51"/>
      <c r="BE48" s="34"/>
      <c r="BF48" s="51"/>
    </row>
    <row r="49" spans="1:58" ht="12.9" customHeight="1">
      <c r="A49" s="41"/>
      <c r="B49" s="42"/>
      <c r="C49" s="393"/>
      <c r="D49" s="42"/>
      <c r="E49" s="43"/>
      <c r="F49" s="43"/>
      <c r="G49" s="406"/>
      <c r="H49" s="533"/>
      <c r="I49" s="45"/>
      <c r="J49" s="82"/>
      <c r="K49" s="82"/>
      <c r="L49" s="36"/>
      <c r="M49" s="36"/>
      <c r="N49" s="46"/>
      <c r="O49" s="47"/>
      <c r="P49" s="48"/>
      <c r="Q49" s="47"/>
      <c r="R49" s="362"/>
      <c r="S49" s="362"/>
      <c r="T49" s="38"/>
      <c r="U49" s="38"/>
      <c r="V49" s="38"/>
      <c r="W49" s="38"/>
      <c r="X49" s="39"/>
      <c r="Y49" s="209"/>
      <c r="Z49" s="38"/>
      <c r="AA49" s="38"/>
      <c r="AB49" s="38"/>
      <c r="AC49" s="38"/>
      <c r="AD49" s="38">
        <f t="shared" ref="AD49:AD50" si="39">+AM49+BA49</f>
        <v>0</v>
      </c>
      <c r="AE49" s="226" t="s">
        <v>419</v>
      </c>
      <c r="AF49" s="38"/>
      <c r="AG49" s="38">
        <v>0</v>
      </c>
      <c r="AH49" s="38"/>
      <c r="AI49" s="38"/>
      <c r="AJ49" s="38"/>
      <c r="AK49" s="38"/>
      <c r="AL49" s="38"/>
      <c r="AM49" s="38">
        <f t="shared" ref="AM49:AM50" si="40">SUM(AF49:AL49)+AT49+AV49+AX49</f>
        <v>0</v>
      </c>
      <c r="AN49" s="83"/>
      <c r="AO49" s="38"/>
      <c r="AP49" s="38"/>
      <c r="AQ49" s="38"/>
      <c r="AR49" s="38">
        <f t="shared" ref="AR49:AR50" si="41">SUM(AN49:AQ49)</f>
        <v>0</v>
      </c>
      <c r="AS49" s="38"/>
      <c r="AT49" s="38"/>
      <c r="AU49" s="38"/>
      <c r="AV49" s="38"/>
      <c r="AW49" s="38"/>
      <c r="AX49" s="38"/>
      <c r="AY49" s="38"/>
      <c r="AZ49" s="38"/>
      <c r="BA49" s="38">
        <f t="shared" ref="BA49:BA50" si="42">+AR49+AS49+AU49+AW49+AY49+AZ49</f>
        <v>0</v>
      </c>
      <c r="BB49" s="50"/>
      <c r="BC49" s="51">
        <v>0</v>
      </c>
      <c r="BD49" s="51"/>
      <c r="BE49" s="50"/>
      <c r="BF49" s="51"/>
    </row>
    <row r="50" spans="1:58" ht="12.9" customHeight="1">
      <c r="A50" s="41"/>
      <c r="B50" s="42"/>
      <c r="C50" s="393"/>
      <c r="D50" s="42"/>
      <c r="E50" s="43"/>
      <c r="F50" s="43"/>
      <c r="G50" s="44"/>
      <c r="H50" s="533"/>
      <c r="I50" s="45"/>
      <c r="J50" s="82"/>
      <c r="K50" s="82"/>
      <c r="L50" s="36"/>
      <c r="M50" s="36"/>
      <c r="N50" s="46"/>
      <c r="O50" s="47"/>
      <c r="P50" s="48"/>
      <c r="Q50" s="47"/>
      <c r="R50" s="362"/>
      <c r="S50" s="362"/>
      <c r="T50" s="38"/>
      <c r="U50" s="38"/>
      <c r="V50" s="38"/>
      <c r="W50" s="38"/>
      <c r="X50" s="39"/>
      <c r="Y50" s="209"/>
      <c r="Z50" s="38"/>
      <c r="AA50" s="38"/>
      <c r="AB50" s="38"/>
      <c r="AC50" s="38"/>
      <c r="AD50" s="38">
        <f t="shared" si="39"/>
        <v>24</v>
      </c>
      <c r="AE50" s="226" t="s">
        <v>556</v>
      </c>
      <c r="AF50" s="34"/>
      <c r="AG50" s="34"/>
      <c r="AH50" s="34">
        <v>24</v>
      </c>
      <c r="AI50" s="34"/>
      <c r="AJ50" s="38"/>
      <c r="AK50" s="38"/>
      <c r="AL50" s="38"/>
      <c r="AM50" s="38">
        <f t="shared" si="40"/>
        <v>24</v>
      </c>
      <c r="AN50" s="38"/>
      <c r="AO50" s="38"/>
      <c r="AP50" s="38"/>
      <c r="AQ50" s="38"/>
      <c r="AR50" s="38">
        <f t="shared" si="41"/>
        <v>0</v>
      </c>
      <c r="AS50" s="38"/>
      <c r="AT50" s="38"/>
      <c r="AU50" s="38"/>
      <c r="AV50" s="38"/>
      <c r="AW50" s="38"/>
      <c r="AX50" s="38"/>
      <c r="AY50" s="38"/>
      <c r="AZ50" s="38"/>
      <c r="BA50" s="38">
        <f t="shared" si="42"/>
        <v>0</v>
      </c>
      <c r="BB50" s="34"/>
      <c r="BC50" s="477"/>
      <c r="BD50" s="477"/>
      <c r="BE50" s="34"/>
      <c r="BF50" s="477"/>
    </row>
    <row r="51" spans="1:58" ht="12.9" customHeight="1">
      <c r="A51" s="41"/>
      <c r="B51" s="42"/>
      <c r="C51" s="393"/>
      <c r="D51" s="42"/>
      <c r="E51" s="43"/>
      <c r="F51" s="43"/>
      <c r="G51" s="406"/>
      <c r="H51" s="533"/>
      <c r="I51" s="45"/>
      <c r="J51" s="82"/>
      <c r="K51" s="82"/>
      <c r="L51" s="36"/>
      <c r="M51" s="36"/>
      <c r="N51" s="46"/>
      <c r="O51" s="47"/>
      <c r="P51" s="48"/>
      <c r="Q51" s="47"/>
      <c r="R51" s="362"/>
      <c r="S51" s="362"/>
      <c r="T51" s="38"/>
      <c r="U51" s="38"/>
      <c r="V51" s="38"/>
      <c r="W51" s="38"/>
      <c r="X51" s="361"/>
      <c r="Y51" s="38"/>
      <c r="Z51" s="38"/>
      <c r="AA51" s="49"/>
      <c r="AB51" s="49"/>
      <c r="AC51" s="38"/>
      <c r="AD51" s="38"/>
      <c r="AE51" s="226"/>
      <c r="AF51" s="38"/>
      <c r="AG51" s="38"/>
      <c r="AH51" s="38"/>
      <c r="AI51" s="476"/>
      <c r="AJ51" s="38"/>
      <c r="AK51" s="38"/>
      <c r="AL51" s="38"/>
      <c r="AM51" s="38"/>
      <c r="AN51" s="38"/>
      <c r="AO51" s="38"/>
      <c r="AP51" s="38"/>
      <c r="AQ51" s="38"/>
      <c r="AR51" s="38"/>
      <c r="AS51" s="38"/>
      <c r="AT51" s="38"/>
      <c r="AU51" s="38"/>
      <c r="AV51" s="38"/>
      <c r="AW51" s="38"/>
      <c r="AX51" s="38"/>
      <c r="AY51" s="38"/>
      <c r="AZ51" s="38"/>
      <c r="BA51" s="38"/>
      <c r="BB51" s="34"/>
      <c r="BC51" s="51"/>
      <c r="BD51" s="51"/>
      <c r="BE51" s="51"/>
      <c r="BF51" s="51"/>
    </row>
    <row r="52" spans="1:58" ht="12.9" customHeight="1">
      <c r="A52" s="41">
        <v>46092</v>
      </c>
      <c r="B52" s="42" t="s">
        <v>422</v>
      </c>
      <c r="C52" s="393">
        <f>(M52*E52*O52*Q52)/100000000</f>
        <v>12.032679999999999</v>
      </c>
      <c r="D52" s="42" t="s">
        <v>423</v>
      </c>
      <c r="E52" s="43">
        <v>14.5</v>
      </c>
      <c r="F52" s="43">
        <v>1</v>
      </c>
      <c r="G52" s="406">
        <v>1190</v>
      </c>
      <c r="H52" s="533">
        <f>+N52</f>
        <v>0.18000000000000005</v>
      </c>
      <c r="I52" s="45">
        <v>0.88</v>
      </c>
      <c r="J52" s="82">
        <f>E52*G52*(1-H52)*1440/1000000*2.7</f>
        <v>55.0117008</v>
      </c>
      <c r="K52" s="82">
        <f>(IF(G52&lt;L52,L52,G52)*(1-IF(H52&lt;N52,H52,N52))*E52*O52*Q52)/100000000</f>
        <v>12.451207999999998</v>
      </c>
      <c r="L52" s="36">
        <v>1150</v>
      </c>
      <c r="M52" s="36">
        <v>943</v>
      </c>
      <c r="N52" s="46">
        <f>1-(M52/L52)</f>
        <v>0.18000000000000005</v>
      </c>
      <c r="O52" s="47">
        <f>+'Trim Rwd'!H27</f>
        <v>275</v>
      </c>
      <c r="P52" s="48">
        <f>O52*(Q52-R52-S52)</f>
        <v>85800</v>
      </c>
      <c r="Q52" s="47">
        <v>320</v>
      </c>
      <c r="R52" s="362">
        <v>0</v>
      </c>
      <c r="S52" s="362">
        <v>8</v>
      </c>
      <c r="T52" s="38">
        <f>E52*M52*O52*Q52/100000000</f>
        <v>12.032679999999999</v>
      </c>
      <c r="U52" s="38">
        <f>E52*M52*O52*(Q52-R52-S52)/100000000</f>
        <v>11.731863000000001</v>
      </c>
      <c r="V52" s="38">
        <f>E52*G52*(1-N52)*O52/100*(R52+S52)/1000000</f>
        <v>0.31128019999999995</v>
      </c>
      <c r="W52" s="38">
        <f>+'11'!K8/1000</f>
        <v>14.356999999999999</v>
      </c>
      <c r="X52" s="361">
        <f>SUM(W52:W55)/SUM(K52:K55)</f>
        <v>0.87086174787931692</v>
      </c>
      <c r="Y52" s="38">
        <v>0</v>
      </c>
      <c r="Z52" s="38">
        <v>0</v>
      </c>
      <c r="AA52" s="49">
        <f>SUM(U52:U55)-SUM(W52:W55)-SUM(Z52:Z55)-SUM(Y52:Y55)</f>
        <v>5.1808909910714362</v>
      </c>
      <c r="AB52" s="49">
        <f>(SUM(K52:K55)-SUM(W52:W55)-SUM(Y52:Y55)-SUM(Z52:Z55)-SUM(AC52:AC55)-SUM(V52:V55))-AA52</f>
        <v>-2.0721191071435996E-2</v>
      </c>
      <c r="AC52" s="38">
        <f>K52-T52</f>
        <v>0.41852799999999846</v>
      </c>
      <c r="AD52" s="38">
        <f>+AM52+BA52</f>
        <v>0</v>
      </c>
      <c r="AE52" s="226" t="s">
        <v>417</v>
      </c>
      <c r="AF52" s="38">
        <v>0</v>
      </c>
      <c r="AG52" s="38"/>
      <c r="AH52" s="38"/>
      <c r="AI52" s="38"/>
      <c r="AJ52" s="38"/>
      <c r="AK52" s="38"/>
      <c r="AL52" s="38"/>
      <c r="AM52" s="38">
        <f>SUM(AF52:AL52)+AT52+AV52+AX52</f>
        <v>0</v>
      </c>
      <c r="AN52" s="38"/>
      <c r="AO52" s="38"/>
      <c r="AP52" s="38"/>
      <c r="AQ52" s="38"/>
      <c r="AR52" s="38">
        <f>SUM(AN52:AQ52)</f>
        <v>0</v>
      </c>
      <c r="AS52" s="38"/>
      <c r="AT52" s="38"/>
      <c r="AU52" s="38"/>
      <c r="AV52" s="38"/>
      <c r="AW52" s="38"/>
      <c r="AX52" s="38"/>
      <c r="AY52" s="38"/>
      <c r="AZ52" s="38"/>
      <c r="BA52" s="38">
        <f>+AR52+AS52+AU52+AW52+AY52+AZ52</f>
        <v>0</v>
      </c>
      <c r="BB52" s="34">
        <v>0</v>
      </c>
      <c r="BC52" s="51"/>
      <c r="BD52" s="51"/>
      <c r="BE52" s="34"/>
      <c r="BF52" s="51"/>
    </row>
    <row r="53" spans="1:58" ht="12.9" customHeight="1">
      <c r="A53" s="41"/>
      <c r="B53" s="42" t="s">
        <v>422</v>
      </c>
      <c r="C53" s="393">
        <f>(M53*E53*O53*Q53)/100000000</f>
        <v>42.846870000000003</v>
      </c>
      <c r="D53" s="42" t="s">
        <v>423</v>
      </c>
      <c r="E53" s="43">
        <v>15</v>
      </c>
      <c r="F53" s="43">
        <v>1</v>
      </c>
      <c r="G53" s="406">
        <v>1180</v>
      </c>
      <c r="H53" s="533">
        <f>+N53</f>
        <v>0.20000000000000007</v>
      </c>
      <c r="I53" s="45">
        <v>0.88</v>
      </c>
      <c r="J53" s="82">
        <f>E53*G53*(1-H53)*1440/1000000*2.7</f>
        <v>55.054079999999992</v>
      </c>
      <c r="K53" s="82">
        <f>(IF(G53&lt;L53,L53,G53)*(1-IF(H53&lt;N53,H53,N53))*E53*O53*Q53)/100000000</f>
        <v>43.612799999999993</v>
      </c>
      <c r="L53" s="36">
        <v>1159.2767857142858</v>
      </c>
      <c r="M53" s="36">
        <v>927.42142857142858</v>
      </c>
      <c r="N53" s="46">
        <f>1-(M53/L53)</f>
        <v>0.20000000000000007</v>
      </c>
      <c r="O53" s="47">
        <f>+'Trim Rwd'!H28</f>
        <v>275</v>
      </c>
      <c r="P53" s="48">
        <f>O53*(Q53-R53-S53)</f>
        <v>303875</v>
      </c>
      <c r="Q53" s="47">
        <v>1120</v>
      </c>
      <c r="R53" s="362">
        <v>0</v>
      </c>
      <c r="S53" s="362">
        <v>15</v>
      </c>
      <c r="T53" s="38">
        <f>E53*M53*O53*Q53/100000000</f>
        <v>42.846870000000003</v>
      </c>
      <c r="U53" s="38">
        <f>E53*M53*O53*(Q53-R53-S53)/100000000</f>
        <v>42.273027991071437</v>
      </c>
      <c r="V53" s="38">
        <f>E53*G53*(1-N53)*O53/100*(R53+S53)/1000000</f>
        <v>0.58409999999999984</v>
      </c>
      <c r="W53" s="38">
        <f>+'11'!K7/1000</f>
        <v>34.466999999999999</v>
      </c>
      <c r="X53" s="39"/>
      <c r="Y53" s="209"/>
      <c r="Z53" s="38"/>
      <c r="AA53" s="38"/>
      <c r="AB53" s="38"/>
      <c r="AC53" s="38">
        <f>K53-T53</f>
        <v>0.76592999999999023</v>
      </c>
      <c r="AD53" s="38">
        <f t="shared" ref="AD53:AD54" si="43">+AM53+BA53</f>
        <v>2</v>
      </c>
      <c r="AE53" s="226" t="s">
        <v>416</v>
      </c>
      <c r="AF53" s="38"/>
      <c r="AG53" s="38">
        <v>2</v>
      </c>
      <c r="AH53" s="38"/>
      <c r="AI53" s="38"/>
      <c r="AJ53" s="38"/>
      <c r="AK53" s="38"/>
      <c r="AL53" s="38"/>
      <c r="AM53" s="38">
        <f t="shared" ref="AM53:AM54" si="44">SUM(AF53:AL53)+AT53+AV53+AX53</f>
        <v>2</v>
      </c>
      <c r="AN53" s="83"/>
      <c r="AO53" s="38"/>
      <c r="AP53" s="38"/>
      <c r="AQ53" s="38"/>
      <c r="AR53" s="38">
        <f t="shared" ref="AR53:AR54" si="45">SUM(AN53:AQ53)</f>
        <v>0</v>
      </c>
      <c r="AS53" s="38"/>
      <c r="AT53" s="38"/>
      <c r="AU53" s="38"/>
      <c r="AV53" s="38"/>
      <c r="AW53" s="38"/>
      <c r="AX53" s="38"/>
      <c r="AY53" s="38"/>
      <c r="AZ53" s="38"/>
      <c r="BA53" s="38">
        <f t="shared" ref="BA53:BA54" si="46">+AR53+AS53+AU53+AW53+AY53+AZ53</f>
        <v>0</v>
      </c>
      <c r="BB53" s="50"/>
      <c r="BC53" s="51">
        <v>1</v>
      </c>
      <c r="BD53" s="51"/>
      <c r="BE53" s="50"/>
      <c r="BF53" s="51"/>
    </row>
    <row r="54" spans="1:58" ht="12.9" customHeight="1">
      <c r="A54" s="41"/>
      <c r="B54" s="42"/>
      <c r="C54" s="393"/>
      <c r="D54" s="42"/>
      <c r="E54" s="43"/>
      <c r="F54" s="43"/>
      <c r="G54" s="44"/>
      <c r="H54" s="533"/>
      <c r="I54" s="45"/>
      <c r="J54" s="82"/>
      <c r="K54" s="82"/>
      <c r="L54" s="36"/>
      <c r="M54" s="36"/>
      <c r="N54" s="46"/>
      <c r="O54" s="47"/>
      <c r="P54" s="48"/>
      <c r="Q54" s="47"/>
      <c r="R54" s="362"/>
      <c r="S54" s="362"/>
      <c r="T54" s="38"/>
      <c r="U54" s="38"/>
      <c r="V54" s="38"/>
      <c r="W54" s="38"/>
      <c r="X54" s="39"/>
      <c r="Y54" s="209"/>
      <c r="Z54" s="38"/>
      <c r="AA54" s="38"/>
      <c r="AB54" s="38"/>
      <c r="AC54" s="38"/>
      <c r="AD54" s="38">
        <f t="shared" si="43"/>
        <v>21</v>
      </c>
      <c r="AE54" s="226" t="s">
        <v>565</v>
      </c>
      <c r="AF54" s="34"/>
      <c r="AG54" s="34"/>
      <c r="AH54" s="34">
        <v>21</v>
      </c>
      <c r="AI54" s="34"/>
      <c r="AJ54" s="38"/>
      <c r="AK54" s="38"/>
      <c r="AL54" s="38"/>
      <c r="AM54" s="38">
        <f t="shared" si="44"/>
        <v>21</v>
      </c>
      <c r="AN54" s="38"/>
      <c r="AO54" s="38"/>
      <c r="AP54" s="38"/>
      <c r="AQ54" s="38"/>
      <c r="AR54" s="38">
        <f t="shared" si="45"/>
        <v>0</v>
      </c>
      <c r="AS54" s="38"/>
      <c r="AT54" s="38"/>
      <c r="AU54" s="38"/>
      <c r="AV54" s="38"/>
      <c r="AW54" s="38"/>
      <c r="AX54" s="38"/>
      <c r="AY54" s="38"/>
      <c r="AZ54" s="38"/>
      <c r="BA54" s="38">
        <f t="shared" si="46"/>
        <v>0</v>
      </c>
      <c r="BB54" s="34"/>
      <c r="BC54" s="477"/>
      <c r="BD54" s="477"/>
      <c r="BE54" s="34"/>
      <c r="BF54" s="477"/>
    </row>
    <row r="55" spans="1:58" ht="12.9" customHeight="1">
      <c r="A55" s="41"/>
      <c r="B55" s="42"/>
      <c r="C55" s="393"/>
      <c r="D55" s="42"/>
      <c r="E55" s="43"/>
      <c r="F55" s="43"/>
      <c r="G55" s="406"/>
      <c r="H55" s="533"/>
      <c r="I55" s="45"/>
      <c r="J55" s="82"/>
      <c r="K55" s="82"/>
      <c r="L55" s="36"/>
      <c r="M55" s="36"/>
      <c r="N55" s="46"/>
      <c r="O55" s="47"/>
      <c r="P55" s="48"/>
      <c r="Q55" s="47"/>
      <c r="R55" s="362"/>
      <c r="S55" s="362"/>
      <c r="T55" s="38"/>
      <c r="U55" s="38"/>
      <c r="V55" s="38"/>
      <c r="W55" s="38"/>
      <c r="X55" s="361"/>
      <c r="Y55" s="209"/>
      <c r="Z55" s="38"/>
      <c r="AA55" s="49"/>
      <c r="AB55" s="49"/>
      <c r="AC55" s="38"/>
      <c r="AD55" s="38"/>
      <c r="AE55" s="226"/>
      <c r="AF55" s="38"/>
      <c r="AG55" s="38"/>
      <c r="AH55" s="38"/>
      <c r="AI55" s="38"/>
      <c r="AJ55" s="38"/>
      <c r="AK55" s="38"/>
      <c r="AL55" s="38"/>
      <c r="AM55" s="38"/>
      <c r="AN55" s="38"/>
      <c r="AO55" s="38"/>
      <c r="AP55" s="38"/>
      <c r="AQ55" s="38"/>
      <c r="AR55" s="38"/>
      <c r="AS55" s="34"/>
      <c r="AT55" s="34"/>
      <c r="AU55" s="34"/>
      <c r="AV55" s="34"/>
      <c r="AW55" s="34"/>
      <c r="AX55" s="34"/>
      <c r="AY55" s="34"/>
      <c r="AZ55" s="34"/>
      <c r="BA55" s="38"/>
      <c r="BB55" s="34"/>
      <c r="BC55" s="51"/>
      <c r="BD55" s="51"/>
      <c r="BE55" s="51"/>
      <c r="BF55" s="51"/>
    </row>
    <row r="56" spans="1:58" ht="12.9" customHeight="1">
      <c r="A56" s="41">
        <v>46093</v>
      </c>
      <c r="B56" s="42" t="s">
        <v>422</v>
      </c>
      <c r="C56" s="393">
        <f>(M56*E56*O56*Q56)/100000000</f>
        <v>25.746867000000002</v>
      </c>
      <c r="D56" s="42" t="s">
        <v>423</v>
      </c>
      <c r="E56" s="43">
        <v>15</v>
      </c>
      <c r="F56" s="43">
        <v>1</v>
      </c>
      <c r="G56" s="406">
        <v>1180</v>
      </c>
      <c r="H56" s="533">
        <f>+N56</f>
        <v>0.19999999999999996</v>
      </c>
      <c r="I56" s="45">
        <v>0.88</v>
      </c>
      <c r="J56" s="82">
        <f>E56*G56*(1-H56)*1440/1000000*2.7</f>
        <v>55.054080000000006</v>
      </c>
      <c r="K56" s="82">
        <f>(IF(G56&lt;L56,L56,G56)*(1-IF(H56&lt;N56,H56,N56))*E56*O56*Q56)/100000000</f>
        <v>26.1907785</v>
      </c>
      <c r="L56" s="36">
        <v>1160</v>
      </c>
      <c r="M56" s="36">
        <v>928</v>
      </c>
      <c r="N56" s="46">
        <f>1-(M56/L56)</f>
        <v>0.19999999999999996</v>
      </c>
      <c r="O56" s="47">
        <f>+'Trim Rwd'!H30</f>
        <v>268.0625</v>
      </c>
      <c r="P56" s="48">
        <f>O56*(Q56-R56-S56)</f>
        <v>182014.4375</v>
      </c>
      <c r="Q56" s="47">
        <v>690</v>
      </c>
      <c r="R56" s="362">
        <v>0</v>
      </c>
      <c r="S56" s="362">
        <v>11</v>
      </c>
      <c r="T56" s="38">
        <f>E56*M56*O56*Q56/100000000</f>
        <v>25.746867000000002</v>
      </c>
      <c r="U56" s="38">
        <f>E56*M56*O56*(Q56-R56-S56)/100000000</f>
        <v>25.336409700000001</v>
      </c>
      <c r="V56" s="38">
        <f>E56*G56*(1-N56)*O56/100*(R56+S56)/1000000</f>
        <v>0.41753415000000005</v>
      </c>
      <c r="W56" s="38">
        <f>+'12'!K7/1000</f>
        <v>33.936999999999998</v>
      </c>
      <c r="X56" s="361">
        <f>SUM(W56:W59)/SUM(K56:K59)</f>
        <v>0.9626564040311546</v>
      </c>
      <c r="Y56" s="38">
        <v>0</v>
      </c>
      <c r="Z56" s="38">
        <v>0</v>
      </c>
      <c r="AA56" s="49">
        <f>SUM(U56:U59)-SUM(W56:W59)-SUM(Z56:Z59)-SUM(Y56:Y59)</f>
        <v>-0.25162729455999511</v>
      </c>
      <c r="AB56" s="49">
        <f>(SUM(K56:K59)-SUM(W56:W59)-SUM(Y56:Y59)-SUM(Z56:Z59)-SUM(AC56:AC59)-SUM(V56:V59))-AA56</f>
        <v>-2.3861956875352974E-2</v>
      </c>
      <c r="AC56" s="38">
        <f>K56-T56</f>
        <v>0.44391149999999868</v>
      </c>
      <c r="AD56" s="38">
        <f>+AM56+BA56</f>
        <v>0</v>
      </c>
      <c r="AE56" s="226" t="s">
        <v>417</v>
      </c>
      <c r="AF56" s="38">
        <v>0</v>
      </c>
      <c r="AG56" s="38"/>
      <c r="AH56" s="38"/>
      <c r="AI56" s="38"/>
      <c r="AJ56" s="38"/>
      <c r="AK56" s="38"/>
      <c r="AL56" s="38"/>
      <c r="AM56" s="38">
        <f>SUM(AF56:AL56)+AT56+AV56+AX56</f>
        <v>0</v>
      </c>
      <c r="AN56" s="38"/>
      <c r="AO56" s="38"/>
      <c r="AP56" s="38"/>
      <c r="AQ56" s="38"/>
      <c r="AR56" s="38">
        <f>SUM(AN56:AQ56)</f>
        <v>0</v>
      </c>
      <c r="AS56" s="38"/>
      <c r="AT56" s="38"/>
      <c r="AU56" s="38"/>
      <c r="AV56" s="38"/>
      <c r="AW56" s="38"/>
      <c r="AX56" s="38"/>
      <c r="AY56" s="38"/>
      <c r="AZ56" s="38"/>
      <c r="BA56" s="38">
        <f>+AR56+AS56+AU56+AW56+AY56+AZ56</f>
        <v>0</v>
      </c>
      <c r="BB56" s="34">
        <v>0</v>
      </c>
      <c r="BC56" s="51"/>
      <c r="BD56" s="51"/>
      <c r="BE56" s="34"/>
      <c r="BF56" s="51"/>
    </row>
    <row r="57" spans="1:58" ht="12.9" customHeight="1">
      <c r="A57" s="41"/>
      <c r="B57" s="42" t="s">
        <v>422</v>
      </c>
      <c r="C57" s="393">
        <f>(M57*E57*O57*Q57)/100000000</f>
        <v>27.830355839999999</v>
      </c>
      <c r="D57" s="42" t="s">
        <v>423</v>
      </c>
      <c r="E57" s="43">
        <v>14</v>
      </c>
      <c r="F57" s="43">
        <v>1</v>
      </c>
      <c r="G57" s="406">
        <v>1255</v>
      </c>
      <c r="H57" s="533">
        <f>+N57</f>
        <v>0.19356200527704481</v>
      </c>
      <c r="I57" s="45">
        <v>0.88</v>
      </c>
      <c r="J57" s="82">
        <f>E57*G57*(1-H57)*1440/1000000*2.7</f>
        <v>55.08952132559368</v>
      </c>
      <c r="K57" s="82">
        <f>(IF(G57&lt;L57,L57,G57)*(1-IF(H57&lt;N57,H57,N57))*E57*O57*Q57)/100000000</f>
        <v>28.79872739050132</v>
      </c>
      <c r="L57" s="36">
        <v>1212.8</v>
      </c>
      <c r="M57" s="36">
        <v>978.048</v>
      </c>
      <c r="N57" s="46">
        <f>1-(M57/L57)</f>
        <v>0.19356200527704481</v>
      </c>
      <c r="O57" s="47">
        <f>+'Trim Rwd'!H32</f>
        <v>271</v>
      </c>
      <c r="P57" s="48">
        <f>O57*(Q57-R57-S57)</f>
        <v>199727</v>
      </c>
      <c r="Q57" s="47">
        <v>750</v>
      </c>
      <c r="R57" s="362">
        <v>0</v>
      </c>
      <c r="S57" s="362">
        <v>13</v>
      </c>
      <c r="T57" s="38">
        <f>E57*M57*O57*Q57/100000000</f>
        <v>27.830355839999999</v>
      </c>
      <c r="U57" s="38">
        <f>E57*M57*O57*(Q57-R57-S57)/100000000</f>
        <v>27.34796300544</v>
      </c>
      <c r="V57" s="38">
        <f>E57*G57*(1-N57)*O57/100*(R57+S57)/1000000</f>
        <v>0.49917794143535621</v>
      </c>
      <c r="W57" s="38">
        <f>+'12'!K9/1000</f>
        <v>18.998999999999999</v>
      </c>
      <c r="X57" s="39"/>
      <c r="Y57" s="209"/>
      <c r="Z57" s="38"/>
      <c r="AA57" s="38"/>
      <c r="AB57" s="38"/>
      <c r="AC57" s="38">
        <f>K57-T57</f>
        <v>0.9683715505013204</v>
      </c>
      <c r="AD57" s="38">
        <f t="shared" ref="AD57:AD58" si="47">+AM57+BA57</f>
        <v>0</v>
      </c>
      <c r="AE57" s="226" t="s">
        <v>419</v>
      </c>
      <c r="AF57" s="38"/>
      <c r="AG57" s="38">
        <v>0</v>
      </c>
      <c r="AH57" s="38"/>
      <c r="AI57" s="38"/>
      <c r="AJ57" s="38"/>
      <c r="AK57" s="38"/>
      <c r="AL57" s="38"/>
      <c r="AM57" s="38">
        <f t="shared" ref="AM57:AM58" si="48">SUM(AF57:AL57)+AT57+AV57+AX57</f>
        <v>0</v>
      </c>
      <c r="AN57" s="83"/>
      <c r="AO57" s="38"/>
      <c r="AP57" s="38"/>
      <c r="AQ57" s="38"/>
      <c r="AR57" s="38">
        <f t="shared" ref="AR57:AR58" si="49">SUM(AN57:AQ57)</f>
        <v>0</v>
      </c>
      <c r="AS57" s="38"/>
      <c r="AT57" s="38"/>
      <c r="AU57" s="38"/>
      <c r="AV57" s="38"/>
      <c r="AW57" s="38"/>
      <c r="AX57" s="38"/>
      <c r="AY57" s="38"/>
      <c r="AZ57" s="38"/>
      <c r="BA57" s="38">
        <f t="shared" ref="BA57:BA58" si="50">+AR57+AS57+AU57+AW57+AY57+AZ57</f>
        <v>0</v>
      </c>
      <c r="BB57" s="50"/>
      <c r="BC57" s="51">
        <v>0</v>
      </c>
      <c r="BD57" s="51"/>
      <c r="BE57" s="50"/>
      <c r="BF57" s="51"/>
    </row>
    <row r="58" spans="1:58" ht="12.9" customHeight="1">
      <c r="A58" s="41"/>
      <c r="B58" s="42"/>
      <c r="C58" s="393"/>
      <c r="D58" s="42"/>
      <c r="E58" s="43"/>
      <c r="F58" s="43"/>
      <c r="G58" s="44"/>
      <c r="H58" s="533"/>
      <c r="I58" s="45"/>
      <c r="J58" s="82"/>
      <c r="K58" s="82"/>
      <c r="L58" s="36"/>
      <c r="M58" s="36"/>
      <c r="N58" s="46"/>
      <c r="O58" s="47"/>
      <c r="P58" s="48"/>
      <c r="Q58" s="47"/>
      <c r="R58" s="362"/>
      <c r="S58" s="362"/>
      <c r="T58" s="38"/>
      <c r="U58" s="38"/>
      <c r="V58" s="38"/>
      <c r="W58" s="38"/>
      <c r="X58" s="39"/>
      <c r="Y58" s="209"/>
      <c r="Z58" s="38"/>
      <c r="AA58" s="38"/>
      <c r="AB58" s="38"/>
      <c r="AC58" s="38"/>
      <c r="AD58" s="38">
        <f t="shared" si="47"/>
        <v>24</v>
      </c>
      <c r="AE58" s="226" t="s">
        <v>457</v>
      </c>
      <c r="AF58" s="34"/>
      <c r="AG58" s="34"/>
      <c r="AH58" s="34">
        <v>24</v>
      </c>
      <c r="AI58" s="34"/>
      <c r="AJ58" s="38"/>
      <c r="AK58" s="38"/>
      <c r="AL58" s="38"/>
      <c r="AM58" s="38">
        <f t="shared" si="48"/>
        <v>24</v>
      </c>
      <c r="AN58" s="38"/>
      <c r="AO58" s="38"/>
      <c r="AP58" s="38"/>
      <c r="AQ58" s="38"/>
      <c r="AR58" s="38">
        <f t="shared" si="49"/>
        <v>0</v>
      </c>
      <c r="AS58" s="38"/>
      <c r="AT58" s="38"/>
      <c r="AU58" s="38"/>
      <c r="AV58" s="38"/>
      <c r="AW58" s="38"/>
      <c r="AX58" s="38"/>
      <c r="AY58" s="38"/>
      <c r="AZ58" s="38"/>
      <c r="BA58" s="38">
        <f t="shared" si="50"/>
        <v>0</v>
      </c>
      <c r="BB58" s="34"/>
      <c r="BC58" s="477"/>
      <c r="BD58" s="477"/>
      <c r="BE58" s="34"/>
      <c r="BF58" s="477"/>
    </row>
    <row r="59" spans="1:58" ht="12.9" customHeight="1">
      <c r="A59" s="41"/>
      <c r="B59" s="42"/>
      <c r="C59" s="393"/>
      <c r="D59" s="42"/>
      <c r="E59" s="43"/>
      <c r="F59" s="43"/>
      <c r="G59" s="406"/>
      <c r="H59" s="533"/>
      <c r="I59" s="45"/>
      <c r="J59" s="82"/>
      <c r="K59" s="82"/>
      <c r="L59" s="36"/>
      <c r="M59" s="36"/>
      <c r="N59" s="46"/>
      <c r="O59" s="47"/>
      <c r="P59" s="48"/>
      <c r="Q59" s="47"/>
      <c r="R59" s="362"/>
      <c r="S59" s="362"/>
      <c r="T59" s="38"/>
      <c r="U59" s="38"/>
      <c r="V59" s="38"/>
      <c r="W59" s="38"/>
      <c r="X59" s="361"/>
      <c r="Y59" s="209"/>
      <c r="Z59" s="38"/>
      <c r="AA59" s="49"/>
      <c r="AB59" s="49"/>
      <c r="AC59" s="38"/>
      <c r="AD59" s="38"/>
      <c r="AE59" s="226"/>
      <c r="AF59" s="38"/>
      <c r="AG59" s="38"/>
      <c r="AH59" s="38"/>
      <c r="AI59" s="38"/>
      <c r="AJ59" s="38"/>
      <c r="AK59" s="38"/>
      <c r="AL59" s="38"/>
      <c r="AM59" s="38"/>
      <c r="AN59" s="38"/>
      <c r="AO59" s="38"/>
      <c r="AP59" s="38"/>
      <c r="AQ59" s="38"/>
      <c r="AR59" s="38"/>
      <c r="AS59" s="34"/>
      <c r="AT59" s="34"/>
      <c r="AU59" s="34"/>
      <c r="AV59" s="34"/>
      <c r="AW59" s="34"/>
      <c r="AX59" s="34"/>
      <c r="AY59" s="34"/>
      <c r="AZ59" s="34"/>
      <c r="BA59" s="38"/>
      <c r="BB59" s="34"/>
      <c r="BC59" s="51"/>
      <c r="BD59" s="51"/>
      <c r="BE59" s="51"/>
      <c r="BF59" s="51"/>
    </row>
    <row r="60" spans="1:58" ht="12.9" customHeight="1">
      <c r="A60" s="41">
        <v>46094</v>
      </c>
      <c r="B60" s="42" t="s">
        <v>422</v>
      </c>
      <c r="C60" s="393">
        <f>(M60*E60*O60*Q60)/100000000</f>
        <v>28.3320744</v>
      </c>
      <c r="D60" s="42" t="s">
        <v>423</v>
      </c>
      <c r="E60" s="43">
        <v>14</v>
      </c>
      <c r="F60" s="43">
        <v>1</v>
      </c>
      <c r="G60" s="406">
        <v>1265</v>
      </c>
      <c r="H60" s="533">
        <f>+N60</f>
        <v>0.19999999999999996</v>
      </c>
      <c r="I60" s="45">
        <v>0.88</v>
      </c>
      <c r="J60" s="82">
        <f>E60*G60*(1-H60)*1440/1000000*2.7</f>
        <v>55.085184000000005</v>
      </c>
      <c r="K60" s="82">
        <f>(IF(G60&lt;L60,L60,G60)*(1-IF(H60&lt;N60,H60,N60))*E60*O60*Q60)/100000000</f>
        <v>29.257203359999998</v>
      </c>
      <c r="L60" s="36">
        <v>1225</v>
      </c>
      <c r="M60" s="36">
        <v>980</v>
      </c>
      <c r="N60" s="46">
        <f>1-(M60/L60)</f>
        <v>0.19999999999999996</v>
      </c>
      <c r="O60" s="47">
        <f>+'Trim Rwd'!H34</f>
        <v>271</v>
      </c>
      <c r="P60" s="48">
        <f>O60*(Q60-R60-S60)</f>
        <v>202708</v>
      </c>
      <c r="Q60" s="47">
        <v>762</v>
      </c>
      <c r="R60" s="362">
        <v>0</v>
      </c>
      <c r="S60" s="362">
        <v>14</v>
      </c>
      <c r="T60" s="38">
        <f>E60*M60*O60*Q60/100000000</f>
        <v>28.3320744</v>
      </c>
      <c r="U60" s="38">
        <f>E60*M60*O60*(Q60-R60-S60)/100000000</f>
        <v>27.811537600000001</v>
      </c>
      <c r="V60" s="38">
        <f>E60*G60*(1-N60)*O60/100*(R60+S60)/1000000</f>
        <v>0.53753391999999989</v>
      </c>
      <c r="W60" s="38">
        <f>+'13'!K9/1000</f>
        <v>30.646999999999998</v>
      </c>
      <c r="X60" s="361">
        <f>SUM(W60:W63)/SUM(K60:K63)</f>
        <v>0.91209932484407741</v>
      </c>
      <c r="Y60" s="38">
        <v>0</v>
      </c>
      <c r="Z60" s="38">
        <v>0</v>
      </c>
      <c r="AA60" s="49">
        <f>SUM(U60:U63)-SUM(W60:W63)-SUM(Z60:Z63)-SUM(Y60:Y63)</f>
        <v>2.5026565600000055</v>
      </c>
      <c r="AB60" s="49">
        <f>(SUM(K60:K63)-SUM(W60:W63)-SUM(Y60:Y63)-SUM(Z60:Z63)-SUM(AC60:AC63)-SUM(V60:V63))-AA60</f>
        <v>-2.4594920000001075E-2</v>
      </c>
      <c r="AC60" s="38">
        <f>K60-T60</f>
        <v>0.92512895999999856</v>
      </c>
      <c r="AD60" s="38">
        <f>+AM60+BA60</f>
        <v>0</v>
      </c>
      <c r="AE60" s="226" t="s">
        <v>417</v>
      </c>
      <c r="AF60" s="38">
        <v>0</v>
      </c>
      <c r="AG60" s="38"/>
      <c r="AH60" s="38"/>
      <c r="AI60" s="38"/>
      <c r="AJ60" s="38"/>
      <c r="AK60" s="38"/>
      <c r="AL60" s="38"/>
      <c r="AM60" s="38">
        <f>SUM(AF60:AL60)+AT60+AV60+AX60</f>
        <v>0</v>
      </c>
      <c r="AN60" s="38"/>
      <c r="AO60" s="38"/>
      <c r="AP60" s="38"/>
      <c r="AQ60" s="38"/>
      <c r="AR60" s="38">
        <f>SUM(AN60:AQ60)</f>
        <v>0</v>
      </c>
      <c r="AS60" s="38"/>
      <c r="AT60" s="38"/>
      <c r="AU60" s="38"/>
      <c r="AV60" s="38"/>
      <c r="AW60" s="38"/>
      <c r="AX60" s="38"/>
      <c r="AY60" s="38"/>
      <c r="AZ60" s="38"/>
      <c r="BA60" s="38">
        <f>+AR60+AS60+AU60+AW60+AY60+AZ60</f>
        <v>0</v>
      </c>
      <c r="BB60" s="34">
        <v>0</v>
      </c>
      <c r="BC60" s="51"/>
      <c r="BD60" s="51"/>
      <c r="BE60" s="34"/>
      <c r="BF60" s="51"/>
    </row>
    <row r="61" spans="1:58" ht="12.9" customHeight="1">
      <c r="A61" s="41"/>
      <c r="B61" s="42" t="s">
        <v>422</v>
      </c>
      <c r="C61" s="393">
        <f>(M61*E61*O61*Q61)/100000000</f>
        <v>25.241411159999998</v>
      </c>
      <c r="D61" s="42" t="s">
        <v>423</v>
      </c>
      <c r="E61" s="43">
        <v>13.5</v>
      </c>
      <c r="F61" s="43">
        <v>1</v>
      </c>
      <c r="G61" s="406">
        <v>1250</v>
      </c>
      <c r="H61" s="533">
        <f>+N61</f>
        <v>0.16000000000000003</v>
      </c>
      <c r="I61" s="45">
        <v>0.88</v>
      </c>
      <c r="J61" s="82">
        <f>E61*G61*(1-H61)*1440/1000000*2.7</f>
        <v>55.112400000000001</v>
      </c>
      <c r="K61" s="82">
        <f>(IF(G61&lt;L61,L61,G61)*(1-IF(H61&lt;N61,H61,N61))*E61*O61*Q61)/100000000</f>
        <v>25.756542</v>
      </c>
      <c r="L61" s="36">
        <v>1225</v>
      </c>
      <c r="M61" s="36">
        <v>1029</v>
      </c>
      <c r="N61" s="46">
        <f>1-(M61/L61)</f>
        <v>0.16000000000000003</v>
      </c>
      <c r="O61" s="47">
        <f>+'Trim Rwd'!H35</f>
        <v>268</v>
      </c>
      <c r="P61" s="48">
        <f>O61*(Q61-R61-S61)</f>
        <v>179024</v>
      </c>
      <c r="Q61" s="47">
        <v>678</v>
      </c>
      <c r="R61" s="362">
        <v>0</v>
      </c>
      <c r="S61" s="362">
        <v>10</v>
      </c>
      <c r="T61" s="38">
        <f>E61*M61*O61*Q61/100000000</f>
        <v>25.241411159999998</v>
      </c>
      <c r="U61" s="38">
        <f>E61*M61*O61*(Q61-R61-S61)/100000000</f>
        <v>24.869118960000002</v>
      </c>
      <c r="V61" s="38">
        <f>E61*G61*(1-N61)*O61/100*(R61+S61)/1000000</f>
        <v>0.37989000000000001</v>
      </c>
      <c r="W61" s="38">
        <f>+'13'!K10/1000</f>
        <v>19.530999999999999</v>
      </c>
      <c r="X61" s="39"/>
      <c r="Y61" s="209"/>
      <c r="Z61" s="38"/>
      <c r="AA61" s="38"/>
      <c r="AB61" s="38"/>
      <c r="AC61" s="38">
        <f>K61-T61</f>
        <v>0.5151308400000012</v>
      </c>
      <c r="AD61" s="38">
        <f t="shared" ref="AD61:AD62" si="51">+AM61+BA61</f>
        <v>3</v>
      </c>
      <c r="AE61" s="226" t="s">
        <v>416</v>
      </c>
      <c r="AF61" s="38"/>
      <c r="AG61" s="38">
        <v>3</v>
      </c>
      <c r="AH61" s="38"/>
      <c r="AI61" s="38"/>
      <c r="AJ61" s="38"/>
      <c r="AK61" s="38"/>
      <c r="AL61" s="38"/>
      <c r="AM61" s="38">
        <f t="shared" ref="AM61:AM62" si="52">SUM(AF61:AL61)+AT61+AV61+AX61</f>
        <v>3</v>
      </c>
      <c r="AN61" s="83"/>
      <c r="AO61" s="38"/>
      <c r="AP61" s="38"/>
      <c r="AQ61" s="38"/>
      <c r="AR61" s="38">
        <f t="shared" ref="AR61:AR62" si="53">SUM(AN61:AQ61)</f>
        <v>0</v>
      </c>
      <c r="AS61" s="38"/>
      <c r="AT61" s="38"/>
      <c r="AU61" s="38"/>
      <c r="AV61" s="38"/>
      <c r="AW61" s="38"/>
      <c r="AX61" s="38"/>
      <c r="AY61" s="38"/>
      <c r="AZ61" s="38"/>
      <c r="BA61" s="38">
        <f t="shared" ref="BA61:BA62" si="54">+AR61+AS61+AU61+AW61+AY61+AZ61</f>
        <v>0</v>
      </c>
      <c r="BB61" s="50"/>
      <c r="BC61" s="51">
        <v>1</v>
      </c>
      <c r="BD61" s="51"/>
      <c r="BE61" s="50"/>
      <c r="BF61" s="51"/>
    </row>
    <row r="62" spans="1:58" ht="12.9" customHeight="1">
      <c r="A62" s="41"/>
      <c r="B62" s="42"/>
      <c r="C62" s="393"/>
      <c r="D62" s="42"/>
      <c r="E62" s="43"/>
      <c r="F62" s="43"/>
      <c r="G62" s="44"/>
      <c r="H62" s="533"/>
      <c r="I62" s="45"/>
      <c r="J62" s="82"/>
      <c r="K62" s="82"/>
      <c r="L62" s="36"/>
      <c r="M62" s="36"/>
      <c r="N62" s="46"/>
      <c r="O62" s="47"/>
      <c r="P62" s="48"/>
      <c r="Q62" s="47"/>
      <c r="R62" s="362"/>
      <c r="S62" s="362"/>
      <c r="T62" s="38"/>
      <c r="U62" s="38"/>
      <c r="V62" s="38"/>
      <c r="W62" s="38"/>
      <c r="X62" s="39"/>
      <c r="Y62" s="209"/>
      <c r="Z62" s="38"/>
      <c r="AA62" s="38"/>
      <c r="AB62" s="38"/>
      <c r="AC62" s="38"/>
      <c r="AD62" s="38">
        <f t="shared" si="51"/>
        <v>21</v>
      </c>
      <c r="AE62" s="226" t="s">
        <v>565</v>
      </c>
      <c r="AF62" s="34"/>
      <c r="AG62" s="34"/>
      <c r="AH62" s="34">
        <v>21</v>
      </c>
      <c r="AI62" s="34"/>
      <c r="AJ62" s="38"/>
      <c r="AK62" s="38"/>
      <c r="AL62" s="38"/>
      <c r="AM62" s="38">
        <f t="shared" si="52"/>
        <v>21</v>
      </c>
      <c r="AN62" s="38"/>
      <c r="AO62" s="38"/>
      <c r="AP62" s="38"/>
      <c r="AQ62" s="38"/>
      <c r="AR62" s="38">
        <f t="shared" si="53"/>
        <v>0</v>
      </c>
      <c r="AS62" s="38"/>
      <c r="AT62" s="38"/>
      <c r="AU62" s="38"/>
      <c r="AV62" s="38"/>
      <c r="AW62" s="38"/>
      <c r="AX62" s="38"/>
      <c r="AY62" s="38"/>
      <c r="AZ62" s="38"/>
      <c r="BA62" s="38">
        <f t="shared" si="54"/>
        <v>0</v>
      </c>
      <c r="BB62" s="34"/>
      <c r="BC62" s="477"/>
      <c r="BD62" s="477"/>
      <c r="BE62" s="34"/>
      <c r="BF62" s="477"/>
    </row>
    <row r="63" spans="1:58" ht="12.9" customHeight="1">
      <c r="A63" s="41"/>
      <c r="B63" s="42"/>
      <c r="C63" s="393"/>
      <c r="D63" s="42"/>
      <c r="E63" s="43"/>
      <c r="F63" s="43"/>
      <c r="G63" s="406"/>
      <c r="H63" s="533"/>
      <c r="I63" s="45"/>
      <c r="J63" s="82"/>
      <c r="K63" s="82"/>
      <c r="L63" s="36"/>
      <c r="M63" s="36"/>
      <c r="N63" s="46"/>
      <c r="O63" s="47"/>
      <c r="P63" s="48"/>
      <c r="Q63" s="47"/>
      <c r="R63" s="362"/>
      <c r="S63" s="362"/>
      <c r="T63" s="38"/>
      <c r="U63" s="38"/>
      <c r="V63" s="38"/>
      <c r="W63" s="38"/>
      <c r="X63" s="361"/>
      <c r="Y63" s="209"/>
      <c r="Z63" s="38"/>
      <c r="AA63" s="49"/>
      <c r="AB63" s="49"/>
      <c r="AC63" s="38"/>
      <c r="AD63" s="38"/>
      <c r="AE63" s="226"/>
      <c r="AF63" s="38"/>
      <c r="AG63" s="38"/>
      <c r="AH63" s="38"/>
      <c r="AI63" s="38"/>
      <c r="AJ63" s="38"/>
      <c r="AK63" s="38"/>
      <c r="AL63" s="38"/>
      <c r="AM63" s="38"/>
      <c r="AN63" s="38"/>
      <c r="AO63" s="38"/>
      <c r="AP63" s="38"/>
      <c r="AQ63" s="38"/>
      <c r="AR63" s="38"/>
      <c r="AS63" s="34"/>
      <c r="AT63" s="34"/>
      <c r="AU63" s="34"/>
      <c r="AV63" s="34"/>
      <c r="AW63" s="34"/>
      <c r="AX63" s="34"/>
      <c r="AY63" s="34"/>
      <c r="AZ63" s="34"/>
      <c r="BA63" s="38"/>
      <c r="BB63" s="34"/>
      <c r="BC63" s="51"/>
      <c r="BD63" s="51"/>
      <c r="BE63" s="51"/>
      <c r="BF63" s="51"/>
    </row>
    <row r="64" spans="1:58" ht="12.9" customHeight="1">
      <c r="A64" s="41">
        <v>46095</v>
      </c>
      <c r="B64" s="42" t="s">
        <v>422</v>
      </c>
      <c r="C64" s="393">
        <f>(M64*E64*O64*Q64)/100000000</f>
        <v>53.610076800000002</v>
      </c>
      <c r="D64" s="42" t="s">
        <v>423</v>
      </c>
      <c r="E64" s="43">
        <v>13.5</v>
      </c>
      <c r="F64" s="43">
        <v>1</v>
      </c>
      <c r="G64" s="406">
        <v>1250</v>
      </c>
      <c r="H64" s="533">
        <f>+N64</f>
        <v>0.16000000000000003</v>
      </c>
      <c r="I64" s="45">
        <v>0.88</v>
      </c>
      <c r="J64" s="82">
        <f>E64*G64*(1-H64)*1440/1000000*2.7</f>
        <v>55.112400000000001</v>
      </c>
      <c r="K64" s="82">
        <f>(IF(G64&lt;L64,L64,G64)*(1-IF(H64&lt;N64,H64,N64))*E64*O64*Q64)/100000000</f>
        <v>54.704160000000002</v>
      </c>
      <c r="L64" s="36">
        <v>1225</v>
      </c>
      <c r="M64" s="36">
        <v>1029</v>
      </c>
      <c r="N64" s="46">
        <f>1-(M64/L64)</f>
        <v>0.16000000000000003</v>
      </c>
      <c r="O64" s="47">
        <f>+'Trim Rwd'!H37</f>
        <v>268</v>
      </c>
      <c r="P64" s="48">
        <f>O64*(Q64-R64-S64)</f>
        <v>379756</v>
      </c>
      <c r="Q64" s="47">
        <v>1440</v>
      </c>
      <c r="R64" s="362">
        <v>0</v>
      </c>
      <c r="S64" s="362">
        <v>23</v>
      </c>
      <c r="T64" s="38">
        <f>E64*M64*O64*Q64/100000000</f>
        <v>53.610076800000002</v>
      </c>
      <c r="U64" s="38">
        <f>E64*M64*O64*(Q64-R64-S64)/100000000</f>
        <v>52.75380474</v>
      </c>
      <c r="V64" s="38">
        <f>E64*G64*(1-N64)*O64/100*(R64+S64)/1000000</f>
        <v>0.87374700000000005</v>
      </c>
      <c r="W64" s="38">
        <f>+'14'!K10/1000</f>
        <v>49.991</v>
      </c>
      <c r="X64" s="361">
        <f>SUM(W64:W67)/SUM(K64:K67)</f>
        <v>0.91384274980184321</v>
      </c>
      <c r="Y64" s="38">
        <v>0</v>
      </c>
      <c r="Z64" s="38">
        <v>0</v>
      </c>
      <c r="AA64" s="49">
        <f>SUM(U64:U67)-SUM(W64:W67)-SUM(Z64:Z67)-SUM(Y64:Y67)</f>
        <v>2.76280474</v>
      </c>
      <c r="AB64" s="49">
        <f>(SUM(K64:K67)-SUM(W64:W67)-SUM(Y64:Y67)-SUM(Z64:Z67)-SUM(AC64:AC67)-SUM(V64:V67))-AA64</f>
        <v>-1.7474939999997829E-2</v>
      </c>
      <c r="AC64" s="38">
        <f>K64-T64</f>
        <v>1.0940832</v>
      </c>
      <c r="AD64" s="38">
        <f>+AM64+BA64</f>
        <v>0</v>
      </c>
      <c r="AE64" s="226" t="s">
        <v>417</v>
      </c>
      <c r="AF64" s="38">
        <v>0</v>
      </c>
      <c r="AG64" s="38"/>
      <c r="AH64" s="38"/>
      <c r="AI64" s="38"/>
      <c r="AJ64" s="38"/>
      <c r="AK64" s="38"/>
      <c r="AL64" s="38"/>
      <c r="AM64" s="38">
        <f>SUM(AF64:AL64)+AT64+AV64+AX64</f>
        <v>0</v>
      </c>
      <c r="AN64" s="38"/>
      <c r="AO64" s="38"/>
      <c r="AP64" s="38"/>
      <c r="AQ64" s="38"/>
      <c r="AR64" s="38">
        <f>SUM(AN64:AQ64)</f>
        <v>0</v>
      </c>
      <c r="AS64" s="38"/>
      <c r="AT64" s="38"/>
      <c r="AU64" s="38"/>
      <c r="AV64" s="38"/>
      <c r="AW64" s="38"/>
      <c r="AX64" s="38"/>
      <c r="AY64" s="38"/>
      <c r="AZ64" s="38"/>
      <c r="BA64" s="38">
        <f>+AR64+AS64+AU64+AW64+AY64+AZ64</f>
        <v>0</v>
      </c>
      <c r="BB64" s="34">
        <v>0</v>
      </c>
      <c r="BC64" s="51"/>
      <c r="BD64" s="51"/>
      <c r="BE64" s="34"/>
      <c r="BF64" s="51"/>
    </row>
    <row r="65" spans="1:58" ht="12.9" customHeight="1">
      <c r="A65" s="41"/>
      <c r="B65" s="42"/>
      <c r="C65" s="393"/>
      <c r="D65" s="42"/>
      <c r="E65" s="43"/>
      <c r="F65" s="43"/>
      <c r="G65" s="406"/>
      <c r="H65" s="533"/>
      <c r="I65" s="45"/>
      <c r="J65" s="82"/>
      <c r="K65" s="82"/>
      <c r="L65" s="36"/>
      <c r="M65" s="36"/>
      <c r="N65" s="46"/>
      <c r="O65" s="47"/>
      <c r="P65" s="48"/>
      <c r="Q65" s="47"/>
      <c r="R65" s="362"/>
      <c r="S65" s="362"/>
      <c r="T65" s="38"/>
      <c r="U65" s="38"/>
      <c r="V65" s="38"/>
      <c r="W65" s="38"/>
      <c r="X65" s="39"/>
      <c r="Y65" s="209"/>
      <c r="Z65" s="38"/>
      <c r="AA65" s="38"/>
      <c r="AB65" s="38"/>
      <c r="AC65" s="38"/>
      <c r="AD65" s="38">
        <f t="shared" ref="AD65:AD66" si="55">+AM65+BA65</f>
        <v>0</v>
      </c>
      <c r="AE65" s="226" t="s">
        <v>419</v>
      </c>
      <c r="AF65" s="38"/>
      <c r="AG65" s="38">
        <v>0</v>
      </c>
      <c r="AH65" s="38"/>
      <c r="AI65" s="38"/>
      <c r="AJ65" s="38"/>
      <c r="AK65" s="38"/>
      <c r="AL65" s="38"/>
      <c r="AM65" s="38">
        <f t="shared" ref="AM65:AM66" si="56">SUM(AF65:AL65)+AT65+AV65+AX65</f>
        <v>0</v>
      </c>
      <c r="AN65" s="83"/>
      <c r="AO65" s="38"/>
      <c r="AP65" s="38"/>
      <c r="AQ65" s="38"/>
      <c r="AR65" s="38">
        <f t="shared" ref="AR65:AR66" si="57">SUM(AN65:AQ65)</f>
        <v>0</v>
      </c>
      <c r="AS65" s="38"/>
      <c r="AT65" s="38"/>
      <c r="AU65" s="38"/>
      <c r="AV65" s="38"/>
      <c r="AW65" s="38"/>
      <c r="AX65" s="38"/>
      <c r="AY65" s="38"/>
      <c r="AZ65" s="38"/>
      <c r="BA65" s="38">
        <f t="shared" ref="BA65:BA66" si="58">+AR65+AS65+AU65+AW65+AY65+AZ65</f>
        <v>0</v>
      </c>
      <c r="BB65" s="50"/>
      <c r="BC65" s="51">
        <v>0</v>
      </c>
      <c r="BD65" s="51"/>
      <c r="BE65" s="50"/>
      <c r="BF65" s="51"/>
    </row>
    <row r="66" spans="1:58" ht="12.9" customHeight="1">
      <c r="A66" s="41"/>
      <c r="B66" s="42"/>
      <c r="C66" s="393"/>
      <c r="D66" s="42"/>
      <c r="E66" s="43"/>
      <c r="F66" s="43"/>
      <c r="G66" s="44"/>
      <c r="H66" s="533"/>
      <c r="I66" s="45"/>
      <c r="J66" s="82"/>
      <c r="K66" s="82"/>
      <c r="L66" s="36"/>
      <c r="M66" s="36"/>
      <c r="N66" s="46"/>
      <c r="O66" s="47"/>
      <c r="P66" s="48"/>
      <c r="Q66" s="47"/>
      <c r="R66" s="362"/>
      <c r="S66" s="362"/>
      <c r="T66" s="38"/>
      <c r="U66" s="38"/>
      <c r="V66" s="38"/>
      <c r="W66" s="38"/>
      <c r="X66" s="39"/>
      <c r="Y66" s="209"/>
      <c r="Z66" s="38"/>
      <c r="AA66" s="38"/>
      <c r="AB66" s="38"/>
      <c r="AC66" s="38"/>
      <c r="AD66" s="38">
        <f t="shared" si="55"/>
        <v>23</v>
      </c>
      <c r="AE66" s="226" t="s">
        <v>457</v>
      </c>
      <c r="AF66" s="34"/>
      <c r="AG66" s="34"/>
      <c r="AH66" s="34">
        <v>23</v>
      </c>
      <c r="AI66" s="34"/>
      <c r="AJ66" s="38"/>
      <c r="AK66" s="38"/>
      <c r="AL66" s="38"/>
      <c r="AM66" s="38">
        <f t="shared" si="56"/>
        <v>23</v>
      </c>
      <c r="AN66" s="38"/>
      <c r="AO66" s="38"/>
      <c r="AP66" s="38"/>
      <c r="AQ66" s="38"/>
      <c r="AR66" s="38">
        <f t="shared" si="57"/>
        <v>0</v>
      </c>
      <c r="AS66" s="38"/>
      <c r="AT66" s="38"/>
      <c r="AU66" s="38"/>
      <c r="AV66" s="38"/>
      <c r="AW66" s="38"/>
      <c r="AX66" s="38"/>
      <c r="AY66" s="38"/>
      <c r="AZ66" s="38"/>
      <c r="BA66" s="38">
        <f t="shared" si="58"/>
        <v>0</v>
      </c>
      <c r="BB66" s="34"/>
      <c r="BC66" s="477"/>
      <c r="BD66" s="477"/>
      <c r="BE66" s="34"/>
      <c r="BF66" s="477"/>
    </row>
    <row r="67" spans="1:58" ht="12.9" customHeight="1">
      <c r="A67" s="41"/>
      <c r="B67" s="42"/>
      <c r="C67" s="393"/>
      <c r="D67" s="42"/>
      <c r="E67" s="43"/>
      <c r="F67" s="43"/>
      <c r="G67" s="406"/>
      <c r="H67" s="533"/>
      <c r="I67" s="45"/>
      <c r="J67" s="82"/>
      <c r="K67" s="82"/>
      <c r="L67" s="36"/>
      <c r="M67" s="36"/>
      <c r="N67" s="46"/>
      <c r="O67" s="47"/>
      <c r="P67" s="48"/>
      <c r="Q67" s="47"/>
      <c r="R67" s="362"/>
      <c r="S67" s="362"/>
      <c r="T67" s="38"/>
      <c r="U67" s="38"/>
      <c r="V67" s="38"/>
      <c r="W67" s="38"/>
      <c r="X67" s="361"/>
      <c r="Y67" s="38"/>
      <c r="Z67" s="38"/>
      <c r="AA67" s="49"/>
      <c r="AB67" s="49"/>
      <c r="AC67" s="38"/>
      <c r="AD67" s="38"/>
      <c r="AE67" s="226"/>
      <c r="AF67" s="38"/>
      <c r="AG67" s="38"/>
      <c r="AH67" s="38"/>
      <c r="AI67" s="476"/>
      <c r="AJ67" s="38"/>
      <c r="AK67" s="38"/>
      <c r="AL67" s="38"/>
      <c r="AM67" s="38"/>
      <c r="AN67" s="38"/>
      <c r="AO67" s="38"/>
      <c r="AP67" s="38"/>
      <c r="AQ67" s="38"/>
      <c r="AR67" s="38"/>
      <c r="AS67" s="38"/>
      <c r="AT67" s="38"/>
      <c r="AU67" s="38"/>
      <c r="AV67" s="38"/>
      <c r="AW67" s="38"/>
      <c r="AX67" s="38"/>
      <c r="AY67" s="38"/>
      <c r="AZ67" s="38"/>
      <c r="BA67" s="38"/>
      <c r="BB67" s="34"/>
      <c r="BC67" s="51"/>
      <c r="BD67" s="51"/>
      <c r="BE67" s="51"/>
      <c r="BF67" s="51"/>
    </row>
    <row r="68" spans="1:58" ht="12.9" customHeight="1">
      <c r="A68" s="41">
        <v>46096</v>
      </c>
      <c r="B68" s="42" t="s">
        <v>422</v>
      </c>
      <c r="C68" s="393">
        <f>(M68*E68*O68*Q68)/100000000</f>
        <v>52.592577853846159</v>
      </c>
      <c r="D68" s="42" t="s">
        <v>423</v>
      </c>
      <c r="E68" s="43">
        <v>13.5</v>
      </c>
      <c r="F68" s="43">
        <v>1</v>
      </c>
      <c r="G68" s="406">
        <v>1250</v>
      </c>
      <c r="H68" s="533">
        <f>+N68</f>
        <v>0.16000000000000003</v>
      </c>
      <c r="I68" s="45">
        <v>0.88</v>
      </c>
      <c r="J68" s="82">
        <f>E68*G68*(1-H68)*1440/1000000*2.7</f>
        <v>55.112400000000001</v>
      </c>
      <c r="K68" s="82">
        <f>(IF(G68&lt;L68,L68,G68)*(1-IF(H68&lt;N68,H68,N68))*E68*O68*Q68)/100000000</f>
        <v>53.665895769230772</v>
      </c>
      <c r="L68" s="36">
        <v>1225</v>
      </c>
      <c r="M68" s="36">
        <v>1029</v>
      </c>
      <c r="N68" s="46">
        <f>1-(M68/L68)</f>
        <v>0.16000000000000003</v>
      </c>
      <c r="O68" s="47">
        <f>+'Trim Rwd'!H39</f>
        <v>262.91346153846155</v>
      </c>
      <c r="P68" s="48">
        <f>O68*(Q68-R68-S68)</f>
        <v>368341.75961538462</v>
      </c>
      <c r="Q68" s="47">
        <v>1440</v>
      </c>
      <c r="R68" s="362">
        <v>0</v>
      </c>
      <c r="S68" s="362">
        <v>39</v>
      </c>
      <c r="T68" s="38">
        <f>E68*M68*O68*Q68/100000000</f>
        <v>52.592577853846159</v>
      </c>
      <c r="U68" s="38">
        <f>E68*M68*O68*(Q68-R68-S68)/100000000</f>
        <v>51.168195536971162</v>
      </c>
      <c r="V68" s="38">
        <f>E68*G68*(1-N68)*O68/100*(R68+S68)/1000000</f>
        <v>1.4534513437500001</v>
      </c>
      <c r="W68" s="38">
        <f>+'15'!K10/1000</f>
        <v>49.429000000000002</v>
      </c>
      <c r="X68" s="361">
        <f>SUM(W68:W71)/SUM(K68:K71)</f>
        <v>0.92105049755528379</v>
      </c>
      <c r="Y68" s="38">
        <v>0</v>
      </c>
      <c r="Z68" s="38">
        <v>0</v>
      </c>
      <c r="AA68" s="49">
        <f>SUM(U68:U71)-SUM(W68:W71)-SUM(Z68:Z71)-SUM(Y68:Y71)</f>
        <v>1.7391955369711596</v>
      </c>
      <c r="AB68" s="49">
        <f>(SUM(K68:K71)-SUM(W68:W71)-SUM(Y68:Y71)-SUM(Z68:Z71)-SUM(AC68:AC71)-SUM(V68:V71))-AA68</f>
        <v>-2.9069026875003123E-2</v>
      </c>
      <c r="AC68" s="38">
        <f>K68-T68</f>
        <v>1.0733179153846137</v>
      </c>
      <c r="AD68" s="38">
        <f>+AM68+BA68</f>
        <v>15</v>
      </c>
      <c r="AE68" s="226" t="s">
        <v>391</v>
      </c>
      <c r="AF68" s="38">
        <v>15</v>
      </c>
      <c r="AG68" s="38"/>
      <c r="AH68" s="38"/>
      <c r="AI68" s="38"/>
      <c r="AJ68" s="38"/>
      <c r="AK68" s="38"/>
      <c r="AL68" s="38"/>
      <c r="AM68" s="38">
        <f>SUM(AF68:AL68)+AT68+AV68+AX68</f>
        <v>15</v>
      </c>
      <c r="AN68" s="38"/>
      <c r="AO68" s="38"/>
      <c r="AP68" s="38"/>
      <c r="AQ68" s="38"/>
      <c r="AR68" s="38">
        <f>SUM(AN68:AQ68)</f>
        <v>0</v>
      </c>
      <c r="AS68" s="38"/>
      <c r="AT68" s="38"/>
      <c r="AU68" s="38"/>
      <c r="AV68" s="38"/>
      <c r="AW68" s="38"/>
      <c r="AX68" s="38"/>
      <c r="AY68" s="38"/>
      <c r="AZ68" s="38"/>
      <c r="BA68" s="38">
        <f>+AR68+AS68+AU68+AW68+AY68+AZ68</f>
        <v>0</v>
      </c>
      <c r="BB68" s="34">
        <v>6</v>
      </c>
      <c r="BC68" s="51"/>
      <c r="BD68" s="51"/>
      <c r="BE68" s="34"/>
      <c r="BF68" s="51"/>
    </row>
    <row r="69" spans="1:58" ht="12.9" customHeight="1">
      <c r="A69" s="41"/>
      <c r="B69" s="42"/>
      <c r="C69" s="393"/>
      <c r="D69" s="42"/>
      <c r="E69" s="43"/>
      <c r="F69" s="43"/>
      <c r="G69" s="406"/>
      <c r="H69" s="533"/>
      <c r="I69" s="45"/>
      <c r="J69" s="82"/>
      <c r="K69" s="82"/>
      <c r="L69" s="36"/>
      <c r="M69" s="36"/>
      <c r="N69" s="46"/>
      <c r="O69" s="47"/>
      <c r="P69" s="48"/>
      <c r="Q69" s="47"/>
      <c r="R69" s="362"/>
      <c r="S69" s="362"/>
      <c r="T69" s="38"/>
      <c r="U69" s="38"/>
      <c r="V69" s="38"/>
      <c r="W69" s="38"/>
      <c r="X69" s="39"/>
      <c r="Y69" s="209"/>
      <c r="Z69" s="38"/>
      <c r="AA69" s="38"/>
      <c r="AB69" s="38"/>
      <c r="AC69" s="38"/>
      <c r="AD69" s="38">
        <f t="shared" ref="AD69:AD70" si="59">+AM69+BA69</f>
        <v>2</v>
      </c>
      <c r="AE69" s="226" t="s">
        <v>416</v>
      </c>
      <c r="AF69" s="38"/>
      <c r="AG69" s="38">
        <v>2</v>
      </c>
      <c r="AH69" s="38"/>
      <c r="AI69" s="38"/>
      <c r="AJ69" s="38"/>
      <c r="AK69" s="38"/>
      <c r="AL69" s="38"/>
      <c r="AM69" s="38">
        <f t="shared" ref="AM69:AM70" si="60">SUM(AF69:AL69)+AT69+AV69+AX69</f>
        <v>2</v>
      </c>
      <c r="AN69" s="83"/>
      <c r="AO69" s="38"/>
      <c r="AP69" s="38"/>
      <c r="AQ69" s="38"/>
      <c r="AR69" s="38">
        <f t="shared" ref="AR69:AR70" si="61">SUM(AN69:AQ69)</f>
        <v>0</v>
      </c>
      <c r="AS69" s="38"/>
      <c r="AT69" s="38"/>
      <c r="AU69" s="38"/>
      <c r="AV69" s="38"/>
      <c r="AW69" s="38"/>
      <c r="AX69" s="38"/>
      <c r="AY69" s="38"/>
      <c r="AZ69" s="38"/>
      <c r="BA69" s="38">
        <f t="shared" ref="BA69:BA70" si="62">+AR69+AS69+AU69+AW69+AY69+AZ69</f>
        <v>0</v>
      </c>
      <c r="BB69" s="50"/>
      <c r="BC69" s="51">
        <v>1</v>
      </c>
      <c r="BD69" s="51"/>
      <c r="BE69" s="50"/>
      <c r="BF69" s="51"/>
    </row>
    <row r="70" spans="1:58" ht="12.9" customHeight="1">
      <c r="A70" s="41"/>
      <c r="B70" s="42"/>
      <c r="C70" s="393"/>
      <c r="D70" s="42"/>
      <c r="E70" s="43"/>
      <c r="F70" s="43"/>
      <c r="G70" s="44"/>
      <c r="H70" s="533"/>
      <c r="I70" s="45"/>
      <c r="J70" s="82"/>
      <c r="K70" s="82"/>
      <c r="L70" s="36"/>
      <c r="M70" s="36"/>
      <c r="N70" s="46"/>
      <c r="O70" s="47"/>
      <c r="P70" s="48"/>
      <c r="Q70" s="47"/>
      <c r="R70" s="362"/>
      <c r="S70" s="362"/>
      <c r="T70" s="38"/>
      <c r="U70" s="38"/>
      <c r="V70" s="38"/>
      <c r="W70" s="38"/>
      <c r="X70" s="39"/>
      <c r="Y70" s="209"/>
      <c r="Z70" s="38"/>
      <c r="AA70" s="38"/>
      <c r="AB70" s="38"/>
      <c r="AC70" s="38"/>
      <c r="AD70" s="38">
        <f t="shared" si="59"/>
        <v>22</v>
      </c>
      <c r="AE70" s="226" t="s">
        <v>457</v>
      </c>
      <c r="AF70" s="34"/>
      <c r="AG70" s="34"/>
      <c r="AH70" s="34">
        <v>22</v>
      </c>
      <c r="AI70" s="34"/>
      <c r="AJ70" s="38"/>
      <c r="AK70" s="38"/>
      <c r="AL70" s="38"/>
      <c r="AM70" s="38">
        <f t="shared" si="60"/>
        <v>22</v>
      </c>
      <c r="AN70" s="38"/>
      <c r="AO70" s="38"/>
      <c r="AP70" s="38"/>
      <c r="AQ70" s="38"/>
      <c r="AR70" s="38">
        <f t="shared" si="61"/>
        <v>0</v>
      </c>
      <c r="AS70" s="38"/>
      <c r="AT70" s="38"/>
      <c r="AU70" s="38"/>
      <c r="AV70" s="38"/>
      <c r="AW70" s="38"/>
      <c r="AX70" s="38"/>
      <c r="AY70" s="38"/>
      <c r="AZ70" s="38"/>
      <c r="BA70" s="38">
        <f t="shared" si="62"/>
        <v>0</v>
      </c>
      <c r="BB70" s="34"/>
      <c r="BC70" s="477"/>
      <c r="BD70" s="477"/>
      <c r="BE70" s="34"/>
      <c r="BF70" s="477"/>
    </row>
    <row r="71" spans="1:58" ht="12.9" customHeight="1">
      <c r="A71" s="41"/>
      <c r="B71" s="42"/>
      <c r="C71" s="393"/>
      <c r="D71" s="42"/>
      <c r="E71" s="43"/>
      <c r="F71" s="43"/>
      <c r="G71" s="44"/>
      <c r="H71" s="533"/>
      <c r="I71" s="45"/>
      <c r="J71" s="82"/>
      <c r="K71" s="82"/>
      <c r="L71" s="36"/>
      <c r="M71" s="36"/>
      <c r="N71" s="46"/>
      <c r="O71" s="47"/>
      <c r="P71" s="48"/>
      <c r="Q71" s="47"/>
      <c r="R71" s="362"/>
      <c r="S71" s="362"/>
      <c r="T71" s="38"/>
      <c r="U71" s="38"/>
      <c r="V71" s="38"/>
      <c r="W71" s="38"/>
      <c r="X71" s="361"/>
      <c r="Y71" s="209"/>
      <c r="Z71" s="38"/>
      <c r="AA71" s="49"/>
      <c r="AB71" s="49"/>
      <c r="AC71" s="38"/>
      <c r="AD71" s="38"/>
      <c r="AE71" s="226"/>
      <c r="AF71" s="38"/>
      <c r="AG71" s="38"/>
      <c r="AH71" s="38"/>
      <c r="AI71" s="38"/>
      <c r="AJ71" s="38"/>
      <c r="AK71" s="38"/>
      <c r="AL71" s="38"/>
      <c r="AM71" s="38"/>
      <c r="AN71" s="38"/>
      <c r="AO71" s="38"/>
      <c r="AP71" s="38"/>
      <c r="AQ71" s="38"/>
      <c r="AR71" s="38"/>
      <c r="AS71" s="38"/>
      <c r="AT71" s="38"/>
      <c r="AU71" s="38"/>
      <c r="AV71" s="38"/>
      <c r="AW71" s="38"/>
      <c r="AX71" s="38"/>
      <c r="AY71" s="38"/>
      <c r="AZ71" s="38"/>
      <c r="BA71" s="38"/>
      <c r="BB71" s="34"/>
      <c r="BC71" s="51"/>
      <c r="BD71" s="477"/>
      <c r="BE71" s="34"/>
      <c r="BF71" s="477"/>
    </row>
    <row r="72" spans="1:58" ht="12.9" customHeight="1">
      <c r="A72" s="41">
        <v>46097</v>
      </c>
      <c r="B72" s="42" t="s">
        <v>422</v>
      </c>
      <c r="C72" s="393">
        <f>(M72*E72*O72*Q72)/100000000</f>
        <v>52.473758606557382</v>
      </c>
      <c r="D72" s="42" t="s">
        <v>423</v>
      </c>
      <c r="E72" s="43">
        <v>13.5</v>
      </c>
      <c r="F72" s="43">
        <v>1</v>
      </c>
      <c r="G72" s="406">
        <v>1260</v>
      </c>
      <c r="H72" s="533">
        <f>+N72</f>
        <v>0.16666666666666663</v>
      </c>
      <c r="I72" s="45">
        <v>0.88</v>
      </c>
      <c r="J72" s="82">
        <f>E72*G72*(1-H72)*1440/1000000*2.7</f>
        <v>55.112400000000001</v>
      </c>
      <c r="K72" s="82">
        <f>(IF(G72&lt;L72,L72,G72)*(1-IF(H72&lt;N72,H72,N72))*E72*O72*Q72)/100000000</f>
        <v>53.973008852459017</v>
      </c>
      <c r="L72" s="36">
        <v>1225</v>
      </c>
      <c r="M72" s="36">
        <v>1020.8333333333334</v>
      </c>
      <c r="N72" s="46">
        <f>1-(M72/L72)</f>
        <v>0.16666666666666663</v>
      </c>
      <c r="O72" s="47">
        <f>+'Trim Rwd'!H42</f>
        <v>264.41803278688525</v>
      </c>
      <c r="P72" s="48">
        <f>O72*(Q72-R72-S72)</f>
        <v>374151.51639344264</v>
      </c>
      <c r="Q72" s="47">
        <v>1440</v>
      </c>
      <c r="R72" s="362">
        <v>0</v>
      </c>
      <c r="S72" s="362">
        <v>25</v>
      </c>
      <c r="T72" s="38">
        <f>E72*M72*O72*Q72/100000000</f>
        <v>52.473758606557382</v>
      </c>
      <c r="U72" s="38">
        <f>E72*M72*O72*(Q72-R72-S72)/100000000</f>
        <v>51.562755852971314</v>
      </c>
      <c r="V72" s="38">
        <f>E72*G72*(1-N72)*O72/100*(R72+S72)/1000000</f>
        <v>0.93703140368852456</v>
      </c>
      <c r="W72" s="38">
        <f>+'16'!K10/1000</f>
        <v>50.436</v>
      </c>
      <c r="X72" s="361">
        <f>SUM(W72:W75)/SUM(K72:K75)</f>
        <v>0.93446708034884973</v>
      </c>
      <c r="Y72" s="38">
        <v>0</v>
      </c>
      <c r="Z72" s="38">
        <v>0</v>
      </c>
      <c r="AA72" s="49">
        <f>SUM(U72:U75)-SUM(W72:W75)-SUM(Z72:Z75)-SUM(Y72:Y75)</f>
        <v>1.1267558529713142</v>
      </c>
      <c r="AB72" s="49">
        <f>(SUM(K72:K75)-SUM(W72:W75)-SUM(Y72:Y75)-SUM(Z72:Z75)-SUM(AC72:AC75)-SUM(V72:V75))-AA72</f>
        <v>-2.6028650102456474E-2</v>
      </c>
      <c r="AC72" s="38">
        <f>K72-T72</f>
        <v>1.499250245901635</v>
      </c>
      <c r="AD72" s="38">
        <f>+AM72+BA72</f>
        <v>0</v>
      </c>
      <c r="AE72" s="226" t="s">
        <v>417</v>
      </c>
      <c r="AF72" s="38">
        <v>0</v>
      </c>
      <c r="AG72" s="38"/>
      <c r="AH72" s="38"/>
      <c r="AI72" s="38"/>
      <c r="AJ72" s="38"/>
      <c r="AK72" s="38"/>
      <c r="AL72" s="38"/>
      <c r="AM72" s="38">
        <f>SUM(AF72:AL72)+AT72+AV72+AX72</f>
        <v>0</v>
      </c>
      <c r="AN72" s="38"/>
      <c r="AO72" s="38"/>
      <c r="AP72" s="38"/>
      <c r="AQ72" s="38"/>
      <c r="AR72" s="38">
        <f>SUM(AN72:AQ72)</f>
        <v>0</v>
      </c>
      <c r="AS72" s="38"/>
      <c r="AT72" s="38"/>
      <c r="AU72" s="38"/>
      <c r="AV72" s="38"/>
      <c r="AW72" s="38"/>
      <c r="AX72" s="38"/>
      <c r="AY72" s="38"/>
      <c r="AZ72" s="38"/>
      <c r="BA72" s="38">
        <f>+AR72+AS72+AU72+AW72+AY72+AZ72</f>
        <v>0</v>
      </c>
      <c r="BB72" s="34">
        <v>0</v>
      </c>
      <c r="BC72" s="51"/>
      <c r="BD72" s="51"/>
      <c r="BE72" s="34"/>
      <c r="BF72" s="51"/>
    </row>
    <row r="73" spans="1:58" ht="12.9" customHeight="1">
      <c r="A73" s="41"/>
      <c r="B73" s="42"/>
      <c r="C73" s="393"/>
      <c r="D73" s="42"/>
      <c r="E73" s="43"/>
      <c r="F73" s="43"/>
      <c r="G73" s="406"/>
      <c r="H73" s="533"/>
      <c r="I73" s="45"/>
      <c r="J73" s="82"/>
      <c r="K73" s="82"/>
      <c r="L73" s="36"/>
      <c r="M73" s="36"/>
      <c r="N73" s="46"/>
      <c r="O73" s="47"/>
      <c r="P73" s="48"/>
      <c r="Q73" s="47"/>
      <c r="R73" s="362"/>
      <c r="S73" s="362"/>
      <c r="T73" s="38"/>
      <c r="U73" s="38"/>
      <c r="V73" s="38"/>
      <c r="W73" s="38"/>
      <c r="X73" s="39"/>
      <c r="Y73" s="209"/>
      <c r="Z73" s="38"/>
      <c r="AA73" s="38"/>
      <c r="AB73" s="38"/>
      <c r="AC73" s="38"/>
      <c r="AD73" s="38">
        <f t="shared" ref="AD73:AD74" si="63">+AM73+BA73</f>
        <v>0</v>
      </c>
      <c r="AE73" s="226" t="s">
        <v>419</v>
      </c>
      <c r="AF73" s="38"/>
      <c r="AG73" s="38">
        <v>0</v>
      </c>
      <c r="AH73" s="38"/>
      <c r="AI73" s="38"/>
      <c r="AJ73" s="38"/>
      <c r="AK73" s="38"/>
      <c r="AL73" s="38"/>
      <c r="AM73" s="38">
        <f t="shared" ref="AM73:AM74" si="64">SUM(AF73:AL73)+AT73+AV73+AX73</f>
        <v>0</v>
      </c>
      <c r="AN73" s="83"/>
      <c r="AO73" s="38"/>
      <c r="AP73" s="38"/>
      <c r="AQ73" s="38"/>
      <c r="AR73" s="38">
        <f t="shared" ref="AR73:AR74" si="65">SUM(AN73:AQ73)</f>
        <v>0</v>
      </c>
      <c r="AS73" s="38"/>
      <c r="AT73" s="38"/>
      <c r="AU73" s="38"/>
      <c r="AV73" s="38"/>
      <c r="AW73" s="38"/>
      <c r="AX73" s="38"/>
      <c r="AY73" s="38"/>
      <c r="AZ73" s="38"/>
      <c r="BA73" s="38">
        <f t="shared" ref="BA73:BA74" si="66">+AR73+AS73+AU73+AW73+AY73+AZ73</f>
        <v>0</v>
      </c>
      <c r="BB73" s="50"/>
      <c r="BC73" s="51">
        <v>0</v>
      </c>
      <c r="BD73" s="51"/>
      <c r="BE73" s="50"/>
      <c r="BF73" s="51"/>
    </row>
    <row r="74" spans="1:58" ht="12.9" customHeight="1">
      <c r="A74" s="41"/>
      <c r="B74" s="42"/>
      <c r="C74" s="393"/>
      <c r="D74" s="42"/>
      <c r="E74" s="43"/>
      <c r="F74" s="43"/>
      <c r="G74" s="44"/>
      <c r="H74" s="533"/>
      <c r="I74" s="45"/>
      <c r="J74" s="82"/>
      <c r="K74" s="82"/>
      <c r="L74" s="36"/>
      <c r="M74" s="36"/>
      <c r="N74" s="46"/>
      <c r="O74" s="47"/>
      <c r="P74" s="48"/>
      <c r="Q74" s="47"/>
      <c r="R74" s="362"/>
      <c r="S74" s="362"/>
      <c r="T74" s="38"/>
      <c r="U74" s="38"/>
      <c r="V74" s="38"/>
      <c r="W74" s="38"/>
      <c r="X74" s="39"/>
      <c r="Y74" s="209"/>
      <c r="Z74" s="38"/>
      <c r="AA74" s="38"/>
      <c r="AB74" s="38"/>
      <c r="AC74" s="38"/>
      <c r="AD74" s="38">
        <f t="shared" si="63"/>
        <v>25</v>
      </c>
      <c r="AE74" s="226" t="s">
        <v>457</v>
      </c>
      <c r="AF74" s="34"/>
      <c r="AG74" s="34"/>
      <c r="AH74" s="34">
        <v>25</v>
      </c>
      <c r="AI74" s="34"/>
      <c r="AJ74" s="38"/>
      <c r="AK74" s="38"/>
      <c r="AL74" s="38"/>
      <c r="AM74" s="38">
        <f t="shared" si="64"/>
        <v>25</v>
      </c>
      <c r="AN74" s="38"/>
      <c r="AO74" s="38"/>
      <c r="AP74" s="38"/>
      <c r="AQ74" s="38"/>
      <c r="AR74" s="38">
        <f t="shared" si="65"/>
        <v>0</v>
      </c>
      <c r="AS74" s="38"/>
      <c r="AT74" s="38"/>
      <c r="AU74" s="38"/>
      <c r="AV74" s="38"/>
      <c r="AW74" s="38"/>
      <c r="AX74" s="38"/>
      <c r="AY74" s="38"/>
      <c r="AZ74" s="38"/>
      <c r="BA74" s="38">
        <f t="shared" si="66"/>
        <v>0</v>
      </c>
      <c r="BB74" s="34"/>
      <c r="BC74" s="477"/>
      <c r="BD74" s="477"/>
      <c r="BE74" s="34"/>
      <c r="BF74" s="477"/>
    </row>
    <row r="75" spans="1:58" ht="12.9" customHeight="1">
      <c r="A75" s="41"/>
      <c r="B75" s="42"/>
      <c r="C75" s="393"/>
      <c r="D75" s="42"/>
      <c r="E75" s="43"/>
      <c r="F75" s="43"/>
      <c r="G75" s="406"/>
      <c r="H75" s="533"/>
      <c r="I75" s="45"/>
      <c r="J75" s="82"/>
      <c r="K75" s="82"/>
      <c r="L75" s="36"/>
      <c r="M75" s="36"/>
      <c r="N75" s="46"/>
      <c r="O75" s="47"/>
      <c r="P75" s="48"/>
      <c r="Q75" s="47"/>
      <c r="R75" s="362"/>
      <c r="S75" s="362"/>
      <c r="T75" s="38"/>
      <c r="U75" s="38"/>
      <c r="V75" s="38"/>
      <c r="W75" s="38"/>
      <c r="X75" s="361"/>
      <c r="Y75" s="209"/>
      <c r="Z75" s="38"/>
      <c r="AA75" s="38"/>
      <c r="AB75" s="38"/>
      <c r="AC75" s="38"/>
      <c r="AD75" s="38"/>
      <c r="AE75" s="226"/>
      <c r="AF75" s="38"/>
      <c r="AG75" s="38"/>
      <c r="AH75" s="38"/>
      <c r="AI75" s="476"/>
      <c r="AJ75" s="38"/>
      <c r="AK75" s="38"/>
      <c r="AL75" s="38"/>
      <c r="AM75" s="38"/>
      <c r="AN75" s="83"/>
      <c r="AO75" s="38"/>
      <c r="AP75" s="38"/>
      <c r="AQ75" s="38"/>
      <c r="AR75" s="38"/>
      <c r="AS75" s="38"/>
      <c r="AT75" s="38"/>
      <c r="AU75" s="38"/>
      <c r="AV75" s="38"/>
      <c r="AW75" s="38"/>
      <c r="AX75" s="38"/>
      <c r="AY75" s="38"/>
      <c r="AZ75" s="38"/>
      <c r="BA75" s="38"/>
      <c r="BB75" s="50"/>
      <c r="BC75" s="51"/>
      <c r="BD75" s="51"/>
      <c r="BE75" s="51"/>
      <c r="BF75" s="51"/>
    </row>
    <row r="76" spans="1:58" ht="12.9" customHeight="1">
      <c r="A76" s="41">
        <v>46098</v>
      </c>
      <c r="B76" s="42" t="s">
        <v>422</v>
      </c>
      <c r="C76" s="393">
        <f>(M76*E76*O76*Q76)/100000000</f>
        <v>16.830920971323529</v>
      </c>
      <c r="D76" s="42" t="s">
        <v>423</v>
      </c>
      <c r="E76" s="43">
        <v>13.5</v>
      </c>
      <c r="F76" s="43">
        <v>1</v>
      </c>
      <c r="G76" s="406">
        <v>1250</v>
      </c>
      <c r="H76" s="533">
        <f>+N76</f>
        <v>0.16000000000000003</v>
      </c>
      <c r="I76" s="45">
        <v>0.88</v>
      </c>
      <c r="J76" s="82">
        <f>E76*G76*(1-H76)*1440/1000000*2.7</f>
        <v>55.112400000000001</v>
      </c>
      <c r="K76" s="82">
        <f>(IF(G76&lt;L76,L76,G76)*(1-IF(H76&lt;N76,H76,N76))*E76*O76*Q76)/100000000</f>
        <v>17.174409154411766</v>
      </c>
      <c r="L76" s="36">
        <v>1225</v>
      </c>
      <c r="M76" s="36">
        <v>1029</v>
      </c>
      <c r="N76" s="46">
        <f>1-(M76/L76)</f>
        <v>0.16000000000000003</v>
      </c>
      <c r="O76" s="47">
        <f>+'Trim Rwd'!H45</f>
        <v>260.55882352941177</v>
      </c>
      <c r="P76" s="48">
        <f>O76*(Q76-R76-S76)</f>
        <v>117772.58823529413</v>
      </c>
      <c r="Q76" s="47">
        <v>465</v>
      </c>
      <c r="R76" s="362">
        <v>0</v>
      </c>
      <c r="S76" s="362">
        <v>13</v>
      </c>
      <c r="T76" s="38">
        <f>E76*M76*O76*Q76/100000000</f>
        <v>16.830920971323529</v>
      </c>
      <c r="U76" s="38">
        <f>E76*M76*O76*(Q76-R76-S76)/100000000</f>
        <v>16.36037909470588</v>
      </c>
      <c r="V76" s="38">
        <f>E76*G76*(1-N76)*O76/100*(R76+S76)/1000000</f>
        <v>0.48014477205882355</v>
      </c>
      <c r="W76" s="38">
        <f>+'17'!K10/1000</f>
        <v>26.974</v>
      </c>
      <c r="X76" s="361">
        <f>SUM(W76:W79)/SUM(K76:K79)</f>
        <v>0.98181630272720355</v>
      </c>
      <c r="Y76" s="38">
        <v>0</v>
      </c>
      <c r="Z76" s="38">
        <f>+'17'!D25/1000</f>
        <v>0.71</v>
      </c>
      <c r="AA76" s="49">
        <f>SUM(U76:U79)-SUM(W76:W79)-SUM(Z76:Z79)-SUM(Y76:Y79)</f>
        <v>-2.6542014552941202</v>
      </c>
      <c r="AB76" s="49">
        <f>(SUM(K76:K79)-SUM(W76:W79)-SUM(Y76:Y79)-SUM(Z76:Z79)-SUM(AC76:AC79)-SUM(V76:V79))-AA76</f>
        <v>1.3493239045588221</v>
      </c>
      <c r="AC76" s="38">
        <f>K76-T76</f>
        <v>0.34348818308823681</v>
      </c>
      <c r="AD76" s="38">
        <f>+AM76+BA76</f>
        <v>0</v>
      </c>
      <c r="AE76" s="226" t="s">
        <v>417</v>
      </c>
      <c r="AF76" s="38">
        <v>0</v>
      </c>
      <c r="AG76" s="38"/>
      <c r="AH76" s="38"/>
      <c r="AI76" s="38"/>
      <c r="AJ76" s="38"/>
      <c r="AK76" s="38"/>
      <c r="AL76" s="38"/>
      <c r="AM76" s="38">
        <f>SUM(AF76:AL76)+AT76+AV76+AX76</f>
        <v>0</v>
      </c>
      <c r="AN76" s="38"/>
      <c r="AO76" s="38"/>
      <c r="AP76" s="38"/>
      <c r="AQ76" s="38"/>
      <c r="AR76" s="38">
        <f>SUM(AN76:AQ76)</f>
        <v>0</v>
      </c>
      <c r="AS76" s="38"/>
      <c r="AT76" s="38"/>
      <c r="AU76" s="38"/>
      <c r="AV76" s="38"/>
      <c r="AW76" s="38"/>
      <c r="AX76" s="38"/>
      <c r="AY76" s="38"/>
      <c r="AZ76" s="38"/>
      <c r="BA76" s="38">
        <f>+AR76+AS76+AU76+AW76+AY76+AZ76</f>
        <v>0</v>
      </c>
      <c r="BB76" s="34">
        <v>0</v>
      </c>
      <c r="BC76" s="51"/>
      <c r="BD76" s="51"/>
      <c r="BE76" s="34"/>
      <c r="BF76" s="51"/>
    </row>
    <row r="77" spans="1:58" ht="12.9" customHeight="1">
      <c r="A77" s="41"/>
      <c r="B77" s="42" t="s">
        <v>422</v>
      </c>
      <c r="C77" s="393">
        <f>(M77*E77*O77*Q77)/100000000</f>
        <v>34.479695249999992</v>
      </c>
      <c r="D77" s="42" t="s">
        <v>423</v>
      </c>
      <c r="E77" s="43">
        <v>15</v>
      </c>
      <c r="F77" s="43">
        <v>1</v>
      </c>
      <c r="G77" s="406">
        <v>1225</v>
      </c>
      <c r="H77" s="533">
        <f>+N77</f>
        <v>0.22999999999999998</v>
      </c>
      <c r="I77" s="45">
        <v>0.88</v>
      </c>
      <c r="J77" s="82">
        <f>E77*G77*(1-H77)*1440/1000000*2.7</f>
        <v>55.010339999999999</v>
      </c>
      <c r="K77" s="82">
        <f>(IF(G77&lt;L77,L77,G77)*(1-IF(H77&lt;N77,H77,N77))*E77*O77*Q77)/100000000</f>
        <v>35.867081249999998</v>
      </c>
      <c r="L77" s="36">
        <v>1177.6153846153845</v>
      </c>
      <c r="M77" s="36">
        <v>906.76384615384609</v>
      </c>
      <c r="N77" s="46">
        <f>1-(M77/L77)</f>
        <v>0.22999999999999998</v>
      </c>
      <c r="O77" s="47">
        <f>+'Trim Rwd'!H47</f>
        <v>260</v>
      </c>
      <c r="P77" s="48">
        <f>O77*(Q77-R77-S77)</f>
        <v>248300</v>
      </c>
      <c r="Q77" s="47">
        <v>975</v>
      </c>
      <c r="R77" s="362">
        <v>0</v>
      </c>
      <c r="S77" s="362">
        <v>20</v>
      </c>
      <c r="T77" s="38">
        <f>E77*M77*O77*Q77/100000000</f>
        <v>34.479695249999992</v>
      </c>
      <c r="U77" s="38">
        <f>E77*M77*O77*(Q77-R77-S77)/100000000</f>
        <v>33.772419449999994</v>
      </c>
      <c r="V77" s="38">
        <f>E77*G77*(1-N77)*O77/100*(R77+S77)/1000000</f>
        <v>0.73573500000000003</v>
      </c>
      <c r="W77" s="38">
        <f>+'17'!K7/1000</f>
        <v>25.103000000000002</v>
      </c>
      <c r="X77" s="39"/>
      <c r="Y77" s="209"/>
      <c r="Z77" s="38"/>
      <c r="AA77" s="38"/>
      <c r="AB77" s="38"/>
      <c r="AC77" s="38"/>
      <c r="AD77" s="38">
        <f t="shared" ref="AD77:AD78" si="67">+AM77+BA77</f>
        <v>4</v>
      </c>
      <c r="AE77" s="226" t="s">
        <v>630</v>
      </c>
      <c r="AF77" s="38"/>
      <c r="AG77" s="38">
        <v>4</v>
      </c>
      <c r="AH77" s="38"/>
      <c r="AI77" s="38"/>
      <c r="AJ77" s="38"/>
      <c r="AK77" s="38"/>
      <c r="AL77" s="38"/>
      <c r="AM77" s="38">
        <f t="shared" ref="AM77:AM78" si="68">SUM(AF77:AL77)+AT77+AV77+AX77</f>
        <v>4</v>
      </c>
      <c r="AN77" s="83"/>
      <c r="AO77" s="38"/>
      <c r="AP77" s="38"/>
      <c r="AQ77" s="38"/>
      <c r="AR77" s="38">
        <f t="shared" ref="AR77:AR78" si="69">SUM(AN77:AQ77)</f>
        <v>0</v>
      </c>
      <c r="AS77" s="38"/>
      <c r="AT77" s="38"/>
      <c r="AU77" s="38"/>
      <c r="AV77" s="38"/>
      <c r="AW77" s="38"/>
      <c r="AX77" s="38"/>
      <c r="AY77" s="38"/>
      <c r="AZ77" s="38"/>
      <c r="BA77" s="38">
        <f t="shared" ref="BA77:BA78" si="70">+AR77+AS77+AU77+AW77+AY77+AZ77</f>
        <v>0</v>
      </c>
      <c r="BB77" s="50"/>
      <c r="BC77" s="51">
        <v>2</v>
      </c>
      <c r="BD77" s="51"/>
      <c r="BE77" s="50"/>
      <c r="BF77" s="51"/>
    </row>
    <row r="78" spans="1:58" ht="12.9" customHeight="1">
      <c r="A78" s="41"/>
      <c r="B78" s="42"/>
      <c r="C78" s="393"/>
      <c r="D78" s="42"/>
      <c r="E78" s="43"/>
      <c r="F78" s="43"/>
      <c r="G78" s="44"/>
      <c r="H78" s="533"/>
      <c r="I78" s="45"/>
      <c r="J78" s="82"/>
      <c r="K78" s="82"/>
      <c r="L78" s="36"/>
      <c r="M78" s="36"/>
      <c r="N78" s="46"/>
      <c r="O78" s="47"/>
      <c r="P78" s="48"/>
      <c r="Q78" s="47"/>
      <c r="R78" s="362"/>
      <c r="S78" s="362"/>
      <c r="T78" s="38"/>
      <c r="U78" s="38"/>
      <c r="V78" s="38"/>
      <c r="W78" s="38"/>
      <c r="X78" s="39"/>
      <c r="Y78" s="209"/>
      <c r="Z78" s="38"/>
      <c r="AA78" s="38"/>
      <c r="AB78" s="38"/>
      <c r="AC78" s="38"/>
      <c r="AD78" s="38">
        <f t="shared" si="67"/>
        <v>29</v>
      </c>
      <c r="AE78" s="226" t="s">
        <v>457</v>
      </c>
      <c r="AF78" s="34"/>
      <c r="AG78" s="34"/>
      <c r="AH78" s="34">
        <v>29</v>
      </c>
      <c r="AI78" s="34"/>
      <c r="AJ78" s="38"/>
      <c r="AK78" s="38"/>
      <c r="AL78" s="38"/>
      <c r="AM78" s="38">
        <f t="shared" si="68"/>
        <v>29</v>
      </c>
      <c r="AN78" s="38"/>
      <c r="AO78" s="38"/>
      <c r="AP78" s="38"/>
      <c r="AQ78" s="38"/>
      <c r="AR78" s="38">
        <f t="shared" si="69"/>
        <v>0</v>
      </c>
      <c r="AS78" s="38"/>
      <c r="AT78" s="38"/>
      <c r="AU78" s="38"/>
      <c r="AV78" s="38"/>
      <c r="AW78" s="38"/>
      <c r="AX78" s="38"/>
      <c r="AY78" s="38"/>
      <c r="AZ78" s="38"/>
      <c r="BA78" s="38">
        <f t="shared" si="70"/>
        <v>0</v>
      </c>
      <c r="BB78" s="34"/>
      <c r="BC78" s="477"/>
      <c r="BD78" s="477"/>
      <c r="BE78" s="34"/>
      <c r="BF78" s="477"/>
    </row>
    <row r="79" spans="1:58" ht="12.9" customHeight="1">
      <c r="A79" s="41"/>
      <c r="B79" s="42"/>
      <c r="C79" s="393"/>
      <c r="D79" s="42"/>
      <c r="E79" s="43"/>
      <c r="F79" s="43"/>
      <c r="G79" s="406"/>
      <c r="H79" s="533"/>
      <c r="I79" s="45"/>
      <c r="J79" s="82"/>
      <c r="K79" s="82"/>
      <c r="L79" s="36"/>
      <c r="M79" s="36"/>
      <c r="N79" s="46"/>
      <c r="O79" s="47"/>
      <c r="P79" s="48"/>
      <c r="Q79" s="47"/>
      <c r="R79" s="362"/>
      <c r="S79" s="362"/>
      <c r="T79" s="38"/>
      <c r="U79" s="38"/>
      <c r="V79" s="38"/>
      <c r="W79" s="38"/>
      <c r="X79" s="361"/>
      <c r="Y79" s="209"/>
      <c r="Z79" s="38"/>
      <c r="AA79" s="49"/>
      <c r="AB79" s="49"/>
      <c r="AC79" s="38"/>
      <c r="AD79" s="38"/>
      <c r="AE79" s="226"/>
      <c r="AF79" s="38"/>
      <c r="AG79" s="38"/>
      <c r="AH79" s="38"/>
      <c r="AI79" s="38"/>
      <c r="AJ79" s="38"/>
      <c r="AK79" s="38"/>
      <c r="AL79" s="38"/>
      <c r="AM79" s="38"/>
      <c r="AN79" s="38"/>
      <c r="AO79" s="38"/>
      <c r="AP79" s="38"/>
      <c r="AQ79" s="38"/>
      <c r="AR79" s="38"/>
      <c r="AS79" s="38"/>
      <c r="AT79" s="38"/>
      <c r="AU79" s="38"/>
      <c r="AV79" s="38"/>
      <c r="AW79" s="38"/>
      <c r="AX79" s="38"/>
      <c r="AY79" s="38"/>
      <c r="AZ79" s="38"/>
      <c r="BA79" s="38"/>
      <c r="BB79" s="34"/>
      <c r="BC79" s="51"/>
      <c r="BD79" s="51"/>
      <c r="BE79" s="51"/>
      <c r="BF79" s="51"/>
    </row>
    <row r="80" spans="1:58" ht="12.9" customHeight="1">
      <c r="A80" s="41">
        <v>46099</v>
      </c>
      <c r="B80" s="42" t="s">
        <v>422</v>
      </c>
      <c r="C80" s="393">
        <f>(M80*E80*O80*Q80)/100000000</f>
        <v>6.3783719999999988</v>
      </c>
      <c r="D80" s="42" t="s">
        <v>423</v>
      </c>
      <c r="E80" s="43">
        <v>15</v>
      </c>
      <c r="F80" s="43">
        <v>1</v>
      </c>
      <c r="G80" s="406">
        <v>1225</v>
      </c>
      <c r="H80" s="533">
        <f>+N80</f>
        <v>0.23000000000000009</v>
      </c>
      <c r="I80" s="45">
        <v>0.88</v>
      </c>
      <c r="J80" s="82">
        <f>E80*G80*(1-H80)*1440/1000000*2.7</f>
        <v>55.010339999999992</v>
      </c>
      <c r="K80" s="82">
        <f>(IF(G80&lt;L80,L80,G80)*(1-IF(H80&lt;N80,H80,N80))*E80*O80*Q80)/100000000</f>
        <v>6.6216149999999985</v>
      </c>
      <c r="L80" s="36">
        <v>1180</v>
      </c>
      <c r="M80" s="36">
        <f>+L80-L80*0.23</f>
        <v>908.59999999999991</v>
      </c>
      <c r="N80" s="46">
        <f>1-(M80/L80)</f>
        <v>0.23000000000000009</v>
      </c>
      <c r="O80" s="47">
        <f>+'Trim Rwd'!H49</f>
        <v>260</v>
      </c>
      <c r="P80" s="48">
        <f>O80*(Q80-R80-S80)</f>
        <v>46280</v>
      </c>
      <c r="Q80" s="47">
        <v>180</v>
      </c>
      <c r="R80" s="362">
        <v>0</v>
      </c>
      <c r="S80" s="362">
        <v>2</v>
      </c>
      <c r="T80" s="38">
        <f>E80*M80*O80*Q80/100000000</f>
        <v>6.3783719999999988</v>
      </c>
      <c r="U80" s="38">
        <f>E80*M80*O80*(Q80-R80-S80)/100000000</f>
        <v>6.307501199999999</v>
      </c>
      <c r="V80" s="38">
        <f>E80*G80*(1-N80)*O80/100*(R80+S80)/1000000</f>
        <v>7.3573499999999986E-2</v>
      </c>
      <c r="W80" s="38">
        <f>+'18'!K7/1000</f>
        <v>12.499000000000001</v>
      </c>
      <c r="X80" s="361">
        <f>SUM(W80:W83)/SUM(K80:K83)</f>
        <v>1.0212327727048958</v>
      </c>
      <c r="Y80" s="38">
        <v>0</v>
      </c>
      <c r="Z80" s="38">
        <v>0</v>
      </c>
      <c r="AA80" s="49">
        <f>SUM(U80:U83)-SUM(W80:W83)-SUM(Z80:Z83)-SUM(Y80:Y83)</f>
        <v>-2.6502352320000142</v>
      </c>
      <c r="AB80" s="49">
        <f>(SUM(K80:K83)-SUM(W80:W83)-SUM(Y80:Y83)-SUM(Z80:Z83)-SUM(AC80:AC83)-SUM(V80:V83))-AA80</f>
        <v>0.11270674800001235</v>
      </c>
      <c r="AC80" s="38">
        <f>K80-T80</f>
        <v>0.24324299999999965</v>
      </c>
      <c r="AD80" s="38">
        <f>+AM80+BA80</f>
        <v>0</v>
      </c>
      <c r="AE80" s="226" t="s">
        <v>417</v>
      </c>
      <c r="AF80" s="38">
        <v>0</v>
      </c>
      <c r="AG80" s="38"/>
      <c r="AH80" s="38"/>
      <c r="AI80" s="476"/>
      <c r="AJ80" s="38"/>
      <c r="AK80" s="38"/>
      <c r="AL80" s="38"/>
      <c r="AM80" s="38">
        <f>SUM(AF80:AL80)+AT80+AV80+AX80</f>
        <v>0</v>
      </c>
      <c r="AN80" s="38"/>
      <c r="AO80" s="38"/>
      <c r="AP80" s="38"/>
      <c r="AQ80" s="38"/>
      <c r="AR80" s="38">
        <f>SUM(AN80:AQ80)</f>
        <v>0</v>
      </c>
      <c r="AS80" s="38"/>
      <c r="AT80" s="38"/>
      <c r="AU80" s="38"/>
      <c r="AV80" s="38"/>
      <c r="AW80" s="38"/>
      <c r="AX80" s="38"/>
      <c r="AY80" s="38"/>
      <c r="AZ80" s="38"/>
      <c r="BA80" s="38">
        <f>+AR80+AS80+AU80+AW80+AY80+AZ80</f>
        <v>0</v>
      </c>
      <c r="BB80" s="34">
        <v>0</v>
      </c>
      <c r="BC80" s="51"/>
      <c r="BD80" s="51"/>
      <c r="BE80" s="51"/>
      <c r="BF80" s="51"/>
    </row>
    <row r="81" spans="1:58" ht="12.9" customHeight="1">
      <c r="A81" s="41"/>
      <c r="B81" s="42" t="s">
        <v>655</v>
      </c>
      <c r="C81" s="393">
        <f>(M81*E81*O81*Q81)/100000000</f>
        <v>51.464064960000002</v>
      </c>
      <c r="D81" s="42" t="s">
        <v>423</v>
      </c>
      <c r="E81" s="43">
        <v>22</v>
      </c>
      <c r="F81" s="43">
        <v>1</v>
      </c>
      <c r="G81" s="406">
        <v>770</v>
      </c>
      <c r="H81" s="533">
        <f>+N81</f>
        <v>0.16000000000000003</v>
      </c>
      <c r="I81" s="45">
        <v>0.88</v>
      </c>
      <c r="J81" s="82">
        <f>E81*G81*(1-H81)*1440/1000000*2.7</f>
        <v>55.324684800000007</v>
      </c>
      <c r="K81" s="82">
        <f>(IF(G81&lt;L81,L81,G81)*(1-IF(H81&lt;N81,H81,N81))*E81*O81*Q81)/100000000</f>
        <v>51.464064960000002</v>
      </c>
      <c r="L81" s="36">
        <v>860</v>
      </c>
      <c r="M81" s="36">
        <f>+L81-L81*0.16</f>
        <v>722.4</v>
      </c>
      <c r="N81" s="46">
        <f>1-(M81/L81)</f>
        <v>0.16000000000000003</v>
      </c>
      <c r="O81" s="47">
        <f>+'Trim Rwd'!H50</f>
        <v>257</v>
      </c>
      <c r="P81" s="48">
        <f>O81*(Q81-R81-S81)</f>
        <v>316881</v>
      </c>
      <c r="Q81" s="47">
        <f>1440-Q80</f>
        <v>1260</v>
      </c>
      <c r="R81" s="362">
        <v>0</v>
      </c>
      <c r="S81" s="362">
        <v>27</v>
      </c>
      <c r="T81" s="38">
        <f>E81*M81*O81*Q81/100000000</f>
        <v>51.464064960000002</v>
      </c>
      <c r="U81" s="38">
        <f>E81*M81*O81*(Q81-R81-S81)/100000000</f>
        <v>50.361263567999991</v>
      </c>
      <c r="V81" s="38">
        <f>E81*G81*(1-N81)*O81/100*(R81+S81)/1000000</f>
        <v>0.98739194399999997</v>
      </c>
      <c r="W81" s="38">
        <f>+'18'!K11/1000</f>
        <v>46.82</v>
      </c>
      <c r="X81" s="361"/>
      <c r="Y81" s="209"/>
      <c r="Z81" s="38"/>
      <c r="AA81" s="38"/>
      <c r="AB81" s="38"/>
      <c r="AC81" s="38">
        <f>K81-T81</f>
        <v>0</v>
      </c>
      <c r="AD81" s="38">
        <f t="shared" ref="AD81:AD82" si="71">+AM81+BA81</f>
        <v>2</v>
      </c>
      <c r="AE81" s="226" t="s">
        <v>630</v>
      </c>
      <c r="AF81" s="38"/>
      <c r="AG81" s="38">
        <v>2</v>
      </c>
      <c r="AH81" s="38"/>
      <c r="AI81" s="476"/>
      <c r="AJ81" s="38"/>
      <c r="AK81" s="38"/>
      <c r="AL81" s="38"/>
      <c r="AM81" s="38">
        <f t="shared" ref="AM81:AM82" si="72">SUM(AF81:AL81)+AT81+AV81+AX81</f>
        <v>2</v>
      </c>
      <c r="AN81" s="83"/>
      <c r="AO81" s="38"/>
      <c r="AP81" s="38"/>
      <c r="AQ81" s="38"/>
      <c r="AR81" s="38">
        <f t="shared" ref="AR81:AR82" si="73">SUM(AN81:AQ81)</f>
        <v>0</v>
      </c>
      <c r="AS81" s="38"/>
      <c r="AT81" s="38"/>
      <c r="AU81" s="38"/>
      <c r="AV81" s="38"/>
      <c r="AW81" s="38"/>
      <c r="AX81" s="38"/>
      <c r="AY81" s="38"/>
      <c r="AZ81" s="38"/>
      <c r="BA81" s="38">
        <f t="shared" ref="BA81:BA82" si="74">+AR81+AS81+AU81+AW81+AY81+AZ81</f>
        <v>0</v>
      </c>
      <c r="BB81" s="50"/>
      <c r="BC81" s="51">
        <v>2</v>
      </c>
      <c r="BD81" s="51"/>
      <c r="BE81" s="51"/>
      <c r="BF81" s="51"/>
    </row>
    <row r="82" spans="1:58" ht="12.9" customHeight="1">
      <c r="A82" s="41"/>
      <c r="B82" s="42"/>
      <c r="C82" s="393"/>
      <c r="D82" s="42"/>
      <c r="E82" s="43"/>
      <c r="F82" s="43"/>
      <c r="G82" s="406"/>
      <c r="H82" s="533"/>
      <c r="I82" s="45"/>
      <c r="J82" s="82"/>
      <c r="K82" s="82"/>
      <c r="L82" s="36"/>
      <c r="M82" s="36"/>
      <c r="N82" s="46"/>
      <c r="O82" s="47"/>
      <c r="P82" s="48"/>
      <c r="Q82" s="47"/>
      <c r="R82" s="362"/>
      <c r="S82" s="362"/>
      <c r="T82" s="38"/>
      <c r="U82" s="38"/>
      <c r="V82" s="38"/>
      <c r="W82" s="38"/>
      <c r="X82" s="361"/>
      <c r="Y82" s="209"/>
      <c r="Z82" s="38"/>
      <c r="AA82" s="38"/>
      <c r="AB82" s="38"/>
      <c r="AC82" s="38"/>
      <c r="AD82" s="38">
        <f t="shared" si="71"/>
        <v>27</v>
      </c>
      <c r="AE82" s="226" t="s">
        <v>651</v>
      </c>
      <c r="AF82" s="34"/>
      <c r="AG82" s="34"/>
      <c r="AH82" s="34">
        <v>27</v>
      </c>
      <c r="AJ82" s="38"/>
      <c r="AK82" s="38"/>
      <c r="AL82" s="38"/>
      <c r="AM82" s="38">
        <f t="shared" si="72"/>
        <v>27</v>
      </c>
      <c r="AN82" s="38"/>
      <c r="AO82" s="38"/>
      <c r="AP82" s="38"/>
      <c r="AQ82" s="38"/>
      <c r="AR82" s="38">
        <f t="shared" si="73"/>
        <v>0</v>
      </c>
      <c r="AS82" s="38"/>
      <c r="AT82" s="38"/>
      <c r="AU82" s="38"/>
      <c r="AV82" s="38"/>
      <c r="AW82" s="38"/>
      <c r="AX82" s="38"/>
      <c r="AY82" s="38"/>
      <c r="AZ82" s="38"/>
      <c r="BA82" s="38">
        <f t="shared" si="74"/>
        <v>0</v>
      </c>
      <c r="BB82" s="34"/>
      <c r="BC82" s="477"/>
      <c r="BD82" s="51"/>
      <c r="BE82" s="51"/>
      <c r="BF82" s="51"/>
    </row>
    <row r="83" spans="1:58" ht="12.9" customHeight="1">
      <c r="A83" s="41"/>
      <c r="B83" s="42"/>
      <c r="C83" s="393"/>
      <c r="D83" s="42"/>
      <c r="E83" s="43"/>
      <c r="F83" s="43"/>
      <c r="G83" s="406"/>
      <c r="H83" s="533"/>
      <c r="I83" s="45"/>
      <c r="J83" s="82"/>
      <c r="K83" s="82"/>
      <c r="L83" s="36"/>
      <c r="M83" s="36"/>
      <c r="N83" s="46"/>
      <c r="O83" s="47"/>
      <c r="P83" s="48"/>
      <c r="Q83" s="47"/>
      <c r="R83" s="362"/>
      <c r="S83" s="362"/>
      <c r="T83" s="38"/>
      <c r="U83" s="38"/>
      <c r="V83" s="38"/>
      <c r="W83" s="38"/>
      <c r="X83" s="361"/>
      <c r="Y83" s="209"/>
      <c r="Z83" s="38"/>
      <c r="AA83" s="49"/>
      <c r="AB83" s="49"/>
      <c r="AC83" s="38"/>
      <c r="AD83" s="38"/>
      <c r="AE83" s="226"/>
      <c r="AF83" s="38"/>
      <c r="AG83" s="38"/>
      <c r="AH83" s="38"/>
      <c r="AI83" s="38"/>
      <c r="AJ83" s="38"/>
      <c r="AK83" s="38"/>
      <c r="AL83" s="38"/>
      <c r="AM83" s="38"/>
      <c r="AN83" s="38"/>
      <c r="AO83" s="38"/>
      <c r="AP83" s="38"/>
      <c r="AQ83" s="38"/>
      <c r="AR83" s="38"/>
      <c r="AS83" s="38"/>
      <c r="AT83" s="38"/>
      <c r="AU83" s="38"/>
      <c r="AV83" s="38"/>
      <c r="AW83" s="38"/>
      <c r="AX83" s="38"/>
      <c r="AY83" s="38"/>
      <c r="AZ83" s="38"/>
      <c r="BA83" s="38"/>
      <c r="BB83" s="34"/>
      <c r="BC83" s="51"/>
      <c r="BD83" s="51"/>
      <c r="BE83" s="51"/>
      <c r="BF83" s="51"/>
    </row>
    <row r="84" spans="1:58" ht="12.9" customHeight="1">
      <c r="A84" s="41">
        <v>46100</v>
      </c>
      <c r="B84" s="42" t="s">
        <v>655</v>
      </c>
      <c r="C84" s="393">
        <f>(M84*E84*O84*Q84)/100000000</f>
        <v>58.816074239999992</v>
      </c>
      <c r="D84" s="42" t="s">
        <v>423</v>
      </c>
      <c r="E84" s="43">
        <v>22</v>
      </c>
      <c r="F84" s="43">
        <v>1</v>
      </c>
      <c r="G84" s="406">
        <v>770</v>
      </c>
      <c r="H84" s="533">
        <f>+N84</f>
        <v>0.16000000000000003</v>
      </c>
      <c r="I84" s="45">
        <v>0.88</v>
      </c>
      <c r="J84" s="82">
        <f>E84*G84*(1-H84)*1440/1000000*2.7</f>
        <v>55.324684800000007</v>
      </c>
      <c r="K84" s="82">
        <f>(IF(G84&lt;L84,L84,G84)*(1-IF(H84&lt;N84,H84,N84))*E84*O84*Q84)/100000000</f>
        <v>58.816074239999992</v>
      </c>
      <c r="L84" s="36">
        <v>860</v>
      </c>
      <c r="M84" s="36">
        <f>+L84-L84*0.16</f>
        <v>722.4</v>
      </c>
      <c r="N84" s="46">
        <f>1-(M84/L84)</f>
        <v>0.16000000000000003</v>
      </c>
      <c r="O84" s="47">
        <f>+'Trim Rwd'!H52</f>
        <v>257</v>
      </c>
      <c r="P84" s="48">
        <f>O84*(Q84-R84-S84)</f>
        <v>358258</v>
      </c>
      <c r="Q84" s="47">
        <f>1440-Q83</f>
        <v>1440</v>
      </c>
      <c r="R84" s="362">
        <v>0</v>
      </c>
      <c r="S84" s="362">
        <v>46</v>
      </c>
      <c r="T84" s="38">
        <f>E84*M84*O84*Q84/100000000</f>
        <v>58.816074239999992</v>
      </c>
      <c r="U84" s="38">
        <f>E84*M84*O84*(Q84-R84-S84)/100000000</f>
        <v>56.937227424</v>
      </c>
      <c r="V84" s="38">
        <f>E84*G84*(1-N84)*O84/100*(R84+S84)/1000000</f>
        <v>1.6822233119999999</v>
      </c>
      <c r="W84" s="38">
        <f>+'19'!K34/1000</f>
        <v>57.947000000000003</v>
      </c>
      <c r="X84" s="361">
        <f>SUM(W84:W87)/SUM(K84:K87)</f>
        <v>0.98522386522341299</v>
      </c>
      <c r="Y84" s="38">
        <v>0</v>
      </c>
      <c r="Z84" s="38">
        <v>0</v>
      </c>
      <c r="AA84" s="49">
        <f>SUM(U84:U87)-SUM(W84:W87)-SUM(Z84:Z87)-SUM(Y84:Y87)</f>
        <v>-1.0097725760000031</v>
      </c>
      <c r="AB84" s="49">
        <f>(SUM(K84:K87)-SUM(W84:W87)-SUM(Y84:Y87)-SUM(Z84:Z87)-SUM(AC84:AC87)-SUM(V84:V87))-AA84</f>
        <v>0.1966235039999924</v>
      </c>
      <c r="AC84" s="38">
        <f>K84-T84</f>
        <v>0</v>
      </c>
      <c r="AD84" s="38">
        <f>+AM84+BA84</f>
        <v>10</v>
      </c>
      <c r="AE84" s="226" t="s">
        <v>445</v>
      </c>
      <c r="AF84" s="38">
        <v>10</v>
      </c>
      <c r="AG84" s="38"/>
      <c r="AH84" s="38"/>
      <c r="AI84" s="476"/>
      <c r="AJ84" s="38"/>
      <c r="AK84" s="38"/>
      <c r="AL84" s="38"/>
      <c r="AM84" s="38">
        <f>SUM(AF84:AL84)+AT84+AV84+AX84</f>
        <v>10</v>
      </c>
      <c r="AN84" s="38"/>
      <c r="AO84" s="38"/>
      <c r="AP84" s="38"/>
      <c r="AQ84" s="38"/>
      <c r="AR84" s="38">
        <f>SUM(AN84:AQ84)</f>
        <v>0</v>
      </c>
      <c r="AS84" s="38"/>
      <c r="AT84" s="38"/>
      <c r="AU84" s="38"/>
      <c r="AV84" s="38"/>
      <c r="AW84" s="38"/>
      <c r="AX84" s="38"/>
      <c r="AY84" s="38"/>
      <c r="AZ84" s="38"/>
      <c r="BA84" s="38">
        <f>+AR84+AS84+AU84+AW84+AY84+AZ84</f>
        <v>0</v>
      </c>
      <c r="BB84" s="34">
        <v>2</v>
      </c>
      <c r="BC84" s="51"/>
      <c r="BD84" s="51"/>
      <c r="BE84" s="51"/>
      <c r="BF84" s="51"/>
    </row>
    <row r="85" spans="1:58" ht="12.9" customHeight="1">
      <c r="A85" s="41"/>
      <c r="B85" s="42"/>
      <c r="C85" s="393"/>
      <c r="D85" s="42"/>
      <c r="E85" s="43"/>
      <c r="F85" s="43"/>
      <c r="G85" s="406"/>
      <c r="H85" s="533"/>
      <c r="I85" s="45"/>
      <c r="J85" s="82"/>
      <c r="K85" s="82"/>
      <c r="L85" s="36"/>
      <c r="M85" s="36"/>
      <c r="N85" s="46"/>
      <c r="O85" s="47"/>
      <c r="P85" s="48"/>
      <c r="Q85" s="47"/>
      <c r="R85" s="362"/>
      <c r="S85" s="362"/>
      <c r="T85" s="38"/>
      <c r="U85" s="38"/>
      <c r="V85" s="38"/>
      <c r="W85" s="38"/>
      <c r="X85" s="361"/>
      <c r="Y85" s="209"/>
      <c r="Z85" s="38"/>
      <c r="AA85" s="38"/>
      <c r="AB85" s="38"/>
      <c r="AC85" s="38"/>
      <c r="AD85" s="38">
        <f t="shared" ref="AD85:AD86" si="75">+AM85+BA85</f>
        <v>12</v>
      </c>
      <c r="AE85" s="226" t="s">
        <v>654</v>
      </c>
      <c r="AF85" s="38"/>
      <c r="AG85" s="38">
        <v>12</v>
      </c>
      <c r="AH85" s="38"/>
      <c r="AI85" s="476"/>
      <c r="AJ85" s="38"/>
      <c r="AK85" s="38"/>
      <c r="AL85" s="38"/>
      <c r="AM85" s="38">
        <f t="shared" ref="AM85:AM86" si="76">SUM(AF85:AL85)+AT85+AV85+AX85</f>
        <v>12</v>
      </c>
      <c r="AN85" s="83"/>
      <c r="AO85" s="38"/>
      <c r="AP85" s="38"/>
      <c r="AQ85" s="38"/>
      <c r="AR85" s="38">
        <f t="shared" ref="AR85:AR86" si="77">SUM(AN85:AQ85)</f>
        <v>0</v>
      </c>
      <c r="AS85" s="38"/>
      <c r="AT85" s="38"/>
      <c r="AU85" s="38"/>
      <c r="AV85" s="38"/>
      <c r="AW85" s="38"/>
      <c r="AX85" s="38"/>
      <c r="AY85" s="38"/>
      <c r="AZ85" s="38"/>
      <c r="BA85" s="38">
        <f t="shared" ref="BA85:BA86" si="78">+AR85+AS85+AU85+AW85+AY85+AZ85</f>
        <v>0</v>
      </c>
      <c r="BB85" s="50"/>
      <c r="BC85" s="51">
        <v>6</v>
      </c>
      <c r="BD85" s="51"/>
      <c r="BE85" s="51"/>
      <c r="BF85" s="51"/>
    </row>
    <row r="86" spans="1:58" ht="12.9" customHeight="1">
      <c r="A86" s="41"/>
      <c r="B86" s="42"/>
      <c r="C86" s="393"/>
      <c r="D86" s="42"/>
      <c r="E86" s="43"/>
      <c r="F86" s="43"/>
      <c r="G86" s="406"/>
      <c r="H86" s="533"/>
      <c r="I86" s="45"/>
      <c r="J86" s="82"/>
      <c r="K86" s="82"/>
      <c r="L86" s="36"/>
      <c r="M86" s="36"/>
      <c r="N86" s="46"/>
      <c r="O86" s="47"/>
      <c r="P86" s="48"/>
      <c r="Q86" s="47"/>
      <c r="R86" s="362"/>
      <c r="S86" s="362"/>
      <c r="T86" s="38"/>
      <c r="U86" s="38"/>
      <c r="V86" s="38"/>
      <c r="W86" s="38"/>
      <c r="X86" s="361"/>
      <c r="Y86" s="209"/>
      <c r="Z86" s="38"/>
      <c r="AA86" s="38"/>
      <c r="AB86" s="38"/>
      <c r="AC86" s="38"/>
      <c r="AD86" s="38">
        <f t="shared" si="75"/>
        <v>24</v>
      </c>
      <c r="AE86" s="226" t="s">
        <v>565</v>
      </c>
      <c r="AF86" s="34"/>
      <c r="AG86" s="34"/>
      <c r="AH86" s="34">
        <v>24</v>
      </c>
      <c r="AJ86" s="38"/>
      <c r="AK86" s="38"/>
      <c r="AL86" s="38"/>
      <c r="AM86" s="38">
        <f t="shared" si="76"/>
        <v>24</v>
      </c>
      <c r="AN86" s="38"/>
      <c r="AO86" s="38"/>
      <c r="AP86" s="38"/>
      <c r="AQ86" s="38"/>
      <c r="AR86" s="38">
        <f t="shared" si="77"/>
        <v>0</v>
      </c>
      <c r="AS86" s="38"/>
      <c r="AT86" s="38"/>
      <c r="AU86" s="38"/>
      <c r="AV86" s="38"/>
      <c r="AW86" s="38"/>
      <c r="AX86" s="38"/>
      <c r="AY86" s="38"/>
      <c r="AZ86" s="38"/>
      <c r="BA86" s="38">
        <f t="shared" si="78"/>
        <v>0</v>
      </c>
      <c r="BB86" s="34"/>
      <c r="BC86" s="477"/>
      <c r="BD86" s="51"/>
      <c r="BE86" s="51"/>
      <c r="BF86" s="51"/>
    </row>
    <row r="87" spans="1:58" ht="12.9" customHeight="1">
      <c r="A87" s="41"/>
      <c r="B87" s="538"/>
      <c r="C87" s="393"/>
      <c r="D87" s="42"/>
      <c r="E87" s="43"/>
      <c r="F87" s="43"/>
      <c r="G87" s="44"/>
      <c r="H87" s="533"/>
      <c r="I87" s="45"/>
      <c r="J87" s="82"/>
      <c r="K87" s="82"/>
      <c r="L87" s="36"/>
      <c r="M87" s="36"/>
      <c r="N87" s="46"/>
      <c r="O87" s="47"/>
      <c r="P87" s="48"/>
      <c r="Q87" s="35"/>
      <c r="R87" s="362"/>
      <c r="S87" s="362"/>
      <c r="T87" s="38"/>
      <c r="U87" s="38"/>
      <c r="V87" s="38"/>
      <c r="W87" s="38"/>
      <c r="X87" s="39"/>
      <c r="Y87" s="39"/>
      <c r="Z87" s="38"/>
      <c r="AA87" s="49"/>
      <c r="AB87" s="49"/>
      <c r="AC87" s="38"/>
      <c r="AD87" s="38"/>
      <c r="AE87" s="21"/>
      <c r="AF87" s="38"/>
      <c r="AG87" s="38"/>
      <c r="AH87" s="38"/>
      <c r="AI87" s="38"/>
      <c r="AJ87" s="38"/>
      <c r="AK87" s="38"/>
      <c r="AL87" s="38"/>
      <c r="AM87" s="38"/>
      <c r="AN87" s="38"/>
      <c r="AO87" s="38"/>
      <c r="AP87" s="38"/>
      <c r="AQ87" s="38"/>
      <c r="AR87" s="38"/>
      <c r="AS87" s="38"/>
      <c r="AT87" s="38"/>
      <c r="AU87" s="38"/>
      <c r="AV87" s="38"/>
      <c r="AW87" s="38"/>
      <c r="AX87" s="38"/>
      <c r="AY87" s="38"/>
      <c r="AZ87" s="38"/>
      <c r="BA87" s="38"/>
      <c r="BB87" s="34"/>
      <c r="BC87" s="51"/>
      <c r="BD87" s="477"/>
      <c r="BE87" s="34"/>
      <c r="BF87" s="477"/>
    </row>
    <row r="88" spans="1:58" ht="12.9" customHeight="1">
      <c r="A88" s="41">
        <v>46101</v>
      </c>
      <c r="B88" s="42" t="s">
        <v>655</v>
      </c>
      <c r="C88" s="393">
        <f>(M88*E88*O88*Q88)/100000000</f>
        <v>58.816074239999992</v>
      </c>
      <c r="D88" s="42" t="s">
        <v>423</v>
      </c>
      <c r="E88" s="43">
        <v>22</v>
      </c>
      <c r="F88" s="43">
        <v>1</v>
      </c>
      <c r="G88" s="406">
        <v>770</v>
      </c>
      <c r="H88" s="533">
        <f>+N88</f>
        <v>0.16000000000000003</v>
      </c>
      <c r="I88" s="45">
        <v>0.88</v>
      </c>
      <c r="J88" s="82">
        <f>E88*G88*(1-H88)*1440/1000000*2.7</f>
        <v>55.324684800000007</v>
      </c>
      <c r="K88" s="82">
        <f>(IF(G88&lt;L88,L88,G88)*(1-IF(H88&lt;N88,H88,N88))*E88*O88*Q88)/100000000</f>
        <v>58.816074239999992</v>
      </c>
      <c r="L88" s="36">
        <v>860</v>
      </c>
      <c r="M88" s="36">
        <v>722.4</v>
      </c>
      <c r="N88" s="46">
        <f>1-(M88/L88)</f>
        <v>0.16000000000000003</v>
      </c>
      <c r="O88" s="47">
        <f>+'Trim Rwd'!H54</f>
        <v>257</v>
      </c>
      <c r="P88" s="48">
        <f>O88*(Q88-R88-S88)</f>
        <v>359800</v>
      </c>
      <c r="Q88" s="47">
        <f>1440-Q87</f>
        <v>1440</v>
      </c>
      <c r="R88" s="362">
        <v>0</v>
      </c>
      <c r="S88" s="362">
        <v>40</v>
      </c>
      <c r="T88" s="38">
        <f>E88*M88*O88*Q88/100000000</f>
        <v>58.816074239999992</v>
      </c>
      <c r="U88" s="38">
        <f>E88*M88*O88*(Q88-R88-S88)/100000000</f>
        <v>57.182294399999989</v>
      </c>
      <c r="V88" s="38">
        <f>E88*G88*(1-N88)*O88/100*(R88+S88)/1000000</f>
        <v>1.4628028799999999</v>
      </c>
      <c r="W88" s="38">
        <f>+'20'!K11/1000</f>
        <v>56.204000000000001</v>
      </c>
      <c r="X88" s="361">
        <f>SUM(W88:W91)/SUM(K88:K91)</f>
        <v>0.95558910937609709</v>
      </c>
      <c r="Y88" s="38">
        <v>0</v>
      </c>
      <c r="Z88" s="38">
        <v>0</v>
      </c>
      <c r="AA88" s="49">
        <f>SUM(U88:U91)-SUM(W88:W91)-SUM(Z88:Z91)-SUM(Y88:Y91)</f>
        <v>0.97829439999998868</v>
      </c>
      <c r="AB88" s="49">
        <f>(SUM(K88:K91)-SUM(W88:W91)-SUM(Y88:Y91)-SUM(Z88:Z91)-SUM(AC88:AC91)-SUM(V88:V91))-AA88</f>
        <v>0.17097696000000262</v>
      </c>
      <c r="AC88" s="38">
        <f>K88-T88</f>
        <v>0</v>
      </c>
      <c r="AD88" s="38">
        <f>+AM88+BA88</f>
        <v>0</v>
      </c>
      <c r="AE88" s="226" t="s">
        <v>417</v>
      </c>
      <c r="AF88" s="38">
        <v>0</v>
      </c>
      <c r="AG88" s="38"/>
      <c r="AH88" s="38"/>
      <c r="AI88" s="476"/>
      <c r="AJ88" s="38"/>
      <c r="AK88" s="38"/>
      <c r="AL88" s="38"/>
      <c r="AM88" s="38">
        <f>SUM(AF88:AL88)+AT88+AV88+AX88</f>
        <v>0</v>
      </c>
      <c r="AN88" s="38"/>
      <c r="AO88" s="38"/>
      <c r="AP88" s="38"/>
      <c r="AQ88" s="38"/>
      <c r="AR88" s="38">
        <f>SUM(AN88:AQ88)</f>
        <v>0</v>
      </c>
      <c r="AS88" s="38"/>
      <c r="AT88" s="38"/>
      <c r="AU88" s="38"/>
      <c r="AV88" s="38"/>
      <c r="AW88" s="38"/>
      <c r="AX88" s="38"/>
      <c r="AY88" s="38"/>
      <c r="AZ88" s="38"/>
      <c r="BA88" s="38">
        <f>+AR88+AS88+AU88+AW88+AY88+AZ88</f>
        <v>0</v>
      </c>
      <c r="BB88" s="34">
        <v>0</v>
      </c>
      <c r="BC88" s="51"/>
      <c r="BD88" s="51"/>
      <c r="BE88" s="51"/>
      <c r="BF88" s="51"/>
    </row>
    <row r="89" spans="1:58" ht="12.9" customHeight="1">
      <c r="A89" s="41"/>
      <c r="B89" s="42"/>
      <c r="C89" s="393"/>
      <c r="D89" s="42"/>
      <c r="E89" s="43"/>
      <c r="F89" s="43"/>
      <c r="G89" s="406"/>
      <c r="H89" s="533"/>
      <c r="I89" s="45"/>
      <c r="J89" s="82"/>
      <c r="K89" s="82"/>
      <c r="L89" s="36"/>
      <c r="M89" s="36"/>
      <c r="N89" s="46"/>
      <c r="O89" s="47"/>
      <c r="P89" s="48"/>
      <c r="Q89" s="47"/>
      <c r="R89" s="362"/>
      <c r="S89" s="362"/>
      <c r="T89" s="38"/>
      <c r="U89" s="38"/>
      <c r="V89" s="38"/>
      <c r="W89" s="38"/>
      <c r="X89" s="361"/>
      <c r="Y89" s="209"/>
      <c r="Z89" s="38"/>
      <c r="AA89" s="38"/>
      <c r="AB89" s="38"/>
      <c r="AC89" s="38"/>
      <c r="AD89" s="38">
        <f t="shared" ref="AD89:AD90" si="79">+AM89+BA89</f>
        <v>14</v>
      </c>
      <c r="AE89" s="226" t="s">
        <v>680</v>
      </c>
      <c r="AF89" s="38"/>
      <c r="AG89" s="38">
        <v>14</v>
      </c>
      <c r="AH89" s="38"/>
      <c r="AI89" s="476"/>
      <c r="AJ89" s="38"/>
      <c r="AK89" s="38"/>
      <c r="AL89" s="38"/>
      <c r="AM89" s="38">
        <f t="shared" ref="AM89:AM90" si="80">SUM(AF89:AL89)+AT89+AV89+AX89</f>
        <v>14</v>
      </c>
      <c r="AN89" s="83"/>
      <c r="AO89" s="38"/>
      <c r="AP89" s="38"/>
      <c r="AQ89" s="38"/>
      <c r="AR89" s="38">
        <f t="shared" ref="AR89:AR90" si="81">SUM(AN89:AQ89)</f>
        <v>0</v>
      </c>
      <c r="AS89" s="38"/>
      <c r="AT89" s="38"/>
      <c r="AU89" s="38"/>
      <c r="AV89" s="38"/>
      <c r="AW89" s="38"/>
      <c r="AX89" s="38"/>
      <c r="AY89" s="38"/>
      <c r="AZ89" s="38"/>
      <c r="BA89" s="38">
        <f t="shared" ref="BA89:BA90" si="82">+AR89+AS89+AU89+AW89+AY89+AZ89</f>
        <v>0</v>
      </c>
      <c r="BB89" s="50"/>
      <c r="BC89" s="51">
        <v>5</v>
      </c>
      <c r="BD89" s="51"/>
      <c r="BE89" s="51"/>
      <c r="BF89" s="51"/>
    </row>
    <row r="90" spans="1:58" ht="12.9" customHeight="1">
      <c r="A90" s="41"/>
      <c r="B90" s="42"/>
      <c r="C90" s="393"/>
      <c r="D90" s="42"/>
      <c r="E90" s="43"/>
      <c r="F90" s="43"/>
      <c r="G90" s="406"/>
      <c r="H90" s="533"/>
      <c r="I90" s="45"/>
      <c r="J90" s="82"/>
      <c r="K90" s="82"/>
      <c r="L90" s="36"/>
      <c r="M90" s="36"/>
      <c r="N90" s="46"/>
      <c r="O90" s="47"/>
      <c r="P90" s="48"/>
      <c r="Q90" s="47"/>
      <c r="R90" s="362"/>
      <c r="S90" s="362"/>
      <c r="T90" s="38"/>
      <c r="U90" s="38"/>
      <c r="V90" s="38"/>
      <c r="W90" s="38"/>
      <c r="X90" s="361"/>
      <c r="Y90" s="209"/>
      <c r="Z90" s="38"/>
      <c r="AA90" s="38"/>
      <c r="AB90" s="38"/>
      <c r="AC90" s="38"/>
      <c r="AD90" s="38">
        <f t="shared" si="79"/>
        <v>26</v>
      </c>
      <c r="AE90" s="226" t="s">
        <v>446</v>
      </c>
      <c r="AF90" s="34"/>
      <c r="AG90" s="34"/>
      <c r="AH90" s="34">
        <v>26</v>
      </c>
      <c r="AJ90" s="38"/>
      <c r="AK90" s="38"/>
      <c r="AL90" s="38"/>
      <c r="AM90" s="38">
        <f t="shared" si="80"/>
        <v>26</v>
      </c>
      <c r="AN90" s="38"/>
      <c r="AO90" s="38"/>
      <c r="AP90" s="38"/>
      <c r="AQ90" s="38"/>
      <c r="AR90" s="38">
        <f t="shared" si="81"/>
        <v>0</v>
      </c>
      <c r="AS90" s="38"/>
      <c r="AT90" s="38"/>
      <c r="AU90" s="38"/>
      <c r="AV90" s="38"/>
      <c r="AW90" s="38"/>
      <c r="AX90" s="38"/>
      <c r="AY90" s="38"/>
      <c r="AZ90" s="38"/>
      <c r="BA90" s="38">
        <f t="shared" si="82"/>
        <v>0</v>
      </c>
      <c r="BB90" s="34"/>
      <c r="BC90" s="477"/>
      <c r="BD90" s="51"/>
      <c r="BE90" s="51"/>
      <c r="BF90" s="51"/>
    </row>
    <row r="91" spans="1:58" ht="12.9" customHeight="1">
      <c r="A91" s="41"/>
      <c r="B91" s="538"/>
      <c r="C91" s="393"/>
      <c r="D91" s="42"/>
      <c r="E91" s="43"/>
      <c r="F91" s="43"/>
      <c r="G91" s="44"/>
      <c r="H91" s="533"/>
      <c r="I91" s="45"/>
      <c r="J91" s="82"/>
      <c r="K91" s="82"/>
      <c r="L91" s="36"/>
      <c r="M91" s="36"/>
      <c r="N91" s="46"/>
      <c r="O91" s="47"/>
      <c r="P91" s="48"/>
      <c r="Q91" s="35"/>
      <c r="R91" s="362"/>
      <c r="S91" s="362"/>
      <c r="T91" s="38"/>
      <c r="U91" s="38"/>
      <c r="V91" s="38"/>
      <c r="W91" s="38"/>
      <c r="X91" s="39"/>
      <c r="Y91" s="39"/>
      <c r="Z91" s="38"/>
      <c r="AA91" s="49"/>
      <c r="AB91" s="49"/>
      <c r="AC91" s="38"/>
      <c r="AD91" s="38"/>
      <c r="AE91" s="21"/>
      <c r="AF91" s="38"/>
      <c r="AG91" s="38"/>
      <c r="AH91" s="38"/>
      <c r="AI91" s="38"/>
      <c r="AJ91" s="38"/>
      <c r="AK91" s="38"/>
      <c r="AL91" s="38"/>
      <c r="AM91" s="38"/>
      <c r="AN91" s="38"/>
      <c r="AO91" s="38"/>
      <c r="AP91" s="38"/>
      <c r="AQ91" s="38"/>
      <c r="AR91" s="38"/>
      <c r="AS91" s="38"/>
      <c r="AT91" s="38"/>
      <c r="AU91" s="38"/>
      <c r="AV91" s="38"/>
      <c r="AW91" s="38"/>
      <c r="AX91" s="38"/>
      <c r="AY91" s="38"/>
      <c r="AZ91" s="38"/>
      <c r="BA91" s="38"/>
      <c r="BB91" s="34"/>
      <c r="BC91" s="51"/>
      <c r="BD91" s="477"/>
      <c r="BE91" s="34"/>
      <c r="BF91" s="477"/>
    </row>
    <row r="92" spans="1:58" ht="12.9" customHeight="1">
      <c r="A92" s="41">
        <v>46102</v>
      </c>
      <c r="B92" s="42" t="s">
        <v>655</v>
      </c>
      <c r="C92" s="393">
        <f>(M92*E92*O92*Q92)/100000000</f>
        <v>58.816074239999992</v>
      </c>
      <c r="D92" s="42" t="s">
        <v>423</v>
      </c>
      <c r="E92" s="43">
        <v>22</v>
      </c>
      <c r="F92" s="43">
        <v>1</v>
      </c>
      <c r="G92" s="406">
        <v>770</v>
      </c>
      <c r="H92" s="533">
        <f>+N92</f>
        <v>0.16000000000000003</v>
      </c>
      <c r="I92" s="45">
        <v>0.88</v>
      </c>
      <c r="J92" s="82">
        <f>E92*G92*(1-H92)*1440/1000000*2.7</f>
        <v>55.324684800000007</v>
      </c>
      <c r="K92" s="82">
        <f>(IF(G92&lt;L92,L92,G92)*(1-IF(H92&lt;N92,H92,N92))*E92*O92*Q92)/100000000</f>
        <v>58.816074239999992</v>
      </c>
      <c r="L92" s="36">
        <v>860</v>
      </c>
      <c r="M92" s="36">
        <v>722.4</v>
      </c>
      <c r="N92" s="46">
        <f>1-(M92/L92)</f>
        <v>0.16000000000000003</v>
      </c>
      <c r="O92" s="47">
        <f>+'Trim Rwd'!H56</f>
        <v>257</v>
      </c>
      <c r="P92" s="48">
        <f>O92*(Q92-R92-S92)</f>
        <v>364426</v>
      </c>
      <c r="Q92" s="47">
        <f>1440-Q91</f>
        <v>1440</v>
      </c>
      <c r="R92" s="362">
        <v>0</v>
      </c>
      <c r="S92" s="362">
        <v>22</v>
      </c>
      <c r="T92" s="38">
        <f>E92*M92*O92*Q92/100000000</f>
        <v>58.816074239999992</v>
      </c>
      <c r="U92" s="38">
        <f>E92*M92*O92*(Q92-R92-S92)/100000000</f>
        <v>57.917495327999994</v>
      </c>
      <c r="V92" s="38">
        <f>E92*G92*(1-N92)*O92/100*(R92+S92)/1000000</f>
        <v>0.80454158399999998</v>
      </c>
      <c r="W92" s="38">
        <f>+'21'!K11/1000</f>
        <v>57.914000000000001</v>
      </c>
      <c r="X92" s="361">
        <f>SUM(W92:W95)/SUM(K92:K95)</f>
        <v>0.98466279411442759</v>
      </c>
      <c r="Y92" s="38">
        <v>0</v>
      </c>
      <c r="Z92" s="38">
        <v>0</v>
      </c>
      <c r="AA92" s="49">
        <f>SUM(U92:U95)-SUM(W92:W95)-SUM(Z92:Z95)-SUM(Y92:Y95)</f>
        <v>3.4953279999925257E-3</v>
      </c>
      <c r="AB92" s="49">
        <f>(SUM(K92:K95)-SUM(W92:W95)-SUM(Y92:Y95)-SUM(Z92:Z95)-SUM(AC92:AC95)-SUM(V92:V95))-AA92</f>
        <v>9.4037327999997866E-2</v>
      </c>
      <c r="AC92" s="38">
        <f>K92-T92</f>
        <v>0</v>
      </c>
      <c r="AD92" s="38">
        <f>+AM92+BA92</f>
        <v>0</v>
      </c>
      <c r="AE92" s="226" t="s">
        <v>417</v>
      </c>
      <c r="AF92" s="38">
        <v>0</v>
      </c>
      <c r="AG92" s="38"/>
      <c r="AH92" s="38"/>
      <c r="AI92" s="476"/>
      <c r="AJ92" s="38"/>
      <c r="AK92" s="38"/>
      <c r="AL92" s="38"/>
      <c r="AM92" s="38">
        <f>SUM(AF92:AL92)+AT92+AV92+AX92</f>
        <v>0</v>
      </c>
      <c r="AN92" s="38"/>
      <c r="AO92" s="38"/>
      <c r="AP92" s="38"/>
      <c r="AQ92" s="38"/>
      <c r="AR92" s="38">
        <f>SUM(AN92:AQ92)</f>
        <v>0</v>
      </c>
      <c r="AS92" s="38"/>
      <c r="AT92" s="38"/>
      <c r="AU92" s="38"/>
      <c r="AV92" s="38"/>
      <c r="AW92" s="38"/>
      <c r="AX92" s="38"/>
      <c r="AY92" s="38"/>
      <c r="AZ92" s="38"/>
      <c r="BA92" s="38">
        <f>+AR92+AS92+AU92+AW92+AY92+AZ92</f>
        <v>0</v>
      </c>
      <c r="BB92" s="34">
        <v>0</v>
      </c>
      <c r="BC92" s="51"/>
      <c r="BD92" s="51"/>
      <c r="BE92" s="51"/>
      <c r="BF92" s="51"/>
    </row>
    <row r="93" spans="1:58" ht="12.9" customHeight="1">
      <c r="A93" s="41"/>
      <c r="B93" s="42"/>
      <c r="C93" s="393"/>
      <c r="D93" s="42"/>
      <c r="E93" s="43"/>
      <c r="F93" s="43"/>
      <c r="G93" s="406"/>
      <c r="H93" s="533"/>
      <c r="I93" s="45"/>
      <c r="J93" s="82"/>
      <c r="K93" s="82"/>
      <c r="L93" s="36"/>
      <c r="M93" s="36"/>
      <c r="N93" s="46"/>
      <c r="O93" s="47"/>
      <c r="P93" s="48"/>
      <c r="Q93" s="47"/>
      <c r="R93" s="362"/>
      <c r="S93" s="362"/>
      <c r="T93" s="38"/>
      <c r="U93" s="38"/>
      <c r="V93" s="38"/>
      <c r="W93" s="38"/>
      <c r="X93" s="361"/>
      <c r="Y93" s="209"/>
      <c r="Z93" s="38"/>
      <c r="AA93" s="38"/>
      <c r="AB93" s="38"/>
      <c r="AC93" s="38"/>
      <c r="AD93" s="38">
        <f t="shared" ref="AD93:AD94" si="83">+AM93+BA93</f>
        <v>6</v>
      </c>
      <c r="AE93" s="226" t="s">
        <v>679</v>
      </c>
      <c r="AF93" s="38"/>
      <c r="AG93" s="38">
        <v>6</v>
      </c>
      <c r="AH93" s="38"/>
      <c r="AI93" s="476"/>
      <c r="AJ93" s="38"/>
      <c r="AK93" s="38"/>
      <c r="AL93" s="38"/>
      <c r="AM93" s="38">
        <f t="shared" ref="AM93:AM94" si="84">SUM(AF93:AL93)+AT93+AV93+AX93</f>
        <v>6</v>
      </c>
      <c r="AN93" s="83"/>
      <c r="AO93" s="38"/>
      <c r="AP93" s="38"/>
      <c r="AQ93" s="38"/>
      <c r="AR93" s="38">
        <f t="shared" ref="AR93:AR94" si="85">SUM(AN93:AQ93)</f>
        <v>0</v>
      </c>
      <c r="AS93" s="38"/>
      <c r="AT93" s="38"/>
      <c r="AU93" s="38"/>
      <c r="AV93" s="38"/>
      <c r="AW93" s="38"/>
      <c r="AX93" s="38"/>
      <c r="AY93" s="38"/>
      <c r="AZ93" s="38"/>
      <c r="BA93" s="38">
        <f t="shared" ref="BA93:BA94" si="86">+AR93+AS93+AU93+AW93+AY93+AZ93</f>
        <v>0</v>
      </c>
      <c r="BB93" s="50"/>
      <c r="BC93" s="51">
        <v>4</v>
      </c>
      <c r="BD93" s="51"/>
      <c r="BE93" s="51"/>
      <c r="BF93" s="51"/>
    </row>
    <row r="94" spans="1:58" ht="12.9" customHeight="1">
      <c r="A94" s="41"/>
      <c r="B94" s="42"/>
      <c r="C94" s="393"/>
      <c r="D94" s="42"/>
      <c r="E94" s="43"/>
      <c r="F94" s="43"/>
      <c r="G94" s="406"/>
      <c r="H94" s="533"/>
      <c r="I94" s="45"/>
      <c r="J94" s="82"/>
      <c r="K94" s="82"/>
      <c r="L94" s="36"/>
      <c r="M94" s="36"/>
      <c r="N94" s="46"/>
      <c r="O94" s="47"/>
      <c r="P94" s="48"/>
      <c r="Q94" s="47"/>
      <c r="R94" s="362"/>
      <c r="S94" s="362"/>
      <c r="T94" s="38"/>
      <c r="U94" s="38"/>
      <c r="V94" s="38"/>
      <c r="W94" s="38"/>
      <c r="X94" s="361"/>
      <c r="Y94" s="209"/>
      <c r="Z94" s="38"/>
      <c r="AA94" s="38"/>
      <c r="AB94" s="38"/>
      <c r="AC94" s="38"/>
      <c r="AD94" s="38">
        <f t="shared" si="83"/>
        <v>16</v>
      </c>
      <c r="AE94" s="226" t="s">
        <v>446</v>
      </c>
      <c r="AF94" s="34"/>
      <c r="AG94" s="34"/>
      <c r="AH94" s="34">
        <v>16</v>
      </c>
      <c r="AJ94" s="38"/>
      <c r="AK94" s="38"/>
      <c r="AL94" s="38"/>
      <c r="AM94" s="38">
        <f t="shared" si="84"/>
        <v>16</v>
      </c>
      <c r="AN94" s="38"/>
      <c r="AO94" s="38"/>
      <c r="AP94" s="38"/>
      <c r="AQ94" s="38"/>
      <c r="AR94" s="38">
        <f t="shared" si="85"/>
        <v>0</v>
      </c>
      <c r="AS94" s="38"/>
      <c r="AT94" s="38"/>
      <c r="AU94" s="38"/>
      <c r="AV94" s="38"/>
      <c r="AW94" s="38"/>
      <c r="AX94" s="38"/>
      <c r="AY94" s="38"/>
      <c r="AZ94" s="38"/>
      <c r="BA94" s="38">
        <f t="shared" si="86"/>
        <v>0</v>
      </c>
      <c r="BB94" s="34"/>
      <c r="BC94" s="477"/>
      <c r="BD94" s="51"/>
      <c r="BE94" s="51"/>
      <c r="BF94" s="51"/>
    </row>
    <row r="95" spans="1:58" ht="12.9" customHeight="1">
      <c r="A95" s="41"/>
      <c r="B95" s="538"/>
      <c r="C95" s="393"/>
      <c r="D95" s="42"/>
      <c r="E95" s="43"/>
      <c r="F95" s="43"/>
      <c r="G95" s="44"/>
      <c r="H95" s="533"/>
      <c r="I95" s="45"/>
      <c r="J95" s="82"/>
      <c r="K95" s="82"/>
      <c r="L95" s="36"/>
      <c r="M95" s="36"/>
      <c r="N95" s="46"/>
      <c r="O95" s="47"/>
      <c r="P95" s="48"/>
      <c r="Q95" s="35"/>
      <c r="R95" s="362"/>
      <c r="S95" s="362"/>
      <c r="T95" s="38"/>
      <c r="U95" s="38"/>
      <c r="V95" s="38"/>
      <c r="W95" s="38"/>
      <c r="X95" s="39"/>
      <c r="Y95" s="39"/>
      <c r="Z95" s="38"/>
      <c r="AA95" s="49"/>
      <c r="AB95" s="49"/>
      <c r="AC95" s="38"/>
      <c r="AD95" s="38"/>
      <c r="AE95" s="21"/>
      <c r="AF95" s="38"/>
      <c r="AG95" s="38"/>
      <c r="AH95" s="38"/>
      <c r="AI95" s="38"/>
      <c r="AJ95" s="38"/>
      <c r="AK95" s="38"/>
      <c r="AL95" s="38"/>
      <c r="AM95" s="38"/>
      <c r="AN95" s="38"/>
      <c r="AO95" s="38"/>
      <c r="AP95" s="38"/>
      <c r="AQ95" s="38"/>
      <c r="AR95" s="38"/>
      <c r="AS95" s="38"/>
      <c r="AT95" s="38"/>
      <c r="AU95" s="38"/>
      <c r="AV95" s="38"/>
      <c r="AW95" s="38"/>
      <c r="AX95" s="38"/>
      <c r="AY95" s="38"/>
      <c r="AZ95" s="38"/>
      <c r="BA95" s="38"/>
      <c r="BB95" s="34"/>
      <c r="BC95" s="51"/>
      <c r="BD95" s="477"/>
      <c r="BE95" s="34"/>
      <c r="BF95" s="477"/>
    </row>
    <row r="96" spans="1:58" ht="12.9" customHeight="1">
      <c r="A96" s="41">
        <v>46103</v>
      </c>
      <c r="B96" s="42" t="s">
        <v>655</v>
      </c>
      <c r="C96" s="393">
        <f>(M96*E96*O96*Q96)/100000000</f>
        <v>40.027606079999998</v>
      </c>
      <c r="D96" s="42" t="s">
        <v>423</v>
      </c>
      <c r="E96" s="43">
        <v>22</v>
      </c>
      <c r="F96" s="43">
        <v>1</v>
      </c>
      <c r="G96" s="406">
        <v>770</v>
      </c>
      <c r="H96" s="533">
        <f>+N96</f>
        <v>0.16000000000000003</v>
      </c>
      <c r="I96" s="45">
        <v>0.88</v>
      </c>
      <c r="J96" s="82">
        <f>E96*G96*(1-H96)*1440/1000000*2.7</f>
        <v>55.324684800000007</v>
      </c>
      <c r="K96" s="82">
        <f>(IF(G96&lt;L96,L96,G96)*(1-IF(H96&lt;N96,H96,N96))*E96*O96*Q96)/100000000</f>
        <v>40.027606079999998</v>
      </c>
      <c r="L96" s="36">
        <v>860</v>
      </c>
      <c r="M96" s="36">
        <v>722.4</v>
      </c>
      <c r="N96" s="46">
        <f>1-(M96/L96)</f>
        <v>0.16000000000000003</v>
      </c>
      <c r="O96" s="47">
        <f>+'Trim Rwd'!H58</f>
        <v>257</v>
      </c>
      <c r="P96" s="48">
        <f>O96*(Q96-R96-S96)</f>
        <v>247234</v>
      </c>
      <c r="Q96" s="47">
        <v>980</v>
      </c>
      <c r="R96" s="362">
        <v>0</v>
      </c>
      <c r="S96" s="362">
        <v>18</v>
      </c>
      <c r="T96" s="38">
        <f>E96*M96*O96*Q96/100000000</f>
        <v>40.027606079999998</v>
      </c>
      <c r="U96" s="38">
        <f>E96*M96*O96*(Q96-R96-S96)/100000000</f>
        <v>39.292405152000001</v>
      </c>
      <c r="V96" s="38">
        <f>E96*G96*(1-N96)*O96/100*(R96+S96)/1000000</f>
        <v>0.65826129599999994</v>
      </c>
      <c r="W96" s="38">
        <f>+'22'!K11/1000</f>
        <v>44.061</v>
      </c>
      <c r="X96" s="361">
        <f>SUM(W96:W99)/SUM(K96:K99)</f>
        <v>0.95667195322302678</v>
      </c>
      <c r="Y96" s="38">
        <v>0</v>
      </c>
      <c r="Z96" s="38">
        <v>0</v>
      </c>
      <c r="AA96" s="49">
        <f>SUM(U96:U99)-SUM(W96:W99)-SUM(Z96:Z99)-SUM(Y96:Y99)</f>
        <v>0.82720595199999991</v>
      </c>
      <c r="AB96" s="49">
        <f>(SUM(K96:K99)-SUM(W96:W99)-SUM(Y96:Y99)-SUM(Z96:Z99)-SUM(AC96:AC99)-SUM(V96:V99))-AA96</f>
        <v>6.6128831999993309E-2</v>
      </c>
      <c r="AC96" s="38">
        <f>K96-T96</f>
        <v>0</v>
      </c>
      <c r="AD96" s="38">
        <f>+AM96+BA96</f>
        <v>0</v>
      </c>
      <c r="AE96" s="226" t="s">
        <v>417</v>
      </c>
      <c r="AF96" s="38">
        <v>0</v>
      </c>
      <c r="AG96" s="38"/>
      <c r="AH96" s="38"/>
      <c r="AI96" s="476"/>
      <c r="AJ96" s="38"/>
      <c r="AK96" s="38"/>
      <c r="AL96" s="38"/>
      <c r="AM96" s="38">
        <f>SUM(AF96:AL96)+AT96+AV96+AX96</f>
        <v>0</v>
      </c>
      <c r="AN96" s="38"/>
      <c r="AO96" s="38"/>
      <c r="AP96" s="38"/>
      <c r="AQ96" s="38"/>
      <c r="AR96" s="38">
        <f>SUM(AN96:AQ96)</f>
        <v>0</v>
      </c>
      <c r="AS96" s="38"/>
      <c r="AT96" s="38"/>
      <c r="AU96" s="38"/>
      <c r="AV96" s="38"/>
      <c r="AW96" s="38"/>
      <c r="AX96" s="38"/>
      <c r="AY96" s="38"/>
      <c r="AZ96" s="38"/>
      <c r="BA96" s="38">
        <f>+AR96+AS96+AU96+AW96+AY96+AZ96</f>
        <v>0</v>
      </c>
      <c r="BB96" s="34">
        <v>0</v>
      </c>
      <c r="BC96" s="51"/>
      <c r="BD96" s="51"/>
      <c r="BE96" s="51"/>
      <c r="BF96" s="51"/>
    </row>
    <row r="97" spans="1:58" ht="12.9" customHeight="1">
      <c r="A97" s="41"/>
      <c r="B97" s="42" t="s">
        <v>422</v>
      </c>
      <c r="C97" s="393">
        <f>(M97*E97*O97*Q97)/100000000</f>
        <v>16.300283999999998</v>
      </c>
      <c r="D97" s="42" t="s">
        <v>423</v>
      </c>
      <c r="E97" s="43">
        <v>15</v>
      </c>
      <c r="F97" s="43">
        <v>1</v>
      </c>
      <c r="G97" s="406">
        <v>1225</v>
      </c>
      <c r="H97" s="533">
        <f>+N97</f>
        <v>0.23000000000000009</v>
      </c>
      <c r="I97" s="45">
        <v>0.88</v>
      </c>
      <c r="J97" s="82">
        <f>E97*G97*(1-H97)*1440/1000000*2.7</f>
        <v>55.010339999999992</v>
      </c>
      <c r="K97" s="82">
        <f>(IF(G97&lt;L97,L97,G97)*(1-IF(H97&lt;N97,H97,N97))*E97*O97*Q97)/100000000</f>
        <v>16.921904999999999</v>
      </c>
      <c r="L97" s="36">
        <v>1180</v>
      </c>
      <c r="M97" s="36">
        <v>908.59999999999991</v>
      </c>
      <c r="N97" s="46">
        <f>1-(M97/L97)</f>
        <v>0.23000000000000009</v>
      </c>
      <c r="O97" s="47">
        <f>+'Trim Rwd'!H59</f>
        <v>260</v>
      </c>
      <c r="P97" s="48">
        <f>O97*(Q97-R97-S97)</f>
        <v>117520</v>
      </c>
      <c r="Q97" s="47">
        <v>460</v>
      </c>
      <c r="R97" s="362">
        <v>0</v>
      </c>
      <c r="S97" s="362">
        <v>8</v>
      </c>
      <c r="T97" s="38">
        <f>E97*M97*O97*Q97/100000000</f>
        <v>16.300283999999998</v>
      </c>
      <c r="U97" s="38">
        <f>E97*M97*O97*(Q97-R97-S97)/100000000</f>
        <v>16.016800799999999</v>
      </c>
      <c r="V97" s="38">
        <f>E97*G97*(1-N97)*O97/100*(R97+S97)/1000000</f>
        <v>0.29429399999999994</v>
      </c>
      <c r="W97" s="38">
        <f>+'22'!K7/1000</f>
        <v>10.420999999999999</v>
      </c>
      <c r="X97" s="361"/>
      <c r="Y97" s="209"/>
      <c r="Z97" s="38"/>
      <c r="AA97" s="38"/>
      <c r="AB97" s="38"/>
      <c r="AC97" s="38">
        <f>K97-T97</f>
        <v>0.62162100000000109</v>
      </c>
      <c r="AD97" s="38">
        <f t="shared" ref="AD97:AD98" si="87">+AM97+BA97</f>
        <v>4</v>
      </c>
      <c r="AE97" s="226" t="s">
        <v>653</v>
      </c>
      <c r="AF97" s="38"/>
      <c r="AG97" s="38">
        <v>4</v>
      </c>
      <c r="AH97" s="38"/>
      <c r="AI97" s="476"/>
      <c r="AJ97" s="38"/>
      <c r="AK97" s="38"/>
      <c r="AL97" s="38"/>
      <c r="AM97" s="38">
        <f t="shared" ref="AM97:AM98" si="88">SUM(AF97:AL97)+AT97+AV97+AX97</f>
        <v>4</v>
      </c>
      <c r="AN97" s="83"/>
      <c r="AO97" s="38"/>
      <c r="AP97" s="38"/>
      <c r="AQ97" s="38"/>
      <c r="AR97" s="38">
        <f t="shared" ref="AR97:AR98" si="89">SUM(AN97:AQ97)</f>
        <v>0</v>
      </c>
      <c r="AS97" s="38"/>
      <c r="AT97" s="38"/>
      <c r="AU97" s="38"/>
      <c r="AV97" s="38"/>
      <c r="AW97" s="38"/>
      <c r="AX97" s="38"/>
      <c r="AY97" s="38"/>
      <c r="AZ97" s="38"/>
      <c r="BA97" s="38">
        <f t="shared" ref="BA97:BA98" si="90">+AR97+AS97+AU97+AW97+AY97+AZ97</f>
        <v>0</v>
      </c>
      <c r="BB97" s="50"/>
      <c r="BC97" s="51">
        <v>3</v>
      </c>
      <c r="BD97" s="51"/>
      <c r="BE97" s="51"/>
      <c r="BF97" s="51"/>
    </row>
    <row r="98" spans="1:58" ht="12.9" customHeight="1">
      <c r="A98" s="41"/>
      <c r="B98" s="42"/>
      <c r="C98" s="393"/>
      <c r="D98" s="42"/>
      <c r="E98" s="43"/>
      <c r="F98" s="43"/>
      <c r="G98" s="406"/>
      <c r="H98" s="533"/>
      <c r="I98" s="45"/>
      <c r="J98" s="82"/>
      <c r="K98" s="82"/>
      <c r="L98" s="36"/>
      <c r="M98" s="36"/>
      <c r="N98" s="46"/>
      <c r="O98" s="47"/>
      <c r="P98" s="48"/>
      <c r="Q98" s="47"/>
      <c r="R98" s="362"/>
      <c r="S98" s="362"/>
      <c r="T98" s="38"/>
      <c r="U98" s="38"/>
      <c r="V98" s="38"/>
      <c r="W98" s="38"/>
      <c r="X98" s="361"/>
      <c r="Y98" s="209"/>
      <c r="Z98" s="38"/>
      <c r="AA98" s="38"/>
      <c r="AB98" s="38"/>
      <c r="AC98" s="38"/>
      <c r="AD98" s="38">
        <f t="shared" si="87"/>
        <v>22</v>
      </c>
      <c r="AE98" s="226" t="s">
        <v>565</v>
      </c>
      <c r="AF98" s="34"/>
      <c r="AG98" s="34"/>
      <c r="AH98" s="34">
        <v>22</v>
      </c>
      <c r="AJ98" s="38"/>
      <c r="AK98" s="38"/>
      <c r="AL98" s="38"/>
      <c r="AM98" s="38">
        <f t="shared" si="88"/>
        <v>22</v>
      </c>
      <c r="AN98" s="38"/>
      <c r="AO98" s="38"/>
      <c r="AP98" s="38"/>
      <c r="AQ98" s="38"/>
      <c r="AR98" s="38">
        <f t="shared" si="89"/>
        <v>0</v>
      </c>
      <c r="AS98" s="38"/>
      <c r="AT98" s="38"/>
      <c r="AU98" s="38"/>
      <c r="AV98" s="38"/>
      <c r="AW98" s="38"/>
      <c r="AX98" s="38"/>
      <c r="AY98" s="38"/>
      <c r="AZ98" s="38"/>
      <c r="BA98" s="38">
        <f t="shared" si="90"/>
        <v>0</v>
      </c>
      <c r="BB98" s="34"/>
      <c r="BC98" s="477"/>
      <c r="BD98" s="51"/>
      <c r="BE98" s="51"/>
      <c r="BF98" s="51"/>
    </row>
    <row r="99" spans="1:58" ht="12.9" customHeight="1">
      <c r="A99" s="41"/>
      <c r="B99" s="538"/>
      <c r="C99" s="393"/>
      <c r="D99" s="42"/>
      <c r="E99" s="43"/>
      <c r="F99" s="43"/>
      <c r="G99" s="44"/>
      <c r="H99" s="533"/>
      <c r="I99" s="45"/>
      <c r="J99" s="82"/>
      <c r="K99" s="82"/>
      <c r="L99" s="36"/>
      <c r="M99" s="36"/>
      <c r="N99" s="46"/>
      <c r="O99" s="47"/>
      <c r="P99" s="48"/>
      <c r="Q99" s="47"/>
      <c r="R99" s="362"/>
      <c r="S99" s="362"/>
      <c r="T99" s="38"/>
      <c r="U99" s="38"/>
      <c r="V99" s="38"/>
      <c r="W99" s="38"/>
      <c r="X99" s="39"/>
      <c r="Y99" s="39"/>
      <c r="Z99" s="38"/>
      <c r="AA99" s="49"/>
      <c r="AB99" s="49"/>
      <c r="AC99" s="38"/>
      <c r="AD99" s="38"/>
      <c r="AE99" s="226"/>
      <c r="AF99" s="34"/>
      <c r="AG99" s="34"/>
      <c r="AH99" s="34"/>
      <c r="AJ99" s="38"/>
      <c r="AK99" s="38"/>
      <c r="AL99" s="38"/>
      <c r="AM99" s="38"/>
      <c r="AN99" s="38"/>
      <c r="AO99" s="38"/>
      <c r="AP99" s="38"/>
      <c r="AQ99" s="38"/>
      <c r="AR99" s="38"/>
      <c r="AS99" s="38"/>
      <c r="AT99" s="38"/>
      <c r="AU99" s="38"/>
      <c r="AV99" s="38"/>
      <c r="AW99" s="38"/>
      <c r="AX99" s="38"/>
      <c r="AY99" s="38"/>
      <c r="AZ99" s="38"/>
      <c r="BA99" s="38"/>
      <c r="BB99" s="34"/>
      <c r="BC99" s="51"/>
      <c r="BD99" s="477"/>
      <c r="BE99" s="34"/>
      <c r="BF99" s="477"/>
    </row>
    <row r="100" spans="1:58" ht="12.9" customHeight="1">
      <c r="A100" s="41">
        <v>46104</v>
      </c>
      <c r="B100" s="42" t="s">
        <v>422</v>
      </c>
      <c r="C100" s="393">
        <f>(M100*E100*O100*Q100)/100000000</f>
        <v>24.450425999999997</v>
      </c>
      <c r="D100" s="42" t="s">
        <v>423</v>
      </c>
      <c r="E100" s="43">
        <v>15</v>
      </c>
      <c r="F100" s="43">
        <v>1</v>
      </c>
      <c r="G100" s="406">
        <v>1225</v>
      </c>
      <c r="H100" s="533">
        <f>+N100</f>
        <v>0.23000000000000009</v>
      </c>
      <c r="I100" s="45">
        <v>0.88</v>
      </c>
      <c r="J100" s="82">
        <f>E100*G100*(1-H100)*1440/1000000*2.7</f>
        <v>55.010339999999992</v>
      </c>
      <c r="K100" s="82">
        <f>(IF(G100&lt;L100,L100,G100)*(1-IF(H100&lt;N100,H100,N100))*E100*O100*Q100)/100000000</f>
        <v>25.382857499999997</v>
      </c>
      <c r="L100" s="36">
        <v>1180</v>
      </c>
      <c r="M100" s="36">
        <v>908.59999999999991</v>
      </c>
      <c r="N100" s="46">
        <f>1-(M100/L100)</f>
        <v>0.23000000000000009</v>
      </c>
      <c r="O100" s="47">
        <f>+'Trim Rwd'!H61</f>
        <v>260</v>
      </c>
      <c r="P100" s="48">
        <f>O100*(Q100-R100-S100)</f>
        <v>176280</v>
      </c>
      <c r="Q100" s="47">
        <v>690</v>
      </c>
      <c r="R100" s="362">
        <v>0</v>
      </c>
      <c r="S100" s="362">
        <v>12</v>
      </c>
      <c r="T100" s="38">
        <f>E100*M100*O100*Q100/100000000</f>
        <v>24.450425999999997</v>
      </c>
      <c r="U100" s="38">
        <f>E100*M100*O100*(Q100-R100-S100)/100000000</f>
        <v>24.025201199999994</v>
      </c>
      <c r="V100" s="38">
        <f>E100*G100*(1-N100)*O100/100*(R100+S100)/1000000</f>
        <v>0.44144099999999986</v>
      </c>
      <c r="W100" s="38">
        <f>+'23'!K7/1000</f>
        <v>27.837</v>
      </c>
      <c r="X100" s="361">
        <f>SUM(W100:W103)/SUM(K100:K103)</f>
        <v>0.86348074388702756</v>
      </c>
      <c r="Y100" s="38">
        <v>0</v>
      </c>
      <c r="Z100" s="38">
        <f>+'23'!D7/1000</f>
        <v>1.5</v>
      </c>
      <c r="AA100" s="49">
        <f>SUM(U100:U103)-SUM(W100:W103)-SUM(Z100:Z103)-SUM(Y100:Y103)</f>
        <v>3.2861305599999966</v>
      </c>
      <c r="AB100" s="49">
        <f>(SUM(K100:K103)-SUM(W100:W103)-SUM(Y100:Y103)-SUM(Z100:Z103)-SUM(AC100:AC103)-SUM(V100:V103))-AA100</f>
        <v>-2.6396685000000808E-2</v>
      </c>
      <c r="AC100" s="38">
        <f>K100-T100</f>
        <v>0.93243149999999986</v>
      </c>
      <c r="AD100" s="38">
        <f>+AM100+BA100</f>
        <v>4</v>
      </c>
      <c r="AE100" s="226" t="s">
        <v>445</v>
      </c>
      <c r="AF100" s="38">
        <v>4</v>
      </c>
      <c r="AG100" s="38"/>
      <c r="AH100" s="38"/>
      <c r="AI100" s="476"/>
      <c r="AJ100" s="38"/>
      <c r="AK100" s="38"/>
      <c r="AL100" s="38"/>
      <c r="AM100" s="38">
        <f>SUM(AF100:AL100)+AT100+AV100+AX100</f>
        <v>4</v>
      </c>
      <c r="AN100" s="38"/>
      <c r="AO100" s="38"/>
      <c r="AP100" s="38"/>
      <c r="AQ100" s="38"/>
      <c r="AR100" s="38">
        <f>SUM(AN100:AQ100)</f>
        <v>0</v>
      </c>
      <c r="AS100" s="38"/>
      <c r="AT100" s="38"/>
      <c r="AU100" s="38"/>
      <c r="AV100" s="38"/>
      <c r="AW100" s="38"/>
      <c r="AX100" s="38"/>
      <c r="AY100" s="38"/>
      <c r="AZ100" s="38"/>
      <c r="BA100" s="38">
        <f>+AR100+AS100+AU100+AW100+AY100+AZ100</f>
        <v>0</v>
      </c>
      <c r="BB100" s="34">
        <v>2</v>
      </c>
      <c r="BC100" s="51"/>
      <c r="BD100" s="51"/>
      <c r="BE100" s="51"/>
      <c r="BF100" s="51"/>
    </row>
    <row r="101" spans="1:58" ht="12.9" customHeight="1">
      <c r="A101" s="41"/>
      <c r="B101" s="42" t="s">
        <v>422</v>
      </c>
      <c r="C101" s="393">
        <f>(M101*E101*O101*Q101)/100000000</f>
        <v>26.723773125000001</v>
      </c>
      <c r="D101" s="42" t="s">
        <v>423</v>
      </c>
      <c r="E101" s="43">
        <v>13.5</v>
      </c>
      <c r="F101" s="43">
        <v>1</v>
      </c>
      <c r="G101" s="406">
        <v>1250</v>
      </c>
      <c r="H101" s="533">
        <f>+N101</f>
        <v>0.16000000000000003</v>
      </c>
      <c r="I101" s="45">
        <v>0.88</v>
      </c>
      <c r="J101" s="82">
        <f>E101*G101*(1-H101)*1440/1000000*2.7</f>
        <v>55.112400000000001</v>
      </c>
      <c r="K101" s="82">
        <f>(IF(G101&lt;L101,L101,G101)*(1-IF(H101&lt;N101,H101,N101))*E101*O101*Q101)/100000000</f>
        <v>27.269156250000002</v>
      </c>
      <c r="L101" s="36">
        <v>1225</v>
      </c>
      <c r="M101" s="36">
        <v>1029</v>
      </c>
      <c r="N101" s="46">
        <f>1-(M101/L101)</f>
        <v>0.16000000000000003</v>
      </c>
      <c r="O101" s="47">
        <f>+'Trim Rwd'!H62</f>
        <v>256.5</v>
      </c>
      <c r="P101" s="48">
        <f>O101*(Q101-R101-S101)</f>
        <v>188784</v>
      </c>
      <c r="Q101" s="47">
        <v>750</v>
      </c>
      <c r="R101" s="362">
        <v>0</v>
      </c>
      <c r="S101" s="362">
        <v>14</v>
      </c>
      <c r="T101" s="38">
        <f>E101*M101*O101*Q101/100000000</f>
        <v>26.723773125000001</v>
      </c>
      <c r="U101" s="38">
        <f>E101*M101*O101*(Q101-R101-S101)/100000000</f>
        <v>26.224929360000001</v>
      </c>
      <c r="V101" s="38">
        <f>E101*G101*(1-N101)*O101/100*(R101+S101)/1000000</f>
        <v>0.50902424999999996</v>
      </c>
      <c r="W101" s="38">
        <f>+'23'!K10/1000</f>
        <v>17.626999999999999</v>
      </c>
      <c r="X101" s="361"/>
      <c r="Y101" s="209"/>
      <c r="Z101" s="38"/>
      <c r="AA101" s="38"/>
      <c r="AB101" s="38"/>
      <c r="AC101" s="38">
        <f>K101-T101</f>
        <v>0.54538312500000075</v>
      </c>
      <c r="AD101" s="38">
        <f t="shared" ref="AD101:AD102" si="91">+AM101+BA101</f>
        <v>0</v>
      </c>
      <c r="AE101" s="226" t="s">
        <v>419</v>
      </c>
      <c r="AF101" s="38"/>
      <c r="AG101" s="38">
        <v>0</v>
      </c>
      <c r="AH101" s="38"/>
      <c r="AI101" s="476"/>
      <c r="AJ101" s="38"/>
      <c r="AK101" s="38"/>
      <c r="AL101" s="38"/>
      <c r="AM101" s="38">
        <f t="shared" ref="AM101:AM102" si="92">SUM(AF101:AL101)+AT101+AV101+AX101</f>
        <v>0</v>
      </c>
      <c r="AN101" s="83"/>
      <c r="AO101" s="38"/>
      <c r="AP101" s="38"/>
      <c r="AQ101" s="38"/>
      <c r="AR101" s="38">
        <f t="shared" ref="AR101:AR102" si="93">SUM(AN101:AQ101)</f>
        <v>0</v>
      </c>
      <c r="AS101" s="38"/>
      <c r="AT101" s="38"/>
      <c r="AU101" s="38"/>
      <c r="AV101" s="38"/>
      <c r="AW101" s="38"/>
      <c r="AX101" s="38"/>
      <c r="AY101" s="38"/>
      <c r="AZ101" s="38"/>
      <c r="BA101" s="38">
        <f t="shared" ref="BA101:BA102" si="94">+AR101+AS101+AU101+AW101+AY101+AZ101</f>
        <v>0</v>
      </c>
      <c r="BB101" s="50"/>
      <c r="BC101" s="51">
        <v>0</v>
      </c>
      <c r="BD101" s="51"/>
      <c r="BE101" s="51"/>
      <c r="BF101" s="51"/>
    </row>
    <row r="102" spans="1:58" ht="12.9" customHeight="1">
      <c r="A102" s="41"/>
      <c r="B102" s="42"/>
      <c r="C102" s="393"/>
      <c r="D102" s="42"/>
      <c r="E102" s="43"/>
      <c r="F102" s="43"/>
      <c r="G102" s="406"/>
      <c r="H102" s="533"/>
      <c r="I102" s="45"/>
      <c r="J102" s="82"/>
      <c r="K102" s="82"/>
      <c r="L102" s="36"/>
      <c r="M102" s="36"/>
      <c r="N102" s="46"/>
      <c r="O102" s="47"/>
      <c r="P102" s="48"/>
      <c r="Q102" s="47"/>
      <c r="R102" s="362"/>
      <c r="S102" s="362"/>
      <c r="T102" s="38"/>
      <c r="U102" s="38"/>
      <c r="V102" s="38"/>
      <c r="W102" s="38"/>
      <c r="X102" s="361"/>
      <c r="Y102" s="209"/>
      <c r="Z102" s="38"/>
      <c r="AA102" s="38"/>
      <c r="AB102" s="38"/>
      <c r="AC102" s="38"/>
      <c r="AD102" s="38">
        <f t="shared" si="91"/>
        <v>22</v>
      </c>
      <c r="AE102" s="226" t="s">
        <v>651</v>
      </c>
      <c r="AF102" s="34"/>
      <c r="AG102" s="34"/>
      <c r="AH102" s="34">
        <v>22</v>
      </c>
      <c r="AJ102" s="38"/>
      <c r="AK102" s="38"/>
      <c r="AL102" s="38"/>
      <c r="AM102" s="38">
        <f t="shared" si="92"/>
        <v>22</v>
      </c>
      <c r="AN102" s="38"/>
      <c r="AO102" s="38"/>
      <c r="AP102" s="38"/>
      <c r="AQ102" s="38"/>
      <c r="AR102" s="38">
        <f t="shared" si="93"/>
        <v>0</v>
      </c>
      <c r="AS102" s="38"/>
      <c r="AT102" s="38"/>
      <c r="AU102" s="38"/>
      <c r="AV102" s="38"/>
      <c r="AW102" s="38"/>
      <c r="AX102" s="38"/>
      <c r="AY102" s="38"/>
      <c r="AZ102" s="38"/>
      <c r="BA102" s="38">
        <f t="shared" si="94"/>
        <v>0</v>
      </c>
      <c r="BB102" s="34"/>
      <c r="BC102" s="477"/>
      <c r="BD102" s="51"/>
      <c r="BE102" s="51"/>
      <c r="BF102" s="51"/>
    </row>
    <row r="103" spans="1:58" ht="12.9" customHeight="1">
      <c r="A103" s="41"/>
      <c r="B103" s="42"/>
      <c r="C103" s="393"/>
      <c r="D103" s="42"/>
      <c r="E103" s="43"/>
      <c r="F103" s="43"/>
      <c r="G103" s="406"/>
      <c r="H103" s="533"/>
      <c r="I103" s="45"/>
      <c r="J103" s="82"/>
      <c r="K103" s="82"/>
      <c r="L103" s="36"/>
      <c r="M103" s="36"/>
      <c r="N103" s="46"/>
      <c r="O103" s="47"/>
      <c r="P103" s="48"/>
      <c r="Q103" s="47"/>
      <c r="R103" s="362"/>
      <c r="S103" s="362"/>
      <c r="T103" s="38"/>
      <c r="U103" s="38"/>
      <c r="V103" s="38"/>
      <c r="W103" s="38"/>
      <c r="X103" s="361"/>
      <c r="Y103" s="209"/>
      <c r="Z103" s="38"/>
      <c r="AA103" s="38"/>
      <c r="AB103" s="38"/>
      <c r="AC103" s="38"/>
      <c r="AD103" s="38"/>
      <c r="AE103" s="226"/>
      <c r="AF103" s="38"/>
      <c r="AG103" s="38"/>
      <c r="AH103" s="38"/>
      <c r="AI103" s="476"/>
      <c r="AJ103" s="38"/>
      <c r="AK103" s="38"/>
      <c r="AL103" s="38"/>
      <c r="AM103" s="38"/>
      <c r="AN103" s="83"/>
      <c r="AO103" s="38"/>
      <c r="AP103" s="38"/>
      <c r="AQ103" s="38"/>
      <c r="AR103" s="38"/>
      <c r="AS103" s="38"/>
      <c r="AT103" s="38"/>
      <c r="AU103" s="38"/>
      <c r="AV103" s="38"/>
      <c r="AW103" s="38"/>
      <c r="AX103" s="38"/>
      <c r="AY103" s="38"/>
      <c r="AZ103" s="38"/>
      <c r="BA103" s="38"/>
      <c r="BB103" s="50"/>
      <c r="BC103" s="51"/>
      <c r="BD103" s="51"/>
      <c r="BE103" s="51"/>
      <c r="BF103" s="51"/>
    </row>
    <row r="104" spans="1:58" ht="12.75" customHeight="1">
      <c r="A104" s="41">
        <v>46105</v>
      </c>
      <c r="B104" s="42" t="s">
        <v>422</v>
      </c>
      <c r="C104" s="393">
        <f>(M104*E104*O104*Q104)/100000000</f>
        <v>52.459860599999999</v>
      </c>
      <c r="D104" s="42" t="s">
        <v>423</v>
      </c>
      <c r="E104" s="43">
        <v>13.5</v>
      </c>
      <c r="F104" s="43">
        <v>1</v>
      </c>
      <c r="G104" s="406">
        <v>1250</v>
      </c>
      <c r="H104" s="533">
        <f>+N104</f>
        <v>0.16000000000000003</v>
      </c>
      <c r="I104" s="45">
        <v>0.88</v>
      </c>
      <c r="J104" s="82">
        <f>E104*G104*(1-H104)*1440/1000000*2.7</f>
        <v>55.112400000000001</v>
      </c>
      <c r="K104" s="82">
        <f>(IF(G104&lt;L104,L104,G104)*(1-IF(H104&lt;N104,H104,N104))*E104*O104*Q104)/100000000</f>
        <v>53.530470000000001</v>
      </c>
      <c r="L104" s="36">
        <v>1225</v>
      </c>
      <c r="M104" s="36">
        <v>1029</v>
      </c>
      <c r="N104" s="46">
        <f>1-(M104/L104)</f>
        <v>0.16000000000000003</v>
      </c>
      <c r="O104" s="47">
        <f>+'Trim Rwd'!H64</f>
        <v>262.25</v>
      </c>
      <c r="P104" s="48">
        <f>O104*(Q104-R104-S104)</f>
        <v>369772.5</v>
      </c>
      <c r="Q104" s="47">
        <v>1440</v>
      </c>
      <c r="R104" s="362">
        <v>0</v>
      </c>
      <c r="S104" s="362">
        <v>30</v>
      </c>
      <c r="T104" s="38">
        <f>E104*M104*O104*Q104/100000000</f>
        <v>52.459860599999999</v>
      </c>
      <c r="U104" s="38">
        <f>E104*M104*O104*(Q104-R104-S104)/100000000</f>
        <v>51.366946837500002</v>
      </c>
      <c r="V104" s="38">
        <f>E104*G104*(1-N104)*O104/100*(R104+S104)/1000000</f>
        <v>1.1152181249999999</v>
      </c>
      <c r="W104" s="38">
        <f>+'24'!K10/1000</f>
        <v>50.433</v>
      </c>
      <c r="X104" s="361">
        <f>SUM(W104:W107)/SUM(K104:K107)</f>
        <v>0.94213631974462397</v>
      </c>
      <c r="Y104" s="38">
        <v>0</v>
      </c>
      <c r="Z104" s="38">
        <f>+'23'!D11/1000</f>
        <v>0</v>
      </c>
      <c r="AA104" s="49">
        <f>SUM(U104:U107)-SUM(W104:W107)-SUM(Z104:Z107)-SUM(Y104:Y107)</f>
        <v>0.9339468375000024</v>
      </c>
      <c r="AB104" s="49">
        <f>(SUM(K104:K107)-SUM(W104:W107)-SUM(Y104:Y107)-SUM(Z104:Z107)-SUM(AC104:AC107)-SUM(V104:V107))-AA104</f>
        <v>-2.2304362500003228E-2</v>
      </c>
      <c r="AC104" s="38">
        <f>K104-T104</f>
        <v>1.0706094000000022</v>
      </c>
      <c r="AD104" s="38">
        <f>+AM104+BA104</f>
        <v>8</v>
      </c>
      <c r="AE104" s="226" t="s">
        <v>696</v>
      </c>
      <c r="AF104" s="38">
        <v>8</v>
      </c>
      <c r="AG104" s="38"/>
      <c r="AH104" s="38"/>
      <c r="AI104" s="476"/>
      <c r="AJ104" s="38"/>
      <c r="AK104" s="38"/>
      <c r="AL104" s="38"/>
      <c r="AM104" s="38">
        <f>SUM(AF104:AL104)+AT104+AV104+AX104</f>
        <v>8</v>
      </c>
      <c r="AN104" s="38"/>
      <c r="AO104" s="38"/>
      <c r="AP104" s="38"/>
      <c r="AQ104" s="38"/>
      <c r="AR104" s="38">
        <f>SUM(AN104:AQ104)</f>
        <v>0</v>
      </c>
      <c r="AS104" s="38"/>
      <c r="AT104" s="38"/>
      <c r="AU104" s="38"/>
      <c r="AV104" s="38"/>
      <c r="AW104" s="38"/>
      <c r="AX104" s="38"/>
      <c r="AY104" s="38"/>
      <c r="AZ104" s="38"/>
      <c r="BA104" s="38">
        <f>+AR104+AS104+AU104+AW104+AY104+AZ104</f>
        <v>0</v>
      </c>
      <c r="BB104" s="34">
        <v>4</v>
      </c>
      <c r="BC104" s="51"/>
      <c r="BD104" s="51"/>
      <c r="BE104" s="51"/>
      <c r="BF104" s="51"/>
    </row>
    <row r="105" spans="1:58" ht="12.9" customHeight="1">
      <c r="A105" s="41"/>
      <c r="B105" s="42"/>
      <c r="C105" s="393"/>
      <c r="D105" s="42"/>
      <c r="E105" s="43"/>
      <c r="F105" s="43"/>
      <c r="G105" s="406"/>
      <c r="H105" s="533"/>
      <c r="I105" s="45"/>
      <c r="J105" s="82"/>
      <c r="K105" s="82"/>
      <c r="L105" s="36"/>
      <c r="M105" s="36"/>
      <c r="N105" s="46"/>
      <c r="O105" s="47"/>
      <c r="P105" s="48"/>
      <c r="Q105" s="47"/>
      <c r="R105" s="362"/>
      <c r="S105" s="362"/>
      <c r="T105" s="38"/>
      <c r="U105" s="38"/>
      <c r="V105" s="38"/>
      <c r="W105" s="38"/>
      <c r="X105" s="361"/>
      <c r="Y105" s="209"/>
      <c r="Z105" s="38"/>
      <c r="AA105" s="38"/>
      <c r="AB105" s="38"/>
      <c r="AC105" s="38"/>
      <c r="AD105" s="38">
        <f t="shared" ref="AD105:AD106" si="95">+AM105+BA105</f>
        <v>0</v>
      </c>
      <c r="AE105" s="226" t="s">
        <v>419</v>
      </c>
      <c r="AF105" s="38"/>
      <c r="AG105" s="38">
        <v>0</v>
      </c>
      <c r="AH105" s="38"/>
      <c r="AI105" s="476"/>
      <c r="AJ105" s="38"/>
      <c r="AK105" s="38"/>
      <c r="AL105" s="38"/>
      <c r="AM105" s="38">
        <f t="shared" ref="AM105:AM106" si="96">SUM(AF105:AL105)+AT105+AV105+AX105</f>
        <v>0</v>
      </c>
      <c r="AN105" s="83"/>
      <c r="AO105" s="38"/>
      <c r="AP105" s="38"/>
      <c r="AQ105" s="38"/>
      <c r="AR105" s="38">
        <f t="shared" ref="AR105:AR106" si="97">SUM(AN105:AQ105)</f>
        <v>0</v>
      </c>
      <c r="AS105" s="38"/>
      <c r="AT105" s="38"/>
      <c r="AU105" s="38"/>
      <c r="AV105" s="38"/>
      <c r="AW105" s="38"/>
      <c r="AX105" s="38"/>
      <c r="AY105" s="38"/>
      <c r="AZ105" s="38"/>
      <c r="BA105" s="38">
        <f t="shared" ref="BA105:BA106" si="98">+AR105+AS105+AU105+AW105+AY105+AZ105</f>
        <v>0</v>
      </c>
      <c r="BB105" s="50"/>
      <c r="BC105" s="51">
        <v>0</v>
      </c>
      <c r="BD105" s="51"/>
      <c r="BE105" s="51"/>
      <c r="BF105" s="51"/>
    </row>
    <row r="106" spans="1:58" ht="12.9" customHeight="1">
      <c r="A106" s="41"/>
      <c r="B106" s="42"/>
      <c r="C106" s="393"/>
      <c r="D106" s="42"/>
      <c r="E106" s="43"/>
      <c r="F106" s="43"/>
      <c r="G106" s="406"/>
      <c r="H106" s="533"/>
      <c r="I106" s="45"/>
      <c r="J106" s="82"/>
      <c r="K106" s="82"/>
      <c r="L106" s="36"/>
      <c r="M106" s="36"/>
      <c r="N106" s="46"/>
      <c r="O106" s="47"/>
      <c r="P106" s="48"/>
      <c r="Q106" s="47"/>
      <c r="R106" s="362"/>
      <c r="S106" s="362"/>
      <c r="T106" s="38"/>
      <c r="U106" s="38"/>
      <c r="V106" s="38"/>
      <c r="W106" s="38"/>
      <c r="X106" s="361"/>
      <c r="Y106" s="209"/>
      <c r="Z106" s="38"/>
      <c r="AA106" s="38"/>
      <c r="AB106" s="38"/>
      <c r="AC106" s="38"/>
      <c r="AD106" s="38">
        <f t="shared" si="95"/>
        <v>22</v>
      </c>
      <c r="AE106" s="226" t="s">
        <v>457</v>
      </c>
      <c r="AF106" s="34"/>
      <c r="AG106" s="34"/>
      <c r="AH106" s="34">
        <v>22</v>
      </c>
      <c r="AJ106" s="38"/>
      <c r="AK106" s="38"/>
      <c r="AL106" s="38"/>
      <c r="AM106" s="38">
        <f t="shared" si="96"/>
        <v>22</v>
      </c>
      <c r="AN106" s="38"/>
      <c r="AO106" s="38"/>
      <c r="AP106" s="38"/>
      <c r="AQ106" s="38"/>
      <c r="AR106" s="38">
        <f t="shared" si="97"/>
        <v>0</v>
      </c>
      <c r="AS106" s="38"/>
      <c r="AT106" s="38"/>
      <c r="AU106" s="38"/>
      <c r="AV106" s="38"/>
      <c r="AW106" s="38"/>
      <c r="AX106" s="38"/>
      <c r="AY106" s="38"/>
      <c r="AZ106" s="38"/>
      <c r="BA106" s="38">
        <f t="shared" si="98"/>
        <v>0</v>
      </c>
      <c r="BB106" s="34"/>
      <c r="BC106" s="477"/>
      <c r="BD106" s="51"/>
      <c r="BE106" s="51"/>
      <c r="BF106" s="51"/>
    </row>
    <row r="107" spans="1:58" ht="12.9" customHeight="1">
      <c r="A107" s="41"/>
      <c r="B107" s="42"/>
      <c r="C107" s="393"/>
      <c r="D107" s="42"/>
      <c r="E107" s="43"/>
      <c r="F107" s="43"/>
      <c r="G107" s="406"/>
      <c r="H107" s="533"/>
      <c r="I107" s="45"/>
      <c r="J107" s="82"/>
      <c r="K107" s="82"/>
      <c r="L107" s="36"/>
      <c r="M107" s="36"/>
      <c r="N107" s="46"/>
      <c r="O107" s="47"/>
      <c r="P107" s="48"/>
      <c r="Q107" s="47"/>
      <c r="R107" s="362"/>
      <c r="S107" s="362"/>
      <c r="T107" s="38"/>
      <c r="U107" s="38"/>
      <c r="V107" s="38"/>
      <c r="W107" s="38"/>
      <c r="X107" s="361"/>
      <c r="Y107" s="209"/>
      <c r="Z107" s="38"/>
      <c r="AA107" s="38"/>
      <c r="AB107" s="38"/>
      <c r="AC107" s="38"/>
      <c r="AD107" s="38"/>
      <c r="AE107" s="226"/>
      <c r="AF107" s="38"/>
      <c r="AG107" s="38"/>
      <c r="AH107" s="38"/>
      <c r="AI107" s="476"/>
      <c r="AJ107" s="38"/>
      <c r="AK107" s="38"/>
      <c r="AL107" s="38"/>
      <c r="AM107" s="38"/>
      <c r="AN107" s="83"/>
      <c r="AO107" s="38"/>
      <c r="AP107" s="38"/>
      <c r="AQ107" s="38"/>
      <c r="AR107" s="38"/>
      <c r="AS107" s="38"/>
      <c r="AT107" s="38"/>
      <c r="AU107" s="38"/>
      <c r="AV107" s="38"/>
      <c r="AW107" s="38"/>
      <c r="AX107" s="38"/>
      <c r="AY107" s="38"/>
      <c r="AZ107" s="38"/>
      <c r="BA107" s="38"/>
      <c r="BB107" s="50"/>
      <c r="BC107" s="51"/>
      <c r="BD107" s="51"/>
      <c r="BE107" s="51"/>
      <c r="BF107" s="51"/>
    </row>
    <row r="108" spans="1:58" ht="12.75" customHeight="1">
      <c r="A108" s="41">
        <v>46106</v>
      </c>
      <c r="B108" s="42" t="s">
        <v>422</v>
      </c>
      <c r="C108" s="393">
        <f>(M108*E108*O108*Q108)/100000000</f>
        <v>51.669086962500003</v>
      </c>
      <c r="D108" s="42" t="s">
        <v>423</v>
      </c>
      <c r="E108" s="43">
        <v>13.5</v>
      </c>
      <c r="F108" s="43">
        <v>1</v>
      </c>
      <c r="G108" s="406">
        <v>1250</v>
      </c>
      <c r="H108" s="533">
        <f>+N108</f>
        <v>0.16000000000000003</v>
      </c>
      <c r="I108" s="45">
        <v>0.88</v>
      </c>
      <c r="J108" s="82">
        <f>E108*G108*(1-H108)*1440/1000000*2.7</f>
        <v>55.112400000000001</v>
      </c>
      <c r="K108" s="82">
        <f>(IF(G108&lt;L108,L108,G108)*(1-IF(H108&lt;N108,H108,N108))*E108*O108*Q108)/100000000</f>
        <v>52.723558124999997</v>
      </c>
      <c r="L108" s="36">
        <v>1225</v>
      </c>
      <c r="M108" s="36">
        <v>1029</v>
      </c>
      <c r="N108" s="46">
        <f>1-(M108/L108)</f>
        <v>0.16000000000000003</v>
      </c>
      <c r="O108" s="47">
        <f>+'Trim Rwd'!H67</f>
        <v>258.296875</v>
      </c>
      <c r="P108" s="48">
        <f>O108*(Q108-R108-S108)</f>
        <v>362648.8125</v>
      </c>
      <c r="Q108" s="47">
        <v>1440</v>
      </c>
      <c r="R108" s="362">
        <v>0</v>
      </c>
      <c r="S108" s="362">
        <v>36</v>
      </c>
      <c r="T108" s="38">
        <f>E108*M108*O108*Q108/100000000</f>
        <v>51.669086962500003</v>
      </c>
      <c r="U108" s="38">
        <f>E108*M108*O108*(Q108-R108-S108)/100000000</f>
        <v>50.377359788437502</v>
      </c>
      <c r="V108" s="38">
        <f>E108*G108*(1-N108)*O108/100*(R108+S108)/1000000</f>
        <v>1.318088953125</v>
      </c>
      <c r="W108" s="38">
        <f>+'25'!K10/1000</f>
        <v>53.863999999999997</v>
      </c>
      <c r="X108" s="361">
        <f>SUM(W108:W111)/SUM(K108:K111)</f>
        <v>1.0216305939044588</v>
      </c>
      <c r="Y108" s="38">
        <v>0</v>
      </c>
      <c r="Z108" s="38">
        <v>0</v>
      </c>
      <c r="AA108" s="49">
        <f>SUM(U108:U111)-SUM(W108:W111)-SUM(Z108:Z111)-SUM(Y108:Y111)</f>
        <v>-3.486640211562495</v>
      </c>
      <c r="AB108" s="49">
        <f>(SUM(K108:K111)-SUM(W108:W111)-SUM(Y108:Y111)-SUM(Z108:Z111)-SUM(AC108:AC111)-SUM(V108:V111))-AA108</f>
        <v>-2.6361779062498591E-2</v>
      </c>
      <c r="AC108" s="38">
        <f>K108-T108</f>
        <v>1.0544711624999934</v>
      </c>
      <c r="AD108" s="38">
        <f>+AM108+BA108</f>
        <v>0</v>
      </c>
      <c r="AE108" s="226" t="s">
        <v>417</v>
      </c>
      <c r="AF108" s="38">
        <v>0</v>
      </c>
      <c r="AG108" s="38"/>
      <c r="AH108" s="38"/>
      <c r="AI108" s="476"/>
      <c r="AJ108" s="38"/>
      <c r="AK108" s="38"/>
      <c r="AL108" s="38"/>
      <c r="AM108" s="38">
        <f>SUM(AF108:AL108)+AT108+AV108+AX108</f>
        <v>0</v>
      </c>
      <c r="AN108" s="38"/>
      <c r="AO108" s="38"/>
      <c r="AP108" s="38"/>
      <c r="AQ108" s="38"/>
      <c r="AR108" s="38">
        <f>SUM(AN108:AQ108)</f>
        <v>0</v>
      </c>
      <c r="AS108" s="38"/>
      <c r="AT108" s="38"/>
      <c r="AU108" s="38"/>
      <c r="AV108" s="38"/>
      <c r="AW108" s="38"/>
      <c r="AX108" s="38"/>
      <c r="AY108" s="38"/>
      <c r="AZ108" s="38"/>
      <c r="BA108" s="38">
        <f>+AR108+AS108+AU108+AW108+AY108+AZ108</f>
        <v>0</v>
      </c>
      <c r="BB108" s="34">
        <v>0</v>
      </c>
      <c r="BC108" s="51"/>
      <c r="BD108" s="51"/>
      <c r="BE108" s="51"/>
      <c r="BF108" s="51"/>
    </row>
    <row r="109" spans="1:58" ht="12.9" customHeight="1">
      <c r="A109" s="41"/>
      <c r="B109" s="42"/>
      <c r="C109" s="393"/>
      <c r="D109" s="42"/>
      <c r="E109" s="43"/>
      <c r="F109" s="43"/>
      <c r="G109" s="406"/>
      <c r="H109" s="533"/>
      <c r="I109" s="45"/>
      <c r="J109" s="82"/>
      <c r="K109" s="82"/>
      <c r="L109" s="36"/>
      <c r="M109" s="36"/>
      <c r="N109" s="46"/>
      <c r="O109" s="47"/>
      <c r="P109" s="48"/>
      <c r="Q109" s="47"/>
      <c r="R109" s="362"/>
      <c r="S109" s="362"/>
      <c r="T109" s="38"/>
      <c r="U109" s="38"/>
      <c r="V109" s="38"/>
      <c r="W109" s="38"/>
      <c r="X109" s="361"/>
      <c r="Y109" s="209"/>
      <c r="Z109" s="38"/>
      <c r="AA109" s="38"/>
      <c r="AB109" s="38"/>
      <c r="AC109" s="38"/>
      <c r="AD109" s="38">
        <f t="shared" ref="AD109:AD110" si="99">+AM109+BA109</f>
        <v>8</v>
      </c>
      <c r="AE109" s="226" t="s">
        <v>653</v>
      </c>
      <c r="AF109" s="38"/>
      <c r="AG109" s="38">
        <v>8</v>
      </c>
      <c r="AH109" s="38"/>
      <c r="AI109" s="476"/>
      <c r="AJ109" s="38"/>
      <c r="AK109" s="38"/>
      <c r="AL109" s="38"/>
      <c r="AM109" s="38">
        <f t="shared" ref="AM109:AM110" si="100">SUM(AF109:AL109)+AT109+AV109+AX109</f>
        <v>8</v>
      </c>
      <c r="AN109" s="83"/>
      <c r="AO109" s="38"/>
      <c r="AP109" s="38"/>
      <c r="AQ109" s="38"/>
      <c r="AR109" s="38">
        <f t="shared" ref="AR109:AR110" si="101">SUM(AN109:AQ109)</f>
        <v>0</v>
      </c>
      <c r="AS109" s="38"/>
      <c r="AT109" s="38"/>
      <c r="AU109" s="38"/>
      <c r="AV109" s="38"/>
      <c r="AW109" s="38"/>
      <c r="AX109" s="38"/>
      <c r="AY109" s="38"/>
      <c r="AZ109" s="38"/>
      <c r="BA109" s="38">
        <f t="shared" ref="BA109:BA110" si="102">+AR109+AS109+AU109+AW109+AY109+AZ109</f>
        <v>0</v>
      </c>
      <c r="BB109" s="50"/>
      <c r="BC109" s="51">
        <v>3</v>
      </c>
      <c r="BD109" s="51"/>
      <c r="BE109" s="51"/>
      <c r="BF109" s="51"/>
    </row>
    <row r="110" spans="1:58" ht="12.9" customHeight="1">
      <c r="A110" s="41"/>
      <c r="B110" s="42"/>
      <c r="C110" s="393"/>
      <c r="D110" s="42"/>
      <c r="E110" s="43"/>
      <c r="F110" s="43"/>
      <c r="G110" s="406"/>
      <c r="H110" s="533"/>
      <c r="I110" s="45"/>
      <c r="J110" s="82"/>
      <c r="K110" s="82"/>
      <c r="L110" s="36"/>
      <c r="M110" s="36"/>
      <c r="N110" s="46"/>
      <c r="O110" s="47"/>
      <c r="P110" s="48"/>
      <c r="Q110" s="47"/>
      <c r="R110" s="362"/>
      <c r="S110" s="362"/>
      <c r="T110" s="38"/>
      <c r="U110" s="38"/>
      <c r="V110" s="38"/>
      <c r="W110" s="38"/>
      <c r="X110" s="361"/>
      <c r="Y110" s="209"/>
      <c r="Z110" s="38"/>
      <c r="AA110" s="38"/>
      <c r="AB110" s="38"/>
      <c r="AC110" s="38"/>
      <c r="AD110" s="38">
        <f t="shared" si="99"/>
        <v>28</v>
      </c>
      <c r="AE110" s="226" t="s">
        <v>392</v>
      </c>
      <c r="AF110" s="34"/>
      <c r="AG110" s="34"/>
      <c r="AH110" s="34">
        <v>28</v>
      </c>
      <c r="AJ110" s="38"/>
      <c r="AK110" s="38"/>
      <c r="AL110" s="38"/>
      <c r="AM110" s="38">
        <f t="shared" si="100"/>
        <v>28</v>
      </c>
      <c r="AN110" s="38"/>
      <c r="AO110" s="38"/>
      <c r="AP110" s="38"/>
      <c r="AQ110" s="38"/>
      <c r="AR110" s="38">
        <f t="shared" si="101"/>
        <v>0</v>
      </c>
      <c r="AS110" s="38"/>
      <c r="AT110" s="38"/>
      <c r="AU110" s="38"/>
      <c r="AV110" s="38"/>
      <c r="AW110" s="38"/>
      <c r="AX110" s="38"/>
      <c r="AY110" s="38"/>
      <c r="AZ110" s="38"/>
      <c r="BA110" s="38">
        <f t="shared" si="102"/>
        <v>0</v>
      </c>
      <c r="BB110" s="34"/>
      <c r="BC110" s="477"/>
      <c r="BD110" s="51"/>
      <c r="BE110" s="51"/>
      <c r="BF110" s="51"/>
    </row>
    <row r="111" spans="1:58" ht="12.9" customHeight="1">
      <c r="A111" s="41"/>
      <c r="B111" s="42"/>
      <c r="C111" s="393"/>
      <c r="D111" s="42"/>
      <c r="E111" s="43"/>
      <c r="F111" s="43"/>
      <c r="G111" s="406"/>
      <c r="H111" s="533"/>
      <c r="I111" s="45"/>
      <c r="J111" s="82"/>
      <c r="K111" s="82"/>
      <c r="L111" s="36"/>
      <c r="M111" s="36"/>
      <c r="N111" s="46"/>
      <c r="O111" s="47"/>
      <c r="P111" s="48"/>
      <c r="Q111" s="47"/>
      <c r="R111" s="362"/>
      <c r="S111" s="362"/>
      <c r="T111" s="38"/>
      <c r="U111" s="38"/>
      <c r="V111" s="38"/>
      <c r="W111" s="38"/>
      <c r="X111" s="361"/>
      <c r="Y111" s="209"/>
      <c r="Z111" s="38"/>
      <c r="AA111" s="49"/>
      <c r="AB111" s="49"/>
      <c r="AC111" s="38"/>
      <c r="AD111" s="38"/>
      <c r="AE111" s="226"/>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4"/>
      <c r="BC111" s="51"/>
      <c r="BD111" s="51"/>
      <c r="BE111" s="51"/>
      <c r="BF111" s="51"/>
    </row>
    <row r="112" spans="1:58" ht="12.75" customHeight="1">
      <c r="A112" s="41">
        <v>46107</v>
      </c>
      <c r="B112" s="42" t="s">
        <v>422</v>
      </c>
      <c r="C112" s="393">
        <f>(M112*E112*O112*Q112)/100000000</f>
        <v>51.309644400000003</v>
      </c>
      <c r="D112" s="42" t="s">
        <v>423</v>
      </c>
      <c r="E112" s="43">
        <v>13.5</v>
      </c>
      <c r="F112" s="43">
        <v>1</v>
      </c>
      <c r="G112" s="406">
        <v>1250</v>
      </c>
      <c r="H112" s="533">
        <f>+N112</f>
        <v>0.16000000000000003</v>
      </c>
      <c r="I112" s="45">
        <v>0.88</v>
      </c>
      <c r="J112" s="82">
        <f>E112*G112*(1-H112)*1440/1000000*2.7</f>
        <v>55.112400000000001</v>
      </c>
      <c r="K112" s="82">
        <f>(IF(G112&lt;L112,L112,G112)*(1-IF(H112&lt;N112,H112,N112))*E112*O112*Q112)/100000000</f>
        <v>52.356780000000001</v>
      </c>
      <c r="L112" s="36">
        <v>1225</v>
      </c>
      <c r="M112" s="36">
        <v>1029</v>
      </c>
      <c r="N112" s="46">
        <f>1-(M112/L112)</f>
        <v>0.16000000000000003</v>
      </c>
      <c r="O112" s="47">
        <f>+'Trim Rwd'!H70</f>
        <v>256.5</v>
      </c>
      <c r="P112" s="48">
        <f>O112*(Q112-R112-S112)</f>
        <v>360639</v>
      </c>
      <c r="Q112" s="47">
        <v>1440</v>
      </c>
      <c r="R112" s="362">
        <v>0</v>
      </c>
      <c r="S112" s="362">
        <v>34</v>
      </c>
      <c r="T112" s="38">
        <f>E112*M112*O112*Q112/100000000</f>
        <v>51.309644400000003</v>
      </c>
      <c r="U112" s="38">
        <f>E112*M112*O112*(Q112-R112-S112)/100000000</f>
        <v>50.098166685000002</v>
      </c>
      <c r="V112" s="38">
        <f>E112*G112*(1-N112)*O112/100*(R112+S112)/1000000</f>
        <v>1.23620175</v>
      </c>
      <c r="W112" s="38">
        <f>+'26'!K10/1000</f>
        <v>49.85</v>
      </c>
      <c r="X112" s="361">
        <f>SUM(W112:W115)/SUM(K112:K115)</f>
        <v>0.95212119614689827</v>
      </c>
      <c r="Y112" s="38">
        <v>0</v>
      </c>
      <c r="Z112" s="38">
        <f>+'23'!D19/1000</f>
        <v>0</v>
      </c>
      <c r="AA112" s="49">
        <f>SUM(U112:U115)-SUM(W112:W115)-SUM(Z112:Z115)-SUM(Y112:Y115)</f>
        <v>0.24816668500000105</v>
      </c>
      <c r="AB112" s="49">
        <f>(SUM(K112:K115)-SUM(W112:W115)-SUM(Y112:Y115)-SUM(Z112:Z115)-SUM(AC112:AC115)-SUM(V112:V115))-AA112</f>
        <v>-2.4724034999999089E-2</v>
      </c>
      <c r="AC112" s="38">
        <f>K112-T112</f>
        <v>1.0471355999999972</v>
      </c>
      <c r="AD112" s="38">
        <f>+AM112+BA112</f>
        <v>0</v>
      </c>
      <c r="AE112" s="226" t="s">
        <v>417</v>
      </c>
      <c r="AF112" s="38">
        <v>0</v>
      </c>
      <c r="AG112" s="38"/>
      <c r="AH112" s="38"/>
      <c r="AI112" s="476"/>
      <c r="AJ112" s="38"/>
      <c r="AK112" s="38"/>
      <c r="AL112" s="38"/>
      <c r="AM112" s="38">
        <f>SUM(AF112:AL112)+AT112+AV112+AX112</f>
        <v>0</v>
      </c>
      <c r="AN112" s="38"/>
      <c r="AO112" s="38"/>
      <c r="AP112" s="38"/>
      <c r="AQ112" s="38"/>
      <c r="AR112" s="38">
        <f>SUM(AN112:AQ112)</f>
        <v>0</v>
      </c>
      <c r="AS112" s="38"/>
      <c r="AT112" s="38"/>
      <c r="AU112" s="38"/>
      <c r="AV112" s="38"/>
      <c r="AW112" s="38"/>
      <c r="AX112" s="38"/>
      <c r="AY112" s="38"/>
      <c r="AZ112" s="38"/>
      <c r="BA112" s="38">
        <f>+AR112+AS112+AU112+AW112+AY112+AZ112</f>
        <v>0</v>
      </c>
      <c r="BB112" s="34">
        <v>0</v>
      </c>
      <c r="BC112" s="51"/>
      <c r="BD112" s="51"/>
      <c r="BE112" s="51"/>
      <c r="BF112" s="51"/>
    </row>
    <row r="113" spans="1:58" ht="12.9" customHeight="1">
      <c r="A113" s="41"/>
      <c r="B113" s="42"/>
      <c r="C113" s="393"/>
      <c r="D113" s="42"/>
      <c r="E113" s="43"/>
      <c r="F113" s="43"/>
      <c r="G113" s="406"/>
      <c r="H113" s="533"/>
      <c r="I113" s="45"/>
      <c r="J113" s="82"/>
      <c r="K113" s="82"/>
      <c r="L113" s="36"/>
      <c r="M113" s="36"/>
      <c r="N113" s="46"/>
      <c r="O113" s="47"/>
      <c r="P113" s="48"/>
      <c r="Q113" s="47"/>
      <c r="R113" s="362"/>
      <c r="S113" s="362"/>
      <c r="T113" s="38"/>
      <c r="U113" s="38"/>
      <c r="V113" s="38"/>
      <c r="W113" s="38"/>
      <c r="X113" s="361"/>
      <c r="Y113" s="209"/>
      <c r="Z113" s="38"/>
      <c r="AA113" s="38"/>
      <c r="AB113" s="38"/>
      <c r="AC113" s="38"/>
      <c r="AD113" s="38">
        <f t="shared" ref="AD113:AD114" si="103">+AM113+BA113</f>
        <v>2</v>
      </c>
      <c r="AE113" s="226" t="s">
        <v>416</v>
      </c>
      <c r="AF113" s="38"/>
      <c r="AG113" s="38">
        <v>2</v>
      </c>
      <c r="AH113" s="38"/>
      <c r="AI113" s="476"/>
      <c r="AJ113" s="38"/>
      <c r="AK113" s="38"/>
      <c r="AL113" s="38"/>
      <c r="AM113" s="38">
        <f t="shared" ref="AM113:AM114" si="104">SUM(AF113:AL113)+AT113+AV113+AX113</f>
        <v>2</v>
      </c>
      <c r="AN113" s="83"/>
      <c r="AO113" s="38"/>
      <c r="AP113" s="38"/>
      <c r="AQ113" s="38"/>
      <c r="AR113" s="38">
        <f t="shared" ref="AR113:AR114" si="105">SUM(AN113:AQ113)</f>
        <v>0</v>
      </c>
      <c r="AS113" s="38"/>
      <c r="AT113" s="38"/>
      <c r="AU113" s="38"/>
      <c r="AV113" s="38"/>
      <c r="AW113" s="38"/>
      <c r="AX113" s="38"/>
      <c r="AY113" s="38"/>
      <c r="AZ113" s="38"/>
      <c r="BA113" s="38">
        <f t="shared" ref="BA113:BA114" si="106">+AR113+AS113+AU113+AW113+AY113+AZ113</f>
        <v>0</v>
      </c>
      <c r="BB113" s="50"/>
      <c r="BC113" s="51">
        <v>1</v>
      </c>
      <c r="BD113" s="51"/>
      <c r="BE113" s="51"/>
      <c r="BF113" s="51"/>
    </row>
    <row r="114" spans="1:58" ht="12.9" customHeight="1">
      <c r="A114" s="41"/>
      <c r="B114" s="42"/>
      <c r="C114" s="393"/>
      <c r="D114" s="42"/>
      <c r="E114" s="43"/>
      <c r="F114" s="43"/>
      <c r="G114" s="406"/>
      <c r="H114" s="533"/>
      <c r="I114" s="45"/>
      <c r="J114" s="82"/>
      <c r="K114" s="82"/>
      <c r="L114" s="36"/>
      <c r="M114" s="36"/>
      <c r="N114" s="46"/>
      <c r="O114" s="47"/>
      <c r="P114" s="48"/>
      <c r="Q114" s="47"/>
      <c r="R114" s="362"/>
      <c r="S114" s="362"/>
      <c r="T114" s="38"/>
      <c r="U114" s="38"/>
      <c r="V114" s="38"/>
      <c r="W114" s="38"/>
      <c r="X114" s="361"/>
      <c r="Y114" s="209"/>
      <c r="Z114" s="38"/>
      <c r="AA114" s="38"/>
      <c r="AB114" s="38"/>
      <c r="AC114" s="38"/>
      <c r="AD114" s="38">
        <f t="shared" si="103"/>
        <v>32</v>
      </c>
      <c r="AE114" s="226" t="s">
        <v>498</v>
      </c>
      <c r="AF114" s="34"/>
      <c r="AG114" s="34"/>
      <c r="AH114" s="34">
        <v>32</v>
      </c>
      <c r="AJ114" s="38"/>
      <c r="AK114" s="38"/>
      <c r="AL114" s="38"/>
      <c r="AM114" s="38">
        <f t="shared" si="104"/>
        <v>32</v>
      </c>
      <c r="AN114" s="38"/>
      <c r="AO114" s="38"/>
      <c r="AP114" s="38"/>
      <c r="AQ114" s="38"/>
      <c r="AR114" s="38">
        <f t="shared" si="105"/>
        <v>0</v>
      </c>
      <c r="AS114" s="38"/>
      <c r="AT114" s="38"/>
      <c r="AU114" s="38"/>
      <c r="AV114" s="38"/>
      <c r="AW114" s="38"/>
      <c r="AX114" s="38"/>
      <c r="AY114" s="38"/>
      <c r="AZ114" s="38"/>
      <c r="BA114" s="38">
        <f t="shared" si="106"/>
        <v>0</v>
      </c>
      <c r="BB114" s="34"/>
      <c r="BC114" s="477"/>
      <c r="BD114" s="51"/>
      <c r="BE114" s="51"/>
      <c r="BF114" s="51"/>
    </row>
    <row r="115" spans="1:58" ht="12.9" customHeight="1">
      <c r="A115" s="41"/>
      <c r="B115" s="42"/>
      <c r="C115" s="393"/>
      <c r="D115" s="42"/>
      <c r="E115" s="43"/>
      <c r="F115" s="43"/>
      <c r="G115" s="406"/>
      <c r="H115" s="533"/>
      <c r="I115" s="45"/>
      <c r="J115" s="82"/>
      <c r="K115" s="82"/>
      <c r="L115" s="36"/>
      <c r="M115" s="36"/>
      <c r="N115" s="46"/>
      <c r="O115" s="47"/>
      <c r="P115" s="48"/>
      <c r="Q115" s="47"/>
      <c r="R115" s="362"/>
      <c r="S115" s="362"/>
      <c r="T115" s="38"/>
      <c r="U115" s="38"/>
      <c r="V115" s="38"/>
      <c r="W115" s="38"/>
      <c r="X115" s="39"/>
      <c r="Y115" s="209"/>
      <c r="Z115" s="38"/>
      <c r="AA115" s="49"/>
      <c r="AB115" s="49"/>
      <c r="AC115" s="38"/>
      <c r="AD115" s="38"/>
      <c r="AE115" s="21"/>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4"/>
      <c r="BC115" s="51"/>
      <c r="BD115" s="51"/>
      <c r="BE115" s="51"/>
      <c r="BF115" s="51"/>
    </row>
    <row r="116" spans="1:58" ht="12.75" customHeight="1">
      <c r="A116" s="41">
        <v>46108</v>
      </c>
      <c r="B116" s="42" t="s">
        <v>422</v>
      </c>
      <c r="C116" s="393">
        <f>(M116*E116*O116*Q116)/100000000</f>
        <v>53.289086232558148</v>
      </c>
      <c r="D116" s="42" t="s">
        <v>423</v>
      </c>
      <c r="E116" s="43">
        <v>13.5</v>
      </c>
      <c r="F116" s="43">
        <v>1</v>
      </c>
      <c r="G116" s="406">
        <v>1250</v>
      </c>
      <c r="H116" s="533">
        <f>+N116</f>
        <v>0.16000000000000003</v>
      </c>
      <c r="I116" s="45">
        <v>0.88</v>
      </c>
      <c r="J116" s="82">
        <f>E116*G116*(1-H116)*1440/1000000*2.7</f>
        <v>55.112400000000001</v>
      </c>
      <c r="K116" s="82">
        <f>(IF(G116&lt;L116,L116,G116)*(1-IF(H116&lt;N116,H116,N116))*E116*O116*Q116)/100000000</f>
        <v>54.376618604651163</v>
      </c>
      <c r="L116" s="36">
        <v>1225</v>
      </c>
      <c r="M116" s="36">
        <v>1029</v>
      </c>
      <c r="N116" s="46">
        <f>1-(M116/L116)</f>
        <v>0.16000000000000003</v>
      </c>
      <c r="O116" s="47">
        <f>+'Trim Rwd'!H72</f>
        <v>266.39534883720933</v>
      </c>
      <c r="P116" s="48">
        <f>O116*(Q116-R116-S116)</f>
        <v>376683.02325581398</v>
      </c>
      <c r="Q116" s="47">
        <v>1440</v>
      </c>
      <c r="R116" s="362">
        <v>0</v>
      </c>
      <c r="S116" s="362">
        <v>26</v>
      </c>
      <c r="T116" s="38">
        <f>E116*M116*O116*Q116/100000000</f>
        <v>53.289086232558148</v>
      </c>
      <c r="U116" s="38">
        <f>E116*M116*O116*(Q116-R116-S116)/100000000</f>
        <v>52.326922175581394</v>
      </c>
      <c r="V116" s="38">
        <f>E116*G116*(1-N116)*O116/100*(R116+S116)/1000000</f>
        <v>0.98180005813953486</v>
      </c>
      <c r="W116" s="38">
        <f>+'27'!K10/1000</f>
        <v>42.185000000000002</v>
      </c>
      <c r="X116" s="361">
        <f>SUM(W116:W119)/SUM(K116:K119)</f>
        <v>0.775792998581042</v>
      </c>
      <c r="Y116" s="38">
        <v>0</v>
      </c>
      <c r="Z116" s="38">
        <f>+'27'!D34/1000</f>
        <v>0.85</v>
      </c>
      <c r="AA116" s="49">
        <f>SUM(U116:U119)-SUM(W116:W119)-SUM(Z116:Z119)-SUM(Y116:Y119)</f>
        <v>9.2919221755813926</v>
      </c>
      <c r="AB116" s="49">
        <f>(SUM(K116:K119)-SUM(W116:W119)-SUM(Y116:Y119)-SUM(Z116:Z119)-SUM(AC116:AC119)-SUM(V116:V119))-AA116</f>
        <v>-1.963600116278208E-2</v>
      </c>
      <c r="AC116" s="38">
        <f>K116-T116</f>
        <v>1.0875323720930155</v>
      </c>
      <c r="AD116" s="38">
        <f>+AM116+BA116</f>
        <v>0</v>
      </c>
      <c r="AE116" s="226" t="s">
        <v>417</v>
      </c>
      <c r="AF116" s="38">
        <v>0</v>
      </c>
      <c r="AG116" s="38"/>
      <c r="AH116" s="38"/>
      <c r="AI116" s="476"/>
      <c r="AJ116" s="38"/>
      <c r="AK116" s="38"/>
      <c r="AL116" s="38"/>
      <c r="AM116" s="38">
        <f>SUM(AF116:AL116)+AT116+AV116+AX116</f>
        <v>0</v>
      </c>
      <c r="AN116" s="38"/>
      <c r="AO116" s="38"/>
      <c r="AP116" s="38"/>
      <c r="AQ116" s="38"/>
      <c r="AR116" s="38">
        <f>SUM(AN116:AQ116)</f>
        <v>0</v>
      </c>
      <c r="AS116" s="38"/>
      <c r="AT116" s="38"/>
      <c r="AU116" s="38"/>
      <c r="AV116" s="38"/>
      <c r="AW116" s="38"/>
      <c r="AX116" s="38"/>
      <c r="AY116" s="38"/>
      <c r="AZ116" s="38"/>
      <c r="BA116" s="38">
        <f>+AR116+AS116+AU116+AW116+AY116+AZ116</f>
        <v>0</v>
      </c>
      <c r="BB116" s="34">
        <v>0</v>
      </c>
      <c r="BC116" s="51"/>
      <c r="BD116" s="51"/>
      <c r="BE116" s="51"/>
      <c r="BF116" s="51"/>
    </row>
    <row r="117" spans="1:58" ht="12.9" customHeight="1">
      <c r="A117" s="41"/>
      <c r="B117" s="42"/>
      <c r="C117" s="393"/>
      <c r="D117" s="42"/>
      <c r="E117" s="43"/>
      <c r="F117" s="43"/>
      <c r="G117" s="406"/>
      <c r="H117" s="533"/>
      <c r="I117" s="45"/>
      <c r="J117" s="82"/>
      <c r="K117" s="82"/>
      <c r="L117" s="36"/>
      <c r="M117" s="36"/>
      <c r="N117" s="46"/>
      <c r="O117" s="47"/>
      <c r="P117" s="48"/>
      <c r="Q117" s="47"/>
      <c r="R117" s="362"/>
      <c r="S117" s="362"/>
      <c r="T117" s="38"/>
      <c r="U117" s="38"/>
      <c r="V117" s="38"/>
      <c r="W117" s="38"/>
      <c r="X117" s="361"/>
      <c r="Y117" s="209"/>
      <c r="Z117" s="38"/>
      <c r="AA117" s="38"/>
      <c r="AB117" s="38"/>
      <c r="AC117" s="38"/>
      <c r="AD117" s="38">
        <f t="shared" ref="AD117:AD118" si="107">+AM117+BA117</f>
        <v>2</v>
      </c>
      <c r="AE117" s="226" t="s">
        <v>416</v>
      </c>
      <c r="AF117" s="38"/>
      <c r="AG117" s="38">
        <v>2</v>
      </c>
      <c r="AH117" s="38"/>
      <c r="AI117" s="476"/>
      <c r="AJ117" s="38"/>
      <c r="AK117" s="38"/>
      <c r="AL117" s="38"/>
      <c r="AM117" s="38">
        <f t="shared" ref="AM117:AM118" si="108">SUM(AF117:AL117)+AT117+AV117+AX117</f>
        <v>2</v>
      </c>
      <c r="AN117" s="83"/>
      <c r="AO117" s="38"/>
      <c r="AP117" s="38"/>
      <c r="AQ117" s="38"/>
      <c r="AR117" s="38">
        <f t="shared" ref="AR117:AR118" si="109">SUM(AN117:AQ117)</f>
        <v>0</v>
      </c>
      <c r="AS117" s="38"/>
      <c r="AT117" s="38"/>
      <c r="AU117" s="38"/>
      <c r="AV117" s="38"/>
      <c r="AW117" s="38"/>
      <c r="AX117" s="38"/>
      <c r="AY117" s="38"/>
      <c r="AZ117" s="38"/>
      <c r="BA117" s="38">
        <f t="shared" ref="BA117:BA118" si="110">+AR117+AS117+AU117+AW117+AY117+AZ117</f>
        <v>0</v>
      </c>
      <c r="BB117" s="50"/>
      <c r="BC117" s="51">
        <v>1</v>
      </c>
      <c r="BD117" s="51"/>
      <c r="BE117" s="51"/>
      <c r="BF117" s="51"/>
    </row>
    <row r="118" spans="1:58" ht="12.9" customHeight="1">
      <c r="A118" s="41"/>
      <c r="B118" s="42"/>
      <c r="C118" s="393"/>
      <c r="D118" s="42"/>
      <c r="E118" s="43"/>
      <c r="F118" s="43"/>
      <c r="G118" s="406"/>
      <c r="H118" s="533"/>
      <c r="I118" s="45"/>
      <c r="J118" s="82"/>
      <c r="K118" s="82"/>
      <c r="L118" s="36"/>
      <c r="M118" s="36"/>
      <c r="N118" s="46"/>
      <c r="O118" s="47"/>
      <c r="P118" s="48"/>
      <c r="Q118" s="47"/>
      <c r="R118" s="362"/>
      <c r="S118" s="362"/>
      <c r="T118" s="38"/>
      <c r="U118" s="38"/>
      <c r="V118" s="38"/>
      <c r="W118" s="38"/>
      <c r="X118" s="361"/>
      <c r="Y118" s="209"/>
      <c r="Z118" s="38"/>
      <c r="AA118" s="38"/>
      <c r="AB118" s="38"/>
      <c r="AC118" s="38"/>
      <c r="AD118" s="38">
        <f t="shared" si="107"/>
        <v>24</v>
      </c>
      <c r="AE118" s="226" t="s">
        <v>651</v>
      </c>
      <c r="AF118" s="34"/>
      <c r="AG118" s="34"/>
      <c r="AH118" s="34">
        <v>24</v>
      </c>
      <c r="AJ118" s="38"/>
      <c r="AK118" s="38"/>
      <c r="AL118" s="38"/>
      <c r="AM118" s="38">
        <f t="shared" si="108"/>
        <v>24</v>
      </c>
      <c r="AN118" s="38"/>
      <c r="AO118" s="38"/>
      <c r="AP118" s="38"/>
      <c r="AQ118" s="38"/>
      <c r="AR118" s="38">
        <f t="shared" si="109"/>
        <v>0</v>
      </c>
      <c r="AS118" s="38"/>
      <c r="AT118" s="38"/>
      <c r="AU118" s="38"/>
      <c r="AV118" s="38"/>
      <c r="AW118" s="38"/>
      <c r="AX118" s="38"/>
      <c r="AY118" s="38"/>
      <c r="AZ118" s="38"/>
      <c r="BA118" s="38">
        <f t="shared" si="110"/>
        <v>0</v>
      </c>
      <c r="BB118" s="34"/>
      <c r="BC118" s="477"/>
      <c r="BD118" s="51"/>
      <c r="BE118" s="51"/>
      <c r="BF118" s="51"/>
    </row>
    <row r="119" spans="1:58" ht="12.9" customHeight="1">
      <c r="A119" s="41"/>
      <c r="B119" s="42"/>
      <c r="C119" s="393"/>
      <c r="D119" s="42"/>
      <c r="E119" s="43"/>
      <c r="F119" s="43"/>
      <c r="G119" s="406"/>
      <c r="H119" s="533"/>
      <c r="I119" s="45"/>
      <c r="J119" s="82"/>
      <c r="K119" s="82"/>
      <c r="L119" s="36"/>
      <c r="M119" s="36"/>
      <c r="N119" s="46"/>
      <c r="O119" s="47"/>
      <c r="P119" s="48"/>
      <c r="Q119" s="47"/>
      <c r="R119" s="362"/>
      <c r="S119" s="362"/>
      <c r="T119" s="38"/>
      <c r="U119" s="38"/>
      <c r="V119" s="38"/>
      <c r="W119" s="38"/>
      <c r="X119" s="39"/>
      <c r="Y119" s="209"/>
      <c r="Z119" s="38"/>
      <c r="AA119" s="49"/>
      <c r="AB119" s="49"/>
      <c r="AC119" s="38"/>
      <c r="AD119" s="38"/>
      <c r="AE119" s="21"/>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4"/>
      <c r="BC119" s="51"/>
      <c r="BD119" s="51"/>
      <c r="BE119" s="51"/>
      <c r="BF119" s="51"/>
    </row>
    <row r="120" spans="1:58" ht="12.75" customHeight="1">
      <c r="A120" s="41">
        <v>46109</v>
      </c>
      <c r="B120" s="42" t="s">
        <v>422</v>
      </c>
      <c r="C120" s="393">
        <f>(M120*E120*O120*Q120)/100000000</f>
        <v>52.880687999999999</v>
      </c>
      <c r="D120" s="42" t="s">
        <v>423</v>
      </c>
      <c r="E120" s="43">
        <v>13.5</v>
      </c>
      <c r="F120" s="43">
        <v>1</v>
      </c>
      <c r="G120" s="406">
        <v>1250</v>
      </c>
      <c r="H120" s="533">
        <f>+N120</f>
        <v>0.15999999999999992</v>
      </c>
      <c r="I120" s="45">
        <v>0.88</v>
      </c>
      <c r="J120" s="82">
        <f>E120*G120*(1-H120)*1440/1000000*2.7</f>
        <v>55.112400000000008</v>
      </c>
      <c r="K120" s="82">
        <f>(IF(G120&lt;L120,L120,G120)*(1-IF(H120&lt;N120,H120,N120))*E120*O120*Q120)/100000000</f>
        <v>54.704160000000002</v>
      </c>
      <c r="L120" s="36">
        <v>1208.3333333333333</v>
      </c>
      <c r="M120" s="36">
        <v>1015</v>
      </c>
      <c r="N120" s="46">
        <f>1-(M120/L120)</f>
        <v>0.15999999999999992</v>
      </c>
      <c r="O120" s="47">
        <f>+'Trim Rwd'!H75</f>
        <v>268</v>
      </c>
      <c r="P120" s="48">
        <f>O120*(Q120-R120-S120)</f>
        <v>378952</v>
      </c>
      <c r="Q120" s="47">
        <v>1440</v>
      </c>
      <c r="R120" s="362">
        <v>0</v>
      </c>
      <c r="S120" s="362">
        <v>26</v>
      </c>
      <c r="T120" s="38">
        <f>E120*M120*O120*Q120/100000000</f>
        <v>52.880687999999999</v>
      </c>
      <c r="U120" s="38">
        <f>E120*M120*O120*(Q120-R120-S120)/100000000</f>
        <v>51.925897800000001</v>
      </c>
      <c r="V120" s="38">
        <f>E120*G120*(1-N120)*O120/100*(R120+S120)/1000000</f>
        <v>0.9877140000000002</v>
      </c>
      <c r="W120" s="38">
        <f>+'28'!K10/1000</f>
        <v>43.594999999999999</v>
      </c>
      <c r="X120" s="361">
        <f>SUM(W120:W123)/SUM(K120:K123)</f>
        <v>0.79692293968136974</v>
      </c>
      <c r="Y120" s="38">
        <v>0</v>
      </c>
      <c r="Z120" s="38">
        <v>0</v>
      </c>
      <c r="AA120" s="49">
        <f>SUM(U120:U123)-SUM(W120:W123)-SUM(Z120:Z123)-SUM(Y120:Y123)</f>
        <v>8.3308978000000025</v>
      </c>
      <c r="AB120" s="49">
        <f>(SUM(K120:K123)-SUM(W120:W123)-SUM(Y120:Y123)-SUM(Z120:Z123)-SUM(AC120:AC123)-SUM(V120:V123))-AA120</f>
        <v>-3.2923800000002501E-2</v>
      </c>
      <c r="AC120" s="38">
        <f>K120-T120</f>
        <v>1.8234720000000024</v>
      </c>
      <c r="AD120" s="38">
        <f>+AM120+BA120</f>
        <v>0</v>
      </c>
      <c r="AE120" s="226" t="s">
        <v>417</v>
      </c>
      <c r="AF120" s="38">
        <v>0</v>
      </c>
      <c r="AG120" s="38"/>
      <c r="AH120" s="38"/>
      <c r="AI120" s="38"/>
      <c r="AJ120" s="38"/>
      <c r="AK120" s="38"/>
      <c r="AL120" s="38"/>
      <c r="AM120" s="38">
        <f>SUM(AF120:AL120)+AT120+AV120+AX120</f>
        <v>0</v>
      </c>
      <c r="AN120" s="38"/>
      <c r="AO120" s="38"/>
      <c r="AP120" s="38"/>
      <c r="AQ120" s="38"/>
      <c r="AR120" s="38">
        <f>SUM(AN120:AQ120)</f>
        <v>0</v>
      </c>
      <c r="AS120" s="38"/>
      <c r="AT120" s="38"/>
      <c r="AU120" s="38"/>
      <c r="AV120" s="38"/>
      <c r="AW120" s="38"/>
      <c r="AX120" s="38"/>
      <c r="AY120" s="38"/>
      <c r="AZ120" s="38"/>
      <c r="BA120" s="38">
        <f>+AR120+AS120+AU120+AW120+AY120+AZ120</f>
        <v>0</v>
      </c>
      <c r="BB120" s="34">
        <v>0</v>
      </c>
      <c r="BC120" s="51"/>
      <c r="BD120" s="51"/>
      <c r="BE120" s="51"/>
      <c r="BF120" s="51"/>
    </row>
    <row r="121" spans="1:58" ht="12.9" customHeight="1">
      <c r="A121" s="41"/>
      <c r="B121" s="42"/>
      <c r="C121" s="393"/>
      <c r="D121" s="42"/>
      <c r="E121" s="43"/>
      <c r="F121" s="43"/>
      <c r="G121" s="406"/>
      <c r="H121" s="533"/>
      <c r="I121" s="45"/>
      <c r="J121" s="82"/>
      <c r="K121" s="82"/>
      <c r="L121" s="36"/>
      <c r="M121" s="36"/>
      <c r="N121" s="46"/>
      <c r="O121" s="47"/>
      <c r="P121" s="48"/>
      <c r="Q121" s="47"/>
      <c r="R121" s="362"/>
      <c r="S121" s="362"/>
      <c r="T121" s="38"/>
      <c r="U121" s="38"/>
      <c r="V121" s="38"/>
      <c r="W121" s="38"/>
      <c r="X121" s="361"/>
      <c r="Y121" s="209"/>
      <c r="Z121" s="38"/>
      <c r="AA121" s="38"/>
      <c r="AB121" s="38"/>
      <c r="AC121" s="38"/>
      <c r="AD121" s="38">
        <f t="shared" ref="AD121:AD122" si="111">+AM121+BA121</f>
        <v>3</v>
      </c>
      <c r="AE121" s="226" t="s">
        <v>416</v>
      </c>
      <c r="AF121" s="38"/>
      <c r="AG121" s="38">
        <v>3</v>
      </c>
      <c r="AH121" s="38"/>
      <c r="AI121" s="38"/>
      <c r="AJ121" s="38"/>
      <c r="AK121" s="38"/>
      <c r="AL121" s="38"/>
      <c r="AM121" s="38">
        <f t="shared" ref="AM121:AM122" si="112">SUM(AF121:AL121)+AT121+AV121+AX121</f>
        <v>3</v>
      </c>
      <c r="AN121" s="83"/>
      <c r="AO121" s="38"/>
      <c r="AP121" s="38"/>
      <c r="AQ121" s="38"/>
      <c r="AR121" s="38">
        <f t="shared" ref="AR121:AR122" si="113">SUM(AN121:AQ121)</f>
        <v>0</v>
      </c>
      <c r="AS121" s="38"/>
      <c r="AT121" s="38"/>
      <c r="AU121" s="38"/>
      <c r="AV121" s="38"/>
      <c r="AW121" s="38"/>
      <c r="AX121" s="38"/>
      <c r="AY121" s="38"/>
      <c r="AZ121" s="38"/>
      <c r="BA121" s="38">
        <f t="shared" ref="BA121:BA122" si="114">+AR121+AS121+AU121+AW121+AY121+AZ121</f>
        <v>0</v>
      </c>
      <c r="BB121" s="50"/>
      <c r="BC121" s="51">
        <v>1</v>
      </c>
      <c r="BD121" s="51"/>
      <c r="BE121" s="51"/>
      <c r="BF121" s="51"/>
    </row>
    <row r="122" spans="1:58" ht="12.9" customHeight="1">
      <c r="A122" s="41"/>
      <c r="B122" s="42"/>
      <c r="C122" s="393"/>
      <c r="D122" s="42"/>
      <c r="E122" s="43"/>
      <c r="F122" s="43"/>
      <c r="G122" s="406"/>
      <c r="H122" s="533"/>
      <c r="I122" s="45"/>
      <c r="J122" s="82"/>
      <c r="K122" s="82"/>
      <c r="L122" s="36"/>
      <c r="M122" s="36"/>
      <c r="N122" s="46"/>
      <c r="O122" s="47"/>
      <c r="P122" s="48"/>
      <c r="Q122" s="47"/>
      <c r="R122" s="362"/>
      <c r="S122" s="362"/>
      <c r="T122" s="38"/>
      <c r="U122" s="38"/>
      <c r="V122" s="38"/>
      <c r="W122" s="38"/>
      <c r="X122" s="361"/>
      <c r="Y122" s="209"/>
      <c r="Z122" s="38"/>
      <c r="AA122" s="38"/>
      <c r="AB122" s="38"/>
      <c r="AC122" s="38"/>
      <c r="AD122" s="38">
        <f t="shared" si="111"/>
        <v>23</v>
      </c>
      <c r="AE122" s="226" t="s">
        <v>565</v>
      </c>
      <c r="AF122" s="34"/>
      <c r="AG122" s="34"/>
      <c r="AH122" s="34">
        <v>23</v>
      </c>
      <c r="AI122" s="34"/>
      <c r="AJ122" s="38"/>
      <c r="AK122" s="38"/>
      <c r="AL122" s="38"/>
      <c r="AM122" s="38">
        <f t="shared" si="112"/>
        <v>23</v>
      </c>
      <c r="AN122" s="38"/>
      <c r="AO122" s="38"/>
      <c r="AP122" s="38"/>
      <c r="AQ122" s="38"/>
      <c r="AR122" s="38">
        <f t="shared" si="113"/>
        <v>0</v>
      </c>
      <c r="AS122" s="38"/>
      <c r="AT122" s="38"/>
      <c r="AU122" s="38"/>
      <c r="AV122" s="38"/>
      <c r="AW122" s="38"/>
      <c r="AX122" s="38"/>
      <c r="AY122" s="38"/>
      <c r="AZ122" s="38"/>
      <c r="BA122" s="38">
        <f t="shared" si="114"/>
        <v>0</v>
      </c>
      <c r="BB122" s="34"/>
      <c r="BC122" s="477"/>
      <c r="BD122" s="51"/>
      <c r="BE122" s="51"/>
      <c r="BF122" s="51"/>
    </row>
    <row r="123" spans="1:58" ht="12.9" customHeight="1">
      <c r="A123" s="41"/>
      <c r="B123" s="42"/>
      <c r="C123" s="393"/>
      <c r="D123" s="42"/>
      <c r="E123" s="43"/>
      <c r="F123" s="43"/>
      <c r="G123" s="406"/>
      <c r="H123" s="533"/>
      <c r="I123" s="45"/>
      <c r="J123" s="82"/>
      <c r="K123" s="82"/>
      <c r="L123" s="36"/>
      <c r="M123" s="36"/>
      <c r="N123" s="46"/>
      <c r="O123" s="47"/>
      <c r="P123" s="48"/>
      <c r="Q123" s="47"/>
      <c r="R123" s="362"/>
      <c r="S123" s="362"/>
      <c r="T123" s="38"/>
      <c r="U123" s="38"/>
      <c r="V123" s="38"/>
      <c r="W123" s="38"/>
      <c r="X123" s="361"/>
      <c r="Y123" s="209"/>
      <c r="Z123" s="38"/>
      <c r="AA123" s="38"/>
      <c r="AB123" s="38"/>
      <c r="AC123" s="38"/>
      <c r="AD123" s="38"/>
      <c r="AE123" s="226"/>
      <c r="AF123" s="34"/>
      <c r="AG123" s="34"/>
      <c r="AH123" s="34"/>
      <c r="AI123" s="34"/>
      <c r="AJ123" s="38"/>
      <c r="AK123" s="38"/>
      <c r="AL123" s="38"/>
      <c r="AM123" s="38"/>
      <c r="AN123" s="38"/>
      <c r="AO123" s="38"/>
      <c r="AP123" s="38"/>
      <c r="AQ123" s="38"/>
      <c r="AR123" s="38"/>
      <c r="AS123" s="38"/>
      <c r="AT123" s="38"/>
      <c r="AU123" s="38"/>
      <c r="AV123" s="38"/>
      <c r="AW123" s="38"/>
      <c r="AX123" s="38"/>
      <c r="AY123" s="38"/>
      <c r="AZ123" s="38"/>
      <c r="BA123" s="38"/>
      <c r="BB123" s="34"/>
      <c r="BC123" s="477"/>
      <c r="BD123" s="51"/>
      <c r="BE123" s="51"/>
      <c r="BF123" s="51"/>
    </row>
    <row r="124" spans="1:58" ht="12.75" customHeight="1">
      <c r="A124" s="41">
        <v>46110</v>
      </c>
      <c r="B124" s="42" t="s">
        <v>422</v>
      </c>
      <c r="C124" s="393">
        <f>(M124*E124*O124*Q124)/100000000</f>
        <v>35.375356799999999</v>
      </c>
      <c r="D124" s="42" t="s">
        <v>423</v>
      </c>
      <c r="E124" s="43">
        <v>13.5</v>
      </c>
      <c r="F124" s="43">
        <v>1</v>
      </c>
      <c r="G124" s="406">
        <v>1250</v>
      </c>
      <c r="H124" s="533">
        <f>+N124</f>
        <v>0.16000000000000003</v>
      </c>
      <c r="I124" s="45">
        <v>0.88</v>
      </c>
      <c r="J124" s="82">
        <f>E124*G124*(1-H124)*1440/1000000*2.7</f>
        <v>55.112400000000001</v>
      </c>
      <c r="K124" s="82">
        <f>(IF(G124&lt;L124,L124,G124)*(1-IF(H124&lt;N124,H124,N124))*E124*O124*Q124)/100000000</f>
        <v>36.849330000000002</v>
      </c>
      <c r="L124" s="36">
        <v>1200</v>
      </c>
      <c r="M124" s="36">
        <v>1008</v>
      </c>
      <c r="N124" s="46">
        <f>1-(M124/L124)</f>
        <v>0.16000000000000003</v>
      </c>
      <c r="O124" s="47">
        <f>+'Trim Rwd'!H77</f>
        <v>268</v>
      </c>
      <c r="P124" s="48">
        <f>O124*(Q124-R124-S124)</f>
        <v>254064</v>
      </c>
      <c r="Q124" s="47">
        <v>970</v>
      </c>
      <c r="R124" s="362">
        <v>0</v>
      </c>
      <c r="S124" s="362">
        <v>22</v>
      </c>
      <c r="T124" s="38">
        <f>E124*M124*O124*Q124/100000000</f>
        <v>35.375356799999999</v>
      </c>
      <c r="U124" s="38">
        <f>E124*M124*O124*(Q124-R124-S124)/100000000</f>
        <v>34.573029120000001</v>
      </c>
      <c r="V124" s="38">
        <f>E124*G124*(1-N124)*O124/100*(R124+S124)/1000000</f>
        <v>0.835758</v>
      </c>
      <c r="W124" s="38">
        <f>+'29'!K10/1000</f>
        <v>42.406999999999996</v>
      </c>
      <c r="X124" s="361">
        <f>SUM(W124:W127)/SUM(K124:K127)</f>
        <v>0.82676058849117651</v>
      </c>
      <c r="Y124" s="38">
        <v>0</v>
      </c>
      <c r="Z124" s="38">
        <f>+'27'!D42/1000</f>
        <v>0</v>
      </c>
      <c r="AA124" s="49">
        <f>SUM(U124:U127)-SUM(W124:W127)-SUM(Z124:Z127)-SUM(Y124:Y127)</f>
        <v>6.7090438399999996</v>
      </c>
      <c r="AB124" s="49">
        <f>(SUM(K124:K127)-SUM(W124:W127)-SUM(Y124:Y127)-SUM(Z124:Z127)-SUM(AC124:AC127)-SUM(V124:V127))-AA124</f>
        <v>-3.5038080000006744E-2</v>
      </c>
      <c r="AC124" s="38">
        <f>K124-T124</f>
        <v>1.4739732000000032</v>
      </c>
      <c r="AD124" s="38">
        <f>+AM124+BA124</f>
        <v>0</v>
      </c>
      <c r="AE124" s="226" t="s">
        <v>417</v>
      </c>
      <c r="AF124" s="38">
        <v>0</v>
      </c>
      <c r="AG124" s="38"/>
      <c r="AH124" s="38"/>
      <c r="AI124" s="38"/>
      <c r="AJ124" s="38"/>
      <c r="AK124" s="38"/>
      <c r="AL124" s="38"/>
      <c r="AM124" s="38">
        <f>SUM(AF124:AL124)+AT124+AV124+AX124</f>
        <v>0</v>
      </c>
      <c r="AN124" s="38"/>
      <c r="AO124" s="38"/>
      <c r="AP124" s="38"/>
      <c r="AQ124" s="38"/>
      <c r="AR124" s="38">
        <f>SUM(AN124:AQ124)</f>
        <v>0</v>
      </c>
      <c r="AS124" s="38"/>
      <c r="AT124" s="38"/>
      <c r="AU124" s="38"/>
      <c r="AV124" s="38"/>
      <c r="AW124" s="38"/>
      <c r="AX124" s="38"/>
      <c r="AY124" s="38"/>
      <c r="AZ124" s="38"/>
      <c r="BA124" s="38">
        <f>+AR124+AS124+AU124+AW124+AY124+AZ124</f>
        <v>0</v>
      </c>
      <c r="BB124" s="34">
        <v>0</v>
      </c>
      <c r="BC124" s="51"/>
      <c r="BD124" s="51"/>
      <c r="BE124" s="51"/>
      <c r="BF124" s="51"/>
    </row>
    <row r="125" spans="1:58" ht="12.9" customHeight="1">
      <c r="A125" s="41"/>
      <c r="B125" s="42" t="s">
        <v>422</v>
      </c>
      <c r="C125" s="393">
        <f>(M125*E125*O125*Q125)/100000000</f>
        <v>17.531015039999996</v>
      </c>
      <c r="D125" s="42" t="s">
        <v>423</v>
      </c>
      <c r="E125" s="43">
        <v>14.5</v>
      </c>
      <c r="F125" s="43">
        <v>1</v>
      </c>
      <c r="G125" s="406">
        <v>1165</v>
      </c>
      <c r="H125" s="533">
        <f>+N125</f>
        <v>0.16000000000000003</v>
      </c>
      <c r="I125" s="45">
        <v>0.88</v>
      </c>
      <c r="J125" s="82">
        <f>E125*G125*(1-H125)*1440/1000000*2.7</f>
        <v>55.1695536</v>
      </c>
      <c r="K125" s="82">
        <f>(IF(G125&lt;L125,L125,G125)*(1-IF(H125&lt;N125,H125,N125))*E125*O125*Q125)/100000000</f>
        <v>17.606579759999999</v>
      </c>
      <c r="L125" s="36">
        <v>1160</v>
      </c>
      <c r="M125" s="36">
        <v>974.4</v>
      </c>
      <c r="N125" s="46">
        <f>1-(M125/L125)</f>
        <v>0.16000000000000003</v>
      </c>
      <c r="O125" s="47">
        <f>+'Trim Rwd'!H78</f>
        <v>264</v>
      </c>
      <c r="P125" s="48">
        <f>O125*(Q125-R125-S125)</f>
        <v>121440</v>
      </c>
      <c r="Q125" s="47">
        <v>470</v>
      </c>
      <c r="R125" s="362">
        <v>0</v>
      </c>
      <c r="S125" s="362">
        <v>10</v>
      </c>
      <c r="T125" s="38">
        <f>E125*M125*O125*Q125/100000000</f>
        <v>17.531015039999996</v>
      </c>
      <c r="U125" s="38">
        <f>E125*M125*O125*(Q125-R125-S125)/100000000</f>
        <v>17.158014719999997</v>
      </c>
      <c r="V125" s="38">
        <f>E125*G125*(1-N125)*O125/100*(R125+S125)/1000000</f>
        <v>0.37460807999999995</v>
      </c>
      <c r="W125" s="38">
        <f>+'29'!K8/1000</f>
        <v>2.6150000000000002</v>
      </c>
      <c r="X125" s="361"/>
      <c r="Y125" s="209"/>
      <c r="Z125" s="38"/>
      <c r="AA125" s="38"/>
      <c r="AB125" s="38"/>
      <c r="AC125" s="38">
        <f>K125-T125</f>
        <v>7.5564720000002694E-2</v>
      </c>
      <c r="AD125" s="38">
        <f t="shared" ref="AD125:AD126" si="115">+AM125+BA125</f>
        <v>4</v>
      </c>
      <c r="AE125" s="226" t="s">
        <v>630</v>
      </c>
      <c r="AF125" s="38"/>
      <c r="AG125" s="38">
        <v>4</v>
      </c>
      <c r="AH125" s="38"/>
      <c r="AI125" s="38"/>
      <c r="AJ125" s="38"/>
      <c r="AK125" s="38"/>
      <c r="AL125" s="38"/>
      <c r="AM125" s="38">
        <f t="shared" ref="AM125:AM126" si="116">SUM(AF125:AL125)+AT125+AV125+AX125</f>
        <v>4</v>
      </c>
      <c r="AN125" s="83"/>
      <c r="AO125" s="38"/>
      <c r="AP125" s="38"/>
      <c r="AQ125" s="38"/>
      <c r="AR125" s="38">
        <f t="shared" ref="AR125:AR126" si="117">SUM(AN125:AQ125)</f>
        <v>0</v>
      </c>
      <c r="AS125" s="38"/>
      <c r="AT125" s="38"/>
      <c r="AU125" s="38"/>
      <c r="AV125" s="38"/>
      <c r="AW125" s="38"/>
      <c r="AX125" s="38"/>
      <c r="AY125" s="38"/>
      <c r="AZ125" s="38"/>
      <c r="BA125" s="38">
        <f t="shared" ref="BA125:BA126" si="118">+AR125+AS125+AU125+AW125+AY125+AZ125</f>
        <v>0</v>
      </c>
      <c r="BB125" s="50"/>
      <c r="BC125" s="51">
        <v>2</v>
      </c>
      <c r="BD125" s="51"/>
      <c r="BE125" s="51"/>
      <c r="BF125" s="51"/>
    </row>
    <row r="126" spans="1:58" ht="12.9" customHeight="1">
      <c r="A126" s="41"/>
      <c r="B126" s="42"/>
      <c r="C126" s="393"/>
      <c r="D126" s="42"/>
      <c r="E126" s="43"/>
      <c r="F126" s="43"/>
      <c r="G126" s="406"/>
      <c r="H126" s="533"/>
      <c r="I126" s="45"/>
      <c r="J126" s="82"/>
      <c r="K126" s="82"/>
      <c r="L126" s="36"/>
      <c r="M126" s="36"/>
      <c r="N126" s="46"/>
      <c r="O126" s="47"/>
      <c r="P126" s="48"/>
      <c r="Q126" s="47"/>
      <c r="R126" s="362"/>
      <c r="S126" s="362"/>
      <c r="T126" s="38"/>
      <c r="U126" s="38"/>
      <c r="V126" s="38"/>
      <c r="W126" s="38"/>
      <c r="X126" s="361"/>
      <c r="Y126" s="209"/>
      <c r="Z126" s="38"/>
      <c r="AA126" s="38"/>
      <c r="AB126" s="38"/>
      <c r="AC126" s="38"/>
      <c r="AD126" s="38">
        <f t="shared" si="115"/>
        <v>28</v>
      </c>
      <c r="AE126" s="226" t="s">
        <v>457</v>
      </c>
      <c r="AF126" s="34"/>
      <c r="AG126" s="34"/>
      <c r="AH126" s="34">
        <v>28</v>
      </c>
      <c r="AI126" s="34"/>
      <c r="AJ126" s="38"/>
      <c r="AK126" s="38"/>
      <c r="AL126" s="38"/>
      <c r="AM126" s="38">
        <f t="shared" si="116"/>
        <v>28</v>
      </c>
      <c r="AN126" s="38"/>
      <c r="AO126" s="38"/>
      <c r="AP126" s="38"/>
      <c r="AQ126" s="38"/>
      <c r="AR126" s="38">
        <f t="shared" si="117"/>
        <v>0</v>
      </c>
      <c r="AS126" s="38"/>
      <c r="AT126" s="38"/>
      <c r="AU126" s="38"/>
      <c r="AV126" s="38"/>
      <c r="AW126" s="38"/>
      <c r="AX126" s="38"/>
      <c r="AY126" s="38"/>
      <c r="AZ126" s="38"/>
      <c r="BA126" s="38">
        <f t="shared" si="118"/>
        <v>0</v>
      </c>
      <c r="BB126" s="34"/>
      <c r="BC126" s="477"/>
      <c r="BD126" s="51"/>
      <c r="BE126" s="51"/>
      <c r="BF126" s="51"/>
    </row>
    <row r="127" spans="1:58" ht="12.9" customHeight="1">
      <c r="A127" s="41"/>
      <c r="B127" s="42"/>
      <c r="C127" s="393"/>
      <c r="D127" s="42"/>
      <c r="E127" s="43"/>
      <c r="F127" s="43"/>
      <c r="G127" s="406"/>
      <c r="H127" s="533"/>
      <c r="I127" s="45"/>
      <c r="J127" s="82"/>
      <c r="K127" s="82"/>
      <c r="L127" s="36"/>
      <c r="M127" s="36"/>
      <c r="N127" s="46"/>
      <c r="O127" s="47"/>
      <c r="P127" s="48"/>
      <c r="Q127" s="47"/>
      <c r="R127" s="362"/>
      <c r="S127" s="362"/>
      <c r="T127" s="38"/>
      <c r="U127" s="38"/>
      <c r="V127" s="38"/>
      <c r="W127" s="38"/>
      <c r="X127" s="361"/>
      <c r="Y127" s="209"/>
      <c r="Z127" s="38"/>
      <c r="AA127" s="38"/>
      <c r="AB127" s="38"/>
      <c r="AC127" s="38"/>
      <c r="AD127" s="38"/>
      <c r="AE127" s="226"/>
      <c r="AF127" s="38"/>
      <c r="AG127" s="38"/>
      <c r="AH127" s="38"/>
      <c r="AI127" s="476"/>
      <c r="AJ127" s="38"/>
      <c r="AK127" s="38"/>
      <c r="AL127" s="38"/>
      <c r="AM127" s="38"/>
      <c r="AN127" s="83"/>
      <c r="AO127" s="38"/>
      <c r="AP127" s="38"/>
      <c r="AQ127" s="38"/>
      <c r="AR127" s="38"/>
      <c r="AS127" s="38"/>
      <c r="AT127" s="38"/>
      <c r="AU127" s="38"/>
      <c r="AV127" s="38"/>
      <c r="AW127" s="38"/>
      <c r="AX127" s="38"/>
      <c r="AY127" s="38"/>
      <c r="AZ127" s="38"/>
      <c r="BA127" s="38"/>
      <c r="BB127" s="50"/>
      <c r="BC127" s="51"/>
      <c r="BD127" s="51"/>
      <c r="BE127" s="51"/>
      <c r="BF127" s="51"/>
    </row>
    <row r="128" spans="1:58" ht="12.75" customHeight="1">
      <c r="A128" s="41">
        <v>46111</v>
      </c>
      <c r="B128" s="42" t="s">
        <v>422</v>
      </c>
      <c r="C128" s="393">
        <f>(M128*E128*O128*Q128)/100000000</f>
        <v>9.4814532028125011</v>
      </c>
      <c r="D128" s="42" t="s">
        <v>423</v>
      </c>
      <c r="E128" s="43">
        <v>13.5</v>
      </c>
      <c r="F128" s="43">
        <v>1</v>
      </c>
      <c r="G128" s="406">
        <v>1250</v>
      </c>
      <c r="H128" s="533">
        <f>+N128</f>
        <v>0.15999999999999992</v>
      </c>
      <c r="I128" s="45">
        <v>0.88</v>
      </c>
      <c r="J128" s="82">
        <f>E128*G128*(1-H128)*1440/1000000*2.7</f>
        <v>55.112400000000008</v>
      </c>
      <c r="K128" s="82">
        <f>(IF(G128&lt;L128,L128,G128)*(1-IF(H128&lt;N128,H128,N128))*E128*O128*Q128)/100000000</f>
        <v>9.8856671484375003</v>
      </c>
      <c r="L128" s="36">
        <v>1198.8888888888889</v>
      </c>
      <c r="M128" s="36">
        <v>1007.0666666666667</v>
      </c>
      <c r="N128" s="46">
        <f>1-(M128/L128)</f>
        <v>0.15999999999999992</v>
      </c>
      <c r="O128" s="47">
        <f>+'Trim Rwd'!H80</f>
        <v>258.296875</v>
      </c>
      <c r="P128" s="48">
        <f>O128*(Q128-R128-S128)</f>
        <v>68190.375</v>
      </c>
      <c r="Q128" s="47">
        <v>270</v>
      </c>
      <c r="R128" s="362">
        <v>0</v>
      </c>
      <c r="S128" s="362">
        <v>6</v>
      </c>
      <c r="T128" s="38">
        <f>E128*M128*O128*Q128/100000000</f>
        <v>9.4814532028125011</v>
      </c>
      <c r="U128" s="38">
        <f>E128*M128*O128*(Q128-R128-S128)/100000000</f>
        <v>9.2707542427500016</v>
      </c>
      <c r="V128" s="38">
        <f>E128*G128*(1-N128)*O128/100*(R128+S128)/1000000</f>
        <v>0.21968149218750005</v>
      </c>
      <c r="W128" s="38">
        <f>+'30'!K10/1000</f>
        <v>4.2240000000000002</v>
      </c>
      <c r="X128" s="361">
        <f>SUM(W128:W131)/SUM(K128:K131)</f>
        <v>1.0164980095839169</v>
      </c>
      <c r="Y128" s="38">
        <v>0</v>
      </c>
      <c r="Z128" s="38">
        <f>+'27'!D46/1000</f>
        <v>0</v>
      </c>
      <c r="AA128" s="49">
        <f>SUM(U128:U131)-SUM(W128:W131)-SUM(Z128:Z131)-SUM(Y128:Y131)</f>
        <v>-3.7676091387884583</v>
      </c>
      <c r="AB128" s="49">
        <f>(SUM(K128:K131)-SUM(W128:W131)-SUM(Y128:Y131)-SUM(Z128:Z131)-SUM(AC128:AC131)-SUM(V128:V131))-AA128</f>
        <v>-3.1120150586549045E-2</v>
      </c>
      <c r="AC128" s="38">
        <f>K128-T128</f>
        <v>0.40421394562499913</v>
      </c>
      <c r="AD128" s="38">
        <f>+AM128+BA128</f>
        <v>0</v>
      </c>
      <c r="AE128" s="226" t="s">
        <v>417</v>
      </c>
      <c r="AF128" s="38">
        <v>0</v>
      </c>
      <c r="AG128" s="38"/>
      <c r="AH128" s="38"/>
      <c r="AI128" s="38"/>
      <c r="AJ128" s="38"/>
      <c r="AK128" s="38"/>
      <c r="AL128" s="38"/>
      <c r="AM128" s="38">
        <f>SUM(AF128:AL128)+AT128+AV128+AX128</f>
        <v>0</v>
      </c>
      <c r="AN128" s="38"/>
      <c r="AO128" s="38"/>
      <c r="AP128" s="38"/>
      <c r="AQ128" s="38"/>
      <c r="AR128" s="38">
        <f>SUM(AN128:AQ128)</f>
        <v>0</v>
      </c>
      <c r="AS128" s="38"/>
      <c r="AT128" s="38"/>
      <c r="AU128" s="38"/>
      <c r="AV128" s="38"/>
      <c r="AW128" s="38"/>
      <c r="AX128" s="38"/>
      <c r="AY128" s="38"/>
      <c r="AZ128" s="38"/>
      <c r="BA128" s="38">
        <f>+AR128+AS128+AU128+AW128+AY128+AZ128</f>
        <v>0</v>
      </c>
      <c r="BB128" s="34">
        <v>0</v>
      </c>
      <c r="BC128" s="51"/>
      <c r="BD128" s="51"/>
      <c r="BE128" s="51"/>
      <c r="BF128" s="51"/>
    </row>
    <row r="129" spans="1:97" ht="12.9" customHeight="1">
      <c r="A129" s="41"/>
      <c r="B129" s="42" t="s">
        <v>422</v>
      </c>
      <c r="C129" s="393">
        <f>(M129*E129*O129*Q129)/100000000</f>
        <v>42.102411119999992</v>
      </c>
      <c r="D129" s="42" t="s">
        <v>423</v>
      </c>
      <c r="E129" s="43">
        <v>14.5</v>
      </c>
      <c r="F129" s="43">
        <v>1</v>
      </c>
      <c r="G129" s="406">
        <v>1165</v>
      </c>
      <c r="H129" s="533">
        <f>+N129</f>
        <v>0.16000000000000003</v>
      </c>
      <c r="I129" s="45">
        <v>0.88</v>
      </c>
      <c r="J129" s="82">
        <f>E129*G129*(1-H129)*1440/1000000*2.7</f>
        <v>55.1695536</v>
      </c>
      <c r="K129" s="82">
        <f>(IF(G129&lt;L129,L129,G129)*(1-IF(H129&lt;N129,H129,N129))*E129*O129*Q129)/100000000</f>
        <v>43.829145359999998</v>
      </c>
      <c r="L129" s="36">
        <v>1119.1025641025642</v>
      </c>
      <c r="M129" s="36">
        <v>940.04615384615386</v>
      </c>
      <c r="N129" s="46">
        <f>1-(M129/L129)</f>
        <v>0.16000000000000003</v>
      </c>
      <c r="O129" s="47">
        <f>+'Trim Rwd'!H82</f>
        <v>264</v>
      </c>
      <c r="P129" s="48">
        <f>O129*(Q129-R129-S129)</f>
        <v>304920</v>
      </c>
      <c r="Q129" s="47">
        <v>1170</v>
      </c>
      <c r="R129" s="362">
        <v>0</v>
      </c>
      <c r="S129" s="362">
        <v>15</v>
      </c>
      <c r="T129" s="38">
        <f>E129*M129*O129*Q129/100000000</f>
        <v>42.102411119999992</v>
      </c>
      <c r="U129" s="38">
        <f>E129*M129*O129*(Q129-R129-S129)/100000000</f>
        <v>41.562636618461539</v>
      </c>
      <c r="V129" s="38">
        <f>E129*G129*(1-N129)*O129/100*(R129+S129)/1000000</f>
        <v>0.56191212000000001</v>
      </c>
      <c r="W129" s="38">
        <f>+'30'!K8/1000</f>
        <v>50.377000000000002</v>
      </c>
      <c r="X129" s="361"/>
      <c r="Y129" s="209"/>
      <c r="Z129" s="38"/>
      <c r="AA129" s="38"/>
      <c r="AB129" s="38"/>
      <c r="AC129" s="38">
        <f>K129-T129</f>
        <v>1.7267342400000061</v>
      </c>
      <c r="AD129" s="38">
        <f t="shared" ref="AD129:AD130" si="119">+AM129+BA129</f>
        <v>3</v>
      </c>
      <c r="AE129" s="226" t="s">
        <v>630</v>
      </c>
      <c r="AF129" s="38"/>
      <c r="AG129" s="38">
        <v>3</v>
      </c>
      <c r="AH129" s="38"/>
      <c r="AI129" s="38"/>
      <c r="AJ129" s="38"/>
      <c r="AK129" s="38"/>
      <c r="AL129" s="38"/>
      <c r="AM129" s="38">
        <f t="shared" ref="AM129:AM130" si="120">SUM(AF129:AL129)+AT129+AV129+AX129</f>
        <v>3</v>
      </c>
      <c r="AN129" s="83"/>
      <c r="AO129" s="38"/>
      <c r="AP129" s="38"/>
      <c r="AQ129" s="38"/>
      <c r="AR129" s="38">
        <f t="shared" ref="AR129:AR130" si="121">SUM(AN129:AQ129)</f>
        <v>0</v>
      </c>
      <c r="AS129" s="38"/>
      <c r="AT129" s="38"/>
      <c r="AU129" s="38"/>
      <c r="AV129" s="38"/>
      <c r="AW129" s="38"/>
      <c r="AX129" s="38"/>
      <c r="AY129" s="38"/>
      <c r="AZ129" s="38"/>
      <c r="BA129" s="38">
        <f t="shared" ref="BA129:BA130" si="122">+AR129+AS129+AU129+AW129+AY129+AZ129</f>
        <v>0</v>
      </c>
      <c r="BB129" s="50"/>
      <c r="BC129" s="51">
        <v>2</v>
      </c>
      <c r="BD129" s="51"/>
      <c r="BE129" s="51"/>
      <c r="BF129" s="51"/>
    </row>
    <row r="130" spans="1:97" ht="12.9" customHeight="1">
      <c r="A130" s="41"/>
      <c r="B130" s="42"/>
      <c r="C130" s="393"/>
      <c r="D130" s="42"/>
      <c r="E130" s="43"/>
      <c r="F130" s="43"/>
      <c r="G130" s="406"/>
      <c r="H130" s="533"/>
      <c r="I130" s="45"/>
      <c r="J130" s="82"/>
      <c r="K130" s="82"/>
      <c r="L130" s="36"/>
      <c r="M130" s="36"/>
      <c r="N130" s="46"/>
      <c r="O130" s="47"/>
      <c r="P130" s="48"/>
      <c r="Q130" s="47"/>
      <c r="R130" s="362"/>
      <c r="S130" s="362"/>
      <c r="T130" s="38"/>
      <c r="U130" s="38"/>
      <c r="V130" s="38"/>
      <c r="W130" s="38"/>
      <c r="X130" s="361"/>
      <c r="Y130" s="209"/>
      <c r="Z130" s="38"/>
      <c r="AA130" s="38"/>
      <c r="AB130" s="38"/>
      <c r="AC130" s="38"/>
      <c r="AD130" s="38">
        <f t="shared" si="119"/>
        <v>18</v>
      </c>
      <c r="AE130" s="226" t="s">
        <v>565</v>
      </c>
      <c r="AF130" s="34"/>
      <c r="AG130" s="34"/>
      <c r="AH130" s="34">
        <v>18</v>
      </c>
      <c r="AI130" s="34"/>
      <c r="AJ130" s="38"/>
      <c r="AK130" s="38"/>
      <c r="AL130" s="38"/>
      <c r="AM130" s="38">
        <f t="shared" si="120"/>
        <v>18</v>
      </c>
      <c r="AN130" s="38"/>
      <c r="AO130" s="38"/>
      <c r="AP130" s="38"/>
      <c r="AQ130" s="38"/>
      <c r="AR130" s="38">
        <f t="shared" si="121"/>
        <v>0</v>
      </c>
      <c r="AS130" s="38"/>
      <c r="AT130" s="38"/>
      <c r="AU130" s="38"/>
      <c r="AV130" s="38"/>
      <c r="AW130" s="38"/>
      <c r="AX130" s="38"/>
      <c r="AY130" s="38"/>
      <c r="AZ130" s="38"/>
      <c r="BA130" s="38">
        <f t="shared" si="122"/>
        <v>0</v>
      </c>
      <c r="BB130" s="34"/>
      <c r="BC130" s="477"/>
      <c r="BD130" s="51"/>
      <c r="BE130" s="51"/>
      <c r="BF130" s="51"/>
    </row>
    <row r="131" spans="1:97" ht="12.9" customHeight="1">
      <c r="A131" s="41"/>
      <c r="B131" s="42"/>
      <c r="C131" s="393"/>
      <c r="D131" s="42"/>
      <c r="E131" s="43"/>
      <c r="F131" s="43"/>
      <c r="G131" s="406"/>
      <c r="H131" s="533"/>
      <c r="I131" s="45"/>
      <c r="J131" s="82"/>
      <c r="K131" s="82"/>
      <c r="L131" s="36"/>
      <c r="M131" s="36"/>
      <c r="N131" s="46"/>
      <c r="O131" s="47"/>
      <c r="P131" s="48"/>
      <c r="Q131" s="47"/>
      <c r="R131" s="362"/>
      <c r="S131" s="362"/>
      <c r="T131" s="38"/>
      <c r="U131" s="38"/>
      <c r="V131" s="38"/>
      <c r="W131" s="38"/>
      <c r="X131" s="361"/>
      <c r="Y131" s="209"/>
      <c r="Z131" s="38"/>
      <c r="AA131" s="38"/>
      <c r="AB131" s="38"/>
      <c r="AC131" s="38"/>
      <c r="AD131" s="38"/>
      <c r="AE131" s="226"/>
      <c r="AF131" s="38"/>
      <c r="AG131" s="38"/>
      <c r="AH131" s="38"/>
      <c r="AI131" s="476"/>
      <c r="AJ131" s="38"/>
      <c r="AK131" s="38"/>
      <c r="AL131" s="38"/>
      <c r="AM131" s="38"/>
      <c r="AN131" s="83"/>
      <c r="AO131" s="38"/>
      <c r="AP131" s="38"/>
      <c r="AQ131" s="38"/>
      <c r="AR131" s="38"/>
      <c r="AS131" s="38"/>
      <c r="AT131" s="38"/>
      <c r="AU131" s="38"/>
      <c r="AV131" s="38"/>
      <c r="AW131" s="38"/>
      <c r="AX131" s="38"/>
      <c r="AY131" s="38"/>
      <c r="AZ131" s="38"/>
      <c r="BA131" s="38"/>
      <c r="BB131" s="50"/>
      <c r="BC131" s="51"/>
      <c r="BD131" s="51"/>
      <c r="BE131" s="51"/>
      <c r="BF131" s="51"/>
    </row>
    <row r="132" spans="1:97" ht="12.75" customHeight="1">
      <c r="A132" s="41">
        <v>46112</v>
      </c>
      <c r="B132" s="42" t="s">
        <v>422</v>
      </c>
      <c r="C132" s="393">
        <f>(M132*E132*O132*Q132)/100000000</f>
        <v>35.532801360000001</v>
      </c>
      <c r="D132" s="42" t="s">
        <v>423</v>
      </c>
      <c r="E132" s="43">
        <v>13.5</v>
      </c>
      <c r="F132" s="43">
        <v>1</v>
      </c>
      <c r="G132" s="406">
        <v>1250</v>
      </c>
      <c r="H132" s="533">
        <f>+N132</f>
        <v>0.16000000000000003</v>
      </c>
      <c r="I132" s="45">
        <v>0.88</v>
      </c>
      <c r="J132" s="82">
        <f>E132*G132*(1-H132)*1440/1000000*2.7</f>
        <v>55.112400000000001</v>
      </c>
      <c r="K132" s="82">
        <f>(IF(G132&lt;L132,L132,G132)*(1-IF(H132&lt;N132,H132,N132))*E132*O132*Q132)/100000000</f>
        <v>37.013334749999999</v>
      </c>
      <c r="L132" s="36">
        <v>1200</v>
      </c>
      <c r="M132" s="36">
        <v>1008</v>
      </c>
      <c r="N132" s="46">
        <f>1-(M132/L132)</f>
        <v>0.16000000000000003</v>
      </c>
      <c r="O132" s="47">
        <f>+'Trim Rwd'!H84</f>
        <v>256.5</v>
      </c>
      <c r="P132" s="48">
        <f>O132*(Q132-R132-S132)</f>
        <v>257013</v>
      </c>
      <c r="Q132" s="47">
        <v>1018</v>
      </c>
      <c r="R132" s="362">
        <v>0</v>
      </c>
      <c r="S132" s="362">
        <v>16</v>
      </c>
      <c r="T132" s="38">
        <f>E132*M132*O132*Q132/100000000</f>
        <v>35.532801360000001</v>
      </c>
      <c r="U132" s="38">
        <f>E132*M132*O132*(Q132-R132-S132)/100000000</f>
        <v>34.974329040000001</v>
      </c>
      <c r="V132" s="38">
        <f>E132*G132*(1-N132)*O132/100*(R132+S132)/1000000</f>
        <v>0.58174199999999998</v>
      </c>
      <c r="W132" s="38">
        <f>+'31'!K10/1000</f>
        <v>38.36</v>
      </c>
      <c r="X132" s="361">
        <f>SUM(W132:W134)/SUM(K132:K134)</f>
        <v>0.74968323109251556</v>
      </c>
      <c r="Y132" s="38">
        <f>+SUM(RBP!AG3:AG4)</f>
        <v>17.25</v>
      </c>
      <c r="Z132" s="38">
        <f>+'31'!D7/1000</f>
        <v>0.75</v>
      </c>
      <c r="AA132" s="49">
        <f>SUM(U132:U134)-SUM(W132:W134)-SUM(Z132:Z134)-SUM(Y132:Y134)</f>
        <v>-7.2909970400000006</v>
      </c>
      <c r="AB132" s="49">
        <f>(SUM(K132:K134)-SUM(W132:W134)-SUM(Y132:Y134)-SUM(Z132:Z134)-SUM(AC132:AC134)-SUM(V132:V134))-AA132</f>
        <v>-2.456243999999419E-2</v>
      </c>
      <c r="AC132" s="38">
        <f>K132-T132</f>
        <v>1.480533389999998</v>
      </c>
      <c r="AD132" s="38">
        <f>+AM132+BA132</f>
        <v>0</v>
      </c>
      <c r="AE132" s="226" t="s">
        <v>417</v>
      </c>
      <c r="AF132" s="38">
        <v>0</v>
      </c>
      <c r="AG132" s="38"/>
      <c r="AH132" s="38"/>
      <c r="AI132" s="38"/>
      <c r="AJ132" s="38"/>
      <c r="AK132" s="38"/>
      <c r="AL132" s="38"/>
      <c r="AM132" s="38">
        <f>SUM(AF132:AL132)+AT132+AV132+AX132</f>
        <v>0</v>
      </c>
      <c r="AN132" s="38"/>
      <c r="AO132" s="38"/>
      <c r="AP132" s="38"/>
      <c r="AQ132" s="38"/>
      <c r="AR132" s="38">
        <f>SUM(AN132:AQ132)</f>
        <v>0</v>
      </c>
      <c r="AS132" s="38"/>
      <c r="AT132" s="38"/>
      <c r="AU132" s="38"/>
      <c r="AV132" s="38"/>
      <c r="AW132" s="38"/>
      <c r="AX132" s="38"/>
      <c r="AY132" s="38"/>
      <c r="AZ132" s="38"/>
      <c r="BA132" s="38">
        <f>+AR132+AS132+AU132+AW132+AY132+AZ132</f>
        <v>0</v>
      </c>
      <c r="BB132" s="34">
        <v>0</v>
      </c>
      <c r="BC132" s="51"/>
      <c r="BD132" s="51"/>
      <c r="BE132" s="51"/>
      <c r="BF132" s="51"/>
    </row>
    <row r="133" spans="1:97" ht="12.9" customHeight="1">
      <c r="A133" s="41"/>
      <c r="B133" s="42" t="s">
        <v>422</v>
      </c>
      <c r="C133" s="393">
        <f>(M133*E133*O133*Q133)/100000000</f>
        <v>15.275252160000001</v>
      </c>
      <c r="D133" s="42" t="s">
        <v>423</v>
      </c>
      <c r="E133" s="43">
        <v>15</v>
      </c>
      <c r="F133" s="43">
        <v>1</v>
      </c>
      <c r="G133" s="406">
        <v>1125</v>
      </c>
      <c r="H133" s="533">
        <f>+N133</f>
        <v>0.16000000000000003</v>
      </c>
      <c r="I133" s="45">
        <v>0.88</v>
      </c>
      <c r="J133" s="82">
        <f>E133*G133*(1-H133)*1440/1000000*2.7</f>
        <v>55.112400000000001</v>
      </c>
      <c r="K133" s="82">
        <f>(IF(G133&lt;L133,L133,G133)*(1-IF(H133&lt;N133,H133,N133))*E133*O133*Q133)/100000000</f>
        <v>15.34344525</v>
      </c>
      <c r="L133" s="36">
        <v>1120</v>
      </c>
      <c r="M133" s="36">
        <v>940.8</v>
      </c>
      <c r="N133" s="46">
        <f>1-(M133/L133)</f>
        <v>0.16000000000000003</v>
      </c>
      <c r="O133" s="47">
        <f>+'Trim Rwd'!H86</f>
        <v>256.5</v>
      </c>
      <c r="P133" s="48">
        <f>O133*(Q133-R133-S133)</f>
        <v>106191</v>
      </c>
      <c r="Q133" s="47">
        <v>422</v>
      </c>
      <c r="R133" s="362">
        <v>0</v>
      </c>
      <c r="S133" s="362">
        <v>8</v>
      </c>
      <c r="T133" s="38">
        <f>E133*M133*O133*Q133/100000000</f>
        <v>15.275252160000001</v>
      </c>
      <c r="U133" s="38">
        <f>E133*M133*O133*(Q133-R133-S133)/100000000</f>
        <v>14.98567392</v>
      </c>
      <c r="V133" s="38">
        <f>E133*G133*(1-N133)*O133/100*(R133+S133)/1000000</f>
        <v>0.29087099999999999</v>
      </c>
      <c r="W133" s="38">
        <f>+'31'!K7/1000</f>
        <v>0</v>
      </c>
      <c r="X133" s="361"/>
      <c r="Y133" s="209"/>
      <c r="Z133" s="38"/>
      <c r="AA133" s="38"/>
      <c r="AB133" s="38"/>
      <c r="AC133" s="38">
        <f>K133-T133</f>
        <v>6.8193089999999401E-2</v>
      </c>
      <c r="AD133" s="38">
        <f t="shared" ref="AD133:AD134" si="123">+AM133+BA133</f>
        <v>0</v>
      </c>
      <c r="AE133" s="226" t="s">
        <v>419</v>
      </c>
      <c r="AF133" s="38"/>
      <c r="AG133" s="38">
        <v>0</v>
      </c>
      <c r="AH133" s="38"/>
      <c r="AI133" s="38"/>
      <c r="AJ133" s="38"/>
      <c r="AK133" s="38"/>
      <c r="AL133" s="38"/>
      <c r="AM133" s="38">
        <f t="shared" ref="AM133:AM134" si="124">SUM(AF133:AL133)+AT133+AV133+AX133</f>
        <v>0</v>
      </c>
      <c r="AN133" s="83"/>
      <c r="AO133" s="38"/>
      <c r="AP133" s="38"/>
      <c r="AQ133" s="38"/>
      <c r="AR133" s="38">
        <f t="shared" ref="AR133:AR134" si="125">SUM(AN133:AQ133)</f>
        <v>0</v>
      </c>
      <c r="AS133" s="38"/>
      <c r="AT133" s="38"/>
      <c r="AU133" s="38"/>
      <c r="AV133" s="38"/>
      <c r="AW133" s="38"/>
      <c r="AX133" s="38"/>
      <c r="AY133" s="38"/>
      <c r="AZ133" s="38"/>
      <c r="BA133" s="38">
        <f t="shared" ref="BA133:BA134" si="126">+AR133+AS133+AU133+AW133+AY133+AZ133</f>
        <v>0</v>
      </c>
      <c r="BB133" s="50"/>
      <c r="BC133" s="51">
        <v>0</v>
      </c>
      <c r="BD133" s="51"/>
      <c r="BE133" s="51"/>
      <c r="BF133" s="51"/>
    </row>
    <row r="134" spans="1:97" ht="12.9" customHeight="1">
      <c r="A134" s="41"/>
      <c r="B134" s="42" t="s">
        <v>422</v>
      </c>
      <c r="C134" s="393"/>
      <c r="D134" s="42"/>
      <c r="E134" s="43">
        <v>14.5</v>
      </c>
      <c r="F134" s="43"/>
      <c r="G134" s="406"/>
      <c r="H134" s="533"/>
      <c r="I134" s="45"/>
      <c r="J134" s="82"/>
      <c r="K134" s="82"/>
      <c r="L134" s="36"/>
      <c r="M134" s="36"/>
      <c r="N134" s="46"/>
      <c r="O134" s="47"/>
      <c r="P134" s="48"/>
      <c r="Q134" s="47"/>
      <c r="R134" s="362"/>
      <c r="S134" s="362"/>
      <c r="T134" s="38"/>
      <c r="U134" s="38"/>
      <c r="V134" s="38"/>
      <c r="W134" s="38">
        <f>+'31'!K8/1000</f>
        <v>0.89100000000000001</v>
      </c>
      <c r="X134" s="361"/>
      <c r="Y134" s="209"/>
      <c r="Z134" s="38"/>
      <c r="AA134" s="38"/>
      <c r="AB134" s="38"/>
      <c r="AC134" s="38"/>
      <c r="AD134" s="38">
        <f t="shared" si="123"/>
        <v>24</v>
      </c>
      <c r="AE134" s="226" t="s">
        <v>446</v>
      </c>
      <c r="AF134" s="34"/>
      <c r="AG134" s="34"/>
      <c r="AH134" s="34">
        <v>24</v>
      </c>
      <c r="AI134" s="34"/>
      <c r="AJ134" s="38"/>
      <c r="AK134" s="38"/>
      <c r="AL134" s="38"/>
      <c r="AM134" s="38">
        <f t="shared" si="124"/>
        <v>24</v>
      </c>
      <c r="AN134" s="38"/>
      <c r="AO134" s="38"/>
      <c r="AP134" s="38"/>
      <c r="AQ134" s="38"/>
      <c r="AR134" s="38">
        <f t="shared" si="125"/>
        <v>0</v>
      </c>
      <c r="AS134" s="38"/>
      <c r="AT134" s="38"/>
      <c r="AU134" s="38"/>
      <c r="AV134" s="38"/>
      <c r="AW134" s="38"/>
      <c r="AX134" s="38"/>
      <c r="AY134" s="38"/>
      <c r="AZ134" s="38"/>
      <c r="BA134" s="38">
        <f t="shared" si="126"/>
        <v>0</v>
      </c>
      <c r="BB134" s="34"/>
      <c r="BC134" s="477"/>
      <c r="BD134" s="51"/>
      <c r="BE134" s="51"/>
      <c r="BF134" s="51"/>
    </row>
    <row r="135" spans="1:97" ht="12.9" customHeight="1">
      <c r="R135" s="363"/>
      <c r="S135" s="363"/>
      <c r="AA135" s="242">
        <f>U135-W135-Z135</f>
        <v>0</v>
      </c>
      <c r="AB135" s="242"/>
      <c r="AC135" s="243">
        <f>K135-T135</f>
        <v>0</v>
      </c>
      <c r="AD135" s="38"/>
      <c r="AF135" s="52"/>
      <c r="AG135" s="52"/>
      <c r="AH135" s="52"/>
      <c r="AI135" s="52"/>
      <c r="AJ135" s="52"/>
      <c r="AK135" s="52"/>
      <c r="AL135" s="52"/>
      <c r="AM135" s="38">
        <f t="shared" ref="AM135" si="127">SUM(AF135:AL135)</f>
        <v>0</v>
      </c>
      <c r="AN135" s="52"/>
      <c r="AO135" s="52"/>
      <c r="AP135" s="52"/>
      <c r="AQ135" s="52"/>
      <c r="AR135" s="38">
        <f t="shared" ref="AR135" si="128">SUM(AN135:AQ135)</f>
        <v>0</v>
      </c>
      <c r="AS135" s="52"/>
      <c r="AT135" s="52"/>
      <c r="AU135" s="52"/>
      <c r="AV135" s="52"/>
      <c r="AW135" s="52"/>
      <c r="AX135" s="52"/>
      <c r="AY135" s="52"/>
      <c r="AZ135" s="52"/>
      <c r="BA135" s="38"/>
      <c r="BB135" s="63"/>
      <c r="BC135" s="63"/>
      <c r="BD135" s="51"/>
      <c r="BE135" s="51"/>
      <c r="BF135" s="51"/>
    </row>
    <row r="136" spans="1:97" ht="12.9" customHeight="1">
      <c r="A136" s="56"/>
      <c r="B136" s="57"/>
      <c r="C136" s="394">
        <f>SUM(C6:C134)</f>
        <v>1631.5605417170555</v>
      </c>
      <c r="D136" s="57"/>
      <c r="E136" s="58"/>
      <c r="F136" s="58"/>
      <c r="G136" s="59"/>
      <c r="H136" s="59"/>
      <c r="I136" s="60">
        <v>0.85</v>
      </c>
      <c r="J136" s="82"/>
      <c r="K136" s="84">
        <f>SUM(K6:K134)</f>
        <v>1662.2451594075669</v>
      </c>
      <c r="L136" s="62"/>
      <c r="M136" s="62"/>
      <c r="N136" s="63"/>
      <c r="O136" s="64">
        <f>P136/(Q136-R136-S136)</f>
        <v>262.91946204384539</v>
      </c>
      <c r="P136" s="61">
        <f>SUM(P6:P134)</f>
        <v>11225083.512499936</v>
      </c>
      <c r="Q136" s="313">
        <f>SUM(Q6:Q135)</f>
        <v>43791</v>
      </c>
      <c r="R136" s="61">
        <f t="shared" ref="R136:W136" si="129">SUM(R6:R134)</f>
        <v>183</v>
      </c>
      <c r="S136" s="61">
        <f t="shared" si="129"/>
        <v>914</v>
      </c>
      <c r="T136" s="61">
        <f t="shared" si="129"/>
        <v>1631.5605417170555</v>
      </c>
      <c r="U136" s="61">
        <f t="shared" si="129"/>
        <v>1590.6496697800867</v>
      </c>
      <c r="V136" s="338">
        <f t="shared" si="129"/>
        <v>41.259982359219421</v>
      </c>
      <c r="W136" s="409">
        <f t="shared" si="129"/>
        <v>1556.3609999999996</v>
      </c>
      <c r="X136" s="478">
        <f>W136/K136</f>
        <v>0.93630051571616246</v>
      </c>
      <c r="Y136" s="339">
        <f>SUM(Y6:Y134)</f>
        <v>17.25</v>
      </c>
      <c r="Z136" s="409">
        <f>SUM(Z6:Z134)</f>
        <v>3.81</v>
      </c>
      <c r="AA136" s="61">
        <f>SUM(AA6:AA134)</f>
        <v>13.228669780086538</v>
      </c>
      <c r="AB136" s="61">
        <f>SUM(AB6:AB134)</f>
        <v>1.0382755777499333</v>
      </c>
      <c r="AC136" s="61">
        <f>SUM(AC6:AC134)</f>
        <v>29.297231690511239</v>
      </c>
      <c r="AD136" s="38">
        <f>SUM(AD6:AD135)</f>
        <v>1097</v>
      </c>
      <c r="AE136" s="65"/>
      <c r="AF136" s="61">
        <f t="shared" ref="AF136:BF136" si="130">SUM(AF6:AF135)</f>
        <v>46</v>
      </c>
      <c r="AG136" s="61">
        <f t="shared" si="130"/>
        <v>87</v>
      </c>
      <c r="AH136" s="61">
        <f t="shared" si="130"/>
        <v>706</v>
      </c>
      <c r="AI136" s="61">
        <f t="shared" si="130"/>
        <v>0</v>
      </c>
      <c r="AJ136" s="61">
        <f t="shared" si="130"/>
        <v>0</v>
      </c>
      <c r="AK136" s="61">
        <f t="shared" si="130"/>
        <v>0</v>
      </c>
      <c r="AL136" s="61">
        <f t="shared" si="130"/>
        <v>0</v>
      </c>
      <c r="AM136" s="61">
        <f t="shared" si="130"/>
        <v>914</v>
      </c>
      <c r="AN136" s="52">
        <f t="shared" si="130"/>
        <v>35</v>
      </c>
      <c r="AO136" s="52">
        <f t="shared" si="130"/>
        <v>0</v>
      </c>
      <c r="AP136" s="52">
        <f t="shared" si="130"/>
        <v>0</v>
      </c>
      <c r="AQ136" s="52">
        <f t="shared" si="130"/>
        <v>0</v>
      </c>
      <c r="AR136" s="61">
        <f t="shared" si="130"/>
        <v>35</v>
      </c>
      <c r="AS136" s="61">
        <f t="shared" si="130"/>
        <v>0</v>
      </c>
      <c r="AT136" s="61">
        <f t="shared" si="130"/>
        <v>0</v>
      </c>
      <c r="AU136" s="61">
        <f t="shared" si="130"/>
        <v>0</v>
      </c>
      <c r="AV136" s="61">
        <f t="shared" si="130"/>
        <v>75</v>
      </c>
      <c r="AW136" s="61">
        <f t="shared" si="130"/>
        <v>148</v>
      </c>
      <c r="AX136" s="61">
        <f t="shared" si="130"/>
        <v>0</v>
      </c>
      <c r="AY136" s="61">
        <f t="shared" si="130"/>
        <v>0</v>
      </c>
      <c r="AZ136" s="61">
        <f t="shared" si="130"/>
        <v>0</v>
      </c>
      <c r="BA136" s="61">
        <f t="shared" si="130"/>
        <v>183</v>
      </c>
      <c r="BB136" s="52">
        <f t="shared" si="130"/>
        <v>18</v>
      </c>
      <c r="BC136" s="52">
        <f t="shared" si="130"/>
        <v>41</v>
      </c>
      <c r="BD136" s="52">
        <f t="shared" si="130"/>
        <v>6</v>
      </c>
      <c r="BE136" s="52">
        <f t="shared" si="130"/>
        <v>0</v>
      </c>
      <c r="BF136" s="52">
        <f t="shared" si="130"/>
        <v>1</v>
      </c>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c r="CP136" s="28"/>
      <c r="CQ136" s="28"/>
      <c r="CR136" s="28"/>
      <c r="CS136" s="28"/>
    </row>
    <row r="137" spans="1:97" ht="12.9" customHeight="1">
      <c r="A137" s="56"/>
      <c r="B137" s="57"/>
      <c r="C137" s="57"/>
      <c r="D137" s="57"/>
      <c r="E137" s="58"/>
      <c r="F137" s="58"/>
      <c r="G137" s="59"/>
      <c r="H137" s="59"/>
      <c r="I137" s="59"/>
      <c r="J137" s="85"/>
      <c r="K137" s="85"/>
      <c r="L137" s="62"/>
      <c r="M137" s="62"/>
      <c r="N137" s="63"/>
      <c r="O137" s="657"/>
      <c r="P137" s="658"/>
      <c r="Q137" s="59">
        <f>31*1440-Q136</f>
        <v>849</v>
      </c>
      <c r="R137" s="66">
        <f>R136/Q136</f>
        <v>4.178940878262657E-3</v>
      </c>
      <c r="S137" s="66">
        <f>S136/Q136</f>
        <v>2.0871868648809116E-2</v>
      </c>
      <c r="T137" s="324"/>
      <c r="U137" s="324"/>
      <c r="V137" s="326">
        <f>V136/K136</f>
        <v>2.4821839381336926E-2</v>
      </c>
      <c r="W137" s="343" t="s">
        <v>178</v>
      </c>
      <c r="X137" s="479">
        <v>0.85</v>
      </c>
      <c r="Y137" s="340">
        <f>Y136/K136</f>
        <v>1.0377530596117358E-2</v>
      </c>
      <c r="Z137" s="67">
        <f>Z136/K136</f>
        <v>2.2920806707946162E-3</v>
      </c>
      <c r="AA137" s="67">
        <f>AA136/K136</f>
        <v>7.9583145152916594E-3</v>
      </c>
      <c r="AB137" s="67">
        <f>AB136/K136</f>
        <v>6.2462241016239767E-4</v>
      </c>
      <c r="AC137" s="480">
        <f>AC136/K136</f>
        <v>1.7625096710134461E-2</v>
      </c>
      <c r="AD137" s="327"/>
      <c r="AE137" s="40"/>
      <c r="AF137" s="67">
        <f>AF136/$AD$136*$V$137</f>
        <v>1.0408428546412932E-3</v>
      </c>
      <c r="AG137" s="67">
        <f>AG136/$AD$136*$V$137</f>
        <v>1.9685506163867935E-3</v>
      </c>
      <c r="AH137" s="67">
        <f>AH136/$AD$136*$V$137</f>
        <v>1.5974675116885936E-2</v>
      </c>
      <c r="AI137" s="67">
        <f>AI136/$AD$136*$V$137</f>
        <v>0</v>
      </c>
      <c r="AJ137" s="67">
        <f t="shared" ref="AJ137:BA137" si="131">AJ136/$AD$136*$V$137</f>
        <v>0</v>
      </c>
      <c r="AK137" s="67">
        <f t="shared" si="131"/>
        <v>0</v>
      </c>
      <c r="AL137" s="67">
        <f t="shared" si="131"/>
        <v>0</v>
      </c>
      <c r="AM137" s="67">
        <f t="shared" si="131"/>
        <v>2.0681094981350911E-2</v>
      </c>
      <c r="AN137" s="67">
        <f t="shared" si="131"/>
        <v>7.9194565027054906E-4</v>
      </c>
      <c r="AO137" s="67">
        <f t="shared" si="131"/>
        <v>0</v>
      </c>
      <c r="AP137" s="67">
        <f t="shared" si="131"/>
        <v>0</v>
      </c>
      <c r="AQ137" s="67">
        <f t="shared" si="131"/>
        <v>0</v>
      </c>
      <c r="AR137" s="67">
        <f t="shared" si="131"/>
        <v>7.9194565027054906E-4</v>
      </c>
      <c r="AS137" s="67">
        <f t="shared" si="131"/>
        <v>0</v>
      </c>
      <c r="AT137" s="67">
        <f t="shared" si="131"/>
        <v>0</v>
      </c>
      <c r="AU137" s="67">
        <f t="shared" si="131"/>
        <v>0</v>
      </c>
      <c r="AV137" s="67">
        <f t="shared" si="131"/>
        <v>1.6970263934368911E-3</v>
      </c>
      <c r="AW137" s="67">
        <f t="shared" si="131"/>
        <v>3.3487987497154647E-3</v>
      </c>
      <c r="AX137" s="67">
        <f t="shared" si="131"/>
        <v>0</v>
      </c>
      <c r="AY137" s="67">
        <f t="shared" si="131"/>
        <v>0</v>
      </c>
      <c r="AZ137" s="67">
        <f t="shared" si="131"/>
        <v>0</v>
      </c>
      <c r="BA137" s="67">
        <f t="shared" si="131"/>
        <v>4.140744399986014E-3</v>
      </c>
      <c r="BB137" s="35" t="s">
        <v>177</v>
      </c>
      <c r="BC137" s="35" t="s">
        <v>177</v>
      </c>
      <c r="BD137" s="35" t="s">
        <v>403</v>
      </c>
      <c r="BE137" s="35" t="s">
        <v>403</v>
      </c>
      <c r="BF137" s="35" t="s">
        <v>403</v>
      </c>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c r="CC137" s="28"/>
      <c r="CD137" s="28"/>
      <c r="CE137" s="28"/>
      <c r="CF137" s="28"/>
      <c r="CG137" s="28"/>
      <c r="CH137" s="28"/>
      <c r="CI137" s="28"/>
      <c r="CJ137" s="28"/>
      <c r="CK137" s="28"/>
      <c r="CL137" s="28"/>
      <c r="CM137" s="28"/>
      <c r="CN137" s="28"/>
      <c r="CO137" s="28"/>
      <c r="CP137" s="28"/>
      <c r="CQ137" s="28"/>
      <c r="CR137" s="28"/>
      <c r="CS137" s="28"/>
    </row>
    <row r="138" spans="1:97" ht="12.9" customHeight="1">
      <c r="A138" s="56"/>
      <c r="B138" s="57"/>
      <c r="C138" s="57"/>
      <c r="D138" s="57"/>
      <c r="E138" s="58"/>
      <c r="F138" s="58"/>
      <c r="G138" s="35"/>
      <c r="H138" s="35"/>
      <c r="I138" s="35"/>
      <c r="J138" s="82"/>
      <c r="K138" s="82"/>
      <c r="L138" s="36"/>
      <c r="M138" s="36"/>
      <c r="N138" s="34"/>
      <c r="O138" s="37"/>
      <c r="P138" s="29"/>
      <c r="Q138" s="35"/>
      <c r="R138" s="38">
        <f>R136-(BA136)</f>
        <v>0</v>
      </c>
      <c r="S138" s="38">
        <f>S136-SUM(AF136:AL136)-AT136-AV136-AX136</f>
        <v>0</v>
      </c>
      <c r="T138" s="34"/>
      <c r="U138" s="34"/>
      <c r="V138" s="34"/>
      <c r="W138" s="341"/>
      <c r="X138" s="342"/>
      <c r="Y138" s="68">
        <f>+Y136-(SUM(RBP!AG3:AG4))</f>
        <v>0</v>
      </c>
      <c r="Z138" s="38"/>
      <c r="AA138" s="34"/>
      <c r="AB138" s="34"/>
      <c r="AC138" s="34"/>
      <c r="AD138" s="34"/>
      <c r="AE138" s="40"/>
      <c r="AF138" s="314"/>
      <c r="AG138" s="314"/>
      <c r="AH138" s="314"/>
      <c r="AI138" s="314"/>
      <c r="AJ138" s="77"/>
      <c r="AK138" s="77"/>
      <c r="AL138" s="77"/>
      <c r="AM138" s="77"/>
      <c r="AN138" s="77"/>
      <c r="AO138" s="77"/>
      <c r="AP138" s="77"/>
      <c r="AQ138" s="77"/>
      <c r="AR138" s="77"/>
      <c r="AS138" s="77"/>
      <c r="AT138" s="581">
        <v>0</v>
      </c>
      <c r="AU138" s="581">
        <v>0</v>
      </c>
      <c r="AV138" s="581">
        <v>75</v>
      </c>
      <c r="AW138" s="581">
        <v>997</v>
      </c>
      <c r="AX138" s="581">
        <v>0</v>
      </c>
      <c r="AY138" s="581">
        <v>0</v>
      </c>
      <c r="AZ138" s="581">
        <v>0</v>
      </c>
      <c r="BA138" s="77"/>
      <c r="BB138" s="481">
        <f>BB136/($Q$136/1440)/2</f>
        <v>0.2959512228540111</v>
      </c>
      <c r="BC138" s="481">
        <f>BC136/($Q$136/1440)/2</f>
        <v>0.67411111872302532</v>
      </c>
      <c r="BD138" s="481">
        <f>BD136/($Q$136/1440)</f>
        <v>0.1973008152360074</v>
      </c>
      <c r="BE138" s="481">
        <f>BE136/($Q$136/1440)</f>
        <v>0</v>
      </c>
      <c r="BF138" s="481">
        <f>BF136/($Q$136/1440)</f>
        <v>3.2883469206001235E-2</v>
      </c>
    </row>
    <row r="139" spans="1:97" ht="12.9" customHeight="1">
      <c r="A139" s="69"/>
      <c r="B139" s="70"/>
      <c r="C139" s="70"/>
      <c r="D139" s="70"/>
      <c r="E139" s="71"/>
      <c r="F139" s="71"/>
      <c r="G139" s="72"/>
      <c r="H139" s="72"/>
      <c r="I139" s="72"/>
      <c r="J139" s="86"/>
      <c r="K139" s="86"/>
      <c r="O139" s="73"/>
      <c r="P139" s="74"/>
      <c r="Q139" s="72"/>
      <c r="R139" s="53"/>
      <c r="S139" s="53"/>
      <c r="U139" s="75"/>
      <c r="V139" s="75"/>
      <c r="W139" s="76" t="s">
        <v>130</v>
      </c>
      <c r="X139" s="482">
        <f>W136/U136</f>
        <v>0.97844360676551256</v>
      </c>
      <c r="Y139" s="482"/>
      <c r="Z139" s="53"/>
      <c r="AD139" s="83"/>
      <c r="AE139" s="78"/>
      <c r="AF139" s="79"/>
      <c r="AG139" s="79"/>
      <c r="AH139" s="79"/>
      <c r="AI139" s="79"/>
      <c r="AJ139" s="79"/>
      <c r="AK139" s="79"/>
      <c r="AL139" s="79"/>
      <c r="AM139" s="79"/>
      <c r="AN139" s="77"/>
      <c r="AO139" s="77"/>
      <c r="AP139" s="77"/>
      <c r="AQ139" s="77"/>
      <c r="AR139" s="77"/>
      <c r="AS139" s="79"/>
      <c r="AT139" s="79"/>
      <c r="AU139" s="79"/>
      <c r="AV139" s="79"/>
      <c r="AW139" s="79"/>
      <c r="AX139" s="79"/>
      <c r="AY139" s="79"/>
      <c r="AZ139" s="79"/>
      <c r="BA139" s="77"/>
      <c r="BB139" s="28"/>
      <c r="BC139" s="77"/>
      <c r="BD139" s="77"/>
      <c r="BE139" s="28"/>
      <c r="BF139" s="77"/>
    </row>
    <row r="140" spans="1:97" ht="12.9" customHeight="1">
      <c r="A140" s="69"/>
      <c r="B140" s="70"/>
      <c r="C140" s="70"/>
      <c r="D140" s="70"/>
      <c r="E140" s="71"/>
      <c r="F140" s="71"/>
      <c r="G140" s="72"/>
      <c r="H140" s="72"/>
      <c r="I140" s="72"/>
      <c r="J140" s="86"/>
      <c r="K140" s="86"/>
      <c r="O140" s="73"/>
      <c r="P140" s="74"/>
      <c r="Q140" s="72"/>
      <c r="R140" s="53"/>
      <c r="S140" s="53"/>
      <c r="U140" s="75"/>
      <c r="V140" s="75"/>
      <c r="W140" s="76"/>
      <c r="X140" s="77"/>
      <c r="Y140" s="77"/>
      <c r="Z140" s="53"/>
      <c r="AA140" s="89"/>
      <c r="AB140" s="89"/>
      <c r="AD140" s="83"/>
      <c r="AE140" s="78"/>
      <c r="AF140" s="79"/>
      <c r="AG140" s="79"/>
      <c r="AH140" s="79"/>
      <c r="AI140" s="79"/>
      <c r="AJ140" s="79"/>
      <c r="AK140" s="79"/>
      <c r="AL140" s="79"/>
      <c r="AM140" s="79"/>
      <c r="AN140" s="79"/>
      <c r="AO140" s="77"/>
      <c r="AP140" s="77"/>
      <c r="AQ140" s="77"/>
      <c r="AR140" s="79"/>
      <c r="AS140" s="77"/>
      <c r="AT140" s="77"/>
      <c r="AU140" s="77"/>
      <c r="AV140" s="581">
        <f>+Efficiency1!AV136+Efficiency1!AW136+Efficiency1!AX136+Efficiency1!AY136</f>
        <v>1072</v>
      </c>
      <c r="AW140" s="581">
        <f>+AV136+AW136</f>
        <v>223</v>
      </c>
      <c r="AX140" s="77"/>
      <c r="AY140" s="77"/>
      <c r="AZ140" s="77"/>
      <c r="BA140" s="77"/>
      <c r="BB140" s="28"/>
      <c r="BC140" s="77"/>
      <c r="BD140" s="77"/>
      <c r="BE140" s="28"/>
      <c r="BF140" s="77"/>
    </row>
    <row r="141" spans="1:97" ht="12.9" customHeight="1">
      <c r="A141" s="69"/>
      <c r="B141" s="70"/>
      <c r="C141" s="70"/>
      <c r="D141" s="70"/>
      <c r="E141" s="71"/>
      <c r="F141" s="71"/>
      <c r="G141" s="72"/>
      <c r="H141" s="72"/>
      <c r="I141" s="72"/>
      <c r="J141" s="86"/>
      <c r="K141" s="86"/>
      <c r="O141" s="73"/>
      <c r="P141" s="74"/>
      <c r="Q141" s="72"/>
      <c r="R141" s="325"/>
      <c r="S141" s="53"/>
      <c r="U141" s="75"/>
      <c r="V141" s="75"/>
      <c r="W141" s="76" t="s">
        <v>153</v>
      </c>
      <c r="X141" s="314">
        <f>+W136+Y136</f>
        <v>1573.6109999999996</v>
      </c>
      <c r="Y141" s="77"/>
      <c r="Z141" s="53"/>
      <c r="AD141" s="83"/>
      <c r="AE141" s="78"/>
      <c r="AF141" s="83"/>
      <c r="AG141" s="83"/>
      <c r="AH141" s="83"/>
      <c r="AI141" s="83"/>
      <c r="AJ141" s="77"/>
      <c r="AK141" s="77"/>
      <c r="AL141" s="77"/>
      <c r="AM141" s="79"/>
      <c r="AN141" s="77"/>
      <c r="AO141" s="77"/>
      <c r="AP141" s="77"/>
      <c r="AQ141" s="77"/>
      <c r="AR141" s="79"/>
      <c r="AS141" s="77"/>
      <c r="AT141" s="77"/>
      <c r="AU141" s="77"/>
      <c r="AV141" s="581">
        <f>1440*31*0.5%</f>
        <v>223.20000000000002</v>
      </c>
      <c r="AW141" s="581"/>
      <c r="AX141" s="77"/>
      <c r="AY141" s="77"/>
      <c r="AZ141" s="77"/>
      <c r="BA141" s="77"/>
      <c r="BB141" s="28"/>
      <c r="BC141" s="77"/>
      <c r="BD141" s="77"/>
      <c r="BE141" s="28"/>
      <c r="BF141" s="77"/>
    </row>
    <row r="142" spans="1:97" ht="12.9" customHeight="1">
      <c r="A142" s="69"/>
      <c r="C142" s="70" t="s">
        <v>295</v>
      </c>
      <c r="D142" s="70"/>
      <c r="E142" s="71"/>
      <c r="F142" s="71"/>
      <c r="G142" s="72"/>
      <c r="H142" s="72"/>
      <c r="I142" s="72"/>
      <c r="J142" s="86"/>
      <c r="K142" s="86"/>
      <c r="O142" s="73"/>
      <c r="P142" s="74"/>
      <c r="Q142" s="72">
        <f>+Q137-AV142</f>
        <v>0.20000000000004547</v>
      </c>
      <c r="R142" s="325"/>
      <c r="S142" s="53"/>
      <c r="U142" s="75"/>
      <c r="V142" s="336"/>
      <c r="W142" s="337"/>
      <c r="X142" s="330"/>
      <c r="Y142" s="337"/>
      <c r="Z142" s="330"/>
      <c r="AD142" s="323"/>
      <c r="AE142" s="78"/>
      <c r="AF142" s="323"/>
      <c r="AG142" s="323"/>
      <c r="AH142" s="323"/>
      <c r="AI142" s="323"/>
      <c r="AJ142" s="77"/>
      <c r="AK142" s="77"/>
      <c r="AL142" s="77"/>
      <c r="AM142" s="77"/>
      <c r="AN142" s="77"/>
      <c r="AO142" s="77"/>
      <c r="AP142" s="77"/>
      <c r="AQ142" s="77"/>
      <c r="AR142" s="77"/>
      <c r="AS142" s="77"/>
      <c r="AT142" s="77"/>
      <c r="AU142" s="77"/>
      <c r="AV142" s="581">
        <f>+AV140-AV141</f>
        <v>848.8</v>
      </c>
      <c r="AW142" s="581"/>
      <c r="AX142" s="77"/>
      <c r="AY142" s="77"/>
      <c r="AZ142" s="77"/>
      <c r="BA142" s="77"/>
      <c r="BB142" s="28"/>
      <c r="BC142" s="77"/>
      <c r="BD142" s="77"/>
      <c r="BE142" s="28"/>
      <c r="BF142" s="77"/>
    </row>
    <row r="143" spans="1:97" ht="12.9" customHeight="1">
      <c r="A143" s="69"/>
      <c r="B143" s="70"/>
      <c r="C143" s="70" t="s">
        <v>296</v>
      </c>
      <c r="D143" s="70"/>
      <c r="E143" s="71"/>
      <c r="F143" s="71"/>
      <c r="G143" s="72"/>
      <c r="H143" s="72"/>
      <c r="I143" s="72"/>
      <c r="J143" s="86"/>
      <c r="K143" s="86"/>
      <c r="O143" s="73"/>
      <c r="P143" s="74"/>
      <c r="Q143" s="72"/>
      <c r="R143" s="325"/>
      <c r="S143" s="53"/>
      <c r="V143" s="328"/>
      <c r="W143" s="329" t="s">
        <v>300</v>
      </c>
      <c r="X143" s="328"/>
      <c r="Y143" s="328"/>
      <c r="Z143" s="330"/>
      <c r="AE143" s="78"/>
      <c r="AF143" s="53"/>
      <c r="AG143" s="53"/>
      <c r="AH143" s="53"/>
      <c r="AI143" s="53"/>
      <c r="AJ143" s="53"/>
      <c r="AK143" s="53"/>
      <c r="AL143" s="53"/>
      <c r="AM143" s="53"/>
      <c r="AN143" s="53"/>
      <c r="AO143" s="53"/>
      <c r="AP143" s="53"/>
      <c r="AQ143" s="53"/>
      <c r="AS143" s="53"/>
      <c r="AT143" s="53"/>
      <c r="AU143" s="53"/>
      <c r="AV143" s="582"/>
      <c r="AW143" s="582"/>
      <c r="AX143" s="53"/>
      <c r="AY143" s="53"/>
      <c r="AZ143" s="53"/>
      <c r="BA143" s="53"/>
      <c r="BB143" s="28"/>
      <c r="BE143" s="28"/>
    </row>
    <row r="144" spans="1:97" ht="12.9" customHeight="1">
      <c r="A144" s="69"/>
      <c r="B144" s="70"/>
      <c r="C144" s="70"/>
      <c r="D144" s="70"/>
      <c r="E144" s="71"/>
      <c r="F144" s="71"/>
      <c r="G144" s="72"/>
      <c r="H144" s="72"/>
      <c r="I144" s="72"/>
      <c r="J144" s="86"/>
      <c r="K144" s="86"/>
      <c r="O144" s="73"/>
      <c r="P144" s="74"/>
      <c r="Q144" s="72"/>
      <c r="R144" s="325"/>
      <c r="S144" s="53"/>
      <c r="V144" s="328"/>
      <c r="W144" s="331" t="s">
        <v>294</v>
      </c>
      <c r="X144" s="335">
        <f>Y137</f>
        <v>1.0377530596117358E-2</v>
      </c>
      <c r="Y144" s="332"/>
      <c r="Z144" s="330"/>
      <c r="AE144" s="78"/>
      <c r="AF144" s="53"/>
      <c r="AG144" s="53"/>
      <c r="AH144" s="53"/>
      <c r="AI144" s="53"/>
      <c r="AJ144" s="53"/>
      <c r="AK144" s="53"/>
      <c r="AL144" s="53"/>
      <c r="AM144" s="53"/>
      <c r="AN144" s="53"/>
      <c r="AO144" s="53"/>
      <c r="AP144" s="53"/>
      <c r="AQ144" s="53"/>
      <c r="AS144" s="53"/>
      <c r="AT144" s="53"/>
      <c r="AU144" s="53"/>
      <c r="AV144" s="582"/>
      <c r="AW144" s="582"/>
      <c r="AX144" s="53"/>
      <c r="AY144" s="53"/>
      <c r="AZ144" s="53"/>
      <c r="BA144" s="53"/>
      <c r="BB144" s="28"/>
      <c r="BE144" s="28"/>
    </row>
    <row r="145" spans="1:97" ht="12.9" customHeight="1">
      <c r="R145" s="89"/>
      <c r="V145" s="328"/>
      <c r="W145" s="331" t="s">
        <v>157</v>
      </c>
      <c r="X145" s="334">
        <f>Z137</f>
        <v>2.2920806707946162E-3</v>
      </c>
      <c r="Y145" s="333"/>
      <c r="Z145" s="328"/>
      <c r="AV145" s="583"/>
      <c r="AW145" s="583"/>
    </row>
    <row r="146" spans="1:97" ht="12.9" customHeight="1">
      <c r="R146" s="89"/>
      <c r="V146" s="328"/>
      <c r="W146" s="331" t="s">
        <v>158</v>
      </c>
      <c r="X146" s="334">
        <f>AC137</f>
        <v>1.7625096710134461E-2</v>
      </c>
      <c r="Y146" s="334"/>
      <c r="Z146" s="328"/>
      <c r="AV146" s="583"/>
      <c r="AW146" s="583"/>
    </row>
    <row r="147" spans="1:97" ht="12.9" customHeight="1">
      <c r="R147" s="89"/>
      <c r="V147" s="328"/>
      <c r="W147" s="331" t="s">
        <v>159</v>
      </c>
      <c r="X147" s="334">
        <f>AA137</f>
        <v>7.9583145152916594E-3</v>
      </c>
      <c r="Y147" s="333"/>
      <c r="Z147" s="328"/>
    </row>
    <row r="148" spans="1:97">
      <c r="V148" s="328"/>
      <c r="W148" s="331" t="s">
        <v>175</v>
      </c>
      <c r="X148" s="334">
        <f>AB137</f>
        <v>6.2462241016239767E-4</v>
      </c>
      <c r="Y148" s="333" t="s">
        <v>173</v>
      </c>
      <c r="Z148" s="328"/>
    </row>
    <row r="149" spans="1:97" s="28" customFormat="1" ht="12.9" customHeight="1">
      <c r="A149" s="30"/>
      <c r="B149" s="30"/>
      <c r="C149" s="30"/>
      <c r="D149" s="30"/>
      <c r="E149" s="30"/>
      <c r="F149" s="54"/>
      <c r="G149" s="30"/>
      <c r="H149" s="30"/>
      <c r="I149" s="30"/>
      <c r="J149" s="83"/>
      <c r="K149" s="83"/>
      <c r="L149" s="55"/>
      <c r="M149" s="55"/>
      <c r="N149" s="30"/>
      <c r="O149" s="30"/>
      <c r="P149" s="30"/>
      <c r="Q149" s="312"/>
      <c r="R149" s="30"/>
      <c r="S149" s="30"/>
      <c r="T149" s="30"/>
      <c r="U149" s="30"/>
      <c r="V149" s="328"/>
      <c r="W149" s="331" t="s">
        <v>214</v>
      </c>
      <c r="X149" s="334">
        <f>AF137</f>
        <v>1.0408428546412932E-3</v>
      </c>
      <c r="Y149" s="333"/>
      <c r="Z149" s="328"/>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30"/>
      <c r="CJ149" s="30"/>
      <c r="CK149" s="30"/>
      <c r="CL149" s="30"/>
      <c r="CM149" s="30"/>
      <c r="CN149" s="30"/>
      <c r="CO149" s="30"/>
      <c r="CP149" s="30"/>
      <c r="CQ149" s="30"/>
      <c r="CR149" s="30"/>
      <c r="CS149" s="30"/>
    </row>
    <row r="150" spans="1:97" s="28" customFormat="1" ht="12.9" customHeight="1">
      <c r="A150" s="30"/>
      <c r="B150" s="30"/>
      <c r="C150" s="30"/>
      <c r="D150" s="30"/>
      <c r="E150" s="30"/>
      <c r="F150" s="54"/>
      <c r="G150" s="30"/>
      <c r="H150" s="30"/>
      <c r="I150" s="30"/>
      <c r="J150" s="83"/>
      <c r="K150" s="83"/>
      <c r="L150" s="55"/>
      <c r="M150" s="55"/>
      <c r="N150" s="30"/>
      <c r="O150" s="30"/>
      <c r="P150" s="30"/>
      <c r="Q150" s="312"/>
      <c r="R150" s="30"/>
      <c r="S150" s="30"/>
      <c r="T150" s="30"/>
      <c r="U150" s="30"/>
      <c r="V150" s="328"/>
      <c r="W150" s="331" t="s">
        <v>215</v>
      </c>
      <c r="X150" s="334">
        <f>+AG137</f>
        <v>1.9685506163867935E-3</v>
      </c>
      <c r="Y150" s="333"/>
      <c r="Z150" s="328"/>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c r="BZ150" s="30"/>
      <c r="CA150" s="30"/>
      <c r="CB150" s="30"/>
      <c r="CC150" s="30"/>
      <c r="CD150" s="30"/>
      <c r="CE150" s="30"/>
      <c r="CF150" s="30"/>
      <c r="CG150" s="30"/>
      <c r="CH150" s="30"/>
      <c r="CI150" s="30"/>
      <c r="CJ150" s="30"/>
      <c r="CK150" s="30"/>
      <c r="CL150" s="30"/>
      <c r="CM150" s="30"/>
      <c r="CN150" s="30"/>
      <c r="CO150" s="30"/>
      <c r="CP150" s="30"/>
      <c r="CQ150" s="30"/>
      <c r="CR150" s="30"/>
      <c r="CS150" s="30"/>
    </row>
    <row r="151" spans="1:97" ht="12.9" customHeight="1">
      <c r="V151" s="328"/>
      <c r="W151" s="331" t="s">
        <v>216</v>
      </c>
      <c r="X151" s="334">
        <f>+AH137</f>
        <v>1.5974675116885936E-2</v>
      </c>
      <c r="Y151" s="333"/>
      <c r="Z151" s="328"/>
    </row>
    <row r="152" spans="1:97">
      <c r="V152" s="328"/>
      <c r="W152" s="331" t="s">
        <v>217</v>
      </c>
      <c r="X152" s="334">
        <f>+AI137</f>
        <v>0</v>
      </c>
      <c r="Y152" s="333"/>
      <c r="Z152" s="328"/>
    </row>
    <row r="153" spans="1:97">
      <c r="V153" s="328"/>
      <c r="W153" s="331" t="s">
        <v>166</v>
      </c>
      <c r="X153" s="334">
        <f>+AJ137</f>
        <v>0</v>
      </c>
      <c r="Y153" s="333"/>
      <c r="Z153" s="328"/>
    </row>
    <row r="154" spans="1:97">
      <c r="V154" s="328"/>
      <c r="W154" s="331" t="s">
        <v>168</v>
      </c>
      <c r="X154" s="334">
        <f>+AK137</f>
        <v>0</v>
      </c>
      <c r="Y154" s="333"/>
      <c r="Z154" s="328"/>
    </row>
    <row r="155" spans="1:97">
      <c r="V155" s="328"/>
      <c r="W155" s="331" t="s">
        <v>167</v>
      </c>
      <c r="X155" s="334">
        <f>+AL137</f>
        <v>0</v>
      </c>
      <c r="Y155" s="333"/>
      <c r="Z155" s="328"/>
    </row>
    <row r="156" spans="1:97">
      <c r="V156" s="328"/>
      <c r="W156" s="331" t="s">
        <v>160</v>
      </c>
      <c r="X156" s="334">
        <f>+AN137</f>
        <v>7.9194565027054906E-4</v>
      </c>
      <c r="Y156" s="333"/>
      <c r="Z156" s="328"/>
    </row>
    <row r="157" spans="1:97">
      <c r="V157" s="328"/>
      <c r="W157" s="331" t="s">
        <v>170</v>
      </c>
      <c r="X157" s="334">
        <f>+AO137</f>
        <v>0</v>
      </c>
      <c r="Y157" s="333"/>
      <c r="Z157" s="328"/>
    </row>
    <row r="158" spans="1:97">
      <c r="V158" s="328"/>
      <c r="W158" s="331" t="s">
        <v>161</v>
      </c>
      <c r="X158" s="334">
        <f>+AP137</f>
        <v>0</v>
      </c>
      <c r="Y158" s="333"/>
      <c r="Z158" s="328"/>
    </row>
    <row r="159" spans="1:97">
      <c r="V159" s="328"/>
      <c r="W159" s="331" t="s">
        <v>169</v>
      </c>
      <c r="X159" s="334">
        <f>+AQ137</f>
        <v>0</v>
      </c>
      <c r="Y159" s="333"/>
      <c r="Z159" s="328"/>
    </row>
    <row r="160" spans="1:97">
      <c r="V160" s="328"/>
      <c r="W160" s="331" t="s">
        <v>172</v>
      </c>
      <c r="X160" s="334">
        <f>+AS137</f>
        <v>0</v>
      </c>
      <c r="Y160" s="333"/>
      <c r="Z160" s="328"/>
    </row>
    <row r="161" spans="22:26">
      <c r="V161" s="328"/>
      <c r="W161" s="331" t="s">
        <v>297</v>
      </c>
      <c r="X161" s="334">
        <f>+AT137</f>
        <v>0</v>
      </c>
      <c r="Y161" s="333"/>
      <c r="Z161" s="328"/>
    </row>
    <row r="162" spans="22:26">
      <c r="V162" s="328"/>
      <c r="W162" s="331" t="s">
        <v>253</v>
      </c>
      <c r="X162" s="334">
        <f>+AU137</f>
        <v>0</v>
      </c>
      <c r="Y162" s="333"/>
      <c r="Z162" s="328"/>
    </row>
    <row r="163" spans="22:26">
      <c r="V163" s="328"/>
      <c r="W163" s="331" t="s">
        <v>301</v>
      </c>
      <c r="X163" s="334">
        <f>+AW137</f>
        <v>3.3487987497154647E-3</v>
      </c>
      <c r="Y163" s="333"/>
      <c r="Z163" s="328"/>
    </row>
    <row r="164" spans="22:26">
      <c r="V164" s="328"/>
      <c r="W164" s="331" t="s">
        <v>302</v>
      </c>
      <c r="X164" s="334">
        <f>+AV137</f>
        <v>1.6970263934368911E-3</v>
      </c>
      <c r="Y164" s="333"/>
      <c r="Z164" s="328"/>
    </row>
    <row r="165" spans="22:26">
      <c r="V165" s="328"/>
      <c r="W165" s="328" t="s">
        <v>171</v>
      </c>
      <c r="X165" s="334">
        <f>+AX137+AY137</f>
        <v>0</v>
      </c>
      <c r="Y165" s="334"/>
      <c r="Z165" s="328"/>
    </row>
    <row r="166" spans="22:26">
      <c r="V166" s="328"/>
      <c r="W166" s="328" t="s">
        <v>303</v>
      </c>
      <c r="X166" s="334">
        <f>+AZ137</f>
        <v>0</v>
      </c>
      <c r="Y166" s="328"/>
      <c r="Z166" s="328"/>
    </row>
    <row r="167" spans="22:26" ht="12">
      <c r="V167" s="328"/>
      <c r="W167" s="328"/>
      <c r="X167" s="497">
        <f>SUM(X144:X166)</f>
        <v>6.3699484283837413E-2</v>
      </c>
      <c r="Y167" s="328"/>
      <c r="Z167" s="328"/>
    </row>
    <row r="169" spans="22:26">
      <c r="X169" s="89">
        <f>+X167+X136</f>
        <v>0.99999999999999989</v>
      </c>
    </row>
    <row r="175" spans="22:26" ht="12" customHeight="1"/>
    <row r="176" spans="22:26" ht="12" customHeight="1"/>
    <row r="178" ht="12" customHeight="1"/>
    <row r="179" ht="12" customHeight="1"/>
  </sheetData>
  <mergeCells count="50">
    <mergeCell ref="F3:F5"/>
    <mergeCell ref="A3:A5"/>
    <mergeCell ref="B3:B5"/>
    <mergeCell ref="C3:C5"/>
    <mergeCell ref="D3:D5"/>
    <mergeCell ref="E3:E5"/>
    <mergeCell ref="G3:K4"/>
    <mergeCell ref="L3:N4"/>
    <mergeCell ref="O3:O5"/>
    <mergeCell ref="P3:P5"/>
    <mergeCell ref="Q3:Q5"/>
    <mergeCell ref="O137:P137"/>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BE3:BE5"/>
    <mergeCell ref="BF3:BF5"/>
    <mergeCell ref="AX3:AY3"/>
    <mergeCell ref="AZ3:AZ5"/>
    <mergeCell ref="BA3:BA5"/>
    <mergeCell ref="BB3:BB5"/>
    <mergeCell ref="BC3:BC5"/>
  </mergeCells>
  <conditionalFormatting sqref="C137 C135 B135:B137">
    <cfRule type="cellIs" dxfId="1516" priority="6773" stopIfTrue="1" operator="equal">
      <formula>"Towel"</formula>
    </cfRule>
    <cfRule type="cellIs" dxfId="1515" priority="6774" stopIfTrue="1" operator="equal">
      <formula>"Napkin Hs"</formula>
    </cfRule>
  </conditionalFormatting>
  <conditionalFormatting sqref="B8:C9 B87:C87 B12:C13">
    <cfRule type="cellIs" dxfId="1514" priority="1617" stopIfTrue="1" operator="equal">
      <formula>"Towel"</formula>
    </cfRule>
    <cfRule type="cellIs" dxfId="1513" priority="1618" stopIfTrue="1" operator="equal">
      <formula>"Napkin Hs"</formula>
    </cfRule>
  </conditionalFormatting>
  <conditionalFormatting sqref="B55:C55">
    <cfRule type="cellIs" dxfId="1512" priority="1613" stopIfTrue="1" operator="equal">
      <formula>"Towel"</formula>
    </cfRule>
    <cfRule type="cellIs" dxfId="1511" priority="1614" stopIfTrue="1" operator="equal">
      <formula>"Napkin Hs"</formula>
    </cfRule>
  </conditionalFormatting>
  <conditionalFormatting sqref="B71:C71">
    <cfRule type="cellIs" dxfId="1510" priority="1607" stopIfTrue="1" operator="equal">
      <formula>"Towel"</formula>
    </cfRule>
    <cfRule type="cellIs" dxfId="1509" priority="1608" stopIfTrue="1" operator="equal">
      <formula>"Napkin Hs"</formula>
    </cfRule>
  </conditionalFormatting>
  <conditionalFormatting sqref="B79:C79">
    <cfRule type="cellIs" dxfId="1508" priority="1601" stopIfTrue="1" operator="equal">
      <formula>"Towel"</formula>
    </cfRule>
    <cfRule type="cellIs" dxfId="1507" priority="1602" stopIfTrue="1" operator="equal">
      <formula>"Napkin Hs"</formula>
    </cfRule>
  </conditionalFormatting>
  <conditionalFormatting sqref="B83:C83">
    <cfRule type="cellIs" dxfId="1506" priority="1595" stopIfTrue="1" operator="equal">
      <formula>"Towel"</formula>
    </cfRule>
    <cfRule type="cellIs" dxfId="1505" priority="1596" stopIfTrue="1" operator="equal">
      <formula>"Napkin Hs"</formula>
    </cfRule>
  </conditionalFormatting>
  <conditionalFormatting sqref="B111:C111">
    <cfRule type="cellIs" dxfId="1504" priority="1587" stopIfTrue="1" operator="equal">
      <formula>"Towel"</formula>
    </cfRule>
    <cfRule type="cellIs" dxfId="1503" priority="1588" stopIfTrue="1" operator="equal">
      <formula>"Napkin Hs"</formula>
    </cfRule>
  </conditionalFormatting>
  <conditionalFormatting sqref="B116:C116">
    <cfRule type="cellIs" dxfId="1502" priority="1581" stopIfTrue="1" operator="equal">
      <formula>"Towel"</formula>
    </cfRule>
    <cfRule type="cellIs" dxfId="1501" priority="1582" stopIfTrue="1" operator="equal">
      <formula>"Napkin Hs"</formula>
    </cfRule>
  </conditionalFormatting>
  <conditionalFormatting sqref="C8:C9 C87 C12:C13">
    <cfRule type="cellIs" dxfId="1500" priority="1616" stopIfTrue="1" operator="equal">
      <formula>"Napkin Hs"</formula>
    </cfRule>
  </conditionalFormatting>
  <conditionalFormatting sqref="C8:C9">
    <cfRule type="cellIs" dxfId="1499" priority="1575" stopIfTrue="1" operator="equal">
      <formula>"Towel"</formula>
    </cfRule>
    <cfRule type="cellIs" dxfId="1498" priority="1576" stopIfTrue="1" operator="equal">
      <formula>"Napkin Hs"</formula>
    </cfRule>
  </conditionalFormatting>
  <conditionalFormatting sqref="C87 C8:C9 C12:C13">
    <cfRule type="cellIs" dxfId="1497" priority="1615" stopIfTrue="1" operator="equal">
      <formula>"Towel"</formula>
    </cfRule>
  </conditionalFormatting>
  <conditionalFormatting sqref="C55">
    <cfRule type="cellIs" dxfId="1496" priority="1611" stopIfTrue="1" operator="equal">
      <formula>"Towel"</formula>
    </cfRule>
    <cfRule type="cellIs" dxfId="1495" priority="1612" stopIfTrue="1" operator="equal">
      <formula>"Napkin Hs"</formula>
    </cfRule>
  </conditionalFormatting>
  <conditionalFormatting sqref="C55">
    <cfRule type="cellIs" dxfId="1494" priority="1609" stopIfTrue="1" operator="equal">
      <formula>"Towel"</formula>
    </cfRule>
    <cfRule type="cellIs" dxfId="1493" priority="1610" stopIfTrue="1" operator="equal">
      <formula>"Napkin Hs"</formula>
    </cfRule>
  </conditionalFormatting>
  <conditionalFormatting sqref="C71">
    <cfRule type="cellIs" dxfId="1492" priority="1603" stopIfTrue="1" operator="equal">
      <formula>"Towel"</formula>
    </cfRule>
    <cfRule type="cellIs" dxfId="1491" priority="1604" stopIfTrue="1" operator="equal">
      <formula>"Napkin Hs"</formula>
    </cfRule>
  </conditionalFormatting>
  <conditionalFormatting sqref="C71">
    <cfRule type="cellIs" dxfId="1490" priority="1605" stopIfTrue="1" operator="equal">
      <formula>"Towel"</formula>
    </cfRule>
    <cfRule type="cellIs" dxfId="1489" priority="1606" stopIfTrue="1" operator="equal">
      <formula>"Napkin Hs"</formula>
    </cfRule>
  </conditionalFormatting>
  <conditionalFormatting sqref="C79">
    <cfRule type="cellIs" dxfId="1488" priority="1599" stopIfTrue="1" operator="equal">
      <formula>"Towel"</formula>
    </cfRule>
    <cfRule type="cellIs" dxfId="1487" priority="1600" stopIfTrue="1" operator="equal">
      <formula>"Napkin Hs"</formula>
    </cfRule>
  </conditionalFormatting>
  <conditionalFormatting sqref="C79">
    <cfRule type="cellIs" dxfId="1486" priority="1597" stopIfTrue="1" operator="equal">
      <formula>"Towel"</formula>
    </cfRule>
    <cfRule type="cellIs" dxfId="1485" priority="1598" stopIfTrue="1" operator="equal">
      <formula>"Napkin Hs"</formula>
    </cfRule>
  </conditionalFormatting>
  <conditionalFormatting sqref="C83">
    <cfRule type="cellIs" dxfId="1484" priority="1593" stopIfTrue="1" operator="equal">
      <formula>"Towel"</formula>
    </cfRule>
    <cfRule type="cellIs" dxfId="1483" priority="1594" stopIfTrue="1" operator="equal">
      <formula>"Napkin Hs"</formula>
    </cfRule>
  </conditionalFormatting>
  <conditionalFormatting sqref="C83">
    <cfRule type="cellIs" dxfId="1482" priority="1591" stopIfTrue="1" operator="equal">
      <formula>"Towel"</formula>
    </cfRule>
    <cfRule type="cellIs" dxfId="1481" priority="1592" stopIfTrue="1" operator="equal">
      <formula>"Napkin Hs"</formula>
    </cfRule>
  </conditionalFormatting>
  <conditionalFormatting sqref="C87">
    <cfRule type="cellIs" dxfId="1480" priority="1589" stopIfTrue="1" operator="equal">
      <formula>"Towel"</formula>
    </cfRule>
    <cfRule type="cellIs" dxfId="1479" priority="1590" stopIfTrue="1" operator="equal">
      <formula>"Napkin Hs"</formula>
    </cfRule>
  </conditionalFormatting>
  <conditionalFormatting sqref="C111">
    <cfRule type="cellIs" dxfId="1478" priority="1585" stopIfTrue="1" operator="equal">
      <formula>"Towel"</formula>
    </cfRule>
    <cfRule type="cellIs" dxfId="1477" priority="1586" stopIfTrue="1" operator="equal">
      <formula>"Napkin Hs"</formula>
    </cfRule>
  </conditionalFormatting>
  <conditionalFormatting sqref="C111">
    <cfRule type="cellIs" dxfId="1476" priority="1583" stopIfTrue="1" operator="equal">
      <formula>"Towel"</formula>
    </cfRule>
    <cfRule type="cellIs" dxfId="1475" priority="1584" stopIfTrue="1" operator="equal">
      <formula>"Napkin Hs"</formula>
    </cfRule>
  </conditionalFormatting>
  <conditionalFormatting sqref="C116">
    <cfRule type="cellIs" dxfId="1474" priority="1579" stopIfTrue="1" operator="equal">
      <formula>"Towel"</formula>
    </cfRule>
    <cfRule type="cellIs" dxfId="1473" priority="1580" stopIfTrue="1" operator="equal">
      <formula>"Napkin Hs"</formula>
    </cfRule>
  </conditionalFormatting>
  <conditionalFormatting sqref="C116">
    <cfRule type="cellIs" dxfId="1472" priority="1577" stopIfTrue="1" operator="equal">
      <formula>"Towel"</formula>
    </cfRule>
    <cfRule type="cellIs" dxfId="1471" priority="1578" stopIfTrue="1" operator="equal">
      <formula>"Napkin Hs"</formula>
    </cfRule>
  </conditionalFormatting>
  <conditionalFormatting sqref="C7">
    <cfRule type="cellIs" dxfId="1470" priority="1573" stopIfTrue="1" operator="equal">
      <formula>"Towel"</formula>
    </cfRule>
    <cfRule type="cellIs" dxfId="1469" priority="1574" stopIfTrue="1" operator="equal">
      <formula>"Napkin Hs"</formula>
    </cfRule>
  </conditionalFormatting>
  <conditionalFormatting sqref="C7">
    <cfRule type="cellIs" dxfId="1468" priority="1569" stopIfTrue="1" operator="equal">
      <formula>"Towel"</formula>
    </cfRule>
    <cfRule type="cellIs" dxfId="1467" priority="1570" stopIfTrue="1" operator="equal">
      <formula>"Napkin Hs"</formula>
    </cfRule>
  </conditionalFormatting>
  <conditionalFormatting sqref="B7">
    <cfRule type="cellIs" dxfId="1466" priority="1559" stopIfTrue="1" operator="equal">
      <formula>"Towel"</formula>
    </cfRule>
    <cfRule type="cellIs" dxfId="1465" priority="1560" stopIfTrue="1" operator="equal">
      <formula>"Napkin Hs"</formula>
    </cfRule>
  </conditionalFormatting>
  <conditionalFormatting sqref="B7">
    <cfRule type="cellIs" dxfId="1464" priority="1561" stopIfTrue="1" operator="equal">
      <formula>"Towel"</formula>
    </cfRule>
    <cfRule type="cellIs" dxfId="1463" priority="1562" stopIfTrue="1" operator="equal">
      <formula>"Napkin Hs"</formula>
    </cfRule>
  </conditionalFormatting>
  <conditionalFormatting sqref="C7">
    <cfRule type="cellIs" dxfId="1462" priority="1563" stopIfTrue="1" operator="equal">
      <formula>"Towel"</formula>
    </cfRule>
    <cfRule type="cellIs" dxfId="1461" priority="1564" stopIfTrue="1" operator="equal">
      <formula>"Napkin Hs"</formula>
    </cfRule>
  </conditionalFormatting>
  <conditionalFormatting sqref="C7">
    <cfRule type="cellIs" dxfId="1460" priority="1572" stopIfTrue="1" operator="equal">
      <formula>"Napkin Hs"</formula>
    </cfRule>
  </conditionalFormatting>
  <conditionalFormatting sqref="C7">
    <cfRule type="cellIs" dxfId="1459" priority="1571" stopIfTrue="1" operator="equal">
      <formula>"Towel"</formula>
    </cfRule>
  </conditionalFormatting>
  <conditionalFormatting sqref="C7">
    <cfRule type="cellIs" dxfId="1458" priority="1567" stopIfTrue="1" operator="equal">
      <formula>"Towel"</formula>
    </cfRule>
    <cfRule type="cellIs" dxfId="1457" priority="1568" stopIfTrue="1" operator="equal">
      <formula>"Napkin Hs"</formula>
    </cfRule>
  </conditionalFormatting>
  <conditionalFormatting sqref="C7">
    <cfRule type="cellIs" dxfId="1456" priority="1566" stopIfTrue="1" operator="equal">
      <formula>"Napkin Hs"</formula>
    </cfRule>
  </conditionalFormatting>
  <conditionalFormatting sqref="C7">
    <cfRule type="cellIs" dxfId="1455" priority="1565" stopIfTrue="1" operator="equal">
      <formula>"Towel"</formula>
    </cfRule>
  </conditionalFormatting>
  <conditionalFormatting sqref="C33">
    <cfRule type="cellIs" dxfId="1454" priority="1553" stopIfTrue="1" operator="equal">
      <formula>"Towel"</formula>
    </cfRule>
    <cfRule type="cellIs" dxfId="1453" priority="1554" stopIfTrue="1" operator="equal">
      <formula>"Napkin Hs"</formula>
    </cfRule>
  </conditionalFormatting>
  <conditionalFormatting sqref="B33:C33">
    <cfRule type="cellIs" dxfId="1452" priority="1557" stopIfTrue="1" operator="equal">
      <formula>"Towel"</formula>
    </cfRule>
    <cfRule type="cellIs" dxfId="1451" priority="1558" stopIfTrue="1" operator="equal">
      <formula>"Napkin Hs"</formula>
    </cfRule>
  </conditionalFormatting>
  <conditionalFormatting sqref="C33">
    <cfRule type="cellIs" dxfId="1450" priority="1556" stopIfTrue="1" operator="equal">
      <formula>"Napkin Hs"</formula>
    </cfRule>
  </conditionalFormatting>
  <conditionalFormatting sqref="C33">
    <cfRule type="cellIs" dxfId="1449" priority="1555" stopIfTrue="1" operator="equal">
      <formula>"Towel"</formula>
    </cfRule>
  </conditionalFormatting>
  <conditionalFormatting sqref="C39">
    <cfRule type="cellIs" dxfId="1448" priority="1551" stopIfTrue="1" operator="equal">
      <formula>"Towel"</formula>
    </cfRule>
    <cfRule type="cellIs" dxfId="1447" priority="1552" stopIfTrue="1" operator="equal">
      <formula>"Napkin Hs"</formula>
    </cfRule>
  </conditionalFormatting>
  <conditionalFormatting sqref="C39">
    <cfRule type="cellIs" dxfId="1446" priority="1547" stopIfTrue="1" operator="equal">
      <formula>"Towel"</formula>
    </cfRule>
    <cfRule type="cellIs" dxfId="1445" priority="1548" stopIfTrue="1" operator="equal">
      <formula>"Napkin Hs"</formula>
    </cfRule>
  </conditionalFormatting>
  <conditionalFormatting sqref="B39">
    <cfRule type="cellIs" dxfId="1444" priority="1537" stopIfTrue="1" operator="equal">
      <formula>"Towel"</formula>
    </cfRule>
    <cfRule type="cellIs" dxfId="1443" priority="1538" stopIfTrue="1" operator="equal">
      <formula>"Napkin Hs"</formula>
    </cfRule>
  </conditionalFormatting>
  <conditionalFormatting sqref="B39">
    <cfRule type="cellIs" dxfId="1442" priority="1539" stopIfTrue="1" operator="equal">
      <formula>"Towel"</formula>
    </cfRule>
    <cfRule type="cellIs" dxfId="1441" priority="1540" stopIfTrue="1" operator="equal">
      <formula>"Napkin Hs"</formula>
    </cfRule>
  </conditionalFormatting>
  <conditionalFormatting sqref="C39">
    <cfRule type="cellIs" dxfId="1440" priority="1541" stopIfTrue="1" operator="equal">
      <formula>"Towel"</formula>
    </cfRule>
    <cfRule type="cellIs" dxfId="1439" priority="1542" stopIfTrue="1" operator="equal">
      <formula>"Napkin Hs"</formula>
    </cfRule>
  </conditionalFormatting>
  <conditionalFormatting sqref="C39">
    <cfRule type="cellIs" dxfId="1438" priority="1550" stopIfTrue="1" operator="equal">
      <formula>"Napkin Hs"</formula>
    </cfRule>
  </conditionalFormatting>
  <conditionalFormatting sqref="C39">
    <cfRule type="cellIs" dxfId="1437" priority="1549" stopIfTrue="1" operator="equal">
      <formula>"Towel"</formula>
    </cfRule>
  </conditionalFormatting>
  <conditionalFormatting sqref="C39">
    <cfRule type="cellIs" dxfId="1436" priority="1545" stopIfTrue="1" operator="equal">
      <formula>"Towel"</formula>
    </cfRule>
    <cfRule type="cellIs" dxfId="1435" priority="1546" stopIfTrue="1" operator="equal">
      <formula>"Napkin Hs"</formula>
    </cfRule>
  </conditionalFormatting>
  <conditionalFormatting sqref="C39">
    <cfRule type="cellIs" dxfId="1434" priority="1544" stopIfTrue="1" operator="equal">
      <formula>"Napkin Hs"</formula>
    </cfRule>
  </conditionalFormatting>
  <conditionalFormatting sqref="C39">
    <cfRule type="cellIs" dxfId="1433" priority="1543" stopIfTrue="1" operator="equal">
      <formula>"Towel"</formula>
    </cfRule>
  </conditionalFormatting>
  <conditionalFormatting sqref="B47">
    <cfRule type="cellIs" dxfId="1432" priority="1521" stopIfTrue="1" operator="equal">
      <formula>"Towel"</formula>
    </cfRule>
    <cfRule type="cellIs" dxfId="1431" priority="1522" stopIfTrue="1" operator="equal">
      <formula>"Napkin Hs"</formula>
    </cfRule>
  </conditionalFormatting>
  <conditionalFormatting sqref="C47">
    <cfRule type="cellIs" dxfId="1430" priority="1535" stopIfTrue="1" operator="equal">
      <formula>"Towel"</formula>
    </cfRule>
    <cfRule type="cellIs" dxfId="1429" priority="1536" stopIfTrue="1" operator="equal">
      <formula>"Napkin Hs"</formula>
    </cfRule>
  </conditionalFormatting>
  <conditionalFormatting sqref="C47">
    <cfRule type="cellIs" dxfId="1428" priority="1531" stopIfTrue="1" operator="equal">
      <formula>"Towel"</formula>
    </cfRule>
    <cfRule type="cellIs" dxfId="1427" priority="1532" stopIfTrue="1" operator="equal">
      <formula>"Napkin Hs"</formula>
    </cfRule>
  </conditionalFormatting>
  <conditionalFormatting sqref="B47">
    <cfRule type="cellIs" dxfId="1426" priority="1523" stopIfTrue="1" operator="equal">
      <formula>"Towel"</formula>
    </cfRule>
    <cfRule type="cellIs" dxfId="1425" priority="1524" stopIfTrue="1" operator="equal">
      <formula>"Napkin Hs"</formula>
    </cfRule>
  </conditionalFormatting>
  <conditionalFormatting sqref="C47">
    <cfRule type="cellIs" dxfId="1424" priority="1525" stopIfTrue="1" operator="equal">
      <formula>"Towel"</formula>
    </cfRule>
    <cfRule type="cellIs" dxfId="1423" priority="1526" stopIfTrue="1" operator="equal">
      <formula>"Napkin Hs"</formula>
    </cfRule>
  </conditionalFormatting>
  <conditionalFormatting sqref="C47">
    <cfRule type="cellIs" dxfId="1422" priority="1534" stopIfTrue="1" operator="equal">
      <formula>"Napkin Hs"</formula>
    </cfRule>
  </conditionalFormatting>
  <conditionalFormatting sqref="C47">
    <cfRule type="cellIs" dxfId="1421" priority="1533" stopIfTrue="1" operator="equal">
      <formula>"Towel"</formula>
    </cfRule>
  </conditionalFormatting>
  <conditionalFormatting sqref="C47">
    <cfRule type="cellIs" dxfId="1420" priority="1529" stopIfTrue="1" operator="equal">
      <formula>"Towel"</formula>
    </cfRule>
    <cfRule type="cellIs" dxfId="1419" priority="1530" stopIfTrue="1" operator="equal">
      <formula>"Napkin Hs"</formula>
    </cfRule>
  </conditionalFormatting>
  <conditionalFormatting sqref="C47">
    <cfRule type="cellIs" dxfId="1418" priority="1528" stopIfTrue="1" operator="equal">
      <formula>"Napkin Hs"</formula>
    </cfRule>
  </conditionalFormatting>
  <conditionalFormatting sqref="C47">
    <cfRule type="cellIs" dxfId="1417" priority="1527" stopIfTrue="1" operator="equal">
      <formula>"Towel"</formula>
    </cfRule>
  </conditionalFormatting>
  <conditionalFormatting sqref="B51">
    <cfRule type="cellIs" dxfId="1416" priority="1505" stopIfTrue="1" operator="equal">
      <formula>"Towel"</formula>
    </cfRule>
    <cfRule type="cellIs" dxfId="1415" priority="1506" stopIfTrue="1" operator="equal">
      <formula>"Napkin Hs"</formula>
    </cfRule>
  </conditionalFormatting>
  <conditionalFormatting sqref="C51">
    <cfRule type="cellIs" dxfId="1414" priority="1519" stopIfTrue="1" operator="equal">
      <formula>"Towel"</formula>
    </cfRule>
    <cfRule type="cellIs" dxfId="1413" priority="1520" stopIfTrue="1" operator="equal">
      <formula>"Napkin Hs"</formula>
    </cfRule>
  </conditionalFormatting>
  <conditionalFormatting sqref="C51">
    <cfRule type="cellIs" dxfId="1412" priority="1515" stopIfTrue="1" operator="equal">
      <formula>"Towel"</formula>
    </cfRule>
    <cfRule type="cellIs" dxfId="1411" priority="1516" stopIfTrue="1" operator="equal">
      <formula>"Napkin Hs"</formula>
    </cfRule>
  </conditionalFormatting>
  <conditionalFormatting sqref="B51">
    <cfRule type="cellIs" dxfId="1410" priority="1507" stopIfTrue="1" operator="equal">
      <formula>"Towel"</formula>
    </cfRule>
    <cfRule type="cellIs" dxfId="1409" priority="1508" stopIfTrue="1" operator="equal">
      <formula>"Napkin Hs"</formula>
    </cfRule>
  </conditionalFormatting>
  <conditionalFormatting sqref="C51">
    <cfRule type="cellIs" dxfId="1408" priority="1509" stopIfTrue="1" operator="equal">
      <formula>"Towel"</formula>
    </cfRule>
    <cfRule type="cellIs" dxfId="1407" priority="1510" stopIfTrue="1" operator="equal">
      <formula>"Napkin Hs"</formula>
    </cfRule>
  </conditionalFormatting>
  <conditionalFormatting sqref="C51">
    <cfRule type="cellIs" dxfId="1406" priority="1518" stopIfTrue="1" operator="equal">
      <formula>"Napkin Hs"</formula>
    </cfRule>
  </conditionalFormatting>
  <conditionalFormatting sqref="C51">
    <cfRule type="cellIs" dxfId="1405" priority="1517" stopIfTrue="1" operator="equal">
      <formula>"Towel"</formula>
    </cfRule>
  </conditionalFormatting>
  <conditionalFormatting sqref="C51">
    <cfRule type="cellIs" dxfId="1404" priority="1513" stopIfTrue="1" operator="equal">
      <formula>"Towel"</formula>
    </cfRule>
    <cfRule type="cellIs" dxfId="1403" priority="1514" stopIfTrue="1" operator="equal">
      <formula>"Napkin Hs"</formula>
    </cfRule>
  </conditionalFormatting>
  <conditionalFormatting sqref="C51">
    <cfRule type="cellIs" dxfId="1402" priority="1512" stopIfTrue="1" operator="equal">
      <formula>"Napkin Hs"</formula>
    </cfRule>
  </conditionalFormatting>
  <conditionalFormatting sqref="C51">
    <cfRule type="cellIs" dxfId="1401" priority="1511" stopIfTrue="1" operator="equal">
      <formula>"Towel"</formula>
    </cfRule>
  </conditionalFormatting>
  <conditionalFormatting sqref="C67">
    <cfRule type="cellIs" dxfId="1400" priority="1499" stopIfTrue="1" operator="equal">
      <formula>"Towel"</formula>
    </cfRule>
    <cfRule type="cellIs" dxfId="1399" priority="1500" stopIfTrue="1" operator="equal">
      <formula>"Napkin Hs"</formula>
    </cfRule>
  </conditionalFormatting>
  <conditionalFormatting sqref="B67:C67">
    <cfRule type="cellIs" dxfId="1398" priority="1503" stopIfTrue="1" operator="equal">
      <formula>"Towel"</formula>
    </cfRule>
    <cfRule type="cellIs" dxfId="1397" priority="1504" stopIfTrue="1" operator="equal">
      <formula>"Napkin Hs"</formula>
    </cfRule>
  </conditionalFormatting>
  <conditionalFormatting sqref="C67">
    <cfRule type="cellIs" dxfId="1396" priority="1502" stopIfTrue="1" operator="equal">
      <formula>"Napkin Hs"</formula>
    </cfRule>
  </conditionalFormatting>
  <conditionalFormatting sqref="C67">
    <cfRule type="cellIs" dxfId="1395" priority="1501" stopIfTrue="1" operator="equal">
      <formula>"Towel"</formula>
    </cfRule>
  </conditionalFormatting>
  <conditionalFormatting sqref="B75">
    <cfRule type="cellIs" dxfId="1394" priority="1483" stopIfTrue="1" operator="equal">
      <formula>"Towel"</formula>
    </cfRule>
    <cfRule type="cellIs" dxfId="1393" priority="1484" stopIfTrue="1" operator="equal">
      <formula>"Napkin Hs"</formula>
    </cfRule>
  </conditionalFormatting>
  <conditionalFormatting sqref="C75">
    <cfRule type="cellIs" dxfId="1392" priority="1497" stopIfTrue="1" operator="equal">
      <formula>"Towel"</formula>
    </cfRule>
    <cfRule type="cellIs" dxfId="1391" priority="1498" stopIfTrue="1" operator="equal">
      <formula>"Napkin Hs"</formula>
    </cfRule>
  </conditionalFormatting>
  <conditionalFormatting sqref="C75">
    <cfRule type="cellIs" dxfId="1390" priority="1493" stopIfTrue="1" operator="equal">
      <formula>"Towel"</formula>
    </cfRule>
    <cfRule type="cellIs" dxfId="1389" priority="1494" stopIfTrue="1" operator="equal">
      <formula>"Napkin Hs"</formula>
    </cfRule>
  </conditionalFormatting>
  <conditionalFormatting sqref="B75">
    <cfRule type="cellIs" dxfId="1388" priority="1485" stopIfTrue="1" operator="equal">
      <formula>"Towel"</formula>
    </cfRule>
    <cfRule type="cellIs" dxfId="1387" priority="1486" stopIfTrue="1" operator="equal">
      <formula>"Napkin Hs"</formula>
    </cfRule>
  </conditionalFormatting>
  <conditionalFormatting sqref="C75">
    <cfRule type="cellIs" dxfId="1386" priority="1487" stopIfTrue="1" operator="equal">
      <formula>"Towel"</formula>
    </cfRule>
    <cfRule type="cellIs" dxfId="1385" priority="1488" stopIfTrue="1" operator="equal">
      <formula>"Napkin Hs"</formula>
    </cfRule>
  </conditionalFormatting>
  <conditionalFormatting sqref="C75">
    <cfRule type="cellIs" dxfId="1384" priority="1496" stopIfTrue="1" operator="equal">
      <formula>"Napkin Hs"</formula>
    </cfRule>
  </conditionalFormatting>
  <conditionalFormatting sqref="C75">
    <cfRule type="cellIs" dxfId="1383" priority="1495" stopIfTrue="1" operator="equal">
      <formula>"Towel"</formula>
    </cfRule>
  </conditionalFormatting>
  <conditionalFormatting sqref="C75">
    <cfRule type="cellIs" dxfId="1382" priority="1491" stopIfTrue="1" operator="equal">
      <formula>"Towel"</formula>
    </cfRule>
    <cfRule type="cellIs" dxfId="1381" priority="1492" stopIfTrue="1" operator="equal">
      <formula>"Napkin Hs"</formula>
    </cfRule>
  </conditionalFormatting>
  <conditionalFormatting sqref="C75">
    <cfRule type="cellIs" dxfId="1380" priority="1490" stopIfTrue="1" operator="equal">
      <formula>"Napkin Hs"</formula>
    </cfRule>
  </conditionalFormatting>
  <conditionalFormatting sqref="C75">
    <cfRule type="cellIs" dxfId="1379" priority="1489" stopIfTrue="1" operator="equal">
      <formula>"Towel"</formula>
    </cfRule>
  </conditionalFormatting>
  <conditionalFormatting sqref="B82:C82">
    <cfRule type="cellIs" dxfId="1378" priority="1481" stopIfTrue="1" operator="equal">
      <formula>"Towel"</formula>
    </cfRule>
    <cfRule type="cellIs" dxfId="1377" priority="1482" stopIfTrue="1" operator="equal">
      <formula>"Napkin Hs"</formula>
    </cfRule>
  </conditionalFormatting>
  <conditionalFormatting sqref="C82">
    <cfRule type="cellIs" dxfId="1376" priority="1471" stopIfTrue="1" operator="equal">
      <formula>"Towel"</formula>
    </cfRule>
    <cfRule type="cellIs" dxfId="1375" priority="1472" stopIfTrue="1" operator="equal">
      <formula>"Napkin Hs"</formula>
    </cfRule>
  </conditionalFormatting>
  <conditionalFormatting sqref="C82">
    <cfRule type="cellIs" dxfId="1374" priority="1475" stopIfTrue="1" operator="equal">
      <formula>"Towel"</formula>
    </cfRule>
    <cfRule type="cellIs" dxfId="1373" priority="1476" stopIfTrue="1" operator="equal">
      <formula>"Napkin Hs"</formula>
    </cfRule>
  </conditionalFormatting>
  <conditionalFormatting sqref="C82">
    <cfRule type="cellIs" dxfId="1372" priority="1479" stopIfTrue="1" operator="equal">
      <formula>"Towel"</formula>
    </cfRule>
    <cfRule type="cellIs" dxfId="1371" priority="1480" stopIfTrue="1" operator="equal">
      <formula>"Napkin Hs"</formula>
    </cfRule>
  </conditionalFormatting>
  <conditionalFormatting sqref="B82">
    <cfRule type="cellIs" dxfId="1370" priority="1463" stopIfTrue="1" operator="equal">
      <formula>"Towel"</formula>
    </cfRule>
    <cfRule type="cellIs" dxfId="1369" priority="1464" stopIfTrue="1" operator="equal">
      <formula>"Napkin Hs"</formula>
    </cfRule>
  </conditionalFormatting>
  <conditionalFormatting sqref="C82">
    <cfRule type="cellIs" dxfId="1368" priority="1477" stopIfTrue="1" operator="equal">
      <formula>"Towel"</formula>
    </cfRule>
    <cfRule type="cellIs" dxfId="1367" priority="1478" stopIfTrue="1" operator="equal">
      <formula>"Napkin Hs"</formula>
    </cfRule>
  </conditionalFormatting>
  <conditionalFormatting sqref="B82">
    <cfRule type="cellIs" dxfId="1366" priority="1461" stopIfTrue="1" operator="equal">
      <formula>"Towel"</formula>
    </cfRule>
    <cfRule type="cellIs" dxfId="1365" priority="1462" stopIfTrue="1" operator="equal">
      <formula>"Napkin Hs"</formula>
    </cfRule>
  </conditionalFormatting>
  <conditionalFormatting sqref="C82">
    <cfRule type="cellIs" dxfId="1364" priority="1465" stopIfTrue="1" operator="equal">
      <formula>"Towel"</formula>
    </cfRule>
    <cfRule type="cellIs" dxfId="1363" priority="1466" stopIfTrue="1" operator="equal">
      <formula>"Napkin Hs"</formula>
    </cfRule>
  </conditionalFormatting>
  <conditionalFormatting sqref="C82">
    <cfRule type="cellIs" dxfId="1362" priority="1474" stopIfTrue="1" operator="equal">
      <formula>"Napkin Hs"</formula>
    </cfRule>
  </conditionalFormatting>
  <conditionalFormatting sqref="C82">
    <cfRule type="cellIs" dxfId="1361" priority="1473" stopIfTrue="1" operator="equal">
      <formula>"Towel"</formula>
    </cfRule>
  </conditionalFormatting>
  <conditionalFormatting sqref="C82">
    <cfRule type="cellIs" dxfId="1360" priority="1469" stopIfTrue="1" operator="equal">
      <formula>"Towel"</formula>
    </cfRule>
    <cfRule type="cellIs" dxfId="1359" priority="1470" stopIfTrue="1" operator="equal">
      <formula>"Napkin Hs"</formula>
    </cfRule>
  </conditionalFormatting>
  <conditionalFormatting sqref="C82">
    <cfRule type="cellIs" dxfId="1358" priority="1468" stopIfTrue="1" operator="equal">
      <formula>"Napkin Hs"</formula>
    </cfRule>
  </conditionalFormatting>
  <conditionalFormatting sqref="C82">
    <cfRule type="cellIs" dxfId="1357" priority="1467" stopIfTrue="1" operator="equal">
      <formula>"Towel"</formula>
    </cfRule>
  </conditionalFormatting>
  <conditionalFormatting sqref="C80">
    <cfRule type="cellIs" dxfId="1356" priority="1455" stopIfTrue="1" operator="equal">
      <formula>"Towel"</formula>
    </cfRule>
    <cfRule type="cellIs" dxfId="1355" priority="1456" stopIfTrue="1" operator="equal">
      <formula>"Napkin Hs"</formula>
    </cfRule>
  </conditionalFormatting>
  <conditionalFormatting sqref="B80:C80">
    <cfRule type="cellIs" dxfId="1354" priority="1459" stopIfTrue="1" operator="equal">
      <formula>"Towel"</formula>
    </cfRule>
    <cfRule type="cellIs" dxfId="1353" priority="1460" stopIfTrue="1" operator="equal">
      <formula>"Napkin Hs"</formula>
    </cfRule>
  </conditionalFormatting>
  <conditionalFormatting sqref="C80">
    <cfRule type="cellIs" dxfId="1352" priority="1458" stopIfTrue="1" operator="equal">
      <formula>"Napkin Hs"</formula>
    </cfRule>
  </conditionalFormatting>
  <conditionalFormatting sqref="C80">
    <cfRule type="cellIs" dxfId="1351" priority="1457" stopIfTrue="1" operator="equal">
      <formula>"Towel"</formula>
    </cfRule>
  </conditionalFormatting>
  <conditionalFormatting sqref="C81">
    <cfRule type="cellIs" dxfId="1350" priority="1449" stopIfTrue="1" operator="equal">
      <formula>"Towel"</formula>
    </cfRule>
    <cfRule type="cellIs" dxfId="1349" priority="1450" stopIfTrue="1" operator="equal">
      <formula>"Napkin Hs"</formula>
    </cfRule>
  </conditionalFormatting>
  <conditionalFormatting sqref="B81">
    <cfRule type="cellIs" dxfId="1348" priority="1439" stopIfTrue="1" operator="equal">
      <formula>"Towel"</formula>
    </cfRule>
    <cfRule type="cellIs" dxfId="1347" priority="1440" stopIfTrue="1" operator="equal">
      <formula>"Napkin Hs"</formula>
    </cfRule>
  </conditionalFormatting>
  <conditionalFormatting sqref="C81">
    <cfRule type="cellIs" dxfId="1346" priority="1443" stopIfTrue="1" operator="equal">
      <formula>"Towel"</formula>
    </cfRule>
    <cfRule type="cellIs" dxfId="1345" priority="1444" stopIfTrue="1" operator="equal">
      <formula>"Napkin Hs"</formula>
    </cfRule>
  </conditionalFormatting>
  <conditionalFormatting sqref="C81">
    <cfRule type="cellIs" dxfId="1344" priority="1453" stopIfTrue="1" operator="equal">
      <formula>"Towel"</formula>
    </cfRule>
    <cfRule type="cellIs" dxfId="1343" priority="1454" stopIfTrue="1" operator="equal">
      <formula>"Napkin Hs"</formula>
    </cfRule>
  </conditionalFormatting>
  <conditionalFormatting sqref="B81">
    <cfRule type="cellIs" dxfId="1342" priority="1441" stopIfTrue="1" operator="equal">
      <formula>"Towel"</formula>
    </cfRule>
    <cfRule type="cellIs" dxfId="1341" priority="1442" stopIfTrue="1" operator="equal">
      <formula>"Napkin Hs"</formula>
    </cfRule>
  </conditionalFormatting>
  <conditionalFormatting sqref="C81">
    <cfRule type="cellIs" dxfId="1340" priority="1452" stopIfTrue="1" operator="equal">
      <formula>"Napkin Hs"</formula>
    </cfRule>
  </conditionalFormatting>
  <conditionalFormatting sqref="C81">
    <cfRule type="cellIs" dxfId="1339" priority="1451" stopIfTrue="1" operator="equal">
      <formula>"Towel"</formula>
    </cfRule>
  </conditionalFormatting>
  <conditionalFormatting sqref="C81">
    <cfRule type="cellIs" dxfId="1338" priority="1447" stopIfTrue="1" operator="equal">
      <formula>"Towel"</formula>
    </cfRule>
    <cfRule type="cellIs" dxfId="1337" priority="1448" stopIfTrue="1" operator="equal">
      <formula>"Napkin Hs"</formula>
    </cfRule>
  </conditionalFormatting>
  <conditionalFormatting sqref="C81">
    <cfRule type="cellIs" dxfId="1336" priority="1446" stopIfTrue="1" operator="equal">
      <formula>"Napkin Hs"</formula>
    </cfRule>
  </conditionalFormatting>
  <conditionalFormatting sqref="C81">
    <cfRule type="cellIs" dxfId="1335" priority="1445" stopIfTrue="1" operator="equal">
      <formula>"Towel"</formula>
    </cfRule>
  </conditionalFormatting>
  <conditionalFormatting sqref="C84">
    <cfRule type="cellIs" dxfId="1334" priority="1433" stopIfTrue="1" operator="equal">
      <formula>"Towel"</formula>
    </cfRule>
    <cfRule type="cellIs" dxfId="1333" priority="1434" stopIfTrue="1" operator="equal">
      <formula>"Napkin Hs"</formula>
    </cfRule>
  </conditionalFormatting>
  <conditionalFormatting sqref="C84">
    <cfRule type="cellIs" dxfId="1332" priority="1427" stopIfTrue="1" operator="equal">
      <formula>"Towel"</formula>
    </cfRule>
    <cfRule type="cellIs" dxfId="1331" priority="1428" stopIfTrue="1" operator="equal">
      <formula>"Napkin Hs"</formula>
    </cfRule>
  </conditionalFormatting>
  <conditionalFormatting sqref="C84">
    <cfRule type="cellIs" dxfId="1330" priority="1437" stopIfTrue="1" operator="equal">
      <formula>"Towel"</formula>
    </cfRule>
    <cfRule type="cellIs" dxfId="1329" priority="1438" stopIfTrue="1" operator="equal">
      <formula>"Napkin Hs"</formula>
    </cfRule>
  </conditionalFormatting>
  <conditionalFormatting sqref="C84">
    <cfRule type="cellIs" dxfId="1328" priority="1436" stopIfTrue="1" operator="equal">
      <formula>"Napkin Hs"</formula>
    </cfRule>
  </conditionalFormatting>
  <conditionalFormatting sqref="C84">
    <cfRule type="cellIs" dxfId="1327" priority="1435" stopIfTrue="1" operator="equal">
      <formula>"Towel"</formula>
    </cfRule>
  </conditionalFormatting>
  <conditionalFormatting sqref="C84">
    <cfRule type="cellIs" dxfId="1326" priority="1431" stopIfTrue="1" operator="equal">
      <formula>"Towel"</formula>
    </cfRule>
    <cfRule type="cellIs" dxfId="1325" priority="1432" stopIfTrue="1" operator="equal">
      <formula>"Napkin Hs"</formula>
    </cfRule>
  </conditionalFormatting>
  <conditionalFormatting sqref="C84">
    <cfRule type="cellIs" dxfId="1324" priority="1430" stopIfTrue="1" operator="equal">
      <formula>"Napkin Hs"</formula>
    </cfRule>
  </conditionalFormatting>
  <conditionalFormatting sqref="C84">
    <cfRule type="cellIs" dxfId="1323" priority="1429" stopIfTrue="1" operator="equal">
      <formula>"Towel"</formula>
    </cfRule>
  </conditionalFormatting>
  <conditionalFormatting sqref="B85:C85">
    <cfRule type="cellIs" dxfId="1322" priority="1425" stopIfTrue="1" operator="equal">
      <formula>"Towel"</formula>
    </cfRule>
    <cfRule type="cellIs" dxfId="1321" priority="1426" stopIfTrue="1" operator="equal">
      <formula>"Napkin Hs"</formula>
    </cfRule>
  </conditionalFormatting>
  <conditionalFormatting sqref="C85">
    <cfRule type="cellIs" dxfId="1320" priority="1423" stopIfTrue="1" operator="equal">
      <formula>"Towel"</formula>
    </cfRule>
    <cfRule type="cellIs" dxfId="1319" priority="1424" stopIfTrue="1" operator="equal">
      <formula>"Napkin Hs"</formula>
    </cfRule>
  </conditionalFormatting>
  <conditionalFormatting sqref="C85">
    <cfRule type="cellIs" dxfId="1318" priority="1421" stopIfTrue="1" operator="equal">
      <formula>"Towel"</formula>
    </cfRule>
    <cfRule type="cellIs" dxfId="1317" priority="1422" stopIfTrue="1" operator="equal">
      <formula>"Napkin Hs"</formula>
    </cfRule>
  </conditionalFormatting>
  <conditionalFormatting sqref="C85">
    <cfRule type="cellIs" dxfId="1316" priority="1415" stopIfTrue="1" operator="equal">
      <formula>"Towel"</formula>
    </cfRule>
    <cfRule type="cellIs" dxfId="1315" priority="1416" stopIfTrue="1" operator="equal">
      <formula>"Napkin Hs"</formula>
    </cfRule>
  </conditionalFormatting>
  <conditionalFormatting sqref="B85">
    <cfRule type="cellIs" dxfId="1314" priority="1405" stopIfTrue="1" operator="equal">
      <formula>"Towel"</formula>
    </cfRule>
    <cfRule type="cellIs" dxfId="1313" priority="1406" stopIfTrue="1" operator="equal">
      <formula>"Napkin Hs"</formula>
    </cfRule>
  </conditionalFormatting>
  <conditionalFormatting sqref="C85">
    <cfRule type="cellIs" dxfId="1312" priority="1409" stopIfTrue="1" operator="equal">
      <formula>"Towel"</formula>
    </cfRule>
    <cfRule type="cellIs" dxfId="1311" priority="1410" stopIfTrue="1" operator="equal">
      <formula>"Napkin Hs"</formula>
    </cfRule>
  </conditionalFormatting>
  <conditionalFormatting sqref="C85">
    <cfRule type="cellIs" dxfId="1310" priority="1419" stopIfTrue="1" operator="equal">
      <formula>"Towel"</formula>
    </cfRule>
    <cfRule type="cellIs" dxfId="1309" priority="1420" stopIfTrue="1" operator="equal">
      <formula>"Napkin Hs"</formula>
    </cfRule>
  </conditionalFormatting>
  <conditionalFormatting sqref="B85">
    <cfRule type="cellIs" dxfId="1308" priority="1407" stopIfTrue="1" operator="equal">
      <formula>"Towel"</formula>
    </cfRule>
    <cfRule type="cellIs" dxfId="1307" priority="1408" stopIfTrue="1" operator="equal">
      <formula>"Napkin Hs"</formula>
    </cfRule>
  </conditionalFormatting>
  <conditionalFormatting sqref="C85">
    <cfRule type="cellIs" dxfId="1306" priority="1418" stopIfTrue="1" operator="equal">
      <formula>"Napkin Hs"</formula>
    </cfRule>
  </conditionalFormatting>
  <conditionalFormatting sqref="C85">
    <cfRule type="cellIs" dxfId="1305" priority="1417" stopIfTrue="1" operator="equal">
      <formula>"Towel"</formula>
    </cfRule>
  </conditionalFormatting>
  <conditionalFormatting sqref="C85">
    <cfRule type="cellIs" dxfId="1304" priority="1413" stopIfTrue="1" operator="equal">
      <formula>"Towel"</formula>
    </cfRule>
    <cfRule type="cellIs" dxfId="1303" priority="1414" stopIfTrue="1" operator="equal">
      <formula>"Napkin Hs"</formula>
    </cfRule>
  </conditionalFormatting>
  <conditionalFormatting sqref="C85">
    <cfRule type="cellIs" dxfId="1302" priority="1412" stopIfTrue="1" operator="equal">
      <formula>"Napkin Hs"</formula>
    </cfRule>
  </conditionalFormatting>
  <conditionalFormatting sqref="C85">
    <cfRule type="cellIs" dxfId="1301" priority="1411" stopIfTrue="1" operator="equal">
      <formula>"Towel"</formula>
    </cfRule>
  </conditionalFormatting>
  <conditionalFormatting sqref="B86:C86">
    <cfRule type="cellIs" dxfId="1300" priority="1403" stopIfTrue="1" operator="equal">
      <formula>"Towel"</formula>
    </cfRule>
    <cfRule type="cellIs" dxfId="1299" priority="1404" stopIfTrue="1" operator="equal">
      <formula>"Napkin Hs"</formula>
    </cfRule>
  </conditionalFormatting>
  <conditionalFormatting sqref="C86">
    <cfRule type="cellIs" dxfId="1298" priority="1401" stopIfTrue="1" operator="equal">
      <formula>"Towel"</formula>
    </cfRule>
    <cfRule type="cellIs" dxfId="1297" priority="1402" stopIfTrue="1" operator="equal">
      <formula>"Napkin Hs"</formula>
    </cfRule>
  </conditionalFormatting>
  <conditionalFormatting sqref="C86">
    <cfRule type="cellIs" dxfId="1296" priority="1399" stopIfTrue="1" operator="equal">
      <formula>"Towel"</formula>
    </cfRule>
    <cfRule type="cellIs" dxfId="1295" priority="1400" stopIfTrue="1" operator="equal">
      <formula>"Napkin Hs"</formula>
    </cfRule>
  </conditionalFormatting>
  <conditionalFormatting sqref="C86">
    <cfRule type="cellIs" dxfId="1294" priority="1393" stopIfTrue="1" operator="equal">
      <formula>"Towel"</formula>
    </cfRule>
    <cfRule type="cellIs" dxfId="1293" priority="1394" stopIfTrue="1" operator="equal">
      <formula>"Napkin Hs"</formula>
    </cfRule>
  </conditionalFormatting>
  <conditionalFormatting sqref="B86">
    <cfRule type="cellIs" dxfId="1292" priority="1383" stopIfTrue="1" operator="equal">
      <formula>"Towel"</formula>
    </cfRule>
    <cfRule type="cellIs" dxfId="1291" priority="1384" stopIfTrue="1" operator="equal">
      <formula>"Napkin Hs"</formula>
    </cfRule>
  </conditionalFormatting>
  <conditionalFormatting sqref="C86">
    <cfRule type="cellIs" dxfId="1290" priority="1387" stopIfTrue="1" operator="equal">
      <formula>"Towel"</formula>
    </cfRule>
    <cfRule type="cellIs" dxfId="1289" priority="1388" stopIfTrue="1" operator="equal">
      <formula>"Napkin Hs"</formula>
    </cfRule>
  </conditionalFormatting>
  <conditionalFormatting sqref="C86">
    <cfRule type="cellIs" dxfId="1288" priority="1397" stopIfTrue="1" operator="equal">
      <formula>"Towel"</formula>
    </cfRule>
    <cfRule type="cellIs" dxfId="1287" priority="1398" stopIfTrue="1" operator="equal">
      <formula>"Napkin Hs"</formula>
    </cfRule>
  </conditionalFormatting>
  <conditionalFormatting sqref="B86">
    <cfRule type="cellIs" dxfId="1286" priority="1385" stopIfTrue="1" operator="equal">
      <formula>"Towel"</formula>
    </cfRule>
    <cfRule type="cellIs" dxfId="1285" priority="1386" stopIfTrue="1" operator="equal">
      <formula>"Napkin Hs"</formula>
    </cfRule>
  </conditionalFormatting>
  <conditionalFormatting sqref="C86">
    <cfRule type="cellIs" dxfId="1284" priority="1396" stopIfTrue="1" operator="equal">
      <formula>"Napkin Hs"</formula>
    </cfRule>
  </conditionalFormatting>
  <conditionalFormatting sqref="C86">
    <cfRule type="cellIs" dxfId="1283" priority="1395" stopIfTrue="1" operator="equal">
      <formula>"Towel"</formula>
    </cfRule>
  </conditionalFormatting>
  <conditionalFormatting sqref="C86">
    <cfRule type="cellIs" dxfId="1282" priority="1391" stopIfTrue="1" operator="equal">
      <formula>"Towel"</formula>
    </cfRule>
    <cfRule type="cellIs" dxfId="1281" priority="1392" stopIfTrue="1" operator="equal">
      <formula>"Napkin Hs"</formula>
    </cfRule>
  </conditionalFormatting>
  <conditionalFormatting sqref="C86">
    <cfRule type="cellIs" dxfId="1280" priority="1390" stopIfTrue="1" operator="equal">
      <formula>"Napkin Hs"</formula>
    </cfRule>
  </conditionalFormatting>
  <conditionalFormatting sqref="C86">
    <cfRule type="cellIs" dxfId="1279" priority="1389" stopIfTrue="1" operator="equal">
      <formula>"Towel"</formula>
    </cfRule>
  </conditionalFormatting>
  <conditionalFormatting sqref="C103">
    <cfRule type="cellIs" dxfId="1278" priority="1371" stopIfTrue="1" operator="equal">
      <formula>"Towel"</formula>
    </cfRule>
    <cfRule type="cellIs" dxfId="1277" priority="1372" stopIfTrue="1" operator="equal">
      <formula>"Napkin Hs"</formula>
    </cfRule>
  </conditionalFormatting>
  <conditionalFormatting sqref="B103">
    <cfRule type="cellIs" dxfId="1276" priority="1361" stopIfTrue="1" operator="equal">
      <formula>"Towel"</formula>
    </cfRule>
    <cfRule type="cellIs" dxfId="1275" priority="1362" stopIfTrue="1" operator="equal">
      <formula>"Napkin Hs"</formula>
    </cfRule>
  </conditionalFormatting>
  <conditionalFormatting sqref="C103">
    <cfRule type="cellIs" dxfId="1274" priority="1365" stopIfTrue="1" operator="equal">
      <formula>"Towel"</formula>
    </cfRule>
    <cfRule type="cellIs" dxfId="1273" priority="1366" stopIfTrue="1" operator="equal">
      <formula>"Napkin Hs"</formula>
    </cfRule>
  </conditionalFormatting>
  <conditionalFormatting sqref="C103">
    <cfRule type="cellIs" dxfId="1272" priority="1375" stopIfTrue="1" operator="equal">
      <formula>"Towel"</formula>
    </cfRule>
    <cfRule type="cellIs" dxfId="1271" priority="1376" stopIfTrue="1" operator="equal">
      <formula>"Napkin Hs"</formula>
    </cfRule>
  </conditionalFormatting>
  <conditionalFormatting sqref="B103">
    <cfRule type="cellIs" dxfId="1270" priority="1363" stopIfTrue="1" operator="equal">
      <formula>"Towel"</formula>
    </cfRule>
    <cfRule type="cellIs" dxfId="1269" priority="1364" stopIfTrue="1" operator="equal">
      <formula>"Napkin Hs"</formula>
    </cfRule>
  </conditionalFormatting>
  <conditionalFormatting sqref="C103">
    <cfRule type="cellIs" dxfId="1268" priority="1374" stopIfTrue="1" operator="equal">
      <formula>"Napkin Hs"</formula>
    </cfRule>
  </conditionalFormatting>
  <conditionalFormatting sqref="C103">
    <cfRule type="cellIs" dxfId="1267" priority="1373" stopIfTrue="1" operator="equal">
      <formula>"Towel"</formula>
    </cfRule>
  </conditionalFormatting>
  <conditionalFormatting sqref="C103">
    <cfRule type="cellIs" dxfId="1266" priority="1369" stopIfTrue="1" operator="equal">
      <formula>"Towel"</formula>
    </cfRule>
    <cfRule type="cellIs" dxfId="1265" priority="1370" stopIfTrue="1" operator="equal">
      <formula>"Napkin Hs"</formula>
    </cfRule>
  </conditionalFormatting>
  <conditionalFormatting sqref="C103">
    <cfRule type="cellIs" dxfId="1264" priority="1368" stopIfTrue="1" operator="equal">
      <formula>"Napkin Hs"</formula>
    </cfRule>
  </conditionalFormatting>
  <conditionalFormatting sqref="C103">
    <cfRule type="cellIs" dxfId="1263" priority="1367" stopIfTrue="1" operator="equal">
      <formula>"Towel"</formula>
    </cfRule>
  </conditionalFormatting>
  <conditionalFormatting sqref="B103:C103">
    <cfRule type="cellIs" dxfId="1262" priority="1381" stopIfTrue="1" operator="equal">
      <formula>"Towel"</formula>
    </cfRule>
    <cfRule type="cellIs" dxfId="1261" priority="1382" stopIfTrue="1" operator="equal">
      <formula>"Napkin Hs"</formula>
    </cfRule>
  </conditionalFormatting>
  <conditionalFormatting sqref="C103">
    <cfRule type="cellIs" dxfId="1260" priority="1379" stopIfTrue="1" operator="equal">
      <formula>"Towel"</formula>
    </cfRule>
    <cfRule type="cellIs" dxfId="1259" priority="1380" stopIfTrue="1" operator="equal">
      <formula>"Napkin Hs"</formula>
    </cfRule>
  </conditionalFormatting>
  <conditionalFormatting sqref="C103">
    <cfRule type="cellIs" dxfId="1258" priority="1377" stopIfTrue="1" operator="equal">
      <formula>"Towel"</formula>
    </cfRule>
    <cfRule type="cellIs" dxfId="1257" priority="1378" stopIfTrue="1" operator="equal">
      <formula>"Napkin Hs"</formula>
    </cfRule>
  </conditionalFormatting>
  <conditionalFormatting sqref="C115">
    <cfRule type="cellIs" dxfId="1256" priority="1337" stopIfTrue="1" operator="equal">
      <formula>"Towel"</formula>
    </cfRule>
    <cfRule type="cellIs" dxfId="1255" priority="1338" stopIfTrue="1" operator="equal">
      <formula>"Napkin Hs"</formula>
    </cfRule>
  </conditionalFormatting>
  <conditionalFormatting sqref="C107">
    <cfRule type="cellIs" dxfId="1254" priority="1349" stopIfTrue="1" operator="equal">
      <formula>"Towel"</formula>
    </cfRule>
    <cfRule type="cellIs" dxfId="1253" priority="1350" stopIfTrue="1" operator="equal">
      <formula>"Napkin Hs"</formula>
    </cfRule>
  </conditionalFormatting>
  <conditionalFormatting sqref="B107">
    <cfRule type="cellIs" dxfId="1252" priority="1339" stopIfTrue="1" operator="equal">
      <formula>"Towel"</formula>
    </cfRule>
    <cfRule type="cellIs" dxfId="1251" priority="1340" stopIfTrue="1" operator="equal">
      <formula>"Napkin Hs"</formula>
    </cfRule>
  </conditionalFormatting>
  <conditionalFormatting sqref="C107">
    <cfRule type="cellIs" dxfId="1250" priority="1343" stopIfTrue="1" operator="equal">
      <formula>"Towel"</formula>
    </cfRule>
    <cfRule type="cellIs" dxfId="1249" priority="1344" stopIfTrue="1" operator="equal">
      <formula>"Napkin Hs"</formula>
    </cfRule>
  </conditionalFormatting>
  <conditionalFormatting sqref="C107">
    <cfRule type="cellIs" dxfId="1248" priority="1353" stopIfTrue="1" operator="equal">
      <formula>"Towel"</formula>
    </cfRule>
    <cfRule type="cellIs" dxfId="1247" priority="1354" stopIfTrue="1" operator="equal">
      <formula>"Napkin Hs"</formula>
    </cfRule>
  </conditionalFormatting>
  <conditionalFormatting sqref="B107">
    <cfRule type="cellIs" dxfId="1246" priority="1341" stopIfTrue="1" operator="equal">
      <formula>"Towel"</formula>
    </cfRule>
    <cfRule type="cellIs" dxfId="1245" priority="1342" stopIfTrue="1" operator="equal">
      <formula>"Napkin Hs"</formula>
    </cfRule>
  </conditionalFormatting>
  <conditionalFormatting sqref="C107">
    <cfRule type="cellIs" dxfId="1244" priority="1352" stopIfTrue="1" operator="equal">
      <formula>"Napkin Hs"</formula>
    </cfRule>
  </conditionalFormatting>
  <conditionalFormatting sqref="C107">
    <cfRule type="cellIs" dxfId="1243" priority="1351" stopIfTrue="1" operator="equal">
      <formula>"Towel"</formula>
    </cfRule>
  </conditionalFormatting>
  <conditionalFormatting sqref="C107">
    <cfRule type="cellIs" dxfId="1242" priority="1347" stopIfTrue="1" operator="equal">
      <formula>"Towel"</formula>
    </cfRule>
    <cfRule type="cellIs" dxfId="1241" priority="1348" stopIfTrue="1" operator="equal">
      <formula>"Napkin Hs"</formula>
    </cfRule>
  </conditionalFormatting>
  <conditionalFormatting sqref="C107">
    <cfRule type="cellIs" dxfId="1240" priority="1346" stopIfTrue="1" operator="equal">
      <formula>"Napkin Hs"</formula>
    </cfRule>
  </conditionalFormatting>
  <conditionalFormatting sqref="C107">
    <cfRule type="cellIs" dxfId="1239" priority="1345" stopIfTrue="1" operator="equal">
      <formula>"Towel"</formula>
    </cfRule>
  </conditionalFormatting>
  <conditionalFormatting sqref="B107:C107">
    <cfRule type="cellIs" dxfId="1238" priority="1359" stopIfTrue="1" operator="equal">
      <formula>"Towel"</formula>
    </cfRule>
    <cfRule type="cellIs" dxfId="1237" priority="1360" stopIfTrue="1" operator="equal">
      <formula>"Napkin Hs"</formula>
    </cfRule>
  </conditionalFormatting>
  <conditionalFormatting sqref="C107">
    <cfRule type="cellIs" dxfId="1236" priority="1357" stopIfTrue="1" operator="equal">
      <formula>"Towel"</formula>
    </cfRule>
    <cfRule type="cellIs" dxfId="1235" priority="1358" stopIfTrue="1" operator="equal">
      <formula>"Napkin Hs"</formula>
    </cfRule>
  </conditionalFormatting>
  <conditionalFormatting sqref="C107">
    <cfRule type="cellIs" dxfId="1234" priority="1355" stopIfTrue="1" operator="equal">
      <formula>"Towel"</formula>
    </cfRule>
    <cfRule type="cellIs" dxfId="1233" priority="1356" stopIfTrue="1" operator="equal">
      <formula>"Napkin Hs"</formula>
    </cfRule>
  </conditionalFormatting>
  <conditionalFormatting sqref="B115:C115">
    <cfRule type="cellIs" dxfId="1232" priority="1335" stopIfTrue="1" operator="equal">
      <formula>"Towel"</formula>
    </cfRule>
    <cfRule type="cellIs" dxfId="1231" priority="1336" stopIfTrue="1" operator="equal">
      <formula>"Napkin Hs"</formula>
    </cfRule>
  </conditionalFormatting>
  <conditionalFormatting sqref="C115">
    <cfRule type="cellIs" dxfId="1230" priority="1333" stopIfTrue="1" operator="equal">
      <formula>"Towel"</formula>
    </cfRule>
    <cfRule type="cellIs" dxfId="1229" priority="1334" stopIfTrue="1" operator="equal">
      <formula>"Napkin Hs"</formula>
    </cfRule>
  </conditionalFormatting>
  <conditionalFormatting sqref="B118">
    <cfRule type="cellIs" dxfId="1228" priority="1313" stopIfTrue="1" operator="equal">
      <formula>"Towel"</formula>
    </cfRule>
    <cfRule type="cellIs" dxfId="1227" priority="1314" stopIfTrue="1" operator="equal">
      <formula>"Napkin Hs"</formula>
    </cfRule>
  </conditionalFormatting>
  <conditionalFormatting sqref="C118">
    <cfRule type="cellIs" dxfId="1226" priority="1321" stopIfTrue="1" operator="equal">
      <formula>"Towel"</formula>
    </cfRule>
    <cfRule type="cellIs" dxfId="1225" priority="1322" stopIfTrue="1" operator="equal">
      <formula>"Napkin Hs"</formula>
    </cfRule>
  </conditionalFormatting>
  <conditionalFormatting sqref="B118">
    <cfRule type="cellIs" dxfId="1224" priority="1311" stopIfTrue="1" operator="equal">
      <formula>"Towel"</formula>
    </cfRule>
    <cfRule type="cellIs" dxfId="1223" priority="1312" stopIfTrue="1" operator="equal">
      <formula>"Napkin Hs"</formula>
    </cfRule>
  </conditionalFormatting>
  <conditionalFormatting sqref="C118">
    <cfRule type="cellIs" dxfId="1222" priority="1315" stopIfTrue="1" operator="equal">
      <formula>"Towel"</formula>
    </cfRule>
    <cfRule type="cellIs" dxfId="1221" priority="1316" stopIfTrue="1" operator="equal">
      <formula>"Napkin Hs"</formula>
    </cfRule>
  </conditionalFormatting>
  <conditionalFormatting sqref="C118">
    <cfRule type="cellIs" dxfId="1220" priority="1325" stopIfTrue="1" operator="equal">
      <formula>"Towel"</formula>
    </cfRule>
    <cfRule type="cellIs" dxfId="1219" priority="1326" stopIfTrue="1" operator="equal">
      <formula>"Napkin Hs"</formula>
    </cfRule>
  </conditionalFormatting>
  <conditionalFormatting sqref="C118">
    <cfRule type="cellIs" dxfId="1218" priority="1324" stopIfTrue="1" operator="equal">
      <formula>"Napkin Hs"</formula>
    </cfRule>
  </conditionalFormatting>
  <conditionalFormatting sqref="C118">
    <cfRule type="cellIs" dxfId="1217" priority="1323" stopIfTrue="1" operator="equal">
      <formula>"Towel"</formula>
    </cfRule>
  </conditionalFormatting>
  <conditionalFormatting sqref="C118">
    <cfRule type="cellIs" dxfId="1216" priority="1319" stopIfTrue="1" operator="equal">
      <formula>"Towel"</formula>
    </cfRule>
    <cfRule type="cellIs" dxfId="1215" priority="1320" stopIfTrue="1" operator="equal">
      <formula>"Napkin Hs"</formula>
    </cfRule>
  </conditionalFormatting>
  <conditionalFormatting sqref="C118">
    <cfRule type="cellIs" dxfId="1214" priority="1318" stopIfTrue="1" operator="equal">
      <formula>"Napkin Hs"</formula>
    </cfRule>
  </conditionalFormatting>
  <conditionalFormatting sqref="C118">
    <cfRule type="cellIs" dxfId="1213" priority="1317" stopIfTrue="1" operator="equal">
      <formula>"Towel"</formula>
    </cfRule>
  </conditionalFormatting>
  <conditionalFormatting sqref="B118:C118">
    <cfRule type="cellIs" dxfId="1212" priority="1331" stopIfTrue="1" operator="equal">
      <formula>"Towel"</formula>
    </cfRule>
    <cfRule type="cellIs" dxfId="1211" priority="1332" stopIfTrue="1" operator="equal">
      <formula>"Napkin Hs"</formula>
    </cfRule>
  </conditionalFormatting>
  <conditionalFormatting sqref="C118">
    <cfRule type="cellIs" dxfId="1210" priority="1329" stopIfTrue="1" operator="equal">
      <formula>"Towel"</formula>
    </cfRule>
    <cfRule type="cellIs" dxfId="1209" priority="1330" stopIfTrue="1" operator="equal">
      <formula>"Napkin Hs"</formula>
    </cfRule>
  </conditionalFormatting>
  <conditionalFormatting sqref="C118">
    <cfRule type="cellIs" dxfId="1208" priority="1327" stopIfTrue="1" operator="equal">
      <formula>"Towel"</formula>
    </cfRule>
    <cfRule type="cellIs" dxfId="1207" priority="1328" stopIfTrue="1" operator="equal">
      <formula>"Napkin Hs"</formula>
    </cfRule>
  </conditionalFormatting>
  <conditionalFormatting sqref="C119">
    <cfRule type="cellIs" dxfId="1206" priority="1305" stopIfTrue="1" operator="equal">
      <formula>"Towel"</formula>
    </cfRule>
    <cfRule type="cellIs" dxfId="1205" priority="1306" stopIfTrue="1" operator="equal">
      <formula>"Napkin Hs"</formula>
    </cfRule>
  </conditionalFormatting>
  <conditionalFormatting sqref="B119:C119">
    <cfRule type="cellIs" dxfId="1204" priority="1309" stopIfTrue="1" operator="equal">
      <formula>"Towel"</formula>
    </cfRule>
    <cfRule type="cellIs" dxfId="1203" priority="1310" stopIfTrue="1" operator="equal">
      <formula>"Napkin Hs"</formula>
    </cfRule>
  </conditionalFormatting>
  <conditionalFormatting sqref="C119">
    <cfRule type="cellIs" dxfId="1202" priority="1308" stopIfTrue="1" operator="equal">
      <formula>"Napkin Hs"</formula>
    </cfRule>
  </conditionalFormatting>
  <conditionalFormatting sqref="C119">
    <cfRule type="cellIs" dxfId="1201" priority="1307" stopIfTrue="1" operator="equal">
      <formula>"Towel"</formula>
    </cfRule>
  </conditionalFormatting>
  <conditionalFormatting sqref="C117">
    <cfRule type="cellIs" dxfId="1200" priority="1299" stopIfTrue="1" operator="equal">
      <formula>"Towel"</formula>
    </cfRule>
    <cfRule type="cellIs" dxfId="1199" priority="1300" stopIfTrue="1" operator="equal">
      <formula>"Napkin Hs"</formula>
    </cfRule>
  </conditionalFormatting>
  <conditionalFormatting sqref="B117:C117">
    <cfRule type="cellIs" dxfId="1198" priority="1303" stopIfTrue="1" operator="equal">
      <formula>"Towel"</formula>
    </cfRule>
    <cfRule type="cellIs" dxfId="1197" priority="1304" stopIfTrue="1" operator="equal">
      <formula>"Napkin Hs"</formula>
    </cfRule>
  </conditionalFormatting>
  <conditionalFormatting sqref="C117">
    <cfRule type="cellIs" dxfId="1196" priority="1302" stopIfTrue="1" operator="equal">
      <formula>"Napkin Hs"</formula>
    </cfRule>
  </conditionalFormatting>
  <conditionalFormatting sqref="C117">
    <cfRule type="cellIs" dxfId="1195" priority="1301" stopIfTrue="1" operator="equal">
      <formula>"Towel"</formula>
    </cfRule>
  </conditionalFormatting>
  <conditionalFormatting sqref="C123">
    <cfRule type="cellIs" dxfId="1194" priority="1293" stopIfTrue="1" operator="equal">
      <formula>"Towel"</formula>
    </cfRule>
    <cfRule type="cellIs" dxfId="1193" priority="1294" stopIfTrue="1" operator="equal">
      <formula>"Napkin Hs"</formula>
    </cfRule>
  </conditionalFormatting>
  <conditionalFormatting sqref="B123:C123">
    <cfRule type="cellIs" dxfId="1192" priority="1297" stopIfTrue="1" operator="equal">
      <formula>"Towel"</formula>
    </cfRule>
    <cfRule type="cellIs" dxfId="1191" priority="1298" stopIfTrue="1" operator="equal">
      <formula>"Napkin Hs"</formula>
    </cfRule>
  </conditionalFormatting>
  <conditionalFormatting sqref="C123">
    <cfRule type="cellIs" dxfId="1190" priority="1296" stopIfTrue="1" operator="equal">
      <formula>"Napkin Hs"</formula>
    </cfRule>
  </conditionalFormatting>
  <conditionalFormatting sqref="C123">
    <cfRule type="cellIs" dxfId="1189" priority="1295" stopIfTrue="1" operator="equal">
      <formula>"Towel"</formula>
    </cfRule>
  </conditionalFormatting>
  <conditionalFormatting sqref="B127">
    <cfRule type="cellIs" dxfId="1188" priority="1273" stopIfTrue="1" operator="equal">
      <formula>"Towel"</formula>
    </cfRule>
    <cfRule type="cellIs" dxfId="1187" priority="1274" stopIfTrue="1" operator="equal">
      <formula>"Napkin Hs"</formula>
    </cfRule>
  </conditionalFormatting>
  <conditionalFormatting sqref="C127">
    <cfRule type="cellIs" dxfId="1186" priority="1281" stopIfTrue="1" operator="equal">
      <formula>"Towel"</formula>
    </cfRule>
    <cfRule type="cellIs" dxfId="1185" priority="1282" stopIfTrue="1" operator="equal">
      <formula>"Napkin Hs"</formula>
    </cfRule>
  </conditionalFormatting>
  <conditionalFormatting sqref="B127">
    <cfRule type="cellIs" dxfId="1184" priority="1271" stopIfTrue="1" operator="equal">
      <formula>"Towel"</formula>
    </cfRule>
    <cfRule type="cellIs" dxfId="1183" priority="1272" stopIfTrue="1" operator="equal">
      <formula>"Napkin Hs"</formula>
    </cfRule>
  </conditionalFormatting>
  <conditionalFormatting sqref="C127">
    <cfRule type="cellIs" dxfId="1182" priority="1275" stopIfTrue="1" operator="equal">
      <formula>"Towel"</formula>
    </cfRule>
    <cfRule type="cellIs" dxfId="1181" priority="1276" stopIfTrue="1" operator="equal">
      <formula>"Napkin Hs"</formula>
    </cfRule>
  </conditionalFormatting>
  <conditionalFormatting sqref="C127">
    <cfRule type="cellIs" dxfId="1180" priority="1285" stopIfTrue="1" operator="equal">
      <formula>"Towel"</formula>
    </cfRule>
    <cfRule type="cellIs" dxfId="1179" priority="1286" stopIfTrue="1" operator="equal">
      <formula>"Napkin Hs"</formula>
    </cfRule>
  </conditionalFormatting>
  <conditionalFormatting sqref="C127">
    <cfRule type="cellIs" dxfId="1178" priority="1284" stopIfTrue="1" operator="equal">
      <formula>"Napkin Hs"</formula>
    </cfRule>
  </conditionalFormatting>
  <conditionalFormatting sqref="C127">
    <cfRule type="cellIs" dxfId="1177" priority="1283" stopIfTrue="1" operator="equal">
      <formula>"Towel"</formula>
    </cfRule>
  </conditionalFormatting>
  <conditionalFormatting sqref="C127">
    <cfRule type="cellIs" dxfId="1176" priority="1279" stopIfTrue="1" operator="equal">
      <formula>"Towel"</formula>
    </cfRule>
    <cfRule type="cellIs" dxfId="1175" priority="1280" stopIfTrue="1" operator="equal">
      <formula>"Napkin Hs"</formula>
    </cfRule>
  </conditionalFormatting>
  <conditionalFormatting sqref="C127">
    <cfRule type="cellIs" dxfId="1174" priority="1278" stopIfTrue="1" operator="equal">
      <formula>"Napkin Hs"</formula>
    </cfRule>
  </conditionalFormatting>
  <conditionalFormatting sqref="C127">
    <cfRule type="cellIs" dxfId="1173" priority="1277" stopIfTrue="1" operator="equal">
      <formula>"Towel"</formula>
    </cfRule>
  </conditionalFormatting>
  <conditionalFormatting sqref="B127:C127">
    <cfRule type="cellIs" dxfId="1172" priority="1291" stopIfTrue="1" operator="equal">
      <formula>"Towel"</formula>
    </cfRule>
    <cfRule type="cellIs" dxfId="1171" priority="1292" stopIfTrue="1" operator="equal">
      <formula>"Napkin Hs"</formula>
    </cfRule>
  </conditionalFormatting>
  <conditionalFormatting sqref="C127">
    <cfRule type="cellIs" dxfId="1170" priority="1289" stopIfTrue="1" operator="equal">
      <formula>"Towel"</formula>
    </cfRule>
    <cfRule type="cellIs" dxfId="1169" priority="1290" stopIfTrue="1" operator="equal">
      <formula>"Napkin Hs"</formula>
    </cfRule>
  </conditionalFormatting>
  <conditionalFormatting sqref="C127">
    <cfRule type="cellIs" dxfId="1168" priority="1287" stopIfTrue="1" operator="equal">
      <formula>"Towel"</formula>
    </cfRule>
    <cfRule type="cellIs" dxfId="1167" priority="1288" stopIfTrue="1" operator="equal">
      <formula>"Napkin Hs"</formula>
    </cfRule>
  </conditionalFormatting>
  <conditionalFormatting sqref="C6">
    <cfRule type="cellIs" dxfId="1166" priority="1270" stopIfTrue="1" operator="equal">
      <formula>"Napkin Hs"</formula>
    </cfRule>
  </conditionalFormatting>
  <conditionalFormatting sqref="C6">
    <cfRule type="cellIs" dxfId="1165" priority="1269" stopIfTrue="1" operator="equal">
      <formula>"Napkin Hs"</formula>
    </cfRule>
  </conditionalFormatting>
  <conditionalFormatting sqref="B12:C13">
    <cfRule type="cellIs" dxfId="1164" priority="1267" stopIfTrue="1" operator="equal">
      <formula>"Towel"</formula>
    </cfRule>
    <cfRule type="cellIs" dxfId="1163" priority="1268" stopIfTrue="1" operator="equal">
      <formula>"Napkin Hs"</formula>
    </cfRule>
  </conditionalFormatting>
  <conditionalFormatting sqref="C12:C13">
    <cfRule type="cellIs" dxfId="1162" priority="1266" stopIfTrue="1" operator="equal">
      <formula>"Napkin Hs"</formula>
    </cfRule>
  </conditionalFormatting>
  <conditionalFormatting sqref="C12:C13">
    <cfRule type="cellIs" dxfId="1161" priority="1263" stopIfTrue="1" operator="equal">
      <formula>"Towel"</formula>
    </cfRule>
    <cfRule type="cellIs" dxfId="1160" priority="1264" stopIfTrue="1" operator="equal">
      <formula>"Napkin Hs"</formula>
    </cfRule>
  </conditionalFormatting>
  <conditionalFormatting sqref="C12:C13">
    <cfRule type="cellIs" dxfId="1159" priority="1265" stopIfTrue="1" operator="equal">
      <formula>"Towel"</formula>
    </cfRule>
  </conditionalFormatting>
  <conditionalFormatting sqref="C10">
    <cfRule type="cellIs" dxfId="1158" priority="1262" stopIfTrue="1" operator="equal">
      <formula>"Napkin Hs"</formula>
    </cfRule>
  </conditionalFormatting>
  <conditionalFormatting sqref="C10">
    <cfRule type="cellIs" dxfId="1157" priority="1261" stopIfTrue="1" operator="equal">
      <formula>"Napkin Hs"</formula>
    </cfRule>
  </conditionalFormatting>
  <conditionalFormatting sqref="C11">
    <cfRule type="cellIs" dxfId="1156" priority="1260" stopIfTrue="1" operator="equal">
      <formula>"Napkin Hs"</formula>
    </cfRule>
  </conditionalFormatting>
  <conditionalFormatting sqref="C11">
    <cfRule type="cellIs" dxfId="1155" priority="1259" stopIfTrue="1" operator="equal">
      <formula>"Napkin Hs"</formula>
    </cfRule>
  </conditionalFormatting>
  <conditionalFormatting sqref="C24">
    <cfRule type="cellIs" dxfId="1154" priority="1258" stopIfTrue="1" operator="equal">
      <formula>"Napkin Hs"</formula>
    </cfRule>
  </conditionalFormatting>
  <conditionalFormatting sqref="C24">
    <cfRule type="cellIs" dxfId="1153" priority="1257" stopIfTrue="1" operator="equal">
      <formula>"Napkin Hs"</formula>
    </cfRule>
  </conditionalFormatting>
  <conditionalFormatting sqref="C28">
    <cfRule type="cellIs" dxfId="1152" priority="1256" stopIfTrue="1" operator="equal">
      <formula>"Napkin Hs"</formula>
    </cfRule>
  </conditionalFormatting>
  <conditionalFormatting sqref="C28">
    <cfRule type="cellIs" dxfId="1151" priority="1255" stopIfTrue="1" operator="equal">
      <formula>"Napkin Hs"</formula>
    </cfRule>
  </conditionalFormatting>
  <conditionalFormatting sqref="C12:C13">
    <cfRule type="cellIs" dxfId="1150" priority="1253" stopIfTrue="1" operator="equal">
      <formula>"Towel"</formula>
    </cfRule>
    <cfRule type="cellIs" dxfId="1149" priority="1254" stopIfTrue="1" operator="equal">
      <formula>"Napkin Hs"</formula>
    </cfRule>
  </conditionalFormatting>
  <conditionalFormatting sqref="C11">
    <cfRule type="cellIs" dxfId="1148" priority="1251" stopIfTrue="1" operator="equal">
      <formula>"Towel"</formula>
    </cfRule>
    <cfRule type="cellIs" dxfId="1147" priority="1252" stopIfTrue="1" operator="equal">
      <formula>"Napkin Hs"</formula>
    </cfRule>
  </conditionalFormatting>
  <conditionalFormatting sqref="C11">
    <cfRule type="cellIs" dxfId="1146" priority="1247" stopIfTrue="1" operator="equal">
      <formula>"Towel"</formula>
    </cfRule>
    <cfRule type="cellIs" dxfId="1145" priority="1248" stopIfTrue="1" operator="equal">
      <formula>"Napkin Hs"</formula>
    </cfRule>
  </conditionalFormatting>
  <conditionalFormatting sqref="B11">
    <cfRule type="cellIs" dxfId="1144" priority="1237" stopIfTrue="1" operator="equal">
      <formula>"Towel"</formula>
    </cfRule>
    <cfRule type="cellIs" dxfId="1143" priority="1238" stopIfTrue="1" operator="equal">
      <formula>"Napkin Hs"</formula>
    </cfRule>
  </conditionalFormatting>
  <conditionalFormatting sqref="B11">
    <cfRule type="cellIs" dxfId="1142" priority="1239" stopIfTrue="1" operator="equal">
      <formula>"Towel"</formula>
    </cfRule>
    <cfRule type="cellIs" dxfId="1141" priority="1240" stopIfTrue="1" operator="equal">
      <formula>"Napkin Hs"</formula>
    </cfRule>
  </conditionalFormatting>
  <conditionalFormatting sqref="C11">
    <cfRule type="cellIs" dxfId="1140" priority="1241" stopIfTrue="1" operator="equal">
      <formula>"Towel"</formula>
    </cfRule>
    <cfRule type="cellIs" dxfId="1139" priority="1242" stopIfTrue="1" operator="equal">
      <formula>"Napkin Hs"</formula>
    </cfRule>
  </conditionalFormatting>
  <conditionalFormatting sqref="C11">
    <cfRule type="cellIs" dxfId="1138" priority="1250" stopIfTrue="1" operator="equal">
      <formula>"Napkin Hs"</formula>
    </cfRule>
  </conditionalFormatting>
  <conditionalFormatting sqref="C11">
    <cfRule type="cellIs" dxfId="1137" priority="1249" stopIfTrue="1" operator="equal">
      <formula>"Towel"</formula>
    </cfRule>
  </conditionalFormatting>
  <conditionalFormatting sqref="C11">
    <cfRule type="cellIs" dxfId="1136" priority="1245" stopIfTrue="1" operator="equal">
      <formula>"Towel"</formula>
    </cfRule>
    <cfRule type="cellIs" dxfId="1135" priority="1246" stopIfTrue="1" operator="equal">
      <formula>"Napkin Hs"</formula>
    </cfRule>
  </conditionalFormatting>
  <conditionalFormatting sqref="C11">
    <cfRule type="cellIs" dxfId="1134" priority="1244" stopIfTrue="1" operator="equal">
      <formula>"Napkin Hs"</formula>
    </cfRule>
  </conditionalFormatting>
  <conditionalFormatting sqref="C11">
    <cfRule type="cellIs" dxfId="1133" priority="1243" stopIfTrue="1" operator="equal">
      <formula>"Towel"</formula>
    </cfRule>
  </conditionalFormatting>
  <conditionalFormatting sqref="C10">
    <cfRule type="cellIs" dxfId="1132" priority="1236" stopIfTrue="1" operator="equal">
      <formula>"Napkin Hs"</formula>
    </cfRule>
  </conditionalFormatting>
  <conditionalFormatting sqref="C10">
    <cfRule type="cellIs" dxfId="1131" priority="1235" stopIfTrue="1" operator="equal">
      <formula>"Napkin Hs"</formula>
    </cfRule>
  </conditionalFormatting>
  <conditionalFormatting sqref="B16:C17">
    <cfRule type="cellIs" dxfId="1130" priority="1233" stopIfTrue="1" operator="equal">
      <formula>"Towel"</formula>
    </cfRule>
    <cfRule type="cellIs" dxfId="1129" priority="1234" stopIfTrue="1" operator="equal">
      <formula>"Napkin Hs"</formula>
    </cfRule>
  </conditionalFormatting>
  <conditionalFormatting sqref="C16:C17">
    <cfRule type="cellIs" dxfId="1128" priority="1232" stopIfTrue="1" operator="equal">
      <formula>"Napkin Hs"</formula>
    </cfRule>
  </conditionalFormatting>
  <conditionalFormatting sqref="C16:C17">
    <cfRule type="cellIs" dxfId="1127" priority="1231" stopIfTrue="1" operator="equal">
      <formula>"Towel"</formula>
    </cfRule>
  </conditionalFormatting>
  <conditionalFormatting sqref="B16:C17">
    <cfRule type="cellIs" dxfId="1126" priority="1229" stopIfTrue="1" operator="equal">
      <formula>"Towel"</formula>
    </cfRule>
    <cfRule type="cellIs" dxfId="1125" priority="1230" stopIfTrue="1" operator="equal">
      <formula>"Napkin Hs"</formula>
    </cfRule>
  </conditionalFormatting>
  <conditionalFormatting sqref="C16:C17">
    <cfRule type="cellIs" dxfId="1124" priority="1228" stopIfTrue="1" operator="equal">
      <formula>"Napkin Hs"</formula>
    </cfRule>
  </conditionalFormatting>
  <conditionalFormatting sqref="C16:C17">
    <cfRule type="cellIs" dxfId="1123" priority="1225" stopIfTrue="1" operator="equal">
      <formula>"Towel"</formula>
    </cfRule>
    <cfRule type="cellIs" dxfId="1122" priority="1226" stopIfTrue="1" operator="equal">
      <formula>"Napkin Hs"</formula>
    </cfRule>
  </conditionalFormatting>
  <conditionalFormatting sqref="C16:C17">
    <cfRule type="cellIs" dxfId="1121" priority="1227" stopIfTrue="1" operator="equal">
      <formula>"Towel"</formula>
    </cfRule>
  </conditionalFormatting>
  <conditionalFormatting sqref="C14">
    <cfRule type="cellIs" dxfId="1120" priority="1224" stopIfTrue="1" operator="equal">
      <formula>"Napkin Hs"</formula>
    </cfRule>
  </conditionalFormatting>
  <conditionalFormatting sqref="C14">
    <cfRule type="cellIs" dxfId="1119" priority="1223" stopIfTrue="1" operator="equal">
      <formula>"Napkin Hs"</formula>
    </cfRule>
  </conditionalFormatting>
  <conditionalFormatting sqref="C15">
    <cfRule type="cellIs" dxfId="1118" priority="1222" stopIfTrue="1" operator="equal">
      <formula>"Napkin Hs"</formula>
    </cfRule>
  </conditionalFormatting>
  <conditionalFormatting sqref="C15">
    <cfRule type="cellIs" dxfId="1117" priority="1221" stopIfTrue="1" operator="equal">
      <formula>"Napkin Hs"</formula>
    </cfRule>
  </conditionalFormatting>
  <conditionalFormatting sqref="C16:C17">
    <cfRule type="cellIs" dxfId="1116" priority="1219" stopIfTrue="1" operator="equal">
      <formula>"Towel"</formula>
    </cfRule>
    <cfRule type="cellIs" dxfId="1115" priority="1220" stopIfTrue="1" operator="equal">
      <formula>"Napkin Hs"</formula>
    </cfRule>
  </conditionalFormatting>
  <conditionalFormatting sqref="C15">
    <cfRule type="cellIs" dxfId="1114" priority="1217" stopIfTrue="1" operator="equal">
      <formula>"Towel"</formula>
    </cfRule>
    <cfRule type="cellIs" dxfId="1113" priority="1218" stopIfTrue="1" operator="equal">
      <formula>"Napkin Hs"</formula>
    </cfRule>
  </conditionalFormatting>
  <conditionalFormatting sqref="C15">
    <cfRule type="cellIs" dxfId="1112" priority="1213" stopIfTrue="1" operator="equal">
      <formula>"Towel"</formula>
    </cfRule>
    <cfRule type="cellIs" dxfId="1111" priority="1214" stopIfTrue="1" operator="equal">
      <formula>"Napkin Hs"</formula>
    </cfRule>
  </conditionalFormatting>
  <conditionalFormatting sqref="B15">
    <cfRule type="cellIs" dxfId="1110" priority="1203" stopIfTrue="1" operator="equal">
      <formula>"Towel"</formula>
    </cfRule>
    <cfRule type="cellIs" dxfId="1109" priority="1204" stopIfTrue="1" operator="equal">
      <formula>"Napkin Hs"</formula>
    </cfRule>
  </conditionalFormatting>
  <conditionalFormatting sqref="B15">
    <cfRule type="cellIs" dxfId="1108" priority="1205" stopIfTrue="1" operator="equal">
      <formula>"Towel"</formula>
    </cfRule>
    <cfRule type="cellIs" dxfId="1107" priority="1206" stopIfTrue="1" operator="equal">
      <formula>"Napkin Hs"</formula>
    </cfRule>
  </conditionalFormatting>
  <conditionalFormatting sqref="C15">
    <cfRule type="cellIs" dxfId="1106" priority="1207" stopIfTrue="1" operator="equal">
      <formula>"Towel"</formula>
    </cfRule>
    <cfRule type="cellIs" dxfId="1105" priority="1208" stopIfTrue="1" operator="equal">
      <formula>"Napkin Hs"</formula>
    </cfRule>
  </conditionalFormatting>
  <conditionalFormatting sqref="C15">
    <cfRule type="cellIs" dxfId="1104" priority="1216" stopIfTrue="1" operator="equal">
      <formula>"Napkin Hs"</formula>
    </cfRule>
  </conditionalFormatting>
  <conditionalFormatting sqref="C15">
    <cfRule type="cellIs" dxfId="1103" priority="1215" stopIfTrue="1" operator="equal">
      <formula>"Towel"</formula>
    </cfRule>
  </conditionalFormatting>
  <conditionalFormatting sqref="C15">
    <cfRule type="cellIs" dxfId="1102" priority="1211" stopIfTrue="1" operator="equal">
      <formula>"Towel"</formula>
    </cfRule>
    <cfRule type="cellIs" dxfId="1101" priority="1212" stopIfTrue="1" operator="equal">
      <formula>"Napkin Hs"</formula>
    </cfRule>
  </conditionalFormatting>
  <conditionalFormatting sqref="C15">
    <cfRule type="cellIs" dxfId="1100" priority="1210" stopIfTrue="1" operator="equal">
      <formula>"Napkin Hs"</formula>
    </cfRule>
  </conditionalFormatting>
  <conditionalFormatting sqref="C15">
    <cfRule type="cellIs" dxfId="1099" priority="1209" stopIfTrue="1" operator="equal">
      <formula>"Towel"</formula>
    </cfRule>
  </conditionalFormatting>
  <conditionalFormatting sqref="C14">
    <cfRule type="cellIs" dxfId="1098" priority="1202" stopIfTrue="1" operator="equal">
      <formula>"Napkin Hs"</formula>
    </cfRule>
  </conditionalFormatting>
  <conditionalFormatting sqref="C14">
    <cfRule type="cellIs" dxfId="1097" priority="1201" stopIfTrue="1" operator="equal">
      <formula>"Napkin Hs"</formula>
    </cfRule>
  </conditionalFormatting>
  <conditionalFormatting sqref="B20:C23">
    <cfRule type="cellIs" dxfId="1096" priority="1199" stopIfTrue="1" operator="equal">
      <formula>"Towel"</formula>
    </cfRule>
    <cfRule type="cellIs" dxfId="1095" priority="1200" stopIfTrue="1" operator="equal">
      <formula>"Napkin Hs"</formula>
    </cfRule>
  </conditionalFormatting>
  <conditionalFormatting sqref="C20:C23">
    <cfRule type="cellIs" dxfId="1094" priority="1198" stopIfTrue="1" operator="equal">
      <formula>"Napkin Hs"</formula>
    </cfRule>
  </conditionalFormatting>
  <conditionalFormatting sqref="C20:C23">
    <cfRule type="cellIs" dxfId="1093" priority="1197" stopIfTrue="1" operator="equal">
      <formula>"Towel"</formula>
    </cfRule>
  </conditionalFormatting>
  <conditionalFormatting sqref="B20:C23">
    <cfRule type="cellIs" dxfId="1092" priority="1195" stopIfTrue="1" operator="equal">
      <formula>"Towel"</formula>
    </cfRule>
    <cfRule type="cellIs" dxfId="1091" priority="1196" stopIfTrue="1" operator="equal">
      <formula>"Napkin Hs"</formula>
    </cfRule>
  </conditionalFormatting>
  <conditionalFormatting sqref="C20:C23">
    <cfRule type="cellIs" dxfId="1090" priority="1194" stopIfTrue="1" operator="equal">
      <formula>"Napkin Hs"</formula>
    </cfRule>
  </conditionalFormatting>
  <conditionalFormatting sqref="C20:C23">
    <cfRule type="cellIs" dxfId="1089" priority="1191" stopIfTrue="1" operator="equal">
      <formula>"Towel"</formula>
    </cfRule>
    <cfRule type="cellIs" dxfId="1088" priority="1192" stopIfTrue="1" operator="equal">
      <formula>"Napkin Hs"</formula>
    </cfRule>
  </conditionalFormatting>
  <conditionalFormatting sqref="C20:C23">
    <cfRule type="cellIs" dxfId="1087" priority="1193" stopIfTrue="1" operator="equal">
      <formula>"Towel"</formula>
    </cfRule>
  </conditionalFormatting>
  <conditionalFormatting sqref="C18:C19">
    <cfRule type="cellIs" dxfId="1086" priority="1190" stopIfTrue="1" operator="equal">
      <formula>"Napkin Hs"</formula>
    </cfRule>
  </conditionalFormatting>
  <conditionalFormatting sqref="C18:C19">
    <cfRule type="cellIs" dxfId="1085" priority="1189" stopIfTrue="1" operator="equal">
      <formula>"Napkin Hs"</formula>
    </cfRule>
  </conditionalFormatting>
  <conditionalFormatting sqref="C20:C23">
    <cfRule type="cellIs" dxfId="1084" priority="1187" stopIfTrue="1" operator="equal">
      <formula>"Towel"</formula>
    </cfRule>
    <cfRule type="cellIs" dxfId="1083" priority="1188" stopIfTrue="1" operator="equal">
      <formula>"Napkin Hs"</formula>
    </cfRule>
  </conditionalFormatting>
  <conditionalFormatting sqref="C18:C19">
    <cfRule type="cellIs" dxfId="1082" priority="1186" stopIfTrue="1" operator="equal">
      <formula>"Napkin Hs"</formula>
    </cfRule>
  </conditionalFormatting>
  <conditionalFormatting sqref="C18:C19">
    <cfRule type="cellIs" dxfId="1081" priority="1185" stopIfTrue="1" operator="equal">
      <formula>"Napkin Hs"</formula>
    </cfRule>
  </conditionalFormatting>
  <conditionalFormatting sqref="B27:C27">
    <cfRule type="cellIs" dxfId="1080" priority="1183" stopIfTrue="1" operator="equal">
      <formula>"Towel"</formula>
    </cfRule>
    <cfRule type="cellIs" dxfId="1079" priority="1184" stopIfTrue="1" operator="equal">
      <formula>"Napkin Hs"</formula>
    </cfRule>
  </conditionalFormatting>
  <conditionalFormatting sqref="C27">
    <cfRule type="cellIs" dxfId="1078" priority="1182" stopIfTrue="1" operator="equal">
      <formula>"Napkin Hs"</formula>
    </cfRule>
  </conditionalFormatting>
  <conditionalFormatting sqref="C27">
    <cfRule type="cellIs" dxfId="1077" priority="1181" stopIfTrue="1" operator="equal">
      <formula>"Towel"</formula>
    </cfRule>
  </conditionalFormatting>
  <conditionalFormatting sqref="B27:C27">
    <cfRule type="cellIs" dxfId="1076" priority="1179" stopIfTrue="1" operator="equal">
      <formula>"Towel"</formula>
    </cfRule>
    <cfRule type="cellIs" dxfId="1075" priority="1180" stopIfTrue="1" operator="equal">
      <formula>"Napkin Hs"</formula>
    </cfRule>
  </conditionalFormatting>
  <conditionalFormatting sqref="C27">
    <cfRule type="cellIs" dxfId="1074" priority="1178" stopIfTrue="1" operator="equal">
      <formula>"Napkin Hs"</formula>
    </cfRule>
  </conditionalFormatting>
  <conditionalFormatting sqref="C27">
    <cfRule type="cellIs" dxfId="1073" priority="1175" stopIfTrue="1" operator="equal">
      <formula>"Towel"</formula>
    </cfRule>
    <cfRule type="cellIs" dxfId="1072" priority="1176" stopIfTrue="1" operator="equal">
      <formula>"Napkin Hs"</formula>
    </cfRule>
  </conditionalFormatting>
  <conditionalFormatting sqref="C27">
    <cfRule type="cellIs" dxfId="1071" priority="1177" stopIfTrue="1" operator="equal">
      <formula>"Towel"</formula>
    </cfRule>
  </conditionalFormatting>
  <conditionalFormatting sqref="C25">
    <cfRule type="cellIs" dxfId="1070" priority="1174" stopIfTrue="1" operator="equal">
      <formula>"Napkin Hs"</formula>
    </cfRule>
  </conditionalFormatting>
  <conditionalFormatting sqref="C25">
    <cfRule type="cellIs" dxfId="1069" priority="1173" stopIfTrue="1" operator="equal">
      <formula>"Napkin Hs"</formula>
    </cfRule>
  </conditionalFormatting>
  <conditionalFormatting sqref="C26">
    <cfRule type="cellIs" dxfId="1068" priority="1172" stopIfTrue="1" operator="equal">
      <formula>"Napkin Hs"</formula>
    </cfRule>
  </conditionalFormatting>
  <conditionalFormatting sqref="C26">
    <cfRule type="cellIs" dxfId="1067" priority="1171" stopIfTrue="1" operator="equal">
      <formula>"Napkin Hs"</formula>
    </cfRule>
  </conditionalFormatting>
  <conditionalFormatting sqref="C27">
    <cfRule type="cellIs" dxfId="1066" priority="1169" stopIfTrue="1" operator="equal">
      <formula>"Towel"</formula>
    </cfRule>
    <cfRule type="cellIs" dxfId="1065" priority="1170" stopIfTrue="1" operator="equal">
      <formula>"Napkin Hs"</formula>
    </cfRule>
  </conditionalFormatting>
  <conditionalFormatting sqref="C26">
    <cfRule type="cellIs" dxfId="1064" priority="1167" stopIfTrue="1" operator="equal">
      <formula>"Towel"</formula>
    </cfRule>
    <cfRule type="cellIs" dxfId="1063" priority="1168" stopIfTrue="1" operator="equal">
      <formula>"Napkin Hs"</formula>
    </cfRule>
  </conditionalFormatting>
  <conditionalFormatting sqref="C26">
    <cfRule type="cellIs" dxfId="1062" priority="1163" stopIfTrue="1" operator="equal">
      <formula>"Towel"</formula>
    </cfRule>
    <cfRule type="cellIs" dxfId="1061" priority="1164" stopIfTrue="1" operator="equal">
      <formula>"Napkin Hs"</formula>
    </cfRule>
  </conditionalFormatting>
  <conditionalFormatting sqref="B26">
    <cfRule type="cellIs" dxfId="1060" priority="1153" stopIfTrue="1" operator="equal">
      <formula>"Towel"</formula>
    </cfRule>
    <cfRule type="cellIs" dxfId="1059" priority="1154" stopIfTrue="1" operator="equal">
      <formula>"Napkin Hs"</formula>
    </cfRule>
  </conditionalFormatting>
  <conditionalFormatting sqref="B26">
    <cfRule type="cellIs" dxfId="1058" priority="1155" stopIfTrue="1" operator="equal">
      <formula>"Towel"</formula>
    </cfRule>
    <cfRule type="cellIs" dxfId="1057" priority="1156" stopIfTrue="1" operator="equal">
      <formula>"Napkin Hs"</formula>
    </cfRule>
  </conditionalFormatting>
  <conditionalFormatting sqref="C26">
    <cfRule type="cellIs" dxfId="1056" priority="1157" stopIfTrue="1" operator="equal">
      <formula>"Towel"</formula>
    </cfRule>
    <cfRule type="cellIs" dxfId="1055" priority="1158" stopIfTrue="1" operator="equal">
      <formula>"Napkin Hs"</formula>
    </cfRule>
  </conditionalFormatting>
  <conditionalFormatting sqref="C26">
    <cfRule type="cellIs" dxfId="1054" priority="1166" stopIfTrue="1" operator="equal">
      <formula>"Napkin Hs"</formula>
    </cfRule>
  </conditionalFormatting>
  <conditionalFormatting sqref="C26">
    <cfRule type="cellIs" dxfId="1053" priority="1165" stopIfTrue="1" operator="equal">
      <formula>"Towel"</formula>
    </cfRule>
  </conditionalFormatting>
  <conditionalFormatting sqref="C26">
    <cfRule type="cellIs" dxfId="1052" priority="1161" stopIfTrue="1" operator="equal">
      <formula>"Towel"</formula>
    </cfRule>
    <cfRule type="cellIs" dxfId="1051" priority="1162" stopIfTrue="1" operator="equal">
      <formula>"Napkin Hs"</formula>
    </cfRule>
  </conditionalFormatting>
  <conditionalFormatting sqref="C26">
    <cfRule type="cellIs" dxfId="1050" priority="1160" stopIfTrue="1" operator="equal">
      <formula>"Napkin Hs"</formula>
    </cfRule>
  </conditionalFormatting>
  <conditionalFormatting sqref="C26">
    <cfRule type="cellIs" dxfId="1049" priority="1159" stopIfTrue="1" operator="equal">
      <formula>"Towel"</formula>
    </cfRule>
  </conditionalFormatting>
  <conditionalFormatting sqref="C25">
    <cfRule type="cellIs" dxfId="1048" priority="1152" stopIfTrue="1" operator="equal">
      <formula>"Napkin Hs"</formula>
    </cfRule>
  </conditionalFormatting>
  <conditionalFormatting sqref="C25">
    <cfRule type="cellIs" dxfId="1047" priority="1151" stopIfTrue="1" operator="equal">
      <formula>"Napkin Hs"</formula>
    </cfRule>
  </conditionalFormatting>
  <conditionalFormatting sqref="B31:C31">
    <cfRule type="cellIs" dxfId="1046" priority="1149" stopIfTrue="1" operator="equal">
      <formula>"Towel"</formula>
    </cfRule>
    <cfRule type="cellIs" dxfId="1045" priority="1150" stopIfTrue="1" operator="equal">
      <formula>"Napkin Hs"</formula>
    </cfRule>
  </conditionalFormatting>
  <conditionalFormatting sqref="C31">
    <cfRule type="cellIs" dxfId="1044" priority="1148" stopIfTrue="1" operator="equal">
      <formula>"Napkin Hs"</formula>
    </cfRule>
  </conditionalFormatting>
  <conditionalFormatting sqref="C31">
    <cfRule type="cellIs" dxfId="1043" priority="1147" stopIfTrue="1" operator="equal">
      <formula>"Towel"</formula>
    </cfRule>
  </conditionalFormatting>
  <conditionalFormatting sqref="B31:C31">
    <cfRule type="cellIs" dxfId="1042" priority="1145" stopIfTrue="1" operator="equal">
      <formula>"Towel"</formula>
    </cfRule>
    <cfRule type="cellIs" dxfId="1041" priority="1146" stopIfTrue="1" operator="equal">
      <formula>"Napkin Hs"</formula>
    </cfRule>
  </conditionalFormatting>
  <conditionalFormatting sqref="C31">
    <cfRule type="cellIs" dxfId="1040" priority="1144" stopIfTrue="1" operator="equal">
      <formula>"Napkin Hs"</formula>
    </cfRule>
  </conditionalFormatting>
  <conditionalFormatting sqref="C31">
    <cfRule type="cellIs" dxfId="1039" priority="1141" stopIfTrue="1" operator="equal">
      <formula>"Towel"</formula>
    </cfRule>
    <cfRule type="cellIs" dxfId="1038" priority="1142" stopIfTrue="1" operator="equal">
      <formula>"Napkin Hs"</formula>
    </cfRule>
  </conditionalFormatting>
  <conditionalFormatting sqref="C31">
    <cfRule type="cellIs" dxfId="1037" priority="1143" stopIfTrue="1" operator="equal">
      <formula>"Towel"</formula>
    </cfRule>
  </conditionalFormatting>
  <conditionalFormatting sqref="C29:C30">
    <cfRule type="cellIs" dxfId="1036" priority="1140" stopIfTrue="1" operator="equal">
      <formula>"Napkin Hs"</formula>
    </cfRule>
  </conditionalFormatting>
  <conditionalFormatting sqref="C29:C30">
    <cfRule type="cellIs" dxfId="1035" priority="1139" stopIfTrue="1" operator="equal">
      <formula>"Napkin Hs"</formula>
    </cfRule>
  </conditionalFormatting>
  <conditionalFormatting sqref="C31">
    <cfRule type="cellIs" dxfId="1034" priority="1137" stopIfTrue="1" operator="equal">
      <formula>"Towel"</formula>
    </cfRule>
    <cfRule type="cellIs" dxfId="1033" priority="1138" stopIfTrue="1" operator="equal">
      <formula>"Napkin Hs"</formula>
    </cfRule>
  </conditionalFormatting>
  <conditionalFormatting sqref="C29:C30">
    <cfRule type="cellIs" dxfId="1032" priority="1136" stopIfTrue="1" operator="equal">
      <formula>"Napkin Hs"</formula>
    </cfRule>
  </conditionalFormatting>
  <conditionalFormatting sqref="C29:C30">
    <cfRule type="cellIs" dxfId="1031" priority="1135" stopIfTrue="1" operator="equal">
      <formula>"Napkin Hs"</formula>
    </cfRule>
  </conditionalFormatting>
  <conditionalFormatting sqref="B32:C32">
    <cfRule type="cellIs" dxfId="1030" priority="1133" stopIfTrue="1" operator="equal">
      <formula>"Towel"</formula>
    </cfRule>
    <cfRule type="cellIs" dxfId="1029" priority="1134" stopIfTrue="1" operator="equal">
      <formula>"Napkin Hs"</formula>
    </cfRule>
  </conditionalFormatting>
  <conditionalFormatting sqref="C32">
    <cfRule type="cellIs" dxfId="1028" priority="1132" stopIfTrue="1" operator="equal">
      <formula>"Napkin Hs"</formula>
    </cfRule>
  </conditionalFormatting>
  <conditionalFormatting sqref="C32">
    <cfRule type="cellIs" dxfId="1027" priority="1131" stopIfTrue="1" operator="equal">
      <formula>"Towel"</formula>
    </cfRule>
  </conditionalFormatting>
  <conditionalFormatting sqref="B32:C32">
    <cfRule type="cellIs" dxfId="1026" priority="1129" stopIfTrue="1" operator="equal">
      <formula>"Towel"</formula>
    </cfRule>
    <cfRule type="cellIs" dxfId="1025" priority="1130" stopIfTrue="1" operator="equal">
      <formula>"Napkin Hs"</formula>
    </cfRule>
  </conditionalFormatting>
  <conditionalFormatting sqref="C32">
    <cfRule type="cellIs" dxfId="1024" priority="1128" stopIfTrue="1" operator="equal">
      <formula>"Napkin Hs"</formula>
    </cfRule>
  </conditionalFormatting>
  <conditionalFormatting sqref="C32">
    <cfRule type="cellIs" dxfId="1023" priority="1125" stopIfTrue="1" operator="equal">
      <formula>"Towel"</formula>
    </cfRule>
    <cfRule type="cellIs" dxfId="1022" priority="1126" stopIfTrue="1" operator="equal">
      <formula>"Napkin Hs"</formula>
    </cfRule>
  </conditionalFormatting>
  <conditionalFormatting sqref="C32">
    <cfRule type="cellIs" dxfId="1021" priority="1127" stopIfTrue="1" operator="equal">
      <formula>"Towel"</formula>
    </cfRule>
  </conditionalFormatting>
  <conditionalFormatting sqref="C32">
    <cfRule type="cellIs" dxfId="1020" priority="1123" stopIfTrue="1" operator="equal">
      <formula>"Towel"</formula>
    </cfRule>
    <cfRule type="cellIs" dxfId="1019" priority="1124" stopIfTrue="1" operator="equal">
      <formula>"Napkin Hs"</formula>
    </cfRule>
  </conditionalFormatting>
  <conditionalFormatting sqref="B36:C36">
    <cfRule type="cellIs" dxfId="1018" priority="1121" stopIfTrue="1" operator="equal">
      <formula>"Towel"</formula>
    </cfRule>
    <cfRule type="cellIs" dxfId="1017" priority="1122" stopIfTrue="1" operator="equal">
      <formula>"Napkin Hs"</formula>
    </cfRule>
  </conditionalFormatting>
  <conditionalFormatting sqref="C36">
    <cfRule type="cellIs" dxfId="1016" priority="1120" stopIfTrue="1" operator="equal">
      <formula>"Napkin Hs"</formula>
    </cfRule>
  </conditionalFormatting>
  <conditionalFormatting sqref="C36">
    <cfRule type="cellIs" dxfId="1015" priority="1119" stopIfTrue="1" operator="equal">
      <formula>"Towel"</formula>
    </cfRule>
  </conditionalFormatting>
  <conditionalFormatting sqref="B36:C36">
    <cfRule type="cellIs" dxfId="1014" priority="1117" stopIfTrue="1" operator="equal">
      <formula>"Towel"</formula>
    </cfRule>
    <cfRule type="cellIs" dxfId="1013" priority="1118" stopIfTrue="1" operator="equal">
      <formula>"Napkin Hs"</formula>
    </cfRule>
  </conditionalFormatting>
  <conditionalFormatting sqref="C36">
    <cfRule type="cellIs" dxfId="1012" priority="1116" stopIfTrue="1" operator="equal">
      <formula>"Napkin Hs"</formula>
    </cfRule>
  </conditionalFormatting>
  <conditionalFormatting sqref="C36">
    <cfRule type="cellIs" dxfId="1011" priority="1113" stopIfTrue="1" operator="equal">
      <formula>"Towel"</formula>
    </cfRule>
    <cfRule type="cellIs" dxfId="1010" priority="1114" stopIfTrue="1" operator="equal">
      <formula>"Napkin Hs"</formula>
    </cfRule>
  </conditionalFormatting>
  <conditionalFormatting sqref="C36">
    <cfRule type="cellIs" dxfId="1009" priority="1115" stopIfTrue="1" operator="equal">
      <formula>"Towel"</formula>
    </cfRule>
  </conditionalFormatting>
  <conditionalFormatting sqref="C35">
    <cfRule type="cellIs" dxfId="1008" priority="1112" stopIfTrue="1" operator="equal">
      <formula>"Napkin Hs"</formula>
    </cfRule>
  </conditionalFormatting>
  <conditionalFormatting sqref="C35">
    <cfRule type="cellIs" dxfId="1007" priority="1111" stopIfTrue="1" operator="equal">
      <formula>"Napkin Hs"</formula>
    </cfRule>
  </conditionalFormatting>
  <conditionalFormatting sqref="C36">
    <cfRule type="cellIs" dxfId="1006" priority="1109" stopIfTrue="1" operator="equal">
      <formula>"Towel"</formula>
    </cfRule>
    <cfRule type="cellIs" dxfId="1005" priority="1110" stopIfTrue="1" operator="equal">
      <formula>"Napkin Hs"</formula>
    </cfRule>
  </conditionalFormatting>
  <conditionalFormatting sqref="C35">
    <cfRule type="cellIs" dxfId="1004" priority="1108" stopIfTrue="1" operator="equal">
      <formula>"Napkin Hs"</formula>
    </cfRule>
  </conditionalFormatting>
  <conditionalFormatting sqref="C35">
    <cfRule type="cellIs" dxfId="1003" priority="1107" stopIfTrue="1" operator="equal">
      <formula>"Napkin Hs"</formula>
    </cfRule>
  </conditionalFormatting>
  <conditionalFormatting sqref="B37:C38">
    <cfRule type="cellIs" dxfId="1002" priority="1105" stopIfTrue="1" operator="equal">
      <formula>"Towel"</formula>
    </cfRule>
    <cfRule type="cellIs" dxfId="1001" priority="1106" stopIfTrue="1" operator="equal">
      <formula>"Napkin Hs"</formula>
    </cfRule>
  </conditionalFormatting>
  <conditionalFormatting sqref="C37:C38">
    <cfRule type="cellIs" dxfId="1000" priority="1104" stopIfTrue="1" operator="equal">
      <formula>"Napkin Hs"</formula>
    </cfRule>
  </conditionalFormatting>
  <conditionalFormatting sqref="C37:C38">
    <cfRule type="cellIs" dxfId="999" priority="1103" stopIfTrue="1" operator="equal">
      <formula>"Towel"</formula>
    </cfRule>
  </conditionalFormatting>
  <conditionalFormatting sqref="B37:C38">
    <cfRule type="cellIs" dxfId="998" priority="1101" stopIfTrue="1" operator="equal">
      <formula>"Towel"</formula>
    </cfRule>
    <cfRule type="cellIs" dxfId="997" priority="1102" stopIfTrue="1" operator="equal">
      <formula>"Napkin Hs"</formula>
    </cfRule>
  </conditionalFormatting>
  <conditionalFormatting sqref="C37:C38">
    <cfRule type="cellIs" dxfId="996" priority="1100" stopIfTrue="1" operator="equal">
      <formula>"Napkin Hs"</formula>
    </cfRule>
  </conditionalFormatting>
  <conditionalFormatting sqref="C37:C38">
    <cfRule type="cellIs" dxfId="995" priority="1097" stopIfTrue="1" operator="equal">
      <formula>"Towel"</formula>
    </cfRule>
    <cfRule type="cellIs" dxfId="994" priority="1098" stopIfTrue="1" operator="equal">
      <formula>"Napkin Hs"</formula>
    </cfRule>
  </conditionalFormatting>
  <conditionalFormatting sqref="C37:C38">
    <cfRule type="cellIs" dxfId="993" priority="1099" stopIfTrue="1" operator="equal">
      <formula>"Towel"</formula>
    </cfRule>
  </conditionalFormatting>
  <conditionalFormatting sqref="C37:C38">
    <cfRule type="cellIs" dxfId="992" priority="1095" stopIfTrue="1" operator="equal">
      <formula>"Towel"</formula>
    </cfRule>
    <cfRule type="cellIs" dxfId="991" priority="1096" stopIfTrue="1" operator="equal">
      <formula>"Napkin Hs"</formula>
    </cfRule>
  </conditionalFormatting>
  <conditionalFormatting sqref="C34">
    <cfRule type="cellIs" dxfId="990" priority="1094" stopIfTrue="1" operator="equal">
      <formula>"Napkin Hs"</formula>
    </cfRule>
  </conditionalFormatting>
  <conditionalFormatting sqref="C34">
    <cfRule type="cellIs" dxfId="989" priority="1093" stopIfTrue="1" operator="equal">
      <formula>"Napkin Hs"</formula>
    </cfRule>
  </conditionalFormatting>
  <conditionalFormatting sqref="C34">
    <cfRule type="cellIs" dxfId="988" priority="1092" stopIfTrue="1" operator="equal">
      <formula>"Napkin Hs"</formula>
    </cfRule>
  </conditionalFormatting>
  <conditionalFormatting sqref="C34">
    <cfRule type="cellIs" dxfId="987" priority="1091" stopIfTrue="1" operator="equal">
      <formula>"Napkin Hs"</formula>
    </cfRule>
  </conditionalFormatting>
  <conditionalFormatting sqref="B42:C42">
    <cfRule type="cellIs" dxfId="986" priority="1089" stopIfTrue="1" operator="equal">
      <formula>"Towel"</formula>
    </cfRule>
    <cfRule type="cellIs" dxfId="985" priority="1090" stopIfTrue="1" operator="equal">
      <formula>"Napkin Hs"</formula>
    </cfRule>
  </conditionalFormatting>
  <conditionalFormatting sqref="C42">
    <cfRule type="cellIs" dxfId="984" priority="1088" stopIfTrue="1" operator="equal">
      <formula>"Napkin Hs"</formula>
    </cfRule>
  </conditionalFormatting>
  <conditionalFormatting sqref="C42">
    <cfRule type="cellIs" dxfId="983" priority="1087" stopIfTrue="1" operator="equal">
      <formula>"Towel"</formula>
    </cfRule>
  </conditionalFormatting>
  <conditionalFormatting sqref="B42:C42">
    <cfRule type="cellIs" dxfId="982" priority="1085" stopIfTrue="1" operator="equal">
      <formula>"Towel"</formula>
    </cfRule>
    <cfRule type="cellIs" dxfId="981" priority="1086" stopIfTrue="1" operator="equal">
      <formula>"Napkin Hs"</formula>
    </cfRule>
  </conditionalFormatting>
  <conditionalFormatting sqref="C42">
    <cfRule type="cellIs" dxfId="980" priority="1084" stopIfTrue="1" operator="equal">
      <formula>"Napkin Hs"</formula>
    </cfRule>
  </conditionalFormatting>
  <conditionalFormatting sqref="C42">
    <cfRule type="cellIs" dxfId="979" priority="1081" stopIfTrue="1" operator="equal">
      <formula>"Towel"</formula>
    </cfRule>
    <cfRule type="cellIs" dxfId="978" priority="1082" stopIfTrue="1" operator="equal">
      <formula>"Napkin Hs"</formula>
    </cfRule>
  </conditionalFormatting>
  <conditionalFormatting sqref="C42">
    <cfRule type="cellIs" dxfId="977" priority="1083" stopIfTrue="1" operator="equal">
      <formula>"Towel"</formula>
    </cfRule>
  </conditionalFormatting>
  <conditionalFormatting sqref="C41">
    <cfRule type="cellIs" dxfId="976" priority="1080" stopIfTrue="1" operator="equal">
      <formula>"Napkin Hs"</formula>
    </cfRule>
  </conditionalFormatting>
  <conditionalFormatting sqref="C41">
    <cfRule type="cellIs" dxfId="975" priority="1079" stopIfTrue="1" operator="equal">
      <formula>"Napkin Hs"</formula>
    </cfRule>
  </conditionalFormatting>
  <conditionalFormatting sqref="C42">
    <cfRule type="cellIs" dxfId="974" priority="1077" stopIfTrue="1" operator="equal">
      <formula>"Towel"</formula>
    </cfRule>
    <cfRule type="cellIs" dxfId="973" priority="1078" stopIfTrue="1" operator="equal">
      <formula>"Napkin Hs"</formula>
    </cfRule>
  </conditionalFormatting>
  <conditionalFormatting sqref="C41">
    <cfRule type="cellIs" dxfId="972" priority="1076" stopIfTrue="1" operator="equal">
      <formula>"Napkin Hs"</formula>
    </cfRule>
  </conditionalFormatting>
  <conditionalFormatting sqref="C41">
    <cfRule type="cellIs" dxfId="971" priority="1075" stopIfTrue="1" operator="equal">
      <formula>"Napkin Hs"</formula>
    </cfRule>
  </conditionalFormatting>
  <conditionalFormatting sqref="B43:C43">
    <cfRule type="cellIs" dxfId="970" priority="1073" stopIfTrue="1" operator="equal">
      <formula>"Towel"</formula>
    </cfRule>
    <cfRule type="cellIs" dxfId="969" priority="1074" stopIfTrue="1" operator="equal">
      <formula>"Napkin Hs"</formula>
    </cfRule>
  </conditionalFormatting>
  <conditionalFormatting sqref="C43">
    <cfRule type="cellIs" dxfId="968" priority="1072" stopIfTrue="1" operator="equal">
      <formula>"Napkin Hs"</formula>
    </cfRule>
  </conditionalFormatting>
  <conditionalFormatting sqref="C43">
    <cfRule type="cellIs" dxfId="967" priority="1071" stopIfTrue="1" operator="equal">
      <formula>"Towel"</formula>
    </cfRule>
  </conditionalFormatting>
  <conditionalFormatting sqref="B43:C43">
    <cfRule type="cellIs" dxfId="966" priority="1069" stopIfTrue="1" operator="equal">
      <formula>"Towel"</formula>
    </cfRule>
    <cfRule type="cellIs" dxfId="965" priority="1070" stopIfTrue="1" operator="equal">
      <formula>"Napkin Hs"</formula>
    </cfRule>
  </conditionalFormatting>
  <conditionalFormatting sqref="C43">
    <cfRule type="cellIs" dxfId="964" priority="1068" stopIfTrue="1" operator="equal">
      <formula>"Napkin Hs"</formula>
    </cfRule>
  </conditionalFormatting>
  <conditionalFormatting sqref="C43">
    <cfRule type="cellIs" dxfId="963" priority="1065" stopIfTrue="1" operator="equal">
      <formula>"Towel"</formula>
    </cfRule>
    <cfRule type="cellIs" dxfId="962" priority="1066" stopIfTrue="1" operator="equal">
      <formula>"Napkin Hs"</formula>
    </cfRule>
  </conditionalFormatting>
  <conditionalFormatting sqref="C43">
    <cfRule type="cellIs" dxfId="961" priority="1067" stopIfTrue="1" operator="equal">
      <formula>"Towel"</formula>
    </cfRule>
  </conditionalFormatting>
  <conditionalFormatting sqref="C43">
    <cfRule type="cellIs" dxfId="960" priority="1063" stopIfTrue="1" operator="equal">
      <formula>"Towel"</formula>
    </cfRule>
    <cfRule type="cellIs" dxfId="959" priority="1064" stopIfTrue="1" operator="equal">
      <formula>"Napkin Hs"</formula>
    </cfRule>
  </conditionalFormatting>
  <conditionalFormatting sqref="C40">
    <cfRule type="cellIs" dxfId="958" priority="1062" stopIfTrue="1" operator="equal">
      <formula>"Napkin Hs"</formula>
    </cfRule>
  </conditionalFormatting>
  <conditionalFormatting sqref="C40">
    <cfRule type="cellIs" dxfId="957" priority="1061" stopIfTrue="1" operator="equal">
      <formula>"Napkin Hs"</formula>
    </cfRule>
  </conditionalFormatting>
  <conditionalFormatting sqref="C40">
    <cfRule type="cellIs" dxfId="956" priority="1060" stopIfTrue="1" operator="equal">
      <formula>"Napkin Hs"</formula>
    </cfRule>
  </conditionalFormatting>
  <conditionalFormatting sqref="C40">
    <cfRule type="cellIs" dxfId="955" priority="1059" stopIfTrue="1" operator="equal">
      <formula>"Napkin Hs"</formula>
    </cfRule>
  </conditionalFormatting>
  <conditionalFormatting sqref="B46:C46">
    <cfRule type="cellIs" dxfId="954" priority="1057" stopIfTrue="1" operator="equal">
      <formula>"Towel"</formula>
    </cfRule>
    <cfRule type="cellIs" dxfId="953" priority="1058" stopIfTrue="1" operator="equal">
      <formula>"Napkin Hs"</formula>
    </cfRule>
  </conditionalFormatting>
  <conditionalFormatting sqref="C46">
    <cfRule type="cellIs" dxfId="952" priority="1056" stopIfTrue="1" operator="equal">
      <formula>"Napkin Hs"</formula>
    </cfRule>
  </conditionalFormatting>
  <conditionalFormatting sqref="C46">
    <cfRule type="cellIs" dxfId="951" priority="1055" stopIfTrue="1" operator="equal">
      <formula>"Towel"</formula>
    </cfRule>
  </conditionalFormatting>
  <conditionalFormatting sqref="B46:C46">
    <cfRule type="cellIs" dxfId="950" priority="1053" stopIfTrue="1" operator="equal">
      <formula>"Towel"</formula>
    </cfRule>
    <cfRule type="cellIs" dxfId="949" priority="1054" stopIfTrue="1" operator="equal">
      <formula>"Napkin Hs"</formula>
    </cfRule>
  </conditionalFormatting>
  <conditionalFormatting sqref="C46">
    <cfRule type="cellIs" dxfId="948" priority="1052" stopIfTrue="1" operator="equal">
      <formula>"Napkin Hs"</formula>
    </cfRule>
  </conditionalFormatting>
  <conditionalFormatting sqref="C46">
    <cfRule type="cellIs" dxfId="947" priority="1049" stopIfTrue="1" operator="equal">
      <formula>"Towel"</formula>
    </cfRule>
    <cfRule type="cellIs" dxfId="946" priority="1050" stopIfTrue="1" operator="equal">
      <formula>"Napkin Hs"</formula>
    </cfRule>
  </conditionalFormatting>
  <conditionalFormatting sqref="C46">
    <cfRule type="cellIs" dxfId="945" priority="1051" stopIfTrue="1" operator="equal">
      <formula>"Towel"</formula>
    </cfRule>
  </conditionalFormatting>
  <conditionalFormatting sqref="C46">
    <cfRule type="cellIs" dxfId="944" priority="1047" stopIfTrue="1" operator="equal">
      <formula>"Towel"</formula>
    </cfRule>
    <cfRule type="cellIs" dxfId="943" priority="1048" stopIfTrue="1" operator="equal">
      <formula>"Napkin Hs"</formula>
    </cfRule>
  </conditionalFormatting>
  <conditionalFormatting sqref="C45">
    <cfRule type="cellIs" dxfId="942" priority="1046" stopIfTrue="1" operator="equal">
      <formula>"Napkin Hs"</formula>
    </cfRule>
  </conditionalFormatting>
  <conditionalFormatting sqref="C45">
    <cfRule type="cellIs" dxfId="941" priority="1045" stopIfTrue="1" operator="equal">
      <formula>"Napkin Hs"</formula>
    </cfRule>
  </conditionalFormatting>
  <conditionalFormatting sqref="C45">
    <cfRule type="cellIs" dxfId="940" priority="1044" stopIfTrue="1" operator="equal">
      <formula>"Napkin Hs"</formula>
    </cfRule>
  </conditionalFormatting>
  <conditionalFormatting sqref="C45">
    <cfRule type="cellIs" dxfId="939" priority="1043" stopIfTrue="1" operator="equal">
      <formula>"Napkin Hs"</formula>
    </cfRule>
  </conditionalFormatting>
  <conditionalFormatting sqref="C44">
    <cfRule type="cellIs" dxfId="938" priority="1042" stopIfTrue="1" operator="equal">
      <formula>"Napkin Hs"</formula>
    </cfRule>
  </conditionalFormatting>
  <conditionalFormatting sqref="C44">
    <cfRule type="cellIs" dxfId="937" priority="1041" stopIfTrue="1" operator="equal">
      <formula>"Napkin Hs"</formula>
    </cfRule>
  </conditionalFormatting>
  <conditionalFormatting sqref="C44">
    <cfRule type="cellIs" dxfId="936" priority="1040" stopIfTrue="1" operator="equal">
      <formula>"Napkin Hs"</formula>
    </cfRule>
  </conditionalFormatting>
  <conditionalFormatting sqref="C44">
    <cfRule type="cellIs" dxfId="935" priority="1039" stopIfTrue="1" operator="equal">
      <formula>"Napkin Hs"</formula>
    </cfRule>
  </conditionalFormatting>
  <conditionalFormatting sqref="B50:C50">
    <cfRule type="cellIs" dxfId="934" priority="1037" stopIfTrue="1" operator="equal">
      <formula>"Towel"</formula>
    </cfRule>
    <cfRule type="cellIs" dxfId="933" priority="1038" stopIfTrue="1" operator="equal">
      <formula>"Napkin Hs"</formula>
    </cfRule>
  </conditionalFormatting>
  <conditionalFormatting sqref="C50">
    <cfRule type="cellIs" dxfId="932" priority="1036" stopIfTrue="1" operator="equal">
      <formula>"Napkin Hs"</formula>
    </cfRule>
  </conditionalFormatting>
  <conditionalFormatting sqref="C50">
    <cfRule type="cellIs" dxfId="931" priority="1035" stopIfTrue="1" operator="equal">
      <formula>"Towel"</formula>
    </cfRule>
  </conditionalFormatting>
  <conditionalFormatting sqref="B50:C50">
    <cfRule type="cellIs" dxfId="930" priority="1033" stopIfTrue="1" operator="equal">
      <formula>"Towel"</formula>
    </cfRule>
    <cfRule type="cellIs" dxfId="929" priority="1034" stopIfTrue="1" operator="equal">
      <formula>"Napkin Hs"</formula>
    </cfRule>
  </conditionalFormatting>
  <conditionalFormatting sqref="C50">
    <cfRule type="cellIs" dxfId="928" priority="1032" stopIfTrue="1" operator="equal">
      <formula>"Napkin Hs"</formula>
    </cfRule>
  </conditionalFormatting>
  <conditionalFormatting sqref="C50">
    <cfRule type="cellIs" dxfId="927" priority="1029" stopIfTrue="1" operator="equal">
      <formula>"Towel"</formula>
    </cfRule>
    <cfRule type="cellIs" dxfId="926" priority="1030" stopIfTrue="1" operator="equal">
      <formula>"Napkin Hs"</formula>
    </cfRule>
  </conditionalFormatting>
  <conditionalFormatting sqref="C50">
    <cfRule type="cellIs" dxfId="925" priority="1031" stopIfTrue="1" operator="equal">
      <formula>"Towel"</formula>
    </cfRule>
  </conditionalFormatting>
  <conditionalFormatting sqref="C49">
    <cfRule type="cellIs" dxfId="924" priority="1028" stopIfTrue="1" operator="equal">
      <formula>"Napkin Hs"</formula>
    </cfRule>
  </conditionalFormatting>
  <conditionalFormatting sqref="C49">
    <cfRule type="cellIs" dxfId="923" priority="1027" stopIfTrue="1" operator="equal">
      <formula>"Napkin Hs"</formula>
    </cfRule>
  </conditionalFormatting>
  <conditionalFormatting sqref="C50">
    <cfRule type="cellIs" dxfId="922" priority="1025" stopIfTrue="1" operator="equal">
      <formula>"Towel"</formula>
    </cfRule>
    <cfRule type="cellIs" dxfId="921" priority="1026" stopIfTrue="1" operator="equal">
      <formula>"Napkin Hs"</formula>
    </cfRule>
  </conditionalFormatting>
  <conditionalFormatting sqref="C49">
    <cfRule type="cellIs" dxfId="920" priority="1024" stopIfTrue="1" operator="equal">
      <formula>"Napkin Hs"</formula>
    </cfRule>
  </conditionalFormatting>
  <conditionalFormatting sqref="C49">
    <cfRule type="cellIs" dxfId="919" priority="1023" stopIfTrue="1" operator="equal">
      <formula>"Napkin Hs"</formula>
    </cfRule>
  </conditionalFormatting>
  <conditionalFormatting sqref="C48">
    <cfRule type="cellIs" dxfId="918" priority="1022" stopIfTrue="1" operator="equal">
      <formula>"Napkin Hs"</formula>
    </cfRule>
  </conditionalFormatting>
  <conditionalFormatting sqref="C48">
    <cfRule type="cellIs" dxfId="917" priority="1021" stopIfTrue="1" operator="equal">
      <formula>"Napkin Hs"</formula>
    </cfRule>
  </conditionalFormatting>
  <conditionalFormatting sqref="C48">
    <cfRule type="cellIs" dxfId="916" priority="1020" stopIfTrue="1" operator="equal">
      <formula>"Napkin Hs"</formula>
    </cfRule>
  </conditionalFormatting>
  <conditionalFormatting sqref="C48">
    <cfRule type="cellIs" dxfId="915" priority="1019" stopIfTrue="1" operator="equal">
      <formula>"Napkin Hs"</formula>
    </cfRule>
  </conditionalFormatting>
  <conditionalFormatting sqref="B54:C54">
    <cfRule type="cellIs" dxfId="914" priority="1017" stopIfTrue="1" operator="equal">
      <formula>"Towel"</formula>
    </cfRule>
    <cfRule type="cellIs" dxfId="913" priority="1018" stopIfTrue="1" operator="equal">
      <formula>"Napkin Hs"</formula>
    </cfRule>
  </conditionalFormatting>
  <conditionalFormatting sqref="C54">
    <cfRule type="cellIs" dxfId="912" priority="1016" stopIfTrue="1" operator="equal">
      <formula>"Napkin Hs"</formula>
    </cfRule>
  </conditionalFormatting>
  <conditionalFormatting sqref="C54">
    <cfRule type="cellIs" dxfId="911" priority="1015" stopIfTrue="1" operator="equal">
      <formula>"Towel"</formula>
    </cfRule>
  </conditionalFormatting>
  <conditionalFormatting sqref="B54:C54">
    <cfRule type="cellIs" dxfId="910" priority="1013" stopIfTrue="1" operator="equal">
      <formula>"Towel"</formula>
    </cfRule>
    <cfRule type="cellIs" dxfId="909" priority="1014" stopIfTrue="1" operator="equal">
      <formula>"Napkin Hs"</formula>
    </cfRule>
  </conditionalFormatting>
  <conditionalFormatting sqref="C54">
    <cfRule type="cellIs" dxfId="908" priority="1012" stopIfTrue="1" operator="equal">
      <formula>"Napkin Hs"</formula>
    </cfRule>
  </conditionalFormatting>
  <conditionalFormatting sqref="C54">
    <cfRule type="cellIs" dxfId="907" priority="1009" stopIfTrue="1" operator="equal">
      <formula>"Towel"</formula>
    </cfRule>
    <cfRule type="cellIs" dxfId="906" priority="1010" stopIfTrue="1" operator="equal">
      <formula>"Napkin Hs"</formula>
    </cfRule>
  </conditionalFormatting>
  <conditionalFormatting sqref="C54">
    <cfRule type="cellIs" dxfId="905" priority="1011" stopIfTrue="1" operator="equal">
      <formula>"Towel"</formula>
    </cfRule>
  </conditionalFormatting>
  <conditionalFormatting sqref="C54">
    <cfRule type="cellIs" dxfId="904" priority="1007" stopIfTrue="1" operator="equal">
      <formula>"Towel"</formula>
    </cfRule>
    <cfRule type="cellIs" dxfId="903" priority="1008" stopIfTrue="1" operator="equal">
      <formula>"Napkin Hs"</formula>
    </cfRule>
  </conditionalFormatting>
  <conditionalFormatting sqref="C52:C53">
    <cfRule type="cellIs" dxfId="902" priority="1006" stopIfTrue="1" operator="equal">
      <formula>"Napkin Hs"</formula>
    </cfRule>
  </conditionalFormatting>
  <conditionalFormatting sqref="C52:C53">
    <cfRule type="cellIs" dxfId="901" priority="1005" stopIfTrue="1" operator="equal">
      <formula>"Napkin Hs"</formula>
    </cfRule>
  </conditionalFormatting>
  <conditionalFormatting sqref="C52:C53">
    <cfRule type="cellIs" dxfId="900" priority="1004" stopIfTrue="1" operator="equal">
      <formula>"Napkin Hs"</formula>
    </cfRule>
  </conditionalFormatting>
  <conditionalFormatting sqref="C52:C53">
    <cfRule type="cellIs" dxfId="899" priority="1003" stopIfTrue="1" operator="equal">
      <formula>"Napkin Hs"</formula>
    </cfRule>
  </conditionalFormatting>
  <conditionalFormatting sqref="B59:C59">
    <cfRule type="cellIs" dxfId="898" priority="1001" stopIfTrue="1" operator="equal">
      <formula>"Towel"</formula>
    </cfRule>
    <cfRule type="cellIs" dxfId="897" priority="1002" stopIfTrue="1" operator="equal">
      <formula>"Napkin Hs"</formula>
    </cfRule>
  </conditionalFormatting>
  <conditionalFormatting sqref="C59">
    <cfRule type="cellIs" dxfId="896" priority="999" stopIfTrue="1" operator="equal">
      <formula>"Towel"</formula>
    </cfRule>
    <cfRule type="cellIs" dxfId="895" priority="1000" stopIfTrue="1" operator="equal">
      <formula>"Napkin Hs"</formula>
    </cfRule>
  </conditionalFormatting>
  <conditionalFormatting sqref="C59">
    <cfRule type="cellIs" dxfId="894" priority="997" stopIfTrue="1" operator="equal">
      <formula>"Towel"</formula>
    </cfRule>
    <cfRule type="cellIs" dxfId="893" priority="998" stopIfTrue="1" operator="equal">
      <formula>"Napkin Hs"</formula>
    </cfRule>
  </conditionalFormatting>
  <conditionalFormatting sqref="B58:C58">
    <cfRule type="cellIs" dxfId="892" priority="995" stopIfTrue="1" operator="equal">
      <formula>"Towel"</formula>
    </cfRule>
    <cfRule type="cellIs" dxfId="891" priority="996" stopIfTrue="1" operator="equal">
      <formula>"Napkin Hs"</formula>
    </cfRule>
  </conditionalFormatting>
  <conditionalFormatting sqref="C58">
    <cfRule type="cellIs" dxfId="890" priority="994" stopIfTrue="1" operator="equal">
      <formula>"Napkin Hs"</formula>
    </cfRule>
  </conditionalFormatting>
  <conditionalFormatting sqref="C58">
    <cfRule type="cellIs" dxfId="889" priority="993" stopIfTrue="1" operator="equal">
      <formula>"Towel"</formula>
    </cfRule>
  </conditionalFormatting>
  <conditionalFormatting sqref="B58:C58">
    <cfRule type="cellIs" dxfId="888" priority="991" stopIfTrue="1" operator="equal">
      <formula>"Towel"</formula>
    </cfRule>
    <cfRule type="cellIs" dxfId="887" priority="992" stopIfTrue="1" operator="equal">
      <formula>"Napkin Hs"</formula>
    </cfRule>
  </conditionalFormatting>
  <conditionalFormatting sqref="C58">
    <cfRule type="cellIs" dxfId="886" priority="990" stopIfTrue="1" operator="equal">
      <formula>"Napkin Hs"</formula>
    </cfRule>
  </conditionalFormatting>
  <conditionalFormatting sqref="C58">
    <cfRule type="cellIs" dxfId="885" priority="987" stopIfTrue="1" operator="equal">
      <formula>"Towel"</formula>
    </cfRule>
    <cfRule type="cellIs" dxfId="884" priority="988" stopIfTrue="1" operator="equal">
      <formula>"Napkin Hs"</formula>
    </cfRule>
  </conditionalFormatting>
  <conditionalFormatting sqref="C58">
    <cfRule type="cellIs" dxfId="883" priority="989" stopIfTrue="1" operator="equal">
      <formula>"Towel"</formula>
    </cfRule>
  </conditionalFormatting>
  <conditionalFormatting sqref="C58">
    <cfRule type="cellIs" dxfId="882" priority="985" stopIfTrue="1" operator="equal">
      <formula>"Towel"</formula>
    </cfRule>
    <cfRule type="cellIs" dxfId="881" priority="986" stopIfTrue="1" operator="equal">
      <formula>"Napkin Hs"</formula>
    </cfRule>
  </conditionalFormatting>
  <conditionalFormatting sqref="C57">
    <cfRule type="cellIs" dxfId="880" priority="984" stopIfTrue="1" operator="equal">
      <formula>"Napkin Hs"</formula>
    </cfRule>
  </conditionalFormatting>
  <conditionalFormatting sqref="C57">
    <cfRule type="cellIs" dxfId="879" priority="983" stopIfTrue="1" operator="equal">
      <formula>"Napkin Hs"</formula>
    </cfRule>
  </conditionalFormatting>
  <conditionalFormatting sqref="C57">
    <cfRule type="cellIs" dxfId="878" priority="982" stopIfTrue="1" operator="equal">
      <formula>"Napkin Hs"</formula>
    </cfRule>
  </conditionalFormatting>
  <conditionalFormatting sqref="C57">
    <cfRule type="cellIs" dxfId="877" priority="981" stopIfTrue="1" operator="equal">
      <formula>"Napkin Hs"</formula>
    </cfRule>
  </conditionalFormatting>
  <conditionalFormatting sqref="C56">
    <cfRule type="cellIs" dxfId="876" priority="980" stopIfTrue="1" operator="equal">
      <formula>"Napkin Hs"</formula>
    </cfRule>
  </conditionalFormatting>
  <conditionalFormatting sqref="C56">
    <cfRule type="cellIs" dxfId="875" priority="979" stopIfTrue="1" operator="equal">
      <formula>"Napkin Hs"</formula>
    </cfRule>
  </conditionalFormatting>
  <conditionalFormatting sqref="C56">
    <cfRule type="cellIs" dxfId="874" priority="978" stopIfTrue="1" operator="equal">
      <formula>"Napkin Hs"</formula>
    </cfRule>
  </conditionalFormatting>
  <conditionalFormatting sqref="C56">
    <cfRule type="cellIs" dxfId="873" priority="977" stopIfTrue="1" operator="equal">
      <formula>"Napkin Hs"</formula>
    </cfRule>
  </conditionalFormatting>
  <conditionalFormatting sqref="B63:C63">
    <cfRule type="cellIs" dxfId="872" priority="975" stopIfTrue="1" operator="equal">
      <formula>"Towel"</formula>
    </cfRule>
    <cfRule type="cellIs" dxfId="871" priority="976" stopIfTrue="1" operator="equal">
      <formula>"Napkin Hs"</formula>
    </cfRule>
  </conditionalFormatting>
  <conditionalFormatting sqref="C63">
    <cfRule type="cellIs" dxfId="870" priority="973" stopIfTrue="1" operator="equal">
      <formula>"Towel"</formula>
    </cfRule>
    <cfRule type="cellIs" dxfId="869" priority="974" stopIfTrue="1" operator="equal">
      <formula>"Napkin Hs"</formula>
    </cfRule>
  </conditionalFormatting>
  <conditionalFormatting sqref="C63">
    <cfRule type="cellIs" dxfId="868" priority="971" stopIfTrue="1" operator="equal">
      <formula>"Towel"</formula>
    </cfRule>
    <cfRule type="cellIs" dxfId="867" priority="972" stopIfTrue="1" operator="equal">
      <formula>"Napkin Hs"</formula>
    </cfRule>
  </conditionalFormatting>
  <conditionalFormatting sqref="B62:C62">
    <cfRule type="cellIs" dxfId="866" priority="969" stopIfTrue="1" operator="equal">
      <formula>"Towel"</formula>
    </cfRule>
    <cfRule type="cellIs" dxfId="865" priority="970" stopIfTrue="1" operator="equal">
      <formula>"Napkin Hs"</formula>
    </cfRule>
  </conditionalFormatting>
  <conditionalFormatting sqref="C62">
    <cfRule type="cellIs" dxfId="864" priority="968" stopIfTrue="1" operator="equal">
      <formula>"Napkin Hs"</formula>
    </cfRule>
  </conditionalFormatting>
  <conditionalFormatting sqref="C62">
    <cfRule type="cellIs" dxfId="863" priority="967" stopIfTrue="1" operator="equal">
      <formula>"Towel"</formula>
    </cfRule>
  </conditionalFormatting>
  <conditionalFormatting sqref="B62:C62">
    <cfRule type="cellIs" dxfId="862" priority="965" stopIfTrue="1" operator="equal">
      <formula>"Towel"</formula>
    </cfRule>
    <cfRule type="cellIs" dxfId="861" priority="966" stopIfTrue="1" operator="equal">
      <formula>"Napkin Hs"</formula>
    </cfRule>
  </conditionalFormatting>
  <conditionalFormatting sqref="C62">
    <cfRule type="cellIs" dxfId="860" priority="964" stopIfTrue="1" operator="equal">
      <formula>"Napkin Hs"</formula>
    </cfRule>
  </conditionalFormatting>
  <conditionalFormatting sqref="C62">
    <cfRule type="cellIs" dxfId="859" priority="961" stopIfTrue="1" operator="equal">
      <formula>"Towel"</formula>
    </cfRule>
    <cfRule type="cellIs" dxfId="858" priority="962" stopIfTrue="1" operator="equal">
      <formula>"Napkin Hs"</formula>
    </cfRule>
  </conditionalFormatting>
  <conditionalFormatting sqref="C62">
    <cfRule type="cellIs" dxfId="857" priority="963" stopIfTrue="1" operator="equal">
      <formula>"Towel"</formula>
    </cfRule>
  </conditionalFormatting>
  <conditionalFormatting sqref="C62">
    <cfRule type="cellIs" dxfId="856" priority="959" stopIfTrue="1" operator="equal">
      <formula>"Towel"</formula>
    </cfRule>
    <cfRule type="cellIs" dxfId="855" priority="960" stopIfTrue="1" operator="equal">
      <formula>"Napkin Hs"</formula>
    </cfRule>
  </conditionalFormatting>
  <conditionalFormatting sqref="C61">
    <cfRule type="cellIs" dxfId="854" priority="958" stopIfTrue="1" operator="equal">
      <formula>"Napkin Hs"</formula>
    </cfRule>
  </conditionalFormatting>
  <conditionalFormatting sqref="C61">
    <cfRule type="cellIs" dxfId="853" priority="957" stopIfTrue="1" operator="equal">
      <formula>"Napkin Hs"</formula>
    </cfRule>
  </conditionalFormatting>
  <conditionalFormatting sqref="C61">
    <cfRule type="cellIs" dxfId="852" priority="956" stopIfTrue="1" operator="equal">
      <formula>"Napkin Hs"</formula>
    </cfRule>
  </conditionalFormatting>
  <conditionalFormatting sqref="C61">
    <cfRule type="cellIs" dxfId="851" priority="955" stopIfTrue="1" operator="equal">
      <formula>"Napkin Hs"</formula>
    </cfRule>
  </conditionalFormatting>
  <conditionalFormatting sqref="C60">
    <cfRule type="cellIs" dxfId="850" priority="954" stopIfTrue="1" operator="equal">
      <formula>"Napkin Hs"</formula>
    </cfRule>
  </conditionalFormatting>
  <conditionalFormatting sqref="C60">
    <cfRule type="cellIs" dxfId="849" priority="953" stopIfTrue="1" operator="equal">
      <formula>"Napkin Hs"</formula>
    </cfRule>
  </conditionalFormatting>
  <conditionalFormatting sqref="C60">
    <cfRule type="cellIs" dxfId="848" priority="952" stopIfTrue="1" operator="equal">
      <formula>"Napkin Hs"</formula>
    </cfRule>
  </conditionalFormatting>
  <conditionalFormatting sqref="C60">
    <cfRule type="cellIs" dxfId="847" priority="951" stopIfTrue="1" operator="equal">
      <formula>"Napkin Hs"</formula>
    </cfRule>
  </conditionalFormatting>
  <conditionalFormatting sqref="B66:C66">
    <cfRule type="cellIs" dxfId="846" priority="949" stopIfTrue="1" operator="equal">
      <formula>"Towel"</formula>
    </cfRule>
    <cfRule type="cellIs" dxfId="845" priority="950" stopIfTrue="1" operator="equal">
      <formula>"Napkin Hs"</formula>
    </cfRule>
  </conditionalFormatting>
  <conditionalFormatting sqref="C66">
    <cfRule type="cellIs" dxfId="844" priority="948" stopIfTrue="1" operator="equal">
      <formula>"Napkin Hs"</formula>
    </cfRule>
  </conditionalFormatting>
  <conditionalFormatting sqref="C66">
    <cfRule type="cellIs" dxfId="843" priority="947" stopIfTrue="1" operator="equal">
      <formula>"Towel"</formula>
    </cfRule>
  </conditionalFormatting>
  <conditionalFormatting sqref="B66:C66">
    <cfRule type="cellIs" dxfId="842" priority="945" stopIfTrue="1" operator="equal">
      <formula>"Towel"</formula>
    </cfRule>
    <cfRule type="cellIs" dxfId="841" priority="946" stopIfTrue="1" operator="equal">
      <formula>"Napkin Hs"</formula>
    </cfRule>
  </conditionalFormatting>
  <conditionalFormatting sqref="C66">
    <cfRule type="cellIs" dxfId="840" priority="944" stopIfTrue="1" operator="equal">
      <formula>"Napkin Hs"</formula>
    </cfRule>
  </conditionalFormatting>
  <conditionalFormatting sqref="C66">
    <cfRule type="cellIs" dxfId="839" priority="941" stopIfTrue="1" operator="equal">
      <formula>"Towel"</formula>
    </cfRule>
    <cfRule type="cellIs" dxfId="838" priority="942" stopIfTrue="1" operator="equal">
      <formula>"Napkin Hs"</formula>
    </cfRule>
  </conditionalFormatting>
  <conditionalFormatting sqref="C66">
    <cfRule type="cellIs" dxfId="837" priority="943" stopIfTrue="1" operator="equal">
      <formula>"Towel"</formula>
    </cfRule>
  </conditionalFormatting>
  <conditionalFormatting sqref="C66">
    <cfRule type="cellIs" dxfId="836" priority="939" stopIfTrue="1" operator="equal">
      <formula>"Towel"</formula>
    </cfRule>
    <cfRule type="cellIs" dxfId="835" priority="940" stopIfTrue="1" operator="equal">
      <formula>"Napkin Hs"</formula>
    </cfRule>
  </conditionalFormatting>
  <conditionalFormatting sqref="C65">
    <cfRule type="cellIs" dxfId="834" priority="938" stopIfTrue="1" operator="equal">
      <formula>"Napkin Hs"</formula>
    </cfRule>
  </conditionalFormatting>
  <conditionalFormatting sqref="C65">
    <cfRule type="cellIs" dxfId="833" priority="937" stopIfTrue="1" operator="equal">
      <formula>"Napkin Hs"</formula>
    </cfRule>
  </conditionalFormatting>
  <conditionalFormatting sqref="C65">
    <cfRule type="cellIs" dxfId="832" priority="936" stopIfTrue="1" operator="equal">
      <formula>"Napkin Hs"</formula>
    </cfRule>
  </conditionalFormatting>
  <conditionalFormatting sqref="C65">
    <cfRule type="cellIs" dxfId="831" priority="935" stopIfTrue="1" operator="equal">
      <formula>"Napkin Hs"</formula>
    </cfRule>
  </conditionalFormatting>
  <conditionalFormatting sqref="B70:C70">
    <cfRule type="cellIs" dxfId="830" priority="933" stopIfTrue="1" operator="equal">
      <formula>"Towel"</formula>
    </cfRule>
    <cfRule type="cellIs" dxfId="829" priority="934" stopIfTrue="1" operator="equal">
      <formula>"Napkin Hs"</formula>
    </cfRule>
  </conditionalFormatting>
  <conditionalFormatting sqref="C70">
    <cfRule type="cellIs" dxfId="828" priority="932" stopIfTrue="1" operator="equal">
      <formula>"Napkin Hs"</formula>
    </cfRule>
  </conditionalFormatting>
  <conditionalFormatting sqref="C70">
    <cfRule type="cellIs" dxfId="827" priority="931" stopIfTrue="1" operator="equal">
      <formula>"Towel"</formula>
    </cfRule>
  </conditionalFormatting>
  <conditionalFormatting sqref="B70:C70">
    <cfRule type="cellIs" dxfId="826" priority="929" stopIfTrue="1" operator="equal">
      <formula>"Towel"</formula>
    </cfRule>
    <cfRule type="cellIs" dxfId="825" priority="930" stopIfTrue="1" operator="equal">
      <formula>"Napkin Hs"</formula>
    </cfRule>
  </conditionalFormatting>
  <conditionalFormatting sqref="C70">
    <cfRule type="cellIs" dxfId="824" priority="928" stopIfTrue="1" operator="equal">
      <formula>"Napkin Hs"</formula>
    </cfRule>
  </conditionalFormatting>
  <conditionalFormatting sqref="C70">
    <cfRule type="cellIs" dxfId="823" priority="925" stopIfTrue="1" operator="equal">
      <formula>"Towel"</formula>
    </cfRule>
    <cfRule type="cellIs" dxfId="822" priority="926" stopIfTrue="1" operator="equal">
      <formula>"Napkin Hs"</formula>
    </cfRule>
  </conditionalFormatting>
  <conditionalFormatting sqref="C70">
    <cfRule type="cellIs" dxfId="821" priority="927" stopIfTrue="1" operator="equal">
      <formula>"Towel"</formula>
    </cfRule>
  </conditionalFormatting>
  <conditionalFormatting sqref="C70">
    <cfRule type="cellIs" dxfId="820" priority="923" stopIfTrue="1" operator="equal">
      <formula>"Towel"</formula>
    </cfRule>
    <cfRule type="cellIs" dxfId="819" priority="924" stopIfTrue="1" operator="equal">
      <formula>"Napkin Hs"</formula>
    </cfRule>
  </conditionalFormatting>
  <conditionalFormatting sqref="C69">
    <cfRule type="cellIs" dxfId="818" priority="922" stopIfTrue="1" operator="equal">
      <formula>"Napkin Hs"</formula>
    </cfRule>
  </conditionalFormatting>
  <conditionalFormatting sqref="C69">
    <cfRule type="cellIs" dxfId="817" priority="921" stopIfTrue="1" operator="equal">
      <formula>"Napkin Hs"</formula>
    </cfRule>
  </conditionalFormatting>
  <conditionalFormatting sqref="C69">
    <cfRule type="cellIs" dxfId="816" priority="920" stopIfTrue="1" operator="equal">
      <formula>"Napkin Hs"</formula>
    </cfRule>
  </conditionalFormatting>
  <conditionalFormatting sqref="C69">
    <cfRule type="cellIs" dxfId="815" priority="919" stopIfTrue="1" operator="equal">
      <formula>"Napkin Hs"</formula>
    </cfRule>
  </conditionalFormatting>
  <conditionalFormatting sqref="C64">
    <cfRule type="cellIs" dxfId="814" priority="918" stopIfTrue="1" operator="equal">
      <formula>"Napkin Hs"</formula>
    </cfRule>
  </conditionalFormatting>
  <conditionalFormatting sqref="C64">
    <cfRule type="cellIs" dxfId="813" priority="917" stopIfTrue="1" operator="equal">
      <formula>"Napkin Hs"</formula>
    </cfRule>
  </conditionalFormatting>
  <conditionalFormatting sqref="C64">
    <cfRule type="cellIs" dxfId="812" priority="916" stopIfTrue="1" operator="equal">
      <formula>"Napkin Hs"</formula>
    </cfRule>
  </conditionalFormatting>
  <conditionalFormatting sqref="C64">
    <cfRule type="cellIs" dxfId="811" priority="915" stopIfTrue="1" operator="equal">
      <formula>"Napkin Hs"</formula>
    </cfRule>
  </conditionalFormatting>
  <conditionalFormatting sqref="C68">
    <cfRule type="cellIs" dxfId="810" priority="914" stopIfTrue="1" operator="equal">
      <formula>"Napkin Hs"</formula>
    </cfRule>
  </conditionalFormatting>
  <conditionalFormatting sqref="C68">
    <cfRule type="cellIs" dxfId="809" priority="913" stopIfTrue="1" operator="equal">
      <formula>"Napkin Hs"</formula>
    </cfRule>
  </conditionalFormatting>
  <conditionalFormatting sqref="C68">
    <cfRule type="cellIs" dxfId="808" priority="912" stopIfTrue="1" operator="equal">
      <formula>"Napkin Hs"</formula>
    </cfRule>
  </conditionalFormatting>
  <conditionalFormatting sqref="C68">
    <cfRule type="cellIs" dxfId="807" priority="911" stopIfTrue="1" operator="equal">
      <formula>"Napkin Hs"</formula>
    </cfRule>
  </conditionalFormatting>
  <conditionalFormatting sqref="B74:C74">
    <cfRule type="cellIs" dxfId="806" priority="909" stopIfTrue="1" operator="equal">
      <formula>"Towel"</formula>
    </cfRule>
    <cfRule type="cellIs" dxfId="805" priority="910" stopIfTrue="1" operator="equal">
      <formula>"Napkin Hs"</formula>
    </cfRule>
  </conditionalFormatting>
  <conditionalFormatting sqref="C74">
    <cfRule type="cellIs" dxfId="804" priority="908" stopIfTrue="1" operator="equal">
      <formula>"Napkin Hs"</formula>
    </cfRule>
  </conditionalFormatting>
  <conditionalFormatting sqref="C74">
    <cfRule type="cellIs" dxfId="803" priority="907" stopIfTrue="1" operator="equal">
      <formula>"Towel"</formula>
    </cfRule>
  </conditionalFormatting>
  <conditionalFormatting sqref="B74:C74">
    <cfRule type="cellIs" dxfId="802" priority="905" stopIfTrue="1" operator="equal">
      <formula>"Towel"</formula>
    </cfRule>
    <cfRule type="cellIs" dxfId="801" priority="906" stopIfTrue="1" operator="equal">
      <formula>"Napkin Hs"</formula>
    </cfRule>
  </conditionalFormatting>
  <conditionalFormatting sqref="C74">
    <cfRule type="cellIs" dxfId="800" priority="904" stopIfTrue="1" operator="equal">
      <formula>"Napkin Hs"</formula>
    </cfRule>
  </conditionalFormatting>
  <conditionalFormatting sqref="C74">
    <cfRule type="cellIs" dxfId="799" priority="901" stopIfTrue="1" operator="equal">
      <formula>"Towel"</formula>
    </cfRule>
    <cfRule type="cellIs" dxfId="798" priority="902" stopIfTrue="1" operator="equal">
      <formula>"Napkin Hs"</formula>
    </cfRule>
  </conditionalFormatting>
  <conditionalFormatting sqref="C74">
    <cfRule type="cellIs" dxfId="797" priority="903" stopIfTrue="1" operator="equal">
      <formula>"Towel"</formula>
    </cfRule>
  </conditionalFormatting>
  <conditionalFormatting sqref="C74">
    <cfRule type="cellIs" dxfId="796" priority="899" stopIfTrue="1" operator="equal">
      <formula>"Towel"</formula>
    </cfRule>
    <cfRule type="cellIs" dxfId="795" priority="900" stopIfTrue="1" operator="equal">
      <formula>"Napkin Hs"</formula>
    </cfRule>
  </conditionalFormatting>
  <conditionalFormatting sqref="C73">
    <cfRule type="cellIs" dxfId="794" priority="898" stopIfTrue="1" operator="equal">
      <formula>"Napkin Hs"</formula>
    </cfRule>
  </conditionalFormatting>
  <conditionalFormatting sqref="C73">
    <cfRule type="cellIs" dxfId="793" priority="897" stopIfTrue="1" operator="equal">
      <formula>"Napkin Hs"</formula>
    </cfRule>
  </conditionalFormatting>
  <conditionalFormatting sqref="C73">
    <cfRule type="cellIs" dxfId="792" priority="896" stopIfTrue="1" operator="equal">
      <formula>"Napkin Hs"</formula>
    </cfRule>
  </conditionalFormatting>
  <conditionalFormatting sqref="C73">
    <cfRule type="cellIs" dxfId="791" priority="895" stopIfTrue="1" operator="equal">
      <formula>"Napkin Hs"</formula>
    </cfRule>
  </conditionalFormatting>
  <conditionalFormatting sqref="C72">
    <cfRule type="cellIs" dxfId="790" priority="894" stopIfTrue="1" operator="equal">
      <formula>"Napkin Hs"</formula>
    </cfRule>
  </conditionalFormatting>
  <conditionalFormatting sqref="C72">
    <cfRule type="cellIs" dxfId="789" priority="893" stopIfTrue="1" operator="equal">
      <formula>"Napkin Hs"</formula>
    </cfRule>
  </conditionalFormatting>
  <conditionalFormatting sqref="C72">
    <cfRule type="cellIs" dxfId="788" priority="892" stopIfTrue="1" operator="equal">
      <formula>"Napkin Hs"</formula>
    </cfRule>
  </conditionalFormatting>
  <conditionalFormatting sqref="C72">
    <cfRule type="cellIs" dxfId="787" priority="891" stopIfTrue="1" operator="equal">
      <formula>"Napkin Hs"</formula>
    </cfRule>
  </conditionalFormatting>
  <conditionalFormatting sqref="B78:C78">
    <cfRule type="cellIs" dxfId="786" priority="889" stopIfTrue="1" operator="equal">
      <formula>"Towel"</formula>
    </cfRule>
    <cfRule type="cellIs" dxfId="785" priority="890" stopIfTrue="1" operator="equal">
      <formula>"Napkin Hs"</formula>
    </cfRule>
  </conditionalFormatting>
  <conditionalFormatting sqref="C78">
    <cfRule type="cellIs" dxfId="784" priority="888" stopIfTrue="1" operator="equal">
      <formula>"Napkin Hs"</formula>
    </cfRule>
  </conditionalFormatting>
  <conditionalFormatting sqref="C78">
    <cfRule type="cellIs" dxfId="783" priority="887" stopIfTrue="1" operator="equal">
      <formula>"Towel"</formula>
    </cfRule>
  </conditionalFormatting>
  <conditionalFormatting sqref="B78:C78">
    <cfRule type="cellIs" dxfId="782" priority="885" stopIfTrue="1" operator="equal">
      <formula>"Towel"</formula>
    </cfRule>
    <cfRule type="cellIs" dxfId="781" priority="886" stopIfTrue="1" operator="equal">
      <formula>"Napkin Hs"</formula>
    </cfRule>
  </conditionalFormatting>
  <conditionalFormatting sqref="C78">
    <cfRule type="cellIs" dxfId="780" priority="884" stopIfTrue="1" operator="equal">
      <formula>"Napkin Hs"</formula>
    </cfRule>
  </conditionalFormatting>
  <conditionalFormatting sqref="C78">
    <cfRule type="cellIs" dxfId="779" priority="881" stopIfTrue="1" operator="equal">
      <formula>"Towel"</formula>
    </cfRule>
    <cfRule type="cellIs" dxfId="778" priority="882" stopIfTrue="1" operator="equal">
      <formula>"Napkin Hs"</formula>
    </cfRule>
  </conditionalFormatting>
  <conditionalFormatting sqref="C78">
    <cfRule type="cellIs" dxfId="777" priority="883" stopIfTrue="1" operator="equal">
      <formula>"Towel"</formula>
    </cfRule>
  </conditionalFormatting>
  <conditionalFormatting sqref="C78">
    <cfRule type="cellIs" dxfId="776" priority="879" stopIfTrue="1" operator="equal">
      <formula>"Towel"</formula>
    </cfRule>
    <cfRule type="cellIs" dxfId="775" priority="880" stopIfTrue="1" operator="equal">
      <formula>"Napkin Hs"</formula>
    </cfRule>
  </conditionalFormatting>
  <conditionalFormatting sqref="C76:C77">
    <cfRule type="cellIs" dxfId="774" priority="878" stopIfTrue="1" operator="equal">
      <formula>"Napkin Hs"</formula>
    </cfRule>
  </conditionalFormatting>
  <conditionalFormatting sqref="C76:C77">
    <cfRule type="cellIs" dxfId="773" priority="877" stopIfTrue="1" operator="equal">
      <formula>"Napkin Hs"</formula>
    </cfRule>
  </conditionalFormatting>
  <conditionalFormatting sqref="C76:C77">
    <cfRule type="cellIs" dxfId="772" priority="876" stopIfTrue="1" operator="equal">
      <formula>"Napkin Hs"</formula>
    </cfRule>
  </conditionalFormatting>
  <conditionalFormatting sqref="C76:C77">
    <cfRule type="cellIs" dxfId="771" priority="875" stopIfTrue="1" operator="equal">
      <formula>"Napkin Hs"</formula>
    </cfRule>
  </conditionalFormatting>
  <conditionalFormatting sqref="B84">
    <cfRule type="cellIs" dxfId="770" priority="871" stopIfTrue="1" operator="equal">
      <formula>"Towel"</formula>
    </cfRule>
    <cfRule type="cellIs" dxfId="769" priority="872" stopIfTrue="1" operator="equal">
      <formula>"Napkin Hs"</formula>
    </cfRule>
  </conditionalFormatting>
  <conditionalFormatting sqref="B84">
    <cfRule type="cellIs" dxfId="768" priority="873" stopIfTrue="1" operator="equal">
      <formula>"Towel"</formula>
    </cfRule>
    <cfRule type="cellIs" dxfId="767" priority="874" stopIfTrue="1" operator="equal">
      <formula>"Napkin Hs"</formula>
    </cfRule>
  </conditionalFormatting>
  <conditionalFormatting sqref="B91:C91">
    <cfRule type="cellIs" dxfId="766" priority="869" stopIfTrue="1" operator="equal">
      <formula>"Towel"</formula>
    </cfRule>
    <cfRule type="cellIs" dxfId="765" priority="870" stopIfTrue="1" operator="equal">
      <formula>"Napkin Hs"</formula>
    </cfRule>
  </conditionalFormatting>
  <conditionalFormatting sqref="C91">
    <cfRule type="cellIs" dxfId="764" priority="868" stopIfTrue="1" operator="equal">
      <formula>"Napkin Hs"</formula>
    </cfRule>
  </conditionalFormatting>
  <conditionalFormatting sqref="C91">
    <cfRule type="cellIs" dxfId="763" priority="867" stopIfTrue="1" operator="equal">
      <formula>"Towel"</formula>
    </cfRule>
  </conditionalFormatting>
  <conditionalFormatting sqref="C91">
    <cfRule type="cellIs" dxfId="762" priority="865" stopIfTrue="1" operator="equal">
      <formula>"Towel"</formula>
    </cfRule>
    <cfRule type="cellIs" dxfId="761" priority="866" stopIfTrue="1" operator="equal">
      <formula>"Napkin Hs"</formula>
    </cfRule>
  </conditionalFormatting>
  <conditionalFormatting sqref="C88">
    <cfRule type="cellIs" dxfId="760" priority="859" stopIfTrue="1" operator="equal">
      <formula>"Towel"</formula>
    </cfRule>
    <cfRule type="cellIs" dxfId="759" priority="860" stopIfTrue="1" operator="equal">
      <formula>"Napkin Hs"</formula>
    </cfRule>
  </conditionalFormatting>
  <conditionalFormatting sqref="C88">
    <cfRule type="cellIs" dxfId="758" priority="853" stopIfTrue="1" operator="equal">
      <formula>"Towel"</formula>
    </cfRule>
    <cfRule type="cellIs" dxfId="757" priority="854" stopIfTrue="1" operator="equal">
      <formula>"Napkin Hs"</formula>
    </cfRule>
  </conditionalFormatting>
  <conditionalFormatting sqref="C88">
    <cfRule type="cellIs" dxfId="756" priority="863" stopIfTrue="1" operator="equal">
      <formula>"Towel"</formula>
    </cfRule>
    <cfRule type="cellIs" dxfId="755" priority="864" stopIfTrue="1" operator="equal">
      <formula>"Napkin Hs"</formula>
    </cfRule>
  </conditionalFormatting>
  <conditionalFormatting sqref="C88">
    <cfRule type="cellIs" dxfId="754" priority="862" stopIfTrue="1" operator="equal">
      <formula>"Napkin Hs"</formula>
    </cfRule>
  </conditionalFormatting>
  <conditionalFormatting sqref="C88">
    <cfRule type="cellIs" dxfId="753" priority="861" stopIfTrue="1" operator="equal">
      <formula>"Towel"</formula>
    </cfRule>
  </conditionalFormatting>
  <conditionalFormatting sqref="C88">
    <cfRule type="cellIs" dxfId="752" priority="857" stopIfTrue="1" operator="equal">
      <formula>"Towel"</formula>
    </cfRule>
    <cfRule type="cellIs" dxfId="751" priority="858" stopIfTrue="1" operator="equal">
      <formula>"Napkin Hs"</formula>
    </cfRule>
  </conditionalFormatting>
  <conditionalFormatting sqref="C88">
    <cfRule type="cellIs" dxfId="750" priority="856" stopIfTrue="1" operator="equal">
      <formula>"Napkin Hs"</formula>
    </cfRule>
  </conditionalFormatting>
  <conditionalFormatting sqref="C88">
    <cfRule type="cellIs" dxfId="749" priority="855" stopIfTrue="1" operator="equal">
      <formula>"Towel"</formula>
    </cfRule>
  </conditionalFormatting>
  <conditionalFormatting sqref="B89:C89">
    <cfRule type="cellIs" dxfId="748" priority="851" stopIfTrue="1" operator="equal">
      <formula>"Towel"</formula>
    </cfRule>
    <cfRule type="cellIs" dxfId="747" priority="852" stopIfTrue="1" operator="equal">
      <formula>"Napkin Hs"</formula>
    </cfRule>
  </conditionalFormatting>
  <conditionalFormatting sqref="C89">
    <cfRule type="cellIs" dxfId="746" priority="849" stopIfTrue="1" operator="equal">
      <formula>"Towel"</formula>
    </cfRule>
    <cfRule type="cellIs" dxfId="745" priority="850" stopIfTrue="1" operator="equal">
      <formula>"Napkin Hs"</formula>
    </cfRule>
  </conditionalFormatting>
  <conditionalFormatting sqref="C89">
    <cfRule type="cellIs" dxfId="744" priority="847" stopIfTrue="1" operator="equal">
      <formula>"Towel"</formula>
    </cfRule>
    <cfRule type="cellIs" dxfId="743" priority="848" stopIfTrue="1" operator="equal">
      <formula>"Napkin Hs"</formula>
    </cfRule>
  </conditionalFormatting>
  <conditionalFormatting sqref="C89">
    <cfRule type="cellIs" dxfId="742" priority="841" stopIfTrue="1" operator="equal">
      <formula>"Towel"</formula>
    </cfRule>
    <cfRule type="cellIs" dxfId="741" priority="842" stopIfTrue="1" operator="equal">
      <formula>"Napkin Hs"</formula>
    </cfRule>
  </conditionalFormatting>
  <conditionalFormatting sqref="B89">
    <cfRule type="cellIs" dxfId="740" priority="831" stopIfTrue="1" operator="equal">
      <formula>"Towel"</formula>
    </cfRule>
    <cfRule type="cellIs" dxfId="739" priority="832" stopIfTrue="1" operator="equal">
      <formula>"Napkin Hs"</formula>
    </cfRule>
  </conditionalFormatting>
  <conditionalFormatting sqref="C89">
    <cfRule type="cellIs" dxfId="738" priority="835" stopIfTrue="1" operator="equal">
      <formula>"Towel"</formula>
    </cfRule>
    <cfRule type="cellIs" dxfId="737" priority="836" stopIfTrue="1" operator="equal">
      <formula>"Napkin Hs"</formula>
    </cfRule>
  </conditionalFormatting>
  <conditionalFormatting sqref="C89">
    <cfRule type="cellIs" dxfId="736" priority="845" stopIfTrue="1" operator="equal">
      <formula>"Towel"</formula>
    </cfRule>
    <cfRule type="cellIs" dxfId="735" priority="846" stopIfTrue="1" operator="equal">
      <formula>"Napkin Hs"</formula>
    </cfRule>
  </conditionalFormatting>
  <conditionalFormatting sqref="B89">
    <cfRule type="cellIs" dxfId="734" priority="833" stopIfTrue="1" operator="equal">
      <formula>"Towel"</formula>
    </cfRule>
    <cfRule type="cellIs" dxfId="733" priority="834" stopIfTrue="1" operator="equal">
      <formula>"Napkin Hs"</formula>
    </cfRule>
  </conditionalFormatting>
  <conditionalFormatting sqref="C89">
    <cfRule type="cellIs" dxfId="732" priority="844" stopIfTrue="1" operator="equal">
      <formula>"Napkin Hs"</formula>
    </cfRule>
  </conditionalFormatting>
  <conditionalFormatting sqref="C89">
    <cfRule type="cellIs" dxfId="731" priority="843" stopIfTrue="1" operator="equal">
      <formula>"Towel"</formula>
    </cfRule>
  </conditionalFormatting>
  <conditionalFormatting sqref="C89">
    <cfRule type="cellIs" dxfId="730" priority="839" stopIfTrue="1" operator="equal">
      <formula>"Towel"</formula>
    </cfRule>
    <cfRule type="cellIs" dxfId="729" priority="840" stopIfTrue="1" operator="equal">
      <formula>"Napkin Hs"</formula>
    </cfRule>
  </conditionalFormatting>
  <conditionalFormatting sqref="C89">
    <cfRule type="cellIs" dxfId="728" priority="838" stopIfTrue="1" operator="equal">
      <formula>"Napkin Hs"</formula>
    </cfRule>
  </conditionalFormatting>
  <conditionalFormatting sqref="C89">
    <cfRule type="cellIs" dxfId="727" priority="837" stopIfTrue="1" operator="equal">
      <formula>"Towel"</formula>
    </cfRule>
  </conditionalFormatting>
  <conditionalFormatting sqref="B90:C90">
    <cfRule type="cellIs" dxfId="726" priority="829" stopIfTrue="1" operator="equal">
      <formula>"Towel"</formula>
    </cfRule>
    <cfRule type="cellIs" dxfId="725" priority="830" stopIfTrue="1" operator="equal">
      <formula>"Napkin Hs"</formula>
    </cfRule>
  </conditionalFormatting>
  <conditionalFormatting sqref="C90">
    <cfRule type="cellIs" dxfId="724" priority="827" stopIfTrue="1" operator="equal">
      <formula>"Towel"</formula>
    </cfRule>
    <cfRule type="cellIs" dxfId="723" priority="828" stopIfTrue="1" operator="equal">
      <formula>"Napkin Hs"</formula>
    </cfRule>
  </conditionalFormatting>
  <conditionalFormatting sqref="C90">
    <cfRule type="cellIs" dxfId="722" priority="825" stopIfTrue="1" operator="equal">
      <formula>"Towel"</formula>
    </cfRule>
    <cfRule type="cellIs" dxfId="721" priority="826" stopIfTrue="1" operator="equal">
      <formula>"Napkin Hs"</formula>
    </cfRule>
  </conditionalFormatting>
  <conditionalFormatting sqref="C90">
    <cfRule type="cellIs" dxfId="720" priority="819" stopIfTrue="1" operator="equal">
      <formula>"Towel"</formula>
    </cfRule>
    <cfRule type="cellIs" dxfId="719" priority="820" stopIfTrue="1" operator="equal">
      <formula>"Napkin Hs"</formula>
    </cfRule>
  </conditionalFormatting>
  <conditionalFormatting sqref="B90">
    <cfRule type="cellIs" dxfId="718" priority="809" stopIfTrue="1" operator="equal">
      <formula>"Towel"</formula>
    </cfRule>
    <cfRule type="cellIs" dxfId="717" priority="810" stopIfTrue="1" operator="equal">
      <formula>"Napkin Hs"</formula>
    </cfRule>
  </conditionalFormatting>
  <conditionalFormatting sqref="C90">
    <cfRule type="cellIs" dxfId="716" priority="813" stopIfTrue="1" operator="equal">
      <formula>"Towel"</formula>
    </cfRule>
    <cfRule type="cellIs" dxfId="715" priority="814" stopIfTrue="1" operator="equal">
      <formula>"Napkin Hs"</formula>
    </cfRule>
  </conditionalFormatting>
  <conditionalFormatting sqref="C90">
    <cfRule type="cellIs" dxfId="714" priority="823" stopIfTrue="1" operator="equal">
      <formula>"Towel"</formula>
    </cfRule>
    <cfRule type="cellIs" dxfId="713" priority="824" stopIfTrue="1" operator="equal">
      <formula>"Napkin Hs"</formula>
    </cfRule>
  </conditionalFormatting>
  <conditionalFormatting sqref="B90">
    <cfRule type="cellIs" dxfId="712" priority="811" stopIfTrue="1" operator="equal">
      <formula>"Towel"</formula>
    </cfRule>
    <cfRule type="cellIs" dxfId="711" priority="812" stopIfTrue="1" operator="equal">
      <formula>"Napkin Hs"</formula>
    </cfRule>
  </conditionalFormatting>
  <conditionalFormatting sqref="C90">
    <cfRule type="cellIs" dxfId="710" priority="822" stopIfTrue="1" operator="equal">
      <formula>"Napkin Hs"</formula>
    </cfRule>
  </conditionalFormatting>
  <conditionalFormatting sqref="C90">
    <cfRule type="cellIs" dxfId="709" priority="821" stopIfTrue="1" operator="equal">
      <formula>"Towel"</formula>
    </cfRule>
  </conditionalFormatting>
  <conditionalFormatting sqref="C90">
    <cfRule type="cellIs" dxfId="708" priority="817" stopIfTrue="1" operator="equal">
      <formula>"Towel"</formula>
    </cfRule>
    <cfRule type="cellIs" dxfId="707" priority="818" stopIfTrue="1" operator="equal">
      <formula>"Napkin Hs"</formula>
    </cfRule>
  </conditionalFormatting>
  <conditionalFormatting sqref="C90">
    <cfRule type="cellIs" dxfId="706" priority="816" stopIfTrue="1" operator="equal">
      <formula>"Napkin Hs"</formula>
    </cfRule>
  </conditionalFormatting>
  <conditionalFormatting sqref="C90">
    <cfRule type="cellIs" dxfId="705" priority="815" stopIfTrue="1" operator="equal">
      <formula>"Towel"</formula>
    </cfRule>
  </conditionalFormatting>
  <conditionalFormatting sqref="B88">
    <cfRule type="cellIs" dxfId="704" priority="805" stopIfTrue="1" operator="equal">
      <formula>"Towel"</formula>
    </cfRule>
    <cfRule type="cellIs" dxfId="703" priority="806" stopIfTrue="1" operator="equal">
      <formula>"Napkin Hs"</formula>
    </cfRule>
  </conditionalFormatting>
  <conditionalFormatting sqref="B88">
    <cfRule type="cellIs" dxfId="702" priority="807" stopIfTrue="1" operator="equal">
      <formula>"Towel"</formula>
    </cfRule>
    <cfRule type="cellIs" dxfId="701" priority="808" stopIfTrue="1" operator="equal">
      <formula>"Napkin Hs"</formula>
    </cfRule>
  </conditionalFormatting>
  <conditionalFormatting sqref="B95:C95">
    <cfRule type="cellIs" dxfId="700" priority="803" stopIfTrue="1" operator="equal">
      <formula>"Towel"</formula>
    </cfRule>
    <cfRule type="cellIs" dxfId="699" priority="804" stopIfTrue="1" operator="equal">
      <formula>"Napkin Hs"</formula>
    </cfRule>
  </conditionalFormatting>
  <conditionalFormatting sqref="C95">
    <cfRule type="cellIs" dxfId="698" priority="802" stopIfTrue="1" operator="equal">
      <formula>"Napkin Hs"</formula>
    </cfRule>
  </conditionalFormatting>
  <conditionalFormatting sqref="C95">
    <cfRule type="cellIs" dxfId="697" priority="801" stopIfTrue="1" operator="equal">
      <formula>"Towel"</formula>
    </cfRule>
  </conditionalFormatting>
  <conditionalFormatting sqref="C95">
    <cfRule type="cellIs" dxfId="696" priority="799" stopIfTrue="1" operator="equal">
      <formula>"Towel"</formula>
    </cfRule>
    <cfRule type="cellIs" dxfId="695" priority="800" stopIfTrue="1" operator="equal">
      <formula>"Napkin Hs"</formula>
    </cfRule>
  </conditionalFormatting>
  <conditionalFormatting sqref="C92">
    <cfRule type="cellIs" dxfId="694" priority="793" stopIfTrue="1" operator="equal">
      <formula>"Towel"</formula>
    </cfRule>
    <cfRule type="cellIs" dxfId="693" priority="794" stopIfTrue="1" operator="equal">
      <formula>"Napkin Hs"</formula>
    </cfRule>
  </conditionalFormatting>
  <conditionalFormatting sqref="C92">
    <cfRule type="cellIs" dxfId="692" priority="787" stopIfTrue="1" operator="equal">
      <formula>"Towel"</formula>
    </cfRule>
    <cfRule type="cellIs" dxfId="691" priority="788" stopIfTrue="1" operator="equal">
      <formula>"Napkin Hs"</formula>
    </cfRule>
  </conditionalFormatting>
  <conditionalFormatting sqref="C92">
    <cfRule type="cellIs" dxfId="690" priority="797" stopIfTrue="1" operator="equal">
      <formula>"Towel"</formula>
    </cfRule>
    <cfRule type="cellIs" dxfId="689" priority="798" stopIfTrue="1" operator="equal">
      <formula>"Napkin Hs"</formula>
    </cfRule>
  </conditionalFormatting>
  <conditionalFormatting sqref="C92">
    <cfRule type="cellIs" dxfId="688" priority="796" stopIfTrue="1" operator="equal">
      <formula>"Napkin Hs"</formula>
    </cfRule>
  </conditionalFormatting>
  <conditionalFormatting sqref="C92">
    <cfRule type="cellIs" dxfId="687" priority="795" stopIfTrue="1" operator="equal">
      <formula>"Towel"</formula>
    </cfRule>
  </conditionalFormatting>
  <conditionalFormatting sqref="C92">
    <cfRule type="cellIs" dxfId="686" priority="791" stopIfTrue="1" operator="equal">
      <formula>"Towel"</formula>
    </cfRule>
    <cfRule type="cellIs" dxfId="685" priority="792" stopIfTrue="1" operator="equal">
      <formula>"Napkin Hs"</formula>
    </cfRule>
  </conditionalFormatting>
  <conditionalFormatting sqref="C92">
    <cfRule type="cellIs" dxfId="684" priority="790" stopIfTrue="1" operator="equal">
      <formula>"Napkin Hs"</formula>
    </cfRule>
  </conditionalFormatting>
  <conditionalFormatting sqref="C92">
    <cfRule type="cellIs" dxfId="683" priority="789" stopIfTrue="1" operator="equal">
      <formula>"Towel"</formula>
    </cfRule>
  </conditionalFormatting>
  <conditionalFormatting sqref="B93:C93">
    <cfRule type="cellIs" dxfId="682" priority="785" stopIfTrue="1" operator="equal">
      <formula>"Towel"</formula>
    </cfRule>
    <cfRule type="cellIs" dxfId="681" priority="786" stopIfTrue="1" operator="equal">
      <formula>"Napkin Hs"</formula>
    </cfRule>
  </conditionalFormatting>
  <conditionalFormatting sqref="C93">
    <cfRule type="cellIs" dxfId="680" priority="783" stopIfTrue="1" operator="equal">
      <formula>"Towel"</formula>
    </cfRule>
    <cfRule type="cellIs" dxfId="679" priority="784" stopIfTrue="1" operator="equal">
      <formula>"Napkin Hs"</formula>
    </cfRule>
  </conditionalFormatting>
  <conditionalFormatting sqref="C93">
    <cfRule type="cellIs" dxfId="678" priority="781" stopIfTrue="1" operator="equal">
      <formula>"Towel"</formula>
    </cfRule>
    <cfRule type="cellIs" dxfId="677" priority="782" stopIfTrue="1" operator="equal">
      <formula>"Napkin Hs"</formula>
    </cfRule>
  </conditionalFormatting>
  <conditionalFormatting sqref="C93">
    <cfRule type="cellIs" dxfId="676" priority="775" stopIfTrue="1" operator="equal">
      <formula>"Towel"</formula>
    </cfRule>
    <cfRule type="cellIs" dxfId="675" priority="776" stopIfTrue="1" operator="equal">
      <formula>"Napkin Hs"</formula>
    </cfRule>
  </conditionalFormatting>
  <conditionalFormatting sqref="B93">
    <cfRule type="cellIs" dxfId="674" priority="765" stopIfTrue="1" operator="equal">
      <formula>"Towel"</formula>
    </cfRule>
    <cfRule type="cellIs" dxfId="673" priority="766" stopIfTrue="1" operator="equal">
      <formula>"Napkin Hs"</formula>
    </cfRule>
  </conditionalFormatting>
  <conditionalFormatting sqref="C93">
    <cfRule type="cellIs" dxfId="672" priority="769" stopIfTrue="1" operator="equal">
      <formula>"Towel"</formula>
    </cfRule>
    <cfRule type="cellIs" dxfId="671" priority="770" stopIfTrue="1" operator="equal">
      <formula>"Napkin Hs"</formula>
    </cfRule>
  </conditionalFormatting>
  <conditionalFormatting sqref="C93">
    <cfRule type="cellIs" dxfId="670" priority="779" stopIfTrue="1" operator="equal">
      <formula>"Towel"</formula>
    </cfRule>
    <cfRule type="cellIs" dxfId="669" priority="780" stopIfTrue="1" operator="equal">
      <formula>"Napkin Hs"</formula>
    </cfRule>
  </conditionalFormatting>
  <conditionalFormatting sqref="B93">
    <cfRule type="cellIs" dxfId="668" priority="767" stopIfTrue="1" operator="equal">
      <formula>"Towel"</formula>
    </cfRule>
    <cfRule type="cellIs" dxfId="667" priority="768" stopIfTrue="1" operator="equal">
      <formula>"Napkin Hs"</formula>
    </cfRule>
  </conditionalFormatting>
  <conditionalFormatting sqref="C93">
    <cfRule type="cellIs" dxfId="666" priority="778" stopIfTrue="1" operator="equal">
      <formula>"Napkin Hs"</formula>
    </cfRule>
  </conditionalFormatting>
  <conditionalFormatting sqref="C93">
    <cfRule type="cellIs" dxfId="665" priority="777" stopIfTrue="1" operator="equal">
      <formula>"Towel"</formula>
    </cfRule>
  </conditionalFormatting>
  <conditionalFormatting sqref="C93">
    <cfRule type="cellIs" dxfId="664" priority="773" stopIfTrue="1" operator="equal">
      <formula>"Towel"</formula>
    </cfRule>
    <cfRule type="cellIs" dxfId="663" priority="774" stopIfTrue="1" operator="equal">
      <formula>"Napkin Hs"</formula>
    </cfRule>
  </conditionalFormatting>
  <conditionalFormatting sqref="C93">
    <cfRule type="cellIs" dxfId="662" priority="772" stopIfTrue="1" operator="equal">
      <formula>"Napkin Hs"</formula>
    </cfRule>
  </conditionalFormatting>
  <conditionalFormatting sqref="C93">
    <cfRule type="cellIs" dxfId="661" priority="771" stopIfTrue="1" operator="equal">
      <formula>"Towel"</formula>
    </cfRule>
  </conditionalFormatting>
  <conditionalFormatting sqref="B94:C94">
    <cfRule type="cellIs" dxfId="660" priority="763" stopIfTrue="1" operator="equal">
      <formula>"Towel"</formula>
    </cfRule>
    <cfRule type="cellIs" dxfId="659" priority="764" stopIfTrue="1" operator="equal">
      <formula>"Napkin Hs"</formula>
    </cfRule>
  </conditionalFormatting>
  <conditionalFormatting sqref="C94">
    <cfRule type="cellIs" dxfId="658" priority="761" stopIfTrue="1" operator="equal">
      <formula>"Towel"</formula>
    </cfRule>
    <cfRule type="cellIs" dxfId="657" priority="762" stopIfTrue="1" operator="equal">
      <formula>"Napkin Hs"</formula>
    </cfRule>
  </conditionalFormatting>
  <conditionalFormatting sqref="C94">
    <cfRule type="cellIs" dxfId="656" priority="759" stopIfTrue="1" operator="equal">
      <formula>"Towel"</formula>
    </cfRule>
    <cfRule type="cellIs" dxfId="655" priority="760" stopIfTrue="1" operator="equal">
      <formula>"Napkin Hs"</formula>
    </cfRule>
  </conditionalFormatting>
  <conditionalFormatting sqref="C94">
    <cfRule type="cellIs" dxfId="654" priority="753" stopIfTrue="1" operator="equal">
      <formula>"Towel"</formula>
    </cfRule>
    <cfRule type="cellIs" dxfId="653" priority="754" stopIfTrue="1" operator="equal">
      <formula>"Napkin Hs"</formula>
    </cfRule>
  </conditionalFormatting>
  <conditionalFormatting sqref="B94">
    <cfRule type="cellIs" dxfId="652" priority="743" stopIfTrue="1" operator="equal">
      <formula>"Towel"</formula>
    </cfRule>
    <cfRule type="cellIs" dxfId="651" priority="744" stopIfTrue="1" operator="equal">
      <formula>"Napkin Hs"</formula>
    </cfRule>
  </conditionalFormatting>
  <conditionalFormatting sqref="C94">
    <cfRule type="cellIs" dxfId="650" priority="747" stopIfTrue="1" operator="equal">
      <formula>"Towel"</formula>
    </cfRule>
    <cfRule type="cellIs" dxfId="649" priority="748" stopIfTrue="1" operator="equal">
      <formula>"Napkin Hs"</formula>
    </cfRule>
  </conditionalFormatting>
  <conditionalFormatting sqref="C94">
    <cfRule type="cellIs" dxfId="648" priority="757" stopIfTrue="1" operator="equal">
      <formula>"Towel"</formula>
    </cfRule>
    <cfRule type="cellIs" dxfId="647" priority="758" stopIfTrue="1" operator="equal">
      <formula>"Napkin Hs"</formula>
    </cfRule>
  </conditionalFormatting>
  <conditionalFormatting sqref="B94">
    <cfRule type="cellIs" dxfId="646" priority="745" stopIfTrue="1" operator="equal">
      <formula>"Towel"</formula>
    </cfRule>
    <cfRule type="cellIs" dxfId="645" priority="746" stopIfTrue="1" operator="equal">
      <formula>"Napkin Hs"</formula>
    </cfRule>
  </conditionalFormatting>
  <conditionalFormatting sqref="C94">
    <cfRule type="cellIs" dxfId="644" priority="756" stopIfTrue="1" operator="equal">
      <formula>"Napkin Hs"</formula>
    </cfRule>
  </conditionalFormatting>
  <conditionalFormatting sqref="C94">
    <cfRule type="cellIs" dxfId="643" priority="755" stopIfTrue="1" operator="equal">
      <formula>"Towel"</formula>
    </cfRule>
  </conditionalFormatting>
  <conditionalFormatting sqref="C94">
    <cfRule type="cellIs" dxfId="642" priority="751" stopIfTrue="1" operator="equal">
      <formula>"Towel"</formula>
    </cfRule>
    <cfRule type="cellIs" dxfId="641" priority="752" stopIfTrue="1" operator="equal">
      <formula>"Napkin Hs"</formula>
    </cfRule>
  </conditionalFormatting>
  <conditionalFormatting sqref="C94">
    <cfRule type="cellIs" dxfId="640" priority="750" stopIfTrue="1" operator="equal">
      <formula>"Napkin Hs"</formula>
    </cfRule>
  </conditionalFormatting>
  <conditionalFormatting sqref="C94">
    <cfRule type="cellIs" dxfId="639" priority="749" stopIfTrue="1" operator="equal">
      <formula>"Towel"</formula>
    </cfRule>
  </conditionalFormatting>
  <conditionalFormatting sqref="B92">
    <cfRule type="cellIs" dxfId="638" priority="739" stopIfTrue="1" operator="equal">
      <formula>"Towel"</formula>
    </cfRule>
    <cfRule type="cellIs" dxfId="637" priority="740" stopIfTrue="1" operator="equal">
      <formula>"Napkin Hs"</formula>
    </cfRule>
  </conditionalFormatting>
  <conditionalFormatting sqref="B92">
    <cfRule type="cellIs" dxfId="636" priority="741" stopIfTrue="1" operator="equal">
      <formula>"Towel"</formula>
    </cfRule>
    <cfRule type="cellIs" dxfId="635" priority="742" stopIfTrue="1" operator="equal">
      <formula>"Napkin Hs"</formula>
    </cfRule>
  </conditionalFormatting>
  <conditionalFormatting sqref="B99:C99">
    <cfRule type="cellIs" dxfId="634" priority="737" stopIfTrue="1" operator="equal">
      <formula>"Towel"</formula>
    </cfRule>
    <cfRule type="cellIs" dxfId="633" priority="738" stopIfTrue="1" operator="equal">
      <formula>"Napkin Hs"</formula>
    </cfRule>
  </conditionalFormatting>
  <conditionalFormatting sqref="C99">
    <cfRule type="cellIs" dxfId="632" priority="736" stopIfTrue="1" operator="equal">
      <formula>"Napkin Hs"</formula>
    </cfRule>
  </conditionalFormatting>
  <conditionalFormatting sqref="C99">
    <cfRule type="cellIs" dxfId="631" priority="735" stopIfTrue="1" operator="equal">
      <formula>"Towel"</formula>
    </cfRule>
  </conditionalFormatting>
  <conditionalFormatting sqref="C99">
    <cfRule type="cellIs" dxfId="630" priority="733" stopIfTrue="1" operator="equal">
      <formula>"Towel"</formula>
    </cfRule>
    <cfRule type="cellIs" dxfId="629" priority="734" stopIfTrue="1" operator="equal">
      <formula>"Napkin Hs"</formula>
    </cfRule>
  </conditionalFormatting>
  <conditionalFormatting sqref="C96:C97">
    <cfRule type="cellIs" dxfId="628" priority="727" stopIfTrue="1" operator="equal">
      <formula>"Towel"</formula>
    </cfRule>
    <cfRule type="cellIs" dxfId="627" priority="728" stopIfTrue="1" operator="equal">
      <formula>"Napkin Hs"</formula>
    </cfRule>
  </conditionalFormatting>
  <conditionalFormatting sqref="C96:C97">
    <cfRule type="cellIs" dxfId="626" priority="721" stopIfTrue="1" operator="equal">
      <formula>"Towel"</formula>
    </cfRule>
    <cfRule type="cellIs" dxfId="625" priority="722" stopIfTrue="1" operator="equal">
      <formula>"Napkin Hs"</formula>
    </cfRule>
  </conditionalFormatting>
  <conditionalFormatting sqref="C96:C97">
    <cfRule type="cellIs" dxfId="624" priority="731" stopIfTrue="1" operator="equal">
      <formula>"Towel"</formula>
    </cfRule>
    <cfRule type="cellIs" dxfId="623" priority="732" stopIfTrue="1" operator="equal">
      <formula>"Napkin Hs"</formula>
    </cfRule>
  </conditionalFormatting>
  <conditionalFormatting sqref="C96:C97">
    <cfRule type="cellIs" dxfId="622" priority="730" stopIfTrue="1" operator="equal">
      <formula>"Napkin Hs"</formula>
    </cfRule>
  </conditionalFormatting>
  <conditionalFormatting sqref="C96:C97">
    <cfRule type="cellIs" dxfId="621" priority="729" stopIfTrue="1" operator="equal">
      <formula>"Towel"</formula>
    </cfRule>
  </conditionalFormatting>
  <conditionalFormatting sqref="C96:C97">
    <cfRule type="cellIs" dxfId="620" priority="725" stopIfTrue="1" operator="equal">
      <formula>"Towel"</formula>
    </cfRule>
    <cfRule type="cellIs" dxfId="619" priority="726" stopIfTrue="1" operator="equal">
      <formula>"Napkin Hs"</formula>
    </cfRule>
  </conditionalFormatting>
  <conditionalFormatting sqref="C96:C97">
    <cfRule type="cellIs" dxfId="618" priority="724" stopIfTrue="1" operator="equal">
      <formula>"Napkin Hs"</formula>
    </cfRule>
  </conditionalFormatting>
  <conditionalFormatting sqref="C96:C97">
    <cfRule type="cellIs" dxfId="617" priority="723" stopIfTrue="1" operator="equal">
      <formula>"Towel"</formula>
    </cfRule>
  </conditionalFormatting>
  <conditionalFormatting sqref="B98:C98">
    <cfRule type="cellIs" dxfId="616" priority="719" stopIfTrue="1" operator="equal">
      <formula>"Towel"</formula>
    </cfRule>
    <cfRule type="cellIs" dxfId="615" priority="720" stopIfTrue="1" operator="equal">
      <formula>"Napkin Hs"</formula>
    </cfRule>
  </conditionalFormatting>
  <conditionalFormatting sqref="C98">
    <cfRule type="cellIs" dxfId="614" priority="717" stopIfTrue="1" operator="equal">
      <formula>"Towel"</formula>
    </cfRule>
    <cfRule type="cellIs" dxfId="613" priority="718" stopIfTrue="1" operator="equal">
      <formula>"Napkin Hs"</formula>
    </cfRule>
  </conditionalFormatting>
  <conditionalFormatting sqref="C98">
    <cfRule type="cellIs" dxfId="612" priority="715" stopIfTrue="1" operator="equal">
      <formula>"Towel"</formula>
    </cfRule>
    <cfRule type="cellIs" dxfId="611" priority="716" stopIfTrue="1" operator="equal">
      <formula>"Napkin Hs"</formula>
    </cfRule>
  </conditionalFormatting>
  <conditionalFormatting sqref="C98">
    <cfRule type="cellIs" dxfId="610" priority="709" stopIfTrue="1" operator="equal">
      <formula>"Towel"</formula>
    </cfRule>
    <cfRule type="cellIs" dxfId="609" priority="710" stopIfTrue="1" operator="equal">
      <formula>"Napkin Hs"</formula>
    </cfRule>
  </conditionalFormatting>
  <conditionalFormatting sqref="B98">
    <cfRule type="cellIs" dxfId="608" priority="699" stopIfTrue="1" operator="equal">
      <formula>"Towel"</formula>
    </cfRule>
    <cfRule type="cellIs" dxfId="607" priority="700" stopIfTrue="1" operator="equal">
      <formula>"Napkin Hs"</formula>
    </cfRule>
  </conditionalFormatting>
  <conditionalFormatting sqref="C98">
    <cfRule type="cellIs" dxfId="606" priority="703" stopIfTrue="1" operator="equal">
      <formula>"Towel"</formula>
    </cfRule>
    <cfRule type="cellIs" dxfId="605" priority="704" stopIfTrue="1" operator="equal">
      <formula>"Napkin Hs"</formula>
    </cfRule>
  </conditionalFormatting>
  <conditionalFormatting sqref="C98">
    <cfRule type="cellIs" dxfId="604" priority="713" stopIfTrue="1" operator="equal">
      <formula>"Towel"</formula>
    </cfRule>
    <cfRule type="cellIs" dxfId="603" priority="714" stopIfTrue="1" operator="equal">
      <formula>"Napkin Hs"</formula>
    </cfRule>
  </conditionalFormatting>
  <conditionalFormatting sqref="B98">
    <cfRule type="cellIs" dxfId="602" priority="701" stopIfTrue="1" operator="equal">
      <formula>"Towel"</formula>
    </cfRule>
    <cfRule type="cellIs" dxfId="601" priority="702" stopIfTrue="1" operator="equal">
      <formula>"Napkin Hs"</formula>
    </cfRule>
  </conditionalFormatting>
  <conditionalFormatting sqref="C98">
    <cfRule type="cellIs" dxfId="600" priority="712" stopIfTrue="1" operator="equal">
      <formula>"Napkin Hs"</formula>
    </cfRule>
  </conditionalFormatting>
  <conditionalFormatting sqref="C98">
    <cfRule type="cellIs" dxfId="599" priority="711" stopIfTrue="1" operator="equal">
      <formula>"Towel"</formula>
    </cfRule>
  </conditionalFormatting>
  <conditionalFormatting sqref="C98">
    <cfRule type="cellIs" dxfId="598" priority="707" stopIfTrue="1" operator="equal">
      <formula>"Towel"</formula>
    </cfRule>
    <cfRule type="cellIs" dxfId="597" priority="708" stopIfTrue="1" operator="equal">
      <formula>"Napkin Hs"</formula>
    </cfRule>
  </conditionalFormatting>
  <conditionalFormatting sqref="C98">
    <cfRule type="cellIs" dxfId="596" priority="706" stopIfTrue="1" operator="equal">
      <formula>"Napkin Hs"</formula>
    </cfRule>
  </conditionalFormatting>
  <conditionalFormatting sqref="C98">
    <cfRule type="cellIs" dxfId="595" priority="705" stopIfTrue="1" operator="equal">
      <formula>"Towel"</formula>
    </cfRule>
  </conditionalFormatting>
  <conditionalFormatting sqref="B96:B97">
    <cfRule type="cellIs" dxfId="594" priority="695" stopIfTrue="1" operator="equal">
      <formula>"Towel"</formula>
    </cfRule>
    <cfRule type="cellIs" dxfId="593" priority="696" stopIfTrue="1" operator="equal">
      <formula>"Napkin Hs"</formula>
    </cfRule>
  </conditionalFormatting>
  <conditionalFormatting sqref="B96:B97">
    <cfRule type="cellIs" dxfId="592" priority="697" stopIfTrue="1" operator="equal">
      <formula>"Towel"</formula>
    </cfRule>
    <cfRule type="cellIs" dxfId="591" priority="698" stopIfTrue="1" operator="equal">
      <formula>"Napkin Hs"</formula>
    </cfRule>
  </conditionalFormatting>
  <conditionalFormatting sqref="C101">
    <cfRule type="cellIs" dxfId="590" priority="689" stopIfTrue="1" operator="equal">
      <formula>"Towel"</formula>
    </cfRule>
    <cfRule type="cellIs" dxfId="589" priority="690" stopIfTrue="1" operator="equal">
      <formula>"Napkin Hs"</formula>
    </cfRule>
  </conditionalFormatting>
  <conditionalFormatting sqref="C101">
    <cfRule type="cellIs" dxfId="588" priority="683" stopIfTrue="1" operator="equal">
      <formula>"Towel"</formula>
    </cfRule>
    <cfRule type="cellIs" dxfId="587" priority="684" stopIfTrue="1" operator="equal">
      <formula>"Napkin Hs"</formula>
    </cfRule>
  </conditionalFormatting>
  <conditionalFormatting sqref="C101">
    <cfRule type="cellIs" dxfId="586" priority="693" stopIfTrue="1" operator="equal">
      <formula>"Towel"</formula>
    </cfRule>
    <cfRule type="cellIs" dxfId="585" priority="694" stopIfTrue="1" operator="equal">
      <formula>"Napkin Hs"</formula>
    </cfRule>
  </conditionalFormatting>
  <conditionalFormatting sqref="C101">
    <cfRule type="cellIs" dxfId="584" priority="692" stopIfTrue="1" operator="equal">
      <formula>"Napkin Hs"</formula>
    </cfRule>
  </conditionalFormatting>
  <conditionalFormatting sqref="C101">
    <cfRule type="cellIs" dxfId="583" priority="691" stopIfTrue="1" operator="equal">
      <formula>"Towel"</formula>
    </cfRule>
  </conditionalFormatting>
  <conditionalFormatting sqref="C101">
    <cfRule type="cellIs" dxfId="582" priority="687" stopIfTrue="1" operator="equal">
      <formula>"Towel"</formula>
    </cfRule>
    <cfRule type="cellIs" dxfId="581" priority="688" stopIfTrue="1" operator="equal">
      <formula>"Napkin Hs"</formula>
    </cfRule>
  </conditionalFormatting>
  <conditionalFormatting sqref="C101">
    <cfRule type="cellIs" dxfId="580" priority="686" stopIfTrue="1" operator="equal">
      <formula>"Napkin Hs"</formula>
    </cfRule>
  </conditionalFormatting>
  <conditionalFormatting sqref="C101">
    <cfRule type="cellIs" dxfId="579" priority="685" stopIfTrue="1" operator="equal">
      <formula>"Towel"</formula>
    </cfRule>
  </conditionalFormatting>
  <conditionalFormatting sqref="B102:C102">
    <cfRule type="cellIs" dxfId="578" priority="681" stopIfTrue="1" operator="equal">
      <formula>"Towel"</formula>
    </cfRule>
    <cfRule type="cellIs" dxfId="577" priority="682" stopIfTrue="1" operator="equal">
      <formula>"Napkin Hs"</formula>
    </cfRule>
  </conditionalFormatting>
  <conditionalFormatting sqref="C102">
    <cfRule type="cellIs" dxfId="576" priority="679" stopIfTrue="1" operator="equal">
      <formula>"Towel"</formula>
    </cfRule>
    <cfRule type="cellIs" dxfId="575" priority="680" stopIfTrue="1" operator="equal">
      <formula>"Napkin Hs"</formula>
    </cfRule>
  </conditionalFormatting>
  <conditionalFormatting sqref="C102">
    <cfRule type="cellIs" dxfId="574" priority="677" stopIfTrue="1" operator="equal">
      <formula>"Towel"</formula>
    </cfRule>
    <cfRule type="cellIs" dxfId="573" priority="678" stopIfTrue="1" operator="equal">
      <formula>"Napkin Hs"</formula>
    </cfRule>
  </conditionalFormatting>
  <conditionalFormatting sqref="C102">
    <cfRule type="cellIs" dxfId="572" priority="671" stopIfTrue="1" operator="equal">
      <formula>"Towel"</formula>
    </cfRule>
    <cfRule type="cellIs" dxfId="571" priority="672" stopIfTrue="1" operator="equal">
      <formula>"Napkin Hs"</formula>
    </cfRule>
  </conditionalFormatting>
  <conditionalFormatting sqref="B102">
    <cfRule type="cellIs" dxfId="570" priority="661" stopIfTrue="1" operator="equal">
      <formula>"Towel"</formula>
    </cfRule>
    <cfRule type="cellIs" dxfId="569" priority="662" stopIfTrue="1" operator="equal">
      <formula>"Napkin Hs"</formula>
    </cfRule>
  </conditionalFormatting>
  <conditionalFormatting sqref="C102">
    <cfRule type="cellIs" dxfId="568" priority="665" stopIfTrue="1" operator="equal">
      <formula>"Towel"</formula>
    </cfRule>
    <cfRule type="cellIs" dxfId="567" priority="666" stopIfTrue="1" operator="equal">
      <formula>"Napkin Hs"</formula>
    </cfRule>
  </conditionalFormatting>
  <conditionalFormatting sqref="C102">
    <cfRule type="cellIs" dxfId="566" priority="675" stopIfTrue="1" operator="equal">
      <formula>"Towel"</formula>
    </cfRule>
    <cfRule type="cellIs" dxfId="565" priority="676" stopIfTrue="1" operator="equal">
      <formula>"Napkin Hs"</formula>
    </cfRule>
  </conditionalFormatting>
  <conditionalFormatting sqref="B102">
    <cfRule type="cellIs" dxfId="564" priority="663" stopIfTrue="1" operator="equal">
      <formula>"Towel"</formula>
    </cfRule>
    <cfRule type="cellIs" dxfId="563" priority="664" stopIfTrue="1" operator="equal">
      <formula>"Napkin Hs"</formula>
    </cfRule>
  </conditionalFormatting>
  <conditionalFormatting sqref="C102">
    <cfRule type="cellIs" dxfId="562" priority="674" stopIfTrue="1" operator="equal">
      <formula>"Napkin Hs"</formula>
    </cfRule>
  </conditionalFormatting>
  <conditionalFormatting sqref="C102">
    <cfRule type="cellIs" dxfId="561" priority="673" stopIfTrue="1" operator="equal">
      <formula>"Towel"</formula>
    </cfRule>
  </conditionalFormatting>
  <conditionalFormatting sqref="C102">
    <cfRule type="cellIs" dxfId="560" priority="669" stopIfTrue="1" operator="equal">
      <formula>"Towel"</formula>
    </cfRule>
    <cfRule type="cellIs" dxfId="559" priority="670" stopIfTrue="1" operator="equal">
      <formula>"Napkin Hs"</formula>
    </cfRule>
  </conditionalFormatting>
  <conditionalFormatting sqref="C102">
    <cfRule type="cellIs" dxfId="558" priority="668" stopIfTrue="1" operator="equal">
      <formula>"Napkin Hs"</formula>
    </cfRule>
  </conditionalFormatting>
  <conditionalFormatting sqref="C102">
    <cfRule type="cellIs" dxfId="557" priority="667" stopIfTrue="1" operator="equal">
      <formula>"Towel"</formula>
    </cfRule>
  </conditionalFormatting>
  <conditionalFormatting sqref="B101">
    <cfRule type="cellIs" dxfId="556" priority="657" stopIfTrue="1" operator="equal">
      <formula>"Towel"</formula>
    </cfRule>
    <cfRule type="cellIs" dxfId="555" priority="658" stopIfTrue="1" operator="equal">
      <formula>"Napkin Hs"</formula>
    </cfRule>
  </conditionalFormatting>
  <conditionalFormatting sqref="B101">
    <cfRule type="cellIs" dxfId="554" priority="659" stopIfTrue="1" operator="equal">
      <formula>"Towel"</formula>
    </cfRule>
    <cfRule type="cellIs" dxfId="553" priority="660" stopIfTrue="1" operator="equal">
      <formula>"Napkin Hs"</formula>
    </cfRule>
  </conditionalFormatting>
  <conditionalFormatting sqref="C100">
    <cfRule type="cellIs" dxfId="552" priority="651" stopIfTrue="1" operator="equal">
      <formula>"Towel"</formula>
    </cfRule>
    <cfRule type="cellIs" dxfId="551" priority="652" stopIfTrue="1" operator="equal">
      <formula>"Napkin Hs"</formula>
    </cfRule>
  </conditionalFormatting>
  <conditionalFormatting sqref="C100">
    <cfRule type="cellIs" dxfId="550" priority="645" stopIfTrue="1" operator="equal">
      <formula>"Towel"</formula>
    </cfRule>
    <cfRule type="cellIs" dxfId="549" priority="646" stopIfTrue="1" operator="equal">
      <formula>"Napkin Hs"</formula>
    </cfRule>
  </conditionalFormatting>
  <conditionalFormatting sqref="C100">
    <cfRule type="cellIs" dxfId="548" priority="655" stopIfTrue="1" operator="equal">
      <formula>"Towel"</formula>
    </cfRule>
    <cfRule type="cellIs" dxfId="547" priority="656" stopIfTrue="1" operator="equal">
      <formula>"Napkin Hs"</formula>
    </cfRule>
  </conditionalFormatting>
  <conditionalFormatting sqref="C100">
    <cfRule type="cellIs" dxfId="546" priority="654" stopIfTrue="1" operator="equal">
      <formula>"Napkin Hs"</formula>
    </cfRule>
  </conditionalFormatting>
  <conditionalFormatting sqref="C100">
    <cfRule type="cellIs" dxfId="545" priority="653" stopIfTrue="1" operator="equal">
      <formula>"Towel"</formula>
    </cfRule>
  </conditionalFormatting>
  <conditionalFormatting sqref="C100">
    <cfRule type="cellIs" dxfId="544" priority="649" stopIfTrue="1" operator="equal">
      <formula>"Towel"</formula>
    </cfRule>
    <cfRule type="cellIs" dxfId="543" priority="650" stopIfTrue="1" operator="equal">
      <formula>"Napkin Hs"</formula>
    </cfRule>
  </conditionalFormatting>
  <conditionalFormatting sqref="C100">
    <cfRule type="cellIs" dxfId="542" priority="648" stopIfTrue="1" operator="equal">
      <formula>"Napkin Hs"</formula>
    </cfRule>
  </conditionalFormatting>
  <conditionalFormatting sqref="C100">
    <cfRule type="cellIs" dxfId="541" priority="647" stopIfTrue="1" operator="equal">
      <formula>"Towel"</formula>
    </cfRule>
  </conditionalFormatting>
  <conditionalFormatting sqref="B100">
    <cfRule type="cellIs" dxfId="540" priority="641" stopIfTrue="1" operator="equal">
      <formula>"Towel"</formula>
    </cfRule>
    <cfRule type="cellIs" dxfId="539" priority="642" stopIfTrue="1" operator="equal">
      <formula>"Napkin Hs"</formula>
    </cfRule>
  </conditionalFormatting>
  <conditionalFormatting sqref="B100">
    <cfRule type="cellIs" dxfId="538" priority="643" stopIfTrue="1" operator="equal">
      <formula>"Towel"</formula>
    </cfRule>
    <cfRule type="cellIs" dxfId="537" priority="644" stopIfTrue="1" operator="equal">
      <formula>"Napkin Hs"</formula>
    </cfRule>
  </conditionalFormatting>
  <conditionalFormatting sqref="B106:C106">
    <cfRule type="cellIs" dxfId="536" priority="639" stopIfTrue="1" operator="equal">
      <formula>"Towel"</formula>
    </cfRule>
    <cfRule type="cellIs" dxfId="535" priority="640" stopIfTrue="1" operator="equal">
      <formula>"Napkin Hs"</formula>
    </cfRule>
  </conditionalFormatting>
  <conditionalFormatting sqref="C106">
    <cfRule type="cellIs" dxfId="534" priority="637" stopIfTrue="1" operator="equal">
      <formula>"Towel"</formula>
    </cfRule>
    <cfRule type="cellIs" dxfId="533" priority="638" stopIfTrue="1" operator="equal">
      <formula>"Napkin Hs"</formula>
    </cfRule>
  </conditionalFormatting>
  <conditionalFormatting sqref="C106">
    <cfRule type="cellIs" dxfId="532" priority="635" stopIfTrue="1" operator="equal">
      <formula>"Towel"</formula>
    </cfRule>
    <cfRule type="cellIs" dxfId="531" priority="636" stopIfTrue="1" operator="equal">
      <formula>"Napkin Hs"</formula>
    </cfRule>
  </conditionalFormatting>
  <conditionalFormatting sqref="C106">
    <cfRule type="cellIs" dxfId="530" priority="629" stopIfTrue="1" operator="equal">
      <formula>"Towel"</formula>
    </cfRule>
    <cfRule type="cellIs" dxfId="529" priority="630" stopIfTrue="1" operator="equal">
      <formula>"Napkin Hs"</formula>
    </cfRule>
  </conditionalFormatting>
  <conditionalFormatting sqref="B106">
    <cfRule type="cellIs" dxfId="528" priority="619" stopIfTrue="1" operator="equal">
      <formula>"Towel"</formula>
    </cfRule>
    <cfRule type="cellIs" dxfId="527" priority="620" stopIfTrue="1" operator="equal">
      <formula>"Napkin Hs"</formula>
    </cfRule>
  </conditionalFormatting>
  <conditionalFormatting sqref="C106">
    <cfRule type="cellIs" dxfId="526" priority="623" stopIfTrue="1" operator="equal">
      <formula>"Towel"</formula>
    </cfRule>
    <cfRule type="cellIs" dxfId="525" priority="624" stopIfTrue="1" operator="equal">
      <formula>"Napkin Hs"</formula>
    </cfRule>
  </conditionalFormatting>
  <conditionalFormatting sqref="C106">
    <cfRule type="cellIs" dxfId="524" priority="633" stopIfTrue="1" operator="equal">
      <formula>"Towel"</formula>
    </cfRule>
    <cfRule type="cellIs" dxfId="523" priority="634" stopIfTrue="1" operator="equal">
      <formula>"Napkin Hs"</formula>
    </cfRule>
  </conditionalFormatting>
  <conditionalFormatting sqref="B106">
    <cfRule type="cellIs" dxfId="522" priority="621" stopIfTrue="1" operator="equal">
      <formula>"Towel"</formula>
    </cfRule>
    <cfRule type="cellIs" dxfId="521" priority="622" stopIfTrue="1" operator="equal">
      <formula>"Napkin Hs"</formula>
    </cfRule>
  </conditionalFormatting>
  <conditionalFormatting sqref="C106">
    <cfRule type="cellIs" dxfId="520" priority="632" stopIfTrue="1" operator="equal">
      <formula>"Napkin Hs"</formula>
    </cfRule>
  </conditionalFormatting>
  <conditionalFormatting sqref="C106">
    <cfRule type="cellIs" dxfId="519" priority="631" stopIfTrue="1" operator="equal">
      <formula>"Towel"</formula>
    </cfRule>
  </conditionalFormatting>
  <conditionalFormatting sqref="C106">
    <cfRule type="cellIs" dxfId="518" priority="627" stopIfTrue="1" operator="equal">
      <formula>"Towel"</formula>
    </cfRule>
    <cfRule type="cellIs" dxfId="517" priority="628" stopIfTrue="1" operator="equal">
      <formula>"Napkin Hs"</formula>
    </cfRule>
  </conditionalFormatting>
  <conditionalFormatting sqref="C106">
    <cfRule type="cellIs" dxfId="516" priority="626" stopIfTrue="1" operator="equal">
      <formula>"Napkin Hs"</formula>
    </cfRule>
  </conditionalFormatting>
  <conditionalFormatting sqref="C106">
    <cfRule type="cellIs" dxfId="515" priority="625" stopIfTrue="1" operator="equal">
      <formula>"Towel"</formula>
    </cfRule>
  </conditionalFormatting>
  <conditionalFormatting sqref="C105">
    <cfRule type="cellIs" dxfId="514" priority="613" stopIfTrue="1" operator="equal">
      <formula>"Towel"</formula>
    </cfRule>
    <cfRule type="cellIs" dxfId="513" priority="614" stopIfTrue="1" operator="equal">
      <formula>"Napkin Hs"</formula>
    </cfRule>
  </conditionalFormatting>
  <conditionalFormatting sqref="C105">
    <cfRule type="cellIs" dxfId="512" priority="607" stopIfTrue="1" operator="equal">
      <formula>"Towel"</formula>
    </cfRule>
    <cfRule type="cellIs" dxfId="511" priority="608" stopIfTrue="1" operator="equal">
      <formula>"Napkin Hs"</formula>
    </cfRule>
  </conditionalFormatting>
  <conditionalFormatting sqref="C105">
    <cfRule type="cellIs" dxfId="510" priority="617" stopIfTrue="1" operator="equal">
      <formula>"Towel"</formula>
    </cfRule>
    <cfRule type="cellIs" dxfId="509" priority="618" stopIfTrue="1" operator="equal">
      <formula>"Napkin Hs"</formula>
    </cfRule>
  </conditionalFormatting>
  <conditionalFormatting sqref="C105">
    <cfRule type="cellIs" dxfId="508" priority="616" stopIfTrue="1" operator="equal">
      <formula>"Napkin Hs"</formula>
    </cfRule>
  </conditionalFormatting>
  <conditionalFormatting sqref="C105">
    <cfRule type="cellIs" dxfId="507" priority="615" stopIfTrue="1" operator="equal">
      <formula>"Towel"</formula>
    </cfRule>
  </conditionalFormatting>
  <conditionalFormatting sqref="C105">
    <cfRule type="cellIs" dxfId="506" priority="611" stopIfTrue="1" operator="equal">
      <formula>"Towel"</formula>
    </cfRule>
    <cfRule type="cellIs" dxfId="505" priority="612" stopIfTrue="1" operator="equal">
      <formula>"Napkin Hs"</formula>
    </cfRule>
  </conditionalFormatting>
  <conditionalFormatting sqref="C105">
    <cfRule type="cellIs" dxfId="504" priority="610" stopIfTrue="1" operator="equal">
      <formula>"Napkin Hs"</formula>
    </cfRule>
  </conditionalFormatting>
  <conditionalFormatting sqref="C105">
    <cfRule type="cellIs" dxfId="503" priority="609" stopIfTrue="1" operator="equal">
      <formula>"Towel"</formula>
    </cfRule>
  </conditionalFormatting>
  <conditionalFormatting sqref="B105">
    <cfRule type="cellIs" dxfId="502" priority="603" stopIfTrue="1" operator="equal">
      <formula>"Towel"</formula>
    </cfRule>
    <cfRule type="cellIs" dxfId="501" priority="604" stopIfTrue="1" operator="equal">
      <formula>"Napkin Hs"</formula>
    </cfRule>
  </conditionalFormatting>
  <conditionalFormatting sqref="B105">
    <cfRule type="cellIs" dxfId="500" priority="605" stopIfTrue="1" operator="equal">
      <formula>"Towel"</formula>
    </cfRule>
    <cfRule type="cellIs" dxfId="499" priority="606" stopIfTrue="1" operator="equal">
      <formula>"Napkin Hs"</formula>
    </cfRule>
  </conditionalFormatting>
  <conditionalFormatting sqref="C104">
    <cfRule type="cellIs" dxfId="498" priority="597" stopIfTrue="1" operator="equal">
      <formula>"Towel"</formula>
    </cfRule>
    <cfRule type="cellIs" dxfId="497" priority="598" stopIfTrue="1" operator="equal">
      <formula>"Napkin Hs"</formula>
    </cfRule>
  </conditionalFormatting>
  <conditionalFormatting sqref="C104">
    <cfRule type="cellIs" dxfId="496" priority="591" stopIfTrue="1" operator="equal">
      <formula>"Towel"</formula>
    </cfRule>
    <cfRule type="cellIs" dxfId="495" priority="592" stopIfTrue="1" operator="equal">
      <formula>"Napkin Hs"</formula>
    </cfRule>
  </conditionalFormatting>
  <conditionalFormatting sqref="C104">
    <cfRule type="cellIs" dxfId="494" priority="601" stopIfTrue="1" operator="equal">
      <formula>"Towel"</formula>
    </cfRule>
    <cfRule type="cellIs" dxfId="493" priority="602" stopIfTrue="1" operator="equal">
      <formula>"Napkin Hs"</formula>
    </cfRule>
  </conditionalFormatting>
  <conditionalFormatting sqref="C104">
    <cfRule type="cellIs" dxfId="492" priority="600" stopIfTrue="1" operator="equal">
      <formula>"Napkin Hs"</formula>
    </cfRule>
  </conditionalFormatting>
  <conditionalFormatting sqref="C104">
    <cfRule type="cellIs" dxfId="491" priority="599" stopIfTrue="1" operator="equal">
      <formula>"Towel"</formula>
    </cfRule>
  </conditionalFormatting>
  <conditionalFormatting sqref="C104">
    <cfRule type="cellIs" dxfId="490" priority="595" stopIfTrue="1" operator="equal">
      <formula>"Towel"</formula>
    </cfRule>
    <cfRule type="cellIs" dxfId="489" priority="596" stopIfTrue="1" operator="equal">
      <formula>"Napkin Hs"</formula>
    </cfRule>
  </conditionalFormatting>
  <conditionalFormatting sqref="C104">
    <cfRule type="cellIs" dxfId="488" priority="594" stopIfTrue="1" operator="equal">
      <formula>"Napkin Hs"</formula>
    </cfRule>
  </conditionalFormatting>
  <conditionalFormatting sqref="C104">
    <cfRule type="cellIs" dxfId="487" priority="593" stopIfTrue="1" operator="equal">
      <formula>"Towel"</formula>
    </cfRule>
  </conditionalFormatting>
  <conditionalFormatting sqref="B104">
    <cfRule type="cellIs" dxfId="486" priority="587" stopIfTrue="1" operator="equal">
      <formula>"Towel"</formula>
    </cfRule>
    <cfRule type="cellIs" dxfId="485" priority="588" stopIfTrue="1" operator="equal">
      <formula>"Napkin Hs"</formula>
    </cfRule>
  </conditionalFormatting>
  <conditionalFormatting sqref="B104">
    <cfRule type="cellIs" dxfId="484" priority="589" stopIfTrue="1" operator="equal">
      <formula>"Towel"</formula>
    </cfRule>
    <cfRule type="cellIs" dxfId="483" priority="590" stopIfTrue="1" operator="equal">
      <formula>"Napkin Hs"</formula>
    </cfRule>
  </conditionalFormatting>
  <conditionalFormatting sqref="B110:C110">
    <cfRule type="cellIs" dxfId="482" priority="585" stopIfTrue="1" operator="equal">
      <formula>"Towel"</formula>
    </cfRule>
    <cfRule type="cellIs" dxfId="481" priority="586" stopIfTrue="1" operator="equal">
      <formula>"Napkin Hs"</formula>
    </cfRule>
  </conditionalFormatting>
  <conditionalFormatting sqref="C110">
    <cfRule type="cellIs" dxfId="480" priority="583" stopIfTrue="1" operator="equal">
      <formula>"Towel"</formula>
    </cfRule>
    <cfRule type="cellIs" dxfId="479" priority="584" stopIfTrue="1" operator="equal">
      <formula>"Napkin Hs"</formula>
    </cfRule>
  </conditionalFormatting>
  <conditionalFormatting sqref="C110">
    <cfRule type="cellIs" dxfId="478" priority="581" stopIfTrue="1" operator="equal">
      <formula>"Towel"</formula>
    </cfRule>
    <cfRule type="cellIs" dxfId="477" priority="582" stopIfTrue="1" operator="equal">
      <formula>"Napkin Hs"</formula>
    </cfRule>
  </conditionalFormatting>
  <conditionalFormatting sqref="C110">
    <cfRule type="cellIs" dxfId="476" priority="575" stopIfTrue="1" operator="equal">
      <formula>"Towel"</formula>
    </cfRule>
    <cfRule type="cellIs" dxfId="475" priority="576" stopIfTrue="1" operator="equal">
      <formula>"Napkin Hs"</formula>
    </cfRule>
  </conditionalFormatting>
  <conditionalFormatting sqref="B110">
    <cfRule type="cellIs" dxfId="474" priority="565" stopIfTrue="1" operator="equal">
      <formula>"Towel"</formula>
    </cfRule>
    <cfRule type="cellIs" dxfId="473" priority="566" stopIfTrue="1" operator="equal">
      <formula>"Napkin Hs"</formula>
    </cfRule>
  </conditionalFormatting>
  <conditionalFormatting sqref="C110">
    <cfRule type="cellIs" dxfId="472" priority="569" stopIfTrue="1" operator="equal">
      <formula>"Towel"</formula>
    </cfRule>
    <cfRule type="cellIs" dxfId="471" priority="570" stopIfTrue="1" operator="equal">
      <formula>"Napkin Hs"</formula>
    </cfRule>
  </conditionalFormatting>
  <conditionalFormatting sqref="C110">
    <cfRule type="cellIs" dxfId="470" priority="579" stopIfTrue="1" operator="equal">
      <formula>"Towel"</formula>
    </cfRule>
    <cfRule type="cellIs" dxfId="469" priority="580" stopIfTrue="1" operator="equal">
      <formula>"Napkin Hs"</formula>
    </cfRule>
  </conditionalFormatting>
  <conditionalFormatting sqref="B110">
    <cfRule type="cellIs" dxfId="468" priority="567" stopIfTrue="1" operator="equal">
      <formula>"Towel"</formula>
    </cfRule>
    <cfRule type="cellIs" dxfId="467" priority="568" stopIfTrue="1" operator="equal">
      <formula>"Napkin Hs"</formula>
    </cfRule>
  </conditionalFormatting>
  <conditionalFormatting sqref="C110">
    <cfRule type="cellIs" dxfId="466" priority="578" stopIfTrue="1" operator="equal">
      <formula>"Napkin Hs"</formula>
    </cfRule>
  </conditionalFormatting>
  <conditionalFormatting sqref="C110">
    <cfRule type="cellIs" dxfId="465" priority="577" stopIfTrue="1" operator="equal">
      <formula>"Towel"</formula>
    </cfRule>
  </conditionalFormatting>
  <conditionalFormatting sqref="C110">
    <cfRule type="cellIs" dxfId="464" priority="573" stopIfTrue="1" operator="equal">
      <formula>"Towel"</formula>
    </cfRule>
    <cfRule type="cellIs" dxfId="463" priority="574" stopIfTrue="1" operator="equal">
      <formula>"Napkin Hs"</formula>
    </cfRule>
  </conditionalFormatting>
  <conditionalFormatting sqref="C110">
    <cfRule type="cellIs" dxfId="462" priority="572" stopIfTrue="1" operator="equal">
      <formula>"Napkin Hs"</formula>
    </cfRule>
  </conditionalFormatting>
  <conditionalFormatting sqref="C110">
    <cfRule type="cellIs" dxfId="461" priority="571" stopIfTrue="1" operator="equal">
      <formula>"Towel"</formula>
    </cfRule>
  </conditionalFormatting>
  <conditionalFormatting sqref="C109">
    <cfRule type="cellIs" dxfId="460" priority="559" stopIfTrue="1" operator="equal">
      <formula>"Towel"</formula>
    </cfRule>
    <cfRule type="cellIs" dxfId="459" priority="560" stopIfTrue="1" operator="equal">
      <formula>"Napkin Hs"</formula>
    </cfRule>
  </conditionalFormatting>
  <conditionalFormatting sqref="C109">
    <cfRule type="cellIs" dxfId="458" priority="553" stopIfTrue="1" operator="equal">
      <formula>"Towel"</formula>
    </cfRule>
    <cfRule type="cellIs" dxfId="457" priority="554" stopIfTrue="1" operator="equal">
      <formula>"Napkin Hs"</formula>
    </cfRule>
  </conditionalFormatting>
  <conditionalFormatting sqref="C109">
    <cfRule type="cellIs" dxfId="456" priority="563" stopIfTrue="1" operator="equal">
      <formula>"Towel"</formula>
    </cfRule>
    <cfRule type="cellIs" dxfId="455" priority="564" stopIfTrue="1" operator="equal">
      <formula>"Napkin Hs"</formula>
    </cfRule>
  </conditionalFormatting>
  <conditionalFormatting sqref="C109">
    <cfRule type="cellIs" dxfId="454" priority="562" stopIfTrue="1" operator="equal">
      <formula>"Napkin Hs"</formula>
    </cfRule>
  </conditionalFormatting>
  <conditionalFormatting sqref="C109">
    <cfRule type="cellIs" dxfId="453" priority="561" stopIfTrue="1" operator="equal">
      <formula>"Towel"</formula>
    </cfRule>
  </conditionalFormatting>
  <conditionalFormatting sqref="C109">
    <cfRule type="cellIs" dxfId="452" priority="557" stopIfTrue="1" operator="equal">
      <formula>"Towel"</formula>
    </cfRule>
    <cfRule type="cellIs" dxfId="451" priority="558" stopIfTrue="1" operator="equal">
      <formula>"Napkin Hs"</formula>
    </cfRule>
  </conditionalFormatting>
  <conditionalFormatting sqref="C109">
    <cfRule type="cellIs" dxfId="450" priority="556" stopIfTrue="1" operator="equal">
      <formula>"Napkin Hs"</formula>
    </cfRule>
  </conditionalFormatting>
  <conditionalFormatting sqref="C109">
    <cfRule type="cellIs" dxfId="449" priority="555" stopIfTrue="1" operator="equal">
      <formula>"Towel"</formula>
    </cfRule>
  </conditionalFormatting>
  <conditionalFormatting sqref="B109">
    <cfRule type="cellIs" dxfId="448" priority="549" stopIfTrue="1" operator="equal">
      <formula>"Towel"</formula>
    </cfRule>
    <cfRule type="cellIs" dxfId="447" priority="550" stopIfTrue="1" operator="equal">
      <formula>"Napkin Hs"</formula>
    </cfRule>
  </conditionalFormatting>
  <conditionalFormatting sqref="B109">
    <cfRule type="cellIs" dxfId="446" priority="551" stopIfTrue="1" operator="equal">
      <formula>"Towel"</formula>
    </cfRule>
    <cfRule type="cellIs" dxfId="445" priority="552" stopIfTrue="1" operator="equal">
      <formula>"Napkin Hs"</formula>
    </cfRule>
  </conditionalFormatting>
  <conditionalFormatting sqref="C108">
    <cfRule type="cellIs" dxfId="444" priority="543" stopIfTrue="1" operator="equal">
      <formula>"Towel"</formula>
    </cfRule>
    <cfRule type="cellIs" dxfId="443" priority="544" stopIfTrue="1" operator="equal">
      <formula>"Napkin Hs"</formula>
    </cfRule>
  </conditionalFormatting>
  <conditionalFormatting sqref="C108">
    <cfRule type="cellIs" dxfId="442" priority="537" stopIfTrue="1" operator="equal">
      <formula>"Towel"</formula>
    </cfRule>
    <cfRule type="cellIs" dxfId="441" priority="538" stopIfTrue="1" operator="equal">
      <formula>"Napkin Hs"</formula>
    </cfRule>
  </conditionalFormatting>
  <conditionalFormatting sqref="C108">
    <cfRule type="cellIs" dxfId="440" priority="547" stopIfTrue="1" operator="equal">
      <formula>"Towel"</formula>
    </cfRule>
    <cfRule type="cellIs" dxfId="439" priority="548" stopIfTrue="1" operator="equal">
      <formula>"Napkin Hs"</formula>
    </cfRule>
  </conditionalFormatting>
  <conditionalFormatting sqref="C108">
    <cfRule type="cellIs" dxfId="438" priority="546" stopIfTrue="1" operator="equal">
      <formula>"Napkin Hs"</formula>
    </cfRule>
  </conditionalFormatting>
  <conditionalFormatting sqref="C108">
    <cfRule type="cellIs" dxfId="437" priority="545" stopIfTrue="1" operator="equal">
      <formula>"Towel"</formula>
    </cfRule>
  </conditionalFormatting>
  <conditionalFormatting sqref="C108">
    <cfRule type="cellIs" dxfId="436" priority="541" stopIfTrue="1" operator="equal">
      <formula>"Towel"</formula>
    </cfRule>
    <cfRule type="cellIs" dxfId="435" priority="542" stopIfTrue="1" operator="equal">
      <formula>"Napkin Hs"</formula>
    </cfRule>
  </conditionalFormatting>
  <conditionalFormatting sqref="C108">
    <cfRule type="cellIs" dxfId="434" priority="540" stopIfTrue="1" operator="equal">
      <formula>"Napkin Hs"</formula>
    </cfRule>
  </conditionalFormatting>
  <conditionalFormatting sqref="C108">
    <cfRule type="cellIs" dxfId="433" priority="539" stopIfTrue="1" operator="equal">
      <formula>"Towel"</formula>
    </cfRule>
  </conditionalFormatting>
  <conditionalFormatting sqref="B108">
    <cfRule type="cellIs" dxfId="432" priority="533" stopIfTrue="1" operator="equal">
      <formula>"Towel"</formula>
    </cfRule>
    <cfRule type="cellIs" dxfId="431" priority="534" stopIfTrue="1" operator="equal">
      <formula>"Napkin Hs"</formula>
    </cfRule>
  </conditionalFormatting>
  <conditionalFormatting sqref="B108">
    <cfRule type="cellIs" dxfId="430" priority="535" stopIfTrue="1" operator="equal">
      <formula>"Towel"</formula>
    </cfRule>
    <cfRule type="cellIs" dxfId="429" priority="536" stopIfTrue="1" operator="equal">
      <formula>"Napkin Hs"</formula>
    </cfRule>
  </conditionalFormatting>
  <conditionalFormatting sqref="B114:C114">
    <cfRule type="cellIs" dxfId="428" priority="531" stopIfTrue="1" operator="equal">
      <formula>"Towel"</formula>
    </cfRule>
    <cfRule type="cellIs" dxfId="427" priority="532" stopIfTrue="1" operator="equal">
      <formula>"Napkin Hs"</formula>
    </cfRule>
  </conditionalFormatting>
  <conditionalFormatting sqref="C114">
    <cfRule type="cellIs" dxfId="426" priority="529" stopIfTrue="1" operator="equal">
      <formula>"Towel"</formula>
    </cfRule>
    <cfRule type="cellIs" dxfId="425" priority="530" stopIfTrue="1" operator="equal">
      <formula>"Napkin Hs"</formula>
    </cfRule>
  </conditionalFormatting>
  <conditionalFormatting sqref="C114">
    <cfRule type="cellIs" dxfId="424" priority="527" stopIfTrue="1" operator="equal">
      <formula>"Towel"</formula>
    </cfRule>
    <cfRule type="cellIs" dxfId="423" priority="528" stopIfTrue="1" operator="equal">
      <formula>"Napkin Hs"</formula>
    </cfRule>
  </conditionalFormatting>
  <conditionalFormatting sqref="C114">
    <cfRule type="cellIs" dxfId="422" priority="521" stopIfTrue="1" operator="equal">
      <formula>"Towel"</formula>
    </cfRule>
    <cfRule type="cellIs" dxfId="421" priority="522" stopIfTrue="1" operator="equal">
      <formula>"Napkin Hs"</formula>
    </cfRule>
  </conditionalFormatting>
  <conditionalFormatting sqref="B114">
    <cfRule type="cellIs" dxfId="420" priority="511" stopIfTrue="1" operator="equal">
      <formula>"Towel"</formula>
    </cfRule>
    <cfRule type="cellIs" dxfId="419" priority="512" stopIfTrue="1" operator="equal">
      <formula>"Napkin Hs"</formula>
    </cfRule>
  </conditionalFormatting>
  <conditionalFormatting sqref="C114">
    <cfRule type="cellIs" dxfId="418" priority="515" stopIfTrue="1" operator="equal">
      <formula>"Towel"</formula>
    </cfRule>
    <cfRule type="cellIs" dxfId="417" priority="516" stopIfTrue="1" operator="equal">
      <formula>"Napkin Hs"</formula>
    </cfRule>
  </conditionalFormatting>
  <conditionalFormatting sqref="C114">
    <cfRule type="cellIs" dxfId="416" priority="525" stopIfTrue="1" operator="equal">
      <formula>"Towel"</formula>
    </cfRule>
    <cfRule type="cellIs" dxfId="415" priority="526" stopIfTrue="1" operator="equal">
      <formula>"Napkin Hs"</formula>
    </cfRule>
  </conditionalFormatting>
  <conditionalFormatting sqref="B114">
    <cfRule type="cellIs" dxfId="414" priority="513" stopIfTrue="1" operator="equal">
      <formula>"Towel"</formula>
    </cfRule>
    <cfRule type="cellIs" dxfId="413" priority="514" stopIfTrue="1" operator="equal">
      <formula>"Napkin Hs"</formula>
    </cfRule>
  </conditionalFormatting>
  <conditionalFormatting sqref="C114">
    <cfRule type="cellIs" dxfId="412" priority="524" stopIfTrue="1" operator="equal">
      <formula>"Napkin Hs"</formula>
    </cfRule>
  </conditionalFormatting>
  <conditionalFormatting sqref="C114">
    <cfRule type="cellIs" dxfId="411" priority="523" stopIfTrue="1" operator="equal">
      <formula>"Towel"</formula>
    </cfRule>
  </conditionalFormatting>
  <conditionalFormatting sqref="C114">
    <cfRule type="cellIs" dxfId="410" priority="519" stopIfTrue="1" operator="equal">
      <formula>"Towel"</formula>
    </cfRule>
    <cfRule type="cellIs" dxfId="409" priority="520" stopIfTrue="1" operator="equal">
      <formula>"Napkin Hs"</formula>
    </cfRule>
  </conditionalFormatting>
  <conditionalFormatting sqref="C114">
    <cfRule type="cellIs" dxfId="408" priority="518" stopIfTrue="1" operator="equal">
      <formula>"Napkin Hs"</formula>
    </cfRule>
  </conditionalFormatting>
  <conditionalFormatting sqref="C114">
    <cfRule type="cellIs" dxfId="407" priority="517" stopIfTrue="1" operator="equal">
      <formula>"Towel"</formula>
    </cfRule>
  </conditionalFormatting>
  <conditionalFormatting sqref="C113">
    <cfRule type="cellIs" dxfId="406" priority="505" stopIfTrue="1" operator="equal">
      <formula>"Towel"</formula>
    </cfRule>
    <cfRule type="cellIs" dxfId="405" priority="506" stopIfTrue="1" operator="equal">
      <formula>"Napkin Hs"</formula>
    </cfRule>
  </conditionalFormatting>
  <conditionalFormatting sqref="C113">
    <cfRule type="cellIs" dxfId="404" priority="499" stopIfTrue="1" operator="equal">
      <formula>"Towel"</formula>
    </cfRule>
    <cfRule type="cellIs" dxfId="403" priority="500" stopIfTrue="1" operator="equal">
      <formula>"Napkin Hs"</formula>
    </cfRule>
  </conditionalFormatting>
  <conditionalFormatting sqref="C113">
    <cfRule type="cellIs" dxfId="402" priority="509" stopIfTrue="1" operator="equal">
      <formula>"Towel"</formula>
    </cfRule>
    <cfRule type="cellIs" dxfId="401" priority="510" stopIfTrue="1" operator="equal">
      <formula>"Napkin Hs"</formula>
    </cfRule>
  </conditionalFormatting>
  <conditionalFormatting sqref="C113">
    <cfRule type="cellIs" dxfId="400" priority="508" stopIfTrue="1" operator="equal">
      <formula>"Napkin Hs"</formula>
    </cfRule>
  </conditionalFormatting>
  <conditionalFormatting sqref="C113">
    <cfRule type="cellIs" dxfId="399" priority="507" stopIfTrue="1" operator="equal">
      <formula>"Towel"</formula>
    </cfRule>
  </conditionalFormatting>
  <conditionalFormatting sqref="C113">
    <cfRule type="cellIs" dxfId="398" priority="503" stopIfTrue="1" operator="equal">
      <formula>"Towel"</formula>
    </cfRule>
    <cfRule type="cellIs" dxfId="397" priority="504" stopIfTrue="1" operator="equal">
      <formula>"Napkin Hs"</formula>
    </cfRule>
  </conditionalFormatting>
  <conditionalFormatting sqref="C113">
    <cfRule type="cellIs" dxfId="396" priority="502" stopIfTrue="1" operator="equal">
      <formula>"Napkin Hs"</formula>
    </cfRule>
  </conditionalFormatting>
  <conditionalFormatting sqref="C113">
    <cfRule type="cellIs" dxfId="395" priority="501" stopIfTrue="1" operator="equal">
      <formula>"Towel"</formula>
    </cfRule>
  </conditionalFormatting>
  <conditionalFormatting sqref="B113">
    <cfRule type="cellIs" dxfId="394" priority="495" stopIfTrue="1" operator="equal">
      <formula>"Towel"</formula>
    </cfRule>
    <cfRule type="cellIs" dxfId="393" priority="496" stopIfTrue="1" operator="equal">
      <formula>"Napkin Hs"</formula>
    </cfRule>
  </conditionalFormatting>
  <conditionalFormatting sqref="B113">
    <cfRule type="cellIs" dxfId="392" priority="497" stopIfTrue="1" operator="equal">
      <formula>"Towel"</formula>
    </cfRule>
    <cfRule type="cellIs" dxfId="391" priority="498" stopIfTrue="1" operator="equal">
      <formula>"Napkin Hs"</formula>
    </cfRule>
  </conditionalFormatting>
  <conditionalFormatting sqref="C112">
    <cfRule type="cellIs" dxfId="390" priority="489" stopIfTrue="1" operator="equal">
      <formula>"Towel"</formula>
    </cfRule>
    <cfRule type="cellIs" dxfId="389" priority="490" stopIfTrue="1" operator="equal">
      <formula>"Napkin Hs"</formula>
    </cfRule>
  </conditionalFormatting>
  <conditionalFormatting sqref="C112">
    <cfRule type="cellIs" dxfId="388" priority="483" stopIfTrue="1" operator="equal">
      <formula>"Towel"</formula>
    </cfRule>
    <cfRule type="cellIs" dxfId="387" priority="484" stopIfTrue="1" operator="equal">
      <formula>"Napkin Hs"</formula>
    </cfRule>
  </conditionalFormatting>
  <conditionalFormatting sqref="C112">
    <cfRule type="cellIs" dxfId="386" priority="493" stopIfTrue="1" operator="equal">
      <formula>"Towel"</formula>
    </cfRule>
    <cfRule type="cellIs" dxfId="385" priority="494" stopIfTrue="1" operator="equal">
      <formula>"Napkin Hs"</formula>
    </cfRule>
  </conditionalFormatting>
  <conditionalFormatting sqref="C112">
    <cfRule type="cellIs" dxfId="384" priority="492" stopIfTrue="1" operator="equal">
      <formula>"Napkin Hs"</formula>
    </cfRule>
  </conditionalFormatting>
  <conditionalFormatting sqref="C112">
    <cfRule type="cellIs" dxfId="383" priority="491" stopIfTrue="1" operator="equal">
      <formula>"Towel"</formula>
    </cfRule>
  </conditionalFormatting>
  <conditionalFormatting sqref="C112">
    <cfRule type="cellIs" dxfId="382" priority="487" stopIfTrue="1" operator="equal">
      <formula>"Towel"</formula>
    </cfRule>
    <cfRule type="cellIs" dxfId="381" priority="488" stopIfTrue="1" operator="equal">
      <formula>"Napkin Hs"</formula>
    </cfRule>
  </conditionalFormatting>
  <conditionalFormatting sqref="C112">
    <cfRule type="cellIs" dxfId="380" priority="486" stopIfTrue="1" operator="equal">
      <formula>"Napkin Hs"</formula>
    </cfRule>
  </conditionalFormatting>
  <conditionalFormatting sqref="C112">
    <cfRule type="cellIs" dxfId="379" priority="485" stopIfTrue="1" operator="equal">
      <formula>"Towel"</formula>
    </cfRule>
  </conditionalFormatting>
  <conditionalFormatting sqref="B112">
    <cfRule type="cellIs" dxfId="378" priority="479" stopIfTrue="1" operator="equal">
      <formula>"Towel"</formula>
    </cfRule>
    <cfRule type="cellIs" dxfId="377" priority="480" stopIfTrue="1" operator="equal">
      <formula>"Napkin Hs"</formula>
    </cfRule>
  </conditionalFormatting>
  <conditionalFormatting sqref="B112">
    <cfRule type="cellIs" dxfId="376" priority="481" stopIfTrue="1" operator="equal">
      <formula>"Towel"</formula>
    </cfRule>
    <cfRule type="cellIs" dxfId="375" priority="482" stopIfTrue="1" operator="equal">
      <formula>"Napkin Hs"</formula>
    </cfRule>
  </conditionalFormatting>
  <conditionalFormatting sqref="C119">
    <cfRule type="cellIs" dxfId="374" priority="477" stopIfTrue="1" operator="equal">
      <formula>"Towel"</formula>
    </cfRule>
    <cfRule type="cellIs" dxfId="373" priority="478" stopIfTrue="1" operator="equal">
      <formula>"Napkin Hs"</formula>
    </cfRule>
  </conditionalFormatting>
  <conditionalFormatting sqref="B119:C119">
    <cfRule type="cellIs" dxfId="372" priority="475" stopIfTrue="1" operator="equal">
      <formula>"Towel"</formula>
    </cfRule>
    <cfRule type="cellIs" dxfId="371" priority="476" stopIfTrue="1" operator="equal">
      <formula>"Napkin Hs"</formula>
    </cfRule>
  </conditionalFormatting>
  <conditionalFormatting sqref="C119">
    <cfRule type="cellIs" dxfId="370" priority="473" stopIfTrue="1" operator="equal">
      <formula>"Towel"</formula>
    </cfRule>
    <cfRule type="cellIs" dxfId="369" priority="474" stopIfTrue="1" operator="equal">
      <formula>"Napkin Hs"</formula>
    </cfRule>
  </conditionalFormatting>
  <conditionalFormatting sqref="C123">
    <cfRule type="cellIs" dxfId="368" priority="467" stopIfTrue="1" operator="equal">
      <formula>"Towel"</formula>
    </cfRule>
    <cfRule type="cellIs" dxfId="367" priority="468" stopIfTrue="1" operator="equal">
      <formula>"Napkin Hs"</formula>
    </cfRule>
  </conditionalFormatting>
  <conditionalFormatting sqref="B123:C123">
    <cfRule type="cellIs" dxfId="366" priority="471" stopIfTrue="1" operator="equal">
      <formula>"Towel"</formula>
    </cfRule>
    <cfRule type="cellIs" dxfId="365" priority="472" stopIfTrue="1" operator="equal">
      <formula>"Napkin Hs"</formula>
    </cfRule>
  </conditionalFormatting>
  <conditionalFormatting sqref="C123">
    <cfRule type="cellIs" dxfId="364" priority="470" stopIfTrue="1" operator="equal">
      <formula>"Napkin Hs"</formula>
    </cfRule>
  </conditionalFormatting>
  <conditionalFormatting sqref="C123">
    <cfRule type="cellIs" dxfId="363" priority="469" stopIfTrue="1" operator="equal">
      <formula>"Towel"</formula>
    </cfRule>
  </conditionalFormatting>
  <conditionalFormatting sqref="B118:C118">
    <cfRule type="cellIs" dxfId="362" priority="465" stopIfTrue="1" operator="equal">
      <formula>"Towel"</formula>
    </cfRule>
    <cfRule type="cellIs" dxfId="361" priority="466" stopIfTrue="1" operator="equal">
      <formula>"Napkin Hs"</formula>
    </cfRule>
  </conditionalFormatting>
  <conditionalFormatting sqref="C118">
    <cfRule type="cellIs" dxfId="360" priority="463" stopIfTrue="1" operator="equal">
      <formula>"Towel"</formula>
    </cfRule>
    <cfRule type="cellIs" dxfId="359" priority="464" stopIfTrue="1" operator="equal">
      <formula>"Napkin Hs"</formula>
    </cfRule>
  </conditionalFormatting>
  <conditionalFormatting sqref="C118">
    <cfRule type="cellIs" dxfId="358" priority="461" stopIfTrue="1" operator="equal">
      <formula>"Towel"</formula>
    </cfRule>
    <cfRule type="cellIs" dxfId="357" priority="462" stopIfTrue="1" operator="equal">
      <formula>"Napkin Hs"</formula>
    </cfRule>
  </conditionalFormatting>
  <conditionalFormatting sqref="C118">
    <cfRule type="cellIs" dxfId="356" priority="455" stopIfTrue="1" operator="equal">
      <formula>"Towel"</formula>
    </cfRule>
    <cfRule type="cellIs" dxfId="355" priority="456" stopIfTrue="1" operator="equal">
      <formula>"Napkin Hs"</formula>
    </cfRule>
  </conditionalFormatting>
  <conditionalFormatting sqref="B118">
    <cfRule type="cellIs" dxfId="354" priority="445" stopIfTrue="1" operator="equal">
      <formula>"Towel"</formula>
    </cfRule>
    <cfRule type="cellIs" dxfId="353" priority="446" stopIfTrue="1" operator="equal">
      <formula>"Napkin Hs"</formula>
    </cfRule>
  </conditionalFormatting>
  <conditionalFormatting sqref="C118">
    <cfRule type="cellIs" dxfId="352" priority="449" stopIfTrue="1" operator="equal">
      <formula>"Towel"</formula>
    </cfRule>
    <cfRule type="cellIs" dxfId="351" priority="450" stopIfTrue="1" operator="equal">
      <formula>"Napkin Hs"</formula>
    </cfRule>
  </conditionalFormatting>
  <conditionalFormatting sqref="C118">
    <cfRule type="cellIs" dxfId="350" priority="459" stopIfTrue="1" operator="equal">
      <formula>"Towel"</formula>
    </cfRule>
    <cfRule type="cellIs" dxfId="349" priority="460" stopIfTrue="1" operator="equal">
      <formula>"Napkin Hs"</formula>
    </cfRule>
  </conditionalFormatting>
  <conditionalFormatting sqref="B118">
    <cfRule type="cellIs" dxfId="348" priority="447" stopIfTrue="1" operator="equal">
      <formula>"Towel"</formula>
    </cfRule>
    <cfRule type="cellIs" dxfId="347" priority="448" stopIfTrue="1" operator="equal">
      <formula>"Napkin Hs"</formula>
    </cfRule>
  </conditionalFormatting>
  <conditionalFormatting sqref="C118">
    <cfRule type="cellIs" dxfId="346" priority="458" stopIfTrue="1" operator="equal">
      <formula>"Napkin Hs"</formula>
    </cfRule>
  </conditionalFormatting>
  <conditionalFormatting sqref="C118">
    <cfRule type="cellIs" dxfId="345" priority="457" stopIfTrue="1" operator="equal">
      <formula>"Towel"</formula>
    </cfRule>
  </conditionalFormatting>
  <conditionalFormatting sqref="C118">
    <cfRule type="cellIs" dxfId="344" priority="453" stopIfTrue="1" operator="equal">
      <formula>"Towel"</formula>
    </cfRule>
    <cfRule type="cellIs" dxfId="343" priority="454" stopIfTrue="1" operator="equal">
      <formula>"Napkin Hs"</formula>
    </cfRule>
  </conditionalFormatting>
  <conditionalFormatting sqref="C118">
    <cfRule type="cellIs" dxfId="342" priority="452" stopIfTrue="1" operator="equal">
      <formula>"Napkin Hs"</formula>
    </cfRule>
  </conditionalFormatting>
  <conditionalFormatting sqref="C118">
    <cfRule type="cellIs" dxfId="341" priority="451" stopIfTrue="1" operator="equal">
      <formula>"Towel"</formula>
    </cfRule>
  </conditionalFormatting>
  <conditionalFormatting sqref="C117">
    <cfRule type="cellIs" dxfId="340" priority="439" stopIfTrue="1" operator="equal">
      <formula>"Towel"</formula>
    </cfRule>
    <cfRule type="cellIs" dxfId="339" priority="440" stopIfTrue="1" operator="equal">
      <formula>"Napkin Hs"</formula>
    </cfRule>
  </conditionalFormatting>
  <conditionalFormatting sqref="C117">
    <cfRule type="cellIs" dxfId="338" priority="433" stopIfTrue="1" operator="equal">
      <formula>"Towel"</formula>
    </cfRule>
    <cfRule type="cellIs" dxfId="337" priority="434" stopIfTrue="1" operator="equal">
      <formula>"Napkin Hs"</formula>
    </cfRule>
  </conditionalFormatting>
  <conditionalFormatting sqref="C117">
    <cfRule type="cellIs" dxfId="336" priority="443" stopIfTrue="1" operator="equal">
      <formula>"Towel"</formula>
    </cfRule>
    <cfRule type="cellIs" dxfId="335" priority="444" stopIfTrue="1" operator="equal">
      <formula>"Napkin Hs"</formula>
    </cfRule>
  </conditionalFormatting>
  <conditionalFormatting sqref="C117">
    <cfRule type="cellIs" dxfId="334" priority="442" stopIfTrue="1" operator="equal">
      <formula>"Napkin Hs"</formula>
    </cfRule>
  </conditionalFormatting>
  <conditionalFormatting sqref="C117">
    <cfRule type="cellIs" dxfId="333" priority="441" stopIfTrue="1" operator="equal">
      <formula>"Towel"</formula>
    </cfRule>
  </conditionalFormatting>
  <conditionalFormatting sqref="C117">
    <cfRule type="cellIs" dxfId="332" priority="437" stopIfTrue="1" operator="equal">
      <formula>"Towel"</formula>
    </cfRule>
    <cfRule type="cellIs" dxfId="331" priority="438" stopIfTrue="1" operator="equal">
      <formula>"Napkin Hs"</formula>
    </cfRule>
  </conditionalFormatting>
  <conditionalFormatting sqref="C117">
    <cfRule type="cellIs" dxfId="330" priority="436" stopIfTrue="1" operator="equal">
      <formula>"Napkin Hs"</formula>
    </cfRule>
  </conditionalFormatting>
  <conditionalFormatting sqref="C117">
    <cfRule type="cellIs" dxfId="329" priority="435" stopIfTrue="1" operator="equal">
      <formula>"Towel"</formula>
    </cfRule>
  </conditionalFormatting>
  <conditionalFormatting sqref="B117">
    <cfRule type="cellIs" dxfId="328" priority="429" stopIfTrue="1" operator="equal">
      <formula>"Towel"</formula>
    </cfRule>
    <cfRule type="cellIs" dxfId="327" priority="430" stopIfTrue="1" operator="equal">
      <formula>"Napkin Hs"</formula>
    </cfRule>
  </conditionalFormatting>
  <conditionalFormatting sqref="B117">
    <cfRule type="cellIs" dxfId="326" priority="431" stopIfTrue="1" operator="equal">
      <formula>"Towel"</formula>
    </cfRule>
    <cfRule type="cellIs" dxfId="325" priority="432" stopIfTrue="1" operator="equal">
      <formula>"Napkin Hs"</formula>
    </cfRule>
  </conditionalFormatting>
  <conditionalFormatting sqref="C116">
    <cfRule type="cellIs" dxfId="324" priority="423" stopIfTrue="1" operator="equal">
      <formula>"Towel"</formula>
    </cfRule>
    <cfRule type="cellIs" dxfId="323" priority="424" stopIfTrue="1" operator="equal">
      <formula>"Napkin Hs"</formula>
    </cfRule>
  </conditionalFormatting>
  <conditionalFormatting sqref="C116">
    <cfRule type="cellIs" dxfId="322" priority="417" stopIfTrue="1" operator="equal">
      <formula>"Towel"</formula>
    </cfRule>
    <cfRule type="cellIs" dxfId="321" priority="418" stopIfTrue="1" operator="equal">
      <formula>"Napkin Hs"</formula>
    </cfRule>
  </conditionalFormatting>
  <conditionalFormatting sqref="C116">
    <cfRule type="cellIs" dxfId="320" priority="427" stopIfTrue="1" operator="equal">
      <formula>"Towel"</formula>
    </cfRule>
    <cfRule type="cellIs" dxfId="319" priority="428" stopIfTrue="1" operator="equal">
      <formula>"Napkin Hs"</formula>
    </cfRule>
  </conditionalFormatting>
  <conditionalFormatting sqref="C116">
    <cfRule type="cellIs" dxfId="318" priority="426" stopIfTrue="1" operator="equal">
      <formula>"Napkin Hs"</formula>
    </cfRule>
  </conditionalFormatting>
  <conditionalFormatting sqref="C116">
    <cfRule type="cellIs" dxfId="317" priority="425" stopIfTrue="1" operator="equal">
      <formula>"Towel"</formula>
    </cfRule>
  </conditionalFormatting>
  <conditionalFormatting sqref="C116">
    <cfRule type="cellIs" dxfId="316" priority="421" stopIfTrue="1" operator="equal">
      <formula>"Towel"</formula>
    </cfRule>
    <cfRule type="cellIs" dxfId="315" priority="422" stopIfTrue="1" operator="equal">
      <formula>"Napkin Hs"</formula>
    </cfRule>
  </conditionalFormatting>
  <conditionalFormatting sqref="C116">
    <cfRule type="cellIs" dxfId="314" priority="420" stopIfTrue="1" operator="equal">
      <formula>"Napkin Hs"</formula>
    </cfRule>
  </conditionalFormatting>
  <conditionalFormatting sqref="C116">
    <cfRule type="cellIs" dxfId="313" priority="419" stopIfTrue="1" operator="equal">
      <formula>"Towel"</formula>
    </cfRule>
  </conditionalFormatting>
  <conditionalFormatting sqref="B116">
    <cfRule type="cellIs" dxfId="312" priority="413" stopIfTrue="1" operator="equal">
      <formula>"Towel"</formula>
    </cfRule>
    <cfRule type="cellIs" dxfId="311" priority="414" stopIfTrue="1" operator="equal">
      <formula>"Napkin Hs"</formula>
    </cfRule>
  </conditionalFormatting>
  <conditionalFormatting sqref="B116">
    <cfRule type="cellIs" dxfId="310" priority="415" stopIfTrue="1" operator="equal">
      <formula>"Towel"</formula>
    </cfRule>
    <cfRule type="cellIs" dxfId="309" priority="416" stopIfTrue="1" operator="equal">
      <formula>"Napkin Hs"</formula>
    </cfRule>
  </conditionalFormatting>
  <conditionalFormatting sqref="B120:C120">
    <cfRule type="cellIs" dxfId="308" priority="411" stopIfTrue="1" operator="equal">
      <formula>"Towel"</formula>
    </cfRule>
    <cfRule type="cellIs" dxfId="307" priority="412" stopIfTrue="1" operator="equal">
      <formula>"Napkin Hs"</formula>
    </cfRule>
  </conditionalFormatting>
  <conditionalFormatting sqref="C120">
    <cfRule type="cellIs" dxfId="306" priority="409" stopIfTrue="1" operator="equal">
      <formula>"Towel"</formula>
    </cfRule>
    <cfRule type="cellIs" dxfId="305" priority="410" stopIfTrue="1" operator="equal">
      <formula>"Napkin Hs"</formula>
    </cfRule>
  </conditionalFormatting>
  <conditionalFormatting sqref="C120">
    <cfRule type="cellIs" dxfId="304" priority="407" stopIfTrue="1" operator="equal">
      <formula>"Towel"</formula>
    </cfRule>
    <cfRule type="cellIs" dxfId="303" priority="408" stopIfTrue="1" operator="equal">
      <formula>"Napkin Hs"</formula>
    </cfRule>
  </conditionalFormatting>
  <conditionalFormatting sqref="B122">
    <cfRule type="cellIs" dxfId="302" priority="387" stopIfTrue="1" operator="equal">
      <formula>"Towel"</formula>
    </cfRule>
    <cfRule type="cellIs" dxfId="301" priority="388" stopIfTrue="1" operator="equal">
      <formula>"Napkin Hs"</formula>
    </cfRule>
  </conditionalFormatting>
  <conditionalFormatting sqref="C122">
    <cfRule type="cellIs" dxfId="300" priority="395" stopIfTrue="1" operator="equal">
      <formula>"Towel"</formula>
    </cfRule>
    <cfRule type="cellIs" dxfId="299" priority="396" stopIfTrue="1" operator="equal">
      <formula>"Napkin Hs"</formula>
    </cfRule>
  </conditionalFormatting>
  <conditionalFormatting sqref="B122">
    <cfRule type="cellIs" dxfId="298" priority="385" stopIfTrue="1" operator="equal">
      <formula>"Towel"</formula>
    </cfRule>
    <cfRule type="cellIs" dxfId="297" priority="386" stopIfTrue="1" operator="equal">
      <formula>"Napkin Hs"</formula>
    </cfRule>
  </conditionalFormatting>
  <conditionalFormatting sqref="C122">
    <cfRule type="cellIs" dxfId="296" priority="389" stopIfTrue="1" operator="equal">
      <formula>"Towel"</formula>
    </cfRule>
    <cfRule type="cellIs" dxfId="295" priority="390" stopIfTrue="1" operator="equal">
      <formula>"Napkin Hs"</formula>
    </cfRule>
  </conditionalFormatting>
  <conditionalFormatting sqref="C122">
    <cfRule type="cellIs" dxfId="294" priority="399" stopIfTrue="1" operator="equal">
      <formula>"Towel"</formula>
    </cfRule>
    <cfRule type="cellIs" dxfId="293" priority="400" stopIfTrue="1" operator="equal">
      <formula>"Napkin Hs"</formula>
    </cfRule>
  </conditionalFormatting>
  <conditionalFormatting sqref="C122">
    <cfRule type="cellIs" dxfId="292" priority="398" stopIfTrue="1" operator="equal">
      <formula>"Napkin Hs"</formula>
    </cfRule>
  </conditionalFormatting>
  <conditionalFormatting sqref="C122">
    <cfRule type="cellIs" dxfId="291" priority="397" stopIfTrue="1" operator="equal">
      <formula>"Towel"</formula>
    </cfRule>
  </conditionalFormatting>
  <conditionalFormatting sqref="C122">
    <cfRule type="cellIs" dxfId="290" priority="393" stopIfTrue="1" operator="equal">
      <formula>"Towel"</formula>
    </cfRule>
    <cfRule type="cellIs" dxfId="289" priority="394" stopIfTrue="1" operator="equal">
      <formula>"Napkin Hs"</formula>
    </cfRule>
  </conditionalFormatting>
  <conditionalFormatting sqref="C122">
    <cfRule type="cellIs" dxfId="288" priority="392" stopIfTrue="1" operator="equal">
      <formula>"Napkin Hs"</formula>
    </cfRule>
  </conditionalFormatting>
  <conditionalFormatting sqref="C122">
    <cfRule type="cellIs" dxfId="287" priority="391" stopIfTrue="1" operator="equal">
      <formula>"Towel"</formula>
    </cfRule>
  </conditionalFormatting>
  <conditionalFormatting sqref="B122:C122">
    <cfRule type="cellIs" dxfId="286" priority="405" stopIfTrue="1" operator="equal">
      <formula>"Towel"</formula>
    </cfRule>
    <cfRule type="cellIs" dxfId="285" priority="406" stopIfTrue="1" operator="equal">
      <formula>"Napkin Hs"</formula>
    </cfRule>
  </conditionalFormatting>
  <conditionalFormatting sqref="C122">
    <cfRule type="cellIs" dxfId="284" priority="403" stopIfTrue="1" operator="equal">
      <formula>"Towel"</formula>
    </cfRule>
    <cfRule type="cellIs" dxfId="283" priority="404" stopIfTrue="1" operator="equal">
      <formula>"Napkin Hs"</formula>
    </cfRule>
  </conditionalFormatting>
  <conditionalFormatting sqref="C122">
    <cfRule type="cellIs" dxfId="282" priority="401" stopIfTrue="1" operator="equal">
      <formula>"Towel"</formula>
    </cfRule>
    <cfRule type="cellIs" dxfId="281" priority="402" stopIfTrue="1" operator="equal">
      <formula>"Napkin Hs"</formula>
    </cfRule>
  </conditionalFormatting>
  <conditionalFormatting sqref="C121">
    <cfRule type="cellIs" dxfId="280" priority="379" stopIfTrue="1" operator="equal">
      <formula>"Towel"</formula>
    </cfRule>
    <cfRule type="cellIs" dxfId="279" priority="380" stopIfTrue="1" operator="equal">
      <formula>"Napkin Hs"</formula>
    </cfRule>
  </conditionalFormatting>
  <conditionalFormatting sqref="B121:C121">
    <cfRule type="cellIs" dxfId="278" priority="383" stopIfTrue="1" operator="equal">
      <formula>"Towel"</formula>
    </cfRule>
    <cfRule type="cellIs" dxfId="277" priority="384" stopIfTrue="1" operator="equal">
      <formula>"Napkin Hs"</formula>
    </cfRule>
  </conditionalFormatting>
  <conditionalFormatting sqref="C121">
    <cfRule type="cellIs" dxfId="276" priority="382" stopIfTrue="1" operator="equal">
      <formula>"Napkin Hs"</formula>
    </cfRule>
  </conditionalFormatting>
  <conditionalFormatting sqref="C121">
    <cfRule type="cellIs" dxfId="275" priority="381" stopIfTrue="1" operator="equal">
      <formula>"Towel"</formula>
    </cfRule>
  </conditionalFormatting>
  <conditionalFormatting sqref="B122:C122">
    <cfRule type="cellIs" dxfId="274" priority="377" stopIfTrue="1" operator="equal">
      <formula>"Towel"</formula>
    </cfRule>
    <cfRule type="cellIs" dxfId="273" priority="378" stopIfTrue="1" operator="equal">
      <formula>"Napkin Hs"</formula>
    </cfRule>
  </conditionalFormatting>
  <conditionalFormatting sqref="C122">
    <cfRule type="cellIs" dxfId="272" priority="375" stopIfTrue="1" operator="equal">
      <formula>"Towel"</formula>
    </cfRule>
    <cfRule type="cellIs" dxfId="271" priority="376" stopIfTrue="1" operator="equal">
      <formula>"Napkin Hs"</formula>
    </cfRule>
  </conditionalFormatting>
  <conditionalFormatting sqref="C122">
    <cfRule type="cellIs" dxfId="270" priority="373" stopIfTrue="1" operator="equal">
      <formula>"Towel"</formula>
    </cfRule>
    <cfRule type="cellIs" dxfId="269" priority="374" stopIfTrue="1" operator="equal">
      <formula>"Napkin Hs"</formula>
    </cfRule>
  </conditionalFormatting>
  <conditionalFormatting sqref="C122">
    <cfRule type="cellIs" dxfId="268" priority="367" stopIfTrue="1" operator="equal">
      <formula>"Towel"</formula>
    </cfRule>
    <cfRule type="cellIs" dxfId="267" priority="368" stopIfTrue="1" operator="equal">
      <formula>"Napkin Hs"</formula>
    </cfRule>
  </conditionalFormatting>
  <conditionalFormatting sqref="B122">
    <cfRule type="cellIs" dxfId="266" priority="357" stopIfTrue="1" operator="equal">
      <formula>"Towel"</formula>
    </cfRule>
    <cfRule type="cellIs" dxfId="265" priority="358" stopIfTrue="1" operator="equal">
      <formula>"Napkin Hs"</formula>
    </cfRule>
  </conditionalFormatting>
  <conditionalFormatting sqref="C122">
    <cfRule type="cellIs" dxfId="264" priority="361" stopIfTrue="1" operator="equal">
      <formula>"Towel"</formula>
    </cfRule>
    <cfRule type="cellIs" dxfId="263" priority="362" stopIfTrue="1" operator="equal">
      <formula>"Napkin Hs"</formula>
    </cfRule>
  </conditionalFormatting>
  <conditionalFormatting sqref="C122">
    <cfRule type="cellIs" dxfId="262" priority="371" stopIfTrue="1" operator="equal">
      <formula>"Towel"</formula>
    </cfRule>
    <cfRule type="cellIs" dxfId="261" priority="372" stopIfTrue="1" operator="equal">
      <formula>"Napkin Hs"</formula>
    </cfRule>
  </conditionalFormatting>
  <conditionalFormatting sqref="B122">
    <cfRule type="cellIs" dxfId="260" priority="359" stopIfTrue="1" operator="equal">
      <formula>"Towel"</formula>
    </cfRule>
    <cfRule type="cellIs" dxfId="259" priority="360" stopIfTrue="1" operator="equal">
      <formula>"Napkin Hs"</formula>
    </cfRule>
  </conditionalFormatting>
  <conditionalFormatting sqref="C122">
    <cfRule type="cellIs" dxfId="258" priority="370" stopIfTrue="1" operator="equal">
      <formula>"Napkin Hs"</formula>
    </cfRule>
  </conditionalFormatting>
  <conditionalFormatting sqref="C122">
    <cfRule type="cellIs" dxfId="257" priority="369" stopIfTrue="1" operator="equal">
      <formula>"Towel"</formula>
    </cfRule>
  </conditionalFormatting>
  <conditionalFormatting sqref="C122">
    <cfRule type="cellIs" dxfId="256" priority="365" stopIfTrue="1" operator="equal">
      <formula>"Towel"</formula>
    </cfRule>
    <cfRule type="cellIs" dxfId="255" priority="366" stopIfTrue="1" operator="equal">
      <formula>"Napkin Hs"</formula>
    </cfRule>
  </conditionalFormatting>
  <conditionalFormatting sqref="C122">
    <cfRule type="cellIs" dxfId="254" priority="364" stopIfTrue="1" operator="equal">
      <formula>"Napkin Hs"</formula>
    </cfRule>
  </conditionalFormatting>
  <conditionalFormatting sqref="C122">
    <cfRule type="cellIs" dxfId="253" priority="363" stopIfTrue="1" operator="equal">
      <formula>"Towel"</formula>
    </cfRule>
  </conditionalFormatting>
  <conditionalFormatting sqref="C121">
    <cfRule type="cellIs" dxfId="252" priority="351" stopIfTrue="1" operator="equal">
      <formula>"Towel"</formula>
    </cfRule>
    <cfRule type="cellIs" dxfId="251" priority="352" stopIfTrue="1" operator="equal">
      <formula>"Napkin Hs"</formula>
    </cfRule>
  </conditionalFormatting>
  <conditionalFormatting sqref="C121">
    <cfRule type="cellIs" dxfId="250" priority="345" stopIfTrue="1" operator="equal">
      <formula>"Towel"</formula>
    </cfRule>
    <cfRule type="cellIs" dxfId="249" priority="346" stopIfTrue="1" operator="equal">
      <formula>"Napkin Hs"</formula>
    </cfRule>
  </conditionalFormatting>
  <conditionalFormatting sqref="C121">
    <cfRule type="cellIs" dxfId="248" priority="355" stopIfTrue="1" operator="equal">
      <formula>"Towel"</formula>
    </cfRule>
    <cfRule type="cellIs" dxfId="247" priority="356" stopIfTrue="1" operator="equal">
      <formula>"Napkin Hs"</formula>
    </cfRule>
  </conditionalFormatting>
  <conditionalFormatting sqref="C121">
    <cfRule type="cellIs" dxfId="246" priority="354" stopIfTrue="1" operator="equal">
      <formula>"Napkin Hs"</formula>
    </cfRule>
  </conditionalFormatting>
  <conditionalFormatting sqref="C121">
    <cfRule type="cellIs" dxfId="245" priority="353" stopIfTrue="1" operator="equal">
      <formula>"Towel"</formula>
    </cfRule>
  </conditionalFormatting>
  <conditionalFormatting sqref="C121">
    <cfRule type="cellIs" dxfId="244" priority="349" stopIfTrue="1" operator="equal">
      <formula>"Towel"</formula>
    </cfRule>
    <cfRule type="cellIs" dxfId="243" priority="350" stopIfTrue="1" operator="equal">
      <formula>"Napkin Hs"</formula>
    </cfRule>
  </conditionalFormatting>
  <conditionalFormatting sqref="C121">
    <cfRule type="cellIs" dxfId="242" priority="348" stopIfTrue="1" operator="equal">
      <formula>"Napkin Hs"</formula>
    </cfRule>
  </conditionalFormatting>
  <conditionalFormatting sqref="C121">
    <cfRule type="cellIs" dxfId="241" priority="347" stopIfTrue="1" operator="equal">
      <formula>"Towel"</formula>
    </cfRule>
  </conditionalFormatting>
  <conditionalFormatting sqref="B121">
    <cfRule type="cellIs" dxfId="240" priority="341" stopIfTrue="1" operator="equal">
      <formula>"Towel"</formula>
    </cfRule>
    <cfRule type="cellIs" dxfId="239" priority="342" stopIfTrue="1" operator="equal">
      <formula>"Napkin Hs"</formula>
    </cfRule>
  </conditionalFormatting>
  <conditionalFormatting sqref="B121">
    <cfRule type="cellIs" dxfId="238" priority="343" stopIfTrue="1" operator="equal">
      <formula>"Towel"</formula>
    </cfRule>
    <cfRule type="cellIs" dxfId="237" priority="344" stopIfTrue="1" operator="equal">
      <formula>"Napkin Hs"</formula>
    </cfRule>
  </conditionalFormatting>
  <conditionalFormatting sqref="C120">
    <cfRule type="cellIs" dxfId="236" priority="335" stopIfTrue="1" operator="equal">
      <formula>"Towel"</formula>
    </cfRule>
    <cfRule type="cellIs" dxfId="235" priority="336" stopIfTrue="1" operator="equal">
      <formula>"Napkin Hs"</formula>
    </cfRule>
  </conditionalFormatting>
  <conditionalFormatting sqref="C120">
    <cfRule type="cellIs" dxfId="234" priority="329" stopIfTrue="1" operator="equal">
      <formula>"Towel"</formula>
    </cfRule>
    <cfRule type="cellIs" dxfId="233" priority="330" stopIfTrue="1" operator="equal">
      <formula>"Napkin Hs"</formula>
    </cfRule>
  </conditionalFormatting>
  <conditionalFormatting sqref="C120">
    <cfRule type="cellIs" dxfId="232" priority="339" stopIfTrue="1" operator="equal">
      <formula>"Towel"</formula>
    </cfRule>
    <cfRule type="cellIs" dxfId="231" priority="340" stopIfTrue="1" operator="equal">
      <formula>"Napkin Hs"</formula>
    </cfRule>
  </conditionalFormatting>
  <conditionalFormatting sqref="C120">
    <cfRule type="cellIs" dxfId="230" priority="338" stopIfTrue="1" operator="equal">
      <formula>"Napkin Hs"</formula>
    </cfRule>
  </conditionalFormatting>
  <conditionalFormatting sqref="C120">
    <cfRule type="cellIs" dxfId="229" priority="337" stopIfTrue="1" operator="equal">
      <formula>"Towel"</formula>
    </cfRule>
  </conditionalFormatting>
  <conditionalFormatting sqref="C120">
    <cfRule type="cellIs" dxfId="228" priority="333" stopIfTrue="1" operator="equal">
      <formula>"Towel"</formula>
    </cfRule>
    <cfRule type="cellIs" dxfId="227" priority="334" stopIfTrue="1" operator="equal">
      <formula>"Napkin Hs"</formula>
    </cfRule>
  </conditionalFormatting>
  <conditionalFormatting sqref="C120">
    <cfRule type="cellIs" dxfId="226" priority="332" stopIfTrue="1" operator="equal">
      <formula>"Napkin Hs"</formula>
    </cfRule>
  </conditionalFormatting>
  <conditionalFormatting sqref="C120">
    <cfRule type="cellIs" dxfId="225" priority="331" stopIfTrue="1" operator="equal">
      <formula>"Towel"</formula>
    </cfRule>
  </conditionalFormatting>
  <conditionalFormatting sqref="B120">
    <cfRule type="cellIs" dxfId="224" priority="325" stopIfTrue="1" operator="equal">
      <formula>"Towel"</formula>
    </cfRule>
    <cfRule type="cellIs" dxfId="223" priority="326" stopIfTrue="1" operator="equal">
      <formula>"Napkin Hs"</formula>
    </cfRule>
  </conditionalFormatting>
  <conditionalFormatting sqref="B120">
    <cfRule type="cellIs" dxfId="222" priority="327" stopIfTrue="1" operator="equal">
      <formula>"Towel"</formula>
    </cfRule>
    <cfRule type="cellIs" dxfId="221" priority="328" stopIfTrue="1" operator="equal">
      <formula>"Napkin Hs"</formula>
    </cfRule>
  </conditionalFormatting>
  <conditionalFormatting sqref="B124:C125">
    <cfRule type="cellIs" dxfId="220" priority="323" stopIfTrue="1" operator="equal">
      <formula>"Towel"</formula>
    </cfRule>
    <cfRule type="cellIs" dxfId="219" priority="324" stopIfTrue="1" operator="equal">
      <formula>"Napkin Hs"</formula>
    </cfRule>
  </conditionalFormatting>
  <conditionalFormatting sqref="C124:C125">
    <cfRule type="cellIs" dxfId="218" priority="321" stopIfTrue="1" operator="equal">
      <formula>"Towel"</formula>
    </cfRule>
    <cfRule type="cellIs" dxfId="217" priority="322" stopIfTrue="1" operator="equal">
      <formula>"Napkin Hs"</formula>
    </cfRule>
  </conditionalFormatting>
  <conditionalFormatting sqref="C124:C125">
    <cfRule type="cellIs" dxfId="216" priority="319" stopIfTrue="1" operator="equal">
      <formula>"Towel"</formula>
    </cfRule>
    <cfRule type="cellIs" dxfId="215" priority="320" stopIfTrue="1" operator="equal">
      <formula>"Napkin Hs"</formula>
    </cfRule>
  </conditionalFormatting>
  <conditionalFormatting sqref="B126">
    <cfRule type="cellIs" dxfId="214" priority="299" stopIfTrue="1" operator="equal">
      <formula>"Towel"</formula>
    </cfRule>
    <cfRule type="cellIs" dxfId="213" priority="300" stopIfTrue="1" operator="equal">
      <formula>"Napkin Hs"</formula>
    </cfRule>
  </conditionalFormatting>
  <conditionalFormatting sqref="C126">
    <cfRule type="cellIs" dxfId="212" priority="307" stopIfTrue="1" operator="equal">
      <formula>"Towel"</formula>
    </cfRule>
    <cfRule type="cellIs" dxfId="211" priority="308" stopIfTrue="1" operator="equal">
      <formula>"Napkin Hs"</formula>
    </cfRule>
  </conditionalFormatting>
  <conditionalFormatting sqref="B126">
    <cfRule type="cellIs" dxfId="210" priority="297" stopIfTrue="1" operator="equal">
      <formula>"Towel"</formula>
    </cfRule>
    <cfRule type="cellIs" dxfId="209" priority="298" stopIfTrue="1" operator="equal">
      <formula>"Napkin Hs"</formula>
    </cfRule>
  </conditionalFormatting>
  <conditionalFormatting sqref="C126">
    <cfRule type="cellIs" dxfId="208" priority="301" stopIfTrue="1" operator="equal">
      <formula>"Towel"</formula>
    </cfRule>
    <cfRule type="cellIs" dxfId="207" priority="302" stopIfTrue="1" operator="equal">
      <formula>"Napkin Hs"</formula>
    </cfRule>
  </conditionalFormatting>
  <conditionalFormatting sqref="C126">
    <cfRule type="cellIs" dxfId="206" priority="311" stopIfTrue="1" operator="equal">
      <formula>"Towel"</formula>
    </cfRule>
    <cfRule type="cellIs" dxfId="205" priority="312" stopIfTrue="1" operator="equal">
      <formula>"Napkin Hs"</formula>
    </cfRule>
  </conditionalFormatting>
  <conditionalFormatting sqref="C126">
    <cfRule type="cellIs" dxfId="204" priority="310" stopIfTrue="1" operator="equal">
      <formula>"Napkin Hs"</formula>
    </cfRule>
  </conditionalFormatting>
  <conditionalFormatting sqref="C126">
    <cfRule type="cellIs" dxfId="203" priority="309" stopIfTrue="1" operator="equal">
      <formula>"Towel"</formula>
    </cfRule>
  </conditionalFormatting>
  <conditionalFormatting sqref="C126">
    <cfRule type="cellIs" dxfId="202" priority="305" stopIfTrue="1" operator="equal">
      <formula>"Towel"</formula>
    </cfRule>
    <cfRule type="cellIs" dxfId="201" priority="306" stopIfTrue="1" operator="equal">
      <formula>"Napkin Hs"</formula>
    </cfRule>
  </conditionalFormatting>
  <conditionalFormatting sqref="C126">
    <cfRule type="cellIs" dxfId="200" priority="304" stopIfTrue="1" operator="equal">
      <formula>"Napkin Hs"</formula>
    </cfRule>
  </conditionalFormatting>
  <conditionalFormatting sqref="C126">
    <cfRule type="cellIs" dxfId="199" priority="303" stopIfTrue="1" operator="equal">
      <formula>"Towel"</formula>
    </cfRule>
  </conditionalFormatting>
  <conditionalFormatting sqref="B126:C126">
    <cfRule type="cellIs" dxfId="198" priority="317" stopIfTrue="1" operator="equal">
      <formula>"Towel"</formula>
    </cfRule>
    <cfRule type="cellIs" dxfId="197" priority="318" stopIfTrue="1" operator="equal">
      <formula>"Napkin Hs"</formula>
    </cfRule>
  </conditionalFormatting>
  <conditionalFormatting sqref="C126">
    <cfRule type="cellIs" dxfId="196" priority="315" stopIfTrue="1" operator="equal">
      <formula>"Towel"</formula>
    </cfRule>
    <cfRule type="cellIs" dxfId="195" priority="316" stopIfTrue="1" operator="equal">
      <formula>"Napkin Hs"</formula>
    </cfRule>
  </conditionalFormatting>
  <conditionalFormatting sqref="C126">
    <cfRule type="cellIs" dxfId="194" priority="313" stopIfTrue="1" operator="equal">
      <formula>"Towel"</formula>
    </cfRule>
    <cfRule type="cellIs" dxfId="193" priority="314" stopIfTrue="1" operator="equal">
      <formula>"Napkin Hs"</formula>
    </cfRule>
  </conditionalFormatting>
  <conditionalFormatting sqref="B126:C126">
    <cfRule type="cellIs" dxfId="192" priority="295" stopIfTrue="1" operator="equal">
      <formula>"Towel"</formula>
    </cfRule>
    <cfRule type="cellIs" dxfId="191" priority="296" stopIfTrue="1" operator="equal">
      <formula>"Napkin Hs"</formula>
    </cfRule>
  </conditionalFormatting>
  <conditionalFormatting sqref="C126">
    <cfRule type="cellIs" dxfId="190" priority="293" stopIfTrue="1" operator="equal">
      <formula>"Towel"</formula>
    </cfRule>
    <cfRule type="cellIs" dxfId="189" priority="294" stopIfTrue="1" operator="equal">
      <formula>"Napkin Hs"</formula>
    </cfRule>
  </conditionalFormatting>
  <conditionalFormatting sqref="C126">
    <cfRule type="cellIs" dxfId="188" priority="291" stopIfTrue="1" operator="equal">
      <formula>"Towel"</formula>
    </cfRule>
    <cfRule type="cellIs" dxfId="187" priority="292" stopIfTrue="1" operator="equal">
      <formula>"Napkin Hs"</formula>
    </cfRule>
  </conditionalFormatting>
  <conditionalFormatting sqref="C126">
    <cfRule type="cellIs" dxfId="186" priority="285" stopIfTrue="1" operator="equal">
      <formula>"Towel"</formula>
    </cfRule>
    <cfRule type="cellIs" dxfId="185" priority="286" stopIfTrue="1" operator="equal">
      <formula>"Napkin Hs"</formula>
    </cfRule>
  </conditionalFormatting>
  <conditionalFormatting sqref="B126">
    <cfRule type="cellIs" dxfId="184" priority="275" stopIfTrue="1" operator="equal">
      <formula>"Towel"</formula>
    </cfRule>
    <cfRule type="cellIs" dxfId="183" priority="276" stopIfTrue="1" operator="equal">
      <formula>"Napkin Hs"</formula>
    </cfRule>
  </conditionalFormatting>
  <conditionalFormatting sqref="C126">
    <cfRule type="cellIs" dxfId="182" priority="279" stopIfTrue="1" operator="equal">
      <formula>"Towel"</formula>
    </cfRule>
    <cfRule type="cellIs" dxfId="181" priority="280" stopIfTrue="1" operator="equal">
      <formula>"Napkin Hs"</formula>
    </cfRule>
  </conditionalFormatting>
  <conditionalFormatting sqref="C126">
    <cfRule type="cellIs" dxfId="180" priority="289" stopIfTrue="1" operator="equal">
      <formula>"Towel"</formula>
    </cfRule>
    <cfRule type="cellIs" dxfId="179" priority="290" stopIfTrue="1" operator="equal">
      <formula>"Napkin Hs"</formula>
    </cfRule>
  </conditionalFormatting>
  <conditionalFormatting sqref="B126">
    <cfRule type="cellIs" dxfId="178" priority="277" stopIfTrue="1" operator="equal">
      <formula>"Towel"</formula>
    </cfRule>
    <cfRule type="cellIs" dxfId="177" priority="278" stopIfTrue="1" operator="equal">
      <formula>"Napkin Hs"</formula>
    </cfRule>
  </conditionalFormatting>
  <conditionalFormatting sqref="C126">
    <cfRule type="cellIs" dxfId="176" priority="288" stopIfTrue="1" operator="equal">
      <formula>"Napkin Hs"</formula>
    </cfRule>
  </conditionalFormatting>
  <conditionalFormatting sqref="C126">
    <cfRule type="cellIs" dxfId="175" priority="287" stopIfTrue="1" operator="equal">
      <formula>"Towel"</formula>
    </cfRule>
  </conditionalFormatting>
  <conditionalFormatting sqref="C126">
    <cfRule type="cellIs" dxfId="174" priority="283" stopIfTrue="1" operator="equal">
      <formula>"Towel"</formula>
    </cfRule>
    <cfRule type="cellIs" dxfId="173" priority="284" stopIfTrue="1" operator="equal">
      <formula>"Napkin Hs"</formula>
    </cfRule>
  </conditionalFormatting>
  <conditionalFormatting sqref="C126">
    <cfRule type="cellIs" dxfId="172" priority="282" stopIfTrue="1" operator="equal">
      <formula>"Napkin Hs"</formula>
    </cfRule>
  </conditionalFormatting>
  <conditionalFormatting sqref="C126">
    <cfRule type="cellIs" dxfId="171" priority="281" stopIfTrue="1" operator="equal">
      <formula>"Towel"</formula>
    </cfRule>
  </conditionalFormatting>
  <conditionalFormatting sqref="C124:C125">
    <cfRule type="cellIs" dxfId="170" priority="269" stopIfTrue="1" operator="equal">
      <formula>"Towel"</formula>
    </cfRule>
    <cfRule type="cellIs" dxfId="169" priority="270" stopIfTrue="1" operator="equal">
      <formula>"Napkin Hs"</formula>
    </cfRule>
  </conditionalFormatting>
  <conditionalFormatting sqref="C124:C125">
    <cfRule type="cellIs" dxfId="168" priority="263" stopIfTrue="1" operator="equal">
      <formula>"Towel"</formula>
    </cfRule>
    <cfRule type="cellIs" dxfId="167" priority="264" stopIfTrue="1" operator="equal">
      <formula>"Napkin Hs"</formula>
    </cfRule>
  </conditionalFormatting>
  <conditionalFormatting sqref="C124:C125">
    <cfRule type="cellIs" dxfId="166" priority="273" stopIfTrue="1" operator="equal">
      <formula>"Towel"</formula>
    </cfRule>
    <cfRule type="cellIs" dxfId="165" priority="274" stopIfTrue="1" operator="equal">
      <formula>"Napkin Hs"</formula>
    </cfRule>
  </conditionalFormatting>
  <conditionalFormatting sqref="C124:C125">
    <cfRule type="cellIs" dxfId="164" priority="272" stopIfTrue="1" operator="equal">
      <formula>"Napkin Hs"</formula>
    </cfRule>
  </conditionalFormatting>
  <conditionalFormatting sqref="C124:C125">
    <cfRule type="cellIs" dxfId="163" priority="271" stopIfTrue="1" operator="equal">
      <formula>"Towel"</formula>
    </cfRule>
  </conditionalFormatting>
  <conditionalFormatting sqref="C124:C125">
    <cfRule type="cellIs" dxfId="162" priority="267" stopIfTrue="1" operator="equal">
      <formula>"Towel"</formula>
    </cfRule>
    <cfRule type="cellIs" dxfId="161" priority="268" stopIfTrue="1" operator="equal">
      <formula>"Napkin Hs"</formula>
    </cfRule>
  </conditionalFormatting>
  <conditionalFormatting sqref="C124:C125">
    <cfRule type="cellIs" dxfId="160" priority="266" stopIfTrue="1" operator="equal">
      <formula>"Napkin Hs"</formula>
    </cfRule>
  </conditionalFormatting>
  <conditionalFormatting sqref="C124:C125">
    <cfRule type="cellIs" dxfId="159" priority="265" stopIfTrue="1" operator="equal">
      <formula>"Towel"</formula>
    </cfRule>
  </conditionalFormatting>
  <conditionalFormatting sqref="B124:B125">
    <cfRule type="cellIs" dxfId="158" priority="259" stopIfTrue="1" operator="equal">
      <formula>"Towel"</formula>
    </cfRule>
    <cfRule type="cellIs" dxfId="157" priority="260" stopIfTrue="1" operator="equal">
      <formula>"Napkin Hs"</formula>
    </cfRule>
  </conditionalFormatting>
  <conditionalFormatting sqref="B124:B125">
    <cfRule type="cellIs" dxfId="156" priority="261" stopIfTrue="1" operator="equal">
      <formula>"Towel"</formula>
    </cfRule>
    <cfRule type="cellIs" dxfId="155" priority="262" stopIfTrue="1" operator="equal">
      <formula>"Napkin Hs"</formula>
    </cfRule>
  </conditionalFormatting>
  <conditionalFormatting sqref="B131">
    <cfRule type="cellIs" dxfId="154" priority="167" stopIfTrue="1" operator="equal">
      <formula>"Towel"</formula>
    </cfRule>
    <cfRule type="cellIs" dxfId="153" priority="168" stopIfTrue="1" operator="equal">
      <formula>"Napkin Hs"</formula>
    </cfRule>
  </conditionalFormatting>
  <conditionalFormatting sqref="C131">
    <cfRule type="cellIs" dxfId="152" priority="175" stopIfTrue="1" operator="equal">
      <formula>"Towel"</formula>
    </cfRule>
    <cfRule type="cellIs" dxfId="151" priority="176" stopIfTrue="1" operator="equal">
      <formula>"Napkin Hs"</formula>
    </cfRule>
  </conditionalFormatting>
  <conditionalFormatting sqref="B131">
    <cfRule type="cellIs" dxfId="150" priority="165" stopIfTrue="1" operator="equal">
      <formula>"Towel"</formula>
    </cfRule>
    <cfRule type="cellIs" dxfId="149" priority="166" stopIfTrue="1" operator="equal">
      <formula>"Napkin Hs"</formula>
    </cfRule>
  </conditionalFormatting>
  <conditionalFormatting sqref="C131">
    <cfRule type="cellIs" dxfId="148" priority="169" stopIfTrue="1" operator="equal">
      <formula>"Towel"</formula>
    </cfRule>
    <cfRule type="cellIs" dxfId="147" priority="170" stopIfTrue="1" operator="equal">
      <formula>"Napkin Hs"</formula>
    </cfRule>
  </conditionalFormatting>
  <conditionalFormatting sqref="C131">
    <cfRule type="cellIs" dxfId="146" priority="179" stopIfTrue="1" operator="equal">
      <formula>"Towel"</formula>
    </cfRule>
    <cfRule type="cellIs" dxfId="145" priority="180" stopIfTrue="1" operator="equal">
      <formula>"Napkin Hs"</formula>
    </cfRule>
  </conditionalFormatting>
  <conditionalFormatting sqref="C131">
    <cfRule type="cellIs" dxfId="144" priority="178" stopIfTrue="1" operator="equal">
      <formula>"Napkin Hs"</formula>
    </cfRule>
  </conditionalFormatting>
  <conditionalFormatting sqref="C131">
    <cfRule type="cellIs" dxfId="143" priority="177" stopIfTrue="1" operator="equal">
      <formula>"Towel"</formula>
    </cfRule>
  </conditionalFormatting>
  <conditionalFormatting sqref="C131">
    <cfRule type="cellIs" dxfId="142" priority="173" stopIfTrue="1" operator="equal">
      <formula>"Towel"</formula>
    </cfRule>
    <cfRule type="cellIs" dxfId="141" priority="174" stopIfTrue="1" operator="equal">
      <formula>"Napkin Hs"</formula>
    </cfRule>
  </conditionalFormatting>
  <conditionalFormatting sqref="C131">
    <cfRule type="cellIs" dxfId="140" priority="172" stopIfTrue="1" operator="equal">
      <formula>"Napkin Hs"</formula>
    </cfRule>
  </conditionalFormatting>
  <conditionalFormatting sqref="C131">
    <cfRule type="cellIs" dxfId="139" priority="171" stopIfTrue="1" operator="equal">
      <formula>"Towel"</formula>
    </cfRule>
  </conditionalFormatting>
  <conditionalFormatting sqref="B131:C131">
    <cfRule type="cellIs" dxfId="138" priority="185" stopIfTrue="1" operator="equal">
      <formula>"Towel"</formula>
    </cfRule>
    <cfRule type="cellIs" dxfId="137" priority="186" stopIfTrue="1" operator="equal">
      <formula>"Napkin Hs"</formula>
    </cfRule>
  </conditionalFormatting>
  <conditionalFormatting sqref="C131">
    <cfRule type="cellIs" dxfId="136" priority="183" stopIfTrue="1" operator="equal">
      <formula>"Towel"</formula>
    </cfRule>
    <cfRule type="cellIs" dxfId="135" priority="184" stopIfTrue="1" operator="equal">
      <formula>"Napkin Hs"</formula>
    </cfRule>
  </conditionalFormatting>
  <conditionalFormatting sqref="C131">
    <cfRule type="cellIs" dxfId="134" priority="181" stopIfTrue="1" operator="equal">
      <formula>"Towel"</formula>
    </cfRule>
    <cfRule type="cellIs" dxfId="133" priority="182" stopIfTrue="1" operator="equal">
      <formula>"Napkin Hs"</formula>
    </cfRule>
  </conditionalFormatting>
  <conditionalFormatting sqref="B128:C129">
    <cfRule type="cellIs" dxfId="132" priority="163" stopIfTrue="1" operator="equal">
      <formula>"Towel"</formula>
    </cfRule>
    <cfRule type="cellIs" dxfId="131" priority="164" stopIfTrue="1" operator="equal">
      <formula>"Napkin Hs"</formula>
    </cfRule>
  </conditionalFormatting>
  <conditionalFormatting sqref="C128:C129">
    <cfRule type="cellIs" dxfId="130" priority="161" stopIfTrue="1" operator="equal">
      <formula>"Towel"</formula>
    </cfRule>
    <cfRule type="cellIs" dxfId="129" priority="162" stopIfTrue="1" operator="equal">
      <formula>"Napkin Hs"</formula>
    </cfRule>
  </conditionalFormatting>
  <conditionalFormatting sqref="C128:C129">
    <cfRule type="cellIs" dxfId="128" priority="159" stopIfTrue="1" operator="equal">
      <formula>"Towel"</formula>
    </cfRule>
    <cfRule type="cellIs" dxfId="127" priority="160" stopIfTrue="1" operator="equal">
      <formula>"Napkin Hs"</formula>
    </cfRule>
  </conditionalFormatting>
  <conditionalFormatting sqref="B130">
    <cfRule type="cellIs" dxfId="126" priority="139" stopIfTrue="1" operator="equal">
      <formula>"Towel"</formula>
    </cfRule>
    <cfRule type="cellIs" dxfId="125" priority="140" stopIfTrue="1" operator="equal">
      <formula>"Napkin Hs"</formula>
    </cfRule>
  </conditionalFormatting>
  <conditionalFormatting sqref="C130">
    <cfRule type="cellIs" dxfId="124" priority="147" stopIfTrue="1" operator="equal">
      <formula>"Towel"</formula>
    </cfRule>
    <cfRule type="cellIs" dxfId="123" priority="148" stopIfTrue="1" operator="equal">
      <formula>"Napkin Hs"</formula>
    </cfRule>
  </conditionalFormatting>
  <conditionalFormatting sqref="B130">
    <cfRule type="cellIs" dxfId="122" priority="137" stopIfTrue="1" operator="equal">
      <formula>"Towel"</formula>
    </cfRule>
    <cfRule type="cellIs" dxfId="121" priority="138" stopIfTrue="1" operator="equal">
      <formula>"Napkin Hs"</formula>
    </cfRule>
  </conditionalFormatting>
  <conditionalFormatting sqref="C130">
    <cfRule type="cellIs" dxfId="120" priority="141" stopIfTrue="1" operator="equal">
      <formula>"Towel"</formula>
    </cfRule>
    <cfRule type="cellIs" dxfId="119" priority="142" stopIfTrue="1" operator="equal">
      <formula>"Napkin Hs"</formula>
    </cfRule>
  </conditionalFormatting>
  <conditionalFormatting sqref="C130">
    <cfRule type="cellIs" dxfId="118" priority="151" stopIfTrue="1" operator="equal">
      <formula>"Towel"</formula>
    </cfRule>
    <cfRule type="cellIs" dxfId="117" priority="152" stopIfTrue="1" operator="equal">
      <formula>"Napkin Hs"</formula>
    </cfRule>
  </conditionalFormatting>
  <conditionalFormatting sqref="C130">
    <cfRule type="cellIs" dxfId="116" priority="150" stopIfTrue="1" operator="equal">
      <formula>"Napkin Hs"</formula>
    </cfRule>
  </conditionalFormatting>
  <conditionalFormatting sqref="C130">
    <cfRule type="cellIs" dxfId="115" priority="149" stopIfTrue="1" operator="equal">
      <formula>"Towel"</formula>
    </cfRule>
  </conditionalFormatting>
  <conditionalFormatting sqref="C130">
    <cfRule type="cellIs" dxfId="114" priority="145" stopIfTrue="1" operator="equal">
      <formula>"Towel"</formula>
    </cfRule>
    <cfRule type="cellIs" dxfId="113" priority="146" stopIfTrue="1" operator="equal">
      <formula>"Napkin Hs"</formula>
    </cfRule>
  </conditionalFormatting>
  <conditionalFormatting sqref="C130">
    <cfRule type="cellIs" dxfId="112" priority="144" stopIfTrue="1" operator="equal">
      <formula>"Napkin Hs"</formula>
    </cfRule>
  </conditionalFormatting>
  <conditionalFormatting sqref="C130">
    <cfRule type="cellIs" dxfId="111" priority="143" stopIfTrue="1" operator="equal">
      <formula>"Towel"</formula>
    </cfRule>
  </conditionalFormatting>
  <conditionalFormatting sqref="B130:C130">
    <cfRule type="cellIs" dxfId="110" priority="157" stopIfTrue="1" operator="equal">
      <formula>"Towel"</formula>
    </cfRule>
    <cfRule type="cellIs" dxfId="109" priority="158" stopIfTrue="1" operator="equal">
      <formula>"Napkin Hs"</formula>
    </cfRule>
  </conditionalFormatting>
  <conditionalFormatting sqref="C130">
    <cfRule type="cellIs" dxfId="108" priority="155" stopIfTrue="1" operator="equal">
      <formula>"Towel"</formula>
    </cfRule>
    <cfRule type="cellIs" dxfId="107" priority="156" stopIfTrue="1" operator="equal">
      <formula>"Napkin Hs"</formula>
    </cfRule>
  </conditionalFormatting>
  <conditionalFormatting sqref="C130">
    <cfRule type="cellIs" dxfId="106" priority="153" stopIfTrue="1" operator="equal">
      <formula>"Towel"</formula>
    </cfRule>
    <cfRule type="cellIs" dxfId="105" priority="154" stopIfTrue="1" operator="equal">
      <formula>"Napkin Hs"</formula>
    </cfRule>
  </conditionalFormatting>
  <conditionalFormatting sqref="B130:C130">
    <cfRule type="cellIs" dxfId="104" priority="135" stopIfTrue="1" operator="equal">
      <formula>"Towel"</formula>
    </cfRule>
    <cfRule type="cellIs" dxfId="103" priority="136" stopIfTrue="1" operator="equal">
      <formula>"Napkin Hs"</formula>
    </cfRule>
  </conditionalFormatting>
  <conditionalFormatting sqref="C130">
    <cfRule type="cellIs" dxfId="102" priority="133" stopIfTrue="1" operator="equal">
      <formula>"Towel"</formula>
    </cfRule>
    <cfRule type="cellIs" dxfId="101" priority="134" stopIfTrue="1" operator="equal">
      <formula>"Napkin Hs"</formula>
    </cfRule>
  </conditionalFormatting>
  <conditionalFormatting sqref="C130">
    <cfRule type="cellIs" dxfId="100" priority="131" stopIfTrue="1" operator="equal">
      <formula>"Towel"</formula>
    </cfRule>
    <cfRule type="cellIs" dxfId="99" priority="132" stopIfTrue="1" operator="equal">
      <formula>"Napkin Hs"</formula>
    </cfRule>
  </conditionalFormatting>
  <conditionalFormatting sqref="C130">
    <cfRule type="cellIs" dxfId="98" priority="125" stopIfTrue="1" operator="equal">
      <formula>"Towel"</formula>
    </cfRule>
    <cfRule type="cellIs" dxfId="97" priority="126" stopIfTrue="1" operator="equal">
      <formula>"Napkin Hs"</formula>
    </cfRule>
  </conditionalFormatting>
  <conditionalFormatting sqref="B130">
    <cfRule type="cellIs" dxfId="96" priority="115" stopIfTrue="1" operator="equal">
      <formula>"Towel"</formula>
    </cfRule>
    <cfRule type="cellIs" dxfId="95" priority="116" stopIfTrue="1" operator="equal">
      <formula>"Napkin Hs"</formula>
    </cfRule>
  </conditionalFormatting>
  <conditionalFormatting sqref="C130">
    <cfRule type="cellIs" dxfId="94" priority="119" stopIfTrue="1" operator="equal">
      <formula>"Towel"</formula>
    </cfRule>
    <cfRule type="cellIs" dxfId="93" priority="120" stopIfTrue="1" operator="equal">
      <formula>"Napkin Hs"</formula>
    </cfRule>
  </conditionalFormatting>
  <conditionalFormatting sqref="C130">
    <cfRule type="cellIs" dxfId="92" priority="129" stopIfTrue="1" operator="equal">
      <formula>"Towel"</formula>
    </cfRule>
    <cfRule type="cellIs" dxfId="91" priority="130" stopIfTrue="1" operator="equal">
      <formula>"Napkin Hs"</formula>
    </cfRule>
  </conditionalFormatting>
  <conditionalFormatting sqref="B130">
    <cfRule type="cellIs" dxfId="90" priority="117" stopIfTrue="1" operator="equal">
      <formula>"Towel"</formula>
    </cfRule>
    <cfRule type="cellIs" dxfId="89" priority="118" stopIfTrue="1" operator="equal">
      <formula>"Napkin Hs"</formula>
    </cfRule>
  </conditionalFormatting>
  <conditionalFormatting sqref="C130">
    <cfRule type="cellIs" dxfId="88" priority="128" stopIfTrue="1" operator="equal">
      <formula>"Napkin Hs"</formula>
    </cfRule>
  </conditionalFormatting>
  <conditionalFormatting sqref="C130">
    <cfRule type="cellIs" dxfId="87" priority="127" stopIfTrue="1" operator="equal">
      <formula>"Towel"</formula>
    </cfRule>
  </conditionalFormatting>
  <conditionalFormatting sqref="C130">
    <cfRule type="cellIs" dxfId="86" priority="123" stopIfTrue="1" operator="equal">
      <formula>"Towel"</formula>
    </cfRule>
    <cfRule type="cellIs" dxfId="85" priority="124" stopIfTrue="1" operator="equal">
      <formula>"Napkin Hs"</formula>
    </cfRule>
  </conditionalFormatting>
  <conditionalFormatting sqref="C130">
    <cfRule type="cellIs" dxfId="84" priority="122" stopIfTrue="1" operator="equal">
      <formula>"Napkin Hs"</formula>
    </cfRule>
  </conditionalFormatting>
  <conditionalFormatting sqref="C130">
    <cfRule type="cellIs" dxfId="83" priority="121" stopIfTrue="1" operator="equal">
      <formula>"Towel"</formula>
    </cfRule>
  </conditionalFormatting>
  <conditionalFormatting sqref="C128:C129">
    <cfRule type="cellIs" dxfId="82" priority="109" stopIfTrue="1" operator="equal">
      <formula>"Towel"</formula>
    </cfRule>
    <cfRule type="cellIs" dxfId="81" priority="110" stopIfTrue="1" operator="equal">
      <formula>"Napkin Hs"</formula>
    </cfRule>
  </conditionalFormatting>
  <conditionalFormatting sqref="C128:C129">
    <cfRule type="cellIs" dxfId="80" priority="103" stopIfTrue="1" operator="equal">
      <formula>"Towel"</formula>
    </cfRule>
    <cfRule type="cellIs" dxfId="79" priority="104" stopIfTrue="1" operator="equal">
      <formula>"Napkin Hs"</formula>
    </cfRule>
  </conditionalFormatting>
  <conditionalFormatting sqref="C128:C129">
    <cfRule type="cellIs" dxfId="78" priority="113" stopIfTrue="1" operator="equal">
      <formula>"Towel"</formula>
    </cfRule>
    <cfRule type="cellIs" dxfId="77" priority="114" stopIfTrue="1" operator="equal">
      <formula>"Napkin Hs"</formula>
    </cfRule>
  </conditionalFormatting>
  <conditionalFormatting sqref="C128:C129">
    <cfRule type="cellIs" dxfId="76" priority="112" stopIfTrue="1" operator="equal">
      <formula>"Napkin Hs"</formula>
    </cfRule>
  </conditionalFormatting>
  <conditionalFormatting sqref="C128:C129">
    <cfRule type="cellIs" dxfId="75" priority="111" stopIfTrue="1" operator="equal">
      <formula>"Towel"</formula>
    </cfRule>
  </conditionalFormatting>
  <conditionalFormatting sqref="C128:C129">
    <cfRule type="cellIs" dxfId="74" priority="107" stopIfTrue="1" operator="equal">
      <formula>"Towel"</formula>
    </cfRule>
    <cfRule type="cellIs" dxfId="73" priority="108" stopIfTrue="1" operator="equal">
      <formula>"Napkin Hs"</formula>
    </cfRule>
  </conditionalFormatting>
  <conditionalFormatting sqref="C128:C129">
    <cfRule type="cellIs" dxfId="72" priority="106" stopIfTrue="1" operator="equal">
      <formula>"Napkin Hs"</formula>
    </cfRule>
  </conditionalFormatting>
  <conditionalFormatting sqref="C128:C129">
    <cfRule type="cellIs" dxfId="71" priority="105" stopIfTrue="1" operator="equal">
      <formula>"Towel"</formula>
    </cfRule>
  </conditionalFormatting>
  <conditionalFormatting sqref="B128:B129">
    <cfRule type="cellIs" dxfId="70" priority="99" stopIfTrue="1" operator="equal">
      <formula>"Towel"</formula>
    </cfRule>
    <cfRule type="cellIs" dxfId="69" priority="100" stopIfTrue="1" operator="equal">
      <formula>"Napkin Hs"</formula>
    </cfRule>
  </conditionalFormatting>
  <conditionalFormatting sqref="B128:B129">
    <cfRule type="cellIs" dxfId="68" priority="101" stopIfTrue="1" operator="equal">
      <formula>"Towel"</formula>
    </cfRule>
    <cfRule type="cellIs" dxfId="67" priority="102" stopIfTrue="1" operator="equal">
      <formula>"Napkin Hs"</formula>
    </cfRule>
  </conditionalFormatting>
  <conditionalFormatting sqref="B132:C133 B134">
    <cfRule type="cellIs" dxfId="66" priority="57" stopIfTrue="1" operator="equal">
      <formula>"Towel"</formula>
    </cfRule>
    <cfRule type="cellIs" dxfId="65" priority="58" stopIfTrue="1" operator="equal">
      <formula>"Napkin Hs"</formula>
    </cfRule>
  </conditionalFormatting>
  <conditionalFormatting sqref="C132:C133">
    <cfRule type="cellIs" dxfId="64" priority="55" stopIfTrue="1" operator="equal">
      <formula>"Towel"</formula>
    </cfRule>
    <cfRule type="cellIs" dxfId="63" priority="56" stopIfTrue="1" operator="equal">
      <formula>"Napkin Hs"</formula>
    </cfRule>
  </conditionalFormatting>
  <conditionalFormatting sqref="C132:C133">
    <cfRule type="cellIs" dxfId="62" priority="53" stopIfTrue="1" operator="equal">
      <formula>"Towel"</formula>
    </cfRule>
    <cfRule type="cellIs" dxfId="61" priority="54" stopIfTrue="1" operator="equal">
      <formula>"Napkin Hs"</formula>
    </cfRule>
  </conditionalFormatting>
  <conditionalFormatting sqref="C134">
    <cfRule type="cellIs" dxfId="60" priority="41" stopIfTrue="1" operator="equal">
      <formula>"Towel"</formula>
    </cfRule>
    <cfRule type="cellIs" dxfId="59" priority="42" stopIfTrue="1" operator="equal">
      <formula>"Napkin Hs"</formula>
    </cfRule>
  </conditionalFormatting>
  <conditionalFormatting sqref="C134">
    <cfRule type="cellIs" dxfId="58" priority="35" stopIfTrue="1" operator="equal">
      <formula>"Towel"</formula>
    </cfRule>
    <cfRule type="cellIs" dxfId="57" priority="36" stopIfTrue="1" operator="equal">
      <formula>"Napkin Hs"</formula>
    </cfRule>
  </conditionalFormatting>
  <conditionalFormatting sqref="C134">
    <cfRule type="cellIs" dxfId="56" priority="45" stopIfTrue="1" operator="equal">
      <formula>"Towel"</formula>
    </cfRule>
    <cfRule type="cellIs" dxfId="55" priority="46" stopIfTrue="1" operator="equal">
      <formula>"Napkin Hs"</formula>
    </cfRule>
  </conditionalFormatting>
  <conditionalFormatting sqref="C134">
    <cfRule type="cellIs" dxfId="54" priority="44" stopIfTrue="1" operator="equal">
      <formula>"Napkin Hs"</formula>
    </cfRule>
  </conditionalFormatting>
  <conditionalFormatting sqref="C134">
    <cfRule type="cellIs" dxfId="53" priority="43" stopIfTrue="1" operator="equal">
      <formula>"Towel"</formula>
    </cfRule>
  </conditionalFormatting>
  <conditionalFormatting sqref="C134">
    <cfRule type="cellIs" dxfId="52" priority="39" stopIfTrue="1" operator="equal">
      <formula>"Towel"</formula>
    </cfRule>
    <cfRule type="cellIs" dxfId="51" priority="40" stopIfTrue="1" operator="equal">
      <formula>"Napkin Hs"</formula>
    </cfRule>
  </conditionalFormatting>
  <conditionalFormatting sqref="C134">
    <cfRule type="cellIs" dxfId="50" priority="38" stopIfTrue="1" operator="equal">
      <formula>"Napkin Hs"</formula>
    </cfRule>
  </conditionalFormatting>
  <conditionalFormatting sqref="C134">
    <cfRule type="cellIs" dxfId="49" priority="37" stopIfTrue="1" operator="equal">
      <formula>"Towel"</formula>
    </cfRule>
  </conditionalFormatting>
  <conditionalFormatting sqref="C134">
    <cfRule type="cellIs" dxfId="48" priority="51" stopIfTrue="1" operator="equal">
      <formula>"Towel"</formula>
    </cfRule>
    <cfRule type="cellIs" dxfId="47" priority="52" stopIfTrue="1" operator="equal">
      <formula>"Napkin Hs"</formula>
    </cfRule>
  </conditionalFormatting>
  <conditionalFormatting sqref="C134">
    <cfRule type="cellIs" dxfId="46" priority="49" stopIfTrue="1" operator="equal">
      <formula>"Towel"</formula>
    </cfRule>
    <cfRule type="cellIs" dxfId="45" priority="50" stopIfTrue="1" operator="equal">
      <formula>"Napkin Hs"</formula>
    </cfRule>
  </conditionalFormatting>
  <conditionalFormatting sqref="C134">
    <cfRule type="cellIs" dxfId="44" priority="47" stopIfTrue="1" operator="equal">
      <formula>"Towel"</formula>
    </cfRule>
    <cfRule type="cellIs" dxfId="43" priority="48" stopIfTrue="1" operator="equal">
      <formula>"Napkin Hs"</formula>
    </cfRule>
  </conditionalFormatting>
  <conditionalFormatting sqref="C134">
    <cfRule type="cellIs" dxfId="42" priority="33" stopIfTrue="1" operator="equal">
      <formula>"Towel"</formula>
    </cfRule>
    <cfRule type="cellIs" dxfId="41" priority="34" stopIfTrue="1" operator="equal">
      <formula>"Napkin Hs"</formula>
    </cfRule>
  </conditionalFormatting>
  <conditionalFormatting sqref="C134">
    <cfRule type="cellIs" dxfId="40" priority="31" stopIfTrue="1" operator="equal">
      <formula>"Towel"</formula>
    </cfRule>
    <cfRule type="cellIs" dxfId="39" priority="32" stopIfTrue="1" operator="equal">
      <formula>"Napkin Hs"</formula>
    </cfRule>
  </conditionalFormatting>
  <conditionalFormatting sqref="C134">
    <cfRule type="cellIs" dxfId="38" priority="29" stopIfTrue="1" operator="equal">
      <formula>"Towel"</formula>
    </cfRule>
    <cfRule type="cellIs" dxfId="37" priority="30" stopIfTrue="1" operator="equal">
      <formula>"Napkin Hs"</formula>
    </cfRule>
  </conditionalFormatting>
  <conditionalFormatting sqref="C134">
    <cfRule type="cellIs" dxfId="36" priority="23" stopIfTrue="1" operator="equal">
      <formula>"Towel"</formula>
    </cfRule>
    <cfRule type="cellIs" dxfId="35" priority="24" stopIfTrue="1" operator="equal">
      <formula>"Napkin Hs"</formula>
    </cfRule>
  </conditionalFormatting>
  <conditionalFormatting sqref="C134">
    <cfRule type="cellIs" dxfId="34" priority="17" stopIfTrue="1" operator="equal">
      <formula>"Towel"</formula>
    </cfRule>
    <cfRule type="cellIs" dxfId="33" priority="18" stopIfTrue="1" operator="equal">
      <formula>"Napkin Hs"</formula>
    </cfRule>
  </conditionalFormatting>
  <conditionalFormatting sqref="C134">
    <cfRule type="cellIs" dxfId="32" priority="27" stopIfTrue="1" operator="equal">
      <formula>"Towel"</formula>
    </cfRule>
    <cfRule type="cellIs" dxfId="31" priority="28" stopIfTrue="1" operator="equal">
      <formula>"Napkin Hs"</formula>
    </cfRule>
  </conditionalFormatting>
  <conditionalFormatting sqref="C134">
    <cfRule type="cellIs" dxfId="30" priority="26" stopIfTrue="1" operator="equal">
      <formula>"Napkin Hs"</formula>
    </cfRule>
  </conditionalFormatting>
  <conditionalFormatting sqref="C134">
    <cfRule type="cellIs" dxfId="29" priority="25" stopIfTrue="1" operator="equal">
      <formula>"Towel"</formula>
    </cfRule>
  </conditionalFormatting>
  <conditionalFormatting sqref="C134">
    <cfRule type="cellIs" dxfId="28" priority="21" stopIfTrue="1" operator="equal">
      <formula>"Towel"</formula>
    </cfRule>
    <cfRule type="cellIs" dxfId="27" priority="22" stopIfTrue="1" operator="equal">
      <formula>"Napkin Hs"</formula>
    </cfRule>
  </conditionalFormatting>
  <conditionalFormatting sqref="C134">
    <cfRule type="cellIs" dxfId="26" priority="20" stopIfTrue="1" operator="equal">
      <formula>"Napkin Hs"</formula>
    </cfRule>
  </conditionalFormatting>
  <conditionalFormatting sqref="C134">
    <cfRule type="cellIs" dxfId="25" priority="19" stopIfTrue="1" operator="equal">
      <formula>"Towel"</formula>
    </cfRule>
  </conditionalFormatting>
  <conditionalFormatting sqref="C132:C133">
    <cfRule type="cellIs" dxfId="24" priority="11" stopIfTrue="1" operator="equal">
      <formula>"Towel"</formula>
    </cfRule>
    <cfRule type="cellIs" dxfId="23" priority="12" stopIfTrue="1" operator="equal">
      <formula>"Napkin Hs"</formula>
    </cfRule>
  </conditionalFormatting>
  <conditionalFormatting sqref="C132:C133">
    <cfRule type="cellIs" dxfId="22" priority="5" stopIfTrue="1" operator="equal">
      <formula>"Towel"</formula>
    </cfRule>
    <cfRule type="cellIs" dxfId="21" priority="6" stopIfTrue="1" operator="equal">
      <formula>"Napkin Hs"</formula>
    </cfRule>
  </conditionalFormatting>
  <conditionalFormatting sqref="C132:C133">
    <cfRule type="cellIs" dxfId="20" priority="15" stopIfTrue="1" operator="equal">
      <formula>"Towel"</formula>
    </cfRule>
    <cfRule type="cellIs" dxfId="19" priority="16" stopIfTrue="1" operator="equal">
      <formula>"Napkin Hs"</formula>
    </cfRule>
  </conditionalFormatting>
  <conditionalFormatting sqref="C132:C133">
    <cfRule type="cellIs" dxfId="18" priority="14" stopIfTrue="1" operator="equal">
      <formula>"Napkin Hs"</formula>
    </cfRule>
  </conditionalFormatting>
  <conditionalFormatting sqref="C132:C133">
    <cfRule type="cellIs" dxfId="17" priority="13" stopIfTrue="1" operator="equal">
      <formula>"Towel"</formula>
    </cfRule>
  </conditionalFormatting>
  <conditionalFormatting sqref="C132:C133">
    <cfRule type="cellIs" dxfId="16" priority="9" stopIfTrue="1" operator="equal">
      <formula>"Towel"</formula>
    </cfRule>
    <cfRule type="cellIs" dxfId="15" priority="10" stopIfTrue="1" operator="equal">
      <formula>"Napkin Hs"</formula>
    </cfRule>
  </conditionalFormatting>
  <conditionalFormatting sqref="C132:C133">
    <cfRule type="cellIs" dxfId="14" priority="8" stopIfTrue="1" operator="equal">
      <formula>"Napkin Hs"</formula>
    </cfRule>
  </conditionalFormatting>
  <conditionalFormatting sqref="C132:C133">
    <cfRule type="cellIs" dxfId="13" priority="7" stopIfTrue="1" operator="equal">
      <formula>"Towel"</formula>
    </cfRule>
  </conditionalFormatting>
  <conditionalFormatting sqref="B132:B134">
    <cfRule type="cellIs" dxfId="12" priority="1" stopIfTrue="1" operator="equal">
      <formula>"Towel"</formula>
    </cfRule>
    <cfRule type="cellIs" dxfId="11" priority="2" stopIfTrue="1" operator="equal">
      <formula>"Napkin Hs"</formula>
    </cfRule>
  </conditionalFormatting>
  <conditionalFormatting sqref="B132:B134">
    <cfRule type="cellIs" dxfId="10" priority="3" stopIfTrue="1" operator="equal">
      <formula>"Towel"</formula>
    </cfRule>
    <cfRule type="cellIs" dxfId="9" priority="4" stopIfTrue="1" operator="equal">
      <formula>"Napkin Hs"</formula>
    </cfRule>
  </conditionalFormatting>
  <pageMargins left="0.75" right="0.75" top="1" bottom="1" header="0.5" footer="0.5"/>
  <pageSetup scale="2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W73"/>
  <sheetViews>
    <sheetView zoomScale="85" workbookViewId="0">
      <pane xSplit="5" ySplit="8" topLeftCell="KD30" activePane="bottomRight" state="frozen"/>
      <selection pane="topRight" activeCell="E1" sqref="E1"/>
      <selection pane="bottomLeft" activeCell="A9" sqref="A9"/>
      <selection pane="bottomRight" activeCell="E30" sqref="E30"/>
    </sheetView>
  </sheetViews>
  <sheetFormatPr defaultColWidth="10.44140625" defaultRowHeight="15" customHeight="1"/>
  <cols>
    <col min="1" max="1" width="8.109375" style="255" customWidth="1"/>
    <col min="2" max="2" width="13.5546875" style="255" customWidth="1"/>
    <col min="3" max="3" width="13.33203125" style="256" customWidth="1"/>
    <col min="4" max="4" width="11.109375" style="256" customWidth="1"/>
    <col min="5" max="5" width="11" style="257" customWidth="1"/>
    <col min="6" max="269" width="12.44140625" style="498" customWidth="1"/>
    <col min="270" max="272" width="5.5546875" style="498" customWidth="1"/>
    <col min="273" max="273" width="6.6640625" style="498" bestFit="1" customWidth="1"/>
    <col min="274" max="303" width="5.5546875" style="498" customWidth="1"/>
    <col min="304" max="304" width="8.6640625" style="498" customWidth="1"/>
    <col min="305" max="305" width="7.6640625" style="498" customWidth="1"/>
    <col min="306" max="306" width="21" style="498" bestFit="1" customWidth="1"/>
    <col min="307" max="307" width="19.88671875" style="498" bestFit="1" customWidth="1"/>
    <col min="308" max="16384" width="10.44140625" style="255"/>
  </cols>
  <sheetData>
    <row r="1" spans="1:308" ht="15" customHeight="1">
      <c r="A1" s="456"/>
      <c r="B1" s="252"/>
      <c r="C1" s="253"/>
      <c r="D1" s="253"/>
      <c r="E1" s="254"/>
    </row>
    <row r="2" spans="1:308" ht="15" customHeight="1">
      <c r="A2" s="456"/>
      <c r="B2" s="457"/>
      <c r="C2" s="458"/>
      <c r="D2" s="458"/>
      <c r="E2" s="459"/>
    </row>
    <row r="3" spans="1:308" ht="15" customHeight="1">
      <c r="A3" s="460"/>
      <c r="B3" s="457"/>
      <c r="C3" s="458"/>
      <c r="D3" s="458"/>
      <c r="E3" s="459"/>
    </row>
    <row r="4" spans="1:308" ht="15" customHeight="1">
      <c r="A4" s="461" t="s">
        <v>285</v>
      </c>
      <c r="B4" s="457"/>
      <c r="C4" s="458"/>
      <c r="D4" s="458"/>
      <c r="E4" s="459"/>
    </row>
    <row r="5" spans="1:308" ht="15" customHeight="1" thickBot="1">
      <c r="A5" s="457"/>
      <c r="B5" s="457"/>
      <c r="C5" s="458"/>
      <c r="D5" s="458"/>
      <c r="E5" s="459"/>
    </row>
    <row r="6" spans="1:308" ht="15" customHeight="1">
      <c r="A6" s="723" t="s">
        <v>29</v>
      </c>
      <c r="B6" s="723" t="s">
        <v>5</v>
      </c>
      <c r="C6" s="723" t="s">
        <v>6</v>
      </c>
      <c r="D6" s="726" t="s">
        <v>41</v>
      </c>
      <c r="E6" s="729" t="s">
        <v>39</v>
      </c>
      <c r="F6" s="721" t="s">
        <v>304</v>
      </c>
      <c r="G6" s="721"/>
      <c r="H6" s="721"/>
      <c r="I6" s="721"/>
      <c r="J6" s="721"/>
      <c r="K6" s="721"/>
      <c r="L6" s="721"/>
      <c r="M6" s="721"/>
      <c r="N6" s="721"/>
      <c r="O6" s="721"/>
      <c r="P6" s="721"/>
      <c r="Q6" s="721"/>
      <c r="R6" s="721"/>
      <c r="S6" s="721"/>
      <c r="T6" s="721"/>
      <c r="U6" s="721"/>
      <c r="V6" s="721"/>
      <c r="W6" s="721"/>
      <c r="X6" s="721"/>
      <c r="Y6" s="721"/>
      <c r="Z6" s="721"/>
      <c r="AA6" s="721"/>
      <c r="AB6" s="721"/>
      <c r="AC6" s="721"/>
      <c r="AD6" s="721"/>
      <c r="AE6" s="721"/>
      <c r="AF6" s="721"/>
      <c r="AG6" s="721"/>
      <c r="AH6" s="721"/>
      <c r="AI6" s="721"/>
      <c r="AJ6" s="721"/>
      <c r="AK6" s="721"/>
      <c r="AL6" s="721"/>
      <c r="AM6" s="721"/>
      <c r="AN6" s="721"/>
      <c r="AO6" s="721"/>
      <c r="AP6" s="721"/>
      <c r="AQ6" s="721"/>
      <c r="AR6" s="721"/>
      <c r="AS6" s="721"/>
      <c r="AT6" s="721"/>
      <c r="AU6" s="721"/>
      <c r="AV6" s="721"/>
      <c r="AW6" s="721"/>
      <c r="AX6" s="721"/>
      <c r="AY6" s="721"/>
      <c r="AZ6" s="721"/>
      <c r="BA6" s="721"/>
      <c r="BB6" s="721"/>
      <c r="BC6" s="721"/>
      <c r="BD6" s="721"/>
      <c r="BE6" s="721"/>
      <c r="BF6" s="721"/>
      <c r="BG6" s="721"/>
      <c r="BH6" s="721"/>
      <c r="BI6" s="721"/>
      <c r="BJ6" s="721"/>
      <c r="BK6" s="721"/>
      <c r="BL6" s="721"/>
      <c r="BM6" s="721"/>
      <c r="BN6" s="721"/>
      <c r="BO6" s="721"/>
      <c r="BP6" s="721"/>
      <c r="BQ6" s="721"/>
      <c r="BR6" s="721"/>
      <c r="BS6" s="721"/>
      <c r="BT6" s="721"/>
      <c r="BU6" s="721"/>
      <c r="BV6" s="721"/>
      <c r="BW6" s="721"/>
      <c r="BX6" s="721"/>
      <c r="BY6" s="721"/>
      <c r="BZ6" s="721"/>
      <c r="CA6" s="721"/>
      <c r="CB6" s="721"/>
      <c r="CC6" s="721"/>
      <c r="CD6" s="721"/>
      <c r="CE6" s="721"/>
      <c r="CF6" s="721"/>
      <c r="CG6" s="721"/>
      <c r="CH6" s="721"/>
      <c r="CI6" s="721"/>
      <c r="CJ6" s="721"/>
      <c r="CK6" s="721"/>
      <c r="CL6" s="721"/>
      <c r="CM6" s="721"/>
      <c r="CN6" s="721"/>
      <c r="CO6" s="721"/>
      <c r="CP6" s="721"/>
      <c r="CQ6" s="721"/>
      <c r="CR6" s="721"/>
      <c r="CS6" s="721"/>
      <c r="CT6" s="721"/>
      <c r="CU6" s="721"/>
      <c r="CV6" s="721"/>
      <c r="CW6" s="721"/>
      <c r="CX6" s="721"/>
      <c r="CY6" s="721"/>
      <c r="CZ6" s="721"/>
      <c r="DA6" s="721"/>
      <c r="DB6" s="721"/>
      <c r="DC6" s="721"/>
      <c r="DD6" s="721"/>
      <c r="DE6" s="721"/>
      <c r="DF6" s="721"/>
      <c r="DG6" s="721"/>
      <c r="DH6" s="721"/>
      <c r="DI6" s="721"/>
      <c r="DJ6" s="721"/>
      <c r="DK6" s="721"/>
      <c r="DL6" s="721"/>
      <c r="DM6" s="721"/>
      <c r="DN6" s="721"/>
      <c r="DO6" s="721"/>
      <c r="DP6" s="721"/>
      <c r="DQ6" s="721"/>
      <c r="DR6" s="721"/>
      <c r="DS6" s="721"/>
      <c r="DT6" s="721"/>
      <c r="DU6" s="721"/>
      <c r="DV6" s="721"/>
      <c r="DW6" s="721"/>
      <c r="DX6" s="721"/>
      <c r="DY6" s="721"/>
      <c r="DZ6" s="721"/>
      <c r="EA6" s="721"/>
      <c r="EB6" s="721"/>
      <c r="EC6" s="721"/>
      <c r="ED6" s="721"/>
      <c r="EE6" s="721"/>
      <c r="EF6" s="721"/>
      <c r="EG6" s="721"/>
      <c r="EH6" s="721"/>
      <c r="EI6" s="721"/>
      <c r="EJ6" s="721"/>
      <c r="EK6" s="721"/>
      <c r="EL6" s="721"/>
      <c r="EM6" s="721"/>
      <c r="EN6" s="721"/>
      <c r="EO6" s="721"/>
      <c r="EP6" s="721"/>
      <c r="EQ6" s="721"/>
      <c r="ER6" s="721"/>
      <c r="ES6" s="721"/>
      <c r="ET6" s="721"/>
      <c r="EU6" s="721"/>
      <c r="EV6" s="721"/>
      <c r="EW6" s="721"/>
      <c r="EX6" s="721"/>
      <c r="EY6" s="721"/>
      <c r="EZ6" s="721"/>
      <c r="FA6" s="721"/>
      <c r="FB6" s="721"/>
      <c r="FC6" s="721"/>
      <c r="FD6" s="721"/>
      <c r="FE6" s="721"/>
      <c r="FF6" s="721"/>
      <c r="FG6" s="721"/>
      <c r="FH6" s="721"/>
      <c r="FI6" s="721"/>
      <c r="FJ6" s="721"/>
      <c r="FK6" s="721"/>
      <c r="FL6" s="721"/>
      <c r="FM6" s="721"/>
      <c r="FN6" s="721"/>
      <c r="FO6" s="721"/>
      <c r="FP6" s="721"/>
      <c r="FQ6" s="721"/>
      <c r="FR6" s="721"/>
      <c r="FS6" s="721"/>
      <c r="FT6" s="721"/>
      <c r="FU6" s="721"/>
      <c r="FV6" s="721"/>
      <c r="FW6" s="721"/>
      <c r="FX6" s="721"/>
      <c r="FY6" s="721"/>
      <c r="FZ6" s="721"/>
      <c r="GA6" s="721"/>
      <c r="GB6" s="721"/>
      <c r="GC6" s="722"/>
      <c r="GD6" s="713" t="s">
        <v>305</v>
      </c>
      <c r="GE6" s="714"/>
      <c r="GF6" s="714"/>
      <c r="GG6" s="714"/>
      <c r="GH6" s="714"/>
      <c r="GI6" s="714"/>
      <c r="GJ6" s="714"/>
      <c r="GK6" s="714"/>
      <c r="GL6" s="714"/>
      <c r="GM6" s="714"/>
      <c r="GN6" s="714"/>
      <c r="GO6" s="714"/>
      <c r="GP6" s="714"/>
      <c r="GQ6" s="714"/>
      <c r="GR6" s="714"/>
      <c r="GS6" s="714"/>
      <c r="GT6" s="714"/>
      <c r="GU6" s="714"/>
      <c r="GV6" s="714"/>
      <c r="GW6" s="714"/>
      <c r="GX6" s="714"/>
      <c r="GY6" s="714"/>
      <c r="GZ6" s="714"/>
      <c r="HA6" s="714"/>
      <c r="HB6" s="714"/>
      <c r="HC6" s="714"/>
      <c r="HD6" s="714"/>
      <c r="HE6" s="714"/>
      <c r="HF6" s="714"/>
      <c r="HG6" s="714"/>
      <c r="HH6" s="714"/>
      <c r="HI6" s="714"/>
      <c r="HJ6" s="714"/>
      <c r="HK6" s="714"/>
      <c r="HL6" s="714"/>
      <c r="HM6" s="714"/>
      <c r="HN6" s="714"/>
      <c r="HO6" s="714"/>
      <c r="HP6" s="714"/>
      <c r="HQ6" s="714"/>
      <c r="HR6" s="714"/>
      <c r="HS6" s="714"/>
      <c r="HT6" s="714"/>
      <c r="HU6" s="714"/>
      <c r="HV6" s="714"/>
      <c r="HW6" s="714"/>
      <c r="HX6" s="714"/>
      <c r="HY6" s="714"/>
      <c r="HZ6" s="714"/>
      <c r="IA6" s="714"/>
      <c r="IB6" s="714"/>
      <c r="IC6" s="714"/>
      <c r="ID6" s="714"/>
      <c r="IE6" s="714"/>
      <c r="IF6" s="714"/>
      <c r="IG6" s="714"/>
      <c r="IH6" s="714"/>
      <c r="II6" s="714"/>
      <c r="IJ6" s="714"/>
      <c r="IK6" s="714"/>
      <c r="IL6" s="714"/>
      <c r="IM6" s="714"/>
      <c r="IN6" s="714"/>
      <c r="IO6" s="714"/>
      <c r="IP6" s="714"/>
      <c r="IQ6" s="714"/>
      <c r="IR6" s="714"/>
      <c r="IS6" s="714"/>
      <c r="IT6" s="714"/>
      <c r="IU6" s="714"/>
      <c r="IV6" s="714"/>
      <c r="IW6" s="714"/>
      <c r="IX6" s="714"/>
      <c r="IY6" s="714"/>
      <c r="IZ6" s="714"/>
      <c r="JA6" s="714"/>
      <c r="JB6" s="714"/>
      <c r="JC6" s="714"/>
      <c r="JD6" s="714"/>
      <c r="JE6" s="714"/>
      <c r="JF6" s="714"/>
      <c r="JG6" s="714"/>
      <c r="JH6" s="714"/>
      <c r="JI6" s="714"/>
      <c r="JJ6" s="714"/>
      <c r="JK6" s="714"/>
      <c r="JL6" s="714"/>
      <c r="JM6" s="714"/>
      <c r="JN6" s="714"/>
      <c r="JO6" s="714"/>
      <c r="JP6" s="714"/>
      <c r="JQ6" s="714"/>
      <c r="JR6" s="714"/>
      <c r="JS6" s="714"/>
      <c r="JT6" s="714"/>
      <c r="JU6" s="714"/>
      <c r="JV6" s="714"/>
      <c r="JW6" s="714"/>
      <c r="JX6" s="714"/>
      <c r="JY6" s="714"/>
      <c r="JZ6" s="714"/>
      <c r="KA6" s="714"/>
      <c r="KB6" s="714"/>
      <c r="KC6" s="714"/>
      <c r="KD6" s="714"/>
      <c r="KE6" s="714"/>
      <c r="KF6" s="714"/>
      <c r="KG6" s="714"/>
      <c r="KH6" s="714"/>
      <c r="KI6" s="714"/>
      <c r="KJ6" s="714"/>
      <c r="KK6" s="714"/>
      <c r="KL6" s="714"/>
      <c r="KM6" s="714"/>
      <c r="KN6" s="714"/>
      <c r="KO6" s="714"/>
      <c r="KP6" s="714"/>
      <c r="KQ6" s="714"/>
      <c r="KR6" s="714"/>
      <c r="KS6" s="715"/>
      <c r="KT6" s="716" t="s">
        <v>306</v>
      </c>
      <c r="KU6" s="716" t="s">
        <v>305</v>
      </c>
    </row>
    <row r="7" spans="1:308" ht="15" customHeight="1">
      <c r="A7" s="724"/>
      <c r="B7" s="724"/>
      <c r="C7" s="724"/>
      <c r="D7" s="727"/>
      <c r="E7" s="730"/>
      <c r="F7" s="717" t="s">
        <v>307</v>
      </c>
      <c r="G7" s="717"/>
      <c r="H7" s="708"/>
      <c r="I7" s="707" t="s">
        <v>308</v>
      </c>
      <c r="J7" s="717"/>
      <c r="K7" s="708"/>
      <c r="L7" s="707" t="s">
        <v>309</v>
      </c>
      <c r="M7" s="717"/>
      <c r="N7" s="708"/>
      <c r="O7" s="707" t="s">
        <v>310</v>
      </c>
      <c r="P7" s="717"/>
      <c r="Q7" s="708"/>
      <c r="R7" s="707" t="s">
        <v>311</v>
      </c>
      <c r="S7" s="717"/>
      <c r="T7" s="708"/>
      <c r="U7" s="707" t="s">
        <v>313</v>
      </c>
      <c r="V7" s="717"/>
      <c r="W7" s="708"/>
      <c r="X7" s="707" t="s">
        <v>312</v>
      </c>
      <c r="Y7" s="717"/>
      <c r="Z7" s="708"/>
      <c r="AA7" s="707" t="s">
        <v>313</v>
      </c>
      <c r="AB7" s="717"/>
      <c r="AC7" s="708"/>
      <c r="AD7" s="707" t="s">
        <v>314</v>
      </c>
      <c r="AE7" s="717"/>
      <c r="AF7" s="708"/>
      <c r="AG7" s="707" t="s">
        <v>315</v>
      </c>
      <c r="AH7" s="717"/>
      <c r="AI7" s="708"/>
      <c r="AJ7" s="707" t="s">
        <v>316</v>
      </c>
      <c r="AK7" s="717"/>
      <c r="AL7" s="708"/>
      <c r="AM7" s="707" t="s">
        <v>317</v>
      </c>
      <c r="AN7" s="717"/>
      <c r="AO7" s="708"/>
      <c r="AP7" s="707" t="s">
        <v>317</v>
      </c>
      <c r="AQ7" s="717"/>
      <c r="AR7" s="708"/>
      <c r="AS7" s="707" t="s">
        <v>318</v>
      </c>
      <c r="AT7" s="717"/>
      <c r="AU7" s="708"/>
      <c r="AV7" s="707" t="s">
        <v>319</v>
      </c>
      <c r="AW7" s="717"/>
      <c r="AX7" s="708"/>
      <c r="AY7" s="710" t="s">
        <v>320</v>
      </c>
      <c r="AZ7" s="711"/>
      <c r="BA7" s="711"/>
      <c r="BB7" s="710" t="s">
        <v>321</v>
      </c>
      <c r="BC7" s="711"/>
      <c r="BD7" s="712"/>
      <c r="BE7" s="710" t="s">
        <v>322</v>
      </c>
      <c r="BF7" s="711"/>
      <c r="BG7" s="711"/>
      <c r="BH7" s="710" t="s">
        <v>323</v>
      </c>
      <c r="BI7" s="711"/>
      <c r="BJ7" s="712"/>
      <c r="BK7" s="710" t="s">
        <v>324</v>
      </c>
      <c r="BL7" s="711"/>
      <c r="BM7" s="711"/>
      <c r="BN7" s="710" t="s">
        <v>325</v>
      </c>
      <c r="BO7" s="711"/>
      <c r="BP7" s="712"/>
      <c r="BQ7" s="710" t="s">
        <v>290</v>
      </c>
      <c r="BR7" s="711"/>
      <c r="BS7" s="711"/>
      <c r="BT7" s="710" t="s">
        <v>326</v>
      </c>
      <c r="BU7" s="711"/>
      <c r="BV7" s="712"/>
      <c r="BW7" s="710" t="s">
        <v>327</v>
      </c>
      <c r="BX7" s="711"/>
      <c r="BY7" s="711"/>
      <c r="BZ7" s="710" t="s">
        <v>328</v>
      </c>
      <c r="CA7" s="711"/>
      <c r="CB7" s="712"/>
      <c r="CC7" s="710" t="s">
        <v>329</v>
      </c>
      <c r="CD7" s="711"/>
      <c r="CE7" s="711"/>
      <c r="CF7" s="710" t="s">
        <v>330</v>
      </c>
      <c r="CG7" s="711"/>
      <c r="CH7" s="712"/>
      <c r="CI7" s="710" t="s">
        <v>331</v>
      </c>
      <c r="CJ7" s="711"/>
      <c r="CK7" s="711"/>
      <c r="CL7" s="710" t="s">
        <v>332</v>
      </c>
      <c r="CM7" s="711"/>
      <c r="CN7" s="712"/>
      <c r="CO7" s="710" t="s">
        <v>333</v>
      </c>
      <c r="CP7" s="711"/>
      <c r="CQ7" s="711"/>
      <c r="CR7" s="710" t="s">
        <v>334</v>
      </c>
      <c r="CS7" s="711"/>
      <c r="CT7" s="712"/>
      <c r="CU7" s="710" t="s">
        <v>289</v>
      </c>
      <c r="CV7" s="711"/>
      <c r="CW7" s="711"/>
      <c r="CX7" s="710" t="s">
        <v>335</v>
      </c>
      <c r="CY7" s="711"/>
      <c r="CZ7" s="712"/>
      <c r="DA7" s="710" t="s">
        <v>336</v>
      </c>
      <c r="DB7" s="711"/>
      <c r="DC7" s="711"/>
      <c r="DD7" s="710" t="s">
        <v>337</v>
      </c>
      <c r="DE7" s="711"/>
      <c r="DF7" s="712"/>
      <c r="DG7" s="710" t="s">
        <v>338</v>
      </c>
      <c r="DH7" s="711"/>
      <c r="DI7" s="711"/>
      <c r="DJ7" s="710" t="s">
        <v>339</v>
      </c>
      <c r="DK7" s="711"/>
      <c r="DL7" s="712"/>
      <c r="DM7" s="710" t="s">
        <v>340</v>
      </c>
      <c r="DN7" s="711"/>
      <c r="DO7" s="711"/>
      <c r="DP7" s="710" t="s">
        <v>341</v>
      </c>
      <c r="DQ7" s="711"/>
      <c r="DR7" s="712"/>
      <c r="DS7" s="710" t="s">
        <v>342</v>
      </c>
      <c r="DT7" s="711"/>
      <c r="DU7" s="711"/>
      <c r="DV7" s="710" t="s">
        <v>343</v>
      </c>
      <c r="DW7" s="711"/>
      <c r="DX7" s="712"/>
      <c r="DY7" s="710" t="s">
        <v>344</v>
      </c>
      <c r="DZ7" s="711"/>
      <c r="EA7" s="711"/>
      <c r="EB7" s="710" t="s">
        <v>381</v>
      </c>
      <c r="EC7" s="711"/>
      <c r="ED7" s="712"/>
      <c r="EE7" s="710" t="s">
        <v>435</v>
      </c>
      <c r="EF7" s="711"/>
      <c r="EG7" s="711"/>
      <c r="EH7" s="710"/>
      <c r="EI7" s="711"/>
      <c r="EJ7" s="712"/>
      <c r="EK7" s="710"/>
      <c r="EL7" s="711"/>
      <c r="EM7" s="711"/>
      <c r="EN7" s="710"/>
      <c r="EO7" s="711"/>
      <c r="EP7" s="712"/>
      <c r="EQ7" s="710"/>
      <c r="ER7" s="711"/>
      <c r="ES7" s="711"/>
      <c r="ET7" s="710"/>
      <c r="EU7" s="711"/>
      <c r="EV7" s="712"/>
      <c r="EW7" s="710"/>
      <c r="EX7" s="711"/>
      <c r="EY7" s="711"/>
      <c r="EZ7" s="710"/>
      <c r="FA7" s="711"/>
      <c r="FB7" s="712"/>
      <c r="FC7" s="710"/>
      <c r="FD7" s="711"/>
      <c r="FE7" s="711"/>
      <c r="FF7" s="710"/>
      <c r="FG7" s="711"/>
      <c r="FH7" s="712"/>
      <c r="FI7" s="710"/>
      <c r="FJ7" s="711"/>
      <c r="FK7" s="711"/>
      <c r="FL7" s="710"/>
      <c r="FM7" s="711"/>
      <c r="FN7" s="712"/>
      <c r="FO7" s="710"/>
      <c r="FP7" s="711"/>
      <c r="FQ7" s="711"/>
      <c r="FR7" s="710"/>
      <c r="FS7" s="711"/>
      <c r="FT7" s="712"/>
      <c r="FU7" s="710"/>
      <c r="FV7" s="711"/>
      <c r="FW7" s="711"/>
      <c r="FX7" s="710"/>
      <c r="FY7" s="711"/>
      <c r="FZ7" s="712"/>
      <c r="GA7" s="710"/>
      <c r="GB7" s="711"/>
      <c r="GC7" s="711"/>
      <c r="GD7" s="710" t="s">
        <v>345</v>
      </c>
      <c r="GE7" s="711"/>
      <c r="GF7" s="712"/>
      <c r="GG7" s="710" t="s">
        <v>346</v>
      </c>
      <c r="GH7" s="711"/>
      <c r="GI7" s="711"/>
      <c r="GJ7" s="710" t="s">
        <v>347</v>
      </c>
      <c r="GK7" s="711"/>
      <c r="GL7" s="712"/>
      <c r="GM7" s="710" t="s">
        <v>286</v>
      </c>
      <c r="GN7" s="711"/>
      <c r="GO7" s="711"/>
      <c r="GP7" s="710" t="s">
        <v>348</v>
      </c>
      <c r="GQ7" s="711"/>
      <c r="GR7" s="712"/>
      <c r="GS7" s="710" t="s">
        <v>349</v>
      </c>
      <c r="GT7" s="711"/>
      <c r="GU7" s="711"/>
      <c r="GV7" s="710" t="s">
        <v>350</v>
      </c>
      <c r="GW7" s="711"/>
      <c r="GX7" s="712"/>
      <c r="GY7" s="710" t="s">
        <v>351</v>
      </c>
      <c r="GZ7" s="711"/>
      <c r="HA7" s="711"/>
      <c r="HB7" s="710" t="s">
        <v>328</v>
      </c>
      <c r="HC7" s="711"/>
      <c r="HD7" s="712"/>
      <c r="HE7" s="710" t="s">
        <v>343</v>
      </c>
      <c r="HF7" s="711"/>
      <c r="HG7" s="711"/>
      <c r="HH7" s="710" t="s">
        <v>342</v>
      </c>
      <c r="HI7" s="711"/>
      <c r="HJ7" s="712"/>
      <c r="HK7" s="710" t="s">
        <v>325</v>
      </c>
      <c r="HL7" s="711"/>
      <c r="HM7" s="711"/>
      <c r="HN7" s="710" t="s">
        <v>288</v>
      </c>
      <c r="HO7" s="711"/>
      <c r="HP7" s="712"/>
      <c r="HQ7" s="710" t="s">
        <v>289</v>
      </c>
      <c r="HR7" s="711"/>
      <c r="HS7" s="711"/>
      <c r="HT7" s="710" t="s">
        <v>352</v>
      </c>
      <c r="HU7" s="711"/>
      <c r="HV7" s="712"/>
      <c r="HW7" s="710" t="s">
        <v>353</v>
      </c>
      <c r="HX7" s="711"/>
      <c r="HY7" s="711"/>
      <c r="HZ7" s="710" t="s">
        <v>354</v>
      </c>
      <c r="IA7" s="711"/>
      <c r="IB7" s="712"/>
      <c r="IC7" s="710" t="s">
        <v>355</v>
      </c>
      <c r="ID7" s="711"/>
      <c r="IE7" s="711"/>
      <c r="IF7" s="710" t="s">
        <v>356</v>
      </c>
      <c r="IG7" s="711"/>
      <c r="IH7" s="712"/>
      <c r="II7" s="709" t="s">
        <v>330</v>
      </c>
      <c r="IJ7" s="709"/>
      <c r="IK7" s="709"/>
      <c r="IL7" s="710" t="s">
        <v>333</v>
      </c>
      <c r="IM7" s="711"/>
      <c r="IN7" s="712"/>
      <c r="IO7" s="710" t="s">
        <v>334</v>
      </c>
      <c r="IP7" s="711"/>
      <c r="IQ7" s="711"/>
      <c r="IR7" s="710" t="s">
        <v>329</v>
      </c>
      <c r="IS7" s="711"/>
      <c r="IT7" s="712"/>
      <c r="IU7" s="710" t="s">
        <v>357</v>
      </c>
      <c r="IV7" s="711"/>
      <c r="IW7" s="711"/>
      <c r="IX7" s="710" t="s">
        <v>336</v>
      </c>
      <c r="IY7" s="711"/>
      <c r="IZ7" s="712"/>
      <c r="JA7" s="710" t="s">
        <v>358</v>
      </c>
      <c r="JB7" s="711"/>
      <c r="JC7" s="711"/>
      <c r="JD7" s="710" t="s">
        <v>359</v>
      </c>
      <c r="JE7" s="711"/>
      <c r="JF7" s="712"/>
      <c r="JG7" s="710" t="s">
        <v>287</v>
      </c>
      <c r="JH7" s="711"/>
      <c r="JI7" s="711"/>
      <c r="JJ7" s="710" t="s">
        <v>436</v>
      </c>
      <c r="JK7" s="711"/>
      <c r="JL7" s="712"/>
      <c r="JM7" s="710" t="s">
        <v>437</v>
      </c>
      <c r="JN7" s="711"/>
      <c r="JO7" s="711"/>
      <c r="JP7" s="710"/>
      <c r="JQ7" s="711"/>
      <c r="JR7" s="712"/>
      <c r="JS7" s="710"/>
      <c r="JT7" s="711"/>
      <c r="JU7" s="711"/>
      <c r="JV7" s="710"/>
      <c r="JW7" s="711"/>
      <c r="JX7" s="712"/>
      <c r="JY7" s="710"/>
      <c r="JZ7" s="711"/>
      <c r="KA7" s="711"/>
      <c r="KB7" s="710"/>
      <c r="KC7" s="711"/>
      <c r="KD7" s="712"/>
      <c r="KE7" s="710"/>
      <c r="KF7" s="711"/>
      <c r="KG7" s="711"/>
      <c r="KH7" s="710"/>
      <c r="KI7" s="711"/>
      <c r="KJ7" s="712"/>
      <c r="KK7" s="710"/>
      <c r="KL7" s="711"/>
      <c r="KM7" s="711"/>
      <c r="KN7" s="710"/>
      <c r="KO7" s="711"/>
      <c r="KP7" s="712"/>
      <c r="KQ7" s="709"/>
      <c r="KR7" s="709"/>
      <c r="KS7" s="709"/>
      <c r="KT7" s="716"/>
      <c r="KU7" s="716"/>
    </row>
    <row r="8" spans="1:308" ht="15" customHeight="1">
      <c r="A8" s="724"/>
      <c r="B8" s="724"/>
      <c r="C8" s="724"/>
      <c r="D8" s="727"/>
      <c r="E8" s="730"/>
      <c r="F8" s="717" t="s">
        <v>145</v>
      </c>
      <c r="G8" s="708"/>
      <c r="H8" s="499" t="s">
        <v>360</v>
      </c>
      <c r="I8" s="707" t="s">
        <v>145</v>
      </c>
      <c r="J8" s="708"/>
      <c r="K8" s="499" t="s">
        <v>360</v>
      </c>
      <c r="L8" s="707" t="s">
        <v>145</v>
      </c>
      <c r="M8" s="708"/>
      <c r="N8" s="499" t="s">
        <v>360</v>
      </c>
      <c r="O8" s="707" t="s">
        <v>145</v>
      </c>
      <c r="P8" s="708"/>
      <c r="Q8" s="499" t="s">
        <v>360</v>
      </c>
      <c r="R8" s="707" t="s">
        <v>145</v>
      </c>
      <c r="S8" s="708"/>
      <c r="T8" s="499" t="s">
        <v>360</v>
      </c>
      <c r="U8" s="707" t="s">
        <v>145</v>
      </c>
      <c r="V8" s="708"/>
      <c r="W8" s="499" t="s">
        <v>360</v>
      </c>
      <c r="X8" s="707" t="s">
        <v>145</v>
      </c>
      <c r="Y8" s="708"/>
      <c r="Z8" s="499" t="s">
        <v>360</v>
      </c>
      <c r="AA8" s="707" t="s">
        <v>145</v>
      </c>
      <c r="AB8" s="708"/>
      <c r="AC8" s="499" t="s">
        <v>360</v>
      </c>
      <c r="AD8" s="707" t="s">
        <v>145</v>
      </c>
      <c r="AE8" s="708"/>
      <c r="AF8" s="499" t="s">
        <v>360</v>
      </c>
      <c r="AG8" s="707" t="s">
        <v>145</v>
      </c>
      <c r="AH8" s="708"/>
      <c r="AI8" s="499" t="s">
        <v>360</v>
      </c>
      <c r="AJ8" s="707" t="s">
        <v>145</v>
      </c>
      <c r="AK8" s="708"/>
      <c r="AL8" s="499" t="s">
        <v>360</v>
      </c>
      <c r="AM8" s="707" t="s">
        <v>145</v>
      </c>
      <c r="AN8" s="708"/>
      <c r="AO8" s="499" t="s">
        <v>360</v>
      </c>
      <c r="AP8" s="707" t="s">
        <v>145</v>
      </c>
      <c r="AQ8" s="708"/>
      <c r="AR8" s="499" t="s">
        <v>360</v>
      </c>
      <c r="AS8" s="707" t="s">
        <v>145</v>
      </c>
      <c r="AT8" s="708"/>
      <c r="AU8" s="499" t="s">
        <v>360</v>
      </c>
      <c r="AV8" s="707" t="s">
        <v>145</v>
      </c>
      <c r="AW8" s="708"/>
      <c r="AX8" s="499" t="s">
        <v>360</v>
      </c>
      <c r="AY8" s="707" t="s">
        <v>145</v>
      </c>
      <c r="AZ8" s="708"/>
      <c r="BA8" s="499" t="s">
        <v>360</v>
      </c>
      <c r="BB8" s="707" t="s">
        <v>145</v>
      </c>
      <c r="BC8" s="708"/>
      <c r="BD8" s="499" t="s">
        <v>360</v>
      </c>
      <c r="BE8" s="707" t="s">
        <v>145</v>
      </c>
      <c r="BF8" s="708"/>
      <c r="BG8" s="499" t="s">
        <v>360</v>
      </c>
      <c r="BH8" s="707" t="s">
        <v>145</v>
      </c>
      <c r="BI8" s="708"/>
      <c r="BJ8" s="499" t="s">
        <v>360</v>
      </c>
      <c r="BK8" s="707" t="s">
        <v>145</v>
      </c>
      <c r="BL8" s="708"/>
      <c r="BM8" s="499" t="s">
        <v>360</v>
      </c>
      <c r="BN8" s="707" t="s">
        <v>145</v>
      </c>
      <c r="BO8" s="708"/>
      <c r="BP8" s="499" t="s">
        <v>360</v>
      </c>
      <c r="BQ8" s="707" t="s">
        <v>145</v>
      </c>
      <c r="BR8" s="708"/>
      <c r="BS8" s="499" t="s">
        <v>360</v>
      </c>
      <c r="BT8" s="707" t="s">
        <v>145</v>
      </c>
      <c r="BU8" s="708"/>
      <c r="BV8" s="499" t="s">
        <v>360</v>
      </c>
      <c r="BW8" s="707" t="s">
        <v>145</v>
      </c>
      <c r="BX8" s="708"/>
      <c r="BY8" s="499" t="s">
        <v>360</v>
      </c>
      <c r="BZ8" s="707" t="s">
        <v>145</v>
      </c>
      <c r="CA8" s="708"/>
      <c r="CB8" s="499" t="s">
        <v>360</v>
      </c>
      <c r="CC8" s="707" t="s">
        <v>145</v>
      </c>
      <c r="CD8" s="708"/>
      <c r="CE8" s="499" t="s">
        <v>360</v>
      </c>
      <c r="CF8" s="707" t="s">
        <v>145</v>
      </c>
      <c r="CG8" s="708"/>
      <c r="CH8" s="499" t="s">
        <v>360</v>
      </c>
      <c r="CI8" s="707" t="s">
        <v>145</v>
      </c>
      <c r="CJ8" s="708"/>
      <c r="CK8" s="499" t="s">
        <v>360</v>
      </c>
      <c r="CL8" s="707" t="s">
        <v>145</v>
      </c>
      <c r="CM8" s="708"/>
      <c r="CN8" s="499" t="s">
        <v>360</v>
      </c>
      <c r="CO8" s="707" t="s">
        <v>145</v>
      </c>
      <c r="CP8" s="708"/>
      <c r="CQ8" s="499" t="s">
        <v>360</v>
      </c>
      <c r="CR8" s="707" t="s">
        <v>145</v>
      </c>
      <c r="CS8" s="708"/>
      <c r="CT8" s="499" t="s">
        <v>360</v>
      </c>
      <c r="CU8" s="707" t="s">
        <v>145</v>
      </c>
      <c r="CV8" s="708"/>
      <c r="CW8" s="499" t="s">
        <v>360</v>
      </c>
      <c r="CX8" s="707" t="s">
        <v>145</v>
      </c>
      <c r="CY8" s="708"/>
      <c r="CZ8" s="499" t="s">
        <v>360</v>
      </c>
      <c r="DA8" s="707" t="s">
        <v>145</v>
      </c>
      <c r="DB8" s="708"/>
      <c r="DC8" s="499" t="s">
        <v>360</v>
      </c>
      <c r="DD8" s="707" t="s">
        <v>145</v>
      </c>
      <c r="DE8" s="708"/>
      <c r="DF8" s="499" t="s">
        <v>360</v>
      </c>
      <c r="DG8" s="707" t="s">
        <v>145</v>
      </c>
      <c r="DH8" s="708"/>
      <c r="DI8" s="499" t="s">
        <v>360</v>
      </c>
      <c r="DJ8" s="707" t="s">
        <v>145</v>
      </c>
      <c r="DK8" s="708"/>
      <c r="DL8" s="499" t="s">
        <v>360</v>
      </c>
      <c r="DM8" s="707" t="s">
        <v>145</v>
      </c>
      <c r="DN8" s="708"/>
      <c r="DO8" s="499" t="s">
        <v>360</v>
      </c>
      <c r="DP8" s="707" t="s">
        <v>145</v>
      </c>
      <c r="DQ8" s="708"/>
      <c r="DR8" s="499" t="s">
        <v>360</v>
      </c>
      <c r="DS8" s="707" t="s">
        <v>145</v>
      </c>
      <c r="DT8" s="708"/>
      <c r="DU8" s="499" t="s">
        <v>360</v>
      </c>
      <c r="DV8" s="707" t="s">
        <v>145</v>
      </c>
      <c r="DW8" s="708"/>
      <c r="DX8" s="499" t="s">
        <v>360</v>
      </c>
      <c r="DY8" s="707" t="s">
        <v>145</v>
      </c>
      <c r="DZ8" s="708"/>
      <c r="EA8" s="499" t="s">
        <v>360</v>
      </c>
      <c r="EB8" s="707" t="s">
        <v>145</v>
      </c>
      <c r="EC8" s="708"/>
      <c r="ED8" s="499" t="s">
        <v>360</v>
      </c>
      <c r="EE8" s="707" t="s">
        <v>145</v>
      </c>
      <c r="EF8" s="708"/>
      <c r="EG8" s="499" t="s">
        <v>360</v>
      </c>
      <c r="EH8" s="707" t="s">
        <v>145</v>
      </c>
      <c r="EI8" s="708"/>
      <c r="EJ8" s="499" t="s">
        <v>360</v>
      </c>
      <c r="EK8" s="707" t="s">
        <v>145</v>
      </c>
      <c r="EL8" s="708"/>
      <c r="EM8" s="499" t="s">
        <v>360</v>
      </c>
      <c r="EN8" s="707" t="s">
        <v>145</v>
      </c>
      <c r="EO8" s="708"/>
      <c r="EP8" s="499" t="s">
        <v>360</v>
      </c>
      <c r="EQ8" s="707" t="s">
        <v>145</v>
      </c>
      <c r="ER8" s="708"/>
      <c r="ES8" s="499" t="s">
        <v>360</v>
      </c>
      <c r="ET8" s="707" t="s">
        <v>145</v>
      </c>
      <c r="EU8" s="708"/>
      <c r="EV8" s="499" t="s">
        <v>360</v>
      </c>
      <c r="EW8" s="707" t="s">
        <v>145</v>
      </c>
      <c r="EX8" s="708"/>
      <c r="EY8" s="499" t="s">
        <v>360</v>
      </c>
      <c r="EZ8" s="707" t="s">
        <v>145</v>
      </c>
      <c r="FA8" s="708"/>
      <c r="FB8" s="499" t="s">
        <v>360</v>
      </c>
      <c r="FC8" s="707" t="s">
        <v>145</v>
      </c>
      <c r="FD8" s="708"/>
      <c r="FE8" s="499" t="s">
        <v>360</v>
      </c>
      <c r="FF8" s="707" t="s">
        <v>145</v>
      </c>
      <c r="FG8" s="708"/>
      <c r="FH8" s="499" t="s">
        <v>360</v>
      </c>
      <c r="FI8" s="707" t="s">
        <v>145</v>
      </c>
      <c r="FJ8" s="708"/>
      <c r="FK8" s="499" t="s">
        <v>360</v>
      </c>
      <c r="FL8" s="707" t="s">
        <v>145</v>
      </c>
      <c r="FM8" s="708"/>
      <c r="FN8" s="499" t="s">
        <v>360</v>
      </c>
      <c r="FO8" s="707" t="s">
        <v>145</v>
      </c>
      <c r="FP8" s="708"/>
      <c r="FQ8" s="499" t="s">
        <v>360</v>
      </c>
      <c r="FR8" s="707" t="s">
        <v>145</v>
      </c>
      <c r="FS8" s="708"/>
      <c r="FT8" s="499" t="s">
        <v>360</v>
      </c>
      <c r="FU8" s="707" t="s">
        <v>145</v>
      </c>
      <c r="FV8" s="708"/>
      <c r="FW8" s="499" t="s">
        <v>360</v>
      </c>
      <c r="FX8" s="707" t="s">
        <v>145</v>
      </c>
      <c r="FY8" s="708"/>
      <c r="FZ8" s="499" t="s">
        <v>360</v>
      </c>
      <c r="GA8" s="707" t="s">
        <v>145</v>
      </c>
      <c r="GB8" s="708"/>
      <c r="GC8" s="499" t="s">
        <v>360</v>
      </c>
      <c r="GD8" s="707" t="s">
        <v>145</v>
      </c>
      <c r="GE8" s="708"/>
      <c r="GF8" s="499" t="s">
        <v>360</v>
      </c>
      <c r="GG8" s="707" t="s">
        <v>145</v>
      </c>
      <c r="GH8" s="708"/>
      <c r="GI8" s="499" t="s">
        <v>360</v>
      </c>
      <c r="GJ8" s="707" t="s">
        <v>145</v>
      </c>
      <c r="GK8" s="708"/>
      <c r="GL8" s="499" t="s">
        <v>360</v>
      </c>
      <c r="GM8" s="707" t="s">
        <v>145</v>
      </c>
      <c r="GN8" s="708"/>
      <c r="GO8" s="499" t="s">
        <v>360</v>
      </c>
      <c r="GP8" s="707" t="s">
        <v>145</v>
      </c>
      <c r="GQ8" s="708"/>
      <c r="GR8" s="499" t="s">
        <v>360</v>
      </c>
      <c r="GS8" s="707" t="s">
        <v>145</v>
      </c>
      <c r="GT8" s="708"/>
      <c r="GU8" s="499" t="s">
        <v>360</v>
      </c>
      <c r="GV8" s="707" t="s">
        <v>145</v>
      </c>
      <c r="GW8" s="708"/>
      <c r="GX8" s="499" t="s">
        <v>360</v>
      </c>
      <c r="GY8" s="707" t="s">
        <v>145</v>
      </c>
      <c r="GZ8" s="708"/>
      <c r="HA8" s="499" t="s">
        <v>360</v>
      </c>
      <c r="HB8" s="707" t="s">
        <v>145</v>
      </c>
      <c r="HC8" s="708"/>
      <c r="HD8" s="499" t="s">
        <v>360</v>
      </c>
      <c r="HE8" s="707" t="s">
        <v>145</v>
      </c>
      <c r="HF8" s="708"/>
      <c r="HG8" s="499" t="s">
        <v>360</v>
      </c>
      <c r="HH8" s="707" t="s">
        <v>145</v>
      </c>
      <c r="HI8" s="708"/>
      <c r="HJ8" s="499" t="s">
        <v>360</v>
      </c>
      <c r="HK8" s="707" t="s">
        <v>145</v>
      </c>
      <c r="HL8" s="708"/>
      <c r="HM8" s="499" t="s">
        <v>360</v>
      </c>
      <c r="HN8" s="707" t="s">
        <v>145</v>
      </c>
      <c r="HO8" s="708"/>
      <c r="HP8" s="499" t="s">
        <v>360</v>
      </c>
      <c r="HQ8" s="707" t="s">
        <v>145</v>
      </c>
      <c r="HR8" s="708"/>
      <c r="HS8" s="499" t="s">
        <v>360</v>
      </c>
      <c r="HT8" s="707" t="s">
        <v>145</v>
      </c>
      <c r="HU8" s="708"/>
      <c r="HV8" s="499" t="s">
        <v>360</v>
      </c>
      <c r="HW8" s="707" t="s">
        <v>145</v>
      </c>
      <c r="HX8" s="708"/>
      <c r="HY8" s="499" t="s">
        <v>360</v>
      </c>
      <c r="HZ8" s="707" t="s">
        <v>145</v>
      </c>
      <c r="IA8" s="708"/>
      <c r="IB8" s="499" t="s">
        <v>360</v>
      </c>
      <c r="IC8" s="707" t="s">
        <v>145</v>
      </c>
      <c r="ID8" s="708"/>
      <c r="IE8" s="499" t="s">
        <v>360</v>
      </c>
      <c r="IF8" s="707" t="s">
        <v>145</v>
      </c>
      <c r="IG8" s="708"/>
      <c r="IH8" s="499" t="s">
        <v>360</v>
      </c>
      <c r="II8" s="709" t="s">
        <v>145</v>
      </c>
      <c r="IJ8" s="709"/>
      <c r="IK8" s="500" t="s">
        <v>360</v>
      </c>
      <c r="IL8" s="707" t="s">
        <v>145</v>
      </c>
      <c r="IM8" s="708"/>
      <c r="IN8" s="499" t="s">
        <v>360</v>
      </c>
      <c r="IO8" s="707" t="s">
        <v>145</v>
      </c>
      <c r="IP8" s="708"/>
      <c r="IQ8" s="499" t="s">
        <v>360</v>
      </c>
      <c r="IR8" s="707" t="s">
        <v>145</v>
      </c>
      <c r="IS8" s="708"/>
      <c r="IT8" s="499" t="s">
        <v>360</v>
      </c>
      <c r="IU8" s="707" t="s">
        <v>145</v>
      </c>
      <c r="IV8" s="708"/>
      <c r="IW8" s="499" t="s">
        <v>360</v>
      </c>
      <c r="IX8" s="707" t="s">
        <v>145</v>
      </c>
      <c r="IY8" s="708"/>
      <c r="IZ8" s="499" t="s">
        <v>360</v>
      </c>
      <c r="JA8" s="707" t="s">
        <v>145</v>
      </c>
      <c r="JB8" s="708"/>
      <c r="JC8" s="499" t="s">
        <v>360</v>
      </c>
      <c r="JD8" s="707" t="s">
        <v>145</v>
      </c>
      <c r="JE8" s="708"/>
      <c r="JF8" s="499" t="s">
        <v>360</v>
      </c>
      <c r="JG8" s="707" t="s">
        <v>145</v>
      </c>
      <c r="JH8" s="708"/>
      <c r="JI8" s="499" t="s">
        <v>360</v>
      </c>
      <c r="JJ8" s="707" t="s">
        <v>145</v>
      </c>
      <c r="JK8" s="708"/>
      <c r="JL8" s="499" t="s">
        <v>360</v>
      </c>
      <c r="JM8" s="707" t="s">
        <v>145</v>
      </c>
      <c r="JN8" s="708"/>
      <c r="JO8" s="499" t="s">
        <v>360</v>
      </c>
      <c r="JP8" s="707" t="s">
        <v>145</v>
      </c>
      <c r="JQ8" s="708"/>
      <c r="JR8" s="499" t="s">
        <v>360</v>
      </c>
      <c r="JS8" s="707" t="s">
        <v>145</v>
      </c>
      <c r="JT8" s="708"/>
      <c r="JU8" s="499" t="s">
        <v>360</v>
      </c>
      <c r="JV8" s="707" t="s">
        <v>145</v>
      </c>
      <c r="JW8" s="708"/>
      <c r="JX8" s="499" t="s">
        <v>360</v>
      </c>
      <c r="JY8" s="707" t="s">
        <v>145</v>
      </c>
      <c r="JZ8" s="708"/>
      <c r="KA8" s="499" t="s">
        <v>360</v>
      </c>
      <c r="KB8" s="707" t="s">
        <v>145</v>
      </c>
      <c r="KC8" s="708"/>
      <c r="KD8" s="499" t="s">
        <v>360</v>
      </c>
      <c r="KE8" s="707" t="s">
        <v>145</v>
      </c>
      <c r="KF8" s="708"/>
      <c r="KG8" s="499" t="s">
        <v>360</v>
      </c>
      <c r="KH8" s="707" t="s">
        <v>145</v>
      </c>
      <c r="KI8" s="708"/>
      <c r="KJ8" s="499" t="s">
        <v>360</v>
      </c>
      <c r="KK8" s="707" t="s">
        <v>145</v>
      </c>
      <c r="KL8" s="708"/>
      <c r="KM8" s="499" t="s">
        <v>360</v>
      </c>
      <c r="KN8" s="707" t="s">
        <v>145</v>
      </c>
      <c r="KO8" s="708"/>
      <c r="KP8" s="499" t="s">
        <v>360</v>
      </c>
      <c r="KQ8" s="709" t="s">
        <v>145</v>
      </c>
      <c r="KR8" s="709"/>
      <c r="KS8" s="500" t="s">
        <v>360</v>
      </c>
      <c r="KT8" s="716"/>
      <c r="KU8" s="716"/>
    </row>
    <row r="9" spans="1:308" ht="15" customHeight="1" thickBot="1">
      <c r="A9" s="725"/>
      <c r="B9" s="725"/>
      <c r="C9" s="725"/>
      <c r="D9" s="728"/>
      <c r="E9" s="731"/>
      <c r="F9" s="526" t="s">
        <v>146</v>
      </c>
      <c r="G9" s="501" t="s">
        <v>40</v>
      </c>
      <c r="H9" s="502"/>
      <c r="I9" s="501" t="s">
        <v>146</v>
      </c>
      <c r="J9" s="501" t="s">
        <v>40</v>
      </c>
      <c r="K9" s="502"/>
      <c r="L9" s="501" t="s">
        <v>146</v>
      </c>
      <c r="M9" s="501" t="s">
        <v>40</v>
      </c>
      <c r="N9" s="502"/>
      <c r="O9" s="501" t="s">
        <v>146</v>
      </c>
      <c r="P9" s="501" t="s">
        <v>40</v>
      </c>
      <c r="Q9" s="502"/>
      <c r="R9" s="501" t="s">
        <v>146</v>
      </c>
      <c r="S9" s="501" t="s">
        <v>40</v>
      </c>
      <c r="T9" s="502"/>
      <c r="U9" s="501" t="s">
        <v>146</v>
      </c>
      <c r="V9" s="501" t="s">
        <v>40</v>
      </c>
      <c r="W9" s="502"/>
      <c r="X9" s="501" t="s">
        <v>146</v>
      </c>
      <c r="Y9" s="501" t="s">
        <v>40</v>
      </c>
      <c r="Z9" s="502"/>
      <c r="AA9" s="501" t="s">
        <v>146</v>
      </c>
      <c r="AB9" s="501" t="s">
        <v>40</v>
      </c>
      <c r="AC9" s="502"/>
      <c r="AD9" s="501" t="s">
        <v>146</v>
      </c>
      <c r="AE9" s="501" t="s">
        <v>40</v>
      </c>
      <c r="AF9" s="502"/>
      <c r="AG9" s="501" t="s">
        <v>146</v>
      </c>
      <c r="AH9" s="501" t="s">
        <v>40</v>
      </c>
      <c r="AI9" s="502"/>
      <c r="AJ9" s="501" t="s">
        <v>146</v>
      </c>
      <c r="AK9" s="501" t="s">
        <v>40</v>
      </c>
      <c r="AL9" s="502"/>
      <c r="AM9" s="501" t="s">
        <v>146</v>
      </c>
      <c r="AN9" s="501" t="s">
        <v>40</v>
      </c>
      <c r="AO9" s="502"/>
      <c r="AP9" s="501" t="s">
        <v>146</v>
      </c>
      <c r="AQ9" s="501" t="s">
        <v>40</v>
      </c>
      <c r="AR9" s="502"/>
      <c r="AS9" s="501" t="s">
        <v>146</v>
      </c>
      <c r="AT9" s="501" t="s">
        <v>40</v>
      </c>
      <c r="AU9" s="502"/>
      <c r="AV9" s="501" t="s">
        <v>146</v>
      </c>
      <c r="AW9" s="501" t="s">
        <v>40</v>
      </c>
      <c r="AX9" s="502"/>
      <c r="AY9" s="501" t="s">
        <v>146</v>
      </c>
      <c r="AZ9" s="501" t="s">
        <v>40</v>
      </c>
      <c r="BA9" s="502"/>
      <c r="BB9" s="501" t="s">
        <v>146</v>
      </c>
      <c r="BC9" s="501" t="s">
        <v>40</v>
      </c>
      <c r="BD9" s="502"/>
      <c r="BE9" s="501" t="s">
        <v>146</v>
      </c>
      <c r="BF9" s="501" t="s">
        <v>40</v>
      </c>
      <c r="BG9" s="502"/>
      <c r="BH9" s="501" t="s">
        <v>146</v>
      </c>
      <c r="BI9" s="501" t="s">
        <v>40</v>
      </c>
      <c r="BJ9" s="502"/>
      <c r="BK9" s="501" t="s">
        <v>146</v>
      </c>
      <c r="BL9" s="501" t="s">
        <v>40</v>
      </c>
      <c r="BM9" s="502"/>
      <c r="BN9" s="501" t="s">
        <v>146</v>
      </c>
      <c r="BO9" s="501" t="s">
        <v>40</v>
      </c>
      <c r="BP9" s="502"/>
      <c r="BQ9" s="501" t="s">
        <v>146</v>
      </c>
      <c r="BR9" s="501" t="s">
        <v>40</v>
      </c>
      <c r="BS9" s="502"/>
      <c r="BT9" s="501" t="s">
        <v>146</v>
      </c>
      <c r="BU9" s="501" t="s">
        <v>40</v>
      </c>
      <c r="BV9" s="502"/>
      <c r="BW9" s="501" t="s">
        <v>146</v>
      </c>
      <c r="BX9" s="501" t="s">
        <v>40</v>
      </c>
      <c r="BY9" s="502"/>
      <c r="BZ9" s="501" t="s">
        <v>146</v>
      </c>
      <c r="CA9" s="501" t="s">
        <v>40</v>
      </c>
      <c r="CB9" s="502"/>
      <c r="CC9" s="501" t="s">
        <v>146</v>
      </c>
      <c r="CD9" s="501" t="s">
        <v>40</v>
      </c>
      <c r="CE9" s="502"/>
      <c r="CF9" s="501" t="s">
        <v>146</v>
      </c>
      <c r="CG9" s="501" t="s">
        <v>40</v>
      </c>
      <c r="CH9" s="502"/>
      <c r="CI9" s="501" t="s">
        <v>146</v>
      </c>
      <c r="CJ9" s="501" t="s">
        <v>40</v>
      </c>
      <c r="CK9" s="502"/>
      <c r="CL9" s="501" t="s">
        <v>146</v>
      </c>
      <c r="CM9" s="501" t="s">
        <v>40</v>
      </c>
      <c r="CN9" s="502"/>
      <c r="CO9" s="501" t="s">
        <v>146</v>
      </c>
      <c r="CP9" s="501" t="s">
        <v>40</v>
      </c>
      <c r="CQ9" s="502"/>
      <c r="CR9" s="501" t="s">
        <v>146</v>
      </c>
      <c r="CS9" s="501" t="s">
        <v>40</v>
      </c>
      <c r="CT9" s="502"/>
      <c r="CU9" s="501" t="s">
        <v>146</v>
      </c>
      <c r="CV9" s="501" t="s">
        <v>40</v>
      </c>
      <c r="CW9" s="502"/>
      <c r="CX9" s="501" t="s">
        <v>146</v>
      </c>
      <c r="CY9" s="501" t="s">
        <v>40</v>
      </c>
      <c r="CZ9" s="502"/>
      <c r="DA9" s="501" t="s">
        <v>146</v>
      </c>
      <c r="DB9" s="501" t="s">
        <v>40</v>
      </c>
      <c r="DC9" s="502"/>
      <c r="DD9" s="501" t="s">
        <v>146</v>
      </c>
      <c r="DE9" s="501" t="s">
        <v>40</v>
      </c>
      <c r="DF9" s="502"/>
      <c r="DG9" s="501" t="s">
        <v>146</v>
      </c>
      <c r="DH9" s="501" t="s">
        <v>40</v>
      </c>
      <c r="DI9" s="502"/>
      <c r="DJ9" s="501" t="s">
        <v>146</v>
      </c>
      <c r="DK9" s="501" t="s">
        <v>40</v>
      </c>
      <c r="DL9" s="502"/>
      <c r="DM9" s="501" t="s">
        <v>146</v>
      </c>
      <c r="DN9" s="501" t="s">
        <v>40</v>
      </c>
      <c r="DO9" s="502"/>
      <c r="DP9" s="501" t="s">
        <v>146</v>
      </c>
      <c r="DQ9" s="501" t="s">
        <v>40</v>
      </c>
      <c r="DR9" s="502"/>
      <c r="DS9" s="501" t="s">
        <v>146</v>
      </c>
      <c r="DT9" s="501" t="s">
        <v>40</v>
      </c>
      <c r="DU9" s="502"/>
      <c r="DV9" s="501" t="s">
        <v>146</v>
      </c>
      <c r="DW9" s="501" t="s">
        <v>40</v>
      </c>
      <c r="DX9" s="502"/>
      <c r="DY9" s="501" t="s">
        <v>146</v>
      </c>
      <c r="DZ9" s="501" t="s">
        <v>40</v>
      </c>
      <c r="EA9" s="502"/>
      <c r="EB9" s="501" t="s">
        <v>146</v>
      </c>
      <c r="EC9" s="501" t="s">
        <v>40</v>
      </c>
      <c r="ED9" s="499"/>
      <c r="EE9" s="501" t="s">
        <v>146</v>
      </c>
      <c r="EF9" s="501" t="s">
        <v>40</v>
      </c>
      <c r="EG9" s="502"/>
      <c r="EH9" s="501" t="s">
        <v>146</v>
      </c>
      <c r="EI9" s="501" t="s">
        <v>40</v>
      </c>
      <c r="EJ9" s="502"/>
      <c r="EK9" s="501" t="s">
        <v>146</v>
      </c>
      <c r="EL9" s="501" t="s">
        <v>40</v>
      </c>
      <c r="EM9" s="502"/>
      <c r="EN9" s="501" t="s">
        <v>146</v>
      </c>
      <c r="EO9" s="501" t="s">
        <v>40</v>
      </c>
      <c r="EP9" s="502"/>
      <c r="EQ9" s="501" t="s">
        <v>146</v>
      </c>
      <c r="ER9" s="501" t="s">
        <v>40</v>
      </c>
      <c r="ES9" s="502"/>
      <c r="ET9" s="501" t="s">
        <v>146</v>
      </c>
      <c r="EU9" s="501" t="s">
        <v>40</v>
      </c>
      <c r="EV9" s="502"/>
      <c r="EW9" s="501" t="s">
        <v>146</v>
      </c>
      <c r="EX9" s="501" t="s">
        <v>40</v>
      </c>
      <c r="EY9" s="502"/>
      <c r="EZ9" s="501" t="s">
        <v>146</v>
      </c>
      <c r="FA9" s="501" t="s">
        <v>40</v>
      </c>
      <c r="FB9" s="502"/>
      <c r="FC9" s="501" t="s">
        <v>146</v>
      </c>
      <c r="FD9" s="501" t="s">
        <v>40</v>
      </c>
      <c r="FE9" s="502"/>
      <c r="FF9" s="501" t="s">
        <v>146</v>
      </c>
      <c r="FG9" s="501" t="s">
        <v>40</v>
      </c>
      <c r="FH9" s="502"/>
      <c r="FI9" s="501" t="s">
        <v>146</v>
      </c>
      <c r="FJ9" s="501" t="s">
        <v>40</v>
      </c>
      <c r="FK9" s="502"/>
      <c r="FL9" s="501" t="s">
        <v>146</v>
      </c>
      <c r="FM9" s="501" t="s">
        <v>40</v>
      </c>
      <c r="FN9" s="502"/>
      <c r="FO9" s="501" t="s">
        <v>146</v>
      </c>
      <c r="FP9" s="501" t="s">
        <v>40</v>
      </c>
      <c r="FQ9" s="502"/>
      <c r="FR9" s="501" t="s">
        <v>146</v>
      </c>
      <c r="FS9" s="501" t="s">
        <v>40</v>
      </c>
      <c r="FT9" s="502"/>
      <c r="FU9" s="501" t="s">
        <v>146</v>
      </c>
      <c r="FV9" s="501" t="s">
        <v>40</v>
      </c>
      <c r="FW9" s="502"/>
      <c r="FX9" s="501" t="s">
        <v>146</v>
      </c>
      <c r="FY9" s="501" t="s">
        <v>40</v>
      </c>
      <c r="FZ9" s="502"/>
      <c r="GA9" s="501" t="s">
        <v>146</v>
      </c>
      <c r="GB9" s="501" t="s">
        <v>40</v>
      </c>
      <c r="GC9" s="502"/>
      <c r="GD9" s="501" t="s">
        <v>146</v>
      </c>
      <c r="GE9" s="501" t="s">
        <v>40</v>
      </c>
      <c r="GF9" s="502"/>
      <c r="GG9" s="501" t="s">
        <v>146</v>
      </c>
      <c r="GH9" s="501" t="s">
        <v>40</v>
      </c>
      <c r="GI9" s="502"/>
      <c r="GJ9" s="501" t="s">
        <v>146</v>
      </c>
      <c r="GK9" s="501" t="s">
        <v>40</v>
      </c>
      <c r="GL9" s="502"/>
      <c r="GM9" s="501" t="s">
        <v>146</v>
      </c>
      <c r="GN9" s="501" t="s">
        <v>40</v>
      </c>
      <c r="GO9" s="502"/>
      <c r="GP9" s="501" t="s">
        <v>146</v>
      </c>
      <c r="GQ9" s="501" t="s">
        <v>40</v>
      </c>
      <c r="GR9" s="502"/>
      <c r="GS9" s="501" t="s">
        <v>146</v>
      </c>
      <c r="GT9" s="501" t="s">
        <v>40</v>
      </c>
      <c r="GU9" s="502"/>
      <c r="GV9" s="501" t="s">
        <v>146</v>
      </c>
      <c r="GW9" s="501" t="s">
        <v>40</v>
      </c>
      <c r="GX9" s="502"/>
      <c r="GY9" s="501" t="s">
        <v>146</v>
      </c>
      <c r="GZ9" s="501" t="s">
        <v>40</v>
      </c>
      <c r="HA9" s="502"/>
      <c r="HB9" s="501" t="s">
        <v>146</v>
      </c>
      <c r="HC9" s="501" t="s">
        <v>40</v>
      </c>
      <c r="HD9" s="502"/>
      <c r="HE9" s="501" t="s">
        <v>146</v>
      </c>
      <c r="HF9" s="501" t="s">
        <v>40</v>
      </c>
      <c r="HG9" s="502"/>
      <c r="HH9" s="501" t="s">
        <v>146</v>
      </c>
      <c r="HI9" s="501" t="s">
        <v>40</v>
      </c>
      <c r="HJ9" s="502"/>
      <c r="HK9" s="501" t="s">
        <v>146</v>
      </c>
      <c r="HL9" s="501" t="s">
        <v>40</v>
      </c>
      <c r="HM9" s="502"/>
      <c r="HN9" s="501" t="s">
        <v>146</v>
      </c>
      <c r="HO9" s="501" t="s">
        <v>40</v>
      </c>
      <c r="HP9" s="502"/>
      <c r="HQ9" s="501" t="s">
        <v>146</v>
      </c>
      <c r="HR9" s="501" t="s">
        <v>40</v>
      </c>
      <c r="HS9" s="502"/>
      <c r="HT9" s="501" t="s">
        <v>146</v>
      </c>
      <c r="HU9" s="501" t="s">
        <v>40</v>
      </c>
      <c r="HV9" s="502"/>
      <c r="HW9" s="501" t="s">
        <v>146</v>
      </c>
      <c r="HX9" s="501" t="s">
        <v>40</v>
      </c>
      <c r="HY9" s="502"/>
      <c r="HZ9" s="501" t="s">
        <v>146</v>
      </c>
      <c r="IA9" s="501" t="s">
        <v>40</v>
      </c>
      <c r="IB9" s="502"/>
      <c r="IC9" s="501" t="s">
        <v>146</v>
      </c>
      <c r="ID9" s="501" t="s">
        <v>40</v>
      </c>
      <c r="IE9" s="502"/>
      <c r="IF9" s="501" t="s">
        <v>146</v>
      </c>
      <c r="IG9" s="501" t="s">
        <v>40</v>
      </c>
      <c r="IH9" s="502"/>
      <c r="II9" s="501" t="s">
        <v>146</v>
      </c>
      <c r="IJ9" s="501" t="s">
        <v>40</v>
      </c>
      <c r="IK9" s="502"/>
      <c r="IL9" s="501" t="s">
        <v>146</v>
      </c>
      <c r="IM9" s="501" t="s">
        <v>40</v>
      </c>
      <c r="IN9" s="502"/>
      <c r="IO9" s="501" t="s">
        <v>146</v>
      </c>
      <c r="IP9" s="501" t="s">
        <v>40</v>
      </c>
      <c r="IQ9" s="502"/>
      <c r="IR9" s="501" t="s">
        <v>146</v>
      </c>
      <c r="IS9" s="501" t="s">
        <v>40</v>
      </c>
      <c r="IT9" s="502"/>
      <c r="IU9" s="501" t="s">
        <v>146</v>
      </c>
      <c r="IV9" s="501" t="s">
        <v>40</v>
      </c>
      <c r="IW9" s="502"/>
      <c r="IX9" s="501" t="s">
        <v>146</v>
      </c>
      <c r="IY9" s="501" t="s">
        <v>40</v>
      </c>
      <c r="IZ9" s="502"/>
      <c r="JA9" s="501" t="s">
        <v>146</v>
      </c>
      <c r="JB9" s="501" t="s">
        <v>40</v>
      </c>
      <c r="JC9" s="502"/>
      <c r="JD9" s="501" t="s">
        <v>146</v>
      </c>
      <c r="JE9" s="501" t="s">
        <v>40</v>
      </c>
      <c r="JF9" s="502"/>
      <c r="JG9" s="501" t="s">
        <v>146</v>
      </c>
      <c r="JH9" s="501" t="s">
        <v>40</v>
      </c>
      <c r="JI9" s="502"/>
      <c r="JJ9" s="501" t="s">
        <v>146</v>
      </c>
      <c r="JK9" s="501" t="s">
        <v>40</v>
      </c>
      <c r="JL9" s="502" t="s">
        <v>389</v>
      </c>
      <c r="JM9" s="501" t="s">
        <v>146</v>
      </c>
      <c r="JN9" s="501" t="s">
        <v>40</v>
      </c>
      <c r="JO9" s="502" t="s">
        <v>389</v>
      </c>
      <c r="JP9" s="501" t="s">
        <v>146</v>
      </c>
      <c r="JQ9" s="501" t="s">
        <v>40</v>
      </c>
      <c r="JR9" s="502" t="s">
        <v>389</v>
      </c>
      <c r="JS9" s="501" t="s">
        <v>146</v>
      </c>
      <c r="JT9" s="501" t="s">
        <v>40</v>
      </c>
      <c r="JU9" s="502" t="s">
        <v>389</v>
      </c>
      <c r="JV9" s="501" t="s">
        <v>146</v>
      </c>
      <c r="JW9" s="501" t="s">
        <v>40</v>
      </c>
      <c r="JX9" s="502" t="s">
        <v>389</v>
      </c>
      <c r="JY9" s="501" t="s">
        <v>146</v>
      </c>
      <c r="JZ9" s="501" t="s">
        <v>40</v>
      </c>
      <c r="KA9" s="502" t="s">
        <v>389</v>
      </c>
      <c r="KB9" s="501" t="s">
        <v>146</v>
      </c>
      <c r="KC9" s="501" t="s">
        <v>40</v>
      </c>
      <c r="KD9" s="502" t="s">
        <v>389</v>
      </c>
      <c r="KE9" s="501" t="s">
        <v>146</v>
      </c>
      <c r="KF9" s="501" t="s">
        <v>40</v>
      </c>
      <c r="KG9" s="502" t="s">
        <v>389</v>
      </c>
      <c r="KH9" s="501" t="s">
        <v>146</v>
      </c>
      <c r="KI9" s="501" t="s">
        <v>40</v>
      </c>
      <c r="KJ9" s="502" t="s">
        <v>389</v>
      </c>
      <c r="KK9" s="501" t="s">
        <v>146</v>
      </c>
      <c r="KL9" s="501" t="s">
        <v>40</v>
      </c>
      <c r="KM9" s="502" t="s">
        <v>389</v>
      </c>
      <c r="KN9" s="501" t="s">
        <v>146</v>
      </c>
      <c r="KO9" s="501" t="s">
        <v>40</v>
      </c>
      <c r="KP9" s="502" t="s">
        <v>389</v>
      </c>
      <c r="KQ9" s="501" t="s">
        <v>146</v>
      </c>
      <c r="KR9" s="501" t="s">
        <v>40</v>
      </c>
      <c r="KS9" s="502" t="s">
        <v>389</v>
      </c>
      <c r="KT9" s="716"/>
      <c r="KU9" s="716"/>
    </row>
    <row r="10" spans="1:308" ht="15" customHeight="1">
      <c r="A10" s="522">
        <f>+Report1!A9</f>
        <v>46082</v>
      </c>
      <c r="B10" s="523" t="str">
        <f>+Report1!B9</f>
        <v xml:space="preserve">Toilet </v>
      </c>
      <c r="C10" s="524" t="str">
        <f>+Report1!C9</f>
        <v>15</v>
      </c>
      <c r="D10" s="525">
        <f>+Report1!P9</f>
        <v>50.133000000000003</v>
      </c>
      <c r="E10" s="527">
        <f>+Report1!R9</f>
        <v>56.237000000000002</v>
      </c>
      <c r="F10" s="503"/>
      <c r="G10" s="504">
        <f t="shared" ref="G10:G40" si="0">+F10/$E10</f>
        <v>0</v>
      </c>
      <c r="H10" s="505">
        <f>+F10*$H$9</f>
        <v>0</v>
      </c>
      <c r="I10" s="503"/>
      <c r="J10" s="504">
        <f t="shared" ref="J10:J40" si="1">+I10/$E10</f>
        <v>0</v>
      </c>
      <c r="K10" s="505">
        <f>+I10*$H$9</f>
        <v>0</v>
      </c>
      <c r="L10" s="503"/>
      <c r="M10" s="504">
        <f t="shared" ref="M10:M40" si="2">+L10/$E10</f>
        <v>0</v>
      </c>
      <c r="N10" s="505">
        <f>+L10*$H$9</f>
        <v>0</v>
      </c>
      <c r="O10" s="503">
        <v>6.0000000000000568</v>
      </c>
      <c r="P10" s="504">
        <f t="shared" ref="P10:P40" si="3">+O10/$E10</f>
        <v>0.10669132421715341</v>
      </c>
      <c r="Q10" s="505">
        <f>+O10*$H$9</f>
        <v>0</v>
      </c>
      <c r="R10" s="503">
        <v>5.1249999999999858</v>
      </c>
      <c r="S10" s="504">
        <f t="shared" ref="S10:S40" si="4">+R10/$E10</f>
        <v>9.1132172768817424E-2</v>
      </c>
      <c r="T10" s="505">
        <f>+R10*$H$9</f>
        <v>0</v>
      </c>
      <c r="U10" s="503">
        <v>3.125</v>
      </c>
      <c r="V10" s="504">
        <f t="shared" ref="V10:V40" si="5">+U10/$E10</f>
        <v>5.5568398029766874E-2</v>
      </c>
      <c r="W10" s="505">
        <f>+U10*$H$9</f>
        <v>0</v>
      </c>
      <c r="X10" s="503"/>
      <c r="Y10" s="504">
        <f t="shared" ref="Y10:Y40" si="6">+X10/$E10</f>
        <v>0</v>
      </c>
      <c r="Z10" s="505">
        <f>+X10*$H$9</f>
        <v>0</v>
      </c>
      <c r="AA10" s="503"/>
      <c r="AB10" s="504">
        <f t="shared" ref="AB10:AB40" si="7">+AA10/$E10</f>
        <v>0</v>
      </c>
      <c r="AC10" s="505">
        <f>+AA10*$H$9</f>
        <v>0</v>
      </c>
      <c r="AD10" s="503"/>
      <c r="AE10" s="504">
        <f t="shared" ref="AE10:AE40" si="8">+AD10/$E10</f>
        <v>0</v>
      </c>
      <c r="AF10" s="505">
        <f>+AD10*$H$9</f>
        <v>0</v>
      </c>
      <c r="AG10" s="503"/>
      <c r="AH10" s="504">
        <f t="shared" ref="AH10:AH40" si="9">+AG10/$E10</f>
        <v>0</v>
      </c>
      <c r="AI10" s="505">
        <f>+AG10*$H$9</f>
        <v>0</v>
      </c>
      <c r="AJ10" s="503"/>
      <c r="AK10" s="504">
        <f t="shared" ref="AK10:AK40" si="10">+AJ10/$E10</f>
        <v>0</v>
      </c>
      <c r="AL10" s="505">
        <f>+AJ10*$H$9</f>
        <v>0</v>
      </c>
      <c r="AM10" s="503"/>
      <c r="AN10" s="504">
        <f t="shared" ref="AN10:AN40" si="11">+AM10/$E10</f>
        <v>0</v>
      </c>
      <c r="AO10" s="505">
        <f>+AM10*$H$9</f>
        <v>0</v>
      </c>
      <c r="AP10" s="503">
        <v>38.691199999999924</v>
      </c>
      <c r="AQ10" s="504">
        <f t="shared" ref="AQ10:AQ40" si="12">+AP10/$E10</f>
        <v>0.68800256059177989</v>
      </c>
      <c r="AR10" s="505">
        <f>+AP10*$H$9</f>
        <v>0</v>
      </c>
      <c r="AS10" s="503"/>
      <c r="AT10" s="504">
        <f t="shared" ref="AT10:AT40" si="13">+AS10/$E10</f>
        <v>0</v>
      </c>
      <c r="AU10" s="505">
        <f>+AS10*$H$9</f>
        <v>0</v>
      </c>
      <c r="AV10" s="503">
        <v>8.3250000000000171</v>
      </c>
      <c r="AW10" s="504">
        <f t="shared" ref="AW10:AW40" si="14">+AV10/$E10</f>
        <v>0.14803421235129927</v>
      </c>
      <c r="AX10" s="505">
        <f>+AV10*$H$9</f>
        <v>0</v>
      </c>
      <c r="AY10" s="503">
        <v>23.27600000000001</v>
      </c>
      <c r="AZ10" s="504">
        <f t="shared" ref="AZ10:AZ40" si="15">+AY10/$E10</f>
        <v>0.41389121041307342</v>
      </c>
      <c r="BA10" s="505">
        <f>+AY10*$H$9</f>
        <v>0</v>
      </c>
      <c r="BB10" s="503"/>
      <c r="BC10" s="504">
        <f t="shared" ref="BC10:BC40" si="16">+BB10/$E10</f>
        <v>0</v>
      </c>
      <c r="BD10" s="505">
        <f>+BB10*$H$9</f>
        <v>0</v>
      </c>
      <c r="BE10" s="503"/>
      <c r="BF10" s="504">
        <f t="shared" ref="BF10:BF40" si="17">+BE10/$E10</f>
        <v>0</v>
      </c>
      <c r="BG10" s="505">
        <f>+BE10*$H$9</f>
        <v>0</v>
      </c>
      <c r="BH10" s="503"/>
      <c r="BI10" s="504">
        <f t="shared" ref="BI10:BI40" si="18">+BH10/$E10</f>
        <v>0</v>
      </c>
      <c r="BJ10" s="505">
        <f>+BH10*$H$9</f>
        <v>0</v>
      </c>
      <c r="BK10" s="503"/>
      <c r="BL10" s="504">
        <f t="shared" ref="BL10:BL40" si="19">+BK10/$E10</f>
        <v>0</v>
      </c>
      <c r="BM10" s="505">
        <f>+BK10*$H$9</f>
        <v>0</v>
      </c>
      <c r="BN10" s="503"/>
      <c r="BO10" s="504">
        <f t="shared" ref="BO10:BO40" si="20">+BN10/$E10</f>
        <v>0</v>
      </c>
      <c r="BP10" s="505">
        <f>+BN10*$H$9</f>
        <v>0</v>
      </c>
      <c r="BQ10" s="503"/>
      <c r="BR10" s="504">
        <f t="shared" ref="BR10:BR40" si="21">+BQ10/$E10</f>
        <v>0</v>
      </c>
      <c r="BS10" s="505">
        <f>+BQ10*$H$9</f>
        <v>0</v>
      </c>
      <c r="BT10" s="503"/>
      <c r="BU10" s="504">
        <f t="shared" ref="BU10:BU40" si="22">+BT10/$E10</f>
        <v>0</v>
      </c>
      <c r="BV10" s="505">
        <f>+BT10*$H$9</f>
        <v>0</v>
      </c>
      <c r="BW10" s="503"/>
      <c r="BX10" s="504">
        <f t="shared" ref="BX10:BX40" si="23">+BW10/$E10</f>
        <v>0</v>
      </c>
      <c r="BY10" s="505">
        <f>+BW10*$H$9</f>
        <v>0</v>
      </c>
      <c r="BZ10" s="503"/>
      <c r="CA10" s="504">
        <f t="shared" ref="CA10:CA40" si="24">+BZ10/$E10</f>
        <v>0</v>
      </c>
      <c r="CB10" s="505">
        <f>+BZ10*$H$9</f>
        <v>0</v>
      </c>
      <c r="CC10" s="503"/>
      <c r="CD10" s="504">
        <f t="shared" ref="CD10:CD40" si="25">+CC10/$E10</f>
        <v>0</v>
      </c>
      <c r="CE10" s="505">
        <f>+CC10*$H$9</f>
        <v>0</v>
      </c>
      <c r="CF10" s="503">
        <v>9</v>
      </c>
      <c r="CG10" s="504">
        <f t="shared" ref="CG10:CG40" si="26">+CF10/$E10</f>
        <v>0.1600369863257286</v>
      </c>
      <c r="CH10" s="505">
        <f>+CF10*$H$9</f>
        <v>0</v>
      </c>
      <c r="CI10" s="503"/>
      <c r="CJ10" s="504">
        <f t="shared" ref="CJ10:CJ40" si="27">+CI10/$E10</f>
        <v>0</v>
      </c>
      <c r="CK10" s="505">
        <f>+CI10*$H$9</f>
        <v>0</v>
      </c>
      <c r="CL10" s="503"/>
      <c r="CM10" s="504">
        <f t="shared" ref="CM10:CM40" si="28">+CL10/$E10</f>
        <v>0</v>
      </c>
      <c r="CN10" s="505">
        <f>+CL10*$H$9</f>
        <v>0</v>
      </c>
      <c r="CO10" s="503"/>
      <c r="CP10" s="504">
        <f t="shared" ref="CP10:CP40" si="29">+CO10/$E10</f>
        <v>0</v>
      </c>
      <c r="CQ10" s="505">
        <f>+CO10*$H$9</f>
        <v>0</v>
      </c>
      <c r="CR10" s="503"/>
      <c r="CS10" s="504">
        <f t="shared" ref="CS10:CS40" si="30">+CR10/$E10</f>
        <v>0</v>
      </c>
      <c r="CT10" s="505">
        <f>+CR10*$H$9</f>
        <v>0</v>
      </c>
      <c r="CU10" s="503"/>
      <c r="CV10" s="504">
        <f t="shared" ref="CV10:CV40" si="31">+CU10/$E10</f>
        <v>0</v>
      </c>
      <c r="CW10" s="505">
        <f>+CU10*$H$9</f>
        <v>0</v>
      </c>
      <c r="CX10" s="503"/>
      <c r="CY10" s="504">
        <f t="shared" ref="CY10:CY40" si="32">+CX10/$E10</f>
        <v>0</v>
      </c>
      <c r="CZ10" s="505">
        <f>+CX10*$H$9</f>
        <v>0</v>
      </c>
      <c r="DA10" s="503"/>
      <c r="DB10" s="504">
        <f t="shared" ref="DB10:DB40" si="33">+DA10/$E10</f>
        <v>0</v>
      </c>
      <c r="DC10" s="505">
        <f>+DA10*$H$9</f>
        <v>0</v>
      </c>
      <c r="DD10" s="503"/>
      <c r="DE10" s="504">
        <f t="shared" ref="DE10:DE40" si="34">+DD10/$E10</f>
        <v>0</v>
      </c>
      <c r="DF10" s="505">
        <f>+DD10*$H$9</f>
        <v>0</v>
      </c>
      <c r="DG10" s="503"/>
      <c r="DH10" s="504">
        <f t="shared" ref="DH10:DH40" si="35">+DG10/$E10</f>
        <v>0</v>
      </c>
      <c r="DI10" s="505">
        <v>0</v>
      </c>
      <c r="DJ10" s="503"/>
      <c r="DK10" s="504">
        <f t="shared" ref="DK10:DK40" si="36">+DJ10/$E10</f>
        <v>0</v>
      </c>
      <c r="DL10" s="505">
        <f>+DJ10*$H$9</f>
        <v>0</v>
      </c>
      <c r="DM10" s="503"/>
      <c r="DN10" s="504">
        <f t="shared" ref="DN10:DN40" si="37">+DM10/$E10</f>
        <v>0</v>
      </c>
      <c r="DO10" s="505">
        <f>+DM10*$H$9</f>
        <v>0</v>
      </c>
      <c r="DP10" s="503"/>
      <c r="DQ10" s="504">
        <f t="shared" ref="DQ10:DQ40" si="38">+DP10/$E10</f>
        <v>0</v>
      </c>
      <c r="DR10" s="505">
        <f>+DP10*$H$9</f>
        <v>0</v>
      </c>
      <c r="DS10" s="503"/>
      <c r="DT10" s="504">
        <f t="shared" ref="DT10:DT40" si="39">+DS10/$E10</f>
        <v>0</v>
      </c>
      <c r="DU10" s="505">
        <f>+DS10*$H$9</f>
        <v>0</v>
      </c>
      <c r="DV10" s="503"/>
      <c r="DW10" s="504">
        <f t="shared" ref="DW10:DW40" si="40">+DV10/$E10</f>
        <v>0</v>
      </c>
      <c r="DX10" s="505">
        <f>+DV10*$H$9</f>
        <v>0</v>
      </c>
      <c r="DY10" s="503">
        <v>21.566265060240994</v>
      </c>
      <c r="DZ10" s="504">
        <f t="shared" ref="DZ10:DZ40" si="41">+DY10/$E10</f>
        <v>0.3834888962825363</v>
      </c>
      <c r="EA10" s="505">
        <f>+DY10*$H$9</f>
        <v>0</v>
      </c>
      <c r="EB10" s="503">
        <v>223.08235294117662</v>
      </c>
      <c r="EC10" s="504">
        <f t="shared" ref="EC10:EC40" si="42">+EB10/$E10</f>
        <v>3.9668252741287162</v>
      </c>
      <c r="ED10" s="505">
        <f>+EB10*$H$9</f>
        <v>0</v>
      </c>
      <c r="EE10" s="503">
        <v>14.534883720930225</v>
      </c>
      <c r="EF10" s="504">
        <f t="shared" ref="EF10:EF40" si="43">+EE10/$E10</f>
        <v>0.25845766525472952</v>
      </c>
      <c r="EG10" s="505">
        <f>+EE10*$H$9</f>
        <v>0</v>
      </c>
      <c r="EH10" s="503"/>
      <c r="EI10" s="504">
        <f t="shared" ref="EI10:EI40" si="44">+EH10/$E10</f>
        <v>0</v>
      </c>
      <c r="EJ10" s="505">
        <f>+EH10*$H$9</f>
        <v>0</v>
      </c>
      <c r="EK10" s="503"/>
      <c r="EL10" s="504">
        <f t="shared" ref="EL10:EL40" si="45">+EK10/$E10</f>
        <v>0</v>
      </c>
      <c r="EM10" s="505">
        <f>+EK10*$H$9</f>
        <v>0</v>
      </c>
      <c r="EN10" s="503"/>
      <c r="EO10" s="504">
        <f t="shared" ref="EO10:EO40" si="46">+EN10/$E10</f>
        <v>0</v>
      </c>
      <c r="EP10" s="505">
        <f>+EN10*$H$9</f>
        <v>0</v>
      </c>
      <c r="EQ10" s="503"/>
      <c r="ER10" s="504">
        <f t="shared" ref="ER10:ER40" si="47">+EQ10/$E10</f>
        <v>0</v>
      </c>
      <c r="ES10" s="505">
        <f>+EQ10*$H$9</f>
        <v>0</v>
      </c>
      <c r="ET10" s="503"/>
      <c r="EU10" s="504">
        <f t="shared" ref="EU10:EU40" si="48">+ET10/$E10</f>
        <v>0</v>
      </c>
      <c r="EV10" s="505">
        <f>+ET10*$H$9</f>
        <v>0</v>
      </c>
      <c r="EW10" s="503"/>
      <c r="EX10" s="504">
        <f t="shared" ref="EX10:EX40" si="49">+EW10/$E10</f>
        <v>0</v>
      </c>
      <c r="EY10" s="505">
        <f>+EW10*$H$9</f>
        <v>0</v>
      </c>
      <c r="EZ10" s="503"/>
      <c r="FA10" s="504">
        <f t="shared" ref="FA10:FA40" si="50">+EZ10/$E10</f>
        <v>0</v>
      </c>
      <c r="FB10" s="505">
        <f>+EZ10*$H$9</f>
        <v>0</v>
      </c>
      <c r="FC10" s="503"/>
      <c r="FD10" s="504">
        <f t="shared" ref="FD10:FD40" si="51">+FC10/$E10</f>
        <v>0</v>
      </c>
      <c r="FE10" s="505">
        <f>+FC10*$H$9</f>
        <v>0</v>
      </c>
      <c r="FF10" s="503"/>
      <c r="FG10" s="504">
        <f t="shared" ref="FG10:FG40" si="52">+FF10/$E10</f>
        <v>0</v>
      </c>
      <c r="FH10" s="505">
        <f>+FF10*$H$9</f>
        <v>0</v>
      </c>
      <c r="FI10" s="503"/>
      <c r="FJ10" s="504">
        <f t="shared" ref="FJ10:FJ40" si="53">+FI10/$E10</f>
        <v>0</v>
      </c>
      <c r="FK10" s="505">
        <f>+FI10*$H$9</f>
        <v>0</v>
      </c>
      <c r="FL10" s="503"/>
      <c r="FM10" s="504">
        <f t="shared" ref="FM10:FM40" si="54">+FL10/$E10</f>
        <v>0</v>
      </c>
      <c r="FN10" s="505">
        <f>+FL10*$H$9</f>
        <v>0</v>
      </c>
      <c r="FO10" s="503"/>
      <c r="FP10" s="504">
        <f t="shared" ref="FP10:FP40" si="55">+FO10/$E10</f>
        <v>0</v>
      </c>
      <c r="FQ10" s="505">
        <f>+FO10*$H$9</f>
        <v>0</v>
      </c>
      <c r="FR10" s="503"/>
      <c r="FS10" s="504">
        <f t="shared" ref="FS10:FS40" si="56">+FR10/$E10</f>
        <v>0</v>
      </c>
      <c r="FT10" s="505">
        <f>+FR10*$H$9</f>
        <v>0</v>
      </c>
      <c r="FU10" s="503"/>
      <c r="FV10" s="504">
        <f t="shared" ref="FV10:FV40" si="57">+FU10/$E10</f>
        <v>0</v>
      </c>
      <c r="FW10" s="505">
        <f>+FU10*$H$9</f>
        <v>0</v>
      </c>
      <c r="FX10" s="503"/>
      <c r="FY10" s="504">
        <f t="shared" ref="FY10:FY40" si="58">+FX10/$E10</f>
        <v>0</v>
      </c>
      <c r="FZ10" s="505">
        <f>+FX10*$H$9</f>
        <v>0</v>
      </c>
      <c r="GA10" s="503"/>
      <c r="GB10" s="504">
        <f t="shared" ref="GB10:GB40" si="59">+GA10/$E10</f>
        <v>0</v>
      </c>
      <c r="GC10" s="505">
        <f>+GA10*$H$9</f>
        <v>0</v>
      </c>
      <c r="GD10" s="503"/>
      <c r="GE10" s="504">
        <f t="shared" ref="GE10:GE40" si="60">+GD10/$E10</f>
        <v>0</v>
      </c>
      <c r="GF10" s="505">
        <f>+GD10*$H$9</f>
        <v>0</v>
      </c>
      <c r="GG10" s="503">
        <v>20.171269162162524</v>
      </c>
      <c r="GH10" s="504">
        <f t="shared" ref="GH10:GH40" si="61">+GG10/$E10</f>
        <v>0.35868323634195498</v>
      </c>
      <c r="GI10" s="505">
        <f>+GG10*$H$9</f>
        <v>0</v>
      </c>
      <c r="GJ10" s="503">
        <v>20.171269162162524</v>
      </c>
      <c r="GK10" s="504">
        <f t="shared" ref="GK10:GK40" si="62">+GJ10/$E10</f>
        <v>0.35868323634195498</v>
      </c>
      <c r="GL10" s="505">
        <f>+GJ10*$H$9</f>
        <v>0</v>
      </c>
      <c r="GM10" s="503"/>
      <c r="GN10" s="504">
        <f t="shared" ref="GN10:GN40" si="63">+GM10/$E10</f>
        <v>0</v>
      </c>
      <c r="GO10" s="505">
        <f>+GM10*$H$9</f>
        <v>0</v>
      </c>
      <c r="GP10" s="503">
        <v>53.790051099100069</v>
      </c>
      <c r="GQ10" s="504">
        <f t="shared" ref="GQ10:GQ40" si="64">+GP10/$E10</f>
        <v>0.95648863024521347</v>
      </c>
      <c r="GR10" s="505">
        <f>+GP10*$H$9</f>
        <v>0</v>
      </c>
      <c r="GS10" s="503">
        <v>430.32040879280055</v>
      </c>
      <c r="GT10" s="504">
        <f t="shared" ref="GT10:GT40" si="65">+GS10/$E10</f>
        <v>7.6519090419617077</v>
      </c>
      <c r="GU10" s="505">
        <f>+GS10*$H$9</f>
        <v>0</v>
      </c>
      <c r="GV10" s="503">
        <v>188.26517884685023</v>
      </c>
      <c r="GW10" s="504">
        <f t="shared" ref="GW10:GW40" si="66">+GV10/$E10</f>
        <v>3.3477102058582466</v>
      </c>
      <c r="GX10" s="505">
        <f>+GV10*$H$9</f>
        <v>0</v>
      </c>
      <c r="GY10" s="503"/>
      <c r="GZ10" s="504">
        <f t="shared" ref="GZ10:GZ40" si="67">+GY10/$E10</f>
        <v>0</v>
      </c>
      <c r="HA10" s="505">
        <f>+GY10*$H$9</f>
        <v>0</v>
      </c>
      <c r="HB10" s="503"/>
      <c r="HC10" s="504">
        <f t="shared" ref="HC10:HC40" si="68">+HB10/$E10</f>
        <v>0</v>
      </c>
      <c r="HD10" s="505">
        <f>+HB10*$H$9</f>
        <v>0</v>
      </c>
      <c r="HE10" s="503"/>
      <c r="HF10" s="504">
        <f t="shared" ref="HF10:HF40" si="69">+HE10/$E10</f>
        <v>0</v>
      </c>
      <c r="HG10" s="505">
        <f>+HE10*$H$9</f>
        <v>0</v>
      </c>
      <c r="HH10" s="503"/>
      <c r="HI10" s="504">
        <f t="shared" ref="HI10:HI40" si="70">+HH10/$E10</f>
        <v>0</v>
      </c>
      <c r="HJ10" s="505">
        <f>+HH10*$H$9</f>
        <v>0</v>
      </c>
      <c r="HK10" s="503"/>
      <c r="HL10" s="504">
        <f t="shared" ref="HL10:HL40" si="71">+HK10/$E10</f>
        <v>0</v>
      </c>
      <c r="HM10" s="505">
        <f>+HK10*$H$9</f>
        <v>0</v>
      </c>
      <c r="HN10" s="503">
        <v>1215.6551548396615</v>
      </c>
      <c r="HO10" s="504">
        <f t="shared" ref="HO10:HO40" si="72">+HN10/$E10</f>
        <v>21.616643043541821</v>
      </c>
      <c r="HP10" s="505">
        <f>+HN10*$H$9</f>
        <v>0</v>
      </c>
      <c r="HQ10" s="503"/>
      <c r="HR10" s="504">
        <f t="shared" ref="HR10:HR40" si="73">+HQ10/$E10</f>
        <v>0</v>
      </c>
      <c r="HS10" s="505">
        <f>+HQ10*$H$9</f>
        <v>0</v>
      </c>
      <c r="HT10" s="503"/>
      <c r="HU10" s="504">
        <f t="shared" ref="HU10:HU40" si="74">+HT10/$E10</f>
        <v>0</v>
      </c>
      <c r="HV10" s="505">
        <f>+HT10*$H$9</f>
        <v>0</v>
      </c>
      <c r="HW10" s="503"/>
      <c r="HX10" s="504">
        <f t="shared" ref="HX10:HX40" si="75">+HW10/$E10</f>
        <v>0</v>
      </c>
      <c r="HY10" s="505">
        <f>+HW10*$H$9</f>
        <v>0</v>
      </c>
      <c r="HZ10" s="503"/>
      <c r="IA10" s="504">
        <f t="shared" ref="IA10:IA40" si="76">+HZ10/$E10</f>
        <v>0</v>
      </c>
      <c r="IB10" s="505">
        <f>+HZ10*$H$9</f>
        <v>0</v>
      </c>
      <c r="IC10" s="503"/>
      <c r="ID10" s="504">
        <f t="shared" ref="ID10:ID40" si="77">+IC10/$E10</f>
        <v>0</v>
      </c>
      <c r="IE10" s="505">
        <f>+IC10*$H$9</f>
        <v>0</v>
      </c>
      <c r="IF10" s="503"/>
      <c r="IG10" s="504">
        <f t="shared" ref="IG10:IG40" si="78">+IF10/$E10</f>
        <v>0</v>
      </c>
      <c r="IH10" s="505">
        <f>+IF10*$H$9</f>
        <v>0</v>
      </c>
      <c r="II10" s="503">
        <v>36.980660130631293</v>
      </c>
      <c r="IJ10" s="504">
        <f t="shared" ref="IJ10:IJ40" si="79">+II10/$E10</f>
        <v>0.65758593329358417</v>
      </c>
      <c r="IK10" s="505">
        <f>+II10*$H$9</f>
        <v>0</v>
      </c>
      <c r="IL10" s="503"/>
      <c r="IM10" s="504">
        <f t="shared" ref="IM10:IM40" si="80">+IL10/$E10</f>
        <v>0</v>
      </c>
      <c r="IN10" s="505">
        <f>+IL10*$H$9</f>
        <v>0</v>
      </c>
      <c r="IO10" s="503"/>
      <c r="IP10" s="504">
        <f t="shared" ref="IP10:IP40" si="81">+IO10/$E10</f>
        <v>0</v>
      </c>
      <c r="IQ10" s="505">
        <f>+IO10*$H$9</f>
        <v>0</v>
      </c>
      <c r="IR10" s="503">
        <v>73.961320261262586</v>
      </c>
      <c r="IS10" s="504">
        <f t="shared" ref="IS10:IS40" si="82">+IR10/$E10</f>
        <v>1.3151718665871683</v>
      </c>
      <c r="IT10" s="505">
        <f>+IR10*$H$9</f>
        <v>0</v>
      </c>
      <c r="IU10" s="503"/>
      <c r="IV10" s="504">
        <f t="shared" ref="IV10:IV40" si="83">+IU10/$E10</f>
        <v>0</v>
      </c>
      <c r="IW10" s="505">
        <f>+IU10*$H$9</f>
        <v>0</v>
      </c>
      <c r="IX10" s="503"/>
      <c r="IY10" s="504">
        <f t="shared" ref="IY10:IY40" si="84">+IX10/$E10</f>
        <v>0</v>
      </c>
      <c r="IZ10" s="505">
        <f>+IX10*$H$9</f>
        <v>0</v>
      </c>
      <c r="JA10" s="503"/>
      <c r="JB10" s="504">
        <f t="shared" ref="JB10:JB40" si="85">+JA10/$E10</f>
        <v>0</v>
      </c>
      <c r="JC10" s="505">
        <f>+JA10*$H$9</f>
        <v>0</v>
      </c>
      <c r="JD10" s="503"/>
      <c r="JE10" s="504">
        <f t="shared" ref="JE10:JE40" si="86">+JD10/$E10</f>
        <v>0</v>
      </c>
      <c r="JF10" s="505">
        <f>+JD10*$H$9</f>
        <v>0</v>
      </c>
      <c r="JG10" s="503"/>
      <c r="JH10" s="504">
        <f t="shared" ref="JH10:JH40" si="87">+JG10/$E10</f>
        <v>0</v>
      </c>
      <c r="JI10" s="505">
        <f>+JG10*$H$9</f>
        <v>0</v>
      </c>
      <c r="JJ10" s="503">
        <v>33.618781936937545</v>
      </c>
      <c r="JK10" s="505" t="str">
        <f t="shared" ref="JK10:JK40" si="88">IFERROR((JJ10/$L10),"0")</f>
        <v>0</v>
      </c>
      <c r="JL10" s="505" t="str">
        <f t="shared" ref="JL10:JL40" si="89">IFERROR(((JJ10*JL$9)/$L10),"0")</f>
        <v>0</v>
      </c>
      <c r="JM10" s="503">
        <v>26.895025549550034</v>
      </c>
      <c r="JN10" s="505" t="str">
        <f t="shared" ref="JN10:JN40" si="90">IFERROR((JM10/$L10),"0")</f>
        <v>0</v>
      </c>
      <c r="JO10" s="505" t="str">
        <f t="shared" ref="JO10:JO40" si="91">IFERROR(((JM10*JO$9)/$L10),"0")</f>
        <v>0</v>
      </c>
      <c r="JP10" s="503"/>
      <c r="JQ10" s="505" t="str">
        <f t="shared" ref="JQ10:JQ40" si="92">IFERROR((JP10/$L10),"0")</f>
        <v>0</v>
      </c>
      <c r="JR10" s="505" t="str">
        <f t="shared" ref="JR10:JR40" si="93">IFERROR(((JP10*JR$9)/$L10),"0")</f>
        <v>0</v>
      </c>
      <c r="JS10" s="503"/>
      <c r="JT10" s="505" t="str">
        <f t="shared" ref="JT10:JT40" si="94">IFERROR((JS10/$L10),"0")</f>
        <v>0</v>
      </c>
      <c r="JU10" s="505" t="str">
        <f t="shared" ref="JU10:JU40" si="95">IFERROR(((JS10*JU$9)/$L10),"0")</f>
        <v>0</v>
      </c>
      <c r="JV10" s="503"/>
      <c r="JW10" s="505" t="str">
        <f t="shared" ref="JW10:JW40" si="96">IFERROR((JV10/$L10),"0")</f>
        <v>0</v>
      </c>
      <c r="JX10" s="505" t="str">
        <f t="shared" ref="JX10:JX40" si="97">IFERROR(((JV10*JX$9)/$L10),"0")</f>
        <v>0</v>
      </c>
      <c r="JY10" s="503"/>
      <c r="JZ10" s="505" t="str">
        <f t="shared" ref="JZ10:JZ40" si="98">IFERROR((JY10/$L10),"0")</f>
        <v>0</v>
      </c>
      <c r="KA10" s="505" t="str">
        <f t="shared" ref="KA10:KA40" si="99">IFERROR(((JY10*KA$9)/$L10),"0")</f>
        <v>0</v>
      </c>
      <c r="KB10" s="503"/>
      <c r="KC10" s="505" t="str">
        <f t="shared" ref="KC10:KC40" si="100">IFERROR((KB10/$L10),"0")</f>
        <v>0</v>
      </c>
      <c r="KD10" s="505" t="str">
        <f t="shared" ref="KD10:KD40" si="101">IFERROR(((KB10*KD$9)/$L10),"0")</f>
        <v>0</v>
      </c>
      <c r="KE10" s="503"/>
      <c r="KF10" s="505" t="str">
        <f t="shared" ref="KF10:KF40" si="102">IFERROR((KE10/$L10),"0")</f>
        <v>0</v>
      </c>
      <c r="KG10" s="505" t="str">
        <f t="shared" ref="KG10:KG40" si="103">IFERROR(((KE10*KG$9)/$L10),"0")</f>
        <v>0</v>
      </c>
      <c r="KH10" s="503"/>
      <c r="KI10" s="505" t="str">
        <f t="shared" ref="KI10:KI40" si="104">IFERROR((KH10/$L10),"0")</f>
        <v>0</v>
      </c>
      <c r="KJ10" s="505" t="str">
        <f t="shared" ref="KJ10:KJ40" si="105">IFERROR(((KH10*KJ$9)/$L10),"0")</f>
        <v>0</v>
      </c>
      <c r="KK10" s="503"/>
      <c r="KL10" s="505" t="str">
        <f t="shared" ref="KL10:KL40" si="106">IFERROR((KK10/$L10),"0")</f>
        <v>0</v>
      </c>
      <c r="KM10" s="505" t="str">
        <f t="shared" ref="KM10:KM40" si="107">IFERROR(((KK10*KM$9)/$L10),"0")</f>
        <v>0</v>
      </c>
      <c r="KN10" s="503"/>
      <c r="KO10" s="505" t="str">
        <f t="shared" ref="KO10:KO40" si="108">IFERROR((KN10/$L10),"0")</f>
        <v>0</v>
      </c>
      <c r="KP10" s="505" t="str">
        <f t="shared" ref="KP10:KP40" si="109">IFERROR(((KN10*KP$9)/$L10),"0")</f>
        <v>0</v>
      </c>
      <c r="KQ10" s="503"/>
      <c r="KR10" s="505" t="str">
        <f t="shared" ref="KR10:KR40" si="110">IFERROR((KQ10/$L10),"0")</f>
        <v>0</v>
      </c>
      <c r="KS10" s="505" t="str">
        <f t="shared" ref="KS10:KS40" si="111">IFERROR(((KQ10*KS$9)/$L10),"0")</f>
        <v>0</v>
      </c>
      <c r="KT10" s="505">
        <f>H10+K10+N10+Q10+T10+W10+Z10+AC10+AF10+AI10+AL10+AO10+AR10+AU10+AX10+BA10+BD10+BG10+BJ10+BM10+BP10+BS10+BV10+BY10+CB10+CE10+CH10+CK10+CN10+CQ10+CT10+CW10+CZ10+DC10+DF10+DI10+DL10+DO10+DR10+DU10+DX10+EA10+ED10+EG10+EJ10+EM10+EP10+ES10+EV10+EY10+FB10+FE10+FH10+FK10+FN10+FQ10+FT10+FW10+FZ10+GC10</f>
        <v>0</v>
      </c>
      <c r="KU10" s="505">
        <f>GF10+GI10+GL10+GO10+GR10+GU10+GX10+HA10+HD10+HG10+HJ10+HM10+HP10+HS10+HV10+HY10+IB10+IE10+IH10+IK10+IN10+IQ10+IT10+IW10+IZ10+JC10+JF10+JI10+JL10+JO10+JR10+JU10+JX10++KA10+KD10+KG10+KJ10++KM10+KP10+KS10</f>
        <v>0</v>
      </c>
      <c r="KV10" s="258">
        <f t="shared" ref="KV10:KV42" si="112">+F10+I10+L10+O10+R10+U10+X10+AA10+AD10+AG10+AJ10+AM10+AP10+AS10+AV10+AY10+BB10+BE10+BH10+BK10+BN10+BQ10+BT10+BW10+BZ10+CC10+CF10+CI10+CL10+CO10+CR10+CU10+CX10+DA10+DD10+DJ10+DM10+DP10+DS10+DV10+DY10+EB10+GG10+GJ10+GP10+GS10+GV10+HB10+HN10+II10+IR10+JJ10+JM10+EE10</f>
        <v>2452.5548215034669</v>
      </c>
    </row>
    <row r="11" spans="1:308" ht="15" customHeight="1">
      <c r="A11" s="462">
        <f>+A10+1</f>
        <v>46083</v>
      </c>
      <c r="B11" s="463" t="str">
        <f>+Report1!B10</f>
        <v xml:space="preserve">Toilet </v>
      </c>
      <c r="C11" s="464" t="str">
        <f>+Report1!C10</f>
        <v>15</v>
      </c>
      <c r="D11" s="465">
        <f>+Report1!P10</f>
        <v>52.173000000000002</v>
      </c>
      <c r="E11" s="466">
        <f>+Report1!R10</f>
        <v>52.433</v>
      </c>
      <c r="F11" s="503"/>
      <c r="G11" s="504">
        <f t="shared" si="0"/>
        <v>0</v>
      </c>
      <c r="H11" s="505">
        <f t="shared" ref="H11:H40" si="113">+F11*$H$9</f>
        <v>0</v>
      </c>
      <c r="I11" s="503"/>
      <c r="J11" s="504">
        <f t="shared" si="1"/>
        <v>0</v>
      </c>
      <c r="K11" s="505">
        <f t="shared" ref="K11:K40" si="114">+I11*$H$9</f>
        <v>0</v>
      </c>
      <c r="L11" s="503"/>
      <c r="M11" s="504">
        <f t="shared" si="2"/>
        <v>0</v>
      </c>
      <c r="N11" s="505">
        <f t="shared" ref="N11:N40" si="115">+L11*$H$9</f>
        <v>0</v>
      </c>
      <c r="O11" s="503">
        <v>9</v>
      </c>
      <c r="P11" s="504">
        <f t="shared" si="3"/>
        <v>0.17164762649476475</v>
      </c>
      <c r="Q11" s="505">
        <f t="shared" ref="Q11:Q40" si="116">+O11*$H$9</f>
        <v>0</v>
      </c>
      <c r="R11" s="503">
        <v>5.1249999999999432</v>
      </c>
      <c r="S11" s="504">
        <f t="shared" si="4"/>
        <v>9.774378730951773E-2</v>
      </c>
      <c r="T11" s="505">
        <f t="shared" ref="T11:T40" si="117">+R11*$H$9</f>
        <v>0</v>
      </c>
      <c r="U11" s="503">
        <v>7.8125000000000142</v>
      </c>
      <c r="V11" s="504">
        <f t="shared" si="5"/>
        <v>0.14899967577670578</v>
      </c>
      <c r="W11" s="505">
        <f t="shared" ref="W11:W40" si="118">+U11*$H$9</f>
        <v>0</v>
      </c>
      <c r="X11" s="503"/>
      <c r="Y11" s="504">
        <f t="shared" si="6"/>
        <v>0</v>
      </c>
      <c r="Z11" s="505">
        <f t="shared" ref="Z11:Z40" si="119">+X11*$H$9</f>
        <v>0</v>
      </c>
      <c r="AA11" s="503"/>
      <c r="AB11" s="504">
        <f t="shared" si="7"/>
        <v>0</v>
      </c>
      <c r="AC11" s="505">
        <f t="shared" ref="AC11:AC40" si="120">+AA11*$H$9</f>
        <v>0</v>
      </c>
      <c r="AD11" s="503"/>
      <c r="AE11" s="504">
        <f t="shared" si="8"/>
        <v>0</v>
      </c>
      <c r="AF11" s="505">
        <f t="shared" ref="AF11:AF40" si="121">+AD11*$H$9</f>
        <v>0</v>
      </c>
      <c r="AG11" s="503"/>
      <c r="AH11" s="504">
        <f t="shared" si="9"/>
        <v>0</v>
      </c>
      <c r="AI11" s="505">
        <f t="shared" ref="AI11:AI40" si="122">+AG11*$H$9</f>
        <v>0</v>
      </c>
      <c r="AJ11" s="503"/>
      <c r="AK11" s="504">
        <f t="shared" si="10"/>
        <v>0</v>
      </c>
      <c r="AL11" s="505">
        <f t="shared" ref="AL11:AL40" si="123">+AJ11*$H$9</f>
        <v>0</v>
      </c>
      <c r="AM11" s="503"/>
      <c r="AN11" s="504">
        <f t="shared" si="11"/>
        <v>0</v>
      </c>
      <c r="AO11" s="505">
        <f t="shared" ref="AO11:AO40" si="124">+AM11*$H$9</f>
        <v>0</v>
      </c>
      <c r="AP11" s="503">
        <v>44.6843589743591</v>
      </c>
      <c r="AQ11" s="504">
        <f t="shared" si="12"/>
        <v>0.85221823993208667</v>
      </c>
      <c r="AR11" s="505">
        <f t="shared" ref="AR11:AR40" si="125">+AP11*$H$9</f>
        <v>0</v>
      </c>
      <c r="AS11" s="503"/>
      <c r="AT11" s="504">
        <f t="shared" si="13"/>
        <v>0</v>
      </c>
      <c r="AU11" s="505">
        <f t="shared" ref="AU11:AU40" si="126">+AS11*$H$9</f>
        <v>0</v>
      </c>
      <c r="AV11" s="503">
        <v>8.3249999999999886</v>
      </c>
      <c r="AW11" s="504">
        <f t="shared" si="14"/>
        <v>0.15877405450765716</v>
      </c>
      <c r="AX11" s="505">
        <f t="shared" ref="AX11:AX40" si="127">+AV11*$H$9</f>
        <v>0</v>
      </c>
      <c r="AY11" s="503">
        <v>30.32946666666669</v>
      </c>
      <c r="AZ11" s="504">
        <f t="shared" si="15"/>
        <v>0.57844232957615793</v>
      </c>
      <c r="BA11" s="505">
        <f t="shared" ref="BA11:BA40" si="128">+AY11*$H$9</f>
        <v>0</v>
      </c>
      <c r="BB11" s="503"/>
      <c r="BC11" s="504">
        <f t="shared" si="16"/>
        <v>0</v>
      </c>
      <c r="BD11" s="505">
        <f t="shared" ref="BD11:BD40" si="129">+BB11*$H$9</f>
        <v>0</v>
      </c>
      <c r="BE11" s="503"/>
      <c r="BF11" s="504">
        <f t="shared" si="17"/>
        <v>0</v>
      </c>
      <c r="BG11" s="505">
        <f t="shared" ref="BG11:BG40" si="130">+BE11*$H$9</f>
        <v>0</v>
      </c>
      <c r="BH11" s="503"/>
      <c r="BI11" s="504">
        <f t="shared" si="18"/>
        <v>0</v>
      </c>
      <c r="BJ11" s="505">
        <f t="shared" ref="BJ11:BJ40" si="131">+BH11*$H$9</f>
        <v>0</v>
      </c>
      <c r="BK11" s="503"/>
      <c r="BL11" s="504">
        <f t="shared" si="19"/>
        <v>0</v>
      </c>
      <c r="BM11" s="505">
        <f t="shared" ref="BM11:BM40" si="132">+BK11*$H$9</f>
        <v>0</v>
      </c>
      <c r="BN11" s="503"/>
      <c r="BO11" s="504">
        <f t="shared" si="20"/>
        <v>0</v>
      </c>
      <c r="BP11" s="505">
        <f t="shared" ref="BP11:BP40" si="133">+BN11*$H$9</f>
        <v>0</v>
      </c>
      <c r="BQ11" s="503"/>
      <c r="BR11" s="504">
        <f t="shared" si="21"/>
        <v>0</v>
      </c>
      <c r="BS11" s="505">
        <f t="shared" ref="BS11:BS40" si="134">+BQ11*$H$9</f>
        <v>0</v>
      </c>
      <c r="BT11" s="503"/>
      <c r="BU11" s="504">
        <f t="shared" si="22"/>
        <v>0</v>
      </c>
      <c r="BV11" s="505">
        <f t="shared" ref="BV11:BV40" si="135">+BT11*$H$9</f>
        <v>0</v>
      </c>
      <c r="BW11" s="503"/>
      <c r="BX11" s="504">
        <f t="shared" si="23"/>
        <v>0</v>
      </c>
      <c r="BY11" s="505">
        <f t="shared" ref="BY11:BY40" si="136">+BW11*$H$9</f>
        <v>0</v>
      </c>
      <c r="BZ11" s="503"/>
      <c r="CA11" s="504">
        <f t="shared" si="24"/>
        <v>0</v>
      </c>
      <c r="CB11" s="505">
        <f t="shared" ref="CB11:CB40" si="137">+BZ11*$H$9</f>
        <v>0</v>
      </c>
      <c r="CC11" s="503"/>
      <c r="CD11" s="504">
        <f t="shared" si="25"/>
        <v>0</v>
      </c>
      <c r="CE11" s="505">
        <f t="shared" ref="CE11:CE40" si="138">+CC11*$H$9</f>
        <v>0</v>
      </c>
      <c r="CF11" s="503">
        <v>12</v>
      </c>
      <c r="CG11" s="504">
        <f t="shared" si="26"/>
        <v>0.22886350199301966</v>
      </c>
      <c r="CH11" s="505">
        <f t="shared" ref="CH11:CH40" si="139">+CF11*$H$9</f>
        <v>0</v>
      </c>
      <c r="CI11" s="503"/>
      <c r="CJ11" s="504">
        <f t="shared" si="27"/>
        <v>0</v>
      </c>
      <c r="CK11" s="505">
        <f t="shared" ref="CK11:CK40" si="140">+CI11*$H$9</f>
        <v>0</v>
      </c>
      <c r="CL11" s="503"/>
      <c r="CM11" s="504">
        <f t="shared" si="28"/>
        <v>0</v>
      </c>
      <c r="CN11" s="505">
        <f t="shared" ref="CN11:CN40" si="141">+CL11*$H$9</f>
        <v>0</v>
      </c>
      <c r="CO11" s="503"/>
      <c r="CP11" s="504">
        <f t="shared" si="29"/>
        <v>0</v>
      </c>
      <c r="CQ11" s="505">
        <f t="shared" ref="CQ11:CQ40" si="142">+CO11*$H$9</f>
        <v>0</v>
      </c>
      <c r="CR11" s="503"/>
      <c r="CS11" s="504">
        <f t="shared" si="30"/>
        <v>0</v>
      </c>
      <c r="CT11" s="505">
        <f t="shared" ref="CT11:CT40" si="143">+CR11*$H$9</f>
        <v>0</v>
      </c>
      <c r="CU11" s="503"/>
      <c r="CV11" s="504">
        <f t="shared" si="31"/>
        <v>0</v>
      </c>
      <c r="CW11" s="505">
        <f t="shared" ref="CW11:CW40" si="144">+CU11*$H$9</f>
        <v>0</v>
      </c>
      <c r="CX11" s="503"/>
      <c r="CY11" s="504">
        <f t="shared" si="32"/>
        <v>0</v>
      </c>
      <c r="CZ11" s="505">
        <f t="shared" ref="CZ11:CZ40" si="145">+CX11*$H$9</f>
        <v>0</v>
      </c>
      <c r="DA11" s="503"/>
      <c r="DB11" s="504">
        <f t="shared" si="33"/>
        <v>0</v>
      </c>
      <c r="DC11" s="505">
        <f t="shared" ref="DC11:DC40" si="146">+DA11*$H$9</f>
        <v>0</v>
      </c>
      <c r="DD11" s="503"/>
      <c r="DE11" s="504">
        <f t="shared" si="34"/>
        <v>0</v>
      </c>
      <c r="DF11" s="505">
        <f t="shared" ref="DF11:DF40" si="147">+DD11*$H$9</f>
        <v>0</v>
      </c>
      <c r="DG11" s="503"/>
      <c r="DH11" s="504">
        <f t="shared" si="35"/>
        <v>0</v>
      </c>
      <c r="DI11" s="505">
        <v>0</v>
      </c>
      <c r="DJ11" s="503"/>
      <c r="DK11" s="504">
        <f t="shared" si="36"/>
        <v>0</v>
      </c>
      <c r="DL11" s="505">
        <f t="shared" ref="DL11:DL40" si="148">+DJ11*$H$9</f>
        <v>0</v>
      </c>
      <c r="DM11" s="503"/>
      <c r="DN11" s="504">
        <f t="shared" si="37"/>
        <v>0</v>
      </c>
      <c r="DO11" s="505">
        <f t="shared" ref="DO11:DO40" si="149">+DM11*$H$9</f>
        <v>0</v>
      </c>
      <c r="DP11" s="503"/>
      <c r="DQ11" s="504">
        <f t="shared" si="38"/>
        <v>0</v>
      </c>
      <c r="DR11" s="505">
        <f t="shared" ref="DR11:DR40" si="150">+DP11*$H$9</f>
        <v>0</v>
      </c>
      <c r="DS11" s="503"/>
      <c r="DT11" s="504">
        <f t="shared" si="39"/>
        <v>0</v>
      </c>
      <c r="DU11" s="505">
        <f t="shared" ref="DU11:DU40" si="151">+DS11*$H$9</f>
        <v>0</v>
      </c>
      <c r="DV11" s="503"/>
      <c r="DW11" s="504">
        <f t="shared" si="40"/>
        <v>0</v>
      </c>
      <c r="DX11" s="505">
        <f t="shared" ref="DX11:DX40" si="152">+DV11*$H$9</f>
        <v>0</v>
      </c>
      <c r="DY11" s="503">
        <v>17.253012048192772</v>
      </c>
      <c r="DZ11" s="504">
        <f t="shared" si="41"/>
        <v>0.32904872977309657</v>
      </c>
      <c r="EA11" s="505">
        <f t="shared" ref="EA11:EA40" si="153">+DY11*$H$9</f>
        <v>0</v>
      </c>
      <c r="EB11" s="503">
        <v>234.82352941176464</v>
      </c>
      <c r="EC11" s="504">
        <f t="shared" si="42"/>
        <v>4.478544607628109</v>
      </c>
      <c r="ED11" s="505">
        <f t="shared" ref="ED11:ED40" si="154">+EB11*$H$9</f>
        <v>0</v>
      </c>
      <c r="EE11" s="503">
        <v>14.534883720930225</v>
      </c>
      <c r="EF11" s="504">
        <f t="shared" si="43"/>
        <v>0.27720869911945195</v>
      </c>
      <c r="EG11" s="505">
        <f t="shared" ref="EG11:EG40" si="155">+EE11*$H$9</f>
        <v>0</v>
      </c>
      <c r="EH11" s="503"/>
      <c r="EI11" s="504">
        <f t="shared" si="44"/>
        <v>0</v>
      </c>
      <c r="EJ11" s="505">
        <f t="shared" ref="EJ11:EJ40" si="156">+EH11*$H$9</f>
        <v>0</v>
      </c>
      <c r="EK11" s="503"/>
      <c r="EL11" s="504">
        <f t="shared" si="45"/>
        <v>0</v>
      </c>
      <c r="EM11" s="505">
        <f t="shared" ref="EM11:EM40" si="157">+EK11*$H$9</f>
        <v>0</v>
      </c>
      <c r="EN11" s="503"/>
      <c r="EO11" s="504">
        <f t="shared" si="46"/>
        <v>0</v>
      </c>
      <c r="EP11" s="505">
        <f t="shared" ref="EP11:EP40" si="158">+EN11*$H$9</f>
        <v>0</v>
      </c>
      <c r="EQ11" s="503"/>
      <c r="ER11" s="504">
        <f t="shared" si="47"/>
        <v>0</v>
      </c>
      <c r="ES11" s="505">
        <f t="shared" ref="ES11:ES40" si="159">+EQ11*$H$9</f>
        <v>0</v>
      </c>
      <c r="ET11" s="503"/>
      <c r="EU11" s="504">
        <f t="shared" si="48"/>
        <v>0</v>
      </c>
      <c r="EV11" s="505">
        <f t="shared" ref="EV11:EV40" si="160">+ET11*$H$9</f>
        <v>0</v>
      </c>
      <c r="EW11" s="503"/>
      <c r="EX11" s="504">
        <f t="shared" si="49"/>
        <v>0</v>
      </c>
      <c r="EY11" s="505">
        <f t="shared" ref="EY11:EY40" si="161">+EW11*$H$9</f>
        <v>0</v>
      </c>
      <c r="EZ11" s="503"/>
      <c r="FA11" s="504">
        <f t="shared" si="50"/>
        <v>0</v>
      </c>
      <c r="FB11" s="505">
        <f t="shared" ref="FB11:FB40" si="162">+EZ11*$H$9</f>
        <v>0</v>
      </c>
      <c r="FC11" s="503"/>
      <c r="FD11" s="504">
        <f t="shared" si="51"/>
        <v>0</v>
      </c>
      <c r="FE11" s="505">
        <f t="shared" ref="FE11:FE40" si="163">+FC11*$H$9</f>
        <v>0</v>
      </c>
      <c r="FF11" s="503"/>
      <c r="FG11" s="504">
        <f t="shared" si="52"/>
        <v>0</v>
      </c>
      <c r="FH11" s="505">
        <f t="shared" ref="FH11:FH40" si="164">+FF11*$H$9</f>
        <v>0</v>
      </c>
      <c r="FI11" s="503"/>
      <c r="FJ11" s="504">
        <f t="shared" si="53"/>
        <v>0</v>
      </c>
      <c r="FK11" s="505">
        <f t="shared" ref="FK11:FK40" si="165">+FI11*$H$9</f>
        <v>0</v>
      </c>
      <c r="FL11" s="503"/>
      <c r="FM11" s="504">
        <f t="shared" si="54"/>
        <v>0</v>
      </c>
      <c r="FN11" s="505">
        <f t="shared" ref="FN11:FN40" si="166">+FL11*$H$9</f>
        <v>0</v>
      </c>
      <c r="FO11" s="503"/>
      <c r="FP11" s="504">
        <f t="shared" si="55"/>
        <v>0</v>
      </c>
      <c r="FQ11" s="505">
        <f t="shared" ref="FQ11:FQ40" si="167">+FO11*$H$9</f>
        <v>0</v>
      </c>
      <c r="FR11" s="503"/>
      <c r="FS11" s="504">
        <f t="shared" si="56"/>
        <v>0</v>
      </c>
      <c r="FT11" s="505">
        <f t="shared" ref="FT11:FT40" si="168">+FR11*$H$9</f>
        <v>0</v>
      </c>
      <c r="FU11" s="503"/>
      <c r="FV11" s="504">
        <f t="shared" si="57"/>
        <v>0</v>
      </c>
      <c r="FW11" s="505">
        <f t="shared" ref="FW11:FW40" si="169">+FU11*$H$9</f>
        <v>0</v>
      </c>
      <c r="FX11" s="503"/>
      <c r="FY11" s="504">
        <f t="shared" si="58"/>
        <v>0</v>
      </c>
      <c r="FZ11" s="505">
        <f t="shared" ref="FZ11:FZ40" si="170">+FX11*$H$9</f>
        <v>0</v>
      </c>
      <c r="GA11" s="503"/>
      <c r="GB11" s="504">
        <f t="shared" si="59"/>
        <v>0</v>
      </c>
      <c r="GC11" s="505">
        <f t="shared" ref="GC11:GC40" si="171">+GA11*$H$9</f>
        <v>0</v>
      </c>
      <c r="GD11" s="503"/>
      <c r="GE11" s="504">
        <f t="shared" si="60"/>
        <v>0</v>
      </c>
      <c r="GF11" s="505">
        <f t="shared" ref="GF11:GF40" si="172">+GD11*$H$9</f>
        <v>0</v>
      </c>
      <c r="GG11" s="503">
        <v>19.59573828780329</v>
      </c>
      <c r="GH11" s="504">
        <f t="shared" si="61"/>
        <v>0.37372910739044668</v>
      </c>
      <c r="GI11" s="505">
        <f t="shared" ref="GI11:GI40" si="173">+GG11*$H$9</f>
        <v>0</v>
      </c>
      <c r="GJ11" s="503">
        <v>19.59573828780329</v>
      </c>
      <c r="GK11" s="504">
        <f t="shared" si="62"/>
        <v>0.37372910739044668</v>
      </c>
      <c r="GL11" s="505">
        <f t="shared" ref="GL11:GL40" si="174">+GJ11*$H$9</f>
        <v>0</v>
      </c>
      <c r="GM11" s="503"/>
      <c r="GN11" s="504">
        <f t="shared" si="63"/>
        <v>0</v>
      </c>
      <c r="GO11" s="505">
        <f t="shared" ref="GO11:GO40" si="175">+GM11*$H$9</f>
        <v>0</v>
      </c>
      <c r="GP11" s="503">
        <v>29.393607431704933</v>
      </c>
      <c r="GQ11" s="504">
        <f t="shared" si="64"/>
        <v>0.56059366108566999</v>
      </c>
      <c r="GR11" s="505">
        <f t="shared" ref="GR11:GR40" si="176">+GP11*$H$9</f>
        <v>0</v>
      </c>
      <c r="GS11" s="503">
        <v>359.25520194306029</v>
      </c>
      <c r="GT11" s="504">
        <f t="shared" si="65"/>
        <v>6.8517003021581884</v>
      </c>
      <c r="GU11" s="505">
        <f t="shared" ref="GU11:GU40" si="177">+GS11*$H$9</f>
        <v>0</v>
      </c>
      <c r="GV11" s="503">
        <v>143.70208077722413</v>
      </c>
      <c r="GW11" s="504">
        <f t="shared" si="66"/>
        <v>2.7406801208632756</v>
      </c>
      <c r="GX11" s="505">
        <f t="shared" ref="GX11:GX40" si="178">+GV11*$H$9</f>
        <v>0</v>
      </c>
      <c r="GY11" s="503"/>
      <c r="GZ11" s="504">
        <f t="shared" si="67"/>
        <v>0</v>
      </c>
      <c r="HA11" s="505">
        <f t="shared" ref="HA11:HA40" si="179">+GY11*$H$9</f>
        <v>0</v>
      </c>
      <c r="HB11" s="503"/>
      <c r="HC11" s="504">
        <f t="shared" si="68"/>
        <v>0</v>
      </c>
      <c r="HD11" s="505">
        <f t="shared" ref="HD11:HD40" si="180">+HB11*$H$9</f>
        <v>0</v>
      </c>
      <c r="HE11" s="503"/>
      <c r="HF11" s="504">
        <f t="shared" si="69"/>
        <v>0</v>
      </c>
      <c r="HG11" s="505">
        <f t="shared" ref="HG11:HG40" si="181">+HE11*$H$9</f>
        <v>0</v>
      </c>
      <c r="HH11" s="503"/>
      <c r="HI11" s="504">
        <f t="shared" si="70"/>
        <v>0</v>
      </c>
      <c r="HJ11" s="505">
        <f t="shared" ref="HJ11:HJ40" si="182">+HH11*$H$9</f>
        <v>0</v>
      </c>
      <c r="HK11" s="503"/>
      <c r="HL11" s="504">
        <f t="shared" si="71"/>
        <v>0</v>
      </c>
      <c r="HM11" s="505">
        <f t="shared" ref="HM11:HM40" si="183">+HK11*$H$9</f>
        <v>0</v>
      </c>
      <c r="HN11" s="503">
        <v>1109.1187870896663</v>
      </c>
      <c r="HO11" s="504">
        <f t="shared" si="72"/>
        <v>21.153067478299281</v>
      </c>
      <c r="HP11" s="505">
        <f t="shared" ref="HP11:HP40" si="184">+HN11*$H$9</f>
        <v>0</v>
      </c>
      <c r="HQ11" s="503"/>
      <c r="HR11" s="504">
        <f t="shared" si="73"/>
        <v>0</v>
      </c>
      <c r="HS11" s="505">
        <f t="shared" ref="HS11:HS40" si="185">+HQ11*$H$9</f>
        <v>0</v>
      </c>
      <c r="HT11" s="503"/>
      <c r="HU11" s="504">
        <f t="shared" si="74"/>
        <v>0</v>
      </c>
      <c r="HV11" s="505">
        <f t="shared" ref="HV11:HV40" si="186">+HT11*$H$9</f>
        <v>0</v>
      </c>
      <c r="HW11" s="503"/>
      <c r="HX11" s="504">
        <f t="shared" si="75"/>
        <v>0</v>
      </c>
      <c r="HY11" s="505">
        <f t="shared" ref="HY11:HY40" si="187">+HW11*$H$9</f>
        <v>0</v>
      </c>
      <c r="HZ11" s="503"/>
      <c r="IA11" s="504">
        <f t="shared" si="76"/>
        <v>0</v>
      </c>
      <c r="IB11" s="505">
        <f t="shared" ref="IB11:IB40" si="188">+HZ11*$H$9</f>
        <v>0</v>
      </c>
      <c r="IC11" s="503"/>
      <c r="ID11" s="504">
        <f t="shared" si="77"/>
        <v>0</v>
      </c>
      <c r="IE11" s="505">
        <f t="shared" ref="IE11:IE40" si="189">+IC11*$H$9</f>
        <v>0</v>
      </c>
      <c r="IF11" s="503"/>
      <c r="IG11" s="504">
        <f t="shared" si="78"/>
        <v>0</v>
      </c>
      <c r="IH11" s="505">
        <f t="shared" ref="IH11:IH40" si="190">+IF11*$H$9</f>
        <v>0</v>
      </c>
      <c r="II11" s="503">
        <v>26.127651050404385</v>
      </c>
      <c r="IJ11" s="504">
        <f t="shared" si="79"/>
        <v>0.49830547652059554</v>
      </c>
      <c r="IK11" s="505">
        <f t="shared" ref="IK11:IK40" si="191">+II11*$H$9</f>
        <v>0</v>
      </c>
      <c r="IL11" s="503"/>
      <c r="IM11" s="504">
        <f t="shared" si="80"/>
        <v>0</v>
      </c>
      <c r="IN11" s="505">
        <f t="shared" ref="IN11:IN40" si="192">+IL11*$H$9</f>
        <v>0</v>
      </c>
      <c r="IO11" s="503"/>
      <c r="IP11" s="504">
        <f t="shared" si="81"/>
        <v>0</v>
      </c>
      <c r="IQ11" s="505">
        <f t="shared" ref="IQ11:IQ40" si="193">+IO11*$H$9</f>
        <v>0</v>
      </c>
      <c r="IR11" s="503">
        <v>65.319127626010967</v>
      </c>
      <c r="IS11" s="504">
        <f t="shared" si="82"/>
        <v>1.2457636913014889</v>
      </c>
      <c r="IT11" s="505">
        <f t="shared" ref="IT11:IT40" si="194">+IR11*$H$9</f>
        <v>0</v>
      </c>
      <c r="IU11" s="503"/>
      <c r="IV11" s="504">
        <f t="shared" si="83"/>
        <v>0</v>
      </c>
      <c r="IW11" s="505">
        <f t="shared" ref="IW11:IW40" si="195">+IU11*$H$9</f>
        <v>0</v>
      </c>
      <c r="IX11" s="503"/>
      <c r="IY11" s="504">
        <f t="shared" si="84"/>
        <v>0</v>
      </c>
      <c r="IZ11" s="505">
        <f t="shared" ref="IZ11:IZ40" si="196">+IX11*$H$9</f>
        <v>0</v>
      </c>
      <c r="JA11" s="503"/>
      <c r="JB11" s="504">
        <f t="shared" si="85"/>
        <v>0</v>
      </c>
      <c r="JC11" s="505">
        <f t="shared" ref="JC11:JC40" si="197">+JA11*$H$9</f>
        <v>0</v>
      </c>
      <c r="JD11" s="503"/>
      <c r="JE11" s="504">
        <f t="shared" si="86"/>
        <v>0</v>
      </c>
      <c r="JF11" s="505">
        <f t="shared" ref="JF11:JF40" si="198">+JD11*$H$9</f>
        <v>0</v>
      </c>
      <c r="JG11" s="503"/>
      <c r="JH11" s="504">
        <f t="shared" si="87"/>
        <v>0</v>
      </c>
      <c r="JI11" s="505">
        <f t="shared" ref="JI11:JI40" si="199">+JG11*$H$9</f>
        <v>0</v>
      </c>
      <c r="JJ11" s="503">
        <v>26.127651050404385</v>
      </c>
      <c r="JK11" s="505" t="str">
        <f t="shared" si="88"/>
        <v>0</v>
      </c>
      <c r="JL11" s="505" t="str">
        <f t="shared" si="89"/>
        <v>0</v>
      </c>
      <c r="JM11" s="503"/>
      <c r="JN11" s="505" t="str">
        <f t="shared" si="90"/>
        <v>0</v>
      </c>
      <c r="JO11" s="505" t="str">
        <f t="shared" si="91"/>
        <v>0</v>
      </c>
      <c r="JP11" s="503"/>
      <c r="JQ11" s="505" t="str">
        <f t="shared" si="92"/>
        <v>0</v>
      </c>
      <c r="JR11" s="505" t="str">
        <f t="shared" si="93"/>
        <v>0</v>
      </c>
      <c r="JS11" s="503"/>
      <c r="JT11" s="505" t="str">
        <f t="shared" si="94"/>
        <v>0</v>
      </c>
      <c r="JU11" s="505" t="str">
        <f t="shared" si="95"/>
        <v>0</v>
      </c>
      <c r="JV11" s="503"/>
      <c r="JW11" s="505" t="str">
        <f t="shared" si="96"/>
        <v>0</v>
      </c>
      <c r="JX11" s="505" t="str">
        <f t="shared" si="97"/>
        <v>0</v>
      </c>
      <c r="JY11" s="503"/>
      <c r="JZ11" s="505" t="str">
        <f t="shared" si="98"/>
        <v>0</v>
      </c>
      <c r="KA11" s="505" t="str">
        <f t="shared" si="99"/>
        <v>0</v>
      </c>
      <c r="KB11" s="503"/>
      <c r="KC11" s="505" t="str">
        <f t="shared" si="100"/>
        <v>0</v>
      </c>
      <c r="KD11" s="505" t="str">
        <f t="shared" si="101"/>
        <v>0</v>
      </c>
      <c r="KE11" s="503"/>
      <c r="KF11" s="505" t="str">
        <f t="shared" si="102"/>
        <v>0</v>
      </c>
      <c r="KG11" s="505" t="str">
        <f t="shared" si="103"/>
        <v>0</v>
      </c>
      <c r="KH11" s="503"/>
      <c r="KI11" s="505" t="str">
        <f t="shared" si="104"/>
        <v>0</v>
      </c>
      <c r="KJ11" s="505" t="str">
        <f t="shared" si="105"/>
        <v>0</v>
      </c>
      <c r="KK11" s="503"/>
      <c r="KL11" s="505" t="str">
        <f t="shared" si="106"/>
        <v>0</v>
      </c>
      <c r="KM11" s="505" t="str">
        <f t="shared" si="107"/>
        <v>0</v>
      </c>
      <c r="KN11" s="503"/>
      <c r="KO11" s="505" t="str">
        <f t="shared" si="108"/>
        <v>0</v>
      </c>
      <c r="KP11" s="505" t="str">
        <f t="shared" si="109"/>
        <v>0</v>
      </c>
      <c r="KQ11" s="503"/>
      <c r="KR11" s="505" t="str">
        <f t="shared" si="110"/>
        <v>0</v>
      </c>
      <c r="KS11" s="505" t="str">
        <f t="shared" si="111"/>
        <v>0</v>
      </c>
      <c r="KT11" s="505">
        <f>H11+K11+N11+Q11+T11+W11+Z11+AC11+AF11+AI11+AL11+AO11+AR11+AU11+AX11+BA11+BD11+BG11+BJ11+BM11+BP11+BS11+BV11+BY11+CB11+CE11+CH11+CK11+CN11+CQ11+CT11+CW11+CZ11+DC11+DF11+DI11+DL11+DO11+DR11+DU11+DX11+EA11+ED11+EG11+EJ11+EM11+EP11+ES11+EV11+EY11+FB11+FE11+FH11+FK11+FN11+FQ11+FT11+FW11+FZ11+GC11</f>
        <v>0</v>
      </c>
      <c r="KU11" s="505">
        <f>GF11+GI11+GL11+GO11+GR11+GU11+GX11+HA11+HD11+HG11+HJ11+HM11+HP11+HS11+HV11+HY11+IB11+IE11+IH11+IK11+IN11+IQ11+IT11+IW11+IZ11+JC11+JF11+JI11+JL11+JO11+JR11+JU11+JX11++KA11+KD11+KG11+KJ11++KM11+KP11+KS11</f>
        <v>0</v>
      </c>
      <c r="KV11" s="258">
        <f t="shared" si="112"/>
        <v>2182.1233343659956</v>
      </c>
    </row>
    <row r="12" spans="1:308" ht="15" customHeight="1">
      <c r="A12" s="462">
        <f t="shared" ref="A12:A40" si="200">+A11+1</f>
        <v>46084</v>
      </c>
      <c r="B12" s="463" t="str">
        <f>+Report1!B11</f>
        <v xml:space="preserve">Toilet </v>
      </c>
      <c r="C12" s="464" t="str">
        <f>+Report1!C11</f>
        <v>15</v>
      </c>
      <c r="D12" s="465">
        <f>+Report1!P11</f>
        <v>53.673999999999999</v>
      </c>
      <c r="E12" s="466">
        <f>+Report1!R11</f>
        <v>49.889000000000003</v>
      </c>
      <c r="F12" s="503"/>
      <c r="G12" s="504">
        <f t="shared" si="0"/>
        <v>0</v>
      </c>
      <c r="H12" s="505">
        <f t="shared" si="113"/>
        <v>0</v>
      </c>
      <c r="I12" s="503"/>
      <c r="J12" s="504">
        <f t="shared" si="1"/>
        <v>0</v>
      </c>
      <c r="K12" s="505">
        <f t="shared" si="114"/>
        <v>0</v>
      </c>
      <c r="L12" s="503"/>
      <c r="M12" s="504">
        <f t="shared" si="2"/>
        <v>0</v>
      </c>
      <c r="N12" s="505">
        <f t="shared" si="115"/>
        <v>0</v>
      </c>
      <c r="O12" s="503">
        <v>5.9999999999999432</v>
      </c>
      <c r="P12" s="504">
        <f t="shared" si="3"/>
        <v>0.12026699272384579</v>
      </c>
      <c r="Q12" s="505">
        <f t="shared" si="116"/>
        <v>0</v>
      </c>
      <c r="R12" s="503">
        <v>5.1250000000000568</v>
      </c>
      <c r="S12" s="504">
        <f t="shared" si="4"/>
        <v>0.10272805628495373</v>
      </c>
      <c r="T12" s="505">
        <f t="shared" si="117"/>
        <v>0</v>
      </c>
      <c r="U12" s="503">
        <v>6.25</v>
      </c>
      <c r="V12" s="504">
        <f t="shared" si="5"/>
        <v>0.12527811742067388</v>
      </c>
      <c r="W12" s="505">
        <f t="shared" si="118"/>
        <v>0</v>
      </c>
      <c r="X12" s="503"/>
      <c r="Y12" s="504">
        <f t="shared" si="6"/>
        <v>0</v>
      </c>
      <c r="Z12" s="505">
        <f t="shared" si="119"/>
        <v>0</v>
      </c>
      <c r="AA12" s="503"/>
      <c r="AB12" s="504">
        <f t="shared" si="7"/>
        <v>0</v>
      </c>
      <c r="AC12" s="505">
        <f t="shared" si="120"/>
        <v>0</v>
      </c>
      <c r="AD12" s="503"/>
      <c r="AE12" s="504">
        <f t="shared" si="8"/>
        <v>0</v>
      </c>
      <c r="AF12" s="505">
        <f t="shared" si="121"/>
        <v>0</v>
      </c>
      <c r="AG12" s="503"/>
      <c r="AH12" s="504">
        <f t="shared" si="9"/>
        <v>0</v>
      </c>
      <c r="AI12" s="505">
        <f t="shared" si="122"/>
        <v>0</v>
      </c>
      <c r="AJ12" s="503"/>
      <c r="AK12" s="504">
        <f t="shared" si="10"/>
        <v>0</v>
      </c>
      <c r="AL12" s="505">
        <f t="shared" si="123"/>
        <v>0</v>
      </c>
      <c r="AM12" s="503"/>
      <c r="AN12" s="504">
        <f t="shared" si="11"/>
        <v>0</v>
      </c>
      <c r="AO12" s="505">
        <f t="shared" si="124"/>
        <v>0</v>
      </c>
      <c r="AP12" s="503">
        <v>39.423076923076849</v>
      </c>
      <c r="AQ12" s="504">
        <f t="shared" si="12"/>
        <v>0.7902158175765569</v>
      </c>
      <c r="AR12" s="505">
        <f t="shared" si="125"/>
        <v>0</v>
      </c>
      <c r="AS12" s="503"/>
      <c r="AT12" s="504">
        <f t="shared" si="13"/>
        <v>0</v>
      </c>
      <c r="AU12" s="505">
        <f t="shared" si="126"/>
        <v>0</v>
      </c>
      <c r="AV12" s="503">
        <v>11.099999999999994</v>
      </c>
      <c r="AW12" s="504">
        <f t="shared" si="14"/>
        <v>0.2224939365391167</v>
      </c>
      <c r="AX12" s="505">
        <f t="shared" si="127"/>
        <v>0</v>
      </c>
      <c r="AY12" s="503">
        <v>37.333333333333371</v>
      </c>
      <c r="AZ12" s="504">
        <f t="shared" si="15"/>
        <v>0.74832795472615943</v>
      </c>
      <c r="BA12" s="505">
        <f t="shared" si="128"/>
        <v>0</v>
      </c>
      <c r="BB12" s="503"/>
      <c r="BC12" s="504">
        <f t="shared" si="16"/>
        <v>0</v>
      </c>
      <c r="BD12" s="505">
        <f t="shared" si="129"/>
        <v>0</v>
      </c>
      <c r="BE12" s="503"/>
      <c r="BF12" s="504">
        <f t="shared" si="17"/>
        <v>0</v>
      </c>
      <c r="BG12" s="505">
        <f t="shared" si="130"/>
        <v>0</v>
      </c>
      <c r="BH12" s="503"/>
      <c r="BI12" s="504">
        <f t="shared" si="18"/>
        <v>0</v>
      </c>
      <c r="BJ12" s="505">
        <f t="shared" si="131"/>
        <v>0</v>
      </c>
      <c r="BK12" s="503"/>
      <c r="BL12" s="504">
        <f t="shared" si="19"/>
        <v>0</v>
      </c>
      <c r="BM12" s="505">
        <f t="shared" si="132"/>
        <v>0</v>
      </c>
      <c r="BN12" s="503"/>
      <c r="BO12" s="504">
        <f t="shared" si="20"/>
        <v>0</v>
      </c>
      <c r="BP12" s="505">
        <f t="shared" si="133"/>
        <v>0</v>
      </c>
      <c r="BQ12" s="503"/>
      <c r="BR12" s="504">
        <f t="shared" si="21"/>
        <v>0</v>
      </c>
      <c r="BS12" s="505">
        <f t="shared" si="134"/>
        <v>0</v>
      </c>
      <c r="BT12" s="503"/>
      <c r="BU12" s="504">
        <f t="shared" si="22"/>
        <v>0</v>
      </c>
      <c r="BV12" s="505">
        <f t="shared" si="135"/>
        <v>0</v>
      </c>
      <c r="BW12" s="503"/>
      <c r="BX12" s="504">
        <f t="shared" si="23"/>
        <v>0</v>
      </c>
      <c r="BY12" s="505">
        <f t="shared" si="136"/>
        <v>0</v>
      </c>
      <c r="BZ12" s="503"/>
      <c r="CA12" s="504">
        <f t="shared" si="24"/>
        <v>0</v>
      </c>
      <c r="CB12" s="505">
        <f t="shared" si="137"/>
        <v>0</v>
      </c>
      <c r="CC12" s="503"/>
      <c r="CD12" s="504">
        <f t="shared" si="25"/>
        <v>0</v>
      </c>
      <c r="CE12" s="505">
        <f t="shared" si="138"/>
        <v>0</v>
      </c>
      <c r="CF12" s="503">
        <v>12</v>
      </c>
      <c r="CG12" s="504">
        <f t="shared" si="26"/>
        <v>0.24053398544769386</v>
      </c>
      <c r="CH12" s="505">
        <f t="shared" si="139"/>
        <v>0</v>
      </c>
      <c r="CI12" s="503"/>
      <c r="CJ12" s="504">
        <f t="shared" si="27"/>
        <v>0</v>
      </c>
      <c r="CK12" s="505">
        <f t="shared" si="140"/>
        <v>0</v>
      </c>
      <c r="CL12" s="503"/>
      <c r="CM12" s="504">
        <f t="shared" si="28"/>
        <v>0</v>
      </c>
      <c r="CN12" s="505">
        <f t="shared" si="141"/>
        <v>0</v>
      </c>
      <c r="CO12" s="503"/>
      <c r="CP12" s="504">
        <f t="shared" si="29"/>
        <v>0</v>
      </c>
      <c r="CQ12" s="505">
        <f t="shared" si="142"/>
        <v>0</v>
      </c>
      <c r="CR12" s="503"/>
      <c r="CS12" s="504">
        <f t="shared" si="30"/>
        <v>0</v>
      </c>
      <c r="CT12" s="505">
        <f t="shared" si="143"/>
        <v>0</v>
      </c>
      <c r="CU12" s="503"/>
      <c r="CV12" s="504">
        <f t="shared" si="31"/>
        <v>0</v>
      </c>
      <c r="CW12" s="505">
        <f t="shared" si="144"/>
        <v>0</v>
      </c>
      <c r="CX12" s="503"/>
      <c r="CY12" s="504">
        <f t="shared" si="32"/>
        <v>0</v>
      </c>
      <c r="CZ12" s="505">
        <f t="shared" si="145"/>
        <v>0</v>
      </c>
      <c r="DA12" s="503"/>
      <c r="DB12" s="504">
        <f t="shared" si="33"/>
        <v>0</v>
      </c>
      <c r="DC12" s="505">
        <f t="shared" si="146"/>
        <v>0</v>
      </c>
      <c r="DD12" s="503"/>
      <c r="DE12" s="504">
        <f t="shared" si="34"/>
        <v>0</v>
      </c>
      <c r="DF12" s="505">
        <f t="shared" si="147"/>
        <v>0</v>
      </c>
      <c r="DG12" s="503"/>
      <c r="DH12" s="504">
        <f t="shared" si="35"/>
        <v>0</v>
      </c>
      <c r="DI12" s="505">
        <v>0</v>
      </c>
      <c r="DJ12" s="503"/>
      <c r="DK12" s="504">
        <f t="shared" si="36"/>
        <v>0</v>
      </c>
      <c r="DL12" s="505">
        <f t="shared" si="148"/>
        <v>0</v>
      </c>
      <c r="DM12" s="503"/>
      <c r="DN12" s="504">
        <f t="shared" si="37"/>
        <v>0</v>
      </c>
      <c r="DO12" s="505">
        <f t="shared" si="149"/>
        <v>0</v>
      </c>
      <c r="DP12" s="503"/>
      <c r="DQ12" s="504">
        <f t="shared" si="38"/>
        <v>0</v>
      </c>
      <c r="DR12" s="505">
        <f t="shared" si="150"/>
        <v>0</v>
      </c>
      <c r="DS12" s="503"/>
      <c r="DT12" s="504">
        <f t="shared" si="39"/>
        <v>0</v>
      </c>
      <c r="DU12" s="505">
        <f t="shared" si="151"/>
        <v>0</v>
      </c>
      <c r="DV12" s="503"/>
      <c r="DW12" s="504">
        <f t="shared" si="40"/>
        <v>0</v>
      </c>
      <c r="DX12" s="505">
        <f t="shared" si="152"/>
        <v>0</v>
      </c>
      <c r="DY12" s="503"/>
      <c r="DZ12" s="504">
        <f t="shared" si="41"/>
        <v>0</v>
      </c>
      <c r="EA12" s="505">
        <f t="shared" si="153"/>
        <v>0</v>
      </c>
      <c r="EB12" s="503">
        <v>258.30588235294113</v>
      </c>
      <c r="EC12" s="504">
        <f t="shared" si="42"/>
        <v>5.177611945578005</v>
      </c>
      <c r="ED12" s="505">
        <f t="shared" si="154"/>
        <v>0</v>
      </c>
      <c r="EE12" s="503">
        <v>14.534883720930111</v>
      </c>
      <c r="EF12" s="504">
        <f t="shared" si="43"/>
        <v>0.29134445911784379</v>
      </c>
      <c r="EG12" s="505">
        <f t="shared" si="155"/>
        <v>0</v>
      </c>
      <c r="EH12" s="503"/>
      <c r="EI12" s="504">
        <f t="shared" si="44"/>
        <v>0</v>
      </c>
      <c r="EJ12" s="505">
        <f t="shared" si="156"/>
        <v>0</v>
      </c>
      <c r="EK12" s="503"/>
      <c r="EL12" s="504">
        <f t="shared" si="45"/>
        <v>0</v>
      </c>
      <c r="EM12" s="505">
        <f t="shared" si="157"/>
        <v>0</v>
      </c>
      <c r="EN12" s="503"/>
      <c r="EO12" s="504">
        <f t="shared" si="46"/>
        <v>0</v>
      </c>
      <c r="EP12" s="505">
        <f t="shared" si="158"/>
        <v>0</v>
      </c>
      <c r="EQ12" s="503"/>
      <c r="ER12" s="504">
        <f t="shared" si="47"/>
        <v>0</v>
      </c>
      <c r="ES12" s="505">
        <f t="shared" si="159"/>
        <v>0</v>
      </c>
      <c r="ET12" s="503"/>
      <c r="EU12" s="504">
        <f t="shared" si="48"/>
        <v>0</v>
      </c>
      <c r="EV12" s="505">
        <f t="shared" si="160"/>
        <v>0</v>
      </c>
      <c r="EW12" s="503"/>
      <c r="EX12" s="504">
        <f t="shared" si="49"/>
        <v>0</v>
      </c>
      <c r="EY12" s="505">
        <f t="shared" si="161"/>
        <v>0</v>
      </c>
      <c r="EZ12" s="503"/>
      <c r="FA12" s="504">
        <f t="shared" si="50"/>
        <v>0</v>
      </c>
      <c r="FB12" s="505">
        <f t="shared" si="162"/>
        <v>0</v>
      </c>
      <c r="FC12" s="503"/>
      <c r="FD12" s="504">
        <f t="shared" si="51"/>
        <v>0</v>
      </c>
      <c r="FE12" s="505">
        <f t="shared" si="163"/>
        <v>0</v>
      </c>
      <c r="FF12" s="503"/>
      <c r="FG12" s="504">
        <f t="shared" si="52"/>
        <v>0</v>
      </c>
      <c r="FH12" s="505">
        <f t="shared" si="164"/>
        <v>0</v>
      </c>
      <c r="FI12" s="503"/>
      <c r="FJ12" s="504">
        <f t="shared" si="53"/>
        <v>0</v>
      </c>
      <c r="FK12" s="505">
        <f t="shared" si="165"/>
        <v>0</v>
      </c>
      <c r="FL12" s="503"/>
      <c r="FM12" s="504">
        <f t="shared" si="54"/>
        <v>0</v>
      </c>
      <c r="FN12" s="505">
        <f t="shared" si="166"/>
        <v>0</v>
      </c>
      <c r="FO12" s="503"/>
      <c r="FP12" s="504">
        <f t="shared" si="55"/>
        <v>0</v>
      </c>
      <c r="FQ12" s="505">
        <f t="shared" si="167"/>
        <v>0</v>
      </c>
      <c r="FR12" s="503"/>
      <c r="FS12" s="504">
        <f t="shared" si="56"/>
        <v>0</v>
      </c>
      <c r="FT12" s="505">
        <f t="shared" si="168"/>
        <v>0</v>
      </c>
      <c r="FU12" s="503"/>
      <c r="FV12" s="504">
        <f t="shared" si="57"/>
        <v>0</v>
      </c>
      <c r="FW12" s="505">
        <f t="shared" si="169"/>
        <v>0</v>
      </c>
      <c r="FX12" s="503"/>
      <c r="FY12" s="504">
        <f t="shared" si="58"/>
        <v>0</v>
      </c>
      <c r="FZ12" s="505">
        <f t="shared" si="170"/>
        <v>0</v>
      </c>
      <c r="GA12" s="503"/>
      <c r="GB12" s="504">
        <f t="shared" si="59"/>
        <v>0</v>
      </c>
      <c r="GC12" s="505">
        <f t="shared" si="171"/>
        <v>0</v>
      </c>
      <c r="GD12" s="503"/>
      <c r="GE12" s="504">
        <f t="shared" si="60"/>
        <v>0</v>
      </c>
      <c r="GF12" s="505">
        <f t="shared" si="172"/>
        <v>0</v>
      </c>
      <c r="GG12" s="503">
        <v>13.747899676242778</v>
      </c>
      <c r="GH12" s="504">
        <f t="shared" si="61"/>
        <v>0.27556975838847797</v>
      </c>
      <c r="GI12" s="505">
        <f t="shared" si="173"/>
        <v>0</v>
      </c>
      <c r="GJ12" s="503">
        <v>13.747899676242778</v>
      </c>
      <c r="GK12" s="504">
        <f t="shared" si="62"/>
        <v>0.27556975838847797</v>
      </c>
      <c r="GL12" s="505">
        <f t="shared" si="174"/>
        <v>0</v>
      </c>
      <c r="GM12" s="503"/>
      <c r="GN12" s="504">
        <f t="shared" si="63"/>
        <v>0</v>
      </c>
      <c r="GO12" s="505">
        <f t="shared" si="175"/>
        <v>0</v>
      </c>
      <c r="GP12" s="503">
        <v>38.494119093479782</v>
      </c>
      <c r="GQ12" s="504">
        <f t="shared" si="64"/>
        <v>0.7715953234877384</v>
      </c>
      <c r="GR12" s="505">
        <f t="shared" si="176"/>
        <v>0</v>
      </c>
      <c r="GS12" s="503">
        <v>203.46891520839313</v>
      </c>
      <c r="GT12" s="504">
        <f t="shared" si="65"/>
        <v>4.078432424149474</v>
      </c>
      <c r="GU12" s="505">
        <f t="shared" si="177"/>
        <v>0</v>
      </c>
      <c r="GV12" s="503">
        <v>148.477316503422</v>
      </c>
      <c r="GW12" s="504">
        <f t="shared" si="66"/>
        <v>2.9761533905955622</v>
      </c>
      <c r="GX12" s="505">
        <f t="shared" si="178"/>
        <v>0</v>
      </c>
      <c r="GY12" s="503"/>
      <c r="GZ12" s="504">
        <f t="shared" si="67"/>
        <v>0</v>
      </c>
      <c r="HA12" s="505">
        <f t="shared" si="179"/>
        <v>0</v>
      </c>
      <c r="HB12" s="503"/>
      <c r="HC12" s="504">
        <f t="shared" si="68"/>
        <v>0</v>
      </c>
      <c r="HD12" s="505">
        <f t="shared" si="180"/>
        <v>0</v>
      </c>
      <c r="HE12" s="503"/>
      <c r="HF12" s="504">
        <f t="shared" si="69"/>
        <v>0</v>
      </c>
      <c r="HG12" s="505">
        <f t="shared" si="181"/>
        <v>0</v>
      </c>
      <c r="HH12" s="503"/>
      <c r="HI12" s="504">
        <f t="shared" si="70"/>
        <v>0</v>
      </c>
      <c r="HJ12" s="505">
        <f t="shared" si="182"/>
        <v>0</v>
      </c>
      <c r="HK12" s="503"/>
      <c r="HL12" s="504">
        <f t="shared" si="71"/>
        <v>0</v>
      </c>
      <c r="HM12" s="505">
        <f t="shared" si="183"/>
        <v>0</v>
      </c>
      <c r="HN12" s="503">
        <v>713.79095119052499</v>
      </c>
      <c r="HO12" s="504">
        <f t="shared" si="72"/>
        <v>14.307581855529776</v>
      </c>
      <c r="HP12" s="505">
        <f t="shared" si="184"/>
        <v>0</v>
      </c>
      <c r="HQ12" s="503"/>
      <c r="HR12" s="504">
        <f t="shared" si="73"/>
        <v>0</v>
      </c>
      <c r="HS12" s="505">
        <f t="shared" si="185"/>
        <v>0</v>
      </c>
      <c r="HT12" s="503"/>
      <c r="HU12" s="504">
        <f t="shared" si="74"/>
        <v>0</v>
      </c>
      <c r="HV12" s="505">
        <f t="shared" si="186"/>
        <v>0</v>
      </c>
      <c r="HW12" s="503"/>
      <c r="HX12" s="504">
        <f t="shared" si="75"/>
        <v>0</v>
      </c>
      <c r="HY12" s="505">
        <f t="shared" si="187"/>
        <v>0</v>
      </c>
      <c r="HZ12" s="503"/>
      <c r="IA12" s="504">
        <f t="shared" si="76"/>
        <v>0</v>
      </c>
      <c r="IB12" s="505">
        <f t="shared" si="188"/>
        <v>0</v>
      </c>
      <c r="IC12" s="503"/>
      <c r="ID12" s="504">
        <f t="shared" si="77"/>
        <v>0</v>
      </c>
      <c r="IE12" s="505">
        <f t="shared" si="189"/>
        <v>0</v>
      </c>
      <c r="IF12" s="503"/>
      <c r="IG12" s="504">
        <f t="shared" si="78"/>
        <v>0</v>
      </c>
      <c r="IH12" s="505">
        <f t="shared" si="190"/>
        <v>0</v>
      </c>
      <c r="II12" s="503">
        <v>30.24537928773411</v>
      </c>
      <c r="IJ12" s="504">
        <f t="shared" si="79"/>
        <v>0.60625346845465145</v>
      </c>
      <c r="IK12" s="505">
        <f t="shared" si="191"/>
        <v>0</v>
      </c>
      <c r="IL12" s="503"/>
      <c r="IM12" s="504">
        <f t="shared" si="80"/>
        <v>0</v>
      </c>
      <c r="IN12" s="505">
        <f t="shared" si="192"/>
        <v>0</v>
      </c>
      <c r="IO12" s="503"/>
      <c r="IP12" s="504">
        <f t="shared" si="81"/>
        <v>0</v>
      </c>
      <c r="IQ12" s="505">
        <f t="shared" si="193"/>
        <v>0</v>
      </c>
      <c r="IR12" s="503">
        <v>54.991598704971111</v>
      </c>
      <c r="IS12" s="504">
        <f t="shared" si="82"/>
        <v>1.1022790335539119</v>
      </c>
      <c r="IT12" s="505">
        <f t="shared" si="194"/>
        <v>0</v>
      </c>
      <c r="IU12" s="503"/>
      <c r="IV12" s="504">
        <f t="shared" si="83"/>
        <v>0</v>
      </c>
      <c r="IW12" s="505">
        <f t="shared" si="195"/>
        <v>0</v>
      </c>
      <c r="IX12" s="503"/>
      <c r="IY12" s="504">
        <f t="shared" si="84"/>
        <v>0</v>
      </c>
      <c r="IZ12" s="505">
        <f t="shared" si="196"/>
        <v>0</v>
      </c>
      <c r="JA12" s="503"/>
      <c r="JB12" s="504">
        <f t="shared" si="85"/>
        <v>0</v>
      </c>
      <c r="JC12" s="505">
        <f t="shared" si="197"/>
        <v>0</v>
      </c>
      <c r="JD12" s="503"/>
      <c r="JE12" s="504">
        <f t="shared" si="86"/>
        <v>0</v>
      </c>
      <c r="JF12" s="505">
        <f t="shared" si="198"/>
        <v>0</v>
      </c>
      <c r="JG12" s="503"/>
      <c r="JH12" s="504">
        <f t="shared" si="87"/>
        <v>0</v>
      </c>
      <c r="JI12" s="505">
        <f t="shared" si="199"/>
        <v>0</v>
      </c>
      <c r="JJ12" s="503">
        <v>27.495799352485555</v>
      </c>
      <c r="JK12" s="505" t="str">
        <f t="shared" si="88"/>
        <v>0</v>
      </c>
      <c r="JL12" s="505" t="str">
        <f t="shared" si="89"/>
        <v>0</v>
      </c>
      <c r="JM12" s="503"/>
      <c r="JN12" s="505" t="str">
        <f t="shared" si="90"/>
        <v>0</v>
      </c>
      <c r="JO12" s="505" t="str">
        <f t="shared" si="91"/>
        <v>0</v>
      </c>
      <c r="JP12" s="503"/>
      <c r="JQ12" s="505" t="str">
        <f t="shared" si="92"/>
        <v>0</v>
      </c>
      <c r="JR12" s="505" t="str">
        <f t="shared" si="93"/>
        <v>0</v>
      </c>
      <c r="JS12" s="503"/>
      <c r="JT12" s="505" t="str">
        <f t="shared" si="94"/>
        <v>0</v>
      </c>
      <c r="JU12" s="505" t="str">
        <f t="shared" si="95"/>
        <v>0</v>
      </c>
      <c r="JV12" s="503"/>
      <c r="JW12" s="505" t="str">
        <f t="shared" si="96"/>
        <v>0</v>
      </c>
      <c r="JX12" s="505" t="str">
        <f t="shared" si="97"/>
        <v>0</v>
      </c>
      <c r="JY12" s="503"/>
      <c r="JZ12" s="505" t="str">
        <f t="shared" si="98"/>
        <v>0</v>
      </c>
      <c r="KA12" s="505" t="str">
        <f t="shared" si="99"/>
        <v>0</v>
      </c>
      <c r="KB12" s="503"/>
      <c r="KC12" s="505" t="str">
        <f t="shared" si="100"/>
        <v>0</v>
      </c>
      <c r="KD12" s="505" t="str">
        <f t="shared" si="101"/>
        <v>0</v>
      </c>
      <c r="KE12" s="503"/>
      <c r="KF12" s="505" t="str">
        <f t="shared" si="102"/>
        <v>0</v>
      </c>
      <c r="KG12" s="505" t="str">
        <f t="shared" si="103"/>
        <v>0</v>
      </c>
      <c r="KH12" s="503"/>
      <c r="KI12" s="505" t="str">
        <f t="shared" si="104"/>
        <v>0</v>
      </c>
      <c r="KJ12" s="505" t="str">
        <f t="shared" si="105"/>
        <v>0</v>
      </c>
      <c r="KK12" s="503"/>
      <c r="KL12" s="505" t="str">
        <f t="shared" si="106"/>
        <v>0</v>
      </c>
      <c r="KM12" s="505" t="str">
        <f t="shared" si="107"/>
        <v>0</v>
      </c>
      <c r="KN12" s="503"/>
      <c r="KO12" s="505" t="str">
        <f t="shared" si="108"/>
        <v>0</v>
      </c>
      <c r="KP12" s="505" t="str">
        <f t="shared" si="109"/>
        <v>0</v>
      </c>
      <c r="KQ12" s="503"/>
      <c r="KR12" s="505" t="str">
        <f t="shared" si="110"/>
        <v>0</v>
      </c>
      <c r="KS12" s="505" t="str">
        <f t="shared" si="111"/>
        <v>0</v>
      </c>
      <c r="KT12" s="505">
        <f t="shared" ref="KT12:KT42" si="201">H12+K12+N12+Q12+T12+W12+Z12+AC12+AF12+AI12+AL12+AO12+AR12+AU12+AX12+BA12+BD12+BG12+BJ12+BM12+BP12+BS12+BV12+BY12+CB12+CE12+CH12+CK12+CN12+CQ12+CT12+CW12+CZ12+DC12+DF12+DI12+DL12+DO12+DR12+DU12+DX12+EA12+ED12+EG12+EJ12+EM12+EP12+ES12+EV12+EY12+FB12+FE12+FH12+FK12+FN12+FQ12+FT12+FW12+FZ12+GC12</f>
        <v>0</v>
      </c>
      <c r="KU12" s="505">
        <f t="shared" ref="KU12:KU42" si="202">GF12+GI12+GL12+GO12+GR12+GU12+GX12+HA12+HD12+HG12+HJ12+HM12+HP12+HS12+HV12+HY12+IB12+IE12+IH12+IK12+IN12+IQ12+IT12+IW12+IZ12+JC12+JF12+JI12+JL12+JO12+JR12+JU12+JX12++KA12+KD12+KG12+KJ12++KM12+KP12+KS12</f>
        <v>0</v>
      </c>
      <c r="KV12" s="258">
        <f t="shared" si="112"/>
        <v>1634.5320550237775</v>
      </c>
    </row>
    <row r="13" spans="1:308" ht="15" customHeight="1">
      <c r="A13" s="462">
        <f t="shared" si="200"/>
        <v>46085</v>
      </c>
      <c r="B13" s="463" t="str">
        <f>+Report1!B12</f>
        <v xml:space="preserve">Toilet </v>
      </c>
      <c r="C13" s="464" t="str">
        <f>+Report1!C12</f>
        <v>15/14,5</v>
      </c>
      <c r="D13" s="465">
        <f>+Report1!P12</f>
        <v>37.878</v>
      </c>
      <c r="E13" s="466">
        <f>+Report1!R12</f>
        <v>39.68</v>
      </c>
      <c r="F13" s="503"/>
      <c r="G13" s="504">
        <f t="shared" si="0"/>
        <v>0</v>
      </c>
      <c r="H13" s="505">
        <f t="shared" si="113"/>
        <v>0</v>
      </c>
      <c r="I13" s="503"/>
      <c r="J13" s="504">
        <f t="shared" si="1"/>
        <v>0</v>
      </c>
      <c r="K13" s="505">
        <f t="shared" si="114"/>
        <v>0</v>
      </c>
      <c r="L13" s="503"/>
      <c r="M13" s="504">
        <f t="shared" si="2"/>
        <v>0</v>
      </c>
      <c r="N13" s="505">
        <f t="shared" si="115"/>
        <v>0</v>
      </c>
      <c r="O13" s="503">
        <v>6</v>
      </c>
      <c r="P13" s="504">
        <f t="shared" si="3"/>
        <v>0.15120967741935484</v>
      </c>
      <c r="Q13" s="505">
        <f t="shared" si="116"/>
        <v>0</v>
      </c>
      <c r="R13" s="503">
        <v>5.125</v>
      </c>
      <c r="S13" s="504">
        <f t="shared" si="4"/>
        <v>0.12915826612903225</v>
      </c>
      <c r="T13" s="505">
        <f t="shared" si="117"/>
        <v>0</v>
      </c>
      <c r="U13" s="503">
        <v>4.6874999999999858</v>
      </c>
      <c r="V13" s="504">
        <f t="shared" si="5"/>
        <v>0.11813256048387061</v>
      </c>
      <c r="W13" s="505">
        <f t="shared" si="118"/>
        <v>0</v>
      </c>
      <c r="X13" s="503"/>
      <c r="Y13" s="504">
        <f t="shared" si="6"/>
        <v>0</v>
      </c>
      <c r="Z13" s="505">
        <f t="shared" si="119"/>
        <v>0</v>
      </c>
      <c r="AA13" s="503"/>
      <c r="AB13" s="504">
        <f t="shared" si="7"/>
        <v>0</v>
      </c>
      <c r="AC13" s="505">
        <f t="shared" si="120"/>
        <v>0</v>
      </c>
      <c r="AD13" s="503"/>
      <c r="AE13" s="504">
        <f t="shared" si="8"/>
        <v>0</v>
      </c>
      <c r="AF13" s="505">
        <f t="shared" si="121"/>
        <v>0</v>
      </c>
      <c r="AG13" s="503"/>
      <c r="AH13" s="504">
        <f t="shared" si="9"/>
        <v>0</v>
      </c>
      <c r="AI13" s="505">
        <f t="shared" si="122"/>
        <v>0</v>
      </c>
      <c r="AJ13" s="503"/>
      <c r="AK13" s="504">
        <f t="shared" si="10"/>
        <v>0</v>
      </c>
      <c r="AL13" s="505">
        <f t="shared" si="123"/>
        <v>0</v>
      </c>
      <c r="AM13" s="503">
        <v>36.794871794871824</v>
      </c>
      <c r="AN13" s="504">
        <f t="shared" si="11"/>
        <v>0.9272901157981811</v>
      </c>
      <c r="AO13" s="505">
        <f t="shared" si="124"/>
        <v>0</v>
      </c>
      <c r="AP13" s="503"/>
      <c r="AQ13" s="504">
        <f t="shared" si="12"/>
        <v>0</v>
      </c>
      <c r="AR13" s="505">
        <f t="shared" si="125"/>
        <v>0</v>
      </c>
      <c r="AS13" s="503"/>
      <c r="AT13" s="504">
        <f t="shared" si="13"/>
        <v>0</v>
      </c>
      <c r="AU13" s="505">
        <f t="shared" si="126"/>
        <v>0</v>
      </c>
      <c r="AV13" s="503">
        <v>5.5500000000000114</v>
      </c>
      <c r="AW13" s="504">
        <f t="shared" si="14"/>
        <v>0.13986895161290352</v>
      </c>
      <c r="AX13" s="505">
        <f t="shared" si="127"/>
        <v>0</v>
      </c>
      <c r="AY13" s="503">
        <v>44.333333333333314</v>
      </c>
      <c r="AZ13" s="504">
        <f t="shared" si="15"/>
        <v>1.1172715053763436</v>
      </c>
      <c r="BA13" s="505">
        <f t="shared" si="128"/>
        <v>0</v>
      </c>
      <c r="BB13" s="503"/>
      <c r="BC13" s="504">
        <f t="shared" si="16"/>
        <v>0</v>
      </c>
      <c r="BD13" s="505">
        <f t="shared" si="129"/>
        <v>0</v>
      </c>
      <c r="BE13" s="503"/>
      <c r="BF13" s="504">
        <f t="shared" si="17"/>
        <v>0</v>
      </c>
      <c r="BG13" s="505">
        <f t="shared" si="130"/>
        <v>0</v>
      </c>
      <c r="BH13" s="503"/>
      <c r="BI13" s="504">
        <f t="shared" si="18"/>
        <v>0</v>
      </c>
      <c r="BJ13" s="505">
        <f t="shared" si="131"/>
        <v>0</v>
      </c>
      <c r="BK13" s="503"/>
      <c r="BL13" s="504">
        <f t="shared" si="19"/>
        <v>0</v>
      </c>
      <c r="BM13" s="505">
        <f t="shared" si="132"/>
        <v>0</v>
      </c>
      <c r="BN13" s="503"/>
      <c r="BO13" s="504">
        <f t="shared" si="20"/>
        <v>0</v>
      </c>
      <c r="BP13" s="505">
        <f t="shared" si="133"/>
        <v>0</v>
      </c>
      <c r="BQ13" s="503"/>
      <c r="BR13" s="504">
        <f t="shared" si="21"/>
        <v>0</v>
      </c>
      <c r="BS13" s="505">
        <f t="shared" si="134"/>
        <v>0</v>
      </c>
      <c r="BT13" s="503"/>
      <c r="BU13" s="504">
        <f t="shared" si="22"/>
        <v>0</v>
      </c>
      <c r="BV13" s="505">
        <f t="shared" si="135"/>
        <v>0</v>
      </c>
      <c r="BW13" s="503"/>
      <c r="BX13" s="504">
        <f t="shared" si="23"/>
        <v>0</v>
      </c>
      <c r="BY13" s="505">
        <f t="shared" si="136"/>
        <v>0</v>
      </c>
      <c r="BZ13" s="503"/>
      <c r="CA13" s="504">
        <f t="shared" si="24"/>
        <v>0</v>
      </c>
      <c r="CB13" s="505">
        <f t="shared" si="137"/>
        <v>0</v>
      </c>
      <c r="CC13" s="503"/>
      <c r="CD13" s="504">
        <f t="shared" si="25"/>
        <v>0</v>
      </c>
      <c r="CE13" s="505">
        <f t="shared" si="138"/>
        <v>0</v>
      </c>
      <c r="CF13" s="503">
        <v>10</v>
      </c>
      <c r="CG13" s="504">
        <f t="shared" si="26"/>
        <v>0.25201612903225806</v>
      </c>
      <c r="CH13" s="505">
        <f t="shared" si="139"/>
        <v>0</v>
      </c>
      <c r="CI13" s="503"/>
      <c r="CJ13" s="504">
        <f t="shared" si="27"/>
        <v>0</v>
      </c>
      <c r="CK13" s="505">
        <f t="shared" si="140"/>
        <v>0</v>
      </c>
      <c r="CL13" s="503"/>
      <c r="CM13" s="504">
        <f t="shared" si="28"/>
        <v>0</v>
      </c>
      <c r="CN13" s="505">
        <f t="shared" si="141"/>
        <v>0</v>
      </c>
      <c r="CO13" s="503"/>
      <c r="CP13" s="504">
        <f t="shared" si="29"/>
        <v>0</v>
      </c>
      <c r="CQ13" s="505">
        <f t="shared" si="142"/>
        <v>0</v>
      </c>
      <c r="CR13" s="503"/>
      <c r="CS13" s="504">
        <f t="shared" si="30"/>
        <v>0</v>
      </c>
      <c r="CT13" s="505">
        <f t="shared" si="143"/>
        <v>0</v>
      </c>
      <c r="CU13" s="503"/>
      <c r="CV13" s="504">
        <f t="shared" si="31"/>
        <v>0</v>
      </c>
      <c r="CW13" s="505">
        <f t="shared" si="144"/>
        <v>0</v>
      </c>
      <c r="CX13" s="503"/>
      <c r="CY13" s="504">
        <f t="shared" si="32"/>
        <v>0</v>
      </c>
      <c r="CZ13" s="505">
        <f t="shared" si="145"/>
        <v>0</v>
      </c>
      <c r="DA13" s="503"/>
      <c r="DB13" s="504">
        <f t="shared" si="33"/>
        <v>0</v>
      </c>
      <c r="DC13" s="505">
        <f t="shared" si="146"/>
        <v>0</v>
      </c>
      <c r="DD13" s="503"/>
      <c r="DE13" s="504">
        <f t="shared" si="34"/>
        <v>0</v>
      </c>
      <c r="DF13" s="505">
        <f t="shared" si="147"/>
        <v>0</v>
      </c>
      <c r="DG13" s="503"/>
      <c r="DH13" s="504">
        <f t="shared" si="35"/>
        <v>0</v>
      </c>
      <c r="DI13" s="505">
        <v>0</v>
      </c>
      <c r="DJ13" s="503"/>
      <c r="DK13" s="504">
        <f t="shared" si="36"/>
        <v>0</v>
      </c>
      <c r="DL13" s="505">
        <f t="shared" si="148"/>
        <v>0</v>
      </c>
      <c r="DM13" s="503"/>
      <c r="DN13" s="504">
        <f t="shared" si="37"/>
        <v>0</v>
      </c>
      <c r="DO13" s="505">
        <f t="shared" si="149"/>
        <v>0</v>
      </c>
      <c r="DP13" s="503"/>
      <c r="DQ13" s="504">
        <f t="shared" si="38"/>
        <v>0</v>
      </c>
      <c r="DR13" s="505">
        <f t="shared" si="150"/>
        <v>0</v>
      </c>
      <c r="DS13" s="503"/>
      <c r="DT13" s="504">
        <f t="shared" si="39"/>
        <v>0</v>
      </c>
      <c r="DU13" s="505">
        <f t="shared" si="151"/>
        <v>0</v>
      </c>
      <c r="DV13" s="503"/>
      <c r="DW13" s="504">
        <f t="shared" si="40"/>
        <v>0</v>
      </c>
      <c r="DX13" s="505">
        <f t="shared" si="152"/>
        <v>0</v>
      </c>
      <c r="DY13" s="503">
        <v>71.168674698795172</v>
      </c>
      <c r="DZ13" s="504">
        <f t="shared" si="41"/>
        <v>1.7935653905946365</v>
      </c>
      <c r="EA13" s="505">
        <f t="shared" si="153"/>
        <v>0</v>
      </c>
      <c r="EB13" s="503">
        <v>199.60000000000014</v>
      </c>
      <c r="EC13" s="504">
        <f t="shared" si="42"/>
        <v>5.0302419354838745</v>
      </c>
      <c r="ED13" s="505">
        <f t="shared" si="154"/>
        <v>0</v>
      </c>
      <c r="EE13" s="503">
        <v>14.534883720930225</v>
      </c>
      <c r="EF13" s="504">
        <f t="shared" si="43"/>
        <v>0.36630251312828188</v>
      </c>
      <c r="EG13" s="505">
        <f t="shared" si="155"/>
        <v>0</v>
      </c>
      <c r="EH13" s="503"/>
      <c r="EI13" s="504">
        <f t="shared" si="44"/>
        <v>0</v>
      </c>
      <c r="EJ13" s="505">
        <f t="shared" si="156"/>
        <v>0</v>
      </c>
      <c r="EK13" s="503"/>
      <c r="EL13" s="504">
        <f t="shared" si="45"/>
        <v>0</v>
      </c>
      <c r="EM13" s="505">
        <f t="shared" si="157"/>
        <v>0</v>
      </c>
      <c r="EN13" s="503"/>
      <c r="EO13" s="504">
        <f t="shared" si="46"/>
        <v>0</v>
      </c>
      <c r="EP13" s="505">
        <f t="shared" si="158"/>
        <v>0</v>
      </c>
      <c r="EQ13" s="503"/>
      <c r="ER13" s="504">
        <f t="shared" si="47"/>
        <v>0</v>
      </c>
      <c r="ES13" s="505">
        <f t="shared" si="159"/>
        <v>0</v>
      </c>
      <c r="ET13" s="503"/>
      <c r="EU13" s="504">
        <f t="shared" si="48"/>
        <v>0</v>
      </c>
      <c r="EV13" s="505">
        <f t="shared" si="160"/>
        <v>0</v>
      </c>
      <c r="EW13" s="503"/>
      <c r="EX13" s="504">
        <f t="shared" si="49"/>
        <v>0</v>
      </c>
      <c r="EY13" s="505">
        <f t="shared" si="161"/>
        <v>0</v>
      </c>
      <c r="EZ13" s="503"/>
      <c r="FA13" s="504">
        <f t="shared" si="50"/>
        <v>0</v>
      </c>
      <c r="FB13" s="505">
        <f t="shared" si="162"/>
        <v>0</v>
      </c>
      <c r="FC13" s="503"/>
      <c r="FD13" s="504">
        <f t="shared" si="51"/>
        <v>0</v>
      </c>
      <c r="FE13" s="505">
        <f t="shared" si="163"/>
        <v>0</v>
      </c>
      <c r="FF13" s="503"/>
      <c r="FG13" s="504">
        <f t="shared" si="52"/>
        <v>0</v>
      </c>
      <c r="FH13" s="505">
        <f t="shared" si="164"/>
        <v>0</v>
      </c>
      <c r="FI13" s="503"/>
      <c r="FJ13" s="504">
        <f t="shared" si="53"/>
        <v>0</v>
      </c>
      <c r="FK13" s="505">
        <f t="shared" si="165"/>
        <v>0</v>
      </c>
      <c r="FL13" s="503"/>
      <c r="FM13" s="504">
        <f t="shared" si="54"/>
        <v>0</v>
      </c>
      <c r="FN13" s="505">
        <f t="shared" si="166"/>
        <v>0</v>
      </c>
      <c r="FO13" s="503"/>
      <c r="FP13" s="504">
        <f t="shared" si="55"/>
        <v>0</v>
      </c>
      <c r="FQ13" s="505">
        <f t="shared" si="167"/>
        <v>0</v>
      </c>
      <c r="FR13" s="503"/>
      <c r="FS13" s="504">
        <f t="shared" si="56"/>
        <v>0</v>
      </c>
      <c r="FT13" s="505">
        <f t="shared" si="168"/>
        <v>0</v>
      </c>
      <c r="FU13" s="503"/>
      <c r="FV13" s="504">
        <f t="shared" si="57"/>
        <v>0</v>
      </c>
      <c r="FW13" s="505">
        <f t="shared" si="169"/>
        <v>0</v>
      </c>
      <c r="FX13" s="503"/>
      <c r="FY13" s="504">
        <f t="shared" si="58"/>
        <v>0</v>
      </c>
      <c r="FZ13" s="505">
        <f t="shared" si="170"/>
        <v>0</v>
      </c>
      <c r="GA13" s="503"/>
      <c r="GB13" s="504">
        <f t="shared" si="59"/>
        <v>0</v>
      </c>
      <c r="GC13" s="505">
        <f t="shared" si="171"/>
        <v>0</v>
      </c>
      <c r="GD13" s="503"/>
      <c r="GE13" s="504">
        <f t="shared" si="60"/>
        <v>0</v>
      </c>
      <c r="GF13" s="505">
        <f t="shared" si="172"/>
        <v>0</v>
      </c>
      <c r="GG13" s="503">
        <v>12.36646903648758</v>
      </c>
      <c r="GH13" s="504">
        <f t="shared" si="61"/>
        <v>0.31165496563728778</v>
      </c>
      <c r="GI13" s="505">
        <f t="shared" si="173"/>
        <v>0</v>
      </c>
      <c r="GJ13" s="503">
        <v>12.36646903648758</v>
      </c>
      <c r="GK13" s="504">
        <f t="shared" si="62"/>
        <v>0.31165496563728778</v>
      </c>
      <c r="GL13" s="505">
        <f t="shared" si="174"/>
        <v>0</v>
      </c>
      <c r="GM13" s="503"/>
      <c r="GN13" s="504">
        <f t="shared" si="63"/>
        <v>0</v>
      </c>
      <c r="GO13" s="505">
        <f t="shared" si="175"/>
        <v>0</v>
      </c>
      <c r="GP13" s="503">
        <v>34.626113302165223</v>
      </c>
      <c r="GQ13" s="504">
        <f t="shared" si="64"/>
        <v>0.87263390378440586</v>
      </c>
      <c r="GR13" s="505">
        <f t="shared" si="176"/>
        <v>0</v>
      </c>
      <c r="GS13" s="503">
        <v>173.13056651082613</v>
      </c>
      <c r="GT13" s="504">
        <f t="shared" si="65"/>
        <v>4.3631695189220299</v>
      </c>
      <c r="GU13" s="505">
        <f t="shared" si="177"/>
        <v>0</v>
      </c>
      <c r="GV13" s="503">
        <v>113.77151513568575</v>
      </c>
      <c r="GW13" s="504">
        <f t="shared" si="66"/>
        <v>2.8672256838630479</v>
      </c>
      <c r="GX13" s="505">
        <f t="shared" si="178"/>
        <v>0</v>
      </c>
      <c r="GY13" s="503"/>
      <c r="GZ13" s="504">
        <f t="shared" si="67"/>
        <v>0</v>
      </c>
      <c r="HA13" s="505">
        <f t="shared" si="179"/>
        <v>0</v>
      </c>
      <c r="HB13" s="503"/>
      <c r="HC13" s="504">
        <f t="shared" si="68"/>
        <v>0</v>
      </c>
      <c r="HD13" s="505">
        <f t="shared" si="180"/>
        <v>0</v>
      </c>
      <c r="HE13" s="503"/>
      <c r="HF13" s="504">
        <f t="shared" si="69"/>
        <v>0</v>
      </c>
      <c r="HG13" s="505">
        <f t="shared" si="181"/>
        <v>0</v>
      </c>
      <c r="HH13" s="503"/>
      <c r="HI13" s="504">
        <f t="shared" si="70"/>
        <v>0</v>
      </c>
      <c r="HJ13" s="505">
        <f t="shared" si="182"/>
        <v>0</v>
      </c>
      <c r="HK13" s="503"/>
      <c r="HL13" s="504">
        <f t="shared" si="71"/>
        <v>0</v>
      </c>
      <c r="HM13" s="505">
        <f t="shared" si="183"/>
        <v>0</v>
      </c>
      <c r="HN13" s="503">
        <v>845.86648209575048</v>
      </c>
      <c r="HO13" s="504">
        <f t="shared" si="72"/>
        <v>21.317199649590485</v>
      </c>
      <c r="HP13" s="505">
        <f t="shared" si="184"/>
        <v>0</v>
      </c>
      <c r="HQ13" s="503"/>
      <c r="HR13" s="504">
        <f t="shared" si="73"/>
        <v>0</v>
      </c>
      <c r="HS13" s="505">
        <f t="shared" si="185"/>
        <v>0</v>
      </c>
      <c r="HT13" s="503"/>
      <c r="HU13" s="504">
        <f t="shared" si="74"/>
        <v>0</v>
      </c>
      <c r="HV13" s="505">
        <f t="shared" si="186"/>
        <v>0</v>
      </c>
      <c r="HW13" s="503"/>
      <c r="HX13" s="504">
        <f t="shared" si="75"/>
        <v>0</v>
      </c>
      <c r="HY13" s="505">
        <f t="shared" si="187"/>
        <v>0</v>
      </c>
      <c r="HZ13" s="503"/>
      <c r="IA13" s="504">
        <f t="shared" si="76"/>
        <v>0</v>
      </c>
      <c r="IB13" s="505">
        <f t="shared" si="188"/>
        <v>0</v>
      </c>
      <c r="IC13" s="503"/>
      <c r="ID13" s="504">
        <f t="shared" si="77"/>
        <v>0</v>
      </c>
      <c r="IE13" s="505">
        <f t="shared" si="189"/>
        <v>0</v>
      </c>
      <c r="IF13" s="503"/>
      <c r="IG13" s="504">
        <f t="shared" si="78"/>
        <v>0</v>
      </c>
      <c r="IH13" s="505">
        <f t="shared" si="190"/>
        <v>0</v>
      </c>
      <c r="II13" s="503">
        <v>24.732938072975159</v>
      </c>
      <c r="IJ13" s="504">
        <f t="shared" si="79"/>
        <v>0.62330993127457557</v>
      </c>
      <c r="IK13" s="505">
        <f t="shared" si="191"/>
        <v>0</v>
      </c>
      <c r="IL13" s="503"/>
      <c r="IM13" s="504">
        <f t="shared" si="80"/>
        <v>0</v>
      </c>
      <c r="IN13" s="505">
        <f t="shared" si="192"/>
        <v>0</v>
      </c>
      <c r="IO13" s="503"/>
      <c r="IP13" s="504">
        <f t="shared" si="81"/>
        <v>0</v>
      </c>
      <c r="IQ13" s="505">
        <f t="shared" si="193"/>
        <v>0</v>
      </c>
      <c r="IR13" s="503">
        <v>39.572700916760255</v>
      </c>
      <c r="IS13" s="504">
        <f t="shared" si="82"/>
        <v>0.99729589003932095</v>
      </c>
      <c r="IT13" s="505">
        <f t="shared" si="194"/>
        <v>0</v>
      </c>
      <c r="IU13" s="503"/>
      <c r="IV13" s="504">
        <f t="shared" si="83"/>
        <v>0</v>
      </c>
      <c r="IW13" s="505">
        <f t="shared" si="195"/>
        <v>0</v>
      </c>
      <c r="IX13" s="503"/>
      <c r="IY13" s="504">
        <f t="shared" si="84"/>
        <v>0</v>
      </c>
      <c r="IZ13" s="505">
        <f t="shared" si="196"/>
        <v>0</v>
      </c>
      <c r="JA13" s="503"/>
      <c r="JB13" s="504">
        <f t="shared" si="85"/>
        <v>0</v>
      </c>
      <c r="JC13" s="505">
        <f t="shared" si="197"/>
        <v>0</v>
      </c>
      <c r="JD13" s="503"/>
      <c r="JE13" s="504">
        <f t="shared" si="86"/>
        <v>0</v>
      </c>
      <c r="JF13" s="505">
        <f t="shared" si="198"/>
        <v>0</v>
      </c>
      <c r="JG13" s="503"/>
      <c r="JH13" s="504">
        <f t="shared" si="87"/>
        <v>0</v>
      </c>
      <c r="JI13" s="505">
        <f t="shared" si="199"/>
        <v>0</v>
      </c>
      <c r="JJ13" s="503">
        <v>24.732938072975159</v>
      </c>
      <c r="JK13" s="505" t="str">
        <f t="shared" si="88"/>
        <v>0</v>
      </c>
      <c r="JL13" s="505" t="str">
        <f t="shared" si="89"/>
        <v>0</v>
      </c>
      <c r="JM13" s="503"/>
      <c r="JN13" s="505" t="str">
        <f t="shared" si="90"/>
        <v>0</v>
      </c>
      <c r="JO13" s="505" t="str">
        <f t="shared" si="91"/>
        <v>0</v>
      </c>
      <c r="JP13" s="503"/>
      <c r="JQ13" s="505" t="str">
        <f t="shared" si="92"/>
        <v>0</v>
      </c>
      <c r="JR13" s="505" t="str">
        <f t="shared" si="93"/>
        <v>0</v>
      </c>
      <c r="JS13" s="503"/>
      <c r="JT13" s="505" t="str">
        <f t="shared" si="94"/>
        <v>0</v>
      </c>
      <c r="JU13" s="505" t="str">
        <f t="shared" si="95"/>
        <v>0</v>
      </c>
      <c r="JV13" s="503"/>
      <c r="JW13" s="505" t="str">
        <f t="shared" si="96"/>
        <v>0</v>
      </c>
      <c r="JX13" s="505" t="str">
        <f t="shared" si="97"/>
        <v>0</v>
      </c>
      <c r="JY13" s="503"/>
      <c r="JZ13" s="505" t="str">
        <f t="shared" si="98"/>
        <v>0</v>
      </c>
      <c r="KA13" s="505" t="str">
        <f t="shared" si="99"/>
        <v>0</v>
      </c>
      <c r="KB13" s="503"/>
      <c r="KC13" s="505" t="str">
        <f t="shared" si="100"/>
        <v>0</v>
      </c>
      <c r="KD13" s="505" t="str">
        <f t="shared" si="101"/>
        <v>0</v>
      </c>
      <c r="KE13" s="503"/>
      <c r="KF13" s="505" t="str">
        <f t="shared" si="102"/>
        <v>0</v>
      </c>
      <c r="KG13" s="505" t="str">
        <f t="shared" si="103"/>
        <v>0</v>
      </c>
      <c r="KH13" s="503"/>
      <c r="KI13" s="505" t="str">
        <f t="shared" si="104"/>
        <v>0</v>
      </c>
      <c r="KJ13" s="505" t="str">
        <f t="shared" si="105"/>
        <v>0</v>
      </c>
      <c r="KK13" s="503"/>
      <c r="KL13" s="505" t="str">
        <f t="shared" si="106"/>
        <v>0</v>
      </c>
      <c r="KM13" s="505" t="str">
        <f t="shared" si="107"/>
        <v>0</v>
      </c>
      <c r="KN13" s="503"/>
      <c r="KO13" s="505" t="str">
        <f t="shared" si="108"/>
        <v>0</v>
      </c>
      <c r="KP13" s="505" t="str">
        <f t="shared" si="109"/>
        <v>0</v>
      </c>
      <c r="KQ13" s="503"/>
      <c r="KR13" s="505" t="str">
        <f t="shared" si="110"/>
        <v>0</v>
      </c>
      <c r="KS13" s="505" t="str">
        <f t="shared" si="111"/>
        <v>0</v>
      </c>
      <c r="KT13" s="505">
        <f t="shared" si="201"/>
        <v>0</v>
      </c>
      <c r="KU13" s="505">
        <f t="shared" si="202"/>
        <v>0</v>
      </c>
      <c r="KV13" s="258">
        <f t="shared" si="112"/>
        <v>1678.9604557280441</v>
      </c>
    </row>
    <row r="14" spans="1:308" ht="15" customHeight="1">
      <c r="A14" s="462">
        <f t="shared" si="200"/>
        <v>46086</v>
      </c>
      <c r="B14" s="463" t="str">
        <f>+Report1!B13</f>
        <v xml:space="preserve">Toilet </v>
      </c>
      <c r="C14" s="464" t="str">
        <f>+Report1!C13</f>
        <v>14,5</v>
      </c>
      <c r="D14" s="465">
        <f>+Report1!P13</f>
        <v>52.676000000000002</v>
      </c>
      <c r="E14" s="466">
        <f>+Report1!R13</f>
        <v>54.177999999999997</v>
      </c>
      <c r="F14" s="503"/>
      <c r="G14" s="504">
        <f t="shared" si="0"/>
        <v>0</v>
      </c>
      <c r="H14" s="505">
        <f t="shared" si="113"/>
        <v>0</v>
      </c>
      <c r="I14" s="503"/>
      <c r="J14" s="504">
        <f t="shared" si="1"/>
        <v>0</v>
      </c>
      <c r="K14" s="505">
        <f t="shared" si="114"/>
        <v>0</v>
      </c>
      <c r="L14" s="503"/>
      <c r="M14" s="504">
        <f t="shared" si="2"/>
        <v>0</v>
      </c>
      <c r="N14" s="505">
        <f t="shared" si="115"/>
        <v>0</v>
      </c>
      <c r="O14" s="503">
        <v>9</v>
      </c>
      <c r="P14" s="504">
        <f t="shared" si="3"/>
        <v>0.16611908892908561</v>
      </c>
      <c r="Q14" s="505">
        <f t="shared" si="116"/>
        <v>0</v>
      </c>
      <c r="R14" s="503">
        <v>5.1249999999999432</v>
      </c>
      <c r="S14" s="504">
        <f t="shared" si="4"/>
        <v>9.4595592306839366E-2</v>
      </c>
      <c r="T14" s="505">
        <f t="shared" si="117"/>
        <v>0</v>
      </c>
      <c r="U14" s="503">
        <v>4.6875000000000142</v>
      </c>
      <c r="V14" s="504">
        <f t="shared" si="5"/>
        <v>8.6520358817232357E-2</v>
      </c>
      <c r="W14" s="505">
        <f t="shared" si="118"/>
        <v>0</v>
      </c>
      <c r="X14" s="503"/>
      <c r="Y14" s="504">
        <f t="shared" si="6"/>
        <v>0</v>
      </c>
      <c r="Z14" s="505">
        <f t="shared" si="119"/>
        <v>0</v>
      </c>
      <c r="AA14" s="503"/>
      <c r="AB14" s="504">
        <f t="shared" si="7"/>
        <v>0</v>
      </c>
      <c r="AC14" s="505">
        <f t="shared" si="120"/>
        <v>0</v>
      </c>
      <c r="AD14" s="503"/>
      <c r="AE14" s="504">
        <f t="shared" si="8"/>
        <v>0</v>
      </c>
      <c r="AF14" s="505">
        <f t="shared" si="121"/>
        <v>0</v>
      </c>
      <c r="AG14" s="503"/>
      <c r="AH14" s="504">
        <f t="shared" si="9"/>
        <v>0</v>
      </c>
      <c r="AI14" s="505">
        <f t="shared" si="122"/>
        <v>0</v>
      </c>
      <c r="AJ14" s="503"/>
      <c r="AK14" s="504">
        <f t="shared" si="10"/>
        <v>0</v>
      </c>
      <c r="AL14" s="505">
        <f t="shared" si="123"/>
        <v>0</v>
      </c>
      <c r="AM14" s="503">
        <v>36.794871794871767</v>
      </c>
      <c r="AN14" s="504">
        <f t="shared" si="11"/>
        <v>0.67914784220295632</v>
      </c>
      <c r="AO14" s="505">
        <f t="shared" si="124"/>
        <v>0</v>
      </c>
      <c r="AP14" s="503"/>
      <c r="AQ14" s="504">
        <f t="shared" si="12"/>
        <v>0</v>
      </c>
      <c r="AR14" s="505">
        <f t="shared" si="125"/>
        <v>0</v>
      </c>
      <c r="AS14" s="503"/>
      <c r="AT14" s="504">
        <f t="shared" si="13"/>
        <v>0</v>
      </c>
      <c r="AU14" s="505">
        <f t="shared" si="126"/>
        <v>0</v>
      </c>
      <c r="AV14" s="503">
        <v>5.5500000000000114</v>
      </c>
      <c r="AW14" s="504">
        <f t="shared" si="14"/>
        <v>0.102440104839603</v>
      </c>
      <c r="AX14" s="505">
        <f t="shared" si="127"/>
        <v>0</v>
      </c>
      <c r="AY14" s="503">
        <v>37.333333333333314</v>
      </c>
      <c r="AZ14" s="504">
        <f t="shared" si="15"/>
        <v>0.68908659111324366</v>
      </c>
      <c r="BA14" s="505">
        <f t="shared" si="128"/>
        <v>0</v>
      </c>
      <c r="BB14" s="503"/>
      <c r="BC14" s="504">
        <f t="shared" si="16"/>
        <v>0</v>
      </c>
      <c r="BD14" s="505">
        <f t="shared" si="129"/>
        <v>0</v>
      </c>
      <c r="BE14" s="503"/>
      <c r="BF14" s="504">
        <f t="shared" si="17"/>
        <v>0</v>
      </c>
      <c r="BG14" s="505">
        <f t="shared" si="130"/>
        <v>0</v>
      </c>
      <c r="BH14" s="503"/>
      <c r="BI14" s="504">
        <f t="shared" si="18"/>
        <v>0</v>
      </c>
      <c r="BJ14" s="505">
        <f t="shared" si="131"/>
        <v>0</v>
      </c>
      <c r="BK14" s="503"/>
      <c r="BL14" s="504">
        <f t="shared" si="19"/>
        <v>0</v>
      </c>
      <c r="BM14" s="505">
        <f t="shared" si="132"/>
        <v>0</v>
      </c>
      <c r="BN14" s="503"/>
      <c r="BO14" s="504">
        <f t="shared" si="20"/>
        <v>0</v>
      </c>
      <c r="BP14" s="505">
        <f t="shared" si="133"/>
        <v>0</v>
      </c>
      <c r="BQ14" s="503"/>
      <c r="BR14" s="504">
        <f t="shared" si="21"/>
        <v>0</v>
      </c>
      <c r="BS14" s="505">
        <f t="shared" si="134"/>
        <v>0</v>
      </c>
      <c r="BT14" s="503"/>
      <c r="BU14" s="504">
        <f t="shared" si="22"/>
        <v>0</v>
      </c>
      <c r="BV14" s="505">
        <f t="shared" si="135"/>
        <v>0</v>
      </c>
      <c r="BW14" s="503"/>
      <c r="BX14" s="504">
        <f t="shared" si="23"/>
        <v>0</v>
      </c>
      <c r="BY14" s="505">
        <f t="shared" si="136"/>
        <v>0</v>
      </c>
      <c r="BZ14" s="503"/>
      <c r="CA14" s="504">
        <f t="shared" si="24"/>
        <v>0</v>
      </c>
      <c r="CB14" s="505">
        <f t="shared" si="137"/>
        <v>0</v>
      </c>
      <c r="CC14" s="503"/>
      <c r="CD14" s="504">
        <f t="shared" si="25"/>
        <v>0</v>
      </c>
      <c r="CE14" s="505">
        <f t="shared" si="138"/>
        <v>0</v>
      </c>
      <c r="CF14" s="503">
        <v>10</v>
      </c>
      <c r="CG14" s="504">
        <f t="shared" si="26"/>
        <v>0.1845767654767618</v>
      </c>
      <c r="CH14" s="505">
        <f t="shared" si="139"/>
        <v>0</v>
      </c>
      <c r="CI14" s="503"/>
      <c r="CJ14" s="504">
        <f t="shared" si="27"/>
        <v>0</v>
      </c>
      <c r="CK14" s="505">
        <f t="shared" si="140"/>
        <v>0</v>
      </c>
      <c r="CL14" s="503"/>
      <c r="CM14" s="504">
        <f t="shared" si="28"/>
        <v>0</v>
      </c>
      <c r="CN14" s="505">
        <f t="shared" si="141"/>
        <v>0</v>
      </c>
      <c r="CO14" s="503"/>
      <c r="CP14" s="504">
        <f t="shared" si="29"/>
        <v>0</v>
      </c>
      <c r="CQ14" s="505">
        <f t="shared" si="142"/>
        <v>0</v>
      </c>
      <c r="CR14" s="503"/>
      <c r="CS14" s="504">
        <f t="shared" si="30"/>
        <v>0</v>
      </c>
      <c r="CT14" s="505">
        <f t="shared" si="143"/>
        <v>0</v>
      </c>
      <c r="CU14" s="503"/>
      <c r="CV14" s="504">
        <f t="shared" si="31"/>
        <v>0</v>
      </c>
      <c r="CW14" s="505">
        <f t="shared" si="144"/>
        <v>0</v>
      </c>
      <c r="CX14" s="503"/>
      <c r="CY14" s="504">
        <f t="shared" si="32"/>
        <v>0</v>
      </c>
      <c r="CZ14" s="505">
        <f t="shared" si="145"/>
        <v>0</v>
      </c>
      <c r="DA14" s="503"/>
      <c r="DB14" s="504">
        <f t="shared" si="33"/>
        <v>0</v>
      </c>
      <c r="DC14" s="505">
        <f t="shared" si="146"/>
        <v>0</v>
      </c>
      <c r="DD14" s="503"/>
      <c r="DE14" s="504">
        <f t="shared" si="34"/>
        <v>0</v>
      </c>
      <c r="DF14" s="505">
        <f t="shared" si="147"/>
        <v>0</v>
      </c>
      <c r="DG14" s="503"/>
      <c r="DH14" s="504">
        <f t="shared" si="35"/>
        <v>0</v>
      </c>
      <c r="DI14" s="505">
        <v>0</v>
      </c>
      <c r="DJ14" s="503"/>
      <c r="DK14" s="504">
        <f t="shared" si="36"/>
        <v>0</v>
      </c>
      <c r="DL14" s="505">
        <f t="shared" si="148"/>
        <v>0</v>
      </c>
      <c r="DM14" s="503"/>
      <c r="DN14" s="504">
        <f t="shared" si="37"/>
        <v>0</v>
      </c>
      <c r="DO14" s="505">
        <f t="shared" si="149"/>
        <v>0</v>
      </c>
      <c r="DP14" s="503"/>
      <c r="DQ14" s="504">
        <f t="shared" si="38"/>
        <v>0</v>
      </c>
      <c r="DR14" s="505">
        <f t="shared" si="150"/>
        <v>0</v>
      </c>
      <c r="DS14" s="503"/>
      <c r="DT14" s="504">
        <f t="shared" si="39"/>
        <v>0</v>
      </c>
      <c r="DU14" s="505">
        <f t="shared" si="151"/>
        <v>0</v>
      </c>
      <c r="DV14" s="503"/>
      <c r="DW14" s="504">
        <f t="shared" si="40"/>
        <v>0</v>
      </c>
      <c r="DX14" s="505">
        <f t="shared" si="152"/>
        <v>0</v>
      </c>
      <c r="DY14" s="503">
        <v>12.939759036144579</v>
      </c>
      <c r="DZ14" s="504">
        <f t="shared" si="41"/>
        <v>0.23883788689402671</v>
      </c>
      <c r="EA14" s="505">
        <f t="shared" si="153"/>
        <v>0</v>
      </c>
      <c r="EB14" s="503">
        <v>258.30588235294113</v>
      </c>
      <c r="EC14" s="504">
        <f t="shared" si="42"/>
        <v>4.7677264268326836</v>
      </c>
      <c r="ED14" s="505">
        <f t="shared" si="154"/>
        <v>0</v>
      </c>
      <c r="EE14" s="503">
        <v>21.802325581395394</v>
      </c>
      <c r="EF14" s="504">
        <f t="shared" si="43"/>
        <v>0.40242027356852217</v>
      </c>
      <c r="EG14" s="505">
        <f t="shared" si="155"/>
        <v>0</v>
      </c>
      <c r="EH14" s="503"/>
      <c r="EI14" s="504">
        <f t="shared" si="44"/>
        <v>0</v>
      </c>
      <c r="EJ14" s="505">
        <f t="shared" si="156"/>
        <v>0</v>
      </c>
      <c r="EK14" s="503"/>
      <c r="EL14" s="504">
        <f t="shared" si="45"/>
        <v>0</v>
      </c>
      <c r="EM14" s="505">
        <f t="shared" si="157"/>
        <v>0</v>
      </c>
      <c r="EN14" s="503"/>
      <c r="EO14" s="504">
        <f t="shared" si="46"/>
        <v>0</v>
      </c>
      <c r="EP14" s="505">
        <f t="shared" si="158"/>
        <v>0</v>
      </c>
      <c r="EQ14" s="503"/>
      <c r="ER14" s="504">
        <f t="shared" si="47"/>
        <v>0</v>
      </c>
      <c r="ES14" s="505">
        <f t="shared" si="159"/>
        <v>0</v>
      </c>
      <c r="ET14" s="503"/>
      <c r="EU14" s="504">
        <f t="shared" si="48"/>
        <v>0</v>
      </c>
      <c r="EV14" s="505">
        <f t="shared" si="160"/>
        <v>0</v>
      </c>
      <c r="EW14" s="503"/>
      <c r="EX14" s="504">
        <f t="shared" si="49"/>
        <v>0</v>
      </c>
      <c r="EY14" s="505">
        <f t="shared" si="161"/>
        <v>0</v>
      </c>
      <c r="EZ14" s="503"/>
      <c r="FA14" s="504">
        <f t="shared" si="50"/>
        <v>0</v>
      </c>
      <c r="FB14" s="505">
        <f t="shared" si="162"/>
        <v>0</v>
      </c>
      <c r="FC14" s="503"/>
      <c r="FD14" s="504">
        <f t="shared" si="51"/>
        <v>0</v>
      </c>
      <c r="FE14" s="505">
        <f t="shared" si="163"/>
        <v>0</v>
      </c>
      <c r="FF14" s="503"/>
      <c r="FG14" s="504">
        <f t="shared" si="52"/>
        <v>0</v>
      </c>
      <c r="FH14" s="505">
        <f t="shared" si="164"/>
        <v>0</v>
      </c>
      <c r="FI14" s="503"/>
      <c r="FJ14" s="504">
        <f t="shared" si="53"/>
        <v>0</v>
      </c>
      <c r="FK14" s="505">
        <f t="shared" si="165"/>
        <v>0</v>
      </c>
      <c r="FL14" s="503"/>
      <c r="FM14" s="504">
        <f t="shared" si="54"/>
        <v>0</v>
      </c>
      <c r="FN14" s="505">
        <f t="shared" si="166"/>
        <v>0</v>
      </c>
      <c r="FO14" s="503"/>
      <c r="FP14" s="504">
        <f t="shared" si="55"/>
        <v>0</v>
      </c>
      <c r="FQ14" s="505">
        <f t="shared" si="167"/>
        <v>0</v>
      </c>
      <c r="FR14" s="503"/>
      <c r="FS14" s="504">
        <f t="shared" si="56"/>
        <v>0</v>
      </c>
      <c r="FT14" s="505">
        <f t="shared" si="168"/>
        <v>0</v>
      </c>
      <c r="FU14" s="503"/>
      <c r="FV14" s="504">
        <f t="shared" si="57"/>
        <v>0</v>
      </c>
      <c r="FW14" s="505">
        <f t="shared" si="169"/>
        <v>0</v>
      </c>
      <c r="FX14" s="503"/>
      <c r="FY14" s="504">
        <f t="shared" si="58"/>
        <v>0</v>
      </c>
      <c r="FZ14" s="505">
        <f t="shared" si="170"/>
        <v>0</v>
      </c>
      <c r="GA14" s="503"/>
      <c r="GB14" s="504">
        <f t="shared" si="59"/>
        <v>0</v>
      </c>
      <c r="GC14" s="505">
        <f t="shared" si="171"/>
        <v>0</v>
      </c>
      <c r="GD14" s="503"/>
      <c r="GE14" s="504">
        <f t="shared" si="60"/>
        <v>0</v>
      </c>
      <c r="GF14" s="505">
        <f t="shared" si="172"/>
        <v>0</v>
      </c>
      <c r="GG14" s="503">
        <v>16.607255454201521</v>
      </c>
      <c r="GH14" s="504">
        <f t="shared" si="61"/>
        <v>0.30653134951828276</v>
      </c>
      <c r="GI14" s="505">
        <f t="shared" si="173"/>
        <v>0</v>
      </c>
      <c r="GJ14" s="503">
        <v>16.607255454201521</v>
      </c>
      <c r="GK14" s="504">
        <f t="shared" si="62"/>
        <v>0.30653134951828276</v>
      </c>
      <c r="GL14" s="505">
        <f t="shared" si="174"/>
        <v>0</v>
      </c>
      <c r="GM14" s="503"/>
      <c r="GN14" s="504">
        <f t="shared" si="63"/>
        <v>0</v>
      </c>
      <c r="GO14" s="505">
        <f t="shared" si="175"/>
        <v>0</v>
      </c>
      <c r="GP14" s="503">
        <v>38.750262726470218</v>
      </c>
      <c r="GQ14" s="504">
        <f t="shared" si="64"/>
        <v>0.71523981554265981</v>
      </c>
      <c r="GR14" s="505">
        <f t="shared" si="176"/>
        <v>0</v>
      </c>
      <c r="GS14" s="503">
        <v>166.07255454201521</v>
      </c>
      <c r="GT14" s="504">
        <f t="shared" si="65"/>
        <v>3.0653134951828274</v>
      </c>
      <c r="GU14" s="505">
        <f t="shared" si="177"/>
        <v>0</v>
      </c>
      <c r="GV14" s="503">
        <v>99.643532725209127</v>
      </c>
      <c r="GW14" s="504">
        <f t="shared" si="66"/>
        <v>1.8391880971096963</v>
      </c>
      <c r="GX14" s="505">
        <f t="shared" si="178"/>
        <v>0</v>
      </c>
      <c r="GY14" s="503"/>
      <c r="GZ14" s="504">
        <f t="shared" si="67"/>
        <v>0</v>
      </c>
      <c r="HA14" s="505">
        <f t="shared" si="179"/>
        <v>0</v>
      </c>
      <c r="HB14" s="503">
        <v>99.643532725209127</v>
      </c>
      <c r="HC14" s="504">
        <f t="shared" si="68"/>
        <v>1.8391880971096963</v>
      </c>
      <c r="HD14" s="505">
        <f t="shared" si="180"/>
        <v>0</v>
      </c>
      <c r="HE14" s="503"/>
      <c r="HF14" s="504">
        <f t="shared" si="69"/>
        <v>0</v>
      </c>
      <c r="HG14" s="505">
        <f t="shared" si="181"/>
        <v>0</v>
      </c>
      <c r="HH14" s="503"/>
      <c r="HI14" s="504">
        <f t="shared" si="70"/>
        <v>0</v>
      </c>
      <c r="HJ14" s="505">
        <f t="shared" si="182"/>
        <v>0</v>
      </c>
      <c r="HK14" s="503"/>
      <c r="HL14" s="504">
        <f t="shared" si="71"/>
        <v>0</v>
      </c>
      <c r="HM14" s="505">
        <f t="shared" si="183"/>
        <v>0</v>
      </c>
      <c r="HN14" s="503">
        <v>835.8985245281433</v>
      </c>
      <c r="HO14" s="504">
        <f t="shared" si="72"/>
        <v>15.428744592420232</v>
      </c>
      <c r="HP14" s="505">
        <f t="shared" si="184"/>
        <v>0</v>
      </c>
      <c r="HQ14" s="503"/>
      <c r="HR14" s="504">
        <f t="shared" si="73"/>
        <v>0</v>
      </c>
      <c r="HS14" s="505">
        <f t="shared" si="185"/>
        <v>0</v>
      </c>
      <c r="HT14" s="503"/>
      <c r="HU14" s="504">
        <f t="shared" si="74"/>
        <v>0</v>
      </c>
      <c r="HV14" s="505">
        <f t="shared" si="186"/>
        <v>0</v>
      </c>
      <c r="HW14" s="503"/>
      <c r="HX14" s="504">
        <f t="shared" si="75"/>
        <v>0</v>
      </c>
      <c r="HY14" s="505">
        <f t="shared" si="187"/>
        <v>0</v>
      </c>
      <c r="HZ14" s="503"/>
      <c r="IA14" s="504">
        <f t="shared" si="76"/>
        <v>0</v>
      </c>
      <c r="IB14" s="505">
        <f t="shared" si="188"/>
        <v>0</v>
      </c>
      <c r="IC14" s="503"/>
      <c r="ID14" s="504">
        <f t="shared" si="77"/>
        <v>0</v>
      </c>
      <c r="IE14" s="505">
        <f t="shared" si="189"/>
        <v>0</v>
      </c>
      <c r="IF14" s="503"/>
      <c r="IG14" s="504">
        <f t="shared" si="78"/>
        <v>0</v>
      </c>
      <c r="IH14" s="505">
        <f t="shared" si="190"/>
        <v>0</v>
      </c>
      <c r="II14" s="503">
        <v>27.67875909033587</v>
      </c>
      <c r="IJ14" s="504">
        <f t="shared" si="79"/>
        <v>0.51088558253047123</v>
      </c>
      <c r="IK14" s="505">
        <f t="shared" si="191"/>
        <v>0</v>
      </c>
      <c r="IL14" s="503"/>
      <c r="IM14" s="504">
        <f t="shared" si="80"/>
        <v>0</v>
      </c>
      <c r="IN14" s="505">
        <f t="shared" si="192"/>
        <v>0</v>
      </c>
      <c r="IO14" s="503"/>
      <c r="IP14" s="504">
        <f t="shared" si="81"/>
        <v>0</v>
      </c>
      <c r="IQ14" s="505">
        <f t="shared" si="193"/>
        <v>0</v>
      </c>
      <c r="IR14" s="503">
        <v>52.589642271638155</v>
      </c>
      <c r="IS14" s="504">
        <f t="shared" si="82"/>
        <v>0.97068260680789542</v>
      </c>
      <c r="IT14" s="505">
        <f t="shared" si="194"/>
        <v>0</v>
      </c>
      <c r="IU14" s="503"/>
      <c r="IV14" s="504">
        <f t="shared" si="83"/>
        <v>0</v>
      </c>
      <c r="IW14" s="505">
        <f t="shared" si="195"/>
        <v>0</v>
      </c>
      <c r="IX14" s="503"/>
      <c r="IY14" s="504">
        <f t="shared" si="84"/>
        <v>0</v>
      </c>
      <c r="IZ14" s="505">
        <f t="shared" si="196"/>
        <v>0</v>
      </c>
      <c r="JA14" s="503"/>
      <c r="JB14" s="504">
        <f t="shared" si="85"/>
        <v>0</v>
      </c>
      <c r="JC14" s="505">
        <f t="shared" si="197"/>
        <v>0</v>
      </c>
      <c r="JD14" s="503"/>
      <c r="JE14" s="504">
        <f t="shared" si="86"/>
        <v>0</v>
      </c>
      <c r="JF14" s="505">
        <f t="shared" si="198"/>
        <v>0</v>
      </c>
      <c r="JG14" s="503"/>
      <c r="JH14" s="504">
        <f t="shared" si="87"/>
        <v>0</v>
      </c>
      <c r="JI14" s="505">
        <f t="shared" si="199"/>
        <v>0</v>
      </c>
      <c r="JJ14" s="503">
        <v>27.67875909033587</v>
      </c>
      <c r="JK14" s="505" t="str">
        <f t="shared" si="88"/>
        <v>0</v>
      </c>
      <c r="JL14" s="505" t="str">
        <f t="shared" si="89"/>
        <v>0</v>
      </c>
      <c r="JM14" s="503"/>
      <c r="JN14" s="505" t="str">
        <f t="shared" si="90"/>
        <v>0</v>
      </c>
      <c r="JO14" s="505" t="str">
        <f t="shared" si="91"/>
        <v>0</v>
      </c>
      <c r="JP14" s="503"/>
      <c r="JQ14" s="505" t="str">
        <f t="shared" si="92"/>
        <v>0</v>
      </c>
      <c r="JR14" s="505" t="str">
        <f t="shared" si="93"/>
        <v>0</v>
      </c>
      <c r="JS14" s="503"/>
      <c r="JT14" s="505" t="str">
        <f t="shared" si="94"/>
        <v>0</v>
      </c>
      <c r="JU14" s="505" t="str">
        <f t="shared" si="95"/>
        <v>0</v>
      </c>
      <c r="JV14" s="503"/>
      <c r="JW14" s="505" t="str">
        <f t="shared" si="96"/>
        <v>0</v>
      </c>
      <c r="JX14" s="505" t="str">
        <f t="shared" si="97"/>
        <v>0</v>
      </c>
      <c r="JY14" s="503"/>
      <c r="JZ14" s="505" t="str">
        <f t="shared" si="98"/>
        <v>0</v>
      </c>
      <c r="KA14" s="505" t="str">
        <f t="shared" si="99"/>
        <v>0</v>
      </c>
      <c r="KB14" s="503"/>
      <c r="KC14" s="505" t="str">
        <f t="shared" si="100"/>
        <v>0</v>
      </c>
      <c r="KD14" s="505" t="str">
        <f t="shared" si="101"/>
        <v>0</v>
      </c>
      <c r="KE14" s="503"/>
      <c r="KF14" s="505" t="str">
        <f t="shared" si="102"/>
        <v>0</v>
      </c>
      <c r="KG14" s="505" t="str">
        <f t="shared" si="103"/>
        <v>0</v>
      </c>
      <c r="KH14" s="503"/>
      <c r="KI14" s="505" t="str">
        <f t="shared" si="104"/>
        <v>0</v>
      </c>
      <c r="KJ14" s="505" t="str">
        <f t="shared" si="105"/>
        <v>0</v>
      </c>
      <c r="KK14" s="503"/>
      <c r="KL14" s="505" t="str">
        <f t="shared" si="106"/>
        <v>0</v>
      </c>
      <c r="KM14" s="505" t="str">
        <f t="shared" si="107"/>
        <v>0</v>
      </c>
      <c r="KN14" s="503"/>
      <c r="KO14" s="505" t="str">
        <f t="shared" si="108"/>
        <v>0</v>
      </c>
      <c r="KP14" s="505" t="str">
        <f t="shared" si="109"/>
        <v>0</v>
      </c>
      <c r="KQ14" s="503"/>
      <c r="KR14" s="505" t="str">
        <f t="shared" si="110"/>
        <v>0</v>
      </c>
      <c r="KS14" s="505" t="str">
        <f t="shared" si="111"/>
        <v>0</v>
      </c>
      <c r="KT14" s="505">
        <f t="shared" si="201"/>
        <v>0</v>
      </c>
      <c r="KU14" s="505">
        <f t="shared" si="202"/>
        <v>0</v>
      </c>
      <c r="KV14" s="258">
        <f t="shared" si="112"/>
        <v>1782.7087507064462</v>
      </c>
    </row>
    <row r="15" spans="1:308" ht="15" customHeight="1">
      <c r="A15" s="462">
        <f t="shared" si="200"/>
        <v>46087</v>
      </c>
      <c r="B15" s="463" t="str">
        <f>+Report1!B14</f>
        <v xml:space="preserve">Toilet </v>
      </c>
      <c r="C15" s="464" t="str">
        <f>+Report1!C14</f>
        <v>14,5/15</v>
      </c>
      <c r="D15" s="465">
        <f>+Report1!P14</f>
        <v>33.480000000000004</v>
      </c>
      <c r="E15" s="466">
        <f>+Report1!R14</f>
        <v>33.015000000000001</v>
      </c>
      <c r="F15" s="503"/>
      <c r="G15" s="504">
        <f t="shared" si="0"/>
        <v>0</v>
      </c>
      <c r="H15" s="505">
        <f t="shared" si="113"/>
        <v>0</v>
      </c>
      <c r="I15" s="503"/>
      <c r="J15" s="504">
        <f t="shared" si="1"/>
        <v>0</v>
      </c>
      <c r="K15" s="505">
        <f t="shared" si="114"/>
        <v>0</v>
      </c>
      <c r="L15" s="503"/>
      <c r="M15" s="504">
        <f t="shared" si="2"/>
        <v>0</v>
      </c>
      <c r="N15" s="505">
        <f t="shared" si="115"/>
        <v>0</v>
      </c>
      <c r="O15" s="503">
        <v>6</v>
      </c>
      <c r="P15" s="504">
        <f t="shared" si="3"/>
        <v>0.1817355747387551</v>
      </c>
      <c r="Q15" s="505">
        <f t="shared" si="116"/>
        <v>0</v>
      </c>
      <c r="R15" s="503">
        <v>2.5625000000000568</v>
      </c>
      <c r="S15" s="504">
        <f t="shared" si="4"/>
        <v>7.7616235044678378E-2</v>
      </c>
      <c r="T15" s="505">
        <f t="shared" si="117"/>
        <v>0</v>
      </c>
      <c r="U15" s="503">
        <v>6.25</v>
      </c>
      <c r="V15" s="504">
        <f t="shared" si="5"/>
        <v>0.18930789035286991</v>
      </c>
      <c r="W15" s="505">
        <f t="shared" si="118"/>
        <v>0</v>
      </c>
      <c r="X15" s="503"/>
      <c r="Y15" s="504">
        <f t="shared" si="6"/>
        <v>0</v>
      </c>
      <c r="Z15" s="505">
        <f t="shared" si="119"/>
        <v>0</v>
      </c>
      <c r="AA15" s="503"/>
      <c r="AB15" s="504">
        <f t="shared" si="7"/>
        <v>0</v>
      </c>
      <c r="AC15" s="505">
        <f t="shared" si="120"/>
        <v>0</v>
      </c>
      <c r="AD15" s="503"/>
      <c r="AE15" s="504">
        <f t="shared" si="8"/>
        <v>0</v>
      </c>
      <c r="AF15" s="505">
        <f t="shared" si="121"/>
        <v>0</v>
      </c>
      <c r="AG15" s="503"/>
      <c r="AH15" s="504">
        <f t="shared" si="9"/>
        <v>0</v>
      </c>
      <c r="AI15" s="505">
        <f t="shared" si="122"/>
        <v>0</v>
      </c>
      <c r="AJ15" s="503"/>
      <c r="AK15" s="504">
        <f t="shared" si="10"/>
        <v>0</v>
      </c>
      <c r="AL15" s="505">
        <f t="shared" si="123"/>
        <v>0</v>
      </c>
      <c r="AM15" s="503">
        <v>23.653846153846246</v>
      </c>
      <c r="AN15" s="504">
        <f t="shared" si="11"/>
        <v>0.71645755425855662</v>
      </c>
      <c r="AO15" s="505">
        <f t="shared" si="124"/>
        <v>0</v>
      </c>
      <c r="AP15" s="503"/>
      <c r="AQ15" s="504">
        <f t="shared" si="12"/>
        <v>0</v>
      </c>
      <c r="AR15" s="505">
        <f t="shared" si="125"/>
        <v>0</v>
      </c>
      <c r="AS15" s="503"/>
      <c r="AT15" s="504">
        <f t="shared" si="13"/>
        <v>0</v>
      </c>
      <c r="AU15" s="505">
        <f t="shared" si="126"/>
        <v>0</v>
      </c>
      <c r="AV15" s="503">
        <v>5.5500000000000114</v>
      </c>
      <c r="AW15" s="504">
        <f t="shared" si="14"/>
        <v>0.16810540663334883</v>
      </c>
      <c r="AX15" s="505">
        <f t="shared" si="127"/>
        <v>0</v>
      </c>
      <c r="AY15" s="503">
        <v>21</v>
      </c>
      <c r="AZ15" s="504">
        <f t="shared" si="15"/>
        <v>0.63607451158564288</v>
      </c>
      <c r="BA15" s="505">
        <f t="shared" si="128"/>
        <v>0</v>
      </c>
      <c r="BB15" s="503"/>
      <c r="BC15" s="504">
        <f t="shared" si="16"/>
        <v>0</v>
      </c>
      <c r="BD15" s="505">
        <f t="shared" si="129"/>
        <v>0</v>
      </c>
      <c r="BE15" s="503"/>
      <c r="BF15" s="504">
        <f t="shared" si="17"/>
        <v>0</v>
      </c>
      <c r="BG15" s="505">
        <f t="shared" si="130"/>
        <v>0</v>
      </c>
      <c r="BH15" s="503"/>
      <c r="BI15" s="504">
        <f t="shared" si="18"/>
        <v>0</v>
      </c>
      <c r="BJ15" s="505">
        <f t="shared" si="131"/>
        <v>0</v>
      </c>
      <c r="BK15" s="503"/>
      <c r="BL15" s="504">
        <f t="shared" si="19"/>
        <v>0</v>
      </c>
      <c r="BM15" s="505">
        <f t="shared" si="132"/>
        <v>0</v>
      </c>
      <c r="BN15" s="503"/>
      <c r="BO15" s="504">
        <f t="shared" si="20"/>
        <v>0</v>
      </c>
      <c r="BP15" s="505">
        <f t="shared" si="133"/>
        <v>0</v>
      </c>
      <c r="BQ15" s="503"/>
      <c r="BR15" s="504">
        <f t="shared" si="21"/>
        <v>0</v>
      </c>
      <c r="BS15" s="505">
        <f t="shared" si="134"/>
        <v>0</v>
      </c>
      <c r="BT15" s="503"/>
      <c r="BU15" s="504">
        <f t="shared" si="22"/>
        <v>0</v>
      </c>
      <c r="BV15" s="505">
        <f t="shared" si="135"/>
        <v>0</v>
      </c>
      <c r="BW15" s="503"/>
      <c r="BX15" s="504">
        <f t="shared" si="23"/>
        <v>0</v>
      </c>
      <c r="BY15" s="505">
        <f t="shared" si="136"/>
        <v>0</v>
      </c>
      <c r="BZ15" s="503"/>
      <c r="CA15" s="504">
        <f t="shared" si="24"/>
        <v>0</v>
      </c>
      <c r="CB15" s="505">
        <f t="shared" si="137"/>
        <v>0</v>
      </c>
      <c r="CC15" s="503"/>
      <c r="CD15" s="504">
        <f t="shared" si="25"/>
        <v>0</v>
      </c>
      <c r="CE15" s="505">
        <f t="shared" si="138"/>
        <v>0</v>
      </c>
      <c r="CF15" s="503">
        <v>8</v>
      </c>
      <c r="CG15" s="504">
        <f t="shared" si="26"/>
        <v>0.24231409965167347</v>
      </c>
      <c r="CH15" s="505">
        <f t="shared" si="139"/>
        <v>0</v>
      </c>
      <c r="CI15" s="503"/>
      <c r="CJ15" s="504">
        <f t="shared" si="27"/>
        <v>0</v>
      </c>
      <c r="CK15" s="505">
        <f t="shared" si="140"/>
        <v>0</v>
      </c>
      <c r="CL15" s="503"/>
      <c r="CM15" s="504">
        <f t="shared" si="28"/>
        <v>0</v>
      </c>
      <c r="CN15" s="505">
        <f t="shared" si="141"/>
        <v>0</v>
      </c>
      <c r="CO15" s="503"/>
      <c r="CP15" s="504">
        <f t="shared" si="29"/>
        <v>0</v>
      </c>
      <c r="CQ15" s="505">
        <f t="shared" si="142"/>
        <v>0</v>
      </c>
      <c r="CR15" s="503"/>
      <c r="CS15" s="504">
        <f t="shared" si="30"/>
        <v>0</v>
      </c>
      <c r="CT15" s="505">
        <f t="shared" si="143"/>
        <v>0</v>
      </c>
      <c r="CU15" s="503"/>
      <c r="CV15" s="504">
        <f t="shared" si="31"/>
        <v>0</v>
      </c>
      <c r="CW15" s="505">
        <f t="shared" si="144"/>
        <v>0</v>
      </c>
      <c r="CX15" s="503"/>
      <c r="CY15" s="504">
        <f t="shared" si="32"/>
        <v>0</v>
      </c>
      <c r="CZ15" s="505">
        <f t="shared" si="145"/>
        <v>0</v>
      </c>
      <c r="DA15" s="503"/>
      <c r="DB15" s="504">
        <f t="shared" si="33"/>
        <v>0</v>
      </c>
      <c r="DC15" s="505">
        <f t="shared" si="146"/>
        <v>0</v>
      </c>
      <c r="DD15" s="503"/>
      <c r="DE15" s="504">
        <f t="shared" si="34"/>
        <v>0</v>
      </c>
      <c r="DF15" s="505">
        <f t="shared" si="147"/>
        <v>0</v>
      </c>
      <c r="DG15" s="503"/>
      <c r="DH15" s="504">
        <f t="shared" si="35"/>
        <v>0</v>
      </c>
      <c r="DI15" s="505">
        <f t="shared" ref="DI15:DI40" si="203">+DG15*$H$9</f>
        <v>0</v>
      </c>
      <c r="DJ15" s="503"/>
      <c r="DK15" s="504">
        <f t="shared" si="36"/>
        <v>0</v>
      </c>
      <c r="DL15" s="505">
        <f t="shared" si="148"/>
        <v>0</v>
      </c>
      <c r="DM15" s="503"/>
      <c r="DN15" s="504">
        <f t="shared" si="37"/>
        <v>0</v>
      </c>
      <c r="DO15" s="505">
        <f t="shared" si="149"/>
        <v>0</v>
      </c>
      <c r="DP15" s="503"/>
      <c r="DQ15" s="504">
        <f t="shared" si="38"/>
        <v>0</v>
      </c>
      <c r="DR15" s="505">
        <f t="shared" si="150"/>
        <v>0</v>
      </c>
      <c r="DS15" s="503"/>
      <c r="DT15" s="504">
        <f t="shared" si="39"/>
        <v>0</v>
      </c>
      <c r="DU15" s="505">
        <f t="shared" si="151"/>
        <v>0</v>
      </c>
      <c r="DV15" s="503"/>
      <c r="DW15" s="504">
        <f t="shared" si="40"/>
        <v>0</v>
      </c>
      <c r="DX15" s="505">
        <f t="shared" si="152"/>
        <v>0</v>
      </c>
      <c r="DY15" s="503">
        <v>15.096385542168676</v>
      </c>
      <c r="DZ15" s="504">
        <f t="shared" si="41"/>
        <v>0.45725838383064293</v>
      </c>
      <c r="EA15" s="505">
        <f t="shared" si="153"/>
        <v>0</v>
      </c>
      <c r="EB15" s="503">
        <v>140.89411764705881</v>
      </c>
      <c r="EC15" s="504">
        <f t="shared" si="42"/>
        <v>4.267578907983002</v>
      </c>
      <c r="ED15" s="505">
        <f t="shared" si="154"/>
        <v>0</v>
      </c>
      <c r="EE15" s="503">
        <v>14.534883720930225</v>
      </c>
      <c r="EF15" s="504">
        <f t="shared" si="43"/>
        <v>0.44025090779737164</v>
      </c>
      <c r="EG15" s="505">
        <f t="shared" si="155"/>
        <v>0</v>
      </c>
      <c r="EH15" s="503"/>
      <c r="EI15" s="504">
        <f t="shared" si="44"/>
        <v>0</v>
      </c>
      <c r="EJ15" s="505">
        <f t="shared" si="156"/>
        <v>0</v>
      </c>
      <c r="EK15" s="503"/>
      <c r="EL15" s="504">
        <f t="shared" si="45"/>
        <v>0</v>
      </c>
      <c r="EM15" s="505">
        <f t="shared" si="157"/>
        <v>0</v>
      </c>
      <c r="EN15" s="503"/>
      <c r="EO15" s="504">
        <f t="shared" si="46"/>
        <v>0</v>
      </c>
      <c r="EP15" s="505">
        <f t="shared" si="158"/>
        <v>0</v>
      </c>
      <c r="EQ15" s="503"/>
      <c r="ER15" s="504">
        <f t="shared" si="47"/>
        <v>0</v>
      </c>
      <c r="ES15" s="505">
        <f t="shared" si="159"/>
        <v>0</v>
      </c>
      <c r="ET15" s="503"/>
      <c r="EU15" s="504">
        <f t="shared" si="48"/>
        <v>0</v>
      </c>
      <c r="EV15" s="505">
        <f t="shared" si="160"/>
        <v>0</v>
      </c>
      <c r="EW15" s="503"/>
      <c r="EX15" s="504">
        <f t="shared" si="49"/>
        <v>0</v>
      </c>
      <c r="EY15" s="505">
        <f t="shared" si="161"/>
        <v>0</v>
      </c>
      <c r="EZ15" s="503"/>
      <c r="FA15" s="504">
        <f t="shared" si="50"/>
        <v>0</v>
      </c>
      <c r="FB15" s="505">
        <f t="shared" si="162"/>
        <v>0</v>
      </c>
      <c r="FC15" s="503"/>
      <c r="FD15" s="504">
        <f t="shared" si="51"/>
        <v>0</v>
      </c>
      <c r="FE15" s="505">
        <f t="shared" si="163"/>
        <v>0</v>
      </c>
      <c r="FF15" s="503"/>
      <c r="FG15" s="504">
        <f t="shared" si="52"/>
        <v>0</v>
      </c>
      <c r="FH15" s="505">
        <f t="shared" si="164"/>
        <v>0</v>
      </c>
      <c r="FI15" s="503"/>
      <c r="FJ15" s="504">
        <f t="shared" si="53"/>
        <v>0</v>
      </c>
      <c r="FK15" s="505">
        <f t="shared" si="165"/>
        <v>0</v>
      </c>
      <c r="FL15" s="503"/>
      <c r="FM15" s="504">
        <f t="shared" si="54"/>
        <v>0</v>
      </c>
      <c r="FN15" s="505">
        <f t="shared" si="166"/>
        <v>0</v>
      </c>
      <c r="FO15" s="503"/>
      <c r="FP15" s="504">
        <f t="shared" si="55"/>
        <v>0</v>
      </c>
      <c r="FQ15" s="505">
        <f t="shared" si="167"/>
        <v>0</v>
      </c>
      <c r="FR15" s="503"/>
      <c r="FS15" s="504">
        <f t="shared" si="56"/>
        <v>0</v>
      </c>
      <c r="FT15" s="505">
        <f t="shared" si="168"/>
        <v>0</v>
      </c>
      <c r="FU15" s="503"/>
      <c r="FV15" s="504">
        <f t="shared" si="57"/>
        <v>0</v>
      </c>
      <c r="FW15" s="505">
        <f t="shared" si="169"/>
        <v>0</v>
      </c>
      <c r="FX15" s="503"/>
      <c r="FY15" s="504">
        <f t="shared" si="58"/>
        <v>0</v>
      </c>
      <c r="FZ15" s="505">
        <f t="shared" si="170"/>
        <v>0</v>
      </c>
      <c r="GA15" s="503"/>
      <c r="GB15" s="504">
        <f t="shared" si="59"/>
        <v>0</v>
      </c>
      <c r="GC15" s="505">
        <f t="shared" si="171"/>
        <v>0</v>
      </c>
      <c r="GD15" s="503"/>
      <c r="GE15" s="504">
        <f t="shared" si="60"/>
        <v>0</v>
      </c>
      <c r="GF15" s="505">
        <f t="shared" si="172"/>
        <v>0</v>
      </c>
      <c r="GG15" s="503">
        <v>13.941402801605676</v>
      </c>
      <c r="GH15" s="504">
        <f t="shared" si="61"/>
        <v>0.42227480846904969</v>
      </c>
      <c r="GI15" s="505">
        <f t="shared" si="173"/>
        <v>0</v>
      </c>
      <c r="GJ15" s="503">
        <v>13.941402801605676</v>
      </c>
      <c r="GK15" s="504">
        <f t="shared" si="62"/>
        <v>0.42227480846904969</v>
      </c>
      <c r="GL15" s="505">
        <f t="shared" si="174"/>
        <v>0</v>
      </c>
      <c r="GM15" s="503"/>
      <c r="GN15" s="504">
        <f t="shared" si="63"/>
        <v>0</v>
      </c>
      <c r="GO15" s="505">
        <f t="shared" si="175"/>
        <v>0</v>
      </c>
      <c r="GP15" s="503">
        <v>33.45936672385362</v>
      </c>
      <c r="GQ15" s="504">
        <f t="shared" si="64"/>
        <v>1.0134595403257192</v>
      </c>
      <c r="GR15" s="505">
        <f t="shared" si="176"/>
        <v>0</v>
      </c>
      <c r="GS15" s="503">
        <v>167.29683361926811</v>
      </c>
      <c r="GT15" s="504">
        <f t="shared" si="65"/>
        <v>5.0672977016285961</v>
      </c>
      <c r="GU15" s="505">
        <f t="shared" si="177"/>
        <v>0</v>
      </c>
      <c r="GV15" s="503">
        <v>66.91873344770724</v>
      </c>
      <c r="GW15" s="504">
        <f t="shared" si="66"/>
        <v>2.0269190806514383</v>
      </c>
      <c r="GX15" s="505">
        <f t="shared" si="178"/>
        <v>0</v>
      </c>
      <c r="GY15" s="503"/>
      <c r="GZ15" s="504">
        <f t="shared" si="67"/>
        <v>0</v>
      </c>
      <c r="HA15" s="505">
        <f t="shared" si="179"/>
        <v>0</v>
      </c>
      <c r="HB15" s="503"/>
      <c r="HC15" s="504">
        <f t="shared" si="68"/>
        <v>0</v>
      </c>
      <c r="HD15" s="505">
        <f t="shared" si="180"/>
        <v>0</v>
      </c>
      <c r="HE15" s="503"/>
      <c r="HF15" s="504">
        <f t="shared" si="69"/>
        <v>0</v>
      </c>
      <c r="HG15" s="505">
        <f t="shared" si="181"/>
        <v>0</v>
      </c>
      <c r="HH15" s="503"/>
      <c r="HI15" s="504">
        <f t="shared" si="70"/>
        <v>0</v>
      </c>
      <c r="HJ15" s="505">
        <f t="shared" si="182"/>
        <v>0</v>
      </c>
      <c r="HK15" s="503"/>
      <c r="HL15" s="504">
        <f t="shared" si="71"/>
        <v>0</v>
      </c>
      <c r="HM15" s="505">
        <f t="shared" si="183"/>
        <v>0</v>
      </c>
      <c r="HN15" s="503">
        <v>674.76389559771474</v>
      </c>
      <c r="HO15" s="504">
        <f t="shared" si="72"/>
        <v>20.438100729902008</v>
      </c>
      <c r="HP15" s="505">
        <f t="shared" si="184"/>
        <v>0</v>
      </c>
      <c r="HQ15" s="503"/>
      <c r="HR15" s="504">
        <f t="shared" si="73"/>
        <v>0</v>
      </c>
      <c r="HS15" s="505">
        <f t="shared" si="185"/>
        <v>0</v>
      </c>
      <c r="HT15" s="503"/>
      <c r="HU15" s="504">
        <f t="shared" si="74"/>
        <v>0</v>
      </c>
      <c r="HV15" s="505">
        <f t="shared" si="186"/>
        <v>0</v>
      </c>
      <c r="HW15" s="503"/>
      <c r="HX15" s="504">
        <f t="shared" si="75"/>
        <v>0</v>
      </c>
      <c r="HY15" s="505">
        <f t="shared" si="187"/>
        <v>0</v>
      </c>
      <c r="HZ15" s="503"/>
      <c r="IA15" s="504">
        <f t="shared" si="76"/>
        <v>0</v>
      </c>
      <c r="IB15" s="505">
        <f t="shared" si="188"/>
        <v>0</v>
      </c>
      <c r="IC15" s="503"/>
      <c r="ID15" s="504">
        <f t="shared" si="77"/>
        <v>0</v>
      </c>
      <c r="IE15" s="505">
        <f t="shared" si="189"/>
        <v>0</v>
      </c>
      <c r="IF15" s="503"/>
      <c r="IG15" s="504">
        <f t="shared" si="78"/>
        <v>0</v>
      </c>
      <c r="IH15" s="505">
        <f t="shared" si="190"/>
        <v>0</v>
      </c>
      <c r="II15" s="503">
        <v>16.72968336192681</v>
      </c>
      <c r="IJ15" s="504">
        <f t="shared" si="79"/>
        <v>0.50672977016285958</v>
      </c>
      <c r="IK15" s="505">
        <f t="shared" si="191"/>
        <v>0</v>
      </c>
      <c r="IL15" s="503"/>
      <c r="IM15" s="504">
        <f t="shared" si="80"/>
        <v>0</v>
      </c>
      <c r="IN15" s="505">
        <f t="shared" si="192"/>
        <v>0</v>
      </c>
      <c r="IO15" s="503"/>
      <c r="IP15" s="504">
        <f t="shared" si="81"/>
        <v>0</v>
      </c>
      <c r="IQ15" s="505">
        <f t="shared" si="193"/>
        <v>0</v>
      </c>
      <c r="IR15" s="503">
        <v>66.91873344770724</v>
      </c>
      <c r="IS15" s="504">
        <f t="shared" si="82"/>
        <v>2.0269190806514383</v>
      </c>
      <c r="IT15" s="505">
        <f t="shared" si="194"/>
        <v>0</v>
      </c>
      <c r="IU15" s="503"/>
      <c r="IV15" s="504">
        <f t="shared" si="83"/>
        <v>0</v>
      </c>
      <c r="IW15" s="505">
        <f t="shared" si="195"/>
        <v>0</v>
      </c>
      <c r="IX15" s="503"/>
      <c r="IY15" s="504">
        <f t="shared" si="84"/>
        <v>0</v>
      </c>
      <c r="IZ15" s="505">
        <f t="shared" si="196"/>
        <v>0</v>
      </c>
      <c r="JA15" s="503"/>
      <c r="JB15" s="504">
        <f t="shared" si="85"/>
        <v>0</v>
      </c>
      <c r="JC15" s="505">
        <f t="shared" si="197"/>
        <v>0</v>
      </c>
      <c r="JD15" s="503"/>
      <c r="JE15" s="504">
        <f t="shared" si="86"/>
        <v>0</v>
      </c>
      <c r="JF15" s="505">
        <f t="shared" si="198"/>
        <v>0</v>
      </c>
      <c r="JG15" s="503"/>
      <c r="JH15" s="504">
        <f t="shared" si="87"/>
        <v>0</v>
      </c>
      <c r="JI15" s="505">
        <f t="shared" si="199"/>
        <v>0</v>
      </c>
      <c r="JJ15" s="503">
        <v>19.517963922247947</v>
      </c>
      <c r="JK15" s="505" t="str">
        <f t="shared" si="88"/>
        <v>0</v>
      </c>
      <c r="JL15" s="505" t="str">
        <f t="shared" si="89"/>
        <v>0</v>
      </c>
      <c r="JM15" s="503"/>
      <c r="JN15" s="505" t="str">
        <f t="shared" si="90"/>
        <v>0</v>
      </c>
      <c r="JO15" s="505" t="str">
        <f t="shared" si="91"/>
        <v>0</v>
      </c>
      <c r="JP15" s="503"/>
      <c r="JQ15" s="505" t="str">
        <f t="shared" si="92"/>
        <v>0</v>
      </c>
      <c r="JR15" s="505" t="str">
        <f t="shared" si="93"/>
        <v>0</v>
      </c>
      <c r="JS15" s="503"/>
      <c r="JT15" s="505" t="str">
        <f t="shared" si="94"/>
        <v>0</v>
      </c>
      <c r="JU15" s="505" t="str">
        <f t="shared" si="95"/>
        <v>0</v>
      </c>
      <c r="JV15" s="503"/>
      <c r="JW15" s="505" t="str">
        <f t="shared" si="96"/>
        <v>0</v>
      </c>
      <c r="JX15" s="505" t="str">
        <f t="shared" si="97"/>
        <v>0</v>
      </c>
      <c r="JY15" s="503"/>
      <c r="JZ15" s="505" t="str">
        <f t="shared" si="98"/>
        <v>0</v>
      </c>
      <c r="KA15" s="505" t="str">
        <f t="shared" si="99"/>
        <v>0</v>
      </c>
      <c r="KB15" s="503"/>
      <c r="KC15" s="505" t="str">
        <f t="shared" si="100"/>
        <v>0</v>
      </c>
      <c r="KD15" s="505" t="str">
        <f t="shared" si="101"/>
        <v>0</v>
      </c>
      <c r="KE15" s="503"/>
      <c r="KF15" s="505" t="str">
        <f t="shared" si="102"/>
        <v>0</v>
      </c>
      <c r="KG15" s="505" t="str">
        <f t="shared" si="103"/>
        <v>0</v>
      </c>
      <c r="KH15" s="503"/>
      <c r="KI15" s="505" t="str">
        <f t="shared" si="104"/>
        <v>0</v>
      </c>
      <c r="KJ15" s="505" t="str">
        <f t="shared" si="105"/>
        <v>0</v>
      </c>
      <c r="KK15" s="503"/>
      <c r="KL15" s="505" t="str">
        <f t="shared" si="106"/>
        <v>0</v>
      </c>
      <c r="KM15" s="505" t="str">
        <f t="shared" si="107"/>
        <v>0</v>
      </c>
      <c r="KN15" s="503"/>
      <c r="KO15" s="505" t="str">
        <f t="shared" si="108"/>
        <v>0</v>
      </c>
      <c r="KP15" s="505" t="str">
        <f t="shared" si="109"/>
        <v>0</v>
      </c>
      <c r="KQ15" s="503"/>
      <c r="KR15" s="505" t="str">
        <f t="shared" si="110"/>
        <v>0</v>
      </c>
      <c r="KS15" s="505" t="str">
        <f t="shared" si="111"/>
        <v>0</v>
      </c>
      <c r="KT15" s="505">
        <f t="shared" si="201"/>
        <v>0</v>
      </c>
      <c r="KU15" s="505">
        <f t="shared" si="202"/>
        <v>0</v>
      </c>
      <c r="KV15" s="258">
        <f t="shared" si="112"/>
        <v>1317.029748787641</v>
      </c>
    </row>
    <row r="16" spans="1:308" ht="15" customHeight="1">
      <c r="A16" s="462">
        <f t="shared" si="200"/>
        <v>46088</v>
      </c>
      <c r="B16" s="463" t="str">
        <f>+Report1!B15</f>
        <v xml:space="preserve">Toilet </v>
      </c>
      <c r="C16" s="464" t="str">
        <f>+Report1!C15</f>
        <v>15</v>
      </c>
      <c r="D16" s="465">
        <f>+Report1!P15</f>
        <v>46.632000000000005</v>
      </c>
      <c r="E16" s="466">
        <f>+Report1!R15</f>
        <v>38.323999999999998</v>
      </c>
      <c r="F16" s="503"/>
      <c r="G16" s="504">
        <f t="shared" si="0"/>
        <v>0</v>
      </c>
      <c r="H16" s="505">
        <f t="shared" si="113"/>
        <v>0</v>
      </c>
      <c r="I16" s="503"/>
      <c r="J16" s="504">
        <f t="shared" si="1"/>
        <v>0</v>
      </c>
      <c r="K16" s="505">
        <f t="shared" si="114"/>
        <v>0</v>
      </c>
      <c r="L16" s="503"/>
      <c r="M16" s="504">
        <f t="shared" si="2"/>
        <v>0</v>
      </c>
      <c r="N16" s="505">
        <f t="shared" si="115"/>
        <v>0</v>
      </c>
      <c r="O16" s="503">
        <v>6</v>
      </c>
      <c r="P16" s="504">
        <f t="shared" si="3"/>
        <v>0.15655985805239536</v>
      </c>
      <c r="Q16" s="505">
        <f t="shared" si="116"/>
        <v>0</v>
      </c>
      <c r="R16" s="503">
        <v>5.1249999999999432</v>
      </c>
      <c r="S16" s="504">
        <f t="shared" si="4"/>
        <v>0.13372821208641958</v>
      </c>
      <c r="T16" s="505">
        <f t="shared" si="117"/>
        <v>0</v>
      </c>
      <c r="U16" s="503">
        <v>4.6874999999999858</v>
      </c>
      <c r="V16" s="504">
        <f t="shared" si="5"/>
        <v>0.12231238910343352</v>
      </c>
      <c r="W16" s="505">
        <f t="shared" si="118"/>
        <v>0</v>
      </c>
      <c r="X16" s="503"/>
      <c r="Y16" s="504">
        <f t="shared" si="6"/>
        <v>0</v>
      </c>
      <c r="Z16" s="505">
        <f t="shared" si="119"/>
        <v>0</v>
      </c>
      <c r="AA16" s="503"/>
      <c r="AB16" s="504">
        <f t="shared" si="7"/>
        <v>0</v>
      </c>
      <c r="AC16" s="505">
        <f t="shared" si="120"/>
        <v>0</v>
      </c>
      <c r="AD16" s="503"/>
      <c r="AE16" s="504">
        <f t="shared" si="8"/>
        <v>0</v>
      </c>
      <c r="AF16" s="505">
        <f t="shared" si="121"/>
        <v>0</v>
      </c>
      <c r="AG16" s="503"/>
      <c r="AH16" s="504">
        <f t="shared" si="9"/>
        <v>0</v>
      </c>
      <c r="AI16" s="505">
        <f t="shared" si="122"/>
        <v>0</v>
      </c>
      <c r="AJ16" s="503"/>
      <c r="AK16" s="504">
        <f t="shared" si="10"/>
        <v>0</v>
      </c>
      <c r="AL16" s="505">
        <f t="shared" si="123"/>
        <v>0</v>
      </c>
      <c r="AM16" s="503">
        <v>43.346374358974288</v>
      </c>
      <c r="AN16" s="504">
        <f t="shared" si="11"/>
        <v>1.1310503694545009</v>
      </c>
      <c r="AO16" s="505">
        <f t="shared" si="124"/>
        <v>0</v>
      </c>
      <c r="AP16" s="503"/>
      <c r="AQ16" s="504">
        <f t="shared" si="12"/>
        <v>0</v>
      </c>
      <c r="AR16" s="505">
        <f t="shared" si="125"/>
        <v>0</v>
      </c>
      <c r="AS16" s="503"/>
      <c r="AT16" s="504">
        <f t="shared" si="13"/>
        <v>0</v>
      </c>
      <c r="AU16" s="505">
        <f t="shared" si="126"/>
        <v>0</v>
      </c>
      <c r="AV16" s="503">
        <v>5.5500000000000114</v>
      </c>
      <c r="AW16" s="504">
        <f t="shared" si="14"/>
        <v>0.14481786869846602</v>
      </c>
      <c r="AX16" s="505">
        <f t="shared" si="127"/>
        <v>0</v>
      </c>
      <c r="AY16" s="503">
        <v>34.087333333333277</v>
      </c>
      <c r="AZ16" s="504">
        <f t="shared" si="15"/>
        <v>0.8894513446752238</v>
      </c>
      <c r="BA16" s="505">
        <f t="shared" si="128"/>
        <v>0</v>
      </c>
      <c r="BB16" s="503"/>
      <c r="BC16" s="504">
        <f t="shared" si="16"/>
        <v>0</v>
      </c>
      <c r="BD16" s="505">
        <f t="shared" si="129"/>
        <v>0</v>
      </c>
      <c r="BE16" s="503"/>
      <c r="BF16" s="504">
        <f t="shared" si="17"/>
        <v>0</v>
      </c>
      <c r="BG16" s="505">
        <f t="shared" si="130"/>
        <v>0</v>
      </c>
      <c r="BH16" s="503"/>
      <c r="BI16" s="504">
        <f t="shared" si="18"/>
        <v>0</v>
      </c>
      <c r="BJ16" s="505">
        <f t="shared" si="131"/>
        <v>0</v>
      </c>
      <c r="BK16" s="503"/>
      <c r="BL16" s="504">
        <f t="shared" si="19"/>
        <v>0</v>
      </c>
      <c r="BM16" s="505">
        <f t="shared" si="132"/>
        <v>0</v>
      </c>
      <c r="BN16" s="503"/>
      <c r="BO16" s="504">
        <f t="shared" si="20"/>
        <v>0</v>
      </c>
      <c r="BP16" s="505">
        <f t="shared" si="133"/>
        <v>0</v>
      </c>
      <c r="BQ16" s="503"/>
      <c r="BR16" s="504">
        <f t="shared" si="21"/>
        <v>0</v>
      </c>
      <c r="BS16" s="505">
        <f t="shared" si="134"/>
        <v>0</v>
      </c>
      <c r="BT16" s="503"/>
      <c r="BU16" s="504">
        <f t="shared" si="22"/>
        <v>0</v>
      </c>
      <c r="BV16" s="505">
        <f t="shared" si="135"/>
        <v>0</v>
      </c>
      <c r="BW16" s="503"/>
      <c r="BX16" s="504">
        <f t="shared" si="23"/>
        <v>0</v>
      </c>
      <c r="BY16" s="505">
        <f t="shared" si="136"/>
        <v>0</v>
      </c>
      <c r="BZ16" s="503"/>
      <c r="CA16" s="504">
        <f t="shared" si="24"/>
        <v>0</v>
      </c>
      <c r="CB16" s="505">
        <f t="shared" si="137"/>
        <v>0</v>
      </c>
      <c r="CC16" s="503"/>
      <c r="CD16" s="504">
        <f t="shared" si="25"/>
        <v>0</v>
      </c>
      <c r="CE16" s="505">
        <f t="shared" si="138"/>
        <v>0</v>
      </c>
      <c r="CF16" s="503">
        <v>11</v>
      </c>
      <c r="CG16" s="504">
        <f t="shared" si="26"/>
        <v>0.28702640642939153</v>
      </c>
      <c r="CH16" s="505">
        <f t="shared" si="139"/>
        <v>0</v>
      </c>
      <c r="CI16" s="503"/>
      <c r="CJ16" s="504">
        <f t="shared" si="27"/>
        <v>0</v>
      </c>
      <c r="CK16" s="505">
        <f t="shared" si="140"/>
        <v>0</v>
      </c>
      <c r="CL16" s="503"/>
      <c r="CM16" s="504">
        <f t="shared" si="28"/>
        <v>0</v>
      </c>
      <c r="CN16" s="505">
        <f t="shared" si="141"/>
        <v>0</v>
      </c>
      <c r="CO16" s="503"/>
      <c r="CP16" s="504">
        <f t="shared" si="29"/>
        <v>0</v>
      </c>
      <c r="CQ16" s="505">
        <f t="shared" si="142"/>
        <v>0</v>
      </c>
      <c r="CR16" s="503"/>
      <c r="CS16" s="504">
        <f t="shared" si="30"/>
        <v>0</v>
      </c>
      <c r="CT16" s="505">
        <f t="shared" si="143"/>
        <v>0</v>
      </c>
      <c r="CU16" s="503"/>
      <c r="CV16" s="504">
        <f t="shared" si="31"/>
        <v>0</v>
      </c>
      <c r="CW16" s="505">
        <f t="shared" si="144"/>
        <v>0</v>
      </c>
      <c r="CX16" s="503"/>
      <c r="CY16" s="504">
        <f t="shared" si="32"/>
        <v>0</v>
      </c>
      <c r="CZ16" s="505">
        <f t="shared" si="145"/>
        <v>0</v>
      </c>
      <c r="DA16" s="503"/>
      <c r="DB16" s="504">
        <f t="shared" si="33"/>
        <v>0</v>
      </c>
      <c r="DC16" s="505">
        <f t="shared" si="146"/>
        <v>0</v>
      </c>
      <c r="DD16" s="503"/>
      <c r="DE16" s="504">
        <f t="shared" si="34"/>
        <v>0</v>
      </c>
      <c r="DF16" s="505">
        <f t="shared" si="147"/>
        <v>0</v>
      </c>
      <c r="DG16" s="503"/>
      <c r="DH16" s="504">
        <f t="shared" si="35"/>
        <v>0</v>
      </c>
      <c r="DI16" s="505">
        <f t="shared" si="203"/>
        <v>0</v>
      </c>
      <c r="DJ16" s="503"/>
      <c r="DK16" s="504">
        <f t="shared" si="36"/>
        <v>0</v>
      </c>
      <c r="DL16" s="505">
        <f t="shared" si="148"/>
        <v>0</v>
      </c>
      <c r="DM16" s="503"/>
      <c r="DN16" s="504">
        <f t="shared" si="37"/>
        <v>0</v>
      </c>
      <c r="DO16" s="505">
        <f t="shared" si="149"/>
        <v>0</v>
      </c>
      <c r="DP16" s="503"/>
      <c r="DQ16" s="504">
        <f t="shared" si="38"/>
        <v>0</v>
      </c>
      <c r="DR16" s="505">
        <f t="shared" si="150"/>
        <v>0</v>
      </c>
      <c r="DS16" s="503"/>
      <c r="DT16" s="504">
        <f t="shared" si="39"/>
        <v>0</v>
      </c>
      <c r="DU16" s="505">
        <f t="shared" si="151"/>
        <v>0</v>
      </c>
      <c r="DV16" s="503"/>
      <c r="DW16" s="504">
        <f t="shared" si="40"/>
        <v>0</v>
      </c>
      <c r="DX16" s="505">
        <f t="shared" si="152"/>
        <v>0</v>
      </c>
      <c r="DY16" s="503">
        <v>8.6265060240963898</v>
      </c>
      <c r="DZ16" s="504">
        <f t="shared" si="41"/>
        <v>0.22509409310344405</v>
      </c>
      <c r="EA16" s="505">
        <f t="shared" si="153"/>
        <v>0</v>
      </c>
      <c r="EB16" s="503">
        <v>234.82352941176487</v>
      </c>
      <c r="EC16" s="504">
        <f t="shared" si="42"/>
        <v>6.1273230720114</v>
      </c>
      <c r="ED16" s="505">
        <f t="shared" si="154"/>
        <v>0</v>
      </c>
      <c r="EE16" s="503">
        <v>14.534883720930338</v>
      </c>
      <c r="EF16" s="504">
        <f t="shared" si="43"/>
        <v>0.37926322202615437</v>
      </c>
      <c r="EG16" s="505">
        <f t="shared" si="155"/>
        <v>0</v>
      </c>
      <c r="EH16" s="503"/>
      <c r="EI16" s="504">
        <f t="shared" si="44"/>
        <v>0</v>
      </c>
      <c r="EJ16" s="505">
        <f t="shared" si="156"/>
        <v>0</v>
      </c>
      <c r="EK16" s="503"/>
      <c r="EL16" s="504">
        <f t="shared" si="45"/>
        <v>0</v>
      </c>
      <c r="EM16" s="505">
        <f t="shared" si="157"/>
        <v>0</v>
      </c>
      <c r="EN16" s="503"/>
      <c r="EO16" s="504">
        <f t="shared" si="46"/>
        <v>0</v>
      </c>
      <c r="EP16" s="505">
        <f t="shared" si="158"/>
        <v>0</v>
      </c>
      <c r="EQ16" s="503"/>
      <c r="ER16" s="504">
        <f t="shared" si="47"/>
        <v>0</v>
      </c>
      <c r="ES16" s="505">
        <f t="shared" si="159"/>
        <v>0</v>
      </c>
      <c r="ET16" s="503"/>
      <c r="EU16" s="504">
        <f t="shared" si="48"/>
        <v>0</v>
      </c>
      <c r="EV16" s="505">
        <f t="shared" si="160"/>
        <v>0</v>
      </c>
      <c r="EW16" s="503"/>
      <c r="EX16" s="504">
        <f t="shared" si="49"/>
        <v>0</v>
      </c>
      <c r="EY16" s="505">
        <f t="shared" si="161"/>
        <v>0</v>
      </c>
      <c r="EZ16" s="503"/>
      <c r="FA16" s="504">
        <f t="shared" si="50"/>
        <v>0</v>
      </c>
      <c r="FB16" s="505">
        <f t="shared" si="162"/>
        <v>0</v>
      </c>
      <c r="FC16" s="503"/>
      <c r="FD16" s="504">
        <f t="shared" si="51"/>
        <v>0</v>
      </c>
      <c r="FE16" s="505">
        <f t="shared" si="163"/>
        <v>0</v>
      </c>
      <c r="FF16" s="503"/>
      <c r="FG16" s="504">
        <f t="shared" si="52"/>
        <v>0</v>
      </c>
      <c r="FH16" s="505">
        <f t="shared" si="164"/>
        <v>0</v>
      </c>
      <c r="FI16" s="503"/>
      <c r="FJ16" s="504">
        <f t="shared" si="53"/>
        <v>0</v>
      </c>
      <c r="FK16" s="505">
        <f t="shared" si="165"/>
        <v>0</v>
      </c>
      <c r="FL16" s="503"/>
      <c r="FM16" s="504">
        <f t="shared" si="54"/>
        <v>0</v>
      </c>
      <c r="FN16" s="505">
        <f t="shared" si="166"/>
        <v>0</v>
      </c>
      <c r="FO16" s="503"/>
      <c r="FP16" s="504">
        <f t="shared" si="55"/>
        <v>0</v>
      </c>
      <c r="FQ16" s="505">
        <f t="shared" si="167"/>
        <v>0</v>
      </c>
      <c r="FR16" s="503"/>
      <c r="FS16" s="504">
        <f t="shared" si="56"/>
        <v>0</v>
      </c>
      <c r="FT16" s="505">
        <f t="shared" si="168"/>
        <v>0</v>
      </c>
      <c r="FU16" s="503"/>
      <c r="FV16" s="504">
        <f t="shared" si="57"/>
        <v>0</v>
      </c>
      <c r="FW16" s="505">
        <f t="shared" si="169"/>
        <v>0</v>
      </c>
      <c r="FX16" s="503"/>
      <c r="FY16" s="504">
        <f t="shared" si="58"/>
        <v>0</v>
      </c>
      <c r="FZ16" s="505">
        <f t="shared" si="170"/>
        <v>0</v>
      </c>
      <c r="GA16" s="503"/>
      <c r="GB16" s="504">
        <f t="shared" si="59"/>
        <v>0</v>
      </c>
      <c r="GC16" s="505">
        <f t="shared" si="171"/>
        <v>0</v>
      </c>
      <c r="GD16" s="503"/>
      <c r="GE16" s="504">
        <f t="shared" si="60"/>
        <v>0</v>
      </c>
      <c r="GF16" s="505">
        <f t="shared" si="172"/>
        <v>0</v>
      </c>
      <c r="GG16" s="503">
        <v>16.717373899119295</v>
      </c>
      <c r="GH16" s="504">
        <f t="shared" si="61"/>
        <v>0.43621161410915604</v>
      </c>
      <c r="GI16" s="505">
        <f t="shared" si="173"/>
        <v>0</v>
      </c>
      <c r="GJ16" s="503">
        <v>16.717373899119295</v>
      </c>
      <c r="GK16" s="504">
        <f t="shared" si="62"/>
        <v>0.43621161410915604</v>
      </c>
      <c r="GL16" s="505">
        <f t="shared" si="174"/>
        <v>0</v>
      </c>
      <c r="GM16" s="503"/>
      <c r="GN16" s="504">
        <f t="shared" si="63"/>
        <v>0</v>
      </c>
      <c r="GO16" s="505">
        <f t="shared" si="175"/>
        <v>0</v>
      </c>
      <c r="GP16" s="503">
        <v>44.579663730984791</v>
      </c>
      <c r="GQ16" s="504">
        <f t="shared" si="64"/>
        <v>1.1632309709577495</v>
      </c>
      <c r="GR16" s="505">
        <f t="shared" si="176"/>
        <v>0</v>
      </c>
      <c r="GS16" s="503">
        <v>211.75340272217775</v>
      </c>
      <c r="GT16" s="504">
        <f t="shared" si="65"/>
        <v>5.5253471120493103</v>
      </c>
      <c r="GU16" s="505">
        <f t="shared" si="177"/>
        <v>0</v>
      </c>
      <c r="GV16" s="503">
        <v>78.014411529223381</v>
      </c>
      <c r="GW16" s="504">
        <f t="shared" si="66"/>
        <v>2.0356541991760615</v>
      </c>
      <c r="GX16" s="505">
        <f t="shared" si="178"/>
        <v>0</v>
      </c>
      <c r="GY16" s="503"/>
      <c r="GZ16" s="504">
        <f t="shared" si="67"/>
        <v>0</v>
      </c>
      <c r="HA16" s="505">
        <f t="shared" si="179"/>
        <v>0</v>
      </c>
      <c r="HB16" s="503"/>
      <c r="HC16" s="504">
        <f t="shared" si="68"/>
        <v>0</v>
      </c>
      <c r="HD16" s="505">
        <f t="shared" si="180"/>
        <v>0</v>
      </c>
      <c r="HE16" s="503"/>
      <c r="HF16" s="504">
        <f t="shared" si="69"/>
        <v>0</v>
      </c>
      <c r="HG16" s="505">
        <f t="shared" si="181"/>
        <v>0</v>
      </c>
      <c r="HH16" s="503"/>
      <c r="HI16" s="504">
        <f t="shared" si="70"/>
        <v>0</v>
      </c>
      <c r="HJ16" s="505">
        <f t="shared" si="182"/>
        <v>0</v>
      </c>
      <c r="HK16" s="503"/>
      <c r="HL16" s="504">
        <f t="shared" si="71"/>
        <v>0</v>
      </c>
      <c r="HM16" s="505">
        <f t="shared" si="183"/>
        <v>0</v>
      </c>
      <c r="HN16" s="503">
        <v>952.89031224979988</v>
      </c>
      <c r="HO16" s="504">
        <f t="shared" si="72"/>
        <v>24.864062004221896</v>
      </c>
      <c r="HP16" s="505">
        <f t="shared" si="184"/>
        <v>0</v>
      </c>
      <c r="HQ16" s="503"/>
      <c r="HR16" s="504">
        <f t="shared" si="73"/>
        <v>0</v>
      </c>
      <c r="HS16" s="505">
        <f t="shared" si="185"/>
        <v>0</v>
      </c>
      <c r="HT16" s="503"/>
      <c r="HU16" s="504">
        <f t="shared" si="74"/>
        <v>0</v>
      </c>
      <c r="HV16" s="505">
        <f t="shared" si="186"/>
        <v>0</v>
      </c>
      <c r="HW16" s="503"/>
      <c r="HX16" s="504">
        <f t="shared" si="75"/>
        <v>0</v>
      </c>
      <c r="HY16" s="505">
        <f t="shared" si="187"/>
        <v>0</v>
      </c>
      <c r="HZ16" s="503"/>
      <c r="IA16" s="504">
        <f t="shared" si="76"/>
        <v>0</v>
      </c>
      <c r="IB16" s="505">
        <f t="shared" si="188"/>
        <v>0</v>
      </c>
      <c r="IC16" s="503"/>
      <c r="ID16" s="504">
        <f t="shared" si="77"/>
        <v>0</v>
      </c>
      <c r="IE16" s="505">
        <f t="shared" si="189"/>
        <v>0</v>
      </c>
      <c r="IF16" s="503"/>
      <c r="IG16" s="504">
        <f t="shared" si="78"/>
        <v>0</v>
      </c>
      <c r="IH16" s="505">
        <f t="shared" si="190"/>
        <v>0</v>
      </c>
      <c r="II16" s="503">
        <v>22.289831865492395</v>
      </c>
      <c r="IJ16" s="504">
        <f t="shared" si="79"/>
        <v>0.58161548547887476</v>
      </c>
      <c r="IK16" s="505">
        <f t="shared" si="191"/>
        <v>0</v>
      </c>
      <c r="IL16" s="503"/>
      <c r="IM16" s="504">
        <f t="shared" si="80"/>
        <v>0</v>
      </c>
      <c r="IN16" s="505">
        <f t="shared" si="192"/>
        <v>0</v>
      </c>
      <c r="IO16" s="503"/>
      <c r="IP16" s="504">
        <f t="shared" si="81"/>
        <v>0</v>
      </c>
      <c r="IQ16" s="505">
        <f t="shared" si="193"/>
        <v>0</v>
      </c>
      <c r="IR16" s="503">
        <v>41.793434747798244</v>
      </c>
      <c r="IS16" s="504">
        <f t="shared" si="82"/>
        <v>1.0905290352728902</v>
      </c>
      <c r="IT16" s="505">
        <f t="shared" si="194"/>
        <v>0</v>
      </c>
      <c r="IU16" s="503"/>
      <c r="IV16" s="504">
        <f t="shared" si="83"/>
        <v>0</v>
      </c>
      <c r="IW16" s="505">
        <f t="shared" si="195"/>
        <v>0</v>
      </c>
      <c r="IX16" s="503"/>
      <c r="IY16" s="504">
        <f t="shared" si="84"/>
        <v>0</v>
      </c>
      <c r="IZ16" s="505">
        <f t="shared" si="196"/>
        <v>0</v>
      </c>
      <c r="JA16" s="503"/>
      <c r="JB16" s="504">
        <f t="shared" si="85"/>
        <v>0</v>
      </c>
      <c r="JC16" s="505">
        <f t="shared" si="197"/>
        <v>0</v>
      </c>
      <c r="JD16" s="503"/>
      <c r="JE16" s="504">
        <f t="shared" si="86"/>
        <v>0</v>
      </c>
      <c r="JF16" s="505">
        <f t="shared" si="198"/>
        <v>0</v>
      </c>
      <c r="JG16" s="503"/>
      <c r="JH16" s="504">
        <f t="shared" si="87"/>
        <v>0</v>
      </c>
      <c r="JI16" s="505">
        <f t="shared" si="199"/>
        <v>0</v>
      </c>
      <c r="JJ16" s="503">
        <v>22.289831865492395</v>
      </c>
      <c r="JK16" s="505" t="str">
        <f t="shared" si="88"/>
        <v>0</v>
      </c>
      <c r="JL16" s="505" t="str">
        <f t="shared" si="89"/>
        <v>0</v>
      </c>
      <c r="JM16" s="503"/>
      <c r="JN16" s="505" t="str">
        <f t="shared" si="90"/>
        <v>0</v>
      </c>
      <c r="JO16" s="505" t="str">
        <f t="shared" si="91"/>
        <v>0</v>
      </c>
      <c r="JP16" s="503"/>
      <c r="JQ16" s="505" t="str">
        <f t="shared" si="92"/>
        <v>0</v>
      </c>
      <c r="JR16" s="505" t="str">
        <f t="shared" si="93"/>
        <v>0</v>
      </c>
      <c r="JS16" s="503"/>
      <c r="JT16" s="505" t="str">
        <f t="shared" si="94"/>
        <v>0</v>
      </c>
      <c r="JU16" s="505" t="str">
        <f t="shared" si="95"/>
        <v>0</v>
      </c>
      <c r="JV16" s="503"/>
      <c r="JW16" s="505" t="str">
        <f t="shared" si="96"/>
        <v>0</v>
      </c>
      <c r="JX16" s="505" t="str">
        <f t="shared" si="97"/>
        <v>0</v>
      </c>
      <c r="JY16" s="503"/>
      <c r="JZ16" s="505" t="str">
        <f t="shared" si="98"/>
        <v>0</v>
      </c>
      <c r="KA16" s="505" t="str">
        <f t="shared" si="99"/>
        <v>0</v>
      </c>
      <c r="KB16" s="503"/>
      <c r="KC16" s="505" t="str">
        <f t="shared" si="100"/>
        <v>0</v>
      </c>
      <c r="KD16" s="505" t="str">
        <f t="shared" si="101"/>
        <v>0</v>
      </c>
      <c r="KE16" s="503"/>
      <c r="KF16" s="505" t="str">
        <f t="shared" si="102"/>
        <v>0</v>
      </c>
      <c r="KG16" s="505" t="str">
        <f t="shared" si="103"/>
        <v>0</v>
      </c>
      <c r="KH16" s="503"/>
      <c r="KI16" s="505" t="str">
        <f t="shared" si="104"/>
        <v>0</v>
      </c>
      <c r="KJ16" s="505" t="str">
        <f t="shared" si="105"/>
        <v>0</v>
      </c>
      <c r="KK16" s="503"/>
      <c r="KL16" s="505" t="str">
        <f t="shared" si="106"/>
        <v>0</v>
      </c>
      <c r="KM16" s="505" t="str">
        <f t="shared" si="107"/>
        <v>0</v>
      </c>
      <c r="KN16" s="503"/>
      <c r="KO16" s="505" t="str">
        <f t="shared" si="108"/>
        <v>0</v>
      </c>
      <c r="KP16" s="505" t="str">
        <f t="shared" si="109"/>
        <v>0</v>
      </c>
      <c r="KQ16" s="503"/>
      <c r="KR16" s="505" t="str">
        <f t="shared" si="110"/>
        <v>0</v>
      </c>
      <c r="KS16" s="505" t="str">
        <f t="shared" si="111"/>
        <v>0</v>
      </c>
      <c r="KT16" s="505">
        <f t="shared" si="201"/>
        <v>0</v>
      </c>
      <c r="KU16" s="505">
        <f t="shared" si="202"/>
        <v>0</v>
      </c>
      <c r="KV16" s="258">
        <f t="shared" si="112"/>
        <v>1774.8267633583068</v>
      </c>
    </row>
    <row r="17" spans="1:309" ht="15" customHeight="1">
      <c r="A17" s="462">
        <f t="shared" si="200"/>
        <v>46089</v>
      </c>
      <c r="B17" s="463" t="str">
        <f>+Report1!B16</f>
        <v xml:space="preserve">Toilet </v>
      </c>
      <c r="C17" s="464" t="str">
        <f>+Report1!C16</f>
        <v>15</v>
      </c>
      <c r="D17" s="465">
        <f>+Report1!P16</f>
        <v>52.325999999999993</v>
      </c>
      <c r="E17" s="466">
        <f>+Report1!R16</f>
        <v>46.311999999999998</v>
      </c>
      <c r="F17" s="503"/>
      <c r="G17" s="504">
        <f t="shared" si="0"/>
        <v>0</v>
      </c>
      <c r="H17" s="505">
        <f t="shared" si="113"/>
        <v>0</v>
      </c>
      <c r="I17" s="503"/>
      <c r="J17" s="504">
        <f t="shared" si="1"/>
        <v>0</v>
      </c>
      <c r="K17" s="505">
        <f t="shared" si="114"/>
        <v>0</v>
      </c>
      <c r="L17" s="503"/>
      <c r="M17" s="504">
        <f t="shared" si="2"/>
        <v>0</v>
      </c>
      <c r="N17" s="505">
        <f t="shared" si="115"/>
        <v>0</v>
      </c>
      <c r="O17" s="503">
        <v>9</v>
      </c>
      <c r="P17" s="504">
        <f t="shared" si="3"/>
        <v>0.1943340818794265</v>
      </c>
      <c r="Q17" s="505">
        <f t="shared" si="116"/>
        <v>0</v>
      </c>
      <c r="R17" s="503">
        <v>5.1250000000000568</v>
      </c>
      <c r="S17" s="504">
        <f t="shared" si="4"/>
        <v>0.11066246329245244</v>
      </c>
      <c r="T17" s="505">
        <f t="shared" si="117"/>
        <v>0</v>
      </c>
      <c r="U17" s="503">
        <v>4.6874999999999858</v>
      </c>
      <c r="V17" s="504">
        <f t="shared" si="5"/>
        <v>0.10121566764553433</v>
      </c>
      <c r="W17" s="505">
        <f t="shared" si="118"/>
        <v>0</v>
      </c>
      <c r="X17" s="503"/>
      <c r="Y17" s="504">
        <f t="shared" si="6"/>
        <v>0</v>
      </c>
      <c r="Z17" s="505">
        <f t="shared" si="119"/>
        <v>0</v>
      </c>
      <c r="AA17" s="503"/>
      <c r="AB17" s="504">
        <f t="shared" si="7"/>
        <v>0</v>
      </c>
      <c r="AC17" s="505">
        <f t="shared" si="120"/>
        <v>0</v>
      </c>
      <c r="AD17" s="503"/>
      <c r="AE17" s="504">
        <f t="shared" si="8"/>
        <v>0</v>
      </c>
      <c r="AF17" s="505">
        <f t="shared" si="121"/>
        <v>0</v>
      </c>
      <c r="AG17" s="503"/>
      <c r="AH17" s="504">
        <f t="shared" si="9"/>
        <v>0</v>
      </c>
      <c r="AI17" s="505">
        <f t="shared" si="122"/>
        <v>0</v>
      </c>
      <c r="AJ17" s="503"/>
      <c r="AK17" s="504">
        <f t="shared" si="10"/>
        <v>0</v>
      </c>
      <c r="AL17" s="505">
        <f t="shared" si="123"/>
        <v>0</v>
      </c>
      <c r="AM17" s="503">
        <v>48.640805128205216</v>
      </c>
      <c r="AN17" s="504">
        <f t="shared" si="11"/>
        <v>1.0502851340517623</v>
      </c>
      <c r="AO17" s="505">
        <f t="shared" si="124"/>
        <v>0</v>
      </c>
      <c r="AP17" s="503"/>
      <c r="AQ17" s="504">
        <f t="shared" si="12"/>
        <v>0</v>
      </c>
      <c r="AR17" s="505">
        <f t="shared" si="125"/>
        <v>0</v>
      </c>
      <c r="AS17" s="503"/>
      <c r="AT17" s="504">
        <f t="shared" si="13"/>
        <v>0</v>
      </c>
      <c r="AU17" s="505">
        <f t="shared" si="126"/>
        <v>0</v>
      </c>
      <c r="AV17" s="503">
        <v>5.5500000000000114</v>
      </c>
      <c r="AW17" s="504">
        <f t="shared" si="14"/>
        <v>0.11983935049231326</v>
      </c>
      <c r="AX17" s="505">
        <f t="shared" si="127"/>
        <v>0</v>
      </c>
      <c r="AY17" s="503">
        <v>38.246000000000038</v>
      </c>
      <c r="AZ17" s="504">
        <f t="shared" si="15"/>
        <v>0.82583347728450596</v>
      </c>
      <c r="BA17" s="505">
        <f t="shared" si="128"/>
        <v>0</v>
      </c>
      <c r="BB17" s="503"/>
      <c r="BC17" s="504">
        <f t="shared" si="16"/>
        <v>0</v>
      </c>
      <c r="BD17" s="505">
        <f t="shared" si="129"/>
        <v>0</v>
      </c>
      <c r="BE17" s="503"/>
      <c r="BF17" s="504">
        <f t="shared" si="17"/>
        <v>0</v>
      </c>
      <c r="BG17" s="505">
        <f t="shared" si="130"/>
        <v>0</v>
      </c>
      <c r="BH17" s="503"/>
      <c r="BI17" s="504">
        <f t="shared" si="18"/>
        <v>0</v>
      </c>
      <c r="BJ17" s="505">
        <f t="shared" si="131"/>
        <v>0</v>
      </c>
      <c r="BK17" s="503"/>
      <c r="BL17" s="504">
        <f t="shared" si="19"/>
        <v>0</v>
      </c>
      <c r="BM17" s="505">
        <f t="shared" si="132"/>
        <v>0</v>
      </c>
      <c r="BN17" s="503"/>
      <c r="BO17" s="504">
        <f t="shared" si="20"/>
        <v>0</v>
      </c>
      <c r="BP17" s="505">
        <f t="shared" si="133"/>
        <v>0</v>
      </c>
      <c r="BQ17" s="503"/>
      <c r="BR17" s="504">
        <f t="shared" si="21"/>
        <v>0</v>
      </c>
      <c r="BS17" s="505">
        <f t="shared" si="134"/>
        <v>0</v>
      </c>
      <c r="BT17" s="503"/>
      <c r="BU17" s="504">
        <f t="shared" si="22"/>
        <v>0</v>
      </c>
      <c r="BV17" s="505">
        <f t="shared" si="135"/>
        <v>0</v>
      </c>
      <c r="BW17" s="503"/>
      <c r="BX17" s="504">
        <f t="shared" si="23"/>
        <v>0</v>
      </c>
      <c r="BY17" s="505">
        <f t="shared" si="136"/>
        <v>0</v>
      </c>
      <c r="BZ17" s="503"/>
      <c r="CA17" s="504">
        <f t="shared" si="24"/>
        <v>0</v>
      </c>
      <c r="CB17" s="505">
        <f t="shared" si="137"/>
        <v>0</v>
      </c>
      <c r="CC17" s="503"/>
      <c r="CD17" s="504">
        <f t="shared" si="25"/>
        <v>0</v>
      </c>
      <c r="CE17" s="505">
        <f t="shared" si="138"/>
        <v>0</v>
      </c>
      <c r="CF17" s="503">
        <v>12</v>
      </c>
      <c r="CG17" s="504">
        <f t="shared" si="26"/>
        <v>0.25911210917256866</v>
      </c>
      <c r="CH17" s="505">
        <f t="shared" si="139"/>
        <v>0</v>
      </c>
      <c r="CI17" s="503"/>
      <c r="CJ17" s="504">
        <f t="shared" si="27"/>
        <v>0</v>
      </c>
      <c r="CK17" s="505">
        <f t="shared" si="140"/>
        <v>0</v>
      </c>
      <c r="CL17" s="503"/>
      <c r="CM17" s="504">
        <f t="shared" si="28"/>
        <v>0</v>
      </c>
      <c r="CN17" s="505">
        <f t="shared" si="141"/>
        <v>0</v>
      </c>
      <c r="CO17" s="503"/>
      <c r="CP17" s="504">
        <f t="shared" si="29"/>
        <v>0</v>
      </c>
      <c r="CQ17" s="505">
        <f t="shared" si="142"/>
        <v>0</v>
      </c>
      <c r="CR17" s="503"/>
      <c r="CS17" s="504">
        <f t="shared" si="30"/>
        <v>0</v>
      </c>
      <c r="CT17" s="505">
        <f t="shared" si="143"/>
        <v>0</v>
      </c>
      <c r="CU17" s="503"/>
      <c r="CV17" s="504">
        <f t="shared" si="31"/>
        <v>0</v>
      </c>
      <c r="CW17" s="505">
        <f t="shared" si="144"/>
        <v>0</v>
      </c>
      <c r="CX17" s="503"/>
      <c r="CY17" s="504">
        <f t="shared" si="32"/>
        <v>0</v>
      </c>
      <c r="CZ17" s="505">
        <f t="shared" si="145"/>
        <v>0</v>
      </c>
      <c r="DA17" s="503"/>
      <c r="DB17" s="504">
        <f t="shared" si="33"/>
        <v>0</v>
      </c>
      <c r="DC17" s="505">
        <f t="shared" si="146"/>
        <v>0</v>
      </c>
      <c r="DD17" s="503"/>
      <c r="DE17" s="504">
        <f t="shared" si="34"/>
        <v>0</v>
      </c>
      <c r="DF17" s="505">
        <f t="shared" si="147"/>
        <v>0</v>
      </c>
      <c r="DG17" s="503"/>
      <c r="DH17" s="504">
        <f t="shared" si="35"/>
        <v>0</v>
      </c>
      <c r="DI17" s="505">
        <f t="shared" si="203"/>
        <v>0</v>
      </c>
      <c r="DJ17" s="503"/>
      <c r="DK17" s="504">
        <f t="shared" si="36"/>
        <v>0</v>
      </c>
      <c r="DL17" s="505">
        <f t="shared" si="148"/>
        <v>0</v>
      </c>
      <c r="DM17" s="503"/>
      <c r="DN17" s="504">
        <f t="shared" si="37"/>
        <v>0</v>
      </c>
      <c r="DO17" s="505">
        <f t="shared" si="149"/>
        <v>0</v>
      </c>
      <c r="DP17" s="503"/>
      <c r="DQ17" s="504">
        <f t="shared" si="38"/>
        <v>0</v>
      </c>
      <c r="DR17" s="505">
        <f t="shared" si="150"/>
        <v>0</v>
      </c>
      <c r="DS17" s="503"/>
      <c r="DT17" s="504">
        <f t="shared" si="39"/>
        <v>0</v>
      </c>
      <c r="DU17" s="505">
        <f t="shared" si="151"/>
        <v>0</v>
      </c>
      <c r="DV17" s="503"/>
      <c r="DW17" s="504">
        <f t="shared" si="40"/>
        <v>0</v>
      </c>
      <c r="DX17" s="505">
        <f t="shared" si="152"/>
        <v>0</v>
      </c>
      <c r="DY17" s="503">
        <v>10.783132530120479</v>
      </c>
      <c r="DZ17" s="504">
        <f t="shared" si="41"/>
        <v>0.23283668444723787</v>
      </c>
      <c r="EA17" s="505">
        <f t="shared" si="153"/>
        <v>0</v>
      </c>
      <c r="EB17" s="503">
        <v>270.04705882352937</v>
      </c>
      <c r="EC17" s="504">
        <f t="shared" si="42"/>
        <v>5.8310385823011179</v>
      </c>
      <c r="ED17" s="505">
        <f t="shared" si="154"/>
        <v>0</v>
      </c>
      <c r="EE17" s="503">
        <v>14.534883720930338</v>
      </c>
      <c r="EF17" s="504">
        <f t="shared" si="43"/>
        <v>0.31384703145902443</v>
      </c>
      <c r="EG17" s="505">
        <f t="shared" si="155"/>
        <v>0</v>
      </c>
      <c r="EH17" s="503"/>
      <c r="EI17" s="504">
        <f t="shared" si="44"/>
        <v>0</v>
      </c>
      <c r="EJ17" s="505">
        <f t="shared" si="156"/>
        <v>0</v>
      </c>
      <c r="EK17" s="503"/>
      <c r="EL17" s="504">
        <f t="shared" si="45"/>
        <v>0</v>
      </c>
      <c r="EM17" s="505">
        <f t="shared" si="157"/>
        <v>0</v>
      </c>
      <c r="EN17" s="503"/>
      <c r="EO17" s="504">
        <f t="shared" si="46"/>
        <v>0</v>
      </c>
      <c r="EP17" s="505">
        <f t="shared" si="158"/>
        <v>0</v>
      </c>
      <c r="EQ17" s="503"/>
      <c r="ER17" s="504">
        <f t="shared" si="47"/>
        <v>0</v>
      </c>
      <c r="ES17" s="505">
        <f t="shared" si="159"/>
        <v>0</v>
      </c>
      <c r="ET17" s="503"/>
      <c r="EU17" s="504">
        <f t="shared" si="48"/>
        <v>0</v>
      </c>
      <c r="EV17" s="505">
        <f t="shared" si="160"/>
        <v>0</v>
      </c>
      <c r="EW17" s="503"/>
      <c r="EX17" s="504">
        <f t="shared" si="49"/>
        <v>0</v>
      </c>
      <c r="EY17" s="505">
        <f t="shared" si="161"/>
        <v>0</v>
      </c>
      <c r="EZ17" s="503"/>
      <c r="FA17" s="504">
        <f t="shared" si="50"/>
        <v>0</v>
      </c>
      <c r="FB17" s="505">
        <f t="shared" si="162"/>
        <v>0</v>
      </c>
      <c r="FC17" s="503"/>
      <c r="FD17" s="504">
        <f t="shared" si="51"/>
        <v>0</v>
      </c>
      <c r="FE17" s="505">
        <f t="shared" si="163"/>
        <v>0</v>
      </c>
      <c r="FF17" s="503"/>
      <c r="FG17" s="504">
        <f t="shared" si="52"/>
        <v>0</v>
      </c>
      <c r="FH17" s="505">
        <f t="shared" si="164"/>
        <v>0</v>
      </c>
      <c r="FI17" s="503"/>
      <c r="FJ17" s="504">
        <f t="shared" si="53"/>
        <v>0</v>
      </c>
      <c r="FK17" s="505">
        <f t="shared" si="165"/>
        <v>0</v>
      </c>
      <c r="FL17" s="503"/>
      <c r="FM17" s="504">
        <f t="shared" si="54"/>
        <v>0</v>
      </c>
      <c r="FN17" s="505">
        <f t="shared" si="166"/>
        <v>0</v>
      </c>
      <c r="FO17" s="503"/>
      <c r="FP17" s="504">
        <f t="shared" si="55"/>
        <v>0</v>
      </c>
      <c r="FQ17" s="505">
        <f t="shared" si="167"/>
        <v>0</v>
      </c>
      <c r="FR17" s="503"/>
      <c r="FS17" s="504">
        <f t="shared" si="56"/>
        <v>0</v>
      </c>
      <c r="FT17" s="505">
        <f t="shared" si="168"/>
        <v>0</v>
      </c>
      <c r="FU17" s="503"/>
      <c r="FV17" s="504">
        <f t="shared" si="57"/>
        <v>0</v>
      </c>
      <c r="FW17" s="505">
        <f t="shared" si="169"/>
        <v>0</v>
      </c>
      <c r="FX17" s="503"/>
      <c r="FY17" s="504">
        <f t="shared" si="58"/>
        <v>0</v>
      </c>
      <c r="FZ17" s="505">
        <f t="shared" si="170"/>
        <v>0</v>
      </c>
      <c r="GA17" s="503"/>
      <c r="GB17" s="504">
        <f t="shared" si="59"/>
        <v>0</v>
      </c>
      <c r="GC17" s="505">
        <f t="shared" si="171"/>
        <v>0</v>
      </c>
      <c r="GD17" s="503"/>
      <c r="GE17" s="504">
        <f t="shared" si="60"/>
        <v>0</v>
      </c>
      <c r="GF17" s="505">
        <f t="shared" si="172"/>
        <v>0</v>
      </c>
      <c r="GG17" s="503">
        <v>16.321951422392281</v>
      </c>
      <c r="GH17" s="504">
        <f t="shared" si="61"/>
        <v>0.35243460490568929</v>
      </c>
      <c r="GI17" s="505">
        <f t="shared" si="173"/>
        <v>0</v>
      </c>
      <c r="GJ17" s="503">
        <v>16.321951422392281</v>
      </c>
      <c r="GK17" s="504">
        <f t="shared" si="62"/>
        <v>0.35243460490568929</v>
      </c>
      <c r="GL17" s="505">
        <f t="shared" si="174"/>
        <v>0</v>
      </c>
      <c r="GM17" s="503"/>
      <c r="GN17" s="504">
        <f t="shared" si="63"/>
        <v>0</v>
      </c>
      <c r="GO17" s="505">
        <f t="shared" si="175"/>
        <v>0</v>
      </c>
      <c r="GP17" s="503">
        <v>43.525203793046082</v>
      </c>
      <c r="GQ17" s="504">
        <f t="shared" si="64"/>
        <v>0.9398256130818381</v>
      </c>
      <c r="GR17" s="505">
        <f t="shared" si="176"/>
        <v>0</v>
      </c>
      <c r="GS17" s="503">
        <v>174.10081517218433</v>
      </c>
      <c r="GT17" s="504">
        <f t="shared" si="65"/>
        <v>3.7593024523273524</v>
      </c>
      <c r="GU17" s="505">
        <f t="shared" si="177"/>
        <v>0</v>
      </c>
      <c r="GV17" s="503">
        <v>76.169106637830652</v>
      </c>
      <c r="GW17" s="504">
        <f t="shared" si="66"/>
        <v>1.6446948228932168</v>
      </c>
      <c r="GX17" s="505">
        <f t="shared" si="178"/>
        <v>0</v>
      </c>
      <c r="GY17" s="503"/>
      <c r="GZ17" s="504">
        <f t="shared" si="67"/>
        <v>0</v>
      </c>
      <c r="HA17" s="505">
        <f t="shared" si="179"/>
        <v>0</v>
      </c>
      <c r="HB17" s="503"/>
      <c r="HC17" s="504">
        <f t="shared" si="68"/>
        <v>0</v>
      </c>
      <c r="HD17" s="505">
        <f t="shared" si="180"/>
        <v>0</v>
      </c>
      <c r="HE17" s="503"/>
      <c r="HF17" s="504">
        <f t="shared" si="69"/>
        <v>0</v>
      </c>
      <c r="HG17" s="505">
        <f t="shared" si="181"/>
        <v>0</v>
      </c>
      <c r="HH17" s="503"/>
      <c r="HI17" s="504">
        <f t="shared" si="70"/>
        <v>0</v>
      </c>
      <c r="HJ17" s="505">
        <f t="shared" si="182"/>
        <v>0</v>
      </c>
      <c r="HK17" s="503"/>
      <c r="HL17" s="504">
        <f t="shared" si="71"/>
        <v>0</v>
      </c>
      <c r="HM17" s="505">
        <f t="shared" si="183"/>
        <v>0</v>
      </c>
      <c r="HN17" s="503">
        <v>984.75773581766759</v>
      </c>
      <c r="HO17" s="504">
        <f t="shared" si="72"/>
        <v>21.263554495976585</v>
      </c>
      <c r="HP17" s="505">
        <f t="shared" si="184"/>
        <v>0</v>
      </c>
      <c r="HQ17" s="503"/>
      <c r="HR17" s="504">
        <f t="shared" si="73"/>
        <v>0</v>
      </c>
      <c r="HS17" s="505">
        <f t="shared" si="185"/>
        <v>0</v>
      </c>
      <c r="HT17" s="503"/>
      <c r="HU17" s="504">
        <f t="shared" si="74"/>
        <v>0</v>
      </c>
      <c r="HV17" s="505">
        <f t="shared" si="186"/>
        <v>0</v>
      </c>
      <c r="HW17" s="503"/>
      <c r="HX17" s="504">
        <f t="shared" si="75"/>
        <v>0</v>
      </c>
      <c r="HY17" s="505">
        <f t="shared" si="187"/>
        <v>0</v>
      </c>
      <c r="HZ17" s="503"/>
      <c r="IA17" s="504">
        <f t="shared" si="76"/>
        <v>0</v>
      </c>
      <c r="IB17" s="505">
        <f t="shared" si="188"/>
        <v>0</v>
      </c>
      <c r="IC17" s="503"/>
      <c r="ID17" s="504">
        <f t="shared" si="77"/>
        <v>0</v>
      </c>
      <c r="IE17" s="505">
        <f t="shared" si="189"/>
        <v>0</v>
      </c>
      <c r="IF17" s="503"/>
      <c r="IG17" s="504">
        <f t="shared" si="78"/>
        <v>0</v>
      </c>
      <c r="IH17" s="505">
        <f t="shared" si="190"/>
        <v>0</v>
      </c>
      <c r="II17" s="503">
        <v>24.482927133588422</v>
      </c>
      <c r="IJ17" s="504">
        <f t="shared" si="79"/>
        <v>0.52865190735853396</v>
      </c>
      <c r="IK17" s="505">
        <f t="shared" si="191"/>
        <v>0</v>
      </c>
      <c r="IL17" s="503"/>
      <c r="IM17" s="504">
        <f t="shared" si="80"/>
        <v>0</v>
      </c>
      <c r="IN17" s="505">
        <f t="shared" si="192"/>
        <v>0</v>
      </c>
      <c r="IO17" s="503"/>
      <c r="IP17" s="504">
        <f t="shared" si="81"/>
        <v>0</v>
      </c>
      <c r="IQ17" s="505">
        <f t="shared" si="193"/>
        <v>0</v>
      </c>
      <c r="IR17" s="503">
        <v>54.406504741307607</v>
      </c>
      <c r="IS17" s="504">
        <f t="shared" si="82"/>
        <v>1.1747820163522977</v>
      </c>
      <c r="IT17" s="505">
        <f t="shared" si="194"/>
        <v>0</v>
      </c>
      <c r="IU17" s="503"/>
      <c r="IV17" s="504">
        <f t="shared" si="83"/>
        <v>0</v>
      </c>
      <c r="IW17" s="505">
        <f t="shared" si="195"/>
        <v>0</v>
      </c>
      <c r="IX17" s="503"/>
      <c r="IY17" s="504">
        <f t="shared" si="84"/>
        <v>0</v>
      </c>
      <c r="IZ17" s="505">
        <f t="shared" si="196"/>
        <v>0</v>
      </c>
      <c r="JA17" s="503"/>
      <c r="JB17" s="504">
        <f t="shared" si="85"/>
        <v>0</v>
      </c>
      <c r="JC17" s="505">
        <f t="shared" si="197"/>
        <v>0</v>
      </c>
      <c r="JD17" s="503"/>
      <c r="JE17" s="504">
        <f t="shared" si="86"/>
        <v>0</v>
      </c>
      <c r="JF17" s="505">
        <f t="shared" si="198"/>
        <v>0</v>
      </c>
      <c r="JG17" s="503"/>
      <c r="JH17" s="504">
        <f t="shared" si="87"/>
        <v>0</v>
      </c>
      <c r="JI17" s="505">
        <f t="shared" si="199"/>
        <v>0</v>
      </c>
      <c r="JJ17" s="503">
        <v>21.762601896523041</v>
      </c>
      <c r="JK17" s="505" t="str">
        <f t="shared" si="88"/>
        <v>0</v>
      </c>
      <c r="JL17" s="505" t="str">
        <f t="shared" si="89"/>
        <v>0</v>
      </c>
      <c r="JM17" s="503"/>
      <c r="JN17" s="505" t="str">
        <f t="shared" si="90"/>
        <v>0</v>
      </c>
      <c r="JO17" s="505" t="str">
        <f t="shared" si="91"/>
        <v>0</v>
      </c>
      <c r="JP17" s="503"/>
      <c r="JQ17" s="505" t="str">
        <f t="shared" si="92"/>
        <v>0</v>
      </c>
      <c r="JR17" s="505" t="str">
        <f t="shared" si="93"/>
        <v>0</v>
      </c>
      <c r="JS17" s="503"/>
      <c r="JT17" s="505" t="str">
        <f t="shared" si="94"/>
        <v>0</v>
      </c>
      <c r="JU17" s="505" t="str">
        <f t="shared" si="95"/>
        <v>0</v>
      </c>
      <c r="JV17" s="503"/>
      <c r="JW17" s="505" t="str">
        <f t="shared" si="96"/>
        <v>0</v>
      </c>
      <c r="JX17" s="505" t="str">
        <f t="shared" si="97"/>
        <v>0</v>
      </c>
      <c r="JY17" s="503"/>
      <c r="JZ17" s="505" t="str">
        <f t="shared" si="98"/>
        <v>0</v>
      </c>
      <c r="KA17" s="505" t="str">
        <f t="shared" si="99"/>
        <v>0</v>
      </c>
      <c r="KB17" s="503"/>
      <c r="KC17" s="505" t="str">
        <f t="shared" si="100"/>
        <v>0</v>
      </c>
      <c r="KD17" s="505" t="str">
        <f t="shared" si="101"/>
        <v>0</v>
      </c>
      <c r="KE17" s="503"/>
      <c r="KF17" s="505" t="str">
        <f t="shared" si="102"/>
        <v>0</v>
      </c>
      <c r="KG17" s="505" t="str">
        <f t="shared" si="103"/>
        <v>0</v>
      </c>
      <c r="KH17" s="503"/>
      <c r="KI17" s="505" t="str">
        <f t="shared" si="104"/>
        <v>0</v>
      </c>
      <c r="KJ17" s="505" t="str">
        <f t="shared" si="105"/>
        <v>0</v>
      </c>
      <c r="KK17" s="503"/>
      <c r="KL17" s="505" t="str">
        <f t="shared" si="106"/>
        <v>0</v>
      </c>
      <c r="KM17" s="505" t="str">
        <f t="shared" si="107"/>
        <v>0</v>
      </c>
      <c r="KN17" s="503"/>
      <c r="KO17" s="505" t="str">
        <f t="shared" si="108"/>
        <v>0</v>
      </c>
      <c r="KP17" s="505" t="str">
        <f t="shared" si="109"/>
        <v>0</v>
      </c>
      <c r="KQ17" s="503"/>
      <c r="KR17" s="505" t="str">
        <f t="shared" si="110"/>
        <v>0</v>
      </c>
      <c r="KS17" s="505" t="str">
        <f t="shared" si="111"/>
        <v>0</v>
      </c>
      <c r="KT17" s="505">
        <f t="shared" si="201"/>
        <v>0</v>
      </c>
      <c r="KU17" s="505">
        <f t="shared" si="202"/>
        <v>0</v>
      </c>
      <c r="KV17" s="258">
        <f t="shared" si="112"/>
        <v>1830.4631782397175</v>
      </c>
    </row>
    <row r="18" spans="1:309" ht="15" customHeight="1">
      <c r="A18" s="462">
        <f t="shared" si="200"/>
        <v>46090</v>
      </c>
      <c r="B18" s="463" t="str">
        <f>+Report1!B17</f>
        <v xml:space="preserve">Toilet </v>
      </c>
      <c r="C18" s="464" t="str">
        <f>+Report1!C17</f>
        <v>15/14,5</v>
      </c>
      <c r="D18" s="465">
        <f>+Report1!P17</f>
        <v>55.759</v>
      </c>
      <c r="E18" s="466">
        <f>+Report1!R17</f>
        <v>66.956000000000003</v>
      </c>
      <c r="F18" s="503"/>
      <c r="G18" s="504">
        <f t="shared" si="0"/>
        <v>0</v>
      </c>
      <c r="H18" s="505">
        <f t="shared" si="113"/>
        <v>0</v>
      </c>
      <c r="I18" s="503"/>
      <c r="J18" s="504">
        <f t="shared" si="1"/>
        <v>0</v>
      </c>
      <c r="K18" s="505">
        <f t="shared" si="114"/>
        <v>0</v>
      </c>
      <c r="L18" s="503"/>
      <c r="M18" s="504">
        <f t="shared" si="2"/>
        <v>0</v>
      </c>
      <c r="N18" s="505">
        <f t="shared" si="115"/>
        <v>0</v>
      </c>
      <c r="O18" s="503">
        <v>9</v>
      </c>
      <c r="P18" s="504">
        <f t="shared" si="3"/>
        <v>0.13441663181791028</v>
      </c>
      <c r="Q18" s="505">
        <f t="shared" si="116"/>
        <v>0</v>
      </c>
      <c r="R18" s="503">
        <v>7.6875</v>
      </c>
      <c r="S18" s="504">
        <f t="shared" si="4"/>
        <v>0.11481420634446501</v>
      </c>
      <c r="T18" s="505">
        <f t="shared" si="117"/>
        <v>0</v>
      </c>
      <c r="U18" s="503">
        <v>4.6875</v>
      </c>
      <c r="V18" s="504">
        <f t="shared" si="5"/>
        <v>7.0008662405161598E-2</v>
      </c>
      <c r="W18" s="505">
        <f t="shared" si="118"/>
        <v>0</v>
      </c>
      <c r="X18" s="503"/>
      <c r="Y18" s="504">
        <f t="shared" si="6"/>
        <v>0</v>
      </c>
      <c r="Z18" s="505">
        <f t="shared" si="119"/>
        <v>0</v>
      </c>
      <c r="AA18" s="503"/>
      <c r="AB18" s="504">
        <f t="shared" si="7"/>
        <v>0</v>
      </c>
      <c r="AC18" s="505">
        <f t="shared" si="120"/>
        <v>0</v>
      </c>
      <c r="AD18" s="503"/>
      <c r="AE18" s="504">
        <f t="shared" si="8"/>
        <v>0</v>
      </c>
      <c r="AF18" s="505">
        <f t="shared" si="121"/>
        <v>0</v>
      </c>
      <c r="AG18" s="503"/>
      <c r="AH18" s="504">
        <f t="shared" si="9"/>
        <v>0</v>
      </c>
      <c r="AI18" s="505">
        <f t="shared" si="122"/>
        <v>0</v>
      </c>
      <c r="AJ18" s="503"/>
      <c r="AK18" s="504">
        <f t="shared" si="10"/>
        <v>0</v>
      </c>
      <c r="AL18" s="505">
        <f t="shared" si="123"/>
        <v>0</v>
      </c>
      <c r="AM18" s="503">
        <v>44.679487179487182</v>
      </c>
      <c r="AN18" s="504">
        <f t="shared" si="11"/>
        <v>0.66729624200201898</v>
      </c>
      <c r="AO18" s="505">
        <f t="shared" si="124"/>
        <v>0</v>
      </c>
      <c r="AP18" s="503"/>
      <c r="AQ18" s="504">
        <f t="shared" si="12"/>
        <v>0</v>
      </c>
      <c r="AR18" s="505">
        <f t="shared" si="125"/>
        <v>0</v>
      </c>
      <c r="AS18" s="503"/>
      <c r="AT18" s="504">
        <f t="shared" si="13"/>
        <v>0</v>
      </c>
      <c r="AU18" s="505">
        <f t="shared" si="126"/>
        <v>0</v>
      </c>
      <c r="AV18" s="503">
        <v>2.7749999999999773</v>
      </c>
      <c r="AW18" s="504">
        <f t="shared" si="14"/>
        <v>4.1445128143855328E-2</v>
      </c>
      <c r="AX18" s="505">
        <f t="shared" si="127"/>
        <v>0</v>
      </c>
      <c r="AY18" s="503">
        <v>37.333333333333371</v>
      </c>
      <c r="AZ18" s="504">
        <f t="shared" si="15"/>
        <v>0.55758010235577649</v>
      </c>
      <c r="BA18" s="505">
        <f t="shared" si="128"/>
        <v>0</v>
      </c>
      <c r="BB18" s="503"/>
      <c r="BC18" s="504">
        <f t="shared" si="16"/>
        <v>0</v>
      </c>
      <c r="BD18" s="505">
        <f t="shared" si="129"/>
        <v>0</v>
      </c>
      <c r="BE18" s="503"/>
      <c r="BF18" s="504">
        <f t="shared" si="17"/>
        <v>0</v>
      </c>
      <c r="BG18" s="505">
        <f t="shared" si="130"/>
        <v>0</v>
      </c>
      <c r="BH18" s="503"/>
      <c r="BI18" s="504">
        <f t="shared" si="18"/>
        <v>0</v>
      </c>
      <c r="BJ18" s="505">
        <f t="shared" si="131"/>
        <v>0</v>
      </c>
      <c r="BK18" s="503"/>
      <c r="BL18" s="504">
        <f t="shared" si="19"/>
        <v>0</v>
      </c>
      <c r="BM18" s="505">
        <f t="shared" si="132"/>
        <v>0</v>
      </c>
      <c r="BN18" s="503"/>
      <c r="BO18" s="504">
        <f t="shared" si="20"/>
        <v>0</v>
      </c>
      <c r="BP18" s="505">
        <f t="shared" si="133"/>
        <v>0</v>
      </c>
      <c r="BQ18" s="503"/>
      <c r="BR18" s="504">
        <f t="shared" si="21"/>
        <v>0</v>
      </c>
      <c r="BS18" s="505">
        <f t="shared" si="134"/>
        <v>0</v>
      </c>
      <c r="BT18" s="503"/>
      <c r="BU18" s="504">
        <f t="shared" si="22"/>
        <v>0</v>
      </c>
      <c r="BV18" s="505">
        <f t="shared" si="135"/>
        <v>0</v>
      </c>
      <c r="BW18" s="503"/>
      <c r="BX18" s="504">
        <f t="shared" si="23"/>
        <v>0</v>
      </c>
      <c r="BY18" s="505">
        <f t="shared" si="136"/>
        <v>0</v>
      </c>
      <c r="BZ18" s="503"/>
      <c r="CA18" s="504">
        <f t="shared" si="24"/>
        <v>0</v>
      </c>
      <c r="CB18" s="505">
        <f t="shared" si="137"/>
        <v>0</v>
      </c>
      <c r="CC18" s="503"/>
      <c r="CD18" s="504">
        <f t="shared" si="25"/>
        <v>0</v>
      </c>
      <c r="CE18" s="505">
        <f t="shared" si="138"/>
        <v>0</v>
      </c>
      <c r="CF18" s="503">
        <v>12</v>
      </c>
      <c r="CG18" s="504">
        <f t="shared" si="26"/>
        <v>0.17922217575721369</v>
      </c>
      <c r="CH18" s="505">
        <f t="shared" si="139"/>
        <v>0</v>
      </c>
      <c r="CI18" s="503"/>
      <c r="CJ18" s="504">
        <f t="shared" si="27"/>
        <v>0</v>
      </c>
      <c r="CK18" s="505">
        <f t="shared" si="140"/>
        <v>0</v>
      </c>
      <c r="CL18" s="503"/>
      <c r="CM18" s="504">
        <f t="shared" si="28"/>
        <v>0</v>
      </c>
      <c r="CN18" s="505">
        <f t="shared" si="141"/>
        <v>0</v>
      </c>
      <c r="CO18" s="503"/>
      <c r="CP18" s="504">
        <f t="shared" si="29"/>
        <v>0</v>
      </c>
      <c r="CQ18" s="505">
        <f t="shared" si="142"/>
        <v>0</v>
      </c>
      <c r="CR18" s="503"/>
      <c r="CS18" s="504">
        <f t="shared" si="30"/>
        <v>0</v>
      </c>
      <c r="CT18" s="505">
        <f t="shared" si="143"/>
        <v>0</v>
      </c>
      <c r="CU18" s="503"/>
      <c r="CV18" s="504">
        <f t="shared" si="31"/>
        <v>0</v>
      </c>
      <c r="CW18" s="505">
        <f t="shared" si="144"/>
        <v>0</v>
      </c>
      <c r="CX18" s="503"/>
      <c r="CY18" s="504">
        <f t="shared" si="32"/>
        <v>0</v>
      </c>
      <c r="CZ18" s="505">
        <f t="shared" si="145"/>
        <v>0</v>
      </c>
      <c r="DA18" s="503"/>
      <c r="DB18" s="504">
        <f t="shared" si="33"/>
        <v>0</v>
      </c>
      <c r="DC18" s="505">
        <f t="shared" si="146"/>
        <v>0</v>
      </c>
      <c r="DD18" s="503"/>
      <c r="DE18" s="504">
        <f t="shared" si="34"/>
        <v>0</v>
      </c>
      <c r="DF18" s="505">
        <f t="shared" si="147"/>
        <v>0</v>
      </c>
      <c r="DG18" s="503"/>
      <c r="DH18" s="504">
        <f t="shared" si="35"/>
        <v>0</v>
      </c>
      <c r="DI18" s="505">
        <f t="shared" si="203"/>
        <v>0</v>
      </c>
      <c r="DJ18" s="503"/>
      <c r="DK18" s="504">
        <f t="shared" si="36"/>
        <v>0</v>
      </c>
      <c r="DL18" s="505">
        <f t="shared" si="148"/>
        <v>0</v>
      </c>
      <c r="DM18" s="503"/>
      <c r="DN18" s="504">
        <f t="shared" si="37"/>
        <v>0</v>
      </c>
      <c r="DO18" s="505">
        <f t="shared" si="149"/>
        <v>0</v>
      </c>
      <c r="DP18" s="503"/>
      <c r="DQ18" s="504">
        <f t="shared" si="38"/>
        <v>0</v>
      </c>
      <c r="DR18" s="505">
        <f t="shared" si="150"/>
        <v>0</v>
      </c>
      <c r="DS18" s="503"/>
      <c r="DT18" s="504">
        <f t="shared" si="39"/>
        <v>0</v>
      </c>
      <c r="DU18" s="505">
        <f t="shared" si="151"/>
        <v>0</v>
      </c>
      <c r="DV18" s="503"/>
      <c r="DW18" s="504">
        <f t="shared" si="40"/>
        <v>0</v>
      </c>
      <c r="DX18" s="505">
        <f t="shared" si="152"/>
        <v>0</v>
      </c>
      <c r="DY18" s="503">
        <v>17.253012048192772</v>
      </c>
      <c r="DZ18" s="504">
        <f t="shared" si="41"/>
        <v>0.25767686313687754</v>
      </c>
      <c r="EA18" s="505">
        <f t="shared" si="153"/>
        <v>0</v>
      </c>
      <c r="EB18" s="503">
        <v>234.82352941176464</v>
      </c>
      <c r="EC18" s="504">
        <f t="shared" si="42"/>
        <v>3.5071319883470431</v>
      </c>
      <c r="ED18" s="505">
        <f t="shared" si="154"/>
        <v>0</v>
      </c>
      <c r="EE18" s="503">
        <v>21.802325581395394</v>
      </c>
      <c r="EF18" s="504">
        <f t="shared" si="43"/>
        <v>0.32562168560540344</v>
      </c>
      <c r="EG18" s="505">
        <f t="shared" si="155"/>
        <v>0</v>
      </c>
      <c r="EH18" s="503"/>
      <c r="EI18" s="504">
        <f t="shared" si="44"/>
        <v>0</v>
      </c>
      <c r="EJ18" s="505">
        <f t="shared" si="156"/>
        <v>0</v>
      </c>
      <c r="EK18" s="503"/>
      <c r="EL18" s="504">
        <f t="shared" si="45"/>
        <v>0</v>
      </c>
      <c r="EM18" s="505">
        <f t="shared" si="157"/>
        <v>0</v>
      </c>
      <c r="EN18" s="503"/>
      <c r="EO18" s="504">
        <f t="shared" si="46"/>
        <v>0</v>
      </c>
      <c r="EP18" s="505">
        <f t="shared" si="158"/>
        <v>0</v>
      </c>
      <c r="EQ18" s="503"/>
      <c r="ER18" s="504">
        <f t="shared" si="47"/>
        <v>0</v>
      </c>
      <c r="ES18" s="505">
        <f t="shared" si="159"/>
        <v>0</v>
      </c>
      <c r="ET18" s="503"/>
      <c r="EU18" s="504">
        <f t="shared" si="48"/>
        <v>0</v>
      </c>
      <c r="EV18" s="505">
        <f t="shared" si="160"/>
        <v>0</v>
      </c>
      <c r="EW18" s="503"/>
      <c r="EX18" s="504">
        <f t="shared" si="49"/>
        <v>0</v>
      </c>
      <c r="EY18" s="505">
        <f t="shared" si="161"/>
        <v>0</v>
      </c>
      <c r="EZ18" s="503"/>
      <c r="FA18" s="504">
        <f t="shared" si="50"/>
        <v>0</v>
      </c>
      <c r="FB18" s="505">
        <f t="shared" si="162"/>
        <v>0</v>
      </c>
      <c r="FC18" s="503"/>
      <c r="FD18" s="504">
        <f t="shared" si="51"/>
        <v>0</v>
      </c>
      <c r="FE18" s="505">
        <f t="shared" si="163"/>
        <v>0</v>
      </c>
      <c r="FF18" s="503"/>
      <c r="FG18" s="504">
        <f t="shared" si="52"/>
        <v>0</v>
      </c>
      <c r="FH18" s="505">
        <f t="shared" si="164"/>
        <v>0</v>
      </c>
      <c r="FI18" s="503"/>
      <c r="FJ18" s="504">
        <f t="shared" si="53"/>
        <v>0</v>
      </c>
      <c r="FK18" s="505">
        <f t="shared" si="165"/>
        <v>0</v>
      </c>
      <c r="FL18" s="503"/>
      <c r="FM18" s="504">
        <f t="shared" si="54"/>
        <v>0</v>
      </c>
      <c r="FN18" s="505">
        <f t="shared" si="166"/>
        <v>0</v>
      </c>
      <c r="FO18" s="503"/>
      <c r="FP18" s="504">
        <f t="shared" si="55"/>
        <v>0</v>
      </c>
      <c r="FQ18" s="505">
        <f t="shared" si="167"/>
        <v>0</v>
      </c>
      <c r="FR18" s="503"/>
      <c r="FS18" s="504">
        <f t="shared" si="56"/>
        <v>0</v>
      </c>
      <c r="FT18" s="505">
        <f t="shared" si="168"/>
        <v>0</v>
      </c>
      <c r="FU18" s="503"/>
      <c r="FV18" s="504">
        <f t="shared" si="57"/>
        <v>0</v>
      </c>
      <c r="FW18" s="505">
        <f t="shared" si="169"/>
        <v>0</v>
      </c>
      <c r="FX18" s="503"/>
      <c r="FY18" s="504">
        <f t="shared" si="58"/>
        <v>0</v>
      </c>
      <c r="FZ18" s="505">
        <f t="shared" si="170"/>
        <v>0</v>
      </c>
      <c r="GA18" s="503"/>
      <c r="GB18" s="504">
        <f t="shared" si="59"/>
        <v>0</v>
      </c>
      <c r="GC18" s="505">
        <f t="shared" si="171"/>
        <v>0</v>
      </c>
      <c r="GD18" s="503"/>
      <c r="GE18" s="504">
        <f t="shared" si="60"/>
        <v>0</v>
      </c>
      <c r="GF18" s="505">
        <f t="shared" si="172"/>
        <v>0</v>
      </c>
      <c r="GG18" s="503">
        <v>13.54978712649935</v>
      </c>
      <c r="GH18" s="504">
        <f t="shared" si="61"/>
        <v>0.20236852748819148</v>
      </c>
      <c r="GI18" s="505">
        <f t="shared" si="173"/>
        <v>0</v>
      </c>
      <c r="GJ18" s="503">
        <v>13.54978712649935</v>
      </c>
      <c r="GK18" s="504">
        <f t="shared" si="62"/>
        <v>0.20236852748819148</v>
      </c>
      <c r="GL18" s="505">
        <f t="shared" si="174"/>
        <v>0</v>
      </c>
      <c r="GM18" s="503"/>
      <c r="GN18" s="504">
        <f t="shared" si="63"/>
        <v>0</v>
      </c>
      <c r="GO18" s="505">
        <f t="shared" si="175"/>
        <v>0</v>
      </c>
      <c r="GP18" s="503">
        <v>43.359318804797915</v>
      </c>
      <c r="GQ18" s="504">
        <f t="shared" si="64"/>
        <v>0.64757928796221265</v>
      </c>
      <c r="GR18" s="505">
        <f t="shared" si="176"/>
        <v>0</v>
      </c>
      <c r="GS18" s="503">
        <v>189.69701977099089</v>
      </c>
      <c r="GT18" s="504">
        <f t="shared" si="65"/>
        <v>2.8331593848346808</v>
      </c>
      <c r="GU18" s="505">
        <f t="shared" si="177"/>
        <v>0</v>
      </c>
      <c r="GV18" s="503">
        <v>75.878807908396354</v>
      </c>
      <c r="GW18" s="504">
        <f t="shared" si="66"/>
        <v>1.1332637539338724</v>
      </c>
      <c r="GX18" s="505">
        <f t="shared" si="178"/>
        <v>0</v>
      </c>
      <c r="GY18" s="503"/>
      <c r="GZ18" s="504">
        <f t="shared" si="67"/>
        <v>0</v>
      </c>
      <c r="HA18" s="505">
        <f t="shared" si="179"/>
        <v>0</v>
      </c>
      <c r="HB18" s="503"/>
      <c r="HC18" s="504">
        <f t="shared" si="68"/>
        <v>0</v>
      </c>
      <c r="HD18" s="505">
        <f t="shared" si="180"/>
        <v>0</v>
      </c>
      <c r="HE18" s="503"/>
      <c r="HF18" s="504">
        <f t="shared" si="69"/>
        <v>0</v>
      </c>
      <c r="HG18" s="505">
        <f t="shared" si="181"/>
        <v>0</v>
      </c>
      <c r="HH18" s="503"/>
      <c r="HI18" s="504">
        <f t="shared" si="70"/>
        <v>0</v>
      </c>
      <c r="HJ18" s="505">
        <f t="shared" si="182"/>
        <v>0</v>
      </c>
      <c r="HK18" s="503"/>
      <c r="HL18" s="504">
        <f t="shared" si="71"/>
        <v>0</v>
      </c>
      <c r="HM18" s="505">
        <f t="shared" si="183"/>
        <v>0</v>
      </c>
      <c r="HN18" s="503">
        <v>986.42450280915261</v>
      </c>
      <c r="HO18" s="504">
        <f t="shared" si="72"/>
        <v>14.732428801140339</v>
      </c>
      <c r="HP18" s="505">
        <f t="shared" si="184"/>
        <v>0</v>
      </c>
      <c r="HQ18" s="503"/>
      <c r="HR18" s="504">
        <f t="shared" si="73"/>
        <v>0</v>
      </c>
      <c r="HS18" s="505">
        <f t="shared" si="185"/>
        <v>0</v>
      </c>
      <c r="HT18" s="503"/>
      <c r="HU18" s="504">
        <f t="shared" si="74"/>
        <v>0</v>
      </c>
      <c r="HV18" s="505">
        <f t="shared" si="186"/>
        <v>0</v>
      </c>
      <c r="HW18" s="503"/>
      <c r="HX18" s="504">
        <f t="shared" si="75"/>
        <v>0</v>
      </c>
      <c r="HY18" s="505">
        <f t="shared" si="187"/>
        <v>0</v>
      </c>
      <c r="HZ18" s="503"/>
      <c r="IA18" s="504">
        <f t="shared" si="76"/>
        <v>0</v>
      </c>
      <c r="IB18" s="505">
        <f t="shared" si="188"/>
        <v>0</v>
      </c>
      <c r="IC18" s="503"/>
      <c r="ID18" s="504">
        <f t="shared" si="77"/>
        <v>0</v>
      </c>
      <c r="IE18" s="505">
        <f t="shared" si="189"/>
        <v>0</v>
      </c>
      <c r="IF18" s="503"/>
      <c r="IG18" s="504">
        <f t="shared" si="78"/>
        <v>0</v>
      </c>
      <c r="IH18" s="505">
        <f t="shared" si="190"/>
        <v>0</v>
      </c>
      <c r="II18" s="503">
        <v>27.0995742529987</v>
      </c>
      <c r="IJ18" s="504">
        <f t="shared" si="79"/>
        <v>0.40473705497638296</v>
      </c>
      <c r="IK18" s="505">
        <f t="shared" si="191"/>
        <v>0</v>
      </c>
      <c r="IL18" s="503"/>
      <c r="IM18" s="504">
        <f t="shared" si="80"/>
        <v>0</v>
      </c>
      <c r="IN18" s="505">
        <f t="shared" si="192"/>
        <v>0</v>
      </c>
      <c r="IO18" s="503"/>
      <c r="IP18" s="504">
        <f t="shared" si="81"/>
        <v>0</v>
      </c>
      <c r="IQ18" s="505">
        <f t="shared" si="193"/>
        <v>0</v>
      </c>
      <c r="IR18" s="503">
        <v>54.1991485059974</v>
      </c>
      <c r="IS18" s="504">
        <f t="shared" si="82"/>
        <v>0.80947410995276592</v>
      </c>
      <c r="IT18" s="505">
        <f t="shared" si="194"/>
        <v>0</v>
      </c>
      <c r="IU18" s="503"/>
      <c r="IV18" s="504">
        <f t="shared" si="83"/>
        <v>0</v>
      </c>
      <c r="IW18" s="505">
        <f t="shared" si="195"/>
        <v>0</v>
      </c>
      <c r="IX18" s="503"/>
      <c r="IY18" s="504">
        <f t="shared" si="84"/>
        <v>0</v>
      </c>
      <c r="IZ18" s="505">
        <f t="shared" si="196"/>
        <v>0</v>
      </c>
      <c r="JA18" s="503"/>
      <c r="JB18" s="504">
        <f t="shared" si="85"/>
        <v>0</v>
      </c>
      <c r="JC18" s="505">
        <f t="shared" si="197"/>
        <v>0</v>
      </c>
      <c r="JD18" s="503"/>
      <c r="JE18" s="504">
        <f t="shared" si="86"/>
        <v>0</v>
      </c>
      <c r="JF18" s="505">
        <f t="shared" si="198"/>
        <v>0</v>
      </c>
      <c r="JG18" s="503"/>
      <c r="JH18" s="504">
        <f t="shared" si="87"/>
        <v>0</v>
      </c>
      <c r="JI18" s="505">
        <f t="shared" si="199"/>
        <v>0</v>
      </c>
      <c r="JJ18" s="503">
        <v>24.389616827698827</v>
      </c>
      <c r="JK18" s="505" t="str">
        <f t="shared" si="88"/>
        <v>0</v>
      </c>
      <c r="JL18" s="505" t="str">
        <f t="shared" si="89"/>
        <v>0</v>
      </c>
      <c r="JM18" s="503"/>
      <c r="JN18" s="505" t="str">
        <f t="shared" si="90"/>
        <v>0</v>
      </c>
      <c r="JO18" s="505" t="str">
        <f t="shared" si="91"/>
        <v>0</v>
      </c>
      <c r="JP18" s="503"/>
      <c r="JQ18" s="505" t="str">
        <f t="shared" si="92"/>
        <v>0</v>
      </c>
      <c r="JR18" s="505" t="str">
        <f t="shared" si="93"/>
        <v>0</v>
      </c>
      <c r="JS18" s="503"/>
      <c r="JT18" s="505" t="str">
        <f t="shared" si="94"/>
        <v>0</v>
      </c>
      <c r="JU18" s="505" t="str">
        <f t="shared" si="95"/>
        <v>0</v>
      </c>
      <c r="JV18" s="503"/>
      <c r="JW18" s="505" t="str">
        <f t="shared" si="96"/>
        <v>0</v>
      </c>
      <c r="JX18" s="505" t="str">
        <f t="shared" si="97"/>
        <v>0</v>
      </c>
      <c r="JY18" s="503"/>
      <c r="JZ18" s="505" t="str">
        <f t="shared" si="98"/>
        <v>0</v>
      </c>
      <c r="KA18" s="505" t="str">
        <f t="shared" si="99"/>
        <v>0</v>
      </c>
      <c r="KB18" s="503"/>
      <c r="KC18" s="505" t="str">
        <f t="shared" si="100"/>
        <v>0</v>
      </c>
      <c r="KD18" s="505" t="str">
        <f t="shared" si="101"/>
        <v>0</v>
      </c>
      <c r="KE18" s="503"/>
      <c r="KF18" s="505" t="str">
        <f t="shared" si="102"/>
        <v>0</v>
      </c>
      <c r="KG18" s="505" t="str">
        <f t="shared" si="103"/>
        <v>0</v>
      </c>
      <c r="KH18" s="503"/>
      <c r="KI18" s="505" t="str">
        <f t="shared" si="104"/>
        <v>0</v>
      </c>
      <c r="KJ18" s="505" t="str">
        <f t="shared" si="105"/>
        <v>0</v>
      </c>
      <c r="KK18" s="503"/>
      <c r="KL18" s="505" t="str">
        <f t="shared" si="106"/>
        <v>0</v>
      </c>
      <c r="KM18" s="505" t="str">
        <f t="shared" si="107"/>
        <v>0</v>
      </c>
      <c r="KN18" s="503"/>
      <c r="KO18" s="505" t="str">
        <f t="shared" si="108"/>
        <v>0</v>
      </c>
      <c r="KP18" s="505" t="str">
        <f t="shared" si="109"/>
        <v>0</v>
      </c>
      <c r="KQ18" s="503"/>
      <c r="KR18" s="505" t="str">
        <f t="shared" si="110"/>
        <v>0</v>
      </c>
      <c r="KS18" s="505" t="str">
        <f t="shared" si="111"/>
        <v>0</v>
      </c>
      <c r="KT18" s="505">
        <f t="shared" si="201"/>
        <v>0</v>
      </c>
      <c r="KU18" s="505">
        <f t="shared" si="202"/>
        <v>0</v>
      </c>
      <c r="KV18" s="258">
        <f t="shared" si="112"/>
        <v>1820.1892506872045</v>
      </c>
    </row>
    <row r="19" spans="1:309" ht="15" customHeight="1">
      <c r="A19" s="462">
        <f t="shared" si="200"/>
        <v>46091</v>
      </c>
      <c r="B19" s="463" t="str">
        <f>+Report1!B18</f>
        <v xml:space="preserve">Toilet </v>
      </c>
      <c r="C19" s="464" t="str">
        <f>+Report1!C18</f>
        <v>14,5</v>
      </c>
      <c r="D19" s="465">
        <f>+Report1!P18</f>
        <v>57.141999999999996</v>
      </c>
      <c r="E19" s="466">
        <f>+Report1!R18</f>
        <v>55.335000000000001</v>
      </c>
      <c r="F19" s="503"/>
      <c r="G19" s="504">
        <f t="shared" si="0"/>
        <v>0</v>
      </c>
      <c r="H19" s="505">
        <f t="shared" si="113"/>
        <v>0</v>
      </c>
      <c r="I19" s="503"/>
      <c r="J19" s="504">
        <f t="shared" si="1"/>
        <v>0</v>
      </c>
      <c r="K19" s="505">
        <f t="shared" si="114"/>
        <v>0</v>
      </c>
      <c r="L19" s="503"/>
      <c r="M19" s="504">
        <f t="shared" si="2"/>
        <v>0</v>
      </c>
      <c r="N19" s="505">
        <f t="shared" si="115"/>
        <v>0</v>
      </c>
      <c r="O19" s="503">
        <v>24</v>
      </c>
      <c r="P19" s="504">
        <f t="shared" si="3"/>
        <v>0.43372187584711303</v>
      </c>
      <c r="Q19" s="505">
        <f t="shared" si="116"/>
        <v>0</v>
      </c>
      <c r="R19" s="503">
        <v>10.25</v>
      </c>
      <c r="S19" s="504">
        <f t="shared" si="4"/>
        <v>0.1852353844763712</v>
      </c>
      <c r="T19" s="505">
        <f t="shared" si="117"/>
        <v>0</v>
      </c>
      <c r="U19" s="503">
        <v>4.6875</v>
      </c>
      <c r="V19" s="504">
        <f t="shared" si="5"/>
        <v>8.4711303876389268E-2</v>
      </c>
      <c r="W19" s="505">
        <f t="shared" si="118"/>
        <v>0</v>
      </c>
      <c r="X19" s="503"/>
      <c r="Y19" s="504">
        <f t="shared" si="6"/>
        <v>0</v>
      </c>
      <c r="Z19" s="505">
        <f t="shared" si="119"/>
        <v>0</v>
      </c>
      <c r="AA19" s="503"/>
      <c r="AB19" s="504">
        <f t="shared" si="7"/>
        <v>0</v>
      </c>
      <c r="AC19" s="505">
        <f t="shared" si="120"/>
        <v>0</v>
      </c>
      <c r="AD19" s="503"/>
      <c r="AE19" s="504">
        <f t="shared" si="8"/>
        <v>0</v>
      </c>
      <c r="AF19" s="505">
        <f t="shared" si="121"/>
        <v>0</v>
      </c>
      <c r="AG19" s="503"/>
      <c r="AH19" s="504">
        <f t="shared" si="9"/>
        <v>0</v>
      </c>
      <c r="AI19" s="505">
        <f t="shared" si="122"/>
        <v>0</v>
      </c>
      <c r="AJ19" s="503"/>
      <c r="AK19" s="504">
        <f t="shared" si="10"/>
        <v>0</v>
      </c>
      <c r="AL19" s="505">
        <f t="shared" si="123"/>
        <v>0</v>
      </c>
      <c r="AM19" s="503">
        <v>42.051282051282044</v>
      </c>
      <c r="AN19" s="504">
        <f t="shared" si="11"/>
        <v>0.75994003887742012</v>
      </c>
      <c r="AO19" s="505">
        <f t="shared" si="124"/>
        <v>0</v>
      </c>
      <c r="AP19" s="503"/>
      <c r="AQ19" s="504">
        <f t="shared" si="12"/>
        <v>0</v>
      </c>
      <c r="AR19" s="505">
        <f t="shared" si="125"/>
        <v>0</v>
      </c>
      <c r="AS19" s="503"/>
      <c r="AT19" s="504">
        <f t="shared" si="13"/>
        <v>0</v>
      </c>
      <c r="AU19" s="505">
        <f t="shared" si="126"/>
        <v>0</v>
      </c>
      <c r="AV19" s="503">
        <v>5.5499999999999545</v>
      </c>
      <c r="AW19" s="504">
        <f t="shared" si="14"/>
        <v>0.10029818378964407</v>
      </c>
      <c r="AX19" s="505">
        <f t="shared" si="127"/>
        <v>0</v>
      </c>
      <c r="AY19" s="503">
        <v>44.333333333333314</v>
      </c>
      <c r="AZ19" s="504">
        <f t="shared" si="15"/>
        <v>0.80118068732869452</v>
      </c>
      <c r="BA19" s="505">
        <f t="shared" si="128"/>
        <v>0</v>
      </c>
      <c r="BB19" s="503"/>
      <c r="BC19" s="504">
        <f t="shared" si="16"/>
        <v>0</v>
      </c>
      <c r="BD19" s="505">
        <f t="shared" si="129"/>
        <v>0</v>
      </c>
      <c r="BE19" s="503"/>
      <c r="BF19" s="504">
        <f t="shared" si="17"/>
        <v>0</v>
      </c>
      <c r="BG19" s="505">
        <f t="shared" si="130"/>
        <v>0</v>
      </c>
      <c r="BH19" s="503"/>
      <c r="BI19" s="504">
        <f t="shared" si="18"/>
        <v>0</v>
      </c>
      <c r="BJ19" s="505">
        <f t="shared" si="131"/>
        <v>0</v>
      </c>
      <c r="BK19" s="503"/>
      <c r="BL19" s="504">
        <f t="shared" si="19"/>
        <v>0</v>
      </c>
      <c r="BM19" s="505">
        <f t="shared" si="132"/>
        <v>0</v>
      </c>
      <c r="BN19" s="503"/>
      <c r="BO19" s="504">
        <f t="shared" si="20"/>
        <v>0</v>
      </c>
      <c r="BP19" s="505">
        <f t="shared" si="133"/>
        <v>0</v>
      </c>
      <c r="BQ19" s="503"/>
      <c r="BR19" s="504">
        <f t="shared" si="21"/>
        <v>0</v>
      </c>
      <c r="BS19" s="505">
        <f t="shared" si="134"/>
        <v>0</v>
      </c>
      <c r="BT19" s="503"/>
      <c r="BU19" s="504">
        <f t="shared" si="22"/>
        <v>0</v>
      </c>
      <c r="BV19" s="505">
        <f t="shared" si="135"/>
        <v>0</v>
      </c>
      <c r="BW19" s="503"/>
      <c r="BX19" s="504">
        <f t="shared" si="23"/>
        <v>0</v>
      </c>
      <c r="BY19" s="505">
        <f t="shared" si="136"/>
        <v>0</v>
      </c>
      <c r="BZ19" s="503"/>
      <c r="CA19" s="504">
        <f t="shared" si="24"/>
        <v>0</v>
      </c>
      <c r="CB19" s="505">
        <f t="shared" si="137"/>
        <v>0</v>
      </c>
      <c r="CC19" s="503"/>
      <c r="CD19" s="504">
        <f t="shared" si="25"/>
        <v>0</v>
      </c>
      <c r="CE19" s="505">
        <f t="shared" si="138"/>
        <v>0</v>
      </c>
      <c r="CF19" s="503">
        <v>12</v>
      </c>
      <c r="CG19" s="504">
        <f t="shared" si="26"/>
        <v>0.21686093792355651</v>
      </c>
      <c r="CH19" s="505">
        <f t="shared" si="139"/>
        <v>0</v>
      </c>
      <c r="CI19" s="503"/>
      <c r="CJ19" s="504">
        <f t="shared" si="27"/>
        <v>0</v>
      </c>
      <c r="CK19" s="505">
        <f t="shared" si="140"/>
        <v>0</v>
      </c>
      <c r="CL19" s="503"/>
      <c r="CM19" s="504">
        <f t="shared" si="28"/>
        <v>0</v>
      </c>
      <c r="CN19" s="505">
        <f t="shared" si="141"/>
        <v>0</v>
      </c>
      <c r="CO19" s="503"/>
      <c r="CP19" s="504">
        <f t="shared" si="29"/>
        <v>0</v>
      </c>
      <c r="CQ19" s="505">
        <f t="shared" si="142"/>
        <v>0</v>
      </c>
      <c r="CR19" s="503"/>
      <c r="CS19" s="504">
        <f t="shared" si="30"/>
        <v>0</v>
      </c>
      <c r="CT19" s="505">
        <f t="shared" si="143"/>
        <v>0</v>
      </c>
      <c r="CU19" s="503"/>
      <c r="CV19" s="504">
        <f t="shared" si="31"/>
        <v>0</v>
      </c>
      <c r="CW19" s="505">
        <f t="shared" si="144"/>
        <v>0</v>
      </c>
      <c r="CX19" s="503"/>
      <c r="CY19" s="504">
        <f t="shared" si="32"/>
        <v>0</v>
      </c>
      <c r="CZ19" s="505">
        <f t="shared" si="145"/>
        <v>0</v>
      </c>
      <c r="DA19" s="503"/>
      <c r="DB19" s="504">
        <f t="shared" si="33"/>
        <v>0</v>
      </c>
      <c r="DC19" s="505">
        <f t="shared" si="146"/>
        <v>0</v>
      </c>
      <c r="DD19" s="503"/>
      <c r="DE19" s="504">
        <f t="shared" si="34"/>
        <v>0</v>
      </c>
      <c r="DF19" s="505">
        <f t="shared" si="147"/>
        <v>0</v>
      </c>
      <c r="DG19" s="503"/>
      <c r="DH19" s="504">
        <f t="shared" si="35"/>
        <v>0</v>
      </c>
      <c r="DI19" s="505">
        <f t="shared" si="203"/>
        <v>0</v>
      </c>
      <c r="DJ19" s="503"/>
      <c r="DK19" s="504">
        <f t="shared" si="36"/>
        <v>0</v>
      </c>
      <c r="DL19" s="505">
        <f t="shared" si="148"/>
        <v>0</v>
      </c>
      <c r="DM19" s="503"/>
      <c r="DN19" s="504">
        <f t="shared" si="37"/>
        <v>0</v>
      </c>
      <c r="DO19" s="505">
        <f t="shared" si="149"/>
        <v>0</v>
      </c>
      <c r="DP19" s="503"/>
      <c r="DQ19" s="504">
        <f t="shared" si="38"/>
        <v>0</v>
      </c>
      <c r="DR19" s="505">
        <f t="shared" si="150"/>
        <v>0</v>
      </c>
      <c r="DS19" s="503"/>
      <c r="DT19" s="504">
        <f t="shared" si="39"/>
        <v>0</v>
      </c>
      <c r="DU19" s="505">
        <f t="shared" si="151"/>
        <v>0</v>
      </c>
      <c r="DV19" s="503"/>
      <c r="DW19" s="504">
        <f t="shared" si="40"/>
        <v>0</v>
      </c>
      <c r="DX19" s="505">
        <f t="shared" si="152"/>
        <v>0</v>
      </c>
      <c r="DY19" s="503">
        <v>17.253012048192772</v>
      </c>
      <c r="DZ19" s="504">
        <f t="shared" si="41"/>
        <v>0.31179203123145877</v>
      </c>
      <c r="EA19" s="505">
        <f t="shared" si="153"/>
        <v>0</v>
      </c>
      <c r="EB19" s="503">
        <v>246.564705882353</v>
      </c>
      <c r="EC19" s="504">
        <f t="shared" si="42"/>
        <v>4.4558544480410767</v>
      </c>
      <c r="ED19" s="505">
        <f t="shared" si="154"/>
        <v>0</v>
      </c>
      <c r="EE19" s="503">
        <v>21.80232558139528</v>
      </c>
      <c r="EF19" s="504">
        <f t="shared" si="43"/>
        <v>0.39400606454134418</v>
      </c>
      <c r="EG19" s="505">
        <f t="shared" si="155"/>
        <v>0</v>
      </c>
      <c r="EH19" s="503"/>
      <c r="EI19" s="504">
        <f t="shared" si="44"/>
        <v>0</v>
      </c>
      <c r="EJ19" s="505">
        <f t="shared" si="156"/>
        <v>0</v>
      </c>
      <c r="EK19" s="503"/>
      <c r="EL19" s="504">
        <f t="shared" si="45"/>
        <v>0</v>
      </c>
      <c r="EM19" s="505">
        <f t="shared" si="157"/>
        <v>0</v>
      </c>
      <c r="EN19" s="503"/>
      <c r="EO19" s="504">
        <f t="shared" si="46"/>
        <v>0</v>
      </c>
      <c r="EP19" s="505">
        <f t="shared" si="158"/>
        <v>0</v>
      </c>
      <c r="EQ19" s="503"/>
      <c r="ER19" s="504">
        <f t="shared" si="47"/>
        <v>0</v>
      </c>
      <c r="ES19" s="505">
        <f t="shared" si="159"/>
        <v>0</v>
      </c>
      <c r="ET19" s="503"/>
      <c r="EU19" s="504">
        <f t="shared" si="48"/>
        <v>0</v>
      </c>
      <c r="EV19" s="505">
        <f t="shared" si="160"/>
        <v>0</v>
      </c>
      <c r="EW19" s="503"/>
      <c r="EX19" s="504">
        <f t="shared" si="49"/>
        <v>0</v>
      </c>
      <c r="EY19" s="505">
        <f t="shared" si="161"/>
        <v>0</v>
      </c>
      <c r="EZ19" s="503"/>
      <c r="FA19" s="504">
        <f t="shared" si="50"/>
        <v>0</v>
      </c>
      <c r="FB19" s="505">
        <f t="shared" si="162"/>
        <v>0</v>
      </c>
      <c r="FC19" s="503"/>
      <c r="FD19" s="504">
        <f t="shared" si="51"/>
        <v>0</v>
      </c>
      <c r="FE19" s="505">
        <f t="shared" si="163"/>
        <v>0</v>
      </c>
      <c r="FF19" s="503"/>
      <c r="FG19" s="504">
        <f t="shared" si="52"/>
        <v>0</v>
      </c>
      <c r="FH19" s="505">
        <f t="shared" si="164"/>
        <v>0</v>
      </c>
      <c r="FI19" s="503"/>
      <c r="FJ19" s="504">
        <f t="shared" si="53"/>
        <v>0</v>
      </c>
      <c r="FK19" s="505">
        <f t="shared" si="165"/>
        <v>0</v>
      </c>
      <c r="FL19" s="503"/>
      <c r="FM19" s="504">
        <f t="shared" si="54"/>
        <v>0</v>
      </c>
      <c r="FN19" s="505">
        <f t="shared" si="166"/>
        <v>0</v>
      </c>
      <c r="FO19" s="503"/>
      <c r="FP19" s="504">
        <f t="shared" si="55"/>
        <v>0</v>
      </c>
      <c r="FQ19" s="505">
        <f t="shared" si="167"/>
        <v>0</v>
      </c>
      <c r="FR19" s="503"/>
      <c r="FS19" s="504">
        <f t="shared" si="56"/>
        <v>0</v>
      </c>
      <c r="FT19" s="505">
        <f t="shared" si="168"/>
        <v>0</v>
      </c>
      <c r="FU19" s="503"/>
      <c r="FV19" s="504">
        <f t="shared" si="57"/>
        <v>0</v>
      </c>
      <c r="FW19" s="505">
        <f t="shared" si="169"/>
        <v>0</v>
      </c>
      <c r="FX19" s="503"/>
      <c r="FY19" s="504">
        <f t="shared" si="58"/>
        <v>0</v>
      </c>
      <c r="FZ19" s="505">
        <f t="shared" si="170"/>
        <v>0</v>
      </c>
      <c r="GA19" s="503"/>
      <c r="GB19" s="504">
        <f t="shared" si="59"/>
        <v>0</v>
      </c>
      <c r="GC19" s="505">
        <f t="shared" si="171"/>
        <v>0</v>
      </c>
      <c r="GD19" s="503"/>
      <c r="GE19" s="504">
        <f t="shared" si="60"/>
        <v>0</v>
      </c>
      <c r="GF19" s="505">
        <f t="shared" si="172"/>
        <v>0</v>
      </c>
      <c r="GG19" s="503">
        <v>15.374667037372532</v>
      </c>
      <c r="GH19" s="504">
        <f t="shared" si="61"/>
        <v>0.27784705949891625</v>
      </c>
      <c r="GI19" s="505">
        <f t="shared" si="173"/>
        <v>0</v>
      </c>
      <c r="GJ19" s="503">
        <v>15.374667037372532</v>
      </c>
      <c r="GK19" s="504">
        <f t="shared" si="62"/>
        <v>0.27784705949891625</v>
      </c>
      <c r="GL19" s="505">
        <f t="shared" si="174"/>
        <v>0</v>
      </c>
      <c r="GM19" s="503"/>
      <c r="GN19" s="504">
        <f t="shared" si="63"/>
        <v>0</v>
      </c>
      <c r="GO19" s="505">
        <f t="shared" si="175"/>
        <v>0</v>
      </c>
      <c r="GP19" s="503">
        <v>40.999112099660088</v>
      </c>
      <c r="GQ19" s="504">
        <f t="shared" si="64"/>
        <v>0.74092549199711011</v>
      </c>
      <c r="GR19" s="505">
        <f t="shared" si="176"/>
        <v>0</v>
      </c>
      <c r="GS19" s="503">
        <v>225.49511654813048</v>
      </c>
      <c r="GT19" s="504">
        <f t="shared" si="65"/>
        <v>4.0750902059841057</v>
      </c>
      <c r="GU19" s="505">
        <f t="shared" si="177"/>
        <v>0</v>
      </c>
      <c r="GV19" s="503">
        <v>81.998224199320177</v>
      </c>
      <c r="GW19" s="504">
        <f t="shared" si="66"/>
        <v>1.4818509839942202</v>
      </c>
      <c r="GX19" s="505">
        <f t="shared" si="178"/>
        <v>0</v>
      </c>
      <c r="GY19" s="503"/>
      <c r="GZ19" s="504">
        <f t="shared" si="67"/>
        <v>0</v>
      </c>
      <c r="HA19" s="505">
        <f t="shared" si="179"/>
        <v>0</v>
      </c>
      <c r="HB19" s="503"/>
      <c r="HC19" s="504">
        <f t="shared" si="68"/>
        <v>0</v>
      </c>
      <c r="HD19" s="505">
        <f t="shared" si="180"/>
        <v>0</v>
      </c>
      <c r="HE19" s="503"/>
      <c r="HF19" s="504">
        <f t="shared" si="69"/>
        <v>0</v>
      </c>
      <c r="HG19" s="505">
        <f t="shared" si="181"/>
        <v>0</v>
      </c>
      <c r="HH19" s="503"/>
      <c r="HI19" s="504">
        <f t="shared" si="70"/>
        <v>0</v>
      </c>
      <c r="HJ19" s="505">
        <f t="shared" si="182"/>
        <v>0</v>
      </c>
      <c r="HK19" s="503"/>
      <c r="HL19" s="504">
        <f t="shared" si="71"/>
        <v>0</v>
      </c>
      <c r="HM19" s="505">
        <f t="shared" si="183"/>
        <v>0</v>
      </c>
      <c r="HN19" s="503">
        <v>927.60491125480951</v>
      </c>
      <c r="HO19" s="504">
        <f t="shared" si="72"/>
        <v>16.763439256434616</v>
      </c>
      <c r="HP19" s="505">
        <f t="shared" si="184"/>
        <v>0</v>
      </c>
      <c r="HQ19" s="503"/>
      <c r="HR19" s="504">
        <f t="shared" si="73"/>
        <v>0</v>
      </c>
      <c r="HS19" s="505">
        <f t="shared" si="185"/>
        <v>0</v>
      </c>
      <c r="HT19" s="503"/>
      <c r="HU19" s="504">
        <f t="shared" si="74"/>
        <v>0</v>
      </c>
      <c r="HV19" s="505">
        <f t="shared" si="186"/>
        <v>0</v>
      </c>
      <c r="HW19" s="503"/>
      <c r="HX19" s="504">
        <f t="shared" si="75"/>
        <v>0</v>
      </c>
      <c r="HY19" s="505">
        <f t="shared" si="187"/>
        <v>0</v>
      </c>
      <c r="HZ19" s="503"/>
      <c r="IA19" s="504">
        <f t="shared" si="76"/>
        <v>0</v>
      </c>
      <c r="IB19" s="505">
        <f t="shared" si="188"/>
        <v>0</v>
      </c>
      <c r="IC19" s="503"/>
      <c r="ID19" s="504">
        <f t="shared" si="77"/>
        <v>0</v>
      </c>
      <c r="IE19" s="505">
        <f t="shared" si="189"/>
        <v>0</v>
      </c>
      <c r="IF19" s="503"/>
      <c r="IG19" s="504">
        <f t="shared" si="78"/>
        <v>0</v>
      </c>
      <c r="IH19" s="505">
        <f t="shared" si="190"/>
        <v>0</v>
      </c>
      <c r="II19" s="503">
        <v>25.624445062287553</v>
      </c>
      <c r="IJ19" s="504">
        <f t="shared" si="79"/>
        <v>0.46307843249819375</v>
      </c>
      <c r="IK19" s="505">
        <f t="shared" si="191"/>
        <v>0</v>
      </c>
      <c r="IL19" s="503"/>
      <c r="IM19" s="504">
        <f t="shared" si="80"/>
        <v>0</v>
      </c>
      <c r="IN19" s="505">
        <f t="shared" si="192"/>
        <v>0</v>
      </c>
      <c r="IO19" s="503"/>
      <c r="IP19" s="504">
        <f t="shared" si="81"/>
        <v>0</v>
      </c>
      <c r="IQ19" s="505">
        <f t="shared" si="193"/>
        <v>0</v>
      </c>
      <c r="IR19" s="503">
        <v>51.248890124575105</v>
      </c>
      <c r="IS19" s="504">
        <f t="shared" si="82"/>
        <v>0.9261568649963875</v>
      </c>
      <c r="IT19" s="505">
        <f t="shared" si="194"/>
        <v>0</v>
      </c>
      <c r="IU19" s="503"/>
      <c r="IV19" s="504">
        <f t="shared" si="83"/>
        <v>0</v>
      </c>
      <c r="IW19" s="505">
        <f t="shared" si="195"/>
        <v>0</v>
      </c>
      <c r="IX19" s="503"/>
      <c r="IY19" s="504">
        <f t="shared" si="84"/>
        <v>0</v>
      </c>
      <c r="IZ19" s="505">
        <f t="shared" si="196"/>
        <v>0</v>
      </c>
      <c r="JA19" s="503"/>
      <c r="JB19" s="504">
        <f t="shared" si="85"/>
        <v>0</v>
      </c>
      <c r="JC19" s="505">
        <f t="shared" si="197"/>
        <v>0</v>
      </c>
      <c r="JD19" s="503"/>
      <c r="JE19" s="504">
        <f t="shared" si="86"/>
        <v>0</v>
      </c>
      <c r="JF19" s="505">
        <f t="shared" si="198"/>
        <v>0</v>
      </c>
      <c r="JG19" s="503"/>
      <c r="JH19" s="504">
        <f t="shared" si="87"/>
        <v>0</v>
      </c>
      <c r="JI19" s="505">
        <f t="shared" si="199"/>
        <v>0</v>
      </c>
      <c r="JJ19" s="503">
        <v>25.624445062287553</v>
      </c>
      <c r="JK19" s="505" t="str">
        <f t="shared" si="88"/>
        <v>0</v>
      </c>
      <c r="JL19" s="505" t="str">
        <f t="shared" si="89"/>
        <v>0</v>
      </c>
      <c r="JM19" s="503"/>
      <c r="JN19" s="505" t="str">
        <f t="shared" si="90"/>
        <v>0</v>
      </c>
      <c r="JO19" s="505" t="str">
        <f t="shared" si="91"/>
        <v>0</v>
      </c>
      <c r="JP19" s="503"/>
      <c r="JQ19" s="505" t="str">
        <f t="shared" si="92"/>
        <v>0</v>
      </c>
      <c r="JR19" s="505" t="str">
        <f t="shared" si="93"/>
        <v>0</v>
      </c>
      <c r="JS19" s="503"/>
      <c r="JT19" s="505" t="str">
        <f t="shared" si="94"/>
        <v>0</v>
      </c>
      <c r="JU19" s="505" t="str">
        <f t="shared" si="95"/>
        <v>0</v>
      </c>
      <c r="JV19" s="503"/>
      <c r="JW19" s="505" t="str">
        <f t="shared" si="96"/>
        <v>0</v>
      </c>
      <c r="JX19" s="505" t="str">
        <f t="shared" si="97"/>
        <v>0</v>
      </c>
      <c r="JY19" s="503"/>
      <c r="JZ19" s="505" t="str">
        <f t="shared" si="98"/>
        <v>0</v>
      </c>
      <c r="KA19" s="505" t="str">
        <f t="shared" si="99"/>
        <v>0</v>
      </c>
      <c r="KB19" s="503"/>
      <c r="KC19" s="505" t="str">
        <f t="shared" si="100"/>
        <v>0</v>
      </c>
      <c r="KD19" s="505" t="str">
        <f t="shared" si="101"/>
        <v>0</v>
      </c>
      <c r="KE19" s="503"/>
      <c r="KF19" s="505" t="str">
        <f t="shared" si="102"/>
        <v>0</v>
      </c>
      <c r="KG19" s="505" t="str">
        <f t="shared" si="103"/>
        <v>0</v>
      </c>
      <c r="KH19" s="503"/>
      <c r="KI19" s="505" t="str">
        <f t="shared" si="104"/>
        <v>0</v>
      </c>
      <c r="KJ19" s="505" t="str">
        <f t="shared" si="105"/>
        <v>0</v>
      </c>
      <c r="KK19" s="503"/>
      <c r="KL19" s="505" t="str">
        <f t="shared" si="106"/>
        <v>0</v>
      </c>
      <c r="KM19" s="505" t="str">
        <f t="shared" si="107"/>
        <v>0</v>
      </c>
      <c r="KN19" s="503"/>
      <c r="KO19" s="505" t="str">
        <f t="shared" si="108"/>
        <v>0</v>
      </c>
      <c r="KP19" s="505" t="str">
        <f t="shared" si="109"/>
        <v>0</v>
      </c>
      <c r="KQ19" s="503"/>
      <c r="KR19" s="505" t="str">
        <f t="shared" si="110"/>
        <v>0</v>
      </c>
      <c r="KS19" s="505" t="str">
        <f t="shared" si="111"/>
        <v>0</v>
      </c>
      <c r="KT19" s="505">
        <f t="shared" si="201"/>
        <v>0</v>
      </c>
      <c r="KU19" s="505">
        <f t="shared" si="202"/>
        <v>0</v>
      </c>
      <c r="KV19" s="258">
        <f t="shared" si="112"/>
        <v>1837.8366373223719</v>
      </c>
    </row>
    <row r="20" spans="1:309" ht="15" customHeight="1">
      <c r="A20" s="462">
        <f t="shared" si="200"/>
        <v>46092</v>
      </c>
      <c r="B20" s="463" t="str">
        <f>+Report1!B19</f>
        <v xml:space="preserve">Toilet </v>
      </c>
      <c r="C20" s="464" t="str">
        <f>+Report1!C19</f>
        <v>14,5/15</v>
      </c>
      <c r="D20" s="465">
        <f>+Report1!P19</f>
        <v>53.472999999999999</v>
      </c>
      <c r="E20" s="466">
        <f>+Report1!R19</f>
        <v>48.823999999999998</v>
      </c>
      <c r="F20" s="503"/>
      <c r="G20" s="504">
        <f t="shared" si="0"/>
        <v>0</v>
      </c>
      <c r="H20" s="505">
        <f t="shared" si="113"/>
        <v>0</v>
      </c>
      <c r="I20" s="503"/>
      <c r="J20" s="504">
        <f t="shared" si="1"/>
        <v>0</v>
      </c>
      <c r="K20" s="505">
        <f t="shared" si="114"/>
        <v>0</v>
      </c>
      <c r="L20" s="503"/>
      <c r="M20" s="504">
        <f t="shared" si="2"/>
        <v>0</v>
      </c>
      <c r="N20" s="505">
        <f t="shared" si="115"/>
        <v>0</v>
      </c>
      <c r="O20" s="503">
        <v>24.000000000000028</v>
      </c>
      <c r="P20" s="504">
        <f t="shared" si="3"/>
        <v>0.49156152711781154</v>
      </c>
      <c r="Q20" s="505">
        <f t="shared" si="116"/>
        <v>0</v>
      </c>
      <c r="R20" s="503">
        <v>12.812499999999972</v>
      </c>
      <c r="S20" s="504">
        <f t="shared" si="4"/>
        <v>0.26242216942487245</v>
      </c>
      <c r="T20" s="505">
        <f t="shared" si="117"/>
        <v>0</v>
      </c>
      <c r="U20" s="503">
        <v>4.6874999999999716</v>
      </c>
      <c r="V20" s="504">
        <f t="shared" si="5"/>
        <v>9.6008110765196872E-2</v>
      </c>
      <c r="W20" s="505">
        <f t="shared" si="118"/>
        <v>0</v>
      </c>
      <c r="X20" s="503"/>
      <c r="Y20" s="504">
        <f t="shared" si="6"/>
        <v>0</v>
      </c>
      <c r="Z20" s="505">
        <f t="shared" si="119"/>
        <v>0</v>
      </c>
      <c r="AA20" s="503"/>
      <c r="AB20" s="504">
        <f t="shared" si="7"/>
        <v>0</v>
      </c>
      <c r="AC20" s="505">
        <f t="shared" si="120"/>
        <v>0</v>
      </c>
      <c r="AD20" s="503"/>
      <c r="AE20" s="504">
        <f t="shared" si="8"/>
        <v>0</v>
      </c>
      <c r="AF20" s="505">
        <f t="shared" si="121"/>
        <v>0</v>
      </c>
      <c r="AG20" s="503"/>
      <c r="AH20" s="504">
        <f t="shared" si="9"/>
        <v>0</v>
      </c>
      <c r="AI20" s="505">
        <f t="shared" si="122"/>
        <v>0</v>
      </c>
      <c r="AJ20" s="503"/>
      <c r="AK20" s="504">
        <f t="shared" si="10"/>
        <v>0</v>
      </c>
      <c r="AL20" s="505">
        <f t="shared" si="123"/>
        <v>0</v>
      </c>
      <c r="AM20" s="503">
        <v>36.79487179487171</v>
      </c>
      <c r="AN20" s="504">
        <f t="shared" si="11"/>
        <v>0.75362264039963367</v>
      </c>
      <c r="AO20" s="505">
        <f t="shared" si="124"/>
        <v>0</v>
      </c>
      <c r="AP20" s="503"/>
      <c r="AQ20" s="504">
        <f t="shared" si="12"/>
        <v>0</v>
      </c>
      <c r="AR20" s="505">
        <f t="shared" si="125"/>
        <v>0</v>
      </c>
      <c r="AS20" s="503"/>
      <c r="AT20" s="504">
        <f t="shared" si="13"/>
        <v>0</v>
      </c>
      <c r="AU20" s="505">
        <f t="shared" si="126"/>
        <v>0</v>
      </c>
      <c r="AV20" s="503">
        <v>8.3249999999999886</v>
      </c>
      <c r="AW20" s="504">
        <f t="shared" si="14"/>
        <v>0.17051040471899043</v>
      </c>
      <c r="AX20" s="505">
        <f t="shared" si="127"/>
        <v>0</v>
      </c>
      <c r="AY20" s="503">
        <v>39.666666666666686</v>
      </c>
      <c r="AZ20" s="504">
        <f t="shared" si="15"/>
        <v>0.81244196843082683</v>
      </c>
      <c r="BA20" s="505">
        <f t="shared" si="128"/>
        <v>0</v>
      </c>
      <c r="BB20" s="503"/>
      <c r="BC20" s="504">
        <f t="shared" si="16"/>
        <v>0</v>
      </c>
      <c r="BD20" s="505">
        <f t="shared" si="129"/>
        <v>0</v>
      </c>
      <c r="BE20" s="503"/>
      <c r="BF20" s="504">
        <f t="shared" si="17"/>
        <v>0</v>
      </c>
      <c r="BG20" s="505">
        <f t="shared" si="130"/>
        <v>0</v>
      </c>
      <c r="BH20" s="503"/>
      <c r="BI20" s="504">
        <f t="shared" si="18"/>
        <v>0</v>
      </c>
      <c r="BJ20" s="505">
        <f t="shared" si="131"/>
        <v>0</v>
      </c>
      <c r="BK20" s="503"/>
      <c r="BL20" s="504">
        <f t="shared" si="19"/>
        <v>0</v>
      </c>
      <c r="BM20" s="505">
        <f t="shared" si="132"/>
        <v>0</v>
      </c>
      <c r="BN20" s="503"/>
      <c r="BO20" s="504">
        <f t="shared" si="20"/>
        <v>0</v>
      </c>
      <c r="BP20" s="505">
        <f t="shared" si="133"/>
        <v>0</v>
      </c>
      <c r="BQ20" s="503"/>
      <c r="BR20" s="504">
        <f t="shared" si="21"/>
        <v>0</v>
      </c>
      <c r="BS20" s="505">
        <f t="shared" si="134"/>
        <v>0</v>
      </c>
      <c r="BT20" s="503"/>
      <c r="BU20" s="504">
        <f t="shared" si="22"/>
        <v>0</v>
      </c>
      <c r="BV20" s="505">
        <f t="shared" si="135"/>
        <v>0</v>
      </c>
      <c r="BW20" s="503"/>
      <c r="BX20" s="504">
        <f t="shared" si="23"/>
        <v>0</v>
      </c>
      <c r="BY20" s="505">
        <f t="shared" si="136"/>
        <v>0</v>
      </c>
      <c r="BZ20" s="503"/>
      <c r="CA20" s="504">
        <f t="shared" si="24"/>
        <v>0</v>
      </c>
      <c r="CB20" s="505">
        <f t="shared" si="137"/>
        <v>0</v>
      </c>
      <c r="CC20" s="503"/>
      <c r="CD20" s="504">
        <f t="shared" si="25"/>
        <v>0</v>
      </c>
      <c r="CE20" s="505">
        <f t="shared" si="138"/>
        <v>0</v>
      </c>
      <c r="CF20" s="503">
        <v>12</v>
      </c>
      <c r="CG20" s="504">
        <f t="shared" si="26"/>
        <v>0.24578076355890546</v>
      </c>
      <c r="CH20" s="505">
        <f t="shared" si="139"/>
        <v>0</v>
      </c>
      <c r="CI20" s="503"/>
      <c r="CJ20" s="504">
        <f t="shared" si="27"/>
        <v>0</v>
      </c>
      <c r="CK20" s="505">
        <f t="shared" si="140"/>
        <v>0</v>
      </c>
      <c r="CL20" s="503"/>
      <c r="CM20" s="504">
        <f t="shared" si="28"/>
        <v>0</v>
      </c>
      <c r="CN20" s="505">
        <f t="shared" si="141"/>
        <v>0</v>
      </c>
      <c r="CO20" s="503"/>
      <c r="CP20" s="504">
        <f t="shared" si="29"/>
        <v>0</v>
      </c>
      <c r="CQ20" s="505">
        <f t="shared" si="142"/>
        <v>0</v>
      </c>
      <c r="CR20" s="503"/>
      <c r="CS20" s="504">
        <f t="shared" si="30"/>
        <v>0</v>
      </c>
      <c r="CT20" s="505">
        <f t="shared" si="143"/>
        <v>0</v>
      </c>
      <c r="CU20" s="503"/>
      <c r="CV20" s="504">
        <f t="shared" si="31"/>
        <v>0</v>
      </c>
      <c r="CW20" s="505">
        <f t="shared" si="144"/>
        <v>0</v>
      </c>
      <c r="CX20" s="503"/>
      <c r="CY20" s="504">
        <f t="shared" si="32"/>
        <v>0</v>
      </c>
      <c r="CZ20" s="505">
        <f t="shared" si="145"/>
        <v>0</v>
      </c>
      <c r="DA20" s="503"/>
      <c r="DB20" s="504">
        <f t="shared" si="33"/>
        <v>0</v>
      </c>
      <c r="DC20" s="505">
        <f t="shared" si="146"/>
        <v>0</v>
      </c>
      <c r="DD20" s="503"/>
      <c r="DE20" s="504">
        <f t="shared" si="34"/>
        <v>0</v>
      </c>
      <c r="DF20" s="505">
        <f t="shared" si="147"/>
        <v>0</v>
      </c>
      <c r="DG20" s="503"/>
      <c r="DH20" s="504">
        <f t="shared" si="35"/>
        <v>0</v>
      </c>
      <c r="DI20" s="505">
        <f t="shared" si="203"/>
        <v>0</v>
      </c>
      <c r="DJ20" s="503"/>
      <c r="DK20" s="504">
        <f t="shared" si="36"/>
        <v>0</v>
      </c>
      <c r="DL20" s="505">
        <f t="shared" si="148"/>
        <v>0</v>
      </c>
      <c r="DM20" s="503"/>
      <c r="DN20" s="504">
        <f t="shared" si="37"/>
        <v>0</v>
      </c>
      <c r="DO20" s="505">
        <f t="shared" si="149"/>
        <v>0</v>
      </c>
      <c r="DP20" s="503"/>
      <c r="DQ20" s="504">
        <f t="shared" si="38"/>
        <v>0</v>
      </c>
      <c r="DR20" s="505">
        <f t="shared" si="150"/>
        <v>0</v>
      </c>
      <c r="DS20" s="503"/>
      <c r="DT20" s="504">
        <f t="shared" si="39"/>
        <v>0</v>
      </c>
      <c r="DU20" s="505">
        <f t="shared" si="151"/>
        <v>0</v>
      </c>
      <c r="DV20" s="503"/>
      <c r="DW20" s="504">
        <f t="shared" si="40"/>
        <v>0</v>
      </c>
      <c r="DX20" s="505">
        <f t="shared" si="152"/>
        <v>0</v>
      </c>
      <c r="DY20" s="503"/>
      <c r="DZ20" s="504">
        <f t="shared" si="41"/>
        <v>0</v>
      </c>
      <c r="EA20" s="505">
        <f t="shared" si="153"/>
        <v>0</v>
      </c>
      <c r="EB20" s="503">
        <v>258.30588235294113</v>
      </c>
      <c r="EC20" s="504">
        <f t="shared" si="42"/>
        <v>5.2905514163718896</v>
      </c>
      <c r="ED20" s="505">
        <f t="shared" si="154"/>
        <v>0</v>
      </c>
      <c r="EE20" s="503">
        <v>14.534883720930225</v>
      </c>
      <c r="EF20" s="504">
        <f t="shared" si="43"/>
        <v>0.29769956826417798</v>
      </c>
      <c r="EG20" s="505">
        <f t="shared" si="155"/>
        <v>0</v>
      </c>
      <c r="EH20" s="503"/>
      <c r="EI20" s="504">
        <f t="shared" si="44"/>
        <v>0</v>
      </c>
      <c r="EJ20" s="505">
        <f t="shared" si="156"/>
        <v>0</v>
      </c>
      <c r="EK20" s="503"/>
      <c r="EL20" s="504">
        <f t="shared" si="45"/>
        <v>0</v>
      </c>
      <c r="EM20" s="505">
        <f t="shared" si="157"/>
        <v>0</v>
      </c>
      <c r="EN20" s="503"/>
      <c r="EO20" s="504">
        <f t="shared" si="46"/>
        <v>0</v>
      </c>
      <c r="EP20" s="505">
        <f t="shared" si="158"/>
        <v>0</v>
      </c>
      <c r="EQ20" s="503"/>
      <c r="ER20" s="504">
        <f t="shared" si="47"/>
        <v>0</v>
      </c>
      <c r="ES20" s="505">
        <f t="shared" si="159"/>
        <v>0</v>
      </c>
      <c r="ET20" s="503"/>
      <c r="EU20" s="504">
        <f t="shared" si="48"/>
        <v>0</v>
      </c>
      <c r="EV20" s="505">
        <f t="shared" si="160"/>
        <v>0</v>
      </c>
      <c r="EW20" s="503"/>
      <c r="EX20" s="504">
        <f t="shared" si="49"/>
        <v>0</v>
      </c>
      <c r="EY20" s="505">
        <f t="shared" si="161"/>
        <v>0</v>
      </c>
      <c r="EZ20" s="503"/>
      <c r="FA20" s="504">
        <f t="shared" si="50"/>
        <v>0</v>
      </c>
      <c r="FB20" s="505">
        <f t="shared" si="162"/>
        <v>0</v>
      </c>
      <c r="FC20" s="503"/>
      <c r="FD20" s="504">
        <f t="shared" si="51"/>
        <v>0</v>
      </c>
      <c r="FE20" s="505">
        <f t="shared" si="163"/>
        <v>0</v>
      </c>
      <c r="FF20" s="503"/>
      <c r="FG20" s="504">
        <f t="shared" si="52"/>
        <v>0</v>
      </c>
      <c r="FH20" s="505">
        <f t="shared" si="164"/>
        <v>0</v>
      </c>
      <c r="FI20" s="503"/>
      <c r="FJ20" s="504">
        <f t="shared" si="53"/>
        <v>0</v>
      </c>
      <c r="FK20" s="505">
        <f t="shared" si="165"/>
        <v>0</v>
      </c>
      <c r="FL20" s="503"/>
      <c r="FM20" s="504">
        <f t="shared" si="54"/>
        <v>0</v>
      </c>
      <c r="FN20" s="505">
        <f t="shared" si="166"/>
        <v>0</v>
      </c>
      <c r="FO20" s="503"/>
      <c r="FP20" s="504">
        <f t="shared" si="55"/>
        <v>0</v>
      </c>
      <c r="FQ20" s="505">
        <f t="shared" si="167"/>
        <v>0</v>
      </c>
      <c r="FR20" s="503"/>
      <c r="FS20" s="504">
        <f t="shared" si="56"/>
        <v>0</v>
      </c>
      <c r="FT20" s="505">
        <f t="shared" si="168"/>
        <v>0</v>
      </c>
      <c r="FU20" s="503"/>
      <c r="FV20" s="504">
        <f t="shared" si="57"/>
        <v>0</v>
      </c>
      <c r="FW20" s="505">
        <f t="shared" si="169"/>
        <v>0</v>
      </c>
      <c r="FX20" s="503"/>
      <c r="FY20" s="504">
        <f t="shared" si="58"/>
        <v>0</v>
      </c>
      <c r="FZ20" s="505">
        <f t="shared" si="170"/>
        <v>0</v>
      </c>
      <c r="GA20" s="503"/>
      <c r="GB20" s="504">
        <f t="shared" si="59"/>
        <v>0</v>
      </c>
      <c r="GC20" s="505">
        <f t="shared" si="171"/>
        <v>0</v>
      </c>
      <c r="GD20" s="503"/>
      <c r="GE20" s="504">
        <f t="shared" si="60"/>
        <v>0</v>
      </c>
      <c r="GF20" s="505">
        <f t="shared" si="172"/>
        <v>0</v>
      </c>
      <c r="GG20" s="503">
        <v>14.844402083892398</v>
      </c>
      <c r="GH20" s="504">
        <f t="shared" si="61"/>
        <v>0.30403903989620673</v>
      </c>
      <c r="GI20" s="505">
        <f t="shared" si="173"/>
        <v>0</v>
      </c>
      <c r="GJ20" s="503">
        <v>19.792536111856531</v>
      </c>
      <c r="GK20" s="504">
        <f t="shared" si="62"/>
        <v>0.40538538652827566</v>
      </c>
      <c r="GL20" s="505">
        <f t="shared" si="174"/>
        <v>0</v>
      </c>
      <c r="GM20" s="503"/>
      <c r="GN20" s="504">
        <f t="shared" si="63"/>
        <v>0</v>
      </c>
      <c r="GO20" s="505">
        <f t="shared" si="175"/>
        <v>0</v>
      </c>
      <c r="GP20" s="503">
        <v>39.585072223713063</v>
      </c>
      <c r="GQ20" s="504">
        <f t="shared" si="64"/>
        <v>0.81077077305655132</v>
      </c>
      <c r="GR20" s="505">
        <f t="shared" si="176"/>
        <v>0</v>
      </c>
      <c r="GS20" s="503">
        <v>237.51043334227836</v>
      </c>
      <c r="GT20" s="504">
        <f t="shared" si="65"/>
        <v>4.8646246383393077</v>
      </c>
      <c r="GU20" s="505">
        <f t="shared" si="177"/>
        <v>0</v>
      </c>
      <c r="GV20" s="503">
        <v>79.170144447426125</v>
      </c>
      <c r="GW20" s="504">
        <f t="shared" si="66"/>
        <v>1.6215415461131026</v>
      </c>
      <c r="GX20" s="505">
        <f t="shared" si="178"/>
        <v>0</v>
      </c>
      <c r="GY20" s="503"/>
      <c r="GZ20" s="504">
        <f t="shared" si="67"/>
        <v>0</v>
      </c>
      <c r="HA20" s="505">
        <f t="shared" si="179"/>
        <v>0</v>
      </c>
      <c r="HB20" s="503"/>
      <c r="HC20" s="504">
        <f t="shared" si="68"/>
        <v>0</v>
      </c>
      <c r="HD20" s="505">
        <f t="shared" si="180"/>
        <v>0</v>
      </c>
      <c r="HE20" s="503"/>
      <c r="HF20" s="504">
        <f t="shared" si="69"/>
        <v>0</v>
      </c>
      <c r="HG20" s="505">
        <f t="shared" si="181"/>
        <v>0</v>
      </c>
      <c r="HH20" s="503"/>
      <c r="HI20" s="504">
        <f t="shared" si="70"/>
        <v>0</v>
      </c>
      <c r="HJ20" s="505">
        <f t="shared" si="182"/>
        <v>0</v>
      </c>
      <c r="HK20" s="503"/>
      <c r="HL20" s="504">
        <f t="shared" si="71"/>
        <v>0</v>
      </c>
      <c r="HM20" s="505">
        <f t="shared" si="183"/>
        <v>0</v>
      </c>
      <c r="HN20" s="503">
        <v>883.73673739439414</v>
      </c>
      <c r="HO20" s="504">
        <f t="shared" si="72"/>
        <v>18.100457508487509</v>
      </c>
      <c r="HP20" s="505">
        <f t="shared" si="184"/>
        <v>0</v>
      </c>
      <c r="HQ20" s="503"/>
      <c r="HR20" s="504">
        <f t="shared" si="73"/>
        <v>0</v>
      </c>
      <c r="HS20" s="505">
        <f t="shared" si="185"/>
        <v>0</v>
      </c>
      <c r="HT20" s="503"/>
      <c r="HU20" s="504">
        <f t="shared" si="74"/>
        <v>0</v>
      </c>
      <c r="HV20" s="505">
        <f t="shared" si="186"/>
        <v>0</v>
      </c>
      <c r="HW20" s="503"/>
      <c r="HX20" s="504">
        <f t="shared" si="75"/>
        <v>0</v>
      </c>
      <c r="HY20" s="505">
        <f t="shared" si="187"/>
        <v>0</v>
      </c>
      <c r="HZ20" s="503"/>
      <c r="IA20" s="504">
        <f t="shared" si="76"/>
        <v>0</v>
      </c>
      <c r="IB20" s="505">
        <f t="shared" si="188"/>
        <v>0</v>
      </c>
      <c r="IC20" s="503"/>
      <c r="ID20" s="504">
        <f t="shared" si="77"/>
        <v>0</v>
      </c>
      <c r="IE20" s="505">
        <f t="shared" si="189"/>
        <v>0</v>
      </c>
      <c r="IF20" s="503"/>
      <c r="IG20" s="504">
        <f t="shared" si="78"/>
        <v>0</v>
      </c>
      <c r="IH20" s="505">
        <f t="shared" si="190"/>
        <v>0</v>
      </c>
      <c r="II20" s="503">
        <v>24.740670139820665</v>
      </c>
      <c r="IJ20" s="504">
        <f t="shared" si="79"/>
        <v>0.50673173316034459</v>
      </c>
      <c r="IK20" s="505">
        <f t="shared" si="191"/>
        <v>0</v>
      </c>
      <c r="IL20" s="503"/>
      <c r="IM20" s="504">
        <f t="shared" si="80"/>
        <v>0</v>
      </c>
      <c r="IN20" s="505">
        <f t="shared" si="192"/>
        <v>0</v>
      </c>
      <c r="IO20" s="503"/>
      <c r="IP20" s="504">
        <f t="shared" si="81"/>
        <v>0</v>
      </c>
      <c r="IQ20" s="505">
        <f t="shared" si="193"/>
        <v>0</v>
      </c>
      <c r="IR20" s="503">
        <v>49.48134027964133</v>
      </c>
      <c r="IS20" s="504">
        <f t="shared" si="82"/>
        <v>1.0134634663206892</v>
      </c>
      <c r="IT20" s="505">
        <f t="shared" si="194"/>
        <v>0</v>
      </c>
      <c r="IU20" s="503"/>
      <c r="IV20" s="504">
        <f t="shared" si="83"/>
        <v>0</v>
      </c>
      <c r="IW20" s="505">
        <f t="shared" si="195"/>
        <v>0</v>
      </c>
      <c r="IX20" s="503"/>
      <c r="IY20" s="504">
        <f t="shared" si="84"/>
        <v>0</v>
      </c>
      <c r="IZ20" s="505">
        <f t="shared" si="196"/>
        <v>0</v>
      </c>
      <c r="JA20" s="503"/>
      <c r="JB20" s="504">
        <f t="shared" si="85"/>
        <v>0</v>
      </c>
      <c r="JC20" s="505">
        <f t="shared" si="197"/>
        <v>0</v>
      </c>
      <c r="JD20" s="503"/>
      <c r="JE20" s="504">
        <f t="shared" si="86"/>
        <v>0</v>
      </c>
      <c r="JF20" s="505">
        <f t="shared" si="198"/>
        <v>0</v>
      </c>
      <c r="JG20" s="503"/>
      <c r="JH20" s="504">
        <f t="shared" si="87"/>
        <v>0</v>
      </c>
      <c r="JI20" s="505">
        <f t="shared" si="199"/>
        <v>0</v>
      </c>
      <c r="JJ20" s="503">
        <v>22.266603125838596</v>
      </c>
      <c r="JK20" s="505" t="str">
        <f t="shared" si="88"/>
        <v>0</v>
      </c>
      <c r="JL20" s="505" t="str">
        <f t="shared" si="89"/>
        <v>0</v>
      </c>
      <c r="JM20" s="503"/>
      <c r="JN20" s="505" t="str">
        <f t="shared" si="90"/>
        <v>0</v>
      </c>
      <c r="JO20" s="505" t="str">
        <f t="shared" si="91"/>
        <v>0</v>
      </c>
      <c r="JP20" s="503"/>
      <c r="JQ20" s="505" t="str">
        <f t="shared" si="92"/>
        <v>0</v>
      </c>
      <c r="JR20" s="505" t="str">
        <f t="shared" si="93"/>
        <v>0</v>
      </c>
      <c r="JS20" s="503"/>
      <c r="JT20" s="505" t="str">
        <f t="shared" si="94"/>
        <v>0</v>
      </c>
      <c r="JU20" s="505" t="str">
        <f t="shared" si="95"/>
        <v>0</v>
      </c>
      <c r="JV20" s="503"/>
      <c r="JW20" s="505" t="str">
        <f t="shared" si="96"/>
        <v>0</v>
      </c>
      <c r="JX20" s="505" t="str">
        <f t="shared" si="97"/>
        <v>0</v>
      </c>
      <c r="JY20" s="503"/>
      <c r="JZ20" s="505" t="str">
        <f t="shared" si="98"/>
        <v>0</v>
      </c>
      <c r="KA20" s="505" t="str">
        <f t="shared" si="99"/>
        <v>0</v>
      </c>
      <c r="KB20" s="503"/>
      <c r="KC20" s="505" t="str">
        <f t="shared" si="100"/>
        <v>0</v>
      </c>
      <c r="KD20" s="505" t="str">
        <f t="shared" si="101"/>
        <v>0</v>
      </c>
      <c r="KE20" s="503"/>
      <c r="KF20" s="505" t="str">
        <f t="shared" si="102"/>
        <v>0</v>
      </c>
      <c r="KG20" s="505" t="str">
        <f t="shared" si="103"/>
        <v>0</v>
      </c>
      <c r="KH20" s="503"/>
      <c r="KI20" s="505" t="str">
        <f t="shared" si="104"/>
        <v>0</v>
      </c>
      <c r="KJ20" s="505" t="str">
        <f t="shared" si="105"/>
        <v>0</v>
      </c>
      <c r="KK20" s="503"/>
      <c r="KL20" s="505" t="str">
        <f t="shared" si="106"/>
        <v>0</v>
      </c>
      <c r="KM20" s="505" t="str">
        <f t="shared" si="107"/>
        <v>0</v>
      </c>
      <c r="KN20" s="503"/>
      <c r="KO20" s="505" t="str">
        <f t="shared" si="108"/>
        <v>0</v>
      </c>
      <c r="KP20" s="505" t="str">
        <f t="shared" si="109"/>
        <v>0</v>
      </c>
      <c r="KQ20" s="503"/>
      <c r="KR20" s="505" t="str">
        <f t="shared" si="110"/>
        <v>0</v>
      </c>
      <c r="KS20" s="505" t="str">
        <f t="shared" si="111"/>
        <v>0</v>
      </c>
      <c r="KT20" s="505">
        <f t="shared" si="201"/>
        <v>0</v>
      </c>
      <c r="KU20" s="505">
        <f t="shared" si="202"/>
        <v>0</v>
      </c>
      <c r="KV20" s="258">
        <f t="shared" si="112"/>
        <v>1782.2552436842707</v>
      </c>
    </row>
    <row r="21" spans="1:309" ht="15" customHeight="1">
      <c r="A21" s="462">
        <f t="shared" si="200"/>
        <v>46093</v>
      </c>
      <c r="B21" s="463" t="str">
        <f>+Report1!B20</f>
        <v xml:space="preserve">Toilet </v>
      </c>
      <c r="C21" s="464" t="str">
        <f>+Report1!C20</f>
        <v>15/14</v>
      </c>
      <c r="D21" s="465">
        <f>+Report1!P20</f>
        <v>52.466999999999999</v>
      </c>
      <c r="E21" s="466">
        <f>+Report1!R20</f>
        <v>52.936</v>
      </c>
      <c r="F21" s="503"/>
      <c r="G21" s="504">
        <f t="shared" si="0"/>
        <v>0</v>
      </c>
      <c r="H21" s="505">
        <f t="shared" si="113"/>
        <v>0</v>
      </c>
      <c r="I21" s="503"/>
      <c r="J21" s="504">
        <f t="shared" si="1"/>
        <v>0</v>
      </c>
      <c r="K21" s="505">
        <f t="shared" si="114"/>
        <v>0</v>
      </c>
      <c r="L21" s="503"/>
      <c r="M21" s="504">
        <f t="shared" si="2"/>
        <v>0</v>
      </c>
      <c r="N21" s="505">
        <f t="shared" si="115"/>
        <v>0</v>
      </c>
      <c r="O21" s="503">
        <v>23.999999999999972</v>
      </c>
      <c r="P21" s="504">
        <f t="shared" si="3"/>
        <v>0.45337766359377307</v>
      </c>
      <c r="Q21" s="505">
        <f t="shared" si="116"/>
        <v>0</v>
      </c>
      <c r="R21" s="503">
        <v>7.6875000000000284</v>
      </c>
      <c r="S21" s="504">
        <f t="shared" si="4"/>
        <v>0.14522253286988115</v>
      </c>
      <c r="T21" s="505">
        <f t="shared" si="117"/>
        <v>0</v>
      </c>
      <c r="U21" s="503">
        <v>4.6875000000000284</v>
      </c>
      <c r="V21" s="504">
        <f t="shared" si="5"/>
        <v>8.8550324920659451E-2</v>
      </c>
      <c r="W21" s="505">
        <f t="shared" si="118"/>
        <v>0</v>
      </c>
      <c r="X21" s="503"/>
      <c r="Y21" s="504">
        <f t="shared" si="6"/>
        <v>0</v>
      </c>
      <c r="Z21" s="505">
        <f t="shared" si="119"/>
        <v>0</v>
      </c>
      <c r="AA21" s="503"/>
      <c r="AB21" s="504">
        <f t="shared" si="7"/>
        <v>0</v>
      </c>
      <c r="AC21" s="505">
        <f t="shared" si="120"/>
        <v>0</v>
      </c>
      <c r="AD21" s="503"/>
      <c r="AE21" s="504">
        <f t="shared" si="8"/>
        <v>0</v>
      </c>
      <c r="AF21" s="505">
        <f t="shared" si="121"/>
        <v>0</v>
      </c>
      <c r="AG21" s="503"/>
      <c r="AH21" s="504">
        <f t="shared" si="9"/>
        <v>0</v>
      </c>
      <c r="AI21" s="505">
        <f t="shared" si="122"/>
        <v>0</v>
      </c>
      <c r="AJ21" s="503"/>
      <c r="AK21" s="504">
        <f t="shared" si="10"/>
        <v>0</v>
      </c>
      <c r="AL21" s="505">
        <f t="shared" si="123"/>
        <v>0</v>
      </c>
      <c r="AM21" s="503">
        <v>39.423076923076962</v>
      </c>
      <c r="AN21" s="504">
        <f t="shared" si="11"/>
        <v>0.74473093779426025</v>
      </c>
      <c r="AO21" s="505">
        <f t="shared" si="124"/>
        <v>0</v>
      </c>
      <c r="AP21" s="503"/>
      <c r="AQ21" s="504">
        <f t="shared" si="12"/>
        <v>0</v>
      </c>
      <c r="AR21" s="505">
        <f t="shared" si="125"/>
        <v>0</v>
      </c>
      <c r="AS21" s="503"/>
      <c r="AT21" s="504">
        <f t="shared" si="13"/>
        <v>0</v>
      </c>
      <c r="AU21" s="505">
        <f t="shared" si="126"/>
        <v>0</v>
      </c>
      <c r="AV21" s="503">
        <v>5.5500000000000114</v>
      </c>
      <c r="AW21" s="504">
        <f t="shared" si="14"/>
        <v>0.10484358470606037</v>
      </c>
      <c r="AX21" s="505">
        <f t="shared" si="127"/>
        <v>0</v>
      </c>
      <c r="AY21" s="503">
        <v>37.333333333333314</v>
      </c>
      <c r="AZ21" s="504">
        <f t="shared" si="15"/>
        <v>0.70525414336809189</v>
      </c>
      <c r="BA21" s="505">
        <f t="shared" si="128"/>
        <v>0</v>
      </c>
      <c r="BB21" s="503"/>
      <c r="BC21" s="504">
        <f t="shared" si="16"/>
        <v>0</v>
      </c>
      <c r="BD21" s="505">
        <f t="shared" si="129"/>
        <v>0</v>
      </c>
      <c r="BE21" s="503"/>
      <c r="BF21" s="504">
        <f t="shared" si="17"/>
        <v>0</v>
      </c>
      <c r="BG21" s="505">
        <f t="shared" si="130"/>
        <v>0</v>
      </c>
      <c r="BH21" s="503"/>
      <c r="BI21" s="504">
        <f t="shared" si="18"/>
        <v>0</v>
      </c>
      <c r="BJ21" s="505">
        <f t="shared" si="131"/>
        <v>0</v>
      </c>
      <c r="BK21" s="503"/>
      <c r="BL21" s="504">
        <f t="shared" si="19"/>
        <v>0</v>
      </c>
      <c r="BM21" s="505">
        <f t="shared" si="132"/>
        <v>0</v>
      </c>
      <c r="BN21" s="503"/>
      <c r="BO21" s="504">
        <f t="shared" si="20"/>
        <v>0</v>
      </c>
      <c r="BP21" s="505">
        <f t="shared" si="133"/>
        <v>0</v>
      </c>
      <c r="BQ21" s="503"/>
      <c r="BR21" s="504">
        <f t="shared" si="21"/>
        <v>0</v>
      </c>
      <c r="BS21" s="505">
        <f t="shared" si="134"/>
        <v>0</v>
      </c>
      <c r="BT21" s="503"/>
      <c r="BU21" s="504">
        <f t="shared" si="22"/>
        <v>0</v>
      </c>
      <c r="BV21" s="505">
        <f t="shared" si="135"/>
        <v>0</v>
      </c>
      <c r="BW21" s="503"/>
      <c r="BX21" s="504">
        <f t="shared" si="23"/>
        <v>0</v>
      </c>
      <c r="BY21" s="505">
        <f t="shared" si="136"/>
        <v>0</v>
      </c>
      <c r="BZ21" s="503"/>
      <c r="CA21" s="504">
        <f t="shared" si="24"/>
        <v>0</v>
      </c>
      <c r="CB21" s="505">
        <f t="shared" si="137"/>
        <v>0</v>
      </c>
      <c r="CC21" s="503"/>
      <c r="CD21" s="504">
        <f t="shared" si="25"/>
        <v>0</v>
      </c>
      <c r="CE21" s="505">
        <f t="shared" si="138"/>
        <v>0</v>
      </c>
      <c r="CF21" s="503">
        <v>12</v>
      </c>
      <c r="CG21" s="504">
        <f t="shared" si="26"/>
        <v>0.22668883179688681</v>
      </c>
      <c r="CH21" s="505">
        <f t="shared" si="139"/>
        <v>0</v>
      </c>
      <c r="CI21" s="503"/>
      <c r="CJ21" s="504">
        <f t="shared" si="27"/>
        <v>0</v>
      </c>
      <c r="CK21" s="505">
        <f t="shared" si="140"/>
        <v>0</v>
      </c>
      <c r="CL21" s="503"/>
      <c r="CM21" s="504">
        <f t="shared" si="28"/>
        <v>0</v>
      </c>
      <c r="CN21" s="505">
        <f t="shared" si="141"/>
        <v>0</v>
      </c>
      <c r="CO21" s="503"/>
      <c r="CP21" s="504">
        <f t="shared" si="29"/>
        <v>0</v>
      </c>
      <c r="CQ21" s="505">
        <f t="shared" si="142"/>
        <v>0</v>
      </c>
      <c r="CR21" s="503"/>
      <c r="CS21" s="504">
        <f t="shared" si="30"/>
        <v>0</v>
      </c>
      <c r="CT21" s="505">
        <f t="shared" si="143"/>
        <v>0</v>
      </c>
      <c r="CU21" s="503"/>
      <c r="CV21" s="504">
        <f t="shared" si="31"/>
        <v>0</v>
      </c>
      <c r="CW21" s="505">
        <f t="shared" si="144"/>
        <v>0</v>
      </c>
      <c r="CX21" s="503"/>
      <c r="CY21" s="504">
        <f t="shared" si="32"/>
        <v>0</v>
      </c>
      <c r="CZ21" s="505">
        <f t="shared" si="145"/>
        <v>0</v>
      </c>
      <c r="DA21" s="503"/>
      <c r="DB21" s="504">
        <f t="shared" si="33"/>
        <v>0</v>
      </c>
      <c r="DC21" s="505">
        <f t="shared" si="146"/>
        <v>0</v>
      </c>
      <c r="DD21" s="503"/>
      <c r="DE21" s="504">
        <f t="shared" si="34"/>
        <v>0</v>
      </c>
      <c r="DF21" s="505">
        <f t="shared" si="147"/>
        <v>0</v>
      </c>
      <c r="DG21" s="503"/>
      <c r="DH21" s="504">
        <f t="shared" si="35"/>
        <v>0</v>
      </c>
      <c r="DI21" s="505">
        <f t="shared" si="203"/>
        <v>0</v>
      </c>
      <c r="DJ21" s="503"/>
      <c r="DK21" s="504">
        <f t="shared" si="36"/>
        <v>0</v>
      </c>
      <c r="DL21" s="505">
        <f t="shared" si="148"/>
        <v>0</v>
      </c>
      <c r="DM21" s="503"/>
      <c r="DN21" s="504">
        <f t="shared" si="37"/>
        <v>0</v>
      </c>
      <c r="DO21" s="505">
        <f t="shared" si="149"/>
        <v>0</v>
      </c>
      <c r="DP21" s="503"/>
      <c r="DQ21" s="504">
        <f t="shared" si="38"/>
        <v>0</v>
      </c>
      <c r="DR21" s="505">
        <f t="shared" si="150"/>
        <v>0</v>
      </c>
      <c r="DS21" s="503"/>
      <c r="DT21" s="504">
        <f t="shared" si="39"/>
        <v>0</v>
      </c>
      <c r="DU21" s="505">
        <f t="shared" si="151"/>
        <v>0</v>
      </c>
      <c r="DV21" s="503"/>
      <c r="DW21" s="504">
        <f t="shared" si="40"/>
        <v>0</v>
      </c>
      <c r="DX21" s="505">
        <f t="shared" si="152"/>
        <v>0</v>
      </c>
      <c r="DY21" s="503"/>
      <c r="DZ21" s="504">
        <f t="shared" si="41"/>
        <v>0</v>
      </c>
      <c r="EA21" s="505">
        <f t="shared" si="153"/>
        <v>0</v>
      </c>
      <c r="EB21" s="503">
        <v>258.30588235294135</v>
      </c>
      <c r="EC21" s="504">
        <f t="shared" si="42"/>
        <v>4.8795882264043628</v>
      </c>
      <c r="ED21" s="505">
        <f t="shared" si="154"/>
        <v>0</v>
      </c>
      <c r="EE21" s="503">
        <v>21.80232558139528</v>
      </c>
      <c r="EF21" s="504">
        <f t="shared" si="43"/>
        <v>0.41186197637515642</v>
      </c>
      <c r="EG21" s="505">
        <f t="shared" si="155"/>
        <v>0</v>
      </c>
      <c r="EH21" s="503"/>
      <c r="EI21" s="504">
        <f t="shared" si="44"/>
        <v>0</v>
      </c>
      <c r="EJ21" s="505">
        <f t="shared" si="156"/>
        <v>0</v>
      </c>
      <c r="EK21" s="503"/>
      <c r="EL21" s="504">
        <f t="shared" si="45"/>
        <v>0</v>
      </c>
      <c r="EM21" s="505">
        <f t="shared" si="157"/>
        <v>0</v>
      </c>
      <c r="EN21" s="503"/>
      <c r="EO21" s="504">
        <f t="shared" si="46"/>
        <v>0</v>
      </c>
      <c r="EP21" s="505">
        <f t="shared" si="158"/>
        <v>0</v>
      </c>
      <c r="EQ21" s="503"/>
      <c r="ER21" s="504">
        <f t="shared" si="47"/>
        <v>0</v>
      </c>
      <c r="ES21" s="505">
        <f t="shared" si="159"/>
        <v>0</v>
      </c>
      <c r="ET21" s="503"/>
      <c r="EU21" s="504">
        <f t="shared" si="48"/>
        <v>0</v>
      </c>
      <c r="EV21" s="505">
        <f t="shared" si="160"/>
        <v>0</v>
      </c>
      <c r="EW21" s="503"/>
      <c r="EX21" s="504">
        <f t="shared" si="49"/>
        <v>0</v>
      </c>
      <c r="EY21" s="505">
        <f t="shared" si="161"/>
        <v>0</v>
      </c>
      <c r="EZ21" s="503"/>
      <c r="FA21" s="504">
        <f t="shared" si="50"/>
        <v>0</v>
      </c>
      <c r="FB21" s="505">
        <f t="shared" si="162"/>
        <v>0</v>
      </c>
      <c r="FC21" s="503"/>
      <c r="FD21" s="504">
        <f t="shared" si="51"/>
        <v>0</v>
      </c>
      <c r="FE21" s="505">
        <f t="shared" si="163"/>
        <v>0</v>
      </c>
      <c r="FF21" s="503"/>
      <c r="FG21" s="504">
        <f t="shared" si="52"/>
        <v>0</v>
      </c>
      <c r="FH21" s="505">
        <f t="shared" si="164"/>
        <v>0</v>
      </c>
      <c r="FI21" s="503"/>
      <c r="FJ21" s="504">
        <f t="shared" si="53"/>
        <v>0</v>
      </c>
      <c r="FK21" s="505">
        <f t="shared" si="165"/>
        <v>0</v>
      </c>
      <c r="FL21" s="503"/>
      <c r="FM21" s="504">
        <f t="shared" si="54"/>
        <v>0</v>
      </c>
      <c r="FN21" s="505">
        <f t="shared" si="166"/>
        <v>0</v>
      </c>
      <c r="FO21" s="503"/>
      <c r="FP21" s="504">
        <f t="shared" si="55"/>
        <v>0</v>
      </c>
      <c r="FQ21" s="505">
        <f t="shared" si="167"/>
        <v>0</v>
      </c>
      <c r="FR21" s="503"/>
      <c r="FS21" s="504">
        <f t="shared" si="56"/>
        <v>0</v>
      </c>
      <c r="FT21" s="505">
        <f t="shared" si="168"/>
        <v>0</v>
      </c>
      <c r="FU21" s="503"/>
      <c r="FV21" s="504">
        <f t="shared" si="57"/>
        <v>0</v>
      </c>
      <c r="FW21" s="505">
        <f t="shared" si="169"/>
        <v>0</v>
      </c>
      <c r="FX21" s="503"/>
      <c r="FY21" s="504">
        <f t="shared" si="58"/>
        <v>0</v>
      </c>
      <c r="FZ21" s="505">
        <f t="shared" si="170"/>
        <v>0</v>
      </c>
      <c r="GA21" s="503"/>
      <c r="GB21" s="504">
        <f t="shared" si="59"/>
        <v>0</v>
      </c>
      <c r="GC21" s="505">
        <f t="shared" si="171"/>
        <v>0</v>
      </c>
      <c r="GD21" s="503"/>
      <c r="GE21" s="504">
        <f t="shared" si="60"/>
        <v>0</v>
      </c>
      <c r="GF21" s="505">
        <f t="shared" si="172"/>
        <v>0</v>
      </c>
      <c r="GG21" s="503">
        <v>14.975595832738691</v>
      </c>
      <c r="GH21" s="504">
        <f t="shared" si="61"/>
        <v>0.28290002706548834</v>
      </c>
      <c r="GI21" s="505">
        <f t="shared" si="173"/>
        <v>0</v>
      </c>
      <c r="GJ21" s="503">
        <v>14.975595832738691</v>
      </c>
      <c r="GK21" s="504">
        <f t="shared" si="62"/>
        <v>0.28290002706548834</v>
      </c>
      <c r="GL21" s="505">
        <f t="shared" si="174"/>
        <v>0</v>
      </c>
      <c r="GM21" s="503"/>
      <c r="GN21" s="504">
        <f t="shared" si="63"/>
        <v>0</v>
      </c>
      <c r="GO21" s="505">
        <f t="shared" si="175"/>
        <v>0</v>
      </c>
      <c r="GP21" s="503">
        <v>39.934922220636508</v>
      </c>
      <c r="GQ21" s="504">
        <f t="shared" si="64"/>
        <v>0.75440007217463556</v>
      </c>
      <c r="GR21" s="505">
        <f t="shared" si="176"/>
        <v>0</v>
      </c>
      <c r="GS21" s="503">
        <v>239.60953332381905</v>
      </c>
      <c r="GT21" s="504">
        <f t="shared" si="65"/>
        <v>4.5264004330478134</v>
      </c>
      <c r="GU21" s="505">
        <f t="shared" si="177"/>
        <v>0</v>
      </c>
      <c r="GV21" s="503">
        <v>79.869844441273017</v>
      </c>
      <c r="GW21" s="504">
        <f t="shared" si="66"/>
        <v>1.5088001443492711</v>
      </c>
      <c r="GX21" s="505">
        <f t="shared" si="178"/>
        <v>0</v>
      </c>
      <c r="GY21" s="503"/>
      <c r="GZ21" s="504">
        <f t="shared" si="67"/>
        <v>0</v>
      </c>
      <c r="HA21" s="505">
        <f t="shared" si="179"/>
        <v>0</v>
      </c>
      <c r="HB21" s="503"/>
      <c r="HC21" s="504">
        <f t="shared" si="68"/>
        <v>0</v>
      </c>
      <c r="HD21" s="505">
        <f t="shared" si="180"/>
        <v>0</v>
      </c>
      <c r="HE21" s="503"/>
      <c r="HF21" s="504">
        <f t="shared" si="69"/>
        <v>0</v>
      </c>
      <c r="HG21" s="505">
        <f t="shared" si="181"/>
        <v>0</v>
      </c>
      <c r="HH21" s="503"/>
      <c r="HI21" s="504">
        <f t="shared" si="70"/>
        <v>0</v>
      </c>
      <c r="HJ21" s="505">
        <f t="shared" si="182"/>
        <v>0</v>
      </c>
      <c r="HK21" s="503"/>
      <c r="HL21" s="504">
        <f t="shared" si="71"/>
        <v>0</v>
      </c>
      <c r="HM21" s="505">
        <f t="shared" si="183"/>
        <v>0</v>
      </c>
      <c r="HN21" s="503">
        <v>884.55852718709866</v>
      </c>
      <c r="HO21" s="504">
        <f t="shared" si="72"/>
        <v>16.709961598668176</v>
      </c>
      <c r="HP21" s="505">
        <f t="shared" si="184"/>
        <v>0</v>
      </c>
      <c r="HQ21" s="503"/>
      <c r="HR21" s="504">
        <f t="shared" si="73"/>
        <v>0</v>
      </c>
      <c r="HS21" s="505">
        <f t="shared" si="185"/>
        <v>0</v>
      </c>
      <c r="HT21" s="503"/>
      <c r="HU21" s="504">
        <f t="shared" si="74"/>
        <v>0</v>
      </c>
      <c r="HV21" s="505">
        <f t="shared" si="186"/>
        <v>0</v>
      </c>
      <c r="HW21" s="503"/>
      <c r="HX21" s="504">
        <f t="shared" si="75"/>
        <v>0</v>
      </c>
      <c r="HY21" s="505">
        <f t="shared" si="187"/>
        <v>0</v>
      </c>
      <c r="HZ21" s="503"/>
      <c r="IA21" s="504">
        <f t="shared" si="76"/>
        <v>0</v>
      </c>
      <c r="IB21" s="505">
        <f t="shared" si="188"/>
        <v>0</v>
      </c>
      <c r="IC21" s="503"/>
      <c r="ID21" s="504">
        <f t="shared" si="77"/>
        <v>0</v>
      </c>
      <c r="IE21" s="505">
        <f t="shared" si="189"/>
        <v>0</v>
      </c>
      <c r="IF21" s="503"/>
      <c r="IG21" s="504">
        <f t="shared" si="78"/>
        <v>0</v>
      </c>
      <c r="IH21" s="505">
        <f t="shared" si="190"/>
        <v>0</v>
      </c>
      <c r="II21" s="503">
        <v>24.959326387897818</v>
      </c>
      <c r="IJ21" s="504">
        <f t="shared" si="79"/>
        <v>0.47150004510914723</v>
      </c>
      <c r="IK21" s="505">
        <f t="shared" si="191"/>
        <v>0</v>
      </c>
      <c r="IL21" s="503"/>
      <c r="IM21" s="504">
        <f t="shared" si="80"/>
        <v>0</v>
      </c>
      <c r="IN21" s="505">
        <f t="shared" si="192"/>
        <v>0</v>
      </c>
      <c r="IO21" s="503"/>
      <c r="IP21" s="504">
        <f t="shared" si="81"/>
        <v>0</v>
      </c>
      <c r="IQ21" s="505">
        <f t="shared" si="193"/>
        <v>0</v>
      </c>
      <c r="IR21" s="503">
        <v>49.918652775795636</v>
      </c>
      <c r="IS21" s="504">
        <f t="shared" si="82"/>
        <v>0.94300009021829445</v>
      </c>
      <c r="IT21" s="505">
        <f t="shared" si="194"/>
        <v>0</v>
      </c>
      <c r="IU21" s="503"/>
      <c r="IV21" s="504">
        <f t="shared" si="83"/>
        <v>0</v>
      </c>
      <c r="IW21" s="505">
        <f t="shared" si="195"/>
        <v>0</v>
      </c>
      <c r="IX21" s="503"/>
      <c r="IY21" s="504">
        <f t="shared" si="84"/>
        <v>0</v>
      </c>
      <c r="IZ21" s="505">
        <f t="shared" si="196"/>
        <v>0</v>
      </c>
      <c r="JA21" s="503"/>
      <c r="JB21" s="504">
        <f t="shared" si="85"/>
        <v>0</v>
      </c>
      <c r="JC21" s="505">
        <f t="shared" si="197"/>
        <v>0</v>
      </c>
      <c r="JD21" s="503"/>
      <c r="JE21" s="504">
        <f t="shared" si="86"/>
        <v>0</v>
      </c>
      <c r="JF21" s="505">
        <f t="shared" si="198"/>
        <v>0</v>
      </c>
      <c r="JG21" s="503"/>
      <c r="JH21" s="504">
        <f t="shared" si="87"/>
        <v>0</v>
      </c>
      <c r="JI21" s="505">
        <f t="shared" si="199"/>
        <v>0</v>
      </c>
      <c r="JJ21" s="503">
        <v>22.463393749108036</v>
      </c>
      <c r="JK21" s="505" t="str">
        <f t="shared" si="88"/>
        <v>0</v>
      </c>
      <c r="JL21" s="505" t="str">
        <f t="shared" si="89"/>
        <v>0</v>
      </c>
      <c r="JM21" s="503"/>
      <c r="JN21" s="505" t="str">
        <f t="shared" si="90"/>
        <v>0</v>
      </c>
      <c r="JO21" s="505" t="str">
        <f t="shared" si="91"/>
        <v>0</v>
      </c>
      <c r="JP21" s="503"/>
      <c r="JQ21" s="505" t="str">
        <f t="shared" si="92"/>
        <v>0</v>
      </c>
      <c r="JR21" s="505" t="str">
        <f t="shared" si="93"/>
        <v>0</v>
      </c>
      <c r="JS21" s="503"/>
      <c r="JT21" s="505" t="str">
        <f t="shared" si="94"/>
        <v>0</v>
      </c>
      <c r="JU21" s="505" t="str">
        <f t="shared" si="95"/>
        <v>0</v>
      </c>
      <c r="JV21" s="503"/>
      <c r="JW21" s="505" t="str">
        <f t="shared" si="96"/>
        <v>0</v>
      </c>
      <c r="JX21" s="505" t="str">
        <f t="shared" si="97"/>
        <v>0</v>
      </c>
      <c r="JY21" s="503"/>
      <c r="JZ21" s="505" t="str">
        <f t="shared" si="98"/>
        <v>0</v>
      </c>
      <c r="KA21" s="505" t="str">
        <f t="shared" si="99"/>
        <v>0</v>
      </c>
      <c r="KB21" s="503"/>
      <c r="KC21" s="505" t="str">
        <f t="shared" si="100"/>
        <v>0</v>
      </c>
      <c r="KD21" s="505" t="str">
        <f t="shared" si="101"/>
        <v>0</v>
      </c>
      <c r="KE21" s="503"/>
      <c r="KF21" s="505" t="str">
        <f t="shared" si="102"/>
        <v>0</v>
      </c>
      <c r="KG21" s="505" t="str">
        <f t="shared" si="103"/>
        <v>0</v>
      </c>
      <c r="KH21" s="503"/>
      <c r="KI21" s="505" t="str">
        <f t="shared" si="104"/>
        <v>0</v>
      </c>
      <c r="KJ21" s="505" t="str">
        <f t="shared" si="105"/>
        <v>0</v>
      </c>
      <c r="KK21" s="503"/>
      <c r="KL21" s="505" t="str">
        <f t="shared" si="106"/>
        <v>0</v>
      </c>
      <c r="KM21" s="505" t="str">
        <f t="shared" si="107"/>
        <v>0</v>
      </c>
      <c r="KN21" s="503"/>
      <c r="KO21" s="505" t="str">
        <f t="shared" si="108"/>
        <v>0</v>
      </c>
      <c r="KP21" s="505" t="str">
        <f t="shared" si="109"/>
        <v>0</v>
      </c>
      <c r="KQ21" s="503"/>
      <c r="KR21" s="505" t="str">
        <f t="shared" si="110"/>
        <v>0</v>
      </c>
      <c r="KS21" s="505" t="str">
        <f t="shared" si="111"/>
        <v>0</v>
      </c>
      <c r="KT21" s="505">
        <f t="shared" si="201"/>
        <v>0</v>
      </c>
      <c r="KU21" s="505">
        <f t="shared" si="202"/>
        <v>0</v>
      </c>
      <c r="KV21" s="258">
        <f t="shared" si="112"/>
        <v>1782.0550099418531</v>
      </c>
    </row>
    <row r="22" spans="1:309" ht="15" customHeight="1">
      <c r="A22" s="462">
        <f t="shared" si="200"/>
        <v>46094</v>
      </c>
      <c r="B22" s="463" t="str">
        <f>+Report1!B21</f>
        <v xml:space="preserve">Toilet </v>
      </c>
      <c r="C22" s="464" t="str">
        <f>+Report1!C21</f>
        <v>14/13,5</v>
      </c>
      <c r="D22" s="465">
        <f>+Report1!P21</f>
        <v>52.908000000000001</v>
      </c>
      <c r="E22" s="466">
        <f>+Report1!R21</f>
        <v>50.177999999999997</v>
      </c>
      <c r="F22" s="503"/>
      <c r="G22" s="504">
        <f t="shared" si="0"/>
        <v>0</v>
      </c>
      <c r="H22" s="505">
        <f t="shared" si="113"/>
        <v>0</v>
      </c>
      <c r="I22" s="503"/>
      <c r="J22" s="504">
        <f t="shared" si="1"/>
        <v>0</v>
      </c>
      <c r="K22" s="505">
        <f t="shared" si="114"/>
        <v>0</v>
      </c>
      <c r="L22" s="503"/>
      <c r="M22" s="504">
        <f t="shared" si="2"/>
        <v>0</v>
      </c>
      <c r="N22" s="505">
        <f t="shared" si="115"/>
        <v>0</v>
      </c>
      <c r="O22" s="503">
        <v>24</v>
      </c>
      <c r="P22" s="504">
        <f t="shared" si="3"/>
        <v>0.47829726174817649</v>
      </c>
      <c r="Q22" s="505">
        <f t="shared" si="116"/>
        <v>0</v>
      </c>
      <c r="R22" s="503">
        <v>5.1249999999999716</v>
      </c>
      <c r="S22" s="504">
        <f t="shared" si="4"/>
        <v>0.10213639443580796</v>
      </c>
      <c r="T22" s="505">
        <f t="shared" si="117"/>
        <v>0</v>
      </c>
      <c r="U22" s="503">
        <v>4.6875</v>
      </c>
      <c r="V22" s="504">
        <f t="shared" si="5"/>
        <v>9.3417433935190725E-2</v>
      </c>
      <c r="W22" s="505">
        <f t="shared" si="118"/>
        <v>0</v>
      </c>
      <c r="X22" s="503"/>
      <c r="Y22" s="504">
        <f t="shared" si="6"/>
        <v>0</v>
      </c>
      <c r="Z22" s="505">
        <f t="shared" si="119"/>
        <v>0</v>
      </c>
      <c r="AA22" s="503"/>
      <c r="AB22" s="504">
        <f t="shared" si="7"/>
        <v>0</v>
      </c>
      <c r="AC22" s="505">
        <f t="shared" si="120"/>
        <v>0</v>
      </c>
      <c r="AD22" s="503"/>
      <c r="AE22" s="504">
        <f t="shared" si="8"/>
        <v>0</v>
      </c>
      <c r="AF22" s="505">
        <f t="shared" si="121"/>
        <v>0</v>
      </c>
      <c r="AG22" s="503"/>
      <c r="AH22" s="504">
        <f t="shared" si="9"/>
        <v>0</v>
      </c>
      <c r="AI22" s="505">
        <f t="shared" si="122"/>
        <v>0</v>
      </c>
      <c r="AJ22" s="503"/>
      <c r="AK22" s="504">
        <f t="shared" si="10"/>
        <v>0</v>
      </c>
      <c r="AL22" s="505">
        <f t="shared" si="123"/>
        <v>0</v>
      </c>
      <c r="AM22" s="503">
        <v>52.564102564102598</v>
      </c>
      <c r="AN22" s="504">
        <f t="shared" si="11"/>
        <v>1.0475527634441908</v>
      </c>
      <c r="AO22" s="505">
        <f t="shared" si="124"/>
        <v>0</v>
      </c>
      <c r="AP22" s="503"/>
      <c r="AQ22" s="504">
        <f t="shared" si="12"/>
        <v>0</v>
      </c>
      <c r="AR22" s="505">
        <f t="shared" si="125"/>
        <v>0</v>
      </c>
      <c r="AS22" s="503"/>
      <c r="AT22" s="504">
        <f t="shared" si="13"/>
        <v>0</v>
      </c>
      <c r="AU22" s="505">
        <f t="shared" si="126"/>
        <v>0</v>
      </c>
      <c r="AV22" s="503">
        <v>5.5500000000000114</v>
      </c>
      <c r="AW22" s="504">
        <f t="shared" si="14"/>
        <v>0.11060624177926605</v>
      </c>
      <c r="AX22" s="505">
        <f t="shared" si="127"/>
        <v>0</v>
      </c>
      <c r="AY22" s="503">
        <v>37.333333333333371</v>
      </c>
      <c r="AZ22" s="504">
        <f t="shared" si="15"/>
        <v>0.74401796271938647</v>
      </c>
      <c r="BA22" s="505">
        <f t="shared" si="128"/>
        <v>0</v>
      </c>
      <c r="BB22" s="503"/>
      <c r="BC22" s="504">
        <f t="shared" si="16"/>
        <v>0</v>
      </c>
      <c r="BD22" s="505">
        <f t="shared" si="129"/>
        <v>0</v>
      </c>
      <c r="BE22" s="503"/>
      <c r="BF22" s="504">
        <f t="shared" si="17"/>
        <v>0</v>
      </c>
      <c r="BG22" s="505">
        <f t="shared" si="130"/>
        <v>0</v>
      </c>
      <c r="BH22" s="503"/>
      <c r="BI22" s="504">
        <f t="shared" si="18"/>
        <v>0</v>
      </c>
      <c r="BJ22" s="505">
        <f t="shared" si="131"/>
        <v>0</v>
      </c>
      <c r="BK22" s="503"/>
      <c r="BL22" s="504">
        <f t="shared" si="19"/>
        <v>0</v>
      </c>
      <c r="BM22" s="505">
        <f t="shared" si="132"/>
        <v>0</v>
      </c>
      <c r="BN22" s="503"/>
      <c r="BO22" s="504">
        <f t="shared" si="20"/>
        <v>0</v>
      </c>
      <c r="BP22" s="505">
        <f t="shared" si="133"/>
        <v>0</v>
      </c>
      <c r="BQ22" s="503"/>
      <c r="BR22" s="504">
        <f t="shared" si="21"/>
        <v>0</v>
      </c>
      <c r="BS22" s="505">
        <f t="shared" si="134"/>
        <v>0</v>
      </c>
      <c r="BT22" s="503"/>
      <c r="BU22" s="504">
        <f t="shared" si="22"/>
        <v>0</v>
      </c>
      <c r="BV22" s="505">
        <f t="shared" si="135"/>
        <v>0</v>
      </c>
      <c r="BW22" s="503"/>
      <c r="BX22" s="504">
        <f t="shared" si="23"/>
        <v>0</v>
      </c>
      <c r="BY22" s="505">
        <f t="shared" si="136"/>
        <v>0</v>
      </c>
      <c r="BZ22" s="503"/>
      <c r="CA22" s="504">
        <f t="shared" si="24"/>
        <v>0</v>
      </c>
      <c r="CB22" s="505">
        <f t="shared" si="137"/>
        <v>0</v>
      </c>
      <c r="CC22" s="503">
        <v>4</v>
      </c>
      <c r="CD22" s="504">
        <f t="shared" si="25"/>
        <v>7.9716210291362749E-2</v>
      </c>
      <c r="CE22" s="505">
        <f t="shared" si="138"/>
        <v>0</v>
      </c>
      <c r="CF22" s="503">
        <v>12</v>
      </c>
      <c r="CG22" s="504">
        <f t="shared" si="26"/>
        <v>0.23914863087408825</v>
      </c>
      <c r="CH22" s="505">
        <f t="shared" si="139"/>
        <v>0</v>
      </c>
      <c r="CI22" s="503"/>
      <c r="CJ22" s="504">
        <f t="shared" si="27"/>
        <v>0</v>
      </c>
      <c r="CK22" s="505">
        <f t="shared" si="140"/>
        <v>0</v>
      </c>
      <c r="CL22" s="503"/>
      <c r="CM22" s="504">
        <f t="shared" si="28"/>
        <v>0</v>
      </c>
      <c r="CN22" s="505">
        <f t="shared" si="141"/>
        <v>0</v>
      </c>
      <c r="CO22" s="503"/>
      <c r="CP22" s="504">
        <f t="shared" si="29"/>
        <v>0</v>
      </c>
      <c r="CQ22" s="505">
        <f t="shared" si="142"/>
        <v>0</v>
      </c>
      <c r="CR22" s="503"/>
      <c r="CS22" s="504">
        <f t="shared" si="30"/>
        <v>0</v>
      </c>
      <c r="CT22" s="505">
        <f t="shared" si="143"/>
        <v>0</v>
      </c>
      <c r="CU22" s="503"/>
      <c r="CV22" s="504">
        <f t="shared" si="31"/>
        <v>0</v>
      </c>
      <c r="CW22" s="505">
        <f t="shared" si="144"/>
        <v>0</v>
      </c>
      <c r="CX22" s="503"/>
      <c r="CY22" s="504">
        <f t="shared" si="32"/>
        <v>0</v>
      </c>
      <c r="CZ22" s="505">
        <f t="shared" si="145"/>
        <v>0</v>
      </c>
      <c r="DA22" s="503"/>
      <c r="DB22" s="504">
        <f t="shared" si="33"/>
        <v>0</v>
      </c>
      <c r="DC22" s="505">
        <f t="shared" si="146"/>
        <v>0</v>
      </c>
      <c r="DD22" s="503"/>
      <c r="DE22" s="504">
        <f t="shared" si="34"/>
        <v>0</v>
      </c>
      <c r="DF22" s="505">
        <f t="shared" si="147"/>
        <v>0</v>
      </c>
      <c r="DG22" s="503"/>
      <c r="DH22" s="504">
        <f t="shared" si="35"/>
        <v>0</v>
      </c>
      <c r="DI22" s="505">
        <f t="shared" si="203"/>
        <v>0</v>
      </c>
      <c r="DJ22" s="503"/>
      <c r="DK22" s="504">
        <f t="shared" si="36"/>
        <v>0</v>
      </c>
      <c r="DL22" s="505">
        <f t="shared" si="148"/>
        <v>0</v>
      </c>
      <c r="DM22" s="503"/>
      <c r="DN22" s="504">
        <f t="shared" si="37"/>
        <v>0</v>
      </c>
      <c r="DO22" s="505">
        <f t="shared" si="149"/>
        <v>0</v>
      </c>
      <c r="DP22" s="503"/>
      <c r="DQ22" s="504">
        <f t="shared" si="38"/>
        <v>0</v>
      </c>
      <c r="DR22" s="505">
        <f t="shared" si="150"/>
        <v>0</v>
      </c>
      <c r="DS22" s="503"/>
      <c r="DT22" s="504">
        <f t="shared" si="39"/>
        <v>0</v>
      </c>
      <c r="DU22" s="505">
        <f t="shared" si="151"/>
        <v>0</v>
      </c>
      <c r="DV22" s="503"/>
      <c r="DW22" s="504">
        <f t="shared" si="40"/>
        <v>0</v>
      </c>
      <c r="DX22" s="505">
        <f t="shared" si="152"/>
        <v>0</v>
      </c>
      <c r="DY22" s="503"/>
      <c r="DZ22" s="504">
        <f t="shared" si="41"/>
        <v>0</v>
      </c>
      <c r="EA22" s="505">
        <f t="shared" si="153"/>
        <v>0</v>
      </c>
      <c r="EB22" s="503">
        <v>234.82352941176464</v>
      </c>
      <c r="EC22" s="504">
        <f t="shared" si="42"/>
        <v>4.6798104629870592</v>
      </c>
      <c r="ED22" s="505">
        <f t="shared" si="154"/>
        <v>0</v>
      </c>
      <c r="EE22" s="503">
        <v>21.802325581395394</v>
      </c>
      <c r="EF22" s="504">
        <f t="shared" si="43"/>
        <v>0.43449969272181821</v>
      </c>
      <c r="EG22" s="505">
        <f t="shared" si="155"/>
        <v>0</v>
      </c>
      <c r="EH22" s="503"/>
      <c r="EI22" s="504">
        <f t="shared" si="44"/>
        <v>0</v>
      </c>
      <c r="EJ22" s="505">
        <f t="shared" si="156"/>
        <v>0</v>
      </c>
      <c r="EK22" s="503"/>
      <c r="EL22" s="504">
        <f t="shared" si="45"/>
        <v>0</v>
      </c>
      <c r="EM22" s="505">
        <f t="shared" si="157"/>
        <v>0</v>
      </c>
      <c r="EN22" s="503"/>
      <c r="EO22" s="504">
        <f t="shared" si="46"/>
        <v>0</v>
      </c>
      <c r="EP22" s="505">
        <f t="shared" si="158"/>
        <v>0</v>
      </c>
      <c r="EQ22" s="503"/>
      <c r="ER22" s="504">
        <f t="shared" si="47"/>
        <v>0</v>
      </c>
      <c r="ES22" s="505">
        <f t="shared" si="159"/>
        <v>0</v>
      </c>
      <c r="ET22" s="503"/>
      <c r="EU22" s="504">
        <f t="shared" si="48"/>
        <v>0</v>
      </c>
      <c r="EV22" s="505">
        <f t="shared" si="160"/>
        <v>0</v>
      </c>
      <c r="EW22" s="503"/>
      <c r="EX22" s="504">
        <f t="shared" si="49"/>
        <v>0</v>
      </c>
      <c r="EY22" s="505">
        <f t="shared" si="161"/>
        <v>0</v>
      </c>
      <c r="EZ22" s="503"/>
      <c r="FA22" s="504">
        <f t="shared" si="50"/>
        <v>0</v>
      </c>
      <c r="FB22" s="505">
        <f t="shared" si="162"/>
        <v>0</v>
      </c>
      <c r="FC22" s="503"/>
      <c r="FD22" s="504">
        <f t="shared" si="51"/>
        <v>0</v>
      </c>
      <c r="FE22" s="505">
        <f t="shared" si="163"/>
        <v>0</v>
      </c>
      <c r="FF22" s="503"/>
      <c r="FG22" s="504">
        <f t="shared" si="52"/>
        <v>0</v>
      </c>
      <c r="FH22" s="505">
        <f t="shared" si="164"/>
        <v>0</v>
      </c>
      <c r="FI22" s="503"/>
      <c r="FJ22" s="504">
        <f t="shared" si="53"/>
        <v>0</v>
      </c>
      <c r="FK22" s="505">
        <f t="shared" si="165"/>
        <v>0</v>
      </c>
      <c r="FL22" s="503"/>
      <c r="FM22" s="504">
        <f t="shared" si="54"/>
        <v>0</v>
      </c>
      <c r="FN22" s="505">
        <f t="shared" si="166"/>
        <v>0</v>
      </c>
      <c r="FO22" s="503"/>
      <c r="FP22" s="504">
        <f t="shared" si="55"/>
        <v>0</v>
      </c>
      <c r="FQ22" s="505">
        <f t="shared" si="167"/>
        <v>0</v>
      </c>
      <c r="FR22" s="503"/>
      <c r="FS22" s="504">
        <f t="shared" si="56"/>
        <v>0</v>
      </c>
      <c r="FT22" s="505">
        <f t="shared" si="168"/>
        <v>0</v>
      </c>
      <c r="FU22" s="503"/>
      <c r="FV22" s="504">
        <f t="shared" si="57"/>
        <v>0</v>
      </c>
      <c r="FW22" s="505">
        <f t="shared" si="169"/>
        <v>0</v>
      </c>
      <c r="FX22" s="503"/>
      <c r="FY22" s="504">
        <f t="shared" si="58"/>
        <v>0</v>
      </c>
      <c r="FZ22" s="505">
        <f t="shared" si="170"/>
        <v>0</v>
      </c>
      <c r="GA22" s="503"/>
      <c r="GB22" s="504">
        <f t="shared" si="59"/>
        <v>0</v>
      </c>
      <c r="GC22" s="505">
        <f t="shared" si="171"/>
        <v>0</v>
      </c>
      <c r="GD22" s="503"/>
      <c r="GE22" s="504">
        <f t="shared" si="60"/>
        <v>0</v>
      </c>
      <c r="GF22" s="505">
        <f t="shared" si="172"/>
        <v>0</v>
      </c>
      <c r="GG22" s="503">
        <v>17.797362755651235</v>
      </c>
      <c r="GH22" s="504">
        <f t="shared" si="61"/>
        <v>0.3546845780152903</v>
      </c>
      <c r="GI22" s="505">
        <f t="shared" si="173"/>
        <v>0</v>
      </c>
      <c r="GJ22" s="503">
        <v>17.797362755651235</v>
      </c>
      <c r="GK22" s="504">
        <f t="shared" si="62"/>
        <v>0.3546845780152903</v>
      </c>
      <c r="GL22" s="505">
        <f t="shared" si="174"/>
        <v>0</v>
      </c>
      <c r="GM22" s="503"/>
      <c r="GN22" s="504">
        <f t="shared" si="63"/>
        <v>0</v>
      </c>
      <c r="GO22" s="505">
        <f t="shared" si="175"/>
        <v>0</v>
      </c>
      <c r="GP22" s="503">
        <v>40.679686298631395</v>
      </c>
      <c r="GQ22" s="504">
        <f t="shared" si="64"/>
        <v>0.81070760689209209</v>
      </c>
      <c r="GR22" s="505">
        <f t="shared" si="176"/>
        <v>0</v>
      </c>
      <c r="GS22" s="503">
        <v>228.82323542980163</v>
      </c>
      <c r="GT22" s="504">
        <f t="shared" si="65"/>
        <v>4.5602302887680191</v>
      </c>
      <c r="GU22" s="505">
        <f t="shared" si="177"/>
        <v>0</v>
      </c>
      <c r="GV22" s="503">
        <v>81.359372597262791</v>
      </c>
      <c r="GW22" s="504">
        <f t="shared" si="66"/>
        <v>1.6214152137841842</v>
      </c>
      <c r="GX22" s="505">
        <f t="shared" si="178"/>
        <v>0</v>
      </c>
      <c r="GY22" s="503"/>
      <c r="GZ22" s="504">
        <f t="shared" si="67"/>
        <v>0</v>
      </c>
      <c r="HA22" s="505">
        <f t="shared" si="179"/>
        <v>0</v>
      </c>
      <c r="HB22" s="503"/>
      <c r="HC22" s="504">
        <f t="shared" si="68"/>
        <v>0</v>
      </c>
      <c r="HD22" s="505">
        <f t="shared" si="180"/>
        <v>0</v>
      </c>
      <c r="HE22" s="503"/>
      <c r="HF22" s="504">
        <f t="shared" si="69"/>
        <v>0</v>
      </c>
      <c r="HG22" s="505">
        <f t="shared" si="181"/>
        <v>0</v>
      </c>
      <c r="HH22" s="503"/>
      <c r="HI22" s="504">
        <f t="shared" si="70"/>
        <v>0</v>
      </c>
      <c r="HJ22" s="505">
        <f t="shared" si="182"/>
        <v>0</v>
      </c>
      <c r="HK22" s="503"/>
      <c r="HL22" s="504">
        <f t="shared" si="71"/>
        <v>0</v>
      </c>
      <c r="HM22" s="505">
        <f t="shared" si="183"/>
        <v>0</v>
      </c>
      <c r="HN22" s="503">
        <v>859.35837305858831</v>
      </c>
      <c r="HO22" s="504">
        <f t="shared" si="72"/>
        <v>17.126198195595446</v>
      </c>
      <c r="HP22" s="505">
        <f t="shared" si="184"/>
        <v>0</v>
      </c>
      <c r="HQ22" s="503"/>
      <c r="HR22" s="504">
        <f t="shared" si="73"/>
        <v>0</v>
      </c>
      <c r="HS22" s="505">
        <f t="shared" si="185"/>
        <v>0</v>
      </c>
      <c r="HT22" s="503"/>
      <c r="HU22" s="504">
        <f t="shared" si="74"/>
        <v>0</v>
      </c>
      <c r="HV22" s="505">
        <f t="shared" si="186"/>
        <v>0</v>
      </c>
      <c r="HW22" s="503"/>
      <c r="HX22" s="504">
        <f t="shared" si="75"/>
        <v>0</v>
      </c>
      <c r="HY22" s="505">
        <f t="shared" si="187"/>
        <v>0</v>
      </c>
      <c r="HZ22" s="503"/>
      <c r="IA22" s="504">
        <f t="shared" si="76"/>
        <v>0</v>
      </c>
      <c r="IB22" s="505">
        <f t="shared" si="188"/>
        <v>0</v>
      </c>
      <c r="IC22" s="503"/>
      <c r="ID22" s="504">
        <f t="shared" si="77"/>
        <v>0</v>
      </c>
      <c r="IE22" s="505">
        <f t="shared" si="189"/>
        <v>0</v>
      </c>
      <c r="IF22" s="503"/>
      <c r="IG22" s="504">
        <f t="shared" si="78"/>
        <v>0</v>
      </c>
      <c r="IH22" s="505">
        <f t="shared" si="190"/>
        <v>0</v>
      </c>
      <c r="II22" s="503">
        <v>25.424803936644626</v>
      </c>
      <c r="IJ22" s="504">
        <f t="shared" si="79"/>
        <v>0.5066922543075576</v>
      </c>
      <c r="IK22" s="505">
        <f t="shared" si="191"/>
        <v>0</v>
      </c>
      <c r="IL22" s="503"/>
      <c r="IM22" s="504">
        <f t="shared" si="80"/>
        <v>0</v>
      </c>
      <c r="IN22" s="505">
        <f t="shared" si="192"/>
        <v>0</v>
      </c>
      <c r="IO22" s="503"/>
      <c r="IP22" s="504">
        <f t="shared" si="81"/>
        <v>0</v>
      </c>
      <c r="IQ22" s="505">
        <f t="shared" si="193"/>
        <v>0</v>
      </c>
      <c r="IR22" s="503">
        <v>50.849607873289251</v>
      </c>
      <c r="IS22" s="504">
        <f t="shared" si="82"/>
        <v>1.0133845086151152</v>
      </c>
      <c r="IT22" s="505">
        <f t="shared" si="194"/>
        <v>0</v>
      </c>
      <c r="IU22" s="503"/>
      <c r="IV22" s="504">
        <f t="shared" si="83"/>
        <v>0</v>
      </c>
      <c r="IW22" s="505">
        <f t="shared" si="195"/>
        <v>0</v>
      </c>
      <c r="IX22" s="503"/>
      <c r="IY22" s="504">
        <f t="shared" si="84"/>
        <v>0</v>
      </c>
      <c r="IZ22" s="505">
        <f t="shared" si="196"/>
        <v>0</v>
      </c>
      <c r="JA22" s="503"/>
      <c r="JB22" s="504">
        <f t="shared" si="85"/>
        <v>0</v>
      </c>
      <c r="JC22" s="505">
        <f t="shared" si="197"/>
        <v>0</v>
      </c>
      <c r="JD22" s="503"/>
      <c r="JE22" s="504">
        <f t="shared" si="86"/>
        <v>0</v>
      </c>
      <c r="JF22" s="505">
        <f t="shared" si="198"/>
        <v>0</v>
      </c>
      <c r="JG22" s="503"/>
      <c r="JH22" s="504">
        <f t="shared" si="87"/>
        <v>0</v>
      </c>
      <c r="JI22" s="505">
        <f t="shared" si="199"/>
        <v>0</v>
      </c>
      <c r="JJ22" s="503">
        <v>25.424803936644626</v>
      </c>
      <c r="JK22" s="505" t="str">
        <f t="shared" si="88"/>
        <v>0</v>
      </c>
      <c r="JL22" s="505" t="str">
        <f t="shared" si="89"/>
        <v>0</v>
      </c>
      <c r="JM22" s="503"/>
      <c r="JN22" s="505" t="str">
        <f t="shared" si="90"/>
        <v>0</v>
      </c>
      <c r="JO22" s="505" t="str">
        <f t="shared" si="91"/>
        <v>0</v>
      </c>
      <c r="JP22" s="503"/>
      <c r="JQ22" s="505" t="str">
        <f t="shared" si="92"/>
        <v>0</v>
      </c>
      <c r="JR22" s="505" t="str">
        <f t="shared" si="93"/>
        <v>0</v>
      </c>
      <c r="JS22" s="503"/>
      <c r="JT22" s="505" t="str">
        <f t="shared" si="94"/>
        <v>0</v>
      </c>
      <c r="JU22" s="505" t="str">
        <f t="shared" si="95"/>
        <v>0</v>
      </c>
      <c r="JV22" s="503"/>
      <c r="JW22" s="505" t="str">
        <f t="shared" si="96"/>
        <v>0</v>
      </c>
      <c r="JX22" s="505" t="str">
        <f t="shared" si="97"/>
        <v>0</v>
      </c>
      <c r="JY22" s="503"/>
      <c r="JZ22" s="505" t="str">
        <f t="shared" si="98"/>
        <v>0</v>
      </c>
      <c r="KA22" s="505" t="str">
        <f t="shared" si="99"/>
        <v>0</v>
      </c>
      <c r="KB22" s="503"/>
      <c r="KC22" s="505" t="str">
        <f t="shared" si="100"/>
        <v>0</v>
      </c>
      <c r="KD22" s="505" t="str">
        <f t="shared" si="101"/>
        <v>0</v>
      </c>
      <c r="KE22" s="503"/>
      <c r="KF22" s="505" t="str">
        <f t="shared" si="102"/>
        <v>0</v>
      </c>
      <c r="KG22" s="505" t="str">
        <f t="shared" si="103"/>
        <v>0</v>
      </c>
      <c r="KH22" s="503"/>
      <c r="KI22" s="505" t="str">
        <f t="shared" si="104"/>
        <v>0</v>
      </c>
      <c r="KJ22" s="505" t="str">
        <f t="shared" si="105"/>
        <v>0</v>
      </c>
      <c r="KK22" s="503"/>
      <c r="KL22" s="505" t="str">
        <f t="shared" si="106"/>
        <v>0</v>
      </c>
      <c r="KM22" s="505" t="str">
        <f t="shared" si="107"/>
        <v>0</v>
      </c>
      <c r="KN22" s="503"/>
      <c r="KO22" s="505" t="str">
        <f t="shared" si="108"/>
        <v>0</v>
      </c>
      <c r="KP22" s="505" t="str">
        <f t="shared" si="109"/>
        <v>0</v>
      </c>
      <c r="KQ22" s="503"/>
      <c r="KR22" s="505" t="str">
        <f t="shared" si="110"/>
        <v>0</v>
      </c>
      <c r="KS22" s="505" t="str">
        <f t="shared" si="111"/>
        <v>0</v>
      </c>
      <c r="KT22" s="505">
        <f t="shared" si="201"/>
        <v>0</v>
      </c>
      <c r="KU22" s="505">
        <f t="shared" si="202"/>
        <v>0</v>
      </c>
      <c r="KV22" s="258">
        <f t="shared" si="112"/>
        <v>1749.4003995327612</v>
      </c>
    </row>
    <row r="23" spans="1:309" ht="15" customHeight="1">
      <c r="A23" s="462">
        <f t="shared" si="200"/>
        <v>46095</v>
      </c>
      <c r="B23" s="463" t="str">
        <f>+Report1!B22</f>
        <v xml:space="preserve">Toilet </v>
      </c>
      <c r="C23" s="464" t="str">
        <f>+Report1!C22</f>
        <v>13,5</v>
      </c>
      <c r="D23" s="465">
        <f>+Report1!P22</f>
        <v>53.817000000000007</v>
      </c>
      <c r="E23" s="466">
        <f>+Report1!R22</f>
        <v>49.991</v>
      </c>
      <c r="F23" s="503"/>
      <c r="G23" s="504">
        <f t="shared" si="0"/>
        <v>0</v>
      </c>
      <c r="H23" s="505">
        <f t="shared" si="113"/>
        <v>0</v>
      </c>
      <c r="I23" s="503"/>
      <c r="J23" s="504">
        <f t="shared" si="1"/>
        <v>0</v>
      </c>
      <c r="K23" s="505">
        <f t="shared" si="114"/>
        <v>0</v>
      </c>
      <c r="L23" s="503"/>
      <c r="M23" s="504">
        <f t="shared" si="2"/>
        <v>0</v>
      </c>
      <c r="N23" s="505">
        <f t="shared" si="115"/>
        <v>0</v>
      </c>
      <c r="O23" s="503">
        <v>27</v>
      </c>
      <c r="P23" s="504">
        <f t="shared" si="3"/>
        <v>0.54009721749914985</v>
      </c>
      <c r="Q23" s="505">
        <f t="shared" si="116"/>
        <v>0</v>
      </c>
      <c r="R23" s="503">
        <v>6.4062500000000284</v>
      </c>
      <c r="S23" s="504">
        <f t="shared" si="4"/>
        <v>0.12814806665199793</v>
      </c>
      <c r="T23" s="505">
        <f t="shared" si="117"/>
        <v>0</v>
      </c>
      <c r="U23" s="503">
        <v>1.5625</v>
      </c>
      <c r="V23" s="504">
        <f t="shared" si="5"/>
        <v>3.125562601268228E-2</v>
      </c>
      <c r="W23" s="505">
        <f t="shared" si="118"/>
        <v>0</v>
      </c>
      <c r="X23" s="503"/>
      <c r="Y23" s="504">
        <f t="shared" si="6"/>
        <v>0</v>
      </c>
      <c r="Z23" s="505">
        <f t="shared" si="119"/>
        <v>0</v>
      </c>
      <c r="AA23" s="503"/>
      <c r="AB23" s="504">
        <f t="shared" si="7"/>
        <v>0</v>
      </c>
      <c r="AC23" s="505">
        <f t="shared" si="120"/>
        <v>0</v>
      </c>
      <c r="AD23" s="503"/>
      <c r="AE23" s="504">
        <f t="shared" si="8"/>
        <v>0</v>
      </c>
      <c r="AF23" s="505">
        <f t="shared" si="121"/>
        <v>0</v>
      </c>
      <c r="AG23" s="503"/>
      <c r="AH23" s="504">
        <f t="shared" si="9"/>
        <v>0</v>
      </c>
      <c r="AI23" s="505">
        <f t="shared" si="122"/>
        <v>0</v>
      </c>
      <c r="AJ23" s="503"/>
      <c r="AK23" s="504">
        <f t="shared" si="10"/>
        <v>0</v>
      </c>
      <c r="AL23" s="505">
        <f t="shared" si="123"/>
        <v>0</v>
      </c>
      <c r="AM23" s="503">
        <v>38.152174358974264</v>
      </c>
      <c r="AN23" s="504">
        <f t="shared" si="11"/>
        <v>0.76318085973423744</v>
      </c>
      <c r="AO23" s="505">
        <f t="shared" si="124"/>
        <v>0</v>
      </c>
      <c r="AP23" s="503"/>
      <c r="AQ23" s="504">
        <f t="shared" si="12"/>
        <v>0</v>
      </c>
      <c r="AR23" s="505">
        <f t="shared" si="125"/>
        <v>0</v>
      </c>
      <c r="AS23" s="503"/>
      <c r="AT23" s="504">
        <f t="shared" si="13"/>
        <v>0</v>
      </c>
      <c r="AU23" s="505">
        <f t="shared" si="126"/>
        <v>0</v>
      </c>
      <c r="AV23" s="503">
        <v>5.5500000000000114</v>
      </c>
      <c r="AW23" s="504">
        <f t="shared" si="14"/>
        <v>0.11101998359704769</v>
      </c>
      <c r="AX23" s="505">
        <f t="shared" si="127"/>
        <v>0</v>
      </c>
      <c r="AY23" s="503">
        <v>44.758799999999894</v>
      </c>
      <c r="AZ23" s="504">
        <f t="shared" si="15"/>
        <v>0.89533716068892188</v>
      </c>
      <c r="BA23" s="505">
        <f t="shared" si="128"/>
        <v>0</v>
      </c>
      <c r="BB23" s="503"/>
      <c r="BC23" s="504">
        <f t="shared" si="16"/>
        <v>0</v>
      </c>
      <c r="BD23" s="505">
        <f t="shared" si="129"/>
        <v>0</v>
      </c>
      <c r="BE23" s="503"/>
      <c r="BF23" s="504">
        <f t="shared" si="17"/>
        <v>0</v>
      </c>
      <c r="BG23" s="505">
        <f t="shared" si="130"/>
        <v>0</v>
      </c>
      <c r="BH23" s="503"/>
      <c r="BI23" s="504">
        <f t="shared" si="18"/>
        <v>0</v>
      </c>
      <c r="BJ23" s="505">
        <f t="shared" si="131"/>
        <v>0</v>
      </c>
      <c r="BK23" s="503"/>
      <c r="BL23" s="504">
        <f t="shared" si="19"/>
        <v>0</v>
      </c>
      <c r="BM23" s="505">
        <f t="shared" si="132"/>
        <v>0</v>
      </c>
      <c r="BN23" s="503"/>
      <c r="BO23" s="504">
        <f t="shared" si="20"/>
        <v>0</v>
      </c>
      <c r="BP23" s="505">
        <f t="shared" si="133"/>
        <v>0</v>
      </c>
      <c r="BQ23" s="503"/>
      <c r="BR23" s="504">
        <f t="shared" si="21"/>
        <v>0</v>
      </c>
      <c r="BS23" s="505">
        <f t="shared" si="134"/>
        <v>0</v>
      </c>
      <c r="BT23" s="503"/>
      <c r="BU23" s="504">
        <f t="shared" si="22"/>
        <v>0</v>
      </c>
      <c r="BV23" s="505">
        <f t="shared" si="135"/>
        <v>0</v>
      </c>
      <c r="BW23" s="503"/>
      <c r="BX23" s="504">
        <f t="shared" si="23"/>
        <v>0</v>
      </c>
      <c r="BY23" s="505">
        <f t="shared" si="136"/>
        <v>0</v>
      </c>
      <c r="BZ23" s="503"/>
      <c r="CA23" s="504">
        <f t="shared" si="24"/>
        <v>0</v>
      </c>
      <c r="CB23" s="505">
        <f t="shared" si="137"/>
        <v>0</v>
      </c>
      <c r="CC23" s="503"/>
      <c r="CD23" s="504">
        <f t="shared" si="25"/>
        <v>0</v>
      </c>
      <c r="CE23" s="505">
        <f t="shared" si="138"/>
        <v>0</v>
      </c>
      <c r="CF23" s="503">
        <v>12</v>
      </c>
      <c r="CG23" s="504">
        <f t="shared" si="26"/>
        <v>0.24004320777739993</v>
      </c>
      <c r="CH23" s="505">
        <f t="shared" si="139"/>
        <v>0</v>
      </c>
      <c r="CI23" s="503"/>
      <c r="CJ23" s="504">
        <f t="shared" si="27"/>
        <v>0</v>
      </c>
      <c r="CK23" s="505">
        <f t="shared" si="140"/>
        <v>0</v>
      </c>
      <c r="CL23" s="503"/>
      <c r="CM23" s="504">
        <f t="shared" si="28"/>
        <v>0</v>
      </c>
      <c r="CN23" s="505">
        <f t="shared" si="141"/>
        <v>0</v>
      </c>
      <c r="CO23" s="503"/>
      <c r="CP23" s="504">
        <f t="shared" si="29"/>
        <v>0</v>
      </c>
      <c r="CQ23" s="505">
        <f t="shared" si="142"/>
        <v>0</v>
      </c>
      <c r="CR23" s="503"/>
      <c r="CS23" s="504">
        <f t="shared" si="30"/>
        <v>0</v>
      </c>
      <c r="CT23" s="505">
        <f t="shared" si="143"/>
        <v>0</v>
      </c>
      <c r="CU23" s="503"/>
      <c r="CV23" s="504">
        <f t="shared" si="31"/>
        <v>0</v>
      </c>
      <c r="CW23" s="505">
        <f t="shared" si="144"/>
        <v>0</v>
      </c>
      <c r="CX23" s="503"/>
      <c r="CY23" s="504">
        <f t="shared" si="32"/>
        <v>0</v>
      </c>
      <c r="CZ23" s="505">
        <f t="shared" si="145"/>
        <v>0</v>
      </c>
      <c r="DA23" s="503"/>
      <c r="DB23" s="504">
        <f t="shared" si="33"/>
        <v>0</v>
      </c>
      <c r="DC23" s="505">
        <f t="shared" si="146"/>
        <v>0</v>
      </c>
      <c r="DD23" s="503"/>
      <c r="DE23" s="504">
        <f t="shared" si="34"/>
        <v>0</v>
      </c>
      <c r="DF23" s="505">
        <f t="shared" si="147"/>
        <v>0</v>
      </c>
      <c r="DG23" s="503"/>
      <c r="DH23" s="504">
        <f t="shared" si="35"/>
        <v>0</v>
      </c>
      <c r="DI23" s="505">
        <f t="shared" si="203"/>
        <v>0</v>
      </c>
      <c r="DJ23" s="503"/>
      <c r="DK23" s="504">
        <f t="shared" si="36"/>
        <v>0</v>
      </c>
      <c r="DL23" s="505">
        <f t="shared" si="148"/>
        <v>0</v>
      </c>
      <c r="DM23" s="503"/>
      <c r="DN23" s="504">
        <f t="shared" si="37"/>
        <v>0</v>
      </c>
      <c r="DO23" s="505">
        <f t="shared" si="149"/>
        <v>0</v>
      </c>
      <c r="DP23" s="503"/>
      <c r="DQ23" s="504">
        <f t="shared" si="38"/>
        <v>0</v>
      </c>
      <c r="DR23" s="505">
        <f t="shared" si="150"/>
        <v>0</v>
      </c>
      <c r="DS23" s="503"/>
      <c r="DT23" s="504">
        <f t="shared" si="39"/>
        <v>0</v>
      </c>
      <c r="DU23" s="505">
        <f t="shared" si="151"/>
        <v>0</v>
      </c>
      <c r="DV23" s="503"/>
      <c r="DW23" s="504">
        <f t="shared" si="40"/>
        <v>0</v>
      </c>
      <c r="DX23" s="505">
        <f t="shared" si="152"/>
        <v>0</v>
      </c>
      <c r="DY23" s="503">
        <v>10.783132530120469</v>
      </c>
      <c r="DZ23" s="504">
        <f t="shared" si="41"/>
        <v>0.21570147686824565</v>
      </c>
      <c r="EA23" s="505">
        <f t="shared" si="153"/>
        <v>0</v>
      </c>
      <c r="EB23" s="503">
        <v>258.30588235294113</v>
      </c>
      <c r="EC23" s="504">
        <f t="shared" si="42"/>
        <v>5.1670477156476391</v>
      </c>
      <c r="ED23" s="505">
        <f t="shared" si="154"/>
        <v>0</v>
      </c>
      <c r="EE23" s="503">
        <v>18.168604651162809</v>
      </c>
      <c r="EF23" s="504">
        <f t="shared" si="43"/>
        <v>0.36343751177537575</v>
      </c>
      <c r="EG23" s="505">
        <f t="shared" si="155"/>
        <v>0</v>
      </c>
      <c r="EH23" s="503"/>
      <c r="EI23" s="504">
        <f t="shared" si="44"/>
        <v>0</v>
      </c>
      <c r="EJ23" s="505">
        <f t="shared" si="156"/>
        <v>0</v>
      </c>
      <c r="EK23" s="503"/>
      <c r="EL23" s="504">
        <f t="shared" si="45"/>
        <v>0</v>
      </c>
      <c r="EM23" s="505">
        <f t="shared" si="157"/>
        <v>0</v>
      </c>
      <c r="EN23" s="503"/>
      <c r="EO23" s="504">
        <f t="shared" si="46"/>
        <v>0</v>
      </c>
      <c r="EP23" s="505">
        <f t="shared" si="158"/>
        <v>0</v>
      </c>
      <c r="EQ23" s="503"/>
      <c r="ER23" s="504">
        <f t="shared" si="47"/>
        <v>0</v>
      </c>
      <c r="ES23" s="505">
        <f t="shared" si="159"/>
        <v>0</v>
      </c>
      <c r="ET23" s="503"/>
      <c r="EU23" s="504">
        <f t="shared" si="48"/>
        <v>0</v>
      </c>
      <c r="EV23" s="505">
        <f t="shared" si="160"/>
        <v>0</v>
      </c>
      <c r="EW23" s="503"/>
      <c r="EX23" s="504">
        <f t="shared" si="49"/>
        <v>0</v>
      </c>
      <c r="EY23" s="505">
        <f t="shared" si="161"/>
        <v>0</v>
      </c>
      <c r="EZ23" s="503"/>
      <c r="FA23" s="504">
        <f t="shared" si="50"/>
        <v>0</v>
      </c>
      <c r="FB23" s="505">
        <f t="shared" si="162"/>
        <v>0</v>
      </c>
      <c r="FC23" s="503"/>
      <c r="FD23" s="504">
        <f t="shared" si="51"/>
        <v>0</v>
      </c>
      <c r="FE23" s="505">
        <f t="shared" si="163"/>
        <v>0</v>
      </c>
      <c r="FF23" s="503"/>
      <c r="FG23" s="504">
        <f t="shared" si="52"/>
        <v>0</v>
      </c>
      <c r="FH23" s="505">
        <f t="shared" si="164"/>
        <v>0</v>
      </c>
      <c r="FI23" s="503"/>
      <c r="FJ23" s="504">
        <f t="shared" si="53"/>
        <v>0</v>
      </c>
      <c r="FK23" s="505">
        <f t="shared" si="165"/>
        <v>0</v>
      </c>
      <c r="FL23" s="503"/>
      <c r="FM23" s="504">
        <f t="shared" si="54"/>
        <v>0</v>
      </c>
      <c r="FN23" s="505">
        <f t="shared" si="166"/>
        <v>0</v>
      </c>
      <c r="FO23" s="503"/>
      <c r="FP23" s="504">
        <f t="shared" si="55"/>
        <v>0</v>
      </c>
      <c r="FQ23" s="505">
        <f t="shared" si="167"/>
        <v>0</v>
      </c>
      <c r="FR23" s="503"/>
      <c r="FS23" s="504">
        <f t="shared" si="56"/>
        <v>0</v>
      </c>
      <c r="FT23" s="505">
        <f t="shared" si="168"/>
        <v>0</v>
      </c>
      <c r="FU23" s="503"/>
      <c r="FV23" s="504">
        <f t="shared" si="57"/>
        <v>0</v>
      </c>
      <c r="FW23" s="505">
        <f t="shared" si="169"/>
        <v>0</v>
      </c>
      <c r="FX23" s="503"/>
      <c r="FY23" s="504">
        <f t="shared" si="58"/>
        <v>0</v>
      </c>
      <c r="FZ23" s="505">
        <f t="shared" si="170"/>
        <v>0</v>
      </c>
      <c r="GA23" s="503"/>
      <c r="GB23" s="504">
        <f t="shared" si="59"/>
        <v>0</v>
      </c>
      <c r="GC23" s="505">
        <f t="shared" si="171"/>
        <v>0</v>
      </c>
      <c r="GD23" s="503"/>
      <c r="GE23" s="504">
        <f t="shared" si="60"/>
        <v>0</v>
      </c>
      <c r="GF23" s="505">
        <f t="shared" si="172"/>
        <v>0</v>
      </c>
      <c r="GG23" s="503">
        <v>17.666432189082727</v>
      </c>
      <c r="GH23" s="504">
        <f t="shared" si="61"/>
        <v>0.35339225438744426</v>
      </c>
      <c r="GI23" s="505">
        <f t="shared" si="173"/>
        <v>0</v>
      </c>
      <c r="GJ23" s="503">
        <v>17.666432189082727</v>
      </c>
      <c r="GK23" s="504">
        <f t="shared" si="62"/>
        <v>0.35339225438744426</v>
      </c>
      <c r="GL23" s="505">
        <f t="shared" si="174"/>
        <v>0</v>
      </c>
      <c r="GM23" s="503"/>
      <c r="GN23" s="504">
        <f t="shared" si="63"/>
        <v>0</v>
      </c>
      <c r="GO23" s="505">
        <f t="shared" si="175"/>
        <v>0</v>
      </c>
      <c r="GP23" s="503">
        <v>40.380416432189094</v>
      </c>
      <c r="GQ23" s="504">
        <f t="shared" si="64"/>
        <v>0.80775372431415848</v>
      </c>
      <c r="GR23" s="505">
        <f t="shared" si="176"/>
        <v>0</v>
      </c>
      <c r="GS23" s="503">
        <v>252.37760270118181</v>
      </c>
      <c r="GT23" s="504">
        <f t="shared" si="65"/>
        <v>5.0484607769634895</v>
      </c>
      <c r="GU23" s="505">
        <f t="shared" si="177"/>
        <v>0</v>
      </c>
      <c r="GV23" s="503">
        <v>65.618176702307267</v>
      </c>
      <c r="GW23" s="504">
        <f t="shared" si="66"/>
        <v>1.3125998020105072</v>
      </c>
      <c r="GX23" s="505">
        <f t="shared" si="178"/>
        <v>0</v>
      </c>
      <c r="GY23" s="503"/>
      <c r="GZ23" s="504">
        <f t="shared" si="67"/>
        <v>0</v>
      </c>
      <c r="HA23" s="505">
        <f t="shared" si="179"/>
        <v>0</v>
      </c>
      <c r="HB23" s="503"/>
      <c r="HC23" s="504">
        <f t="shared" si="68"/>
        <v>0</v>
      </c>
      <c r="HD23" s="505">
        <f t="shared" si="180"/>
        <v>0</v>
      </c>
      <c r="HE23" s="503"/>
      <c r="HF23" s="504">
        <f t="shared" si="69"/>
        <v>0</v>
      </c>
      <c r="HG23" s="505">
        <f t="shared" si="181"/>
        <v>0</v>
      </c>
      <c r="HH23" s="503"/>
      <c r="HI23" s="504">
        <f t="shared" si="70"/>
        <v>0</v>
      </c>
      <c r="HJ23" s="505">
        <f t="shared" si="182"/>
        <v>0</v>
      </c>
      <c r="HK23" s="503"/>
      <c r="HL23" s="504">
        <f t="shared" si="71"/>
        <v>0</v>
      </c>
      <c r="HM23" s="505">
        <f t="shared" si="183"/>
        <v>0</v>
      </c>
      <c r="HN23" s="503">
        <v>802.56077658975812</v>
      </c>
      <c r="HO23" s="504">
        <f t="shared" si="72"/>
        <v>16.054105270743896</v>
      </c>
      <c r="HP23" s="505">
        <f t="shared" si="184"/>
        <v>0</v>
      </c>
      <c r="HQ23" s="503"/>
      <c r="HR23" s="504">
        <f t="shared" si="73"/>
        <v>0</v>
      </c>
      <c r="HS23" s="505">
        <f t="shared" si="185"/>
        <v>0</v>
      </c>
      <c r="HT23" s="503"/>
      <c r="HU23" s="504">
        <f t="shared" si="74"/>
        <v>0</v>
      </c>
      <c r="HV23" s="505">
        <f t="shared" si="186"/>
        <v>0</v>
      </c>
      <c r="HW23" s="503"/>
      <c r="HX23" s="504">
        <f t="shared" si="75"/>
        <v>0</v>
      </c>
      <c r="HY23" s="505">
        <f t="shared" si="187"/>
        <v>0</v>
      </c>
      <c r="HZ23" s="503"/>
      <c r="IA23" s="504">
        <f t="shared" si="76"/>
        <v>0</v>
      </c>
      <c r="IB23" s="505">
        <f t="shared" si="188"/>
        <v>0</v>
      </c>
      <c r="IC23" s="503"/>
      <c r="ID23" s="504">
        <f t="shared" si="77"/>
        <v>0</v>
      </c>
      <c r="IE23" s="505">
        <f t="shared" si="189"/>
        <v>0</v>
      </c>
      <c r="IF23" s="503"/>
      <c r="IG23" s="504">
        <f t="shared" si="78"/>
        <v>0</v>
      </c>
      <c r="IH23" s="505">
        <f t="shared" si="190"/>
        <v>0</v>
      </c>
      <c r="II23" s="503">
        <v>25.23776027011818</v>
      </c>
      <c r="IJ23" s="504">
        <f t="shared" si="79"/>
        <v>0.50484607769634893</v>
      </c>
      <c r="IK23" s="505">
        <f t="shared" si="191"/>
        <v>0</v>
      </c>
      <c r="IL23" s="503"/>
      <c r="IM23" s="504">
        <f t="shared" si="80"/>
        <v>0</v>
      </c>
      <c r="IN23" s="505">
        <f t="shared" si="192"/>
        <v>0</v>
      </c>
      <c r="IO23" s="503"/>
      <c r="IP23" s="504">
        <f t="shared" si="81"/>
        <v>0</v>
      </c>
      <c r="IQ23" s="505">
        <f t="shared" si="193"/>
        <v>0</v>
      </c>
      <c r="IR23" s="503">
        <v>50.47552054023636</v>
      </c>
      <c r="IS23" s="504">
        <f t="shared" si="82"/>
        <v>1.0096921553926979</v>
      </c>
      <c r="IT23" s="505">
        <f t="shared" si="194"/>
        <v>0</v>
      </c>
      <c r="IU23" s="503"/>
      <c r="IV23" s="504">
        <f t="shared" si="83"/>
        <v>0</v>
      </c>
      <c r="IW23" s="505">
        <f t="shared" si="195"/>
        <v>0</v>
      </c>
      <c r="IX23" s="503"/>
      <c r="IY23" s="504">
        <f t="shared" si="84"/>
        <v>0</v>
      </c>
      <c r="IZ23" s="505">
        <f t="shared" si="196"/>
        <v>0</v>
      </c>
      <c r="JA23" s="503"/>
      <c r="JB23" s="504">
        <f t="shared" si="85"/>
        <v>0</v>
      </c>
      <c r="JC23" s="505">
        <f t="shared" si="197"/>
        <v>0</v>
      </c>
      <c r="JD23" s="503"/>
      <c r="JE23" s="504">
        <f t="shared" si="86"/>
        <v>0</v>
      </c>
      <c r="JF23" s="505">
        <f t="shared" si="198"/>
        <v>0</v>
      </c>
      <c r="JG23" s="503"/>
      <c r="JH23" s="504">
        <f t="shared" si="87"/>
        <v>0</v>
      </c>
      <c r="JI23" s="505">
        <f t="shared" si="199"/>
        <v>0</v>
      </c>
      <c r="JJ23" s="503">
        <v>25.23776027011818</v>
      </c>
      <c r="JK23" s="505" t="str">
        <f t="shared" si="88"/>
        <v>0</v>
      </c>
      <c r="JL23" s="505" t="str">
        <f t="shared" si="89"/>
        <v>0</v>
      </c>
      <c r="JM23" s="503"/>
      <c r="JN23" s="505" t="str">
        <f t="shared" si="90"/>
        <v>0</v>
      </c>
      <c r="JO23" s="505" t="str">
        <f t="shared" si="91"/>
        <v>0</v>
      </c>
      <c r="JP23" s="503"/>
      <c r="JQ23" s="505" t="str">
        <f t="shared" si="92"/>
        <v>0</v>
      </c>
      <c r="JR23" s="505" t="str">
        <f t="shared" si="93"/>
        <v>0</v>
      </c>
      <c r="JS23" s="503"/>
      <c r="JT23" s="505" t="str">
        <f t="shared" si="94"/>
        <v>0</v>
      </c>
      <c r="JU23" s="505" t="str">
        <f t="shared" si="95"/>
        <v>0</v>
      </c>
      <c r="JV23" s="503"/>
      <c r="JW23" s="505" t="str">
        <f t="shared" si="96"/>
        <v>0</v>
      </c>
      <c r="JX23" s="505" t="str">
        <f t="shared" si="97"/>
        <v>0</v>
      </c>
      <c r="JY23" s="503"/>
      <c r="JZ23" s="505" t="str">
        <f t="shared" si="98"/>
        <v>0</v>
      </c>
      <c r="KA23" s="505" t="str">
        <f t="shared" si="99"/>
        <v>0</v>
      </c>
      <c r="KB23" s="503"/>
      <c r="KC23" s="505" t="str">
        <f t="shared" si="100"/>
        <v>0</v>
      </c>
      <c r="KD23" s="505" t="str">
        <f t="shared" si="101"/>
        <v>0</v>
      </c>
      <c r="KE23" s="503"/>
      <c r="KF23" s="505" t="str">
        <f t="shared" si="102"/>
        <v>0</v>
      </c>
      <c r="KG23" s="505" t="str">
        <f t="shared" si="103"/>
        <v>0</v>
      </c>
      <c r="KH23" s="503"/>
      <c r="KI23" s="505" t="str">
        <f t="shared" si="104"/>
        <v>0</v>
      </c>
      <c r="KJ23" s="505" t="str">
        <f t="shared" si="105"/>
        <v>0</v>
      </c>
      <c r="KK23" s="503"/>
      <c r="KL23" s="505" t="str">
        <f t="shared" si="106"/>
        <v>0</v>
      </c>
      <c r="KM23" s="505" t="str">
        <f t="shared" si="107"/>
        <v>0</v>
      </c>
      <c r="KN23" s="503"/>
      <c r="KO23" s="505" t="str">
        <f t="shared" si="108"/>
        <v>0</v>
      </c>
      <c r="KP23" s="505" t="str">
        <f t="shared" si="109"/>
        <v>0</v>
      </c>
      <c r="KQ23" s="503"/>
      <c r="KR23" s="505" t="str">
        <f t="shared" si="110"/>
        <v>0</v>
      </c>
      <c r="KS23" s="505" t="str">
        <f t="shared" si="111"/>
        <v>0</v>
      </c>
      <c r="KT23" s="505">
        <f t="shared" si="201"/>
        <v>0</v>
      </c>
      <c r="KU23" s="505">
        <f t="shared" si="202"/>
        <v>0</v>
      </c>
      <c r="KV23" s="258">
        <f t="shared" si="112"/>
        <v>1719.908221777273</v>
      </c>
    </row>
    <row r="24" spans="1:309" ht="15" customHeight="1">
      <c r="A24" s="462">
        <f t="shared" si="200"/>
        <v>46096</v>
      </c>
      <c r="B24" s="463" t="str">
        <f>+Report1!B23</f>
        <v xml:space="preserve">Toilet </v>
      </c>
      <c r="C24" s="464" t="str">
        <f>+Report1!C23</f>
        <v>13,5</v>
      </c>
      <c r="D24" s="465">
        <f>+Report1!P23</f>
        <v>49.988999999999997</v>
      </c>
      <c r="E24" s="466">
        <f>+Report1!R23</f>
        <v>49.429000000000002</v>
      </c>
      <c r="F24" s="503"/>
      <c r="G24" s="504">
        <f t="shared" si="0"/>
        <v>0</v>
      </c>
      <c r="H24" s="505">
        <f t="shared" si="113"/>
        <v>0</v>
      </c>
      <c r="I24" s="503"/>
      <c r="J24" s="504">
        <f t="shared" si="1"/>
        <v>0</v>
      </c>
      <c r="K24" s="505">
        <f t="shared" si="114"/>
        <v>0</v>
      </c>
      <c r="L24" s="503"/>
      <c r="M24" s="504">
        <f t="shared" si="2"/>
        <v>0</v>
      </c>
      <c r="N24" s="505">
        <f t="shared" si="115"/>
        <v>0</v>
      </c>
      <c r="O24" s="503">
        <v>27</v>
      </c>
      <c r="P24" s="504">
        <f t="shared" si="3"/>
        <v>0.54623803839851093</v>
      </c>
      <c r="Q24" s="505">
        <f t="shared" si="116"/>
        <v>0</v>
      </c>
      <c r="R24" s="503">
        <v>6.40625</v>
      </c>
      <c r="S24" s="504">
        <f t="shared" si="4"/>
        <v>0.12960509012927632</v>
      </c>
      <c r="T24" s="505">
        <f t="shared" si="117"/>
        <v>0</v>
      </c>
      <c r="U24" s="503">
        <v>1.5625</v>
      </c>
      <c r="V24" s="504">
        <f t="shared" si="5"/>
        <v>3.1610997592506421E-2</v>
      </c>
      <c r="W24" s="505">
        <f t="shared" si="118"/>
        <v>0</v>
      </c>
      <c r="X24" s="503"/>
      <c r="Y24" s="504">
        <f t="shared" si="6"/>
        <v>0</v>
      </c>
      <c r="Z24" s="505">
        <f t="shared" si="119"/>
        <v>0</v>
      </c>
      <c r="AA24" s="503"/>
      <c r="AB24" s="504">
        <f t="shared" si="7"/>
        <v>0</v>
      </c>
      <c r="AC24" s="505">
        <f t="shared" si="120"/>
        <v>0</v>
      </c>
      <c r="AD24" s="503"/>
      <c r="AE24" s="504">
        <f t="shared" si="8"/>
        <v>0</v>
      </c>
      <c r="AF24" s="505">
        <f t="shared" si="121"/>
        <v>0</v>
      </c>
      <c r="AG24" s="503"/>
      <c r="AH24" s="504">
        <f t="shared" si="9"/>
        <v>0</v>
      </c>
      <c r="AI24" s="505">
        <f t="shared" si="122"/>
        <v>0</v>
      </c>
      <c r="AJ24" s="503"/>
      <c r="AK24" s="504">
        <f t="shared" si="10"/>
        <v>0</v>
      </c>
      <c r="AL24" s="505">
        <f t="shared" si="123"/>
        <v>0</v>
      </c>
      <c r="AM24" s="503">
        <v>35.438400000000001</v>
      </c>
      <c r="AN24" s="504">
        <f t="shared" si="11"/>
        <v>0.71695563333265899</v>
      </c>
      <c r="AO24" s="505">
        <f t="shared" si="124"/>
        <v>0</v>
      </c>
      <c r="AP24" s="503"/>
      <c r="AQ24" s="504">
        <f t="shared" si="12"/>
        <v>0</v>
      </c>
      <c r="AR24" s="505">
        <f t="shared" si="125"/>
        <v>0</v>
      </c>
      <c r="AS24" s="503"/>
      <c r="AT24" s="504">
        <f t="shared" si="13"/>
        <v>0</v>
      </c>
      <c r="AU24" s="505">
        <f t="shared" si="126"/>
        <v>0</v>
      </c>
      <c r="AV24" s="503">
        <v>5.5500000000000114</v>
      </c>
      <c r="AW24" s="504">
        <f t="shared" si="14"/>
        <v>0.11228226344858304</v>
      </c>
      <c r="AX24" s="505">
        <f t="shared" si="127"/>
        <v>0</v>
      </c>
      <c r="AY24" s="503">
        <v>41.574800000000039</v>
      </c>
      <c r="AZ24" s="504">
        <f t="shared" si="15"/>
        <v>0.84110137773371985</v>
      </c>
      <c r="BA24" s="505">
        <f t="shared" si="128"/>
        <v>0</v>
      </c>
      <c r="BB24" s="503"/>
      <c r="BC24" s="504">
        <f t="shared" si="16"/>
        <v>0</v>
      </c>
      <c r="BD24" s="505">
        <f t="shared" si="129"/>
        <v>0</v>
      </c>
      <c r="BE24" s="503"/>
      <c r="BF24" s="504">
        <f t="shared" si="17"/>
        <v>0</v>
      </c>
      <c r="BG24" s="505">
        <f t="shared" si="130"/>
        <v>0</v>
      </c>
      <c r="BH24" s="503"/>
      <c r="BI24" s="504">
        <f t="shared" si="18"/>
        <v>0</v>
      </c>
      <c r="BJ24" s="505">
        <f t="shared" si="131"/>
        <v>0</v>
      </c>
      <c r="BK24" s="503"/>
      <c r="BL24" s="504">
        <f t="shared" si="19"/>
        <v>0</v>
      </c>
      <c r="BM24" s="505">
        <f t="shared" si="132"/>
        <v>0</v>
      </c>
      <c r="BN24" s="503"/>
      <c r="BO24" s="504">
        <f t="shared" si="20"/>
        <v>0</v>
      </c>
      <c r="BP24" s="505">
        <f t="shared" si="133"/>
        <v>0</v>
      </c>
      <c r="BQ24" s="503"/>
      <c r="BR24" s="504">
        <f t="shared" si="21"/>
        <v>0</v>
      </c>
      <c r="BS24" s="505">
        <f t="shared" si="134"/>
        <v>0</v>
      </c>
      <c r="BT24" s="503"/>
      <c r="BU24" s="504">
        <f t="shared" si="22"/>
        <v>0</v>
      </c>
      <c r="BV24" s="505">
        <f t="shared" si="135"/>
        <v>0</v>
      </c>
      <c r="BW24" s="503"/>
      <c r="BX24" s="504">
        <f t="shared" si="23"/>
        <v>0</v>
      </c>
      <c r="BY24" s="505">
        <f t="shared" si="136"/>
        <v>0</v>
      </c>
      <c r="BZ24" s="503"/>
      <c r="CA24" s="504">
        <f t="shared" si="24"/>
        <v>0</v>
      </c>
      <c r="CB24" s="505">
        <f t="shared" si="137"/>
        <v>0</v>
      </c>
      <c r="CC24" s="503"/>
      <c r="CD24" s="504">
        <f t="shared" si="25"/>
        <v>0</v>
      </c>
      <c r="CE24" s="505">
        <f t="shared" si="138"/>
        <v>0</v>
      </c>
      <c r="CF24" s="503">
        <v>12</v>
      </c>
      <c r="CG24" s="504">
        <f t="shared" si="26"/>
        <v>0.24277246151044932</v>
      </c>
      <c r="CH24" s="505">
        <f t="shared" si="139"/>
        <v>0</v>
      </c>
      <c r="CI24" s="503"/>
      <c r="CJ24" s="504">
        <f t="shared" si="27"/>
        <v>0</v>
      </c>
      <c r="CK24" s="505">
        <f t="shared" si="140"/>
        <v>0</v>
      </c>
      <c r="CL24" s="503"/>
      <c r="CM24" s="504">
        <f t="shared" si="28"/>
        <v>0</v>
      </c>
      <c r="CN24" s="505">
        <f t="shared" si="141"/>
        <v>0</v>
      </c>
      <c r="CO24" s="503"/>
      <c r="CP24" s="504">
        <f t="shared" si="29"/>
        <v>0</v>
      </c>
      <c r="CQ24" s="505">
        <f t="shared" si="142"/>
        <v>0</v>
      </c>
      <c r="CR24" s="503"/>
      <c r="CS24" s="504">
        <f t="shared" si="30"/>
        <v>0</v>
      </c>
      <c r="CT24" s="505">
        <f t="shared" si="143"/>
        <v>0</v>
      </c>
      <c r="CU24" s="503"/>
      <c r="CV24" s="504">
        <f t="shared" si="31"/>
        <v>0</v>
      </c>
      <c r="CW24" s="505">
        <f t="shared" si="144"/>
        <v>0</v>
      </c>
      <c r="CX24" s="503"/>
      <c r="CY24" s="504">
        <f t="shared" si="32"/>
        <v>0</v>
      </c>
      <c r="CZ24" s="505">
        <f t="shared" si="145"/>
        <v>0</v>
      </c>
      <c r="DA24" s="503"/>
      <c r="DB24" s="504">
        <f t="shared" si="33"/>
        <v>0</v>
      </c>
      <c r="DC24" s="505">
        <f t="shared" si="146"/>
        <v>0</v>
      </c>
      <c r="DD24" s="503"/>
      <c r="DE24" s="504">
        <f t="shared" si="34"/>
        <v>0</v>
      </c>
      <c r="DF24" s="505">
        <f t="shared" si="147"/>
        <v>0</v>
      </c>
      <c r="DG24" s="503"/>
      <c r="DH24" s="504">
        <f t="shared" si="35"/>
        <v>0</v>
      </c>
      <c r="DI24" s="505">
        <f t="shared" si="203"/>
        <v>0</v>
      </c>
      <c r="DJ24" s="503"/>
      <c r="DK24" s="504">
        <f t="shared" si="36"/>
        <v>0</v>
      </c>
      <c r="DL24" s="505">
        <f t="shared" si="148"/>
        <v>0</v>
      </c>
      <c r="DM24" s="503"/>
      <c r="DN24" s="504">
        <f t="shared" si="37"/>
        <v>0</v>
      </c>
      <c r="DO24" s="505">
        <f t="shared" si="149"/>
        <v>0</v>
      </c>
      <c r="DP24" s="503"/>
      <c r="DQ24" s="504">
        <f t="shared" si="38"/>
        <v>0</v>
      </c>
      <c r="DR24" s="505">
        <f t="shared" si="150"/>
        <v>0</v>
      </c>
      <c r="DS24" s="503"/>
      <c r="DT24" s="504">
        <f t="shared" si="39"/>
        <v>0</v>
      </c>
      <c r="DU24" s="505">
        <f t="shared" si="151"/>
        <v>0</v>
      </c>
      <c r="DV24" s="503"/>
      <c r="DW24" s="504">
        <f t="shared" si="40"/>
        <v>0</v>
      </c>
      <c r="DX24" s="505">
        <f t="shared" si="152"/>
        <v>0</v>
      </c>
      <c r="DY24" s="503">
        <v>10.783132530120497</v>
      </c>
      <c r="DZ24" s="504">
        <f t="shared" si="41"/>
        <v>0.2181539689275627</v>
      </c>
      <c r="EA24" s="505">
        <f t="shared" si="153"/>
        <v>0</v>
      </c>
      <c r="EB24" s="503">
        <v>258.30588235294113</v>
      </c>
      <c r="EC24" s="504">
        <f t="shared" si="42"/>
        <v>5.2257962401210039</v>
      </c>
      <c r="ED24" s="505">
        <f t="shared" si="154"/>
        <v>0</v>
      </c>
      <c r="EE24" s="503">
        <v>18.168604651162809</v>
      </c>
      <c r="EF24" s="504">
        <f t="shared" si="43"/>
        <v>0.36756973944774946</v>
      </c>
      <c r="EG24" s="505">
        <f t="shared" si="155"/>
        <v>0</v>
      </c>
      <c r="EH24" s="503"/>
      <c r="EI24" s="504">
        <f t="shared" si="44"/>
        <v>0</v>
      </c>
      <c r="EJ24" s="505">
        <f t="shared" si="156"/>
        <v>0</v>
      </c>
      <c r="EK24" s="503"/>
      <c r="EL24" s="504">
        <f t="shared" si="45"/>
        <v>0</v>
      </c>
      <c r="EM24" s="505">
        <f t="shared" si="157"/>
        <v>0</v>
      </c>
      <c r="EN24" s="503"/>
      <c r="EO24" s="504">
        <f t="shared" si="46"/>
        <v>0</v>
      </c>
      <c r="EP24" s="505">
        <f t="shared" si="158"/>
        <v>0</v>
      </c>
      <c r="EQ24" s="503"/>
      <c r="ER24" s="504">
        <f t="shared" si="47"/>
        <v>0</v>
      </c>
      <c r="ES24" s="505">
        <f t="shared" si="159"/>
        <v>0</v>
      </c>
      <c r="ET24" s="503"/>
      <c r="EU24" s="504">
        <f t="shared" si="48"/>
        <v>0</v>
      </c>
      <c r="EV24" s="505">
        <f t="shared" si="160"/>
        <v>0</v>
      </c>
      <c r="EW24" s="503"/>
      <c r="EX24" s="504">
        <f t="shared" si="49"/>
        <v>0</v>
      </c>
      <c r="EY24" s="505">
        <f t="shared" si="161"/>
        <v>0</v>
      </c>
      <c r="EZ24" s="503"/>
      <c r="FA24" s="504">
        <f t="shared" si="50"/>
        <v>0</v>
      </c>
      <c r="FB24" s="505">
        <f t="shared" si="162"/>
        <v>0</v>
      </c>
      <c r="FC24" s="503"/>
      <c r="FD24" s="504">
        <f t="shared" si="51"/>
        <v>0</v>
      </c>
      <c r="FE24" s="505">
        <f t="shared" si="163"/>
        <v>0</v>
      </c>
      <c r="FF24" s="503"/>
      <c r="FG24" s="504">
        <f t="shared" si="52"/>
        <v>0</v>
      </c>
      <c r="FH24" s="505">
        <f t="shared" si="164"/>
        <v>0</v>
      </c>
      <c r="FI24" s="503"/>
      <c r="FJ24" s="504">
        <f t="shared" si="53"/>
        <v>0</v>
      </c>
      <c r="FK24" s="505">
        <f t="shared" si="165"/>
        <v>0</v>
      </c>
      <c r="FL24" s="503"/>
      <c r="FM24" s="504">
        <f t="shared" si="54"/>
        <v>0</v>
      </c>
      <c r="FN24" s="505">
        <f t="shared" si="166"/>
        <v>0</v>
      </c>
      <c r="FO24" s="503"/>
      <c r="FP24" s="504">
        <f t="shared" si="55"/>
        <v>0</v>
      </c>
      <c r="FQ24" s="505">
        <f t="shared" si="167"/>
        <v>0</v>
      </c>
      <c r="FR24" s="503"/>
      <c r="FS24" s="504">
        <f t="shared" si="56"/>
        <v>0</v>
      </c>
      <c r="FT24" s="505">
        <f t="shared" si="168"/>
        <v>0</v>
      </c>
      <c r="FU24" s="503"/>
      <c r="FV24" s="504">
        <f t="shared" si="57"/>
        <v>0</v>
      </c>
      <c r="FW24" s="505">
        <f t="shared" si="169"/>
        <v>0</v>
      </c>
      <c r="FX24" s="503"/>
      <c r="FY24" s="504">
        <f t="shared" si="58"/>
        <v>0</v>
      </c>
      <c r="FZ24" s="505">
        <f t="shared" si="170"/>
        <v>0</v>
      </c>
      <c r="GA24" s="503"/>
      <c r="GB24" s="504">
        <f t="shared" si="59"/>
        <v>0</v>
      </c>
      <c r="GC24" s="505">
        <f t="shared" si="171"/>
        <v>0</v>
      </c>
      <c r="GD24" s="503"/>
      <c r="GE24" s="504">
        <f t="shared" si="60"/>
        <v>0</v>
      </c>
      <c r="GF24" s="505">
        <f t="shared" si="172"/>
        <v>0</v>
      </c>
      <c r="GG24" s="503">
        <v>17.010169458568694</v>
      </c>
      <c r="GH24" s="504">
        <f t="shared" si="61"/>
        <v>0.34413339251388242</v>
      </c>
      <c r="GI24" s="505">
        <f t="shared" si="173"/>
        <v>0</v>
      </c>
      <c r="GJ24" s="503">
        <v>17.010169458568694</v>
      </c>
      <c r="GK24" s="504">
        <f t="shared" si="62"/>
        <v>0.34413339251388242</v>
      </c>
      <c r="GL24" s="505">
        <f t="shared" si="174"/>
        <v>0</v>
      </c>
      <c r="GM24" s="503"/>
      <c r="GN24" s="504">
        <f t="shared" si="63"/>
        <v>0</v>
      </c>
      <c r="GO24" s="505">
        <f t="shared" si="175"/>
        <v>0</v>
      </c>
      <c r="GP24" s="503">
        <v>38.880387333871298</v>
      </c>
      <c r="GQ24" s="504">
        <f t="shared" si="64"/>
        <v>0.78659061146030262</v>
      </c>
      <c r="GR24" s="505">
        <f t="shared" si="176"/>
        <v>0</v>
      </c>
      <c r="GS24" s="503">
        <v>243.00242083669559</v>
      </c>
      <c r="GT24" s="504">
        <f t="shared" si="65"/>
        <v>4.9161913216268909</v>
      </c>
      <c r="GU24" s="505">
        <f t="shared" si="177"/>
        <v>0</v>
      </c>
      <c r="GV24" s="503">
        <v>72.900726251008678</v>
      </c>
      <c r="GW24" s="504">
        <f t="shared" si="66"/>
        <v>1.4748573964880671</v>
      </c>
      <c r="GX24" s="505">
        <f t="shared" si="178"/>
        <v>0</v>
      </c>
      <c r="GY24" s="503"/>
      <c r="GZ24" s="504">
        <f t="shared" si="67"/>
        <v>0</v>
      </c>
      <c r="HA24" s="505">
        <f t="shared" si="179"/>
        <v>0</v>
      </c>
      <c r="HB24" s="503"/>
      <c r="HC24" s="504">
        <f t="shared" si="68"/>
        <v>0</v>
      </c>
      <c r="HD24" s="505">
        <f t="shared" si="180"/>
        <v>0</v>
      </c>
      <c r="HE24" s="503"/>
      <c r="HF24" s="504">
        <f t="shared" si="69"/>
        <v>0</v>
      </c>
      <c r="HG24" s="505">
        <f t="shared" si="181"/>
        <v>0</v>
      </c>
      <c r="HH24" s="503"/>
      <c r="HI24" s="504">
        <f t="shared" si="70"/>
        <v>0</v>
      </c>
      <c r="HJ24" s="505">
        <f t="shared" si="182"/>
        <v>0</v>
      </c>
      <c r="HK24" s="503"/>
      <c r="HL24" s="504">
        <f t="shared" si="71"/>
        <v>0</v>
      </c>
      <c r="HM24" s="505">
        <f t="shared" si="183"/>
        <v>0</v>
      </c>
      <c r="HN24" s="503">
        <v>874.80871501210413</v>
      </c>
      <c r="HO24" s="504">
        <f t="shared" si="72"/>
        <v>17.698288757856808</v>
      </c>
      <c r="HP24" s="505">
        <f t="shared" si="184"/>
        <v>0</v>
      </c>
      <c r="HQ24" s="503"/>
      <c r="HR24" s="504">
        <f t="shared" si="73"/>
        <v>0</v>
      </c>
      <c r="HS24" s="505">
        <f t="shared" si="185"/>
        <v>0</v>
      </c>
      <c r="HT24" s="503"/>
      <c r="HU24" s="504">
        <f t="shared" si="74"/>
        <v>0</v>
      </c>
      <c r="HV24" s="505">
        <f t="shared" si="186"/>
        <v>0</v>
      </c>
      <c r="HW24" s="503"/>
      <c r="HX24" s="504">
        <f t="shared" si="75"/>
        <v>0</v>
      </c>
      <c r="HY24" s="505">
        <f t="shared" si="187"/>
        <v>0</v>
      </c>
      <c r="HZ24" s="503"/>
      <c r="IA24" s="504">
        <f t="shared" si="76"/>
        <v>0</v>
      </c>
      <c r="IB24" s="505">
        <f t="shared" si="188"/>
        <v>0</v>
      </c>
      <c r="IC24" s="503"/>
      <c r="ID24" s="504">
        <f t="shared" si="77"/>
        <v>0</v>
      </c>
      <c r="IE24" s="505">
        <f t="shared" si="189"/>
        <v>0</v>
      </c>
      <c r="IF24" s="503"/>
      <c r="IG24" s="504">
        <f t="shared" si="78"/>
        <v>0</v>
      </c>
      <c r="IH24" s="505">
        <f t="shared" si="190"/>
        <v>0</v>
      </c>
      <c r="II24" s="503">
        <v>24.300242083669559</v>
      </c>
      <c r="IJ24" s="504">
        <f t="shared" si="79"/>
        <v>0.4916191321626891</v>
      </c>
      <c r="IK24" s="505">
        <f t="shared" si="191"/>
        <v>0</v>
      </c>
      <c r="IL24" s="503"/>
      <c r="IM24" s="504">
        <f t="shared" si="80"/>
        <v>0</v>
      </c>
      <c r="IN24" s="505">
        <f t="shared" si="192"/>
        <v>0</v>
      </c>
      <c r="IO24" s="503"/>
      <c r="IP24" s="504">
        <f t="shared" si="81"/>
        <v>0</v>
      </c>
      <c r="IQ24" s="505">
        <f t="shared" si="193"/>
        <v>0</v>
      </c>
      <c r="IR24" s="503">
        <v>48.600484167339118</v>
      </c>
      <c r="IS24" s="504">
        <f t="shared" si="82"/>
        <v>0.9832382643253782</v>
      </c>
      <c r="IT24" s="505">
        <f t="shared" si="194"/>
        <v>0</v>
      </c>
      <c r="IU24" s="503"/>
      <c r="IV24" s="504">
        <f t="shared" si="83"/>
        <v>0</v>
      </c>
      <c r="IW24" s="505">
        <f t="shared" si="195"/>
        <v>0</v>
      </c>
      <c r="IX24" s="503"/>
      <c r="IY24" s="504">
        <f t="shared" si="84"/>
        <v>0</v>
      </c>
      <c r="IZ24" s="505">
        <f t="shared" si="196"/>
        <v>0</v>
      </c>
      <c r="JA24" s="503"/>
      <c r="JB24" s="504">
        <f t="shared" si="85"/>
        <v>0</v>
      </c>
      <c r="JC24" s="505">
        <f t="shared" si="197"/>
        <v>0</v>
      </c>
      <c r="JD24" s="503"/>
      <c r="JE24" s="504">
        <f t="shared" si="86"/>
        <v>0</v>
      </c>
      <c r="JF24" s="505">
        <f t="shared" si="198"/>
        <v>0</v>
      </c>
      <c r="JG24" s="503"/>
      <c r="JH24" s="504">
        <f t="shared" si="87"/>
        <v>0</v>
      </c>
      <c r="JI24" s="505">
        <f t="shared" si="199"/>
        <v>0</v>
      </c>
      <c r="JJ24" s="503">
        <v>24.300242083669559</v>
      </c>
      <c r="JK24" s="505" t="str">
        <f t="shared" si="88"/>
        <v>0</v>
      </c>
      <c r="JL24" s="505" t="str">
        <f t="shared" si="89"/>
        <v>0</v>
      </c>
      <c r="JM24" s="503"/>
      <c r="JN24" s="505" t="str">
        <f t="shared" si="90"/>
        <v>0</v>
      </c>
      <c r="JO24" s="505" t="str">
        <f t="shared" si="91"/>
        <v>0</v>
      </c>
      <c r="JP24" s="503"/>
      <c r="JQ24" s="505" t="str">
        <f t="shared" si="92"/>
        <v>0</v>
      </c>
      <c r="JR24" s="505" t="str">
        <f t="shared" si="93"/>
        <v>0</v>
      </c>
      <c r="JS24" s="503"/>
      <c r="JT24" s="505" t="str">
        <f t="shared" si="94"/>
        <v>0</v>
      </c>
      <c r="JU24" s="505" t="str">
        <f t="shared" si="95"/>
        <v>0</v>
      </c>
      <c r="JV24" s="503"/>
      <c r="JW24" s="505" t="str">
        <f t="shared" si="96"/>
        <v>0</v>
      </c>
      <c r="JX24" s="505" t="str">
        <f t="shared" si="97"/>
        <v>0</v>
      </c>
      <c r="JY24" s="503"/>
      <c r="JZ24" s="505" t="str">
        <f t="shared" si="98"/>
        <v>0</v>
      </c>
      <c r="KA24" s="505" t="str">
        <f t="shared" si="99"/>
        <v>0</v>
      </c>
      <c r="KB24" s="503"/>
      <c r="KC24" s="505" t="str">
        <f t="shared" si="100"/>
        <v>0</v>
      </c>
      <c r="KD24" s="505" t="str">
        <f t="shared" si="101"/>
        <v>0</v>
      </c>
      <c r="KE24" s="503"/>
      <c r="KF24" s="505" t="str">
        <f t="shared" si="102"/>
        <v>0</v>
      </c>
      <c r="KG24" s="505" t="str">
        <f t="shared" si="103"/>
        <v>0</v>
      </c>
      <c r="KH24" s="503"/>
      <c r="KI24" s="505" t="str">
        <f t="shared" si="104"/>
        <v>0</v>
      </c>
      <c r="KJ24" s="505" t="str">
        <f t="shared" si="105"/>
        <v>0</v>
      </c>
      <c r="KK24" s="503"/>
      <c r="KL24" s="505" t="str">
        <f t="shared" si="106"/>
        <v>0</v>
      </c>
      <c r="KM24" s="505" t="str">
        <f t="shared" si="107"/>
        <v>0</v>
      </c>
      <c r="KN24" s="503"/>
      <c r="KO24" s="505" t="str">
        <f t="shared" si="108"/>
        <v>0</v>
      </c>
      <c r="KP24" s="505" t="str">
        <f t="shared" si="109"/>
        <v>0</v>
      </c>
      <c r="KQ24" s="503"/>
      <c r="KR24" s="505" t="str">
        <f t="shared" si="110"/>
        <v>0</v>
      </c>
      <c r="KS24" s="505" t="str">
        <f t="shared" si="111"/>
        <v>0</v>
      </c>
      <c r="KT24" s="505">
        <f t="shared" si="201"/>
        <v>0</v>
      </c>
      <c r="KU24" s="505">
        <f t="shared" si="202"/>
        <v>0</v>
      </c>
      <c r="KV24" s="258">
        <f t="shared" si="112"/>
        <v>1777.6031262197198</v>
      </c>
    </row>
    <row r="25" spans="1:309" ht="15" customHeight="1">
      <c r="A25" s="462">
        <f t="shared" si="200"/>
        <v>46097</v>
      </c>
      <c r="B25" s="463" t="str">
        <f>+Report1!B24</f>
        <v xml:space="preserve">Toilet </v>
      </c>
      <c r="C25" s="464" t="str">
        <f>+Report1!C24</f>
        <v>13,5</v>
      </c>
      <c r="D25" s="465">
        <f>+Report1!P24</f>
        <v>49.835000000000008</v>
      </c>
      <c r="E25" s="466">
        <f>+Report1!R24</f>
        <v>50.436</v>
      </c>
      <c r="F25" s="503"/>
      <c r="G25" s="504">
        <f t="shared" si="0"/>
        <v>0</v>
      </c>
      <c r="H25" s="505">
        <f t="shared" si="113"/>
        <v>0</v>
      </c>
      <c r="I25" s="503"/>
      <c r="J25" s="504">
        <f t="shared" si="1"/>
        <v>0</v>
      </c>
      <c r="K25" s="505">
        <f t="shared" si="114"/>
        <v>0</v>
      </c>
      <c r="L25" s="503"/>
      <c r="M25" s="504">
        <f t="shared" si="2"/>
        <v>0</v>
      </c>
      <c r="N25" s="505">
        <f t="shared" si="115"/>
        <v>0</v>
      </c>
      <c r="O25" s="503">
        <v>24</v>
      </c>
      <c r="P25" s="504">
        <f t="shared" si="3"/>
        <v>0.47585058291696408</v>
      </c>
      <c r="Q25" s="505">
        <f t="shared" si="116"/>
        <v>0</v>
      </c>
      <c r="R25" s="503">
        <v>10.249999999999972</v>
      </c>
      <c r="S25" s="504">
        <f t="shared" si="4"/>
        <v>0.20322785312078617</v>
      </c>
      <c r="T25" s="505">
        <f t="shared" si="117"/>
        <v>0</v>
      </c>
      <c r="U25" s="503">
        <v>1.5624999999999716</v>
      </c>
      <c r="V25" s="504">
        <f t="shared" si="5"/>
        <v>3.0979855658655953E-2</v>
      </c>
      <c r="W25" s="505">
        <f t="shared" si="118"/>
        <v>0</v>
      </c>
      <c r="X25" s="503"/>
      <c r="Y25" s="504">
        <f t="shared" si="6"/>
        <v>0</v>
      </c>
      <c r="Z25" s="505">
        <f t="shared" si="119"/>
        <v>0</v>
      </c>
      <c r="AA25" s="503"/>
      <c r="AB25" s="504">
        <f t="shared" si="7"/>
        <v>0</v>
      </c>
      <c r="AC25" s="505">
        <f t="shared" si="120"/>
        <v>0</v>
      </c>
      <c r="AD25" s="503"/>
      <c r="AE25" s="504">
        <f t="shared" si="8"/>
        <v>0</v>
      </c>
      <c r="AF25" s="505">
        <f t="shared" si="121"/>
        <v>0</v>
      </c>
      <c r="AG25" s="503"/>
      <c r="AH25" s="504">
        <f t="shared" si="9"/>
        <v>0</v>
      </c>
      <c r="AI25" s="505">
        <f t="shared" si="122"/>
        <v>0</v>
      </c>
      <c r="AJ25" s="503"/>
      <c r="AK25" s="504">
        <f t="shared" si="10"/>
        <v>0</v>
      </c>
      <c r="AL25" s="505">
        <f t="shared" si="123"/>
        <v>0</v>
      </c>
      <c r="AM25" s="503">
        <v>42.05045128205137</v>
      </c>
      <c r="AN25" s="504">
        <f t="shared" si="11"/>
        <v>0.83373882310356429</v>
      </c>
      <c r="AO25" s="505">
        <f t="shared" si="124"/>
        <v>0</v>
      </c>
      <c r="AP25" s="503"/>
      <c r="AQ25" s="504">
        <f t="shared" si="12"/>
        <v>0</v>
      </c>
      <c r="AR25" s="505">
        <f t="shared" si="125"/>
        <v>0</v>
      </c>
      <c r="AS25" s="503"/>
      <c r="AT25" s="504">
        <f t="shared" si="13"/>
        <v>0</v>
      </c>
      <c r="AU25" s="505">
        <f t="shared" si="126"/>
        <v>0</v>
      </c>
      <c r="AV25" s="503">
        <v>5.5499999999999545</v>
      </c>
      <c r="AW25" s="504">
        <f t="shared" si="14"/>
        <v>0.11004044729954704</v>
      </c>
      <c r="AX25" s="505">
        <f t="shared" si="127"/>
        <v>0</v>
      </c>
      <c r="AY25" s="503">
        <v>41.999733333333381</v>
      </c>
      <c r="AZ25" s="504">
        <f t="shared" si="15"/>
        <v>0.83273323287598899</v>
      </c>
      <c r="BA25" s="505">
        <f t="shared" si="128"/>
        <v>0</v>
      </c>
      <c r="BB25" s="503"/>
      <c r="BC25" s="504">
        <f t="shared" si="16"/>
        <v>0</v>
      </c>
      <c r="BD25" s="505">
        <f t="shared" si="129"/>
        <v>0</v>
      </c>
      <c r="BE25" s="503"/>
      <c r="BF25" s="504">
        <f t="shared" si="17"/>
        <v>0</v>
      </c>
      <c r="BG25" s="505">
        <f t="shared" si="130"/>
        <v>0</v>
      </c>
      <c r="BH25" s="503"/>
      <c r="BI25" s="504">
        <f t="shared" si="18"/>
        <v>0</v>
      </c>
      <c r="BJ25" s="505">
        <f t="shared" si="131"/>
        <v>0</v>
      </c>
      <c r="BK25" s="503"/>
      <c r="BL25" s="504">
        <f t="shared" si="19"/>
        <v>0</v>
      </c>
      <c r="BM25" s="505">
        <f t="shared" si="132"/>
        <v>0</v>
      </c>
      <c r="BN25" s="503"/>
      <c r="BO25" s="504">
        <f t="shared" si="20"/>
        <v>0</v>
      </c>
      <c r="BP25" s="505">
        <f t="shared" si="133"/>
        <v>0</v>
      </c>
      <c r="BQ25" s="503"/>
      <c r="BR25" s="504">
        <f t="shared" si="21"/>
        <v>0</v>
      </c>
      <c r="BS25" s="505">
        <f t="shared" si="134"/>
        <v>0</v>
      </c>
      <c r="BT25" s="503"/>
      <c r="BU25" s="504">
        <f t="shared" si="22"/>
        <v>0</v>
      </c>
      <c r="BV25" s="505">
        <f t="shared" si="135"/>
        <v>0</v>
      </c>
      <c r="BW25" s="503"/>
      <c r="BX25" s="504">
        <f t="shared" si="23"/>
        <v>0</v>
      </c>
      <c r="BY25" s="505">
        <f t="shared" si="136"/>
        <v>0</v>
      </c>
      <c r="BZ25" s="503"/>
      <c r="CA25" s="504">
        <f t="shared" si="24"/>
        <v>0</v>
      </c>
      <c r="CB25" s="505">
        <f t="shared" si="137"/>
        <v>0</v>
      </c>
      <c r="CC25" s="503"/>
      <c r="CD25" s="504">
        <f t="shared" si="25"/>
        <v>0</v>
      </c>
      <c r="CE25" s="505">
        <f t="shared" si="138"/>
        <v>0</v>
      </c>
      <c r="CF25" s="503">
        <v>12</v>
      </c>
      <c r="CG25" s="504">
        <f t="shared" si="26"/>
        <v>0.23792529145848204</v>
      </c>
      <c r="CH25" s="505">
        <f t="shared" si="139"/>
        <v>0</v>
      </c>
      <c r="CI25" s="503"/>
      <c r="CJ25" s="504">
        <f t="shared" si="27"/>
        <v>0</v>
      </c>
      <c r="CK25" s="505">
        <f t="shared" si="140"/>
        <v>0</v>
      </c>
      <c r="CL25" s="503"/>
      <c r="CM25" s="504">
        <f t="shared" si="28"/>
        <v>0</v>
      </c>
      <c r="CN25" s="505">
        <f t="shared" si="141"/>
        <v>0</v>
      </c>
      <c r="CO25" s="503"/>
      <c r="CP25" s="504">
        <f t="shared" si="29"/>
        <v>0</v>
      </c>
      <c r="CQ25" s="505">
        <f t="shared" si="142"/>
        <v>0</v>
      </c>
      <c r="CR25" s="503"/>
      <c r="CS25" s="504">
        <f t="shared" si="30"/>
        <v>0</v>
      </c>
      <c r="CT25" s="505">
        <f t="shared" si="143"/>
        <v>0</v>
      </c>
      <c r="CU25" s="503"/>
      <c r="CV25" s="504">
        <f t="shared" si="31"/>
        <v>0</v>
      </c>
      <c r="CW25" s="505">
        <f t="shared" si="144"/>
        <v>0</v>
      </c>
      <c r="CX25" s="503"/>
      <c r="CY25" s="504">
        <f t="shared" si="32"/>
        <v>0</v>
      </c>
      <c r="CZ25" s="505">
        <f t="shared" si="145"/>
        <v>0</v>
      </c>
      <c r="DA25" s="503"/>
      <c r="DB25" s="504">
        <f t="shared" si="33"/>
        <v>0</v>
      </c>
      <c r="DC25" s="505">
        <f t="shared" si="146"/>
        <v>0</v>
      </c>
      <c r="DD25" s="503"/>
      <c r="DE25" s="504">
        <f t="shared" si="34"/>
        <v>0</v>
      </c>
      <c r="DF25" s="505">
        <f t="shared" si="147"/>
        <v>0</v>
      </c>
      <c r="DG25" s="503"/>
      <c r="DH25" s="504">
        <f t="shared" si="35"/>
        <v>0</v>
      </c>
      <c r="DI25" s="505">
        <f t="shared" si="203"/>
        <v>0</v>
      </c>
      <c r="DJ25" s="503"/>
      <c r="DK25" s="504">
        <f t="shared" si="36"/>
        <v>0</v>
      </c>
      <c r="DL25" s="505">
        <f t="shared" si="148"/>
        <v>0</v>
      </c>
      <c r="DM25" s="503"/>
      <c r="DN25" s="504">
        <f t="shared" si="37"/>
        <v>0</v>
      </c>
      <c r="DO25" s="505">
        <f t="shared" si="149"/>
        <v>0</v>
      </c>
      <c r="DP25" s="503"/>
      <c r="DQ25" s="504">
        <f t="shared" si="38"/>
        <v>0</v>
      </c>
      <c r="DR25" s="505">
        <f t="shared" si="150"/>
        <v>0</v>
      </c>
      <c r="DS25" s="503"/>
      <c r="DT25" s="504">
        <f t="shared" si="39"/>
        <v>0</v>
      </c>
      <c r="DU25" s="505">
        <f t="shared" si="151"/>
        <v>0</v>
      </c>
      <c r="DV25" s="503"/>
      <c r="DW25" s="504">
        <f t="shared" si="40"/>
        <v>0</v>
      </c>
      <c r="DX25" s="505">
        <f t="shared" si="152"/>
        <v>0</v>
      </c>
      <c r="DY25" s="503">
        <v>17.253012048192758</v>
      </c>
      <c r="DZ25" s="504">
        <f t="shared" si="41"/>
        <v>0.34207732667524698</v>
      </c>
      <c r="EA25" s="505">
        <f t="shared" si="153"/>
        <v>0</v>
      </c>
      <c r="EB25" s="503">
        <v>234.82352941176464</v>
      </c>
      <c r="EC25" s="504">
        <f t="shared" si="42"/>
        <v>4.6558713897169612</v>
      </c>
      <c r="ED25" s="505">
        <f t="shared" si="154"/>
        <v>0</v>
      </c>
      <c r="EE25" s="503">
        <v>14.534883720930225</v>
      </c>
      <c r="EF25" s="504">
        <f t="shared" si="43"/>
        <v>0.28818470380145578</v>
      </c>
      <c r="EG25" s="505">
        <f t="shared" si="155"/>
        <v>0</v>
      </c>
      <c r="EH25" s="503"/>
      <c r="EI25" s="504">
        <f t="shared" si="44"/>
        <v>0</v>
      </c>
      <c r="EJ25" s="505">
        <f t="shared" si="156"/>
        <v>0</v>
      </c>
      <c r="EK25" s="503"/>
      <c r="EL25" s="504">
        <f t="shared" si="45"/>
        <v>0</v>
      </c>
      <c r="EM25" s="505">
        <f t="shared" si="157"/>
        <v>0</v>
      </c>
      <c r="EN25" s="503"/>
      <c r="EO25" s="504">
        <f t="shared" si="46"/>
        <v>0</v>
      </c>
      <c r="EP25" s="505">
        <f t="shared" si="158"/>
        <v>0</v>
      </c>
      <c r="EQ25" s="503"/>
      <c r="ER25" s="504">
        <f t="shared" si="47"/>
        <v>0</v>
      </c>
      <c r="ES25" s="505">
        <f t="shared" si="159"/>
        <v>0</v>
      </c>
      <c r="ET25" s="503"/>
      <c r="EU25" s="504">
        <f t="shared" si="48"/>
        <v>0</v>
      </c>
      <c r="EV25" s="505">
        <f t="shared" si="160"/>
        <v>0</v>
      </c>
      <c r="EW25" s="503"/>
      <c r="EX25" s="504">
        <f t="shared" si="49"/>
        <v>0</v>
      </c>
      <c r="EY25" s="505">
        <f t="shared" si="161"/>
        <v>0</v>
      </c>
      <c r="EZ25" s="503"/>
      <c r="FA25" s="504">
        <f t="shared" si="50"/>
        <v>0</v>
      </c>
      <c r="FB25" s="505">
        <f t="shared" si="162"/>
        <v>0</v>
      </c>
      <c r="FC25" s="503"/>
      <c r="FD25" s="504">
        <f t="shared" si="51"/>
        <v>0</v>
      </c>
      <c r="FE25" s="505">
        <f t="shared" si="163"/>
        <v>0</v>
      </c>
      <c r="FF25" s="503"/>
      <c r="FG25" s="504">
        <f t="shared" si="52"/>
        <v>0</v>
      </c>
      <c r="FH25" s="505">
        <f t="shared" si="164"/>
        <v>0</v>
      </c>
      <c r="FI25" s="503"/>
      <c r="FJ25" s="504">
        <f t="shared" si="53"/>
        <v>0</v>
      </c>
      <c r="FK25" s="505">
        <f t="shared" si="165"/>
        <v>0</v>
      </c>
      <c r="FL25" s="503"/>
      <c r="FM25" s="504">
        <f t="shared" si="54"/>
        <v>0</v>
      </c>
      <c r="FN25" s="505">
        <f t="shared" si="166"/>
        <v>0</v>
      </c>
      <c r="FO25" s="503"/>
      <c r="FP25" s="504">
        <f t="shared" si="55"/>
        <v>0</v>
      </c>
      <c r="FQ25" s="505">
        <f t="shared" si="167"/>
        <v>0</v>
      </c>
      <c r="FR25" s="503"/>
      <c r="FS25" s="504">
        <f t="shared" si="56"/>
        <v>0</v>
      </c>
      <c r="FT25" s="505">
        <f t="shared" si="168"/>
        <v>0</v>
      </c>
      <c r="FU25" s="503"/>
      <c r="FV25" s="504">
        <f t="shared" si="57"/>
        <v>0</v>
      </c>
      <c r="FW25" s="505">
        <f t="shared" si="169"/>
        <v>0</v>
      </c>
      <c r="FX25" s="503"/>
      <c r="FY25" s="504">
        <f t="shared" si="58"/>
        <v>0</v>
      </c>
      <c r="FZ25" s="505">
        <f t="shared" si="170"/>
        <v>0</v>
      </c>
      <c r="GA25" s="503"/>
      <c r="GB25" s="504">
        <f t="shared" si="59"/>
        <v>0</v>
      </c>
      <c r="GC25" s="505">
        <f t="shared" si="171"/>
        <v>0</v>
      </c>
      <c r="GD25" s="503"/>
      <c r="GE25" s="504">
        <f t="shared" si="60"/>
        <v>0</v>
      </c>
      <c r="GF25" s="505">
        <f t="shared" si="172"/>
        <v>0</v>
      </c>
      <c r="GG25" s="503">
        <v>12.056077027288564</v>
      </c>
      <c r="GH25" s="504">
        <f t="shared" si="61"/>
        <v>0.23903713671362845</v>
      </c>
      <c r="GI25" s="505">
        <f t="shared" si="173"/>
        <v>0</v>
      </c>
      <c r="GJ25" s="503">
        <v>12.056077027288564</v>
      </c>
      <c r="GK25" s="504">
        <f t="shared" si="62"/>
        <v>0.23903713671362845</v>
      </c>
      <c r="GL25" s="505">
        <f t="shared" si="174"/>
        <v>0</v>
      </c>
      <c r="GM25" s="503"/>
      <c r="GN25" s="504">
        <f t="shared" si="63"/>
        <v>0</v>
      </c>
      <c r="GO25" s="505">
        <f t="shared" si="175"/>
        <v>0</v>
      </c>
      <c r="GP25" s="503">
        <v>38.579446487323409</v>
      </c>
      <c r="GQ25" s="504">
        <f t="shared" si="64"/>
        <v>0.76491883748361111</v>
      </c>
      <c r="GR25" s="505">
        <f t="shared" si="176"/>
        <v>0</v>
      </c>
      <c r="GS25" s="503">
        <v>265.23369460034843</v>
      </c>
      <c r="GT25" s="504">
        <f t="shared" si="65"/>
        <v>5.2588170076998262</v>
      </c>
      <c r="GU25" s="505">
        <f t="shared" si="177"/>
        <v>0</v>
      </c>
      <c r="GV25" s="503">
        <v>67.514031352815962</v>
      </c>
      <c r="GW25" s="504">
        <f t="shared" si="66"/>
        <v>1.3386079655963194</v>
      </c>
      <c r="GX25" s="505">
        <f t="shared" si="178"/>
        <v>0</v>
      </c>
      <c r="GY25" s="503"/>
      <c r="GZ25" s="504">
        <f t="shared" si="67"/>
        <v>0</v>
      </c>
      <c r="HA25" s="505">
        <f t="shared" si="179"/>
        <v>0</v>
      </c>
      <c r="HB25" s="503"/>
      <c r="HC25" s="504">
        <f t="shared" si="68"/>
        <v>0</v>
      </c>
      <c r="HD25" s="505">
        <f t="shared" si="180"/>
        <v>0</v>
      </c>
      <c r="HE25" s="503"/>
      <c r="HF25" s="504">
        <f t="shared" si="69"/>
        <v>0</v>
      </c>
      <c r="HG25" s="505">
        <f t="shared" si="181"/>
        <v>0</v>
      </c>
      <c r="HH25" s="503"/>
      <c r="HI25" s="504">
        <f t="shared" si="70"/>
        <v>0</v>
      </c>
      <c r="HJ25" s="505">
        <f t="shared" si="182"/>
        <v>0</v>
      </c>
      <c r="HK25" s="503"/>
      <c r="HL25" s="504">
        <f t="shared" si="71"/>
        <v>0</v>
      </c>
      <c r="HM25" s="505">
        <f t="shared" si="183"/>
        <v>0</v>
      </c>
      <c r="HN25" s="503">
        <v>675.1403135281596</v>
      </c>
      <c r="HO25" s="504">
        <f t="shared" si="72"/>
        <v>13.386079655963194</v>
      </c>
      <c r="HP25" s="505">
        <f t="shared" si="184"/>
        <v>0</v>
      </c>
      <c r="HQ25" s="503"/>
      <c r="HR25" s="504">
        <f t="shared" si="73"/>
        <v>0</v>
      </c>
      <c r="HS25" s="505">
        <f t="shared" si="185"/>
        <v>0</v>
      </c>
      <c r="HT25" s="503"/>
      <c r="HU25" s="504">
        <f t="shared" si="74"/>
        <v>0</v>
      </c>
      <c r="HV25" s="505">
        <f t="shared" si="186"/>
        <v>0</v>
      </c>
      <c r="HW25" s="503"/>
      <c r="HX25" s="504">
        <f t="shared" si="75"/>
        <v>0</v>
      </c>
      <c r="HY25" s="505">
        <f t="shared" si="187"/>
        <v>0</v>
      </c>
      <c r="HZ25" s="503"/>
      <c r="IA25" s="504">
        <f t="shared" si="76"/>
        <v>0</v>
      </c>
      <c r="IB25" s="505">
        <f t="shared" si="188"/>
        <v>0</v>
      </c>
      <c r="IC25" s="503"/>
      <c r="ID25" s="504">
        <f t="shared" si="77"/>
        <v>0</v>
      </c>
      <c r="IE25" s="505">
        <f t="shared" si="189"/>
        <v>0</v>
      </c>
      <c r="IF25" s="503"/>
      <c r="IG25" s="504">
        <f t="shared" si="78"/>
        <v>0</v>
      </c>
      <c r="IH25" s="505">
        <f t="shared" si="190"/>
        <v>0</v>
      </c>
      <c r="II25" s="503">
        <v>24.112154054577129</v>
      </c>
      <c r="IJ25" s="504">
        <f t="shared" si="79"/>
        <v>0.47807427342725689</v>
      </c>
      <c r="IK25" s="505">
        <f t="shared" si="191"/>
        <v>0</v>
      </c>
      <c r="IL25" s="503"/>
      <c r="IM25" s="504">
        <f t="shared" si="80"/>
        <v>0</v>
      </c>
      <c r="IN25" s="505">
        <f t="shared" si="192"/>
        <v>0</v>
      </c>
      <c r="IO25" s="503"/>
      <c r="IP25" s="504">
        <f t="shared" si="81"/>
        <v>0</v>
      </c>
      <c r="IQ25" s="505">
        <f t="shared" si="193"/>
        <v>0</v>
      </c>
      <c r="IR25" s="503">
        <v>38.579446487323409</v>
      </c>
      <c r="IS25" s="504">
        <f t="shared" si="82"/>
        <v>0.76491883748361111</v>
      </c>
      <c r="IT25" s="505">
        <f t="shared" si="194"/>
        <v>0</v>
      </c>
      <c r="IU25" s="503"/>
      <c r="IV25" s="504">
        <f t="shared" si="83"/>
        <v>0</v>
      </c>
      <c r="IW25" s="505">
        <f t="shared" si="195"/>
        <v>0</v>
      </c>
      <c r="IX25" s="503"/>
      <c r="IY25" s="504">
        <f t="shared" si="84"/>
        <v>0</v>
      </c>
      <c r="IZ25" s="505">
        <f t="shared" si="196"/>
        <v>0</v>
      </c>
      <c r="JA25" s="503"/>
      <c r="JB25" s="504">
        <f t="shared" si="85"/>
        <v>0</v>
      </c>
      <c r="JC25" s="505">
        <f t="shared" si="197"/>
        <v>0</v>
      </c>
      <c r="JD25" s="503"/>
      <c r="JE25" s="504">
        <f t="shared" si="86"/>
        <v>0</v>
      </c>
      <c r="JF25" s="505">
        <f t="shared" si="198"/>
        <v>0</v>
      </c>
      <c r="JG25" s="503"/>
      <c r="JH25" s="504">
        <f t="shared" si="87"/>
        <v>0</v>
      </c>
      <c r="JI25" s="505">
        <f t="shared" si="199"/>
        <v>0</v>
      </c>
      <c r="JJ25" s="503">
        <v>24.112154054577129</v>
      </c>
      <c r="JK25" s="505" t="str">
        <f t="shared" si="88"/>
        <v>0</v>
      </c>
      <c r="JL25" s="505" t="str">
        <f t="shared" si="89"/>
        <v>0</v>
      </c>
      <c r="JM25" s="503"/>
      <c r="JN25" s="505" t="str">
        <f t="shared" si="90"/>
        <v>0</v>
      </c>
      <c r="JO25" s="505" t="str">
        <f t="shared" si="91"/>
        <v>0</v>
      </c>
      <c r="JP25" s="503"/>
      <c r="JQ25" s="505" t="str">
        <f t="shared" si="92"/>
        <v>0</v>
      </c>
      <c r="JR25" s="505" t="str">
        <f t="shared" si="93"/>
        <v>0</v>
      </c>
      <c r="JS25" s="503"/>
      <c r="JT25" s="505" t="str">
        <f t="shared" si="94"/>
        <v>0</v>
      </c>
      <c r="JU25" s="505" t="str">
        <f t="shared" si="95"/>
        <v>0</v>
      </c>
      <c r="JV25" s="503"/>
      <c r="JW25" s="505" t="str">
        <f t="shared" si="96"/>
        <v>0</v>
      </c>
      <c r="JX25" s="505" t="str">
        <f t="shared" si="97"/>
        <v>0</v>
      </c>
      <c r="JY25" s="503"/>
      <c r="JZ25" s="505" t="str">
        <f t="shared" si="98"/>
        <v>0</v>
      </c>
      <c r="KA25" s="505" t="str">
        <f t="shared" si="99"/>
        <v>0</v>
      </c>
      <c r="KB25" s="503"/>
      <c r="KC25" s="505" t="str">
        <f t="shared" si="100"/>
        <v>0</v>
      </c>
      <c r="KD25" s="505" t="str">
        <f t="shared" si="101"/>
        <v>0</v>
      </c>
      <c r="KE25" s="503"/>
      <c r="KF25" s="505" t="str">
        <f t="shared" si="102"/>
        <v>0</v>
      </c>
      <c r="KG25" s="505" t="str">
        <f t="shared" si="103"/>
        <v>0</v>
      </c>
      <c r="KH25" s="503"/>
      <c r="KI25" s="505" t="str">
        <f t="shared" si="104"/>
        <v>0</v>
      </c>
      <c r="KJ25" s="505" t="str">
        <f t="shared" si="105"/>
        <v>0</v>
      </c>
      <c r="KK25" s="503"/>
      <c r="KL25" s="505" t="str">
        <f t="shared" si="106"/>
        <v>0</v>
      </c>
      <c r="KM25" s="505" t="str">
        <f t="shared" si="107"/>
        <v>0</v>
      </c>
      <c r="KN25" s="503"/>
      <c r="KO25" s="505" t="str">
        <f t="shared" si="108"/>
        <v>0</v>
      </c>
      <c r="KP25" s="505" t="str">
        <f t="shared" si="109"/>
        <v>0</v>
      </c>
      <c r="KQ25" s="503"/>
      <c r="KR25" s="505" t="str">
        <f t="shared" si="110"/>
        <v>0</v>
      </c>
      <c r="KS25" s="505" t="str">
        <f t="shared" si="111"/>
        <v>0</v>
      </c>
      <c r="KT25" s="505">
        <f t="shared" si="201"/>
        <v>0</v>
      </c>
      <c r="KU25" s="505">
        <f t="shared" si="202"/>
        <v>0</v>
      </c>
      <c r="KV25" s="258">
        <f t="shared" si="112"/>
        <v>1561.4075044159745</v>
      </c>
    </row>
    <row r="26" spans="1:309" ht="15" customHeight="1">
      <c r="A26" s="462">
        <f t="shared" si="200"/>
        <v>46098</v>
      </c>
      <c r="B26" s="463" t="str">
        <f>+Report1!B25</f>
        <v xml:space="preserve">Toilet </v>
      </c>
      <c r="C26" s="464" t="str">
        <f>+Report1!C25</f>
        <v>13,5/15</v>
      </c>
      <c r="D26" s="465">
        <f>+Report1!P25</f>
        <v>49.497999999999998</v>
      </c>
      <c r="E26" s="466">
        <f>+Report1!R25</f>
        <v>52.076999999999998</v>
      </c>
      <c r="F26" s="503"/>
      <c r="G26" s="504">
        <f t="shared" si="0"/>
        <v>0</v>
      </c>
      <c r="H26" s="505">
        <f t="shared" si="113"/>
        <v>0</v>
      </c>
      <c r="I26" s="503">
        <v>302.32558139534876</v>
      </c>
      <c r="J26" s="504">
        <f t="shared" si="1"/>
        <v>5.8053570942133526</v>
      </c>
      <c r="K26" s="505">
        <f t="shared" si="114"/>
        <v>0</v>
      </c>
      <c r="L26" s="503"/>
      <c r="M26" s="504">
        <f t="shared" si="2"/>
        <v>0</v>
      </c>
      <c r="N26" s="505">
        <f t="shared" si="115"/>
        <v>0</v>
      </c>
      <c r="O26" s="503">
        <v>24.000000000000057</v>
      </c>
      <c r="P26" s="504">
        <f t="shared" si="3"/>
        <v>0.46085604009447662</v>
      </c>
      <c r="Q26" s="505">
        <f t="shared" si="116"/>
        <v>0</v>
      </c>
      <c r="R26" s="503">
        <v>12.812500000000028</v>
      </c>
      <c r="S26" s="504">
        <f t="shared" si="4"/>
        <v>0.24602991723793668</v>
      </c>
      <c r="T26" s="505">
        <f t="shared" si="117"/>
        <v>0</v>
      </c>
      <c r="U26" s="503">
        <v>1.5625</v>
      </c>
      <c r="V26" s="504">
        <f t="shared" si="5"/>
        <v>3.0003648443650749E-2</v>
      </c>
      <c r="W26" s="505">
        <f t="shared" si="118"/>
        <v>0</v>
      </c>
      <c r="X26" s="503"/>
      <c r="Y26" s="504">
        <f t="shared" si="6"/>
        <v>0</v>
      </c>
      <c r="Z26" s="505">
        <f t="shared" si="119"/>
        <v>0</v>
      </c>
      <c r="AA26" s="503"/>
      <c r="AB26" s="504">
        <f t="shared" si="7"/>
        <v>0</v>
      </c>
      <c r="AC26" s="505">
        <f t="shared" si="120"/>
        <v>0</v>
      </c>
      <c r="AD26" s="503"/>
      <c r="AE26" s="504">
        <f t="shared" si="8"/>
        <v>0</v>
      </c>
      <c r="AF26" s="505">
        <f t="shared" si="121"/>
        <v>0</v>
      </c>
      <c r="AG26" s="503"/>
      <c r="AH26" s="504">
        <f t="shared" si="9"/>
        <v>0</v>
      </c>
      <c r="AI26" s="505">
        <f t="shared" si="122"/>
        <v>0</v>
      </c>
      <c r="AJ26" s="503"/>
      <c r="AK26" s="504">
        <f t="shared" si="10"/>
        <v>0</v>
      </c>
      <c r="AL26" s="505">
        <f t="shared" si="123"/>
        <v>0</v>
      </c>
      <c r="AM26" s="503">
        <v>34.166666666666629</v>
      </c>
      <c r="AN26" s="504">
        <f t="shared" si="11"/>
        <v>0.65607977930116235</v>
      </c>
      <c r="AO26" s="505">
        <f t="shared" si="124"/>
        <v>0</v>
      </c>
      <c r="AP26" s="503"/>
      <c r="AQ26" s="504">
        <f t="shared" si="12"/>
        <v>0</v>
      </c>
      <c r="AR26" s="505">
        <f t="shared" si="125"/>
        <v>0</v>
      </c>
      <c r="AS26" s="503"/>
      <c r="AT26" s="504">
        <f t="shared" si="13"/>
        <v>0</v>
      </c>
      <c r="AU26" s="505">
        <f t="shared" si="126"/>
        <v>0</v>
      </c>
      <c r="AV26" s="503">
        <v>5.5500000000000114</v>
      </c>
      <c r="AW26" s="504">
        <f t="shared" si="14"/>
        <v>0.10657295927184768</v>
      </c>
      <c r="AX26" s="505">
        <f t="shared" si="127"/>
        <v>0</v>
      </c>
      <c r="AY26" s="503">
        <v>42</v>
      </c>
      <c r="AZ26" s="504">
        <f t="shared" si="15"/>
        <v>0.80649807016533215</v>
      </c>
      <c r="BA26" s="505">
        <f t="shared" si="128"/>
        <v>0</v>
      </c>
      <c r="BB26" s="503"/>
      <c r="BC26" s="504">
        <f t="shared" si="16"/>
        <v>0</v>
      </c>
      <c r="BD26" s="505">
        <f t="shared" si="129"/>
        <v>0</v>
      </c>
      <c r="BE26" s="503"/>
      <c r="BF26" s="504">
        <f t="shared" si="17"/>
        <v>0</v>
      </c>
      <c r="BG26" s="505">
        <f t="shared" si="130"/>
        <v>0</v>
      </c>
      <c r="BH26" s="503"/>
      <c r="BI26" s="504">
        <f t="shared" si="18"/>
        <v>0</v>
      </c>
      <c r="BJ26" s="505">
        <f t="shared" si="131"/>
        <v>0</v>
      </c>
      <c r="BK26" s="503"/>
      <c r="BL26" s="504">
        <f t="shared" si="19"/>
        <v>0</v>
      </c>
      <c r="BM26" s="505">
        <f t="shared" si="132"/>
        <v>0</v>
      </c>
      <c r="BN26" s="503"/>
      <c r="BO26" s="504">
        <f t="shared" si="20"/>
        <v>0</v>
      </c>
      <c r="BP26" s="505">
        <f t="shared" si="133"/>
        <v>0</v>
      </c>
      <c r="BQ26" s="503"/>
      <c r="BR26" s="504">
        <f t="shared" si="21"/>
        <v>0</v>
      </c>
      <c r="BS26" s="505">
        <f t="shared" si="134"/>
        <v>0</v>
      </c>
      <c r="BT26" s="503"/>
      <c r="BU26" s="504">
        <f t="shared" si="22"/>
        <v>0</v>
      </c>
      <c r="BV26" s="505">
        <f t="shared" si="135"/>
        <v>0</v>
      </c>
      <c r="BW26" s="503"/>
      <c r="BX26" s="504">
        <f t="shared" si="23"/>
        <v>0</v>
      </c>
      <c r="BY26" s="505">
        <f t="shared" si="136"/>
        <v>0</v>
      </c>
      <c r="BZ26" s="503"/>
      <c r="CA26" s="504">
        <f t="shared" si="24"/>
        <v>0</v>
      </c>
      <c r="CB26" s="505">
        <f t="shared" si="137"/>
        <v>0</v>
      </c>
      <c r="CC26" s="503"/>
      <c r="CD26" s="504">
        <f t="shared" si="25"/>
        <v>0</v>
      </c>
      <c r="CE26" s="505">
        <f t="shared" si="138"/>
        <v>0</v>
      </c>
      <c r="CF26" s="503">
        <v>12</v>
      </c>
      <c r="CG26" s="504">
        <f t="shared" si="26"/>
        <v>0.23042802004723775</v>
      </c>
      <c r="CH26" s="505">
        <f t="shared" si="139"/>
        <v>0</v>
      </c>
      <c r="CI26" s="503"/>
      <c r="CJ26" s="504">
        <f t="shared" si="27"/>
        <v>0</v>
      </c>
      <c r="CK26" s="505">
        <f t="shared" si="140"/>
        <v>0</v>
      </c>
      <c r="CL26" s="503"/>
      <c r="CM26" s="504">
        <f t="shared" si="28"/>
        <v>0</v>
      </c>
      <c r="CN26" s="505">
        <f t="shared" si="141"/>
        <v>0</v>
      </c>
      <c r="CO26" s="503"/>
      <c r="CP26" s="504">
        <f t="shared" si="29"/>
        <v>0</v>
      </c>
      <c r="CQ26" s="505">
        <f t="shared" si="142"/>
        <v>0</v>
      </c>
      <c r="CR26" s="503"/>
      <c r="CS26" s="504">
        <f t="shared" si="30"/>
        <v>0</v>
      </c>
      <c r="CT26" s="505">
        <f t="shared" si="143"/>
        <v>0</v>
      </c>
      <c r="CU26" s="503"/>
      <c r="CV26" s="504">
        <f t="shared" si="31"/>
        <v>0</v>
      </c>
      <c r="CW26" s="505">
        <f t="shared" si="144"/>
        <v>0</v>
      </c>
      <c r="CX26" s="503"/>
      <c r="CY26" s="504">
        <f t="shared" si="32"/>
        <v>0</v>
      </c>
      <c r="CZ26" s="505">
        <f t="shared" si="145"/>
        <v>0</v>
      </c>
      <c r="DA26" s="503"/>
      <c r="DB26" s="504">
        <f t="shared" si="33"/>
        <v>0</v>
      </c>
      <c r="DC26" s="505">
        <f t="shared" si="146"/>
        <v>0</v>
      </c>
      <c r="DD26" s="503"/>
      <c r="DE26" s="504">
        <f t="shared" si="34"/>
        <v>0</v>
      </c>
      <c r="DF26" s="505">
        <f t="shared" si="147"/>
        <v>0</v>
      </c>
      <c r="DG26" s="503"/>
      <c r="DH26" s="504">
        <f t="shared" si="35"/>
        <v>0</v>
      </c>
      <c r="DI26" s="505">
        <f t="shared" si="203"/>
        <v>0</v>
      </c>
      <c r="DJ26" s="503"/>
      <c r="DK26" s="504">
        <f t="shared" si="36"/>
        <v>0</v>
      </c>
      <c r="DL26" s="505">
        <f t="shared" si="148"/>
        <v>0</v>
      </c>
      <c r="DM26" s="503"/>
      <c r="DN26" s="504">
        <f t="shared" si="37"/>
        <v>0</v>
      </c>
      <c r="DO26" s="505">
        <f t="shared" si="149"/>
        <v>0</v>
      </c>
      <c r="DP26" s="503"/>
      <c r="DQ26" s="504">
        <f t="shared" si="38"/>
        <v>0</v>
      </c>
      <c r="DR26" s="505">
        <f t="shared" si="150"/>
        <v>0</v>
      </c>
      <c r="DS26" s="503"/>
      <c r="DT26" s="504">
        <f t="shared" si="39"/>
        <v>0</v>
      </c>
      <c r="DU26" s="505">
        <f t="shared" si="151"/>
        <v>0</v>
      </c>
      <c r="DV26" s="503"/>
      <c r="DW26" s="504">
        <f t="shared" si="40"/>
        <v>0</v>
      </c>
      <c r="DX26" s="505">
        <f t="shared" si="152"/>
        <v>0</v>
      </c>
      <c r="DY26" s="503">
        <v>69.01204819277109</v>
      </c>
      <c r="DZ26" s="504">
        <f t="shared" si="41"/>
        <v>1.3251924687053995</v>
      </c>
      <c r="EA26" s="505">
        <f t="shared" si="153"/>
        <v>0</v>
      </c>
      <c r="EB26" s="503">
        <v>258.30588235294135</v>
      </c>
      <c r="EC26" s="504">
        <f t="shared" si="42"/>
        <v>4.9600760864285842</v>
      </c>
      <c r="ED26" s="505">
        <f t="shared" si="154"/>
        <v>0</v>
      </c>
      <c r="EE26" s="503">
        <v>14.534883720930225</v>
      </c>
      <c r="EF26" s="504">
        <f t="shared" si="43"/>
        <v>0.27910370645256494</v>
      </c>
      <c r="EG26" s="505">
        <f t="shared" si="155"/>
        <v>0</v>
      </c>
      <c r="EH26" s="503"/>
      <c r="EI26" s="504">
        <f t="shared" si="44"/>
        <v>0</v>
      </c>
      <c r="EJ26" s="505">
        <f t="shared" si="156"/>
        <v>0</v>
      </c>
      <c r="EK26" s="503"/>
      <c r="EL26" s="504">
        <f t="shared" si="45"/>
        <v>0</v>
      </c>
      <c r="EM26" s="505">
        <f t="shared" si="157"/>
        <v>0</v>
      </c>
      <c r="EN26" s="503"/>
      <c r="EO26" s="504">
        <f t="shared" si="46"/>
        <v>0</v>
      </c>
      <c r="EP26" s="505">
        <f t="shared" si="158"/>
        <v>0</v>
      </c>
      <c r="EQ26" s="503"/>
      <c r="ER26" s="504">
        <f t="shared" si="47"/>
        <v>0</v>
      </c>
      <c r="ES26" s="505">
        <f t="shared" si="159"/>
        <v>0</v>
      </c>
      <c r="ET26" s="503"/>
      <c r="EU26" s="504">
        <f t="shared" si="48"/>
        <v>0</v>
      </c>
      <c r="EV26" s="505">
        <f t="shared" si="160"/>
        <v>0</v>
      </c>
      <c r="EW26" s="503"/>
      <c r="EX26" s="504">
        <f t="shared" si="49"/>
        <v>0</v>
      </c>
      <c r="EY26" s="505">
        <f t="shared" si="161"/>
        <v>0</v>
      </c>
      <c r="EZ26" s="503"/>
      <c r="FA26" s="504">
        <f t="shared" si="50"/>
        <v>0</v>
      </c>
      <c r="FB26" s="505">
        <f t="shared" si="162"/>
        <v>0</v>
      </c>
      <c r="FC26" s="503"/>
      <c r="FD26" s="504">
        <f t="shared" si="51"/>
        <v>0</v>
      </c>
      <c r="FE26" s="505">
        <f t="shared" si="163"/>
        <v>0</v>
      </c>
      <c r="FF26" s="503"/>
      <c r="FG26" s="504">
        <f t="shared" si="52"/>
        <v>0</v>
      </c>
      <c r="FH26" s="505">
        <f t="shared" si="164"/>
        <v>0</v>
      </c>
      <c r="FI26" s="503"/>
      <c r="FJ26" s="504">
        <f t="shared" si="53"/>
        <v>0</v>
      </c>
      <c r="FK26" s="505">
        <f t="shared" si="165"/>
        <v>0</v>
      </c>
      <c r="FL26" s="503"/>
      <c r="FM26" s="504">
        <f t="shared" si="54"/>
        <v>0</v>
      </c>
      <c r="FN26" s="505">
        <f t="shared" si="166"/>
        <v>0</v>
      </c>
      <c r="FO26" s="503"/>
      <c r="FP26" s="504">
        <f t="shared" si="55"/>
        <v>0</v>
      </c>
      <c r="FQ26" s="505">
        <f t="shared" si="167"/>
        <v>0</v>
      </c>
      <c r="FR26" s="503"/>
      <c r="FS26" s="504">
        <f t="shared" si="56"/>
        <v>0</v>
      </c>
      <c r="FT26" s="505">
        <f t="shared" si="168"/>
        <v>0</v>
      </c>
      <c r="FU26" s="503"/>
      <c r="FV26" s="504">
        <f t="shared" si="57"/>
        <v>0</v>
      </c>
      <c r="FW26" s="505">
        <f t="shared" si="169"/>
        <v>0</v>
      </c>
      <c r="FX26" s="503"/>
      <c r="FY26" s="504">
        <f t="shared" si="58"/>
        <v>0</v>
      </c>
      <c r="FZ26" s="505">
        <f t="shared" si="170"/>
        <v>0</v>
      </c>
      <c r="GA26" s="503"/>
      <c r="GB26" s="504">
        <f t="shared" si="59"/>
        <v>0</v>
      </c>
      <c r="GC26" s="505">
        <f t="shared" si="171"/>
        <v>0</v>
      </c>
      <c r="GD26" s="503"/>
      <c r="GE26" s="504">
        <f t="shared" si="60"/>
        <v>0</v>
      </c>
      <c r="GF26" s="505">
        <f t="shared" si="172"/>
        <v>0</v>
      </c>
      <c r="GG26" s="503">
        <v>11.951881471179107</v>
      </c>
      <c r="GH26" s="504">
        <f t="shared" si="61"/>
        <v>0.2295040319369224</v>
      </c>
      <c r="GI26" s="505">
        <f t="shared" si="173"/>
        <v>0</v>
      </c>
      <c r="GJ26" s="503">
        <v>11.951881471179107</v>
      </c>
      <c r="GK26" s="504">
        <f t="shared" si="62"/>
        <v>0.2295040319369224</v>
      </c>
      <c r="GL26" s="505">
        <f t="shared" si="174"/>
        <v>0</v>
      </c>
      <c r="GM26" s="503"/>
      <c r="GN26" s="504">
        <f t="shared" si="63"/>
        <v>0</v>
      </c>
      <c r="GO26" s="505">
        <f t="shared" si="175"/>
        <v>0</v>
      </c>
      <c r="GP26" s="503">
        <v>38.246020707773141</v>
      </c>
      <c r="GQ26" s="504">
        <f t="shared" si="64"/>
        <v>0.73441290219815158</v>
      </c>
      <c r="GR26" s="505">
        <f t="shared" si="176"/>
        <v>0</v>
      </c>
      <c r="GS26" s="503">
        <v>262.94139236594032</v>
      </c>
      <c r="GT26" s="504">
        <f t="shared" si="65"/>
        <v>5.0490887026122921</v>
      </c>
      <c r="GU26" s="505">
        <f t="shared" si="177"/>
        <v>0</v>
      </c>
      <c r="GV26" s="503">
        <v>66.930536238602997</v>
      </c>
      <c r="GW26" s="504">
        <f t="shared" si="66"/>
        <v>1.2852225788467653</v>
      </c>
      <c r="GX26" s="505">
        <f t="shared" si="178"/>
        <v>0</v>
      </c>
      <c r="GY26" s="503"/>
      <c r="GZ26" s="504">
        <f t="shared" si="67"/>
        <v>0</v>
      </c>
      <c r="HA26" s="505">
        <f t="shared" si="179"/>
        <v>0</v>
      </c>
      <c r="HB26" s="503"/>
      <c r="HC26" s="504">
        <f t="shared" si="68"/>
        <v>0</v>
      </c>
      <c r="HD26" s="505">
        <f t="shared" si="180"/>
        <v>0</v>
      </c>
      <c r="HE26" s="503"/>
      <c r="HF26" s="504">
        <f t="shared" si="69"/>
        <v>0</v>
      </c>
      <c r="HG26" s="505">
        <f t="shared" si="181"/>
        <v>0</v>
      </c>
      <c r="HH26" s="503"/>
      <c r="HI26" s="504">
        <f t="shared" si="70"/>
        <v>0</v>
      </c>
      <c r="HJ26" s="505">
        <f t="shared" si="182"/>
        <v>0</v>
      </c>
      <c r="HK26" s="503"/>
      <c r="HL26" s="504">
        <f t="shared" si="71"/>
        <v>0</v>
      </c>
      <c r="HM26" s="505">
        <f t="shared" si="183"/>
        <v>0</v>
      </c>
      <c r="HN26" s="503">
        <v>810.81563900479057</v>
      </c>
      <c r="HO26" s="504">
        <f t="shared" si="72"/>
        <v>15.569553526600814</v>
      </c>
      <c r="HP26" s="505">
        <f t="shared" si="184"/>
        <v>0</v>
      </c>
      <c r="HQ26" s="503"/>
      <c r="HR26" s="504">
        <f t="shared" si="73"/>
        <v>0</v>
      </c>
      <c r="HS26" s="505">
        <f t="shared" si="185"/>
        <v>0</v>
      </c>
      <c r="HT26" s="503"/>
      <c r="HU26" s="504">
        <f t="shared" si="74"/>
        <v>0</v>
      </c>
      <c r="HV26" s="505">
        <f t="shared" si="186"/>
        <v>0</v>
      </c>
      <c r="HW26" s="503"/>
      <c r="HX26" s="504">
        <f t="shared" si="75"/>
        <v>0</v>
      </c>
      <c r="HY26" s="505">
        <f t="shared" si="187"/>
        <v>0</v>
      </c>
      <c r="HZ26" s="503"/>
      <c r="IA26" s="504">
        <f t="shared" si="76"/>
        <v>0</v>
      </c>
      <c r="IB26" s="505">
        <f t="shared" si="188"/>
        <v>0</v>
      </c>
      <c r="IC26" s="503"/>
      <c r="ID26" s="504">
        <f t="shared" si="77"/>
        <v>0</v>
      </c>
      <c r="IE26" s="505">
        <f t="shared" si="189"/>
        <v>0</v>
      </c>
      <c r="IF26" s="503"/>
      <c r="IG26" s="504">
        <f t="shared" si="78"/>
        <v>0</v>
      </c>
      <c r="IH26" s="505">
        <f t="shared" si="190"/>
        <v>0</v>
      </c>
      <c r="II26" s="503">
        <v>23.903762942358213</v>
      </c>
      <c r="IJ26" s="504">
        <f t="shared" si="79"/>
        <v>0.4590080638738448</v>
      </c>
      <c r="IK26" s="505">
        <f t="shared" si="191"/>
        <v>0</v>
      </c>
      <c r="IL26" s="503"/>
      <c r="IM26" s="504">
        <f t="shared" si="80"/>
        <v>0</v>
      </c>
      <c r="IN26" s="505">
        <f t="shared" si="192"/>
        <v>0</v>
      </c>
      <c r="IO26" s="503"/>
      <c r="IP26" s="504">
        <f t="shared" si="81"/>
        <v>0</v>
      </c>
      <c r="IQ26" s="505">
        <f t="shared" si="193"/>
        <v>0</v>
      </c>
      <c r="IR26" s="503">
        <v>33.465268119301498</v>
      </c>
      <c r="IS26" s="504">
        <f t="shared" si="82"/>
        <v>0.64261128942338264</v>
      </c>
      <c r="IT26" s="505">
        <f t="shared" si="194"/>
        <v>0</v>
      </c>
      <c r="IU26" s="503"/>
      <c r="IV26" s="504">
        <f t="shared" si="83"/>
        <v>0</v>
      </c>
      <c r="IW26" s="505">
        <f t="shared" si="195"/>
        <v>0</v>
      </c>
      <c r="IX26" s="503"/>
      <c r="IY26" s="504">
        <f t="shared" si="84"/>
        <v>0</v>
      </c>
      <c r="IZ26" s="505">
        <f t="shared" si="196"/>
        <v>0</v>
      </c>
      <c r="JA26" s="503"/>
      <c r="JB26" s="504">
        <f t="shared" si="85"/>
        <v>0</v>
      </c>
      <c r="JC26" s="505">
        <f t="shared" si="197"/>
        <v>0</v>
      </c>
      <c r="JD26" s="503"/>
      <c r="JE26" s="504">
        <f t="shared" si="86"/>
        <v>0</v>
      </c>
      <c r="JF26" s="505">
        <f t="shared" si="198"/>
        <v>0</v>
      </c>
      <c r="JG26" s="503"/>
      <c r="JH26" s="504">
        <f t="shared" si="87"/>
        <v>0</v>
      </c>
      <c r="JI26" s="505">
        <f t="shared" si="199"/>
        <v>0</v>
      </c>
      <c r="JJ26" s="503">
        <v>19.123010353886571</v>
      </c>
      <c r="JK26" s="505" t="str">
        <f t="shared" si="88"/>
        <v>0</v>
      </c>
      <c r="JL26" s="505" t="str">
        <f t="shared" si="89"/>
        <v>0</v>
      </c>
      <c r="JM26" s="503"/>
      <c r="JN26" s="505" t="str">
        <f t="shared" si="90"/>
        <v>0</v>
      </c>
      <c r="JO26" s="505" t="str">
        <f t="shared" si="91"/>
        <v>0</v>
      </c>
      <c r="JP26" s="503"/>
      <c r="JQ26" s="505" t="str">
        <f t="shared" si="92"/>
        <v>0</v>
      </c>
      <c r="JR26" s="505" t="str">
        <f t="shared" si="93"/>
        <v>0</v>
      </c>
      <c r="JS26" s="503"/>
      <c r="JT26" s="505" t="str">
        <f t="shared" si="94"/>
        <v>0</v>
      </c>
      <c r="JU26" s="505" t="str">
        <f t="shared" si="95"/>
        <v>0</v>
      </c>
      <c r="JV26" s="503"/>
      <c r="JW26" s="505" t="str">
        <f t="shared" si="96"/>
        <v>0</v>
      </c>
      <c r="JX26" s="505" t="str">
        <f t="shared" si="97"/>
        <v>0</v>
      </c>
      <c r="JY26" s="503"/>
      <c r="JZ26" s="505" t="str">
        <f t="shared" si="98"/>
        <v>0</v>
      </c>
      <c r="KA26" s="505" t="str">
        <f t="shared" si="99"/>
        <v>0</v>
      </c>
      <c r="KB26" s="503"/>
      <c r="KC26" s="505" t="str">
        <f t="shared" si="100"/>
        <v>0</v>
      </c>
      <c r="KD26" s="505" t="str">
        <f t="shared" si="101"/>
        <v>0</v>
      </c>
      <c r="KE26" s="503"/>
      <c r="KF26" s="505" t="str">
        <f t="shared" si="102"/>
        <v>0</v>
      </c>
      <c r="KG26" s="505" t="str">
        <f t="shared" si="103"/>
        <v>0</v>
      </c>
      <c r="KH26" s="503"/>
      <c r="KI26" s="505" t="str">
        <f t="shared" si="104"/>
        <v>0</v>
      </c>
      <c r="KJ26" s="505" t="str">
        <f t="shared" si="105"/>
        <v>0</v>
      </c>
      <c r="KK26" s="503"/>
      <c r="KL26" s="505" t="str">
        <f t="shared" si="106"/>
        <v>0</v>
      </c>
      <c r="KM26" s="505" t="str">
        <f t="shared" si="107"/>
        <v>0</v>
      </c>
      <c r="KN26" s="503"/>
      <c r="KO26" s="505" t="str">
        <f t="shared" si="108"/>
        <v>0</v>
      </c>
      <c r="KP26" s="505" t="str">
        <f t="shared" si="109"/>
        <v>0</v>
      </c>
      <c r="KQ26" s="503"/>
      <c r="KR26" s="505" t="str">
        <f t="shared" si="110"/>
        <v>0</v>
      </c>
      <c r="KS26" s="505" t="str">
        <f t="shared" si="111"/>
        <v>0</v>
      </c>
      <c r="KT26" s="505">
        <f t="shared" si="201"/>
        <v>0</v>
      </c>
      <c r="KU26" s="505">
        <f t="shared" si="202"/>
        <v>0</v>
      </c>
      <c r="KV26" s="258">
        <f t="shared" si="112"/>
        <v>2055.5994550036698</v>
      </c>
    </row>
    <row r="27" spans="1:309" ht="15" customHeight="1">
      <c r="A27" s="462">
        <f t="shared" si="200"/>
        <v>46099</v>
      </c>
      <c r="B27" s="463" t="str">
        <f>+Report1!B26</f>
        <v>Toilet /Towel</v>
      </c>
      <c r="C27" s="464" t="str">
        <f>+Report1!C26</f>
        <v>15/22</v>
      </c>
      <c r="D27" s="465">
        <f>+Report1!P26</f>
        <v>56.817999999999998</v>
      </c>
      <c r="E27" s="466">
        <f>+Report1!R26</f>
        <v>59.319000000000003</v>
      </c>
      <c r="F27" s="503"/>
      <c r="G27" s="504">
        <f t="shared" si="0"/>
        <v>0</v>
      </c>
      <c r="H27" s="505">
        <f t="shared" si="113"/>
        <v>0</v>
      </c>
      <c r="I27" s="503">
        <v>1058.1395348837204</v>
      </c>
      <c r="J27" s="504">
        <f t="shared" si="1"/>
        <v>17.838121594829992</v>
      </c>
      <c r="K27" s="505">
        <f t="shared" si="114"/>
        <v>0</v>
      </c>
      <c r="L27" s="503"/>
      <c r="M27" s="504">
        <f t="shared" si="2"/>
        <v>0</v>
      </c>
      <c r="N27" s="505">
        <f t="shared" si="115"/>
        <v>0</v>
      </c>
      <c r="O27" s="503">
        <v>23.999999999999943</v>
      </c>
      <c r="P27" s="504">
        <f t="shared" si="3"/>
        <v>0.40459212056845095</v>
      </c>
      <c r="Q27" s="505">
        <f t="shared" si="116"/>
        <v>0</v>
      </c>
      <c r="R27" s="503">
        <v>10.25</v>
      </c>
      <c r="S27" s="504">
        <f t="shared" si="4"/>
        <v>0.17279455149277634</v>
      </c>
      <c r="T27" s="505">
        <f t="shared" si="117"/>
        <v>0</v>
      </c>
      <c r="U27" s="503">
        <v>1.5625</v>
      </c>
      <c r="V27" s="504">
        <f t="shared" si="5"/>
        <v>2.6340632849508588E-2</v>
      </c>
      <c r="W27" s="505">
        <f t="shared" si="118"/>
        <v>0</v>
      </c>
      <c r="X27" s="503"/>
      <c r="Y27" s="504">
        <f t="shared" si="6"/>
        <v>0</v>
      </c>
      <c r="Z27" s="505">
        <f t="shared" si="119"/>
        <v>0</v>
      </c>
      <c r="AA27" s="503"/>
      <c r="AB27" s="504">
        <f t="shared" si="7"/>
        <v>0</v>
      </c>
      <c r="AC27" s="505">
        <f t="shared" si="120"/>
        <v>0</v>
      </c>
      <c r="AD27" s="503"/>
      <c r="AE27" s="504">
        <f t="shared" si="8"/>
        <v>0</v>
      </c>
      <c r="AF27" s="505">
        <f t="shared" si="121"/>
        <v>0</v>
      </c>
      <c r="AG27" s="503"/>
      <c r="AH27" s="504">
        <f t="shared" si="9"/>
        <v>0</v>
      </c>
      <c r="AI27" s="505">
        <f t="shared" si="122"/>
        <v>0</v>
      </c>
      <c r="AJ27" s="503"/>
      <c r="AK27" s="504">
        <f t="shared" si="10"/>
        <v>0</v>
      </c>
      <c r="AL27" s="505">
        <f t="shared" si="123"/>
        <v>0</v>
      </c>
      <c r="AM27" s="503">
        <v>47.311782051281966</v>
      </c>
      <c r="AN27" s="504">
        <f t="shared" si="11"/>
        <v>0.7975822595000247</v>
      </c>
      <c r="AO27" s="505">
        <f t="shared" si="124"/>
        <v>0</v>
      </c>
      <c r="AP27" s="503"/>
      <c r="AQ27" s="504">
        <f t="shared" si="12"/>
        <v>0</v>
      </c>
      <c r="AR27" s="505">
        <f t="shared" si="125"/>
        <v>0</v>
      </c>
      <c r="AS27" s="503"/>
      <c r="AT27" s="504">
        <f t="shared" si="13"/>
        <v>0</v>
      </c>
      <c r="AU27" s="505">
        <f t="shared" si="126"/>
        <v>0</v>
      </c>
      <c r="AV27" s="503">
        <v>11.100000000000023</v>
      </c>
      <c r="AW27" s="504">
        <f t="shared" si="14"/>
        <v>0.18712385576290938</v>
      </c>
      <c r="AX27" s="505">
        <f t="shared" si="127"/>
        <v>0</v>
      </c>
      <c r="AY27" s="503">
        <v>35.004266666666581</v>
      </c>
      <c r="AZ27" s="504">
        <f t="shared" si="15"/>
        <v>0.59010210331709201</v>
      </c>
      <c r="BA27" s="505">
        <f t="shared" si="128"/>
        <v>0</v>
      </c>
      <c r="BB27" s="503"/>
      <c r="BC27" s="504">
        <f t="shared" si="16"/>
        <v>0</v>
      </c>
      <c r="BD27" s="505">
        <f t="shared" si="129"/>
        <v>0</v>
      </c>
      <c r="BE27" s="503"/>
      <c r="BF27" s="504">
        <f t="shared" si="17"/>
        <v>0</v>
      </c>
      <c r="BG27" s="505">
        <f t="shared" si="130"/>
        <v>0</v>
      </c>
      <c r="BH27" s="503"/>
      <c r="BI27" s="504">
        <f t="shared" si="18"/>
        <v>0</v>
      </c>
      <c r="BJ27" s="505">
        <f t="shared" si="131"/>
        <v>0</v>
      </c>
      <c r="BK27" s="503"/>
      <c r="BL27" s="504">
        <f t="shared" si="19"/>
        <v>0</v>
      </c>
      <c r="BM27" s="505">
        <f t="shared" si="132"/>
        <v>0</v>
      </c>
      <c r="BN27" s="503"/>
      <c r="BO27" s="504">
        <f t="shared" si="20"/>
        <v>0</v>
      </c>
      <c r="BP27" s="505">
        <f t="shared" si="133"/>
        <v>0</v>
      </c>
      <c r="BQ27" s="503"/>
      <c r="BR27" s="504">
        <f t="shared" si="21"/>
        <v>0</v>
      </c>
      <c r="BS27" s="505">
        <f t="shared" si="134"/>
        <v>0</v>
      </c>
      <c r="BT27" s="503"/>
      <c r="BU27" s="504">
        <f t="shared" si="22"/>
        <v>0</v>
      </c>
      <c r="BV27" s="505">
        <f t="shared" si="135"/>
        <v>0</v>
      </c>
      <c r="BW27" s="503"/>
      <c r="BX27" s="504">
        <f t="shared" si="23"/>
        <v>0</v>
      </c>
      <c r="BY27" s="505">
        <f t="shared" si="136"/>
        <v>0</v>
      </c>
      <c r="BZ27" s="503"/>
      <c r="CA27" s="504">
        <f t="shared" si="24"/>
        <v>0</v>
      </c>
      <c r="CB27" s="505">
        <f t="shared" si="137"/>
        <v>0</v>
      </c>
      <c r="CC27" s="503"/>
      <c r="CD27" s="504">
        <f t="shared" si="25"/>
        <v>0</v>
      </c>
      <c r="CE27" s="505">
        <f t="shared" si="138"/>
        <v>0</v>
      </c>
      <c r="CF27" s="503">
        <v>10</v>
      </c>
      <c r="CG27" s="504">
        <f t="shared" si="26"/>
        <v>0.16858005023685496</v>
      </c>
      <c r="CH27" s="505">
        <f t="shared" si="139"/>
        <v>0</v>
      </c>
      <c r="CI27" s="503"/>
      <c r="CJ27" s="504">
        <f t="shared" si="27"/>
        <v>0</v>
      </c>
      <c r="CK27" s="505">
        <f t="shared" si="140"/>
        <v>0</v>
      </c>
      <c r="CL27" s="503"/>
      <c r="CM27" s="504">
        <f t="shared" si="28"/>
        <v>0</v>
      </c>
      <c r="CN27" s="505">
        <f t="shared" si="141"/>
        <v>0</v>
      </c>
      <c r="CO27" s="503"/>
      <c r="CP27" s="504">
        <f t="shared" si="29"/>
        <v>0</v>
      </c>
      <c r="CQ27" s="505">
        <f t="shared" si="142"/>
        <v>0</v>
      </c>
      <c r="CR27" s="503"/>
      <c r="CS27" s="504">
        <f t="shared" si="30"/>
        <v>0</v>
      </c>
      <c r="CT27" s="505">
        <f t="shared" si="143"/>
        <v>0</v>
      </c>
      <c r="CU27" s="503"/>
      <c r="CV27" s="504">
        <f t="shared" si="31"/>
        <v>0</v>
      </c>
      <c r="CW27" s="505">
        <f t="shared" si="144"/>
        <v>0</v>
      </c>
      <c r="CX27" s="503"/>
      <c r="CY27" s="504">
        <f t="shared" si="32"/>
        <v>0</v>
      </c>
      <c r="CZ27" s="505">
        <f t="shared" si="145"/>
        <v>0</v>
      </c>
      <c r="DA27" s="503"/>
      <c r="DB27" s="504">
        <f t="shared" si="33"/>
        <v>0</v>
      </c>
      <c r="DC27" s="505">
        <f t="shared" si="146"/>
        <v>0</v>
      </c>
      <c r="DD27" s="503"/>
      <c r="DE27" s="504">
        <f t="shared" si="34"/>
        <v>0</v>
      </c>
      <c r="DF27" s="505">
        <f t="shared" si="147"/>
        <v>0</v>
      </c>
      <c r="DG27" s="503"/>
      <c r="DH27" s="504">
        <f t="shared" si="35"/>
        <v>0</v>
      </c>
      <c r="DI27" s="505">
        <f t="shared" si="203"/>
        <v>0</v>
      </c>
      <c r="DJ27" s="503"/>
      <c r="DK27" s="504">
        <f t="shared" si="36"/>
        <v>0</v>
      </c>
      <c r="DL27" s="505">
        <f t="shared" si="148"/>
        <v>0</v>
      </c>
      <c r="DM27" s="503"/>
      <c r="DN27" s="504">
        <f t="shared" si="37"/>
        <v>0</v>
      </c>
      <c r="DO27" s="505">
        <f t="shared" si="149"/>
        <v>0</v>
      </c>
      <c r="DP27" s="503"/>
      <c r="DQ27" s="504">
        <f t="shared" si="38"/>
        <v>0</v>
      </c>
      <c r="DR27" s="505">
        <f t="shared" si="150"/>
        <v>0</v>
      </c>
      <c r="DS27" s="503"/>
      <c r="DT27" s="504">
        <f t="shared" si="39"/>
        <v>0</v>
      </c>
      <c r="DU27" s="505">
        <f t="shared" si="151"/>
        <v>0</v>
      </c>
      <c r="DV27" s="503"/>
      <c r="DW27" s="504">
        <f t="shared" si="40"/>
        <v>0</v>
      </c>
      <c r="DX27" s="505">
        <f t="shared" si="152"/>
        <v>0</v>
      </c>
      <c r="DY27" s="503"/>
      <c r="DZ27" s="504">
        <f t="shared" si="41"/>
        <v>0</v>
      </c>
      <c r="EA27" s="505">
        <f t="shared" si="153"/>
        <v>0</v>
      </c>
      <c r="EB27" s="503">
        <v>258.30588235294135</v>
      </c>
      <c r="EC27" s="504">
        <f t="shared" si="42"/>
        <v>4.3545218623534003</v>
      </c>
      <c r="ED27" s="505">
        <f t="shared" si="154"/>
        <v>0</v>
      </c>
      <c r="EE27" s="503">
        <v>0</v>
      </c>
      <c r="EF27" s="504">
        <f t="shared" si="43"/>
        <v>0</v>
      </c>
      <c r="EG27" s="505">
        <f t="shared" si="155"/>
        <v>0</v>
      </c>
      <c r="EH27" s="503"/>
      <c r="EI27" s="504">
        <f t="shared" si="44"/>
        <v>0</v>
      </c>
      <c r="EJ27" s="505">
        <f t="shared" si="156"/>
        <v>0</v>
      </c>
      <c r="EK27" s="503"/>
      <c r="EL27" s="504">
        <f t="shared" si="45"/>
        <v>0</v>
      </c>
      <c r="EM27" s="505">
        <f t="shared" si="157"/>
        <v>0</v>
      </c>
      <c r="EN27" s="503"/>
      <c r="EO27" s="504">
        <f t="shared" si="46"/>
        <v>0</v>
      </c>
      <c r="EP27" s="505">
        <f t="shared" si="158"/>
        <v>0</v>
      </c>
      <c r="EQ27" s="503"/>
      <c r="ER27" s="504">
        <f t="shared" si="47"/>
        <v>0</v>
      </c>
      <c r="ES27" s="505">
        <f t="shared" si="159"/>
        <v>0</v>
      </c>
      <c r="ET27" s="503"/>
      <c r="EU27" s="504">
        <f t="shared" si="48"/>
        <v>0</v>
      </c>
      <c r="EV27" s="505">
        <f t="shared" si="160"/>
        <v>0</v>
      </c>
      <c r="EW27" s="503"/>
      <c r="EX27" s="504">
        <f t="shared" si="49"/>
        <v>0</v>
      </c>
      <c r="EY27" s="505">
        <f t="shared" si="161"/>
        <v>0</v>
      </c>
      <c r="EZ27" s="503"/>
      <c r="FA27" s="504">
        <f t="shared" si="50"/>
        <v>0</v>
      </c>
      <c r="FB27" s="505">
        <f t="shared" si="162"/>
        <v>0</v>
      </c>
      <c r="FC27" s="503"/>
      <c r="FD27" s="504">
        <f t="shared" si="51"/>
        <v>0</v>
      </c>
      <c r="FE27" s="505">
        <f t="shared" si="163"/>
        <v>0</v>
      </c>
      <c r="FF27" s="503"/>
      <c r="FG27" s="504">
        <f t="shared" si="52"/>
        <v>0</v>
      </c>
      <c r="FH27" s="505">
        <f t="shared" si="164"/>
        <v>0</v>
      </c>
      <c r="FI27" s="503"/>
      <c r="FJ27" s="504">
        <f t="shared" si="53"/>
        <v>0</v>
      </c>
      <c r="FK27" s="505">
        <f t="shared" si="165"/>
        <v>0</v>
      </c>
      <c r="FL27" s="503"/>
      <c r="FM27" s="504">
        <f t="shared" si="54"/>
        <v>0</v>
      </c>
      <c r="FN27" s="505">
        <f t="shared" si="166"/>
        <v>0</v>
      </c>
      <c r="FO27" s="503"/>
      <c r="FP27" s="504">
        <f t="shared" si="55"/>
        <v>0</v>
      </c>
      <c r="FQ27" s="505">
        <f t="shared" si="167"/>
        <v>0</v>
      </c>
      <c r="FR27" s="503"/>
      <c r="FS27" s="504">
        <f t="shared" si="56"/>
        <v>0</v>
      </c>
      <c r="FT27" s="505">
        <f t="shared" si="168"/>
        <v>0</v>
      </c>
      <c r="FU27" s="503"/>
      <c r="FV27" s="504">
        <f t="shared" si="57"/>
        <v>0</v>
      </c>
      <c r="FW27" s="505">
        <f t="shared" si="169"/>
        <v>0</v>
      </c>
      <c r="FX27" s="503"/>
      <c r="FY27" s="504">
        <f t="shared" si="58"/>
        <v>0</v>
      </c>
      <c r="FZ27" s="505">
        <f t="shared" si="170"/>
        <v>0</v>
      </c>
      <c r="GA27" s="503"/>
      <c r="GB27" s="504">
        <f t="shared" si="59"/>
        <v>0</v>
      </c>
      <c r="GC27" s="505">
        <f t="shared" si="171"/>
        <v>0</v>
      </c>
      <c r="GD27" s="503"/>
      <c r="GE27" s="504">
        <f t="shared" si="60"/>
        <v>0</v>
      </c>
      <c r="GF27" s="505">
        <f t="shared" si="172"/>
        <v>0</v>
      </c>
      <c r="GG27" s="503">
        <v>16.33154803537381</v>
      </c>
      <c r="GH27" s="504">
        <f t="shared" si="61"/>
        <v>0.27531731882489269</v>
      </c>
      <c r="GI27" s="505">
        <f t="shared" si="173"/>
        <v>0</v>
      </c>
      <c r="GJ27" s="503">
        <v>16.33154803537381</v>
      </c>
      <c r="GK27" s="504">
        <f t="shared" si="62"/>
        <v>0.27531731882489269</v>
      </c>
      <c r="GL27" s="505">
        <f t="shared" si="174"/>
        <v>0</v>
      </c>
      <c r="GM27" s="503"/>
      <c r="GN27" s="504">
        <f t="shared" si="63"/>
        <v>0</v>
      </c>
      <c r="GO27" s="505">
        <f t="shared" si="175"/>
        <v>0</v>
      </c>
      <c r="GP27" s="503">
        <v>43.55079476099683</v>
      </c>
      <c r="GQ27" s="504">
        <f t="shared" si="64"/>
        <v>0.7341795168663805</v>
      </c>
      <c r="GR27" s="505">
        <f t="shared" si="176"/>
        <v>0</v>
      </c>
      <c r="GS27" s="503">
        <v>244.97322053060716</v>
      </c>
      <c r="GT27" s="504">
        <f t="shared" si="65"/>
        <v>4.1297597823733909</v>
      </c>
      <c r="GU27" s="505">
        <f t="shared" si="177"/>
        <v>0</v>
      </c>
      <c r="GV27" s="503">
        <v>76.21389083174445</v>
      </c>
      <c r="GW27" s="504">
        <f t="shared" si="66"/>
        <v>1.284814154516166</v>
      </c>
      <c r="GX27" s="505">
        <f t="shared" si="178"/>
        <v>0</v>
      </c>
      <c r="GY27" s="503"/>
      <c r="GZ27" s="504">
        <f t="shared" si="67"/>
        <v>0</v>
      </c>
      <c r="HA27" s="505">
        <f t="shared" si="179"/>
        <v>0</v>
      </c>
      <c r="HB27" s="503"/>
      <c r="HC27" s="504">
        <f t="shared" si="68"/>
        <v>0</v>
      </c>
      <c r="HD27" s="505">
        <f t="shared" si="180"/>
        <v>0</v>
      </c>
      <c r="HE27" s="503"/>
      <c r="HF27" s="504">
        <f t="shared" si="69"/>
        <v>0</v>
      </c>
      <c r="HG27" s="505">
        <f t="shared" si="181"/>
        <v>0</v>
      </c>
      <c r="HH27" s="503"/>
      <c r="HI27" s="504">
        <f t="shared" si="70"/>
        <v>0</v>
      </c>
      <c r="HJ27" s="505">
        <f t="shared" si="182"/>
        <v>0</v>
      </c>
      <c r="HK27" s="503"/>
      <c r="HL27" s="504">
        <f t="shared" si="71"/>
        <v>0</v>
      </c>
      <c r="HM27" s="505">
        <f t="shared" si="183"/>
        <v>0</v>
      </c>
      <c r="HN27" s="503">
        <v>598.82342796370642</v>
      </c>
      <c r="HO27" s="504">
        <f t="shared" si="72"/>
        <v>10.094968356912732</v>
      </c>
      <c r="HP27" s="505">
        <f t="shared" si="184"/>
        <v>0</v>
      </c>
      <c r="HQ27" s="503"/>
      <c r="HR27" s="504">
        <f t="shared" si="73"/>
        <v>0</v>
      </c>
      <c r="HS27" s="505">
        <f t="shared" si="185"/>
        <v>0</v>
      </c>
      <c r="HT27" s="503"/>
      <c r="HU27" s="504">
        <f t="shared" si="74"/>
        <v>0</v>
      </c>
      <c r="HV27" s="505">
        <f t="shared" si="186"/>
        <v>0</v>
      </c>
      <c r="HW27" s="503"/>
      <c r="HX27" s="504">
        <f t="shared" si="75"/>
        <v>0</v>
      </c>
      <c r="HY27" s="505">
        <f t="shared" si="187"/>
        <v>0</v>
      </c>
      <c r="HZ27" s="503"/>
      <c r="IA27" s="504">
        <f t="shared" si="76"/>
        <v>0</v>
      </c>
      <c r="IB27" s="505">
        <f t="shared" si="188"/>
        <v>0</v>
      </c>
      <c r="IC27" s="503"/>
      <c r="ID27" s="504">
        <f t="shared" si="77"/>
        <v>0</v>
      </c>
      <c r="IE27" s="505">
        <f t="shared" si="189"/>
        <v>0</v>
      </c>
      <c r="IF27" s="503"/>
      <c r="IG27" s="504">
        <f t="shared" si="78"/>
        <v>0</v>
      </c>
      <c r="IH27" s="505">
        <f t="shared" si="190"/>
        <v>0</v>
      </c>
      <c r="II27" s="503">
        <v>24.497322053060717</v>
      </c>
      <c r="IJ27" s="504">
        <f t="shared" si="79"/>
        <v>0.41297597823733906</v>
      </c>
      <c r="IK27" s="505">
        <f t="shared" si="191"/>
        <v>0</v>
      </c>
      <c r="IL27" s="503"/>
      <c r="IM27" s="504">
        <f t="shared" si="80"/>
        <v>0</v>
      </c>
      <c r="IN27" s="505">
        <f t="shared" si="192"/>
        <v>0</v>
      </c>
      <c r="IO27" s="503"/>
      <c r="IP27" s="504">
        <f t="shared" si="81"/>
        <v>0</v>
      </c>
      <c r="IQ27" s="505">
        <f t="shared" si="193"/>
        <v>0</v>
      </c>
      <c r="IR27" s="503">
        <v>38.106945415872225</v>
      </c>
      <c r="IS27" s="504">
        <f t="shared" si="82"/>
        <v>0.64240707725808299</v>
      </c>
      <c r="IT27" s="505">
        <f t="shared" si="194"/>
        <v>0</v>
      </c>
      <c r="IU27" s="503"/>
      <c r="IV27" s="504">
        <f t="shared" si="83"/>
        <v>0</v>
      </c>
      <c r="IW27" s="505">
        <f t="shared" si="195"/>
        <v>0</v>
      </c>
      <c r="IX27" s="503"/>
      <c r="IY27" s="504">
        <f t="shared" si="84"/>
        <v>0</v>
      </c>
      <c r="IZ27" s="505">
        <f t="shared" si="196"/>
        <v>0</v>
      </c>
      <c r="JA27" s="503"/>
      <c r="JB27" s="504">
        <f t="shared" si="85"/>
        <v>0</v>
      </c>
      <c r="JC27" s="505">
        <f t="shared" si="197"/>
        <v>0</v>
      </c>
      <c r="JD27" s="503"/>
      <c r="JE27" s="504">
        <f t="shared" si="86"/>
        <v>0</v>
      </c>
      <c r="JF27" s="505">
        <f t="shared" si="198"/>
        <v>0</v>
      </c>
      <c r="JG27" s="503"/>
      <c r="JH27" s="504">
        <f t="shared" si="87"/>
        <v>0</v>
      </c>
      <c r="JI27" s="505">
        <f t="shared" si="199"/>
        <v>0</v>
      </c>
      <c r="JJ27" s="503">
        <v>27.21924672562302</v>
      </c>
      <c r="JK27" s="505" t="str">
        <f t="shared" si="88"/>
        <v>0</v>
      </c>
      <c r="JL27" s="505" t="str">
        <f t="shared" si="89"/>
        <v>0</v>
      </c>
      <c r="JM27" s="503"/>
      <c r="JN27" s="505" t="str">
        <f t="shared" si="90"/>
        <v>0</v>
      </c>
      <c r="JO27" s="505" t="str">
        <f t="shared" si="91"/>
        <v>0</v>
      </c>
      <c r="JP27" s="503"/>
      <c r="JQ27" s="505" t="str">
        <f t="shared" si="92"/>
        <v>0</v>
      </c>
      <c r="JR27" s="505" t="str">
        <f t="shared" si="93"/>
        <v>0</v>
      </c>
      <c r="JS27" s="503"/>
      <c r="JT27" s="505" t="str">
        <f t="shared" si="94"/>
        <v>0</v>
      </c>
      <c r="JU27" s="505" t="str">
        <f t="shared" si="95"/>
        <v>0</v>
      </c>
      <c r="JV27" s="503"/>
      <c r="JW27" s="505" t="str">
        <f t="shared" si="96"/>
        <v>0</v>
      </c>
      <c r="JX27" s="505" t="str">
        <f t="shared" si="97"/>
        <v>0</v>
      </c>
      <c r="JY27" s="503"/>
      <c r="JZ27" s="505" t="str">
        <f t="shared" si="98"/>
        <v>0</v>
      </c>
      <c r="KA27" s="505" t="str">
        <f t="shared" si="99"/>
        <v>0</v>
      </c>
      <c r="KB27" s="503"/>
      <c r="KC27" s="505" t="str">
        <f t="shared" si="100"/>
        <v>0</v>
      </c>
      <c r="KD27" s="505" t="str">
        <f t="shared" si="101"/>
        <v>0</v>
      </c>
      <c r="KE27" s="503"/>
      <c r="KF27" s="505" t="str">
        <f t="shared" si="102"/>
        <v>0</v>
      </c>
      <c r="KG27" s="505" t="str">
        <f t="shared" si="103"/>
        <v>0</v>
      </c>
      <c r="KH27" s="503"/>
      <c r="KI27" s="505" t="str">
        <f t="shared" si="104"/>
        <v>0</v>
      </c>
      <c r="KJ27" s="505" t="str">
        <f t="shared" si="105"/>
        <v>0</v>
      </c>
      <c r="KK27" s="503"/>
      <c r="KL27" s="505" t="str">
        <f t="shared" si="106"/>
        <v>0</v>
      </c>
      <c r="KM27" s="505" t="str">
        <f t="shared" si="107"/>
        <v>0</v>
      </c>
      <c r="KN27" s="503"/>
      <c r="KO27" s="505" t="str">
        <f t="shared" si="108"/>
        <v>0</v>
      </c>
      <c r="KP27" s="505" t="str">
        <f t="shared" si="109"/>
        <v>0</v>
      </c>
      <c r="KQ27" s="503"/>
      <c r="KR27" s="505" t="str">
        <f t="shared" si="110"/>
        <v>0</v>
      </c>
      <c r="KS27" s="505" t="str">
        <f t="shared" si="111"/>
        <v>0</v>
      </c>
      <c r="KT27" s="505">
        <f t="shared" si="201"/>
        <v>0</v>
      </c>
      <c r="KU27" s="505">
        <f t="shared" si="202"/>
        <v>0</v>
      </c>
      <c r="KV27" s="258">
        <f t="shared" si="112"/>
        <v>2541.7219103069688</v>
      </c>
    </row>
    <row r="28" spans="1:309" ht="15" customHeight="1">
      <c r="A28" s="462">
        <f t="shared" si="200"/>
        <v>46100</v>
      </c>
      <c r="B28" s="463" t="str">
        <f>+Report1!B27</f>
        <v>Towel</v>
      </c>
      <c r="C28" s="464" t="str">
        <f>+Report1!C27</f>
        <v>22</v>
      </c>
      <c r="D28" s="465">
        <f>+Report1!P27</f>
        <v>60.469000000000001</v>
      </c>
      <c r="E28" s="466">
        <f>+Report1!R27</f>
        <v>57.947000000000003</v>
      </c>
      <c r="F28" s="503"/>
      <c r="G28" s="504">
        <f t="shared" si="0"/>
        <v>0</v>
      </c>
      <c r="H28" s="505">
        <f t="shared" si="113"/>
        <v>0</v>
      </c>
      <c r="I28" s="503">
        <v>802.32558139534876</v>
      </c>
      <c r="J28" s="504">
        <f t="shared" si="1"/>
        <v>13.845851923228963</v>
      </c>
      <c r="K28" s="505">
        <f t="shared" si="114"/>
        <v>0</v>
      </c>
      <c r="L28" s="503"/>
      <c r="M28" s="504">
        <f t="shared" si="2"/>
        <v>0</v>
      </c>
      <c r="N28" s="505">
        <f t="shared" si="115"/>
        <v>0</v>
      </c>
      <c r="O28" s="503">
        <v>24</v>
      </c>
      <c r="P28" s="504">
        <f t="shared" si="3"/>
        <v>0.41417157057310988</v>
      </c>
      <c r="Q28" s="505">
        <f t="shared" si="116"/>
        <v>0</v>
      </c>
      <c r="R28" s="503">
        <v>7.6875</v>
      </c>
      <c r="S28" s="504">
        <f t="shared" si="4"/>
        <v>0.13266433119919926</v>
      </c>
      <c r="T28" s="505">
        <f t="shared" si="117"/>
        <v>0</v>
      </c>
      <c r="U28" s="503">
        <v>1.5625</v>
      </c>
      <c r="V28" s="504">
        <f t="shared" si="5"/>
        <v>2.6964294959186841E-2</v>
      </c>
      <c r="W28" s="505">
        <f t="shared" si="118"/>
        <v>0</v>
      </c>
      <c r="X28" s="503"/>
      <c r="Y28" s="504">
        <f t="shared" si="6"/>
        <v>0</v>
      </c>
      <c r="Z28" s="505">
        <f t="shared" si="119"/>
        <v>0</v>
      </c>
      <c r="AA28" s="503"/>
      <c r="AB28" s="504">
        <f t="shared" si="7"/>
        <v>0</v>
      </c>
      <c r="AC28" s="505">
        <f t="shared" si="120"/>
        <v>0</v>
      </c>
      <c r="AD28" s="503"/>
      <c r="AE28" s="504">
        <f t="shared" si="8"/>
        <v>0</v>
      </c>
      <c r="AF28" s="505">
        <f t="shared" si="121"/>
        <v>0</v>
      </c>
      <c r="AG28" s="503"/>
      <c r="AH28" s="504">
        <f t="shared" si="9"/>
        <v>0</v>
      </c>
      <c r="AI28" s="505">
        <f t="shared" si="122"/>
        <v>0</v>
      </c>
      <c r="AJ28" s="503"/>
      <c r="AK28" s="504">
        <f t="shared" si="10"/>
        <v>0</v>
      </c>
      <c r="AL28" s="505">
        <f t="shared" si="123"/>
        <v>0</v>
      </c>
      <c r="AM28" s="503">
        <v>42.047192307692285</v>
      </c>
      <c r="AN28" s="504">
        <f t="shared" si="11"/>
        <v>0.72561465317777074</v>
      </c>
      <c r="AO28" s="505">
        <f t="shared" si="124"/>
        <v>0</v>
      </c>
      <c r="AP28" s="503"/>
      <c r="AQ28" s="504">
        <f t="shared" si="12"/>
        <v>0</v>
      </c>
      <c r="AR28" s="505">
        <f t="shared" si="125"/>
        <v>0</v>
      </c>
      <c r="AS28" s="503"/>
      <c r="AT28" s="504">
        <f t="shared" si="13"/>
        <v>0</v>
      </c>
      <c r="AU28" s="505">
        <f t="shared" si="126"/>
        <v>0</v>
      </c>
      <c r="AV28" s="503">
        <v>8.3250000000000455</v>
      </c>
      <c r="AW28" s="504">
        <f t="shared" si="14"/>
        <v>0.14366576354254829</v>
      </c>
      <c r="AX28" s="505">
        <f t="shared" si="127"/>
        <v>0</v>
      </c>
      <c r="AY28" s="503">
        <v>32.662400000000105</v>
      </c>
      <c r="AZ28" s="504">
        <f t="shared" si="15"/>
        <v>0.56365989611196621</v>
      </c>
      <c r="BA28" s="505">
        <f t="shared" si="128"/>
        <v>0</v>
      </c>
      <c r="BB28" s="503"/>
      <c r="BC28" s="504">
        <f t="shared" si="16"/>
        <v>0</v>
      </c>
      <c r="BD28" s="505">
        <f t="shared" si="129"/>
        <v>0</v>
      </c>
      <c r="BE28" s="503"/>
      <c r="BF28" s="504">
        <f t="shared" si="17"/>
        <v>0</v>
      </c>
      <c r="BG28" s="505">
        <f t="shared" si="130"/>
        <v>0</v>
      </c>
      <c r="BH28" s="503"/>
      <c r="BI28" s="504">
        <f t="shared" si="18"/>
        <v>0</v>
      </c>
      <c r="BJ28" s="505">
        <f t="shared" si="131"/>
        <v>0</v>
      </c>
      <c r="BK28" s="503"/>
      <c r="BL28" s="504">
        <f t="shared" si="19"/>
        <v>0</v>
      </c>
      <c r="BM28" s="505">
        <f t="shared" si="132"/>
        <v>0</v>
      </c>
      <c r="BN28" s="503"/>
      <c r="BO28" s="504">
        <f t="shared" si="20"/>
        <v>0</v>
      </c>
      <c r="BP28" s="505">
        <f t="shared" si="133"/>
        <v>0</v>
      </c>
      <c r="BQ28" s="503"/>
      <c r="BR28" s="504">
        <f t="shared" si="21"/>
        <v>0</v>
      </c>
      <c r="BS28" s="505">
        <f t="shared" si="134"/>
        <v>0</v>
      </c>
      <c r="BT28" s="503"/>
      <c r="BU28" s="504">
        <f t="shared" si="22"/>
        <v>0</v>
      </c>
      <c r="BV28" s="505">
        <f t="shared" si="135"/>
        <v>0</v>
      </c>
      <c r="BW28" s="503"/>
      <c r="BX28" s="504">
        <f t="shared" si="23"/>
        <v>0</v>
      </c>
      <c r="BY28" s="505">
        <f t="shared" si="136"/>
        <v>0</v>
      </c>
      <c r="BZ28" s="503"/>
      <c r="CA28" s="504">
        <f t="shared" si="24"/>
        <v>0</v>
      </c>
      <c r="CB28" s="505">
        <f t="shared" si="137"/>
        <v>0</v>
      </c>
      <c r="CC28" s="503"/>
      <c r="CD28" s="504">
        <f t="shared" si="25"/>
        <v>0</v>
      </c>
      <c r="CE28" s="505">
        <f t="shared" si="138"/>
        <v>0</v>
      </c>
      <c r="CF28" s="503">
        <v>10</v>
      </c>
      <c r="CG28" s="504">
        <f t="shared" si="26"/>
        <v>0.1725714877387958</v>
      </c>
      <c r="CH28" s="505">
        <f t="shared" si="139"/>
        <v>0</v>
      </c>
      <c r="CI28" s="503"/>
      <c r="CJ28" s="504">
        <f t="shared" si="27"/>
        <v>0</v>
      </c>
      <c r="CK28" s="505">
        <f t="shared" si="140"/>
        <v>0</v>
      </c>
      <c r="CL28" s="503"/>
      <c r="CM28" s="504">
        <f t="shared" si="28"/>
        <v>0</v>
      </c>
      <c r="CN28" s="505">
        <f t="shared" si="141"/>
        <v>0</v>
      </c>
      <c r="CO28" s="503"/>
      <c r="CP28" s="504">
        <f t="shared" si="29"/>
        <v>0</v>
      </c>
      <c r="CQ28" s="505">
        <f t="shared" si="142"/>
        <v>0</v>
      </c>
      <c r="CR28" s="503"/>
      <c r="CS28" s="504">
        <f t="shared" si="30"/>
        <v>0</v>
      </c>
      <c r="CT28" s="505">
        <f t="shared" si="143"/>
        <v>0</v>
      </c>
      <c r="CU28" s="503"/>
      <c r="CV28" s="504">
        <f t="shared" si="31"/>
        <v>0</v>
      </c>
      <c r="CW28" s="505">
        <f t="shared" si="144"/>
        <v>0</v>
      </c>
      <c r="CX28" s="503"/>
      <c r="CY28" s="504">
        <f t="shared" si="32"/>
        <v>0</v>
      </c>
      <c r="CZ28" s="505">
        <f t="shared" si="145"/>
        <v>0</v>
      </c>
      <c r="DA28" s="503"/>
      <c r="DB28" s="504">
        <f t="shared" si="33"/>
        <v>0</v>
      </c>
      <c r="DC28" s="505">
        <f t="shared" si="146"/>
        <v>0</v>
      </c>
      <c r="DD28" s="503"/>
      <c r="DE28" s="504">
        <f t="shared" si="34"/>
        <v>0</v>
      </c>
      <c r="DF28" s="505">
        <f t="shared" si="147"/>
        <v>0</v>
      </c>
      <c r="DG28" s="503"/>
      <c r="DH28" s="504">
        <f t="shared" si="35"/>
        <v>0</v>
      </c>
      <c r="DI28" s="505">
        <f t="shared" si="203"/>
        <v>0</v>
      </c>
      <c r="DJ28" s="503"/>
      <c r="DK28" s="504">
        <f t="shared" si="36"/>
        <v>0</v>
      </c>
      <c r="DL28" s="505">
        <f t="shared" si="148"/>
        <v>0</v>
      </c>
      <c r="DM28" s="503"/>
      <c r="DN28" s="504">
        <f t="shared" si="37"/>
        <v>0</v>
      </c>
      <c r="DO28" s="505">
        <f t="shared" si="149"/>
        <v>0</v>
      </c>
      <c r="DP28" s="503"/>
      <c r="DQ28" s="504">
        <f t="shared" si="38"/>
        <v>0</v>
      </c>
      <c r="DR28" s="505">
        <f t="shared" si="150"/>
        <v>0</v>
      </c>
      <c r="DS28" s="503"/>
      <c r="DT28" s="504">
        <f t="shared" si="39"/>
        <v>0</v>
      </c>
      <c r="DU28" s="505">
        <f t="shared" si="151"/>
        <v>0</v>
      </c>
      <c r="DV28" s="503"/>
      <c r="DW28" s="504">
        <f t="shared" si="40"/>
        <v>0</v>
      </c>
      <c r="DX28" s="505">
        <f t="shared" si="152"/>
        <v>0</v>
      </c>
      <c r="DY28" s="503"/>
      <c r="DZ28" s="504">
        <f t="shared" si="41"/>
        <v>0</v>
      </c>
      <c r="EA28" s="505">
        <f t="shared" si="153"/>
        <v>0</v>
      </c>
      <c r="EB28" s="503">
        <v>246.56470588235288</v>
      </c>
      <c r="EC28" s="504">
        <f t="shared" si="42"/>
        <v>4.2550038117996252</v>
      </c>
      <c r="ED28" s="505">
        <f t="shared" si="154"/>
        <v>0</v>
      </c>
      <c r="EE28" s="503">
        <v>14.534883720930225</v>
      </c>
      <c r="EF28" s="504">
        <f t="shared" si="43"/>
        <v>0.25083065078313327</v>
      </c>
      <c r="EG28" s="505">
        <f t="shared" si="155"/>
        <v>0</v>
      </c>
      <c r="EH28" s="503"/>
      <c r="EI28" s="504">
        <f t="shared" si="44"/>
        <v>0</v>
      </c>
      <c r="EJ28" s="505">
        <f t="shared" si="156"/>
        <v>0</v>
      </c>
      <c r="EK28" s="503"/>
      <c r="EL28" s="504">
        <f t="shared" si="45"/>
        <v>0</v>
      </c>
      <c r="EM28" s="505">
        <f t="shared" si="157"/>
        <v>0</v>
      </c>
      <c r="EN28" s="503"/>
      <c r="EO28" s="504">
        <f t="shared" si="46"/>
        <v>0</v>
      </c>
      <c r="EP28" s="505">
        <f t="shared" si="158"/>
        <v>0</v>
      </c>
      <c r="EQ28" s="503"/>
      <c r="ER28" s="504">
        <f t="shared" si="47"/>
        <v>0</v>
      </c>
      <c r="ES28" s="505">
        <f t="shared" si="159"/>
        <v>0</v>
      </c>
      <c r="ET28" s="503"/>
      <c r="EU28" s="504">
        <f t="shared" si="48"/>
        <v>0</v>
      </c>
      <c r="EV28" s="505">
        <f t="shared" si="160"/>
        <v>0</v>
      </c>
      <c r="EW28" s="503"/>
      <c r="EX28" s="504">
        <f t="shared" si="49"/>
        <v>0</v>
      </c>
      <c r="EY28" s="505">
        <f t="shared" si="161"/>
        <v>0</v>
      </c>
      <c r="EZ28" s="503"/>
      <c r="FA28" s="504">
        <f t="shared" si="50"/>
        <v>0</v>
      </c>
      <c r="FB28" s="505">
        <f t="shared" si="162"/>
        <v>0</v>
      </c>
      <c r="FC28" s="503"/>
      <c r="FD28" s="504">
        <f t="shared" si="51"/>
        <v>0</v>
      </c>
      <c r="FE28" s="505">
        <f t="shared" si="163"/>
        <v>0</v>
      </c>
      <c r="FF28" s="503"/>
      <c r="FG28" s="504">
        <f t="shared" si="52"/>
        <v>0</v>
      </c>
      <c r="FH28" s="505">
        <f t="shared" si="164"/>
        <v>0</v>
      </c>
      <c r="FI28" s="503"/>
      <c r="FJ28" s="504">
        <f t="shared" si="53"/>
        <v>0</v>
      </c>
      <c r="FK28" s="505">
        <f t="shared" si="165"/>
        <v>0</v>
      </c>
      <c r="FL28" s="503"/>
      <c r="FM28" s="504">
        <f t="shared" si="54"/>
        <v>0</v>
      </c>
      <c r="FN28" s="505">
        <f t="shared" si="166"/>
        <v>0</v>
      </c>
      <c r="FO28" s="503"/>
      <c r="FP28" s="504">
        <f t="shared" si="55"/>
        <v>0</v>
      </c>
      <c r="FQ28" s="505">
        <f t="shared" si="167"/>
        <v>0</v>
      </c>
      <c r="FR28" s="503"/>
      <c r="FS28" s="504">
        <f t="shared" si="56"/>
        <v>0</v>
      </c>
      <c r="FT28" s="505">
        <f t="shared" si="168"/>
        <v>0</v>
      </c>
      <c r="FU28" s="503"/>
      <c r="FV28" s="504">
        <f t="shared" si="57"/>
        <v>0</v>
      </c>
      <c r="FW28" s="505">
        <f t="shared" si="169"/>
        <v>0</v>
      </c>
      <c r="FX28" s="503"/>
      <c r="FY28" s="504">
        <f t="shared" si="58"/>
        <v>0</v>
      </c>
      <c r="FZ28" s="505">
        <f t="shared" si="170"/>
        <v>0</v>
      </c>
      <c r="GA28" s="503"/>
      <c r="GB28" s="504">
        <f t="shared" si="59"/>
        <v>0</v>
      </c>
      <c r="GC28" s="505">
        <f t="shared" si="171"/>
        <v>0</v>
      </c>
      <c r="GD28" s="503"/>
      <c r="GE28" s="504">
        <f t="shared" si="60"/>
        <v>0</v>
      </c>
      <c r="GF28" s="505">
        <f t="shared" si="172"/>
        <v>0</v>
      </c>
      <c r="GG28" s="503">
        <v>16.841699701985835</v>
      </c>
      <c r="GH28" s="504">
        <f t="shared" si="61"/>
        <v>0.29063971736217292</v>
      </c>
      <c r="GI28" s="505">
        <f t="shared" si="173"/>
        <v>0</v>
      </c>
      <c r="GJ28" s="503">
        <v>16.841699701985835</v>
      </c>
      <c r="GK28" s="504">
        <f t="shared" si="62"/>
        <v>0.29063971736217292</v>
      </c>
      <c r="GL28" s="505">
        <f t="shared" si="174"/>
        <v>0</v>
      </c>
      <c r="GM28" s="503"/>
      <c r="GN28" s="504">
        <f t="shared" si="63"/>
        <v>0</v>
      </c>
      <c r="GO28" s="505">
        <f t="shared" si="175"/>
        <v>0</v>
      </c>
      <c r="GP28" s="503">
        <v>44.91119920529556</v>
      </c>
      <c r="GQ28" s="504">
        <f t="shared" si="64"/>
        <v>0.77503924629912779</v>
      </c>
      <c r="GR28" s="505">
        <f t="shared" si="176"/>
        <v>0</v>
      </c>
      <c r="GS28" s="503">
        <v>258.23939543044946</v>
      </c>
      <c r="GT28" s="504">
        <f t="shared" si="65"/>
        <v>4.4564756662199843</v>
      </c>
      <c r="GU28" s="505">
        <f t="shared" si="177"/>
        <v>0</v>
      </c>
      <c r="GV28" s="503">
        <v>72.980698708605289</v>
      </c>
      <c r="GW28" s="504">
        <f t="shared" si="66"/>
        <v>1.2594387752360827</v>
      </c>
      <c r="GX28" s="505">
        <f t="shared" si="178"/>
        <v>0</v>
      </c>
      <c r="GY28" s="503"/>
      <c r="GZ28" s="504">
        <f t="shared" si="67"/>
        <v>0</v>
      </c>
      <c r="HA28" s="505">
        <f t="shared" si="179"/>
        <v>0</v>
      </c>
      <c r="HB28" s="503"/>
      <c r="HC28" s="504">
        <f t="shared" si="68"/>
        <v>0</v>
      </c>
      <c r="HD28" s="505">
        <f t="shared" si="180"/>
        <v>0</v>
      </c>
      <c r="HE28" s="503"/>
      <c r="HF28" s="504">
        <f t="shared" si="69"/>
        <v>0</v>
      </c>
      <c r="HG28" s="505">
        <f t="shared" si="181"/>
        <v>0</v>
      </c>
      <c r="HH28" s="503"/>
      <c r="HI28" s="504">
        <f t="shared" si="70"/>
        <v>0</v>
      </c>
      <c r="HJ28" s="505">
        <f t="shared" si="182"/>
        <v>0</v>
      </c>
      <c r="HK28" s="503"/>
      <c r="HL28" s="504">
        <f t="shared" si="71"/>
        <v>0</v>
      </c>
      <c r="HM28" s="505">
        <f t="shared" si="183"/>
        <v>0</v>
      </c>
      <c r="HN28" s="503">
        <v>895.97842414564639</v>
      </c>
      <c r="HO28" s="504">
        <f t="shared" si="72"/>
        <v>15.462032963667598</v>
      </c>
      <c r="HP28" s="505">
        <f t="shared" si="184"/>
        <v>0</v>
      </c>
      <c r="HQ28" s="503"/>
      <c r="HR28" s="504">
        <f t="shared" si="73"/>
        <v>0</v>
      </c>
      <c r="HS28" s="505">
        <f t="shared" si="185"/>
        <v>0</v>
      </c>
      <c r="HT28" s="503"/>
      <c r="HU28" s="504">
        <f t="shared" si="74"/>
        <v>0</v>
      </c>
      <c r="HV28" s="505">
        <f t="shared" si="186"/>
        <v>0</v>
      </c>
      <c r="HW28" s="503"/>
      <c r="HX28" s="504">
        <f t="shared" si="75"/>
        <v>0</v>
      </c>
      <c r="HY28" s="505">
        <f t="shared" si="187"/>
        <v>0</v>
      </c>
      <c r="HZ28" s="503"/>
      <c r="IA28" s="504">
        <f t="shared" si="76"/>
        <v>0</v>
      </c>
      <c r="IB28" s="505">
        <f t="shared" si="188"/>
        <v>0</v>
      </c>
      <c r="IC28" s="503"/>
      <c r="ID28" s="504">
        <f t="shared" si="77"/>
        <v>0</v>
      </c>
      <c r="IE28" s="505">
        <f t="shared" si="189"/>
        <v>0</v>
      </c>
      <c r="IF28" s="503"/>
      <c r="IG28" s="504">
        <f t="shared" si="78"/>
        <v>0</v>
      </c>
      <c r="IH28" s="505">
        <f t="shared" si="190"/>
        <v>0</v>
      </c>
      <c r="II28" s="503">
        <v>25.262549552978754</v>
      </c>
      <c r="IJ28" s="504">
        <f t="shared" si="79"/>
        <v>0.43595957604325941</v>
      </c>
      <c r="IK28" s="505">
        <f t="shared" si="191"/>
        <v>0</v>
      </c>
      <c r="IL28" s="503"/>
      <c r="IM28" s="504">
        <f t="shared" si="80"/>
        <v>0</v>
      </c>
      <c r="IN28" s="505">
        <f t="shared" si="192"/>
        <v>0</v>
      </c>
      <c r="IO28" s="503"/>
      <c r="IP28" s="504">
        <f t="shared" si="81"/>
        <v>0</v>
      </c>
      <c r="IQ28" s="505">
        <f t="shared" si="193"/>
        <v>0</v>
      </c>
      <c r="IR28" s="503">
        <v>50.525099105957509</v>
      </c>
      <c r="IS28" s="504">
        <f t="shared" si="82"/>
        <v>0.87191915208651882</v>
      </c>
      <c r="IT28" s="505">
        <f t="shared" si="194"/>
        <v>0</v>
      </c>
      <c r="IU28" s="503"/>
      <c r="IV28" s="504">
        <f t="shared" si="83"/>
        <v>0</v>
      </c>
      <c r="IW28" s="505">
        <f t="shared" si="195"/>
        <v>0</v>
      </c>
      <c r="IX28" s="503"/>
      <c r="IY28" s="504">
        <f t="shared" si="84"/>
        <v>0</v>
      </c>
      <c r="IZ28" s="505">
        <f t="shared" si="196"/>
        <v>0</v>
      </c>
      <c r="JA28" s="503"/>
      <c r="JB28" s="504">
        <f t="shared" si="85"/>
        <v>0</v>
      </c>
      <c r="JC28" s="505">
        <f t="shared" si="197"/>
        <v>0</v>
      </c>
      <c r="JD28" s="503"/>
      <c r="JE28" s="504">
        <f t="shared" si="86"/>
        <v>0</v>
      </c>
      <c r="JF28" s="505">
        <f t="shared" si="198"/>
        <v>0</v>
      </c>
      <c r="JG28" s="503"/>
      <c r="JH28" s="504">
        <f t="shared" si="87"/>
        <v>0</v>
      </c>
      <c r="JI28" s="505">
        <f t="shared" si="199"/>
        <v>0</v>
      </c>
      <c r="JJ28" s="503">
        <v>28.069499503309725</v>
      </c>
      <c r="JK28" s="505" t="str">
        <f t="shared" si="88"/>
        <v>0</v>
      </c>
      <c r="JL28" s="505" t="str">
        <f t="shared" si="89"/>
        <v>0</v>
      </c>
      <c r="JM28" s="503"/>
      <c r="JN28" s="505" t="str">
        <f t="shared" si="90"/>
        <v>0</v>
      </c>
      <c r="JO28" s="505" t="str">
        <f t="shared" si="91"/>
        <v>0</v>
      </c>
      <c r="JP28" s="503"/>
      <c r="JQ28" s="505" t="str">
        <f t="shared" si="92"/>
        <v>0</v>
      </c>
      <c r="JR28" s="505" t="str">
        <f t="shared" si="93"/>
        <v>0</v>
      </c>
      <c r="JS28" s="503"/>
      <c r="JT28" s="505" t="str">
        <f t="shared" si="94"/>
        <v>0</v>
      </c>
      <c r="JU28" s="505" t="str">
        <f t="shared" si="95"/>
        <v>0</v>
      </c>
      <c r="JV28" s="503"/>
      <c r="JW28" s="505" t="str">
        <f t="shared" si="96"/>
        <v>0</v>
      </c>
      <c r="JX28" s="505" t="str">
        <f t="shared" si="97"/>
        <v>0</v>
      </c>
      <c r="JY28" s="503"/>
      <c r="JZ28" s="505" t="str">
        <f t="shared" si="98"/>
        <v>0</v>
      </c>
      <c r="KA28" s="505" t="str">
        <f t="shared" si="99"/>
        <v>0</v>
      </c>
      <c r="KB28" s="503"/>
      <c r="KC28" s="505" t="str">
        <f t="shared" si="100"/>
        <v>0</v>
      </c>
      <c r="KD28" s="505" t="str">
        <f t="shared" si="101"/>
        <v>0</v>
      </c>
      <c r="KE28" s="503"/>
      <c r="KF28" s="505" t="str">
        <f t="shared" si="102"/>
        <v>0</v>
      </c>
      <c r="KG28" s="505" t="str">
        <f t="shared" si="103"/>
        <v>0</v>
      </c>
      <c r="KH28" s="503"/>
      <c r="KI28" s="505" t="str">
        <f t="shared" si="104"/>
        <v>0</v>
      </c>
      <c r="KJ28" s="505" t="str">
        <f t="shared" si="105"/>
        <v>0</v>
      </c>
      <c r="KK28" s="503"/>
      <c r="KL28" s="505" t="str">
        <f t="shared" si="106"/>
        <v>0</v>
      </c>
      <c r="KM28" s="505" t="str">
        <f t="shared" si="107"/>
        <v>0</v>
      </c>
      <c r="KN28" s="503"/>
      <c r="KO28" s="505" t="str">
        <f t="shared" si="108"/>
        <v>0</v>
      </c>
      <c r="KP28" s="505" t="str">
        <f t="shared" si="109"/>
        <v>0</v>
      </c>
      <c r="KQ28" s="503"/>
      <c r="KR28" s="505" t="str">
        <f t="shared" si="110"/>
        <v>0</v>
      </c>
      <c r="KS28" s="505" t="str">
        <f t="shared" si="111"/>
        <v>0</v>
      </c>
      <c r="KT28" s="505">
        <f t="shared" si="201"/>
        <v>0</v>
      </c>
      <c r="KU28" s="505">
        <f t="shared" si="202"/>
        <v>0</v>
      </c>
      <c r="KV28" s="258">
        <f t="shared" si="112"/>
        <v>2599.3600283625387</v>
      </c>
      <c r="KW28" s="258"/>
    </row>
    <row r="29" spans="1:309" ht="15" customHeight="1">
      <c r="A29" s="462">
        <f t="shared" si="200"/>
        <v>46101</v>
      </c>
      <c r="B29" s="463" t="str">
        <f>+Report1!B28</f>
        <v>Towel</v>
      </c>
      <c r="C29" s="464" t="str">
        <f>+Report1!C28</f>
        <v>22</v>
      </c>
      <c r="D29" s="465">
        <f>+Report1!P28</f>
        <v>56.71</v>
      </c>
      <c r="E29" s="466">
        <f>+Report1!R28</f>
        <v>56.204000000000001</v>
      </c>
      <c r="F29" s="503"/>
      <c r="G29" s="504">
        <f t="shared" si="0"/>
        <v>0</v>
      </c>
      <c r="H29" s="505">
        <f t="shared" si="113"/>
        <v>0</v>
      </c>
      <c r="I29" s="503">
        <v>861.60630232558151</v>
      </c>
      <c r="J29" s="504">
        <f t="shared" si="1"/>
        <v>15.329981893203001</v>
      </c>
      <c r="K29" s="505">
        <f t="shared" si="114"/>
        <v>0</v>
      </c>
      <c r="L29" s="503"/>
      <c r="M29" s="504">
        <f t="shared" si="2"/>
        <v>0</v>
      </c>
      <c r="N29" s="505">
        <f t="shared" si="115"/>
        <v>0</v>
      </c>
      <c r="O29" s="503">
        <v>15</v>
      </c>
      <c r="P29" s="504">
        <f t="shared" si="3"/>
        <v>0.26688491922283109</v>
      </c>
      <c r="Q29" s="505">
        <f t="shared" si="116"/>
        <v>0</v>
      </c>
      <c r="R29" s="503">
        <v>7.6875</v>
      </c>
      <c r="S29" s="504">
        <f t="shared" si="4"/>
        <v>0.13677852110170094</v>
      </c>
      <c r="T29" s="505">
        <f t="shared" si="117"/>
        <v>0</v>
      </c>
      <c r="U29" s="503">
        <v>3.1249999999999716</v>
      </c>
      <c r="V29" s="504">
        <f t="shared" si="5"/>
        <v>5.5601024838089312E-2</v>
      </c>
      <c r="W29" s="505">
        <f t="shared" si="118"/>
        <v>0</v>
      </c>
      <c r="X29" s="503"/>
      <c r="Y29" s="504">
        <f t="shared" si="6"/>
        <v>0</v>
      </c>
      <c r="Z29" s="505">
        <f t="shared" si="119"/>
        <v>0</v>
      </c>
      <c r="AA29" s="503"/>
      <c r="AB29" s="504">
        <f t="shared" si="7"/>
        <v>0</v>
      </c>
      <c r="AC29" s="505">
        <f t="shared" si="120"/>
        <v>0</v>
      </c>
      <c r="AD29" s="503"/>
      <c r="AE29" s="504">
        <f t="shared" si="8"/>
        <v>0</v>
      </c>
      <c r="AF29" s="505">
        <f t="shared" si="121"/>
        <v>0</v>
      </c>
      <c r="AG29" s="503"/>
      <c r="AH29" s="504">
        <f t="shared" si="9"/>
        <v>0</v>
      </c>
      <c r="AI29" s="505">
        <f t="shared" si="122"/>
        <v>0</v>
      </c>
      <c r="AJ29" s="503"/>
      <c r="AK29" s="504">
        <f t="shared" si="10"/>
        <v>0</v>
      </c>
      <c r="AL29" s="505">
        <f t="shared" si="123"/>
        <v>0</v>
      </c>
      <c r="AM29" s="503">
        <v>53.033007692307706</v>
      </c>
      <c r="AN29" s="504">
        <f t="shared" si="11"/>
        <v>0.94358066494035486</v>
      </c>
      <c r="AO29" s="505">
        <f t="shared" si="124"/>
        <v>0</v>
      </c>
      <c r="AP29" s="503"/>
      <c r="AQ29" s="504">
        <f t="shared" si="12"/>
        <v>0</v>
      </c>
      <c r="AR29" s="505">
        <f t="shared" si="125"/>
        <v>0</v>
      </c>
      <c r="AS29" s="503"/>
      <c r="AT29" s="504">
        <f t="shared" si="13"/>
        <v>0</v>
      </c>
      <c r="AU29" s="505">
        <f t="shared" si="126"/>
        <v>0</v>
      </c>
      <c r="AV29" s="503">
        <v>8.3249999999999886</v>
      </c>
      <c r="AW29" s="504">
        <f t="shared" si="14"/>
        <v>0.14812113016867107</v>
      </c>
      <c r="AX29" s="505">
        <f t="shared" si="127"/>
        <v>0</v>
      </c>
      <c r="AY29" s="503">
        <v>31.636399999999924</v>
      </c>
      <c r="AZ29" s="504">
        <f t="shared" si="15"/>
        <v>0.5628852039000769</v>
      </c>
      <c r="BA29" s="505">
        <f t="shared" si="128"/>
        <v>0</v>
      </c>
      <c r="BB29" s="503"/>
      <c r="BC29" s="504">
        <f t="shared" si="16"/>
        <v>0</v>
      </c>
      <c r="BD29" s="505">
        <f t="shared" si="129"/>
        <v>0</v>
      </c>
      <c r="BE29" s="503"/>
      <c r="BF29" s="504">
        <f t="shared" si="17"/>
        <v>0</v>
      </c>
      <c r="BG29" s="505">
        <f t="shared" si="130"/>
        <v>0</v>
      </c>
      <c r="BH29" s="503"/>
      <c r="BI29" s="504">
        <f t="shared" si="18"/>
        <v>0</v>
      </c>
      <c r="BJ29" s="505">
        <f t="shared" si="131"/>
        <v>0</v>
      </c>
      <c r="BK29" s="503"/>
      <c r="BL29" s="504">
        <f t="shared" si="19"/>
        <v>0</v>
      </c>
      <c r="BM29" s="505">
        <f t="shared" si="132"/>
        <v>0</v>
      </c>
      <c r="BN29" s="503"/>
      <c r="BO29" s="504">
        <f t="shared" si="20"/>
        <v>0</v>
      </c>
      <c r="BP29" s="505">
        <f t="shared" si="133"/>
        <v>0</v>
      </c>
      <c r="BQ29" s="503"/>
      <c r="BR29" s="504">
        <f t="shared" si="21"/>
        <v>0</v>
      </c>
      <c r="BS29" s="505">
        <f t="shared" si="134"/>
        <v>0</v>
      </c>
      <c r="BT29" s="503"/>
      <c r="BU29" s="504">
        <f t="shared" si="22"/>
        <v>0</v>
      </c>
      <c r="BV29" s="505">
        <f t="shared" si="135"/>
        <v>0</v>
      </c>
      <c r="BW29" s="503"/>
      <c r="BX29" s="504">
        <f t="shared" si="23"/>
        <v>0</v>
      </c>
      <c r="BY29" s="505">
        <f t="shared" si="136"/>
        <v>0</v>
      </c>
      <c r="BZ29" s="503"/>
      <c r="CA29" s="504">
        <f t="shared" si="24"/>
        <v>0</v>
      </c>
      <c r="CB29" s="505">
        <f t="shared" si="137"/>
        <v>0</v>
      </c>
      <c r="CC29" s="503"/>
      <c r="CD29" s="504">
        <f t="shared" si="25"/>
        <v>0</v>
      </c>
      <c r="CE29" s="505">
        <f t="shared" si="138"/>
        <v>0</v>
      </c>
      <c r="CF29" s="503">
        <v>10</v>
      </c>
      <c r="CG29" s="504">
        <f t="shared" si="26"/>
        <v>0.17792327948188741</v>
      </c>
      <c r="CH29" s="505">
        <f t="shared" si="139"/>
        <v>0</v>
      </c>
      <c r="CI29" s="503"/>
      <c r="CJ29" s="504">
        <f t="shared" si="27"/>
        <v>0</v>
      </c>
      <c r="CK29" s="505">
        <f t="shared" si="140"/>
        <v>0</v>
      </c>
      <c r="CL29" s="503"/>
      <c r="CM29" s="504">
        <f t="shared" si="28"/>
        <v>0</v>
      </c>
      <c r="CN29" s="505">
        <f t="shared" si="141"/>
        <v>0</v>
      </c>
      <c r="CO29" s="503"/>
      <c r="CP29" s="504">
        <f t="shared" si="29"/>
        <v>0</v>
      </c>
      <c r="CQ29" s="505">
        <f t="shared" si="142"/>
        <v>0</v>
      </c>
      <c r="CR29" s="503"/>
      <c r="CS29" s="504">
        <f t="shared" si="30"/>
        <v>0</v>
      </c>
      <c r="CT29" s="505">
        <f t="shared" si="143"/>
        <v>0</v>
      </c>
      <c r="CU29" s="503"/>
      <c r="CV29" s="504">
        <f t="shared" si="31"/>
        <v>0</v>
      </c>
      <c r="CW29" s="505">
        <f t="shared" si="144"/>
        <v>0</v>
      </c>
      <c r="CX29" s="503"/>
      <c r="CY29" s="504">
        <f t="shared" si="32"/>
        <v>0</v>
      </c>
      <c r="CZ29" s="505">
        <f t="shared" si="145"/>
        <v>0</v>
      </c>
      <c r="DA29" s="503"/>
      <c r="DB29" s="504">
        <f t="shared" si="33"/>
        <v>0</v>
      </c>
      <c r="DC29" s="505">
        <f t="shared" si="146"/>
        <v>0</v>
      </c>
      <c r="DD29" s="503"/>
      <c r="DE29" s="504">
        <f t="shared" si="34"/>
        <v>0</v>
      </c>
      <c r="DF29" s="505">
        <f t="shared" si="147"/>
        <v>0</v>
      </c>
      <c r="DG29" s="503"/>
      <c r="DH29" s="504">
        <f t="shared" si="35"/>
        <v>0</v>
      </c>
      <c r="DI29" s="505">
        <f t="shared" si="203"/>
        <v>0</v>
      </c>
      <c r="DJ29" s="503"/>
      <c r="DK29" s="504">
        <f t="shared" si="36"/>
        <v>0</v>
      </c>
      <c r="DL29" s="505">
        <f t="shared" si="148"/>
        <v>0</v>
      </c>
      <c r="DM29" s="503"/>
      <c r="DN29" s="504">
        <f t="shared" si="37"/>
        <v>0</v>
      </c>
      <c r="DO29" s="505">
        <f t="shared" si="149"/>
        <v>0</v>
      </c>
      <c r="DP29" s="503"/>
      <c r="DQ29" s="504">
        <f t="shared" si="38"/>
        <v>0</v>
      </c>
      <c r="DR29" s="505">
        <f t="shared" si="150"/>
        <v>0</v>
      </c>
      <c r="DS29" s="503"/>
      <c r="DT29" s="504">
        <f t="shared" si="39"/>
        <v>0</v>
      </c>
      <c r="DU29" s="505">
        <f t="shared" si="151"/>
        <v>0</v>
      </c>
      <c r="DV29" s="503"/>
      <c r="DW29" s="504">
        <f t="shared" si="40"/>
        <v>0</v>
      </c>
      <c r="DX29" s="505">
        <f t="shared" si="152"/>
        <v>0</v>
      </c>
      <c r="DY29" s="503"/>
      <c r="DZ29" s="504">
        <f t="shared" si="41"/>
        <v>0</v>
      </c>
      <c r="EA29" s="505">
        <f t="shared" si="153"/>
        <v>0</v>
      </c>
      <c r="EB29" s="503">
        <v>258.30588235294135</v>
      </c>
      <c r="EC29" s="504">
        <f t="shared" si="42"/>
        <v>4.595862969769791</v>
      </c>
      <c r="ED29" s="505">
        <f t="shared" si="154"/>
        <v>0</v>
      </c>
      <c r="EE29" s="503">
        <v>14.534883720930225</v>
      </c>
      <c r="EF29" s="504">
        <f t="shared" si="43"/>
        <v>0.25860941785158037</v>
      </c>
      <c r="EG29" s="505">
        <f t="shared" si="155"/>
        <v>0</v>
      </c>
      <c r="EH29" s="503"/>
      <c r="EI29" s="504">
        <f t="shared" si="44"/>
        <v>0</v>
      </c>
      <c r="EJ29" s="505">
        <f t="shared" si="156"/>
        <v>0</v>
      </c>
      <c r="EK29" s="503"/>
      <c r="EL29" s="504">
        <f t="shared" si="45"/>
        <v>0</v>
      </c>
      <c r="EM29" s="505">
        <f t="shared" si="157"/>
        <v>0</v>
      </c>
      <c r="EN29" s="503"/>
      <c r="EO29" s="504">
        <f t="shared" si="46"/>
        <v>0</v>
      </c>
      <c r="EP29" s="505">
        <f t="shared" si="158"/>
        <v>0</v>
      </c>
      <c r="EQ29" s="503"/>
      <c r="ER29" s="504">
        <f t="shared" si="47"/>
        <v>0</v>
      </c>
      <c r="ES29" s="505">
        <f t="shared" si="159"/>
        <v>0</v>
      </c>
      <c r="ET29" s="503"/>
      <c r="EU29" s="504">
        <f t="shared" si="48"/>
        <v>0</v>
      </c>
      <c r="EV29" s="505">
        <f t="shared" si="160"/>
        <v>0</v>
      </c>
      <c r="EW29" s="503"/>
      <c r="EX29" s="504">
        <f t="shared" si="49"/>
        <v>0</v>
      </c>
      <c r="EY29" s="505">
        <f t="shared" si="161"/>
        <v>0</v>
      </c>
      <c r="EZ29" s="503"/>
      <c r="FA29" s="504">
        <f t="shared" si="50"/>
        <v>0</v>
      </c>
      <c r="FB29" s="505">
        <f t="shared" si="162"/>
        <v>0</v>
      </c>
      <c r="FC29" s="503"/>
      <c r="FD29" s="504">
        <f t="shared" si="51"/>
        <v>0</v>
      </c>
      <c r="FE29" s="505">
        <f t="shared" si="163"/>
        <v>0</v>
      </c>
      <c r="FF29" s="503"/>
      <c r="FG29" s="504">
        <f t="shared" si="52"/>
        <v>0</v>
      </c>
      <c r="FH29" s="505">
        <f t="shared" si="164"/>
        <v>0</v>
      </c>
      <c r="FI29" s="503"/>
      <c r="FJ29" s="504">
        <f t="shared" si="53"/>
        <v>0</v>
      </c>
      <c r="FK29" s="505">
        <f t="shared" si="165"/>
        <v>0</v>
      </c>
      <c r="FL29" s="503"/>
      <c r="FM29" s="504">
        <f t="shared" si="54"/>
        <v>0</v>
      </c>
      <c r="FN29" s="505">
        <f t="shared" si="166"/>
        <v>0</v>
      </c>
      <c r="FO29" s="503"/>
      <c r="FP29" s="504">
        <f t="shared" si="55"/>
        <v>0</v>
      </c>
      <c r="FQ29" s="505">
        <f t="shared" si="167"/>
        <v>0</v>
      </c>
      <c r="FR29" s="503"/>
      <c r="FS29" s="504">
        <f t="shared" si="56"/>
        <v>0</v>
      </c>
      <c r="FT29" s="505">
        <f t="shared" si="168"/>
        <v>0</v>
      </c>
      <c r="FU29" s="503"/>
      <c r="FV29" s="504">
        <f t="shared" si="57"/>
        <v>0</v>
      </c>
      <c r="FW29" s="505">
        <f t="shared" si="169"/>
        <v>0</v>
      </c>
      <c r="FX29" s="503"/>
      <c r="FY29" s="504">
        <f t="shared" si="58"/>
        <v>0</v>
      </c>
      <c r="FZ29" s="505">
        <f t="shared" si="170"/>
        <v>0</v>
      </c>
      <c r="GA29" s="503"/>
      <c r="GB29" s="504">
        <f t="shared" si="59"/>
        <v>0</v>
      </c>
      <c r="GC29" s="505">
        <f t="shared" si="171"/>
        <v>0</v>
      </c>
      <c r="GD29" s="503"/>
      <c r="GE29" s="504">
        <f t="shared" si="60"/>
        <v>0</v>
      </c>
      <c r="GF29" s="505">
        <f t="shared" si="172"/>
        <v>0</v>
      </c>
      <c r="GG29" s="503">
        <v>16.45389659374456</v>
      </c>
      <c r="GH29" s="504">
        <f t="shared" si="61"/>
        <v>0.29275312422148886</v>
      </c>
      <c r="GI29" s="505">
        <f t="shared" si="173"/>
        <v>0</v>
      </c>
      <c r="GJ29" s="503">
        <v>21.938528791659415</v>
      </c>
      <c r="GK29" s="504">
        <f t="shared" si="62"/>
        <v>0.39033749896198516</v>
      </c>
      <c r="GL29" s="505">
        <f t="shared" si="174"/>
        <v>0</v>
      </c>
      <c r="GM29" s="503"/>
      <c r="GN29" s="504">
        <f t="shared" si="63"/>
        <v>0</v>
      </c>
      <c r="GO29" s="505">
        <f t="shared" si="175"/>
        <v>0</v>
      </c>
      <c r="GP29" s="503">
        <v>43.87705758331883</v>
      </c>
      <c r="GQ29" s="504">
        <f t="shared" si="64"/>
        <v>0.78067499792397033</v>
      </c>
      <c r="GR29" s="505">
        <f t="shared" si="176"/>
        <v>0</v>
      </c>
      <c r="GS29" s="503">
        <v>246.80844890616842</v>
      </c>
      <c r="GT29" s="504">
        <f t="shared" si="65"/>
        <v>4.3912968633223333</v>
      </c>
      <c r="GU29" s="505">
        <f t="shared" si="177"/>
        <v>0</v>
      </c>
      <c r="GV29" s="503">
        <v>76.78485077080795</v>
      </c>
      <c r="GW29" s="504">
        <f t="shared" si="66"/>
        <v>1.366181246366948</v>
      </c>
      <c r="GX29" s="505">
        <f t="shared" si="178"/>
        <v>0</v>
      </c>
      <c r="GY29" s="503"/>
      <c r="GZ29" s="504">
        <f t="shared" si="67"/>
        <v>0</v>
      </c>
      <c r="HA29" s="505">
        <f t="shared" si="179"/>
        <v>0</v>
      </c>
      <c r="HB29" s="503"/>
      <c r="HC29" s="504">
        <f t="shared" si="68"/>
        <v>0</v>
      </c>
      <c r="HD29" s="505">
        <f t="shared" si="180"/>
        <v>0</v>
      </c>
      <c r="HE29" s="503"/>
      <c r="HF29" s="504">
        <f t="shared" si="69"/>
        <v>0</v>
      </c>
      <c r="HG29" s="505">
        <f t="shared" si="181"/>
        <v>0</v>
      </c>
      <c r="HH29" s="503"/>
      <c r="HI29" s="504">
        <f t="shared" si="70"/>
        <v>0</v>
      </c>
      <c r="HJ29" s="505">
        <f t="shared" si="182"/>
        <v>0</v>
      </c>
      <c r="HK29" s="503"/>
      <c r="HL29" s="504">
        <f t="shared" si="71"/>
        <v>0</v>
      </c>
      <c r="HM29" s="505">
        <f t="shared" si="183"/>
        <v>0</v>
      </c>
      <c r="HN29" s="503">
        <v>875.34729878721066</v>
      </c>
      <c r="HO29" s="504">
        <f t="shared" si="72"/>
        <v>15.574466208583209</v>
      </c>
      <c r="HP29" s="505">
        <f t="shared" si="184"/>
        <v>0</v>
      </c>
      <c r="HQ29" s="503"/>
      <c r="HR29" s="504">
        <f t="shared" si="73"/>
        <v>0</v>
      </c>
      <c r="HS29" s="505">
        <f t="shared" si="185"/>
        <v>0</v>
      </c>
      <c r="HT29" s="503"/>
      <c r="HU29" s="504">
        <f t="shared" si="74"/>
        <v>0</v>
      </c>
      <c r="HV29" s="505">
        <f t="shared" si="186"/>
        <v>0</v>
      </c>
      <c r="HW29" s="503"/>
      <c r="HX29" s="504">
        <f t="shared" si="75"/>
        <v>0</v>
      </c>
      <c r="HY29" s="505">
        <f t="shared" si="187"/>
        <v>0</v>
      </c>
      <c r="HZ29" s="503"/>
      <c r="IA29" s="504">
        <f t="shared" si="76"/>
        <v>0</v>
      </c>
      <c r="IB29" s="505">
        <f t="shared" si="188"/>
        <v>0</v>
      </c>
      <c r="IC29" s="503"/>
      <c r="ID29" s="504">
        <f t="shared" si="77"/>
        <v>0</v>
      </c>
      <c r="IE29" s="505">
        <f t="shared" si="189"/>
        <v>0</v>
      </c>
      <c r="IF29" s="503"/>
      <c r="IG29" s="504">
        <f t="shared" si="78"/>
        <v>0</v>
      </c>
      <c r="IH29" s="505">
        <f t="shared" si="190"/>
        <v>0</v>
      </c>
      <c r="II29" s="503">
        <v>24.680844890616843</v>
      </c>
      <c r="IJ29" s="504">
        <f t="shared" si="79"/>
        <v>0.43912968633223332</v>
      </c>
      <c r="IK29" s="505">
        <f t="shared" si="191"/>
        <v>0</v>
      </c>
      <c r="IL29" s="503"/>
      <c r="IM29" s="504">
        <f t="shared" si="80"/>
        <v>0</v>
      </c>
      <c r="IN29" s="505">
        <f t="shared" si="192"/>
        <v>0</v>
      </c>
      <c r="IO29" s="503"/>
      <c r="IP29" s="504">
        <f t="shared" si="81"/>
        <v>0</v>
      </c>
      <c r="IQ29" s="505">
        <f t="shared" si="193"/>
        <v>0</v>
      </c>
      <c r="IR29" s="503">
        <v>49.361689781233686</v>
      </c>
      <c r="IS29" s="504">
        <f t="shared" si="82"/>
        <v>0.87825937266446663</v>
      </c>
      <c r="IT29" s="505">
        <f t="shared" si="194"/>
        <v>0</v>
      </c>
      <c r="IU29" s="503"/>
      <c r="IV29" s="504">
        <f t="shared" si="83"/>
        <v>0</v>
      </c>
      <c r="IW29" s="505">
        <f t="shared" si="195"/>
        <v>0</v>
      </c>
      <c r="IX29" s="503"/>
      <c r="IY29" s="504">
        <f t="shared" si="84"/>
        <v>0</v>
      </c>
      <c r="IZ29" s="505">
        <f t="shared" si="196"/>
        <v>0</v>
      </c>
      <c r="JA29" s="503"/>
      <c r="JB29" s="504">
        <f t="shared" si="85"/>
        <v>0</v>
      </c>
      <c r="JC29" s="505">
        <f t="shared" si="197"/>
        <v>0</v>
      </c>
      <c r="JD29" s="503"/>
      <c r="JE29" s="504">
        <f t="shared" si="86"/>
        <v>0</v>
      </c>
      <c r="JF29" s="505">
        <f t="shared" si="198"/>
        <v>0</v>
      </c>
      <c r="JG29" s="503"/>
      <c r="JH29" s="504">
        <f t="shared" si="87"/>
        <v>0</v>
      </c>
      <c r="JI29" s="505">
        <f t="shared" si="199"/>
        <v>0</v>
      </c>
      <c r="JJ29" s="503">
        <v>24.680844890616843</v>
      </c>
      <c r="JK29" s="505" t="str">
        <f t="shared" si="88"/>
        <v>0</v>
      </c>
      <c r="JL29" s="505" t="str">
        <f t="shared" si="89"/>
        <v>0</v>
      </c>
      <c r="JM29" s="503"/>
      <c r="JN29" s="505" t="str">
        <f t="shared" si="90"/>
        <v>0</v>
      </c>
      <c r="JO29" s="505" t="str">
        <f t="shared" si="91"/>
        <v>0</v>
      </c>
      <c r="JP29" s="503"/>
      <c r="JQ29" s="505" t="str">
        <f t="shared" si="92"/>
        <v>0</v>
      </c>
      <c r="JR29" s="505" t="str">
        <f t="shared" si="93"/>
        <v>0</v>
      </c>
      <c r="JS29" s="503"/>
      <c r="JT29" s="505" t="str">
        <f t="shared" si="94"/>
        <v>0</v>
      </c>
      <c r="JU29" s="505" t="str">
        <f t="shared" si="95"/>
        <v>0</v>
      </c>
      <c r="JV29" s="503"/>
      <c r="JW29" s="505" t="str">
        <f t="shared" si="96"/>
        <v>0</v>
      </c>
      <c r="JX29" s="505" t="str">
        <f t="shared" si="97"/>
        <v>0</v>
      </c>
      <c r="JY29" s="503"/>
      <c r="JZ29" s="505" t="str">
        <f t="shared" si="98"/>
        <v>0</v>
      </c>
      <c r="KA29" s="505" t="str">
        <f t="shared" si="99"/>
        <v>0</v>
      </c>
      <c r="KB29" s="503"/>
      <c r="KC29" s="505" t="str">
        <f t="shared" si="100"/>
        <v>0</v>
      </c>
      <c r="KD29" s="505" t="str">
        <f t="shared" si="101"/>
        <v>0</v>
      </c>
      <c r="KE29" s="503"/>
      <c r="KF29" s="505" t="str">
        <f t="shared" si="102"/>
        <v>0</v>
      </c>
      <c r="KG29" s="505" t="str">
        <f t="shared" si="103"/>
        <v>0</v>
      </c>
      <c r="KH29" s="503"/>
      <c r="KI29" s="505" t="str">
        <f t="shared" si="104"/>
        <v>0</v>
      </c>
      <c r="KJ29" s="505" t="str">
        <f t="shared" si="105"/>
        <v>0</v>
      </c>
      <c r="KK29" s="503"/>
      <c r="KL29" s="505" t="str">
        <f t="shared" si="106"/>
        <v>0</v>
      </c>
      <c r="KM29" s="505" t="str">
        <f t="shared" si="107"/>
        <v>0</v>
      </c>
      <c r="KN29" s="503"/>
      <c r="KO29" s="505" t="str">
        <f t="shared" si="108"/>
        <v>0</v>
      </c>
      <c r="KP29" s="505" t="str">
        <f t="shared" si="109"/>
        <v>0</v>
      </c>
      <c r="KQ29" s="503"/>
      <c r="KR29" s="505" t="str">
        <f t="shared" si="110"/>
        <v>0</v>
      </c>
      <c r="KS29" s="505" t="str">
        <f t="shared" si="111"/>
        <v>0</v>
      </c>
      <c r="KT29" s="505">
        <f t="shared" si="201"/>
        <v>0</v>
      </c>
      <c r="KU29" s="505">
        <f t="shared" si="202"/>
        <v>0</v>
      </c>
      <c r="KV29" s="258">
        <f t="shared" si="112"/>
        <v>2643.1874370871374</v>
      </c>
    </row>
    <row r="30" spans="1:309" ht="15" customHeight="1">
      <c r="A30" s="462">
        <f t="shared" si="200"/>
        <v>46102</v>
      </c>
      <c r="B30" s="463" t="str">
        <f>+Report1!B29</f>
        <v>Towel</v>
      </c>
      <c r="C30" s="464" t="str">
        <f>+Report1!C29</f>
        <v>22</v>
      </c>
      <c r="D30" s="465">
        <f>+Report1!P29</f>
        <v>60.215000000000003</v>
      </c>
      <c r="E30" s="466">
        <f>+Report1!R29</f>
        <v>57.914000000000001</v>
      </c>
      <c r="F30" s="503"/>
      <c r="G30" s="504">
        <f t="shared" si="0"/>
        <v>0</v>
      </c>
      <c r="H30" s="505">
        <f t="shared" si="113"/>
        <v>0</v>
      </c>
      <c r="I30" s="503">
        <v>914.85840000000007</v>
      </c>
      <c r="J30" s="504">
        <f t="shared" si="1"/>
        <v>15.796843595676348</v>
      </c>
      <c r="K30" s="505">
        <f t="shared" si="114"/>
        <v>0</v>
      </c>
      <c r="L30" s="503"/>
      <c r="M30" s="504">
        <f t="shared" si="2"/>
        <v>0</v>
      </c>
      <c r="N30" s="505">
        <f t="shared" si="115"/>
        <v>0</v>
      </c>
      <c r="O30" s="503">
        <v>15.000000000000028</v>
      </c>
      <c r="P30" s="504">
        <f t="shared" si="3"/>
        <v>0.25900473115308953</v>
      </c>
      <c r="Q30" s="505">
        <f t="shared" si="116"/>
        <v>0</v>
      </c>
      <c r="R30" s="503">
        <v>7.6875</v>
      </c>
      <c r="S30" s="504">
        <f t="shared" si="4"/>
        <v>0.13273992471595814</v>
      </c>
      <c r="T30" s="505">
        <f t="shared" si="117"/>
        <v>0</v>
      </c>
      <c r="U30" s="503">
        <v>3.1249999999999716</v>
      </c>
      <c r="V30" s="504">
        <f t="shared" si="5"/>
        <v>5.3959318990226393E-2</v>
      </c>
      <c r="W30" s="505">
        <f t="shared" si="118"/>
        <v>0</v>
      </c>
      <c r="X30" s="503"/>
      <c r="Y30" s="504">
        <f t="shared" si="6"/>
        <v>0</v>
      </c>
      <c r="Z30" s="505">
        <f t="shared" si="119"/>
        <v>0</v>
      </c>
      <c r="AA30" s="503"/>
      <c r="AB30" s="504">
        <f t="shared" si="7"/>
        <v>0</v>
      </c>
      <c r="AC30" s="505">
        <f t="shared" si="120"/>
        <v>0</v>
      </c>
      <c r="AD30" s="503"/>
      <c r="AE30" s="504">
        <f t="shared" si="8"/>
        <v>0</v>
      </c>
      <c r="AF30" s="505">
        <f t="shared" si="121"/>
        <v>0</v>
      </c>
      <c r="AG30" s="503"/>
      <c r="AH30" s="504">
        <f t="shared" si="9"/>
        <v>0</v>
      </c>
      <c r="AI30" s="505">
        <f t="shared" si="122"/>
        <v>0</v>
      </c>
      <c r="AJ30" s="503"/>
      <c r="AK30" s="504">
        <f t="shared" si="10"/>
        <v>0</v>
      </c>
      <c r="AL30" s="505">
        <f t="shared" si="123"/>
        <v>0</v>
      </c>
      <c r="AM30" s="503">
        <v>56.314099999999996</v>
      </c>
      <c r="AN30" s="504">
        <f t="shared" si="11"/>
        <v>0.97237455537521145</v>
      </c>
      <c r="AO30" s="505">
        <f t="shared" si="124"/>
        <v>0</v>
      </c>
      <c r="AP30" s="503"/>
      <c r="AQ30" s="504">
        <f t="shared" si="12"/>
        <v>0</v>
      </c>
      <c r="AR30" s="505">
        <f t="shared" si="125"/>
        <v>0</v>
      </c>
      <c r="AS30" s="503"/>
      <c r="AT30" s="504">
        <f t="shared" si="13"/>
        <v>0</v>
      </c>
      <c r="AU30" s="505">
        <f t="shared" si="126"/>
        <v>0</v>
      </c>
      <c r="AV30" s="503">
        <v>8.3249999999999886</v>
      </c>
      <c r="AW30" s="504">
        <f t="shared" si="14"/>
        <v>0.14374762578996422</v>
      </c>
      <c r="AX30" s="505">
        <f t="shared" si="127"/>
        <v>0</v>
      </c>
      <c r="AY30" s="503">
        <v>33.607599999999991</v>
      </c>
      <c r="AZ30" s="504">
        <f t="shared" si="15"/>
        <v>0.58030182684670351</v>
      </c>
      <c r="BA30" s="505">
        <f t="shared" si="128"/>
        <v>0</v>
      </c>
      <c r="BB30" s="503"/>
      <c r="BC30" s="504">
        <f t="shared" si="16"/>
        <v>0</v>
      </c>
      <c r="BD30" s="505">
        <f t="shared" si="129"/>
        <v>0</v>
      </c>
      <c r="BE30" s="503"/>
      <c r="BF30" s="504">
        <f t="shared" si="17"/>
        <v>0</v>
      </c>
      <c r="BG30" s="505">
        <f t="shared" si="130"/>
        <v>0</v>
      </c>
      <c r="BH30" s="503"/>
      <c r="BI30" s="504">
        <f t="shared" si="18"/>
        <v>0</v>
      </c>
      <c r="BJ30" s="505">
        <f t="shared" si="131"/>
        <v>0</v>
      </c>
      <c r="BK30" s="503"/>
      <c r="BL30" s="504">
        <f t="shared" si="19"/>
        <v>0</v>
      </c>
      <c r="BM30" s="505">
        <f t="shared" si="132"/>
        <v>0</v>
      </c>
      <c r="BN30" s="503"/>
      <c r="BO30" s="504">
        <f t="shared" si="20"/>
        <v>0</v>
      </c>
      <c r="BP30" s="505">
        <f t="shared" si="133"/>
        <v>0</v>
      </c>
      <c r="BQ30" s="503"/>
      <c r="BR30" s="504">
        <f t="shared" si="21"/>
        <v>0</v>
      </c>
      <c r="BS30" s="505">
        <f t="shared" si="134"/>
        <v>0</v>
      </c>
      <c r="BT30" s="503"/>
      <c r="BU30" s="504">
        <f t="shared" si="22"/>
        <v>0</v>
      </c>
      <c r="BV30" s="505">
        <f t="shared" si="135"/>
        <v>0</v>
      </c>
      <c r="BW30" s="503"/>
      <c r="BX30" s="504">
        <f t="shared" si="23"/>
        <v>0</v>
      </c>
      <c r="BY30" s="505">
        <f t="shared" si="136"/>
        <v>0</v>
      </c>
      <c r="BZ30" s="503"/>
      <c r="CA30" s="504">
        <f t="shared" si="24"/>
        <v>0</v>
      </c>
      <c r="CB30" s="505">
        <f t="shared" si="137"/>
        <v>0</v>
      </c>
      <c r="CC30" s="503"/>
      <c r="CD30" s="504">
        <f t="shared" si="25"/>
        <v>0</v>
      </c>
      <c r="CE30" s="505">
        <f t="shared" si="138"/>
        <v>0</v>
      </c>
      <c r="CF30" s="503">
        <v>10</v>
      </c>
      <c r="CG30" s="504">
        <f t="shared" si="26"/>
        <v>0.17266982076872603</v>
      </c>
      <c r="CH30" s="505">
        <f t="shared" si="139"/>
        <v>0</v>
      </c>
      <c r="CI30" s="503"/>
      <c r="CJ30" s="504">
        <f t="shared" si="27"/>
        <v>0</v>
      </c>
      <c r="CK30" s="505">
        <f t="shared" si="140"/>
        <v>0</v>
      </c>
      <c r="CL30" s="503"/>
      <c r="CM30" s="504">
        <f t="shared" si="28"/>
        <v>0</v>
      </c>
      <c r="CN30" s="505">
        <f t="shared" si="141"/>
        <v>0</v>
      </c>
      <c r="CO30" s="503"/>
      <c r="CP30" s="504">
        <f t="shared" si="29"/>
        <v>0</v>
      </c>
      <c r="CQ30" s="505">
        <f t="shared" si="142"/>
        <v>0</v>
      </c>
      <c r="CR30" s="503"/>
      <c r="CS30" s="504">
        <f t="shared" si="30"/>
        <v>0</v>
      </c>
      <c r="CT30" s="505">
        <f t="shared" si="143"/>
        <v>0</v>
      </c>
      <c r="CU30" s="503"/>
      <c r="CV30" s="504">
        <f t="shared" si="31"/>
        <v>0</v>
      </c>
      <c r="CW30" s="505">
        <f t="shared" si="144"/>
        <v>0</v>
      </c>
      <c r="CX30" s="503"/>
      <c r="CY30" s="504">
        <f t="shared" si="32"/>
        <v>0</v>
      </c>
      <c r="CZ30" s="505">
        <f t="shared" si="145"/>
        <v>0</v>
      </c>
      <c r="DA30" s="503"/>
      <c r="DB30" s="504">
        <f t="shared" si="33"/>
        <v>0</v>
      </c>
      <c r="DC30" s="505">
        <f t="shared" si="146"/>
        <v>0</v>
      </c>
      <c r="DD30" s="503"/>
      <c r="DE30" s="504">
        <f t="shared" si="34"/>
        <v>0</v>
      </c>
      <c r="DF30" s="505">
        <f t="shared" si="147"/>
        <v>0</v>
      </c>
      <c r="DG30" s="503"/>
      <c r="DH30" s="504">
        <f t="shared" si="35"/>
        <v>0</v>
      </c>
      <c r="DI30" s="505">
        <f t="shared" si="203"/>
        <v>0</v>
      </c>
      <c r="DJ30" s="503"/>
      <c r="DK30" s="504">
        <f t="shared" si="36"/>
        <v>0</v>
      </c>
      <c r="DL30" s="505">
        <f t="shared" si="148"/>
        <v>0</v>
      </c>
      <c r="DM30" s="503"/>
      <c r="DN30" s="504">
        <f t="shared" si="37"/>
        <v>0</v>
      </c>
      <c r="DO30" s="505">
        <f t="shared" si="149"/>
        <v>0</v>
      </c>
      <c r="DP30" s="503"/>
      <c r="DQ30" s="504">
        <f t="shared" si="38"/>
        <v>0</v>
      </c>
      <c r="DR30" s="505">
        <f t="shared" si="150"/>
        <v>0</v>
      </c>
      <c r="DS30" s="503"/>
      <c r="DT30" s="504">
        <f t="shared" si="39"/>
        <v>0</v>
      </c>
      <c r="DU30" s="505">
        <f t="shared" si="151"/>
        <v>0</v>
      </c>
      <c r="DV30" s="503"/>
      <c r="DW30" s="504">
        <f t="shared" si="40"/>
        <v>0</v>
      </c>
      <c r="DX30" s="505">
        <f t="shared" si="152"/>
        <v>0</v>
      </c>
      <c r="DY30" s="503"/>
      <c r="DZ30" s="504">
        <f t="shared" si="41"/>
        <v>0</v>
      </c>
      <c r="EA30" s="505">
        <f t="shared" si="153"/>
        <v>0</v>
      </c>
      <c r="EB30" s="503">
        <v>258.3058823529409</v>
      </c>
      <c r="EC30" s="504">
        <f t="shared" si="42"/>
        <v>4.4601630409389941</v>
      </c>
      <c r="ED30" s="505">
        <f t="shared" si="154"/>
        <v>0</v>
      </c>
      <c r="EE30" s="503">
        <v>14.534883720930225</v>
      </c>
      <c r="EF30" s="504">
        <f t="shared" si="43"/>
        <v>0.25097357669872955</v>
      </c>
      <c r="EG30" s="505">
        <f t="shared" si="155"/>
        <v>0</v>
      </c>
      <c r="EH30" s="503"/>
      <c r="EI30" s="504">
        <f t="shared" si="44"/>
        <v>0</v>
      </c>
      <c r="EJ30" s="505">
        <f t="shared" si="156"/>
        <v>0</v>
      </c>
      <c r="EK30" s="503"/>
      <c r="EL30" s="504">
        <f t="shared" si="45"/>
        <v>0</v>
      </c>
      <c r="EM30" s="505">
        <f t="shared" si="157"/>
        <v>0</v>
      </c>
      <c r="EN30" s="503"/>
      <c r="EO30" s="504">
        <f t="shared" si="46"/>
        <v>0</v>
      </c>
      <c r="EP30" s="505">
        <f t="shared" si="158"/>
        <v>0</v>
      </c>
      <c r="EQ30" s="503"/>
      <c r="ER30" s="504">
        <f t="shared" si="47"/>
        <v>0</v>
      </c>
      <c r="ES30" s="505">
        <f t="shared" si="159"/>
        <v>0</v>
      </c>
      <c r="ET30" s="503"/>
      <c r="EU30" s="504">
        <f t="shared" si="48"/>
        <v>0</v>
      </c>
      <c r="EV30" s="505">
        <f t="shared" si="160"/>
        <v>0</v>
      </c>
      <c r="EW30" s="503"/>
      <c r="EX30" s="504">
        <f t="shared" si="49"/>
        <v>0</v>
      </c>
      <c r="EY30" s="505">
        <f t="shared" si="161"/>
        <v>0</v>
      </c>
      <c r="EZ30" s="503"/>
      <c r="FA30" s="504">
        <f t="shared" si="50"/>
        <v>0</v>
      </c>
      <c r="FB30" s="505">
        <f t="shared" si="162"/>
        <v>0</v>
      </c>
      <c r="FC30" s="503"/>
      <c r="FD30" s="504">
        <f t="shared" si="51"/>
        <v>0</v>
      </c>
      <c r="FE30" s="505">
        <f t="shared" si="163"/>
        <v>0</v>
      </c>
      <c r="FF30" s="503"/>
      <c r="FG30" s="504">
        <f t="shared" si="52"/>
        <v>0</v>
      </c>
      <c r="FH30" s="505">
        <f t="shared" si="164"/>
        <v>0</v>
      </c>
      <c r="FI30" s="503"/>
      <c r="FJ30" s="504">
        <f t="shared" si="53"/>
        <v>0</v>
      </c>
      <c r="FK30" s="505">
        <f t="shared" si="165"/>
        <v>0</v>
      </c>
      <c r="FL30" s="503"/>
      <c r="FM30" s="504">
        <f t="shared" si="54"/>
        <v>0</v>
      </c>
      <c r="FN30" s="505">
        <f t="shared" si="166"/>
        <v>0</v>
      </c>
      <c r="FO30" s="503"/>
      <c r="FP30" s="504">
        <f t="shared" si="55"/>
        <v>0</v>
      </c>
      <c r="FQ30" s="505">
        <f t="shared" si="167"/>
        <v>0</v>
      </c>
      <c r="FR30" s="503"/>
      <c r="FS30" s="504">
        <f t="shared" si="56"/>
        <v>0</v>
      </c>
      <c r="FT30" s="505">
        <f t="shared" si="168"/>
        <v>0</v>
      </c>
      <c r="FU30" s="503"/>
      <c r="FV30" s="504">
        <f t="shared" si="57"/>
        <v>0</v>
      </c>
      <c r="FW30" s="505">
        <f t="shared" si="169"/>
        <v>0</v>
      </c>
      <c r="FX30" s="503"/>
      <c r="FY30" s="504">
        <f t="shared" si="58"/>
        <v>0</v>
      </c>
      <c r="FZ30" s="505">
        <f t="shared" si="170"/>
        <v>0</v>
      </c>
      <c r="GA30" s="503"/>
      <c r="GB30" s="504">
        <f t="shared" si="59"/>
        <v>0</v>
      </c>
      <c r="GC30" s="505">
        <f t="shared" si="171"/>
        <v>0</v>
      </c>
      <c r="GD30" s="503"/>
      <c r="GE30" s="504">
        <f t="shared" si="60"/>
        <v>0</v>
      </c>
      <c r="GF30" s="505">
        <f t="shared" si="172"/>
        <v>0</v>
      </c>
      <c r="GG30" s="503">
        <v>19.108420298659027</v>
      </c>
      <c r="GH30" s="504">
        <f t="shared" si="61"/>
        <v>0.32994475081429409</v>
      </c>
      <c r="GI30" s="505">
        <f t="shared" si="173"/>
        <v>0</v>
      </c>
      <c r="GJ30" s="503">
        <v>21.838194627038888</v>
      </c>
      <c r="GK30" s="504">
        <f t="shared" si="62"/>
        <v>0.3770797152163361</v>
      </c>
      <c r="GL30" s="505">
        <f t="shared" si="174"/>
        <v>0</v>
      </c>
      <c r="GM30" s="503"/>
      <c r="GN30" s="504">
        <f t="shared" si="63"/>
        <v>0</v>
      </c>
      <c r="GO30" s="505">
        <f t="shared" si="175"/>
        <v>0</v>
      </c>
      <c r="GP30" s="503">
        <v>49.135937910837498</v>
      </c>
      <c r="GQ30" s="504">
        <f t="shared" si="64"/>
        <v>0.84842935923675622</v>
      </c>
      <c r="GR30" s="505">
        <f t="shared" si="176"/>
        <v>0</v>
      </c>
      <c r="GS30" s="503">
        <v>245.67968955418749</v>
      </c>
      <c r="GT30" s="504">
        <f t="shared" si="65"/>
        <v>4.2421467961837811</v>
      </c>
      <c r="GU30" s="505">
        <f t="shared" si="177"/>
        <v>0</v>
      </c>
      <c r="GV30" s="503">
        <v>76.433681194636108</v>
      </c>
      <c r="GW30" s="504">
        <f t="shared" si="66"/>
        <v>1.3197790032571763</v>
      </c>
      <c r="GX30" s="505">
        <f t="shared" si="178"/>
        <v>0</v>
      </c>
      <c r="GY30" s="503"/>
      <c r="GZ30" s="504">
        <f t="shared" si="67"/>
        <v>0</v>
      </c>
      <c r="HA30" s="505">
        <f t="shared" si="179"/>
        <v>0</v>
      </c>
      <c r="HB30" s="503"/>
      <c r="HC30" s="504">
        <f t="shared" si="68"/>
        <v>0</v>
      </c>
      <c r="HD30" s="505">
        <f t="shared" si="180"/>
        <v>0</v>
      </c>
      <c r="HE30" s="503"/>
      <c r="HF30" s="504">
        <f t="shared" si="69"/>
        <v>0</v>
      </c>
      <c r="HG30" s="505">
        <f t="shared" si="181"/>
        <v>0</v>
      </c>
      <c r="HH30" s="503"/>
      <c r="HI30" s="504">
        <f t="shared" si="70"/>
        <v>0</v>
      </c>
      <c r="HJ30" s="505">
        <f t="shared" si="182"/>
        <v>0</v>
      </c>
      <c r="HK30" s="503"/>
      <c r="HL30" s="504">
        <f t="shared" si="71"/>
        <v>0</v>
      </c>
      <c r="HM30" s="505">
        <f t="shared" si="183"/>
        <v>0</v>
      </c>
      <c r="HN30" s="503">
        <v>925.93945218644876</v>
      </c>
      <c r="HO30" s="504">
        <f t="shared" si="72"/>
        <v>15.988179925172648</v>
      </c>
      <c r="HP30" s="505">
        <f t="shared" si="184"/>
        <v>0</v>
      </c>
      <c r="HQ30" s="503"/>
      <c r="HR30" s="504">
        <f t="shared" si="73"/>
        <v>0</v>
      </c>
      <c r="HS30" s="505">
        <f t="shared" si="185"/>
        <v>0</v>
      </c>
      <c r="HT30" s="503"/>
      <c r="HU30" s="504">
        <f t="shared" si="74"/>
        <v>0</v>
      </c>
      <c r="HV30" s="505">
        <f t="shared" si="186"/>
        <v>0</v>
      </c>
      <c r="HW30" s="503"/>
      <c r="HX30" s="504">
        <f t="shared" si="75"/>
        <v>0</v>
      </c>
      <c r="HY30" s="505">
        <f t="shared" si="187"/>
        <v>0</v>
      </c>
      <c r="HZ30" s="503"/>
      <c r="IA30" s="504">
        <f t="shared" si="76"/>
        <v>0</v>
      </c>
      <c r="IB30" s="505">
        <f t="shared" si="188"/>
        <v>0</v>
      </c>
      <c r="IC30" s="503"/>
      <c r="ID30" s="504">
        <f t="shared" si="77"/>
        <v>0</v>
      </c>
      <c r="IE30" s="505">
        <f t="shared" si="189"/>
        <v>0</v>
      </c>
      <c r="IF30" s="503"/>
      <c r="IG30" s="504">
        <f t="shared" si="78"/>
        <v>0</v>
      </c>
      <c r="IH30" s="505">
        <f t="shared" si="190"/>
        <v>0</v>
      </c>
      <c r="II30" s="503">
        <v>27.29774328379861</v>
      </c>
      <c r="IJ30" s="504">
        <f t="shared" si="79"/>
        <v>0.47134964402042007</v>
      </c>
      <c r="IK30" s="505">
        <f t="shared" si="191"/>
        <v>0</v>
      </c>
      <c r="IL30" s="503"/>
      <c r="IM30" s="504">
        <f t="shared" si="80"/>
        <v>0</v>
      </c>
      <c r="IN30" s="505">
        <f t="shared" si="192"/>
        <v>0</v>
      </c>
      <c r="IO30" s="503"/>
      <c r="IP30" s="504">
        <f t="shared" si="81"/>
        <v>0</v>
      </c>
      <c r="IQ30" s="505">
        <f t="shared" si="193"/>
        <v>0</v>
      </c>
      <c r="IR30" s="503">
        <v>49.135937910837498</v>
      </c>
      <c r="IS30" s="504">
        <f t="shared" si="82"/>
        <v>0.84842935923675622</v>
      </c>
      <c r="IT30" s="505">
        <f t="shared" si="194"/>
        <v>0</v>
      </c>
      <c r="IU30" s="503"/>
      <c r="IV30" s="504">
        <f t="shared" si="83"/>
        <v>0</v>
      </c>
      <c r="IW30" s="505">
        <f t="shared" si="195"/>
        <v>0</v>
      </c>
      <c r="IX30" s="503"/>
      <c r="IY30" s="504">
        <f t="shared" si="84"/>
        <v>0</v>
      </c>
      <c r="IZ30" s="505">
        <f t="shared" si="196"/>
        <v>0</v>
      </c>
      <c r="JA30" s="503"/>
      <c r="JB30" s="504">
        <f t="shared" si="85"/>
        <v>0</v>
      </c>
      <c r="JC30" s="505">
        <f t="shared" si="197"/>
        <v>0</v>
      </c>
      <c r="JD30" s="503"/>
      <c r="JE30" s="504">
        <f t="shared" si="86"/>
        <v>0</v>
      </c>
      <c r="JF30" s="505">
        <f t="shared" si="198"/>
        <v>0</v>
      </c>
      <c r="JG30" s="503"/>
      <c r="JH30" s="504">
        <f t="shared" si="87"/>
        <v>0</v>
      </c>
      <c r="JI30" s="505">
        <f t="shared" si="199"/>
        <v>0</v>
      </c>
      <c r="JJ30" s="503">
        <v>24.567968955418749</v>
      </c>
      <c r="JK30" s="505" t="str">
        <f t="shared" si="88"/>
        <v>0</v>
      </c>
      <c r="JL30" s="505" t="str">
        <f t="shared" si="89"/>
        <v>0</v>
      </c>
      <c r="JM30" s="503"/>
      <c r="JN30" s="505" t="str">
        <f t="shared" si="90"/>
        <v>0</v>
      </c>
      <c r="JO30" s="505" t="str">
        <f t="shared" si="91"/>
        <v>0</v>
      </c>
      <c r="JP30" s="503"/>
      <c r="JQ30" s="505" t="str">
        <f t="shared" si="92"/>
        <v>0</v>
      </c>
      <c r="JR30" s="505" t="str">
        <f t="shared" si="93"/>
        <v>0</v>
      </c>
      <c r="JS30" s="503"/>
      <c r="JT30" s="505" t="str">
        <f t="shared" si="94"/>
        <v>0</v>
      </c>
      <c r="JU30" s="505" t="str">
        <f t="shared" si="95"/>
        <v>0</v>
      </c>
      <c r="JV30" s="503"/>
      <c r="JW30" s="505" t="str">
        <f t="shared" si="96"/>
        <v>0</v>
      </c>
      <c r="JX30" s="505" t="str">
        <f t="shared" si="97"/>
        <v>0</v>
      </c>
      <c r="JY30" s="503"/>
      <c r="JZ30" s="505" t="str">
        <f t="shared" si="98"/>
        <v>0</v>
      </c>
      <c r="KA30" s="505" t="str">
        <f t="shared" si="99"/>
        <v>0</v>
      </c>
      <c r="KB30" s="503"/>
      <c r="KC30" s="505" t="str">
        <f t="shared" si="100"/>
        <v>0</v>
      </c>
      <c r="KD30" s="505" t="str">
        <f t="shared" si="101"/>
        <v>0</v>
      </c>
      <c r="KE30" s="503"/>
      <c r="KF30" s="505" t="str">
        <f t="shared" si="102"/>
        <v>0</v>
      </c>
      <c r="KG30" s="505" t="str">
        <f t="shared" si="103"/>
        <v>0</v>
      </c>
      <c r="KH30" s="503"/>
      <c r="KI30" s="505" t="str">
        <f t="shared" si="104"/>
        <v>0</v>
      </c>
      <c r="KJ30" s="505" t="str">
        <f t="shared" si="105"/>
        <v>0</v>
      </c>
      <c r="KK30" s="503"/>
      <c r="KL30" s="505" t="str">
        <f t="shared" si="106"/>
        <v>0</v>
      </c>
      <c r="KM30" s="505" t="str">
        <f t="shared" si="107"/>
        <v>0</v>
      </c>
      <c r="KN30" s="503"/>
      <c r="KO30" s="505" t="str">
        <f t="shared" si="108"/>
        <v>0</v>
      </c>
      <c r="KP30" s="505" t="str">
        <f t="shared" si="109"/>
        <v>0</v>
      </c>
      <c r="KQ30" s="503"/>
      <c r="KR30" s="505" t="str">
        <f t="shared" si="110"/>
        <v>0</v>
      </c>
      <c r="KS30" s="505" t="str">
        <f t="shared" si="111"/>
        <v>0</v>
      </c>
      <c r="KT30" s="505">
        <f t="shared" si="201"/>
        <v>0</v>
      </c>
      <c r="KU30" s="505">
        <f t="shared" si="202"/>
        <v>0</v>
      </c>
      <c r="KV30" s="258">
        <f t="shared" si="112"/>
        <v>2760.8953919957339</v>
      </c>
    </row>
    <row r="31" spans="1:309" ht="15" customHeight="1">
      <c r="A31" s="462">
        <f t="shared" si="200"/>
        <v>46103</v>
      </c>
      <c r="B31" s="463" t="str">
        <f>+Report1!B30</f>
        <v>Towel/Toilet</v>
      </c>
      <c r="C31" s="464" t="str">
        <f>+Report1!C30</f>
        <v>22/15</v>
      </c>
      <c r="D31" s="465">
        <f>+Report1!P30</f>
        <v>54.510999999999996</v>
      </c>
      <c r="E31" s="466">
        <f>+Report1!R30</f>
        <v>54.481999999999999</v>
      </c>
      <c r="F31" s="503"/>
      <c r="G31" s="504">
        <f t="shared" si="0"/>
        <v>0</v>
      </c>
      <c r="H31" s="505">
        <f t="shared" si="113"/>
        <v>0</v>
      </c>
      <c r="I31" s="503">
        <v>828.1864604651164</v>
      </c>
      <c r="J31" s="504">
        <f t="shared" si="1"/>
        <v>15.201102390975302</v>
      </c>
      <c r="K31" s="505">
        <f t="shared" si="114"/>
        <v>0</v>
      </c>
      <c r="L31" s="503"/>
      <c r="M31" s="504">
        <f t="shared" si="2"/>
        <v>0</v>
      </c>
      <c r="N31" s="505">
        <f t="shared" si="115"/>
        <v>0</v>
      </c>
      <c r="O31" s="503">
        <v>14.999999999999972</v>
      </c>
      <c r="P31" s="504">
        <f t="shared" si="3"/>
        <v>0.27532028926985008</v>
      </c>
      <c r="Q31" s="505">
        <f t="shared" si="116"/>
        <v>0</v>
      </c>
      <c r="R31" s="503">
        <v>7.6874999999999716</v>
      </c>
      <c r="S31" s="504">
        <f t="shared" si="4"/>
        <v>0.14110164825079791</v>
      </c>
      <c r="T31" s="505">
        <f t="shared" si="117"/>
        <v>0</v>
      </c>
      <c r="U31" s="503">
        <v>3.1249999999999716</v>
      </c>
      <c r="V31" s="504">
        <f t="shared" si="5"/>
        <v>5.735839359788502E-2</v>
      </c>
      <c r="W31" s="505">
        <f t="shared" si="118"/>
        <v>0</v>
      </c>
      <c r="X31" s="503"/>
      <c r="Y31" s="504">
        <f t="shared" si="6"/>
        <v>0</v>
      </c>
      <c r="Z31" s="505">
        <f t="shared" si="119"/>
        <v>0</v>
      </c>
      <c r="AA31" s="503"/>
      <c r="AB31" s="504">
        <f t="shared" si="7"/>
        <v>0</v>
      </c>
      <c r="AC31" s="505">
        <f t="shared" si="120"/>
        <v>0</v>
      </c>
      <c r="AD31" s="503"/>
      <c r="AE31" s="504">
        <f t="shared" si="8"/>
        <v>0</v>
      </c>
      <c r="AF31" s="505">
        <f t="shared" si="121"/>
        <v>0</v>
      </c>
      <c r="AG31" s="503"/>
      <c r="AH31" s="504">
        <f t="shared" si="9"/>
        <v>0</v>
      </c>
      <c r="AI31" s="505">
        <f t="shared" si="122"/>
        <v>0</v>
      </c>
      <c r="AJ31" s="503"/>
      <c r="AK31" s="504">
        <f t="shared" si="10"/>
        <v>0</v>
      </c>
      <c r="AL31" s="505">
        <f t="shared" si="123"/>
        <v>0</v>
      </c>
      <c r="AM31" s="503">
        <v>50.973405128205229</v>
      </c>
      <c r="AN31" s="504">
        <f t="shared" si="11"/>
        <v>0.93560084299778334</v>
      </c>
      <c r="AO31" s="505">
        <f t="shared" si="124"/>
        <v>0</v>
      </c>
      <c r="AP31" s="503"/>
      <c r="AQ31" s="504">
        <f t="shared" si="12"/>
        <v>0</v>
      </c>
      <c r="AR31" s="505">
        <f t="shared" si="125"/>
        <v>0</v>
      </c>
      <c r="AS31" s="503"/>
      <c r="AT31" s="504">
        <f t="shared" si="13"/>
        <v>0</v>
      </c>
      <c r="AU31" s="505">
        <f t="shared" si="126"/>
        <v>0</v>
      </c>
      <c r="AV31" s="503">
        <v>8.3249999999999886</v>
      </c>
      <c r="AW31" s="504">
        <f t="shared" si="14"/>
        <v>0.15280276054476688</v>
      </c>
      <c r="AX31" s="505">
        <f t="shared" si="127"/>
        <v>0</v>
      </c>
      <c r="AY31" s="503">
        <v>30.422666666666714</v>
      </c>
      <c r="AZ31" s="504">
        <f t="shared" si="15"/>
        <v>0.5583984924684614</v>
      </c>
      <c r="BA31" s="505">
        <f t="shared" si="128"/>
        <v>0</v>
      </c>
      <c r="BB31" s="503"/>
      <c r="BC31" s="504">
        <f t="shared" si="16"/>
        <v>0</v>
      </c>
      <c r="BD31" s="505">
        <f t="shared" si="129"/>
        <v>0</v>
      </c>
      <c r="BE31" s="503"/>
      <c r="BF31" s="504">
        <f t="shared" si="17"/>
        <v>0</v>
      </c>
      <c r="BG31" s="505">
        <f t="shared" si="130"/>
        <v>0</v>
      </c>
      <c r="BH31" s="503"/>
      <c r="BI31" s="504">
        <f t="shared" si="18"/>
        <v>0</v>
      </c>
      <c r="BJ31" s="505">
        <f t="shared" si="131"/>
        <v>0</v>
      </c>
      <c r="BK31" s="503"/>
      <c r="BL31" s="504">
        <f t="shared" si="19"/>
        <v>0</v>
      </c>
      <c r="BM31" s="505">
        <f t="shared" si="132"/>
        <v>0</v>
      </c>
      <c r="BN31" s="503"/>
      <c r="BO31" s="504">
        <f t="shared" si="20"/>
        <v>0</v>
      </c>
      <c r="BP31" s="505">
        <f t="shared" si="133"/>
        <v>0</v>
      </c>
      <c r="BQ31" s="503"/>
      <c r="BR31" s="504">
        <f t="shared" si="21"/>
        <v>0</v>
      </c>
      <c r="BS31" s="505">
        <f t="shared" si="134"/>
        <v>0</v>
      </c>
      <c r="BT31" s="503"/>
      <c r="BU31" s="504">
        <f t="shared" si="22"/>
        <v>0</v>
      </c>
      <c r="BV31" s="505">
        <f t="shared" si="135"/>
        <v>0</v>
      </c>
      <c r="BW31" s="503"/>
      <c r="BX31" s="504">
        <f t="shared" si="23"/>
        <v>0</v>
      </c>
      <c r="BY31" s="505">
        <f t="shared" si="136"/>
        <v>0</v>
      </c>
      <c r="BZ31" s="503"/>
      <c r="CA31" s="504">
        <f t="shared" si="24"/>
        <v>0</v>
      </c>
      <c r="CB31" s="505">
        <f t="shared" si="137"/>
        <v>0</v>
      </c>
      <c r="CC31" s="503"/>
      <c r="CD31" s="504">
        <f t="shared" si="25"/>
        <v>0</v>
      </c>
      <c r="CE31" s="505">
        <f t="shared" si="138"/>
        <v>0</v>
      </c>
      <c r="CF31" s="503">
        <v>10</v>
      </c>
      <c r="CG31" s="504">
        <f t="shared" si="26"/>
        <v>0.18354685951323374</v>
      </c>
      <c r="CH31" s="505">
        <f t="shared" si="139"/>
        <v>0</v>
      </c>
      <c r="CI31" s="503"/>
      <c r="CJ31" s="504">
        <f t="shared" si="27"/>
        <v>0</v>
      </c>
      <c r="CK31" s="505">
        <f t="shared" si="140"/>
        <v>0</v>
      </c>
      <c r="CL31" s="503"/>
      <c r="CM31" s="504">
        <f t="shared" si="28"/>
        <v>0</v>
      </c>
      <c r="CN31" s="505">
        <f t="shared" si="141"/>
        <v>0</v>
      </c>
      <c r="CO31" s="503"/>
      <c r="CP31" s="504">
        <f t="shared" si="29"/>
        <v>0</v>
      </c>
      <c r="CQ31" s="505">
        <f t="shared" si="142"/>
        <v>0</v>
      </c>
      <c r="CR31" s="503"/>
      <c r="CS31" s="504">
        <f t="shared" si="30"/>
        <v>0</v>
      </c>
      <c r="CT31" s="505">
        <f t="shared" si="143"/>
        <v>0</v>
      </c>
      <c r="CU31" s="503"/>
      <c r="CV31" s="504">
        <f t="shared" si="31"/>
        <v>0</v>
      </c>
      <c r="CW31" s="505">
        <f t="shared" si="144"/>
        <v>0</v>
      </c>
      <c r="CX31" s="503"/>
      <c r="CY31" s="504">
        <f t="shared" si="32"/>
        <v>0</v>
      </c>
      <c r="CZ31" s="505">
        <f t="shared" si="145"/>
        <v>0</v>
      </c>
      <c r="DA31" s="503"/>
      <c r="DB31" s="504">
        <f t="shared" si="33"/>
        <v>0</v>
      </c>
      <c r="DC31" s="505">
        <f t="shared" si="146"/>
        <v>0</v>
      </c>
      <c r="DD31" s="503"/>
      <c r="DE31" s="504">
        <f t="shared" si="34"/>
        <v>0</v>
      </c>
      <c r="DF31" s="505">
        <f t="shared" si="147"/>
        <v>0</v>
      </c>
      <c r="DG31" s="503"/>
      <c r="DH31" s="504">
        <f t="shared" si="35"/>
        <v>0</v>
      </c>
      <c r="DI31" s="505">
        <f t="shared" si="203"/>
        <v>0</v>
      </c>
      <c r="DJ31" s="503"/>
      <c r="DK31" s="504">
        <f t="shared" si="36"/>
        <v>0</v>
      </c>
      <c r="DL31" s="505">
        <f t="shared" si="148"/>
        <v>0</v>
      </c>
      <c r="DM31" s="503"/>
      <c r="DN31" s="504">
        <f t="shared" si="37"/>
        <v>0</v>
      </c>
      <c r="DO31" s="505">
        <f t="shared" si="149"/>
        <v>0</v>
      </c>
      <c r="DP31" s="503"/>
      <c r="DQ31" s="504">
        <f t="shared" si="38"/>
        <v>0</v>
      </c>
      <c r="DR31" s="505">
        <f t="shared" si="150"/>
        <v>0</v>
      </c>
      <c r="DS31" s="503"/>
      <c r="DT31" s="504">
        <f t="shared" si="39"/>
        <v>0</v>
      </c>
      <c r="DU31" s="505">
        <f t="shared" si="151"/>
        <v>0</v>
      </c>
      <c r="DV31" s="503"/>
      <c r="DW31" s="504">
        <f t="shared" si="40"/>
        <v>0</v>
      </c>
      <c r="DX31" s="505">
        <f t="shared" si="152"/>
        <v>0</v>
      </c>
      <c r="DY31" s="503"/>
      <c r="DZ31" s="504">
        <f t="shared" si="41"/>
        <v>0</v>
      </c>
      <c r="EA31" s="505">
        <f t="shared" si="153"/>
        <v>0</v>
      </c>
      <c r="EB31" s="503">
        <v>246.56470588235311</v>
      </c>
      <c r="EC31" s="504">
        <f t="shared" si="42"/>
        <v>4.5256177431510061</v>
      </c>
      <c r="ED31" s="505">
        <f t="shared" si="154"/>
        <v>0</v>
      </c>
      <c r="EE31" s="503">
        <v>14.534883720930225</v>
      </c>
      <c r="EF31" s="504">
        <f t="shared" si="43"/>
        <v>0.26678322603667681</v>
      </c>
      <c r="EG31" s="505">
        <f t="shared" si="155"/>
        <v>0</v>
      </c>
      <c r="EH31" s="503"/>
      <c r="EI31" s="504">
        <f t="shared" si="44"/>
        <v>0</v>
      </c>
      <c r="EJ31" s="505">
        <f t="shared" si="156"/>
        <v>0</v>
      </c>
      <c r="EK31" s="503"/>
      <c r="EL31" s="504">
        <f t="shared" si="45"/>
        <v>0</v>
      </c>
      <c r="EM31" s="505">
        <f t="shared" si="157"/>
        <v>0</v>
      </c>
      <c r="EN31" s="503"/>
      <c r="EO31" s="504">
        <f t="shared" si="46"/>
        <v>0</v>
      </c>
      <c r="EP31" s="505">
        <f t="shared" si="158"/>
        <v>0</v>
      </c>
      <c r="EQ31" s="503"/>
      <c r="ER31" s="504">
        <f t="shared" si="47"/>
        <v>0</v>
      </c>
      <c r="ES31" s="505">
        <f t="shared" si="159"/>
        <v>0</v>
      </c>
      <c r="ET31" s="503"/>
      <c r="EU31" s="504">
        <f t="shared" si="48"/>
        <v>0</v>
      </c>
      <c r="EV31" s="505">
        <f t="shared" si="160"/>
        <v>0</v>
      </c>
      <c r="EW31" s="503"/>
      <c r="EX31" s="504">
        <f t="shared" si="49"/>
        <v>0</v>
      </c>
      <c r="EY31" s="505">
        <f t="shared" si="161"/>
        <v>0</v>
      </c>
      <c r="EZ31" s="503"/>
      <c r="FA31" s="504">
        <f t="shared" si="50"/>
        <v>0</v>
      </c>
      <c r="FB31" s="505">
        <f t="shared" si="162"/>
        <v>0</v>
      </c>
      <c r="FC31" s="503"/>
      <c r="FD31" s="504">
        <f t="shared" si="51"/>
        <v>0</v>
      </c>
      <c r="FE31" s="505">
        <f t="shared" si="163"/>
        <v>0</v>
      </c>
      <c r="FF31" s="503"/>
      <c r="FG31" s="504">
        <f t="shared" si="52"/>
        <v>0</v>
      </c>
      <c r="FH31" s="505">
        <f t="shared" si="164"/>
        <v>0</v>
      </c>
      <c r="FI31" s="503"/>
      <c r="FJ31" s="504">
        <f t="shared" si="53"/>
        <v>0</v>
      </c>
      <c r="FK31" s="505">
        <f t="shared" si="165"/>
        <v>0</v>
      </c>
      <c r="FL31" s="503"/>
      <c r="FM31" s="504">
        <f t="shared" si="54"/>
        <v>0</v>
      </c>
      <c r="FN31" s="505">
        <f t="shared" si="166"/>
        <v>0</v>
      </c>
      <c r="FO31" s="503"/>
      <c r="FP31" s="504">
        <f t="shared" si="55"/>
        <v>0</v>
      </c>
      <c r="FQ31" s="505">
        <f t="shared" si="167"/>
        <v>0</v>
      </c>
      <c r="FR31" s="503"/>
      <c r="FS31" s="504">
        <f t="shared" si="56"/>
        <v>0</v>
      </c>
      <c r="FT31" s="505">
        <f t="shared" si="168"/>
        <v>0</v>
      </c>
      <c r="FU31" s="503"/>
      <c r="FV31" s="504">
        <f t="shared" si="57"/>
        <v>0</v>
      </c>
      <c r="FW31" s="505">
        <f t="shared" si="169"/>
        <v>0</v>
      </c>
      <c r="FX31" s="503"/>
      <c r="FY31" s="504">
        <f t="shared" si="58"/>
        <v>0</v>
      </c>
      <c r="FZ31" s="505">
        <f t="shared" si="170"/>
        <v>0</v>
      </c>
      <c r="GA31" s="503"/>
      <c r="GB31" s="504">
        <f t="shared" si="59"/>
        <v>0</v>
      </c>
      <c r="GC31" s="505">
        <f t="shared" si="171"/>
        <v>0</v>
      </c>
      <c r="GD31" s="503"/>
      <c r="GE31" s="504">
        <f t="shared" si="60"/>
        <v>0</v>
      </c>
      <c r="GF31" s="505">
        <f t="shared" si="172"/>
        <v>0</v>
      </c>
      <c r="GG31" s="503">
        <v>18.406284369151212</v>
      </c>
      <c r="GH31" s="504">
        <f t="shared" si="61"/>
        <v>0.33784156912652274</v>
      </c>
      <c r="GI31" s="505">
        <f t="shared" si="173"/>
        <v>0</v>
      </c>
      <c r="GJ31" s="503">
        <v>21.035753564744244</v>
      </c>
      <c r="GK31" s="504">
        <f t="shared" si="62"/>
        <v>0.38610465043031172</v>
      </c>
      <c r="GL31" s="505">
        <f t="shared" si="174"/>
        <v>0</v>
      </c>
      <c r="GM31" s="503"/>
      <c r="GN31" s="504">
        <f t="shared" si="63"/>
        <v>0</v>
      </c>
      <c r="GO31" s="505">
        <f t="shared" si="175"/>
        <v>0</v>
      </c>
      <c r="GP31" s="503">
        <v>42.071507129488488</v>
      </c>
      <c r="GQ31" s="504">
        <f t="shared" si="64"/>
        <v>0.77220930086062345</v>
      </c>
      <c r="GR31" s="505">
        <f t="shared" si="176"/>
        <v>0</v>
      </c>
      <c r="GS31" s="503">
        <v>231.39328921218669</v>
      </c>
      <c r="GT31" s="504">
        <f t="shared" si="65"/>
        <v>4.2471511547334293</v>
      </c>
      <c r="GU31" s="505">
        <f t="shared" si="177"/>
        <v>0</v>
      </c>
      <c r="GV31" s="503">
        <v>73.625137476604849</v>
      </c>
      <c r="GW31" s="504">
        <f t="shared" si="66"/>
        <v>1.351366276506091</v>
      </c>
      <c r="GX31" s="505">
        <f t="shared" si="178"/>
        <v>0</v>
      </c>
      <c r="GY31" s="503"/>
      <c r="GZ31" s="504">
        <f t="shared" si="67"/>
        <v>0</v>
      </c>
      <c r="HA31" s="505">
        <f t="shared" si="179"/>
        <v>0</v>
      </c>
      <c r="HB31" s="503"/>
      <c r="HC31" s="504">
        <f t="shared" si="68"/>
        <v>0</v>
      </c>
      <c r="HD31" s="505">
        <f t="shared" si="180"/>
        <v>0</v>
      </c>
      <c r="HE31" s="503"/>
      <c r="HF31" s="504">
        <f t="shared" si="69"/>
        <v>0</v>
      </c>
      <c r="HG31" s="505">
        <f t="shared" si="181"/>
        <v>0</v>
      </c>
      <c r="HH31" s="503"/>
      <c r="HI31" s="504">
        <f t="shared" si="70"/>
        <v>0</v>
      </c>
      <c r="HJ31" s="505">
        <f t="shared" si="182"/>
        <v>0</v>
      </c>
      <c r="HK31" s="503"/>
      <c r="HL31" s="504">
        <f t="shared" si="71"/>
        <v>0</v>
      </c>
      <c r="HM31" s="505">
        <f t="shared" si="183"/>
        <v>0</v>
      </c>
      <c r="HN31" s="503">
        <v>839.32656723329535</v>
      </c>
      <c r="HO31" s="504">
        <f t="shared" si="72"/>
        <v>15.405575552169438</v>
      </c>
      <c r="HP31" s="505">
        <f t="shared" si="184"/>
        <v>0</v>
      </c>
      <c r="HQ31" s="503"/>
      <c r="HR31" s="504">
        <f t="shared" si="73"/>
        <v>0</v>
      </c>
      <c r="HS31" s="505">
        <f t="shared" si="185"/>
        <v>0</v>
      </c>
      <c r="HT31" s="503"/>
      <c r="HU31" s="504">
        <f t="shared" si="74"/>
        <v>0</v>
      </c>
      <c r="HV31" s="505">
        <f t="shared" si="186"/>
        <v>0</v>
      </c>
      <c r="HW31" s="503"/>
      <c r="HX31" s="504">
        <f t="shared" si="75"/>
        <v>0</v>
      </c>
      <c r="HY31" s="505">
        <f t="shared" si="187"/>
        <v>0</v>
      </c>
      <c r="HZ31" s="503"/>
      <c r="IA31" s="504">
        <f t="shared" si="76"/>
        <v>0</v>
      </c>
      <c r="IB31" s="505">
        <f t="shared" si="188"/>
        <v>0</v>
      </c>
      <c r="IC31" s="503"/>
      <c r="ID31" s="504">
        <f t="shared" si="77"/>
        <v>0</v>
      </c>
      <c r="IE31" s="505">
        <f t="shared" si="189"/>
        <v>0</v>
      </c>
      <c r="IF31" s="503"/>
      <c r="IG31" s="504">
        <f t="shared" si="78"/>
        <v>0</v>
      </c>
      <c r="IH31" s="505">
        <f t="shared" si="190"/>
        <v>0</v>
      </c>
      <c r="II31" s="503">
        <v>26.294691955930304</v>
      </c>
      <c r="IJ31" s="504">
        <f t="shared" si="79"/>
        <v>0.48263081303788968</v>
      </c>
      <c r="IK31" s="505">
        <f t="shared" si="191"/>
        <v>0</v>
      </c>
      <c r="IL31" s="503"/>
      <c r="IM31" s="504">
        <f t="shared" si="80"/>
        <v>0</v>
      </c>
      <c r="IN31" s="505">
        <f t="shared" si="192"/>
        <v>0</v>
      </c>
      <c r="IO31" s="503"/>
      <c r="IP31" s="504">
        <f t="shared" si="81"/>
        <v>0</v>
      </c>
      <c r="IQ31" s="505">
        <f t="shared" si="193"/>
        <v>0</v>
      </c>
      <c r="IR31" s="503">
        <v>47.330445520674552</v>
      </c>
      <c r="IS31" s="504">
        <f t="shared" si="82"/>
        <v>0.86873546346820152</v>
      </c>
      <c r="IT31" s="505">
        <f t="shared" si="194"/>
        <v>0</v>
      </c>
      <c r="IU31" s="503"/>
      <c r="IV31" s="504">
        <f t="shared" si="83"/>
        <v>0</v>
      </c>
      <c r="IW31" s="505">
        <f t="shared" si="195"/>
        <v>0</v>
      </c>
      <c r="IX31" s="503"/>
      <c r="IY31" s="504">
        <f t="shared" si="84"/>
        <v>0</v>
      </c>
      <c r="IZ31" s="505">
        <f t="shared" si="196"/>
        <v>0</v>
      </c>
      <c r="JA31" s="503"/>
      <c r="JB31" s="504">
        <f t="shared" si="85"/>
        <v>0</v>
      </c>
      <c r="JC31" s="505">
        <f t="shared" si="197"/>
        <v>0</v>
      </c>
      <c r="JD31" s="503"/>
      <c r="JE31" s="504">
        <f t="shared" si="86"/>
        <v>0</v>
      </c>
      <c r="JF31" s="505">
        <f t="shared" si="198"/>
        <v>0</v>
      </c>
      <c r="JG31" s="503"/>
      <c r="JH31" s="504">
        <f t="shared" si="87"/>
        <v>0</v>
      </c>
      <c r="JI31" s="505">
        <f t="shared" si="199"/>
        <v>0</v>
      </c>
      <c r="JJ31" s="503">
        <v>23.665222760337276</v>
      </c>
      <c r="JK31" s="505" t="str">
        <f t="shared" si="88"/>
        <v>0</v>
      </c>
      <c r="JL31" s="505" t="str">
        <f t="shared" si="89"/>
        <v>0</v>
      </c>
      <c r="JM31" s="503"/>
      <c r="JN31" s="505" t="str">
        <f t="shared" si="90"/>
        <v>0</v>
      </c>
      <c r="JO31" s="505" t="str">
        <f t="shared" si="91"/>
        <v>0</v>
      </c>
      <c r="JP31" s="503"/>
      <c r="JQ31" s="505" t="str">
        <f t="shared" si="92"/>
        <v>0</v>
      </c>
      <c r="JR31" s="505" t="str">
        <f t="shared" si="93"/>
        <v>0</v>
      </c>
      <c r="JS31" s="503"/>
      <c r="JT31" s="505" t="str">
        <f t="shared" si="94"/>
        <v>0</v>
      </c>
      <c r="JU31" s="505" t="str">
        <f t="shared" si="95"/>
        <v>0</v>
      </c>
      <c r="JV31" s="503"/>
      <c r="JW31" s="505" t="str">
        <f t="shared" si="96"/>
        <v>0</v>
      </c>
      <c r="JX31" s="505" t="str">
        <f t="shared" si="97"/>
        <v>0</v>
      </c>
      <c r="JY31" s="503"/>
      <c r="JZ31" s="505" t="str">
        <f t="shared" si="98"/>
        <v>0</v>
      </c>
      <c r="KA31" s="505" t="str">
        <f t="shared" si="99"/>
        <v>0</v>
      </c>
      <c r="KB31" s="503"/>
      <c r="KC31" s="505" t="str">
        <f t="shared" si="100"/>
        <v>0</v>
      </c>
      <c r="KD31" s="505" t="str">
        <f t="shared" si="101"/>
        <v>0</v>
      </c>
      <c r="KE31" s="503"/>
      <c r="KF31" s="505" t="str">
        <f t="shared" si="102"/>
        <v>0</v>
      </c>
      <c r="KG31" s="505" t="str">
        <f t="shared" si="103"/>
        <v>0</v>
      </c>
      <c r="KH31" s="503"/>
      <c r="KI31" s="505" t="str">
        <f t="shared" si="104"/>
        <v>0</v>
      </c>
      <c r="KJ31" s="505" t="str">
        <f t="shared" si="105"/>
        <v>0</v>
      </c>
      <c r="KK31" s="503"/>
      <c r="KL31" s="505" t="str">
        <f t="shared" si="106"/>
        <v>0</v>
      </c>
      <c r="KM31" s="505" t="str">
        <f t="shared" si="107"/>
        <v>0</v>
      </c>
      <c r="KN31" s="503"/>
      <c r="KO31" s="505" t="str">
        <f t="shared" si="108"/>
        <v>0</v>
      </c>
      <c r="KP31" s="505" t="str">
        <f t="shared" si="109"/>
        <v>0</v>
      </c>
      <c r="KQ31" s="503"/>
      <c r="KR31" s="505" t="str">
        <f t="shared" si="110"/>
        <v>0</v>
      </c>
      <c r="KS31" s="505" t="str">
        <f t="shared" si="111"/>
        <v>0</v>
      </c>
      <c r="KT31" s="505">
        <f t="shared" si="201"/>
        <v>0</v>
      </c>
      <c r="KU31" s="505">
        <f t="shared" si="202"/>
        <v>0</v>
      </c>
      <c r="KV31" s="258">
        <f t="shared" si="112"/>
        <v>2537.9685210856851</v>
      </c>
    </row>
    <row r="32" spans="1:309" ht="15" customHeight="1">
      <c r="A32" s="462">
        <f t="shared" si="200"/>
        <v>46104</v>
      </c>
      <c r="B32" s="463" t="str">
        <f>+Report1!B31</f>
        <v>Toilet</v>
      </c>
      <c r="C32" s="464" t="str">
        <f>+Report1!C31</f>
        <v>15/13,5</v>
      </c>
      <c r="D32" s="465">
        <f>+Report1!P31</f>
        <v>52.420999999999999</v>
      </c>
      <c r="E32" s="466">
        <f>+Report1!R31</f>
        <v>45.463999999999999</v>
      </c>
      <c r="F32" s="503"/>
      <c r="G32" s="504">
        <f t="shared" si="0"/>
        <v>0</v>
      </c>
      <c r="H32" s="505">
        <f t="shared" si="113"/>
        <v>0</v>
      </c>
      <c r="I32" s="503">
        <v>232.55813953488405</v>
      </c>
      <c r="J32" s="504">
        <f t="shared" si="1"/>
        <v>5.1152151050256043</v>
      </c>
      <c r="K32" s="505">
        <f t="shared" si="114"/>
        <v>0</v>
      </c>
      <c r="L32" s="503"/>
      <c r="M32" s="504">
        <f t="shared" si="2"/>
        <v>0</v>
      </c>
      <c r="N32" s="505">
        <f t="shared" si="115"/>
        <v>0</v>
      </c>
      <c r="O32" s="503">
        <v>9</v>
      </c>
      <c r="P32" s="504">
        <f t="shared" si="3"/>
        <v>0.1979588245644906</v>
      </c>
      <c r="Q32" s="505">
        <f t="shared" si="116"/>
        <v>0</v>
      </c>
      <c r="R32" s="503">
        <v>7.6875</v>
      </c>
      <c r="S32" s="504">
        <f t="shared" si="4"/>
        <v>0.16908982931550237</v>
      </c>
      <c r="T32" s="505">
        <f t="shared" si="117"/>
        <v>0</v>
      </c>
      <c r="U32" s="503">
        <v>3.125</v>
      </c>
      <c r="V32" s="504">
        <f t="shared" si="5"/>
        <v>6.8735702973781454E-2</v>
      </c>
      <c r="W32" s="505">
        <f t="shared" si="118"/>
        <v>0</v>
      </c>
      <c r="X32" s="503"/>
      <c r="Y32" s="504">
        <f t="shared" si="6"/>
        <v>0</v>
      </c>
      <c r="Z32" s="505">
        <f t="shared" si="119"/>
        <v>0</v>
      </c>
      <c r="AA32" s="503"/>
      <c r="AB32" s="504">
        <f t="shared" si="7"/>
        <v>0</v>
      </c>
      <c r="AC32" s="505">
        <f t="shared" si="120"/>
        <v>0</v>
      </c>
      <c r="AD32" s="503"/>
      <c r="AE32" s="504">
        <f t="shared" si="8"/>
        <v>0</v>
      </c>
      <c r="AF32" s="505">
        <f t="shared" si="121"/>
        <v>0</v>
      </c>
      <c r="AG32" s="503"/>
      <c r="AH32" s="504">
        <f t="shared" si="9"/>
        <v>0</v>
      </c>
      <c r="AI32" s="505">
        <f t="shared" si="122"/>
        <v>0</v>
      </c>
      <c r="AJ32" s="503"/>
      <c r="AK32" s="504">
        <f t="shared" si="10"/>
        <v>0</v>
      </c>
      <c r="AL32" s="505">
        <f t="shared" si="123"/>
        <v>0</v>
      </c>
      <c r="AM32" s="503">
        <v>52.564102564102541</v>
      </c>
      <c r="AN32" s="504">
        <f t="shared" si="11"/>
        <v>1.1561697730974516</v>
      </c>
      <c r="AO32" s="505">
        <f t="shared" si="124"/>
        <v>0</v>
      </c>
      <c r="AP32" s="503"/>
      <c r="AQ32" s="504">
        <f t="shared" si="12"/>
        <v>0</v>
      </c>
      <c r="AR32" s="505">
        <f t="shared" si="125"/>
        <v>0</v>
      </c>
      <c r="AS32" s="503"/>
      <c r="AT32" s="504">
        <f t="shared" si="13"/>
        <v>0</v>
      </c>
      <c r="AU32" s="505">
        <f t="shared" si="126"/>
        <v>0</v>
      </c>
      <c r="AV32" s="503">
        <v>11.099999999999966</v>
      </c>
      <c r="AW32" s="504">
        <f t="shared" si="14"/>
        <v>0.24414921696287098</v>
      </c>
      <c r="AX32" s="505">
        <f t="shared" si="127"/>
        <v>0</v>
      </c>
      <c r="AY32" s="503">
        <v>46.666666666666686</v>
      </c>
      <c r="AZ32" s="504">
        <f t="shared" si="15"/>
        <v>1.0264531644084702</v>
      </c>
      <c r="BA32" s="505">
        <f t="shared" si="128"/>
        <v>0</v>
      </c>
      <c r="BB32" s="503"/>
      <c r="BC32" s="504">
        <f t="shared" si="16"/>
        <v>0</v>
      </c>
      <c r="BD32" s="505">
        <f t="shared" si="129"/>
        <v>0</v>
      </c>
      <c r="BE32" s="503"/>
      <c r="BF32" s="504">
        <f t="shared" si="17"/>
        <v>0</v>
      </c>
      <c r="BG32" s="505">
        <f t="shared" si="130"/>
        <v>0</v>
      </c>
      <c r="BH32" s="503"/>
      <c r="BI32" s="504">
        <f t="shared" si="18"/>
        <v>0</v>
      </c>
      <c r="BJ32" s="505">
        <f t="shared" si="131"/>
        <v>0</v>
      </c>
      <c r="BK32" s="503"/>
      <c r="BL32" s="504">
        <f t="shared" si="19"/>
        <v>0</v>
      </c>
      <c r="BM32" s="505">
        <f t="shared" si="132"/>
        <v>0</v>
      </c>
      <c r="BN32" s="503"/>
      <c r="BO32" s="504">
        <f t="shared" si="20"/>
        <v>0</v>
      </c>
      <c r="BP32" s="505">
        <f t="shared" si="133"/>
        <v>0</v>
      </c>
      <c r="BQ32" s="503"/>
      <c r="BR32" s="504">
        <f t="shared" si="21"/>
        <v>0</v>
      </c>
      <c r="BS32" s="505">
        <f t="shared" si="134"/>
        <v>0</v>
      </c>
      <c r="BT32" s="503"/>
      <c r="BU32" s="504">
        <f t="shared" si="22"/>
        <v>0</v>
      </c>
      <c r="BV32" s="505">
        <f t="shared" si="135"/>
        <v>0</v>
      </c>
      <c r="BW32" s="503"/>
      <c r="BX32" s="504">
        <f t="shared" si="23"/>
        <v>0</v>
      </c>
      <c r="BY32" s="505">
        <f t="shared" si="136"/>
        <v>0</v>
      </c>
      <c r="BZ32" s="503"/>
      <c r="CA32" s="504">
        <f t="shared" si="24"/>
        <v>0</v>
      </c>
      <c r="CB32" s="505">
        <f t="shared" si="137"/>
        <v>0</v>
      </c>
      <c r="CC32" s="503"/>
      <c r="CD32" s="504">
        <f t="shared" si="25"/>
        <v>0</v>
      </c>
      <c r="CE32" s="505">
        <f t="shared" si="138"/>
        <v>0</v>
      </c>
      <c r="CF32" s="503">
        <v>10</v>
      </c>
      <c r="CG32" s="504">
        <f t="shared" si="26"/>
        <v>0.21995424951610065</v>
      </c>
      <c r="CH32" s="505">
        <f t="shared" si="139"/>
        <v>0</v>
      </c>
      <c r="CI32" s="503"/>
      <c r="CJ32" s="504">
        <f t="shared" si="27"/>
        <v>0</v>
      </c>
      <c r="CK32" s="505">
        <f t="shared" si="140"/>
        <v>0</v>
      </c>
      <c r="CL32" s="503"/>
      <c r="CM32" s="504">
        <f t="shared" si="28"/>
        <v>0</v>
      </c>
      <c r="CN32" s="505">
        <f t="shared" si="141"/>
        <v>0</v>
      </c>
      <c r="CO32" s="503"/>
      <c r="CP32" s="504">
        <f t="shared" si="29"/>
        <v>0</v>
      </c>
      <c r="CQ32" s="505">
        <f t="shared" si="142"/>
        <v>0</v>
      </c>
      <c r="CR32" s="503"/>
      <c r="CS32" s="504">
        <f t="shared" si="30"/>
        <v>0</v>
      </c>
      <c r="CT32" s="505">
        <f t="shared" si="143"/>
        <v>0</v>
      </c>
      <c r="CU32" s="503"/>
      <c r="CV32" s="504">
        <f t="shared" si="31"/>
        <v>0</v>
      </c>
      <c r="CW32" s="505">
        <f t="shared" si="144"/>
        <v>0</v>
      </c>
      <c r="CX32" s="503"/>
      <c r="CY32" s="504">
        <f t="shared" si="32"/>
        <v>0</v>
      </c>
      <c r="CZ32" s="505">
        <f t="shared" si="145"/>
        <v>0</v>
      </c>
      <c r="DA32" s="503"/>
      <c r="DB32" s="504">
        <f t="shared" si="33"/>
        <v>0</v>
      </c>
      <c r="DC32" s="505">
        <f t="shared" si="146"/>
        <v>0</v>
      </c>
      <c r="DD32" s="503"/>
      <c r="DE32" s="504">
        <f t="shared" si="34"/>
        <v>0</v>
      </c>
      <c r="DF32" s="505">
        <f t="shared" si="147"/>
        <v>0</v>
      </c>
      <c r="DG32" s="503"/>
      <c r="DH32" s="504">
        <f t="shared" si="35"/>
        <v>0</v>
      </c>
      <c r="DI32" s="505">
        <f t="shared" si="203"/>
        <v>0</v>
      </c>
      <c r="DJ32" s="503"/>
      <c r="DK32" s="504">
        <f t="shared" si="36"/>
        <v>0</v>
      </c>
      <c r="DL32" s="505">
        <f t="shared" si="148"/>
        <v>0</v>
      </c>
      <c r="DM32" s="503"/>
      <c r="DN32" s="504">
        <f t="shared" si="37"/>
        <v>0</v>
      </c>
      <c r="DO32" s="505">
        <f t="shared" si="149"/>
        <v>0</v>
      </c>
      <c r="DP32" s="503"/>
      <c r="DQ32" s="504">
        <f t="shared" si="38"/>
        <v>0</v>
      </c>
      <c r="DR32" s="505">
        <f t="shared" si="150"/>
        <v>0</v>
      </c>
      <c r="DS32" s="503"/>
      <c r="DT32" s="504">
        <f t="shared" si="39"/>
        <v>0</v>
      </c>
      <c r="DU32" s="505">
        <f t="shared" si="151"/>
        <v>0</v>
      </c>
      <c r="DV32" s="503"/>
      <c r="DW32" s="504">
        <f t="shared" si="40"/>
        <v>0</v>
      </c>
      <c r="DX32" s="505">
        <f t="shared" si="152"/>
        <v>0</v>
      </c>
      <c r="DY32" s="503"/>
      <c r="DZ32" s="504">
        <f t="shared" si="41"/>
        <v>0</v>
      </c>
      <c r="EA32" s="505">
        <f t="shared" si="153"/>
        <v>0</v>
      </c>
      <c r="EB32" s="503">
        <v>258.30588235294113</v>
      </c>
      <c r="EC32" s="504">
        <f t="shared" si="42"/>
        <v>5.6815476498535356</v>
      </c>
      <c r="ED32" s="505">
        <f t="shared" si="154"/>
        <v>0</v>
      </c>
      <c r="EE32" s="503">
        <v>7.2674418604651123</v>
      </c>
      <c r="EF32" s="504">
        <f t="shared" si="43"/>
        <v>0.1598504720320498</v>
      </c>
      <c r="EG32" s="505">
        <f t="shared" si="155"/>
        <v>0</v>
      </c>
      <c r="EH32" s="503"/>
      <c r="EI32" s="504">
        <f t="shared" si="44"/>
        <v>0</v>
      </c>
      <c r="EJ32" s="505">
        <f t="shared" si="156"/>
        <v>0</v>
      </c>
      <c r="EK32" s="503"/>
      <c r="EL32" s="504">
        <f t="shared" si="45"/>
        <v>0</v>
      </c>
      <c r="EM32" s="505">
        <f t="shared" si="157"/>
        <v>0</v>
      </c>
      <c r="EN32" s="503"/>
      <c r="EO32" s="504">
        <f t="shared" si="46"/>
        <v>0</v>
      </c>
      <c r="EP32" s="505">
        <f t="shared" si="158"/>
        <v>0</v>
      </c>
      <c r="EQ32" s="503"/>
      <c r="ER32" s="504">
        <f t="shared" si="47"/>
        <v>0</v>
      </c>
      <c r="ES32" s="505">
        <f t="shared" si="159"/>
        <v>0</v>
      </c>
      <c r="ET32" s="503"/>
      <c r="EU32" s="504">
        <f t="shared" si="48"/>
        <v>0</v>
      </c>
      <c r="EV32" s="505">
        <f t="shared" si="160"/>
        <v>0</v>
      </c>
      <c r="EW32" s="503"/>
      <c r="EX32" s="504">
        <f t="shared" si="49"/>
        <v>0</v>
      </c>
      <c r="EY32" s="505">
        <f t="shared" si="161"/>
        <v>0</v>
      </c>
      <c r="EZ32" s="503"/>
      <c r="FA32" s="504">
        <f t="shared" si="50"/>
        <v>0</v>
      </c>
      <c r="FB32" s="505">
        <f t="shared" si="162"/>
        <v>0</v>
      </c>
      <c r="FC32" s="503"/>
      <c r="FD32" s="504">
        <f t="shared" si="51"/>
        <v>0</v>
      </c>
      <c r="FE32" s="505">
        <f t="shared" si="163"/>
        <v>0</v>
      </c>
      <c r="FF32" s="503"/>
      <c r="FG32" s="504">
        <f t="shared" si="52"/>
        <v>0</v>
      </c>
      <c r="FH32" s="505">
        <f t="shared" si="164"/>
        <v>0</v>
      </c>
      <c r="FI32" s="503"/>
      <c r="FJ32" s="504">
        <f t="shared" si="53"/>
        <v>0</v>
      </c>
      <c r="FK32" s="505">
        <f t="shared" si="165"/>
        <v>0</v>
      </c>
      <c r="FL32" s="503"/>
      <c r="FM32" s="504">
        <f t="shared" si="54"/>
        <v>0</v>
      </c>
      <c r="FN32" s="505">
        <f t="shared" si="166"/>
        <v>0</v>
      </c>
      <c r="FO32" s="503"/>
      <c r="FP32" s="504">
        <f t="shared" si="55"/>
        <v>0</v>
      </c>
      <c r="FQ32" s="505">
        <f t="shared" si="167"/>
        <v>0</v>
      </c>
      <c r="FR32" s="503"/>
      <c r="FS32" s="504">
        <f t="shared" si="56"/>
        <v>0</v>
      </c>
      <c r="FT32" s="505">
        <f t="shared" si="168"/>
        <v>0</v>
      </c>
      <c r="FU32" s="503"/>
      <c r="FV32" s="504">
        <f t="shared" si="57"/>
        <v>0</v>
      </c>
      <c r="FW32" s="505">
        <f t="shared" si="169"/>
        <v>0</v>
      </c>
      <c r="FX32" s="503"/>
      <c r="FY32" s="504">
        <f t="shared" si="58"/>
        <v>0</v>
      </c>
      <c r="FZ32" s="505">
        <f t="shared" si="170"/>
        <v>0</v>
      </c>
      <c r="GA32" s="503"/>
      <c r="GB32" s="504">
        <f t="shared" si="59"/>
        <v>0</v>
      </c>
      <c r="GC32" s="505">
        <f t="shared" si="171"/>
        <v>0</v>
      </c>
      <c r="GD32" s="503"/>
      <c r="GE32" s="504">
        <f t="shared" si="60"/>
        <v>0</v>
      </c>
      <c r="GF32" s="505">
        <f t="shared" si="172"/>
        <v>0</v>
      </c>
      <c r="GG32" s="503">
        <v>14.60406228041893</v>
      </c>
      <c r="GH32" s="504">
        <f t="shared" si="61"/>
        <v>0.32122255587759391</v>
      </c>
      <c r="GI32" s="505">
        <f t="shared" si="173"/>
        <v>0</v>
      </c>
      <c r="GJ32" s="503">
        <v>16.690356891907349</v>
      </c>
      <c r="GK32" s="504">
        <f t="shared" si="62"/>
        <v>0.36711149243153596</v>
      </c>
      <c r="GL32" s="505">
        <f t="shared" si="174"/>
        <v>0</v>
      </c>
      <c r="GM32" s="503"/>
      <c r="GN32" s="504">
        <f t="shared" si="63"/>
        <v>0</v>
      </c>
      <c r="GO32" s="505">
        <f t="shared" si="175"/>
        <v>0</v>
      </c>
      <c r="GP32" s="503">
        <v>33.380713783814699</v>
      </c>
      <c r="GQ32" s="504">
        <f t="shared" si="64"/>
        <v>0.73422298486307191</v>
      </c>
      <c r="GR32" s="505">
        <f t="shared" si="176"/>
        <v>0</v>
      </c>
      <c r="GS32" s="503">
        <v>179.42133658800398</v>
      </c>
      <c r="GT32" s="504">
        <f t="shared" si="65"/>
        <v>3.9464485436390109</v>
      </c>
      <c r="GU32" s="505">
        <f t="shared" si="177"/>
        <v>0</v>
      </c>
      <c r="GV32" s="503">
        <v>58.416249121675719</v>
      </c>
      <c r="GW32" s="504">
        <f t="shared" si="66"/>
        <v>1.2848902235103756</v>
      </c>
      <c r="GX32" s="505">
        <f t="shared" si="178"/>
        <v>0</v>
      </c>
      <c r="GY32" s="503"/>
      <c r="GZ32" s="504">
        <f t="shared" si="67"/>
        <v>0</v>
      </c>
      <c r="HA32" s="505">
        <f t="shared" si="179"/>
        <v>0</v>
      </c>
      <c r="HB32" s="503"/>
      <c r="HC32" s="504">
        <f t="shared" si="68"/>
        <v>0</v>
      </c>
      <c r="HD32" s="505">
        <f t="shared" si="180"/>
        <v>0</v>
      </c>
      <c r="HE32" s="503"/>
      <c r="HF32" s="504">
        <f t="shared" si="69"/>
        <v>0</v>
      </c>
      <c r="HG32" s="505">
        <f t="shared" si="181"/>
        <v>0</v>
      </c>
      <c r="HH32" s="503"/>
      <c r="HI32" s="504">
        <f t="shared" si="70"/>
        <v>0</v>
      </c>
      <c r="HJ32" s="505">
        <f t="shared" si="182"/>
        <v>0</v>
      </c>
      <c r="HK32" s="503"/>
      <c r="HL32" s="504">
        <f t="shared" si="71"/>
        <v>0</v>
      </c>
      <c r="HM32" s="505">
        <f t="shared" si="183"/>
        <v>0</v>
      </c>
      <c r="HN32" s="503">
        <v>665.94523998710315</v>
      </c>
      <c r="HO32" s="504">
        <f t="shared" si="72"/>
        <v>14.647748548018281</v>
      </c>
      <c r="HP32" s="505">
        <f t="shared" si="184"/>
        <v>0</v>
      </c>
      <c r="HQ32" s="503"/>
      <c r="HR32" s="504">
        <f t="shared" si="73"/>
        <v>0</v>
      </c>
      <c r="HS32" s="505">
        <f t="shared" si="185"/>
        <v>0</v>
      </c>
      <c r="HT32" s="503"/>
      <c r="HU32" s="504">
        <f t="shared" si="74"/>
        <v>0</v>
      </c>
      <c r="HV32" s="505">
        <f t="shared" si="186"/>
        <v>0</v>
      </c>
      <c r="HW32" s="503"/>
      <c r="HX32" s="504">
        <f t="shared" si="75"/>
        <v>0</v>
      </c>
      <c r="HY32" s="505">
        <f t="shared" si="187"/>
        <v>0</v>
      </c>
      <c r="HZ32" s="503"/>
      <c r="IA32" s="504">
        <f t="shared" si="76"/>
        <v>0</v>
      </c>
      <c r="IB32" s="505">
        <f t="shared" si="188"/>
        <v>0</v>
      </c>
      <c r="IC32" s="503"/>
      <c r="ID32" s="504">
        <f t="shared" si="77"/>
        <v>0</v>
      </c>
      <c r="IE32" s="505">
        <f t="shared" si="189"/>
        <v>0</v>
      </c>
      <c r="IF32" s="503"/>
      <c r="IG32" s="504">
        <f t="shared" si="78"/>
        <v>0</v>
      </c>
      <c r="IH32" s="505">
        <f t="shared" si="190"/>
        <v>0</v>
      </c>
      <c r="II32" s="503">
        <v>20.862946114884185</v>
      </c>
      <c r="IJ32" s="504">
        <f t="shared" si="79"/>
        <v>0.45888936553941989</v>
      </c>
      <c r="IK32" s="505">
        <f t="shared" si="191"/>
        <v>0</v>
      </c>
      <c r="IL32" s="503"/>
      <c r="IM32" s="504">
        <f t="shared" si="80"/>
        <v>0</v>
      </c>
      <c r="IN32" s="505">
        <f t="shared" si="192"/>
        <v>0</v>
      </c>
      <c r="IO32" s="503"/>
      <c r="IP32" s="504">
        <f t="shared" si="81"/>
        <v>0</v>
      </c>
      <c r="IQ32" s="505">
        <f t="shared" si="193"/>
        <v>0</v>
      </c>
      <c r="IR32" s="503">
        <v>37.553303006791531</v>
      </c>
      <c r="IS32" s="504">
        <f t="shared" si="82"/>
        <v>0.82600085797095579</v>
      </c>
      <c r="IT32" s="505">
        <f t="shared" si="194"/>
        <v>0</v>
      </c>
      <c r="IU32" s="503"/>
      <c r="IV32" s="504">
        <f t="shared" si="83"/>
        <v>0</v>
      </c>
      <c r="IW32" s="505">
        <f t="shared" si="195"/>
        <v>0</v>
      </c>
      <c r="IX32" s="503"/>
      <c r="IY32" s="504">
        <f t="shared" si="84"/>
        <v>0</v>
      </c>
      <c r="IZ32" s="505">
        <f t="shared" si="196"/>
        <v>0</v>
      </c>
      <c r="JA32" s="503"/>
      <c r="JB32" s="504">
        <f t="shared" si="85"/>
        <v>0</v>
      </c>
      <c r="JC32" s="505">
        <f t="shared" si="197"/>
        <v>0</v>
      </c>
      <c r="JD32" s="503"/>
      <c r="JE32" s="504">
        <f t="shared" si="86"/>
        <v>0</v>
      </c>
      <c r="JF32" s="505">
        <f t="shared" si="198"/>
        <v>0</v>
      </c>
      <c r="JG32" s="503"/>
      <c r="JH32" s="504">
        <f t="shared" si="87"/>
        <v>0</v>
      </c>
      <c r="JI32" s="505">
        <f t="shared" si="199"/>
        <v>0</v>
      </c>
      <c r="JJ32" s="503">
        <v>18.776651503395765</v>
      </c>
      <c r="JK32" s="505" t="str">
        <f t="shared" si="88"/>
        <v>0</v>
      </c>
      <c r="JL32" s="505" t="str">
        <f t="shared" si="89"/>
        <v>0</v>
      </c>
      <c r="JM32" s="503"/>
      <c r="JN32" s="505" t="str">
        <f t="shared" si="90"/>
        <v>0</v>
      </c>
      <c r="JO32" s="505" t="str">
        <f t="shared" si="91"/>
        <v>0</v>
      </c>
      <c r="JP32" s="503"/>
      <c r="JQ32" s="505" t="str">
        <f t="shared" si="92"/>
        <v>0</v>
      </c>
      <c r="JR32" s="505" t="str">
        <f t="shared" si="93"/>
        <v>0</v>
      </c>
      <c r="JS32" s="503"/>
      <c r="JT32" s="505" t="str">
        <f t="shared" si="94"/>
        <v>0</v>
      </c>
      <c r="JU32" s="505" t="str">
        <f t="shared" si="95"/>
        <v>0</v>
      </c>
      <c r="JV32" s="503"/>
      <c r="JW32" s="505" t="str">
        <f t="shared" si="96"/>
        <v>0</v>
      </c>
      <c r="JX32" s="505" t="str">
        <f t="shared" si="97"/>
        <v>0</v>
      </c>
      <c r="JY32" s="503"/>
      <c r="JZ32" s="505" t="str">
        <f t="shared" si="98"/>
        <v>0</v>
      </c>
      <c r="KA32" s="505" t="str">
        <f t="shared" si="99"/>
        <v>0</v>
      </c>
      <c r="KB32" s="503"/>
      <c r="KC32" s="505" t="str">
        <f t="shared" si="100"/>
        <v>0</v>
      </c>
      <c r="KD32" s="505" t="str">
        <f t="shared" si="101"/>
        <v>0</v>
      </c>
      <c r="KE32" s="503"/>
      <c r="KF32" s="505" t="str">
        <f t="shared" si="102"/>
        <v>0</v>
      </c>
      <c r="KG32" s="505" t="str">
        <f t="shared" si="103"/>
        <v>0</v>
      </c>
      <c r="KH32" s="503"/>
      <c r="KI32" s="505" t="str">
        <f t="shared" si="104"/>
        <v>0</v>
      </c>
      <c r="KJ32" s="505" t="str">
        <f t="shared" si="105"/>
        <v>0</v>
      </c>
      <c r="KK32" s="503"/>
      <c r="KL32" s="505" t="str">
        <f t="shared" si="106"/>
        <v>0</v>
      </c>
      <c r="KM32" s="505" t="str">
        <f t="shared" si="107"/>
        <v>0</v>
      </c>
      <c r="KN32" s="503"/>
      <c r="KO32" s="505" t="str">
        <f t="shared" si="108"/>
        <v>0</v>
      </c>
      <c r="KP32" s="505" t="str">
        <f t="shared" si="109"/>
        <v>0</v>
      </c>
      <c r="KQ32" s="503"/>
      <c r="KR32" s="505" t="str">
        <f t="shared" si="110"/>
        <v>0</v>
      </c>
      <c r="KS32" s="505" t="str">
        <f t="shared" si="111"/>
        <v>0</v>
      </c>
      <c r="KT32" s="505">
        <f t="shared" si="201"/>
        <v>0</v>
      </c>
      <c r="KU32" s="505">
        <f t="shared" si="202"/>
        <v>0</v>
      </c>
      <c r="KV32" s="258">
        <f t="shared" si="112"/>
        <v>1683.9255922570549</v>
      </c>
    </row>
    <row r="33" spans="1:308" ht="15" customHeight="1">
      <c r="A33" s="462">
        <f t="shared" si="200"/>
        <v>46105</v>
      </c>
      <c r="B33" s="463" t="str">
        <f>+Report1!B32</f>
        <v>Toilet</v>
      </c>
      <c r="C33" s="464" t="str">
        <f>+Report1!C32</f>
        <v>13,5</v>
      </c>
      <c r="D33" s="465">
        <f>+Report1!P32</f>
        <v>50.03</v>
      </c>
      <c r="E33" s="466">
        <f>+Report1!R32</f>
        <v>50.433</v>
      </c>
      <c r="F33" s="503"/>
      <c r="G33" s="504">
        <f t="shared" si="0"/>
        <v>0</v>
      </c>
      <c r="H33" s="505">
        <f t="shared" si="113"/>
        <v>0</v>
      </c>
      <c r="I33" s="503"/>
      <c r="J33" s="504">
        <f t="shared" si="1"/>
        <v>0</v>
      </c>
      <c r="K33" s="505">
        <f t="shared" si="114"/>
        <v>0</v>
      </c>
      <c r="L33" s="503"/>
      <c r="M33" s="504">
        <f t="shared" si="2"/>
        <v>0</v>
      </c>
      <c r="N33" s="505">
        <f t="shared" si="115"/>
        <v>0</v>
      </c>
      <c r="O33" s="503">
        <v>9</v>
      </c>
      <c r="P33" s="504">
        <f t="shared" si="3"/>
        <v>0.17845458330854796</v>
      </c>
      <c r="Q33" s="505">
        <f t="shared" si="116"/>
        <v>0</v>
      </c>
      <c r="R33" s="503">
        <v>12.812500000000028</v>
      </c>
      <c r="S33" s="504">
        <f t="shared" si="4"/>
        <v>0.25404992762675288</v>
      </c>
      <c r="T33" s="505">
        <f t="shared" si="117"/>
        <v>0</v>
      </c>
      <c r="U33" s="503">
        <v>7.8125000000000284</v>
      </c>
      <c r="V33" s="504">
        <f t="shared" si="5"/>
        <v>0.15490849245533736</v>
      </c>
      <c r="W33" s="505">
        <f t="shared" si="118"/>
        <v>0</v>
      </c>
      <c r="X33" s="503"/>
      <c r="Y33" s="504">
        <f t="shared" si="6"/>
        <v>0</v>
      </c>
      <c r="Z33" s="505">
        <f t="shared" si="119"/>
        <v>0</v>
      </c>
      <c r="AA33" s="503"/>
      <c r="AB33" s="504">
        <f t="shared" si="7"/>
        <v>0</v>
      </c>
      <c r="AC33" s="505">
        <f t="shared" si="120"/>
        <v>0</v>
      </c>
      <c r="AD33" s="503"/>
      <c r="AE33" s="504">
        <f t="shared" si="8"/>
        <v>0</v>
      </c>
      <c r="AF33" s="505">
        <f t="shared" si="121"/>
        <v>0</v>
      </c>
      <c r="AG33" s="503"/>
      <c r="AH33" s="504">
        <f t="shared" si="9"/>
        <v>0</v>
      </c>
      <c r="AI33" s="505">
        <f t="shared" si="122"/>
        <v>0</v>
      </c>
      <c r="AJ33" s="503"/>
      <c r="AK33" s="504">
        <f t="shared" si="10"/>
        <v>0</v>
      </c>
      <c r="AL33" s="505">
        <f t="shared" si="123"/>
        <v>0</v>
      </c>
      <c r="AM33" s="503">
        <v>31.538461538461547</v>
      </c>
      <c r="AN33" s="504">
        <f t="shared" si="11"/>
        <v>0.62535366800431358</v>
      </c>
      <c r="AO33" s="505">
        <f t="shared" si="124"/>
        <v>0</v>
      </c>
      <c r="AP33" s="503"/>
      <c r="AQ33" s="504">
        <f t="shared" si="12"/>
        <v>0</v>
      </c>
      <c r="AR33" s="505">
        <f t="shared" si="125"/>
        <v>0</v>
      </c>
      <c r="AS33" s="503"/>
      <c r="AT33" s="504">
        <f t="shared" si="13"/>
        <v>0</v>
      </c>
      <c r="AU33" s="505">
        <f t="shared" si="126"/>
        <v>0</v>
      </c>
      <c r="AV33" s="503">
        <v>13.875000000000057</v>
      </c>
      <c r="AW33" s="504">
        <f t="shared" si="14"/>
        <v>0.27511748260067925</v>
      </c>
      <c r="AX33" s="505">
        <f t="shared" si="127"/>
        <v>0</v>
      </c>
      <c r="AY33" s="503">
        <v>63</v>
      </c>
      <c r="AZ33" s="504">
        <f t="shared" si="15"/>
        <v>1.2491820831598359</v>
      </c>
      <c r="BA33" s="505">
        <f t="shared" si="128"/>
        <v>0</v>
      </c>
      <c r="BB33" s="503"/>
      <c r="BC33" s="504">
        <f t="shared" si="16"/>
        <v>0</v>
      </c>
      <c r="BD33" s="505">
        <f t="shared" si="129"/>
        <v>0</v>
      </c>
      <c r="BE33" s="503"/>
      <c r="BF33" s="504">
        <f t="shared" si="17"/>
        <v>0</v>
      </c>
      <c r="BG33" s="505">
        <f t="shared" si="130"/>
        <v>0</v>
      </c>
      <c r="BH33" s="503"/>
      <c r="BI33" s="504">
        <f t="shared" si="18"/>
        <v>0</v>
      </c>
      <c r="BJ33" s="505">
        <f t="shared" si="131"/>
        <v>0</v>
      </c>
      <c r="BK33" s="503"/>
      <c r="BL33" s="504">
        <f t="shared" si="19"/>
        <v>0</v>
      </c>
      <c r="BM33" s="505">
        <f t="shared" si="132"/>
        <v>0</v>
      </c>
      <c r="BN33" s="503"/>
      <c r="BO33" s="504">
        <f t="shared" si="20"/>
        <v>0</v>
      </c>
      <c r="BP33" s="505">
        <f t="shared" si="133"/>
        <v>0</v>
      </c>
      <c r="BQ33" s="503"/>
      <c r="BR33" s="504">
        <f t="shared" si="21"/>
        <v>0</v>
      </c>
      <c r="BS33" s="505">
        <f t="shared" si="134"/>
        <v>0</v>
      </c>
      <c r="BT33" s="503"/>
      <c r="BU33" s="504">
        <f t="shared" si="22"/>
        <v>0</v>
      </c>
      <c r="BV33" s="505">
        <f t="shared" si="135"/>
        <v>0</v>
      </c>
      <c r="BW33" s="503"/>
      <c r="BX33" s="504">
        <f t="shared" si="23"/>
        <v>0</v>
      </c>
      <c r="BY33" s="505">
        <f t="shared" si="136"/>
        <v>0</v>
      </c>
      <c r="BZ33" s="503"/>
      <c r="CA33" s="504">
        <f t="shared" si="24"/>
        <v>0</v>
      </c>
      <c r="CB33" s="505">
        <f t="shared" si="137"/>
        <v>0</v>
      </c>
      <c r="CC33" s="503"/>
      <c r="CD33" s="504">
        <f t="shared" si="25"/>
        <v>0</v>
      </c>
      <c r="CE33" s="505">
        <f t="shared" si="138"/>
        <v>0</v>
      </c>
      <c r="CF33" s="503">
        <v>12</v>
      </c>
      <c r="CG33" s="504">
        <f t="shared" si="26"/>
        <v>0.23793944441139731</v>
      </c>
      <c r="CH33" s="505">
        <f t="shared" si="139"/>
        <v>0</v>
      </c>
      <c r="CI33" s="503"/>
      <c r="CJ33" s="504">
        <f t="shared" si="27"/>
        <v>0</v>
      </c>
      <c r="CK33" s="505">
        <f t="shared" si="140"/>
        <v>0</v>
      </c>
      <c r="CL33" s="503"/>
      <c r="CM33" s="504">
        <f t="shared" si="28"/>
        <v>0</v>
      </c>
      <c r="CN33" s="505">
        <f t="shared" si="141"/>
        <v>0</v>
      </c>
      <c r="CO33" s="503"/>
      <c r="CP33" s="504">
        <f t="shared" si="29"/>
        <v>0</v>
      </c>
      <c r="CQ33" s="505">
        <f t="shared" si="142"/>
        <v>0</v>
      </c>
      <c r="CR33" s="503"/>
      <c r="CS33" s="504">
        <f t="shared" si="30"/>
        <v>0</v>
      </c>
      <c r="CT33" s="505">
        <f t="shared" si="143"/>
        <v>0</v>
      </c>
      <c r="CU33" s="503"/>
      <c r="CV33" s="504">
        <f t="shared" si="31"/>
        <v>0</v>
      </c>
      <c r="CW33" s="505">
        <f t="shared" si="144"/>
        <v>0</v>
      </c>
      <c r="CX33" s="503"/>
      <c r="CY33" s="504">
        <f t="shared" si="32"/>
        <v>0</v>
      </c>
      <c r="CZ33" s="505">
        <f t="shared" si="145"/>
        <v>0</v>
      </c>
      <c r="DA33" s="503"/>
      <c r="DB33" s="504">
        <f t="shared" si="33"/>
        <v>0</v>
      </c>
      <c r="DC33" s="505">
        <f t="shared" si="146"/>
        <v>0</v>
      </c>
      <c r="DD33" s="503"/>
      <c r="DE33" s="504">
        <f t="shared" si="34"/>
        <v>0</v>
      </c>
      <c r="DF33" s="505">
        <f t="shared" si="147"/>
        <v>0</v>
      </c>
      <c r="DG33" s="503"/>
      <c r="DH33" s="504">
        <f t="shared" si="35"/>
        <v>0</v>
      </c>
      <c r="DI33" s="505">
        <f t="shared" si="203"/>
        <v>0</v>
      </c>
      <c r="DJ33" s="503"/>
      <c r="DK33" s="504">
        <f t="shared" si="36"/>
        <v>0</v>
      </c>
      <c r="DL33" s="505">
        <f t="shared" si="148"/>
        <v>0</v>
      </c>
      <c r="DM33" s="503"/>
      <c r="DN33" s="504">
        <f t="shared" si="37"/>
        <v>0</v>
      </c>
      <c r="DO33" s="505">
        <f t="shared" si="149"/>
        <v>0</v>
      </c>
      <c r="DP33" s="503"/>
      <c r="DQ33" s="504">
        <f t="shared" si="38"/>
        <v>0</v>
      </c>
      <c r="DR33" s="505">
        <f t="shared" si="150"/>
        <v>0</v>
      </c>
      <c r="DS33" s="503"/>
      <c r="DT33" s="504">
        <f t="shared" si="39"/>
        <v>0</v>
      </c>
      <c r="DU33" s="505">
        <f t="shared" si="151"/>
        <v>0</v>
      </c>
      <c r="DV33" s="503"/>
      <c r="DW33" s="504">
        <f t="shared" si="40"/>
        <v>0</v>
      </c>
      <c r="DX33" s="505">
        <f t="shared" si="152"/>
        <v>0</v>
      </c>
      <c r="DY33" s="503"/>
      <c r="DZ33" s="504">
        <f t="shared" si="41"/>
        <v>0</v>
      </c>
      <c r="EA33" s="505">
        <f t="shared" si="153"/>
        <v>0</v>
      </c>
      <c r="EB33" s="503">
        <v>258.30588235294113</v>
      </c>
      <c r="EC33" s="504">
        <f t="shared" si="42"/>
        <v>5.1217631779378801</v>
      </c>
      <c r="ED33" s="505">
        <f t="shared" si="154"/>
        <v>0</v>
      </c>
      <c r="EE33" s="503">
        <v>7.2674418604651123</v>
      </c>
      <c r="EF33" s="504">
        <f t="shared" si="43"/>
        <v>0.14410092321426671</v>
      </c>
      <c r="EG33" s="505">
        <f t="shared" si="155"/>
        <v>0</v>
      </c>
      <c r="EH33" s="503"/>
      <c r="EI33" s="504">
        <f t="shared" si="44"/>
        <v>0</v>
      </c>
      <c r="EJ33" s="505">
        <f t="shared" si="156"/>
        <v>0</v>
      </c>
      <c r="EK33" s="503"/>
      <c r="EL33" s="504">
        <f t="shared" si="45"/>
        <v>0</v>
      </c>
      <c r="EM33" s="505">
        <f t="shared" si="157"/>
        <v>0</v>
      </c>
      <c r="EN33" s="503"/>
      <c r="EO33" s="504">
        <f t="shared" si="46"/>
        <v>0</v>
      </c>
      <c r="EP33" s="505">
        <f t="shared" si="158"/>
        <v>0</v>
      </c>
      <c r="EQ33" s="503"/>
      <c r="ER33" s="504">
        <f t="shared" si="47"/>
        <v>0</v>
      </c>
      <c r="ES33" s="505">
        <f t="shared" si="159"/>
        <v>0</v>
      </c>
      <c r="ET33" s="503"/>
      <c r="EU33" s="504">
        <f t="shared" si="48"/>
        <v>0</v>
      </c>
      <c r="EV33" s="505">
        <f t="shared" si="160"/>
        <v>0</v>
      </c>
      <c r="EW33" s="503"/>
      <c r="EX33" s="504">
        <f t="shared" si="49"/>
        <v>0</v>
      </c>
      <c r="EY33" s="505">
        <f t="shared" si="161"/>
        <v>0</v>
      </c>
      <c r="EZ33" s="503"/>
      <c r="FA33" s="504">
        <f t="shared" si="50"/>
        <v>0</v>
      </c>
      <c r="FB33" s="505">
        <f t="shared" si="162"/>
        <v>0</v>
      </c>
      <c r="FC33" s="503"/>
      <c r="FD33" s="504">
        <f t="shared" si="51"/>
        <v>0</v>
      </c>
      <c r="FE33" s="505">
        <f t="shared" si="163"/>
        <v>0</v>
      </c>
      <c r="FF33" s="503"/>
      <c r="FG33" s="504">
        <f t="shared" si="52"/>
        <v>0</v>
      </c>
      <c r="FH33" s="505">
        <f t="shared" si="164"/>
        <v>0</v>
      </c>
      <c r="FI33" s="503"/>
      <c r="FJ33" s="504">
        <f t="shared" si="53"/>
        <v>0</v>
      </c>
      <c r="FK33" s="505">
        <f t="shared" si="165"/>
        <v>0</v>
      </c>
      <c r="FL33" s="503"/>
      <c r="FM33" s="504">
        <f t="shared" si="54"/>
        <v>0</v>
      </c>
      <c r="FN33" s="505">
        <f t="shared" si="166"/>
        <v>0</v>
      </c>
      <c r="FO33" s="503"/>
      <c r="FP33" s="504">
        <f t="shared" si="55"/>
        <v>0</v>
      </c>
      <c r="FQ33" s="505">
        <f t="shared" si="167"/>
        <v>0</v>
      </c>
      <c r="FR33" s="503"/>
      <c r="FS33" s="504">
        <f t="shared" si="56"/>
        <v>0</v>
      </c>
      <c r="FT33" s="505">
        <f t="shared" si="168"/>
        <v>0</v>
      </c>
      <c r="FU33" s="503"/>
      <c r="FV33" s="504">
        <f t="shared" si="57"/>
        <v>0</v>
      </c>
      <c r="FW33" s="505">
        <f t="shared" si="169"/>
        <v>0</v>
      </c>
      <c r="FX33" s="503"/>
      <c r="FY33" s="504">
        <f t="shared" si="58"/>
        <v>0</v>
      </c>
      <c r="FZ33" s="505">
        <f t="shared" si="170"/>
        <v>0</v>
      </c>
      <c r="GA33" s="503"/>
      <c r="GB33" s="504">
        <f t="shared" si="59"/>
        <v>0</v>
      </c>
      <c r="GC33" s="505">
        <f t="shared" si="171"/>
        <v>0</v>
      </c>
      <c r="GD33" s="503"/>
      <c r="GE33" s="504">
        <f t="shared" si="60"/>
        <v>0</v>
      </c>
      <c r="GF33" s="505">
        <f t="shared" si="172"/>
        <v>0</v>
      </c>
      <c r="GG33" s="503">
        <v>14.638642348580902</v>
      </c>
      <c r="GH33" s="504">
        <f t="shared" si="61"/>
        <v>0.29025920227987434</v>
      </c>
      <c r="GI33" s="505">
        <f t="shared" si="173"/>
        <v>0</v>
      </c>
      <c r="GJ33" s="503">
        <v>14.638642348580902</v>
      </c>
      <c r="GK33" s="504">
        <f t="shared" si="62"/>
        <v>0.29025920227987434</v>
      </c>
      <c r="GL33" s="505">
        <f t="shared" si="174"/>
        <v>0</v>
      </c>
      <c r="GM33" s="503"/>
      <c r="GN33" s="504">
        <f t="shared" si="63"/>
        <v>0</v>
      </c>
      <c r="GO33" s="505">
        <f t="shared" si="175"/>
        <v>0</v>
      </c>
      <c r="GP33" s="503">
        <v>34.156832146688771</v>
      </c>
      <c r="GQ33" s="504">
        <f t="shared" si="64"/>
        <v>0.67727147198637339</v>
      </c>
      <c r="GR33" s="505">
        <f t="shared" si="176"/>
        <v>0</v>
      </c>
      <c r="GS33" s="503">
        <v>229.33873012776746</v>
      </c>
      <c r="GT33" s="504">
        <f t="shared" si="65"/>
        <v>4.5473941690513646</v>
      </c>
      <c r="GU33" s="505">
        <f t="shared" si="177"/>
        <v>0</v>
      </c>
      <c r="GV33" s="503">
        <v>73.193211742904509</v>
      </c>
      <c r="GW33" s="504">
        <f t="shared" si="66"/>
        <v>1.4512960113993716</v>
      </c>
      <c r="GX33" s="505">
        <f t="shared" si="178"/>
        <v>0</v>
      </c>
      <c r="GY33" s="503"/>
      <c r="GZ33" s="504">
        <f t="shared" si="67"/>
        <v>0</v>
      </c>
      <c r="HA33" s="505">
        <f t="shared" si="179"/>
        <v>0</v>
      </c>
      <c r="HB33" s="503"/>
      <c r="HC33" s="504">
        <f t="shared" si="68"/>
        <v>0</v>
      </c>
      <c r="HD33" s="505">
        <f t="shared" si="180"/>
        <v>0</v>
      </c>
      <c r="HE33" s="503"/>
      <c r="HF33" s="504">
        <f t="shared" si="69"/>
        <v>0</v>
      </c>
      <c r="HG33" s="505">
        <f t="shared" si="181"/>
        <v>0</v>
      </c>
      <c r="HH33" s="503"/>
      <c r="HI33" s="504">
        <f t="shared" si="70"/>
        <v>0</v>
      </c>
      <c r="HJ33" s="505">
        <f t="shared" si="182"/>
        <v>0</v>
      </c>
      <c r="HK33" s="503"/>
      <c r="HL33" s="504">
        <f t="shared" si="71"/>
        <v>0</v>
      </c>
      <c r="HM33" s="505">
        <f t="shared" si="183"/>
        <v>0</v>
      </c>
      <c r="HN33" s="503">
        <v>973.95767092558276</v>
      </c>
      <c r="HO33" s="504">
        <f t="shared" si="72"/>
        <v>19.311912258354308</v>
      </c>
      <c r="HP33" s="505">
        <f t="shared" si="184"/>
        <v>0</v>
      </c>
      <c r="HQ33" s="503"/>
      <c r="HR33" s="504">
        <f t="shared" si="73"/>
        <v>0</v>
      </c>
      <c r="HS33" s="505">
        <f t="shared" si="185"/>
        <v>0</v>
      </c>
      <c r="HT33" s="503"/>
      <c r="HU33" s="504">
        <f t="shared" si="74"/>
        <v>0</v>
      </c>
      <c r="HV33" s="505">
        <f t="shared" si="186"/>
        <v>0</v>
      </c>
      <c r="HW33" s="503"/>
      <c r="HX33" s="504">
        <f t="shared" si="75"/>
        <v>0</v>
      </c>
      <c r="HY33" s="505">
        <f t="shared" si="187"/>
        <v>0</v>
      </c>
      <c r="HZ33" s="503"/>
      <c r="IA33" s="504">
        <f t="shared" si="76"/>
        <v>0</v>
      </c>
      <c r="IB33" s="505">
        <f t="shared" si="188"/>
        <v>0</v>
      </c>
      <c r="IC33" s="503"/>
      <c r="ID33" s="504">
        <f t="shared" si="77"/>
        <v>0</v>
      </c>
      <c r="IE33" s="505">
        <f t="shared" si="189"/>
        <v>0</v>
      </c>
      <c r="IF33" s="503"/>
      <c r="IG33" s="504">
        <f t="shared" si="78"/>
        <v>0</v>
      </c>
      <c r="IH33" s="505">
        <f t="shared" si="190"/>
        <v>0</v>
      </c>
      <c r="II33" s="503">
        <v>24.397737247634836</v>
      </c>
      <c r="IJ33" s="504">
        <f t="shared" si="79"/>
        <v>0.48376533713312386</v>
      </c>
      <c r="IK33" s="505">
        <f t="shared" si="191"/>
        <v>0</v>
      </c>
      <c r="IL33" s="503"/>
      <c r="IM33" s="504">
        <f t="shared" si="80"/>
        <v>0</v>
      </c>
      <c r="IN33" s="505">
        <f t="shared" si="192"/>
        <v>0</v>
      </c>
      <c r="IO33" s="503"/>
      <c r="IP33" s="504">
        <f t="shared" si="81"/>
        <v>0</v>
      </c>
      <c r="IQ33" s="505">
        <f t="shared" si="193"/>
        <v>0</v>
      </c>
      <c r="IR33" s="503">
        <v>43.915927045742706</v>
      </c>
      <c r="IS33" s="504">
        <f t="shared" si="82"/>
        <v>0.87077760683962302</v>
      </c>
      <c r="IT33" s="505">
        <f t="shared" si="194"/>
        <v>0</v>
      </c>
      <c r="IU33" s="503"/>
      <c r="IV33" s="504">
        <f t="shared" si="83"/>
        <v>0</v>
      </c>
      <c r="IW33" s="505">
        <f t="shared" si="195"/>
        <v>0</v>
      </c>
      <c r="IX33" s="503"/>
      <c r="IY33" s="504">
        <f t="shared" si="84"/>
        <v>0</v>
      </c>
      <c r="IZ33" s="505">
        <f t="shared" si="196"/>
        <v>0</v>
      </c>
      <c r="JA33" s="503"/>
      <c r="JB33" s="504">
        <f t="shared" si="85"/>
        <v>0</v>
      </c>
      <c r="JC33" s="505">
        <f t="shared" si="197"/>
        <v>0</v>
      </c>
      <c r="JD33" s="503"/>
      <c r="JE33" s="504">
        <f t="shared" si="86"/>
        <v>0</v>
      </c>
      <c r="JF33" s="505">
        <f t="shared" si="198"/>
        <v>0</v>
      </c>
      <c r="JG33" s="503"/>
      <c r="JH33" s="504">
        <f t="shared" si="87"/>
        <v>0</v>
      </c>
      <c r="JI33" s="505">
        <f t="shared" si="199"/>
        <v>0</v>
      </c>
      <c r="JJ33" s="503">
        <v>21.957963522871353</v>
      </c>
      <c r="JK33" s="505" t="str">
        <f t="shared" si="88"/>
        <v>0</v>
      </c>
      <c r="JL33" s="505" t="str">
        <f t="shared" si="89"/>
        <v>0</v>
      </c>
      <c r="JM33" s="503"/>
      <c r="JN33" s="505" t="str">
        <f t="shared" si="90"/>
        <v>0</v>
      </c>
      <c r="JO33" s="505" t="str">
        <f t="shared" si="91"/>
        <v>0</v>
      </c>
      <c r="JP33" s="503"/>
      <c r="JQ33" s="505" t="str">
        <f t="shared" si="92"/>
        <v>0</v>
      </c>
      <c r="JR33" s="505" t="str">
        <f t="shared" si="93"/>
        <v>0</v>
      </c>
      <c r="JS33" s="503"/>
      <c r="JT33" s="505" t="str">
        <f t="shared" si="94"/>
        <v>0</v>
      </c>
      <c r="JU33" s="505" t="str">
        <f t="shared" si="95"/>
        <v>0</v>
      </c>
      <c r="JV33" s="503"/>
      <c r="JW33" s="505" t="str">
        <f t="shared" si="96"/>
        <v>0</v>
      </c>
      <c r="JX33" s="505" t="str">
        <f t="shared" si="97"/>
        <v>0</v>
      </c>
      <c r="JY33" s="503"/>
      <c r="JZ33" s="505" t="str">
        <f t="shared" si="98"/>
        <v>0</v>
      </c>
      <c r="KA33" s="505" t="str">
        <f t="shared" si="99"/>
        <v>0</v>
      </c>
      <c r="KB33" s="503"/>
      <c r="KC33" s="505" t="str">
        <f t="shared" si="100"/>
        <v>0</v>
      </c>
      <c r="KD33" s="505" t="str">
        <f t="shared" si="101"/>
        <v>0</v>
      </c>
      <c r="KE33" s="503"/>
      <c r="KF33" s="505" t="str">
        <f t="shared" si="102"/>
        <v>0</v>
      </c>
      <c r="KG33" s="505" t="str">
        <f t="shared" si="103"/>
        <v>0</v>
      </c>
      <c r="KH33" s="503"/>
      <c r="KI33" s="505" t="str">
        <f t="shared" si="104"/>
        <v>0</v>
      </c>
      <c r="KJ33" s="505" t="str">
        <f t="shared" si="105"/>
        <v>0</v>
      </c>
      <c r="KK33" s="503"/>
      <c r="KL33" s="505" t="str">
        <f t="shared" si="106"/>
        <v>0</v>
      </c>
      <c r="KM33" s="505" t="str">
        <f t="shared" si="107"/>
        <v>0</v>
      </c>
      <c r="KN33" s="503"/>
      <c r="KO33" s="505" t="str">
        <f t="shared" si="108"/>
        <v>0</v>
      </c>
      <c r="KP33" s="505" t="str">
        <f t="shared" si="109"/>
        <v>0</v>
      </c>
      <c r="KQ33" s="503"/>
      <c r="KR33" s="505" t="str">
        <f t="shared" si="110"/>
        <v>0</v>
      </c>
      <c r="KS33" s="505" t="str">
        <f t="shared" si="111"/>
        <v>0</v>
      </c>
      <c r="KT33" s="505">
        <f t="shared" si="201"/>
        <v>0</v>
      </c>
      <c r="KU33" s="505">
        <f t="shared" si="202"/>
        <v>0</v>
      </c>
      <c r="KV33" s="258">
        <f t="shared" si="112"/>
        <v>1845.8071432082218</v>
      </c>
    </row>
    <row r="34" spans="1:308" ht="15" customHeight="1">
      <c r="A34" s="462">
        <f t="shared" si="200"/>
        <v>46106</v>
      </c>
      <c r="B34" s="463" t="str">
        <f>+Report1!B33</f>
        <v>Toilet</v>
      </c>
      <c r="C34" s="464" t="str">
        <f>+Report1!C33</f>
        <v>13,5</v>
      </c>
      <c r="D34" s="465">
        <f>+Report1!P33</f>
        <v>49.863</v>
      </c>
      <c r="E34" s="466">
        <f>+Report1!R33</f>
        <v>53.863999999999997</v>
      </c>
      <c r="F34" s="503"/>
      <c r="G34" s="504">
        <f t="shared" si="0"/>
        <v>0</v>
      </c>
      <c r="H34" s="505">
        <f t="shared" si="113"/>
        <v>0</v>
      </c>
      <c r="I34" s="503"/>
      <c r="J34" s="504">
        <f t="shared" si="1"/>
        <v>0</v>
      </c>
      <c r="K34" s="505">
        <f t="shared" si="114"/>
        <v>0</v>
      </c>
      <c r="L34" s="503"/>
      <c r="M34" s="504">
        <f t="shared" si="2"/>
        <v>0</v>
      </c>
      <c r="N34" s="505">
        <f t="shared" si="115"/>
        <v>0</v>
      </c>
      <c r="O34" s="503">
        <v>12</v>
      </c>
      <c r="P34" s="504">
        <f t="shared" si="3"/>
        <v>0.22278330610426259</v>
      </c>
      <c r="Q34" s="505">
        <f t="shared" si="116"/>
        <v>0</v>
      </c>
      <c r="R34" s="503">
        <v>2.5624999999999716</v>
      </c>
      <c r="S34" s="504">
        <f t="shared" si="4"/>
        <v>4.7573518491013884E-2</v>
      </c>
      <c r="T34" s="505">
        <f t="shared" si="117"/>
        <v>0</v>
      </c>
      <c r="U34" s="503">
        <v>9.375</v>
      </c>
      <c r="V34" s="504">
        <f t="shared" si="5"/>
        <v>0.17404945789395515</v>
      </c>
      <c r="W34" s="505">
        <f t="shared" si="118"/>
        <v>0</v>
      </c>
      <c r="X34" s="503"/>
      <c r="Y34" s="504">
        <f t="shared" si="6"/>
        <v>0</v>
      </c>
      <c r="Z34" s="505">
        <f t="shared" si="119"/>
        <v>0</v>
      </c>
      <c r="AA34" s="503"/>
      <c r="AB34" s="504">
        <f t="shared" si="7"/>
        <v>0</v>
      </c>
      <c r="AC34" s="505">
        <f t="shared" si="120"/>
        <v>0</v>
      </c>
      <c r="AD34" s="503"/>
      <c r="AE34" s="504">
        <f t="shared" si="8"/>
        <v>0</v>
      </c>
      <c r="AF34" s="505">
        <f t="shared" si="121"/>
        <v>0</v>
      </c>
      <c r="AG34" s="503"/>
      <c r="AH34" s="504">
        <f t="shared" si="9"/>
        <v>0</v>
      </c>
      <c r="AI34" s="505">
        <f t="shared" si="122"/>
        <v>0</v>
      </c>
      <c r="AJ34" s="503"/>
      <c r="AK34" s="504">
        <f t="shared" si="10"/>
        <v>0</v>
      </c>
      <c r="AL34" s="505">
        <f t="shared" si="123"/>
        <v>0</v>
      </c>
      <c r="AM34" s="503">
        <v>26.28205128205127</v>
      </c>
      <c r="AN34" s="504">
        <f t="shared" si="11"/>
        <v>0.48793352298476295</v>
      </c>
      <c r="AO34" s="505">
        <f t="shared" si="124"/>
        <v>0</v>
      </c>
      <c r="AP34" s="503"/>
      <c r="AQ34" s="504">
        <f t="shared" si="12"/>
        <v>0</v>
      </c>
      <c r="AR34" s="505">
        <f t="shared" si="125"/>
        <v>0</v>
      </c>
      <c r="AS34" s="503"/>
      <c r="AT34" s="504">
        <f t="shared" si="13"/>
        <v>0</v>
      </c>
      <c r="AU34" s="505">
        <f t="shared" si="126"/>
        <v>0</v>
      </c>
      <c r="AV34" s="503">
        <v>19.425000000000011</v>
      </c>
      <c r="AW34" s="504">
        <f t="shared" si="14"/>
        <v>0.3606304767562753</v>
      </c>
      <c r="AX34" s="505">
        <f t="shared" si="127"/>
        <v>0</v>
      </c>
      <c r="AY34" s="503">
        <v>58.333333333333314</v>
      </c>
      <c r="AZ34" s="504">
        <f t="shared" si="15"/>
        <v>1.0829744046734984</v>
      </c>
      <c r="BA34" s="505">
        <f t="shared" si="128"/>
        <v>0</v>
      </c>
      <c r="BB34" s="503"/>
      <c r="BC34" s="504">
        <f t="shared" si="16"/>
        <v>0</v>
      </c>
      <c r="BD34" s="505">
        <f t="shared" si="129"/>
        <v>0</v>
      </c>
      <c r="BE34" s="503"/>
      <c r="BF34" s="504">
        <f t="shared" si="17"/>
        <v>0</v>
      </c>
      <c r="BG34" s="505">
        <f t="shared" si="130"/>
        <v>0</v>
      </c>
      <c r="BH34" s="503"/>
      <c r="BI34" s="504">
        <f t="shared" si="18"/>
        <v>0</v>
      </c>
      <c r="BJ34" s="505">
        <f t="shared" si="131"/>
        <v>0</v>
      </c>
      <c r="BK34" s="503"/>
      <c r="BL34" s="504">
        <f t="shared" si="19"/>
        <v>0</v>
      </c>
      <c r="BM34" s="505">
        <f t="shared" si="132"/>
        <v>0</v>
      </c>
      <c r="BN34" s="503"/>
      <c r="BO34" s="504">
        <f t="shared" si="20"/>
        <v>0</v>
      </c>
      <c r="BP34" s="505">
        <f t="shared" si="133"/>
        <v>0</v>
      </c>
      <c r="BQ34" s="503"/>
      <c r="BR34" s="504">
        <f t="shared" si="21"/>
        <v>0</v>
      </c>
      <c r="BS34" s="505">
        <f t="shared" si="134"/>
        <v>0</v>
      </c>
      <c r="BT34" s="503"/>
      <c r="BU34" s="504">
        <f t="shared" si="22"/>
        <v>0</v>
      </c>
      <c r="BV34" s="505">
        <f t="shared" si="135"/>
        <v>0</v>
      </c>
      <c r="BW34" s="503"/>
      <c r="BX34" s="504">
        <f t="shared" si="23"/>
        <v>0</v>
      </c>
      <c r="BY34" s="505">
        <f t="shared" si="136"/>
        <v>0</v>
      </c>
      <c r="BZ34" s="503"/>
      <c r="CA34" s="504">
        <f t="shared" si="24"/>
        <v>0</v>
      </c>
      <c r="CB34" s="505">
        <f t="shared" si="137"/>
        <v>0</v>
      </c>
      <c r="CC34" s="503"/>
      <c r="CD34" s="504">
        <f t="shared" si="25"/>
        <v>0</v>
      </c>
      <c r="CE34" s="505">
        <f t="shared" si="138"/>
        <v>0</v>
      </c>
      <c r="CF34" s="503">
        <v>12</v>
      </c>
      <c r="CG34" s="504">
        <f t="shared" si="26"/>
        <v>0.22278330610426259</v>
      </c>
      <c r="CH34" s="505">
        <f t="shared" si="139"/>
        <v>0</v>
      </c>
      <c r="CI34" s="503"/>
      <c r="CJ34" s="504">
        <f t="shared" si="27"/>
        <v>0</v>
      </c>
      <c r="CK34" s="505">
        <f t="shared" si="140"/>
        <v>0</v>
      </c>
      <c r="CL34" s="503"/>
      <c r="CM34" s="504">
        <f t="shared" si="28"/>
        <v>0</v>
      </c>
      <c r="CN34" s="505">
        <f t="shared" si="141"/>
        <v>0</v>
      </c>
      <c r="CO34" s="503"/>
      <c r="CP34" s="504">
        <f t="shared" si="29"/>
        <v>0</v>
      </c>
      <c r="CQ34" s="505">
        <f t="shared" si="142"/>
        <v>0</v>
      </c>
      <c r="CR34" s="503"/>
      <c r="CS34" s="504">
        <f t="shared" si="30"/>
        <v>0</v>
      </c>
      <c r="CT34" s="505">
        <f t="shared" si="143"/>
        <v>0</v>
      </c>
      <c r="CU34" s="503"/>
      <c r="CV34" s="504">
        <f t="shared" si="31"/>
        <v>0</v>
      </c>
      <c r="CW34" s="505">
        <f t="shared" si="144"/>
        <v>0</v>
      </c>
      <c r="CX34" s="503"/>
      <c r="CY34" s="504">
        <f t="shared" si="32"/>
        <v>0</v>
      </c>
      <c r="CZ34" s="505">
        <f t="shared" si="145"/>
        <v>0</v>
      </c>
      <c r="DA34" s="503"/>
      <c r="DB34" s="504">
        <f t="shared" si="33"/>
        <v>0</v>
      </c>
      <c r="DC34" s="505">
        <f t="shared" si="146"/>
        <v>0</v>
      </c>
      <c r="DD34" s="503"/>
      <c r="DE34" s="504">
        <f t="shared" si="34"/>
        <v>0</v>
      </c>
      <c r="DF34" s="505">
        <f t="shared" si="147"/>
        <v>0</v>
      </c>
      <c r="DG34" s="503"/>
      <c r="DH34" s="504">
        <f t="shared" si="35"/>
        <v>0</v>
      </c>
      <c r="DI34" s="505">
        <f t="shared" si="203"/>
        <v>0</v>
      </c>
      <c r="DJ34" s="503"/>
      <c r="DK34" s="504">
        <f t="shared" si="36"/>
        <v>0</v>
      </c>
      <c r="DL34" s="505">
        <f t="shared" si="148"/>
        <v>0</v>
      </c>
      <c r="DM34" s="503"/>
      <c r="DN34" s="504">
        <f t="shared" si="37"/>
        <v>0</v>
      </c>
      <c r="DO34" s="505">
        <f t="shared" si="149"/>
        <v>0</v>
      </c>
      <c r="DP34" s="503"/>
      <c r="DQ34" s="504">
        <f t="shared" si="38"/>
        <v>0</v>
      </c>
      <c r="DR34" s="505">
        <f t="shared" si="150"/>
        <v>0</v>
      </c>
      <c r="DS34" s="503"/>
      <c r="DT34" s="504">
        <f t="shared" si="39"/>
        <v>0</v>
      </c>
      <c r="DU34" s="505">
        <f t="shared" si="151"/>
        <v>0</v>
      </c>
      <c r="DV34" s="503"/>
      <c r="DW34" s="504">
        <f t="shared" si="40"/>
        <v>0</v>
      </c>
      <c r="DX34" s="505">
        <f t="shared" si="152"/>
        <v>0</v>
      </c>
      <c r="DY34" s="503"/>
      <c r="DZ34" s="504">
        <f t="shared" si="41"/>
        <v>0</v>
      </c>
      <c r="EA34" s="505">
        <f t="shared" si="153"/>
        <v>0</v>
      </c>
      <c r="EB34" s="503">
        <v>234.82352941176464</v>
      </c>
      <c r="EC34" s="504">
        <f t="shared" si="42"/>
        <v>4.3595635194520392</v>
      </c>
      <c r="ED34" s="505">
        <f t="shared" si="154"/>
        <v>0</v>
      </c>
      <c r="EE34" s="503">
        <v>7.2674418604651692</v>
      </c>
      <c r="EF34" s="504">
        <f t="shared" si="43"/>
        <v>0.13492206038291196</v>
      </c>
      <c r="EG34" s="505">
        <f t="shared" si="155"/>
        <v>0</v>
      </c>
      <c r="EH34" s="503"/>
      <c r="EI34" s="504">
        <f t="shared" si="44"/>
        <v>0</v>
      </c>
      <c r="EJ34" s="505">
        <f t="shared" si="156"/>
        <v>0</v>
      </c>
      <c r="EK34" s="503"/>
      <c r="EL34" s="504">
        <f t="shared" si="45"/>
        <v>0</v>
      </c>
      <c r="EM34" s="505">
        <f t="shared" si="157"/>
        <v>0</v>
      </c>
      <c r="EN34" s="503"/>
      <c r="EO34" s="504">
        <f t="shared" si="46"/>
        <v>0</v>
      </c>
      <c r="EP34" s="505">
        <f t="shared" si="158"/>
        <v>0</v>
      </c>
      <c r="EQ34" s="503"/>
      <c r="ER34" s="504">
        <f t="shared" si="47"/>
        <v>0</v>
      </c>
      <c r="ES34" s="505">
        <f t="shared" si="159"/>
        <v>0</v>
      </c>
      <c r="ET34" s="503"/>
      <c r="EU34" s="504">
        <f t="shared" si="48"/>
        <v>0</v>
      </c>
      <c r="EV34" s="505">
        <f t="shared" si="160"/>
        <v>0</v>
      </c>
      <c r="EW34" s="503"/>
      <c r="EX34" s="504">
        <f t="shared" si="49"/>
        <v>0</v>
      </c>
      <c r="EY34" s="505">
        <f t="shared" si="161"/>
        <v>0</v>
      </c>
      <c r="EZ34" s="503"/>
      <c r="FA34" s="504">
        <f t="shared" si="50"/>
        <v>0</v>
      </c>
      <c r="FB34" s="505">
        <f t="shared" si="162"/>
        <v>0</v>
      </c>
      <c r="FC34" s="503"/>
      <c r="FD34" s="504">
        <f t="shared" si="51"/>
        <v>0</v>
      </c>
      <c r="FE34" s="505">
        <f t="shared" si="163"/>
        <v>0</v>
      </c>
      <c r="FF34" s="503"/>
      <c r="FG34" s="504">
        <f t="shared" si="52"/>
        <v>0</v>
      </c>
      <c r="FH34" s="505">
        <f t="shared" si="164"/>
        <v>0</v>
      </c>
      <c r="FI34" s="503"/>
      <c r="FJ34" s="504">
        <f t="shared" si="53"/>
        <v>0</v>
      </c>
      <c r="FK34" s="505">
        <f t="shared" si="165"/>
        <v>0</v>
      </c>
      <c r="FL34" s="503"/>
      <c r="FM34" s="504">
        <f t="shared" si="54"/>
        <v>0</v>
      </c>
      <c r="FN34" s="505">
        <f t="shared" si="166"/>
        <v>0</v>
      </c>
      <c r="FO34" s="503"/>
      <c r="FP34" s="504">
        <f t="shared" si="55"/>
        <v>0</v>
      </c>
      <c r="FQ34" s="505">
        <f t="shared" si="167"/>
        <v>0</v>
      </c>
      <c r="FR34" s="503"/>
      <c r="FS34" s="504">
        <f t="shared" si="56"/>
        <v>0</v>
      </c>
      <c r="FT34" s="505">
        <f t="shared" si="168"/>
        <v>0</v>
      </c>
      <c r="FU34" s="503"/>
      <c r="FV34" s="504">
        <f t="shared" si="57"/>
        <v>0</v>
      </c>
      <c r="FW34" s="505">
        <f t="shared" si="169"/>
        <v>0</v>
      </c>
      <c r="FX34" s="503"/>
      <c r="FY34" s="504">
        <f t="shared" si="58"/>
        <v>0</v>
      </c>
      <c r="FZ34" s="505">
        <f t="shared" si="170"/>
        <v>0</v>
      </c>
      <c r="GA34" s="503"/>
      <c r="GB34" s="504">
        <f t="shared" si="59"/>
        <v>0</v>
      </c>
      <c r="GC34" s="505">
        <f t="shared" si="171"/>
        <v>0</v>
      </c>
      <c r="GD34" s="503"/>
      <c r="GE34" s="504">
        <f t="shared" si="60"/>
        <v>0</v>
      </c>
      <c r="GF34" s="505">
        <f t="shared" si="172"/>
        <v>0</v>
      </c>
      <c r="GG34" s="503">
        <v>12.025264559196627</v>
      </c>
      <c r="GH34" s="504">
        <f t="shared" si="61"/>
        <v>0.22325234960635354</v>
      </c>
      <c r="GI34" s="505">
        <f t="shared" si="173"/>
        <v>0</v>
      </c>
      <c r="GJ34" s="503">
        <v>14.430317471035952</v>
      </c>
      <c r="GK34" s="504">
        <f t="shared" si="62"/>
        <v>0.26790281952762424</v>
      </c>
      <c r="GL34" s="505">
        <f t="shared" si="174"/>
        <v>0</v>
      </c>
      <c r="GM34" s="503"/>
      <c r="GN34" s="504">
        <f t="shared" si="63"/>
        <v>0</v>
      </c>
      <c r="GO34" s="505">
        <f t="shared" si="175"/>
        <v>0</v>
      </c>
      <c r="GP34" s="503">
        <v>38.480846589429206</v>
      </c>
      <c r="GQ34" s="504">
        <f t="shared" si="64"/>
        <v>0.71440751874033137</v>
      </c>
      <c r="GR34" s="505">
        <f t="shared" si="176"/>
        <v>0</v>
      </c>
      <c r="GS34" s="503">
        <v>264.5558203023258</v>
      </c>
      <c r="GT34" s="504">
        <f t="shared" si="65"/>
        <v>4.9115516913397785</v>
      </c>
      <c r="GU34" s="505">
        <f t="shared" si="177"/>
        <v>0</v>
      </c>
      <c r="GV34" s="503">
        <v>67.341481531501117</v>
      </c>
      <c r="GW34" s="504">
        <f t="shared" si="66"/>
        <v>1.25021315779558</v>
      </c>
      <c r="GX34" s="505">
        <f t="shared" si="178"/>
        <v>0</v>
      </c>
      <c r="GY34" s="503"/>
      <c r="GZ34" s="504">
        <f t="shared" si="67"/>
        <v>0</v>
      </c>
      <c r="HA34" s="505">
        <f t="shared" si="179"/>
        <v>0</v>
      </c>
      <c r="HB34" s="503"/>
      <c r="HC34" s="504">
        <f t="shared" si="68"/>
        <v>0</v>
      </c>
      <c r="HD34" s="505">
        <f t="shared" si="180"/>
        <v>0</v>
      </c>
      <c r="HE34" s="503"/>
      <c r="HF34" s="504">
        <f t="shared" si="69"/>
        <v>0</v>
      </c>
      <c r="HG34" s="505">
        <f t="shared" si="181"/>
        <v>0</v>
      </c>
      <c r="HH34" s="503"/>
      <c r="HI34" s="504">
        <f t="shared" si="70"/>
        <v>0</v>
      </c>
      <c r="HJ34" s="505">
        <f t="shared" si="182"/>
        <v>0</v>
      </c>
      <c r="HK34" s="503"/>
      <c r="HL34" s="504">
        <f t="shared" si="71"/>
        <v>0</v>
      </c>
      <c r="HM34" s="505">
        <f t="shared" si="183"/>
        <v>0</v>
      </c>
      <c r="HN34" s="503">
        <v>911.99606416947222</v>
      </c>
      <c r="HO34" s="504">
        <f t="shared" si="72"/>
        <v>16.931458194145854</v>
      </c>
      <c r="HP34" s="505">
        <f t="shared" si="184"/>
        <v>0</v>
      </c>
      <c r="HQ34" s="503"/>
      <c r="HR34" s="504">
        <f t="shared" si="73"/>
        <v>0</v>
      </c>
      <c r="HS34" s="505">
        <f t="shared" si="185"/>
        <v>0</v>
      </c>
      <c r="HT34" s="503"/>
      <c r="HU34" s="504">
        <f t="shared" si="74"/>
        <v>0</v>
      </c>
      <c r="HV34" s="505">
        <f t="shared" si="186"/>
        <v>0</v>
      </c>
      <c r="HW34" s="503"/>
      <c r="HX34" s="504">
        <f t="shared" si="75"/>
        <v>0</v>
      </c>
      <c r="HY34" s="505">
        <f t="shared" si="187"/>
        <v>0</v>
      </c>
      <c r="HZ34" s="503"/>
      <c r="IA34" s="504">
        <f t="shared" si="76"/>
        <v>0</v>
      </c>
      <c r="IB34" s="505">
        <f t="shared" si="188"/>
        <v>0</v>
      </c>
      <c r="IC34" s="503"/>
      <c r="ID34" s="504">
        <f t="shared" si="77"/>
        <v>0</v>
      </c>
      <c r="IE34" s="505">
        <f t="shared" si="189"/>
        <v>0</v>
      </c>
      <c r="IF34" s="503"/>
      <c r="IG34" s="504">
        <f t="shared" si="78"/>
        <v>0</v>
      </c>
      <c r="IH34" s="505">
        <f t="shared" si="190"/>
        <v>0</v>
      </c>
      <c r="II34" s="503">
        <v>24.050529118393253</v>
      </c>
      <c r="IJ34" s="504">
        <f t="shared" si="79"/>
        <v>0.44650469921270708</v>
      </c>
      <c r="IK34" s="505">
        <f t="shared" si="191"/>
        <v>0</v>
      </c>
      <c r="IL34" s="503"/>
      <c r="IM34" s="504">
        <f t="shared" si="80"/>
        <v>0</v>
      </c>
      <c r="IN34" s="505">
        <f t="shared" si="192"/>
        <v>0</v>
      </c>
      <c r="IO34" s="503"/>
      <c r="IP34" s="504">
        <f t="shared" si="81"/>
        <v>0</v>
      </c>
      <c r="IQ34" s="505">
        <f t="shared" si="193"/>
        <v>0</v>
      </c>
      <c r="IR34" s="503">
        <v>43.29095241310786</v>
      </c>
      <c r="IS34" s="504">
        <f t="shared" si="82"/>
        <v>0.80370845858287288</v>
      </c>
      <c r="IT34" s="505">
        <f t="shared" si="194"/>
        <v>0</v>
      </c>
      <c r="IU34" s="503"/>
      <c r="IV34" s="504">
        <f t="shared" si="83"/>
        <v>0</v>
      </c>
      <c r="IW34" s="505">
        <f t="shared" si="195"/>
        <v>0</v>
      </c>
      <c r="IX34" s="503"/>
      <c r="IY34" s="504">
        <f t="shared" si="84"/>
        <v>0</v>
      </c>
      <c r="IZ34" s="505">
        <f t="shared" si="196"/>
        <v>0</v>
      </c>
      <c r="JA34" s="503"/>
      <c r="JB34" s="504">
        <f t="shared" si="85"/>
        <v>0</v>
      </c>
      <c r="JC34" s="505">
        <f t="shared" si="197"/>
        <v>0</v>
      </c>
      <c r="JD34" s="503"/>
      <c r="JE34" s="504">
        <f t="shared" si="86"/>
        <v>0</v>
      </c>
      <c r="JF34" s="505">
        <f t="shared" si="198"/>
        <v>0</v>
      </c>
      <c r="JG34" s="503"/>
      <c r="JH34" s="504">
        <f t="shared" si="87"/>
        <v>0</v>
      </c>
      <c r="JI34" s="505">
        <f t="shared" si="199"/>
        <v>0</v>
      </c>
      <c r="JJ34" s="503">
        <v>21.64547620655393</v>
      </c>
      <c r="JK34" s="505" t="str">
        <f t="shared" si="88"/>
        <v>0</v>
      </c>
      <c r="JL34" s="505" t="str">
        <f t="shared" si="89"/>
        <v>0</v>
      </c>
      <c r="JM34" s="503"/>
      <c r="JN34" s="505" t="str">
        <f t="shared" si="90"/>
        <v>0</v>
      </c>
      <c r="JO34" s="505" t="str">
        <f t="shared" si="91"/>
        <v>0</v>
      </c>
      <c r="JP34" s="503"/>
      <c r="JQ34" s="505" t="str">
        <f t="shared" si="92"/>
        <v>0</v>
      </c>
      <c r="JR34" s="505" t="str">
        <f t="shared" si="93"/>
        <v>0</v>
      </c>
      <c r="JS34" s="503"/>
      <c r="JT34" s="505" t="str">
        <f t="shared" si="94"/>
        <v>0</v>
      </c>
      <c r="JU34" s="505" t="str">
        <f t="shared" si="95"/>
        <v>0</v>
      </c>
      <c r="JV34" s="503"/>
      <c r="JW34" s="505" t="str">
        <f t="shared" si="96"/>
        <v>0</v>
      </c>
      <c r="JX34" s="505" t="str">
        <f t="shared" si="97"/>
        <v>0</v>
      </c>
      <c r="JY34" s="503"/>
      <c r="JZ34" s="505" t="str">
        <f t="shared" si="98"/>
        <v>0</v>
      </c>
      <c r="KA34" s="505" t="str">
        <f t="shared" si="99"/>
        <v>0</v>
      </c>
      <c r="KB34" s="503"/>
      <c r="KC34" s="505" t="str">
        <f t="shared" si="100"/>
        <v>0</v>
      </c>
      <c r="KD34" s="505" t="str">
        <f t="shared" si="101"/>
        <v>0</v>
      </c>
      <c r="KE34" s="503"/>
      <c r="KF34" s="505" t="str">
        <f t="shared" si="102"/>
        <v>0</v>
      </c>
      <c r="KG34" s="505" t="str">
        <f t="shared" si="103"/>
        <v>0</v>
      </c>
      <c r="KH34" s="503"/>
      <c r="KI34" s="505" t="str">
        <f t="shared" si="104"/>
        <v>0</v>
      </c>
      <c r="KJ34" s="505" t="str">
        <f t="shared" si="105"/>
        <v>0</v>
      </c>
      <c r="KK34" s="503"/>
      <c r="KL34" s="505" t="str">
        <f t="shared" si="106"/>
        <v>0</v>
      </c>
      <c r="KM34" s="505" t="str">
        <f t="shared" si="107"/>
        <v>0</v>
      </c>
      <c r="KN34" s="503"/>
      <c r="KO34" s="505" t="str">
        <f t="shared" si="108"/>
        <v>0</v>
      </c>
      <c r="KP34" s="505" t="str">
        <f t="shared" si="109"/>
        <v>0</v>
      </c>
      <c r="KQ34" s="503"/>
      <c r="KR34" s="505" t="str">
        <f t="shared" si="110"/>
        <v>0</v>
      </c>
      <c r="KS34" s="505" t="str">
        <f t="shared" si="111"/>
        <v>0</v>
      </c>
      <c r="KT34" s="505">
        <f t="shared" si="201"/>
        <v>0</v>
      </c>
      <c r="KU34" s="505">
        <f t="shared" si="202"/>
        <v>0</v>
      </c>
      <c r="KV34" s="258">
        <f t="shared" si="112"/>
        <v>1779.8856082486304</v>
      </c>
    </row>
    <row r="35" spans="1:308" ht="15" customHeight="1">
      <c r="A35" s="462">
        <f t="shared" si="200"/>
        <v>46107</v>
      </c>
      <c r="B35" s="463" t="str">
        <f>+Report1!B34</f>
        <v>Toilet</v>
      </c>
      <c r="C35" s="464" t="str">
        <f>+Report1!C34</f>
        <v>13,5</v>
      </c>
      <c r="D35" s="465">
        <f>+Report1!P34</f>
        <v>48.759</v>
      </c>
      <c r="E35" s="466">
        <f>+Report1!R34</f>
        <v>49.85</v>
      </c>
      <c r="F35" s="503"/>
      <c r="G35" s="504">
        <f t="shared" si="0"/>
        <v>0</v>
      </c>
      <c r="H35" s="505">
        <f t="shared" si="113"/>
        <v>0</v>
      </c>
      <c r="I35" s="503"/>
      <c r="J35" s="504">
        <f t="shared" si="1"/>
        <v>0</v>
      </c>
      <c r="K35" s="505">
        <f t="shared" si="114"/>
        <v>0</v>
      </c>
      <c r="L35" s="503"/>
      <c r="M35" s="504">
        <f t="shared" si="2"/>
        <v>0</v>
      </c>
      <c r="N35" s="505">
        <f t="shared" si="115"/>
        <v>0</v>
      </c>
      <c r="O35" s="503">
        <v>3.0000000000000284</v>
      </c>
      <c r="P35" s="504">
        <f t="shared" si="3"/>
        <v>6.018054162487519E-2</v>
      </c>
      <c r="Q35" s="505">
        <f t="shared" si="116"/>
        <v>0</v>
      </c>
      <c r="R35" s="503">
        <v>7.6875000000000142</v>
      </c>
      <c r="S35" s="504">
        <f t="shared" si="4"/>
        <v>0.15421263791374151</v>
      </c>
      <c r="T35" s="505">
        <f t="shared" si="117"/>
        <v>0</v>
      </c>
      <c r="U35" s="503">
        <v>9.3749999999999716</v>
      </c>
      <c r="V35" s="504">
        <f t="shared" si="5"/>
        <v>0.18806419257773263</v>
      </c>
      <c r="W35" s="505">
        <f t="shared" si="118"/>
        <v>0</v>
      </c>
      <c r="X35" s="503"/>
      <c r="Y35" s="504">
        <f t="shared" si="6"/>
        <v>0</v>
      </c>
      <c r="Z35" s="505">
        <f t="shared" si="119"/>
        <v>0</v>
      </c>
      <c r="AA35" s="503"/>
      <c r="AB35" s="504">
        <f t="shared" si="7"/>
        <v>0</v>
      </c>
      <c r="AC35" s="505">
        <f t="shared" si="120"/>
        <v>0</v>
      </c>
      <c r="AD35" s="503"/>
      <c r="AE35" s="504">
        <f t="shared" si="8"/>
        <v>0</v>
      </c>
      <c r="AF35" s="505">
        <f t="shared" si="121"/>
        <v>0</v>
      </c>
      <c r="AG35" s="503"/>
      <c r="AH35" s="504">
        <f t="shared" si="9"/>
        <v>0</v>
      </c>
      <c r="AI35" s="505">
        <f t="shared" si="122"/>
        <v>0</v>
      </c>
      <c r="AJ35" s="503"/>
      <c r="AK35" s="504">
        <f t="shared" si="10"/>
        <v>0</v>
      </c>
      <c r="AL35" s="505">
        <f t="shared" si="123"/>
        <v>0</v>
      </c>
      <c r="AM35" s="503">
        <v>28.910256410256466</v>
      </c>
      <c r="AN35" s="504">
        <f t="shared" si="11"/>
        <v>0.57994496309441257</v>
      </c>
      <c r="AO35" s="505">
        <f t="shared" si="124"/>
        <v>0</v>
      </c>
      <c r="AP35" s="503"/>
      <c r="AQ35" s="504">
        <f t="shared" si="12"/>
        <v>0</v>
      </c>
      <c r="AR35" s="505">
        <f t="shared" si="125"/>
        <v>0</v>
      </c>
      <c r="AS35" s="503"/>
      <c r="AT35" s="504">
        <f t="shared" si="13"/>
        <v>0</v>
      </c>
      <c r="AU35" s="505">
        <f t="shared" si="126"/>
        <v>0</v>
      </c>
      <c r="AV35" s="503">
        <v>16.650000000000006</v>
      </c>
      <c r="AW35" s="504">
        <f t="shared" si="14"/>
        <v>0.33400200601805424</v>
      </c>
      <c r="AX35" s="505">
        <f t="shared" si="127"/>
        <v>0</v>
      </c>
      <c r="AY35" s="503">
        <v>49</v>
      </c>
      <c r="AZ35" s="504">
        <f t="shared" si="15"/>
        <v>0.98294884653961878</v>
      </c>
      <c r="BA35" s="505">
        <f t="shared" si="128"/>
        <v>0</v>
      </c>
      <c r="BB35" s="503"/>
      <c r="BC35" s="504">
        <f t="shared" si="16"/>
        <v>0</v>
      </c>
      <c r="BD35" s="505">
        <f t="shared" si="129"/>
        <v>0</v>
      </c>
      <c r="BE35" s="503"/>
      <c r="BF35" s="504">
        <f t="shared" si="17"/>
        <v>0</v>
      </c>
      <c r="BG35" s="505">
        <f t="shared" si="130"/>
        <v>0</v>
      </c>
      <c r="BH35" s="503"/>
      <c r="BI35" s="504">
        <f t="shared" si="18"/>
        <v>0</v>
      </c>
      <c r="BJ35" s="505">
        <f t="shared" si="131"/>
        <v>0</v>
      </c>
      <c r="BK35" s="503"/>
      <c r="BL35" s="504">
        <f t="shared" si="19"/>
        <v>0</v>
      </c>
      <c r="BM35" s="505">
        <f t="shared" si="132"/>
        <v>0</v>
      </c>
      <c r="BN35" s="503"/>
      <c r="BO35" s="504">
        <f t="shared" si="20"/>
        <v>0</v>
      </c>
      <c r="BP35" s="505">
        <f t="shared" si="133"/>
        <v>0</v>
      </c>
      <c r="BQ35" s="503"/>
      <c r="BR35" s="504">
        <f t="shared" si="21"/>
        <v>0</v>
      </c>
      <c r="BS35" s="505">
        <f t="shared" si="134"/>
        <v>0</v>
      </c>
      <c r="BT35" s="503"/>
      <c r="BU35" s="504">
        <f t="shared" si="22"/>
        <v>0</v>
      </c>
      <c r="BV35" s="505">
        <f t="shared" si="135"/>
        <v>0</v>
      </c>
      <c r="BW35" s="503"/>
      <c r="BX35" s="504">
        <f t="shared" si="23"/>
        <v>0</v>
      </c>
      <c r="BY35" s="505">
        <f t="shared" si="136"/>
        <v>0</v>
      </c>
      <c r="BZ35" s="503"/>
      <c r="CA35" s="504">
        <f t="shared" si="24"/>
        <v>0</v>
      </c>
      <c r="CB35" s="505">
        <f t="shared" si="137"/>
        <v>0</v>
      </c>
      <c r="CC35" s="503"/>
      <c r="CD35" s="504">
        <f t="shared" si="25"/>
        <v>0</v>
      </c>
      <c r="CE35" s="505">
        <f t="shared" si="138"/>
        <v>0</v>
      </c>
      <c r="CF35" s="503">
        <v>10</v>
      </c>
      <c r="CG35" s="504">
        <f t="shared" si="26"/>
        <v>0.20060180541624875</v>
      </c>
      <c r="CH35" s="505">
        <f t="shared" si="139"/>
        <v>0</v>
      </c>
      <c r="CI35" s="503"/>
      <c r="CJ35" s="504">
        <f t="shared" si="27"/>
        <v>0</v>
      </c>
      <c r="CK35" s="505">
        <f t="shared" si="140"/>
        <v>0</v>
      </c>
      <c r="CL35" s="503"/>
      <c r="CM35" s="504">
        <f t="shared" si="28"/>
        <v>0</v>
      </c>
      <c r="CN35" s="505">
        <f t="shared" si="141"/>
        <v>0</v>
      </c>
      <c r="CO35" s="503"/>
      <c r="CP35" s="504">
        <f t="shared" si="29"/>
        <v>0</v>
      </c>
      <c r="CQ35" s="505">
        <f t="shared" si="142"/>
        <v>0</v>
      </c>
      <c r="CR35" s="503"/>
      <c r="CS35" s="504">
        <f t="shared" si="30"/>
        <v>0</v>
      </c>
      <c r="CT35" s="505">
        <f t="shared" si="143"/>
        <v>0</v>
      </c>
      <c r="CU35" s="503"/>
      <c r="CV35" s="504">
        <f t="shared" si="31"/>
        <v>0</v>
      </c>
      <c r="CW35" s="505">
        <f t="shared" si="144"/>
        <v>0</v>
      </c>
      <c r="CX35" s="503"/>
      <c r="CY35" s="504">
        <f t="shared" si="32"/>
        <v>0</v>
      </c>
      <c r="CZ35" s="505">
        <f t="shared" si="145"/>
        <v>0</v>
      </c>
      <c r="DA35" s="503"/>
      <c r="DB35" s="504">
        <f t="shared" si="33"/>
        <v>0</v>
      </c>
      <c r="DC35" s="505">
        <f t="shared" si="146"/>
        <v>0</v>
      </c>
      <c r="DD35" s="503"/>
      <c r="DE35" s="504">
        <f t="shared" si="34"/>
        <v>0</v>
      </c>
      <c r="DF35" s="505">
        <f t="shared" si="147"/>
        <v>0</v>
      </c>
      <c r="DG35" s="503"/>
      <c r="DH35" s="504">
        <f t="shared" si="35"/>
        <v>0</v>
      </c>
      <c r="DI35" s="505">
        <f t="shared" si="203"/>
        <v>0</v>
      </c>
      <c r="DJ35" s="503"/>
      <c r="DK35" s="504">
        <f t="shared" si="36"/>
        <v>0</v>
      </c>
      <c r="DL35" s="505">
        <f t="shared" si="148"/>
        <v>0</v>
      </c>
      <c r="DM35" s="503"/>
      <c r="DN35" s="504">
        <f t="shared" si="37"/>
        <v>0</v>
      </c>
      <c r="DO35" s="505">
        <f t="shared" si="149"/>
        <v>0</v>
      </c>
      <c r="DP35" s="503"/>
      <c r="DQ35" s="504">
        <f t="shared" si="38"/>
        <v>0</v>
      </c>
      <c r="DR35" s="505">
        <f t="shared" si="150"/>
        <v>0</v>
      </c>
      <c r="DS35" s="503"/>
      <c r="DT35" s="504">
        <f t="shared" si="39"/>
        <v>0</v>
      </c>
      <c r="DU35" s="505">
        <f t="shared" si="151"/>
        <v>0</v>
      </c>
      <c r="DV35" s="503"/>
      <c r="DW35" s="504">
        <f t="shared" si="40"/>
        <v>0</v>
      </c>
      <c r="DX35" s="505">
        <f t="shared" si="152"/>
        <v>0</v>
      </c>
      <c r="DY35" s="503"/>
      <c r="DZ35" s="504">
        <f t="shared" si="41"/>
        <v>0</v>
      </c>
      <c r="EA35" s="505">
        <f t="shared" si="153"/>
        <v>0</v>
      </c>
      <c r="EB35" s="503">
        <v>246.56470588235288</v>
      </c>
      <c r="EC35" s="504">
        <f t="shared" si="42"/>
        <v>4.9461325151926356</v>
      </c>
      <c r="ED35" s="505">
        <f t="shared" si="154"/>
        <v>0</v>
      </c>
      <c r="EE35" s="503">
        <v>7.2674418604651123</v>
      </c>
      <c r="EF35" s="504">
        <f t="shared" si="43"/>
        <v>0.14578619579669233</v>
      </c>
      <c r="EG35" s="505">
        <f t="shared" si="155"/>
        <v>0</v>
      </c>
      <c r="EH35" s="503"/>
      <c r="EI35" s="504">
        <f t="shared" si="44"/>
        <v>0</v>
      </c>
      <c r="EJ35" s="505">
        <f t="shared" si="156"/>
        <v>0</v>
      </c>
      <c r="EK35" s="503"/>
      <c r="EL35" s="504">
        <f t="shared" si="45"/>
        <v>0</v>
      </c>
      <c r="EM35" s="505">
        <f t="shared" si="157"/>
        <v>0</v>
      </c>
      <c r="EN35" s="503"/>
      <c r="EO35" s="504">
        <f t="shared" si="46"/>
        <v>0</v>
      </c>
      <c r="EP35" s="505">
        <f t="shared" si="158"/>
        <v>0</v>
      </c>
      <c r="EQ35" s="503"/>
      <c r="ER35" s="504">
        <f t="shared" si="47"/>
        <v>0</v>
      </c>
      <c r="ES35" s="505">
        <f t="shared" si="159"/>
        <v>0</v>
      </c>
      <c r="ET35" s="503"/>
      <c r="EU35" s="504">
        <f t="shared" si="48"/>
        <v>0</v>
      </c>
      <c r="EV35" s="505">
        <f t="shared" si="160"/>
        <v>0</v>
      </c>
      <c r="EW35" s="503"/>
      <c r="EX35" s="504">
        <f t="shared" si="49"/>
        <v>0</v>
      </c>
      <c r="EY35" s="505">
        <f t="shared" si="161"/>
        <v>0</v>
      </c>
      <c r="EZ35" s="503"/>
      <c r="FA35" s="504">
        <f t="shared" si="50"/>
        <v>0</v>
      </c>
      <c r="FB35" s="505">
        <f t="shared" si="162"/>
        <v>0</v>
      </c>
      <c r="FC35" s="503"/>
      <c r="FD35" s="504">
        <f t="shared" si="51"/>
        <v>0</v>
      </c>
      <c r="FE35" s="505">
        <f t="shared" si="163"/>
        <v>0</v>
      </c>
      <c r="FF35" s="503"/>
      <c r="FG35" s="504">
        <f t="shared" si="52"/>
        <v>0</v>
      </c>
      <c r="FH35" s="505">
        <f t="shared" si="164"/>
        <v>0</v>
      </c>
      <c r="FI35" s="503"/>
      <c r="FJ35" s="504">
        <f t="shared" si="53"/>
        <v>0</v>
      </c>
      <c r="FK35" s="505">
        <f t="shared" si="165"/>
        <v>0</v>
      </c>
      <c r="FL35" s="503"/>
      <c r="FM35" s="504">
        <f t="shared" si="54"/>
        <v>0</v>
      </c>
      <c r="FN35" s="505">
        <f t="shared" si="166"/>
        <v>0</v>
      </c>
      <c r="FO35" s="503"/>
      <c r="FP35" s="504">
        <f t="shared" si="55"/>
        <v>0</v>
      </c>
      <c r="FQ35" s="505">
        <f t="shared" si="167"/>
        <v>0</v>
      </c>
      <c r="FR35" s="503"/>
      <c r="FS35" s="504">
        <f t="shared" si="56"/>
        <v>0</v>
      </c>
      <c r="FT35" s="505">
        <f t="shared" si="168"/>
        <v>0</v>
      </c>
      <c r="FU35" s="503"/>
      <c r="FV35" s="504">
        <f t="shared" si="57"/>
        <v>0</v>
      </c>
      <c r="FW35" s="505">
        <f t="shared" si="169"/>
        <v>0</v>
      </c>
      <c r="FX35" s="503"/>
      <c r="FY35" s="504">
        <f t="shared" si="58"/>
        <v>0</v>
      </c>
      <c r="FZ35" s="505">
        <f t="shared" si="170"/>
        <v>0</v>
      </c>
      <c r="GA35" s="503"/>
      <c r="GB35" s="504">
        <f t="shared" si="59"/>
        <v>0</v>
      </c>
      <c r="GC35" s="505">
        <f t="shared" si="171"/>
        <v>0</v>
      </c>
      <c r="GD35" s="503"/>
      <c r="GE35" s="504">
        <f t="shared" si="60"/>
        <v>0</v>
      </c>
      <c r="GF35" s="505">
        <f t="shared" si="172"/>
        <v>0</v>
      </c>
      <c r="GG35" s="503">
        <v>12.709629206321297</v>
      </c>
      <c r="GH35" s="504">
        <f t="shared" si="61"/>
        <v>0.25495745649591367</v>
      </c>
      <c r="GI35" s="505">
        <f t="shared" si="173"/>
        <v>0</v>
      </c>
      <c r="GJ35" s="503">
        <v>12.709629206321297</v>
      </c>
      <c r="GK35" s="504">
        <f t="shared" si="62"/>
        <v>0.25495745649591367</v>
      </c>
      <c r="GL35" s="505">
        <f t="shared" si="174"/>
        <v>0</v>
      </c>
      <c r="GM35" s="503"/>
      <c r="GN35" s="504">
        <f t="shared" si="63"/>
        <v>0</v>
      </c>
      <c r="GO35" s="505">
        <f t="shared" si="175"/>
        <v>0</v>
      </c>
      <c r="GP35" s="503">
        <v>33.892344550190131</v>
      </c>
      <c r="GQ35" s="504">
        <f t="shared" si="64"/>
        <v>0.67988655065576986</v>
      </c>
      <c r="GR35" s="505">
        <f t="shared" si="176"/>
        <v>0</v>
      </c>
      <c r="GS35" s="503">
        <v>275.37529947029481</v>
      </c>
      <c r="GT35" s="504">
        <f t="shared" si="65"/>
        <v>5.5240782240781305</v>
      </c>
      <c r="GU35" s="505">
        <f t="shared" si="177"/>
        <v>0</v>
      </c>
      <c r="GV35" s="503">
        <v>63.548146031606493</v>
      </c>
      <c r="GW35" s="504">
        <f t="shared" si="66"/>
        <v>1.2747872824795685</v>
      </c>
      <c r="GX35" s="505">
        <f t="shared" si="178"/>
        <v>0</v>
      </c>
      <c r="GY35" s="503"/>
      <c r="GZ35" s="504">
        <f t="shared" si="67"/>
        <v>0</v>
      </c>
      <c r="HA35" s="505">
        <f t="shared" si="179"/>
        <v>0</v>
      </c>
      <c r="HB35" s="503"/>
      <c r="HC35" s="504">
        <f t="shared" si="68"/>
        <v>0</v>
      </c>
      <c r="HD35" s="505">
        <f t="shared" si="180"/>
        <v>0</v>
      </c>
      <c r="HE35" s="503"/>
      <c r="HF35" s="504">
        <f t="shared" si="69"/>
        <v>0</v>
      </c>
      <c r="HG35" s="505">
        <f t="shared" si="181"/>
        <v>0</v>
      </c>
      <c r="HH35" s="503"/>
      <c r="HI35" s="504">
        <f t="shared" si="70"/>
        <v>0</v>
      </c>
      <c r="HJ35" s="505">
        <f t="shared" si="182"/>
        <v>0</v>
      </c>
      <c r="HK35" s="503"/>
      <c r="HL35" s="504">
        <f t="shared" si="71"/>
        <v>0</v>
      </c>
      <c r="HM35" s="505">
        <f t="shared" si="183"/>
        <v>0</v>
      </c>
      <c r="HN35" s="503">
        <v>760.88313515176833</v>
      </c>
      <c r="HO35" s="504">
        <f t="shared" si="72"/>
        <v>15.263453062222032</v>
      </c>
      <c r="HP35" s="505">
        <f t="shared" si="184"/>
        <v>0</v>
      </c>
      <c r="HQ35" s="503"/>
      <c r="HR35" s="504">
        <f t="shared" si="73"/>
        <v>0</v>
      </c>
      <c r="HS35" s="505">
        <f t="shared" si="185"/>
        <v>0</v>
      </c>
      <c r="HT35" s="503"/>
      <c r="HU35" s="504">
        <f t="shared" si="74"/>
        <v>0</v>
      </c>
      <c r="HV35" s="505">
        <f t="shared" si="186"/>
        <v>0</v>
      </c>
      <c r="HW35" s="503"/>
      <c r="HX35" s="504">
        <f t="shared" si="75"/>
        <v>0</v>
      </c>
      <c r="HY35" s="505">
        <f t="shared" si="187"/>
        <v>0</v>
      </c>
      <c r="HZ35" s="503"/>
      <c r="IA35" s="504">
        <f t="shared" si="76"/>
        <v>0</v>
      </c>
      <c r="IB35" s="505">
        <f t="shared" si="188"/>
        <v>0</v>
      </c>
      <c r="IC35" s="503"/>
      <c r="ID35" s="504">
        <f t="shared" si="77"/>
        <v>0</v>
      </c>
      <c r="IE35" s="505">
        <f t="shared" si="189"/>
        <v>0</v>
      </c>
      <c r="IF35" s="503"/>
      <c r="IG35" s="504">
        <f t="shared" si="78"/>
        <v>0</v>
      </c>
      <c r="IH35" s="505">
        <f t="shared" si="190"/>
        <v>0</v>
      </c>
      <c r="II35" s="503">
        <v>21.182715343868828</v>
      </c>
      <c r="IJ35" s="504">
        <f t="shared" si="79"/>
        <v>0.42492909415985614</v>
      </c>
      <c r="IK35" s="505">
        <f t="shared" si="191"/>
        <v>0</v>
      </c>
      <c r="IL35" s="503"/>
      <c r="IM35" s="504">
        <f t="shared" si="80"/>
        <v>0</v>
      </c>
      <c r="IN35" s="505">
        <f t="shared" si="192"/>
        <v>0</v>
      </c>
      <c r="IO35" s="503"/>
      <c r="IP35" s="504">
        <f t="shared" si="81"/>
        <v>0</v>
      </c>
      <c r="IQ35" s="505">
        <f t="shared" si="193"/>
        <v>0</v>
      </c>
      <c r="IR35" s="503">
        <v>38.128887618963894</v>
      </c>
      <c r="IS35" s="504">
        <f t="shared" si="82"/>
        <v>0.76487236948774107</v>
      </c>
      <c r="IT35" s="505">
        <f t="shared" si="194"/>
        <v>0</v>
      </c>
      <c r="IU35" s="503"/>
      <c r="IV35" s="504">
        <f t="shared" si="83"/>
        <v>0</v>
      </c>
      <c r="IW35" s="505">
        <f t="shared" si="195"/>
        <v>0</v>
      </c>
      <c r="IX35" s="503"/>
      <c r="IY35" s="504">
        <f t="shared" si="84"/>
        <v>0</v>
      </c>
      <c r="IZ35" s="505">
        <f t="shared" si="196"/>
        <v>0</v>
      </c>
      <c r="JA35" s="503"/>
      <c r="JB35" s="504">
        <f t="shared" si="85"/>
        <v>0</v>
      </c>
      <c r="JC35" s="505">
        <f t="shared" si="197"/>
        <v>0</v>
      </c>
      <c r="JD35" s="503"/>
      <c r="JE35" s="504">
        <f t="shared" si="86"/>
        <v>0</v>
      </c>
      <c r="JF35" s="505">
        <f t="shared" si="198"/>
        <v>0</v>
      </c>
      <c r="JG35" s="503"/>
      <c r="JH35" s="504">
        <f t="shared" si="87"/>
        <v>0</v>
      </c>
      <c r="JI35" s="505">
        <f t="shared" si="199"/>
        <v>0</v>
      </c>
      <c r="JJ35" s="503">
        <v>19.064443809481947</v>
      </c>
      <c r="JK35" s="505" t="str">
        <f t="shared" si="88"/>
        <v>0</v>
      </c>
      <c r="JL35" s="505" t="str">
        <f t="shared" si="89"/>
        <v>0</v>
      </c>
      <c r="JM35" s="503"/>
      <c r="JN35" s="505" t="str">
        <f t="shared" si="90"/>
        <v>0</v>
      </c>
      <c r="JO35" s="505" t="str">
        <f t="shared" si="91"/>
        <v>0</v>
      </c>
      <c r="JP35" s="503"/>
      <c r="JQ35" s="505" t="str">
        <f t="shared" si="92"/>
        <v>0</v>
      </c>
      <c r="JR35" s="505" t="str">
        <f t="shared" si="93"/>
        <v>0</v>
      </c>
      <c r="JS35" s="503"/>
      <c r="JT35" s="505" t="str">
        <f t="shared" si="94"/>
        <v>0</v>
      </c>
      <c r="JU35" s="505" t="str">
        <f t="shared" si="95"/>
        <v>0</v>
      </c>
      <c r="JV35" s="503"/>
      <c r="JW35" s="505" t="str">
        <f t="shared" si="96"/>
        <v>0</v>
      </c>
      <c r="JX35" s="505" t="str">
        <f t="shared" si="97"/>
        <v>0</v>
      </c>
      <c r="JY35" s="503"/>
      <c r="JZ35" s="505" t="str">
        <f t="shared" si="98"/>
        <v>0</v>
      </c>
      <c r="KA35" s="505" t="str">
        <f t="shared" si="99"/>
        <v>0</v>
      </c>
      <c r="KB35" s="503"/>
      <c r="KC35" s="505" t="str">
        <f t="shared" si="100"/>
        <v>0</v>
      </c>
      <c r="KD35" s="505" t="str">
        <f t="shared" si="101"/>
        <v>0</v>
      </c>
      <c r="KE35" s="503"/>
      <c r="KF35" s="505" t="str">
        <f t="shared" si="102"/>
        <v>0</v>
      </c>
      <c r="KG35" s="505" t="str">
        <f t="shared" si="103"/>
        <v>0</v>
      </c>
      <c r="KH35" s="503"/>
      <c r="KI35" s="505" t="str">
        <f t="shared" si="104"/>
        <v>0</v>
      </c>
      <c r="KJ35" s="505" t="str">
        <f t="shared" si="105"/>
        <v>0</v>
      </c>
      <c r="KK35" s="503"/>
      <c r="KL35" s="505" t="str">
        <f t="shared" si="106"/>
        <v>0</v>
      </c>
      <c r="KM35" s="505" t="str">
        <f t="shared" si="107"/>
        <v>0</v>
      </c>
      <c r="KN35" s="503"/>
      <c r="KO35" s="505" t="str">
        <f t="shared" si="108"/>
        <v>0</v>
      </c>
      <c r="KP35" s="505" t="str">
        <f t="shared" si="109"/>
        <v>0</v>
      </c>
      <c r="KQ35" s="503"/>
      <c r="KR35" s="505" t="str">
        <f t="shared" si="110"/>
        <v>0</v>
      </c>
      <c r="KS35" s="505" t="str">
        <f t="shared" si="111"/>
        <v>0</v>
      </c>
      <c r="KT35" s="505">
        <f t="shared" si="201"/>
        <v>0</v>
      </c>
      <c r="KU35" s="505">
        <f t="shared" si="202"/>
        <v>0</v>
      </c>
      <c r="KV35" s="258">
        <f t="shared" si="112"/>
        <v>1615.9491345418915</v>
      </c>
    </row>
    <row r="36" spans="1:308" ht="15" customHeight="1">
      <c r="A36" s="462">
        <f t="shared" si="200"/>
        <v>46108</v>
      </c>
      <c r="B36" s="463" t="str">
        <f>+Report1!B35</f>
        <v>Toilet</v>
      </c>
      <c r="C36" s="464" t="str">
        <f>+Report1!C35</f>
        <v>13,5</v>
      </c>
      <c r="D36" s="465">
        <f>+Report1!P35</f>
        <v>51.256</v>
      </c>
      <c r="E36" s="466">
        <f>+Report1!R35</f>
        <v>42.185000000000002</v>
      </c>
      <c r="F36" s="503"/>
      <c r="G36" s="504">
        <f t="shared" si="0"/>
        <v>0</v>
      </c>
      <c r="H36" s="505">
        <f t="shared" si="113"/>
        <v>0</v>
      </c>
      <c r="I36" s="503"/>
      <c r="J36" s="504">
        <f t="shared" si="1"/>
        <v>0</v>
      </c>
      <c r="K36" s="505">
        <f t="shared" si="114"/>
        <v>0</v>
      </c>
      <c r="L36" s="503"/>
      <c r="M36" s="504">
        <f t="shared" si="2"/>
        <v>0</v>
      </c>
      <c r="N36" s="505">
        <f t="shared" si="115"/>
        <v>0</v>
      </c>
      <c r="O36" s="503">
        <v>5.9999999999999716</v>
      </c>
      <c r="P36" s="504">
        <f t="shared" si="3"/>
        <v>0.14223065070522631</v>
      </c>
      <c r="Q36" s="505">
        <f t="shared" si="116"/>
        <v>0</v>
      </c>
      <c r="R36" s="503">
        <v>7.6875</v>
      </c>
      <c r="S36" s="504">
        <f t="shared" si="4"/>
        <v>0.18223302121607204</v>
      </c>
      <c r="T36" s="505">
        <f t="shared" si="117"/>
        <v>0</v>
      </c>
      <c r="U36" s="503">
        <v>9.3750000000000284</v>
      </c>
      <c r="V36" s="504">
        <f t="shared" si="5"/>
        <v>0.22223539172691781</v>
      </c>
      <c r="W36" s="505">
        <f t="shared" si="118"/>
        <v>0</v>
      </c>
      <c r="X36" s="503"/>
      <c r="Y36" s="504">
        <f t="shared" si="6"/>
        <v>0</v>
      </c>
      <c r="Z36" s="505">
        <f t="shared" si="119"/>
        <v>0</v>
      </c>
      <c r="AA36" s="503"/>
      <c r="AB36" s="504">
        <f t="shared" si="7"/>
        <v>0</v>
      </c>
      <c r="AC36" s="505">
        <f t="shared" si="120"/>
        <v>0</v>
      </c>
      <c r="AD36" s="503"/>
      <c r="AE36" s="504">
        <f t="shared" si="8"/>
        <v>0</v>
      </c>
      <c r="AF36" s="505">
        <f t="shared" si="121"/>
        <v>0</v>
      </c>
      <c r="AG36" s="503"/>
      <c r="AH36" s="504">
        <f t="shared" si="9"/>
        <v>0</v>
      </c>
      <c r="AI36" s="505">
        <f t="shared" si="122"/>
        <v>0</v>
      </c>
      <c r="AJ36" s="503"/>
      <c r="AK36" s="504">
        <f t="shared" si="10"/>
        <v>0</v>
      </c>
      <c r="AL36" s="505">
        <f t="shared" si="123"/>
        <v>0</v>
      </c>
      <c r="AM36" s="503">
        <v>52.564102564102484</v>
      </c>
      <c r="AN36" s="504">
        <f t="shared" si="11"/>
        <v>1.2460377519047643</v>
      </c>
      <c r="AO36" s="505">
        <f t="shared" si="124"/>
        <v>0</v>
      </c>
      <c r="AP36" s="503"/>
      <c r="AQ36" s="504">
        <f t="shared" si="12"/>
        <v>0</v>
      </c>
      <c r="AR36" s="505">
        <f t="shared" si="125"/>
        <v>0</v>
      </c>
      <c r="AS36" s="503"/>
      <c r="AT36" s="504">
        <f t="shared" si="13"/>
        <v>0</v>
      </c>
      <c r="AU36" s="505">
        <f t="shared" si="126"/>
        <v>0</v>
      </c>
      <c r="AV36" s="503">
        <v>8.3249999999999602</v>
      </c>
      <c r="AW36" s="504">
        <f t="shared" si="14"/>
        <v>0.19734502785350147</v>
      </c>
      <c r="AX36" s="505">
        <f t="shared" si="127"/>
        <v>0</v>
      </c>
      <c r="AY36" s="503">
        <v>49</v>
      </c>
      <c r="AZ36" s="504">
        <f t="shared" si="15"/>
        <v>1.1615503140926868</v>
      </c>
      <c r="BA36" s="505">
        <f t="shared" si="128"/>
        <v>0</v>
      </c>
      <c r="BB36" s="503"/>
      <c r="BC36" s="504">
        <f t="shared" si="16"/>
        <v>0</v>
      </c>
      <c r="BD36" s="505">
        <f t="shared" si="129"/>
        <v>0</v>
      </c>
      <c r="BE36" s="503"/>
      <c r="BF36" s="504">
        <f t="shared" si="17"/>
        <v>0</v>
      </c>
      <c r="BG36" s="505">
        <f t="shared" si="130"/>
        <v>0</v>
      </c>
      <c r="BH36" s="503"/>
      <c r="BI36" s="504">
        <f t="shared" si="18"/>
        <v>0</v>
      </c>
      <c r="BJ36" s="505">
        <f t="shared" si="131"/>
        <v>0</v>
      </c>
      <c r="BK36" s="503"/>
      <c r="BL36" s="504">
        <f t="shared" si="19"/>
        <v>0</v>
      </c>
      <c r="BM36" s="505">
        <f t="shared" si="132"/>
        <v>0</v>
      </c>
      <c r="BN36" s="503"/>
      <c r="BO36" s="504">
        <f t="shared" si="20"/>
        <v>0</v>
      </c>
      <c r="BP36" s="505">
        <f t="shared" si="133"/>
        <v>0</v>
      </c>
      <c r="BQ36" s="503"/>
      <c r="BR36" s="504">
        <f t="shared" si="21"/>
        <v>0</v>
      </c>
      <c r="BS36" s="505">
        <f t="shared" si="134"/>
        <v>0</v>
      </c>
      <c r="BT36" s="503"/>
      <c r="BU36" s="504">
        <f t="shared" si="22"/>
        <v>0</v>
      </c>
      <c r="BV36" s="505">
        <f t="shared" si="135"/>
        <v>0</v>
      </c>
      <c r="BW36" s="503"/>
      <c r="BX36" s="504">
        <f t="shared" si="23"/>
        <v>0</v>
      </c>
      <c r="BY36" s="505">
        <f t="shared" si="136"/>
        <v>0</v>
      </c>
      <c r="BZ36" s="503"/>
      <c r="CA36" s="504">
        <f t="shared" si="24"/>
        <v>0</v>
      </c>
      <c r="CB36" s="505">
        <f t="shared" si="137"/>
        <v>0</v>
      </c>
      <c r="CC36" s="503"/>
      <c r="CD36" s="504">
        <f t="shared" si="25"/>
        <v>0</v>
      </c>
      <c r="CE36" s="505">
        <f t="shared" si="138"/>
        <v>0</v>
      </c>
      <c r="CF36" s="503">
        <v>10</v>
      </c>
      <c r="CG36" s="504">
        <f t="shared" si="26"/>
        <v>0.23705108450871162</v>
      </c>
      <c r="CH36" s="505">
        <f t="shared" si="139"/>
        <v>0</v>
      </c>
      <c r="CI36" s="503"/>
      <c r="CJ36" s="504">
        <f t="shared" si="27"/>
        <v>0</v>
      </c>
      <c r="CK36" s="505">
        <f t="shared" si="140"/>
        <v>0</v>
      </c>
      <c r="CL36" s="503"/>
      <c r="CM36" s="504">
        <f t="shared" si="28"/>
        <v>0</v>
      </c>
      <c r="CN36" s="505">
        <f t="shared" si="141"/>
        <v>0</v>
      </c>
      <c r="CO36" s="503"/>
      <c r="CP36" s="504">
        <f t="shared" si="29"/>
        <v>0</v>
      </c>
      <c r="CQ36" s="505">
        <f t="shared" si="142"/>
        <v>0</v>
      </c>
      <c r="CR36" s="503"/>
      <c r="CS36" s="504">
        <f t="shared" si="30"/>
        <v>0</v>
      </c>
      <c r="CT36" s="505">
        <f t="shared" si="143"/>
        <v>0</v>
      </c>
      <c r="CU36" s="503"/>
      <c r="CV36" s="504">
        <f t="shared" si="31"/>
        <v>0</v>
      </c>
      <c r="CW36" s="505">
        <f t="shared" si="144"/>
        <v>0</v>
      </c>
      <c r="CX36" s="503"/>
      <c r="CY36" s="504">
        <f t="shared" si="32"/>
        <v>0</v>
      </c>
      <c r="CZ36" s="505">
        <f t="shared" si="145"/>
        <v>0</v>
      </c>
      <c r="DA36" s="503"/>
      <c r="DB36" s="504">
        <f t="shared" si="33"/>
        <v>0</v>
      </c>
      <c r="DC36" s="505">
        <f t="shared" si="146"/>
        <v>0</v>
      </c>
      <c r="DD36" s="503"/>
      <c r="DE36" s="504">
        <f t="shared" si="34"/>
        <v>0</v>
      </c>
      <c r="DF36" s="505">
        <f t="shared" si="147"/>
        <v>0</v>
      </c>
      <c r="DG36" s="503"/>
      <c r="DH36" s="504">
        <f t="shared" si="35"/>
        <v>0</v>
      </c>
      <c r="DI36" s="505">
        <f t="shared" si="203"/>
        <v>0</v>
      </c>
      <c r="DJ36" s="503"/>
      <c r="DK36" s="504">
        <f t="shared" si="36"/>
        <v>0</v>
      </c>
      <c r="DL36" s="505">
        <f t="shared" si="148"/>
        <v>0</v>
      </c>
      <c r="DM36" s="503"/>
      <c r="DN36" s="504">
        <f t="shared" si="37"/>
        <v>0</v>
      </c>
      <c r="DO36" s="505">
        <f t="shared" si="149"/>
        <v>0</v>
      </c>
      <c r="DP36" s="503"/>
      <c r="DQ36" s="504">
        <f t="shared" si="38"/>
        <v>0</v>
      </c>
      <c r="DR36" s="505">
        <f t="shared" si="150"/>
        <v>0</v>
      </c>
      <c r="DS36" s="503"/>
      <c r="DT36" s="504">
        <f t="shared" si="39"/>
        <v>0</v>
      </c>
      <c r="DU36" s="505">
        <f t="shared" si="151"/>
        <v>0</v>
      </c>
      <c r="DV36" s="503"/>
      <c r="DW36" s="504">
        <f t="shared" si="40"/>
        <v>0</v>
      </c>
      <c r="DX36" s="505">
        <f t="shared" si="152"/>
        <v>0</v>
      </c>
      <c r="DY36" s="503"/>
      <c r="DZ36" s="504">
        <f t="shared" si="41"/>
        <v>0</v>
      </c>
      <c r="EA36" s="505">
        <f t="shared" si="153"/>
        <v>0</v>
      </c>
      <c r="EB36" s="503">
        <v>246.56470588235311</v>
      </c>
      <c r="EC36" s="504">
        <f t="shared" si="42"/>
        <v>5.8448430930983308</v>
      </c>
      <c r="ED36" s="505">
        <f t="shared" si="154"/>
        <v>0</v>
      </c>
      <c r="EE36" s="503">
        <v>7.2674418604651123</v>
      </c>
      <c r="EF36" s="504">
        <f t="shared" si="43"/>
        <v>0.17227549746272636</v>
      </c>
      <c r="EG36" s="505">
        <f t="shared" si="155"/>
        <v>0</v>
      </c>
      <c r="EH36" s="503"/>
      <c r="EI36" s="504">
        <f t="shared" si="44"/>
        <v>0</v>
      </c>
      <c r="EJ36" s="505">
        <f t="shared" si="156"/>
        <v>0</v>
      </c>
      <c r="EK36" s="503"/>
      <c r="EL36" s="504">
        <f t="shared" si="45"/>
        <v>0</v>
      </c>
      <c r="EM36" s="505">
        <f t="shared" si="157"/>
        <v>0</v>
      </c>
      <c r="EN36" s="503"/>
      <c r="EO36" s="504">
        <f t="shared" si="46"/>
        <v>0</v>
      </c>
      <c r="EP36" s="505">
        <f t="shared" si="158"/>
        <v>0</v>
      </c>
      <c r="EQ36" s="503"/>
      <c r="ER36" s="504">
        <f t="shared" si="47"/>
        <v>0</v>
      </c>
      <c r="ES36" s="505">
        <f t="shared" si="159"/>
        <v>0</v>
      </c>
      <c r="ET36" s="503"/>
      <c r="EU36" s="504">
        <f t="shared" si="48"/>
        <v>0</v>
      </c>
      <c r="EV36" s="505">
        <f t="shared" si="160"/>
        <v>0</v>
      </c>
      <c r="EW36" s="503"/>
      <c r="EX36" s="504">
        <f t="shared" si="49"/>
        <v>0</v>
      </c>
      <c r="EY36" s="505">
        <f t="shared" si="161"/>
        <v>0</v>
      </c>
      <c r="EZ36" s="503"/>
      <c r="FA36" s="504">
        <f t="shared" si="50"/>
        <v>0</v>
      </c>
      <c r="FB36" s="505">
        <f t="shared" si="162"/>
        <v>0</v>
      </c>
      <c r="FC36" s="503"/>
      <c r="FD36" s="504">
        <f t="shared" si="51"/>
        <v>0</v>
      </c>
      <c r="FE36" s="505">
        <f t="shared" si="163"/>
        <v>0</v>
      </c>
      <c r="FF36" s="503"/>
      <c r="FG36" s="504">
        <f t="shared" si="52"/>
        <v>0</v>
      </c>
      <c r="FH36" s="505">
        <f t="shared" si="164"/>
        <v>0</v>
      </c>
      <c r="FI36" s="503"/>
      <c r="FJ36" s="504">
        <f t="shared" si="53"/>
        <v>0</v>
      </c>
      <c r="FK36" s="505">
        <f t="shared" si="165"/>
        <v>0</v>
      </c>
      <c r="FL36" s="503"/>
      <c r="FM36" s="504">
        <f t="shared" si="54"/>
        <v>0</v>
      </c>
      <c r="FN36" s="505">
        <f t="shared" si="166"/>
        <v>0</v>
      </c>
      <c r="FO36" s="503"/>
      <c r="FP36" s="504">
        <f t="shared" si="55"/>
        <v>0</v>
      </c>
      <c r="FQ36" s="505">
        <f t="shared" si="167"/>
        <v>0</v>
      </c>
      <c r="FR36" s="503"/>
      <c r="FS36" s="504">
        <f t="shared" si="56"/>
        <v>0</v>
      </c>
      <c r="FT36" s="505">
        <f t="shared" si="168"/>
        <v>0</v>
      </c>
      <c r="FU36" s="503"/>
      <c r="FV36" s="504">
        <f t="shared" si="57"/>
        <v>0</v>
      </c>
      <c r="FW36" s="505">
        <f t="shared" si="169"/>
        <v>0</v>
      </c>
      <c r="FX36" s="503"/>
      <c r="FY36" s="504">
        <f t="shared" si="58"/>
        <v>0</v>
      </c>
      <c r="FZ36" s="505">
        <f t="shared" si="170"/>
        <v>0</v>
      </c>
      <c r="GA36" s="503"/>
      <c r="GB36" s="504">
        <f t="shared" si="59"/>
        <v>0</v>
      </c>
      <c r="GC36" s="505">
        <f t="shared" si="171"/>
        <v>0</v>
      </c>
      <c r="GD36" s="503"/>
      <c r="GE36" s="504">
        <f t="shared" si="60"/>
        <v>0</v>
      </c>
      <c r="GF36" s="505">
        <f t="shared" si="172"/>
        <v>0</v>
      </c>
      <c r="GG36" s="503">
        <v>14.96394476396228</v>
      </c>
      <c r="GH36" s="504">
        <f t="shared" si="61"/>
        <v>0.35472193348257153</v>
      </c>
      <c r="GI36" s="505">
        <f t="shared" si="173"/>
        <v>0</v>
      </c>
      <c r="GJ36" s="503">
        <v>14.96394476396228</v>
      </c>
      <c r="GK36" s="504">
        <f t="shared" si="62"/>
        <v>0.35472193348257153</v>
      </c>
      <c r="GL36" s="505">
        <f t="shared" si="174"/>
        <v>0</v>
      </c>
      <c r="GM36" s="503"/>
      <c r="GN36" s="504">
        <f t="shared" si="63"/>
        <v>0</v>
      </c>
      <c r="GO36" s="505">
        <f t="shared" si="175"/>
        <v>0</v>
      </c>
      <c r="GP36" s="503">
        <v>39.903852703899418</v>
      </c>
      <c r="GQ36" s="504">
        <f t="shared" si="64"/>
        <v>0.94592515595352411</v>
      </c>
      <c r="GR36" s="505">
        <f t="shared" si="176"/>
        <v>0</v>
      </c>
      <c r="GS36" s="503">
        <v>339.18274798314502</v>
      </c>
      <c r="GT36" s="504">
        <f t="shared" si="65"/>
        <v>8.0403638256049543</v>
      </c>
      <c r="GU36" s="505">
        <f t="shared" si="177"/>
        <v>0</v>
      </c>
      <c r="GV36" s="503">
        <v>69.831742231823981</v>
      </c>
      <c r="GW36" s="504">
        <f t="shared" si="66"/>
        <v>1.6553690229186673</v>
      </c>
      <c r="GX36" s="505">
        <f t="shared" si="178"/>
        <v>0</v>
      </c>
      <c r="GY36" s="503"/>
      <c r="GZ36" s="504">
        <f t="shared" si="67"/>
        <v>0</v>
      </c>
      <c r="HA36" s="505">
        <f t="shared" si="179"/>
        <v>0</v>
      </c>
      <c r="HB36" s="503"/>
      <c r="HC36" s="504">
        <f t="shared" si="68"/>
        <v>0</v>
      </c>
      <c r="HD36" s="505">
        <f t="shared" si="180"/>
        <v>0</v>
      </c>
      <c r="HE36" s="503"/>
      <c r="HF36" s="504">
        <f t="shared" si="69"/>
        <v>0</v>
      </c>
      <c r="HG36" s="505">
        <f t="shared" si="181"/>
        <v>0</v>
      </c>
      <c r="HH36" s="503"/>
      <c r="HI36" s="504">
        <f t="shared" si="70"/>
        <v>0</v>
      </c>
      <c r="HJ36" s="505">
        <f t="shared" si="182"/>
        <v>0</v>
      </c>
      <c r="HK36" s="503"/>
      <c r="HL36" s="504">
        <f t="shared" si="71"/>
        <v>0</v>
      </c>
      <c r="HM36" s="505">
        <f t="shared" si="183"/>
        <v>0</v>
      </c>
      <c r="HN36" s="503">
        <v>899.83187847293175</v>
      </c>
      <c r="HO36" s="504">
        <f t="shared" si="72"/>
        <v>21.330612266751967</v>
      </c>
      <c r="HP36" s="505">
        <f t="shared" si="184"/>
        <v>0</v>
      </c>
      <c r="HQ36" s="503"/>
      <c r="HR36" s="504">
        <f t="shared" si="73"/>
        <v>0</v>
      </c>
      <c r="HS36" s="505">
        <f t="shared" si="185"/>
        <v>0</v>
      </c>
      <c r="HT36" s="503"/>
      <c r="HU36" s="504">
        <f t="shared" si="74"/>
        <v>0</v>
      </c>
      <c r="HV36" s="505">
        <f t="shared" si="186"/>
        <v>0</v>
      </c>
      <c r="HW36" s="503"/>
      <c r="HX36" s="504">
        <f t="shared" si="75"/>
        <v>0</v>
      </c>
      <c r="HY36" s="505">
        <f t="shared" si="187"/>
        <v>0</v>
      </c>
      <c r="HZ36" s="503"/>
      <c r="IA36" s="504">
        <f t="shared" si="76"/>
        <v>0</v>
      </c>
      <c r="IB36" s="505">
        <f t="shared" si="188"/>
        <v>0</v>
      </c>
      <c r="IC36" s="503"/>
      <c r="ID36" s="504">
        <f t="shared" si="77"/>
        <v>0</v>
      </c>
      <c r="IE36" s="505">
        <f t="shared" si="189"/>
        <v>0</v>
      </c>
      <c r="IF36" s="503"/>
      <c r="IG36" s="504">
        <f t="shared" si="78"/>
        <v>0</v>
      </c>
      <c r="IH36" s="505">
        <f t="shared" si="190"/>
        <v>0</v>
      </c>
      <c r="II36" s="503">
        <v>24.939907939937132</v>
      </c>
      <c r="IJ36" s="504">
        <f t="shared" si="79"/>
        <v>0.59120322247095247</v>
      </c>
      <c r="IK36" s="505">
        <f t="shared" si="191"/>
        <v>0</v>
      </c>
      <c r="IL36" s="503"/>
      <c r="IM36" s="504">
        <f t="shared" si="80"/>
        <v>0</v>
      </c>
      <c r="IN36" s="505">
        <f t="shared" si="192"/>
        <v>0</v>
      </c>
      <c r="IO36" s="503"/>
      <c r="IP36" s="504">
        <f t="shared" si="81"/>
        <v>0</v>
      </c>
      <c r="IQ36" s="505">
        <f t="shared" si="193"/>
        <v>0</v>
      </c>
      <c r="IR36" s="503">
        <v>44.891834291886838</v>
      </c>
      <c r="IS36" s="504">
        <f t="shared" si="82"/>
        <v>1.0641658004477146</v>
      </c>
      <c r="IT36" s="505">
        <f t="shared" si="194"/>
        <v>0</v>
      </c>
      <c r="IU36" s="503"/>
      <c r="IV36" s="504">
        <f t="shared" si="83"/>
        <v>0</v>
      </c>
      <c r="IW36" s="505">
        <f t="shared" si="195"/>
        <v>0</v>
      </c>
      <c r="IX36" s="503"/>
      <c r="IY36" s="504">
        <f t="shared" si="84"/>
        <v>0</v>
      </c>
      <c r="IZ36" s="505">
        <f t="shared" si="196"/>
        <v>0</v>
      </c>
      <c r="JA36" s="503"/>
      <c r="JB36" s="504">
        <f t="shared" si="85"/>
        <v>0</v>
      </c>
      <c r="JC36" s="505">
        <f t="shared" si="197"/>
        <v>0</v>
      </c>
      <c r="JD36" s="503"/>
      <c r="JE36" s="504">
        <f t="shared" si="86"/>
        <v>0</v>
      </c>
      <c r="JF36" s="505">
        <f t="shared" si="198"/>
        <v>0</v>
      </c>
      <c r="JG36" s="503"/>
      <c r="JH36" s="504">
        <f t="shared" si="87"/>
        <v>0</v>
      </c>
      <c r="JI36" s="505">
        <f t="shared" si="199"/>
        <v>0</v>
      </c>
      <c r="JJ36" s="503">
        <v>22.445917145943419</v>
      </c>
      <c r="JK36" s="505" t="str">
        <f t="shared" si="88"/>
        <v>0</v>
      </c>
      <c r="JL36" s="505" t="str">
        <f t="shared" si="89"/>
        <v>0</v>
      </c>
      <c r="JM36" s="503"/>
      <c r="JN36" s="505" t="str">
        <f t="shared" si="90"/>
        <v>0</v>
      </c>
      <c r="JO36" s="505" t="str">
        <f t="shared" si="91"/>
        <v>0</v>
      </c>
      <c r="JP36" s="503"/>
      <c r="JQ36" s="505" t="str">
        <f t="shared" si="92"/>
        <v>0</v>
      </c>
      <c r="JR36" s="505" t="str">
        <f t="shared" si="93"/>
        <v>0</v>
      </c>
      <c r="JS36" s="503"/>
      <c r="JT36" s="505" t="str">
        <f t="shared" si="94"/>
        <v>0</v>
      </c>
      <c r="JU36" s="505" t="str">
        <f t="shared" si="95"/>
        <v>0</v>
      </c>
      <c r="JV36" s="503"/>
      <c r="JW36" s="505" t="str">
        <f t="shared" si="96"/>
        <v>0</v>
      </c>
      <c r="JX36" s="505" t="str">
        <f t="shared" si="97"/>
        <v>0</v>
      </c>
      <c r="JY36" s="503"/>
      <c r="JZ36" s="505" t="str">
        <f t="shared" si="98"/>
        <v>0</v>
      </c>
      <c r="KA36" s="505" t="str">
        <f t="shared" si="99"/>
        <v>0</v>
      </c>
      <c r="KB36" s="503"/>
      <c r="KC36" s="505" t="str">
        <f t="shared" si="100"/>
        <v>0</v>
      </c>
      <c r="KD36" s="505" t="str">
        <f t="shared" si="101"/>
        <v>0</v>
      </c>
      <c r="KE36" s="503"/>
      <c r="KF36" s="505" t="str">
        <f t="shared" si="102"/>
        <v>0</v>
      </c>
      <c r="KG36" s="505" t="str">
        <f t="shared" si="103"/>
        <v>0</v>
      </c>
      <c r="KH36" s="503"/>
      <c r="KI36" s="505" t="str">
        <f t="shared" si="104"/>
        <v>0</v>
      </c>
      <c r="KJ36" s="505" t="str">
        <f t="shared" si="105"/>
        <v>0</v>
      </c>
      <c r="KK36" s="503"/>
      <c r="KL36" s="505" t="str">
        <f t="shared" si="106"/>
        <v>0</v>
      </c>
      <c r="KM36" s="505" t="str">
        <f t="shared" si="107"/>
        <v>0</v>
      </c>
      <c r="KN36" s="503"/>
      <c r="KO36" s="505" t="str">
        <f t="shared" si="108"/>
        <v>0</v>
      </c>
      <c r="KP36" s="505" t="str">
        <f t="shared" si="109"/>
        <v>0</v>
      </c>
      <c r="KQ36" s="503"/>
      <c r="KR36" s="505" t="str">
        <f t="shared" si="110"/>
        <v>0</v>
      </c>
      <c r="KS36" s="505" t="str">
        <f t="shared" si="111"/>
        <v>0</v>
      </c>
      <c r="KT36" s="505">
        <f t="shared" si="201"/>
        <v>0</v>
      </c>
      <c r="KU36" s="505">
        <f t="shared" si="202"/>
        <v>0</v>
      </c>
      <c r="KV36" s="258">
        <f t="shared" si="112"/>
        <v>1867.7395206044127</v>
      </c>
    </row>
    <row r="37" spans="1:308" ht="15" customHeight="1">
      <c r="A37" s="462">
        <f t="shared" si="200"/>
        <v>46109</v>
      </c>
      <c r="B37" s="463" t="str">
        <f>+Report1!B36</f>
        <v>Toilet</v>
      </c>
      <c r="C37" s="464" t="str">
        <f>+Report1!C36</f>
        <v>13,5</v>
      </c>
      <c r="D37" s="465">
        <f>+Report1!P36</f>
        <v>52.190000000000005</v>
      </c>
      <c r="E37" s="466">
        <f>+Report1!R36</f>
        <v>43.594999999999999</v>
      </c>
      <c r="F37" s="503"/>
      <c r="G37" s="504">
        <f t="shared" si="0"/>
        <v>0</v>
      </c>
      <c r="H37" s="505">
        <f t="shared" si="113"/>
        <v>0</v>
      </c>
      <c r="I37" s="503"/>
      <c r="J37" s="504">
        <f t="shared" si="1"/>
        <v>0</v>
      </c>
      <c r="K37" s="505">
        <f t="shared" si="114"/>
        <v>0</v>
      </c>
      <c r="L37" s="503"/>
      <c r="M37" s="504">
        <f t="shared" si="2"/>
        <v>0</v>
      </c>
      <c r="N37" s="505">
        <f t="shared" si="115"/>
        <v>0</v>
      </c>
      <c r="O37" s="503">
        <v>9</v>
      </c>
      <c r="P37" s="504">
        <f t="shared" si="3"/>
        <v>0.20644569331345339</v>
      </c>
      <c r="Q37" s="505">
        <f t="shared" si="116"/>
        <v>0</v>
      </c>
      <c r="R37" s="503">
        <v>6.4062500000000142</v>
      </c>
      <c r="S37" s="504">
        <f t="shared" si="4"/>
        <v>0.14694919142103485</v>
      </c>
      <c r="T37" s="505">
        <f t="shared" si="117"/>
        <v>0</v>
      </c>
      <c r="U37" s="503">
        <v>7.8124999999999858</v>
      </c>
      <c r="V37" s="504">
        <f t="shared" si="5"/>
        <v>0.17920633100126129</v>
      </c>
      <c r="W37" s="505">
        <f t="shared" si="118"/>
        <v>0</v>
      </c>
      <c r="X37" s="503"/>
      <c r="Y37" s="504">
        <f t="shared" si="6"/>
        <v>0</v>
      </c>
      <c r="Z37" s="505">
        <f t="shared" si="119"/>
        <v>0</v>
      </c>
      <c r="AA37" s="503"/>
      <c r="AB37" s="504">
        <f t="shared" si="7"/>
        <v>0</v>
      </c>
      <c r="AC37" s="505">
        <f t="shared" si="120"/>
        <v>0</v>
      </c>
      <c r="AD37" s="503"/>
      <c r="AE37" s="504">
        <f t="shared" si="8"/>
        <v>0</v>
      </c>
      <c r="AF37" s="505">
        <f t="shared" si="121"/>
        <v>0</v>
      </c>
      <c r="AG37" s="503"/>
      <c r="AH37" s="504">
        <f t="shared" si="9"/>
        <v>0</v>
      </c>
      <c r="AI37" s="505">
        <f t="shared" si="122"/>
        <v>0</v>
      </c>
      <c r="AJ37" s="503"/>
      <c r="AK37" s="504">
        <f t="shared" si="10"/>
        <v>0</v>
      </c>
      <c r="AL37" s="505">
        <f t="shared" si="123"/>
        <v>0</v>
      </c>
      <c r="AM37" s="503">
        <v>42.513920512820505</v>
      </c>
      <c r="AN37" s="504">
        <f t="shared" si="11"/>
        <v>0.9752017550824752</v>
      </c>
      <c r="AO37" s="505">
        <f t="shared" si="124"/>
        <v>0</v>
      </c>
      <c r="AP37" s="503"/>
      <c r="AQ37" s="504">
        <f t="shared" si="12"/>
        <v>0</v>
      </c>
      <c r="AR37" s="505">
        <f t="shared" si="125"/>
        <v>0</v>
      </c>
      <c r="AS37" s="503"/>
      <c r="AT37" s="504">
        <f t="shared" si="13"/>
        <v>0</v>
      </c>
      <c r="AU37" s="505">
        <f t="shared" si="126"/>
        <v>0</v>
      </c>
      <c r="AV37" s="503">
        <v>5.5500000000000114</v>
      </c>
      <c r="AW37" s="504">
        <f t="shared" si="14"/>
        <v>0.12730817754329651</v>
      </c>
      <c r="AX37" s="505">
        <f t="shared" si="127"/>
        <v>0</v>
      </c>
      <c r="AY37" s="503">
        <v>44.820133333333274</v>
      </c>
      <c r="AZ37" s="504">
        <f t="shared" si="15"/>
        <v>1.0281026111557123</v>
      </c>
      <c r="BA37" s="505">
        <f t="shared" si="128"/>
        <v>0</v>
      </c>
      <c r="BB37" s="503"/>
      <c r="BC37" s="504">
        <f t="shared" si="16"/>
        <v>0</v>
      </c>
      <c r="BD37" s="505">
        <f t="shared" si="129"/>
        <v>0</v>
      </c>
      <c r="BE37" s="503"/>
      <c r="BF37" s="504">
        <f t="shared" si="17"/>
        <v>0</v>
      </c>
      <c r="BG37" s="505">
        <f t="shared" si="130"/>
        <v>0</v>
      </c>
      <c r="BH37" s="503"/>
      <c r="BI37" s="504">
        <f t="shared" si="18"/>
        <v>0</v>
      </c>
      <c r="BJ37" s="505">
        <f t="shared" si="131"/>
        <v>0</v>
      </c>
      <c r="BK37" s="503"/>
      <c r="BL37" s="504">
        <f t="shared" si="19"/>
        <v>0</v>
      </c>
      <c r="BM37" s="505">
        <f t="shared" si="132"/>
        <v>0</v>
      </c>
      <c r="BN37" s="503"/>
      <c r="BO37" s="504">
        <f t="shared" si="20"/>
        <v>0</v>
      </c>
      <c r="BP37" s="505">
        <f t="shared" si="133"/>
        <v>0</v>
      </c>
      <c r="BQ37" s="503"/>
      <c r="BR37" s="504">
        <f t="shared" si="21"/>
        <v>0</v>
      </c>
      <c r="BS37" s="505">
        <f t="shared" si="134"/>
        <v>0</v>
      </c>
      <c r="BT37" s="503"/>
      <c r="BU37" s="504">
        <f t="shared" si="22"/>
        <v>0</v>
      </c>
      <c r="BV37" s="505">
        <f t="shared" si="135"/>
        <v>0</v>
      </c>
      <c r="BW37" s="503"/>
      <c r="BX37" s="504">
        <f t="shared" si="23"/>
        <v>0</v>
      </c>
      <c r="BY37" s="505">
        <f t="shared" si="136"/>
        <v>0</v>
      </c>
      <c r="BZ37" s="503"/>
      <c r="CA37" s="504">
        <f t="shared" si="24"/>
        <v>0</v>
      </c>
      <c r="CB37" s="505">
        <f t="shared" si="137"/>
        <v>0</v>
      </c>
      <c r="CC37" s="503"/>
      <c r="CD37" s="504">
        <f t="shared" si="25"/>
        <v>0</v>
      </c>
      <c r="CE37" s="505">
        <f t="shared" si="138"/>
        <v>0</v>
      </c>
      <c r="CF37" s="503">
        <v>10</v>
      </c>
      <c r="CG37" s="504">
        <f t="shared" si="26"/>
        <v>0.22938410368161488</v>
      </c>
      <c r="CH37" s="505">
        <f t="shared" si="139"/>
        <v>0</v>
      </c>
      <c r="CI37" s="503"/>
      <c r="CJ37" s="504">
        <f t="shared" si="27"/>
        <v>0</v>
      </c>
      <c r="CK37" s="505">
        <f t="shared" si="140"/>
        <v>0</v>
      </c>
      <c r="CL37" s="503"/>
      <c r="CM37" s="504">
        <f t="shared" si="28"/>
        <v>0</v>
      </c>
      <c r="CN37" s="505">
        <f t="shared" si="141"/>
        <v>0</v>
      </c>
      <c r="CO37" s="503"/>
      <c r="CP37" s="504">
        <f t="shared" si="29"/>
        <v>0</v>
      </c>
      <c r="CQ37" s="505">
        <f t="shared" si="142"/>
        <v>0</v>
      </c>
      <c r="CR37" s="503"/>
      <c r="CS37" s="504">
        <f t="shared" si="30"/>
        <v>0</v>
      </c>
      <c r="CT37" s="505">
        <f t="shared" si="143"/>
        <v>0</v>
      </c>
      <c r="CU37" s="503"/>
      <c r="CV37" s="504">
        <f t="shared" si="31"/>
        <v>0</v>
      </c>
      <c r="CW37" s="505">
        <f t="shared" si="144"/>
        <v>0</v>
      </c>
      <c r="CX37" s="503"/>
      <c r="CY37" s="504">
        <f t="shared" si="32"/>
        <v>0</v>
      </c>
      <c r="CZ37" s="505">
        <f t="shared" si="145"/>
        <v>0</v>
      </c>
      <c r="DA37" s="503"/>
      <c r="DB37" s="504">
        <f t="shared" si="33"/>
        <v>0</v>
      </c>
      <c r="DC37" s="505">
        <f t="shared" si="146"/>
        <v>0</v>
      </c>
      <c r="DD37" s="503"/>
      <c r="DE37" s="504">
        <f t="shared" si="34"/>
        <v>0</v>
      </c>
      <c r="DF37" s="505">
        <f t="shared" si="147"/>
        <v>0</v>
      </c>
      <c r="DG37" s="503"/>
      <c r="DH37" s="504">
        <f t="shared" si="35"/>
        <v>0</v>
      </c>
      <c r="DI37" s="505">
        <f t="shared" si="203"/>
        <v>0</v>
      </c>
      <c r="DJ37" s="503"/>
      <c r="DK37" s="504">
        <f t="shared" si="36"/>
        <v>0</v>
      </c>
      <c r="DL37" s="505">
        <f t="shared" si="148"/>
        <v>0</v>
      </c>
      <c r="DM37" s="503"/>
      <c r="DN37" s="504">
        <f t="shared" si="37"/>
        <v>0</v>
      </c>
      <c r="DO37" s="505">
        <f t="shared" si="149"/>
        <v>0</v>
      </c>
      <c r="DP37" s="503"/>
      <c r="DQ37" s="504">
        <f t="shared" si="38"/>
        <v>0</v>
      </c>
      <c r="DR37" s="505">
        <f t="shared" si="150"/>
        <v>0</v>
      </c>
      <c r="DS37" s="503"/>
      <c r="DT37" s="504">
        <f t="shared" si="39"/>
        <v>0</v>
      </c>
      <c r="DU37" s="505">
        <f t="shared" si="151"/>
        <v>0</v>
      </c>
      <c r="DV37" s="503"/>
      <c r="DW37" s="504">
        <f t="shared" si="40"/>
        <v>0</v>
      </c>
      <c r="DX37" s="505">
        <f t="shared" si="152"/>
        <v>0</v>
      </c>
      <c r="DY37" s="503"/>
      <c r="DZ37" s="504">
        <f t="shared" si="41"/>
        <v>0</v>
      </c>
      <c r="EA37" s="505">
        <f t="shared" si="153"/>
        <v>0</v>
      </c>
      <c r="EB37" s="503">
        <v>246.56470588235288</v>
      </c>
      <c r="EC37" s="504">
        <f t="shared" si="42"/>
        <v>5.6558024058344509</v>
      </c>
      <c r="ED37" s="505">
        <f t="shared" si="154"/>
        <v>0</v>
      </c>
      <c r="EE37" s="503">
        <v>18.168604651162696</v>
      </c>
      <c r="EF37" s="504">
        <f t="shared" si="43"/>
        <v>0.41675890930525739</v>
      </c>
      <c r="EG37" s="505">
        <f t="shared" si="155"/>
        <v>0</v>
      </c>
      <c r="EH37" s="503"/>
      <c r="EI37" s="504">
        <f t="shared" si="44"/>
        <v>0</v>
      </c>
      <c r="EJ37" s="505">
        <f t="shared" si="156"/>
        <v>0</v>
      </c>
      <c r="EK37" s="503"/>
      <c r="EL37" s="504">
        <f t="shared" si="45"/>
        <v>0</v>
      </c>
      <c r="EM37" s="505">
        <f t="shared" si="157"/>
        <v>0</v>
      </c>
      <c r="EN37" s="503"/>
      <c r="EO37" s="504">
        <f t="shared" si="46"/>
        <v>0</v>
      </c>
      <c r="EP37" s="505">
        <f t="shared" si="158"/>
        <v>0</v>
      </c>
      <c r="EQ37" s="503"/>
      <c r="ER37" s="504">
        <f t="shared" si="47"/>
        <v>0</v>
      </c>
      <c r="ES37" s="505">
        <f t="shared" si="159"/>
        <v>0</v>
      </c>
      <c r="ET37" s="503"/>
      <c r="EU37" s="504">
        <f t="shared" si="48"/>
        <v>0</v>
      </c>
      <c r="EV37" s="505">
        <f t="shared" si="160"/>
        <v>0</v>
      </c>
      <c r="EW37" s="503"/>
      <c r="EX37" s="504">
        <f t="shared" si="49"/>
        <v>0</v>
      </c>
      <c r="EY37" s="505">
        <f t="shared" si="161"/>
        <v>0</v>
      </c>
      <c r="EZ37" s="503"/>
      <c r="FA37" s="504">
        <f t="shared" si="50"/>
        <v>0</v>
      </c>
      <c r="FB37" s="505">
        <f t="shared" si="162"/>
        <v>0</v>
      </c>
      <c r="FC37" s="503"/>
      <c r="FD37" s="504">
        <f t="shared" si="51"/>
        <v>0</v>
      </c>
      <c r="FE37" s="505">
        <f t="shared" si="163"/>
        <v>0</v>
      </c>
      <c r="FF37" s="503"/>
      <c r="FG37" s="504">
        <f t="shared" si="52"/>
        <v>0</v>
      </c>
      <c r="FH37" s="505">
        <f t="shared" si="164"/>
        <v>0</v>
      </c>
      <c r="FI37" s="503"/>
      <c r="FJ37" s="504">
        <f t="shared" si="53"/>
        <v>0</v>
      </c>
      <c r="FK37" s="505">
        <f t="shared" si="165"/>
        <v>0</v>
      </c>
      <c r="FL37" s="503"/>
      <c r="FM37" s="504">
        <f t="shared" si="54"/>
        <v>0</v>
      </c>
      <c r="FN37" s="505">
        <f t="shared" si="166"/>
        <v>0</v>
      </c>
      <c r="FO37" s="503"/>
      <c r="FP37" s="504">
        <f t="shared" si="55"/>
        <v>0</v>
      </c>
      <c r="FQ37" s="505">
        <f t="shared" si="167"/>
        <v>0</v>
      </c>
      <c r="FR37" s="503"/>
      <c r="FS37" s="504">
        <f t="shared" si="56"/>
        <v>0</v>
      </c>
      <c r="FT37" s="505">
        <f t="shared" si="168"/>
        <v>0</v>
      </c>
      <c r="FU37" s="503"/>
      <c r="FV37" s="504">
        <f t="shared" si="57"/>
        <v>0</v>
      </c>
      <c r="FW37" s="505">
        <f t="shared" si="169"/>
        <v>0</v>
      </c>
      <c r="FX37" s="503"/>
      <c r="FY37" s="504">
        <f t="shared" si="58"/>
        <v>0</v>
      </c>
      <c r="FZ37" s="505">
        <f t="shared" si="170"/>
        <v>0</v>
      </c>
      <c r="GA37" s="503"/>
      <c r="GB37" s="504">
        <f t="shared" si="59"/>
        <v>0</v>
      </c>
      <c r="GC37" s="505">
        <f t="shared" si="171"/>
        <v>0</v>
      </c>
      <c r="GD37" s="503"/>
      <c r="GE37" s="504">
        <f t="shared" si="60"/>
        <v>0</v>
      </c>
      <c r="GF37" s="505">
        <f t="shared" si="172"/>
        <v>0</v>
      </c>
      <c r="GG37" s="503">
        <v>15.11497692738401</v>
      </c>
      <c r="GH37" s="504">
        <f t="shared" si="61"/>
        <v>0.34671354346562705</v>
      </c>
      <c r="GI37" s="505">
        <f t="shared" si="173"/>
        <v>0</v>
      </c>
      <c r="GJ37" s="503">
        <v>15.11497692738401</v>
      </c>
      <c r="GK37" s="504">
        <f t="shared" si="62"/>
        <v>0.34671354346562705</v>
      </c>
      <c r="GL37" s="505">
        <f t="shared" si="174"/>
        <v>0</v>
      </c>
      <c r="GM37" s="503"/>
      <c r="GN37" s="504">
        <f t="shared" si="63"/>
        <v>0</v>
      </c>
      <c r="GO37" s="505">
        <f t="shared" si="175"/>
        <v>0</v>
      </c>
      <c r="GP37" s="503">
        <v>40.306605139690689</v>
      </c>
      <c r="GQ37" s="504">
        <f t="shared" si="64"/>
        <v>0.92456944924167195</v>
      </c>
      <c r="GR37" s="505">
        <f t="shared" si="176"/>
        <v>0</v>
      </c>
      <c r="GS37" s="503">
        <v>312.37618983260285</v>
      </c>
      <c r="GT37" s="504">
        <f t="shared" si="65"/>
        <v>7.1654132316229582</v>
      </c>
      <c r="GU37" s="505">
        <f t="shared" si="177"/>
        <v>0</v>
      </c>
      <c r="GV37" s="503">
        <v>75.574884636920046</v>
      </c>
      <c r="GW37" s="504">
        <f t="shared" si="66"/>
        <v>1.733567717328135</v>
      </c>
      <c r="GX37" s="505">
        <f t="shared" si="178"/>
        <v>0</v>
      </c>
      <c r="GY37" s="503"/>
      <c r="GZ37" s="504">
        <f t="shared" si="67"/>
        <v>0</v>
      </c>
      <c r="HA37" s="505">
        <f t="shared" si="179"/>
        <v>0</v>
      </c>
      <c r="HB37" s="503"/>
      <c r="HC37" s="504">
        <f t="shared" si="68"/>
        <v>0</v>
      </c>
      <c r="HD37" s="505">
        <f t="shared" si="180"/>
        <v>0</v>
      </c>
      <c r="HE37" s="503"/>
      <c r="HF37" s="504">
        <f t="shared" si="69"/>
        <v>0</v>
      </c>
      <c r="HG37" s="505">
        <f t="shared" si="181"/>
        <v>0</v>
      </c>
      <c r="HH37" s="503"/>
      <c r="HI37" s="504">
        <f t="shared" si="70"/>
        <v>0</v>
      </c>
      <c r="HJ37" s="505">
        <f t="shared" si="182"/>
        <v>0</v>
      </c>
      <c r="HK37" s="503"/>
      <c r="HL37" s="504">
        <f t="shared" si="71"/>
        <v>0</v>
      </c>
      <c r="HM37" s="505">
        <f t="shared" si="183"/>
        <v>0</v>
      </c>
      <c r="HN37" s="503">
        <v>904.88328538605606</v>
      </c>
      <c r="HO37" s="504">
        <f t="shared" si="72"/>
        <v>20.756584135475538</v>
      </c>
      <c r="HP37" s="505">
        <f t="shared" si="184"/>
        <v>0</v>
      </c>
      <c r="HQ37" s="503"/>
      <c r="HR37" s="504">
        <f t="shared" si="73"/>
        <v>0</v>
      </c>
      <c r="HS37" s="505">
        <f t="shared" si="185"/>
        <v>0</v>
      </c>
      <c r="HT37" s="503"/>
      <c r="HU37" s="504">
        <f t="shared" si="74"/>
        <v>0</v>
      </c>
      <c r="HV37" s="505">
        <f t="shared" si="186"/>
        <v>0</v>
      </c>
      <c r="HW37" s="503"/>
      <c r="HX37" s="504">
        <f t="shared" si="75"/>
        <v>0</v>
      </c>
      <c r="HY37" s="505">
        <f t="shared" si="187"/>
        <v>0</v>
      </c>
      <c r="HZ37" s="503"/>
      <c r="IA37" s="504">
        <f t="shared" si="76"/>
        <v>0</v>
      </c>
      <c r="IB37" s="505">
        <f t="shared" si="188"/>
        <v>0</v>
      </c>
      <c r="IC37" s="503"/>
      <c r="ID37" s="504">
        <f t="shared" si="77"/>
        <v>0</v>
      </c>
      <c r="IE37" s="505">
        <f t="shared" si="189"/>
        <v>0</v>
      </c>
      <c r="IF37" s="503"/>
      <c r="IG37" s="504">
        <f t="shared" si="78"/>
        <v>0</v>
      </c>
      <c r="IH37" s="505">
        <f t="shared" si="190"/>
        <v>0</v>
      </c>
      <c r="II37" s="503">
        <v>25.191628212306682</v>
      </c>
      <c r="IJ37" s="504">
        <f t="shared" si="79"/>
        <v>0.57785590577604506</v>
      </c>
      <c r="IK37" s="505">
        <f t="shared" si="191"/>
        <v>0</v>
      </c>
      <c r="IL37" s="503"/>
      <c r="IM37" s="504">
        <f t="shared" si="80"/>
        <v>0</v>
      </c>
      <c r="IN37" s="505">
        <f t="shared" si="192"/>
        <v>0</v>
      </c>
      <c r="IO37" s="503"/>
      <c r="IP37" s="504">
        <f t="shared" si="81"/>
        <v>0</v>
      </c>
      <c r="IQ37" s="505">
        <f t="shared" si="193"/>
        <v>0</v>
      </c>
      <c r="IR37" s="503">
        <v>45.344930782152026</v>
      </c>
      <c r="IS37" s="504">
        <f t="shared" si="82"/>
        <v>1.040140630396881</v>
      </c>
      <c r="IT37" s="505">
        <f t="shared" si="194"/>
        <v>0</v>
      </c>
      <c r="IU37" s="503"/>
      <c r="IV37" s="504">
        <f t="shared" si="83"/>
        <v>0</v>
      </c>
      <c r="IW37" s="505">
        <f t="shared" si="195"/>
        <v>0</v>
      </c>
      <c r="IX37" s="503"/>
      <c r="IY37" s="504">
        <f t="shared" si="84"/>
        <v>0</v>
      </c>
      <c r="IZ37" s="505">
        <f t="shared" si="196"/>
        <v>0</v>
      </c>
      <c r="JA37" s="503"/>
      <c r="JB37" s="504">
        <f t="shared" si="85"/>
        <v>0</v>
      </c>
      <c r="JC37" s="505">
        <f t="shared" si="197"/>
        <v>0</v>
      </c>
      <c r="JD37" s="503"/>
      <c r="JE37" s="504">
        <f t="shared" si="86"/>
        <v>0</v>
      </c>
      <c r="JF37" s="505">
        <f t="shared" si="198"/>
        <v>0</v>
      </c>
      <c r="JG37" s="503"/>
      <c r="JH37" s="504">
        <f t="shared" si="87"/>
        <v>0</v>
      </c>
      <c r="JI37" s="505">
        <f t="shared" si="199"/>
        <v>0</v>
      </c>
      <c r="JJ37" s="503">
        <v>20.153302569845344</v>
      </c>
      <c r="JK37" s="505" t="str">
        <f t="shared" si="88"/>
        <v>0</v>
      </c>
      <c r="JL37" s="505" t="str">
        <f t="shared" si="89"/>
        <v>0</v>
      </c>
      <c r="JM37" s="503"/>
      <c r="JN37" s="505" t="str">
        <f t="shared" si="90"/>
        <v>0</v>
      </c>
      <c r="JO37" s="505" t="str">
        <f t="shared" si="91"/>
        <v>0</v>
      </c>
      <c r="JP37" s="503"/>
      <c r="JQ37" s="505" t="str">
        <f t="shared" si="92"/>
        <v>0</v>
      </c>
      <c r="JR37" s="505" t="str">
        <f t="shared" si="93"/>
        <v>0</v>
      </c>
      <c r="JS37" s="503"/>
      <c r="JT37" s="505" t="str">
        <f t="shared" si="94"/>
        <v>0</v>
      </c>
      <c r="JU37" s="505" t="str">
        <f t="shared" si="95"/>
        <v>0</v>
      </c>
      <c r="JV37" s="503"/>
      <c r="JW37" s="505" t="str">
        <f t="shared" si="96"/>
        <v>0</v>
      </c>
      <c r="JX37" s="505" t="str">
        <f t="shared" si="97"/>
        <v>0</v>
      </c>
      <c r="JY37" s="503"/>
      <c r="JZ37" s="505" t="str">
        <f t="shared" si="98"/>
        <v>0</v>
      </c>
      <c r="KA37" s="505" t="str">
        <f t="shared" si="99"/>
        <v>0</v>
      </c>
      <c r="KB37" s="503"/>
      <c r="KC37" s="505" t="str">
        <f t="shared" si="100"/>
        <v>0</v>
      </c>
      <c r="KD37" s="505" t="str">
        <f t="shared" si="101"/>
        <v>0</v>
      </c>
      <c r="KE37" s="503"/>
      <c r="KF37" s="505" t="str">
        <f t="shared" si="102"/>
        <v>0</v>
      </c>
      <c r="KG37" s="505" t="str">
        <f t="shared" si="103"/>
        <v>0</v>
      </c>
      <c r="KH37" s="503"/>
      <c r="KI37" s="505" t="str">
        <f t="shared" si="104"/>
        <v>0</v>
      </c>
      <c r="KJ37" s="505" t="str">
        <f t="shared" si="105"/>
        <v>0</v>
      </c>
      <c r="KK37" s="503"/>
      <c r="KL37" s="505" t="str">
        <f t="shared" si="106"/>
        <v>0</v>
      </c>
      <c r="KM37" s="505" t="str">
        <f t="shared" si="107"/>
        <v>0</v>
      </c>
      <c r="KN37" s="503"/>
      <c r="KO37" s="505" t="str">
        <f t="shared" si="108"/>
        <v>0</v>
      </c>
      <c r="KP37" s="505" t="str">
        <f t="shared" si="109"/>
        <v>0</v>
      </c>
      <c r="KQ37" s="503"/>
      <c r="KR37" s="505" t="str">
        <f t="shared" si="110"/>
        <v>0</v>
      </c>
      <c r="KS37" s="505" t="str">
        <f t="shared" si="111"/>
        <v>0</v>
      </c>
      <c r="KT37" s="505">
        <f t="shared" si="201"/>
        <v>0</v>
      </c>
      <c r="KU37" s="505">
        <f t="shared" si="202"/>
        <v>0</v>
      </c>
      <c r="KV37" s="258">
        <f t="shared" si="112"/>
        <v>1844.8968947940111</v>
      </c>
    </row>
    <row r="38" spans="1:308" ht="15" customHeight="1">
      <c r="A38" s="462">
        <f t="shared" si="200"/>
        <v>46110</v>
      </c>
      <c r="B38" s="463" t="str">
        <f>+Report1!B37</f>
        <v>Toilet</v>
      </c>
      <c r="C38" s="464" t="str">
        <f>+Report1!C37</f>
        <v>13,5/14,5</v>
      </c>
      <c r="D38" s="465">
        <f>+Report1!P37</f>
        <v>51.055</v>
      </c>
      <c r="E38" s="466">
        <f>+Report1!R37</f>
        <v>45.021999999999998</v>
      </c>
      <c r="F38" s="503"/>
      <c r="G38" s="504">
        <f t="shared" si="0"/>
        <v>0</v>
      </c>
      <c r="H38" s="505">
        <f t="shared" si="113"/>
        <v>0</v>
      </c>
      <c r="I38" s="503"/>
      <c r="J38" s="504">
        <f t="shared" si="1"/>
        <v>0</v>
      </c>
      <c r="K38" s="505">
        <f t="shared" si="114"/>
        <v>0</v>
      </c>
      <c r="L38" s="503"/>
      <c r="M38" s="504">
        <f t="shared" si="2"/>
        <v>0</v>
      </c>
      <c r="N38" s="505">
        <f t="shared" si="115"/>
        <v>0</v>
      </c>
      <c r="O38" s="503">
        <v>9</v>
      </c>
      <c r="P38" s="504">
        <f t="shared" si="3"/>
        <v>0.19990227000133268</v>
      </c>
      <c r="Q38" s="505">
        <f t="shared" si="116"/>
        <v>0</v>
      </c>
      <c r="R38" s="503">
        <v>6.4062499999999858</v>
      </c>
      <c r="S38" s="504">
        <f t="shared" si="4"/>
        <v>0.14229154635511496</v>
      </c>
      <c r="T38" s="505">
        <f t="shared" si="117"/>
        <v>0</v>
      </c>
      <c r="U38" s="503">
        <v>7.8125</v>
      </c>
      <c r="V38" s="504">
        <f t="shared" si="5"/>
        <v>0.1735262760428235</v>
      </c>
      <c r="W38" s="505">
        <f t="shared" si="118"/>
        <v>0</v>
      </c>
      <c r="X38" s="503"/>
      <c r="Y38" s="504">
        <f t="shared" si="6"/>
        <v>0</v>
      </c>
      <c r="Z38" s="505">
        <f t="shared" si="119"/>
        <v>0</v>
      </c>
      <c r="AA38" s="503"/>
      <c r="AB38" s="504">
        <f t="shared" si="7"/>
        <v>0</v>
      </c>
      <c r="AC38" s="505">
        <f t="shared" si="120"/>
        <v>0</v>
      </c>
      <c r="AD38" s="503"/>
      <c r="AE38" s="504">
        <f t="shared" si="8"/>
        <v>0</v>
      </c>
      <c r="AF38" s="505">
        <f t="shared" si="121"/>
        <v>0</v>
      </c>
      <c r="AG38" s="503"/>
      <c r="AH38" s="504">
        <f t="shared" si="9"/>
        <v>0</v>
      </c>
      <c r="AI38" s="505">
        <f t="shared" si="122"/>
        <v>0</v>
      </c>
      <c r="AJ38" s="503"/>
      <c r="AK38" s="504">
        <f t="shared" si="10"/>
        <v>0</v>
      </c>
      <c r="AL38" s="505">
        <f t="shared" si="123"/>
        <v>0</v>
      </c>
      <c r="AM38" s="503">
        <v>41.590899999999976</v>
      </c>
      <c r="AN38" s="504">
        <f t="shared" si="11"/>
        <v>0.92379059126649143</v>
      </c>
      <c r="AO38" s="505">
        <f t="shared" si="124"/>
        <v>0</v>
      </c>
      <c r="AP38" s="503"/>
      <c r="AQ38" s="504">
        <f t="shared" si="12"/>
        <v>0</v>
      </c>
      <c r="AR38" s="505">
        <f t="shared" si="125"/>
        <v>0</v>
      </c>
      <c r="AS38" s="503"/>
      <c r="AT38" s="504">
        <f t="shared" si="13"/>
        <v>0</v>
      </c>
      <c r="AU38" s="505">
        <f t="shared" si="126"/>
        <v>0</v>
      </c>
      <c r="AV38" s="503">
        <v>5.5500000000000114</v>
      </c>
      <c r="AW38" s="504">
        <f t="shared" si="14"/>
        <v>0.12327306650082208</v>
      </c>
      <c r="AX38" s="505">
        <f t="shared" si="127"/>
        <v>0</v>
      </c>
      <c r="AY38" s="503">
        <v>43.847200000000015</v>
      </c>
      <c r="AZ38" s="504">
        <f t="shared" si="15"/>
        <v>0.97390609035582643</v>
      </c>
      <c r="BA38" s="505">
        <f t="shared" si="128"/>
        <v>0</v>
      </c>
      <c r="BB38" s="503"/>
      <c r="BC38" s="504">
        <f t="shared" si="16"/>
        <v>0</v>
      </c>
      <c r="BD38" s="505">
        <f t="shared" si="129"/>
        <v>0</v>
      </c>
      <c r="BE38" s="503"/>
      <c r="BF38" s="504">
        <f t="shared" si="17"/>
        <v>0</v>
      </c>
      <c r="BG38" s="505">
        <f t="shared" si="130"/>
        <v>0</v>
      </c>
      <c r="BH38" s="503"/>
      <c r="BI38" s="504">
        <f t="shared" si="18"/>
        <v>0</v>
      </c>
      <c r="BJ38" s="505">
        <f t="shared" si="131"/>
        <v>0</v>
      </c>
      <c r="BK38" s="503"/>
      <c r="BL38" s="504">
        <f t="shared" si="19"/>
        <v>0</v>
      </c>
      <c r="BM38" s="505">
        <f t="shared" si="132"/>
        <v>0</v>
      </c>
      <c r="BN38" s="503"/>
      <c r="BO38" s="504">
        <f t="shared" si="20"/>
        <v>0</v>
      </c>
      <c r="BP38" s="505">
        <f t="shared" si="133"/>
        <v>0</v>
      </c>
      <c r="BQ38" s="503"/>
      <c r="BR38" s="504">
        <f t="shared" si="21"/>
        <v>0</v>
      </c>
      <c r="BS38" s="505">
        <f t="shared" si="134"/>
        <v>0</v>
      </c>
      <c r="BT38" s="503"/>
      <c r="BU38" s="504">
        <f t="shared" si="22"/>
        <v>0</v>
      </c>
      <c r="BV38" s="505">
        <f t="shared" si="135"/>
        <v>0</v>
      </c>
      <c r="BW38" s="503"/>
      <c r="BX38" s="504">
        <f t="shared" si="23"/>
        <v>0</v>
      </c>
      <c r="BY38" s="505">
        <f t="shared" si="136"/>
        <v>0</v>
      </c>
      <c r="BZ38" s="503"/>
      <c r="CA38" s="504">
        <f t="shared" si="24"/>
        <v>0</v>
      </c>
      <c r="CB38" s="505">
        <f t="shared" si="137"/>
        <v>0</v>
      </c>
      <c r="CC38" s="503"/>
      <c r="CD38" s="504">
        <f t="shared" si="25"/>
        <v>0</v>
      </c>
      <c r="CE38" s="505">
        <f t="shared" si="138"/>
        <v>0</v>
      </c>
      <c r="CF38" s="503">
        <v>10</v>
      </c>
      <c r="CG38" s="504">
        <f t="shared" si="26"/>
        <v>0.2221136333348141</v>
      </c>
      <c r="CH38" s="505">
        <f t="shared" si="139"/>
        <v>0</v>
      </c>
      <c r="CI38" s="503"/>
      <c r="CJ38" s="504">
        <f t="shared" si="27"/>
        <v>0</v>
      </c>
      <c r="CK38" s="505">
        <f t="shared" si="140"/>
        <v>0</v>
      </c>
      <c r="CL38" s="503"/>
      <c r="CM38" s="504">
        <f t="shared" si="28"/>
        <v>0</v>
      </c>
      <c r="CN38" s="505">
        <f t="shared" si="141"/>
        <v>0</v>
      </c>
      <c r="CO38" s="503"/>
      <c r="CP38" s="504">
        <f t="shared" si="29"/>
        <v>0</v>
      </c>
      <c r="CQ38" s="505">
        <f t="shared" si="142"/>
        <v>0</v>
      </c>
      <c r="CR38" s="503"/>
      <c r="CS38" s="504">
        <f t="shared" si="30"/>
        <v>0</v>
      </c>
      <c r="CT38" s="505">
        <f t="shared" si="143"/>
        <v>0</v>
      </c>
      <c r="CU38" s="503"/>
      <c r="CV38" s="504">
        <f t="shared" si="31"/>
        <v>0</v>
      </c>
      <c r="CW38" s="505">
        <f t="shared" si="144"/>
        <v>0</v>
      </c>
      <c r="CX38" s="503"/>
      <c r="CY38" s="504">
        <f t="shared" si="32"/>
        <v>0</v>
      </c>
      <c r="CZ38" s="505">
        <f t="shared" si="145"/>
        <v>0</v>
      </c>
      <c r="DA38" s="503"/>
      <c r="DB38" s="504">
        <f t="shared" si="33"/>
        <v>0</v>
      </c>
      <c r="DC38" s="505">
        <f t="shared" si="146"/>
        <v>0</v>
      </c>
      <c r="DD38" s="503"/>
      <c r="DE38" s="504">
        <f t="shared" si="34"/>
        <v>0</v>
      </c>
      <c r="DF38" s="505">
        <f t="shared" si="147"/>
        <v>0</v>
      </c>
      <c r="DG38" s="503"/>
      <c r="DH38" s="504">
        <f t="shared" si="35"/>
        <v>0</v>
      </c>
      <c r="DI38" s="505">
        <f t="shared" si="203"/>
        <v>0</v>
      </c>
      <c r="DJ38" s="503"/>
      <c r="DK38" s="504">
        <f t="shared" si="36"/>
        <v>0</v>
      </c>
      <c r="DL38" s="505">
        <f t="shared" si="148"/>
        <v>0</v>
      </c>
      <c r="DM38" s="503"/>
      <c r="DN38" s="504">
        <f t="shared" si="37"/>
        <v>0</v>
      </c>
      <c r="DO38" s="505">
        <f t="shared" si="149"/>
        <v>0</v>
      </c>
      <c r="DP38" s="503"/>
      <c r="DQ38" s="504">
        <f t="shared" si="38"/>
        <v>0</v>
      </c>
      <c r="DR38" s="505">
        <f t="shared" si="150"/>
        <v>0</v>
      </c>
      <c r="DS38" s="503"/>
      <c r="DT38" s="504">
        <f t="shared" si="39"/>
        <v>0</v>
      </c>
      <c r="DU38" s="505">
        <f t="shared" si="151"/>
        <v>0</v>
      </c>
      <c r="DV38" s="503"/>
      <c r="DW38" s="504">
        <f t="shared" si="40"/>
        <v>0</v>
      </c>
      <c r="DX38" s="505">
        <f t="shared" si="152"/>
        <v>0</v>
      </c>
      <c r="DY38" s="503">
        <v>36.662650602409634</v>
      </c>
      <c r="DZ38" s="504">
        <f t="shared" si="41"/>
        <v>0.81432745329860146</v>
      </c>
      <c r="EA38" s="505">
        <f t="shared" si="153"/>
        <v>0</v>
      </c>
      <c r="EB38" s="503">
        <v>258.30588235294113</v>
      </c>
      <c r="EC38" s="504">
        <f t="shared" si="42"/>
        <v>5.7373258041166793</v>
      </c>
      <c r="ED38" s="505">
        <f t="shared" si="154"/>
        <v>0</v>
      </c>
      <c r="EE38" s="503">
        <v>18.168604651162866</v>
      </c>
      <c r="EF38" s="504">
        <f t="shared" si="43"/>
        <v>0.40354947916935868</v>
      </c>
      <c r="EG38" s="505">
        <f t="shared" si="155"/>
        <v>0</v>
      </c>
      <c r="EH38" s="503"/>
      <c r="EI38" s="504">
        <f t="shared" si="44"/>
        <v>0</v>
      </c>
      <c r="EJ38" s="505">
        <f t="shared" si="156"/>
        <v>0</v>
      </c>
      <c r="EK38" s="503"/>
      <c r="EL38" s="504">
        <f t="shared" si="45"/>
        <v>0</v>
      </c>
      <c r="EM38" s="505">
        <f t="shared" si="157"/>
        <v>0</v>
      </c>
      <c r="EN38" s="503"/>
      <c r="EO38" s="504">
        <f t="shared" si="46"/>
        <v>0</v>
      </c>
      <c r="EP38" s="505">
        <f t="shared" si="158"/>
        <v>0</v>
      </c>
      <c r="EQ38" s="503"/>
      <c r="ER38" s="504">
        <f t="shared" si="47"/>
        <v>0</v>
      </c>
      <c r="ES38" s="505">
        <f t="shared" si="159"/>
        <v>0</v>
      </c>
      <c r="ET38" s="503"/>
      <c r="EU38" s="504">
        <f t="shared" si="48"/>
        <v>0</v>
      </c>
      <c r="EV38" s="505">
        <f t="shared" si="160"/>
        <v>0</v>
      </c>
      <c r="EW38" s="503"/>
      <c r="EX38" s="504">
        <f t="shared" si="49"/>
        <v>0</v>
      </c>
      <c r="EY38" s="505">
        <f t="shared" si="161"/>
        <v>0</v>
      </c>
      <c r="EZ38" s="503"/>
      <c r="FA38" s="504">
        <f t="shared" si="50"/>
        <v>0</v>
      </c>
      <c r="FB38" s="505">
        <f t="shared" si="162"/>
        <v>0</v>
      </c>
      <c r="FC38" s="503"/>
      <c r="FD38" s="504">
        <f t="shared" si="51"/>
        <v>0</v>
      </c>
      <c r="FE38" s="505">
        <f t="shared" si="163"/>
        <v>0</v>
      </c>
      <c r="FF38" s="503"/>
      <c r="FG38" s="504">
        <f t="shared" si="52"/>
        <v>0</v>
      </c>
      <c r="FH38" s="505">
        <f t="shared" si="164"/>
        <v>0</v>
      </c>
      <c r="FI38" s="503"/>
      <c r="FJ38" s="504">
        <f t="shared" si="53"/>
        <v>0</v>
      </c>
      <c r="FK38" s="505">
        <f t="shared" si="165"/>
        <v>0</v>
      </c>
      <c r="FL38" s="503"/>
      <c r="FM38" s="504">
        <f t="shared" si="54"/>
        <v>0</v>
      </c>
      <c r="FN38" s="505">
        <f t="shared" si="166"/>
        <v>0</v>
      </c>
      <c r="FO38" s="503"/>
      <c r="FP38" s="504">
        <f t="shared" si="55"/>
        <v>0</v>
      </c>
      <c r="FQ38" s="505">
        <f t="shared" si="167"/>
        <v>0</v>
      </c>
      <c r="FR38" s="503"/>
      <c r="FS38" s="504">
        <f t="shared" si="56"/>
        <v>0</v>
      </c>
      <c r="FT38" s="505">
        <f t="shared" si="168"/>
        <v>0</v>
      </c>
      <c r="FU38" s="503"/>
      <c r="FV38" s="504">
        <f t="shared" si="57"/>
        <v>0</v>
      </c>
      <c r="FW38" s="505">
        <f t="shared" si="169"/>
        <v>0</v>
      </c>
      <c r="FX38" s="503"/>
      <c r="FY38" s="504">
        <f t="shared" si="58"/>
        <v>0</v>
      </c>
      <c r="FZ38" s="505">
        <f t="shared" si="170"/>
        <v>0</v>
      </c>
      <c r="GA38" s="503"/>
      <c r="GB38" s="504">
        <f t="shared" si="59"/>
        <v>0</v>
      </c>
      <c r="GC38" s="505">
        <f t="shared" si="171"/>
        <v>0</v>
      </c>
      <c r="GD38" s="503"/>
      <c r="GE38" s="504">
        <f t="shared" si="60"/>
        <v>0</v>
      </c>
      <c r="GF38" s="505">
        <f t="shared" si="172"/>
        <v>0</v>
      </c>
      <c r="GG38" s="503">
        <v>14.743593445879997</v>
      </c>
      <c r="GH38" s="504">
        <f t="shared" si="61"/>
        <v>0.32747531086757581</v>
      </c>
      <c r="GI38" s="505">
        <f t="shared" si="173"/>
        <v>0</v>
      </c>
      <c r="GJ38" s="503">
        <v>9.8290622972533317</v>
      </c>
      <c r="GK38" s="504">
        <f t="shared" si="62"/>
        <v>0.2183168739117172</v>
      </c>
      <c r="GL38" s="505">
        <f t="shared" si="174"/>
        <v>0</v>
      </c>
      <c r="GM38" s="503"/>
      <c r="GN38" s="504">
        <f t="shared" si="63"/>
        <v>0</v>
      </c>
      <c r="GO38" s="505">
        <f t="shared" si="175"/>
        <v>0</v>
      </c>
      <c r="GP38" s="503">
        <v>39.316249189013327</v>
      </c>
      <c r="GQ38" s="504">
        <f t="shared" si="64"/>
        <v>0.87326749564686879</v>
      </c>
      <c r="GR38" s="505">
        <f t="shared" si="176"/>
        <v>0</v>
      </c>
      <c r="GS38" s="503">
        <v>309.61546236347993</v>
      </c>
      <c r="GT38" s="504">
        <f t="shared" si="65"/>
        <v>6.8769815282190914</v>
      </c>
      <c r="GU38" s="505">
        <f t="shared" si="177"/>
        <v>0</v>
      </c>
      <c r="GV38" s="503">
        <v>73.717967229399989</v>
      </c>
      <c r="GW38" s="504">
        <f t="shared" si="66"/>
        <v>1.6373765543378791</v>
      </c>
      <c r="GX38" s="505">
        <f t="shared" si="178"/>
        <v>0</v>
      </c>
      <c r="GY38" s="503"/>
      <c r="GZ38" s="504">
        <f t="shared" si="67"/>
        <v>0</v>
      </c>
      <c r="HA38" s="505">
        <f t="shared" si="179"/>
        <v>0</v>
      </c>
      <c r="HB38" s="503"/>
      <c r="HC38" s="504">
        <f t="shared" si="68"/>
        <v>0</v>
      </c>
      <c r="HD38" s="505">
        <f t="shared" si="180"/>
        <v>0</v>
      </c>
      <c r="HE38" s="503"/>
      <c r="HF38" s="504">
        <f t="shared" si="69"/>
        <v>0</v>
      </c>
      <c r="HG38" s="505">
        <f t="shared" si="181"/>
        <v>0</v>
      </c>
      <c r="HH38" s="503"/>
      <c r="HI38" s="504">
        <f t="shared" si="70"/>
        <v>0</v>
      </c>
      <c r="HJ38" s="505">
        <f t="shared" si="182"/>
        <v>0</v>
      </c>
      <c r="HK38" s="503"/>
      <c r="HL38" s="504">
        <f t="shared" si="71"/>
        <v>0</v>
      </c>
      <c r="HM38" s="505">
        <f t="shared" si="183"/>
        <v>0</v>
      </c>
      <c r="HN38" s="503">
        <v>896.41048150950382</v>
      </c>
      <c r="HO38" s="504">
        <f t="shared" si="72"/>
        <v>19.910498900748607</v>
      </c>
      <c r="HP38" s="505">
        <f t="shared" si="184"/>
        <v>0</v>
      </c>
      <c r="HQ38" s="503"/>
      <c r="HR38" s="504">
        <f t="shared" si="73"/>
        <v>0</v>
      </c>
      <c r="HS38" s="505">
        <f t="shared" si="185"/>
        <v>0</v>
      </c>
      <c r="HT38" s="503"/>
      <c r="HU38" s="504">
        <f t="shared" si="74"/>
        <v>0</v>
      </c>
      <c r="HV38" s="505">
        <f t="shared" si="186"/>
        <v>0</v>
      </c>
      <c r="HW38" s="503"/>
      <c r="HX38" s="504">
        <f t="shared" si="75"/>
        <v>0</v>
      </c>
      <c r="HY38" s="505">
        <f t="shared" si="187"/>
        <v>0</v>
      </c>
      <c r="HZ38" s="503"/>
      <c r="IA38" s="504">
        <f t="shared" si="76"/>
        <v>0</v>
      </c>
      <c r="IB38" s="505">
        <f t="shared" si="188"/>
        <v>0</v>
      </c>
      <c r="IC38" s="503"/>
      <c r="ID38" s="504">
        <f t="shared" si="77"/>
        <v>0</v>
      </c>
      <c r="IE38" s="505">
        <f t="shared" si="189"/>
        <v>0</v>
      </c>
      <c r="IF38" s="503"/>
      <c r="IG38" s="504">
        <f t="shared" si="78"/>
        <v>0</v>
      </c>
      <c r="IH38" s="505">
        <f t="shared" si="190"/>
        <v>0</v>
      </c>
      <c r="II38" s="503">
        <v>24.572655743133328</v>
      </c>
      <c r="IJ38" s="504">
        <f t="shared" si="79"/>
        <v>0.54579218477929303</v>
      </c>
      <c r="IK38" s="505">
        <f t="shared" si="191"/>
        <v>0</v>
      </c>
      <c r="IL38" s="503"/>
      <c r="IM38" s="504">
        <f t="shared" si="80"/>
        <v>0</v>
      </c>
      <c r="IN38" s="505">
        <f t="shared" si="192"/>
        <v>0</v>
      </c>
      <c r="IO38" s="503"/>
      <c r="IP38" s="504">
        <f t="shared" si="81"/>
        <v>0</v>
      </c>
      <c r="IQ38" s="505">
        <f t="shared" si="193"/>
        <v>0</v>
      </c>
      <c r="IR38" s="503">
        <v>44.230780337639992</v>
      </c>
      <c r="IS38" s="504">
        <f t="shared" si="82"/>
        <v>0.98242593260272737</v>
      </c>
      <c r="IT38" s="505">
        <f t="shared" si="194"/>
        <v>0</v>
      </c>
      <c r="IU38" s="503"/>
      <c r="IV38" s="504">
        <f t="shared" si="83"/>
        <v>0</v>
      </c>
      <c r="IW38" s="505">
        <f t="shared" si="195"/>
        <v>0</v>
      </c>
      <c r="IX38" s="503"/>
      <c r="IY38" s="504">
        <f t="shared" si="84"/>
        <v>0</v>
      </c>
      <c r="IZ38" s="505">
        <f t="shared" si="196"/>
        <v>0</v>
      </c>
      <c r="JA38" s="503"/>
      <c r="JB38" s="504">
        <f t="shared" si="85"/>
        <v>0</v>
      </c>
      <c r="JC38" s="505">
        <f t="shared" si="197"/>
        <v>0</v>
      </c>
      <c r="JD38" s="503"/>
      <c r="JE38" s="504">
        <f t="shared" si="86"/>
        <v>0</v>
      </c>
      <c r="JF38" s="505">
        <f t="shared" si="198"/>
        <v>0</v>
      </c>
      <c r="JG38" s="503"/>
      <c r="JH38" s="504">
        <f t="shared" si="87"/>
        <v>0</v>
      </c>
      <c r="JI38" s="505">
        <f t="shared" si="199"/>
        <v>0</v>
      </c>
      <c r="JJ38" s="503">
        <v>12.286327871566664</v>
      </c>
      <c r="JK38" s="505" t="str">
        <f t="shared" si="88"/>
        <v>0</v>
      </c>
      <c r="JL38" s="505" t="str">
        <f t="shared" si="89"/>
        <v>0</v>
      </c>
      <c r="JM38" s="503"/>
      <c r="JN38" s="505" t="str">
        <f t="shared" si="90"/>
        <v>0</v>
      </c>
      <c r="JO38" s="505" t="str">
        <f t="shared" si="91"/>
        <v>0</v>
      </c>
      <c r="JP38" s="503"/>
      <c r="JQ38" s="505" t="str">
        <f t="shared" si="92"/>
        <v>0</v>
      </c>
      <c r="JR38" s="505" t="str">
        <f t="shared" si="93"/>
        <v>0</v>
      </c>
      <c r="JS38" s="503"/>
      <c r="JT38" s="505" t="str">
        <f t="shared" si="94"/>
        <v>0</v>
      </c>
      <c r="JU38" s="505" t="str">
        <f t="shared" si="95"/>
        <v>0</v>
      </c>
      <c r="JV38" s="503"/>
      <c r="JW38" s="505" t="str">
        <f t="shared" si="96"/>
        <v>0</v>
      </c>
      <c r="JX38" s="505" t="str">
        <f t="shared" si="97"/>
        <v>0</v>
      </c>
      <c r="JY38" s="503"/>
      <c r="JZ38" s="505" t="str">
        <f t="shared" si="98"/>
        <v>0</v>
      </c>
      <c r="KA38" s="505" t="str">
        <f t="shared" si="99"/>
        <v>0</v>
      </c>
      <c r="KB38" s="503"/>
      <c r="KC38" s="505" t="str">
        <f t="shared" si="100"/>
        <v>0</v>
      </c>
      <c r="KD38" s="505" t="str">
        <f t="shared" si="101"/>
        <v>0</v>
      </c>
      <c r="KE38" s="503"/>
      <c r="KF38" s="505" t="str">
        <f t="shared" si="102"/>
        <v>0</v>
      </c>
      <c r="KG38" s="505" t="str">
        <f t="shared" si="103"/>
        <v>0</v>
      </c>
      <c r="KH38" s="503"/>
      <c r="KI38" s="505" t="str">
        <f t="shared" si="104"/>
        <v>0</v>
      </c>
      <c r="KJ38" s="505" t="str">
        <f t="shared" si="105"/>
        <v>0</v>
      </c>
      <c r="KK38" s="503"/>
      <c r="KL38" s="505" t="str">
        <f t="shared" si="106"/>
        <v>0</v>
      </c>
      <c r="KM38" s="505" t="str">
        <f t="shared" si="107"/>
        <v>0</v>
      </c>
      <c r="KN38" s="503"/>
      <c r="KO38" s="505" t="str">
        <f t="shared" si="108"/>
        <v>0</v>
      </c>
      <c r="KP38" s="505" t="str">
        <f t="shared" si="109"/>
        <v>0</v>
      </c>
      <c r="KQ38" s="503"/>
      <c r="KR38" s="505" t="str">
        <f t="shared" si="110"/>
        <v>0</v>
      </c>
      <c r="KS38" s="505" t="str">
        <f t="shared" si="111"/>
        <v>0</v>
      </c>
      <c r="KT38" s="505">
        <f t="shared" si="201"/>
        <v>0</v>
      </c>
      <c r="KU38" s="505">
        <f t="shared" si="202"/>
        <v>0</v>
      </c>
      <c r="KV38" s="258">
        <f t="shared" si="112"/>
        <v>1862.066567593384</v>
      </c>
    </row>
    <row r="39" spans="1:308" ht="15" customHeight="1">
      <c r="A39" s="462">
        <f t="shared" si="200"/>
        <v>46111</v>
      </c>
      <c r="B39" s="463" t="str">
        <f>+Report1!B38</f>
        <v>Toilet</v>
      </c>
      <c r="C39" s="464" t="str">
        <f>+Report1!C38</f>
        <v>13,5/14,5</v>
      </c>
      <c r="D39" s="465">
        <f>+Report1!P38</f>
        <v>50.265000000000001</v>
      </c>
      <c r="E39" s="466">
        <f>+Report1!R38</f>
        <v>54.600999999999999</v>
      </c>
      <c r="F39" s="503"/>
      <c r="G39" s="504">
        <f t="shared" si="0"/>
        <v>0</v>
      </c>
      <c r="H39" s="505">
        <f t="shared" si="113"/>
        <v>0</v>
      </c>
      <c r="I39" s="503"/>
      <c r="J39" s="504">
        <f t="shared" si="1"/>
        <v>0</v>
      </c>
      <c r="K39" s="505">
        <f t="shared" si="114"/>
        <v>0</v>
      </c>
      <c r="L39" s="503"/>
      <c r="M39" s="504">
        <f t="shared" si="2"/>
        <v>0</v>
      </c>
      <c r="N39" s="505">
        <f t="shared" si="115"/>
        <v>0</v>
      </c>
      <c r="O39" s="503">
        <v>6</v>
      </c>
      <c r="P39" s="504">
        <f t="shared" si="3"/>
        <v>0.10988809728759547</v>
      </c>
      <c r="Q39" s="505">
        <f t="shared" si="116"/>
        <v>0</v>
      </c>
      <c r="R39" s="503">
        <v>10.250000000000014</v>
      </c>
      <c r="S39" s="504">
        <f t="shared" si="4"/>
        <v>0.18772549953297585</v>
      </c>
      <c r="T39" s="505">
        <f t="shared" si="117"/>
        <v>0</v>
      </c>
      <c r="U39" s="503">
        <v>3.1250000000000142</v>
      </c>
      <c r="V39" s="504">
        <f t="shared" si="5"/>
        <v>5.7233384003956229E-2</v>
      </c>
      <c r="W39" s="505">
        <f t="shared" si="118"/>
        <v>0</v>
      </c>
      <c r="X39" s="503"/>
      <c r="Y39" s="504">
        <f t="shared" si="6"/>
        <v>0</v>
      </c>
      <c r="Z39" s="505">
        <f t="shared" si="119"/>
        <v>0</v>
      </c>
      <c r="AA39" s="503"/>
      <c r="AB39" s="504">
        <f t="shared" si="7"/>
        <v>0</v>
      </c>
      <c r="AC39" s="505">
        <f t="shared" si="120"/>
        <v>0</v>
      </c>
      <c r="AD39" s="503"/>
      <c r="AE39" s="504">
        <f t="shared" si="8"/>
        <v>0</v>
      </c>
      <c r="AF39" s="505">
        <f t="shared" si="121"/>
        <v>0</v>
      </c>
      <c r="AG39" s="503"/>
      <c r="AH39" s="504">
        <f t="shared" si="9"/>
        <v>0</v>
      </c>
      <c r="AI39" s="505">
        <f t="shared" si="122"/>
        <v>0</v>
      </c>
      <c r="AJ39" s="503"/>
      <c r="AK39" s="504">
        <f t="shared" si="10"/>
        <v>0</v>
      </c>
      <c r="AL39" s="505">
        <f t="shared" si="123"/>
        <v>0</v>
      </c>
      <c r="AM39" s="503">
        <v>34.164410256410349</v>
      </c>
      <c r="AN39" s="504">
        <f t="shared" si="11"/>
        <v>0.62571033967162415</v>
      </c>
      <c r="AO39" s="505">
        <f t="shared" si="124"/>
        <v>0</v>
      </c>
      <c r="AP39" s="503"/>
      <c r="AQ39" s="504">
        <f t="shared" si="12"/>
        <v>0</v>
      </c>
      <c r="AR39" s="505">
        <f t="shared" si="125"/>
        <v>0</v>
      </c>
      <c r="AS39" s="503"/>
      <c r="AT39" s="504">
        <f t="shared" si="13"/>
        <v>0</v>
      </c>
      <c r="AU39" s="505">
        <f t="shared" si="126"/>
        <v>0</v>
      </c>
      <c r="AV39" s="503">
        <v>8.3249999999999886</v>
      </c>
      <c r="AW39" s="504">
        <f t="shared" si="14"/>
        <v>0.15246973498653851</v>
      </c>
      <c r="AX39" s="505">
        <f t="shared" si="127"/>
        <v>0</v>
      </c>
      <c r="AY39" s="503">
        <v>39.666000000000111</v>
      </c>
      <c r="AZ39" s="504">
        <f t="shared" si="15"/>
        <v>0.72647021116829569</v>
      </c>
      <c r="BA39" s="505">
        <f t="shared" si="128"/>
        <v>0</v>
      </c>
      <c r="BB39" s="503"/>
      <c r="BC39" s="504">
        <f t="shared" si="16"/>
        <v>0</v>
      </c>
      <c r="BD39" s="505">
        <f t="shared" si="129"/>
        <v>0</v>
      </c>
      <c r="BE39" s="503"/>
      <c r="BF39" s="504">
        <f t="shared" si="17"/>
        <v>0</v>
      </c>
      <c r="BG39" s="505">
        <f t="shared" si="130"/>
        <v>0</v>
      </c>
      <c r="BH39" s="503"/>
      <c r="BI39" s="504">
        <f t="shared" si="18"/>
        <v>0</v>
      </c>
      <c r="BJ39" s="505">
        <f t="shared" si="131"/>
        <v>0</v>
      </c>
      <c r="BK39" s="503"/>
      <c r="BL39" s="504">
        <f t="shared" si="19"/>
        <v>0</v>
      </c>
      <c r="BM39" s="505">
        <f t="shared" si="132"/>
        <v>0</v>
      </c>
      <c r="BN39" s="503"/>
      <c r="BO39" s="504">
        <f t="shared" si="20"/>
        <v>0</v>
      </c>
      <c r="BP39" s="505">
        <f t="shared" si="133"/>
        <v>0</v>
      </c>
      <c r="BQ39" s="503"/>
      <c r="BR39" s="504">
        <f t="shared" si="21"/>
        <v>0</v>
      </c>
      <c r="BS39" s="505">
        <f t="shared" si="134"/>
        <v>0</v>
      </c>
      <c r="BT39" s="503"/>
      <c r="BU39" s="504">
        <f t="shared" si="22"/>
        <v>0</v>
      </c>
      <c r="BV39" s="505">
        <f t="shared" si="135"/>
        <v>0</v>
      </c>
      <c r="BW39" s="503"/>
      <c r="BX39" s="504">
        <f t="shared" si="23"/>
        <v>0</v>
      </c>
      <c r="BY39" s="505">
        <f t="shared" si="136"/>
        <v>0</v>
      </c>
      <c r="BZ39" s="503"/>
      <c r="CA39" s="504">
        <f t="shared" si="24"/>
        <v>0</v>
      </c>
      <c r="CB39" s="505">
        <f t="shared" si="137"/>
        <v>0</v>
      </c>
      <c r="CC39" s="503"/>
      <c r="CD39" s="504">
        <f t="shared" si="25"/>
        <v>0</v>
      </c>
      <c r="CE39" s="505">
        <f t="shared" si="138"/>
        <v>0</v>
      </c>
      <c r="CF39" s="503">
        <v>10</v>
      </c>
      <c r="CG39" s="504">
        <f t="shared" si="26"/>
        <v>0.18314682881265912</v>
      </c>
      <c r="CH39" s="505">
        <f t="shared" si="139"/>
        <v>0</v>
      </c>
      <c r="CI39" s="503"/>
      <c r="CJ39" s="504">
        <f t="shared" si="27"/>
        <v>0</v>
      </c>
      <c r="CK39" s="505">
        <f t="shared" si="140"/>
        <v>0</v>
      </c>
      <c r="CL39" s="503"/>
      <c r="CM39" s="504">
        <f t="shared" si="28"/>
        <v>0</v>
      </c>
      <c r="CN39" s="505">
        <f t="shared" si="141"/>
        <v>0</v>
      </c>
      <c r="CO39" s="503"/>
      <c r="CP39" s="504">
        <f t="shared" si="29"/>
        <v>0</v>
      </c>
      <c r="CQ39" s="505">
        <f t="shared" si="142"/>
        <v>0</v>
      </c>
      <c r="CR39" s="503"/>
      <c r="CS39" s="504">
        <f t="shared" si="30"/>
        <v>0</v>
      </c>
      <c r="CT39" s="505">
        <f t="shared" si="143"/>
        <v>0</v>
      </c>
      <c r="CU39" s="503"/>
      <c r="CV39" s="504">
        <f t="shared" si="31"/>
        <v>0</v>
      </c>
      <c r="CW39" s="505">
        <f t="shared" si="144"/>
        <v>0</v>
      </c>
      <c r="CX39" s="503"/>
      <c r="CY39" s="504">
        <f t="shared" si="32"/>
        <v>0</v>
      </c>
      <c r="CZ39" s="505">
        <f t="shared" si="145"/>
        <v>0</v>
      </c>
      <c r="DA39" s="503"/>
      <c r="DB39" s="504">
        <f t="shared" si="33"/>
        <v>0</v>
      </c>
      <c r="DC39" s="505">
        <f t="shared" si="146"/>
        <v>0</v>
      </c>
      <c r="DD39" s="503"/>
      <c r="DE39" s="504">
        <f t="shared" si="34"/>
        <v>0</v>
      </c>
      <c r="DF39" s="505">
        <f t="shared" si="147"/>
        <v>0</v>
      </c>
      <c r="DG39" s="503"/>
      <c r="DH39" s="504">
        <f t="shared" si="35"/>
        <v>0</v>
      </c>
      <c r="DI39" s="505">
        <f t="shared" si="203"/>
        <v>0</v>
      </c>
      <c r="DJ39" s="503"/>
      <c r="DK39" s="504">
        <f t="shared" si="36"/>
        <v>0</v>
      </c>
      <c r="DL39" s="505">
        <f t="shared" si="148"/>
        <v>0</v>
      </c>
      <c r="DM39" s="503"/>
      <c r="DN39" s="504">
        <f t="shared" si="37"/>
        <v>0</v>
      </c>
      <c r="DO39" s="505">
        <f t="shared" si="149"/>
        <v>0</v>
      </c>
      <c r="DP39" s="503"/>
      <c r="DQ39" s="504">
        <f t="shared" si="38"/>
        <v>0</v>
      </c>
      <c r="DR39" s="505">
        <f t="shared" si="150"/>
        <v>0</v>
      </c>
      <c r="DS39" s="503"/>
      <c r="DT39" s="504">
        <f t="shared" si="39"/>
        <v>0</v>
      </c>
      <c r="DU39" s="505">
        <f t="shared" si="151"/>
        <v>0</v>
      </c>
      <c r="DV39" s="503"/>
      <c r="DW39" s="504">
        <f t="shared" si="40"/>
        <v>0</v>
      </c>
      <c r="DX39" s="505">
        <f t="shared" si="152"/>
        <v>0</v>
      </c>
      <c r="DY39" s="503">
        <v>88.421686746987945</v>
      </c>
      <c r="DZ39" s="504">
        <f t="shared" si="41"/>
        <v>1.619415152597717</v>
      </c>
      <c r="EA39" s="505">
        <f t="shared" si="153"/>
        <v>0</v>
      </c>
      <c r="EB39" s="503">
        <v>246.56470588235288</v>
      </c>
      <c r="EC39" s="504">
        <f t="shared" si="42"/>
        <v>4.5157543979478927</v>
      </c>
      <c r="ED39" s="505">
        <f t="shared" si="154"/>
        <v>0</v>
      </c>
      <c r="EE39" s="503">
        <v>21.80232558139528</v>
      </c>
      <c r="EF39" s="504">
        <f t="shared" si="43"/>
        <v>0.399302679097366</v>
      </c>
      <c r="EG39" s="505">
        <f t="shared" si="155"/>
        <v>0</v>
      </c>
      <c r="EH39" s="503"/>
      <c r="EI39" s="504">
        <f t="shared" si="44"/>
        <v>0</v>
      </c>
      <c r="EJ39" s="505">
        <f t="shared" si="156"/>
        <v>0</v>
      </c>
      <c r="EK39" s="503"/>
      <c r="EL39" s="504">
        <f t="shared" si="45"/>
        <v>0</v>
      </c>
      <c r="EM39" s="505">
        <f t="shared" si="157"/>
        <v>0</v>
      </c>
      <c r="EN39" s="503"/>
      <c r="EO39" s="504">
        <f t="shared" si="46"/>
        <v>0</v>
      </c>
      <c r="EP39" s="505">
        <f t="shared" si="158"/>
        <v>0</v>
      </c>
      <c r="EQ39" s="503"/>
      <c r="ER39" s="504">
        <f t="shared" si="47"/>
        <v>0</v>
      </c>
      <c r="ES39" s="505">
        <f t="shared" si="159"/>
        <v>0</v>
      </c>
      <c r="ET39" s="503"/>
      <c r="EU39" s="504">
        <f t="shared" si="48"/>
        <v>0</v>
      </c>
      <c r="EV39" s="505">
        <f t="shared" si="160"/>
        <v>0</v>
      </c>
      <c r="EW39" s="503"/>
      <c r="EX39" s="504">
        <f t="shared" si="49"/>
        <v>0</v>
      </c>
      <c r="EY39" s="505">
        <f t="shared" si="161"/>
        <v>0</v>
      </c>
      <c r="EZ39" s="503"/>
      <c r="FA39" s="504">
        <f t="shared" si="50"/>
        <v>0</v>
      </c>
      <c r="FB39" s="505">
        <f t="shared" si="162"/>
        <v>0</v>
      </c>
      <c r="FC39" s="503"/>
      <c r="FD39" s="504">
        <f t="shared" si="51"/>
        <v>0</v>
      </c>
      <c r="FE39" s="505">
        <f t="shared" si="163"/>
        <v>0</v>
      </c>
      <c r="FF39" s="503"/>
      <c r="FG39" s="504">
        <f t="shared" si="52"/>
        <v>0</v>
      </c>
      <c r="FH39" s="505">
        <f t="shared" si="164"/>
        <v>0</v>
      </c>
      <c r="FI39" s="503"/>
      <c r="FJ39" s="504">
        <f t="shared" si="53"/>
        <v>0</v>
      </c>
      <c r="FK39" s="505">
        <f t="shared" si="165"/>
        <v>0</v>
      </c>
      <c r="FL39" s="503"/>
      <c r="FM39" s="504">
        <f t="shared" si="54"/>
        <v>0</v>
      </c>
      <c r="FN39" s="505">
        <f t="shared" si="166"/>
        <v>0</v>
      </c>
      <c r="FO39" s="503"/>
      <c r="FP39" s="504">
        <f t="shared" si="55"/>
        <v>0</v>
      </c>
      <c r="FQ39" s="505">
        <f t="shared" si="167"/>
        <v>0</v>
      </c>
      <c r="FR39" s="503"/>
      <c r="FS39" s="504">
        <f t="shared" si="56"/>
        <v>0</v>
      </c>
      <c r="FT39" s="505">
        <f t="shared" si="168"/>
        <v>0</v>
      </c>
      <c r="FU39" s="503"/>
      <c r="FV39" s="504">
        <f t="shared" si="57"/>
        <v>0</v>
      </c>
      <c r="FW39" s="505">
        <f t="shared" si="169"/>
        <v>0</v>
      </c>
      <c r="FX39" s="503"/>
      <c r="FY39" s="504">
        <f t="shared" si="58"/>
        <v>0</v>
      </c>
      <c r="FZ39" s="505">
        <f t="shared" si="170"/>
        <v>0</v>
      </c>
      <c r="GA39" s="503"/>
      <c r="GB39" s="504">
        <f t="shared" si="59"/>
        <v>0</v>
      </c>
      <c r="GC39" s="505">
        <f t="shared" si="171"/>
        <v>0</v>
      </c>
      <c r="GD39" s="503"/>
      <c r="GE39" s="504">
        <f t="shared" si="60"/>
        <v>0</v>
      </c>
      <c r="GF39" s="505">
        <f t="shared" si="172"/>
        <v>0</v>
      </c>
      <c r="GG39" s="503">
        <v>10.310980738066423</v>
      </c>
      <c r="GH39" s="504">
        <f t="shared" si="61"/>
        <v>0.18884234241252768</v>
      </c>
      <c r="GI39" s="505">
        <f t="shared" si="173"/>
        <v>0</v>
      </c>
      <c r="GJ39" s="503">
        <v>10.310980738066423</v>
      </c>
      <c r="GK39" s="504">
        <f t="shared" si="62"/>
        <v>0.18884234241252768</v>
      </c>
      <c r="GL39" s="505">
        <f t="shared" si="174"/>
        <v>0</v>
      </c>
      <c r="GM39" s="503"/>
      <c r="GN39" s="504">
        <f t="shared" si="63"/>
        <v>0</v>
      </c>
      <c r="GO39" s="505">
        <f t="shared" si="175"/>
        <v>0</v>
      </c>
      <c r="GP39" s="503">
        <v>30.932942214199265</v>
      </c>
      <c r="GQ39" s="504">
        <f t="shared" si="64"/>
        <v>0.56652702723758297</v>
      </c>
      <c r="GR39" s="505">
        <f t="shared" si="176"/>
        <v>0</v>
      </c>
      <c r="GS39" s="503">
        <v>268.08549918972699</v>
      </c>
      <c r="GT39" s="504">
        <f t="shared" si="65"/>
        <v>4.9099009027257194</v>
      </c>
      <c r="GU39" s="505">
        <f t="shared" si="177"/>
        <v>0</v>
      </c>
      <c r="GV39" s="503">
        <v>51.554903690332111</v>
      </c>
      <c r="GW39" s="504">
        <f t="shared" si="66"/>
        <v>0.94421171206263821</v>
      </c>
      <c r="GX39" s="505">
        <f t="shared" si="178"/>
        <v>0</v>
      </c>
      <c r="GY39" s="503"/>
      <c r="GZ39" s="504">
        <f t="shared" si="67"/>
        <v>0</v>
      </c>
      <c r="HA39" s="505">
        <f t="shared" si="179"/>
        <v>0</v>
      </c>
      <c r="HB39" s="503"/>
      <c r="HC39" s="504">
        <f t="shared" si="68"/>
        <v>0</v>
      </c>
      <c r="HD39" s="505">
        <f t="shared" si="180"/>
        <v>0</v>
      </c>
      <c r="HE39" s="503"/>
      <c r="HF39" s="504">
        <f t="shared" si="69"/>
        <v>0</v>
      </c>
      <c r="HG39" s="505">
        <f t="shared" si="181"/>
        <v>0</v>
      </c>
      <c r="HH39" s="503"/>
      <c r="HI39" s="504">
        <f t="shared" si="70"/>
        <v>0</v>
      </c>
      <c r="HJ39" s="505">
        <f t="shared" si="182"/>
        <v>0</v>
      </c>
      <c r="HK39" s="503"/>
      <c r="HL39" s="504">
        <f t="shared" si="71"/>
        <v>0</v>
      </c>
      <c r="HM39" s="505">
        <f t="shared" si="183"/>
        <v>0</v>
      </c>
      <c r="HN39" s="503">
        <v>811.47418408582746</v>
      </c>
      <c r="HO39" s="504">
        <f t="shared" si="72"/>
        <v>14.861892347865927</v>
      </c>
      <c r="HP39" s="505">
        <f t="shared" si="184"/>
        <v>0</v>
      </c>
      <c r="HQ39" s="503"/>
      <c r="HR39" s="504">
        <f t="shared" si="73"/>
        <v>0</v>
      </c>
      <c r="HS39" s="505">
        <f t="shared" si="185"/>
        <v>0</v>
      </c>
      <c r="HT39" s="503"/>
      <c r="HU39" s="504">
        <f t="shared" si="74"/>
        <v>0</v>
      </c>
      <c r="HV39" s="505">
        <f t="shared" si="186"/>
        <v>0</v>
      </c>
      <c r="HW39" s="503"/>
      <c r="HX39" s="504">
        <f t="shared" si="75"/>
        <v>0</v>
      </c>
      <c r="HY39" s="505">
        <f t="shared" si="187"/>
        <v>0</v>
      </c>
      <c r="HZ39" s="503"/>
      <c r="IA39" s="504">
        <f t="shared" si="76"/>
        <v>0</v>
      </c>
      <c r="IB39" s="505">
        <f t="shared" si="188"/>
        <v>0</v>
      </c>
      <c r="IC39" s="503"/>
      <c r="ID39" s="504">
        <f t="shared" si="77"/>
        <v>0</v>
      </c>
      <c r="IE39" s="505">
        <f t="shared" si="189"/>
        <v>0</v>
      </c>
      <c r="IF39" s="503"/>
      <c r="IG39" s="504">
        <f t="shared" si="78"/>
        <v>0</v>
      </c>
      <c r="IH39" s="505">
        <f t="shared" si="190"/>
        <v>0</v>
      </c>
      <c r="II39" s="503">
        <v>20.621961476132846</v>
      </c>
      <c r="IJ39" s="504">
        <f t="shared" si="79"/>
        <v>0.37768468482505535</v>
      </c>
      <c r="IK39" s="505">
        <f t="shared" si="191"/>
        <v>0</v>
      </c>
      <c r="IL39" s="503"/>
      <c r="IM39" s="504">
        <f t="shared" si="80"/>
        <v>0</v>
      </c>
      <c r="IN39" s="505">
        <f t="shared" si="192"/>
        <v>0</v>
      </c>
      <c r="IO39" s="503"/>
      <c r="IP39" s="504">
        <f t="shared" si="81"/>
        <v>0</v>
      </c>
      <c r="IQ39" s="505">
        <f t="shared" si="193"/>
        <v>0</v>
      </c>
      <c r="IR39" s="503">
        <v>41.243922952265692</v>
      </c>
      <c r="IS39" s="504">
        <f t="shared" si="82"/>
        <v>0.7553693696501107</v>
      </c>
      <c r="IT39" s="505">
        <f t="shared" si="194"/>
        <v>0</v>
      </c>
      <c r="IU39" s="503"/>
      <c r="IV39" s="504">
        <f t="shared" si="83"/>
        <v>0</v>
      </c>
      <c r="IW39" s="505">
        <f t="shared" si="195"/>
        <v>0</v>
      </c>
      <c r="IX39" s="503"/>
      <c r="IY39" s="504">
        <f t="shared" si="84"/>
        <v>0</v>
      </c>
      <c r="IZ39" s="505">
        <f t="shared" si="196"/>
        <v>0</v>
      </c>
      <c r="JA39" s="503"/>
      <c r="JB39" s="504">
        <f t="shared" si="85"/>
        <v>0</v>
      </c>
      <c r="JC39" s="505">
        <f t="shared" si="197"/>
        <v>0</v>
      </c>
      <c r="JD39" s="503"/>
      <c r="JE39" s="504">
        <f t="shared" si="86"/>
        <v>0</v>
      </c>
      <c r="JF39" s="505">
        <f t="shared" si="198"/>
        <v>0</v>
      </c>
      <c r="JG39" s="503"/>
      <c r="JH39" s="504">
        <f t="shared" si="87"/>
        <v>0</v>
      </c>
      <c r="JI39" s="505">
        <f t="shared" si="199"/>
        <v>0</v>
      </c>
      <c r="JJ39" s="503">
        <v>20.621961476132846</v>
      </c>
      <c r="JK39" s="505" t="str">
        <f t="shared" si="88"/>
        <v>0</v>
      </c>
      <c r="JL39" s="505" t="str">
        <f t="shared" si="89"/>
        <v>0</v>
      </c>
      <c r="JM39" s="503"/>
      <c r="JN39" s="505" t="str">
        <f t="shared" si="90"/>
        <v>0</v>
      </c>
      <c r="JO39" s="505" t="str">
        <f t="shared" si="91"/>
        <v>0</v>
      </c>
      <c r="JP39" s="503"/>
      <c r="JQ39" s="505" t="str">
        <f t="shared" si="92"/>
        <v>0</v>
      </c>
      <c r="JR39" s="505" t="str">
        <f t="shared" si="93"/>
        <v>0</v>
      </c>
      <c r="JS39" s="503"/>
      <c r="JT39" s="505" t="str">
        <f t="shared" si="94"/>
        <v>0</v>
      </c>
      <c r="JU39" s="505" t="str">
        <f t="shared" si="95"/>
        <v>0</v>
      </c>
      <c r="JV39" s="503"/>
      <c r="JW39" s="505" t="str">
        <f t="shared" si="96"/>
        <v>0</v>
      </c>
      <c r="JX39" s="505" t="str">
        <f t="shared" si="97"/>
        <v>0</v>
      </c>
      <c r="JY39" s="503"/>
      <c r="JZ39" s="505" t="str">
        <f t="shared" si="98"/>
        <v>0</v>
      </c>
      <c r="KA39" s="505" t="str">
        <f t="shared" si="99"/>
        <v>0</v>
      </c>
      <c r="KB39" s="503"/>
      <c r="KC39" s="505" t="str">
        <f t="shared" si="100"/>
        <v>0</v>
      </c>
      <c r="KD39" s="505" t="str">
        <f t="shared" si="101"/>
        <v>0</v>
      </c>
      <c r="KE39" s="503"/>
      <c r="KF39" s="505" t="str">
        <f t="shared" si="102"/>
        <v>0</v>
      </c>
      <c r="KG39" s="505" t="str">
        <f t="shared" si="103"/>
        <v>0</v>
      </c>
      <c r="KH39" s="503"/>
      <c r="KI39" s="505" t="str">
        <f t="shared" si="104"/>
        <v>0</v>
      </c>
      <c r="KJ39" s="505" t="str">
        <f t="shared" si="105"/>
        <v>0</v>
      </c>
      <c r="KK39" s="503"/>
      <c r="KL39" s="505" t="str">
        <f t="shared" si="106"/>
        <v>0</v>
      </c>
      <c r="KM39" s="505" t="str">
        <f t="shared" si="107"/>
        <v>0</v>
      </c>
      <c r="KN39" s="503"/>
      <c r="KO39" s="505" t="str">
        <f t="shared" si="108"/>
        <v>0</v>
      </c>
      <c r="KP39" s="505" t="str">
        <f t="shared" si="109"/>
        <v>0</v>
      </c>
      <c r="KQ39" s="503"/>
      <c r="KR39" s="505" t="str">
        <f t="shared" si="110"/>
        <v>0</v>
      </c>
      <c r="KS39" s="505" t="str">
        <f t="shared" si="111"/>
        <v>0</v>
      </c>
      <c r="KT39" s="505">
        <f t="shared" si="201"/>
        <v>0</v>
      </c>
      <c r="KU39" s="505">
        <f t="shared" si="202"/>
        <v>0</v>
      </c>
      <c r="KV39" s="258">
        <f t="shared" si="112"/>
        <v>1733.4764650278964</v>
      </c>
    </row>
    <row r="40" spans="1:308" ht="15" customHeight="1">
      <c r="A40" s="462">
        <f t="shared" si="200"/>
        <v>46112</v>
      </c>
      <c r="B40" s="463" t="str">
        <f>+Report1!B39</f>
        <v>Toilet</v>
      </c>
      <c r="C40" s="464" t="str">
        <f>+Report1!C39</f>
        <v>13,5/15</v>
      </c>
      <c r="D40" s="465">
        <f>+Report1!P39</f>
        <v>49.249000000000002</v>
      </c>
      <c r="E40" s="466">
        <f>+Report1!R39</f>
        <v>39.250999999999998</v>
      </c>
      <c r="F40" s="503"/>
      <c r="G40" s="504">
        <f t="shared" si="0"/>
        <v>0</v>
      </c>
      <c r="H40" s="505">
        <f t="shared" si="113"/>
        <v>0</v>
      </c>
      <c r="I40" s="503"/>
      <c r="J40" s="504">
        <f t="shared" si="1"/>
        <v>0</v>
      </c>
      <c r="K40" s="505">
        <f t="shared" si="114"/>
        <v>0</v>
      </c>
      <c r="L40" s="503"/>
      <c r="M40" s="504">
        <f t="shared" si="2"/>
        <v>0</v>
      </c>
      <c r="N40" s="505">
        <f t="shared" si="115"/>
        <v>0</v>
      </c>
      <c r="O40" s="503">
        <v>9</v>
      </c>
      <c r="P40" s="504">
        <f t="shared" si="3"/>
        <v>0.22929352118417368</v>
      </c>
      <c r="Q40" s="505">
        <f t="shared" si="116"/>
        <v>0</v>
      </c>
      <c r="R40" s="503">
        <v>5.125</v>
      </c>
      <c r="S40" s="504">
        <f t="shared" si="4"/>
        <v>0.13056992178543222</v>
      </c>
      <c r="T40" s="505">
        <f t="shared" si="117"/>
        <v>0</v>
      </c>
      <c r="U40" s="503">
        <v>3.1249999999999858</v>
      </c>
      <c r="V40" s="504">
        <f t="shared" si="5"/>
        <v>7.9615805966726599E-2</v>
      </c>
      <c r="W40" s="505">
        <f t="shared" si="118"/>
        <v>0</v>
      </c>
      <c r="X40" s="503"/>
      <c r="Y40" s="504">
        <f t="shared" si="6"/>
        <v>0</v>
      </c>
      <c r="Z40" s="505">
        <f t="shared" si="119"/>
        <v>0</v>
      </c>
      <c r="AA40" s="503"/>
      <c r="AB40" s="504">
        <f t="shared" si="7"/>
        <v>0</v>
      </c>
      <c r="AC40" s="505">
        <f t="shared" si="120"/>
        <v>0</v>
      </c>
      <c r="AD40" s="503"/>
      <c r="AE40" s="504">
        <f t="shared" si="8"/>
        <v>0</v>
      </c>
      <c r="AF40" s="505">
        <f t="shared" si="121"/>
        <v>0</v>
      </c>
      <c r="AG40" s="503"/>
      <c r="AH40" s="504">
        <f t="shared" si="9"/>
        <v>0</v>
      </c>
      <c r="AI40" s="505">
        <f t="shared" si="122"/>
        <v>0</v>
      </c>
      <c r="AJ40" s="503"/>
      <c r="AK40" s="504">
        <f t="shared" si="10"/>
        <v>0</v>
      </c>
      <c r="AL40" s="505">
        <f t="shared" si="123"/>
        <v>0</v>
      </c>
      <c r="AM40" s="503">
        <v>39.423076923076906</v>
      </c>
      <c r="AN40" s="504">
        <f t="shared" si="11"/>
        <v>1.0043840137340936</v>
      </c>
      <c r="AO40" s="505">
        <f t="shared" si="124"/>
        <v>0</v>
      </c>
      <c r="AP40" s="503"/>
      <c r="AQ40" s="504">
        <f t="shared" si="12"/>
        <v>0</v>
      </c>
      <c r="AR40" s="505">
        <f t="shared" si="125"/>
        <v>0</v>
      </c>
      <c r="AS40" s="503"/>
      <c r="AT40" s="504">
        <f t="shared" si="13"/>
        <v>0</v>
      </c>
      <c r="AU40" s="505">
        <f t="shared" si="126"/>
        <v>0</v>
      </c>
      <c r="AV40" s="503">
        <v>8.3250000000000171</v>
      </c>
      <c r="AW40" s="504">
        <f t="shared" si="14"/>
        <v>0.21209650709536107</v>
      </c>
      <c r="AX40" s="505">
        <f t="shared" si="127"/>
        <v>0</v>
      </c>
      <c r="AY40" s="503">
        <v>37.333333333333314</v>
      </c>
      <c r="AZ40" s="504">
        <f t="shared" si="15"/>
        <v>0.95114349528249764</v>
      </c>
      <c r="BA40" s="505">
        <f t="shared" si="128"/>
        <v>0</v>
      </c>
      <c r="BB40" s="503"/>
      <c r="BC40" s="504">
        <f t="shared" si="16"/>
        <v>0</v>
      </c>
      <c r="BD40" s="505">
        <f t="shared" si="129"/>
        <v>0</v>
      </c>
      <c r="BE40" s="503"/>
      <c r="BF40" s="504">
        <f t="shared" si="17"/>
        <v>0</v>
      </c>
      <c r="BG40" s="505">
        <f t="shared" si="130"/>
        <v>0</v>
      </c>
      <c r="BH40" s="503"/>
      <c r="BI40" s="504">
        <f t="shared" si="18"/>
        <v>0</v>
      </c>
      <c r="BJ40" s="505">
        <f t="shared" si="131"/>
        <v>0</v>
      </c>
      <c r="BK40" s="503"/>
      <c r="BL40" s="504">
        <f t="shared" si="19"/>
        <v>0</v>
      </c>
      <c r="BM40" s="505">
        <f t="shared" si="132"/>
        <v>0</v>
      </c>
      <c r="BN40" s="503"/>
      <c r="BO40" s="504">
        <f t="shared" si="20"/>
        <v>0</v>
      </c>
      <c r="BP40" s="505">
        <f t="shared" si="133"/>
        <v>0</v>
      </c>
      <c r="BQ40" s="503"/>
      <c r="BR40" s="504">
        <f t="shared" si="21"/>
        <v>0</v>
      </c>
      <c r="BS40" s="505">
        <f t="shared" si="134"/>
        <v>0</v>
      </c>
      <c r="BT40" s="503"/>
      <c r="BU40" s="504">
        <f t="shared" si="22"/>
        <v>0</v>
      </c>
      <c r="BV40" s="505">
        <f t="shared" si="135"/>
        <v>0</v>
      </c>
      <c r="BW40" s="503"/>
      <c r="BX40" s="504">
        <f t="shared" si="23"/>
        <v>0</v>
      </c>
      <c r="BY40" s="505">
        <f t="shared" si="136"/>
        <v>0</v>
      </c>
      <c r="BZ40" s="503"/>
      <c r="CA40" s="504">
        <f t="shared" si="24"/>
        <v>0</v>
      </c>
      <c r="CB40" s="505">
        <f t="shared" si="137"/>
        <v>0</v>
      </c>
      <c r="CC40" s="503"/>
      <c r="CD40" s="504">
        <f t="shared" si="25"/>
        <v>0</v>
      </c>
      <c r="CE40" s="505">
        <f t="shared" si="138"/>
        <v>0</v>
      </c>
      <c r="CF40" s="503">
        <v>10</v>
      </c>
      <c r="CG40" s="504">
        <f t="shared" si="26"/>
        <v>0.25477057909352629</v>
      </c>
      <c r="CH40" s="505">
        <f t="shared" si="139"/>
        <v>0</v>
      </c>
      <c r="CI40" s="503"/>
      <c r="CJ40" s="504">
        <f t="shared" si="27"/>
        <v>0</v>
      </c>
      <c r="CK40" s="505">
        <f t="shared" si="140"/>
        <v>0</v>
      </c>
      <c r="CL40" s="503"/>
      <c r="CM40" s="504">
        <f t="shared" si="28"/>
        <v>0</v>
      </c>
      <c r="CN40" s="505">
        <f t="shared" si="141"/>
        <v>0</v>
      </c>
      <c r="CO40" s="503"/>
      <c r="CP40" s="504">
        <f t="shared" si="29"/>
        <v>0</v>
      </c>
      <c r="CQ40" s="505">
        <f t="shared" si="142"/>
        <v>0</v>
      </c>
      <c r="CR40" s="503"/>
      <c r="CS40" s="504">
        <f t="shared" si="30"/>
        <v>0</v>
      </c>
      <c r="CT40" s="505">
        <f t="shared" si="143"/>
        <v>0</v>
      </c>
      <c r="CU40" s="503"/>
      <c r="CV40" s="504">
        <f t="shared" si="31"/>
        <v>0</v>
      </c>
      <c r="CW40" s="505">
        <f t="shared" si="144"/>
        <v>0</v>
      </c>
      <c r="CX40" s="503"/>
      <c r="CY40" s="504">
        <f t="shared" si="32"/>
        <v>0</v>
      </c>
      <c r="CZ40" s="505">
        <f t="shared" si="145"/>
        <v>0</v>
      </c>
      <c r="DA40" s="503"/>
      <c r="DB40" s="504">
        <f t="shared" si="33"/>
        <v>0</v>
      </c>
      <c r="DC40" s="505">
        <f t="shared" si="146"/>
        <v>0</v>
      </c>
      <c r="DD40" s="503"/>
      <c r="DE40" s="504">
        <f t="shared" si="34"/>
        <v>0</v>
      </c>
      <c r="DF40" s="505">
        <f t="shared" si="147"/>
        <v>0</v>
      </c>
      <c r="DG40" s="503"/>
      <c r="DH40" s="504">
        <f t="shared" si="35"/>
        <v>0</v>
      </c>
      <c r="DI40" s="505">
        <f t="shared" si="203"/>
        <v>0</v>
      </c>
      <c r="DJ40" s="503"/>
      <c r="DK40" s="504">
        <f t="shared" si="36"/>
        <v>0</v>
      </c>
      <c r="DL40" s="505">
        <f t="shared" si="148"/>
        <v>0</v>
      </c>
      <c r="DM40" s="503"/>
      <c r="DN40" s="504">
        <f t="shared" si="37"/>
        <v>0</v>
      </c>
      <c r="DO40" s="505">
        <f t="shared" si="149"/>
        <v>0</v>
      </c>
      <c r="DP40" s="503"/>
      <c r="DQ40" s="504">
        <f t="shared" si="38"/>
        <v>0</v>
      </c>
      <c r="DR40" s="505">
        <f t="shared" si="150"/>
        <v>0</v>
      </c>
      <c r="DS40" s="503"/>
      <c r="DT40" s="504">
        <f t="shared" si="39"/>
        <v>0</v>
      </c>
      <c r="DU40" s="505">
        <f t="shared" si="151"/>
        <v>0</v>
      </c>
      <c r="DV40" s="503"/>
      <c r="DW40" s="504">
        <f t="shared" si="40"/>
        <v>0</v>
      </c>
      <c r="DX40" s="505">
        <f t="shared" si="152"/>
        <v>0</v>
      </c>
      <c r="DY40" s="503">
        <v>23.722891566265062</v>
      </c>
      <c r="DZ40" s="504">
        <f t="shared" si="41"/>
        <v>0.60438948221102806</v>
      </c>
      <c r="EA40" s="505">
        <f t="shared" si="153"/>
        <v>0</v>
      </c>
      <c r="EB40" s="503">
        <v>224.82352941176487</v>
      </c>
      <c r="EC40" s="504">
        <f t="shared" si="42"/>
        <v>5.7278420782085773</v>
      </c>
      <c r="ED40" s="505">
        <f t="shared" si="154"/>
        <v>0</v>
      </c>
      <c r="EE40" s="503">
        <v>14.534883720930281</v>
      </c>
      <c r="EF40" s="504">
        <f t="shared" si="43"/>
        <v>0.3703060742638476</v>
      </c>
      <c r="EG40" s="505">
        <f t="shared" si="155"/>
        <v>0</v>
      </c>
      <c r="EH40" s="503"/>
      <c r="EI40" s="504">
        <f t="shared" si="44"/>
        <v>0</v>
      </c>
      <c r="EJ40" s="505">
        <f t="shared" si="156"/>
        <v>0</v>
      </c>
      <c r="EK40" s="503"/>
      <c r="EL40" s="504">
        <f t="shared" si="45"/>
        <v>0</v>
      </c>
      <c r="EM40" s="505">
        <f t="shared" si="157"/>
        <v>0</v>
      </c>
      <c r="EN40" s="503"/>
      <c r="EO40" s="504">
        <f t="shared" si="46"/>
        <v>0</v>
      </c>
      <c r="EP40" s="505">
        <f t="shared" si="158"/>
        <v>0</v>
      </c>
      <c r="EQ40" s="503"/>
      <c r="ER40" s="504">
        <f t="shared" si="47"/>
        <v>0</v>
      </c>
      <c r="ES40" s="505">
        <f t="shared" si="159"/>
        <v>0</v>
      </c>
      <c r="ET40" s="503"/>
      <c r="EU40" s="504">
        <f t="shared" si="48"/>
        <v>0</v>
      </c>
      <c r="EV40" s="505">
        <f t="shared" si="160"/>
        <v>0</v>
      </c>
      <c r="EW40" s="503"/>
      <c r="EX40" s="504">
        <f t="shared" si="49"/>
        <v>0</v>
      </c>
      <c r="EY40" s="505">
        <f t="shared" si="161"/>
        <v>0</v>
      </c>
      <c r="EZ40" s="503"/>
      <c r="FA40" s="504">
        <f t="shared" si="50"/>
        <v>0</v>
      </c>
      <c r="FB40" s="505">
        <f t="shared" si="162"/>
        <v>0</v>
      </c>
      <c r="FC40" s="503"/>
      <c r="FD40" s="504">
        <f t="shared" si="51"/>
        <v>0</v>
      </c>
      <c r="FE40" s="505">
        <f t="shared" si="163"/>
        <v>0</v>
      </c>
      <c r="FF40" s="503"/>
      <c r="FG40" s="504">
        <f t="shared" si="52"/>
        <v>0</v>
      </c>
      <c r="FH40" s="505">
        <f t="shared" si="164"/>
        <v>0</v>
      </c>
      <c r="FI40" s="503"/>
      <c r="FJ40" s="504">
        <f t="shared" si="53"/>
        <v>0</v>
      </c>
      <c r="FK40" s="505">
        <f t="shared" si="165"/>
        <v>0</v>
      </c>
      <c r="FL40" s="503"/>
      <c r="FM40" s="504">
        <f t="shared" si="54"/>
        <v>0</v>
      </c>
      <c r="FN40" s="505">
        <f t="shared" si="166"/>
        <v>0</v>
      </c>
      <c r="FO40" s="503"/>
      <c r="FP40" s="504">
        <f t="shared" si="55"/>
        <v>0</v>
      </c>
      <c r="FQ40" s="505">
        <f t="shared" si="167"/>
        <v>0</v>
      </c>
      <c r="FR40" s="503"/>
      <c r="FS40" s="504">
        <f t="shared" si="56"/>
        <v>0</v>
      </c>
      <c r="FT40" s="505">
        <f t="shared" si="168"/>
        <v>0</v>
      </c>
      <c r="FU40" s="503"/>
      <c r="FV40" s="504">
        <f t="shared" si="57"/>
        <v>0</v>
      </c>
      <c r="FW40" s="505">
        <f t="shared" si="169"/>
        <v>0</v>
      </c>
      <c r="FX40" s="503"/>
      <c r="FY40" s="504">
        <f t="shared" si="58"/>
        <v>0</v>
      </c>
      <c r="FZ40" s="505">
        <f t="shared" si="170"/>
        <v>0</v>
      </c>
      <c r="GA40" s="503"/>
      <c r="GB40" s="504">
        <f t="shared" si="59"/>
        <v>0</v>
      </c>
      <c r="GC40" s="505">
        <f t="shared" si="171"/>
        <v>0</v>
      </c>
      <c r="GD40" s="503"/>
      <c r="GE40" s="504">
        <f t="shared" si="60"/>
        <v>0</v>
      </c>
      <c r="GF40" s="505">
        <f t="shared" si="172"/>
        <v>0</v>
      </c>
      <c r="GG40" s="503">
        <v>17.874711155739984</v>
      </c>
      <c r="GH40" s="504">
        <f t="shared" si="61"/>
        <v>0.45539505122773904</v>
      </c>
      <c r="GI40" s="505">
        <f t="shared" si="173"/>
        <v>0</v>
      </c>
      <c r="GJ40" s="503">
        <v>17.874711155739984</v>
      </c>
      <c r="GK40" s="504">
        <f t="shared" si="62"/>
        <v>0.45539505122773904</v>
      </c>
      <c r="GL40" s="505">
        <f t="shared" si="174"/>
        <v>0</v>
      </c>
      <c r="GM40" s="503"/>
      <c r="GN40" s="504">
        <f t="shared" si="63"/>
        <v>0</v>
      </c>
      <c r="GO40" s="505">
        <f t="shared" si="175"/>
        <v>0</v>
      </c>
      <c r="GP40" s="503">
        <v>47.665896415306619</v>
      </c>
      <c r="GQ40" s="504">
        <f t="shared" si="64"/>
        <v>1.2143868032739706</v>
      </c>
      <c r="GR40" s="505">
        <f t="shared" si="176"/>
        <v>0</v>
      </c>
      <c r="GS40" s="503">
        <v>411.1183565820196</v>
      </c>
      <c r="GT40" s="504">
        <f t="shared" si="65"/>
        <v>10.474086178237997</v>
      </c>
      <c r="GU40" s="505">
        <f t="shared" si="177"/>
        <v>0</v>
      </c>
      <c r="GV40" s="503">
        <v>77.457081674873265</v>
      </c>
      <c r="GW40" s="504">
        <f t="shared" si="66"/>
        <v>1.9733785553202026</v>
      </c>
      <c r="GX40" s="505">
        <f t="shared" si="178"/>
        <v>0</v>
      </c>
      <c r="GY40" s="503"/>
      <c r="GZ40" s="504">
        <f t="shared" si="67"/>
        <v>0</v>
      </c>
      <c r="HA40" s="505">
        <f t="shared" si="179"/>
        <v>0</v>
      </c>
      <c r="HB40" s="503"/>
      <c r="HC40" s="504">
        <f t="shared" si="68"/>
        <v>0</v>
      </c>
      <c r="HD40" s="505">
        <f t="shared" si="180"/>
        <v>0</v>
      </c>
      <c r="HE40" s="503"/>
      <c r="HF40" s="504">
        <f t="shared" si="69"/>
        <v>0</v>
      </c>
      <c r="HG40" s="505">
        <f t="shared" si="181"/>
        <v>0</v>
      </c>
      <c r="HH40" s="503"/>
      <c r="HI40" s="504">
        <f t="shared" si="70"/>
        <v>0</v>
      </c>
      <c r="HJ40" s="505">
        <f t="shared" si="182"/>
        <v>0</v>
      </c>
      <c r="HK40" s="503"/>
      <c r="HL40" s="504">
        <f t="shared" si="71"/>
        <v>0</v>
      </c>
      <c r="HM40" s="505">
        <f t="shared" si="183"/>
        <v>0</v>
      </c>
      <c r="HN40" s="503">
        <v>1198.2014711397701</v>
      </c>
      <c r="HO40" s="504">
        <f t="shared" si="72"/>
        <v>30.526648267299436</v>
      </c>
      <c r="HP40" s="505">
        <f t="shared" si="184"/>
        <v>0</v>
      </c>
      <c r="HQ40" s="503"/>
      <c r="HR40" s="504">
        <f t="shared" si="73"/>
        <v>0</v>
      </c>
      <c r="HS40" s="505">
        <f t="shared" si="185"/>
        <v>0</v>
      </c>
      <c r="HT40" s="503"/>
      <c r="HU40" s="504">
        <f t="shared" si="74"/>
        <v>0</v>
      </c>
      <c r="HV40" s="505">
        <f t="shared" si="186"/>
        <v>0</v>
      </c>
      <c r="HW40" s="503"/>
      <c r="HX40" s="504">
        <f t="shared" si="75"/>
        <v>0</v>
      </c>
      <c r="HY40" s="505">
        <f t="shared" si="187"/>
        <v>0</v>
      </c>
      <c r="HZ40" s="503"/>
      <c r="IA40" s="504">
        <f t="shared" si="76"/>
        <v>0</v>
      </c>
      <c r="IB40" s="505">
        <f t="shared" si="188"/>
        <v>0</v>
      </c>
      <c r="IC40" s="503"/>
      <c r="ID40" s="504">
        <f t="shared" si="77"/>
        <v>0</v>
      </c>
      <c r="IE40" s="505">
        <f t="shared" si="189"/>
        <v>0</v>
      </c>
      <c r="IF40" s="503"/>
      <c r="IG40" s="504">
        <f t="shared" si="78"/>
        <v>0</v>
      </c>
      <c r="IH40" s="505">
        <f t="shared" si="190"/>
        <v>0</v>
      </c>
      <c r="II40" s="503">
        <v>29.791185259566639</v>
      </c>
      <c r="IJ40" s="504">
        <f t="shared" si="79"/>
        <v>0.7589917520462317</v>
      </c>
      <c r="IK40" s="505">
        <f t="shared" si="191"/>
        <v>0</v>
      </c>
      <c r="IL40" s="503"/>
      <c r="IM40" s="504">
        <f t="shared" si="80"/>
        <v>0</v>
      </c>
      <c r="IN40" s="505">
        <f t="shared" si="192"/>
        <v>0</v>
      </c>
      <c r="IO40" s="503"/>
      <c r="IP40" s="504">
        <f t="shared" si="81"/>
        <v>0</v>
      </c>
      <c r="IQ40" s="505">
        <f t="shared" si="193"/>
        <v>0</v>
      </c>
      <c r="IR40" s="503">
        <v>59.582370519133278</v>
      </c>
      <c r="IS40" s="504">
        <f t="shared" si="82"/>
        <v>1.5179835040924634</v>
      </c>
      <c r="IT40" s="505">
        <f t="shared" si="194"/>
        <v>0</v>
      </c>
      <c r="IU40" s="503"/>
      <c r="IV40" s="504">
        <f t="shared" si="83"/>
        <v>0</v>
      </c>
      <c r="IW40" s="505">
        <f t="shared" si="195"/>
        <v>0</v>
      </c>
      <c r="IX40" s="503"/>
      <c r="IY40" s="504">
        <f t="shared" si="84"/>
        <v>0</v>
      </c>
      <c r="IZ40" s="505">
        <f t="shared" si="196"/>
        <v>0</v>
      </c>
      <c r="JA40" s="503"/>
      <c r="JB40" s="504">
        <f t="shared" si="85"/>
        <v>0</v>
      </c>
      <c r="JC40" s="505">
        <f t="shared" si="197"/>
        <v>0</v>
      </c>
      <c r="JD40" s="503"/>
      <c r="JE40" s="504">
        <f t="shared" si="86"/>
        <v>0</v>
      </c>
      <c r="JF40" s="505">
        <f t="shared" si="198"/>
        <v>0</v>
      </c>
      <c r="JG40" s="503"/>
      <c r="JH40" s="504">
        <f t="shared" si="87"/>
        <v>0</v>
      </c>
      <c r="JI40" s="505">
        <f t="shared" si="199"/>
        <v>0</v>
      </c>
      <c r="JJ40" s="503">
        <v>32.770303785523303</v>
      </c>
      <c r="JK40" s="505" t="str">
        <f t="shared" si="88"/>
        <v>0</v>
      </c>
      <c r="JL40" s="505" t="str">
        <f t="shared" si="89"/>
        <v>0</v>
      </c>
      <c r="JM40" s="503"/>
      <c r="JN40" s="505" t="str">
        <f t="shared" si="90"/>
        <v>0</v>
      </c>
      <c r="JO40" s="505" t="str">
        <f t="shared" si="91"/>
        <v>0</v>
      </c>
      <c r="JP40" s="503"/>
      <c r="JQ40" s="505" t="str">
        <f t="shared" si="92"/>
        <v>0</v>
      </c>
      <c r="JR40" s="505" t="str">
        <f t="shared" si="93"/>
        <v>0</v>
      </c>
      <c r="JS40" s="503"/>
      <c r="JT40" s="505" t="str">
        <f t="shared" si="94"/>
        <v>0</v>
      </c>
      <c r="JU40" s="505" t="str">
        <f t="shared" si="95"/>
        <v>0</v>
      </c>
      <c r="JV40" s="503"/>
      <c r="JW40" s="505" t="str">
        <f t="shared" si="96"/>
        <v>0</v>
      </c>
      <c r="JX40" s="505" t="str">
        <f t="shared" si="97"/>
        <v>0</v>
      </c>
      <c r="JY40" s="503"/>
      <c r="JZ40" s="505" t="str">
        <f t="shared" si="98"/>
        <v>0</v>
      </c>
      <c r="KA40" s="505" t="str">
        <f t="shared" si="99"/>
        <v>0</v>
      </c>
      <c r="KB40" s="503"/>
      <c r="KC40" s="505" t="str">
        <f t="shared" si="100"/>
        <v>0</v>
      </c>
      <c r="KD40" s="505" t="str">
        <f t="shared" si="101"/>
        <v>0</v>
      </c>
      <c r="KE40" s="503"/>
      <c r="KF40" s="505" t="str">
        <f t="shared" si="102"/>
        <v>0</v>
      </c>
      <c r="KG40" s="505" t="str">
        <f t="shared" si="103"/>
        <v>0</v>
      </c>
      <c r="KH40" s="503"/>
      <c r="KI40" s="505" t="str">
        <f t="shared" si="104"/>
        <v>0</v>
      </c>
      <c r="KJ40" s="505" t="str">
        <f t="shared" si="105"/>
        <v>0</v>
      </c>
      <c r="KK40" s="503"/>
      <c r="KL40" s="505" t="str">
        <f t="shared" si="106"/>
        <v>0</v>
      </c>
      <c r="KM40" s="505" t="str">
        <f t="shared" si="107"/>
        <v>0</v>
      </c>
      <c r="KN40" s="503"/>
      <c r="KO40" s="505" t="str">
        <f t="shared" si="108"/>
        <v>0</v>
      </c>
      <c r="KP40" s="505" t="str">
        <f t="shared" si="109"/>
        <v>0</v>
      </c>
      <c r="KQ40" s="503"/>
      <c r="KR40" s="505" t="str">
        <f t="shared" si="110"/>
        <v>0</v>
      </c>
      <c r="KS40" s="505" t="str">
        <f t="shared" si="111"/>
        <v>0</v>
      </c>
      <c r="KT40" s="505">
        <f t="shared" si="201"/>
        <v>0</v>
      </c>
      <c r="KU40" s="505">
        <f t="shared" si="202"/>
        <v>0</v>
      </c>
      <c r="KV40" s="258">
        <f t="shared" si="112"/>
        <v>2267.7488026430428</v>
      </c>
    </row>
    <row r="41" spans="1:308" s="255" customFormat="1" ht="15" customHeight="1" thickBot="1">
      <c r="A41" s="718" t="s">
        <v>28</v>
      </c>
      <c r="B41" s="719"/>
      <c r="C41" s="720"/>
      <c r="D41" s="468">
        <f>SUM(D10:D40)</f>
        <v>1597.6710000000005</v>
      </c>
      <c r="E41" s="468">
        <f>SUM(E10:E40)</f>
        <v>1556.3609999999996</v>
      </c>
      <c r="F41" s="503"/>
      <c r="G41" s="504"/>
      <c r="H41" s="505"/>
      <c r="I41" s="503"/>
      <c r="J41" s="504"/>
      <c r="K41" s="505"/>
      <c r="L41" s="503"/>
      <c r="M41" s="504"/>
      <c r="N41" s="505"/>
      <c r="O41" s="503"/>
      <c r="P41" s="504"/>
      <c r="Q41" s="505"/>
      <c r="R41" s="503"/>
      <c r="S41" s="504"/>
      <c r="T41" s="505"/>
      <c r="U41" s="503"/>
      <c r="V41" s="504"/>
      <c r="W41" s="505"/>
      <c r="X41" s="503"/>
      <c r="Y41" s="504"/>
      <c r="Z41" s="505"/>
      <c r="AA41" s="503"/>
      <c r="AB41" s="504"/>
      <c r="AC41" s="505"/>
      <c r="AD41" s="503"/>
      <c r="AE41" s="504"/>
      <c r="AF41" s="505"/>
      <c r="AG41" s="503"/>
      <c r="AH41" s="504"/>
      <c r="AI41" s="505"/>
      <c r="AJ41" s="503"/>
      <c r="AK41" s="504"/>
      <c r="AL41" s="505"/>
      <c r="AM41" s="503"/>
      <c r="AN41" s="504"/>
      <c r="AO41" s="505"/>
      <c r="AP41" s="503"/>
      <c r="AQ41" s="504"/>
      <c r="AR41" s="505"/>
      <c r="AS41" s="503"/>
      <c r="AT41" s="504"/>
      <c r="AU41" s="505"/>
      <c r="AV41" s="503"/>
      <c r="AW41" s="504"/>
      <c r="AX41" s="505"/>
      <c r="AY41" s="503"/>
      <c r="AZ41" s="504"/>
      <c r="BA41" s="505"/>
      <c r="BB41" s="503"/>
      <c r="BC41" s="504"/>
      <c r="BD41" s="505"/>
      <c r="BE41" s="503"/>
      <c r="BF41" s="504"/>
      <c r="BG41" s="505"/>
      <c r="BH41" s="503"/>
      <c r="BI41" s="504"/>
      <c r="BJ41" s="505"/>
      <c r="BK41" s="503"/>
      <c r="BL41" s="504"/>
      <c r="BM41" s="505"/>
      <c r="BN41" s="503"/>
      <c r="BO41" s="504"/>
      <c r="BP41" s="505"/>
      <c r="BQ41" s="503"/>
      <c r="BR41" s="504"/>
      <c r="BS41" s="505"/>
      <c r="BT41" s="503"/>
      <c r="BU41" s="504"/>
      <c r="BV41" s="505"/>
      <c r="BW41" s="503"/>
      <c r="BX41" s="504"/>
      <c r="BY41" s="505"/>
      <c r="BZ41" s="503"/>
      <c r="CA41" s="504"/>
      <c r="CB41" s="505"/>
      <c r="CC41" s="503"/>
      <c r="CD41" s="504"/>
      <c r="CE41" s="505"/>
      <c r="CF41" s="503"/>
      <c r="CG41" s="504"/>
      <c r="CH41" s="505"/>
      <c r="CI41" s="503"/>
      <c r="CJ41" s="504"/>
      <c r="CK41" s="505"/>
      <c r="CL41" s="503"/>
      <c r="CM41" s="504"/>
      <c r="CN41" s="505"/>
      <c r="CO41" s="503"/>
      <c r="CP41" s="504"/>
      <c r="CQ41" s="505"/>
      <c r="CR41" s="503"/>
      <c r="CS41" s="504"/>
      <c r="CT41" s="505"/>
      <c r="CU41" s="503"/>
      <c r="CV41" s="504"/>
      <c r="CW41" s="505"/>
      <c r="CX41" s="503"/>
      <c r="CY41" s="504"/>
      <c r="CZ41" s="505"/>
      <c r="DA41" s="503"/>
      <c r="DB41" s="504"/>
      <c r="DC41" s="505"/>
      <c r="DD41" s="503"/>
      <c r="DE41" s="504"/>
      <c r="DF41" s="505"/>
      <c r="DG41" s="503"/>
      <c r="DH41" s="504"/>
      <c r="DI41" s="505"/>
      <c r="DJ41" s="503"/>
      <c r="DK41" s="504"/>
      <c r="DL41" s="505"/>
      <c r="DM41" s="503"/>
      <c r="DN41" s="504"/>
      <c r="DO41" s="505"/>
      <c r="DP41" s="503"/>
      <c r="DQ41" s="504"/>
      <c r="DR41" s="505"/>
      <c r="DS41" s="503"/>
      <c r="DT41" s="504"/>
      <c r="DU41" s="505"/>
      <c r="DV41" s="503"/>
      <c r="DW41" s="504"/>
      <c r="DX41" s="505"/>
      <c r="DY41" s="503"/>
      <c r="DZ41" s="504"/>
      <c r="EA41" s="505"/>
      <c r="EB41" s="503"/>
      <c r="EC41" s="504"/>
      <c r="ED41" s="505"/>
      <c r="EE41" s="503"/>
      <c r="EF41" s="504"/>
      <c r="EG41" s="505"/>
      <c r="EH41" s="503"/>
      <c r="EI41" s="504"/>
      <c r="EJ41" s="505"/>
      <c r="EK41" s="503"/>
      <c r="EL41" s="504"/>
      <c r="EM41" s="505"/>
      <c r="EN41" s="503"/>
      <c r="EO41" s="504"/>
      <c r="EP41" s="505"/>
      <c r="EQ41" s="503"/>
      <c r="ER41" s="504"/>
      <c r="ES41" s="505"/>
      <c r="ET41" s="503"/>
      <c r="EU41" s="504"/>
      <c r="EV41" s="505"/>
      <c r="EW41" s="503"/>
      <c r="EX41" s="504"/>
      <c r="EY41" s="505"/>
      <c r="EZ41" s="503"/>
      <c r="FA41" s="504"/>
      <c r="FB41" s="505"/>
      <c r="FC41" s="503"/>
      <c r="FD41" s="504"/>
      <c r="FE41" s="505"/>
      <c r="FF41" s="503"/>
      <c r="FG41" s="504"/>
      <c r="FH41" s="505"/>
      <c r="FI41" s="503"/>
      <c r="FJ41" s="504"/>
      <c r="FK41" s="505"/>
      <c r="FL41" s="503"/>
      <c r="FM41" s="504"/>
      <c r="FN41" s="505"/>
      <c r="FO41" s="503"/>
      <c r="FP41" s="504"/>
      <c r="FQ41" s="505"/>
      <c r="FR41" s="503"/>
      <c r="FS41" s="504"/>
      <c r="FT41" s="505"/>
      <c r="FU41" s="503"/>
      <c r="FV41" s="504"/>
      <c r="FW41" s="505"/>
      <c r="FX41" s="503"/>
      <c r="FY41" s="504"/>
      <c r="FZ41" s="505"/>
      <c r="GA41" s="503"/>
      <c r="GB41" s="504"/>
      <c r="GC41" s="505"/>
      <c r="GD41" s="503"/>
      <c r="GE41" s="504"/>
      <c r="GF41" s="505"/>
      <c r="GG41" s="503"/>
      <c r="GH41" s="504"/>
      <c r="GI41" s="505"/>
      <c r="GJ41" s="503"/>
      <c r="GK41" s="504"/>
      <c r="GL41" s="505"/>
      <c r="GM41" s="503"/>
      <c r="GN41" s="504"/>
      <c r="GO41" s="505"/>
      <c r="GP41" s="503"/>
      <c r="GQ41" s="504"/>
      <c r="GR41" s="505"/>
      <c r="GS41" s="503"/>
      <c r="GT41" s="504"/>
      <c r="GU41" s="505"/>
      <c r="GV41" s="503"/>
      <c r="GW41" s="504"/>
      <c r="GX41" s="505"/>
      <c r="GY41" s="503"/>
      <c r="GZ41" s="504"/>
      <c r="HA41" s="505"/>
      <c r="HB41" s="503"/>
      <c r="HC41" s="504"/>
      <c r="HD41" s="505"/>
      <c r="HE41" s="503"/>
      <c r="HF41" s="504"/>
      <c r="HG41" s="505"/>
      <c r="HH41" s="503"/>
      <c r="HI41" s="504"/>
      <c r="HJ41" s="505"/>
      <c r="HK41" s="503"/>
      <c r="HL41" s="504"/>
      <c r="HM41" s="505"/>
      <c r="HN41" s="503"/>
      <c r="HO41" s="504"/>
      <c r="HP41" s="505"/>
      <c r="HQ41" s="503"/>
      <c r="HR41" s="504"/>
      <c r="HS41" s="505"/>
      <c r="HT41" s="503"/>
      <c r="HU41" s="504"/>
      <c r="HV41" s="505"/>
      <c r="HW41" s="503"/>
      <c r="HX41" s="504"/>
      <c r="HY41" s="505"/>
      <c r="HZ41" s="503"/>
      <c r="IA41" s="504"/>
      <c r="IB41" s="505"/>
      <c r="IC41" s="503"/>
      <c r="ID41" s="504"/>
      <c r="IE41" s="505"/>
      <c r="IF41" s="503"/>
      <c r="IG41" s="504"/>
      <c r="IH41" s="505"/>
      <c r="II41" s="503"/>
      <c r="IJ41" s="504"/>
      <c r="IK41" s="505"/>
      <c r="IL41" s="503"/>
      <c r="IM41" s="504"/>
      <c r="IN41" s="505"/>
      <c r="IO41" s="503"/>
      <c r="IP41" s="504"/>
      <c r="IQ41" s="505"/>
      <c r="IR41" s="503"/>
      <c r="IS41" s="504"/>
      <c r="IT41" s="505"/>
      <c r="IU41" s="503"/>
      <c r="IV41" s="504"/>
      <c r="IW41" s="505"/>
      <c r="IX41" s="503"/>
      <c r="IY41" s="504"/>
      <c r="IZ41" s="505"/>
      <c r="JA41" s="503"/>
      <c r="JB41" s="504"/>
      <c r="JC41" s="505"/>
      <c r="JD41" s="503"/>
      <c r="JE41" s="504"/>
      <c r="JF41" s="505"/>
      <c r="JG41" s="503"/>
      <c r="JH41" s="504"/>
      <c r="JI41" s="505"/>
      <c r="JJ41" s="503"/>
      <c r="JK41" s="505"/>
      <c r="JL41" s="505"/>
      <c r="JM41" s="503"/>
      <c r="JN41" s="505"/>
      <c r="JO41" s="505"/>
      <c r="JP41" s="503"/>
      <c r="JQ41" s="505"/>
      <c r="JR41" s="505"/>
      <c r="JS41" s="503"/>
      <c r="JT41" s="505"/>
      <c r="JU41" s="505"/>
      <c r="JV41" s="503"/>
      <c r="JW41" s="505"/>
      <c r="JX41" s="505"/>
      <c r="JY41" s="503"/>
      <c r="JZ41" s="505"/>
      <c r="KA41" s="505"/>
      <c r="KB41" s="503"/>
      <c r="KC41" s="505"/>
      <c r="KD41" s="505"/>
      <c r="KE41" s="503"/>
      <c r="KF41" s="505"/>
      <c r="KG41" s="505"/>
      <c r="KH41" s="503"/>
      <c r="KI41" s="505"/>
      <c r="KJ41" s="505"/>
      <c r="KK41" s="503"/>
      <c r="KL41" s="505"/>
      <c r="KM41" s="505"/>
      <c r="KN41" s="503"/>
      <c r="KO41" s="505"/>
      <c r="KP41" s="505"/>
      <c r="KQ41" s="503"/>
      <c r="KR41" s="505"/>
      <c r="KS41" s="505"/>
      <c r="KT41" s="505"/>
      <c r="KU41" s="505"/>
      <c r="KV41" s="528">
        <f>SUM(KV10:KV40)</f>
        <v>60324.082974055105</v>
      </c>
    </row>
    <row r="42" spans="1:308" s="467" customFormat="1" ht="15" customHeight="1" thickTop="1" thickBot="1">
      <c r="A42" s="457"/>
      <c r="B42" s="457"/>
      <c r="C42" s="458"/>
      <c r="D42" s="458"/>
      <c r="E42" s="459"/>
      <c r="F42" s="506">
        <f>SUM(F10:F40)</f>
        <v>0</v>
      </c>
      <c r="G42" s="506">
        <f>IFERROR((F42/$L$42),0)</f>
        <v>0</v>
      </c>
      <c r="H42" s="506">
        <f>IFERROR(((F42*H$9)/$L$42),0)</f>
        <v>0</v>
      </c>
      <c r="I42" s="506">
        <f>SUM(I10:I40)</f>
        <v>5000</v>
      </c>
      <c r="J42" s="506">
        <f>IFERROR((I42/$L$42),0)</f>
        <v>0</v>
      </c>
      <c r="K42" s="506">
        <f>IFERROR(((I42*K$9)/$L$42),0)</f>
        <v>0</v>
      </c>
      <c r="L42" s="506">
        <f>SUM(L10:L40)</f>
        <v>0</v>
      </c>
      <c r="M42" s="506">
        <f>IFERROR((L42/$L$42),0)</f>
        <v>0</v>
      </c>
      <c r="N42" s="506">
        <f>IFERROR(((L42*N$9)/$L$42),0)</f>
        <v>0</v>
      </c>
      <c r="O42" s="506">
        <f>SUM(O10:O40)</f>
        <v>429</v>
      </c>
      <c r="P42" s="506">
        <f>IFERROR((O42/$L$42),0)</f>
        <v>0</v>
      </c>
      <c r="Q42" s="506">
        <f>IFERROR(((O42*Q$9)/$L$42),0)</f>
        <v>0</v>
      </c>
      <c r="R42" s="506">
        <f>SUM(R10:R40)</f>
        <v>225.5</v>
      </c>
      <c r="S42" s="506">
        <f>IFERROR((R42/$L$42),0)</f>
        <v>0</v>
      </c>
      <c r="T42" s="506">
        <f>IFERROR(((R42*T$9)/$L$42),0)</f>
        <v>0</v>
      </c>
      <c r="U42" s="506">
        <f>SUM(U10:U40)</f>
        <v>145.31249999999989</v>
      </c>
      <c r="V42" s="506">
        <f>IFERROR((U42/$L$42),0)</f>
        <v>0</v>
      </c>
      <c r="W42" s="506">
        <f>IFERROR(((U42*W$9)/$L$42),0)</f>
        <v>0</v>
      </c>
      <c r="X42" s="506">
        <f>SUM(X10:X40)</f>
        <v>0</v>
      </c>
      <c r="Y42" s="506">
        <f>IFERROR((X42/$L$42),0)</f>
        <v>0</v>
      </c>
      <c r="Z42" s="506">
        <f>IFERROR(((X42*Z$9)/$L$42),0)</f>
        <v>0</v>
      </c>
      <c r="AA42" s="506">
        <f>SUM(AA10:AA40)</f>
        <v>0</v>
      </c>
      <c r="AB42" s="506">
        <f>IFERROR((AA42/$L$42),0)</f>
        <v>0</v>
      </c>
      <c r="AC42" s="506">
        <f>IFERROR(((AA42*AC$9)/$L$42),0)</f>
        <v>0</v>
      </c>
      <c r="AD42" s="506">
        <f>SUM(AD10:AD40)</f>
        <v>0</v>
      </c>
      <c r="AE42" s="506">
        <f>IFERROR((AD42/$L$42),0)</f>
        <v>0</v>
      </c>
      <c r="AF42" s="506">
        <f>IFERROR(((AD42*AF$9)/$L$42),0)</f>
        <v>0</v>
      </c>
      <c r="AG42" s="506">
        <f>SUM(AG10:AG40)</f>
        <v>0</v>
      </c>
      <c r="AH42" s="506">
        <f>IFERROR((AG42/$L$42),0)</f>
        <v>0</v>
      </c>
      <c r="AI42" s="506">
        <f>IFERROR(((AG42*AI$9)/$L$42),0)</f>
        <v>0</v>
      </c>
      <c r="AJ42" s="506">
        <f>SUM(AJ10:AJ40)</f>
        <v>0</v>
      </c>
      <c r="AK42" s="506">
        <f>IFERROR((AJ42/$L$42),0)</f>
        <v>0</v>
      </c>
      <c r="AL42" s="506">
        <f>IFERROR(((AJ42*AL$9)/$L$42),0)</f>
        <v>0</v>
      </c>
      <c r="AM42" s="506">
        <f>SUM(AM10:AM40)</f>
        <v>1153.7820512820513</v>
      </c>
      <c r="AN42" s="506">
        <f>IFERROR((AM42/$L$42),0)</f>
        <v>0</v>
      </c>
      <c r="AO42" s="506">
        <f>IFERROR(((AM42*AO$9)/$L$42),0)</f>
        <v>0</v>
      </c>
      <c r="AP42" s="506">
        <f>SUM(AP10:AP40)</f>
        <v>122.79863589743587</v>
      </c>
      <c r="AQ42" s="506">
        <f>IFERROR((AP42/$L$42),0)</f>
        <v>0</v>
      </c>
      <c r="AR42" s="506">
        <f>IFERROR(((AP42*AR$9)/$L$42),0)</f>
        <v>0</v>
      </c>
      <c r="AS42" s="506">
        <f>SUM(AS10:AS40)</f>
        <v>0</v>
      </c>
      <c r="AT42" s="506">
        <f>IFERROR((AS42/$L$42),0)</f>
        <v>0</v>
      </c>
      <c r="AU42" s="506">
        <f>IFERROR(((AS42*AU$9)/$L$42),0)</f>
        <v>0</v>
      </c>
      <c r="AV42" s="506">
        <f>SUM(AV10:AV40)</f>
        <v>246.97500000000005</v>
      </c>
      <c r="AW42" s="506">
        <f>IFERROR((AV42/$L$42),0)</f>
        <v>0</v>
      </c>
      <c r="AX42" s="506">
        <f>IFERROR(((AV42*AX$9)/$L$42),0)</f>
        <v>0</v>
      </c>
      <c r="AY42" s="506">
        <f>SUM(AY10:AY40)</f>
        <v>1227.2721333333334</v>
      </c>
      <c r="AZ42" s="506">
        <f>IFERROR((AY42/$L$42),0)</f>
        <v>0</v>
      </c>
      <c r="BA42" s="506">
        <f>IFERROR(((AY42*BA$9)/$L$42),0)</f>
        <v>0</v>
      </c>
      <c r="BB42" s="506">
        <f>SUM(BB10:BB40)</f>
        <v>0</v>
      </c>
      <c r="BC42" s="506">
        <f>IFERROR((BB42/$L$42),0)</f>
        <v>0</v>
      </c>
      <c r="BD42" s="506">
        <f>IFERROR(((BB42*BD$9)/$L$42),0)</f>
        <v>0</v>
      </c>
      <c r="BE42" s="506">
        <f>SUM(BE10:BE40)</f>
        <v>0</v>
      </c>
      <c r="BF42" s="506">
        <f>IFERROR((BE42/$L$42),0)</f>
        <v>0</v>
      </c>
      <c r="BG42" s="506">
        <f>IFERROR(((BE42*BG$9)/$L$42),0)</f>
        <v>0</v>
      </c>
      <c r="BH42" s="506">
        <f>SUM(BH10:BH40)</f>
        <v>0</v>
      </c>
      <c r="BI42" s="506">
        <f>IFERROR((BH42/$L$42),0)</f>
        <v>0</v>
      </c>
      <c r="BJ42" s="506">
        <f>IFERROR(((BH42*BJ$9)/$L$42),0)</f>
        <v>0</v>
      </c>
      <c r="BK42" s="506">
        <f>SUM(BK10:BK40)</f>
        <v>0</v>
      </c>
      <c r="BL42" s="506">
        <f>IFERROR((BK42/$L$42),0)</f>
        <v>0</v>
      </c>
      <c r="BM42" s="506">
        <f>IFERROR(((BK42*BM$9)/$L$42),0)</f>
        <v>0</v>
      </c>
      <c r="BN42" s="506">
        <f>SUM(BN10:BN40)</f>
        <v>0</v>
      </c>
      <c r="BO42" s="506">
        <f>IFERROR((BN42/$L$42),0)</f>
        <v>0</v>
      </c>
      <c r="BP42" s="506">
        <f>IFERROR(((BN42*BP$9)/$L$42),0)</f>
        <v>0</v>
      </c>
      <c r="BQ42" s="506">
        <f>SUM(BQ10:BQ40)</f>
        <v>0</v>
      </c>
      <c r="BR42" s="506">
        <f>IFERROR((BQ42/$L$42),0)</f>
        <v>0</v>
      </c>
      <c r="BS42" s="506">
        <f>IFERROR(((BQ42*BS$9)/$L$42),0)</f>
        <v>0</v>
      </c>
      <c r="BT42" s="506">
        <f>SUM(BT10:BT40)</f>
        <v>0</v>
      </c>
      <c r="BU42" s="506">
        <f>IFERROR((BT42/$L$42),0)</f>
        <v>0</v>
      </c>
      <c r="BV42" s="506">
        <f>IFERROR(((BT42*BV$9)/$L$42),0)</f>
        <v>0</v>
      </c>
      <c r="BW42" s="506">
        <f>SUM(BW10:BW40)</f>
        <v>0</v>
      </c>
      <c r="BX42" s="506">
        <f>IFERROR((BW42/$L$42),0)</f>
        <v>0</v>
      </c>
      <c r="BY42" s="506">
        <f>IFERROR(((BW42*BY$9)/$L$42),0)</f>
        <v>0</v>
      </c>
      <c r="BZ42" s="506">
        <f>SUM(BZ10:BZ40)</f>
        <v>0</v>
      </c>
      <c r="CA42" s="506">
        <f>IFERROR((BZ42/$L$42),0)</f>
        <v>0</v>
      </c>
      <c r="CB42" s="506">
        <f>IFERROR(((BZ42*CB$9)/$L$42),0)</f>
        <v>0</v>
      </c>
      <c r="CC42" s="506">
        <f>SUM(CC10:CC40)</f>
        <v>4</v>
      </c>
      <c r="CD42" s="506">
        <f>IFERROR((CC42/$L$42),0)</f>
        <v>0</v>
      </c>
      <c r="CE42" s="506">
        <f>IFERROR(((CC42*CE$9)/$L$42),0)</f>
        <v>0</v>
      </c>
      <c r="CF42" s="506">
        <f>SUM(CF10:CF40)</f>
        <v>336</v>
      </c>
      <c r="CG42" s="506">
        <f>IFERROR((CF42/$L$42),0)</f>
        <v>0</v>
      </c>
      <c r="CH42" s="506">
        <f>IFERROR(((CF42*CH$9)/$L$42),0)</f>
        <v>0</v>
      </c>
      <c r="CI42" s="506">
        <f>SUM(CI10:CI40)</f>
        <v>0</v>
      </c>
      <c r="CJ42" s="506">
        <f>IFERROR((CI42/$L$42),0)</f>
        <v>0</v>
      </c>
      <c r="CK42" s="506">
        <f>IFERROR(((CI42*CK$9)/$L$42),0)</f>
        <v>0</v>
      </c>
      <c r="CL42" s="506">
        <f>SUM(CL10:CL40)</f>
        <v>0</v>
      </c>
      <c r="CM42" s="506">
        <f>IFERROR((CL42/$L$42),0)</f>
        <v>0</v>
      </c>
      <c r="CN42" s="506">
        <f>IFERROR(((CL42*CN$9)/$L$42),0)</f>
        <v>0</v>
      </c>
      <c r="CO42" s="506">
        <f>SUM(CO10:CO40)</f>
        <v>0</v>
      </c>
      <c r="CP42" s="506">
        <f>IFERROR((CO42/$L$42),0)</f>
        <v>0</v>
      </c>
      <c r="CQ42" s="506">
        <f>IFERROR(((CO42*CQ$9)/$L$42),0)</f>
        <v>0</v>
      </c>
      <c r="CR42" s="506">
        <f>SUM(CR10:CR40)</f>
        <v>0</v>
      </c>
      <c r="CS42" s="506">
        <f>IFERROR((CR42/$L$42),0)</f>
        <v>0</v>
      </c>
      <c r="CT42" s="506">
        <f>IFERROR(((CR42*CT$9)/$L$42),0)</f>
        <v>0</v>
      </c>
      <c r="CU42" s="506">
        <f>SUM(CU10:CU40)</f>
        <v>0</v>
      </c>
      <c r="CV42" s="506">
        <f>IFERROR((CU42/$L$42),0)</f>
        <v>0</v>
      </c>
      <c r="CW42" s="506">
        <f>IFERROR(((CU42*CW$9)/$L$42),0)</f>
        <v>0</v>
      </c>
      <c r="CX42" s="506">
        <f>SUM(CX10:CX40)</f>
        <v>0</v>
      </c>
      <c r="CY42" s="506">
        <f>IFERROR((CX42/$L$42),0)</f>
        <v>0</v>
      </c>
      <c r="CZ42" s="506">
        <f>IFERROR(((CX42*CZ$9)/$L$42),0)</f>
        <v>0</v>
      </c>
      <c r="DA42" s="506">
        <f>SUM(DA10:DA40)</f>
        <v>0</v>
      </c>
      <c r="DB42" s="506">
        <f>IFERROR((DA42/$L$42),0)</f>
        <v>0</v>
      </c>
      <c r="DC42" s="506">
        <f>IFERROR(((DA42*DC$9)/$L$42),0)</f>
        <v>0</v>
      </c>
      <c r="DD42" s="506">
        <f>SUM(DD10:DD40)</f>
        <v>0</v>
      </c>
      <c r="DE42" s="506">
        <f>IFERROR((DD42/$L$42),0)</f>
        <v>0</v>
      </c>
      <c r="DF42" s="506">
        <f>IFERROR(((DD42*DF$9)/$L$42),0)</f>
        <v>0</v>
      </c>
      <c r="DG42" s="506">
        <f>SUM(DG15:DG40)</f>
        <v>0</v>
      </c>
      <c r="DH42" s="506">
        <f>IFERROR((DG42/$L$42),0)</f>
        <v>0</v>
      </c>
      <c r="DI42" s="506">
        <f>IFERROR(((DG42*DI$9)/$L$42),0)</f>
        <v>0</v>
      </c>
      <c r="DJ42" s="506">
        <f>SUM(DJ10:DJ40)</f>
        <v>0</v>
      </c>
      <c r="DK42" s="506">
        <f>IFERROR((DJ42/$L$42),0)</f>
        <v>0</v>
      </c>
      <c r="DL42" s="506">
        <f>IFERROR(((DJ42*DL$9)/$L$42),0)</f>
        <v>0</v>
      </c>
      <c r="DM42" s="506">
        <f>SUM(DM10:DM40)</f>
        <v>0</v>
      </c>
      <c r="DN42" s="506">
        <f>IFERROR((DM42/$L$42),0)</f>
        <v>0</v>
      </c>
      <c r="DO42" s="506">
        <f>IFERROR(((DM42*DO$9)/$L$42),0)</f>
        <v>0</v>
      </c>
      <c r="DP42" s="506">
        <f>SUM(DP10:DP40)</f>
        <v>0</v>
      </c>
      <c r="DQ42" s="506">
        <f>IFERROR((DP42/$L$42),0)</f>
        <v>0</v>
      </c>
      <c r="DR42" s="506">
        <f>IFERROR(((DP42*DR$9)/$L$42),0)</f>
        <v>0</v>
      </c>
      <c r="DS42" s="506">
        <f>SUM(DS10:DS40)</f>
        <v>0</v>
      </c>
      <c r="DT42" s="506">
        <f>IFERROR((DS42/$L$42),0)</f>
        <v>0</v>
      </c>
      <c r="DU42" s="506">
        <f>IFERROR(((DS42*DU$9)/$L$42),0)</f>
        <v>0</v>
      </c>
      <c r="DV42" s="506">
        <f>SUM(DV10:DV40)</f>
        <v>0</v>
      </c>
      <c r="DW42" s="506">
        <f>IFERROR((DV42/$L$42),0)</f>
        <v>0</v>
      </c>
      <c r="DX42" s="506">
        <f>IFERROR(((DV42*DX$9)/$L$42),0)</f>
        <v>0</v>
      </c>
      <c r="DY42" s="506">
        <f>SUM(DY10:DY40)</f>
        <v>448.57831325301208</v>
      </c>
      <c r="DZ42" s="506">
        <f>IFERROR((DY42/$L$42),0)</f>
        <v>0</v>
      </c>
      <c r="EA42" s="506">
        <f>IFERROR(((DY42*EA$9)/$L$42),0)</f>
        <v>0</v>
      </c>
      <c r="EB42" s="506">
        <f>SUM(EB10:EB40)</f>
        <v>7551.3176470588232</v>
      </c>
      <c r="EC42" s="506">
        <f>IFERROR((EB42/$L$42),0)</f>
        <v>0</v>
      </c>
      <c r="ED42" s="506">
        <f>IFERROR(((EB42*ED$9)/$L$42),0)</f>
        <v>0</v>
      </c>
      <c r="EE42" s="506">
        <f>SUM(EE10:EE40)</f>
        <v>457.84883720930236</v>
      </c>
      <c r="EF42" s="506">
        <f>IFERROR((EE42/$L$42),0)</f>
        <v>0</v>
      </c>
      <c r="EG42" s="506">
        <f>IFERROR(((EE42*EG$9)/$L$42),0)</f>
        <v>0</v>
      </c>
      <c r="EH42" s="506">
        <f>SUM(EH10:EH40)</f>
        <v>0</v>
      </c>
      <c r="EI42" s="506">
        <f>IFERROR((EH42/$L$42),0)</f>
        <v>0</v>
      </c>
      <c r="EJ42" s="506">
        <f>IFERROR(((EH42*EJ$9)/$L$42),0)</f>
        <v>0</v>
      </c>
      <c r="EK42" s="506">
        <f>SUM(EK10:EK40)</f>
        <v>0</v>
      </c>
      <c r="EL42" s="506">
        <f>IFERROR((EK42/$L$42),0)</f>
        <v>0</v>
      </c>
      <c r="EM42" s="506">
        <f>IFERROR(((EK42*EM$9)/$L$42),0)</f>
        <v>0</v>
      </c>
      <c r="EN42" s="506">
        <f>SUM(EN10:EN40)</f>
        <v>0</v>
      </c>
      <c r="EO42" s="506">
        <f>IFERROR((EN42/$L$42),0)</f>
        <v>0</v>
      </c>
      <c r="EP42" s="506">
        <f>IFERROR(((EN42*EP$9)/$L$42),0)</f>
        <v>0</v>
      </c>
      <c r="EQ42" s="506">
        <f>SUM(EQ10:EQ40)</f>
        <v>0</v>
      </c>
      <c r="ER42" s="506">
        <f>IFERROR((EQ42/$L$42),0)</f>
        <v>0</v>
      </c>
      <c r="ES42" s="506">
        <f>IFERROR(((EQ42*ES$9)/$L$42),0)</f>
        <v>0</v>
      </c>
      <c r="ET42" s="506">
        <f>SUM(ET10:ET40)</f>
        <v>0</v>
      </c>
      <c r="EU42" s="506">
        <f>IFERROR((ET42/$L$42),0)</f>
        <v>0</v>
      </c>
      <c r="EV42" s="506">
        <f>IFERROR(((ET42*EV$9)/$L$42),0)</f>
        <v>0</v>
      </c>
      <c r="EW42" s="506">
        <f>SUM(EW10:EW40)</f>
        <v>0</v>
      </c>
      <c r="EX42" s="506">
        <f>IFERROR((EW42/$L$42),0)</f>
        <v>0</v>
      </c>
      <c r="EY42" s="506">
        <f>IFERROR(((EW42*EY$9)/$L$42),0)</f>
        <v>0</v>
      </c>
      <c r="EZ42" s="506">
        <f>SUM(EZ10:EZ40)</f>
        <v>0</v>
      </c>
      <c r="FA42" s="506">
        <f>IFERROR((EZ42/$L$42),0)</f>
        <v>0</v>
      </c>
      <c r="FB42" s="506">
        <f>IFERROR(((EZ42*FB$9)/$L$42),0)</f>
        <v>0</v>
      </c>
      <c r="FC42" s="506">
        <f>SUM(FC10:FC40)</f>
        <v>0</v>
      </c>
      <c r="FD42" s="506">
        <f>IFERROR((FC42/$L$42),0)</f>
        <v>0</v>
      </c>
      <c r="FE42" s="506">
        <f>IFERROR(((FC42*FE$9)/$L$42),0)</f>
        <v>0</v>
      </c>
      <c r="FF42" s="506">
        <f>SUM(FF10:FF40)</f>
        <v>0</v>
      </c>
      <c r="FG42" s="506">
        <f>IFERROR((FF42/$L$42),0)</f>
        <v>0</v>
      </c>
      <c r="FH42" s="506">
        <f>IFERROR(((FF42*FH$9)/$L$42),0)</f>
        <v>0</v>
      </c>
      <c r="FI42" s="506">
        <f>SUM(FI10:FI40)</f>
        <v>0</v>
      </c>
      <c r="FJ42" s="506">
        <f>IFERROR((FI42/$L$42),0)</f>
        <v>0</v>
      </c>
      <c r="FK42" s="506">
        <f>IFERROR(((FI42*FK$9)/$L$42),0)</f>
        <v>0</v>
      </c>
      <c r="FL42" s="506">
        <f>SUM(FL10:FL40)</f>
        <v>0</v>
      </c>
      <c r="FM42" s="506">
        <f>IFERROR((FL42/$L$42),0)</f>
        <v>0</v>
      </c>
      <c r="FN42" s="506">
        <f>IFERROR(((FL42*FN$9)/$L$42),0)</f>
        <v>0</v>
      </c>
      <c r="FO42" s="506">
        <f>SUM(FO10:FO40)</f>
        <v>0</v>
      </c>
      <c r="FP42" s="506">
        <f>IFERROR((FO42/$L$42),0)</f>
        <v>0</v>
      </c>
      <c r="FQ42" s="506">
        <f>IFERROR(((FO42*FQ$9)/$L$42),0)</f>
        <v>0</v>
      </c>
      <c r="FR42" s="506">
        <f>SUM(FR10:FR40)</f>
        <v>0</v>
      </c>
      <c r="FS42" s="506">
        <f>IFERROR((FR42/$L$42),0)</f>
        <v>0</v>
      </c>
      <c r="FT42" s="506">
        <f>IFERROR(((FR42*FT$9)/$L$42),0)</f>
        <v>0</v>
      </c>
      <c r="FU42" s="506">
        <f>SUM(FU10:FU40)</f>
        <v>0</v>
      </c>
      <c r="FV42" s="506">
        <f>IFERROR((FU42/$L$42),0)</f>
        <v>0</v>
      </c>
      <c r="FW42" s="506">
        <f>IFERROR(((FU42*FW$9)/$L$42),0)</f>
        <v>0</v>
      </c>
      <c r="FX42" s="506">
        <f>SUM(FX10:FX40)</f>
        <v>0</v>
      </c>
      <c r="FY42" s="506">
        <f>IFERROR((FX42/$L$42),0)</f>
        <v>0</v>
      </c>
      <c r="FZ42" s="506">
        <f>IFERROR(((FX42*FZ$9)/$L$42),0)</f>
        <v>0</v>
      </c>
      <c r="GA42" s="506">
        <f>SUM(GA10:GA40)</f>
        <v>0</v>
      </c>
      <c r="GB42" s="506">
        <f>IFERROR((GA42/$L$42),0)</f>
        <v>0</v>
      </c>
      <c r="GC42" s="506">
        <f>IFERROR(((GA42*GC$9)/$L$42),0)</f>
        <v>0</v>
      </c>
      <c r="GD42" s="506">
        <f>SUM(GD10:GD40)</f>
        <v>0</v>
      </c>
      <c r="GE42" s="506">
        <f>IFERROR((GD42/$L$42),0)</f>
        <v>0</v>
      </c>
      <c r="GF42" s="506">
        <f>IFERROR(((GD42*GF$9)/$L$42),0)</f>
        <v>0</v>
      </c>
      <c r="GG42" s="506">
        <f>SUM(GG10:GG40)</f>
        <v>478.82338914675313</v>
      </c>
      <c r="GH42" s="506">
        <f>IFERROR((GG42/$L$42),0)</f>
        <v>0</v>
      </c>
      <c r="GI42" s="506">
        <f>IFERROR(((GG42*GI$9)/$L$42),0)</f>
        <v>0</v>
      </c>
      <c r="GJ42" s="506">
        <f>SUM(GJ10:GJ40)</f>
        <v>494.19221527130617</v>
      </c>
      <c r="GK42" s="506">
        <f>IFERROR((GJ42/$L$42),0)</f>
        <v>0</v>
      </c>
      <c r="GL42" s="506">
        <f>IFERROR(((GJ42*GL$9)/$L$42),0)</f>
        <v>0</v>
      </c>
      <c r="GM42" s="506">
        <f>SUM(GM10:GM40)</f>
        <v>0</v>
      </c>
      <c r="GN42" s="506">
        <f>IFERROR((GM42/$L$42),0)</f>
        <v>0</v>
      </c>
      <c r="GO42" s="506">
        <f>IFERROR(((GM42*GO$9)/$L$42),0)</f>
        <v>0</v>
      </c>
      <c r="GP42" s="506">
        <f>SUM(GP10:GP40)</f>
        <v>1238.8455498315702</v>
      </c>
      <c r="GQ42" s="506">
        <f>IFERROR((GP42/$L$42),0)</f>
        <v>0</v>
      </c>
      <c r="GR42" s="506">
        <f>IFERROR(((GP42*GR$9)/$L$42),0)</f>
        <v>0</v>
      </c>
      <c r="GS42" s="506">
        <f>SUM(GS10:GS40)</f>
        <v>7846.252633502877</v>
      </c>
      <c r="GT42" s="506">
        <f>IFERROR((GS42/$L$42),0)</f>
        <v>0</v>
      </c>
      <c r="GU42" s="506">
        <f>IFERROR(((GS42*GU$9)/$L$42),0)</f>
        <v>0</v>
      </c>
      <c r="GV42" s="506">
        <f>SUM(GV10:GV40)</f>
        <v>2572.8756666150016</v>
      </c>
      <c r="GW42" s="506">
        <f>IFERROR((GV42/$L$42),0)</f>
        <v>0</v>
      </c>
      <c r="GX42" s="506">
        <f>IFERROR(((GV42*GX$9)/$L$42),0)</f>
        <v>0</v>
      </c>
      <c r="GY42" s="506">
        <f>SUM(GY10:GY40)</f>
        <v>0</v>
      </c>
      <c r="GZ42" s="506">
        <f>IFERROR((GY42/$L$42),0)</f>
        <v>0</v>
      </c>
      <c r="HA42" s="506">
        <f>IFERROR(((GY42*HA$9)/$L$42),0)</f>
        <v>0</v>
      </c>
      <c r="HB42" s="506">
        <f>SUM(HB10:HB40)</f>
        <v>99.643532725209127</v>
      </c>
      <c r="HC42" s="506">
        <f>IFERROR((HB42/$L$42),0)</f>
        <v>0</v>
      </c>
      <c r="HD42" s="506">
        <f>IFERROR(((HB42*HD$9)/$L$42),0)</f>
        <v>0</v>
      </c>
      <c r="HE42" s="506">
        <f>SUM(HE10:HE40)</f>
        <v>0</v>
      </c>
      <c r="HF42" s="506">
        <f>IFERROR((HE42/$L$42),0)</f>
        <v>0</v>
      </c>
      <c r="HG42" s="506">
        <f>IFERROR(((HE42*HG$9)/$L$42),0)</f>
        <v>0</v>
      </c>
      <c r="HH42" s="506">
        <f>SUM(HH10:HH40)</f>
        <v>0</v>
      </c>
      <c r="HI42" s="506">
        <f>IFERROR((HH42/$L$42),0)</f>
        <v>0</v>
      </c>
      <c r="HJ42" s="506">
        <f>IFERROR(((HH42*HJ$9)/$L$42),0)</f>
        <v>0</v>
      </c>
      <c r="HK42" s="506">
        <f>SUM(HK10:HK40)</f>
        <v>0</v>
      </c>
      <c r="HL42" s="506">
        <f>IFERROR((HK42/$L$42),0)</f>
        <v>0</v>
      </c>
      <c r="HM42" s="506">
        <f>IFERROR(((HK42*HM$9)/$L$42),0)</f>
        <v>0</v>
      </c>
      <c r="HN42" s="506">
        <f>SUM(HN10:HN40)</f>
        <v>27196.74892039211</v>
      </c>
      <c r="HO42" s="506">
        <f>IFERROR((HN42/$L$42),0)</f>
        <v>0</v>
      </c>
      <c r="HP42" s="506">
        <f>IFERROR(((HN42*HP$9)/$L$42),0)</f>
        <v>0</v>
      </c>
      <c r="HQ42" s="506">
        <f>SUM(HQ10:HQ40)</f>
        <v>0</v>
      </c>
      <c r="HR42" s="506">
        <f>IFERROR((HQ42/$L$42),0)</f>
        <v>0</v>
      </c>
      <c r="HS42" s="506">
        <f>IFERROR(((HQ42*HS$9)/$L$42),0)</f>
        <v>0</v>
      </c>
      <c r="HT42" s="506">
        <f>SUM(HT10:HT40)</f>
        <v>0</v>
      </c>
      <c r="HU42" s="506">
        <f>IFERROR((HT42/$L$42),0)</f>
        <v>0</v>
      </c>
      <c r="HV42" s="506">
        <f>IFERROR(((HT42*HV$9)/$L$42),0)</f>
        <v>0</v>
      </c>
      <c r="HW42" s="506">
        <f>SUM(HW10:HW40)</f>
        <v>0</v>
      </c>
      <c r="HX42" s="506">
        <f>IFERROR((HW42/$L$42),0)</f>
        <v>0</v>
      </c>
      <c r="HY42" s="506">
        <f>IFERROR(((HW42*HY$9)/$L$42),0)</f>
        <v>0</v>
      </c>
      <c r="HZ42" s="506">
        <f>SUM(HZ10:HZ40)</f>
        <v>0</v>
      </c>
      <c r="IA42" s="506">
        <f>IFERROR((HZ42/$L$42),0)</f>
        <v>0</v>
      </c>
      <c r="IB42" s="506">
        <f>IFERROR(((HZ42*IB$9)/$L$42),0)</f>
        <v>0</v>
      </c>
      <c r="IC42" s="506">
        <f>SUM(IC10:IC40)</f>
        <v>0</v>
      </c>
      <c r="ID42" s="506">
        <f>IFERROR((IC42/$L$42),0)</f>
        <v>0</v>
      </c>
      <c r="IE42" s="506">
        <f>IFERROR(((IC42*IE$9)/$L$42),0)</f>
        <v>0</v>
      </c>
      <c r="IF42" s="506">
        <f>SUM(IF10:IF40)</f>
        <v>0</v>
      </c>
      <c r="IG42" s="506">
        <f>IFERROR((IF42/$L$42),0)</f>
        <v>0</v>
      </c>
      <c r="IH42" s="506">
        <f>IFERROR(((IF42*IH$9)/$L$42),0)</f>
        <v>0</v>
      </c>
      <c r="II42" s="506">
        <f>SUM(II10:II40)</f>
        <v>778.31498731570377</v>
      </c>
      <c r="IJ42" s="506">
        <f>IFERROR((II42/$L$42),0)</f>
        <v>0</v>
      </c>
      <c r="IK42" s="506">
        <f>IFERROR(((II42*IK$9)/$L$42),0)</f>
        <v>0</v>
      </c>
      <c r="IL42" s="506">
        <f>SUM(IL10:IL40)</f>
        <v>0</v>
      </c>
      <c r="IM42" s="506">
        <f>IFERROR((IL42/$L$42),0)</f>
        <v>0</v>
      </c>
      <c r="IN42" s="506">
        <f>IFERROR(((IL42*IN$9)/$L$42),0)</f>
        <v>0</v>
      </c>
      <c r="IO42" s="506">
        <f>SUM(IO10:IO40)</f>
        <v>0</v>
      </c>
      <c r="IP42" s="506">
        <f>IFERROR((IO42/$L$42),0)</f>
        <v>0</v>
      </c>
      <c r="IQ42" s="506">
        <f>IFERROR(((IO42*IQ$9)/$L$42),0)</f>
        <v>0</v>
      </c>
      <c r="IR42" s="506">
        <f>SUM(IR10:IR40)</f>
        <v>1509.0144482932151</v>
      </c>
      <c r="IS42" s="506">
        <f>IFERROR((IR42/$L$42),0)</f>
        <v>0</v>
      </c>
      <c r="IT42" s="506">
        <f>IFERROR(((IR42*IT$9)/$L$42),0)</f>
        <v>0</v>
      </c>
      <c r="IU42" s="506">
        <f>SUM(IU10:IU40)</f>
        <v>0</v>
      </c>
      <c r="IV42" s="506">
        <f>IFERROR((IU42/$L$42),0)</f>
        <v>0</v>
      </c>
      <c r="IW42" s="506">
        <f>IFERROR(((IU42*IW$9)/$L$42),0)</f>
        <v>0</v>
      </c>
      <c r="IX42" s="506">
        <f>SUM(IX10:IX40)</f>
        <v>0</v>
      </c>
      <c r="IY42" s="506">
        <f>IFERROR((IX42/$L$42),0)</f>
        <v>0</v>
      </c>
      <c r="IZ42" s="506">
        <f>IFERROR(((IX42*IZ$9)/$L$42),0)</f>
        <v>0</v>
      </c>
      <c r="JA42" s="506">
        <f>SUM(JA10:JA40)</f>
        <v>0</v>
      </c>
      <c r="JB42" s="506">
        <f>IFERROR((JA42/$L$42),0)</f>
        <v>0</v>
      </c>
      <c r="JC42" s="506">
        <f>IFERROR(((JA42*JC$9)/$L$42),0)</f>
        <v>0</v>
      </c>
      <c r="JD42" s="506">
        <f>SUM(JD10:JD40)</f>
        <v>0</v>
      </c>
      <c r="JE42" s="506">
        <f>IFERROR((JD42/$L$42),0)</f>
        <v>0</v>
      </c>
      <c r="JF42" s="506">
        <f>IFERROR(((JD42*JF$9)/$L$42),0)</f>
        <v>0</v>
      </c>
      <c r="JG42" s="506">
        <f>SUM(JG10:JG40)</f>
        <v>0</v>
      </c>
      <c r="JH42" s="506">
        <f>IFERROR((JG42/$L$42),0)</f>
        <v>0</v>
      </c>
      <c r="JI42" s="506">
        <f>IFERROR(((JG42*JI$9)/$L$42),0)</f>
        <v>0</v>
      </c>
      <c r="JJ42" s="506">
        <f>SUM(JJ10:JJ40)</f>
        <v>734.09148737785119</v>
      </c>
      <c r="JK42" s="506">
        <f>IFERROR((JJ42/$L$42),0)</f>
        <v>0</v>
      </c>
      <c r="JL42" s="506">
        <f>IFERROR(((JJ42*JL$9)/$L$42),0)</f>
        <v>0</v>
      </c>
      <c r="JM42" s="506">
        <f>SUM(JM10:JM40)</f>
        <v>26.895025549550034</v>
      </c>
      <c r="JN42" s="506">
        <f>IFERROR((JM42/$L$42),0)</f>
        <v>0</v>
      </c>
      <c r="JO42" s="506">
        <f>IFERROR(((JM42*JO$9)/$L$42),0)</f>
        <v>0</v>
      </c>
      <c r="JP42" s="506">
        <f>SUM(JP10:JP40)</f>
        <v>0</v>
      </c>
      <c r="JQ42" s="506">
        <f>IFERROR((JP42/$L$42),0)</f>
        <v>0</v>
      </c>
      <c r="JR42" s="506">
        <f>IFERROR(((JP42*JR$9)/$L$42),0)</f>
        <v>0</v>
      </c>
      <c r="JS42" s="506">
        <f>SUM(JS10:JS40)</f>
        <v>0</v>
      </c>
      <c r="JT42" s="506">
        <f>IFERROR((JS42/$L$42),0)</f>
        <v>0</v>
      </c>
      <c r="JU42" s="506">
        <f>IFERROR(((JS42*JU$9)/$L$42),0)</f>
        <v>0</v>
      </c>
      <c r="JV42" s="506">
        <f>SUM(JV10:JV40)</f>
        <v>0</v>
      </c>
      <c r="JW42" s="506">
        <f>IFERROR((JV42/$L$42),0)</f>
        <v>0</v>
      </c>
      <c r="JX42" s="506">
        <f>IFERROR(((JV42*JX$9)/$L$42),0)</f>
        <v>0</v>
      </c>
      <c r="JY42" s="506">
        <f>SUM(JY10:JY40)</f>
        <v>0</v>
      </c>
      <c r="JZ42" s="506">
        <f>IFERROR((JY42/$L$42),0)</f>
        <v>0</v>
      </c>
      <c r="KA42" s="506">
        <f>IFERROR(((JY42*KA$9)/$L$42),0)</f>
        <v>0</v>
      </c>
      <c r="KB42" s="506">
        <f>SUM(KB10:KB40)</f>
        <v>0</v>
      </c>
      <c r="KC42" s="506">
        <f>IFERROR((KB42/$L$42),0)</f>
        <v>0</v>
      </c>
      <c r="KD42" s="506">
        <f>IFERROR(((KB42*KD$9)/$L$42),0)</f>
        <v>0</v>
      </c>
      <c r="KE42" s="506">
        <f>SUM(KE10:KE40)</f>
        <v>0</v>
      </c>
      <c r="KF42" s="506">
        <f>IFERROR((KE42/$L$42),0)</f>
        <v>0</v>
      </c>
      <c r="KG42" s="506">
        <f>IFERROR(((KE42*KG$9)/$L$42),0)</f>
        <v>0</v>
      </c>
      <c r="KH42" s="506">
        <f>SUM(KH10:KH40)</f>
        <v>0</v>
      </c>
      <c r="KI42" s="506">
        <f>IFERROR((KH42/$L$42),0)</f>
        <v>0</v>
      </c>
      <c r="KJ42" s="506">
        <f>IFERROR(((KH42*KJ$9)/$L$42),0)</f>
        <v>0</v>
      </c>
      <c r="KK42" s="506">
        <f>SUM(KK10:KK40)</f>
        <v>0</v>
      </c>
      <c r="KL42" s="506">
        <f>IFERROR((KK42/$L$42),0)</f>
        <v>0</v>
      </c>
      <c r="KM42" s="506">
        <f>IFERROR(((KK42*KM$9)/$L$42),0)</f>
        <v>0</v>
      </c>
      <c r="KN42" s="506">
        <f>SUM(KN10:KN40)</f>
        <v>0</v>
      </c>
      <c r="KO42" s="506">
        <f>IFERROR((KN42/$L$42),0)</f>
        <v>0</v>
      </c>
      <c r="KP42" s="506">
        <f>IFERROR(((KN42*KP$9)/$L$42),0)</f>
        <v>0</v>
      </c>
      <c r="KQ42" s="506">
        <f>SUM(KQ10:KQ40)</f>
        <v>0</v>
      </c>
      <c r="KR42" s="506">
        <f>IFERROR((KQ42/$L$42),0)</f>
        <v>0</v>
      </c>
      <c r="KS42" s="506">
        <f>IFERROR(((KQ42*KS$9)/$L$42),0)</f>
        <v>0</v>
      </c>
      <c r="KT42" s="507">
        <f t="shared" si="201"/>
        <v>0</v>
      </c>
      <c r="KU42" s="507">
        <f t="shared" si="202"/>
        <v>0</v>
      </c>
      <c r="KV42" s="258">
        <f t="shared" si="112"/>
        <v>60324.082974055113</v>
      </c>
    </row>
    <row r="43" spans="1:308" ht="15" customHeight="1" thickTop="1">
      <c r="A43" s="469" t="s">
        <v>147</v>
      </c>
      <c r="B43" s="470" t="s">
        <v>148</v>
      </c>
      <c r="C43" s="471" t="s">
        <v>156</v>
      </c>
      <c r="D43" s="457"/>
      <c r="E43" s="255"/>
    </row>
    <row r="44" spans="1:308" ht="15" customHeight="1">
      <c r="A44" s="472"/>
      <c r="B44" s="470" t="s">
        <v>149</v>
      </c>
      <c r="C44" s="471" t="s">
        <v>155</v>
      </c>
      <c r="D44" s="457"/>
      <c r="E44" s="255"/>
    </row>
    <row r="45" spans="1:308" ht="15" customHeight="1">
      <c r="A45" s="472"/>
      <c r="B45" s="473" t="s">
        <v>150</v>
      </c>
      <c r="C45" s="471" t="s">
        <v>151</v>
      </c>
      <c r="D45" s="457"/>
      <c r="E45" s="255"/>
    </row>
    <row r="46" spans="1:308" ht="15" customHeight="1">
      <c r="A46" s="457"/>
      <c r="B46" s="457"/>
      <c r="C46" s="458"/>
      <c r="D46" s="458"/>
      <c r="E46" s="459"/>
    </row>
    <row r="47" spans="1:308" ht="15" customHeight="1">
      <c r="A47" s="457"/>
      <c r="B47" s="457"/>
      <c r="C47" s="458"/>
      <c r="D47" s="458"/>
      <c r="E47" s="459"/>
    </row>
    <row r="48" spans="1:308" ht="15" customHeight="1">
      <c r="A48" s="457"/>
      <c r="B48" s="457"/>
      <c r="C48" s="458"/>
      <c r="D48" s="458"/>
      <c r="E48" s="459"/>
    </row>
    <row r="49" spans="1:5" ht="15" customHeight="1">
      <c r="A49" s="457"/>
      <c r="B49" s="457"/>
      <c r="C49" s="458"/>
      <c r="D49" s="458"/>
      <c r="E49" s="459"/>
    </row>
    <row r="50" spans="1:5" ht="15" customHeight="1">
      <c r="A50" s="457"/>
      <c r="B50" s="457"/>
      <c r="C50" s="458"/>
      <c r="D50" s="458"/>
      <c r="E50" s="459"/>
    </row>
    <row r="51" spans="1:5" ht="15" customHeight="1">
      <c r="A51" s="457"/>
      <c r="B51" s="457"/>
      <c r="C51" s="458"/>
      <c r="D51" s="458"/>
      <c r="E51" s="459"/>
    </row>
    <row r="52" spans="1:5" ht="15" customHeight="1">
      <c r="A52" s="457"/>
      <c r="B52" s="457"/>
      <c r="C52" s="458"/>
      <c r="D52" s="458"/>
      <c r="E52" s="459"/>
    </row>
    <row r="53" spans="1:5" ht="15" customHeight="1">
      <c r="A53" s="457"/>
      <c r="B53" s="457"/>
      <c r="C53" s="458"/>
      <c r="D53" s="458"/>
      <c r="E53" s="459"/>
    </row>
    <row r="54" spans="1:5" ht="15" customHeight="1">
      <c r="A54" s="457"/>
      <c r="B54" s="457"/>
      <c r="C54" s="458"/>
      <c r="D54" s="458"/>
      <c r="E54" s="459"/>
    </row>
    <row r="55" spans="1:5" ht="15" customHeight="1">
      <c r="A55" s="457"/>
      <c r="B55" s="457"/>
      <c r="C55" s="458"/>
      <c r="D55" s="458"/>
      <c r="E55" s="459"/>
    </row>
    <row r="56" spans="1:5" ht="15" customHeight="1">
      <c r="A56" s="457"/>
      <c r="B56" s="457"/>
      <c r="C56" s="458"/>
      <c r="D56" s="458"/>
      <c r="E56" s="459"/>
    </row>
    <row r="57" spans="1:5" ht="15" customHeight="1">
      <c r="A57" s="457"/>
      <c r="B57" s="457"/>
      <c r="C57" s="458"/>
      <c r="D57" s="458"/>
      <c r="E57" s="459"/>
    </row>
    <row r="58" spans="1:5" ht="15" customHeight="1">
      <c r="A58" s="457"/>
      <c r="B58" s="457"/>
      <c r="C58" s="458"/>
      <c r="D58" s="458"/>
      <c r="E58" s="459"/>
    </row>
    <row r="59" spans="1:5" ht="15" customHeight="1">
      <c r="A59" s="457"/>
      <c r="B59" s="457"/>
      <c r="C59" s="458"/>
      <c r="D59" s="458"/>
      <c r="E59" s="459"/>
    </row>
    <row r="60" spans="1:5" ht="15" customHeight="1">
      <c r="A60" s="457"/>
      <c r="B60" s="457"/>
      <c r="C60" s="458"/>
      <c r="D60" s="458"/>
      <c r="E60" s="459"/>
    </row>
    <row r="61" spans="1:5" ht="15" customHeight="1">
      <c r="A61" s="457"/>
      <c r="B61" s="457"/>
      <c r="C61" s="458"/>
      <c r="D61" s="458"/>
      <c r="E61" s="459"/>
    </row>
    <row r="62" spans="1:5" ht="15" customHeight="1">
      <c r="A62" s="457"/>
      <c r="B62" s="457"/>
      <c r="C62" s="458"/>
      <c r="D62" s="458"/>
      <c r="E62" s="459"/>
    </row>
    <row r="63" spans="1:5" ht="15" customHeight="1">
      <c r="A63" s="457"/>
      <c r="B63" s="457"/>
      <c r="C63" s="458"/>
      <c r="D63" s="458"/>
      <c r="E63" s="459"/>
    </row>
    <row r="64" spans="1:5" ht="15" customHeight="1">
      <c r="A64" s="457"/>
      <c r="B64" s="457"/>
      <c r="C64" s="458"/>
      <c r="D64" s="458"/>
      <c r="E64" s="459"/>
    </row>
    <row r="65" spans="1:5" ht="15" customHeight="1">
      <c r="A65" s="457"/>
      <c r="B65" s="457"/>
      <c r="C65" s="458"/>
      <c r="D65" s="458"/>
      <c r="E65" s="459"/>
    </row>
    <row r="66" spans="1:5" ht="15" customHeight="1">
      <c r="A66" s="457"/>
      <c r="B66" s="457"/>
      <c r="C66" s="458"/>
      <c r="D66" s="458"/>
      <c r="E66" s="459"/>
    </row>
    <row r="67" spans="1:5" ht="15" customHeight="1">
      <c r="A67" s="457"/>
      <c r="B67" s="457"/>
      <c r="C67" s="458"/>
      <c r="D67" s="458"/>
      <c r="E67" s="459"/>
    </row>
    <row r="68" spans="1:5" ht="15" customHeight="1">
      <c r="A68" s="457"/>
      <c r="B68" s="457"/>
      <c r="C68" s="458"/>
      <c r="D68" s="458"/>
      <c r="E68" s="459"/>
    </row>
    <row r="69" spans="1:5" ht="15" customHeight="1">
      <c r="A69" s="457"/>
      <c r="B69" s="457"/>
      <c r="C69" s="458"/>
      <c r="D69" s="458"/>
      <c r="E69" s="459"/>
    </row>
    <row r="70" spans="1:5" ht="15" customHeight="1">
      <c r="A70" s="457"/>
      <c r="B70" s="457"/>
      <c r="C70" s="458"/>
      <c r="D70" s="458"/>
      <c r="E70" s="459"/>
    </row>
    <row r="71" spans="1:5" ht="15" customHeight="1">
      <c r="A71" s="457"/>
      <c r="B71" s="457"/>
      <c r="C71" s="458"/>
      <c r="D71" s="458"/>
      <c r="E71" s="459"/>
    </row>
    <row r="72" spans="1:5" ht="15" customHeight="1">
      <c r="A72" s="457"/>
      <c r="B72" s="457"/>
      <c r="C72" s="458"/>
      <c r="D72" s="458"/>
      <c r="E72" s="459"/>
    </row>
    <row r="73" spans="1:5" ht="15" customHeight="1">
      <c r="A73" s="457"/>
      <c r="B73" s="457"/>
      <c r="C73" s="458"/>
      <c r="D73" s="458"/>
      <c r="E73" s="459"/>
    </row>
  </sheetData>
  <mergeCells count="210">
    <mergeCell ref="A6:A9"/>
    <mergeCell ref="B6:B9"/>
    <mergeCell ref="C6:C9"/>
    <mergeCell ref="D6:D9"/>
    <mergeCell ref="E6:E9"/>
    <mergeCell ref="BK8:BL8"/>
    <mergeCell ref="BN8:BO8"/>
    <mergeCell ref="BQ8:BR8"/>
    <mergeCell ref="CR7:CT7"/>
    <mergeCell ref="F8:G8"/>
    <mergeCell ref="I8:J8"/>
    <mergeCell ref="L8:M8"/>
    <mergeCell ref="O8:P8"/>
    <mergeCell ref="R8:S8"/>
    <mergeCell ref="U8:V8"/>
    <mergeCell ref="X8:Y8"/>
    <mergeCell ref="AA8:AB8"/>
    <mergeCell ref="AD8:AE8"/>
    <mergeCell ref="AG8:AH8"/>
    <mergeCell ref="AJ8:AK8"/>
    <mergeCell ref="AM8:AN8"/>
    <mergeCell ref="AP8:AQ8"/>
    <mergeCell ref="AS8:AT8"/>
    <mergeCell ref="AV8:AW8"/>
    <mergeCell ref="CU7:CW7"/>
    <mergeCell ref="CX7:CZ7"/>
    <mergeCell ref="DA7:DC7"/>
    <mergeCell ref="DD7:DF7"/>
    <mergeCell ref="DG7:DI7"/>
    <mergeCell ref="CC8:CD8"/>
    <mergeCell ref="CF8:CG8"/>
    <mergeCell ref="CI8:CJ8"/>
    <mergeCell ref="CL8:CM8"/>
    <mergeCell ref="CO8:CP8"/>
    <mergeCell ref="CR8:CS8"/>
    <mergeCell ref="CU8:CV8"/>
    <mergeCell ref="CX8:CY8"/>
    <mergeCell ref="DA8:DB8"/>
    <mergeCell ref="DD8:DE8"/>
    <mergeCell ref="DG8:DH8"/>
    <mergeCell ref="A41:C41"/>
    <mergeCell ref="BB8:BC8"/>
    <mergeCell ref="BE8:BF8"/>
    <mergeCell ref="BH8:BI8"/>
    <mergeCell ref="F6:GC6"/>
    <mergeCell ref="BQ7:BS7"/>
    <mergeCell ref="BT7:BV7"/>
    <mergeCell ref="BW7:BY7"/>
    <mergeCell ref="BZ7:CB7"/>
    <mergeCell ref="CC7:CE7"/>
    <mergeCell ref="CF7:CH7"/>
    <mergeCell ref="CI7:CK7"/>
    <mergeCell ref="CL7:CN7"/>
    <mergeCell ref="CO7:CQ7"/>
    <mergeCell ref="DJ7:DL7"/>
    <mergeCell ref="DM7:DO7"/>
    <mergeCell ref="DP7:DR7"/>
    <mergeCell ref="DS7:DU7"/>
    <mergeCell ref="DV7:DX7"/>
    <mergeCell ref="DY7:EA7"/>
    <mergeCell ref="EB7:ED7"/>
    <mergeCell ref="EE7:EG7"/>
    <mergeCell ref="EH7:EJ7"/>
    <mergeCell ref="EK7:EM7"/>
    <mergeCell ref="GD6:KS6"/>
    <mergeCell ref="KT6:KT9"/>
    <mergeCell ref="KU6:KU9"/>
    <mergeCell ref="F7:H7"/>
    <mergeCell ref="I7:K7"/>
    <mergeCell ref="L7:N7"/>
    <mergeCell ref="O7:Q7"/>
    <mergeCell ref="R7:T7"/>
    <mergeCell ref="U7:W7"/>
    <mergeCell ref="X7:Z7"/>
    <mergeCell ref="AA7:AC7"/>
    <mergeCell ref="AD7:AF7"/>
    <mergeCell ref="AG7:AI7"/>
    <mergeCell ref="AJ7:AL7"/>
    <mergeCell ref="AM7:AO7"/>
    <mergeCell ref="AP7:AR7"/>
    <mergeCell ref="AS7:AU7"/>
    <mergeCell ref="AV7:AX7"/>
    <mergeCell ref="AY7:BA7"/>
    <mergeCell ref="BB7:BD7"/>
    <mergeCell ref="BE7:BG7"/>
    <mergeCell ref="BH7:BJ7"/>
    <mergeCell ref="BK7:BM7"/>
    <mergeCell ref="BN7:BP7"/>
    <mergeCell ref="EN7:EP7"/>
    <mergeCell ref="EQ7:ES7"/>
    <mergeCell ref="ET7:EV7"/>
    <mergeCell ref="EW7:EY7"/>
    <mergeCell ref="EZ7:FB7"/>
    <mergeCell ref="FC7:FE7"/>
    <mergeCell ref="FF7:FH7"/>
    <mergeCell ref="FI7:FK7"/>
    <mergeCell ref="FL7:FN7"/>
    <mergeCell ref="FO7:FQ7"/>
    <mergeCell ref="FR7:FT7"/>
    <mergeCell ref="FU7:FW7"/>
    <mergeCell ref="FX7:FZ7"/>
    <mergeCell ref="GA7:GC7"/>
    <mergeCell ref="GD7:GF7"/>
    <mergeCell ref="GG7:GI7"/>
    <mergeCell ref="GJ7:GL7"/>
    <mergeCell ref="GM7:GO7"/>
    <mergeCell ref="GP7:GR7"/>
    <mergeCell ref="GS7:GU7"/>
    <mergeCell ref="GV7:GX7"/>
    <mergeCell ref="GY7:HA7"/>
    <mergeCell ref="HB7:HD7"/>
    <mergeCell ref="HE7:HG7"/>
    <mergeCell ref="HH7:HJ7"/>
    <mergeCell ref="HK7:HM7"/>
    <mergeCell ref="HN7:HP7"/>
    <mergeCell ref="HQ7:HS7"/>
    <mergeCell ref="HT7:HV7"/>
    <mergeCell ref="HW7:HY7"/>
    <mergeCell ref="HZ7:IB7"/>
    <mergeCell ref="IC7:IE7"/>
    <mergeCell ref="IF7:IH7"/>
    <mergeCell ref="II7:IK7"/>
    <mergeCell ref="IL7:IN7"/>
    <mergeCell ref="IO7:IQ7"/>
    <mergeCell ref="IR7:IT7"/>
    <mergeCell ref="IU7:IW7"/>
    <mergeCell ref="IX7:IZ7"/>
    <mergeCell ref="JA7:JC7"/>
    <mergeCell ref="JD7:JF7"/>
    <mergeCell ref="JG7:JI7"/>
    <mergeCell ref="JJ7:JL7"/>
    <mergeCell ref="JM7:JO7"/>
    <mergeCell ref="JP7:JR7"/>
    <mergeCell ref="JS7:JU7"/>
    <mergeCell ref="JV7:JX7"/>
    <mergeCell ref="JY7:KA7"/>
    <mergeCell ref="KB7:KD7"/>
    <mergeCell ref="KE7:KG7"/>
    <mergeCell ref="KH7:KJ7"/>
    <mergeCell ref="KK7:KM7"/>
    <mergeCell ref="KN7:KP7"/>
    <mergeCell ref="KQ7:KS7"/>
    <mergeCell ref="AY8:AZ8"/>
    <mergeCell ref="BT8:BU8"/>
    <mergeCell ref="BW8:BX8"/>
    <mergeCell ref="BZ8:CA8"/>
    <mergeCell ref="DJ8:DK8"/>
    <mergeCell ref="DM8:DN8"/>
    <mergeCell ref="DP8:DQ8"/>
    <mergeCell ref="DS8:DT8"/>
    <mergeCell ref="DV8:DW8"/>
    <mergeCell ref="DY8:DZ8"/>
    <mergeCell ref="EB8:EC8"/>
    <mergeCell ref="EE8:EF8"/>
    <mergeCell ref="EH8:EI8"/>
    <mergeCell ref="EK8:EL8"/>
    <mergeCell ref="EN8:EO8"/>
    <mergeCell ref="EQ8:ER8"/>
    <mergeCell ref="ET8:EU8"/>
    <mergeCell ref="EW8:EX8"/>
    <mergeCell ref="EZ8:FA8"/>
    <mergeCell ref="FC8:FD8"/>
    <mergeCell ref="FF8:FG8"/>
    <mergeCell ref="FI8:FJ8"/>
    <mergeCell ref="FL8:FM8"/>
    <mergeCell ref="FO8:FP8"/>
    <mergeCell ref="FR8:FS8"/>
    <mergeCell ref="FU8:FV8"/>
    <mergeCell ref="FX8:FY8"/>
    <mergeCell ref="GA8:GB8"/>
    <mergeCell ref="GD8:GE8"/>
    <mergeCell ref="GG8:GH8"/>
    <mergeCell ref="GJ8:GK8"/>
    <mergeCell ref="GM8:GN8"/>
    <mergeCell ref="GP8:GQ8"/>
    <mergeCell ref="GS8:GT8"/>
    <mergeCell ref="GV8:GW8"/>
    <mergeCell ref="GY8:GZ8"/>
    <mergeCell ref="HB8:HC8"/>
    <mergeCell ref="HE8:HF8"/>
    <mergeCell ref="HH8:HI8"/>
    <mergeCell ref="HK8:HL8"/>
    <mergeCell ref="HN8:HO8"/>
    <mergeCell ref="HQ8:HR8"/>
    <mergeCell ref="HT8:HU8"/>
    <mergeCell ref="HW8:HX8"/>
    <mergeCell ref="HZ8:IA8"/>
    <mergeCell ref="IC8:ID8"/>
    <mergeCell ref="IF8:IG8"/>
    <mergeCell ref="II8:IJ8"/>
    <mergeCell ref="IL8:IM8"/>
    <mergeCell ref="IO8:IP8"/>
    <mergeCell ref="IR8:IS8"/>
    <mergeCell ref="IU8:IV8"/>
    <mergeCell ref="IX8:IY8"/>
    <mergeCell ref="KB8:KC8"/>
    <mergeCell ref="KE8:KF8"/>
    <mergeCell ref="KH8:KI8"/>
    <mergeCell ref="KK8:KL8"/>
    <mergeCell ref="KN8:KO8"/>
    <mergeCell ref="KQ8:KR8"/>
    <mergeCell ref="JA8:JB8"/>
    <mergeCell ref="JD8:JE8"/>
    <mergeCell ref="JG8:JH8"/>
    <mergeCell ref="JJ8:JK8"/>
    <mergeCell ref="JM8:JN8"/>
    <mergeCell ref="JP8:JQ8"/>
    <mergeCell ref="JS8:JT8"/>
    <mergeCell ref="JV8:JW8"/>
    <mergeCell ref="JY8:JZ8"/>
  </mergeCells>
  <phoneticPr fontId="31"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C47"/>
  <sheetViews>
    <sheetView tabSelected="1" zoomScale="85" workbookViewId="0">
      <pane xSplit="5" ySplit="9" topLeftCell="BZ10" activePane="bottomRight" state="frozen"/>
      <selection pane="topRight"/>
      <selection pane="bottomLeft"/>
      <selection pane="bottomRight" activeCell="EQ8" sqref="EQ8:ER8"/>
    </sheetView>
  </sheetViews>
  <sheetFormatPr defaultColWidth="9.109375" defaultRowHeight="13.2"/>
  <cols>
    <col min="1" max="1" width="8" customWidth="1"/>
    <col min="2" max="2" width="12.88671875" customWidth="1"/>
    <col min="3" max="3" width="10.6640625" customWidth="1"/>
    <col min="4" max="4" width="12.5546875" customWidth="1"/>
    <col min="5" max="6" width="10" customWidth="1"/>
    <col min="7" max="7" width="10.6640625" hidden="1" customWidth="1"/>
    <col min="8" max="8" width="8.88671875" hidden="1" customWidth="1"/>
    <col min="9" max="9" width="11.5546875" hidden="1" customWidth="1"/>
    <col min="10" max="10" width="8" hidden="1" customWidth="1"/>
    <col min="11" max="11" width="11.5546875" hidden="1" customWidth="1"/>
    <col min="12" max="12" width="8" hidden="1" customWidth="1"/>
    <col min="13" max="13" width="11.5546875" hidden="1" customWidth="1"/>
    <col min="14" max="14" width="8" hidden="1" customWidth="1"/>
    <col min="15" max="15" width="10.5546875" hidden="1" customWidth="1"/>
    <col min="16" max="16" width="8" hidden="1" customWidth="1"/>
    <col min="17" max="17" width="11.5546875" hidden="1" customWidth="1"/>
    <col min="18" max="18" width="8" hidden="1" customWidth="1"/>
    <col min="19" max="19" width="10.5546875" hidden="1" customWidth="1"/>
    <col min="20" max="20" width="8" hidden="1" customWidth="1"/>
    <col min="21" max="21" width="11.5546875" hidden="1" customWidth="1"/>
    <col min="22" max="22" width="8" hidden="1" customWidth="1"/>
    <col min="23" max="23" width="10.5546875" hidden="1" customWidth="1"/>
    <col min="24" max="24" width="8" hidden="1" customWidth="1"/>
    <col min="25" max="25" width="11.5546875" hidden="1" customWidth="1"/>
    <col min="26" max="26" width="8" hidden="1" customWidth="1"/>
    <col min="27" max="27" width="13.109375" hidden="1" customWidth="1"/>
    <col min="28" max="28" width="8.6640625" hidden="1" customWidth="1"/>
    <col min="29" max="29" width="12.109375" hidden="1" customWidth="1"/>
    <col min="30" max="30" width="9.33203125" hidden="1" customWidth="1"/>
    <col min="31" max="31" width="11.5546875" hidden="1" customWidth="1"/>
    <col min="32" max="32" width="9.33203125" hidden="1" customWidth="1"/>
    <col min="33" max="33" width="11.5546875" hidden="1" customWidth="1"/>
    <col min="34" max="34" width="9.33203125" hidden="1" customWidth="1"/>
    <col min="35" max="35" width="11.5546875" hidden="1" customWidth="1"/>
    <col min="36" max="36" width="8.6640625" hidden="1" customWidth="1"/>
    <col min="37" max="37" width="12.6640625" hidden="1" customWidth="1"/>
    <col min="38" max="38" width="8" hidden="1" customWidth="1"/>
    <col min="39" max="39" width="12.6640625" hidden="1" customWidth="1"/>
    <col min="40" max="40" width="8" hidden="1" customWidth="1"/>
    <col min="41" max="41" width="11" hidden="1" customWidth="1"/>
    <col min="42" max="42" width="8" hidden="1" customWidth="1"/>
    <col min="43" max="43" width="13.44140625" hidden="1" customWidth="1"/>
    <col min="44" max="44" width="8.33203125" hidden="1" customWidth="1"/>
    <col min="45" max="45" width="12.6640625" hidden="1" customWidth="1"/>
    <col min="46" max="46" width="7.5546875" hidden="1" customWidth="1"/>
    <col min="47" max="47" width="11.5546875" hidden="1" customWidth="1"/>
    <col min="48" max="48" width="8.5546875" hidden="1" customWidth="1"/>
    <col min="49" max="49" width="11.5546875" hidden="1" customWidth="1"/>
    <col min="50" max="50" width="8" hidden="1" customWidth="1"/>
    <col min="51" max="51" width="13.44140625" hidden="1" customWidth="1"/>
    <col min="52" max="52" width="8" hidden="1" customWidth="1"/>
    <col min="53" max="53" width="11.44140625" hidden="1" customWidth="1"/>
    <col min="54" max="54" width="8" hidden="1" customWidth="1"/>
    <col min="55" max="55" width="11.5546875" hidden="1" customWidth="1"/>
    <col min="56" max="56" width="8.109375" hidden="1" customWidth="1"/>
    <col min="57" max="57" width="11.5546875" hidden="1" customWidth="1"/>
    <col min="58" max="58" width="8" hidden="1" customWidth="1"/>
    <col min="59" max="59" width="11.88671875" hidden="1" customWidth="1"/>
    <col min="60" max="60" width="8.109375" hidden="1" customWidth="1"/>
    <col min="61" max="61" width="10.33203125" hidden="1" customWidth="1"/>
    <col min="62" max="62" width="8" hidden="1" customWidth="1"/>
    <col min="63" max="63" width="14" hidden="1" customWidth="1"/>
    <col min="64" max="64" width="8.6640625" hidden="1" customWidth="1"/>
    <col min="65" max="65" width="12.6640625" hidden="1" customWidth="1"/>
    <col min="66" max="66" width="7.44140625" hidden="1" customWidth="1"/>
    <col min="67" max="67" width="11.44140625" hidden="1" customWidth="1"/>
    <col min="68" max="68" width="8.6640625" hidden="1" customWidth="1"/>
    <col min="69" max="69" width="11.44140625" hidden="1" customWidth="1"/>
    <col min="70" max="70" width="7.6640625" hidden="1" customWidth="1"/>
    <col min="71" max="71" width="15.44140625" hidden="1" customWidth="1"/>
    <col min="72" max="72" width="8" hidden="1" customWidth="1"/>
    <col min="73" max="73" width="12.6640625" hidden="1" customWidth="1"/>
    <col min="74" max="74" width="7.6640625" hidden="1" customWidth="1"/>
    <col min="75" max="75" width="13.109375" customWidth="1"/>
    <col min="76" max="76" width="8.33203125" customWidth="1"/>
    <col min="77" max="77" width="14.44140625" customWidth="1"/>
    <col min="78" max="78" width="8.33203125" customWidth="1"/>
    <col min="79" max="79" width="12.6640625" hidden="1" customWidth="1"/>
    <col min="80" max="80" width="8.6640625" hidden="1" customWidth="1"/>
    <col min="81" max="81" width="12.109375" hidden="1" customWidth="1"/>
    <col min="82" max="82" width="21.44140625" hidden="1" customWidth="1"/>
    <col min="83" max="83" width="10.33203125" hidden="1" customWidth="1"/>
    <col min="84" max="84" width="7.6640625" hidden="1" customWidth="1"/>
    <col min="85" max="85" width="11.5546875" hidden="1" customWidth="1"/>
    <col min="86" max="86" width="7.6640625" hidden="1" customWidth="1"/>
    <col min="87" max="87" width="10.33203125" hidden="1" customWidth="1"/>
    <col min="88" max="88" width="7.6640625" hidden="1" customWidth="1"/>
    <col min="89" max="89" width="11.33203125" hidden="1" customWidth="1"/>
    <col min="90" max="90" width="8.88671875" hidden="1" customWidth="1"/>
    <col min="91" max="91" width="12.88671875" hidden="1" customWidth="1"/>
    <col min="92" max="92" width="7.6640625" hidden="1" customWidth="1"/>
    <col min="93" max="93" width="12.44140625" hidden="1" customWidth="1"/>
    <col min="94" max="94" width="7.6640625" hidden="1" customWidth="1"/>
    <col min="95" max="95" width="17.6640625" hidden="1" customWidth="1"/>
    <col min="96" max="96" width="12.33203125" hidden="1" customWidth="1"/>
    <col min="97" max="97" width="14.44140625" hidden="1" customWidth="1"/>
    <col min="98" max="98" width="9.44140625" hidden="1" customWidth="1"/>
    <col min="99" max="99" width="17.6640625" hidden="1" customWidth="1"/>
    <col min="100" max="100" width="9.33203125" hidden="1" customWidth="1"/>
    <col min="101" max="101" width="14.44140625" hidden="1" customWidth="1"/>
    <col min="102" max="102" width="8.109375" hidden="1" customWidth="1"/>
    <col min="103" max="103" width="12.44140625" hidden="1" customWidth="1"/>
    <col min="104" max="104" width="8.5546875" hidden="1" customWidth="1"/>
    <col min="105" max="105" width="11.44140625" hidden="1" customWidth="1"/>
    <col min="106" max="106" width="8" hidden="1" customWidth="1"/>
    <col min="107" max="107" width="12.109375" hidden="1" customWidth="1"/>
    <col min="108" max="108" width="8" hidden="1" customWidth="1"/>
    <col min="109" max="109" width="12.109375" hidden="1" customWidth="1"/>
    <col min="110" max="110" width="9.109375" hidden="1" customWidth="1"/>
    <col min="111" max="111" width="12.33203125" hidden="1" customWidth="1"/>
    <col min="112" max="112" width="7.6640625" hidden="1" customWidth="1"/>
    <col min="113" max="113" width="11.44140625" hidden="1" customWidth="1"/>
    <col min="114" max="114" width="7.6640625" hidden="1" customWidth="1"/>
    <col min="115" max="115" width="13.6640625" customWidth="1"/>
    <col min="116" max="116" width="8.109375" customWidth="1"/>
    <col min="117" max="117" width="13.109375" bestFit="1" customWidth="1"/>
    <col min="118" max="118" width="8.109375" customWidth="1"/>
    <col min="119" max="119" width="13.33203125" hidden="1" customWidth="1"/>
    <col min="120" max="120" width="8.88671875" hidden="1" customWidth="1"/>
    <col min="121" max="121" width="15.33203125" hidden="1" customWidth="1"/>
    <col min="122" max="122" width="7.6640625" hidden="1" customWidth="1"/>
    <col min="123" max="123" width="10.33203125" hidden="1" customWidth="1"/>
    <col min="124" max="124" width="8.109375" hidden="1" customWidth="1"/>
    <col min="125" max="125" width="11.44140625" hidden="1" customWidth="1"/>
    <col min="126" max="126" width="7.6640625" hidden="1" customWidth="1"/>
    <col min="127" max="127" width="10.33203125" hidden="1" customWidth="1"/>
    <col min="128" max="128" width="8.109375" hidden="1" customWidth="1"/>
    <col min="129" max="129" width="11.44140625" hidden="1" customWidth="1"/>
    <col min="130" max="130" width="7.6640625" hidden="1" customWidth="1"/>
    <col min="131" max="131" width="12.109375" hidden="1" customWidth="1"/>
    <col min="132" max="132" width="7.6640625" hidden="1" customWidth="1"/>
    <col min="133" max="133" width="12.109375" hidden="1" customWidth="1"/>
    <col min="134" max="134" width="7.6640625" hidden="1" customWidth="1"/>
    <col min="135" max="135" width="12.109375" hidden="1" customWidth="1"/>
    <col min="136" max="136" width="7.6640625" hidden="1" customWidth="1"/>
    <col min="137" max="137" width="12.109375" hidden="1" customWidth="1"/>
    <col min="138" max="138" width="7.6640625" hidden="1" customWidth="1"/>
    <col min="139" max="139" width="11.5546875" hidden="1" customWidth="1"/>
    <col min="140" max="140" width="12.33203125" hidden="1" customWidth="1"/>
    <col min="141" max="141" width="11.5546875" hidden="1" customWidth="1"/>
    <col min="142" max="142" width="8" hidden="1" customWidth="1"/>
    <col min="143" max="143" width="13.109375" bestFit="1" customWidth="1"/>
    <col min="144" max="144" width="12.33203125" customWidth="1"/>
    <col min="145" max="145" width="14.6640625" customWidth="1"/>
    <col min="146" max="146" width="8" customWidth="1"/>
    <col min="147" max="147" width="17.6640625" bestFit="1" customWidth="1"/>
    <col min="148" max="148" width="14.44140625" bestFit="1" customWidth="1"/>
    <col min="149" max="149" width="8.88671875" bestFit="1" customWidth="1"/>
    <col min="150" max="150" width="10.33203125" bestFit="1" customWidth="1"/>
    <col min="151" max="151" width="13.33203125" hidden="1" customWidth="1"/>
    <col min="152" max="152" width="10.44140625" hidden="1" customWidth="1"/>
    <col min="153" max="153" width="0" hidden="1" customWidth="1"/>
    <col min="154" max="154" width="15.44140625" hidden="1" customWidth="1"/>
    <col min="155" max="155" width="10.44140625" bestFit="1" customWidth="1"/>
    <col min="158" max="158" width="10.44140625" bestFit="1" customWidth="1"/>
  </cols>
  <sheetData>
    <row r="1" spans="1:154" ht="15.6">
      <c r="A1" s="148"/>
      <c r="F1">
        <v>3</v>
      </c>
      <c r="CP1" s="4"/>
      <c r="CU1" s="248"/>
    </row>
    <row r="2" spans="1:154" ht="15.6">
      <c r="A2" s="148"/>
      <c r="CU2" s="248"/>
      <c r="CY2" s="19"/>
    </row>
    <row r="3" spans="1:154" ht="15">
      <c r="A3" s="150"/>
      <c r="CU3" s="248"/>
    </row>
    <row r="4" spans="1:154" ht="15.6">
      <c r="A4" s="151" t="s">
        <v>225</v>
      </c>
      <c r="G4" s="14"/>
      <c r="AV4" s="19"/>
      <c r="AY4" s="14"/>
      <c r="CQ4" s="14"/>
      <c r="CU4" s="248"/>
      <c r="DP4" s="19"/>
    </row>
    <row r="5" spans="1:154" ht="15.75" hidden="1" customHeight="1">
      <c r="A5" s="151"/>
      <c r="G5" s="14"/>
      <c r="AY5" s="14"/>
      <c r="CQ5" s="14"/>
      <c r="CU5" s="14"/>
    </row>
    <row r="6" spans="1:154" ht="18" hidden="1" customHeight="1">
      <c r="A6" s="249"/>
      <c r="CQ6" s="14"/>
      <c r="CU6" s="14"/>
      <c r="EJ6" s="14"/>
      <c r="EK6" s="14"/>
      <c r="EL6" s="14"/>
      <c r="EN6" s="14"/>
      <c r="EO6" s="14"/>
      <c r="EP6" s="14"/>
      <c r="ER6" s="14"/>
    </row>
    <row r="7" spans="1:154" ht="16.2" thickBot="1">
      <c r="A7" s="250"/>
      <c r="B7" s="250"/>
      <c r="C7" s="250"/>
      <c r="D7" s="250"/>
      <c r="E7" s="250"/>
      <c r="F7" s="250"/>
      <c r="G7">
        <v>214.10599999999999</v>
      </c>
      <c r="K7">
        <v>250</v>
      </c>
      <c r="O7">
        <v>228.40600000000001</v>
      </c>
      <c r="S7">
        <v>230.04499999999999</v>
      </c>
      <c r="W7">
        <v>250</v>
      </c>
      <c r="BG7">
        <v>200.64</v>
      </c>
      <c r="BK7" s="250"/>
      <c r="BL7" s="250"/>
      <c r="BM7" s="250"/>
      <c r="BN7" s="250"/>
      <c r="BO7" s="250"/>
      <c r="BP7" s="250"/>
      <c r="BQ7" s="250"/>
      <c r="BR7" s="250"/>
      <c r="BS7" s="250"/>
      <c r="BT7" s="250"/>
      <c r="BU7" s="250"/>
      <c r="BV7" s="250"/>
      <c r="BW7" s="250"/>
      <c r="BX7" s="250"/>
      <c r="BY7" s="251"/>
      <c r="BZ7" s="251"/>
      <c r="CA7" s="250"/>
      <c r="CB7" s="250"/>
      <c r="CC7" s="250"/>
      <c r="CD7" s="250"/>
      <c r="CE7" s="250">
        <v>250</v>
      </c>
      <c r="CF7" s="250"/>
      <c r="CG7" s="250"/>
      <c r="CH7" s="250"/>
      <c r="CI7" s="407">
        <v>251.43899999999999</v>
      </c>
      <c r="CQ7" s="250">
        <v>250.83</v>
      </c>
      <c r="CR7" s="250"/>
      <c r="CS7" s="250"/>
      <c r="CT7" s="250"/>
      <c r="CU7" s="250">
        <v>246.74</v>
      </c>
      <c r="CV7" s="250"/>
      <c r="CW7" s="250"/>
      <c r="CX7" s="250"/>
      <c r="CY7" s="250">
        <v>250</v>
      </c>
      <c r="CZ7" s="250"/>
      <c r="DA7" s="250"/>
      <c r="DB7" s="250"/>
      <c r="DC7">
        <v>248.881</v>
      </c>
      <c r="DD7" s="250"/>
      <c r="DE7" s="250"/>
      <c r="DF7" s="250"/>
      <c r="DJ7" s="250"/>
      <c r="DK7" s="250"/>
      <c r="DL7" s="250"/>
      <c r="DM7" s="250"/>
      <c r="DN7" s="250"/>
      <c r="DO7" s="250"/>
      <c r="DP7" s="250"/>
      <c r="DQ7" s="250"/>
      <c r="DR7" s="250"/>
      <c r="DS7" s="250"/>
      <c r="DT7" s="250"/>
      <c r="DU7" s="250"/>
      <c r="DV7" s="250"/>
      <c r="DW7" s="250"/>
      <c r="DX7" s="250"/>
      <c r="DY7" s="250"/>
      <c r="DZ7" s="250"/>
      <c r="EA7" s="250">
        <v>244.68</v>
      </c>
      <c r="EB7" s="250"/>
      <c r="EC7" s="250"/>
      <c r="ED7" s="250"/>
      <c r="EE7" s="250">
        <v>244.68</v>
      </c>
      <c r="EF7" s="250"/>
      <c r="EG7" s="250"/>
      <c r="EH7" s="250"/>
      <c r="EI7" s="251"/>
      <c r="EJ7" s="251"/>
      <c r="EK7" s="250"/>
      <c r="EL7" s="250"/>
      <c r="EM7" s="251"/>
      <c r="EN7" s="251"/>
      <c r="EO7" s="250"/>
      <c r="EP7" s="250"/>
      <c r="EQ7" s="250"/>
      <c r="ER7" s="250"/>
      <c r="ES7" s="250"/>
      <c r="ET7" s="250"/>
    </row>
    <row r="8" spans="1:154" ht="38.25" customHeight="1" thickTop="1">
      <c r="A8" s="751" t="s">
        <v>29</v>
      </c>
      <c r="B8" s="751" t="s">
        <v>5</v>
      </c>
      <c r="C8" s="751" t="s">
        <v>6</v>
      </c>
      <c r="D8" s="755" t="s">
        <v>41</v>
      </c>
      <c r="E8" s="757" t="s">
        <v>39</v>
      </c>
      <c r="F8" s="758"/>
      <c r="G8" s="752" t="s">
        <v>393</v>
      </c>
      <c r="H8" s="753"/>
      <c r="I8" s="753"/>
      <c r="J8" s="754"/>
      <c r="K8" s="734" t="s">
        <v>383</v>
      </c>
      <c r="L8" s="735"/>
      <c r="M8" s="735"/>
      <c r="N8" s="736"/>
      <c r="O8" s="759" t="s">
        <v>384</v>
      </c>
      <c r="P8" s="760"/>
      <c r="Q8" s="760"/>
      <c r="R8" s="761"/>
      <c r="S8" s="734" t="s">
        <v>385</v>
      </c>
      <c r="T8" s="735"/>
      <c r="U8" s="735"/>
      <c r="V8" s="736"/>
      <c r="W8" s="734" t="s">
        <v>382</v>
      </c>
      <c r="X8" s="735"/>
      <c r="Y8" s="735"/>
      <c r="Z8" s="736"/>
      <c r="AA8" s="734" t="s">
        <v>43</v>
      </c>
      <c r="AB8" s="735"/>
      <c r="AC8" s="735"/>
      <c r="AD8" s="736"/>
      <c r="AE8" s="734" t="s">
        <v>101</v>
      </c>
      <c r="AF8" s="735"/>
      <c r="AG8" s="735"/>
      <c r="AH8" s="736"/>
      <c r="AI8" s="734" t="s">
        <v>44</v>
      </c>
      <c r="AJ8" s="735"/>
      <c r="AK8" s="735"/>
      <c r="AL8" s="736"/>
      <c r="AM8" s="734" t="s">
        <v>45</v>
      </c>
      <c r="AN8" s="735"/>
      <c r="AO8" s="735"/>
      <c r="AP8" s="736"/>
      <c r="AQ8" s="734" t="s">
        <v>46</v>
      </c>
      <c r="AR8" s="735"/>
      <c r="AS8" s="735"/>
      <c r="AT8" s="736"/>
      <c r="AU8" s="734" t="s">
        <v>47</v>
      </c>
      <c r="AV8" s="735"/>
      <c r="AW8" s="735"/>
      <c r="AX8" s="736"/>
      <c r="AY8" s="734" t="s">
        <v>48</v>
      </c>
      <c r="AZ8" s="735"/>
      <c r="BA8" s="735"/>
      <c r="BB8" s="736"/>
      <c r="BC8" s="734" t="s">
        <v>49</v>
      </c>
      <c r="BD8" s="735"/>
      <c r="BE8" s="735"/>
      <c r="BF8" s="736"/>
      <c r="BG8" s="734" t="s">
        <v>50</v>
      </c>
      <c r="BH8" s="735"/>
      <c r="BI8" s="735"/>
      <c r="BJ8" s="736"/>
      <c r="BK8" s="734" t="s">
        <v>42</v>
      </c>
      <c r="BL8" s="735"/>
      <c r="BM8" s="735"/>
      <c r="BN8" s="736"/>
      <c r="BO8" s="734" t="s">
        <v>51</v>
      </c>
      <c r="BP8" s="735"/>
      <c r="BQ8" s="735"/>
      <c r="BR8" s="736"/>
      <c r="BS8" s="734" t="s">
        <v>52</v>
      </c>
      <c r="BT8" s="735"/>
      <c r="BU8" s="735"/>
      <c r="BV8" s="736"/>
      <c r="BW8" s="734" t="s">
        <v>53</v>
      </c>
      <c r="BX8" s="735"/>
      <c r="BY8" s="735"/>
      <c r="BZ8" s="735"/>
      <c r="CA8" s="734" t="s">
        <v>396</v>
      </c>
      <c r="CB8" s="735"/>
      <c r="CC8" s="735"/>
      <c r="CD8" s="736"/>
      <c r="CE8" s="734" t="s">
        <v>228</v>
      </c>
      <c r="CF8" s="735"/>
      <c r="CG8" s="735"/>
      <c r="CH8" s="735"/>
      <c r="CI8" s="740" t="s">
        <v>229</v>
      </c>
      <c r="CJ8" s="741"/>
      <c r="CK8" s="741"/>
      <c r="CL8" s="742"/>
      <c r="CM8" s="740" t="s">
        <v>54</v>
      </c>
      <c r="CN8" s="741"/>
      <c r="CO8" s="741"/>
      <c r="CP8" s="742"/>
      <c r="CQ8" s="743" t="s">
        <v>184</v>
      </c>
      <c r="CR8" s="743"/>
      <c r="CS8" s="743"/>
      <c r="CT8" s="744"/>
      <c r="CU8" s="748" t="s">
        <v>394</v>
      </c>
      <c r="CV8" s="749"/>
      <c r="CW8" s="749"/>
      <c r="CX8" s="750"/>
      <c r="CY8" s="745" t="s">
        <v>224</v>
      </c>
      <c r="CZ8" s="746"/>
      <c r="DA8" s="746"/>
      <c r="DB8" s="747"/>
      <c r="DC8" s="737" t="s">
        <v>395</v>
      </c>
      <c r="DD8" s="738"/>
      <c r="DE8" s="738"/>
      <c r="DF8" s="739"/>
      <c r="DG8" s="734" t="s">
        <v>55</v>
      </c>
      <c r="DH8" s="735"/>
      <c r="DI8" s="735"/>
      <c r="DJ8" s="736"/>
      <c r="DK8" s="734" t="s">
        <v>100</v>
      </c>
      <c r="DL8" s="735"/>
      <c r="DM8" s="735"/>
      <c r="DN8" s="736"/>
      <c r="DO8" s="734" t="s">
        <v>277</v>
      </c>
      <c r="DP8" s="735"/>
      <c r="DQ8" s="735"/>
      <c r="DR8" s="736"/>
      <c r="DS8" s="734" t="s">
        <v>434</v>
      </c>
      <c r="DT8" s="735"/>
      <c r="DU8" s="735"/>
      <c r="DV8" s="736"/>
      <c r="DW8" s="734" t="s">
        <v>431</v>
      </c>
      <c r="DX8" s="735"/>
      <c r="DY8" s="735"/>
      <c r="DZ8" s="736"/>
      <c r="EA8" s="734" t="s">
        <v>432</v>
      </c>
      <c r="EB8" s="735"/>
      <c r="EC8" s="735"/>
      <c r="ED8" s="736"/>
      <c r="EE8" s="734" t="s">
        <v>433</v>
      </c>
      <c r="EF8" s="735"/>
      <c r="EG8" s="735"/>
      <c r="EH8" s="736"/>
      <c r="EI8" s="734" t="s">
        <v>448</v>
      </c>
      <c r="EJ8" s="735"/>
      <c r="EK8" s="735"/>
      <c r="EL8" s="735"/>
      <c r="EM8" s="734" t="s">
        <v>278</v>
      </c>
      <c r="EN8" s="735"/>
      <c r="EO8" s="735"/>
      <c r="EP8" s="735"/>
      <c r="EQ8" s="734" t="s">
        <v>56</v>
      </c>
      <c r="ER8" s="736"/>
      <c r="ES8" s="734" t="s">
        <v>57</v>
      </c>
      <c r="ET8" s="736"/>
      <c r="EU8" s="448" t="s">
        <v>279</v>
      </c>
      <c r="EV8" s="732" t="s">
        <v>280</v>
      </c>
      <c r="EW8" s="732"/>
      <c r="EX8" s="733" t="s">
        <v>281</v>
      </c>
    </row>
    <row r="9" spans="1:154">
      <c r="A9" s="607"/>
      <c r="B9" s="607"/>
      <c r="C9" s="607"/>
      <c r="D9" s="756"/>
      <c r="E9" s="2" t="s">
        <v>37</v>
      </c>
      <c r="F9" s="446" t="s">
        <v>38</v>
      </c>
      <c r="G9" s="9" t="s">
        <v>37</v>
      </c>
      <c r="H9" s="9" t="s">
        <v>11</v>
      </c>
      <c r="I9" s="447" t="s">
        <v>38</v>
      </c>
      <c r="J9" s="447" t="s">
        <v>11</v>
      </c>
      <c r="K9" s="9" t="s">
        <v>37</v>
      </c>
      <c r="L9" s="9" t="s">
        <v>11</v>
      </c>
      <c r="M9" s="447" t="s">
        <v>38</v>
      </c>
      <c r="N9" s="447" t="s">
        <v>11</v>
      </c>
      <c r="O9" s="9" t="s">
        <v>37</v>
      </c>
      <c r="P9" s="9" t="s">
        <v>11</v>
      </c>
      <c r="Q9" s="447" t="s">
        <v>38</v>
      </c>
      <c r="R9" s="447" t="s">
        <v>11</v>
      </c>
      <c r="S9" s="9" t="s">
        <v>37</v>
      </c>
      <c r="T9" s="9" t="s">
        <v>11</v>
      </c>
      <c r="U9" s="447" t="s">
        <v>38</v>
      </c>
      <c r="V9" s="447" t="s">
        <v>11</v>
      </c>
      <c r="W9" s="9" t="s">
        <v>37</v>
      </c>
      <c r="X9" s="9" t="s">
        <v>11</v>
      </c>
      <c r="Y9" s="447" t="s">
        <v>38</v>
      </c>
      <c r="Z9" s="447" t="s">
        <v>11</v>
      </c>
      <c r="AA9" s="9" t="s">
        <v>37</v>
      </c>
      <c r="AB9" s="9" t="s">
        <v>11</v>
      </c>
      <c r="AC9" s="447" t="s">
        <v>38</v>
      </c>
      <c r="AD9" s="447" t="s">
        <v>11</v>
      </c>
      <c r="AE9" s="9" t="s">
        <v>37</v>
      </c>
      <c r="AF9" s="9" t="s">
        <v>11</v>
      </c>
      <c r="AG9" s="447" t="s">
        <v>38</v>
      </c>
      <c r="AH9" s="447" t="s">
        <v>11</v>
      </c>
      <c r="AI9" s="447" t="s">
        <v>37</v>
      </c>
      <c r="AJ9" s="447" t="s">
        <v>11</v>
      </c>
      <c r="AK9" s="447" t="s">
        <v>38</v>
      </c>
      <c r="AL9" s="447" t="s">
        <v>11</v>
      </c>
      <c r="AM9" s="447" t="s">
        <v>37</v>
      </c>
      <c r="AN9" s="447" t="s">
        <v>11</v>
      </c>
      <c r="AO9" s="447" t="s">
        <v>38</v>
      </c>
      <c r="AP9" s="447" t="s">
        <v>11</v>
      </c>
      <c r="AQ9" s="447" t="s">
        <v>37</v>
      </c>
      <c r="AR9" s="447" t="s">
        <v>11</v>
      </c>
      <c r="AS9" s="447" t="s">
        <v>38</v>
      </c>
      <c r="AT9" s="447" t="s">
        <v>11</v>
      </c>
      <c r="AU9" s="447" t="s">
        <v>37</v>
      </c>
      <c r="AV9" s="447" t="s">
        <v>11</v>
      </c>
      <c r="AW9" s="447" t="s">
        <v>38</v>
      </c>
      <c r="AX9" s="447" t="s">
        <v>11</v>
      </c>
      <c r="AY9" s="447" t="s">
        <v>37</v>
      </c>
      <c r="AZ9" s="447" t="s">
        <v>11</v>
      </c>
      <c r="BA9" s="447" t="s">
        <v>38</v>
      </c>
      <c r="BB9" s="447" t="s">
        <v>11</v>
      </c>
      <c r="BC9" s="447" t="s">
        <v>37</v>
      </c>
      <c r="BD9" s="447" t="s">
        <v>11</v>
      </c>
      <c r="BE9" s="447" t="s">
        <v>38</v>
      </c>
      <c r="BF9" s="447" t="s">
        <v>11</v>
      </c>
      <c r="BG9" s="447" t="s">
        <v>37</v>
      </c>
      <c r="BH9" s="447" t="s">
        <v>11</v>
      </c>
      <c r="BI9" s="447" t="s">
        <v>38</v>
      </c>
      <c r="BJ9" s="447" t="s">
        <v>11</v>
      </c>
      <c r="BK9" s="447" t="s">
        <v>37</v>
      </c>
      <c r="BL9" s="447" t="s">
        <v>11</v>
      </c>
      <c r="BM9" s="447" t="s">
        <v>38</v>
      </c>
      <c r="BN9" s="447" t="s">
        <v>11</v>
      </c>
      <c r="BO9" s="447" t="s">
        <v>37</v>
      </c>
      <c r="BP9" s="447" t="s">
        <v>11</v>
      </c>
      <c r="BQ9" s="447" t="s">
        <v>38</v>
      </c>
      <c r="BR9" s="447" t="s">
        <v>11</v>
      </c>
      <c r="BS9" s="447" t="s">
        <v>37</v>
      </c>
      <c r="BT9" s="447" t="s">
        <v>11</v>
      </c>
      <c r="BU9" s="447" t="s">
        <v>38</v>
      </c>
      <c r="BV9" s="447" t="s">
        <v>11</v>
      </c>
      <c r="BW9" s="447" t="s">
        <v>37</v>
      </c>
      <c r="BX9" s="447" t="s">
        <v>11</v>
      </c>
      <c r="BY9" s="447" t="s">
        <v>38</v>
      </c>
      <c r="BZ9" s="447" t="s">
        <v>11</v>
      </c>
      <c r="CA9" s="447" t="s">
        <v>37</v>
      </c>
      <c r="CB9" s="447" t="s">
        <v>11</v>
      </c>
      <c r="CC9" s="447" t="s">
        <v>38</v>
      </c>
      <c r="CD9" s="447" t="s">
        <v>11</v>
      </c>
      <c r="CE9" s="447" t="s">
        <v>37</v>
      </c>
      <c r="CF9" s="447" t="s">
        <v>11</v>
      </c>
      <c r="CG9" s="447" t="s">
        <v>38</v>
      </c>
      <c r="CH9" s="447" t="s">
        <v>11</v>
      </c>
      <c r="CI9" s="447" t="s">
        <v>37</v>
      </c>
      <c r="CJ9" s="447" t="s">
        <v>11</v>
      </c>
      <c r="CK9" s="447" t="s">
        <v>38</v>
      </c>
      <c r="CL9" s="447" t="s">
        <v>11</v>
      </c>
      <c r="CM9" s="447" t="s">
        <v>37</v>
      </c>
      <c r="CN9" s="447" t="s">
        <v>11</v>
      </c>
      <c r="CO9" s="447" t="s">
        <v>38</v>
      </c>
      <c r="CP9" s="447" t="s">
        <v>11</v>
      </c>
      <c r="CQ9" s="447" t="s">
        <v>37</v>
      </c>
      <c r="CR9" s="447" t="s">
        <v>11</v>
      </c>
      <c r="CS9" s="447" t="s">
        <v>38</v>
      </c>
      <c r="CT9" s="447" t="s">
        <v>11</v>
      </c>
      <c r="CU9" s="447" t="s">
        <v>37</v>
      </c>
      <c r="CV9" s="447" t="s">
        <v>11</v>
      </c>
      <c r="CW9" s="447" t="s">
        <v>38</v>
      </c>
      <c r="CX9" s="447" t="s">
        <v>11</v>
      </c>
      <c r="CY9" s="447" t="s">
        <v>37</v>
      </c>
      <c r="CZ9" s="447" t="s">
        <v>11</v>
      </c>
      <c r="DA9" s="447" t="s">
        <v>38</v>
      </c>
      <c r="DB9" s="447" t="s">
        <v>11</v>
      </c>
      <c r="DC9" s="447" t="s">
        <v>37</v>
      </c>
      <c r="DD9" s="447" t="s">
        <v>11</v>
      </c>
      <c r="DE9" s="447" t="s">
        <v>38</v>
      </c>
      <c r="DF9" s="447" t="s">
        <v>11</v>
      </c>
      <c r="DG9" s="447" t="s">
        <v>37</v>
      </c>
      <c r="DH9" s="447" t="s">
        <v>11</v>
      </c>
      <c r="DI9" s="447" t="s">
        <v>38</v>
      </c>
      <c r="DJ9" s="447" t="s">
        <v>11</v>
      </c>
      <c r="DK9" s="447" t="s">
        <v>37</v>
      </c>
      <c r="DL9" s="447" t="s">
        <v>11</v>
      </c>
      <c r="DM9" s="447" t="s">
        <v>38</v>
      </c>
      <c r="DN9" s="447" t="s">
        <v>11</v>
      </c>
      <c r="DO9" s="447" t="s">
        <v>37</v>
      </c>
      <c r="DP9" s="447" t="s">
        <v>11</v>
      </c>
      <c r="DQ9" s="447" t="s">
        <v>38</v>
      </c>
      <c r="DR9" s="447" t="s">
        <v>11</v>
      </c>
      <c r="DS9" s="447" t="s">
        <v>37</v>
      </c>
      <c r="DT9" s="447" t="s">
        <v>11</v>
      </c>
      <c r="DU9" s="447" t="s">
        <v>38</v>
      </c>
      <c r="DV9" s="447" t="s">
        <v>11</v>
      </c>
      <c r="DW9" s="447" t="s">
        <v>37</v>
      </c>
      <c r="DX9" s="447" t="s">
        <v>11</v>
      </c>
      <c r="DY9" s="447" t="s">
        <v>38</v>
      </c>
      <c r="DZ9" s="447" t="s">
        <v>11</v>
      </c>
      <c r="EA9" s="447" t="s">
        <v>37</v>
      </c>
      <c r="EB9" s="447" t="s">
        <v>11</v>
      </c>
      <c r="EC9" s="447" t="s">
        <v>38</v>
      </c>
      <c r="ED9" s="447" t="s">
        <v>11</v>
      </c>
      <c r="EE9" s="447" t="s">
        <v>37</v>
      </c>
      <c r="EF9" s="447" t="s">
        <v>11</v>
      </c>
      <c r="EG9" s="447" t="s">
        <v>38</v>
      </c>
      <c r="EH9" s="447" t="s">
        <v>11</v>
      </c>
      <c r="EI9" s="447" t="s">
        <v>37</v>
      </c>
      <c r="EJ9" s="447" t="s">
        <v>11</v>
      </c>
      <c r="EK9" s="447" t="s">
        <v>38</v>
      </c>
      <c r="EL9" s="447" t="s">
        <v>11</v>
      </c>
      <c r="EM9" s="447" t="s">
        <v>37</v>
      </c>
      <c r="EN9" s="447" t="s">
        <v>11</v>
      </c>
      <c r="EO9" s="447" t="s">
        <v>38</v>
      </c>
      <c r="EP9" s="447" t="s">
        <v>11</v>
      </c>
      <c r="EQ9" s="447" t="s">
        <v>37</v>
      </c>
      <c r="ER9" s="447" t="s">
        <v>38</v>
      </c>
      <c r="ES9" s="447" t="s">
        <v>37</v>
      </c>
      <c r="ET9" s="447" t="s">
        <v>38</v>
      </c>
      <c r="EU9" s="6"/>
      <c r="EV9" s="447" t="s">
        <v>37</v>
      </c>
      <c r="EW9" s="449" t="s">
        <v>38</v>
      </c>
      <c r="EX9" s="733"/>
    </row>
    <row r="10" spans="1:154">
      <c r="A10" s="16">
        <f>+Chem!A10</f>
        <v>46082</v>
      </c>
      <c r="B10" s="6" t="str">
        <f>+Chem!B10</f>
        <v xml:space="preserve">Toilet </v>
      </c>
      <c r="C10" s="16" t="str">
        <f>+Chem!C10</f>
        <v>15</v>
      </c>
      <c r="D10" s="8">
        <f>+Chem!D10</f>
        <v>50.133000000000003</v>
      </c>
      <c r="E10" s="7">
        <f>+Chem!E10</f>
        <v>56.237000000000002</v>
      </c>
      <c r="F10" s="7">
        <f>+E10</f>
        <v>56.237000000000002</v>
      </c>
      <c r="G10" s="97"/>
      <c r="H10" s="87">
        <f t="shared" ref="H10:H39" si="0">G10/EQ10*100</f>
        <v>0</v>
      </c>
      <c r="I10" s="8">
        <f>G10</f>
        <v>0</v>
      </c>
      <c r="J10" s="87">
        <f t="shared" ref="J10:J39" si="1">I10/ER10*100</f>
        <v>0</v>
      </c>
      <c r="K10" s="97"/>
      <c r="L10" s="87">
        <f t="shared" ref="L10:L39" si="2">+K10/EQ10*100</f>
        <v>0</v>
      </c>
      <c r="M10" s="87">
        <f>+K10</f>
        <v>0</v>
      </c>
      <c r="N10" s="87">
        <f t="shared" ref="N10:N39" si="3">+M10/ER10*100</f>
        <v>0</v>
      </c>
      <c r="O10" s="97"/>
      <c r="P10" s="87">
        <f t="shared" ref="P10:P39" si="4">+O10/EQ10*100</f>
        <v>0</v>
      </c>
      <c r="Q10" s="87">
        <f>+O10</f>
        <v>0</v>
      </c>
      <c r="R10" s="87">
        <f t="shared" ref="R10:R39" si="5">+Q10/ER10*100</f>
        <v>0</v>
      </c>
      <c r="S10" s="97"/>
      <c r="T10" s="87">
        <f t="shared" ref="T10:T39" si="6">+S10/EQ10*100</f>
        <v>0</v>
      </c>
      <c r="U10" s="87">
        <f>+S10</f>
        <v>0</v>
      </c>
      <c r="V10" s="87">
        <f t="shared" ref="V10:V39" si="7">+U10/ER10*100</f>
        <v>0</v>
      </c>
      <c r="W10" s="97"/>
      <c r="X10" s="87">
        <f t="shared" ref="X10:X39" si="8">+W10/EQ10*100</f>
        <v>0</v>
      </c>
      <c r="Y10" s="87">
        <f>+W10</f>
        <v>0</v>
      </c>
      <c r="Z10" s="87">
        <f t="shared" ref="Z10:Z39" si="9">+Y10/ER10*100</f>
        <v>0</v>
      </c>
      <c r="AA10" s="97"/>
      <c r="AB10" s="87">
        <f t="shared" ref="AB10:AB39" si="10">AA10/EQ10*100</f>
        <v>0</v>
      </c>
      <c r="AC10" s="87">
        <f>AA10</f>
        <v>0</v>
      </c>
      <c r="AD10" s="87">
        <f t="shared" ref="AD10:AD39" si="11">AC10/ER10*100</f>
        <v>0</v>
      </c>
      <c r="AE10" s="97"/>
      <c r="AF10" s="87">
        <f t="shared" ref="AF10:AF39" si="12">+AE10/EQ10*100</f>
        <v>0</v>
      </c>
      <c r="AG10" s="87">
        <f>+AE10</f>
        <v>0</v>
      </c>
      <c r="AH10" s="87">
        <f t="shared" ref="AH10:AH39" si="13">+AG10/ER10*100</f>
        <v>0</v>
      </c>
      <c r="AI10" s="97"/>
      <c r="AJ10" s="87">
        <f t="shared" ref="AJ10:AJ39" si="14">AI10/EQ10*100</f>
        <v>0</v>
      </c>
      <c r="AK10" s="87">
        <f>AI10</f>
        <v>0</v>
      </c>
      <c r="AL10" s="87">
        <f t="shared" ref="AL10:AL39" si="15">AK10/ER10*100</f>
        <v>0</v>
      </c>
      <c r="AM10" s="97"/>
      <c r="AN10" s="87">
        <f t="shared" ref="AN10:AN39" si="16">AM10/EQ10*100</f>
        <v>0</v>
      </c>
      <c r="AO10" s="87">
        <f>AM10</f>
        <v>0</v>
      </c>
      <c r="AP10" s="87">
        <f t="shared" ref="AP10:AP39" si="17">+AO10/ER10*100</f>
        <v>0</v>
      </c>
      <c r="AQ10" s="97"/>
      <c r="AR10" s="87">
        <f t="shared" ref="AR10:AR39" si="18">AQ10/EQ10*100</f>
        <v>0</v>
      </c>
      <c r="AS10" s="87">
        <f>AQ10</f>
        <v>0</v>
      </c>
      <c r="AT10" s="87">
        <f t="shared" ref="AT10:AT39" si="19">AS10/ER10*100</f>
        <v>0</v>
      </c>
      <c r="AU10" s="247"/>
      <c r="AV10" s="87">
        <f t="shared" ref="AV10:AV39" si="20">AU10/EQ10*100</f>
        <v>0</v>
      </c>
      <c r="AW10" s="8">
        <f>AU10</f>
        <v>0</v>
      </c>
      <c r="AX10" s="87">
        <f t="shared" ref="AX10:AX39" si="21">AW10/ER10*100</f>
        <v>0</v>
      </c>
      <c r="AY10" s="97">
        <v>0</v>
      </c>
      <c r="AZ10" s="87">
        <f t="shared" ref="AZ10:AZ39" si="22">AY10/EQ10*100</f>
        <v>0</v>
      </c>
      <c r="BA10" s="87">
        <f>AY10</f>
        <v>0</v>
      </c>
      <c r="BB10" s="87">
        <f t="shared" ref="BB10:BB39" si="23">BA10/ER10*100</f>
        <v>0</v>
      </c>
      <c r="BC10" s="97"/>
      <c r="BD10" s="87">
        <f t="shared" ref="BD10:BD39" si="24">BC10/EQ10*100</f>
        <v>0</v>
      </c>
      <c r="BE10" s="87">
        <f>BC10</f>
        <v>0</v>
      </c>
      <c r="BF10" s="87">
        <f t="shared" ref="BF10:BF39" si="25">BE10/ER10*100</f>
        <v>0</v>
      </c>
      <c r="BG10" s="97">
        <v>0</v>
      </c>
      <c r="BH10" s="87">
        <f t="shared" ref="BH10:BH39" si="26">BG10/EQ10*100</f>
        <v>0</v>
      </c>
      <c r="BI10" s="87">
        <f>BG10</f>
        <v>0</v>
      </c>
      <c r="BJ10" s="87">
        <f t="shared" ref="BJ10:BJ39" si="27">BI10/ER10*100</f>
        <v>0</v>
      </c>
      <c r="BK10" s="97"/>
      <c r="BL10" s="87">
        <f>BK10/EQ10*100</f>
        <v>0</v>
      </c>
      <c r="BM10" s="87">
        <f>BK10</f>
        <v>0</v>
      </c>
      <c r="BN10" s="87">
        <f>BM10/ER10*100</f>
        <v>0</v>
      </c>
      <c r="BO10" s="97"/>
      <c r="BP10" s="87">
        <f>BO10/EQ10*100</f>
        <v>0</v>
      </c>
      <c r="BQ10" s="87">
        <f>+BO10</f>
        <v>0</v>
      </c>
      <c r="BR10" s="87">
        <f>BQ10/ER10*100</f>
        <v>0</v>
      </c>
      <c r="BS10" s="97"/>
      <c r="BT10" s="87">
        <v>0</v>
      </c>
      <c r="BU10" s="87">
        <f>BS10</f>
        <v>0</v>
      </c>
      <c r="BV10" s="87">
        <f>BU10/ER10*100</f>
        <v>0</v>
      </c>
      <c r="BW10" s="87">
        <f>G10+AY10+BK10+BG10+BS10+BO10+AU10+AI10+BC10+AQ10+AA10+AM10+AE10+K10+W10+S10+O10</f>
        <v>0</v>
      </c>
      <c r="BX10" s="87">
        <f t="shared" ref="BX10:BX39" si="28">BW10/EQ10*100</f>
        <v>0</v>
      </c>
      <c r="BY10" s="87">
        <f>BW10</f>
        <v>0</v>
      </c>
      <c r="BZ10" s="87">
        <f t="shared" ref="BZ10:BZ39" si="29">BY10/ER10*100</f>
        <v>0</v>
      </c>
      <c r="CA10" s="97"/>
      <c r="CB10" s="87">
        <f t="shared" ref="CB10:CB39" si="30">CA10/EQ10*100</f>
        <v>0</v>
      </c>
      <c r="CC10" s="87"/>
      <c r="CD10" s="87">
        <f t="shared" ref="CD10:CD39" si="31">CC10/ER10*100</f>
        <v>0</v>
      </c>
      <c r="CE10" s="97"/>
      <c r="CF10" s="87">
        <f t="shared" ref="CF10:CF39" si="32">CE10/EQ10*100</f>
        <v>0</v>
      </c>
      <c r="CG10" s="87">
        <f>CE10</f>
        <v>0</v>
      </c>
      <c r="CH10" s="87">
        <f t="shared" ref="CH10:CH39" si="33">CG10/ER10*100</f>
        <v>0</v>
      </c>
      <c r="CI10" s="97"/>
      <c r="CJ10" s="87">
        <f t="shared" ref="CJ10:CJ39" si="34">CI10/EQ10*100</f>
        <v>0</v>
      </c>
      <c r="CK10" s="87">
        <f>CI10</f>
        <v>0</v>
      </c>
      <c r="CL10" s="87">
        <f t="shared" ref="CL10:CL39" si="35">CK10/ER10*100</f>
        <v>0</v>
      </c>
      <c r="CM10" s="97"/>
      <c r="CN10" s="87">
        <f t="shared" ref="CN10:CN39" si="36">CM10/EQ10*100</f>
        <v>0</v>
      </c>
      <c r="CO10" s="87">
        <f>CM10</f>
        <v>0</v>
      </c>
      <c r="CP10" s="87">
        <f t="shared" ref="CP10:CP39" si="37">CO10/ER10*100</f>
        <v>0</v>
      </c>
      <c r="CQ10" s="97"/>
      <c r="CR10" s="87">
        <f t="shared" ref="CR10:CR39" si="38">CQ10/EQ10*100</f>
        <v>0</v>
      </c>
      <c r="CS10" s="87">
        <f>CQ10</f>
        <v>0</v>
      </c>
      <c r="CT10" s="87">
        <f t="shared" ref="CT10:CT39" si="39">CS10/ER10*100</f>
        <v>0</v>
      </c>
      <c r="CU10" s="97"/>
      <c r="CV10" s="87">
        <f t="shared" ref="CV10:CV39" si="40">CU10/EQ10*100</f>
        <v>0</v>
      </c>
      <c r="CW10" s="87">
        <f>CU10</f>
        <v>0</v>
      </c>
      <c r="CX10" s="87">
        <f t="shared" ref="CX10:CX39" si="41">CW10/ER10*100</f>
        <v>0</v>
      </c>
      <c r="CY10" s="97"/>
      <c r="CZ10" s="87">
        <f t="shared" ref="CZ10:CZ39" si="42">CY10/EQ10*100</f>
        <v>0</v>
      </c>
      <c r="DA10" s="87">
        <f>CY10</f>
        <v>0</v>
      </c>
      <c r="DB10" s="87">
        <f t="shared" ref="DB10:DB39" si="43">DA10/ER10</f>
        <v>0</v>
      </c>
      <c r="DC10" s="97"/>
      <c r="DD10" s="87">
        <f t="shared" ref="DD10:DD39" si="44">DC10/EQ10*100</f>
        <v>0</v>
      </c>
      <c r="DE10" s="87">
        <f>DC10</f>
        <v>0</v>
      </c>
      <c r="DF10" s="87">
        <f t="shared" ref="DF10:DF39" si="45">DE10/ER10*100</f>
        <v>0</v>
      </c>
      <c r="DG10" s="97"/>
      <c r="DH10" s="87"/>
      <c r="DI10" s="87"/>
      <c r="DJ10" s="87"/>
      <c r="DK10" s="87">
        <f>CA10+CE10+CI10+CM10+CQ10+CU10+CY10+DC10</f>
        <v>0</v>
      </c>
      <c r="DL10" s="87">
        <f t="shared" ref="DL10:DL39" si="46">DK10/EQ10*100</f>
        <v>0</v>
      </c>
      <c r="DM10" s="87">
        <f>DK10</f>
        <v>0</v>
      </c>
      <c r="DN10" s="87">
        <f t="shared" ref="DN10:DN39" si="47">DM10/ER10*100</f>
        <v>0</v>
      </c>
      <c r="DO10" s="97">
        <v>8243.3253309370848</v>
      </c>
      <c r="DP10" s="87">
        <f>DO10/EQ10*100</f>
        <v>14.647550776583035</v>
      </c>
      <c r="DQ10" s="87">
        <f>DO10</f>
        <v>8243.3253309370848</v>
      </c>
      <c r="DR10" s="87">
        <f>DQ10/ER10*100</f>
        <v>14.647550776583035</v>
      </c>
      <c r="DS10" s="97">
        <v>31265.467201351912</v>
      </c>
      <c r="DT10" s="88">
        <f>DS10/EQ10*100</f>
        <v>55.55555555555555</v>
      </c>
      <c r="DU10" s="87">
        <f>DS10</f>
        <v>31265.467201351912</v>
      </c>
      <c r="DV10" s="87">
        <f>DU10/ER10*100</f>
        <v>55.55555555555555</v>
      </c>
      <c r="DW10" s="97">
        <v>13639.139831815561</v>
      </c>
      <c r="DX10" s="88">
        <f>DW10/EQ10*100</f>
        <v>24.235364396654717</v>
      </c>
      <c r="DY10" s="87">
        <f>DW10</f>
        <v>13639.139831815561</v>
      </c>
      <c r="DZ10" s="452">
        <f>DY10/ER10*100</f>
        <v>24.235364396654717</v>
      </c>
      <c r="EA10" s="97">
        <v>1566.6352382612895</v>
      </c>
      <c r="EB10" s="87">
        <f>+EA10/EQ10*100</f>
        <v>2.7837514934289129</v>
      </c>
      <c r="EC10" s="87">
        <f>+EA10</f>
        <v>1566.6352382612895</v>
      </c>
      <c r="ED10" s="87">
        <f>+EC10/ER10*100</f>
        <v>2.7837514934289129</v>
      </c>
      <c r="EE10" s="97">
        <v>1563.2733600675956</v>
      </c>
      <c r="EF10" s="87">
        <f>+EE10/EQ10*100</f>
        <v>2.7777777777777777</v>
      </c>
      <c r="EG10" s="87">
        <f>+EE10</f>
        <v>1563.2733600675956</v>
      </c>
      <c r="EH10" s="87">
        <f>+EG10/ER10*100</f>
        <v>2.7777777777777777</v>
      </c>
      <c r="EI10" s="87"/>
      <c r="EJ10" s="87">
        <f>EI10/EQ10*100</f>
        <v>0</v>
      </c>
      <c r="EK10" s="87">
        <f>EI10</f>
        <v>0</v>
      </c>
      <c r="EL10" s="87">
        <f>EK10/ER10*100</f>
        <v>0</v>
      </c>
      <c r="EM10" s="87">
        <f>EA10+DO10+DS10+DW10+EE10+EI10</f>
        <v>56277.840962433445</v>
      </c>
      <c r="EN10" s="87">
        <f>EM10/EQ10*100</f>
        <v>100</v>
      </c>
      <c r="EO10" s="87">
        <f>EM10</f>
        <v>56277.840962433445</v>
      </c>
      <c r="EP10" s="87">
        <f>EO10/ER10*100</f>
        <v>100</v>
      </c>
      <c r="EQ10" s="87">
        <f>+EM10+DK10+BW10</f>
        <v>56277.840962433445</v>
      </c>
      <c r="ER10" s="87">
        <f>EQ10</f>
        <v>56277.840962433445</v>
      </c>
      <c r="ES10" s="87">
        <f t="shared" ref="ES10:ES39" si="48">EQ10/1000/E10</f>
        <v>1.0007262293940544</v>
      </c>
      <c r="ET10" s="87">
        <f t="shared" ref="ET10:ET39" si="49">(ER10/1000)/F10</f>
        <v>1.0007262293940544</v>
      </c>
      <c r="EU10" s="6"/>
      <c r="EV10" s="451">
        <f>+EU10/EM10*100%</f>
        <v>0</v>
      </c>
      <c r="EW10" s="451">
        <f>(SUM($EU$10:EU10))/(SUM($EM$10:EM10))</f>
        <v>0</v>
      </c>
      <c r="EX10" s="3"/>
    </row>
    <row r="11" spans="1:154">
      <c r="A11" s="16">
        <f>+Chem!A11</f>
        <v>46083</v>
      </c>
      <c r="B11" s="6" t="str">
        <f>+Chem!B11</f>
        <v xml:space="preserve">Toilet </v>
      </c>
      <c r="C11" s="16" t="str">
        <f>+Chem!C11</f>
        <v>15</v>
      </c>
      <c r="D11" s="8">
        <f>+Chem!D11</f>
        <v>52.173000000000002</v>
      </c>
      <c r="E11" s="7">
        <f>+Chem!E11</f>
        <v>52.433</v>
      </c>
      <c r="F11" s="7">
        <f>+E11+F10</f>
        <v>108.67</v>
      </c>
      <c r="G11" s="97"/>
      <c r="H11" s="87">
        <f t="shared" si="0"/>
        <v>0</v>
      </c>
      <c r="I11" s="8">
        <f t="shared" ref="I11:I39" si="50">G11+I10</f>
        <v>0</v>
      </c>
      <c r="J11" s="87">
        <f t="shared" si="1"/>
        <v>0</v>
      </c>
      <c r="K11" s="97"/>
      <c r="L11" s="87">
        <f t="shared" si="2"/>
        <v>0</v>
      </c>
      <c r="M11" s="87">
        <f t="shared" ref="M11:M39" si="51">+K11+M10</f>
        <v>0</v>
      </c>
      <c r="N11" s="87">
        <f t="shared" si="3"/>
        <v>0</v>
      </c>
      <c r="O11" s="97"/>
      <c r="P11" s="87">
        <f t="shared" si="4"/>
        <v>0</v>
      </c>
      <c r="Q11" s="87">
        <f t="shared" ref="Q11:Q39" si="52">+O11+Q10</f>
        <v>0</v>
      </c>
      <c r="R11" s="87">
        <f t="shared" si="5"/>
        <v>0</v>
      </c>
      <c r="S11" s="97"/>
      <c r="T11" s="87">
        <f t="shared" si="6"/>
        <v>0</v>
      </c>
      <c r="U11" s="87">
        <f t="shared" ref="U11:U39" si="53">+S11+U10</f>
        <v>0</v>
      </c>
      <c r="V11" s="87">
        <f t="shared" si="7"/>
        <v>0</v>
      </c>
      <c r="W11" s="97"/>
      <c r="X11" s="87">
        <f t="shared" si="8"/>
        <v>0</v>
      </c>
      <c r="Y11" s="87">
        <f t="shared" ref="Y11:Y39" si="54">+W11+Y10</f>
        <v>0</v>
      </c>
      <c r="Z11" s="87">
        <f t="shared" si="9"/>
        <v>0</v>
      </c>
      <c r="AA11" s="97"/>
      <c r="AB11" s="87">
        <f t="shared" si="10"/>
        <v>0</v>
      </c>
      <c r="AC11" s="87">
        <f t="shared" ref="AC11:AC39" si="55">AA11+AC10</f>
        <v>0</v>
      </c>
      <c r="AD11" s="87">
        <f t="shared" si="11"/>
        <v>0</v>
      </c>
      <c r="AE11" s="97"/>
      <c r="AF11" s="87">
        <f t="shared" si="12"/>
        <v>0</v>
      </c>
      <c r="AG11" s="87">
        <f t="shared" ref="AG11:AG39" si="56">+AE11+AG10</f>
        <v>0</v>
      </c>
      <c r="AH11" s="87">
        <f t="shared" si="13"/>
        <v>0</v>
      </c>
      <c r="AI11" s="97"/>
      <c r="AJ11" s="87">
        <f t="shared" si="14"/>
        <v>0</v>
      </c>
      <c r="AK11" s="87">
        <f t="shared" ref="AK11:AK39" si="57">AI11+AK10</f>
        <v>0</v>
      </c>
      <c r="AL11" s="87">
        <f t="shared" si="15"/>
        <v>0</v>
      </c>
      <c r="AM11" s="97"/>
      <c r="AN11" s="87">
        <f t="shared" si="16"/>
        <v>0</v>
      </c>
      <c r="AO11" s="87">
        <f t="shared" ref="AO11:AO39" si="58">+AM11+AO10</f>
        <v>0</v>
      </c>
      <c r="AP11" s="87">
        <f t="shared" si="17"/>
        <v>0</v>
      </c>
      <c r="AQ11" s="97"/>
      <c r="AR11" s="87">
        <f t="shared" si="18"/>
        <v>0</v>
      </c>
      <c r="AS11" s="87">
        <f t="shared" ref="AS11:AS39" si="59">AQ11+AS10</f>
        <v>0</v>
      </c>
      <c r="AT11" s="87">
        <f t="shared" si="19"/>
        <v>0</v>
      </c>
      <c r="AU11" s="247"/>
      <c r="AV11" s="87">
        <f t="shared" si="20"/>
        <v>0</v>
      </c>
      <c r="AW11" s="8">
        <f t="shared" ref="AW11:AW39" si="60">AU11+AW10</f>
        <v>0</v>
      </c>
      <c r="AX11" s="87">
        <f t="shared" si="21"/>
        <v>0</v>
      </c>
      <c r="AY11" s="97"/>
      <c r="AZ11" s="87">
        <f t="shared" si="22"/>
        <v>0</v>
      </c>
      <c r="BA11" s="87">
        <f t="shared" ref="BA11:BA39" si="61">AY11+BA10</f>
        <v>0</v>
      </c>
      <c r="BB11" s="87">
        <f t="shared" si="23"/>
        <v>0</v>
      </c>
      <c r="BC11" s="97"/>
      <c r="BD11" s="87">
        <f t="shared" si="24"/>
        <v>0</v>
      </c>
      <c r="BE11" s="87">
        <f t="shared" ref="BE11:BE39" si="62">BC11+BE10</f>
        <v>0</v>
      </c>
      <c r="BF11" s="87">
        <f t="shared" si="25"/>
        <v>0</v>
      </c>
      <c r="BG11" s="97">
        <v>0</v>
      </c>
      <c r="BH11" s="87">
        <f t="shared" si="26"/>
        <v>0</v>
      </c>
      <c r="BI11" s="87">
        <f t="shared" ref="BI11:BI39" si="63">BG11+BI10</f>
        <v>0</v>
      </c>
      <c r="BJ11" s="87">
        <f t="shared" si="27"/>
        <v>0</v>
      </c>
      <c r="BK11" s="97"/>
      <c r="BL11" s="87"/>
      <c r="BM11" s="87"/>
      <c r="BN11" s="87"/>
      <c r="BO11" s="97"/>
      <c r="BP11" s="87"/>
      <c r="BQ11" s="87"/>
      <c r="BR11" s="87"/>
      <c r="BS11" s="97"/>
      <c r="BT11" s="87"/>
      <c r="BU11" s="87"/>
      <c r="BV11" s="87"/>
      <c r="BW11" s="87">
        <f t="shared" ref="BW11:BW39" si="64">G11+AY11+BK11+BG11+BS11+BO11+AU11+AI11+BC11+AQ11+AA11+AM11+AE11+K11+W11+S11+O11</f>
        <v>0</v>
      </c>
      <c r="BX11" s="87">
        <f t="shared" si="28"/>
        <v>0</v>
      </c>
      <c r="BY11" s="87">
        <f t="shared" ref="BY11:BY39" si="65">BW11+BY10</f>
        <v>0</v>
      </c>
      <c r="BZ11" s="87">
        <f t="shared" si="29"/>
        <v>0</v>
      </c>
      <c r="CA11" s="97"/>
      <c r="CB11" s="87">
        <f t="shared" si="30"/>
        <v>0</v>
      </c>
      <c r="CC11" s="87"/>
      <c r="CD11" s="87">
        <f t="shared" si="31"/>
        <v>0</v>
      </c>
      <c r="CE11" s="97"/>
      <c r="CF11" s="87">
        <f t="shared" si="32"/>
        <v>0</v>
      </c>
      <c r="CG11" s="87">
        <f t="shared" ref="CG11:CG39" si="66">CE11+CG10</f>
        <v>0</v>
      </c>
      <c r="CH11" s="87">
        <f t="shared" si="33"/>
        <v>0</v>
      </c>
      <c r="CI11" s="97"/>
      <c r="CJ11" s="87">
        <f t="shared" si="34"/>
        <v>0</v>
      </c>
      <c r="CK11" s="87">
        <f t="shared" ref="CK11:CK39" si="67">CI11+CK10</f>
        <v>0</v>
      </c>
      <c r="CL11" s="87">
        <f t="shared" si="35"/>
        <v>0</v>
      </c>
      <c r="CM11" s="97"/>
      <c r="CN11" s="87">
        <f t="shared" si="36"/>
        <v>0</v>
      </c>
      <c r="CO11" s="87">
        <f t="shared" ref="CO11:CO39" si="68">CM11+CO10</f>
        <v>0</v>
      </c>
      <c r="CP11" s="87">
        <f t="shared" si="37"/>
        <v>0</v>
      </c>
      <c r="CQ11" s="97"/>
      <c r="CR11" s="87">
        <f t="shared" si="38"/>
        <v>0</v>
      </c>
      <c r="CS11" s="87">
        <f t="shared" ref="CS11:CS39" si="69">CQ11+CS10</f>
        <v>0</v>
      </c>
      <c r="CT11" s="87">
        <f t="shared" si="39"/>
        <v>0</v>
      </c>
      <c r="CU11" s="97"/>
      <c r="CV11" s="87">
        <f t="shared" si="40"/>
        <v>0</v>
      </c>
      <c r="CW11" s="87">
        <f t="shared" ref="CW11:CW39" si="70">CU11+CW10</f>
        <v>0</v>
      </c>
      <c r="CX11" s="87">
        <f t="shared" si="41"/>
        <v>0</v>
      </c>
      <c r="CY11" s="97"/>
      <c r="CZ11" s="87">
        <f t="shared" si="42"/>
        <v>0</v>
      </c>
      <c r="DA11" s="87">
        <f t="shared" ref="DA11:DA39" si="71">CY11+DA10</f>
        <v>0</v>
      </c>
      <c r="DB11" s="87">
        <f t="shared" si="43"/>
        <v>0</v>
      </c>
      <c r="DC11" s="97"/>
      <c r="DD11" s="87">
        <f t="shared" si="44"/>
        <v>0</v>
      </c>
      <c r="DE11" s="87">
        <f t="shared" ref="DE11:DE39" si="72">DC11+DE10</f>
        <v>0</v>
      </c>
      <c r="DF11" s="87">
        <f t="shared" si="45"/>
        <v>0</v>
      </c>
      <c r="DG11" s="97"/>
      <c r="DH11" s="87"/>
      <c r="DI11" s="87"/>
      <c r="DJ11" s="87"/>
      <c r="DK11" s="87">
        <f t="shared" ref="DK11:DK39" si="73">CA11+CE11+CI11+CM11+CQ11+CU11+CY11+DC11</f>
        <v>0</v>
      </c>
      <c r="DL11" s="87">
        <f t="shared" si="46"/>
        <v>0</v>
      </c>
      <c r="DM11" s="87">
        <f t="shared" ref="DM11:DM39" si="74">DK11+DM10</f>
        <v>0</v>
      </c>
      <c r="DN11" s="87">
        <f t="shared" si="47"/>
        <v>0</v>
      </c>
      <c r="DO11" s="97">
        <v>8135.4973458196655</v>
      </c>
      <c r="DP11" s="87">
        <f t="shared" ref="DP11:DP39" si="75">DO11/EQ11*100</f>
        <v>14.808869865049642</v>
      </c>
      <c r="DQ11" s="87">
        <f t="shared" ref="DQ11:DQ39" si="76">DO11+DQ10</f>
        <v>16378.82267675675</v>
      </c>
      <c r="DR11" s="87">
        <f t="shared" ref="DR11:DR39" si="77">DQ11/ER11*100</f>
        <v>14.72723760886219</v>
      </c>
      <c r="DS11" s="97">
        <v>30069.660402634148</v>
      </c>
      <c r="DT11" s="88">
        <f t="shared" ref="DT11:DT39" si="78">DS11/EQ11*100</f>
        <v>54.735152487961479</v>
      </c>
      <c r="DU11" s="87">
        <f t="shared" ref="DU11:DU39" si="79">DS11+DU10</f>
        <v>61335.12760398606</v>
      </c>
      <c r="DV11" s="87">
        <f t="shared" ref="DV11:DV39" si="80">DU11/ER11*100</f>
        <v>55.150300837901931</v>
      </c>
      <c r="DW11" s="97">
        <v>13217.325475123318</v>
      </c>
      <c r="DX11" s="88">
        <f t="shared" ref="DX11:DX39" si="81">DW11/EQ11*100</f>
        <v>24.059211699661141</v>
      </c>
      <c r="DY11" s="87">
        <f t="shared" ref="DY11:DY39" si="82">DW11</f>
        <v>13217.325475123318</v>
      </c>
      <c r="DZ11" s="452">
        <f t="shared" ref="DZ11:DZ39" si="83">DY11/ER11*100</f>
        <v>11.884535089450823</v>
      </c>
      <c r="EA11" s="97">
        <v>1799.541966096602</v>
      </c>
      <c r="EB11" s="87">
        <f t="shared" ref="EB11:EB39" si="84">+EA11/EQ11*100</f>
        <v>3.2756673206111411</v>
      </c>
      <c r="EC11" s="87">
        <f t="shared" ref="EC11:EC39" si="85">+EA11+EC10</f>
        <v>3366.1772043578912</v>
      </c>
      <c r="ED11" s="87">
        <f t="shared" ref="ED11:ED39" si="86">+EC11/ER11*100</f>
        <v>3.0267432831094432</v>
      </c>
      <c r="EE11" s="97">
        <v>976.52095800886389</v>
      </c>
      <c r="EF11" s="87" t="e">
        <f t="shared" ref="EF11:EF40" si="87">+EE11/EU11*100</f>
        <v>#DIV/0!</v>
      </c>
      <c r="EG11" s="87">
        <f t="shared" ref="EG11:EG40" si="88">+EE11+EG10</f>
        <v>2539.7943180764596</v>
      </c>
      <c r="EH11" s="87" t="e">
        <f t="shared" ref="EH11:EH40" si="89">+EG11/EV11*100</f>
        <v>#DIV/0!</v>
      </c>
      <c r="EI11" s="87">
        <v>738.1061421739239</v>
      </c>
      <c r="EJ11" s="87">
        <f t="shared" ref="EJ11:EJ40" si="90">EI11/EQ11*100</f>
        <v>1.3435586469294336</v>
      </c>
      <c r="EK11" s="87">
        <f t="shared" ref="EK11:EK40" si="91">EI11+EK10</f>
        <v>738.1061421739239</v>
      </c>
      <c r="EL11" s="87">
        <f t="shared" ref="EL11:EL40" si="92">EK11/ER11*100</f>
        <v>0.66367801586752806</v>
      </c>
      <c r="EM11" s="87">
        <f t="shared" ref="EM11:EM40" si="93">EA11+DO11+DS11+DW11+EE11+EI11</f>
        <v>54936.652289856516</v>
      </c>
      <c r="EN11" s="87">
        <f t="shared" ref="EN11:EN39" si="94">EM11/EQ11*100</f>
        <v>100</v>
      </c>
      <c r="EO11" s="87">
        <f t="shared" ref="EO11:EO39" si="95">EM11+EO10</f>
        <v>111214.49325228996</v>
      </c>
      <c r="EP11" s="87">
        <f t="shared" ref="EP11:EP39" si="96">EO11/ER11*100</f>
        <v>100</v>
      </c>
      <c r="EQ11" s="87">
        <f t="shared" ref="EQ11:EQ39" si="97">+EM11+DK11+BW11</f>
        <v>54936.652289856516</v>
      </c>
      <c r="ER11" s="87">
        <f t="shared" ref="ER11:ER39" si="98">EQ11+ER10</f>
        <v>111214.49325228996</v>
      </c>
      <c r="ES11" s="87">
        <f t="shared" si="48"/>
        <v>1.0477495525691172</v>
      </c>
      <c r="ET11" s="87">
        <f t="shared" si="49"/>
        <v>1.0234148638289311</v>
      </c>
      <c r="EU11" s="6"/>
      <c r="EV11" s="451">
        <f t="shared" ref="EV11:EV39" si="99">+EU11/EM11*100%</f>
        <v>0</v>
      </c>
      <c r="EW11" s="451">
        <f>(SUM($EU$10:EU11))/(SUM($EM$10:EM11))</f>
        <v>0</v>
      </c>
      <c r="EX11" s="3"/>
    </row>
    <row r="12" spans="1:154">
      <c r="A12" s="16">
        <f>+Chem!A12</f>
        <v>46084</v>
      </c>
      <c r="B12" s="6" t="str">
        <f>+Chem!B12</f>
        <v xml:space="preserve">Toilet </v>
      </c>
      <c r="C12" s="16" t="str">
        <f>+Chem!C12</f>
        <v>15</v>
      </c>
      <c r="D12" s="8">
        <f>+Chem!D12</f>
        <v>53.673999999999999</v>
      </c>
      <c r="E12" s="7">
        <f>+Chem!E12</f>
        <v>49.889000000000003</v>
      </c>
      <c r="F12" s="7">
        <f t="shared" ref="F12:F39" si="100">+E12+F11</f>
        <v>158.559</v>
      </c>
      <c r="G12" s="97"/>
      <c r="H12" s="87">
        <f t="shared" si="0"/>
        <v>0</v>
      </c>
      <c r="I12" s="8">
        <f t="shared" si="50"/>
        <v>0</v>
      </c>
      <c r="J12" s="87">
        <f t="shared" si="1"/>
        <v>0</v>
      </c>
      <c r="K12" s="97"/>
      <c r="L12" s="87">
        <f t="shared" si="2"/>
        <v>0</v>
      </c>
      <c r="M12" s="87">
        <f t="shared" si="51"/>
        <v>0</v>
      </c>
      <c r="N12" s="87">
        <f t="shared" si="3"/>
        <v>0</v>
      </c>
      <c r="O12" s="97"/>
      <c r="P12" s="87">
        <f t="shared" si="4"/>
        <v>0</v>
      </c>
      <c r="Q12" s="87">
        <f t="shared" si="52"/>
        <v>0</v>
      </c>
      <c r="R12" s="87">
        <f t="shared" si="5"/>
        <v>0</v>
      </c>
      <c r="S12" s="97"/>
      <c r="T12" s="87">
        <f t="shared" si="6"/>
        <v>0</v>
      </c>
      <c r="U12" s="87">
        <f t="shared" si="53"/>
        <v>0</v>
      </c>
      <c r="V12" s="87">
        <f t="shared" si="7"/>
        <v>0</v>
      </c>
      <c r="W12" s="97"/>
      <c r="X12" s="87">
        <f t="shared" si="8"/>
        <v>0</v>
      </c>
      <c r="Y12" s="87">
        <f t="shared" si="54"/>
        <v>0</v>
      </c>
      <c r="Z12" s="87">
        <f t="shared" si="9"/>
        <v>0</v>
      </c>
      <c r="AA12" s="97"/>
      <c r="AB12" s="87">
        <f t="shared" si="10"/>
        <v>0</v>
      </c>
      <c r="AC12" s="87">
        <f t="shared" si="55"/>
        <v>0</v>
      </c>
      <c r="AD12" s="87">
        <f t="shared" si="11"/>
        <v>0</v>
      </c>
      <c r="AE12" s="97"/>
      <c r="AF12" s="87">
        <f t="shared" si="12"/>
        <v>0</v>
      </c>
      <c r="AG12" s="87">
        <f t="shared" si="56"/>
        <v>0</v>
      </c>
      <c r="AH12" s="87">
        <f t="shared" si="13"/>
        <v>0</v>
      </c>
      <c r="AI12" s="97"/>
      <c r="AJ12" s="87">
        <f t="shared" si="14"/>
        <v>0</v>
      </c>
      <c r="AK12" s="87">
        <f t="shared" si="57"/>
        <v>0</v>
      </c>
      <c r="AL12" s="87">
        <f t="shared" si="15"/>
        <v>0</v>
      </c>
      <c r="AM12" s="97"/>
      <c r="AN12" s="87">
        <f t="shared" si="16"/>
        <v>0</v>
      </c>
      <c r="AO12" s="87">
        <f t="shared" si="58"/>
        <v>0</v>
      </c>
      <c r="AP12" s="87">
        <f t="shared" si="17"/>
        <v>0</v>
      </c>
      <c r="AQ12" s="97"/>
      <c r="AR12" s="87">
        <f t="shared" si="18"/>
        <v>0</v>
      </c>
      <c r="AS12" s="87">
        <f t="shared" si="59"/>
        <v>0</v>
      </c>
      <c r="AT12" s="87">
        <f t="shared" si="19"/>
        <v>0</v>
      </c>
      <c r="AU12" s="247"/>
      <c r="AV12" s="87">
        <f t="shared" si="20"/>
        <v>0</v>
      </c>
      <c r="AW12" s="8">
        <f t="shared" si="60"/>
        <v>0</v>
      </c>
      <c r="AX12" s="87">
        <f t="shared" si="21"/>
        <v>0</v>
      </c>
      <c r="AY12" s="97"/>
      <c r="AZ12" s="87">
        <f t="shared" si="22"/>
        <v>0</v>
      </c>
      <c r="BA12" s="87">
        <f t="shared" si="61"/>
        <v>0</v>
      </c>
      <c r="BB12" s="87">
        <f t="shared" si="23"/>
        <v>0</v>
      </c>
      <c r="BC12" s="97"/>
      <c r="BD12" s="87">
        <f t="shared" si="24"/>
        <v>0</v>
      </c>
      <c r="BE12" s="87">
        <f t="shared" si="62"/>
        <v>0</v>
      </c>
      <c r="BF12" s="87">
        <f t="shared" si="25"/>
        <v>0</v>
      </c>
      <c r="BG12" s="97"/>
      <c r="BH12" s="87">
        <f t="shared" si="26"/>
        <v>0</v>
      </c>
      <c r="BI12" s="87">
        <f t="shared" si="63"/>
        <v>0</v>
      </c>
      <c r="BJ12" s="87">
        <f t="shared" si="27"/>
        <v>0</v>
      </c>
      <c r="BK12" s="97"/>
      <c r="BL12" s="87"/>
      <c r="BM12" s="87"/>
      <c r="BN12" s="87"/>
      <c r="BO12" s="97"/>
      <c r="BP12" s="87"/>
      <c r="BQ12" s="87"/>
      <c r="BR12" s="87"/>
      <c r="BS12" s="97"/>
      <c r="BT12" s="87"/>
      <c r="BU12" s="87"/>
      <c r="BV12" s="87"/>
      <c r="BW12" s="87">
        <f t="shared" si="64"/>
        <v>0</v>
      </c>
      <c r="BX12" s="87">
        <f t="shared" si="28"/>
        <v>0</v>
      </c>
      <c r="BY12" s="87">
        <f t="shared" si="65"/>
        <v>0</v>
      </c>
      <c r="BZ12" s="87">
        <f t="shared" si="29"/>
        <v>0</v>
      </c>
      <c r="CA12" s="97"/>
      <c r="CB12" s="87">
        <f t="shared" si="30"/>
        <v>0</v>
      </c>
      <c r="CC12" s="87"/>
      <c r="CD12" s="87">
        <f t="shared" si="31"/>
        <v>0</v>
      </c>
      <c r="CE12" s="97"/>
      <c r="CF12" s="87">
        <f t="shared" si="32"/>
        <v>0</v>
      </c>
      <c r="CG12" s="87">
        <f t="shared" si="66"/>
        <v>0</v>
      </c>
      <c r="CH12" s="87">
        <f t="shared" si="33"/>
        <v>0</v>
      </c>
      <c r="CI12" s="97"/>
      <c r="CJ12" s="87">
        <f t="shared" si="34"/>
        <v>0</v>
      </c>
      <c r="CK12" s="87">
        <f t="shared" si="67"/>
        <v>0</v>
      </c>
      <c r="CL12" s="87">
        <f t="shared" si="35"/>
        <v>0</v>
      </c>
      <c r="CM12" s="97"/>
      <c r="CN12" s="87">
        <f t="shared" si="36"/>
        <v>0</v>
      </c>
      <c r="CO12" s="87">
        <f t="shared" si="68"/>
        <v>0</v>
      </c>
      <c r="CP12" s="87">
        <f t="shared" si="37"/>
        <v>0</v>
      </c>
      <c r="CQ12" s="97"/>
      <c r="CR12" s="87">
        <f t="shared" si="38"/>
        <v>0</v>
      </c>
      <c r="CS12" s="87">
        <f t="shared" si="69"/>
        <v>0</v>
      </c>
      <c r="CT12" s="87">
        <f t="shared" si="39"/>
        <v>0</v>
      </c>
      <c r="CU12" s="97"/>
      <c r="CV12" s="87">
        <f t="shared" si="40"/>
        <v>0</v>
      </c>
      <c r="CW12" s="87">
        <f t="shared" si="70"/>
        <v>0</v>
      </c>
      <c r="CX12" s="87">
        <f t="shared" si="41"/>
        <v>0</v>
      </c>
      <c r="CY12" s="97"/>
      <c r="CZ12" s="87">
        <f t="shared" si="42"/>
        <v>0</v>
      </c>
      <c r="DA12" s="87">
        <f t="shared" si="71"/>
        <v>0</v>
      </c>
      <c r="DB12" s="87">
        <f t="shared" si="43"/>
        <v>0</v>
      </c>
      <c r="DC12" s="97"/>
      <c r="DD12" s="87">
        <f t="shared" si="44"/>
        <v>0</v>
      </c>
      <c r="DE12" s="87">
        <f t="shared" si="72"/>
        <v>0</v>
      </c>
      <c r="DF12" s="87">
        <f t="shared" si="45"/>
        <v>0</v>
      </c>
      <c r="DG12" s="97"/>
      <c r="DH12" s="87"/>
      <c r="DI12" s="87"/>
      <c r="DJ12" s="87"/>
      <c r="DK12" s="87">
        <f t="shared" si="73"/>
        <v>0</v>
      </c>
      <c r="DL12" s="87">
        <f t="shared" si="46"/>
        <v>0</v>
      </c>
      <c r="DM12" s="87">
        <f t="shared" si="74"/>
        <v>0</v>
      </c>
      <c r="DN12" s="87">
        <f t="shared" si="47"/>
        <v>0</v>
      </c>
      <c r="DO12" s="97">
        <v>7121.4120322937588</v>
      </c>
      <c r="DP12" s="87">
        <f t="shared" si="75"/>
        <v>14.93191278379282</v>
      </c>
      <c r="DQ12" s="87">
        <f t="shared" si="76"/>
        <v>23500.23470905051</v>
      </c>
      <c r="DR12" s="87">
        <f t="shared" si="77"/>
        <v>14.788666497050034</v>
      </c>
      <c r="DS12" s="97">
        <v>25604.638273021599</v>
      </c>
      <c r="DT12" s="88">
        <f t="shared" si="78"/>
        <v>53.686856457619882</v>
      </c>
      <c r="DU12" s="87">
        <f t="shared" si="79"/>
        <v>86939.765877007652</v>
      </c>
      <c r="DV12" s="87">
        <f t="shared" si="80"/>
        <v>54.711079221328532</v>
      </c>
      <c r="DW12" s="97">
        <v>10957.076041965494</v>
      </c>
      <c r="DX12" s="88">
        <f t="shared" si="81"/>
        <v>22.9743909047932</v>
      </c>
      <c r="DY12" s="87">
        <f t="shared" si="82"/>
        <v>10957.076041965494</v>
      </c>
      <c r="DZ12" s="452">
        <f t="shared" si="83"/>
        <v>6.8952734035902612</v>
      </c>
      <c r="EA12" s="97">
        <v>2079.2323470349579</v>
      </c>
      <c r="EB12" s="87">
        <f t="shared" si="84"/>
        <v>4.3596573154842204</v>
      </c>
      <c r="EC12" s="87">
        <f t="shared" si="85"/>
        <v>5445.4095513928496</v>
      </c>
      <c r="ED12" s="87">
        <f t="shared" si="86"/>
        <v>3.4267889998726488</v>
      </c>
      <c r="EE12" s="97">
        <v>1501.2706446457114</v>
      </c>
      <c r="EF12" s="87" t="e">
        <f t="shared" si="87"/>
        <v>#DIV/0!</v>
      </c>
      <c r="EG12" s="87">
        <f t="shared" si="88"/>
        <v>4041.064962722171</v>
      </c>
      <c r="EH12" s="87" t="e">
        <f t="shared" si="89"/>
        <v>#DIV/0!</v>
      </c>
      <c r="EI12" s="87">
        <v>428.93446989877469</v>
      </c>
      <c r="EJ12" s="87">
        <f t="shared" si="90"/>
        <v>0.89937389740219298</v>
      </c>
      <c r="EK12" s="87">
        <f t="shared" si="91"/>
        <v>1167.0406120726987</v>
      </c>
      <c r="EL12" s="87">
        <f t="shared" si="92"/>
        <v>0.73441710749422584</v>
      </c>
      <c r="EM12" s="87">
        <f t="shared" si="93"/>
        <v>47692.563808860301</v>
      </c>
      <c r="EN12" s="87">
        <f t="shared" si="94"/>
        <v>100</v>
      </c>
      <c r="EO12" s="87">
        <f t="shared" si="95"/>
        <v>158907.05706115026</v>
      </c>
      <c r="EP12" s="87">
        <f t="shared" si="96"/>
        <v>100</v>
      </c>
      <c r="EQ12" s="87">
        <f t="shared" si="97"/>
        <v>47692.563808860301</v>
      </c>
      <c r="ER12" s="87">
        <f t="shared" si="98"/>
        <v>158907.05706115026</v>
      </c>
      <c r="ES12" s="87">
        <f t="shared" si="48"/>
        <v>0.95597353743030122</v>
      </c>
      <c r="ET12" s="87">
        <f t="shared" si="49"/>
        <v>1.002195126490141</v>
      </c>
      <c r="EU12" s="6"/>
      <c r="EV12" s="451">
        <f t="shared" si="99"/>
        <v>0</v>
      </c>
      <c r="EW12" s="451">
        <f>(SUM($EU$10:EU12))/(SUM($EM$10:EM12))</f>
        <v>0</v>
      </c>
      <c r="EX12" s="3"/>
    </row>
    <row r="13" spans="1:154">
      <c r="A13" s="16">
        <f>+Chem!A13</f>
        <v>46085</v>
      </c>
      <c r="B13" s="6" t="str">
        <f>+Chem!B13</f>
        <v xml:space="preserve">Toilet </v>
      </c>
      <c r="C13" s="16" t="str">
        <f>+Chem!C13</f>
        <v>15/14,5</v>
      </c>
      <c r="D13" s="8">
        <f>+Chem!D13</f>
        <v>37.878</v>
      </c>
      <c r="E13" s="7">
        <f>+Chem!E13</f>
        <v>39.68</v>
      </c>
      <c r="F13" s="7">
        <f t="shared" si="100"/>
        <v>198.239</v>
      </c>
      <c r="G13" s="97"/>
      <c r="H13" s="87">
        <f t="shared" si="0"/>
        <v>0</v>
      </c>
      <c r="I13" s="8">
        <f t="shared" si="50"/>
        <v>0</v>
      </c>
      <c r="J13" s="87">
        <f t="shared" si="1"/>
        <v>0</v>
      </c>
      <c r="K13" s="97"/>
      <c r="L13" s="87">
        <f t="shared" si="2"/>
        <v>0</v>
      </c>
      <c r="M13" s="87">
        <f t="shared" si="51"/>
        <v>0</v>
      </c>
      <c r="N13" s="87">
        <f t="shared" si="3"/>
        <v>0</v>
      </c>
      <c r="O13" s="97"/>
      <c r="P13" s="87">
        <f t="shared" si="4"/>
        <v>0</v>
      </c>
      <c r="Q13" s="87">
        <f t="shared" si="52"/>
        <v>0</v>
      </c>
      <c r="R13" s="87">
        <f t="shared" si="5"/>
        <v>0</v>
      </c>
      <c r="S13" s="97"/>
      <c r="T13" s="87">
        <f t="shared" si="6"/>
        <v>0</v>
      </c>
      <c r="U13" s="87">
        <f t="shared" si="53"/>
        <v>0</v>
      </c>
      <c r="V13" s="87">
        <f t="shared" si="7"/>
        <v>0</v>
      </c>
      <c r="W13" s="97"/>
      <c r="X13" s="87">
        <f t="shared" si="8"/>
        <v>0</v>
      </c>
      <c r="Y13" s="87">
        <f t="shared" si="54"/>
        <v>0</v>
      </c>
      <c r="Z13" s="87">
        <f t="shared" si="9"/>
        <v>0</v>
      </c>
      <c r="AA13" s="97"/>
      <c r="AB13" s="87">
        <f t="shared" si="10"/>
        <v>0</v>
      </c>
      <c r="AC13" s="87">
        <f t="shared" si="55"/>
        <v>0</v>
      </c>
      <c r="AD13" s="87">
        <f t="shared" si="11"/>
        <v>0</v>
      </c>
      <c r="AE13" s="97"/>
      <c r="AF13" s="87">
        <f t="shared" si="12"/>
        <v>0</v>
      </c>
      <c r="AG13" s="87">
        <f t="shared" si="56"/>
        <v>0</v>
      </c>
      <c r="AH13" s="87">
        <f t="shared" si="13"/>
        <v>0</v>
      </c>
      <c r="AI13" s="97"/>
      <c r="AJ13" s="87">
        <f t="shared" si="14"/>
        <v>0</v>
      </c>
      <c r="AK13" s="87">
        <f t="shared" si="57"/>
        <v>0</v>
      </c>
      <c r="AL13" s="87">
        <f t="shared" si="15"/>
        <v>0</v>
      </c>
      <c r="AM13" s="97"/>
      <c r="AN13" s="87">
        <f t="shared" si="16"/>
        <v>0</v>
      </c>
      <c r="AO13" s="87">
        <f t="shared" si="58"/>
        <v>0</v>
      </c>
      <c r="AP13" s="87">
        <f t="shared" si="17"/>
        <v>0</v>
      </c>
      <c r="AQ13" s="97"/>
      <c r="AR13" s="87">
        <f t="shared" si="18"/>
        <v>0</v>
      </c>
      <c r="AS13" s="87">
        <f t="shared" si="59"/>
        <v>0</v>
      </c>
      <c r="AT13" s="87">
        <f t="shared" si="19"/>
        <v>0</v>
      </c>
      <c r="AU13" s="247"/>
      <c r="AV13" s="87">
        <f t="shared" si="20"/>
        <v>0</v>
      </c>
      <c r="AW13" s="8">
        <f t="shared" si="60"/>
        <v>0</v>
      </c>
      <c r="AX13" s="87">
        <f t="shared" si="21"/>
        <v>0</v>
      </c>
      <c r="AY13" s="97"/>
      <c r="AZ13" s="87">
        <f t="shared" si="22"/>
        <v>0</v>
      </c>
      <c r="BA13" s="87">
        <f t="shared" si="61"/>
        <v>0</v>
      </c>
      <c r="BB13" s="87">
        <f t="shared" si="23"/>
        <v>0</v>
      </c>
      <c r="BC13" s="97"/>
      <c r="BD13" s="87">
        <f t="shared" si="24"/>
        <v>0</v>
      </c>
      <c r="BE13" s="87">
        <f t="shared" si="62"/>
        <v>0</v>
      </c>
      <c r="BF13" s="87">
        <f t="shared" si="25"/>
        <v>0</v>
      </c>
      <c r="BG13" s="97"/>
      <c r="BH13" s="87">
        <f t="shared" si="26"/>
        <v>0</v>
      </c>
      <c r="BI13" s="87">
        <f t="shared" si="63"/>
        <v>0</v>
      </c>
      <c r="BJ13" s="87">
        <f t="shared" si="27"/>
        <v>0</v>
      </c>
      <c r="BK13" s="97"/>
      <c r="BL13" s="87"/>
      <c r="BM13" s="87"/>
      <c r="BN13" s="87"/>
      <c r="BO13" s="97"/>
      <c r="BP13" s="87"/>
      <c r="BQ13" s="87"/>
      <c r="BR13" s="87"/>
      <c r="BS13" s="97"/>
      <c r="BT13" s="87"/>
      <c r="BU13" s="87"/>
      <c r="BV13" s="87"/>
      <c r="BW13" s="87">
        <f t="shared" si="64"/>
        <v>0</v>
      </c>
      <c r="BX13" s="87">
        <f t="shared" si="28"/>
        <v>0</v>
      </c>
      <c r="BY13" s="87">
        <f t="shared" si="65"/>
        <v>0</v>
      </c>
      <c r="BZ13" s="87">
        <f t="shared" si="29"/>
        <v>0</v>
      </c>
      <c r="CA13" s="97"/>
      <c r="CB13" s="87">
        <f t="shared" si="30"/>
        <v>0</v>
      </c>
      <c r="CC13" s="87"/>
      <c r="CD13" s="87">
        <f t="shared" si="31"/>
        <v>0</v>
      </c>
      <c r="CE13" s="97"/>
      <c r="CF13" s="87">
        <f t="shared" si="32"/>
        <v>0</v>
      </c>
      <c r="CG13" s="87">
        <f t="shared" si="66"/>
        <v>0</v>
      </c>
      <c r="CH13" s="87">
        <f t="shared" si="33"/>
        <v>0</v>
      </c>
      <c r="CI13" s="97"/>
      <c r="CJ13" s="87">
        <f t="shared" si="34"/>
        <v>0</v>
      </c>
      <c r="CK13" s="87">
        <f t="shared" si="67"/>
        <v>0</v>
      </c>
      <c r="CL13" s="87">
        <f t="shared" si="35"/>
        <v>0</v>
      </c>
      <c r="CM13" s="97"/>
      <c r="CN13" s="87">
        <f t="shared" si="36"/>
        <v>0</v>
      </c>
      <c r="CO13" s="87">
        <f t="shared" si="68"/>
        <v>0</v>
      </c>
      <c r="CP13" s="87">
        <f t="shared" si="37"/>
        <v>0</v>
      </c>
      <c r="CQ13" s="97"/>
      <c r="CR13" s="87">
        <f t="shared" si="38"/>
        <v>0</v>
      </c>
      <c r="CS13" s="87">
        <f t="shared" si="69"/>
        <v>0</v>
      </c>
      <c r="CT13" s="87">
        <f t="shared" si="39"/>
        <v>0</v>
      </c>
      <c r="CU13" s="97"/>
      <c r="CV13" s="87">
        <f t="shared" si="40"/>
        <v>0</v>
      </c>
      <c r="CW13" s="87">
        <f t="shared" si="70"/>
        <v>0</v>
      </c>
      <c r="CX13" s="87">
        <f t="shared" si="41"/>
        <v>0</v>
      </c>
      <c r="CY13" s="97"/>
      <c r="CZ13" s="87">
        <f t="shared" si="42"/>
        <v>0</v>
      </c>
      <c r="DA13" s="87">
        <f t="shared" si="71"/>
        <v>0</v>
      </c>
      <c r="DB13" s="87">
        <f t="shared" si="43"/>
        <v>0</v>
      </c>
      <c r="DC13" s="97"/>
      <c r="DD13" s="87">
        <f t="shared" si="44"/>
        <v>0</v>
      </c>
      <c r="DE13" s="87">
        <f t="shared" si="72"/>
        <v>0</v>
      </c>
      <c r="DF13" s="87">
        <f t="shared" si="45"/>
        <v>0</v>
      </c>
      <c r="DG13" s="97"/>
      <c r="DH13" s="87"/>
      <c r="DI13" s="87"/>
      <c r="DJ13" s="87"/>
      <c r="DK13" s="87">
        <f t="shared" si="73"/>
        <v>0</v>
      </c>
      <c r="DL13" s="87">
        <f t="shared" si="46"/>
        <v>0</v>
      </c>
      <c r="DM13" s="87">
        <f t="shared" si="74"/>
        <v>0</v>
      </c>
      <c r="DN13" s="87">
        <f t="shared" si="47"/>
        <v>0</v>
      </c>
      <c r="DO13" s="97">
        <v>6230.2271005824432</v>
      </c>
      <c r="DP13" s="87">
        <f t="shared" si="75"/>
        <v>15.01907941807775</v>
      </c>
      <c r="DQ13" s="87">
        <f t="shared" si="76"/>
        <v>29730.461809632954</v>
      </c>
      <c r="DR13" s="87">
        <f t="shared" si="77"/>
        <v>14.836363732768024</v>
      </c>
      <c r="DS13" s="97">
        <v>22652.403322276492</v>
      </c>
      <c r="DT13" s="88">
        <f t="shared" si="78"/>
        <v>54.607679465776293</v>
      </c>
      <c r="DU13" s="87">
        <f t="shared" si="79"/>
        <v>109592.16919928414</v>
      </c>
      <c r="DV13" s="87">
        <f t="shared" si="80"/>
        <v>54.689674681636227</v>
      </c>
      <c r="DW13" s="97">
        <v>9720.0446626792382</v>
      </c>
      <c r="DX13" s="88">
        <f t="shared" si="81"/>
        <v>23.431910326735032</v>
      </c>
      <c r="DY13" s="87">
        <f t="shared" si="82"/>
        <v>9720.0446626792382</v>
      </c>
      <c r="DZ13" s="452">
        <f t="shared" si="83"/>
        <v>4.8505845296871293</v>
      </c>
      <c r="EA13" s="97">
        <v>1521.5703502494318</v>
      </c>
      <c r="EB13" s="87">
        <f t="shared" si="84"/>
        <v>3.6680181254471735</v>
      </c>
      <c r="EC13" s="87">
        <f t="shared" si="85"/>
        <v>6966.9799016422812</v>
      </c>
      <c r="ED13" s="87">
        <f t="shared" si="86"/>
        <v>3.4767252726009841</v>
      </c>
      <c r="EE13" s="97">
        <v>1085.7759814036096</v>
      </c>
      <c r="EF13" s="87" t="e">
        <f t="shared" si="87"/>
        <v>#DIV/0!</v>
      </c>
      <c r="EG13" s="87">
        <f t="shared" si="88"/>
        <v>5126.8409441257809</v>
      </c>
      <c r="EH13" s="87" t="e">
        <f t="shared" si="89"/>
        <v>#DIV/0!</v>
      </c>
      <c r="EI13" s="87">
        <v>272.06231880272679</v>
      </c>
      <c r="EJ13" s="87">
        <f t="shared" si="90"/>
        <v>0.65585499642260914</v>
      </c>
      <c r="EK13" s="87">
        <f t="shared" si="91"/>
        <v>1439.1029308754255</v>
      </c>
      <c r="EL13" s="87">
        <f t="shared" si="92"/>
        <v>0.7181541500456069</v>
      </c>
      <c r="EM13" s="87">
        <f t="shared" si="93"/>
        <v>41482.08373599394</v>
      </c>
      <c r="EN13" s="87">
        <f t="shared" si="94"/>
        <v>100</v>
      </c>
      <c r="EO13" s="87">
        <f t="shared" si="95"/>
        <v>200389.14079714421</v>
      </c>
      <c r="EP13" s="87">
        <f t="shared" si="96"/>
        <v>100</v>
      </c>
      <c r="EQ13" s="87">
        <f t="shared" si="97"/>
        <v>41482.08373599394</v>
      </c>
      <c r="ER13" s="87">
        <f t="shared" si="98"/>
        <v>200389.14079714421</v>
      </c>
      <c r="ES13" s="87">
        <f t="shared" si="48"/>
        <v>1.0454154167337182</v>
      </c>
      <c r="ET13" s="87">
        <f t="shared" si="49"/>
        <v>1.0108462048191538</v>
      </c>
      <c r="EU13" s="6"/>
      <c r="EV13" s="451">
        <f t="shared" si="99"/>
        <v>0</v>
      </c>
      <c r="EW13" s="451">
        <f>(SUM($EU$10:EU13))/(SUM($EM$10:EM13))</f>
        <v>0</v>
      </c>
      <c r="EX13" s="3"/>
    </row>
    <row r="14" spans="1:154">
      <c r="A14" s="16">
        <f>+Chem!A14</f>
        <v>46086</v>
      </c>
      <c r="B14" s="6" t="str">
        <f>+Chem!B14</f>
        <v xml:space="preserve">Toilet </v>
      </c>
      <c r="C14" s="16" t="str">
        <f>+Chem!C14</f>
        <v>14,5</v>
      </c>
      <c r="D14" s="8">
        <f>+Chem!D14</f>
        <v>52.676000000000002</v>
      </c>
      <c r="E14" s="7">
        <f>+Chem!E14</f>
        <v>54.177999999999997</v>
      </c>
      <c r="F14" s="7">
        <f t="shared" si="100"/>
        <v>252.417</v>
      </c>
      <c r="G14" s="97"/>
      <c r="H14" s="87">
        <f t="shared" si="0"/>
        <v>0</v>
      </c>
      <c r="I14" s="8">
        <f t="shared" si="50"/>
        <v>0</v>
      </c>
      <c r="J14" s="87">
        <f t="shared" si="1"/>
        <v>0</v>
      </c>
      <c r="K14" s="97"/>
      <c r="L14" s="87">
        <f t="shared" si="2"/>
        <v>0</v>
      </c>
      <c r="M14" s="87">
        <f t="shared" si="51"/>
        <v>0</v>
      </c>
      <c r="N14" s="87">
        <f t="shared" si="3"/>
        <v>0</v>
      </c>
      <c r="O14" s="97"/>
      <c r="P14" s="87">
        <f t="shared" si="4"/>
        <v>0</v>
      </c>
      <c r="Q14" s="87">
        <f t="shared" si="52"/>
        <v>0</v>
      </c>
      <c r="R14" s="87">
        <f t="shared" si="5"/>
        <v>0</v>
      </c>
      <c r="S14" s="97"/>
      <c r="T14" s="87">
        <f t="shared" si="6"/>
        <v>0</v>
      </c>
      <c r="U14" s="87">
        <f t="shared" si="53"/>
        <v>0</v>
      </c>
      <c r="V14" s="87">
        <f t="shared" si="7"/>
        <v>0</v>
      </c>
      <c r="W14" s="97"/>
      <c r="X14" s="87">
        <f t="shared" si="8"/>
        <v>0</v>
      </c>
      <c r="Y14" s="87">
        <f t="shared" si="54"/>
        <v>0</v>
      </c>
      <c r="Z14" s="87">
        <f t="shared" si="9"/>
        <v>0</v>
      </c>
      <c r="AA14" s="97"/>
      <c r="AB14" s="87">
        <f t="shared" si="10"/>
        <v>0</v>
      </c>
      <c r="AC14" s="87">
        <f t="shared" si="55"/>
        <v>0</v>
      </c>
      <c r="AD14" s="87">
        <f t="shared" si="11"/>
        <v>0</v>
      </c>
      <c r="AE14" s="97"/>
      <c r="AF14" s="87">
        <f t="shared" si="12"/>
        <v>0</v>
      </c>
      <c r="AG14" s="87">
        <f t="shared" si="56"/>
        <v>0</v>
      </c>
      <c r="AH14" s="87">
        <f t="shared" si="13"/>
        <v>0</v>
      </c>
      <c r="AI14" s="97"/>
      <c r="AJ14" s="87">
        <f t="shared" si="14"/>
        <v>0</v>
      </c>
      <c r="AK14" s="87">
        <f t="shared" si="57"/>
        <v>0</v>
      </c>
      <c r="AL14" s="87">
        <f t="shared" si="15"/>
        <v>0</v>
      </c>
      <c r="AM14" s="97"/>
      <c r="AN14" s="87">
        <f t="shared" si="16"/>
        <v>0</v>
      </c>
      <c r="AO14" s="87">
        <f t="shared" si="58"/>
        <v>0</v>
      </c>
      <c r="AP14" s="87">
        <f t="shared" si="17"/>
        <v>0</v>
      </c>
      <c r="AQ14" s="97"/>
      <c r="AR14" s="87">
        <f t="shared" si="18"/>
        <v>0</v>
      </c>
      <c r="AS14" s="87">
        <f t="shared" si="59"/>
        <v>0</v>
      </c>
      <c r="AT14" s="87">
        <f t="shared" si="19"/>
        <v>0</v>
      </c>
      <c r="AU14" s="247"/>
      <c r="AV14" s="87">
        <f t="shared" si="20"/>
        <v>0</v>
      </c>
      <c r="AW14" s="8">
        <f t="shared" si="60"/>
        <v>0</v>
      </c>
      <c r="AX14" s="87">
        <f t="shared" si="21"/>
        <v>0</v>
      </c>
      <c r="AY14" s="97"/>
      <c r="AZ14" s="87">
        <f t="shared" si="22"/>
        <v>0</v>
      </c>
      <c r="BA14" s="87">
        <f t="shared" si="61"/>
        <v>0</v>
      </c>
      <c r="BB14" s="87">
        <f t="shared" si="23"/>
        <v>0</v>
      </c>
      <c r="BC14" s="97"/>
      <c r="BD14" s="87">
        <f t="shared" si="24"/>
        <v>0</v>
      </c>
      <c r="BE14" s="87">
        <f t="shared" si="62"/>
        <v>0</v>
      </c>
      <c r="BF14" s="87">
        <f t="shared" si="25"/>
        <v>0</v>
      </c>
      <c r="BG14" s="97"/>
      <c r="BH14" s="87">
        <f t="shared" si="26"/>
        <v>0</v>
      </c>
      <c r="BI14" s="87">
        <f t="shared" si="63"/>
        <v>0</v>
      </c>
      <c r="BJ14" s="87">
        <f t="shared" si="27"/>
        <v>0</v>
      </c>
      <c r="BK14" s="97"/>
      <c r="BL14" s="87"/>
      <c r="BM14" s="87"/>
      <c r="BN14" s="87"/>
      <c r="BO14" s="97"/>
      <c r="BP14" s="87"/>
      <c r="BQ14" s="87"/>
      <c r="BR14" s="87"/>
      <c r="BS14" s="97"/>
      <c r="BT14" s="87"/>
      <c r="BU14" s="87"/>
      <c r="BV14" s="87"/>
      <c r="BW14" s="87">
        <f t="shared" si="64"/>
        <v>0</v>
      </c>
      <c r="BX14" s="87">
        <f>BW14/EQ14*100</f>
        <v>0</v>
      </c>
      <c r="BY14" s="87">
        <f t="shared" si="65"/>
        <v>0</v>
      </c>
      <c r="BZ14" s="87">
        <f t="shared" si="29"/>
        <v>0</v>
      </c>
      <c r="CA14" s="97"/>
      <c r="CB14" s="87">
        <f t="shared" si="30"/>
        <v>0</v>
      </c>
      <c r="CC14" s="87"/>
      <c r="CD14" s="87">
        <f t="shared" si="31"/>
        <v>0</v>
      </c>
      <c r="CE14" s="97"/>
      <c r="CF14" s="87">
        <f t="shared" si="32"/>
        <v>0</v>
      </c>
      <c r="CG14" s="87">
        <f t="shared" si="66"/>
        <v>0</v>
      </c>
      <c r="CH14" s="87">
        <f t="shared" si="33"/>
        <v>0</v>
      </c>
      <c r="CI14" s="97"/>
      <c r="CJ14" s="87">
        <f t="shared" si="34"/>
        <v>0</v>
      </c>
      <c r="CK14" s="87">
        <f t="shared" si="67"/>
        <v>0</v>
      </c>
      <c r="CL14" s="87">
        <f t="shared" si="35"/>
        <v>0</v>
      </c>
      <c r="CM14" s="97"/>
      <c r="CN14" s="87">
        <f t="shared" si="36"/>
        <v>0</v>
      </c>
      <c r="CO14" s="87">
        <f t="shared" si="68"/>
        <v>0</v>
      </c>
      <c r="CP14" s="87">
        <f t="shared" si="37"/>
        <v>0</v>
      </c>
      <c r="CQ14" s="97"/>
      <c r="CR14" s="87">
        <f t="shared" si="38"/>
        <v>0</v>
      </c>
      <c r="CS14" s="87">
        <f t="shared" si="69"/>
        <v>0</v>
      </c>
      <c r="CT14" s="87">
        <f t="shared" si="39"/>
        <v>0</v>
      </c>
      <c r="CU14" s="97"/>
      <c r="CV14" s="87">
        <f t="shared" si="40"/>
        <v>0</v>
      </c>
      <c r="CW14" s="87">
        <f t="shared" si="70"/>
        <v>0</v>
      </c>
      <c r="CX14" s="87">
        <f t="shared" si="41"/>
        <v>0</v>
      </c>
      <c r="CY14" s="97"/>
      <c r="CZ14" s="87">
        <f t="shared" si="42"/>
        <v>0</v>
      </c>
      <c r="DA14" s="87">
        <f t="shared" si="71"/>
        <v>0</v>
      </c>
      <c r="DB14" s="87">
        <f t="shared" si="43"/>
        <v>0</v>
      </c>
      <c r="DC14" s="97"/>
      <c r="DD14" s="87">
        <f t="shared" si="44"/>
        <v>0</v>
      </c>
      <c r="DE14" s="87">
        <f t="shared" si="72"/>
        <v>0</v>
      </c>
      <c r="DF14" s="87">
        <f t="shared" si="45"/>
        <v>0</v>
      </c>
      <c r="DG14" s="97"/>
      <c r="DH14" s="87"/>
      <c r="DI14" s="87"/>
      <c r="DJ14" s="87"/>
      <c r="DK14" s="87">
        <f t="shared" si="73"/>
        <v>0</v>
      </c>
      <c r="DL14" s="87">
        <f t="shared" si="46"/>
        <v>0</v>
      </c>
      <c r="DM14" s="87">
        <f t="shared" si="74"/>
        <v>0</v>
      </c>
      <c r="DN14" s="87">
        <f t="shared" si="47"/>
        <v>0</v>
      </c>
      <c r="DO14" s="97">
        <v>7390.2286771196768</v>
      </c>
      <c r="DP14" s="87">
        <f t="shared" si="75"/>
        <v>14.473898194828427</v>
      </c>
      <c r="DQ14" s="87">
        <f t="shared" si="76"/>
        <v>37120.690486752632</v>
      </c>
      <c r="DR14" s="87">
        <f t="shared" si="77"/>
        <v>14.762761558441367</v>
      </c>
      <c r="DS14" s="97">
        <v>28204.65551305225</v>
      </c>
      <c r="DT14" s="88">
        <f t="shared" si="78"/>
        <v>55.23933430910175</v>
      </c>
      <c r="DU14" s="87">
        <f t="shared" si="79"/>
        <v>137796.82471233638</v>
      </c>
      <c r="DV14" s="87">
        <f t="shared" si="80"/>
        <v>54.801288447598672</v>
      </c>
      <c r="DW14" s="97">
        <v>12591.067510193787</v>
      </c>
      <c r="DX14" s="88">
        <f t="shared" si="81"/>
        <v>24.659836287743264</v>
      </c>
      <c r="DY14" s="87">
        <f t="shared" si="82"/>
        <v>12591.067510193787</v>
      </c>
      <c r="DZ14" s="452">
        <f t="shared" si="83"/>
        <v>5.0074210630743528</v>
      </c>
      <c r="EA14" s="97">
        <v>2075.9069317751901</v>
      </c>
      <c r="EB14" s="87">
        <f t="shared" si="84"/>
        <v>4.0657017401203452</v>
      </c>
      <c r="EC14" s="87">
        <f t="shared" si="85"/>
        <v>9042.8868334174713</v>
      </c>
      <c r="ED14" s="87">
        <f t="shared" si="86"/>
        <v>3.5963227076649571</v>
      </c>
      <c r="EE14" s="97">
        <v>797.14826180167302</v>
      </c>
      <c r="EF14" s="87" t="e">
        <f t="shared" si="87"/>
        <v>#DIV/0!</v>
      </c>
      <c r="EG14" s="87">
        <f t="shared" si="88"/>
        <v>5923.9892059274534</v>
      </c>
      <c r="EH14" s="87" t="e">
        <f t="shared" si="89"/>
        <v>#DIV/0!</v>
      </c>
      <c r="EI14" s="87"/>
      <c r="EJ14" s="87">
        <f t="shared" si="90"/>
        <v>0</v>
      </c>
      <c r="EK14" s="87">
        <f t="shared" si="91"/>
        <v>1439.1029308754255</v>
      </c>
      <c r="EL14" s="87">
        <f t="shared" si="92"/>
        <v>0.57232592249731573</v>
      </c>
      <c r="EM14" s="87">
        <f t="shared" si="93"/>
        <v>51059.006893942576</v>
      </c>
      <c r="EN14" s="87">
        <f t="shared" si="94"/>
        <v>100</v>
      </c>
      <c r="EO14" s="87">
        <f t="shared" si="95"/>
        <v>251448.14769108678</v>
      </c>
      <c r="EP14" s="87">
        <f t="shared" si="96"/>
        <v>100</v>
      </c>
      <c r="EQ14" s="87">
        <f t="shared" si="97"/>
        <v>51059.006893942576</v>
      </c>
      <c r="ER14" s="87">
        <f t="shared" si="98"/>
        <v>251448.14769108678</v>
      </c>
      <c r="ES14" s="87">
        <f t="shared" si="48"/>
        <v>0.94243063409396022</v>
      </c>
      <c r="ET14" s="87">
        <f t="shared" si="49"/>
        <v>0.99616169945402555</v>
      </c>
      <c r="EU14" s="6"/>
      <c r="EV14" s="451">
        <f t="shared" si="99"/>
        <v>0</v>
      </c>
      <c r="EW14" s="451">
        <f>(SUM($EU$10:EU14))/(SUM($EM$10:EM14))</f>
        <v>0</v>
      </c>
      <c r="EX14" s="3"/>
    </row>
    <row r="15" spans="1:154">
      <c r="A15" s="16">
        <f>+Chem!A15</f>
        <v>46087</v>
      </c>
      <c r="B15" s="6" t="str">
        <f>+Chem!B15</f>
        <v xml:space="preserve">Toilet </v>
      </c>
      <c r="C15" s="16" t="str">
        <f>+Chem!C15</f>
        <v>14,5/15</v>
      </c>
      <c r="D15" s="8">
        <f>+Chem!D15</f>
        <v>33.480000000000004</v>
      </c>
      <c r="E15" s="7">
        <f>+Chem!E15</f>
        <v>33.015000000000001</v>
      </c>
      <c r="F15" s="7">
        <f t="shared" si="100"/>
        <v>285.43200000000002</v>
      </c>
      <c r="G15" s="97"/>
      <c r="H15" s="87">
        <f t="shared" si="0"/>
        <v>0</v>
      </c>
      <c r="I15" s="8">
        <f t="shared" si="50"/>
        <v>0</v>
      </c>
      <c r="J15" s="87">
        <f t="shared" si="1"/>
        <v>0</v>
      </c>
      <c r="K15" s="97"/>
      <c r="L15" s="87">
        <f t="shared" si="2"/>
        <v>0</v>
      </c>
      <c r="M15" s="87">
        <f t="shared" si="51"/>
        <v>0</v>
      </c>
      <c r="N15" s="87">
        <f t="shared" si="3"/>
        <v>0</v>
      </c>
      <c r="O15" s="97"/>
      <c r="P15" s="87">
        <f t="shared" si="4"/>
        <v>0</v>
      </c>
      <c r="Q15" s="87">
        <f t="shared" si="52"/>
        <v>0</v>
      </c>
      <c r="R15" s="87">
        <f t="shared" si="5"/>
        <v>0</v>
      </c>
      <c r="S15" s="97"/>
      <c r="T15" s="87">
        <f t="shared" si="6"/>
        <v>0</v>
      </c>
      <c r="U15" s="87">
        <f t="shared" si="53"/>
        <v>0</v>
      </c>
      <c r="V15" s="87">
        <f t="shared" si="7"/>
        <v>0</v>
      </c>
      <c r="W15" s="97"/>
      <c r="X15" s="87">
        <f t="shared" si="8"/>
        <v>0</v>
      </c>
      <c r="Y15" s="87">
        <f t="shared" si="54"/>
        <v>0</v>
      </c>
      <c r="Z15" s="87">
        <f t="shared" si="9"/>
        <v>0</v>
      </c>
      <c r="AA15" s="97"/>
      <c r="AB15" s="87">
        <f t="shared" si="10"/>
        <v>0</v>
      </c>
      <c r="AC15" s="87">
        <f t="shared" si="55"/>
        <v>0</v>
      </c>
      <c r="AD15" s="87">
        <f t="shared" si="11"/>
        <v>0</v>
      </c>
      <c r="AE15" s="97"/>
      <c r="AF15" s="87">
        <f t="shared" si="12"/>
        <v>0</v>
      </c>
      <c r="AG15" s="87">
        <f t="shared" si="56"/>
        <v>0</v>
      </c>
      <c r="AH15" s="87">
        <f t="shared" si="13"/>
        <v>0</v>
      </c>
      <c r="AI15" s="97"/>
      <c r="AJ15" s="87">
        <f t="shared" si="14"/>
        <v>0</v>
      </c>
      <c r="AK15" s="87">
        <f t="shared" si="57"/>
        <v>0</v>
      </c>
      <c r="AL15" s="87">
        <f t="shared" si="15"/>
        <v>0</v>
      </c>
      <c r="AM15" s="97"/>
      <c r="AN15" s="87">
        <f t="shared" si="16"/>
        <v>0</v>
      </c>
      <c r="AO15" s="87">
        <f t="shared" si="58"/>
        <v>0</v>
      </c>
      <c r="AP15" s="87">
        <f t="shared" si="17"/>
        <v>0</v>
      </c>
      <c r="AQ15" s="97"/>
      <c r="AR15" s="87">
        <f t="shared" si="18"/>
        <v>0</v>
      </c>
      <c r="AS15" s="87">
        <f t="shared" si="59"/>
        <v>0</v>
      </c>
      <c r="AT15" s="87">
        <f t="shared" si="19"/>
        <v>0</v>
      </c>
      <c r="AU15" s="247"/>
      <c r="AV15" s="87">
        <f t="shared" si="20"/>
        <v>0</v>
      </c>
      <c r="AW15" s="8">
        <f t="shared" si="60"/>
        <v>0</v>
      </c>
      <c r="AX15" s="87">
        <f t="shared" si="21"/>
        <v>0</v>
      </c>
      <c r="AY15" s="97"/>
      <c r="AZ15" s="87">
        <f t="shared" si="22"/>
        <v>0</v>
      </c>
      <c r="BA15" s="87">
        <f t="shared" si="61"/>
        <v>0</v>
      </c>
      <c r="BB15" s="87">
        <f t="shared" si="23"/>
        <v>0</v>
      </c>
      <c r="BC15" s="97"/>
      <c r="BD15" s="87">
        <f t="shared" si="24"/>
        <v>0</v>
      </c>
      <c r="BE15" s="87">
        <f t="shared" si="62"/>
        <v>0</v>
      </c>
      <c r="BF15" s="87">
        <f t="shared" si="25"/>
        <v>0</v>
      </c>
      <c r="BG15" s="97"/>
      <c r="BH15" s="87">
        <f t="shared" si="26"/>
        <v>0</v>
      </c>
      <c r="BI15" s="87">
        <f t="shared" si="63"/>
        <v>0</v>
      </c>
      <c r="BJ15" s="87">
        <f t="shared" si="27"/>
        <v>0</v>
      </c>
      <c r="BK15" s="97"/>
      <c r="BL15" s="87"/>
      <c r="BM15" s="87"/>
      <c r="BN15" s="87"/>
      <c r="BO15" s="97"/>
      <c r="BP15" s="87"/>
      <c r="BQ15" s="87"/>
      <c r="BR15" s="87"/>
      <c r="BS15" s="97"/>
      <c r="BT15" s="87"/>
      <c r="BU15" s="87"/>
      <c r="BV15" s="87"/>
      <c r="BW15" s="87">
        <f t="shared" si="64"/>
        <v>0</v>
      </c>
      <c r="BX15" s="87">
        <f t="shared" si="28"/>
        <v>0</v>
      </c>
      <c r="BY15" s="87">
        <f t="shared" si="65"/>
        <v>0</v>
      </c>
      <c r="BZ15" s="87">
        <f t="shared" si="29"/>
        <v>0</v>
      </c>
      <c r="CA15" s="97"/>
      <c r="CB15" s="10">
        <f t="shared" si="30"/>
        <v>0</v>
      </c>
      <c r="CC15" s="87"/>
      <c r="CD15" s="10">
        <f t="shared" si="31"/>
        <v>0</v>
      </c>
      <c r="CE15" s="97"/>
      <c r="CF15" s="87">
        <f t="shared" si="32"/>
        <v>0</v>
      </c>
      <c r="CG15" s="87">
        <f t="shared" si="66"/>
        <v>0</v>
      </c>
      <c r="CH15" s="87">
        <f t="shared" si="33"/>
        <v>0</v>
      </c>
      <c r="CI15" s="97"/>
      <c r="CJ15" s="87">
        <f t="shared" si="34"/>
        <v>0</v>
      </c>
      <c r="CK15" s="87">
        <f t="shared" si="67"/>
        <v>0</v>
      </c>
      <c r="CL15" s="87">
        <f t="shared" si="35"/>
        <v>0</v>
      </c>
      <c r="CM15" s="97"/>
      <c r="CN15" s="87">
        <f t="shared" si="36"/>
        <v>0</v>
      </c>
      <c r="CO15" s="87">
        <f t="shared" si="68"/>
        <v>0</v>
      </c>
      <c r="CP15" s="87">
        <f t="shared" si="37"/>
        <v>0</v>
      </c>
      <c r="CQ15" s="97"/>
      <c r="CR15" s="87">
        <f t="shared" si="38"/>
        <v>0</v>
      </c>
      <c r="CS15" s="87">
        <f t="shared" si="69"/>
        <v>0</v>
      </c>
      <c r="CT15" s="87">
        <f t="shared" si="39"/>
        <v>0</v>
      </c>
      <c r="CU15" s="97"/>
      <c r="CV15" s="87">
        <f t="shared" si="40"/>
        <v>0</v>
      </c>
      <c r="CW15" s="87">
        <f t="shared" si="70"/>
        <v>0</v>
      </c>
      <c r="CX15" s="87">
        <f t="shared" si="41"/>
        <v>0</v>
      </c>
      <c r="CY15" s="97"/>
      <c r="CZ15" s="87">
        <f t="shared" si="42"/>
        <v>0</v>
      </c>
      <c r="DA15" s="87">
        <f t="shared" si="71"/>
        <v>0</v>
      </c>
      <c r="DB15" s="87">
        <f t="shared" si="43"/>
        <v>0</v>
      </c>
      <c r="DC15" s="97"/>
      <c r="DD15" s="87">
        <f t="shared" si="44"/>
        <v>0</v>
      </c>
      <c r="DE15" s="87">
        <f t="shared" si="72"/>
        <v>0</v>
      </c>
      <c r="DF15" s="87">
        <f t="shared" si="45"/>
        <v>0</v>
      </c>
      <c r="DG15" s="97"/>
      <c r="DH15" s="87"/>
      <c r="DI15" s="87"/>
      <c r="DJ15" s="87"/>
      <c r="DK15" s="10">
        <f t="shared" si="73"/>
        <v>0</v>
      </c>
      <c r="DL15" s="87">
        <f t="shared" si="46"/>
        <v>0</v>
      </c>
      <c r="DM15" s="87">
        <f t="shared" si="74"/>
        <v>0</v>
      </c>
      <c r="DN15" s="87">
        <f t="shared" si="47"/>
        <v>0</v>
      </c>
      <c r="DO15" s="97">
        <v>6070.0867798191111</v>
      </c>
      <c r="DP15" s="10">
        <f t="shared" si="75"/>
        <v>14.497868939797549</v>
      </c>
      <c r="DQ15" s="87">
        <f t="shared" si="76"/>
        <v>43190.777266571742</v>
      </c>
      <c r="DR15" s="10">
        <f t="shared" si="77"/>
        <v>14.724950102596887</v>
      </c>
      <c r="DS15" s="97">
        <v>22515.365524593166</v>
      </c>
      <c r="DT15" s="15">
        <f t="shared" si="78"/>
        <v>53.775972296217368</v>
      </c>
      <c r="DU15" s="87">
        <f t="shared" si="79"/>
        <v>160312.19023692954</v>
      </c>
      <c r="DV15" s="10">
        <f t="shared" si="80"/>
        <v>54.654932174694316</v>
      </c>
      <c r="DW15" s="97">
        <v>10506.241151290038</v>
      </c>
      <c r="DX15" s="15">
        <f t="shared" si="81"/>
        <v>25.09323388385722</v>
      </c>
      <c r="DY15" s="10">
        <f t="shared" si="82"/>
        <v>10506.241151290038</v>
      </c>
      <c r="DZ15" s="450">
        <f t="shared" si="83"/>
        <v>3.581872948564222</v>
      </c>
      <c r="EA15" s="97">
        <v>1661.8152139513966</v>
      </c>
      <c r="EB15" s="10">
        <f t="shared" si="84"/>
        <v>3.9690996270644643</v>
      </c>
      <c r="EC15" s="87">
        <f t="shared" si="85"/>
        <v>10704.702047368868</v>
      </c>
      <c r="ED15" s="10">
        <f t="shared" si="86"/>
        <v>3.6495338469555834</v>
      </c>
      <c r="EE15" s="97">
        <v>1031.6638073188201</v>
      </c>
      <c r="EF15" s="10" t="e">
        <f t="shared" si="87"/>
        <v>#DIV/0!</v>
      </c>
      <c r="EG15" s="87">
        <f t="shared" si="88"/>
        <v>6955.653013246274</v>
      </c>
      <c r="EH15" s="10" t="e">
        <f t="shared" si="89"/>
        <v>#DIV/0!</v>
      </c>
      <c r="EI15" s="87">
        <v>83.648416809634057</v>
      </c>
      <c r="EJ15" s="87">
        <f t="shared" si="90"/>
        <v>0.19978689397975491</v>
      </c>
      <c r="EK15" s="87">
        <f t="shared" si="91"/>
        <v>1522.7513476850595</v>
      </c>
      <c r="EL15" s="87">
        <f t="shared" si="92"/>
        <v>0.51914874036496916</v>
      </c>
      <c r="EM15" s="87">
        <f t="shared" si="93"/>
        <v>41868.820893782169</v>
      </c>
      <c r="EN15" s="10">
        <f t="shared" si="94"/>
        <v>100</v>
      </c>
      <c r="EO15" s="87">
        <f t="shared" si="95"/>
        <v>293316.96858486894</v>
      </c>
      <c r="EP15" s="10">
        <f t="shared" si="96"/>
        <v>100</v>
      </c>
      <c r="EQ15" s="10">
        <f t="shared" si="97"/>
        <v>41868.820893782169</v>
      </c>
      <c r="ER15" s="87">
        <f t="shared" si="98"/>
        <v>293316.96858486894</v>
      </c>
      <c r="ES15" s="87">
        <f t="shared" si="48"/>
        <v>1.2681757047942501</v>
      </c>
      <c r="ET15" s="87">
        <f t="shared" si="49"/>
        <v>1.0276246832340765</v>
      </c>
      <c r="EU15" s="6"/>
      <c r="EV15" s="451">
        <f t="shared" si="99"/>
        <v>0</v>
      </c>
      <c r="EW15" s="451">
        <f>(SUM($EU$10:EU15))/(SUM($EM$10:EM15))</f>
        <v>0</v>
      </c>
      <c r="EX15" s="3"/>
    </row>
    <row r="16" spans="1:154">
      <c r="A16" s="16">
        <f>+Chem!A16</f>
        <v>46088</v>
      </c>
      <c r="B16" s="6" t="str">
        <f>+Chem!B16</f>
        <v xml:space="preserve">Toilet </v>
      </c>
      <c r="C16" s="16" t="str">
        <f>+Chem!C16</f>
        <v>15</v>
      </c>
      <c r="D16" s="8">
        <f>+Chem!D16</f>
        <v>46.632000000000005</v>
      </c>
      <c r="E16" s="7">
        <f>+Chem!E16</f>
        <v>38.323999999999998</v>
      </c>
      <c r="F16" s="7">
        <f t="shared" si="100"/>
        <v>323.75600000000003</v>
      </c>
      <c r="G16" s="97"/>
      <c r="H16" s="87">
        <f t="shared" si="0"/>
        <v>0</v>
      </c>
      <c r="I16" s="8">
        <f t="shared" si="50"/>
        <v>0</v>
      </c>
      <c r="J16" s="87">
        <f t="shared" si="1"/>
        <v>0</v>
      </c>
      <c r="K16" s="97"/>
      <c r="L16" s="87">
        <f t="shared" si="2"/>
        <v>0</v>
      </c>
      <c r="M16" s="87">
        <f t="shared" si="51"/>
        <v>0</v>
      </c>
      <c r="N16" s="87">
        <f t="shared" si="3"/>
        <v>0</v>
      </c>
      <c r="O16" s="97"/>
      <c r="P16" s="87">
        <f t="shared" si="4"/>
        <v>0</v>
      </c>
      <c r="Q16" s="87">
        <f t="shared" si="52"/>
        <v>0</v>
      </c>
      <c r="R16" s="87">
        <f t="shared" si="5"/>
        <v>0</v>
      </c>
      <c r="S16" s="97"/>
      <c r="T16" s="87">
        <f t="shared" si="6"/>
        <v>0</v>
      </c>
      <c r="U16" s="87">
        <f t="shared" si="53"/>
        <v>0</v>
      </c>
      <c r="V16" s="87">
        <f t="shared" si="7"/>
        <v>0</v>
      </c>
      <c r="W16" s="97"/>
      <c r="X16" s="87">
        <f t="shared" si="8"/>
        <v>0</v>
      </c>
      <c r="Y16" s="87">
        <f t="shared" si="54"/>
        <v>0</v>
      </c>
      <c r="Z16" s="87">
        <f t="shared" si="9"/>
        <v>0</v>
      </c>
      <c r="AA16" s="97"/>
      <c r="AB16" s="87">
        <f t="shared" si="10"/>
        <v>0</v>
      </c>
      <c r="AC16" s="87">
        <f t="shared" si="55"/>
        <v>0</v>
      </c>
      <c r="AD16" s="87">
        <f t="shared" si="11"/>
        <v>0</v>
      </c>
      <c r="AE16" s="97"/>
      <c r="AF16" s="87">
        <f t="shared" si="12"/>
        <v>0</v>
      </c>
      <c r="AG16" s="87">
        <f t="shared" si="56"/>
        <v>0</v>
      </c>
      <c r="AH16" s="87">
        <f t="shared" si="13"/>
        <v>0</v>
      </c>
      <c r="AI16" s="97"/>
      <c r="AJ16" s="87">
        <f t="shared" si="14"/>
        <v>0</v>
      </c>
      <c r="AK16" s="87">
        <f t="shared" si="57"/>
        <v>0</v>
      </c>
      <c r="AL16" s="87">
        <f t="shared" si="15"/>
        <v>0</v>
      </c>
      <c r="AM16" s="97"/>
      <c r="AN16" s="87">
        <f t="shared" si="16"/>
        <v>0</v>
      </c>
      <c r="AO16" s="87">
        <f t="shared" si="58"/>
        <v>0</v>
      </c>
      <c r="AP16" s="87">
        <f t="shared" si="17"/>
        <v>0</v>
      </c>
      <c r="AQ16" s="97"/>
      <c r="AR16" s="87">
        <f t="shared" si="18"/>
        <v>0</v>
      </c>
      <c r="AS16" s="87">
        <f t="shared" si="59"/>
        <v>0</v>
      </c>
      <c r="AT16" s="87">
        <f t="shared" si="19"/>
        <v>0</v>
      </c>
      <c r="AU16" s="247"/>
      <c r="AV16" s="87">
        <f t="shared" si="20"/>
        <v>0</v>
      </c>
      <c r="AW16" s="8">
        <f t="shared" si="60"/>
        <v>0</v>
      </c>
      <c r="AX16" s="87">
        <f t="shared" si="21"/>
        <v>0</v>
      </c>
      <c r="AY16" s="97"/>
      <c r="AZ16" s="87">
        <f t="shared" si="22"/>
        <v>0</v>
      </c>
      <c r="BA16" s="87">
        <f t="shared" si="61"/>
        <v>0</v>
      </c>
      <c r="BB16" s="87">
        <f t="shared" si="23"/>
        <v>0</v>
      </c>
      <c r="BC16" s="97"/>
      <c r="BD16" s="87">
        <f t="shared" si="24"/>
        <v>0</v>
      </c>
      <c r="BE16" s="87">
        <f t="shared" si="62"/>
        <v>0</v>
      </c>
      <c r="BF16" s="87">
        <f t="shared" si="25"/>
        <v>0</v>
      </c>
      <c r="BG16" s="97"/>
      <c r="BH16" s="87">
        <f t="shared" si="26"/>
        <v>0</v>
      </c>
      <c r="BI16" s="87">
        <f t="shared" si="63"/>
        <v>0</v>
      </c>
      <c r="BJ16" s="87">
        <f t="shared" si="27"/>
        <v>0</v>
      </c>
      <c r="BK16" s="97"/>
      <c r="BL16" s="87"/>
      <c r="BM16" s="87"/>
      <c r="BN16" s="87"/>
      <c r="BO16" s="97"/>
      <c r="BP16" s="87"/>
      <c r="BQ16" s="87"/>
      <c r="BR16" s="87"/>
      <c r="BS16" s="97"/>
      <c r="BT16" s="87"/>
      <c r="BU16" s="87"/>
      <c r="BV16" s="87"/>
      <c r="BW16" s="87">
        <f t="shared" si="64"/>
        <v>0</v>
      </c>
      <c r="BX16" s="87">
        <f t="shared" si="28"/>
        <v>0</v>
      </c>
      <c r="BY16" s="87">
        <f t="shared" si="65"/>
        <v>0</v>
      </c>
      <c r="BZ16" s="87">
        <f t="shared" si="29"/>
        <v>0</v>
      </c>
      <c r="CA16" s="97"/>
      <c r="CB16" s="10">
        <f t="shared" si="30"/>
        <v>0</v>
      </c>
      <c r="CC16" s="87"/>
      <c r="CD16" s="10">
        <f t="shared" si="31"/>
        <v>0</v>
      </c>
      <c r="CE16" s="97"/>
      <c r="CF16" s="87">
        <f t="shared" si="32"/>
        <v>0</v>
      </c>
      <c r="CG16" s="87">
        <f t="shared" si="66"/>
        <v>0</v>
      </c>
      <c r="CH16" s="87">
        <f t="shared" si="33"/>
        <v>0</v>
      </c>
      <c r="CI16" s="97"/>
      <c r="CJ16" s="87">
        <f t="shared" si="34"/>
        <v>0</v>
      </c>
      <c r="CK16" s="87">
        <f t="shared" si="67"/>
        <v>0</v>
      </c>
      <c r="CL16" s="87">
        <f t="shared" si="35"/>
        <v>0</v>
      </c>
      <c r="CM16" s="97"/>
      <c r="CN16" s="87">
        <f t="shared" si="36"/>
        <v>0</v>
      </c>
      <c r="CO16" s="87">
        <f t="shared" si="68"/>
        <v>0</v>
      </c>
      <c r="CP16" s="87">
        <f t="shared" si="37"/>
        <v>0</v>
      </c>
      <c r="CQ16" s="97"/>
      <c r="CR16" s="87">
        <f t="shared" si="38"/>
        <v>0</v>
      </c>
      <c r="CS16" s="87">
        <f t="shared" si="69"/>
        <v>0</v>
      </c>
      <c r="CT16" s="87">
        <f t="shared" si="39"/>
        <v>0</v>
      </c>
      <c r="CU16" s="97"/>
      <c r="CV16" s="87">
        <f t="shared" si="40"/>
        <v>0</v>
      </c>
      <c r="CW16" s="87">
        <f t="shared" si="70"/>
        <v>0</v>
      </c>
      <c r="CX16" s="87">
        <f t="shared" si="41"/>
        <v>0</v>
      </c>
      <c r="CY16" s="97"/>
      <c r="CZ16" s="87">
        <f t="shared" si="42"/>
        <v>0</v>
      </c>
      <c r="DA16" s="87">
        <f t="shared" si="71"/>
        <v>0</v>
      </c>
      <c r="DB16" s="87">
        <f t="shared" si="43"/>
        <v>0</v>
      </c>
      <c r="DC16" s="97"/>
      <c r="DD16" s="87">
        <f t="shared" si="44"/>
        <v>0</v>
      </c>
      <c r="DE16" s="87">
        <f t="shared" si="72"/>
        <v>0</v>
      </c>
      <c r="DF16" s="87">
        <f t="shared" si="45"/>
        <v>0</v>
      </c>
      <c r="DG16" s="97"/>
      <c r="DH16" s="87"/>
      <c r="DI16" s="87"/>
      <c r="DJ16" s="87"/>
      <c r="DK16" s="10">
        <f t="shared" si="73"/>
        <v>0</v>
      </c>
      <c r="DL16" s="87">
        <f t="shared" si="46"/>
        <v>0</v>
      </c>
      <c r="DM16" s="87">
        <f t="shared" si="74"/>
        <v>0</v>
      </c>
      <c r="DN16" s="87">
        <f t="shared" si="47"/>
        <v>0</v>
      </c>
      <c r="DO16" s="97">
        <v>6012.6821457165734</v>
      </c>
      <c r="DP16" s="10">
        <f t="shared" si="75"/>
        <v>14.839774446431026</v>
      </c>
      <c r="DQ16" s="87">
        <f t="shared" si="76"/>
        <v>49203.459412288314</v>
      </c>
      <c r="DR16" s="10">
        <f t="shared" si="77"/>
        <v>14.738886289048603</v>
      </c>
      <c r="DS16" s="97">
        <v>22306.549239391516</v>
      </c>
      <c r="DT16" s="15">
        <f t="shared" si="78"/>
        <v>55.054325402283034</v>
      </c>
      <c r="DU16" s="87">
        <f t="shared" si="79"/>
        <v>182618.73947632106</v>
      </c>
      <c r="DV16" s="10">
        <f t="shared" si="80"/>
        <v>54.703406377127109</v>
      </c>
      <c r="DW16" s="97">
        <v>9640.3522818254605</v>
      </c>
      <c r="DX16" s="15">
        <f t="shared" si="81"/>
        <v>23.793150873332412</v>
      </c>
      <c r="DY16" s="10">
        <f t="shared" si="82"/>
        <v>9640.3522818254605</v>
      </c>
      <c r="DZ16" s="450">
        <f t="shared" si="83"/>
        <v>2.8877655710669385</v>
      </c>
      <c r="EA16" s="97">
        <v>1356.8935148118496</v>
      </c>
      <c r="EB16" s="10">
        <f t="shared" si="84"/>
        <v>3.3489203685875393</v>
      </c>
      <c r="EC16" s="87">
        <f t="shared" si="85"/>
        <v>12061.595562180717</v>
      </c>
      <c r="ED16" s="10">
        <f t="shared" si="86"/>
        <v>3.6130485046967364</v>
      </c>
      <c r="EE16" s="97">
        <v>1200.8646917534029</v>
      </c>
      <c r="EF16" s="10" t="e">
        <f t="shared" si="87"/>
        <v>#DIV/0!</v>
      </c>
      <c r="EG16" s="87">
        <f t="shared" si="88"/>
        <v>8156.5177049996764</v>
      </c>
      <c r="EH16" s="10" t="e">
        <f t="shared" si="89"/>
        <v>#DIV/0!</v>
      </c>
      <c r="EI16" s="87"/>
      <c r="EJ16" s="87">
        <f t="shared" si="90"/>
        <v>0</v>
      </c>
      <c r="EK16" s="87">
        <f t="shared" si="91"/>
        <v>1522.7513476850595</v>
      </c>
      <c r="EL16" s="87">
        <f t="shared" si="92"/>
        <v>0.45613985740239271</v>
      </c>
      <c r="EM16" s="87">
        <f t="shared" si="93"/>
        <v>40517.341873498808</v>
      </c>
      <c r="EN16" s="10">
        <f t="shared" si="94"/>
        <v>100</v>
      </c>
      <c r="EO16" s="87">
        <f t="shared" si="95"/>
        <v>333834.31045836775</v>
      </c>
      <c r="EP16" s="10">
        <f t="shared" si="96"/>
        <v>100</v>
      </c>
      <c r="EQ16" s="10">
        <f t="shared" si="97"/>
        <v>40517.341873498808</v>
      </c>
      <c r="ER16" s="87">
        <f t="shared" si="98"/>
        <v>333834.31045836775</v>
      </c>
      <c r="ES16" s="87">
        <f t="shared" si="48"/>
        <v>1.0572315487292248</v>
      </c>
      <c r="ET16" s="87">
        <f t="shared" si="49"/>
        <v>1.0311293395593215</v>
      </c>
      <c r="EU16" s="6"/>
      <c r="EV16" s="451">
        <f t="shared" si="99"/>
        <v>0</v>
      </c>
      <c r="EW16" s="451">
        <f>(SUM($EU$10:EU16))/(SUM($EM$10:EM16))</f>
        <v>0</v>
      </c>
      <c r="EX16" s="3"/>
    </row>
    <row r="17" spans="1:159">
      <c r="A17" s="16">
        <f>+Chem!A17</f>
        <v>46089</v>
      </c>
      <c r="B17" s="6" t="str">
        <f>+Chem!B17</f>
        <v xml:space="preserve">Toilet </v>
      </c>
      <c r="C17" s="16" t="str">
        <f>+Chem!C17</f>
        <v>15</v>
      </c>
      <c r="D17" s="8">
        <f>+Chem!D17</f>
        <v>52.325999999999993</v>
      </c>
      <c r="E17" s="7">
        <f>+Chem!E17</f>
        <v>46.311999999999998</v>
      </c>
      <c r="F17" s="7">
        <f t="shared" si="100"/>
        <v>370.06800000000004</v>
      </c>
      <c r="G17" s="97"/>
      <c r="H17" s="87">
        <f t="shared" si="0"/>
        <v>0</v>
      </c>
      <c r="I17" s="8">
        <f t="shared" si="50"/>
        <v>0</v>
      </c>
      <c r="J17" s="87">
        <f t="shared" si="1"/>
        <v>0</v>
      </c>
      <c r="K17" s="97"/>
      <c r="L17" s="87">
        <f t="shared" si="2"/>
        <v>0</v>
      </c>
      <c r="M17" s="87">
        <f t="shared" si="51"/>
        <v>0</v>
      </c>
      <c r="N17" s="87">
        <f t="shared" si="3"/>
        <v>0</v>
      </c>
      <c r="O17" s="97"/>
      <c r="P17" s="87">
        <f t="shared" si="4"/>
        <v>0</v>
      </c>
      <c r="Q17" s="87">
        <f t="shared" si="52"/>
        <v>0</v>
      </c>
      <c r="R17" s="87">
        <f t="shared" si="5"/>
        <v>0</v>
      </c>
      <c r="S17" s="97"/>
      <c r="T17" s="87">
        <f t="shared" si="6"/>
        <v>0</v>
      </c>
      <c r="U17" s="87">
        <f t="shared" si="53"/>
        <v>0</v>
      </c>
      <c r="V17" s="87">
        <f t="shared" si="7"/>
        <v>0</v>
      </c>
      <c r="W17" s="97"/>
      <c r="X17" s="87">
        <f t="shared" si="8"/>
        <v>0</v>
      </c>
      <c r="Y17" s="87">
        <f t="shared" si="54"/>
        <v>0</v>
      </c>
      <c r="Z17" s="87">
        <f t="shared" si="9"/>
        <v>0</v>
      </c>
      <c r="AA17" s="97"/>
      <c r="AB17" s="87">
        <f t="shared" si="10"/>
        <v>0</v>
      </c>
      <c r="AC17" s="87">
        <f t="shared" si="55"/>
        <v>0</v>
      </c>
      <c r="AD17" s="87">
        <f t="shared" si="11"/>
        <v>0</v>
      </c>
      <c r="AE17" s="97"/>
      <c r="AF17" s="87">
        <f t="shared" si="12"/>
        <v>0</v>
      </c>
      <c r="AG17" s="87">
        <f t="shared" si="56"/>
        <v>0</v>
      </c>
      <c r="AH17" s="87">
        <f t="shared" si="13"/>
        <v>0</v>
      </c>
      <c r="AI17" s="97"/>
      <c r="AJ17" s="87">
        <f t="shared" si="14"/>
        <v>0</v>
      </c>
      <c r="AK17" s="87">
        <f t="shared" si="57"/>
        <v>0</v>
      </c>
      <c r="AL17" s="87">
        <f t="shared" si="15"/>
        <v>0</v>
      </c>
      <c r="AM17" s="97"/>
      <c r="AN17" s="87">
        <f t="shared" si="16"/>
        <v>0</v>
      </c>
      <c r="AO17" s="87">
        <f t="shared" si="58"/>
        <v>0</v>
      </c>
      <c r="AP17" s="87">
        <f t="shared" si="17"/>
        <v>0</v>
      </c>
      <c r="AQ17" s="97"/>
      <c r="AR17" s="87">
        <f t="shared" si="18"/>
        <v>0</v>
      </c>
      <c r="AS17" s="87">
        <f t="shared" si="59"/>
        <v>0</v>
      </c>
      <c r="AT17" s="87">
        <f t="shared" si="19"/>
        <v>0</v>
      </c>
      <c r="AU17" s="247"/>
      <c r="AV17" s="87">
        <f t="shared" si="20"/>
        <v>0</v>
      </c>
      <c r="AW17" s="8">
        <f t="shared" si="60"/>
        <v>0</v>
      </c>
      <c r="AX17" s="87">
        <f t="shared" si="21"/>
        <v>0</v>
      </c>
      <c r="AY17" s="97"/>
      <c r="AZ17" s="87">
        <f t="shared" si="22"/>
        <v>0</v>
      </c>
      <c r="BA17" s="87">
        <f t="shared" si="61"/>
        <v>0</v>
      </c>
      <c r="BB17" s="87">
        <f t="shared" si="23"/>
        <v>0</v>
      </c>
      <c r="BC17" s="97"/>
      <c r="BD17" s="87">
        <f t="shared" si="24"/>
        <v>0</v>
      </c>
      <c r="BE17" s="87">
        <f t="shared" si="62"/>
        <v>0</v>
      </c>
      <c r="BF17" s="87">
        <f t="shared" si="25"/>
        <v>0</v>
      </c>
      <c r="BG17" s="97"/>
      <c r="BH17" s="87">
        <f t="shared" si="26"/>
        <v>0</v>
      </c>
      <c r="BI17" s="87">
        <f t="shared" si="63"/>
        <v>0</v>
      </c>
      <c r="BJ17" s="87">
        <f t="shared" si="27"/>
        <v>0</v>
      </c>
      <c r="BK17" s="97"/>
      <c r="BL17" s="87"/>
      <c r="BM17" s="87"/>
      <c r="BN17" s="87"/>
      <c r="BO17" s="97"/>
      <c r="BP17" s="87"/>
      <c r="BQ17" s="87"/>
      <c r="BR17" s="87"/>
      <c r="BS17" s="97"/>
      <c r="BT17" s="87"/>
      <c r="BU17" s="87"/>
      <c r="BV17" s="87"/>
      <c r="BW17" s="87">
        <f t="shared" si="64"/>
        <v>0</v>
      </c>
      <c r="BX17" s="87">
        <f t="shared" si="28"/>
        <v>0</v>
      </c>
      <c r="BY17" s="87">
        <f t="shared" si="65"/>
        <v>0</v>
      </c>
      <c r="BZ17" s="87">
        <f t="shared" si="29"/>
        <v>0</v>
      </c>
      <c r="CA17" s="97"/>
      <c r="CB17" s="10">
        <f t="shared" si="30"/>
        <v>0</v>
      </c>
      <c r="CC17" s="87"/>
      <c r="CD17" s="10">
        <f t="shared" si="31"/>
        <v>0</v>
      </c>
      <c r="CE17" s="97"/>
      <c r="CF17" s="87">
        <f t="shared" si="32"/>
        <v>0</v>
      </c>
      <c r="CG17" s="87">
        <f t="shared" si="66"/>
        <v>0</v>
      </c>
      <c r="CH17" s="87">
        <f t="shared" si="33"/>
        <v>0</v>
      </c>
      <c r="CI17" s="97"/>
      <c r="CJ17" s="87">
        <f t="shared" si="34"/>
        <v>0</v>
      </c>
      <c r="CK17" s="87">
        <f t="shared" si="67"/>
        <v>0</v>
      </c>
      <c r="CL17" s="87">
        <f t="shared" si="35"/>
        <v>0</v>
      </c>
      <c r="CM17" s="97"/>
      <c r="CN17" s="87">
        <f t="shared" si="36"/>
        <v>0</v>
      </c>
      <c r="CO17" s="87">
        <f t="shared" si="68"/>
        <v>0</v>
      </c>
      <c r="CP17" s="87">
        <f t="shared" si="37"/>
        <v>0</v>
      </c>
      <c r="CQ17" s="97"/>
      <c r="CR17" s="87">
        <f t="shared" si="38"/>
        <v>0</v>
      </c>
      <c r="CS17" s="87">
        <f t="shared" si="69"/>
        <v>0</v>
      </c>
      <c r="CT17" s="87">
        <f t="shared" si="39"/>
        <v>0</v>
      </c>
      <c r="CU17" s="97"/>
      <c r="CV17" s="87">
        <f t="shared" si="40"/>
        <v>0</v>
      </c>
      <c r="CW17" s="87">
        <f t="shared" si="70"/>
        <v>0</v>
      </c>
      <c r="CX17" s="87">
        <f t="shared" si="41"/>
        <v>0</v>
      </c>
      <c r="CY17" s="97"/>
      <c r="CZ17" s="87">
        <f t="shared" si="42"/>
        <v>0</v>
      </c>
      <c r="DA17" s="87">
        <f t="shared" si="71"/>
        <v>0</v>
      </c>
      <c r="DB17" s="87">
        <f t="shared" si="43"/>
        <v>0</v>
      </c>
      <c r="DC17" s="97"/>
      <c r="DD17" s="87">
        <f t="shared" si="44"/>
        <v>0</v>
      </c>
      <c r="DE17" s="87">
        <f t="shared" si="72"/>
        <v>0</v>
      </c>
      <c r="DF17" s="87">
        <f t="shared" si="45"/>
        <v>0</v>
      </c>
      <c r="DG17" s="97"/>
      <c r="DH17" s="87"/>
      <c r="DI17" s="87"/>
      <c r="DJ17" s="87"/>
      <c r="DK17" s="10">
        <f t="shared" si="73"/>
        <v>0</v>
      </c>
      <c r="DL17" s="87">
        <f t="shared" si="46"/>
        <v>0</v>
      </c>
      <c r="DM17" s="87">
        <f t="shared" si="74"/>
        <v>0</v>
      </c>
      <c r="DN17" s="87">
        <f t="shared" si="47"/>
        <v>0</v>
      </c>
      <c r="DO17" s="97">
        <v>8873.7009233072695</v>
      </c>
      <c r="DP17" s="10">
        <f t="shared" si="75"/>
        <v>15.275826543036434</v>
      </c>
      <c r="DQ17" s="87">
        <f t="shared" si="76"/>
        <v>58077.160335595581</v>
      </c>
      <c r="DR17" s="10">
        <f t="shared" si="77"/>
        <v>14.81846997022325</v>
      </c>
      <c r="DS17" s="97">
        <v>32094.397146897354</v>
      </c>
      <c r="DT17" s="15">
        <f t="shared" si="78"/>
        <v>55.249601948112762</v>
      </c>
      <c r="DU17" s="87">
        <f t="shared" si="79"/>
        <v>214713.13662321842</v>
      </c>
      <c r="DV17" s="10">
        <f t="shared" si="80"/>
        <v>54.784361853751349</v>
      </c>
      <c r="DW17" s="97">
        <v>13919.904238063551</v>
      </c>
      <c r="DX17" s="15">
        <f t="shared" si="81"/>
        <v>23.962723611501357</v>
      </c>
      <c r="DY17" s="10">
        <f t="shared" si="82"/>
        <v>13919.904238063551</v>
      </c>
      <c r="DZ17" s="450">
        <f t="shared" si="83"/>
        <v>3.5516833424395893</v>
      </c>
      <c r="EA17" s="97">
        <v>1621.3138412909666</v>
      </c>
      <c r="EB17" s="10">
        <f t="shared" si="84"/>
        <v>2.7910461740189194</v>
      </c>
      <c r="EC17" s="87">
        <f t="shared" si="85"/>
        <v>13682.909403471684</v>
      </c>
      <c r="ED17" s="10">
        <f t="shared" si="86"/>
        <v>3.491213773693385</v>
      </c>
      <c r="EE17" s="97">
        <v>1580.508962734986</v>
      </c>
      <c r="EF17" s="10" t="e">
        <f t="shared" si="87"/>
        <v>#DIV/0!</v>
      </c>
      <c r="EG17" s="87">
        <f t="shared" si="88"/>
        <v>9737.0266677346626</v>
      </c>
      <c r="EH17" s="10" t="e">
        <f t="shared" si="89"/>
        <v>#DIV/0!</v>
      </c>
      <c r="EI17" s="87"/>
      <c r="EJ17" s="87">
        <f t="shared" si="90"/>
        <v>0</v>
      </c>
      <c r="EK17" s="87">
        <f t="shared" si="91"/>
        <v>1522.7513476850595</v>
      </c>
      <c r="EL17" s="87">
        <f t="shared" si="92"/>
        <v>0.38853216974449778</v>
      </c>
      <c r="EM17" s="87">
        <f t="shared" si="93"/>
        <v>58089.825112294129</v>
      </c>
      <c r="EN17" s="10">
        <f t="shared" si="94"/>
        <v>100</v>
      </c>
      <c r="EO17" s="87">
        <f t="shared" si="95"/>
        <v>391924.13557066186</v>
      </c>
      <c r="EP17" s="10">
        <f t="shared" si="96"/>
        <v>100</v>
      </c>
      <c r="EQ17" s="10">
        <f t="shared" si="97"/>
        <v>58089.825112294129</v>
      </c>
      <c r="ER17" s="87">
        <f t="shared" si="98"/>
        <v>391924.13557066186</v>
      </c>
      <c r="ES17" s="87">
        <f t="shared" si="48"/>
        <v>1.2543147588593482</v>
      </c>
      <c r="ET17" s="87">
        <f t="shared" si="49"/>
        <v>1.0590597824471768</v>
      </c>
      <c r="EU17" s="6"/>
      <c r="EV17" s="451">
        <f t="shared" si="99"/>
        <v>0</v>
      </c>
      <c r="EW17" s="451">
        <f>(SUM($EU$10:EU17))/(SUM($EM$10:EM17))</f>
        <v>0</v>
      </c>
      <c r="EX17" s="3"/>
    </row>
    <row r="18" spans="1:159">
      <c r="A18" s="16">
        <f>+Chem!A18</f>
        <v>46090</v>
      </c>
      <c r="B18" s="6" t="str">
        <f>+Chem!B18</f>
        <v xml:space="preserve">Toilet </v>
      </c>
      <c r="C18" s="16" t="str">
        <f>+Chem!C18</f>
        <v>15/14,5</v>
      </c>
      <c r="D18" s="8">
        <f>+Chem!D18</f>
        <v>55.759</v>
      </c>
      <c r="E18" s="7">
        <f>+Chem!E18</f>
        <v>66.956000000000003</v>
      </c>
      <c r="F18" s="7">
        <f t="shared" si="100"/>
        <v>437.02400000000006</v>
      </c>
      <c r="G18" s="96"/>
      <c r="H18" s="10">
        <f t="shared" si="0"/>
        <v>0</v>
      </c>
      <c r="I18" s="8">
        <f t="shared" si="50"/>
        <v>0</v>
      </c>
      <c r="J18" s="10">
        <f t="shared" si="1"/>
        <v>0</v>
      </c>
      <c r="K18" s="96"/>
      <c r="L18" s="10">
        <f t="shared" si="2"/>
        <v>0</v>
      </c>
      <c r="M18" s="10">
        <f t="shared" si="51"/>
        <v>0</v>
      </c>
      <c r="N18" s="10">
        <f t="shared" si="3"/>
        <v>0</v>
      </c>
      <c r="O18" s="96"/>
      <c r="P18" s="10">
        <f t="shared" si="4"/>
        <v>0</v>
      </c>
      <c r="Q18" s="10">
        <f t="shared" si="52"/>
        <v>0</v>
      </c>
      <c r="R18" s="10">
        <f t="shared" si="5"/>
        <v>0</v>
      </c>
      <c r="S18" s="96"/>
      <c r="T18" s="10">
        <f t="shared" si="6"/>
        <v>0</v>
      </c>
      <c r="U18" s="10">
        <f t="shared" si="53"/>
        <v>0</v>
      </c>
      <c r="V18" s="10">
        <f t="shared" si="7"/>
        <v>0</v>
      </c>
      <c r="W18" s="96"/>
      <c r="X18" s="10">
        <f t="shared" si="8"/>
        <v>0</v>
      </c>
      <c r="Y18" s="10">
        <f t="shared" si="54"/>
        <v>0</v>
      </c>
      <c r="Z18" s="10">
        <f t="shared" si="9"/>
        <v>0</v>
      </c>
      <c r="AA18" s="96"/>
      <c r="AB18" s="10">
        <f t="shared" si="10"/>
        <v>0</v>
      </c>
      <c r="AC18" s="10">
        <f t="shared" si="55"/>
        <v>0</v>
      </c>
      <c r="AD18" s="10">
        <f t="shared" si="11"/>
        <v>0</v>
      </c>
      <c r="AE18" s="96"/>
      <c r="AF18" s="10">
        <f t="shared" si="12"/>
        <v>0</v>
      </c>
      <c r="AG18" s="10">
        <f t="shared" si="56"/>
        <v>0</v>
      </c>
      <c r="AH18" s="10">
        <f t="shared" si="13"/>
        <v>0</v>
      </c>
      <c r="AI18" s="96"/>
      <c r="AJ18" s="10">
        <f t="shared" si="14"/>
        <v>0</v>
      </c>
      <c r="AK18" s="10">
        <f t="shared" si="57"/>
        <v>0</v>
      </c>
      <c r="AL18" s="10">
        <f t="shared" si="15"/>
        <v>0</v>
      </c>
      <c r="AM18" s="96"/>
      <c r="AN18" s="10">
        <f t="shared" si="16"/>
        <v>0</v>
      </c>
      <c r="AO18" s="10">
        <f t="shared" si="58"/>
        <v>0</v>
      </c>
      <c r="AP18" s="10">
        <f t="shared" si="17"/>
        <v>0</v>
      </c>
      <c r="AQ18" s="96"/>
      <c r="AR18" s="10">
        <f t="shared" si="18"/>
        <v>0</v>
      </c>
      <c r="AS18" s="10">
        <f t="shared" si="59"/>
        <v>0</v>
      </c>
      <c r="AT18" s="10">
        <f t="shared" si="19"/>
        <v>0</v>
      </c>
      <c r="AU18" s="247"/>
      <c r="AV18" s="10">
        <f t="shared" si="20"/>
        <v>0</v>
      </c>
      <c r="AW18" s="8">
        <f t="shared" si="60"/>
        <v>0</v>
      </c>
      <c r="AX18" s="10">
        <f t="shared" si="21"/>
        <v>0</v>
      </c>
      <c r="AY18" s="96"/>
      <c r="AZ18" s="10">
        <f t="shared" si="22"/>
        <v>0</v>
      </c>
      <c r="BA18" s="10">
        <f t="shared" si="61"/>
        <v>0</v>
      </c>
      <c r="BB18" s="10">
        <f t="shared" si="23"/>
        <v>0</v>
      </c>
      <c r="BC18" s="96"/>
      <c r="BD18" s="10">
        <f t="shared" si="24"/>
        <v>0</v>
      </c>
      <c r="BE18" s="10">
        <f t="shared" si="62"/>
        <v>0</v>
      </c>
      <c r="BF18" s="10">
        <f t="shared" si="25"/>
        <v>0</v>
      </c>
      <c r="BG18" s="96"/>
      <c r="BH18" s="10">
        <f t="shared" si="26"/>
        <v>0</v>
      </c>
      <c r="BI18" s="10">
        <f t="shared" si="63"/>
        <v>0</v>
      </c>
      <c r="BJ18" s="10">
        <f t="shared" si="27"/>
        <v>0</v>
      </c>
      <c r="BK18" s="96"/>
      <c r="BL18" s="10"/>
      <c r="BM18" s="10"/>
      <c r="BN18" s="10"/>
      <c r="BO18" s="96"/>
      <c r="BP18" s="10"/>
      <c r="BQ18" s="10"/>
      <c r="BR18" s="10"/>
      <c r="BS18" s="96"/>
      <c r="BT18" s="10"/>
      <c r="BU18" s="10"/>
      <c r="BV18" s="10"/>
      <c r="BW18" s="10">
        <f t="shared" si="64"/>
        <v>0</v>
      </c>
      <c r="BX18" s="10">
        <f t="shared" si="28"/>
        <v>0</v>
      </c>
      <c r="BY18" s="10">
        <f t="shared" si="65"/>
        <v>0</v>
      </c>
      <c r="BZ18" s="10">
        <f t="shared" si="29"/>
        <v>0</v>
      </c>
      <c r="CA18" s="96"/>
      <c r="CB18" s="10">
        <f t="shared" si="30"/>
        <v>0</v>
      </c>
      <c r="CC18" s="10"/>
      <c r="CD18" s="10">
        <f t="shared" si="31"/>
        <v>0</v>
      </c>
      <c r="CE18" s="96"/>
      <c r="CF18" s="10">
        <f t="shared" si="32"/>
        <v>0</v>
      </c>
      <c r="CG18" s="10">
        <f t="shared" si="66"/>
        <v>0</v>
      </c>
      <c r="CH18" s="10">
        <f t="shared" si="33"/>
        <v>0</v>
      </c>
      <c r="CI18" s="96"/>
      <c r="CJ18" s="10">
        <f t="shared" si="34"/>
        <v>0</v>
      </c>
      <c r="CK18" s="10">
        <f t="shared" si="67"/>
        <v>0</v>
      </c>
      <c r="CL18" s="10">
        <f t="shared" si="35"/>
        <v>0</v>
      </c>
      <c r="CM18" s="96"/>
      <c r="CN18" s="10">
        <f t="shared" si="36"/>
        <v>0</v>
      </c>
      <c r="CO18" s="10">
        <f t="shared" si="68"/>
        <v>0</v>
      </c>
      <c r="CP18" s="10">
        <f t="shared" si="37"/>
        <v>0</v>
      </c>
      <c r="CQ18" s="96"/>
      <c r="CR18" s="10">
        <f t="shared" si="38"/>
        <v>0</v>
      </c>
      <c r="CS18" s="10">
        <f t="shared" si="69"/>
        <v>0</v>
      </c>
      <c r="CT18" s="10">
        <f t="shared" si="39"/>
        <v>0</v>
      </c>
      <c r="CU18" s="96"/>
      <c r="CV18" s="10">
        <f t="shared" si="40"/>
        <v>0</v>
      </c>
      <c r="CW18" s="10">
        <f t="shared" si="70"/>
        <v>0</v>
      </c>
      <c r="CX18" s="10">
        <f t="shared" si="41"/>
        <v>0</v>
      </c>
      <c r="CY18" s="96"/>
      <c r="CZ18" s="10">
        <f t="shared" si="42"/>
        <v>0</v>
      </c>
      <c r="DA18" s="10">
        <f t="shared" si="71"/>
        <v>0</v>
      </c>
      <c r="DB18" s="10">
        <f t="shared" si="43"/>
        <v>0</v>
      </c>
      <c r="DC18" s="96"/>
      <c r="DD18" s="10">
        <f t="shared" si="44"/>
        <v>0</v>
      </c>
      <c r="DE18" s="10">
        <f t="shared" si="72"/>
        <v>0</v>
      </c>
      <c r="DF18" s="10">
        <f t="shared" si="45"/>
        <v>0</v>
      </c>
      <c r="DG18" s="96"/>
      <c r="DH18" s="10"/>
      <c r="DI18" s="10"/>
      <c r="DJ18" s="10"/>
      <c r="DK18" s="10">
        <f t="shared" si="73"/>
        <v>0</v>
      </c>
      <c r="DL18" s="10">
        <f t="shared" si="46"/>
        <v>0</v>
      </c>
      <c r="DM18" s="10">
        <f t="shared" si="74"/>
        <v>0</v>
      </c>
      <c r="DN18" s="10">
        <f t="shared" si="47"/>
        <v>0</v>
      </c>
      <c r="DO18" s="96">
        <v>7411.7335581951438</v>
      </c>
      <c r="DP18" s="10">
        <f t="shared" si="75"/>
        <v>14.342650374954113</v>
      </c>
      <c r="DQ18" s="10">
        <f t="shared" si="76"/>
        <v>65488.893893790722</v>
      </c>
      <c r="DR18" s="10">
        <f t="shared" si="77"/>
        <v>14.763040482441264</v>
      </c>
      <c r="DS18" s="96">
        <v>27199.842677734792</v>
      </c>
      <c r="DT18" s="15">
        <f t="shared" si="78"/>
        <v>52.635167025014418</v>
      </c>
      <c r="DU18" s="10">
        <f t="shared" si="79"/>
        <v>241912.97930095321</v>
      </c>
      <c r="DV18" s="10">
        <f t="shared" si="80"/>
        <v>54.533996442816161</v>
      </c>
      <c r="DW18" s="96">
        <v>13910.211464064232</v>
      </c>
      <c r="DX18" s="15">
        <f t="shared" si="81"/>
        <v>26.918034506266718</v>
      </c>
      <c r="DY18" s="10">
        <f t="shared" si="82"/>
        <v>13910.211464064232</v>
      </c>
      <c r="DZ18" s="450">
        <f t="shared" si="83"/>
        <v>3.1357532972895363</v>
      </c>
      <c r="EA18" s="96">
        <v>2067.6975155038008</v>
      </c>
      <c r="EB18" s="10">
        <f t="shared" si="84"/>
        <v>4.0012585872358279</v>
      </c>
      <c r="EC18" s="10">
        <f t="shared" si="85"/>
        <v>15750.606918975485</v>
      </c>
      <c r="ED18" s="10">
        <f t="shared" si="86"/>
        <v>3.5506302480076157</v>
      </c>
      <c r="EE18" s="96">
        <v>1086.6929275452478</v>
      </c>
      <c r="EF18" s="10" t="e">
        <f t="shared" si="87"/>
        <v>#DIV/0!</v>
      </c>
      <c r="EG18" s="10">
        <f t="shared" si="88"/>
        <v>10823.71959527991</v>
      </c>
      <c r="EH18" s="10" t="e">
        <f t="shared" si="89"/>
        <v>#DIV/0!</v>
      </c>
      <c r="EI18" s="87"/>
      <c r="EJ18" s="87">
        <f t="shared" si="90"/>
        <v>0</v>
      </c>
      <c r="EK18" s="10">
        <f t="shared" si="91"/>
        <v>1522.7513476850595</v>
      </c>
      <c r="EL18" s="87">
        <f t="shared" si="92"/>
        <v>0.34327102587845038</v>
      </c>
      <c r="EM18" s="87">
        <f t="shared" si="93"/>
        <v>51676.178143043217</v>
      </c>
      <c r="EN18" s="10">
        <f t="shared" si="94"/>
        <v>100</v>
      </c>
      <c r="EO18" s="10">
        <f t="shared" si="95"/>
        <v>443600.31371370505</v>
      </c>
      <c r="EP18" s="10">
        <f t="shared" si="96"/>
        <v>100</v>
      </c>
      <c r="EQ18" s="10">
        <f t="shared" si="97"/>
        <v>51676.178143043217</v>
      </c>
      <c r="ER18" s="10">
        <f t="shared" si="98"/>
        <v>443600.31371370505</v>
      </c>
      <c r="ES18" s="10">
        <f t="shared" si="48"/>
        <v>0.77179309013446462</v>
      </c>
      <c r="ET18" s="10">
        <f t="shared" si="49"/>
        <v>1.0150479463684032</v>
      </c>
      <c r="EU18" s="6"/>
      <c r="EV18" s="451">
        <f t="shared" si="99"/>
        <v>0</v>
      </c>
      <c r="EW18" s="451">
        <f>(SUM($EU$10:EU18))/(SUM($EM$10:EM18))</f>
        <v>0</v>
      </c>
      <c r="EX18" s="3"/>
    </row>
    <row r="19" spans="1:159">
      <c r="A19" s="16">
        <f>+Chem!A19</f>
        <v>46091</v>
      </c>
      <c r="B19" s="6" t="str">
        <f>+Chem!B19</f>
        <v xml:space="preserve">Toilet </v>
      </c>
      <c r="C19" s="16" t="str">
        <f>+Chem!C19</f>
        <v>14,5</v>
      </c>
      <c r="D19" s="8">
        <f>+Chem!D19</f>
        <v>57.141999999999996</v>
      </c>
      <c r="E19" s="7">
        <f>+Chem!E19</f>
        <v>55.335000000000001</v>
      </c>
      <c r="F19" s="7">
        <f t="shared" si="100"/>
        <v>492.35900000000004</v>
      </c>
      <c r="G19" s="96"/>
      <c r="H19" s="10">
        <f t="shared" si="0"/>
        <v>0</v>
      </c>
      <c r="I19" s="8">
        <f t="shared" si="50"/>
        <v>0</v>
      </c>
      <c r="J19" s="10">
        <f t="shared" si="1"/>
        <v>0</v>
      </c>
      <c r="K19" s="96"/>
      <c r="L19" s="10">
        <f t="shared" si="2"/>
        <v>0</v>
      </c>
      <c r="M19" s="10">
        <f t="shared" si="51"/>
        <v>0</v>
      </c>
      <c r="N19" s="10">
        <f t="shared" si="3"/>
        <v>0</v>
      </c>
      <c r="O19" s="96"/>
      <c r="P19" s="10">
        <f t="shared" si="4"/>
        <v>0</v>
      </c>
      <c r="Q19" s="10">
        <f t="shared" si="52"/>
        <v>0</v>
      </c>
      <c r="R19" s="10">
        <f t="shared" si="5"/>
        <v>0</v>
      </c>
      <c r="S19" s="96"/>
      <c r="T19" s="10">
        <f t="shared" si="6"/>
        <v>0</v>
      </c>
      <c r="U19" s="10">
        <f t="shared" si="53"/>
        <v>0</v>
      </c>
      <c r="V19" s="10">
        <f t="shared" si="7"/>
        <v>0</v>
      </c>
      <c r="W19" s="96"/>
      <c r="X19" s="10">
        <f t="shared" si="8"/>
        <v>0</v>
      </c>
      <c r="Y19" s="10">
        <f t="shared" si="54"/>
        <v>0</v>
      </c>
      <c r="Z19" s="10">
        <f t="shared" si="9"/>
        <v>0</v>
      </c>
      <c r="AA19" s="96"/>
      <c r="AB19" s="10">
        <f t="shared" si="10"/>
        <v>0</v>
      </c>
      <c r="AC19" s="10">
        <f t="shared" si="55"/>
        <v>0</v>
      </c>
      <c r="AD19" s="10">
        <f t="shared" si="11"/>
        <v>0</v>
      </c>
      <c r="AE19" s="96"/>
      <c r="AF19" s="10">
        <f t="shared" si="12"/>
        <v>0</v>
      </c>
      <c r="AG19" s="10">
        <f t="shared" si="56"/>
        <v>0</v>
      </c>
      <c r="AH19" s="10">
        <f t="shared" si="13"/>
        <v>0</v>
      </c>
      <c r="AI19" s="96"/>
      <c r="AJ19" s="10">
        <f t="shared" si="14"/>
        <v>0</v>
      </c>
      <c r="AK19" s="10">
        <f t="shared" si="57"/>
        <v>0</v>
      </c>
      <c r="AL19" s="10">
        <f t="shared" si="15"/>
        <v>0</v>
      </c>
      <c r="AM19" s="96"/>
      <c r="AN19" s="10">
        <f t="shared" si="16"/>
        <v>0</v>
      </c>
      <c r="AO19" s="10">
        <f t="shared" si="58"/>
        <v>0</v>
      </c>
      <c r="AP19" s="10">
        <f t="shared" si="17"/>
        <v>0</v>
      </c>
      <c r="AQ19" s="96"/>
      <c r="AR19" s="10">
        <f t="shared" si="18"/>
        <v>0</v>
      </c>
      <c r="AS19" s="10">
        <f t="shared" si="59"/>
        <v>0</v>
      </c>
      <c r="AT19" s="10">
        <f t="shared" si="19"/>
        <v>0</v>
      </c>
      <c r="AU19" s="247"/>
      <c r="AV19" s="10">
        <f t="shared" si="20"/>
        <v>0</v>
      </c>
      <c r="AW19" s="8">
        <f t="shared" si="60"/>
        <v>0</v>
      </c>
      <c r="AX19" s="10">
        <f t="shared" si="21"/>
        <v>0</v>
      </c>
      <c r="AY19" s="96"/>
      <c r="AZ19" s="10">
        <f t="shared" si="22"/>
        <v>0</v>
      </c>
      <c r="BA19" s="10">
        <f t="shared" si="61"/>
        <v>0</v>
      </c>
      <c r="BB19" s="10">
        <f t="shared" si="23"/>
        <v>0</v>
      </c>
      <c r="BC19" s="96"/>
      <c r="BD19" s="10">
        <f t="shared" si="24"/>
        <v>0</v>
      </c>
      <c r="BE19" s="10">
        <f t="shared" si="62"/>
        <v>0</v>
      </c>
      <c r="BF19" s="10">
        <f t="shared" si="25"/>
        <v>0</v>
      </c>
      <c r="BG19" s="96"/>
      <c r="BH19" s="10">
        <f t="shared" si="26"/>
        <v>0</v>
      </c>
      <c r="BI19" s="10">
        <f t="shared" si="63"/>
        <v>0</v>
      </c>
      <c r="BJ19" s="10">
        <f t="shared" si="27"/>
        <v>0</v>
      </c>
      <c r="BK19" s="96"/>
      <c r="BL19" s="10"/>
      <c r="BM19" s="10"/>
      <c r="BN19" s="10"/>
      <c r="BO19" s="96"/>
      <c r="BP19" s="10"/>
      <c r="BQ19" s="10"/>
      <c r="BR19" s="10"/>
      <c r="BS19" s="96"/>
      <c r="BT19" s="10"/>
      <c r="BU19" s="10"/>
      <c r="BV19" s="10"/>
      <c r="BW19" s="10">
        <f t="shared" si="64"/>
        <v>0</v>
      </c>
      <c r="BX19" s="10">
        <f t="shared" si="28"/>
        <v>0</v>
      </c>
      <c r="BY19" s="10">
        <f t="shared" si="65"/>
        <v>0</v>
      </c>
      <c r="BZ19" s="10">
        <f t="shared" si="29"/>
        <v>0</v>
      </c>
      <c r="CA19" s="96"/>
      <c r="CB19" s="10">
        <f t="shared" si="30"/>
        <v>0</v>
      </c>
      <c r="CC19" s="10"/>
      <c r="CD19" s="10">
        <f t="shared" si="31"/>
        <v>0</v>
      </c>
      <c r="CE19" s="96"/>
      <c r="CF19" s="10">
        <f t="shared" si="32"/>
        <v>0</v>
      </c>
      <c r="CG19" s="10">
        <f t="shared" si="66"/>
        <v>0</v>
      </c>
      <c r="CH19" s="10">
        <f t="shared" si="33"/>
        <v>0</v>
      </c>
      <c r="CI19" s="96"/>
      <c r="CJ19" s="10">
        <f t="shared" si="34"/>
        <v>0</v>
      </c>
      <c r="CK19" s="10">
        <f t="shared" si="67"/>
        <v>0</v>
      </c>
      <c r="CL19" s="10">
        <f t="shared" si="35"/>
        <v>0</v>
      </c>
      <c r="CM19" s="96"/>
      <c r="CN19" s="10">
        <f t="shared" si="36"/>
        <v>0</v>
      </c>
      <c r="CO19" s="10">
        <f t="shared" si="68"/>
        <v>0</v>
      </c>
      <c r="CP19" s="10">
        <f t="shared" si="37"/>
        <v>0</v>
      </c>
      <c r="CQ19" s="96"/>
      <c r="CR19" s="10">
        <f t="shared" si="38"/>
        <v>0</v>
      </c>
      <c r="CS19" s="10">
        <f t="shared" si="69"/>
        <v>0</v>
      </c>
      <c r="CT19" s="10">
        <f t="shared" si="39"/>
        <v>0</v>
      </c>
      <c r="CU19" s="96"/>
      <c r="CV19" s="10">
        <f t="shared" si="40"/>
        <v>0</v>
      </c>
      <c r="CW19" s="10">
        <f t="shared" si="70"/>
        <v>0</v>
      </c>
      <c r="CX19" s="10">
        <f t="shared" si="41"/>
        <v>0</v>
      </c>
      <c r="CY19" s="96"/>
      <c r="CZ19" s="10">
        <f t="shared" si="42"/>
        <v>0</v>
      </c>
      <c r="DA19" s="10">
        <f t="shared" si="71"/>
        <v>0</v>
      </c>
      <c r="DB19" s="10">
        <f t="shared" si="43"/>
        <v>0</v>
      </c>
      <c r="DC19" s="96"/>
      <c r="DD19" s="10">
        <f t="shared" si="44"/>
        <v>0</v>
      </c>
      <c r="DE19" s="10">
        <f t="shared" si="72"/>
        <v>0</v>
      </c>
      <c r="DF19" s="10">
        <f t="shared" si="45"/>
        <v>0</v>
      </c>
      <c r="DG19" s="96"/>
      <c r="DH19" s="10"/>
      <c r="DI19" s="10"/>
      <c r="DJ19" s="10"/>
      <c r="DK19" s="10">
        <f t="shared" si="73"/>
        <v>0</v>
      </c>
      <c r="DL19" s="10">
        <f t="shared" si="46"/>
        <v>0</v>
      </c>
      <c r="DM19" s="10">
        <f t="shared" si="74"/>
        <v>0</v>
      </c>
      <c r="DN19" s="10">
        <f t="shared" si="47"/>
        <v>0</v>
      </c>
      <c r="DO19" s="96">
        <v>8650.8126530282789</v>
      </c>
      <c r="DP19" s="10">
        <f t="shared" si="75"/>
        <v>14.945327371729606</v>
      </c>
      <c r="DQ19" s="10">
        <f t="shared" si="76"/>
        <v>74139.706546818998</v>
      </c>
      <c r="DR19" s="10">
        <f t="shared" si="77"/>
        <v>14.784080706970817</v>
      </c>
      <c r="DS19" s="96">
        <v>32133.054108108594</v>
      </c>
      <c r="DT19" s="15">
        <f t="shared" si="78"/>
        <v>55.513745628403214</v>
      </c>
      <c r="DU19" s="10">
        <f t="shared" si="79"/>
        <v>274046.03340906178</v>
      </c>
      <c r="DV19" s="10">
        <f t="shared" si="80"/>
        <v>54.64708270441114</v>
      </c>
      <c r="DW19" s="96">
        <v>12794.285419600175</v>
      </c>
      <c r="DX19" s="15">
        <f t="shared" si="81"/>
        <v>22.103678781707909</v>
      </c>
      <c r="DY19" s="10">
        <f t="shared" si="82"/>
        <v>12794.285419600175</v>
      </c>
      <c r="DZ19" s="450">
        <f t="shared" si="83"/>
        <v>2.5512880619771567</v>
      </c>
      <c r="EA19" s="96">
        <v>2598.3187293159581</v>
      </c>
      <c r="EB19" s="10">
        <f t="shared" si="84"/>
        <v>4.4889105316747093</v>
      </c>
      <c r="EC19" s="10">
        <f t="shared" si="85"/>
        <v>18348.925648291442</v>
      </c>
      <c r="ED19" s="10">
        <f t="shared" si="86"/>
        <v>3.6589300161208498</v>
      </c>
      <c r="EE19" s="96">
        <v>1306.8466981766653</v>
      </c>
      <c r="EF19" s="10" t="e">
        <f t="shared" si="87"/>
        <v>#DIV/0!</v>
      </c>
      <c r="EG19" s="10">
        <f t="shared" si="88"/>
        <v>12130.566293456575</v>
      </c>
      <c r="EH19" s="10" t="e">
        <f t="shared" si="89"/>
        <v>#DIV/0!</v>
      </c>
      <c r="EI19" s="87">
        <v>399.74134297168587</v>
      </c>
      <c r="EJ19" s="87">
        <f t="shared" si="90"/>
        <v>0.6906016202576476</v>
      </c>
      <c r="EK19" s="10">
        <f t="shared" si="91"/>
        <v>1922.4926906567453</v>
      </c>
      <c r="EL19" s="87">
        <f t="shared" si="92"/>
        <v>0.38336120307250227</v>
      </c>
      <c r="EM19" s="87">
        <f t="shared" si="93"/>
        <v>57883.058951201354</v>
      </c>
      <c r="EN19" s="10">
        <f t="shared" si="94"/>
        <v>100</v>
      </c>
      <c r="EO19" s="10">
        <f t="shared" si="95"/>
        <v>501483.37266490643</v>
      </c>
      <c r="EP19" s="10">
        <f t="shared" si="96"/>
        <v>100</v>
      </c>
      <c r="EQ19" s="10">
        <f t="shared" si="97"/>
        <v>57883.058951201354</v>
      </c>
      <c r="ER19" s="10">
        <f t="shared" si="98"/>
        <v>501483.37266490643</v>
      </c>
      <c r="ES19" s="10">
        <f t="shared" si="48"/>
        <v>1.04604787117017</v>
      </c>
      <c r="ET19" s="10">
        <f t="shared" si="49"/>
        <v>1.0185319505988646</v>
      </c>
      <c r="EU19" s="6"/>
      <c r="EV19" s="451">
        <f t="shared" si="99"/>
        <v>0</v>
      </c>
      <c r="EW19" s="451">
        <f>(SUM($EU$10:EU19))/(SUM($EM$10:EM19))</f>
        <v>0</v>
      </c>
      <c r="EX19" s="3"/>
    </row>
    <row r="20" spans="1:159">
      <c r="A20" s="16">
        <f>+Chem!A20</f>
        <v>46092</v>
      </c>
      <c r="B20" s="6" t="str">
        <f>+Chem!B20</f>
        <v xml:space="preserve">Toilet </v>
      </c>
      <c r="C20" s="16" t="str">
        <f>+Chem!C20</f>
        <v>14,5/15</v>
      </c>
      <c r="D20" s="8">
        <f>+Chem!D20</f>
        <v>53.472999999999999</v>
      </c>
      <c r="E20" s="7">
        <f>+Chem!E20</f>
        <v>48.823999999999998</v>
      </c>
      <c r="F20" s="7">
        <f t="shared" si="100"/>
        <v>541.18299999999999</v>
      </c>
      <c r="G20" s="96"/>
      <c r="H20" s="10">
        <f t="shared" si="0"/>
        <v>0</v>
      </c>
      <c r="I20" s="8">
        <f t="shared" si="50"/>
        <v>0</v>
      </c>
      <c r="J20" s="10">
        <f t="shared" si="1"/>
        <v>0</v>
      </c>
      <c r="K20" s="96"/>
      <c r="L20" s="10">
        <f t="shared" si="2"/>
        <v>0</v>
      </c>
      <c r="M20" s="10">
        <f t="shared" si="51"/>
        <v>0</v>
      </c>
      <c r="N20" s="10">
        <f t="shared" si="3"/>
        <v>0</v>
      </c>
      <c r="O20" s="96"/>
      <c r="P20" s="10">
        <f t="shared" si="4"/>
        <v>0</v>
      </c>
      <c r="Q20" s="10">
        <f t="shared" si="52"/>
        <v>0</v>
      </c>
      <c r="R20" s="10">
        <f t="shared" si="5"/>
        <v>0</v>
      </c>
      <c r="S20" s="96"/>
      <c r="T20" s="10">
        <f t="shared" si="6"/>
        <v>0</v>
      </c>
      <c r="U20" s="10">
        <f t="shared" si="53"/>
        <v>0</v>
      </c>
      <c r="V20" s="10">
        <f t="shared" si="7"/>
        <v>0</v>
      </c>
      <c r="W20" s="96"/>
      <c r="X20" s="10">
        <f t="shared" si="8"/>
        <v>0</v>
      </c>
      <c r="Y20" s="10">
        <f t="shared" si="54"/>
        <v>0</v>
      </c>
      <c r="Z20" s="10">
        <f t="shared" si="9"/>
        <v>0</v>
      </c>
      <c r="AA20" s="96"/>
      <c r="AB20" s="10">
        <f t="shared" si="10"/>
        <v>0</v>
      </c>
      <c r="AC20" s="10">
        <f t="shared" si="55"/>
        <v>0</v>
      </c>
      <c r="AD20" s="10">
        <f t="shared" si="11"/>
        <v>0</v>
      </c>
      <c r="AE20" s="96"/>
      <c r="AF20" s="10">
        <f t="shared" si="12"/>
        <v>0</v>
      </c>
      <c r="AG20" s="10">
        <f t="shared" si="56"/>
        <v>0</v>
      </c>
      <c r="AH20" s="10">
        <f t="shared" si="13"/>
        <v>0</v>
      </c>
      <c r="AI20" s="96"/>
      <c r="AJ20" s="10">
        <f t="shared" si="14"/>
        <v>0</v>
      </c>
      <c r="AK20" s="10">
        <f t="shared" si="57"/>
        <v>0</v>
      </c>
      <c r="AL20" s="10">
        <f t="shared" si="15"/>
        <v>0</v>
      </c>
      <c r="AM20" s="96"/>
      <c r="AN20" s="10">
        <f t="shared" si="16"/>
        <v>0</v>
      </c>
      <c r="AO20" s="10">
        <f t="shared" si="58"/>
        <v>0</v>
      </c>
      <c r="AP20" s="10">
        <f t="shared" si="17"/>
        <v>0</v>
      </c>
      <c r="AQ20" s="96"/>
      <c r="AR20" s="10">
        <f t="shared" si="18"/>
        <v>0</v>
      </c>
      <c r="AS20" s="10">
        <f t="shared" si="59"/>
        <v>0</v>
      </c>
      <c r="AT20" s="10">
        <f t="shared" si="19"/>
        <v>0</v>
      </c>
      <c r="AU20" s="247"/>
      <c r="AV20" s="10">
        <f t="shared" si="20"/>
        <v>0</v>
      </c>
      <c r="AW20" s="8">
        <f t="shared" si="60"/>
        <v>0</v>
      </c>
      <c r="AX20" s="10">
        <f t="shared" si="21"/>
        <v>0</v>
      </c>
      <c r="AY20" s="96"/>
      <c r="AZ20" s="10">
        <f t="shared" si="22"/>
        <v>0</v>
      </c>
      <c r="BA20" s="10">
        <f t="shared" si="61"/>
        <v>0</v>
      </c>
      <c r="BB20" s="10">
        <f t="shared" si="23"/>
        <v>0</v>
      </c>
      <c r="BC20" s="96"/>
      <c r="BD20" s="10">
        <f t="shared" si="24"/>
        <v>0</v>
      </c>
      <c r="BE20" s="10">
        <f t="shared" si="62"/>
        <v>0</v>
      </c>
      <c r="BF20" s="10">
        <f t="shared" si="25"/>
        <v>0</v>
      </c>
      <c r="BG20" s="96"/>
      <c r="BH20" s="10">
        <f t="shared" si="26"/>
        <v>0</v>
      </c>
      <c r="BI20" s="10">
        <f t="shared" si="63"/>
        <v>0</v>
      </c>
      <c r="BJ20" s="10">
        <f t="shared" si="27"/>
        <v>0</v>
      </c>
      <c r="BK20" s="96"/>
      <c r="BL20" s="10"/>
      <c r="BM20" s="10"/>
      <c r="BN20" s="10"/>
      <c r="BO20" s="96"/>
      <c r="BP20" s="10"/>
      <c r="BQ20" s="10"/>
      <c r="BR20" s="10"/>
      <c r="BS20" s="96"/>
      <c r="BT20" s="10"/>
      <c r="BU20" s="10"/>
      <c r="BV20" s="10"/>
      <c r="BW20" s="10">
        <f t="shared" si="64"/>
        <v>0</v>
      </c>
      <c r="BX20" s="10">
        <f t="shared" si="28"/>
        <v>0</v>
      </c>
      <c r="BY20" s="10">
        <f t="shared" si="65"/>
        <v>0</v>
      </c>
      <c r="BZ20" s="10">
        <f t="shared" si="29"/>
        <v>0</v>
      </c>
      <c r="CA20" s="96"/>
      <c r="CB20" s="10">
        <f t="shared" si="30"/>
        <v>0</v>
      </c>
      <c r="CC20" s="10"/>
      <c r="CD20" s="10">
        <f t="shared" si="31"/>
        <v>0</v>
      </c>
      <c r="CE20" s="96"/>
      <c r="CF20" s="10">
        <f t="shared" si="32"/>
        <v>0</v>
      </c>
      <c r="CG20" s="10">
        <f t="shared" si="66"/>
        <v>0</v>
      </c>
      <c r="CH20" s="10">
        <f t="shared" si="33"/>
        <v>0</v>
      </c>
      <c r="CI20" s="96"/>
      <c r="CJ20" s="10">
        <f t="shared" si="34"/>
        <v>0</v>
      </c>
      <c r="CK20" s="10">
        <f t="shared" si="67"/>
        <v>0</v>
      </c>
      <c r="CL20" s="10">
        <f t="shared" si="35"/>
        <v>0</v>
      </c>
      <c r="CM20" s="96"/>
      <c r="CN20" s="10">
        <f t="shared" si="36"/>
        <v>0</v>
      </c>
      <c r="CO20" s="10">
        <f t="shared" si="68"/>
        <v>0</v>
      </c>
      <c r="CP20" s="10">
        <f t="shared" si="37"/>
        <v>0</v>
      </c>
      <c r="CQ20" s="96"/>
      <c r="CR20" s="10">
        <f t="shared" si="38"/>
        <v>0</v>
      </c>
      <c r="CS20" s="10">
        <f t="shared" si="69"/>
        <v>0</v>
      </c>
      <c r="CT20" s="10">
        <f t="shared" si="39"/>
        <v>0</v>
      </c>
      <c r="CU20" s="96"/>
      <c r="CV20" s="10">
        <f t="shared" si="40"/>
        <v>0</v>
      </c>
      <c r="CW20" s="10">
        <f t="shared" si="70"/>
        <v>0</v>
      </c>
      <c r="CX20" s="10">
        <f t="shared" si="41"/>
        <v>0</v>
      </c>
      <c r="CY20" s="96"/>
      <c r="CZ20" s="10">
        <f t="shared" si="42"/>
        <v>0</v>
      </c>
      <c r="DA20" s="10">
        <f t="shared" si="71"/>
        <v>0</v>
      </c>
      <c r="DB20" s="10">
        <f t="shared" si="43"/>
        <v>0</v>
      </c>
      <c r="DC20" s="96"/>
      <c r="DD20" s="10">
        <f t="shared" si="44"/>
        <v>0</v>
      </c>
      <c r="DE20" s="10">
        <f t="shared" si="72"/>
        <v>0</v>
      </c>
      <c r="DF20" s="10">
        <f t="shared" si="45"/>
        <v>0</v>
      </c>
      <c r="DG20" s="96"/>
      <c r="DH20" s="10"/>
      <c r="DI20" s="10"/>
      <c r="DJ20" s="10"/>
      <c r="DK20" s="10">
        <f t="shared" si="73"/>
        <v>0</v>
      </c>
      <c r="DL20" s="10">
        <f t="shared" si="46"/>
        <v>0</v>
      </c>
      <c r="DM20" s="10">
        <f t="shared" si="74"/>
        <v>0</v>
      </c>
      <c r="DN20" s="10">
        <f t="shared" si="47"/>
        <v>0</v>
      </c>
      <c r="DO20" s="96">
        <v>7798.2592280714734</v>
      </c>
      <c r="DP20" s="10">
        <f t="shared" si="75"/>
        <v>14.650924979083385</v>
      </c>
      <c r="DQ20" s="10">
        <f t="shared" si="76"/>
        <v>81937.965774890472</v>
      </c>
      <c r="DR20" s="10">
        <f t="shared" si="77"/>
        <v>14.771303788355935</v>
      </c>
      <c r="DS20" s="96">
        <v>29161.827893806618</v>
      </c>
      <c r="DT20" s="15">
        <f t="shared" si="78"/>
        <v>54.787580180347675</v>
      </c>
      <c r="DU20" s="10">
        <f t="shared" si="79"/>
        <v>303207.8613028684</v>
      </c>
      <c r="DV20" s="10">
        <f t="shared" si="80"/>
        <v>54.660564098295715</v>
      </c>
      <c r="DW20" s="96">
        <v>12637.534307420396</v>
      </c>
      <c r="DX20" s="15">
        <f t="shared" si="81"/>
        <v>23.742679185646555</v>
      </c>
      <c r="DY20" s="10">
        <f t="shared" si="82"/>
        <v>12637.534307420396</v>
      </c>
      <c r="DZ20" s="450">
        <f t="shared" si="83"/>
        <v>2.2782217818724768</v>
      </c>
      <c r="EA20" s="96">
        <v>1667.5211674239129</v>
      </c>
      <c r="EB20" s="10">
        <f t="shared" si="84"/>
        <v>3.1328437296644043</v>
      </c>
      <c r="EC20" s="10">
        <f t="shared" si="85"/>
        <v>20016.446815715357</v>
      </c>
      <c r="ED20" s="10">
        <f t="shared" si="86"/>
        <v>3.6084495615951431</v>
      </c>
      <c r="EE20" s="96">
        <v>1961.9351420877786</v>
      </c>
      <c r="EF20" s="10" t="e">
        <f t="shared" si="87"/>
        <v>#DIV/0!</v>
      </c>
      <c r="EG20" s="10">
        <f t="shared" si="88"/>
        <v>14092.501435544355</v>
      </c>
      <c r="EH20" s="10" t="e">
        <f t="shared" si="89"/>
        <v>#DIV/0!</v>
      </c>
      <c r="EI20" s="87"/>
      <c r="EJ20" s="87">
        <f t="shared" si="90"/>
        <v>0</v>
      </c>
      <c r="EK20" s="10">
        <f t="shared" si="91"/>
        <v>1922.4926906567453</v>
      </c>
      <c r="EL20" s="87">
        <f t="shared" si="92"/>
        <v>0.3465758918472801</v>
      </c>
      <c r="EM20" s="87">
        <f t="shared" si="93"/>
        <v>53227.077738810185</v>
      </c>
      <c r="EN20" s="10">
        <f t="shared" si="94"/>
        <v>100</v>
      </c>
      <c r="EO20" s="10">
        <f t="shared" si="95"/>
        <v>554710.45040371665</v>
      </c>
      <c r="EP20" s="10">
        <f t="shared" si="96"/>
        <v>100</v>
      </c>
      <c r="EQ20" s="10">
        <f t="shared" si="97"/>
        <v>53227.077738810185</v>
      </c>
      <c r="ER20" s="10">
        <f t="shared" si="98"/>
        <v>554710.45040371665</v>
      </c>
      <c r="ES20" s="10">
        <f t="shared" si="48"/>
        <v>1.0901826507211656</v>
      </c>
      <c r="ET20" s="10">
        <f t="shared" si="49"/>
        <v>1.0249960741629296</v>
      </c>
      <c r="EU20" s="6"/>
      <c r="EV20" s="451">
        <f t="shared" si="99"/>
        <v>0</v>
      </c>
      <c r="EW20" s="451">
        <f>(SUM($EU$10:EU20))/(SUM($EM$10:EM20))</f>
        <v>0</v>
      </c>
      <c r="EX20" s="3"/>
    </row>
    <row r="21" spans="1:159">
      <c r="A21" s="16">
        <f>+Chem!A21</f>
        <v>46093</v>
      </c>
      <c r="B21" s="6" t="str">
        <f>+Chem!B21</f>
        <v xml:space="preserve">Toilet </v>
      </c>
      <c r="C21" s="16" t="str">
        <f>+Chem!C21</f>
        <v>15/14</v>
      </c>
      <c r="D21" s="8">
        <f>+Chem!D21</f>
        <v>52.466999999999999</v>
      </c>
      <c r="E21" s="7">
        <f>+Chem!E21</f>
        <v>52.936</v>
      </c>
      <c r="F21" s="7">
        <f t="shared" si="100"/>
        <v>594.11900000000003</v>
      </c>
      <c r="G21" s="96"/>
      <c r="H21" s="10">
        <f t="shared" si="0"/>
        <v>0</v>
      </c>
      <c r="I21" s="8">
        <f t="shared" si="50"/>
        <v>0</v>
      </c>
      <c r="J21" s="10">
        <f t="shared" si="1"/>
        <v>0</v>
      </c>
      <c r="K21" s="96"/>
      <c r="L21" s="10">
        <f t="shared" si="2"/>
        <v>0</v>
      </c>
      <c r="M21" s="10">
        <f t="shared" si="51"/>
        <v>0</v>
      </c>
      <c r="N21" s="10">
        <f t="shared" si="3"/>
        <v>0</v>
      </c>
      <c r="O21" s="96"/>
      <c r="P21" s="10">
        <f t="shared" si="4"/>
        <v>0</v>
      </c>
      <c r="Q21" s="10">
        <f t="shared" si="52"/>
        <v>0</v>
      </c>
      <c r="R21" s="10">
        <f t="shared" si="5"/>
        <v>0</v>
      </c>
      <c r="S21" s="96"/>
      <c r="T21" s="10">
        <f t="shared" si="6"/>
        <v>0</v>
      </c>
      <c r="U21" s="10">
        <f t="shared" si="53"/>
        <v>0</v>
      </c>
      <c r="V21" s="10">
        <f t="shared" si="7"/>
        <v>0</v>
      </c>
      <c r="W21" s="96"/>
      <c r="X21" s="10">
        <f t="shared" si="8"/>
        <v>0</v>
      </c>
      <c r="Y21" s="10">
        <f t="shared" si="54"/>
        <v>0</v>
      </c>
      <c r="Z21" s="10">
        <f t="shared" si="9"/>
        <v>0</v>
      </c>
      <c r="AA21" s="96"/>
      <c r="AB21" s="10">
        <f t="shared" si="10"/>
        <v>0</v>
      </c>
      <c r="AC21" s="10">
        <f t="shared" si="55"/>
        <v>0</v>
      </c>
      <c r="AD21" s="10">
        <f t="shared" si="11"/>
        <v>0</v>
      </c>
      <c r="AE21" s="96"/>
      <c r="AF21" s="10">
        <f t="shared" si="12"/>
        <v>0</v>
      </c>
      <c r="AG21" s="10">
        <f t="shared" si="56"/>
        <v>0</v>
      </c>
      <c r="AH21" s="10">
        <f t="shared" si="13"/>
        <v>0</v>
      </c>
      <c r="AI21" s="96"/>
      <c r="AJ21" s="10">
        <f t="shared" si="14"/>
        <v>0</v>
      </c>
      <c r="AK21" s="10">
        <f t="shared" si="57"/>
        <v>0</v>
      </c>
      <c r="AL21" s="10">
        <f t="shared" si="15"/>
        <v>0</v>
      </c>
      <c r="AM21" s="96"/>
      <c r="AN21" s="10">
        <f t="shared" si="16"/>
        <v>0</v>
      </c>
      <c r="AO21" s="10">
        <f t="shared" si="58"/>
        <v>0</v>
      </c>
      <c r="AP21" s="10">
        <f t="shared" si="17"/>
        <v>0</v>
      </c>
      <c r="AQ21" s="96"/>
      <c r="AR21" s="10">
        <f t="shared" si="18"/>
        <v>0</v>
      </c>
      <c r="AS21" s="10">
        <f t="shared" si="59"/>
        <v>0</v>
      </c>
      <c r="AT21" s="10">
        <f t="shared" si="19"/>
        <v>0</v>
      </c>
      <c r="AU21" s="247"/>
      <c r="AV21" s="10">
        <f t="shared" si="20"/>
        <v>0</v>
      </c>
      <c r="AW21" s="8">
        <f t="shared" si="60"/>
        <v>0</v>
      </c>
      <c r="AX21" s="10">
        <f t="shared" si="21"/>
        <v>0</v>
      </c>
      <c r="AY21" s="96"/>
      <c r="AZ21" s="10">
        <f t="shared" si="22"/>
        <v>0</v>
      </c>
      <c r="BA21" s="10">
        <f t="shared" si="61"/>
        <v>0</v>
      </c>
      <c r="BB21" s="10">
        <f t="shared" si="23"/>
        <v>0</v>
      </c>
      <c r="BC21" s="96"/>
      <c r="BD21" s="10">
        <f t="shared" si="24"/>
        <v>0</v>
      </c>
      <c r="BE21" s="10">
        <f t="shared" si="62"/>
        <v>0</v>
      </c>
      <c r="BF21" s="10">
        <f t="shared" si="25"/>
        <v>0</v>
      </c>
      <c r="BG21" s="96"/>
      <c r="BH21" s="10">
        <f t="shared" si="26"/>
        <v>0</v>
      </c>
      <c r="BI21" s="10">
        <f t="shared" si="63"/>
        <v>0</v>
      </c>
      <c r="BJ21" s="10">
        <f t="shared" si="27"/>
        <v>0</v>
      </c>
      <c r="BK21" s="96"/>
      <c r="BL21" s="10"/>
      <c r="BM21" s="10"/>
      <c r="BN21" s="10"/>
      <c r="BO21" s="96"/>
      <c r="BP21" s="10"/>
      <c r="BQ21" s="10"/>
      <c r="BR21" s="10"/>
      <c r="BS21" s="96"/>
      <c r="BT21" s="10"/>
      <c r="BU21" s="10"/>
      <c r="BV21" s="10"/>
      <c r="BW21" s="10">
        <f t="shared" si="64"/>
        <v>0</v>
      </c>
      <c r="BX21" s="10">
        <f t="shared" si="28"/>
        <v>0</v>
      </c>
      <c r="BY21" s="10">
        <f t="shared" si="65"/>
        <v>0</v>
      </c>
      <c r="BZ21" s="10">
        <f t="shared" si="29"/>
        <v>0</v>
      </c>
      <c r="CA21" s="96"/>
      <c r="CB21" s="10">
        <f t="shared" si="30"/>
        <v>0</v>
      </c>
      <c r="CC21" s="10"/>
      <c r="CD21" s="10">
        <f t="shared" si="31"/>
        <v>0</v>
      </c>
      <c r="CE21" s="96"/>
      <c r="CF21" s="10">
        <f t="shared" si="32"/>
        <v>0</v>
      </c>
      <c r="CG21" s="10">
        <f t="shared" si="66"/>
        <v>0</v>
      </c>
      <c r="CH21" s="10">
        <f t="shared" si="33"/>
        <v>0</v>
      </c>
      <c r="CI21" s="96"/>
      <c r="CJ21" s="10">
        <f t="shared" si="34"/>
        <v>0</v>
      </c>
      <c r="CK21" s="10">
        <f t="shared" si="67"/>
        <v>0</v>
      </c>
      <c r="CL21" s="10">
        <f t="shared" si="35"/>
        <v>0</v>
      </c>
      <c r="CM21" s="96"/>
      <c r="CN21" s="10">
        <f t="shared" si="36"/>
        <v>0</v>
      </c>
      <c r="CO21" s="10">
        <f t="shared" si="68"/>
        <v>0</v>
      </c>
      <c r="CP21" s="10">
        <f t="shared" si="37"/>
        <v>0</v>
      </c>
      <c r="CQ21" s="96"/>
      <c r="CR21" s="10">
        <f t="shared" si="38"/>
        <v>0</v>
      </c>
      <c r="CS21" s="10">
        <f t="shared" si="69"/>
        <v>0</v>
      </c>
      <c r="CT21" s="10">
        <f t="shared" si="39"/>
        <v>0</v>
      </c>
      <c r="CU21" s="96"/>
      <c r="CV21" s="10">
        <f t="shared" si="40"/>
        <v>0</v>
      </c>
      <c r="CW21" s="10">
        <f t="shared" si="70"/>
        <v>0</v>
      </c>
      <c r="CX21" s="10">
        <f t="shared" si="41"/>
        <v>0</v>
      </c>
      <c r="CY21" s="96"/>
      <c r="CZ21" s="10">
        <f t="shared" si="42"/>
        <v>0</v>
      </c>
      <c r="DA21" s="10">
        <f t="shared" si="71"/>
        <v>0</v>
      </c>
      <c r="DB21" s="10">
        <f t="shared" si="43"/>
        <v>0</v>
      </c>
      <c r="DC21" s="96"/>
      <c r="DD21" s="10">
        <f t="shared" si="44"/>
        <v>0</v>
      </c>
      <c r="DE21" s="10">
        <f t="shared" si="72"/>
        <v>0</v>
      </c>
      <c r="DF21" s="10">
        <f t="shared" si="45"/>
        <v>0</v>
      </c>
      <c r="DG21" s="96"/>
      <c r="DH21" s="10"/>
      <c r="DI21" s="10"/>
      <c r="DJ21" s="10"/>
      <c r="DK21" s="10">
        <f t="shared" si="73"/>
        <v>0</v>
      </c>
      <c r="DL21" s="10">
        <f t="shared" si="46"/>
        <v>0</v>
      </c>
      <c r="DM21" s="10">
        <f t="shared" si="74"/>
        <v>0</v>
      </c>
      <c r="DN21" s="10">
        <f t="shared" si="47"/>
        <v>0</v>
      </c>
      <c r="DO21" s="96">
        <v>7135.8714142999861</v>
      </c>
      <c r="DP21" s="10">
        <f t="shared" si="75"/>
        <v>14.955275409321548</v>
      </c>
      <c r="DQ21" s="10">
        <f t="shared" si="76"/>
        <v>89073.837189190454</v>
      </c>
      <c r="DR21" s="10">
        <f t="shared" si="77"/>
        <v>14.785875155759735</v>
      </c>
      <c r="DS21" s="96">
        <v>26030.081489938635</v>
      </c>
      <c r="DT21" s="15">
        <f t="shared" si="78"/>
        <v>54.55353873515719</v>
      </c>
      <c r="DU21" s="10">
        <f t="shared" si="79"/>
        <v>329237.94279280707</v>
      </c>
      <c r="DV21" s="10">
        <f t="shared" si="80"/>
        <v>54.652087215395895</v>
      </c>
      <c r="DW21" s="96">
        <v>11029.526330812045</v>
      </c>
      <c r="DX21" s="15">
        <f t="shared" si="81"/>
        <v>23.115551603285034</v>
      </c>
      <c r="DY21" s="10">
        <f t="shared" si="82"/>
        <v>11029.526330812045</v>
      </c>
      <c r="DZ21" s="450">
        <f t="shared" si="83"/>
        <v>1.8308540925229428</v>
      </c>
      <c r="EA21" s="96">
        <v>1282.9093763379478</v>
      </c>
      <c r="EB21" s="10">
        <f t="shared" si="84"/>
        <v>2.6887063869854058</v>
      </c>
      <c r="EC21" s="10">
        <f t="shared" si="85"/>
        <v>21299.356192053303</v>
      </c>
      <c r="ED21" s="10">
        <f t="shared" si="86"/>
        <v>3.5356018275585916</v>
      </c>
      <c r="EE21" s="96">
        <v>2236.3556443556445</v>
      </c>
      <c r="EF21" s="10" t="e">
        <f t="shared" si="87"/>
        <v>#DIV/0!</v>
      </c>
      <c r="EG21" s="10">
        <f t="shared" si="88"/>
        <v>16328.857079899999</v>
      </c>
      <c r="EH21" s="10" t="e">
        <f t="shared" si="89"/>
        <v>#DIV/0!</v>
      </c>
      <c r="EI21" s="87"/>
      <c r="EJ21" s="87">
        <f t="shared" si="90"/>
        <v>0</v>
      </c>
      <c r="EK21" s="10">
        <f t="shared" si="91"/>
        <v>1922.4926906567453</v>
      </c>
      <c r="EL21" s="87">
        <f t="shared" si="92"/>
        <v>0.31912554582706198</v>
      </c>
      <c r="EM21" s="87">
        <f t="shared" si="93"/>
        <v>47714.744255744255</v>
      </c>
      <c r="EN21" s="10">
        <f t="shared" si="94"/>
        <v>100</v>
      </c>
      <c r="EO21" s="10">
        <f t="shared" si="95"/>
        <v>602425.19465946092</v>
      </c>
      <c r="EP21" s="10">
        <f t="shared" si="96"/>
        <v>100</v>
      </c>
      <c r="EQ21" s="10">
        <f t="shared" si="97"/>
        <v>47714.744255744255</v>
      </c>
      <c r="ER21" s="10">
        <f t="shared" si="98"/>
        <v>602425.19465946092</v>
      </c>
      <c r="ES21" s="10">
        <f t="shared" si="48"/>
        <v>0.90136663623515678</v>
      </c>
      <c r="ET21" s="10">
        <f t="shared" si="49"/>
        <v>1.013980691847022</v>
      </c>
      <c r="EU21" s="6"/>
      <c r="EV21" s="451">
        <f t="shared" si="99"/>
        <v>0</v>
      </c>
      <c r="EW21" s="451">
        <f>(SUM($EU$10:EU21))/(SUM($EM$10:EM21))</f>
        <v>0</v>
      </c>
      <c r="EX21" s="3"/>
      <c r="EY21" s="14"/>
      <c r="FB21" s="14"/>
      <c r="FC21" s="14"/>
    </row>
    <row r="22" spans="1:159">
      <c r="A22" s="16">
        <f>+Chem!A22</f>
        <v>46094</v>
      </c>
      <c r="B22" s="6" t="str">
        <f>+Chem!B22</f>
        <v xml:space="preserve">Toilet </v>
      </c>
      <c r="C22" s="16" t="str">
        <f>+Chem!C22</f>
        <v>14/13,5</v>
      </c>
      <c r="D22" s="8">
        <f>+Chem!D22</f>
        <v>52.908000000000001</v>
      </c>
      <c r="E22" s="7">
        <f>+Chem!E22</f>
        <v>50.177999999999997</v>
      </c>
      <c r="F22" s="7">
        <f t="shared" si="100"/>
        <v>644.29700000000003</v>
      </c>
      <c r="G22" s="96"/>
      <c r="H22" s="10">
        <f t="shared" si="0"/>
        <v>0</v>
      </c>
      <c r="I22" s="8">
        <f t="shared" si="50"/>
        <v>0</v>
      </c>
      <c r="J22" s="10">
        <f t="shared" si="1"/>
        <v>0</v>
      </c>
      <c r="K22" s="96"/>
      <c r="L22" s="10">
        <f t="shared" si="2"/>
        <v>0</v>
      </c>
      <c r="M22" s="10">
        <f t="shared" si="51"/>
        <v>0</v>
      </c>
      <c r="N22" s="10">
        <f t="shared" si="3"/>
        <v>0</v>
      </c>
      <c r="O22" s="96"/>
      <c r="P22" s="10">
        <f t="shared" si="4"/>
        <v>0</v>
      </c>
      <c r="Q22" s="10">
        <f t="shared" si="52"/>
        <v>0</v>
      </c>
      <c r="R22" s="10">
        <f t="shared" si="5"/>
        <v>0</v>
      </c>
      <c r="S22" s="96"/>
      <c r="T22" s="10">
        <f t="shared" si="6"/>
        <v>0</v>
      </c>
      <c r="U22" s="10">
        <f t="shared" si="53"/>
        <v>0</v>
      </c>
      <c r="V22" s="10">
        <f t="shared" si="7"/>
        <v>0</v>
      </c>
      <c r="W22" s="96"/>
      <c r="X22" s="10">
        <f t="shared" si="8"/>
        <v>0</v>
      </c>
      <c r="Y22" s="10">
        <f t="shared" si="54"/>
        <v>0</v>
      </c>
      <c r="Z22" s="10">
        <f t="shared" si="9"/>
        <v>0</v>
      </c>
      <c r="AA22" s="96"/>
      <c r="AB22" s="10">
        <f t="shared" si="10"/>
        <v>0</v>
      </c>
      <c r="AC22" s="10">
        <f t="shared" si="55"/>
        <v>0</v>
      </c>
      <c r="AD22" s="10">
        <f t="shared" si="11"/>
        <v>0</v>
      </c>
      <c r="AE22" s="96"/>
      <c r="AF22" s="10">
        <f t="shared" si="12"/>
        <v>0</v>
      </c>
      <c r="AG22" s="10">
        <f t="shared" si="56"/>
        <v>0</v>
      </c>
      <c r="AH22" s="10">
        <f t="shared" si="13"/>
        <v>0</v>
      </c>
      <c r="AI22" s="96"/>
      <c r="AJ22" s="10">
        <f t="shared" si="14"/>
        <v>0</v>
      </c>
      <c r="AK22" s="10">
        <f t="shared" si="57"/>
        <v>0</v>
      </c>
      <c r="AL22" s="10">
        <f t="shared" si="15"/>
        <v>0</v>
      </c>
      <c r="AM22" s="96"/>
      <c r="AN22" s="10">
        <f t="shared" si="16"/>
        <v>0</v>
      </c>
      <c r="AO22" s="10">
        <f t="shared" si="58"/>
        <v>0</v>
      </c>
      <c r="AP22" s="10">
        <f t="shared" si="17"/>
        <v>0</v>
      </c>
      <c r="AQ22" s="96"/>
      <c r="AR22" s="10">
        <f t="shared" si="18"/>
        <v>0</v>
      </c>
      <c r="AS22" s="10">
        <f t="shared" si="59"/>
        <v>0</v>
      </c>
      <c r="AT22" s="10">
        <f t="shared" si="19"/>
        <v>0</v>
      </c>
      <c r="AU22" s="247"/>
      <c r="AV22" s="10">
        <f t="shared" si="20"/>
        <v>0</v>
      </c>
      <c r="AW22" s="8">
        <f t="shared" si="60"/>
        <v>0</v>
      </c>
      <c r="AX22" s="10">
        <f t="shared" si="21"/>
        <v>0</v>
      </c>
      <c r="AY22" s="96"/>
      <c r="AZ22" s="10">
        <f t="shared" si="22"/>
        <v>0</v>
      </c>
      <c r="BA22" s="10">
        <f t="shared" si="61"/>
        <v>0</v>
      </c>
      <c r="BB22" s="10">
        <f t="shared" si="23"/>
        <v>0</v>
      </c>
      <c r="BC22" s="96"/>
      <c r="BD22" s="10">
        <f t="shared" si="24"/>
        <v>0</v>
      </c>
      <c r="BE22" s="10">
        <f t="shared" si="62"/>
        <v>0</v>
      </c>
      <c r="BF22" s="10">
        <f t="shared" si="25"/>
        <v>0</v>
      </c>
      <c r="BG22" s="96"/>
      <c r="BH22" s="10">
        <f t="shared" si="26"/>
        <v>0</v>
      </c>
      <c r="BI22" s="10">
        <f t="shared" si="63"/>
        <v>0</v>
      </c>
      <c r="BJ22" s="10">
        <f t="shared" si="27"/>
        <v>0</v>
      </c>
      <c r="BK22" s="96"/>
      <c r="BL22" s="10"/>
      <c r="BM22" s="10"/>
      <c r="BN22" s="10"/>
      <c r="BO22" s="96"/>
      <c r="BP22" s="10"/>
      <c r="BQ22" s="10"/>
      <c r="BR22" s="10"/>
      <c r="BS22" s="96"/>
      <c r="BT22" s="10"/>
      <c r="BU22" s="10"/>
      <c r="BV22" s="10"/>
      <c r="BW22" s="10">
        <f t="shared" si="64"/>
        <v>0</v>
      </c>
      <c r="BX22" s="10">
        <f t="shared" si="28"/>
        <v>0</v>
      </c>
      <c r="BY22" s="10">
        <f t="shared" si="65"/>
        <v>0</v>
      </c>
      <c r="BZ22" s="10">
        <f t="shared" si="29"/>
        <v>0</v>
      </c>
      <c r="CA22" s="96"/>
      <c r="CB22" s="10">
        <f t="shared" si="30"/>
        <v>0</v>
      </c>
      <c r="CC22" s="10"/>
      <c r="CD22" s="10">
        <f t="shared" si="31"/>
        <v>0</v>
      </c>
      <c r="CE22" s="96"/>
      <c r="CF22" s="10">
        <f t="shared" si="32"/>
        <v>0</v>
      </c>
      <c r="CG22" s="10">
        <f t="shared" si="66"/>
        <v>0</v>
      </c>
      <c r="CH22" s="10">
        <f t="shared" si="33"/>
        <v>0</v>
      </c>
      <c r="CI22" s="96"/>
      <c r="CJ22" s="10">
        <f t="shared" si="34"/>
        <v>0</v>
      </c>
      <c r="CK22" s="10">
        <f t="shared" si="67"/>
        <v>0</v>
      </c>
      <c r="CL22" s="10">
        <f t="shared" si="35"/>
        <v>0</v>
      </c>
      <c r="CM22" s="96"/>
      <c r="CN22" s="10">
        <f t="shared" si="36"/>
        <v>0</v>
      </c>
      <c r="CO22" s="10">
        <f t="shared" si="68"/>
        <v>0</v>
      </c>
      <c r="CP22" s="10">
        <f t="shared" si="37"/>
        <v>0</v>
      </c>
      <c r="CQ22" s="96"/>
      <c r="CR22" s="10">
        <f t="shared" si="38"/>
        <v>0</v>
      </c>
      <c r="CS22" s="10">
        <f t="shared" si="69"/>
        <v>0</v>
      </c>
      <c r="CT22" s="10">
        <f t="shared" si="39"/>
        <v>0</v>
      </c>
      <c r="CU22" s="96"/>
      <c r="CV22" s="10">
        <f t="shared" si="40"/>
        <v>0</v>
      </c>
      <c r="CW22" s="10">
        <f t="shared" si="70"/>
        <v>0</v>
      </c>
      <c r="CX22" s="10">
        <f t="shared" si="41"/>
        <v>0</v>
      </c>
      <c r="CY22" s="96"/>
      <c r="CZ22" s="10">
        <f t="shared" si="42"/>
        <v>0</v>
      </c>
      <c r="DA22" s="10">
        <f t="shared" si="71"/>
        <v>0</v>
      </c>
      <c r="DB22" s="10">
        <f t="shared" si="43"/>
        <v>0</v>
      </c>
      <c r="DC22" s="96"/>
      <c r="DD22" s="10">
        <f t="shared" si="44"/>
        <v>0</v>
      </c>
      <c r="DE22" s="10">
        <f t="shared" si="72"/>
        <v>0</v>
      </c>
      <c r="DF22" s="10">
        <f t="shared" si="45"/>
        <v>0</v>
      </c>
      <c r="DG22" s="96"/>
      <c r="DH22" s="10"/>
      <c r="DI22" s="10"/>
      <c r="DJ22" s="10"/>
      <c r="DK22" s="10">
        <f t="shared" si="73"/>
        <v>0</v>
      </c>
      <c r="DL22" s="10">
        <f t="shared" si="46"/>
        <v>0</v>
      </c>
      <c r="DM22" s="10">
        <f t="shared" si="74"/>
        <v>0</v>
      </c>
      <c r="DN22" s="10">
        <f t="shared" si="47"/>
        <v>0</v>
      </c>
      <c r="DO22" s="96">
        <v>7749.4802398892816</v>
      </c>
      <c r="DP22" s="10">
        <f t="shared" si="75"/>
        <v>14.210452701757658</v>
      </c>
      <c r="DQ22" s="10">
        <f t="shared" si="76"/>
        <v>96823.317429079732</v>
      </c>
      <c r="DR22" s="10">
        <f t="shared" si="77"/>
        <v>14.738109769424627</v>
      </c>
      <c r="DS22" s="96">
        <v>30397.895586652314</v>
      </c>
      <c r="DT22" s="15">
        <f t="shared" si="78"/>
        <v>55.741526411487719</v>
      </c>
      <c r="DU22" s="10">
        <f t="shared" si="79"/>
        <v>359635.8383794594</v>
      </c>
      <c r="DV22" s="10">
        <f t="shared" si="80"/>
        <v>54.742520745975064</v>
      </c>
      <c r="DW22" s="96">
        <v>13053.094341073351</v>
      </c>
      <c r="DX22" s="15">
        <f t="shared" si="81"/>
        <v>23.935847825073431</v>
      </c>
      <c r="DY22" s="10">
        <f t="shared" si="82"/>
        <v>13053.094341073351</v>
      </c>
      <c r="DZ22" s="450">
        <f t="shared" si="83"/>
        <v>1.9868967758753537</v>
      </c>
      <c r="EA22" s="96">
        <v>1601.7626480086112</v>
      </c>
      <c r="EB22" s="10">
        <f t="shared" si="84"/>
        <v>2.9371998694577832</v>
      </c>
      <c r="EC22" s="10">
        <f t="shared" si="85"/>
        <v>22901.118840061914</v>
      </c>
      <c r="ED22" s="10">
        <f t="shared" si="86"/>
        <v>3.4859289298230651</v>
      </c>
      <c r="EE22" s="96">
        <v>1731.4291480854988</v>
      </c>
      <c r="EF22" s="10" t="e">
        <f t="shared" si="87"/>
        <v>#DIV/0!</v>
      </c>
      <c r="EG22" s="10">
        <f t="shared" si="88"/>
        <v>18060.286227985496</v>
      </c>
      <c r="EH22" s="10" t="e">
        <f t="shared" si="89"/>
        <v>#DIV/0!</v>
      </c>
      <c r="EI22" s="87"/>
      <c r="EJ22" s="87">
        <f t="shared" si="90"/>
        <v>0</v>
      </c>
      <c r="EK22" s="10">
        <f t="shared" si="91"/>
        <v>1922.4926906567453</v>
      </c>
      <c r="EL22" s="87">
        <f t="shared" si="92"/>
        <v>0.29263517361475838</v>
      </c>
      <c r="EM22" s="87">
        <f t="shared" si="93"/>
        <v>54533.661963709055</v>
      </c>
      <c r="EN22" s="10">
        <f t="shared" si="94"/>
        <v>100</v>
      </c>
      <c r="EO22" s="10">
        <f t="shared" si="95"/>
        <v>656958.85662316997</v>
      </c>
      <c r="EP22" s="10">
        <f t="shared" si="96"/>
        <v>100</v>
      </c>
      <c r="EQ22" s="10">
        <f t="shared" si="97"/>
        <v>54533.661963709055</v>
      </c>
      <c r="ER22" s="10">
        <f t="shared" si="98"/>
        <v>656958.85662316997</v>
      </c>
      <c r="ES22" s="10">
        <f t="shared" si="48"/>
        <v>1.0868042162642804</v>
      </c>
      <c r="ET22" s="10">
        <f t="shared" si="49"/>
        <v>1.0196522048421301</v>
      </c>
      <c r="EU22" s="6"/>
      <c r="EV22" s="451">
        <f t="shared" si="99"/>
        <v>0</v>
      </c>
      <c r="EW22" s="451">
        <f>(SUM($EU$10:EU22))/(SUM($EM$10:EM22))</f>
        <v>0</v>
      </c>
      <c r="EX22" s="3"/>
      <c r="EY22" s="14"/>
      <c r="FB22" s="14"/>
      <c r="FC22" s="14"/>
    </row>
    <row r="23" spans="1:159">
      <c r="A23" s="16">
        <f>+Chem!A23</f>
        <v>46095</v>
      </c>
      <c r="B23" s="6" t="str">
        <f>+Chem!B23</f>
        <v xml:space="preserve">Toilet </v>
      </c>
      <c r="C23" s="16" t="str">
        <f>+Chem!C23</f>
        <v>13,5</v>
      </c>
      <c r="D23" s="8">
        <f>+Chem!D23</f>
        <v>53.817000000000007</v>
      </c>
      <c r="E23" s="7">
        <f>+Chem!E23</f>
        <v>49.991</v>
      </c>
      <c r="F23" s="7">
        <f t="shared" si="100"/>
        <v>694.28800000000001</v>
      </c>
      <c r="G23" s="96"/>
      <c r="H23" s="10">
        <f t="shared" si="0"/>
        <v>0</v>
      </c>
      <c r="I23" s="8">
        <f t="shared" si="50"/>
        <v>0</v>
      </c>
      <c r="J23" s="10">
        <f t="shared" si="1"/>
        <v>0</v>
      </c>
      <c r="K23" s="96"/>
      <c r="L23" s="10">
        <f t="shared" si="2"/>
        <v>0</v>
      </c>
      <c r="M23" s="10">
        <f t="shared" si="51"/>
        <v>0</v>
      </c>
      <c r="N23" s="10">
        <f t="shared" si="3"/>
        <v>0</v>
      </c>
      <c r="O23" s="96"/>
      <c r="P23" s="10">
        <f t="shared" si="4"/>
        <v>0</v>
      </c>
      <c r="Q23" s="10">
        <f t="shared" si="52"/>
        <v>0</v>
      </c>
      <c r="R23" s="10">
        <f t="shared" si="5"/>
        <v>0</v>
      </c>
      <c r="S23" s="96"/>
      <c r="T23" s="10">
        <f t="shared" si="6"/>
        <v>0</v>
      </c>
      <c r="U23" s="10">
        <f t="shared" si="53"/>
        <v>0</v>
      </c>
      <c r="V23" s="10">
        <f t="shared" si="7"/>
        <v>0</v>
      </c>
      <c r="W23" s="96"/>
      <c r="X23" s="10">
        <f t="shared" si="8"/>
        <v>0</v>
      </c>
      <c r="Y23" s="10">
        <f t="shared" si="54"/>
        <v>0</v>
      </c>
      <c r="Z23" s="10">
        <f t="shared" si="9"/>
        <v>0</v>
      </c>
      <c r="AA23" s="96"/>
      <c r="AB23" s="10">
        <f t="shared" si="10"/>
        <v>0</v>
      </c>
      <c r="AC23" s="10">
        <f t="shared" si="55"/>
        <v>0</v>
      </c>
      <c r="AD23" s="10">
        <f t="shared" si="11"/>
        <v>0</v>
      </c>
      <c r="AE23" s="96"/>
      <c r="AF23" s="10">
        <f t="shared" si="12"/>
        <v>0</v>
      </c>
      <c r="AG23" s="10">
        <f t="shared" si="56"/>
        <v>0</v>
      </c>
      <c r="AH23" s="10">
        <f t="shared" si="13"/>
        <v>0</v>
      </c>
      <c r="AI23" s="96"/>
      <c r="AJ23" s="10">
        <f t="shared" si="14"/>
        <v>0</v>
      </c>
      <c r="AK23" s="10">
        <f t="shared" si="57"/>
        <v>0</v>
      </c>
      <c r="AL23" s="10">
        <f t="shared" si="15"/>
        <v>0</v>
      </c>
      <c r="AM23" s="96"/>
      <c r="AN23" s="10">
        <f t="shared" si="16"/>
        <v>0</v>
      </c>
      <c r="AO23" s="10">
        <f t="shared" si="58"/>
        <v>0</v>
      </c>
      <c r="AP23" s="10">
        <f t="shared" si="17"/>
        <v>0</v>
      </c>
      <c r="AQ23" s="96"/>
      <c r="AR23" s="10">
        <f t="shared" si="18"/>
        <v>0</v>
      </c>
      <c r="AS23" s="10">
        <f t="shared" si="59"/>
        <v>0</v>
      </c>
      <c r="AT23" s="10">
        <f t="shared" si="19"/>
        <v>0</v>
      </c>
      <c r="AU23" s="247"/>
      <c r="AV23" s="10">
        <f t="shared" si="20"/>
        <v>0</v>
      </c>
      <c r="AW23" s="8">
        <f t="shared" si="60"/>
        <v>0</v>
      </c>
      <c r="AX23" s="10">
        <f t="shared" si="21"/>
        <v>0</v>
      </c>
      <c r="AY23" s="96"/>
      <c r="AZ23" s="10">
        <f t="shared" si="22"/>
        <v>0</v>
      </c>
      <c r="BA23" s="10">
        <f t="shared" si="61"/>
        <v>0</v>
      </c>
      <c r="BB23" s="10">
        <f t="shared" si="23"/>
        <v>0</v>
      </c>
      <c r="BC23" s="96"/>
      <c r="BD23" s="10">
        <f t="shared" si="24"/>
        <v>0</v>
      </c>
      <c r="BE23" s="10">
        <f t="shared" si="62"/>
        <v>0</v>
      </c>
      <c r="BF23" s="10">
        <f t="shared" si="25"/>
        <v>0</v>
      </c>
      <c r="BG23" s="96"/>
      <c r="BH23" s="10">
        <f t="shared" si="26"/>
        <v>0</v>
      </c>
      <c r="BI23" s="10">
        <f t="shared" si="63"/>
        <v>0</v>
      </c>
      <c r="BJ23" s="10">
        <f t="shared" si="27"/>
        <v>0</v>
      </c>
      <c r="BK23" s="96"/>
      <c r="BL23" s="10"/>
      <c r="BM23" s="10"/>
      <c r="BN23" s="10"/>
      <c r="BO23" s="96"/>
      <c r="BP23" s="10"/>
      <c r="BQ23" s="10"/>
      <c r="BR23" s="10"/>
      <c r="BS23" s="96"/>
      <c r="BT23" s="10"/>
      <c r="BU23" s="10"/>
      <c r="BV23" s="10"/>
      <c r="BW23" s="10">
        <f t="shared" si="64"/>
        <v>0</v>
      </c>
      <c r="BX23" s="10">
        <f t="shared" si="28"/>
        <v>0</v>
      </c>
      <c r="BY23" s="10">
        <f t="shared" si="65"/>
        <v>0</v>
      </c>
      <c r="BZ23" s="10">
        <f t="shared" si="29"/>
        <v>0</v>
      </c>
      <c r="CA23" s="96"/>
      <c r="CB23" s="10">
        <f t="shared" si="30"/>
        <v>0</v>
      </c>
      <c r="CC23" s="10"/>
      <c r="CD23" s="10">
        <f t="shared" si="31"/>
        <v>0</v>
      </c>
      <c r="CE23" s="96"/>
      <c r="CF23" s="10">
        <f t="shared" si="32"/>
        <v>0</v>
      </c>
      <c r="CG23" s="10">
        <f t="shared" si="66"/>
        <v>0</v>
      </c>
      <c r="CH23" s="10">
        <f t="shared" si="33"/>
        <v>0</v>
      </c>
      <c r="CI23" s="96"/>
      <c r="CJ23" s="10">
        <f t="shared" si="34"/>
        <v>0</v>
      </c>
      <c r="CK23" s="10">
        <f t="shared" si="67"/>
        <v>0</v>
      </c>
      <c r="CL23" s="10">
        <f t="shared" si="35"/>
        <v>0</v>
      </c>
      <c r="CM23" s="96"/>
      <c r="CN23" s="10">
        <f t="shared" si="36"/>
        <v>0</v>
      </c>
      <c r="CO23" s="10">
        <f t="shared" si="68"/>
        <v>0</v>
      </c>
      <c r="CP23" s="10">
        <f t="shared" si="37"/>
        <v>0</v>
      </c>
      <c r="CQ23" s="96"/>
      <c r="CR23" s="10">
        <f t="shared" si="38"/>
        <v>0</v>
      </c>
      <c r="CS23" s="10">
        <f t="shared" si="69"/>
        <v>0</v>
      </c>
      <c r="CT23" s="10">
        <f t="shared" si="39"/>
        <v>0</v>
      </c>
      <c r="CU23" s="96"/>
      <c r="CV23" s="10">
        <f t="shared" si="40"/>
        <v>0</v>
      </c>
      <c r="CW23" s="10">
        <f t="shared" si="70"/>
        <v>0</v>
      </c>
      <c r="CX23" s="10">
        <f t="shared" si="41"/>
        <v>0</v>
      </c>
      <c r="CY23" s="96"/>
      <c r="CZ23" s="10">
        <f t="shared" si="42"/>
        <v>0</v>
      </c>
      <c r="DA23" s="10">
        <f t="shared" si="71"/>
        <v>0</v>
      </c>
      <c r="DB23" s="10">
        <f t="shared" si="43"/>
        <v>0</v>
      </c>
      <c r="DC23" s="96"/>
      <c r="DD23" s="10">
        <f t="shared" si="44"/>
        <v>0</v>
      </c>
      <c r="DE23" s="10">
        <f t="shared" si="72"/>
        <v>0</v>
      </c>
      <c r="DF23" s="10">
        <f t="shared" si="45"/>
        <v>0</v>
      </c>
      <c r="DG23" s="96"/>
      <c r="DH23" s="10"/>
      <c r="DI23" s="10"/>
      <c r="DJ23" s="10"/>
      <c r="DK23" s="10">
        <f t="shared" si="73"/>
        <v>0</v>
      </c>
      <c r="DL23" s="10">
        <f t="shared" si="46"/>
        <v>0</v>
      </c>
      <c r="DM23" s="10">
        <f t="shared" si="74"/>
        <v>0</v>
      </c>
      <c r="DN23" s="10">
        <f t="shared" si="47"/>
        <v>0</v>
      </c>
      <c r="DO23" s="96">
        <v>7583.9469611705135</v>
      </c>
      <c r="DP23" s="10">
        <f t="shared" si="75"/>
        <v>14.806602611480663</v>
      </c>
      <c r="DQ23" s="10">
        <f t="shared" si="76"/>
        <v>104407.26439025025</v>
      </c>
      <c r="DR23" s="10">
        <f t="shared" si="77"/>
        <v>14.74306361057277</v>
      </c>
      <c r="DS23" s="96">
        <v>26984.21328081036</v>
      </c>
      <c r="DT23" s="15">
        <f t="shared" si="78"/>
        <v>52.682926829268297</v>
      </c>
      <c r="DU23" s="10">
        <f t="shared" si="79"/>
        <v>386620.05166026973</v>
      </c>
      <c r="DV23" s="10">
        <f t="shared" si="80"/>
        <v>54.593557718791843</v>
      </c>
      <c r="DW23" s="96">
        <v>12512.881541924595</v>
      </c>
      <c r="DX23" s="15">
        <f t="shared" si="81"/>
        <v>24.429662478442967</v>
      </c>
      <c r="DY23" s="10">
        <f t="shared" si="82"/>
        <v>12512.881541924595</v>
      </c>
      <c r="DZ23" s="450">
        <f t="shared" si="83"/>
        <v>1.7669097030894254</v>
      </c>
      <c r="EA23" s="96">
        <v>1996.3068373663482</v>
      </c>
      <c r="EB23" s="10">
        <f t="shared" si="84"/>
        <v>3.8975117023897514</v>
      </c>
      <c r="EC23" s="10">
        <f t="shared" si="85"/>
        <v>24897.425677428262</v>
      </c>
      <c r="ED23" s="10">
        <f t="shared" si="86"/>
        <v>3.5156972328077769</v>
      </c>
      <c r="EE23" s="96">
        <v>2142.6858469330336</v>
      </c>
      <c r="EF23" s="10" t="e">
        <f t="shared" si="87"/>
        <v>#DIV/0!</v>
      </c>
      <c r="EG23" s="10">
        <f t="shared" si="88"/>
        <v>20202.972074918529</v>
      </c>
      <c r="EH23" s="10" t="e">
        <f t="shared" si="89"/>
        <v>#DIV/0!</v>
      </c>
      <c r="EI23" s="87"/>
      <c r="EJ23" s="87">
        <f t="shared" si="90"/>
        <v>0</v>
      </c>
      <c r="EK23" s="10">
        <f t="shared" si="91"/>
        <v>1922.4926906567453</v>
      </c>
      <c r="EL23" s="87">
        <f t="shared" si="92"/>
        <v>0.2714699230435958</v>
      </c>
      <c r="EM23" s="87">
        <f t="shared" si="93"/>
        <v>51220.034468204845</v>
      </c>
      <c r="EN23" s="10">
        <f t="shared" si="94"/>
        <v>100</v>
      </c>
      <c r="EO23" s="10">
        <f t="shared" si="95"/>
        <v>708178.8910913748</v>
      </c>
      <c r="EP23" s="10">
        <f t="shared" si="96"/>
        <v>100</v>
      </c>
      <c r="EQ23" s="10">
        <f t="shared" si="97"/>
        <v>51220.034468204845</v>
      </c>
      <c r="ER23" s="10">
        <f t="shared" si="98"/>
        <v>708178.8910913748</v>
      </c>
      <c r="ES23" s="10">
        <f t="shared" si="48"/>
        <v>1.0245851146847402</v>
      </c>
      <c r="ET23" s="10">
        <f t="shared" si="49"/>
        <v>1.0200073904364972</v>
      </c>
      <c r="EU23" s="6"/>
      <c r="EV23" s="451">
        <f t="shared" si="99"/>
        <v>0</v>
      </c>
      <c r="EW23" s="451">
        <f>(SUM($EU$10:EU23))/(SUM($EM$10:EM23))</f>
        <v>0</v>
      </c>
      <c r="EX23" s="3"/>
      <c r="FB23" s="14"/>
      <c r="FC23" s="14"/>
    </row>
    <row r="24" spans="1:159">
      <c r="A24" s="16">
        <f>+Chem!A24</f>
        <v>46096</v>
      </c>
      <c r="B24" s="6" t="str">
        <f>+Chem!B24</f>
        <v xml:space="preserve">Toilet </v>
      </c>
      <c r="C24" s="16" t="str">
        <f>+Chem!C24</f>
        <v>13,5</v>
      </c>
      <c r="D24" s="8">
        <f>+Chem!D24</f>
        <v>49.988999999999997</v>
      </c>
      <c r="E24" s="7">
        <f>+Chem!E24</f>
        <v>49.429000000000002</v>
      </c>
      <c r="F24" s="7">
        <f t="shared" si="100"/>
        <v>743.71699999999998</v>
      </c>
      <c r="G24" s="96"/>
      <c r="H24" s="10">
        <f t="shared" si="0"/>
        <v>0</v>
      </c>
      <c r="I24" s="8">
        <f t="shared" si="50"/>
        <v>0</v>
      </c>
      <c r="J24" s="10">
        <f t="shared" si="1"/>
        <v>0</v>
      </c>
      <c r="K24" s="96"/>
      <c r="L24" s="10">
        <f t="shared" si="2"/>
        <v>0</v>
      </c>
      <c r="M24" s="10">
        <f t="shared" si="51"/>
        <v>0</v>
      </c>
      <c r="N24" s="10">
        <f t="shared" si="3"/>
        <v>0</v>
      </c>
      <c r="O24" s="96"/>
      <c r="P24" s="10">
        <f t="shared" si="4"/>
        <v>0</v>
      </c>
      <c r="Q24" s="10">
        <f t="shared" si="52"/>
        <v>0</v>
      </c>
      <c r="R24" s="10">
        <f t="shared" si="5"/>
        <v>0</v>
      </c>
      <c r="S24" s="96"/>
      <c r="T24" s="10">
        <f t="shared" si="6"/>
        <v>0</v>
      </c>
      <c r="U24" s="10">
        <f t="shared" si="53"/>
        <v>0</v>
      </c>
      <c r="V24" s="10">
        <f t="shared" si="7"/>
        <v>0</v>
      </c>
      <c r="W24" s="96"/>
      <c r="X24" s="10">
        <f t="shared" si="8"/>
        <v>0</v>
      </c>
      <c r="Y24" s="10">
        <f t="shared" si="54"/>
        <v>0</v>
      </c>
      <c r="Z24" s="10">
        <f t="shared" si="9"/>
        <v>0</v>
      </c>
      <c r="AA24" s="96"/>
      <c r="AB24" s="10">
        <f t="shared" si="10"/>
        <v>0</v>
      </c>
      <c r="AC24" s="10">
        <f t="shared" si="55"/>
        <v>0</v>
      </c>
      <c r="AD24" s="10">
        <f t="shared" si="11"/>
        <v>0</v>
      </c>
      <c r="AE24" s="96"/>
      <c r="AF24" s="10">
        <f t="shared" si="12"/>
        <v>0</v>
      </c>
      <c r="AG24" s="10">
        <f t="shared" si="56"/>
        <v>0</v>
      </c>
      <c r="AH24" s="10">
        <f t="shared" si="13"/>
        <v>0</v>
      </c>
      <c r="AI24" s="96"/>
      <c r="AJ24" s="10">
        <f t="shared" si="14"/>
        <v>0</v>
      </c>
      <c r="AK24" s="10">
        <f t="shared" si="57"/>
        <v>0</v>
      </c>
      <c r="AL24" s="10">
        <f t="shared" si="15"/>
        <v>0</v>
      </c>
      <c r="AM24" s="96"/>
      <c r="AN24" s="10">
        <f t="shared" si="16"/>
        <v>0</v>
      </c>
      <c r="AO24" s="10">
        <f t="shared" si="58"/>
        <v>0</v>
      </c>
      <c r="AP24" s="10">
        <f t="shared" si="17"/>
        <v>0</v>
      </c>
      <c r="AQ24" s="96"/>
      <c r="AR24" s="10">
        <f t="shared" si="18"/>
        <v>0</v>
      </c>
      <c r="AS24" s="10">
        <f t="shared" si="59"/>
        <v>0</v>
      </c>
      <c r="AT24" s="10">
        <f t="shared" si="19"/>
        <v>0</v>
      </c>
      <c r="AU24" s="247"/>
      <c r="AV24" s="10">
        <f t="shared" si="20"/>
        <v>0</v>
      </c>
      <c r="AW24" s="8">
        <f t="shared" si="60"/>
        <v>0</v>
      </c>
      <c r="AX24" s="10">
        <f t="shared" si="21"/>
        <v>0</v>
      </c>
      <c r="AY24" s="96"/>
      <c r="AZ24" s="10">
        <f t="shared" si="22"/>
        <v>0</v>
      </c>
      <c r="BA24" s="10">
        <f t="shared" si="61"/>
        <v>0</v>
      </c>
      <c r="BB24" s="10">
        <f t="shared" si="23"/>
        <v>0</v>
      </c>
      <c r="BC24" s="96"/>
      <c r="BD24" s="10">
        <f t="shared" si="24"/>
        <v>0</v>
      </c>
      <c r="BE24" s="10">
        <f t="shared" si="62"/>
        <v>0</v>
      </c>
      <c r="BF24" s="10">
        <f t="shared" si="25"/>
        <v>0</v>
      </c>
      <c r="BG24" s="96"/>
      <c r="BH24" s="10">
        <f t="shared" si="26"/>
        <v>0</v>
      </c>
      <c r="BI24" s="10">
        <f t="shared" si="63"/>
        <v>0</v>
      </c>
      <c r="BJ24" s="10">
        <f t="shared" si="27"/>
        <v>0</v>
      </c>
      <c r="BK24" s="96"/>
      <c r="BL24" s="10"/>
      <c r="BM24" s="10"/>
      <c r="BN24" s="10"/>
      <c r="BO24" s="96"/>
      <c r="BP24" s="10"/>
      <c r="BQ24" s="10"/>
      <c r="BR24" s="10"/>
      <c r="BS24" s="96"/>
      <c r="BT24" s="10"/>
      <c r="BU24" s="10"/>
      <c r="BV24" s="10"/>
      <c r="BW24" s="10">
        <f t="shared" si="64"/>
        <v>0</v>
      </c>
      <c r="BX24" s="10">
        <f t="shared" si="28"/>
        <v>0</v>
      </c>
      <c r="BY24" s="10">
        <f t="shared" si="65"/>
        <v>0</v>
      </c>
      <c r="BZ24" s="10">
        <f t="shared" si="29"/>
        <v>0</v>
      </c>
      <c r="CA24" s="96"/>
      <c r="CB24" s="10">
        <f t="shared" si="30"/>
        <v>0</v>
      </c>
      <c r="CC24" s="10"/>
      <c r="CD24" s="10">
        <f t="shared" si="31"/>
        <v>0</v>
      </c>
      <c r="CE24" s="96"/>
      <c r="CF24" s="10">
        <f t="shared" si="32"/>
        <v>0</v>
      </c>
      <c r="CG24" s="10">
        <f t="shared" si="66"/>
        <v>0</v>
      </c>
      <c r="CH24" s="10">
        <f t="shared" si="33"/>
        <v>0</v>
      </c>
      <c r="CI24" s="96"/>
      <c r="CJ24" s="10">
        <f t="shared" si="34"/>
        <v>0</v>
      </c>
      <c r="CK24" s="10">
        <f t="shared" si="67"/>
        <v>0</v>
      </c>
      <c r="CL24" s="10">
        <f t="shared" si="35"/>
        <v>0</v>
      </c>
      <c r="CM24" s="96"/>
      <c r="CN24" s="10">
        <f t="shared" si="36"/>
        <v>0</v>
      </c>
      <c r="CO24" s="10">
        <f t="shared" si="68"/>
        <v>0</v>
      </c>
      <c r="CP24" s="10">
        <f t="shared" si="37"/>
        <v>0</v>
      </c>
      <c r="CQ24" s="96"/>
      <c r="CR24" s="10">
        <f t="shared" si="38"/>
        <v>0</v>
      </c>
      <c r="CS24" s="10">
        <f t="shared" si="69"/>
        <v>0</v>
      </c>
      <c r="CT24" s="10">
        <f t="shared" si="39"/>
        <v>0</v>
      </c>
      <c r="CU24" s="96"/>
      <c r="CV24" s="10">
        <f t="shared" si="40"/>
        <v>0</v>
      </c>
      <c r="CW24" s="10">
        <f t="shared" si="70"/>
        <v>0</v>
      </c>
      <c r="CX24" s="10">
        <f t="shared" si="41"/>
        <v>0</v>
      </c>
      <c r="CY24" s="96"/>
      <c r="CZ24" s="10">
        <f t="shared" si="42"/>
        <v>0</v>
      </c>
      <c r="DA24" s="10">
        <f t="shared" si="71"/>
        <v>0</v>
      </c>
      <c r="DB24" s="10">
        <f t="shared" si="43"/>
        <v>0</v>
      </c>
      <c r="DC24" s="96"/>
      <c r="DD24" s="10">
        <f t="shared" si="44"/>
        <v>0</v>
      </c>
      <c r="DE24" s="10">
        <f t="shared" si="72"/>
        <v>0</v>
      </c>
      <c r="DF24" s="10">
        <f t="shared" si="45"/>
        <v>0</v>
      </c>
      <c r="DG24" s="96"/>
      <c r="DH24" s="10"/>
      <c r="DI24" s="10"/>
      <c r="DJ24" s="10"/>
      <c r="DK24" s="10">
        <f t="shared" si="73"/>
        <v>0</v>
      </c>
      <c r="DL24" s="10">
        <f t="shared" si="46"/>
        <v>0</v>
      </c>
      <c r="DM24" s="10">
        <f t="shared" si="74"/>
        <v>0</v>
      </c>
      <c r="DN24" s="10">
        <f t="shared" si="47"/>
        <v>0</v>
      </c>
      <c r="DO24" s="96">
        <v>6378.8135469632598</v>
      </c>
      <c r="DP24" s="10">
        <f t="shared" si="75"/>
        <v>12.124151309408342</v>
      </c>
      <c r="DQ24" s="10">
        <f t="shared" si="76"/>
        <v>110786.0779372135</v>
      </c>
      <c r="DR24" s="10">
        <f t="shared" si="77"/>
        <v>14.561952975976286</v>
      </c>
      <c r="DS24" s="96">
        <v>29721.62609253624</v>
      </c>
      <c r="DT24" s="15">
        <f t="shared" si="78"/>
        <v>56.491617015380356</v>
      </c>
      <c r="DU24" s="10">
        <f t="shared" si="79"/>
        <v>416341.67775280599</v>
      </c>
      <c r="DV24" s="10">
        <f t="shared" si="80"/>
        <v>54.724817831455432</v>
      </c>
      <c r="DW24" s="96">
        <v>12852.39803805283</v>
      </c>
      <c r="DX24" s="15">
        <f t="shared" si="81"/>
        <v>24.428432866842179</v>
      </c>
      <c r="DY24" s="10">
        <f t="shared" si="82"/>
        <v>12852.39803805283</v>
      </c>
      <c r="DZ24" s="450">
        <f t="shared" si="83"/>
        <v>1.6893459841111382</v>
      </c>
      <c r="EA24" s="96">
        <v>1482.3147671038432</v>
      </c>
      <c r="EB24" s="10">
        <f t="shared" si="84"/>
        <v>2.8174218280910814</v>
      </c>
      <c r="EC24" s="10">
        <f t="shared" si="85"/>
        <v>26379.740444532104</v>
      </c>
      <c r="ED24" s="10">
        <f t="shared" si="86"/>
        <v>3.4674080626759141</v>
      </c>
      <c r="EE24" s="96">
        <v>2177.3016906967928</v>
      </c>
      <c r="EF24" s="10" t="e">
        <f t="shared" si="87"/>
        <v>#DIV/0!</v>
      </c>
      <c r="EG24" s="10">
        <f t="shared" si="88"/>
        <v>22380.273765615322</v>
      </c>
      <c r="EH24" s="10" t="e">
        <f t="shared" si="89"/>
        <v>#DIV/0!</v>
      </c>
      <c r="EI24" s="87"/>
      <c r="EJ24" s="87">
        <f t="shared" si="90"/>
        <v>0</v>
      </c>
      <c r="EK24" s="10">
        <f t="shared" si="91"/>
        <v>1922.4926906567453</v>
      </c>
      <c r="EL24" s="87">
        <f t="shared" si="92"/>
        <v>0.25269644597281954</v>
      </c>
      <c r="EM24" s="87">
        <f t="shared" si="93"/>
        <v>52612.454135352964</v>
      </c>
      <c r="EN24" s="10">
        <f t="shared" si="94"/>
        <v>100</v>
      </c>
      <c r="EO24" s="10">
        <f t="shared" si="95"/>
        <v>760791.34522672778</v>
      </c>
      <c r="EP24" s="10">
        <f t="shared" si="96"/>
        <v>100</v>
      </c>
      <c r="EQ24" s="10">
        <f t="shared" si="97"/>
        <v>52612.454135352964</v>
      </c>
      <c r="ER24" s="10">
        <f t="shared" si="98"/>
        <v>760791.34522672778</v>
      </c>
      <c r="ES24" s="10">
        <f t="shared" si="48"/>
        <v>1.0644045830454381</v>
      </c>
      <c r="ET24" s="10">
        <f t="shared" si="49"/>
        <v>1.0229581214719146</v>
      </c>
      <c r="EU24" s="6"/>
      <c r="EV24" s="451">
        <f t="shared" si="99"/>
        <v>0</v>
      </c>
      <c r="EW24" s="451">
        <f>(SUM($EU$10:EU24))/(SUM($EM$10:EM24))</f>
        <v>0</v>
      </c>
      <c r="EX24" s="3"/>
      <c r="FB24" s="14"/>
      <c r="FC24" s="14"/>
    </row>
    <row r="25" spans="1:159">
      <c r="A25" s="16">
        <f>+Chem!A25</f>
        <v>46097</v>
      </c>
      <c r="B25" s="6" t="str">
        <f>+Chem!B25</f>
        <v xml:space="preserve">Toilet </v>
      </c>
      <c r="C25" s="16" t="str">
        <f>+Chem!C25</f>
        <v>13,5</v>
      </c>
      <c r="D25" s="8">
        <f>+Chem!D25</f>
        <v>49.835000000000008</v>
      </c>
      <c r="E25" s="7">
        <f>+Chem!E25</f>
        <v>50.436</v>
      </c>
      <c r="F25" s="7">
        <f t="shared" si="100"/>
        <v>794.15300000000002</v>
      </c>
      <c r="G25" s="96"/>
      <c r="H25" s="10">
        <f t="shared" si="0"/>
        <v>0</v>
      </c>
      <c r="I25" s="8">
        <f t="shared" si="50"/>
        <v>0</v>
      </c>
      <c r="J25" s="10">
        <f t="shared" si="1"/>
        <v>0</v>
      </c>
      <c r="K25" s="96"/>
      <c r="L25" s="10">
        <f t="shared" si="2"/>
        <v>0</v>
      </c>
      <c r="M25" s="10">
        <f t="shared" si="51"/>
        <v>0</v>
      </c>
      <c r="N25" s="10">
        <f t="shared" si="3"/>
        <v>0</v>
      </c>
      <c r="O25" s="96"/>
      <c r="P25" s="10">
        <f t="shared" si="4"/>
        <v>0</v>
      </c>
      <c r="Q25" s="10">
        <f t="shared" si="52"/>
        <v>0</v>
      </c>
      <c r="R25" s="10">
        <f t="shared" si="5"/>
        <v>0</v>
      </c>
      <c r="S25" s="96"/>
      <c r="T25" s="10">
        <f t="shared" si="6"/>
        <v>0</v>
      </c>
      <c r="U25" s="10">
        <f t="shared" si="53"/>
        <v>0</v>
      </c>
      <c r="V25" s="10">
        <f t="shared" si="7"/>
        <v>0</v>
      </c>
      <c r="W25" s="96"/>
      <c r="X25" s="10">
        <f t="shared" si="8"/>
        <v>0</v>
      </c>
      <c r="Y25" s="10">
        <f t="shared" si="54"/>
        <v>0</v>
      </c>
      <c r="Z25" s="10">
        <f t="shared" si="9"/>
        <v>0</v>
      </c>
      <c r="AA25" s="96"/>
      <c r="AB25" s="10">
        <f t="shared" si="10"/>
        <v>0</v>
      </c>
      <c r="AC25" s="10">
        <f t="shared" si="55"/>
        <v>0</v>
      </c>
      <c r="AD25" s="10">
        <f t="shared" si="11"/>
        <v>0</v>
      </c>
      <c r="AE25" s="96"/>
      <c r="AF25" s="10">
        <f t="shared" si="12"/>
        <v>0</v>
      </c>
      <c r="AG25" s="10">
        <f t="shared" si="56"/>
        <v>0</v>
      </c>
      <c r="AH25" s="10">
        <f t="shared" si="13"/>
        <v>0</v>
      </c>
      <c r="AI25" s="96"/>
      <c r="AJ25" s="10">
        <f t="shared" si="14"/>
        <v>0</v>
      </c>
      <c r="AK25" s="10">
        <f t="shared" si="57"/>
        <v>0</v>
      </c>
      <c r="AL25" s="10">
        <f t="shared" si="15"/>
        <v>0</v>
      </c>
      <c r="AM25" s="96"/>
      <c r="AN25" s="10">
        <f t="shared" si="16"/>
        <v>0</v>
      </c>
      <c r="AO25" s="10">
        <f t="shared" si="58"/>
        <v>0</v>
      </c>
      <c r="AP25" s="10">
        <f t="shared" si="17"/>
        <v>0</v>
      </c>
      <c r="AQ25" s="96"/>
      <c r="AR25" s="10">
        <f t="shared" si="18"/>
        <v>0</v>
      </c>
      <c r="AS25" s="10">
        <f t="shared" si="59"/>
        <v>0</v>
      </c>
      <c r="AT25" s="10">
        <f t="shared" si="19"/>
        <v>0</v>
      </c>
      <c r="AU25" s="247"/>
      <c r="AV25" s="10">
        <f t="shared" si="20"/>
        <v>0</v>
      </c>
      <c r="AW25" s="8">
        <f t="shared" si="60"/>
        <v>0</v>
      </c>
      <c r="AX25" s="10">
        <f t="shared" si="21"/>
        <v>0</v>
      </c>
      <c r="AY25" s="96"/>
      <c r="AZ25" s="10">
        <f t="shared" si="22"/>
        <v>0</v>
      </c>
      <c r="BA25" s="10">
        <f t="shared" si="61"/>
        <v>0</v>
      </c>
      <c r="BB25" s="10">
        <f t="shared" si="23"/>
        <v>0</v>
      </c>
      <c r="BC25" s="96"/>
      <c r="BD25" s="10">
        <f t="shared" si="24"/>
        <v>0</v>
      </c>
      <c r="BE25" s="10">
        <f t="shared" si="62"/>
        <v>0</v>
      </c>
      <c r="BF25" s="10">
        <f t="shared" si="25"/>
        <v>0</v>
      </c>
      <c r="BG25" s="96"/>
      <c r="BH25" s="10">
        <f t="shared" si="26"/>
        <v>0</v>
      </c>
      <c r="BI25" s="10">
        <f t="shared" si="63"/>
        <v>0</v>
      </c>
      <c r="BJ25" s="10">
        <f t="shared" si="27"/>
        <v>0</v>
      </c>
      <c r="BK25" s="96"/>
      <c r="BL25" s="10"/>
      <c r="BM25" s="10"/>
      <c r="BN25" s="10"/>
      <c r="BO25" s="96"/>
      <c r="BP25" s="10"/>
      <c r="BQ25" s="10"/>
      <c r="BR25" s="10"/>
      <c r="BS25" s="96"/>
      <c r="BT25" s="10"/>
      <c r="BU25" s="10"/>
      <c r="BV25" s="10"/>
      <c r="BW25" s="10">
        <f t="shared" si="64"/>
        <v>0</v>
      </c>
      <c r="BX25" s="10">
        <f t="shared" si="28"/>
        <v>0</v>
      </c>
      <c r="BY25" s="10">
        <f t="shared" si="65"/>
        <v>0</v>
      </c>
      <c r="BZ25" s="10">
        <f t="shared" si="29"/>
        <v>0</v>
      </c>
      <c r="CA25" s="96"/>
      <c r="CB25" s="10">
        <f t="shared" si="30"/>
        <v>0</v>
      </c>
      <c r="CC25" s="10"/>
      <c r="CD25" s="10">
        <f t="shared" si="31"/>
        <v>0</v>
      </c>
      <c r="CE25" s="96"/>
      <c r="CF25" s="10">
        <f t="shared" si="32"/>
        <v>0</v>
      </c>
      <c r="CG25" s="10">
        <f t="shared" si="66"/>
        <v>0</v>
      </c>
      <c r="CH25" s="10">
        <f t="shared" si="33"/>
        <v>0</v>
      </c>
      <c r="CI25" s="96"/>
      <c r="CJ25" s="10">
        <f t="shared" si="34"/>
        <v>0</v>
      </c>
      <c r="CK25" s="10">
        <f t="shared" si="67"/>
        <v>0</v>
      </c>
      <c r="CL25" s="10">
        <f t="shared" si="35"/>
        <v>0</v>
      </c>
      <c r="CM25" s="96"/>
      <c r="CN25" s="10">
        <f t="shared" si="36"/>
        <v>0</v>
      </c>
      <c r="CO25" s="10">
        <f t="shared" si="68"/>
        <v>0</v>
      </c>
      <c r="CP25" s="10">
        <f t="shared" si="37"/>
        <v>0</v>
      </c>
      <c r="CQ25" s="96"/>
      <c r="CR25" s="10">
        <f t="shared" si="38"/>
        <v>0</v>
      </c>
      <c r="CS25" s="10">
        <f t="shared" si="69"/>
        <v>0</v>
      </c>
      <c r="CT25" s="10">
        <f t="shared" si="39"/>
        <v>0</v>
      </c>
      <c r="CU25" s="96"/>
      <c r="CV25" s="10">
        <f t="shared" si="40"/>
        <v>0</v>
      </c>
      <c r="CW25" s="10">
        <f t="shared" si="70"/>
        <v>0</v>
      </c>
      <c r="CX25" s="10">
        <f t="shared" si="41"/>
        <v>0</v>
      </c>
      <c r="CY25" s="96"/>
      <c r="CZ25" s="10">
        <f t="shared" si="42"/>
        <v>0</v>
      </c>
      <c r="DA25" s="10">
        <f t="shared" si="71"/>
        <v>0</v>
      </c>
      <c r="DB25" s="10">
        <f t="shared" si="43"/>
        <v>0</v>
      </c>
      <c r="DC25" s="96"/>
      <c r="DD25" s="10">
        <f t="shared" si="44"/>
        <v>0</v>
      </c>
      <c r="DE25" s="10">
        <f t="shared" si="72"/>
        <v>0</v>
      </c>
      <c r="DF25" s="10">
        <f t="shared" si="45"/>
        <v>0</v>
      </c>
      <c r="DG25" s="96"/>
      <c r="DH25" s="10"/>
      <c r="DI25" s="10"/>
      <c r="DJ25" s="10"/>
      <c r="DK25" s="10">
        <f t="shared" si="73"/>
        <v>0</v>
      </c>
      <c r="DL25" s="10">
        <f t="shared" si="46"/>
        <v>0</v>
      </c>
      <c r="DM25" s="10">
        <f t="shared" si="74"/>
        <v>0</v>
      </c>
      <c r="DN25" s="10">
        <f t="shared" si="47"/>
        <v>0</v>
      </c>
      <c r="DO25" s="96">
        <v>5591.6085252564362</v>
      </c>
      <c r="DP25" s="10">
        <f t="shared" si="75"/>
        <v>14.411782984276927</v>
      </c>
      <c r="DQ25" s="10">
        <f t="shared" si="76"/>
        <v>116377.68646246994</v>
      </c>
      <c r="DR25" s="10">
        <f t="shared" si="77"/>
        <v>14.554666211507449</v>
      </c>
      <c r="DS25" s="96">
        <v>21336.845122895302</v>
      </c>
      <c r="DT25" s="15">
        <f t="shared" si="78"/>
        <v>54.993474613137785</v>
      </c>
      <c r="DU25" s="10">
        <f t="shared" si="79"/>
        <v>437678.52287570131</v>
      </c>
      <c r="DV25" s="10">
        <f t="shared" si="80"/>
        <v>54.737853982479493</v>
      </c>
      <c r="DW25" s="96">
        <v>9256.6559415521588</v>
      </c>
      <c r="DX25" s="15">
        <f t="shared" si="81"/>
        <v>23.858057299111305</v>
      </c>
      <c r="DY25" s="10">
        <f t="shared" si="82"/>
        <v>9256.6559415521588</v>
      </c>
      <c r="DZ25" s="450">
        <f t="shared" si="83"/>
        <v>1.1576749938873077</v>
      </c>
      <c r="EA25" s="96">
        <v>725.77583704277151</v>
      </c>
      <c r="EB25" s="10">
        <f t="shared" si="84"/>
        <v>1.8706109005033871</v>
      </c>
      <c r="EC25" s="10">
        <f t="shared" si="85"/>
        <v>27105.516281574877</v>
      </c>
      <c r="ED25" s="10">
        <f t="shared" si="86"/>
        <v>3.389925972588629</v>
      </c>
      <c r="EE25" s="96">
        <f>1620.33675246758+267.644910005806</f>
        <v>1887.981662473386</v>
      </c>
      <c r="EF25" s="10" t="e">
        <f t="shared" si="87"/>
        <v>#DIV/0!</v>
      </c>
      <c r="EG25" s="10">
        <f t="shared" si="88"/>
        <v>24268.255428088709</v>
      </c>
      <c r="EH25" s="10" t="e">
        <f t="shared" si="89"/>
        <v>#DIV/0!</v>
      </c>
      <c r="EI25" s="87"/>
      <c r="EJ25" s="87">
        <f t="shared" si="90"/>
        <v>0</v>
      </c>
      <c r="EK25" s="10">
        <f t="shared" si="91"/>
        <v>1922.4926906567453</v>
      </c>
      <c r="EL25" s="87">
        <f t="shared" si="92"/>
        <v>0.24043474532891065</v>
      </c>
      <c r="EM25" s="87">
        <f t="shared" si="93"/>
        <v>38798.867089220053</v>
      </c>
      <c r="EN25" s="10">
        <f t="shared" si="94"/>
        <v>100</v>
      </c>
      <c r="EO25" s="10">
        <f t="shared" si="95"/>
        <v>799590.21231594787</v>
      </c>
      <c r="EP25" s="10">
        <f t="shared" si="96"/>
        <v>100</v>
      </c>
      <c r="EQ25" s="10">
        <f t="shared" si="97"/>
        <v>38798.867089220053</v>
      </c>
      <c r="ER25" s="10">
        <f t="shared" si="98"/>
        <v>799590.21231594787</v>
      </c>
      <c r="ES25" s="10">
        <f t="shared" si="48"/>
        <v>0.76926931337179894</v>
      </c>
      <c r="ET25" s="10">
        <f t="shared" si="49"/>
        <v>1.0068465551549233</v>
      </c>
      <c r="EU25" s="6"/>
      <c r="EV25" s="451">
        <f t="shared" si="99"/>
        <v>0</v>
      </c>
      <c r="EW25" s="451">
        <f>(SUM($EU$10:EU25))/(SUM($EM$10:EM25))</f>
        <v>0</v>
      </c>
      <c r="EX25" s="3"/>
      <c r="FB25" s="14"/>
      <c r="FC25" s="14"/>
    </row>
    <row r="26" spans="1:159">
      <c r="A26" s="16">
        <f>+Chem!A26</f>
        <v>46098</v>
      </c>
      <c r="B26" s="6" t="str">
        <f>+Chem!B26</f>
        <v xml:space="preserve">Toilet </v>
      </c>
      <c r="C26" s="16" t="str">
        <f>+Chem!C26</f>
        <v>13,5/15</v>
      </c>
      <c r="D26" s="8">
        <f>+Chem!D26</f>
        <v>49.497999999999998</v>
      </c>
      <c r="E26" s="7">
        <f>+Chem!E26</f>
        <v>52.076999999999998</v>
      </c>
      <c r="F26" s="7">
        <f t="shared" si="100"/>
        <v>846.23</v>
      </c>
      <c r="G26" s="96"/>
      <c r="H26" s="10">
        <f t="shared" si="0"/>
        <v>0</v>
      </c>
      <c r="I26" s="8">
        <f t="shared" si="50"/>
        <v>0</v>
      </c>
      <c r="J26" s="10">
        <f t="shared" si="1"/>
        <v>0</v>
      </c>
      <c r="K26" s="96"/>
      <c r="L26" s="10">
        <f t="shared" si="2"/>
        <v>0</v>
      </c>
      <c r="M26" s="10">
        <f t="shared" si="51"/>
        <v>0</v>
      </c>
      <c r="N26" s="10">
        <f t="shared" si="3"/>
        <v>0</v>
      </c>
      <c r="O26" s="96"/>
      <c r="P26" s="10">
        <f t="shared" si="4"/>
        <v>0</v>
      </c>
      <c r="Q26" s="10">
        <f t="shared" si="52"/>
        <v>0</v>
      </c>
      <c r="R26" s="10">
        <f t="shared" si="5"/>
        <v>0</v>
      </c>
      <c r="S26" s="96"/>
      <c r="T26" s="10">
        <f t="shared" si="6"/>
        <v>0</v>
      </c>
      <c r="U26" s="10">
        <f t="shared" si="53"/>
        <v>0</v>
      </c>
      <c r="V26" s="10">
        <f t="shared" si="7"/>
        <v>0</v>
      </c>
      <c r="W26" s="96"/>
      <c r="X26" s="10">
        <f t="shared" si="8"/>
        <v>0</v>
      </c>
      <c r="Y26" s="10">
        <f t="shared" si="54"/>
        <v>0</v>
      </c>
      <c r="Z26" s="10">
        <f t="shared" si="9"/>
        <v>0</v>
      </c>
      <c r="AA26" s="96"/>
      <c r="AB26" s="10">
        <f t="shared" si="10"/>
        <v>0</v>
      </c>
      <c r="AC26" s="10">
        <f t="shared" si="55"/>
        <v>0</v>
      </c>
      <c r="AD26" s="10">
        <f t="shared" si="11"/>
        <v>0</v>
      </c>
      <c r="AE26" s="96"/>
      <c r="AF26" s="10">
        <f t="shared" si="12"/>
        <v>0</v>
      </c>
      <c r="AG26" s="10">
        <f t="shared" si="56"/>
        <v>0</v>
      </c>
      <c r="AH26" s="10">
        <f t="shared" si="13"/>
        <v>0</v>
      </c>
      <c r="AI26" s="96"/>
      <c r="AJ26" s="10">
        <f t="shared" si="14"/>
        <v>0</v>
      </c>
      <c r="AK26" s="10">
        <f t="shared" si="57"/>
        <v>0</v>
      </c>
      <c r="AL26" s="10">
        <f t="shared" si="15"/>
        <v>0</v>
      </c>
      <c r="AM26" s="96"/>
      <c r="AN26" s="10">
        <f t="shared" si="16"/>
        <v>0</v>
      </c>
      <c r="AO26" s="10">
        <f t="shared" si="58"/>
        <v>0</v>
      </c>
      <c r="AP26" s="10">
        <f t="shared" si="17"/>
        <v>0</v>
      </c>
      <c r="AQ26" s="96"/>
      <c r="AR26" s="10">
        <f t="shared" si="18"/>
        <v>0</v>
      </c>
      <c r="AS26" s="10">
        <f t="shared" si="59"/>
        <v>0</v>
      </c>
      <c r="AT26" s="10">
        <f t="shared" si="19"/>
        <v>0</v>
      </c>
      <c r="AU26" s="247"/>
      <c r="AV26" s="10">
        <f t="shared" si="20"/>
        <v>0</v>
      </c>
      <c r="AW26" s="8">
        <f t="shared" si="60"/>
        <v>0</v>
      </c>
      <c r="AX26" s="10">
        <f t="shared" si="21"/>
        <v>0</v>
      </c>
      <c r="AY26" s="96"/>
      <c r="AZ26" s="10">
        <f t="shared" si="22"/>
        <v>0</v>
      </c>
      <c r="BA26" s="10">
        <f t="shared" si="61"/>
        <v>0</v>
      </c>
      <c r="BB26" s="10">
        <f t="shared" si="23"/>
        <v>0</v>
      </c>
      <c r="BC26" s="96"/>
      <c r="BD26" s="10">
        <f t="shared" si="24"/>
        <v>0</v>
      </c>
      <c r="BE26" s="10">
        <f t="shared" si="62"/>
        <v>0</v>
      </c>
      <c r="BF26" s="10">
        <f t="shared" si="25"/>
        <v>0</v>
      </c>
      <c r="BG26" s="96"/>
      <c r="BH26" s="10">
        <f t="shared" si="26"/>
        <v>0</v>
      </c>
      <c r="BI26" s="10">
        <f t="shared" si="63"/>
        <v>0</v>
      </c>
      <c r="BJ26" s="10">
        <f t="shared" si="27"/>
        <v>0</v>
      </c>
      <c r="BK26" s="96"/>
      <c r="BL26" s="10"/>
      <c r="BM26" s="10"/>
      <c r="BN26" s="10"/>
      <c r="BO26" s="96"/>
      <c r="BP26" s="10"/>
      <c r="BQ26" s="10"/>
      <c r="BR26" s="10"/>
      <c r="BS26" s="96"/>
      <c r="BT26" s="10"/>
      <c r="BU26" s="10"/>
      <c r="BV26" s="10"/>
      <c r="BW26" s="10">
        <f t="shared" si="64"/>
        <v>0</v>
      </c>
      <c r="BX26" s="10">
        <f t="shared" si="28"/>
        <v>0</v>
      </c>
      <c r="BY26" s="10">
        <f t="shared" si="65"/>
        <v>0</v>
      </c>
      <c r="BZ26" s="10">
        <f t="shared" si="29"/>
        <v>0</v>
      </c>
      <c r="CA26" s="96"/>
      <c r="CB26" s="10">
        <f t="shared" si="30"/>
        <v>0</v>
      </c>
      <c r="CC26" s="10"/>
      <c r="CD26" s="10">
        <f t="shared" si="31"/>
        <v>0</v>
      </c>
      <c r="CE26" s="96"/>
      <c r="CF26" s="10">
        <f t="shared" si="32"/>
        <v>0</v>
      </c>
      <c r="CG26" s="10">
        <f t="shared" si="66"/>
        <v>0</v>
      </c>
      <c r="CH26" s="10">
        <f t="shared" si="33"/>
        <v>0</v>
      </c>
      <c r="CI26" s="96"/>
      <c r="CJ26" s="10">
        <f t="shared" si="34"/>
        <v>0</v>
      </c>
      <c r="CK26" s="10">
        <f t="shared" si="67"/>
        <v>0</v>
      </c>
      <c r="CL26" s="10">
        <f t="shared" si="35"/>
        <v>0</v>
      </c>
      <c r="CM26" s="96"/>
      <c r="CN26" s="10">
        <f t="shared" si="36"/>
        <v>0</v>
      </c>
      <c r="CO26" s="10">
        <f t="shared" si="68"/>
        <v>0</v>
      </c>
      <c r="CP26" s="10">
        <f t="shared" si="37"/>
        <v>0</v>
      </c>
      <c r="CQ26" s="96"/>
      <c r="CR26" s="10">
        <f t="shared" si="38"/>
        <v>0</v>
      </c>
      <c r="CS26" s="10">
        <f t="shared" si="69"/>
        <v>0</v>
      </c>
      <c r="CT26" s="10">
        <f t="shared" si="39"/>
        <v>0</v>
      </c>
      <c r="CU26" s="96"/>
      <c r="CV26" s="10">
        <f t="shared" si="40"/>
        <v>0</v>
      </c>
      <c r="CW26" s="10">
        <f t="shared" si="70"/>
        <v>0</v>
      </c>
      <c r="CX26" s="10">
        <f t="shared" si="41"/>
        <v>0</v>
      </c>
      <c r="CY26" s="96"/>
      <c r="CZ26" s="10">
        <f t="shared" si="42"/>
        <v>0</v>
      </c>
      <c r="DA26" s="10">
        <f t="shared" si="71"/>
        <v>0</v>
      </c>
      <c r="DB26" s="10">
        <f t="shared" si="43"/>
        <v>0</v>
      </c>
      <c r="DC26" s="96"/>
      <c r="DD26" s="10">
        <f t="shared" si="44"/>
        <v>0</v>
      </c>
      <c r="DE26" s="10">
        <f t="shared" si="72"/>
        <v>0</v>
      </c>
      <c r="DF26" s="10">
        <f t="shared" si="45"/>
        <v>0</v>
      </c>
      <c r="DG26" s="96"/>
      <c r="DH26" s="10"/>
      <c r="DI26" s="10"/>
      <c r="DJ26" s="10"/>
      <c r="DK26" s="10">
        <f t="shared" si="73"/>
        <v>0</v>
      </c>
      <c r="DL26" s="10">
        <f t="shared" si="46"/>
        <v>0</v>
      </c>
      <c r="DM26" s="10">
        <f t="shared" si="74"/>
        <v>0</v>
      </c>
      <c r="DN26" s="10">
        <f t="shared" si="47"/>
        <v>0</v>
      </c>
      <c r="DO26" s="96">
        <v>6116.9729369494662</v>
      </c>
      <c r="DP26" s="10">
        <f t="shared" si="75"/>
        <v>14.525742180848045</v>
      </c>
      <c r="DQ26" s="10">
        <f t="shared" si="76"/>
        <v>122494.6593994194</v>
      </c>
      <c r="DR26" s="10">
        <f t="shared" si="77"/>
        <v>14.553219110138668</v>
      </c>
      <c r="DS26" s="96">
        <v>23332.463008035851</v>
      </c>
      <c r="DT26" s="15">
        <f t="shared" si="78"/>
        <v>55.406709428393029</v>
      </c>
      <c r="DU26" s="10">
        <f t="shared" si="79"/>
        <v>461010.98588373716</v>
      </c>
      <c r="DV26" s="10">
        <f t="shared" si="80"/>
        <v>54.771317563081226</v>
      </c>
      <c r="DW26" s="96">
        <v>10027.62855431927</v>
      </c>
      <c r="DX26" s="15">
        <f t="shared" si="81"/>
        <v>23.812226826360902</v>
      </c>
      <c r="DY26" s="10">
        <f t="shared" si="82"/>
        <v>10027.62855431927</v>
      </c>
      <c r="DZ26" s="450">
        <f t="shared" si="83"/>
        <v>1.1913521472821296</v>
      </c>
      <c r="EA26" s="96">
        <v>977.66390434245091</v>
      </c>
      <c r="EB26" s="10">
        <f t="shared" si="84"/>
        <v>2.3216211613782143</v>
      </c>
      <c r="EC26" s="10">
        <f t="shared" si="85"/>
        <v>28083.180185917328</v>
      </c>
      <c r="ED26" s="10">
        <f t="shared" si="86"/>
        <v>3.3364774967250272</v>
      </c>
      <c r="EE26" s="96">
        <v>1656.530771905424</v>
      </c>
      <c r="EF26" s="10" t="e">
        <f t="shared" si="87"/>
        <v>#DIV/0!</v>
      </c>
      <c r="EG26" s="10">
        <f t="shared" si="88"/>
        <v>25924.786199994134</v>
      </c>
      <c r="EH26" s="10" t="e">
        <f t="shared" si="89"/>
        <v>#DIV/0!</v>
      </c>
      <c r="EI26" s="87"/>
      <c r="EJ26" s="87">
        <f t="shared" si="90"/>
        <v>0</v>
      </c>
      <c r="EK26" s="10">
        <f t="shared" si="91"/>
        <v>1922.4926906567453</v>
      </c>
      <c r="EL26" s="87">
        <f t="shared" si="92"/>
        <v>0.22840552806092596</v>
      </c>
      <c r="EM26" s="87">
        <f t="shared" si="93"/>
        <v>42111.259175552463</v>
      </c>
      <c r="EN26" s="10">
        <f t="shared" si="94"/>
        <v>100</v>
      </c>
      <c r="EO26" s="10">
        <f t="shared" si="95"/>
        <v>841701.47149150027</v>
      </c>
      <c r="EP26" s="10">
        <f t="shared" si="96"/>
        <v>100</v>
      </c>
      <c r="EQ26" s="10">
        <f t="shared" si="97"/>
        <v>42111.259175552463</v>
      </c>
      <c r="ER26" s="10">
        <f t="shared" si="98"/>
        <v>841701.47149150027</v>
      </c>
      <c r="ES26" s="10">
        <f t="shared" si="48"/>
        <v>0.8086345061265523</v>
      </c>
      <c r="ET26" s="10">
        <f t="shared" si="49"/>
        <v>0.99464858429918601</v>
      </c>
      <c r="EU26" s="6"/>
      <c r="EV26" s="451">
        <f t="shared" si="99"/>
        <v>0</v>
      </c>
      <c r="EW26" s="451">
        <f>(SUM($EU$10:EU26))/(SUM($EM$10:EM26))</f>
        <v>0</v>
      </c>
      <c r="EX26" s="3"/>
      <c r="FB26" s="14"/>
    </row>
    <row r="27" spans="1:159">
      <c r="A27" s="16">
        <f>+Chem!A27</f>
        <v>46099</v>
      </c>
      <c r="B27" s="6" t="str">
        <f>+Chem!B27</f>
        <v>Toilet /Towel</v>
      </c>
      <c r="C27" s="16" t="str">
        <f>+Chem!C27</f>
        <v>15/22</v>
      </c>
      <c r="D27" s="8">
        <f>+Chem!D27</f>
        <v>56.817999999999998</v>
      </c>
      <c r="E27" s="7">
        <f>+Chem!E27</f>
        <v>59.319000000000003</v>
      </c>
      <c r="F27" s="7">
        <f t="shared" si="100"/>
        <v>905.54899999999998</v>
      </c>
      <c r="G27" s="96"/>
      <c r="H27" s="10">
        <f t="shared" si="0"/>
        <v>0</v>
      </c>
      <c r="I27" s="8">
        <f t="shared" si="50"/>
        <v>0</v>
      </c>
      <c r="J27" s="10">
        <f t="shared" si="1"/>
        <v>0</v>
      </c>
      <c r="K27" s="96"/>
      <c r="L27" s="10">
        <f t="shared" si="2"/>
        <v>0</v>
      </c>
      <c r="M27" s="10">
        <f t="shared" si="51"/>
        <v>0</v>
      </c>
      <c r="N27" s="10">
        <f t="shared" si="3"/>
        <v>0</v>
      </c>
      <c r="O27" s="96"/>
      <c r="P27" s="10">
        <f t="shared" si="4"/>
        <v>0</v>
      </c>
      <c r="Q27" s="10">
        <f t="shared" si="52"/>
        <v>0</v>
      </c>
      <c r="R27" s="10">
        <f t="shared" si="5"/>
        <v>0</v>
      </c>
      <c r="S27" s="96"/>
      <c r="T27" s="10">
        <f t="shared" si="6"/>
        <v>0</v>
      </c>
      <c r="U27" s="10">
        <f t="shared" si="53"/>
        <v>0</v>
      </c>
      <c r="V27" s="10">
        <f t="shared" si="7"/>
        <v>0</v>
      </c>
      <c r="W27" s="96"/>
      <c r="X27" s="10">
        <f t="shared" si="8"/>
        <v>0</v>
      </c>
      <c r="Y27" s="10">
        <f t="shared" si="54"/>
        <v>0</v>
      </c>
      <c r="Z27" s="10">
        <f t="shared" si="9"/>
        <v>0</v>
      </c>
      <c r="AA27" s="96"/>
      <c r="AB27" s="10">
        <f t="shared" si="10"/>
        <v>0</v>
      </c>
      <c r="AC27" s="10">
        <f t="shared" si="55"/>
        <v>0</v>
      </c>
      <c r="AD27" s="10">
        <f t="shared" si="11"/>
        <v>0</v>
      </c>
      <c r="AE27" s="96"/>
      <c r="AF27" s="10">
        <f t="shared" si="12"/>
        <v>0</v>
      </c>
      <c r="AG27" s="10">
        <f t="shared" si="56"/>
        <v>0</v>
      </c>
      <c r="AH27" s="10">
        <f t="shared" si="13"/>
        <v>0</v>
      </c>
      <c r="AI27" s="96"/>
      <c r="AJ27" s="10">
        <f t="shared" si="14"/>
        <v>0</v>
      </c>
      <c r="AK27" s="10">
        <f t="shared" si="57"/>
        <v>0</v>
      </c>
      <c r="AL27" s="10">
        <f t="shared" si="15"/>
        <v>0</v>
      </c>
      <c r="AM27" s="96"/>
      <c r="AN27" s="10">
        <f t="shared" si="16"/>
        <v>0</v>
      </c>
      <c r="AO27" s="10">
        <f t="shared" si="58"/>
        <v>0</v>
      </c>
      <c r="AP27" s="10">
        <f t="shared" si="17"/>
        <v>0</v>
      </c>
      <c r="AQ27" s="96"/>
      <c r="AR27" s="10">
        <f t="shared" si="18"/>
        <v>0</v>
      </c>
      <c r="AS27" s="10">
        <f t="shared" si="59"/>
        <v>0</v>
      </c>
      <c r="AT27" s="10">
        <f t="shared" si="19"/>
        <v>0</v>
      </c>
      <c r="AU27" s="247"/>
      <c r="AV27" s="10">
        <f t="shared" si="20"/>
        <v>0</v>
      </c>
      <c r="AW27" s="8">
        <f t="shared" si="60"/>
        <v>0</v>
      </c>
      <c r="AX27" s="10">
        <f t="shared" si="21"/>
        <v>0</v>
      </c>
      <c r="AY27" s="96"/>
      <c r="AZ27" s="10">
        <f t="shared" si="22"/>
        <v>0</v>
      </c>
      <c r="BA27" s="10">
        <f t="shared" si="61"/>
        <v>0</v>
      </c>
      <c r="BB27" s="10">
        <f t="shared" si="23"/>
        <v>0</v>
      </c>
      <c r="BC27" s="96"/>
      <c r="BD27" s="10">
        <f t="shared" si="24"/>
        <v>0</v>
      </c>
      <c r="BE27" s="10">
        <f t="shared" si="62"/>
        <v>0</v>
      </c>
      <c r="BF27" s="10">
        <f t="shared" si="25"/>
        <v>0</v>
      </c>
      <c r="BG27" s="96"/>
      <c r="BH27" s="10">
        <f t="shared" si="26"/>
        <v>0</v>
      </c>
      <c r="BI27" s="10">
        <f t="shared" si="63"/>
        <v>0</v>
      </c>
      <c r="BJ27" s="10">
        <f t="shared" si="27"/>
        <v>0</v>
      </c>
      <c r="BK27" s="96"/>
      <c r="BL27" s="10"/>
      <c r="BM27" s="10"/>
      <c r="BN27" s="10"/>
      <c r="BO27" s="96"/>
      <c r="BP27" s="10"/>
      <c r="BQ27" s="10"/>
      <c r="BR27" s="10"/>
      <c r="BS27" s="96"/>
      <c r="BT27" s="10"/>
      <c r="BU27" s="10"/>
      <c r="BV27" s="10"/>
      <c r="BW27" s="10">
        <f t="shared" si="64"/>
        <v>0</v>
      </c>
      <c r="BX27" s="10">
        <f t="shared" si="28"/>
        <v>0</v>
      </c>
      <c r="BY27" s="10">
        <f t="shared" si="65"/>
        <v>0</v>
      </c>
      <c r="BZ27" s="10">
        <f t="shared" si="29"/>
        <v>0</v>
      </c>
      <c r="CA27" s="96"/>
      <c r="CB27" s="10">
        <f t="shared" si="30"/>
        <v>0</v>
      </c>
      <c r="CC27" s="10"/>
      <c r="CD27" s="10">
        <f t="shared" si="31"/>
        <v>0</v>
      </c>
      <c r="CE27" s="96"/>
      <c r="CF27" s="10">
        <f t="shared" si="32"/>
        <v>0</v>
      </c>
      <c r="CG27" s="10">
        <f t="shared" si="66"/>
        <v>0</v>
      </c>
      <c r="CH27" s="10">
        <f t="shared" si="33"/>
        <v>0</v>
      </c>
      <c r="CI27" s="96"/>
      <c r="CJ27" s="10">
        <f t="shared" si="34"/>
        <v>0</v>
      </c>
      <c r="CK27" s="10">
        <f t="shared" si="67"/>
        <v>0</v>
      </c>
      <c r="CL27" s="10">
        <f t="shared" si="35"/>
        <v>0</v>
      </c>
      <c r="CM27" s="96"/>
      <c r="CN27" s="10">
        <f t="shared" si="36"/>
        <v>0</v>
      </c>
      <c r="CO27" s="10">
        <f t="shared" si="68"/>
        <v>0</v>
      </c>
      <c r="CP27" s="10">
        <f t="shared" si="37"/>
        <v>0</v>
      </c>
      <c r="CQ27" s="96"/>
      <c r="CR27" s="10">
        <f t="shared" si="38"/>
        <v>0</v>
      </c>
      <c r="CS27" s="10">
        <f t="shared" si="69"/>
        <v>0</v>
      </c>
      <c r="CT27" s="10">
        <f t="shared" si="39"/>
        <v>0</v>
      </c>
      <c r="CU27" s="96"/>
      <c r="CV27" s="10">
        <f t="shared" si="40"/>
        <v>0</v>
      </c>
      <c r="CW27" s="10">
        <f t="shared" si="70"/>
        <v>0</v>
      </c>
      <c r="CX27" s="10">
        <f t="shared" si="41"/>
        <v>0</v>
      </c>
      <c r="CY27" s="96"/>
      <c r="CZ27" s="10">
        <f t="shared" si="42"/>
        <v>0</v>
      </c>
      <c r="DA27" s="10">
        <f t="shared" si="71"/>
        <v>0</v>
      </c>
      <c r="DB27" s="10">
        <f t="shared" si="43"/>
        <v>0</v>
      </c>
      <c r="DC27" s="96"/>
      <c r="DD27" s="10">
        <f t="shared" si="44"/>
        <v>0</v>
      </c>
      <c r="DE27" s="10">
        <f t="shared" si="72"/>
        <v>0</v>
      </c>
      <c r="DF27" s="10">
        <f t="shared" si="45"/>
        <v>0</v>
      </c>
      <c r="DG27" s="96"/>
      <c r="DH27" s="10"/>
      <c r="DI27" s="10"/>
      <c r="DJ27" s="10"/>
      <c r="DK27" s="10">
        <f t="shared" si="73"/>
        <v>0</v>
      </c>
      <c r="DL27" s="10">
        <f t="shared" si="46"/>
        <v>0</v>
      </c>
      <c r="DM27" s="10">
        <f t="shared" si="74"/>
        <v>0</v>
      </c>
      <c r="DN27" s="10">
        <f t="shared" si="47"/>
        <v>0</v>
      </c>
      <c r="DO27" s="96">
        <v>7455.35</v>
      </c>
      <c r="DP27" s="10">
        <f t="shared" si="75"/>
        <v>14.372667804345026</v>
      </c>
      <c r="DQ27" s="10">
        <f t="shared" si="76"/>
        <v>129950.0093994194</v>
      </c>
      <c r="DR27" s="10">
        <f t="shared" si="77"/>
        <v>14.54273814800939</v>
      </c>
      <c r="DS27" s="96">
        <v>28841.51</v>
      </c>
      <c r="DT27" s="15">
        <f t="shared" si="78"/>
        <v>55.601607195597133</v>
      </c>
      <c r="DU27" s="10">
        <f t="shared" si="79"/>
        <v>489852.49588373717</v>
      </c>
      <c r="DV27" s="10">
        <f t="shared" si="80"/>
        <v>54.819515686913569</v>
      </c>
      <c r="DW27" s="96">
        <v>12373.87</v>
      </c>
      <c r="DX27" s="15">
        <f t="shared" si="81"/>
        <v>23.854751683576332</v>
      </c>
      <c r="DY27" s="10">
        <f t="shared" si="82"/>
        <v>12373.87</v>
      </c>
      <c r="DZ27" s="450">
        <f t="shared" si="83"/>
        <v>1.3847628955101328</v>
      </c>
      <c r="EA27" s="96">
        <v>1126.8800000000001</v>
      </c>
      <c r="EB27" s="10">
        <f t="shared" si="84"/>
        <v>2.172436155963211</v>
      </c>
      <c r="EC27" s="10">
        <f t="shared" si="85"/>
        <v>29210.060185917329</v>
      </c>
      <c r="ED27" s="10">
        <f t="shared" si="86"/>
        <v>3.268905162336126</v>
      </c>
      <c r="EE27" s="96">
        <v>2074.11</v>
      </c>
      <c r="EF27" s="10" t="e">
        <f t="shared" si="87"/>
        <v>#DIV/0!</v>
      </c>
      <c r="EG27" s="10">
        <f t="shared" si="88"/>
        <v>27998.896199994135</v>
      </c>
      <c r="EH27" s="10" t="e">
        <f t="shared" si="89"/>
        <v>#DIV/0!</v>
      </c>
      <c r="EI27" s="87"/>
      <c r="EJ27" s="87">
        <f t="shared" si="90"/>
        <v>0</v>
      </c>
      <c r="EK27" s="10">
        <f t="shared" si="91"/>
        <v>1922.4926906567453</v>
      </c>
      <c r="EL27" s="87">
        <f t="shared" si="92"/>
        <v>0.21514663924147417</v>
      </c>
      <c r="EM27" s="87">
        <f t="shared" si="93"/>
        <v>51871.72</v>
      </c>
      <c r="EN27" s="10">
        <f t="shared" si="94"/>
        <v>100</v>
      </c>
      <c r="EO27" s="10">
        <f t="shared" si="95"/>
        <v>893573.19149150024</v>
      </c>
      <c r="EP27" s="10">
        <f t="shared" si="96"/>
        <v>100</v>
      </c>
      <c r="EQ27" s="10">
        <f t="shared" si="97"/>
        <v>51871.72</v>
      </c>
      <c r="ER27" s="10">
        <f t="shared" si="98"/>
        <v>893573.19149150024</v>
      </c>
      <c r="ES27" s="10">
        <f t="shared" si="48"/>
        <v>0.87445371634720748</v>
      </c>
      <c r="ET27" s="10">
        <f t="shared" si="49"/>
        <v>0.98677508504951161</v>
      </c>
      <c r="EU27" s="6"/>
      <c r="EV27" s="451">
        <f t="shared" si="99"/>
        <v>0</v>
      </c>
      <c r="EW27" s="451">
        <f>(SUM($EU$10:EU27))/(SUM($EM$10:EM27))</f>
        <v>0</v>
      </c>
      <c r="EX27" s="3"/>
      <c r="FB27" s="14"/>
    </row>
    <row r="28" spans="1:159">
      <c r="A28" s="16">
        <f>+Chem!A28</f>
        <v>46100</v>
      </c>
      <c r="B28" s="6" t="str">
        <f>+Chem!B28</f>
        <v>Towel</v>
      </c>
      <c r="C28" s="16" t="str">
        <f>+Chem!C28</f>
        <v>22</v>
      </c>
      <c r="D28" s="8">
        <f>+Chem!D28</f>
        <v>60.469000000000001</v>
      </c>
      <c r="E28" s="7">
        <f>+Chem!E28</f>
        <v>57.947000000000003</v>
      </c>
      <c r="F28" s="7">
        <f t="shared" si="100"/>
        <v>963.49599999999998</v>
      </c>
      <c r="G28" s="96"/>
      <c r="H28" s="10">
        <f t="shared" si="0"/>
        <v>0</v>
      </c>
      <c r="I28" s="8">
        <f t="shared" si="50"/>
        <v>0</v>
      </c>
      <c r="J28" s="10">
        <f t="shared" si="1"/>
        <v>0</v>
      </c>
      <c r="K28" s="96"/>
      <c r="L28" s="10">
        <f t="shared" si="2"/>
        <v>0</v>
      </c>
      <c r="M28" s="10">
        <f t="shared" si="51"/>
        <v>0</v>
      </c>
      <c r="N28" s="10">
        <f t="shared" si="3"/>
        <v>0</v>
      </c>
      <c r="O28" s="96"/>
      <c r="P28" s="10">
        <f t="shared" si="4"/>
        <v>0</v>
      </c>
      <c r="Q28" s="10">
        <f t="shared" si="52"/>
        <v>0</v>
      </c>
      <c r="R28" s="10">
        <f t="shared" si="5"/>
        <v>0</v>
      </c>
      <c r="S28" s="96"/>
      <c r="T28" s="10">
        <f t="shared" si="6"/>
        <v>0</v>
      </c>
      <c r="U28" s="10">
        <f t="shared" si="53"/>
        <v>0</v>
      </c>
      <c r="V28" s="10">
        <f t="shared" si="7"/>
        <v>0</v>
      </c>
      <c r="W28" s="96"/>
      <c r="X28" s="10">
        <f t="shared" si="8"/>
        <v>0</v>
      </c>
      <c r="Y28" s="10">
        <f t="shared" si="54"/>
        <v>0</v>
      </c>
      <c r="Z28" s="10">
        <f t="shared" si="9"/>
        <v>0</v>
      </c>
      <c r="AA28" s="96"/>
      <c r="AB28" s="10">
        <f t="shared" si="10"/>
        <v>0</v>
      </c>
      <c r="AC28" s="10">
        <f t="shared" si="55"/>
        <v>0</v>
      </c>
      <c r="AD28" s="10">
        <f t="shared" si="11"/>
        <v>0</v>
      </c>
      <c r="AE28" s="96"/>
      <c r="AF28" s="10">
        <f t="shared" si="12"/>
        <v>0</v>
      </c>
      <c r="AG28" s="10">
        <f t="shared" si="56"/>
        <v>0</v>
      </c>
      <c r="AH28" s="10">
        <f t="shared" si="13"/>
        <v>0</v>
      </c>
      <c r="AI28" s="96"/>
      <c r="AJ28" s="10">
        <f t="shared" si="14"/>
        <v>0</v>
      </c>
      <c r="AK28" s="10">
        <f t="shared" si="57"/>
        <v>0</v>
      </c>
      <c r="AL28" s="10">
        <f t="shared" si="15"/>
        <v>0</v>
      </c>
      <c r="AM28" s="96"/>
      <c r="AN28" s="10">
        <f t="shared" si="16"/>
        <v>0</v>
      </c>
      <c r="AO28" s="10">
        <f t="shared" si="58"/>
        <v>0</v>
      </c>
      <c r="AP28" s="10">
        <f t="shared" si="17"/>
        <v>0</v>
      </c>
      <c r="AQ28" s="96"/>
      <c r="AR28" s="10">
        <f t="shared" si="18"/>
        <v>0</v>
      </c>
      <c r="AS28" s="10">
        <f t="shared" si="59"/>
        <v>0</v>
      </c>
      <c r="AT28" s="10">
        <f t="shared" si="19"/>
        <v>0</v>
      </c>
      <c r="AU28" s="247"/>
      <c r="AV28" s="10">
        <f t="shared" si="20"/>
        <v>0</v>
      </c>
      <c r="AW28" s="8">
        <f t="shared" si="60"/>
        <v>0</v>
      </c>
      <c r="AX28" s="10">
        <f t="shared" si="21"/>
        <v>0</v>
      </c>
      <c r="AY28" s="96"/>
      <c r="AZ28" s="10">
        <f t="shared" si="22"/>
        <v>0</v>
      </c>
      <c r="BA28" s="10">
        <f t="shared" si="61"/>
        <v>0</v>
      </c>
      <c r="BB28" s="10">
        <f t="shared" si="23"/>
        <v>0</v>
      </c>
      <c r="BC28" s="96"/>
      <c r="BD28" s="10">
        <f t="shared" si="24"/>
        <v>0</v>
      </c>
      <c r="BE28" s="10">
        <f t="shared" si="62"/>
        <v>0</v>
      </c>
      <c r="BF28" s="10">
        <f t="shared" si="25"/>
        <v>0</v>
      </c>
      <c r="BG28" s="96"/>
      <c r="BH28" s="10">
        <f t="shared" si="26"/>
        <v>0</v>
      </c>
      <c r="BI28" s="10">
        <f t="shared" si="63"/>
        <v>0</v>
      </c>
      <c r="BJ28" s="10">
        <f t="shared" si="27"/>
        <v>0</v>
      </c>
      <c r="BK28" s="96"/>
      <c r="BL28" s="10"/>
      <c r="BM28" s="10"/>
      <c r="BN28" s="10"/>
      <c r="BO28" s="96"/>
      <c r="BP28" s="10"/>
      <c r="BQ28" s="10"/>
      <c r="BR28" s="10"/>
      <c r="BS28" s="96"/>
      <c r="BT28" s="10"/>
      <c r="BU28" s="10"/>
      <c r="BV28" s="10"/>
      <c r="BW28" s="10">
        <f t="shared" si="64"/>
        <v>0</v>
      </c>
      <c r="BX28" s="10">
        <f t="shared" si="28"/>
        <v>0</v>
      </c>
      <c r="BY28" s="10">
        <f t="shared" si="65"/>
        <v>0</v>
      </c>
      <c r="BZ28" s="10">
        <f t="shared" si="29"/>
        <v>0</v>
      </c>
      <c r="CA28" s="96"/>
      <c r="CB28" s="10">
        <f t="shared" si="30"/>
        <v>0</v>
      </c>
      <c r="CC28" s="10"/>
      <c r="CD28" s="10">
        <f t="shared" si="31"/>
        <v>0</v>
      </c>
      <c r="CE28" s="96"/>
      <c r="CF28" s="10">
        <f t="shared" si="32"/>
        <v>0</v>
      </c>
      <c r="CG28" s="10">
        <f t="shared" si="66"/>
        <v>0</v>
      </c>
      <c r="CH28" s="10">
        <f t="shared" si="33"/>
        <v>0</v>
      </c>
      <c r="CI28" s="96"/>
      <c r="CJ28" s="10">
        <f t="shared" si="34"/>
        <v>0</v>
      </c>
      <c r="CK28" s="10">
        <f t="shared" si="67"/>
        <v>0</v>
      </c>
      <c r="CL28" s="10">
        <f t="shared" si="35"/>
        <v>0</v>
      </c>
      <c r="CM28" s="96"/>
      <c r="CN28" s="10">
        <f t="shared" si="36"/>
        <v>0</v>
      </c>
      <c r="CO28" s="10">
        <f t="shared" si="68"/>
        <v>0</v>
      </c>
      <c r="CP28" s="10">
        <f t="shared" si="37"/>
        <v>0</v>
      </c>
      <c r="CQ28" s="96"/>
      <c r="CR28" s="10">
        <f t="shared" si="38"/>
        <v>0</v>
      </c>
      <c r="CS28" s="10">
        <f t="shared" si="69"/>
        <v>0</v>
      </c>
      <c r="CT28" s="10">
        <f t="shared" si="39"/>
        <v>0</v>
      </c>
      <c r="CU28" s="96"/>
      <c r="CV28" s="10">
        <f t="shared" si="40"/>
        <v>0</v>
      </c>
      <c r="CW28" s="10">
        <f t="shared" si="70"/>
        <v>0</v>
      </c>
      <c r="CX28" s="10">
        <f t="shared" si="41"/>
        <v>0</v>
      </c>
      <c r="CY28" s="96"/>
      <c r="CZ28" s="10">
        <f t="shared" si="42"/>
        <v>0</v>
      </c>
      <c r="DA28" s="10">
        <f t="shared" si="71"/>
        <v>0</v>
      </c>
      <c r="DB28" s="10">
        <f t="shared" si="43"/>
        <v>0</v>
      </c>
      <c r="DC28" s="96"/>
      <c r="DD28" s="10">
        <f t="shared" si="44"/>
        <v>0</v>
      </c>
      <c r="DE28" s="10">
        <f t="shared" si="72"/>
        <v>0</v>
      </c>
      <c r="DF28" s="10">
        <f t="shared" si="45"/>
        <v>0</v>
      </c>
      <c r="DG28" s="96"/>
      <c r="DH28" s="10"/>
      <c r="DI28" s="10"/>
      <c r="DJ28" s="10"/>
      <c r="DK28" s="10">
        <f t="shared" si="73"/>
        <v>0</v>
      </c>
      <c r="DL28" s="10">
        <f t="shared" si="46"/>
        <v>0</v>
      </c>
      <c r="DM28" s="10">
        <f t="shared" si="74"/>
        <v>0</v>
      </c>
      <c r="DN28" s="10">
        <f t="shared" si="47"/>
        <v>0</v>
      </c>
      <c r="DO28" s="96">
        <v>8308.57</v>
      </c>
      <c r="DP28" s="10">
        <f t="shared" si="75"/>
        <v>14.293298385852326</v>
      </c>
      <c r="DQ28" s="10">
        <f t="shared" si="76"/>
        <v>138258.5793994194</v>
      </c>
      <c r="DR28" s="10">
        <f t="shared" si="77"/>
        <v>14.52750258954309</v>
      </c>
      <c r="DS28" s="96">
        <v>32097.47</v>
      </c>
      <c r="DT28" s="15">
        <f t="shared" si="78"/>
        <v>55.217530350101583</v>
      </c>
      <c r="DU28" s="10">
        <f t="shared" si="79"/>
        <v>521949.9658837372</v>
      </c>
      <c r="DV28" s="10">
        <f t="shared" si="80"/>
        <v>54.843826067981148</v>
      </c>
      <c r="DW28" s="96">
        <v>13905.63</v>
      </c>
      <c r="DX28" s="15">
        <f t="shared" si="81"/>
        <v>23.921964770503187</v>
      </c>
      <c r="DY28" s="10">
        <f t="shared" si="82"/>
        <v>13905.63</v>
      </c>
      <c r="DZ28" s="450">
        <f t="shared" si="83"/>
        <v>1.4611322979865393</v>
      </c>
      <c r="EA28" s="96">
        <v>1190.1500000000001</v>
      </c>
      <c r="EB28" s="10">
        <f t="shared" si="84"/>
        <v>2.0474244152630532</v>
      </c>
      <c r="EC28" s="10">
        <f t="shared" si="85"/>
        <v>30400.210185917331</v>
      </c>
      <c r="ED28" s="10">
        <f t="shared" si="86"/>
        <v>3.1942982064259717</v>
      </c>
      <c r="EE28" s="96">
        <v>2627.31</v>
      </c>
      <c r="EF28" s="10" t="e">
        <f t="shared" si="87"/>
        <v>#DIV/0!</v>
      </c>
      <c r="EG28" s="10">
        <f t="shared" si="88"/>
        <v>30626.206199994136</v>
      </c>
      <c r="EH28" s="10" t="e">
        <f t="shared" si="89"/>
        <v>#DIV/0!</v>
      </c>
      <c r="EI28" s="87"/>
      <c r="EJ28" s="87">
        <f t="shared" si="90"/>
        <v>0</v>
      </c>
      <c r="EK28" s="10">
        <f t="shared" si="91"/>
        <v>1922.4926906567453</v>
      </c>
      <c r="EL28" s="87">
        <f t="shared" si="92"/>
        <v>0.20200567417381415</v>
      </c>
      <c r="EM28" s="87">
        <f t="shared" si="93"/>
        <v>58129.13</v>
      </c>
      <c r="EN28" s="10">
        <f t="shared" si="94"/>
        <v>100</v>
      </c>
      <c r="EO28" s="10">
        <f t="shared" si="95"/>
        <v>951702.32149150025</v>
      </c>
      <c r="EP28" s="10">
        <f t="shared" si="96"/>
        <v>100</v>
      </c>
      <c r="EQ28" s="10">
        <f t="shared" si="97"/>
        <v>58129.13</v>
      </c>
      <c r="ER28" s="10">
        <f t="shared" si="98"/>
        <v>951702.32149150025</v>
      </c>
      <c r="ES28" s="10">
        <f t="shared" si="48"/>
        <v>1.0031430445061866</v>
      </c>
      <c r="ET28" s="10">
        <f t="shared" si="49"/>
        <v>0.98775949406276753</v>
      </c>
      <c r="EU28" s="6"/>
      <c r="EV28" s="451">
        <f t="shared" si="99"/>
        <v>0</v>
      </c>
      <c r="EW28" s="451">
        <f>(SUM($EU$10:EU28))/(SUM($EM$10:EM28))</f>
        <v>0</v>
      </c>
      <c r="EX28" s="3"/>
      <c r="FB28" s="14"/>
    </row>
    <row r="29" spans="1:159">
      <c r="A29" s="16">
        <f>+Chem!A29</f>
        <v>46101</v>
      </c>
      <c r="B29" s="6" t="str">
        <f>+Chem!B29</f>
        <v>Towel</v>
      </c>
      <c r="C29" s="16" t="str">
        <f>+Chem!C29</f>
        <v>22</v>
      </c>
      <c r="D29" s="8">
        <f>+Chem!D29</f>
        <v>56.71</v>
      </c>
      <c r="E29" s="7">
        <f>+Chem!E29</f>
        <v>56.204000000000001</v>
      </c>
      <c r="F29" s="7">
        <f t="shared" si="100"/>
        <v>1019.6999999999999</v>
      </c>
      <c r="G29" s="96"/>
      <c r="H29" s="10">
        <f t="shared" si="0"/>
        <v>0</v>
      </c>
      <c r="I29" s="8">
        <f t="shared" si="50"/>
        <v>0</v>
      </c>
      <c r="J29" s="10">
        <f t="shared" si="1"/>
        <v>0</v>
      </c>
      <c r="K29" s="96"/>
      <c r="L29" s="10">
        <f t="shared" si="2"/>
        <v>0</v>
      </c>
      <c r="M29" s="10">
        <f t="shared" si="51"/>
        <v>0</v>
      </c>
      <c r="N29" s="10">
        <f t="shared" si="3"/>
        <v>0</v>
      </c>
      <c r="O29" s="96"/>
      <c r="P29" s="10">
        <f t="shared" si="4"/>
        <v>0</v>
      </c>
      <c r="Q29" s="10">
        <f t="shared" si="52"/>
        <v>0</v>
      </c>
      <c r="R29" s="10">
        <f t="shared" si="5"/>
        <v>0</v>
      </c>
      <c r="S29" s="96"/>
      <c r="T29" s="10">
        <f t="shared" si="6"/>
        <v>0</v>
      </c>
      <c r="U29" s="10">
        <f t="shared" si="53"/>
        <v>0</v>
      </c>
      <c r="V29" s="10">
        <f t="shared" si="7"/>
        <v>0</v>
      </c>
      <c r="W29" s="96"/>
      <c r="X29" s="10">
        <f t="shared" si="8"/>
        <v>0</v>
      </c>
      <c r="Y29" s="10">
        <f t="shared" si="54"/>
        <v>0</v>
      </c>
      <c r="Z29" s="10">
        <f t="shared" si="9"/>
        <v>0</v>
      </c>
      <c r="AA29" s="96"/>
      <c r="AB29" s="10">
        <f t="shared" si="10"/>
        <v>0</v>
      </c>
      <c r="AC29" s="10">
        <f t="shared" si="55"/>
        <v>0</v>
      </c>
      <c r="AD29" s="10">
        <f t="shared" si="11"/>
        <v>0</v>
      </c>
      <c r="AE29" s="96"/>
      <c r="AF29" s="10">
        <f t="shared" si="12"/>
        <v>0</v>
      </c>
      <c r="AG29" s="10">
        <f t="shared" si="56"/>
        <v>0</v>
      </c>
      <c r="AH29" s="10">
        <f t="shared" si="13"/>
        <v>0</v>
      </c>
      <c r="AI29" s="96"/>
      <c r="AJ29" s="10">
        <f t="shared" si="14"/>
        <v>0</v>
      </c>
      <c r="AK29" s="10">
        <f t="shared" si="57"/>
        <v>0</v>
      </c>
      <c r="AL29" s="10">
        <f t="shared" si="15"/>
        <v>0</v>
      </c>
      <c r="AM29" s="96"/>
      <c r="AN29" s="10">
        <f t="shared" si="16"/>
        <v>0</v>
      </c>
      <c r="AO29" s="10">
        <f t="shared" si="58"/>
        <v>0</v>
      </c>
      <c r="AP29" s="10">
        <f t="shared" si="17"/>
        <v>0</v>
      </c>
      <c r="AQ29" s="96"/>
      <c r="AR29" s="10">
        <f t="shared" si="18"/>
        <v>0</v>
      </c>
      <c r="AS29" s="10">
        <f t="shared" si="59"/>
        <v>0</v>
      </c>
      <c r="AT29" s="10">
        <f t="shared" si="19"/>
        <v>0</v>
      </c>
      <c r="AU29" s="247"/>
      <c r="AV29" s="10">
        <f t="shared" si="20"/>
        <v>0</v>
      </c>
      <c r="AW29" s="8">
        <f t="shared" si="60"/>
        <v>0</v>
      </c>
      <c r="AX29" s="10">
        <f t="shared" si="21"/>
        <v>0</v>
      </c>
      <c r="AY29" s="96"/>
      <c r="AZ29" s="10">
        <f t="shared" si="22"/>
        <v>0</v>
      </c>
      <c r="BA29" s="10">
        <f t="shared" si="61"/>
        <v>0</v>
      </c>
      <c r="BB29" s="10">
        <f t="shared" si="23"/>
        <v>0</v>
      </c>
      <c r="BC29" s="96"/>
      <c r="BD29" s="10">
        <f t="shared" si="24"/>
        <v>0</v>
      </c>
      <c r="BE29" s="10">
        <f t="shared" si="62"/>
        <v>0</v>
      </c>
      <c r="BF29" s="10">
        <f t="shared" si="25"/>
        <v>0</v>
      </c>
      <c r="BG29" s="96"/>
      <c r="BH29" s="10">
        <f t="shared" si="26"/>
        <v>0</v>
      </c>
      <c r="BI29" s="10">
        <f t="shared" si="63"/>
        <v>0</v>
      </c>
      <c r="BJ29" s="10">
        <f t="shared" si="27"/>
        <v>0</v>
      </c>
      <c r="BK29" s="96"/>
      <c r="BL29" s="10"/>
      <c r="BM29" s="10"/>
      <c r="BN29" s="10"/>
      <c r="BO29" s="96"/>
      <c r="BP29" s="10"/>
      <c r="BQ29" s="10"/>
      <c r="BR29" s="10"/>
      <c r="BS29" s="96"/>
      <c r="BT29" s="10"/>
      <c r="BU29" s="10"/>
      <c r="BV29" s="10"/>
      <c r="BW29" s="10">
        <f t="shared" si="64"/>
        <v>0</v>
      </c>
      <c r="BX29" s="10">
        <f t="shared" si="28"/>
        <v>0</v>
      </c>
      <c r="BY29" s="10">
        <f t="shared" si="65"/>
        <v>0</v>
      </c>
      <c r="BZ29" s="10">
        <f t="shared" si="29"/>
        <v>0</v>
      </c>
      <c r="CA29" s="96"/>
      <c r="CB29" s="10">
        <f t="shared" si="30"/>
        <v>0</v>
      </c>
      <c r="CC29" s="10"/>
      <c r="CD29" s="10">
        <f t="shared" si="31"/>
        <v>0</v>
      </c>
      <c r="CE29" s="96"/>
      <c r="CF29" s="10">
        <f t="shared" si="32"/>
        <v>0</v>
      </c>
      <c r="CG29" s="10">
        <f t="shared" si="66"/>
        <v>0</v>
      </c>
      <c r="CH29" s="10">
        <f t="shared" si="33"/>
        <v>0</v>
      </c>
      <c r="CI29" s="96"/>
      <c r="CJ29" s="10">
        <f t="shared" si="34"/>
        <v>0</v>
      </c>
      <c r="CK29" s="10">
        <f t="shared" si="67"/>
        <v>0</v>
      </c>
      <c r="CL29" s="10">
        <f t="shared" si="35"/>
        <v>0</v>
      </c>
      <c r="CM29" s="96"/>
      <c r="CN29" s="10">
        <f t="shared" si="36"/>
        <v>0</v>
      </c>
      <c r="CO29" s="10">
        <f t="shared" si="68"/>
        <v>0</v>
      </c>
      <c r="CP29" s="10">
        <f t="shared" si="37"/>
        <v>0</v>
      </c>
      <c r="CQ29" s="96"/>
      <c r="CR29" s="10">
        <f t="shared" si="38"/>
        <v>0</v>
      </c>
      <c r="CS29" s="10">
        <f t="shared" si="69"/>
        <v>0</v>
      </c>
      <c r="CT29" s="10">
        <f t="shared" si="39"/>
        <v>0</v>
      </c>
      <c r="CU29" s="96"/>
      <c r="CV29" s="10">
        <f t="shared" si="40"/>
        <v>0</v>
      </c>
      <c r="CW29" s="10">
        <f t="shared" si="70"/>
        <v>0</v>
      </c>
      <c r="CX29" s="10">
        <f t="shared" si="41"/>
        <v>0</v>
      </c>
      <c r="CY29" s="96"/>
      <c r="CZ29" s="10">
        <f t="shared" si="42"/>
        <v>0</v>
      </c>
      <c r="DA29" s="10">
        <f t="shared" si="71"/>
        <v>0</v>
      </c>
      <c r="DB29" s="10">
        <f t="shared" si="43"/>
        <v>0</v>
      </c>
      <c r="DC29" s="96"/>
      <c r="DD29" s="10">
        <f t="shared" si="44"/>
        <v>0</v>
      </c>
      <c r="DE29" s="10">
        <f t="shared" si="72"/>
        <v>0</v>
      </c>
      <c r="DF29" s="10">
        <f t="shared" si="45"/>
        <v>0</v>
      </c>
      <c r="DG29" s="96"/>
      <c r="DH29" s="10"/>
      <c r="DI29" s="10"/>
      <c r="DJ29" s="10"/>
      <c r="DK29" s="10">
        <f t="shared" si="73"/>
        <v>0</v>
      </c>
      <c r="DL29" s="10">
        <f t="shared" si="46"/>
        <v>0</v>
      </c>
      <c r="DM29" s="10">
        <f t="shared" si="74"/>
        <v>0</v>
      </c>
      <c r="DN29" s="10">
        <f t="shared" si="47"/>
        <v>0</v>
      </c>
      <c r="DO29" s="96">
        <v>8566.995493143002</v>
      </c>
      <c r="DP29" s="10">
        <f t="shared" si="75"/>
        <v>14.549857947929764</v>
      </c>
      <c r="DQ29" s="10">
        <f t="shared" si="76"/>
        <v>146825.57489256241</v>
      </c>
      <c r="DR29" s="10">
        <f t="shared" si="77"/>
        <v>14.528805095173958</v>
      </c>
      <c r="DS29" s="96">
        <v>32337.391438905979</v>
      </c>
      <c r="DT29" s="15">
        <f t="shared" si="78"/>
        <v>54.920590564016578</v>
      </c>
      <c r="DU29" s="10">
        <f t="shared" si="79"/>
        <v>554287.35732264316</v>
      </c>
      <c r="DV29" s="10">
        <f t="shared" si="80"/>
        <v>54.84829865064377</v>
      </c>
      <c r="DW29" s="96">
        <v>13703.353546490262</v>
      </c>
      <c r="DX29" s="15">
        <f t="shared" si="81"/>
        <v>23.273252293791625</v>
      </c>
      <c r="DY29" s="10">
        <f t="shared" si="82"/>
        <v>13703.353546490262</v>
      </c>
      <c r="DZ29" s="450">
        <f t="shared" si="83"/>
        <v>1.3559855152816644</v>
      </c>
      <c r="EA29" s="96">
        <v>1266.9500377183313</v>
      </c>
      <c r="EB29" s="10">
        <f t="shared" si="84"/>
        <v>2.1517395556797538</v>
      </c>
      <c r="EC29" s="10">
        <f t="shared" si="85"/>
        <v>31667.160223635663</v>
      </c>
      <c r="ED29" s="10">
        <f t="shared" si="86"/>
        <v>3.1335548942580984</v>
      </c>
      <c r="EE29" s="96">
        <v>2797.1624209365755</v>
      </c>
      <c r="EF29" s="10" t="e">
        <f t="shared" si="87"/>
        <v>#DIV/0!</v>
      </c>
      <c r="EG29" s="10">
        <f t="shared" si="88"/>
        <v>33423.368620930712</v>
      </c>
      <c r="EH29" s="10" t="e">
        <f t="shared" si="89"/>
        <v>#DIV/0!</v>
      </c>
      <c r="EI29" s="87">
        <v>208.41602352076444</v>
      </c>
      <c r="EJ29" s="87">
        <f t="shared" si="90"/>
        <v>0.35396581435424523</v>
      </c>
      <c r="EK29" s="10">
        <f t="shared" si="91"/>
        <v>2130.9087141775099</v>
      </c>
      <c r="EL29" s="87">
        <f t="shared" si="92"/>
        <v>0.21085943240165772</v>
      </c>
      <c r="EM29" s="87">
        <f t="shared" si="93"/>
        <v>58880.268960714915</v>
      </c>
      <c r="EN29" s="10">
        <f t="shared" si="94"/>
        <v>100</v>
      </c>
      <c r="EO29" s="10">
        <f t="shared" si="95"/>
        <v>1010582.5904522152</v>
      </c>
      <c r="EP29" s="10">
        <f t="shared" si="96"/>
        <v>100</v>
      </c>
      <c r="EQ29" s="10">
        <f t="shared" si="97"/>
        <v>58880.268960714915</v>
      </c>
      <c r="ER29" s="10">
        <f t="shared" si="98"/>
        <v>1010582.5904522152</v>
      </c>
      <c r="ES29" s="10">
        <f t="shared" si="48"/>
        <v>1.047617055026598</v>
      </c>
      <c r="ET29" s="10">
        <f t="shared" si="49"/>
        <v>0.9910587334041534</v>
      </c>
      <c r="EU29" s="6"/>
      <c r="EV29" s="451">
        <f t="shared" si="99"/>
        <v>0</v>
      </c>
      <c r="EW29" s="451">
        <f>(SUM($EU$10:EU29))/(SUM($EM$10:EM29))</f>
        <v>0</v>
      </c>
      <c r="EX29" s="3"/>
      <c r="FB29" s="14"/>
    </row>
    <row r="30" spans="1:159">
      <c r="A30" s="16">
        <f>+Chem!A30</f>
        <v>46102</v>
      </c>
      <c r="B30" s="6" t="str">
        <f>+Chem!B30</f>
        <v>Towel</v>
      </c>
      <c r="C30" s="16" t="str">
        <f>+Chem!C30</f>
        <v>22</v>
      </c>
      <c r="D30" s="8">
        <f>+Chem!D30</f>
        <v>60.215000000000003</v>
      </c>
      <c r="E30" s="7">
        <f>+Chem!E30</f>
        <v>57.914000000000001</v>
      </c>
      <c r="F30" s="7">
        <f t="shared" si="100"/>
        <v>1077.614</v>
      </c>
      <c r="G30" s="96"/>
      <c r="H30" s="10">
        <f t="shared" si="0"/>
        <v>0</v>
      </c>
      <c r="I30" s="8">
        <f t="shared" si="50"/>
        <v>0</v>
      </c>
      <c r="J30" s="10">
        <f t="shared" si="1"/>
        <v>0</v>
      </c>
      <c r="K30" s="96"/>
      <c r="L30" s="10">
        <f t="shared" si="2"/>
        <v>0</v>
      </c>
      <c r="M30" s="10">
        <f t="shared" si="51"/>
        <v>0</v>
      </c>
      <c r="N30" s="10">
        <f t="shared" si="3"/>
        <v>0</v>
      </c>
      <c r="O30" s="96"/>
      <c r="P30" s="10">
        <f t="shared" si="4"/>
        <v>0</v>
      </c>
      <c r="Q30" s="10">
        <f t="shared" si="52"/>
        <v>0</v>
      </c>
      <c r="R30" s="10">
        <f t="shared" si="5"/>
        <v>0</v>
      </c>
      <c r="S30" s="96"/>
      <c r="T30" s="10">
        <f t="shared" si="6"/>
        <v>0</v>
      </c>
      <c r="U30" s="10">
        <f t="shared" si="53"/>
        <v>0</v>
      </c>
      <c r="V30" s="10">
        <f t="shared" si="7"/>
        <v>0</v>
      </c>
      <c r="W30" s="96"/>
      <c r="X30" s="10">
        <f t="shared" si="8"/>
        <v>0</v>
      </c>
      <c r="Y30" s="10">
        <f t="shared" si="54"/>
        <v>0</v>
      </c>
      <c r="Z30" s="10">
        <f t="shared" si="9"/>
        <v>0</v>
      </c>
      <c r="AA30" s="96"/>
      <c r="AB30" s="10">
        <f t="shared" si="10"/>
        <v>0</v>
      </c>
      <c r="AC30" s="10">
        <f t="shared" si="55"/>
        <v>0</v>
      </c>
      <c r="AD30" s="10">
        <f t="shared" si="11"/>
        <v>0</v>
      </c>
      <c r="AE30" s="96"/>
      <c r="AF30" s="10">
        <f t="shared" si="12"/>
        <v>0</v>
      </c>
      <c r="AG30" s="10">
        <f t="shared" si="56"/>
        <v>0</v>
      </c>
      <c r="AH30" s="10">
        <f t="shared" si="13"/>
        <v>0</v>
      </c>
      <c r="AI30" s="96"/>
      <c r="AJ30" s="10">
        <f t="shared" si="14"/>
        <v>0</v>
      </c>
      <c r="AK30" s="10">
        <f t="shared" si="57"/>
        <v>0</v>
      </c>
      <c r="AL30" s="10">
        <f t="shared" si="15"/>
        <v>0</v>
      </c>
      <c r="AM30" s="96"/>
      <c r="AN30" s="10">
        <f t="shared" si="16"/>
        <v>0</v>
      </c>
      <c r="AO30" s="10">
        <f t="shared" si="58"/>
        <v>0</v>
      </c>
      <c r="AP30" s="10">
        <f t="shared" si="17"/>
        <v>0</v>
      </c>
      <c r="AQ30" s="96"/>
      <c r="AR30" s="10">
        <f t="shared" si="18"/>
        <v>0</v>
      </c>
      <c r="AS30" s="10">
        <f t="shared" si="59"/>
        <v>0</v>
      </c>
      <c r="AT30" s="10">
        <f t="shared" si="19"/>
        <v>0</v>
      </c>
      <c r="AU30" s="247"/>
      <c r="AV30" s="10">
        <f t="shared" si="20"/>
        <v>0</v>
      </c>
      <c r="AW30" s="8">
        <f t="shared" si="60"/>
        <v>0</v>
      </c>
      <c r="AX30" s="10">
        <f t="shared" si="21"/>
        <v>0</v>
      </c>
      <c r="AY30" s="96"/>
      <c r="AZ30" s="10">
        <f t="shared" si="22"/>
        <v>0</v>
      </c>
      <c r="BA30" s="10">
        <f t="shared" si="61"/>
        <v>0</v>
      </c>
      <c r="BB30" s="10">
        <f t="shared" si="23"/>
        <v>0</v>
      </c>
      <c r="BC30" s="96"/>
      <c r="BD30" s="10">
        <f t="shared" si="24"/>
        <v>0</v>
      </c>
      <c r="BE30" s="10">
        <f t="shared" si="62"/>
        <v>0</v>
      </c>
      <c r="BF30" s="10">
        <f t="shared" si="25"/>
        <v>0</v>
      </c>
      <c r="BG30" s="96">
        <v>0</v>
      </c>
      <c r="BH30" s="10">
        <f t="shared" si="26"/>
        <v>0</v>
      </c>
      <c r="BI30" s="10">
        <f t="shared" si="63"/>
        <v>0</v>
      </c>
      <c r="BJ30" s="10">
        <f t="shared" si="27"/>
        <v>0</v>
      </c>
      <c r="BK30" s="96"/>
      <c r="BL30" s="10"/>
      <c r="BM30" s="10"/>
      <c r="BN30" s="10"/>
      <c r="BO30" s="96"/>
      <c r="BP30" s="10"/>
      <c r="BQ30" s="10"/>
      <c r="BR30" s="10"/>
      <c r="BS30" s="96"/>
      <c r="BT30" s="10"/>
      <c r="BU30" s="10"/>
      <c r="BV30" s="10"/>
      <c r="BW30" s="10">
        <f t="shared" si="64"/>
        <v>0</v>
      </c>
      <c r="BX30" s="10">
        <f t="shared" si="28"/>
        <v>0</v>
      </c>
      <c r="BY30" s="10">
        <f t="shared" si="65"/>
        <v>0</v>
      </c>
      <c r="BZ30" s="10">
        <f t="shared" si="29"/>
        <v>0</v>
      </c>
      <c r="CA30" s="96"/>
      <c r="CB30" s="10">
        <f t="shared" si="30"/>
        <v>0</v>
      </c>
      <c r="CC30" s="10"/>
      <c r="CD30" s="10">
        <f t="shared" si="31"/>
        <v>0</v>
      </c>
      <c r="CE30" s="96"/>
      <c r="CF30" s="10">
        <f t="shared" si="32"/>
        <v>0</v>
      </c>
      <c r="CG30" s="10">
        <f t="shared" si="66"/>
        <v>0</v>
      </c>
      <c r="CH30" s="10">
        <f t="shared" si="33"/>
        <v>0</v>
      </c>
      <c r="CI30" s="96"/>
      <c r="CJ30" s="10">
        <f t="shared" si="34"/>
        <v>0</v>
      </c>
      <c r="CK30" s="10">
        <f t="shared" si="67"/>
        <v>0</v>
      </c>
      <c r="CL30" s="10">
        <f t="shared" si="35"/>
        <v>0</v>
      </c>
      <c r="CM30" s="96"/>
      <c r="CN30" s="10">
        <f t="shared" si="36"/>
        <v>0</v>
      </c>
      <c r="CO30" s="10">
        <f t="shared" si="68"/>
        <v>0</v>
      </c>
      <c r="CP30" s="10">
        <f t="shared" si="37"/>
        <v>0</v>
      </c>
      <c r="CQ30" s="96"/>
      <c r="CR30" s="10">
        <f t="shared" si="38"/>
        <v>0</v>
      </c>
      <c r="CS30" s="10">
        <f t="shared" si="69"/>
        <v>0</v>
      </c>
      <c r="CT30" s="10">
        <f t="shared" si="39"/>
        <v>0</v>
      </c>
      <c r="CU30" s="96"/>
      <c r="CV30" s="10">
        <f t="shared" si="40"/>
        <v>0</v>
      </c>
      <c r="CW30" s="10">
        <f t="shared" si="70"/>
        <v>0</v>
      </c>
      <c r="CX30" s="10">
        <f t="shared" si="41"/>
        <v>0</v>
      </c>
      <c r="CY30" s="96"/>
      <c r="CZ30" s="10">
        <f t="shared" si="42"/>
        <v>0</v>
      </c>
      <c r="DA30" s="10">
        <f t="shared" si="71"/>
        <v>0</v>
      </c>
      <c r="DB30" s="10">
        <f t="shared" si="43"/>
        <v>0</v>
      </c>
      <c r="DC30" s="96"/>
      <c r="DD30" s="10">
        <f t="shared" si="44"/>
        <v>0</v>
      </c>
      <c r="DE30" s="10">
        <f t="shared" si="72"/>
        <v>0</v>
      </c>
      <c r="DF30" s="10">
        <f t="shared" si="45"/>
        <v>0</v>
      </c>
      <c r="DG30" s="96"/>
      <c r="DH30" s="10"/>
      <c r="DI30" s="10"/>
      <c r="DJ30" s="10"/>
      <c r="DK30" s="10">
        <f t="shared" si="73"/>
        <v>0</v>
      </c>
      <c r="DL30" s="10">
        <f t="shared" si="46"/>
        <v>0</v>
      </c>
      <c r="DM30" s="10">
        <f t="shared" si="74"/>
        <v>0</v>
      </c>
      <c r="DN30" s="10">
        <f t="shared" si="47"/>
        <v>0</v>
      </c>
      <c r="DO30" s="96">
        <v>8699.7907845466161</v>
      </c>
      <c r="DP30" s="10">
        <f t="shared" si="75"/>
        <v>14.348100126057989</v>
      </c>
      <c r="DQ30" s="10">
        <f t="shared" si="76"/>
        <v>155525.36567710902</v>
      </c>
      <c r="DR30" s="10">
        <f t="shared" si="77"/>
        <v>14.518576704268158</v>
      </c>
      <c r="DS30" s="96">
        <v>33641.738822953404</v>
      </c>
      <c r="DT30" s="15">
        <f t="shared" si="78"/>
        <v>55.483522420313356</v>
      </c>
      <c r="DU30" s="10">
        <f t="shared" si="79"/>
        <v>587929.09614559659</v>
      </c>
      <c r="DV30" s="10">
        <f t="shared" si="80"/>
        <v>54.884254037264398</v>
      </c>
      <c r="DW30" s="96">
        <v>14519.669652652479</v>
      </c>
      <c r="DX30" s="15">
        <f t="shared" si="81"/>
        <v>23.94651539708266</v>
      </c>
      <c r="DY30" s="10">
        <f t="shared" si="82"/>
        <v>14519.669652652479</v>
      </c>
      <c r="DZ30" s="450">
        <f t="shared" si="83"/>
        <v>1.3554376590268127</v>
      </c>
      <c r="EA30" s="96">
        <v>3073.7258937557235</v>
      </c>
      <c r="EB30" s="10">
        <f t="shared" si="84"/>
        <v>5.0693318926706299</v>
      </c>
      <c r="EC30" s="10">
        <f t="shared" si="85"/>
        <v>34740.88611739139</v>
      </c>
      <c r="ED30" s="10">
        <f t="shared" si="86"/>
        <v>3.2431251177172444</v>
      </c>
      <c r="EE30" s="96">
        <v>698.82222806524442</v>
      </c>
      <c r="EF30" s="10" t="e">
        <f t="shared" si="87"/>
        <v>#DIV/0!</v>
      </c>
      <c r="EG30" s="10">
        <f t="shared" si="88"/>
        <v>34122.190848995961</v>
      </c>
      <c r="EH30" s="10" t="e">
        <f t="shared" si="89"/>
        <v>#DIV/0!</v>
      </c>
      <c r="EI30" s="87"/>
      <c r="EJ30" s="87">
        <f t="shared" si="90"/>
        <v>0</v>
      </c>
      <c r="EK30" s="10">
        <f t="shared" si="91"/>
        <v>2130.9087141775099</v>
      </c>
      <c r="EL30" s="87">
        <f t="shared" si="92"/>
        <v>0.19892421716474498</v>
      </c>
      <c r="EM30" s="87">
        <f t="shared" si="93"/>
        <v>60633.747381973459</v>
      </c>
      <c r="EN30" s="10">
        <f t="shared" si="94"/>
        <v>100</v>
      </c>
      <c r="EO30" s="10">
        <f t="shared" si="95"/>
        <v>1071216.3378341887</v>
      </c>
      <c r="EP30" s="10">
        <f t="shared" si="96"/>
        <v>100</v>
      </c>
      <c r="EQ30" s="10">
        <f t="shared" si="97"/>
        <v>60633.747381973459</v>
      </c>
      <c r="ER30" s="10">
        <f t="shared" si="98"/>
        <v>1071216.3378341887</v>
      </c>
      <c r="ES30" s="10">
        <f t="shared" si="48"/>
        <v>1.0469618292981568</v>
      </c>
      <c r="ET30" s="10">
        <f t="shared" si="49"/>
        <v>0.99406312263406804</v>
      </c>
      <c r="EU30" s="6"/>
      <c r="EV30" s="451">
        <f t="shared" si="99"/>
        <v>0</v>
      </c>
      <c r="EW30" s="451">
        <f>(SUM($EU$10:EU30))/(SUM($EM$10:EM30))</f>
        <v>0</v>
      </c>
      <c r="EX30" s="3"/>
    </row>
    <row r="31" spans="1:159">
      <c r="A31" s="16">
        <f>+Chem!A31</f>
        <v>46103</v>
      </c>
      <c r="B31" s="6" t="str">
        <f>+Chem!B31</f>
        <v>Towel/Toilet</v>
      </c>
      <c r="C31" s="16" t="str">
        <f>+Chem!C31</f>
        <v>22/15</v>
      </c>
      <c r="D31" s="8">
        <f>+Chem!D31</f>
        <v>54.510999999999996</v>
      </c>
      <c r="E31" s="7">
        <f>+Chem!E31</f>
        <v>54.481999999999999</v>
      </c>
      <c r="F31" s="7">
        <f t="shared" si="100"/>
        <v>1132.096</v>
      </c>
      <c r="G31" s="97"/>
      <c r="H31" s="87">
        <f t="shared" si="0"/>
        <v>0</v>
      </c>
      <c r="I31" s="8">
        <f t="shared" si="50"/>
        <v>0</v>
      </c>
      <c r="J31" s="87">
        <f t="shared" si="1"/>
        <v>0</v>
      </c>
      <c r="K31" s="97"/>
      <c r="L31" s="87">
        <f t="shared" si="2"/>
        <v>0</v>
      </c>
      <c r="M31" s="87">
        <f t="shared" si="51"/>
        <v>0</v>
      </c>
      <c r="N31" s="87">
        <f t="shared" si="3"/>
        <v>0</v>
      </c>
      <c r="O31" s="97"/>
      <c r="P31" s="87">
        <f t="shared" si="4"/>
        <v>0</v>
      </c>
      <c r="Q31" s="87">
        <f t="shared" si="52"/>
        <v>0</v>
      </c>
      <c r="R31" s="87">
        <f t="shared" si="5"/>
        <v>0</v>
      </c>
      <c r="S31" s="97"/>
      <c r="T31" s="87">
        <f t="shared" si="6"/>
        <v>0</v>
      </c>
      <c r="U31" s="87">
        <f t="shared" si="53"/>
        <v>0</v>
      </c>
      <c r="V31" s="87">
        <f t="shared" si="7"/>
        <v>0</v>
      </c>
      <c r="W31" s="97"/>
      <c r="X31" s="87">
        <f t="shared" si="8"/>
        <v>0</v>
      </c>
      <c r="Y31" s="87">
        <f t="shared" si="54"/>
        <v>0</v>
      </c>
      <c r="Z31" s="87">
        <f t="shared" si="9"/>
        <v>0</v>
      </c>
      <c r="AA31" s="97"/>
      <c r="AB31" s="87">
        <f t="shared" si="10"/>
        <v>0</v>
      </c>
      <c r="AC31" s="87">
        <f t="shared" si="55"/>
        <v>0</v>
      </c>
      <c r="AD31" s="87">
        <f t="shared" si="11"/>
        <v>0</v>
      </c>
      <c r="AE31" s="97"/>
      <c r="AF31" s="87">
        <f t="shared" si="12"/>
        <v>0</v>
      </c>
      <c r="AG31" s="87">
        <f t="shared" si="56"/>
        <v>0</v>
      </c>
      <c r="AH31" s="87">
        <f t="shared" si="13"/>
        <v>0</v>
      </c>
      <c r="AI31" s="97"/>
      <c r="AJ31" s="87">
        <f t="shared" si="14"/>
        <v>0</v>
      </c>
      <c r="AK31" s="87">
        <f t="shared" si="57"/>
        <v>0</v>
      </c>
      <c r="AL31" s="87">
        <f t="shared" si="15"/>
        <v>0</v>
      </c>
      <c r="AM31" s="97"/>
      <c r="AN31" s="87">
        <f t="shared" si="16"/>
        <v>0</v>
      </c>
      <c r="AO31" s="87">
        <f t="shared" si="58"/>
        <v>0</v>
      </c>
      <c r="AP31" s="87">
        <f t="shared" si="17"/>
        <v>0</v>
      </c>
      <c r="AQ31" s="97"/>
      <c r="AR31" s="87">
        <f t="shared" si="18"/>
        <v>0</v>
      </c>
      <c r="AS31" s="87">
        <f t="shared" si="59"/>
        <v>0</v>
      </c>
      <c r="AT31" s="87">
        <f t="shared" si="19"/>
        <v>0</v>
      </c>
      <c r="AU31" s="247"/>
      <c r="AV31" s="87">
        <f t="shared" si="20"/>
        <v>0</v>
      </c>
      <c r="AW31" s="8">
        <f t="shared" si="60"/>
        <v>0</v>
      </c>
      <c r="AX31" s="87">
        <f t="shared" si="21"/>
        <v>0</v>
      </c>
      <c r="AY31" s="97"/>
      <c r="AZ31" s="87">
        <f t="shared" si="22"/>
        <v>0</v>
      </c>
      <c r="BA31" s="87">
        <f t="shared" si="61"/>
        <v>0</v>
      </c>
      <c r="BB31" s="87">
        <f t="shared" si="23"/>
        <v>0</v>
      </c>
      <c r="BC31" s="97"/>
      <c r="BD31" s="87">
        <f t="shared" si="24"/>
        <v>0</v>
      </c>
      <c r="BE31" s="87">
        <f t="shared" si="62"/>
        <v>0</v>
      </c>
      <c r="BF31" s="87">
        <f t="shared" si="25"/>
        <v>0</v>
      </c>
      <c r="BG31" s="97"/>
      <c r="BH31" s="87">
        <f t="shared" si="26"/>
        <v>0</v>
      </c>
      <c r="BI31" s="87">
        <f t="shared" si="63"/>
        <v>0</v>
      </c>
      <c r="BJ31" s="87">
        <f t="shared" si="27"/>
        <v>0</v>
      </c>
      <c r="BK31" s="97"/>
      <c r="BL31" s="87"/>
      <c r="BM31" s="87"/>
      <c r="BN31" s="87"/>
      <c r="BO31" s="97"/>
      <c r="BP31" s="87"/>
      <c r="BQ31" s="87"/>
      <c r="BR31" s="87"/>
      <c r="BS31" s="97"/>
      <c r="BT31" s="87"/>
      <c r="BU31" s="87"/>
      <c r="BV31" s="87"/>
      <c r="BW31" s="87">
        <f t="shared" si="64"/>
        <v>0</v>
      </c>
      <c r="BX31" s="87">
        <f t="shared" si="28"/>
        <v>0</v>
      </c>
      <c r="BY31" s="87">
        <f t="shared" si="65"/>
        <v>0</v>
      </c>
      <c r="BZ31" s="87">
        <f t="shared" si="29"/>
        <v>0</v>
      </c>
      <c r="CA31" s="97"/>
      <c r="CB31" s="87">
        <f t="shared" si="30"/>
        <v>0</v>
      </c>
      <c r="CC31" s="87"/>
      <c r="CD31" s="87">
        <f t="shared" si="31"/>
        <v>0</v>
      </c>
      <c r="CE31" s="97"/>
      <c r="CF31" s="87">
        <f t="shared" si="32"/>
        <v>0</v>
      </c>
      <c r="CG31" s="87">
        <f t="shared" si="66"/>
        <v>0</v>
      </c>
      <c r="CH31" s="87">
        <f t="shared" si="33"/>
        <v>0</v>
      </c>
      <c r="CI31" s="97"/>
      <c r="CJ31" s="87">
        <f t="shared" si="34"/>
        <v>0</v>
      </c>
      <c r="CK31" s="87">
        <f t="shared" si="67"/>
        <v>0</v>
      </c>
      <c r="CL31" s="87">
        <f t="shared" si="35"/>
        <v>0</v>
      </c>
      <c r="CM31" s="97"/>
      <c r="CN31" s="87">
        <f t="shared" si="36"/>
        <v>0</v>
      </c>
      <c r="CO31" s="87">
        <f t="shared" si="68"/>
        <v>0</v>
      </c>
      <c r="CP31" s="87">
        <f t="shared" si="37"/>
        <v>0</v>
      </c>
      <c r="CQ31" s="97"/>
      <c r="CR31" s="87">
        <f t="shared" si="38"/>
        <v>0</v>
      </c>
      <c r="CS31" s="87">
        <f t="shared" si="69"/>
        <v>0</v>
      </c>
      <c r="CT31" s="87">
        <f t="shared" si="39"/>
        <v>0</v>
      </c>
      <c r="CU31" s="97"/>
      <c r="CV31" s="87">
        <f t="shared" si="40"/>
        <v>0</v>
      </c>
      <c r="CW31" s="87">
        <f t="shared" si="70"/>
        <v>0</v>
      </c>
      <c r="CX31" s="87">
        <f t="shared" si="41"/>
        <v>0</v>
      </c>
      <c r="CY31" s="97"/>
      <c r="CZ31" s="87">
        <f t="shared" si="42"/>
        <v>0</v>
      </c>
      <c r="DA31" s="87">
        <f t="shared" si="71"/>
        <v>0</v>
      </c>
      <c r="DB31" s="87">
        <f t="shared" si="43"/>
        <v>0</v>
      </c>
      <c r="DC31" s="97"/>
      <c r="DD31" s="87">
        <f t="shared" si="44"/>
        <v>0</v>
      </c>
      <c r="DE31" s="87">
        <f t="shared" si="72"/>
        <v>0</v>
      </c>
      <c r="DF31" s="87">
        <f t="shared" si="45"/>
        <v>0</v>
      </c>
      <c r="DG31" s="97"/>
      <c r="DH31" s="87"/>
      <c r="DI31" s="87"/>
      <c r="DJ31" s="87"/>
      <c r="DK31" s="87">
        <f t="shared" si="73"/>
        <v>0</v>
      </c>
      <c r="DL31" s="87">
        <f t="shared" si="46"/>
        <v>0</v>
      </c>
      <c r="DM31" s="87">
        <f t="shared" si="74"/>
        <v>0</v>
      </c>
      <c r="DN31" s="87">
        <f t="shared" si="47"/>
        <v>0</v>
      </c>
      <c r="DO31" s="97">
        <v>7762.1930653906256</v>
      </c>
      <c r="DP31" s="87">
        <f t="shared" si="75"/>
        <v>14.21965317919075</v>
      </c>
      <c r="DQ31" s="87">
        <f t="shared" si="76"/>
        <v>163287.55874249965</v>
      </c>
      <c r="DR31" s="87">
        <f t="shared" si="77"/>
        <v>14.504082556034358</v>
      </c>
      <c r="DS31" s="97">
        <v>30394.03443185984</v>
      </c>
      <c r="DT31" s="88">
        <f t="shared" si="78"/>
        <v>55.679190751445084</v>
      </c>
      <c r="DU31" s="87">
        <f t="shared" si="79"/>
        <v>618323.13057745644</v>
      </c>
      <c r="DV31" s="87">
        <f t="shared" si="80"/>
        <v>54.922798780669389</v>
      </c>
      <c r="DW31" s="97">
        <v>13202.564831072606</v>
      </c>
      <c r="DX31" s="88">
        <f t="shared" si="81"/>
        <v>24.185934489402698</v>
      </c>
      <c r="DY31" s="87">
        <f t="shared" si="82"/>
        <v>13202.564831072606</v>
      </c>
      <c r="DZ31" s="452">
        <f t="shared" si="83"/>
        <v>1.1727230888622047</v>
      </c>
      <c r="EA31" s="97">
        <v>3228.9881721882416</v>
      </c>
      <c r="EB31" s="87">
        <f t="shared" si="84"/>
        <v>5.9152215799614636</v>
      </c>
      <c r="EC31" s="87">
        <f t="shared" si="85"/>
        <v>37969.874289579631</v>
      </c>
      <c r="ED31" s="87">
        <f t="shared" si="86"/>
        <v>3.3726892335182628</v>
      </c>
      <c r="EE31" s="97">
        <v>0</v>
      </c>
      <c r="EF31" s="87" t="e">
        <f t="shared" si="87"/>
        <v>#DIV/0!</v>
      </c>
      <c r="EG31" s="87">
        <f t="shared" si="88"/>
        <v>34122.190848995961</v>
      </c>
      <c r="EH31" s="87" t="e">
        <f t="shared" si="89"/>
        <v>#DIV/0!</v>
      </c>
      <c r="EI31" s="87"/>
      <c r="EJ31" s="87">
        <f t="shared" si="90"/>
        <v>0</v>
      </c>
      <c r="EK31" s="87">
        <f t="shared" si="91"/>
        <v>2130.9087141775099</v>
      </c>
      <c r="EL31" s="87">
        <f t="shared" si="92"/>
        <v>0.1892788167562906</v>
      </c>
      <c r="EM31" s="87">
        <f t="shared" si="93"/>
        <v>54587.780500511319</v>
      </c>
      <c r="EN31" s="87">
        <f t="shared" si="94"/>
        <v>100</v>
      </c>
      <c r="EO31" s="87">
        <f t="shared" si="95"/>
        <v>1125804.1183347001</v>
      </c>
      <c r="EP31" s="87">
        <f t="shared" si="96"/>
        <v>100</v>
      </c>
      <c r="EQ31" s="87">
        <f t="shared" si="97"/>
        <v>54587.780500511319</v>
      </c>
      <c r="ER31" s="87">
        <f t="shared" si="98"/>
        <v>1125804.1183347001</v>
      </c>
      <c r="ES31" s="87">
        <f t="shared" si="48"/>
        <v>1.0019415678666592</v>
      </c>
      <c r="ET31" s="87">
        <f t="shared" si="49"/>
        <v>0.99444227197578672</v>
      </c>
      <c r="EU31" s="6"/>
      <c r="EV31" s="451">
        <f t="shared" si="99"/>
        <v>0</v>
      </c>
      <c r="EW31" s="451">
        <f>(SUM($EU$10:EU31))/(SUM($EM$10:EM31))</f>
        <v>0</v>
      </c>
      <c r="EX31" s="364"/>
    </row>
    <row r="32" spans="1:159">
      <c r="A32" s="16">
        <f>+Chem!A32</f>
        <v>46104</v>
      </c>
      <c r="B32" s="6" t="str">
        <f>+Chem!B32</f>
        <v>Toilet</v>
      </c>
      <c r="C32" s="16" t="str">
        <f>+Chem!C32</f>
        <v>15/13,5</v>
      </c>
      <c r="D32" s="8">
        <f>+Chem!D32</f>
        <v>52.420999999999999</v>
      </c>
      <c r="E32" s="7">
        <f>+Chem!E32</f>
        <v>45.463999999999999</v>
      </c>
      <c r="F32" s="7">
        <f t="shared" si="100"/>
        <v>1177.56</v>
      </c>
      <c r="G32" s="97"/>
      <c r="H32" s="87">
        <f t="shared" si="0"/>
        <v>0</v>
      </c>
      <c r="I32" s="8">
        <f t="shared" si="50"/>
        <v>0</v>
      </c>
      <c r="J32" s="87">
        <f t="shared" si="1"/>
        <v>0</v>
      </c>
      <c r="K32" s="97"/>
      <c r="L32" s="87">
        <f t="shared" si="2"/>
        <v>0</v>
      </c>
      <c r="M32" s="87">
        <f t="shared" si="51"/>
        <v>0</v>
      </c>
      <c r="N32" s="87">
        <f t="shared" si="3"/>
        <v>0</v>
      </c>
      <c r="O32" s="97"/>
      <c r="P32" s="87">
        <f t="shared" si="4"/>
        <v>0</v>
      </c>
      <c r="Q32" s="87">
        <f t="shared" si="52"/>
        <v>0</v>
      </c>
      <c r="R32" s="87">
        <f t="shared" si="5"/>
        <v>0</v>
      </c>
      <c r="S32" s="97"/>
      <c r="T32" s="87">
        <f t="shared" si="6"/>
        <v>0</v>
      </c>
      <c r="U32" s="87">
        <f t="shared" si="53"/>
        <v>0</v>
      </c>
      <c r="V32" s="87">
        <f t="shared" si="7"/>
        <v>0</v>
      </c>
      <c r="W32" s="97"/>
      <c r="X32" s="87">
        <f t="shared" si="8"/>
        <v>0</v>
      </c>
      <c r="Y32" s="87">
        <f t="shared" si="54"/>
        <v>0</v>
      </c>
      <c r="Z32" s="87">
        <f t="shared" si="9"/>
        <v>0</v>
      </c>
      <c r="AA32" s="97"/>
      <c r="AB32" s="87">
        <f t="shared" si="10"/>
        <v>0</v>
      </c>
      <c r="AC32" s="87">
        <f t="shared" si="55"/>
        <v>0</v>
      </c>
      <c r="AD32" s="87">
        <f t="shared" si="11"/>
        <v>0</v>
      </c>
      <c r="AE32" s="97"/>
      <c r="AF32" s="87">
        <f t="shared" si="12"/>
        <v>0</v>
      </c>
      <c r="AG32" s="87">
        <f t="shared" si="56"/>
        <v>0</v>
      </c>
      <c r="AH32" s="87">
        <f t="shared" si="13"/>
        <v>0</v>
      </c>
      <c r="AI32" s="97"/>
      <c r="AJ32" s="87">
        <f t="shared" si="14"/>
        <v>0</v>
      </c>
      <c r="AK32" s="87">
        <f t="shared" si="57"/>
        <v>0</v>
      </c>
      <c r="AL32" s="87">
        <f t="shared" si="15"/>
        <v>0</v>
      </c>
      <c r="AM32" s="97"/>
      <c r="AN32" s="87">
        <f t="shared" si="16"/>
        <v>0</v>
      </c>
      <c r="AO32" s="87">
        <f t="shared" si="58"/>
        <v>0</v>
      </c>
      <c r="AP32" s="87">
        <f t="shared" si="17"/>
        <v>0</v>
      </c>
      <c r="AQ32" s="97"/>
      <c r="AR32" s="87">
        <f t="shared" si="18"/>
        <v>0</v>
      </c>
      <c r="AS32" s="87">
        <f t="shared" si="59"/>
        <v>0</v>
      </c>
      <c r="AT32" s="87">
        <f t="shared" si="19"/>
        <v>0</v>
      </c>
      <c r="AU32" s="247"/>
      <c r="AV32" s="87">
        <f t="shared" si="20"/>
        <v>0</v>
      </c>
      <c r="AW32" s="8">
        <f t="shared" si="60"/>
        <v>0</v>
      </c>
      <c r="AX32" s="87">
        <f t="shared" si="21"/>
        <v>0</v>
      </c>
      <c r="AY32" s="97"/>
      <c r="AZ32" s="87">
        <f t="shared" si="22"/>
        <v>0</v>
      </c>
      <c r="BA32" s="87">
        <f t="shared" si="61"/>
        <v>0</v>
      </c>
      <c r="BB32" s="87">
        <f t="shared" si="23"/>
        <v>0</v>
      </c>
      <c r="BC32" s="97"/>
      <c r="BD32" s="87">
        <f t="shared" si="24"/>
        <v>0</v>
      </c>
      <c r="BE32" s="87">
        <f t="shared" si="62"/>
        <v>0</v>
      </c>
      <c r="BF32" s="87">
        <f t="shared" si="25"/>
        <v>0</v>
      </c>
      <c r="BG32" s="97"/>
      <c r="BH32" s="87">
        <f t="shared" si="26"/>
        <v>0</v>
      </c>
      <c r="BI32" s="87">
        <f t="shared" si="63"/>
        <v>0</v>
      </c>
      <c r="BJ32" s="87">
        <f t="shared" si="27"/>
        <v>0</v>
      </c>
      <c r="BK32" s="97"/>
      <c r="BL32" s="87"/>
      <c r="BM32" s="87"/>
      <c r="BN32" s="87"/>
      <c r="BO32" s="97"/>
      <c r="BP32" s="87"/>
      <c r="BQ32" s="87"/>
      <c r="BR32" s="87"/>
      <c r="BS32" s="97"/>
      <c r="BT32" s="87"/>
      <c r="BU32" s="87"/>
      <c r="BV32" s="87"/>
      <c r="BW32" s="87">
        <f t="shared" si="64"/>
        <v>0</v>
      </c>
      <c r="BX32" s="87">
        <f t="shared" si="28"/>
        <v>0</v>
      </c>
      <c r="BY32" s="87">
        <f t="shared" si="65"/>
        <v>0</v>
      </c>
      <c r="BZ32" s="87">
        <f t="shared" si="29"/>
        <v>0</v>
      </c>
      <c r="CA32" s="97"/>
      <c r="CB32" s="87">
        <f t="shared" si="30"/>
        <v>0</v>
      </c>
      <c r="CC32" s="87"/>
      <c r="CD32" s="87">
        <f t="shared" si="31"/>
        <v>0</v>
      </c>
      <c r="CE32" s="97"/>
      <c r="CF32" s="87">
        <f t="shared" si="32"/>
        <v>0</v>
      </c>
      <c r="CG32" s="87">
        <f t="shared" si="66"/>
        <v>0</v>
      </c>
      <c r="CH32" s="87">
        <f t="shared" si="33"/>
        <v>0</v>
      </c>
      <c r="CI32" s="97"/>
      <c r="CJ32" s="87">
        <f t="shared" si="34"/>
        <v>0</v>
      </c>
      <c r="CK32" s="87">
        <f t="shared" si="67"/>
        <v>0</v>
      </c>
      <c r="CL32" s="87">
        <f t="shared" si="35"/>
        <v>0</v>
      </c>
      <c r="CM32" s="97"/>
      <c r="CN32" s="87">
        <f t="shared" si="36"/>
        <v>0</v>
      </c>
      <c r="CO32" s="87">
        <f t="shared" si="68"/>
        <v>0</v>
      </c>
      <c r="CP32" s="87">
        <f t="shared" si="37"/>
        <v>0</v>
      </c>
      <c r="CQ32" s="97"/>
      <c r="CR32" s="87">
        <f t="shared" si="38"/>
        <v>0</v>
      </c>
      <c r="CS32" s="87">
        <f t="shared" si="69"/>
        <v>0</v>
      </c>
      <c r="CT32" s="87">
        <f t="shared" si="39"/>
        <v>0</v>
      </c>
      <c r="CU32" s="97"/>
      <c r="CV32" s="87">
        <f t="shared" si="40"/>
        <v>0</v>
      </c>
      <c r="CW32" s="87">
        <f t="shared" si="70"/>
        <v>0</v>
      </c>
      <c r="CX32" s="87">
        <f t="shared" si="41"/>
        <v>0</v>
      </c>
      <c r="CY32" s="97"/>
      <c r="CZ32" s="87">
        <f t="shared" si="42"/>
        <v>0</v>
      </c>
      <c r="DA32" s="87">
        <f t="shared" si="71"/>
        <v>0</v>
      </c>
      <c r="DB32" s="87">
        <f t="shared" si="43"/>
        <v>0</v>
      </c>
      <c r="DC32" s="97"/>
      <c r="DD32" s="87">
        <f t="shared" si="44"/>
        <v>0</v>
      </c>
      <c r="DE32" s="87">
        <f t="shared" si="72"/>
        <v>0</v>
      </c>
      <c r="DF32" s="87">
        <f t="shared" si="45"/>
        <v>0</v>
      </c>
      <c r="DG32" s="97"/>
      <c r="DH32" s="87"/>
      <c r="DI32" s="87"/>
      <c r="DJ32" s="87"/>
      <c r="DK32" s="87">
        <f t="shared" si="73"/>
        <v>0</v>
      </c>
      <c r="DL32" s="87">
        <f t="shared" si="46"/>
        <v>0</v>
      </c>
      <c r="DM32" s="87">
        <f t="shared" si="74"/>
        <v>0</v>
      </c>
      <c r="DN32" s="87">
        <f t="shared" si="47"/>
        <v>0</v>
      </c>
      <c r="DO32" s="97">
        <v>0</v>
      </c>
      <c r="DP32" s="87">
        <f t="shared" si="75"/>
        <v>0</v>
      </c>
      <c r="DQ32" s="87">
        <f t="shared" si="76"/>
        <v>163287.55874249965</v>
      </c>
      <c r="DR32" s="87">
        <f t="shared" si="77"/>
        <v>14.026380972241675</v>
      </c>
      <c r="DS32" s="97">
        <v>26644.068483318591</v>
      </c>
      <c r="DT32" s="88">
        <f t="shared" si="78"/>
        <v>69.490695396669935</v>
      </c>
      <c r="DU32" s="87">
        <f t="shared" si="79"/>
        <v>644967.19906077499</v>
      </c>
      <c r="DV32" s="87">
        <f t="shared" si="80"/>
        <v>55.402602122873624</v>
      </c>
      <c r="DW32" s="97">
        <v>8881.3561611061978</v>
      </c>
      <c r="DX32" s="88">
        <f t="shared" si="81"/>
        <v>23.163565132223312</v>
      </c>
      <c r="DY32" s="87">
        <f t="shared" si="82"/>
        <v>8881.3561611061978</v>
      </c>
      <c r="DZ32" s="452">
        <f t="shared" si="83"/>
        <v>0.76290738881270348</v>
      </c>
      <c r="EA32" s="97">
        <v>1606.4468508460823</v>
      </c>
      <c r="EB32" s="87">
        <f t="shared" si="84"/>
        <v>4.1897921427794103</v>
      </c>
      <c r="EC32" s="87">
        <f t="shared" si="85"/>
        <v>39576.321140425716</v>
      </c>
      <c r="ED32" s="87">
        <f t="shared" si="86"/>
        <v>3.3996010600586644</v>
      </c>
      <c r="EE32" s="97">
        <v>321.28937016921645</v>
      </c>
      <c r="EF32" s="87" t="e">
        <f t="shared" si="87"/>
        <v>#DIV/0!</v>
      </c>
      <c r="EG32" s="87">
        <f t="shared" si="88"/>
        <v>34443.480219165176</v>
      </c>
      <c r="EH32" s="87" t="e">
        <f t="shared" si="89"/>
        <v>#DIV/0!</v>
      </c>
      <c r="EI32" s="87">
        <v>888.76150449406623</v>
      </c>
      <c r="EJ32" s="87">
        <f t="shared" si="90"/>
        <v>2.3179888997714659</v>
      </c>
      <c r="EK32" s="87">
        <f t="shared" si="91"/>
        <v>3019.6702186715761</v>
      </c>
      <c r="EL32" s="87">
        <f t="shared" si="92"/>
        <v>0.25938929593780435</v>
      </c>
      <c r="EM32" s="87">
        <f t="shared" si="93"/>
        <v>38341.922369934153</v>
      </c>
      <c r="EN32" s="87">
        <f t="shared" si="94"/>
        <v>100</v>
      </c>
      <c r="EO32" s="87">
        <f t="shared" si="95"/>
        <v>1164146.0407046343</v>
      </c>
      <c r="EP32" s="87">
        <f t="shared" si="96"/>
        <v>100</v>
      </c>
      <c r="EQ32" s="87">
        <f t="shared" si="97"/>
        <v>38341.922369934153</v>
      </c>
      <c r="ER32" s="87">
        <f t="shared" si="98"/>
        <v>1164146.0407046343</v>
      </c>
      <c r="ES32" s="87">
        <f t="shared" si="48"/>
        <v>0.84334687598834579</v>
      </c>
      <c r="ET32" s="87">
        <f t="shared" si="49"/>
        <v>0.98860868295851956</v>
      </c>
      <c r="EU32" s="6"/>
      <c r="EV32" s="451">
        <f t="shared" si="99"/>
        <v>0</v>
      </c>
      <c r="EW32" s="451">
        <f>(SUM($EU$10:EU32))/(SUM($EM$10:EM32))</f>
        <v>0</v>
      </c>
      <c r="EX32" s="364"/>
    </row>
    <row r="33" spans="1:154">
      <c r="A33" s="16">
        <f>+Chem!A33</f>
        <v>46105</v>
      </c>
      <c r="B33" s="6" t="str">
        <f>+Chem!B33</f>
        <v>Toilet</v>
      </c>
      <c r="C33" s="16" t="str">
        <f>+Chem!C33</f>
        <v>13,5</v>
      </c>
      <c r="D33" s="8">
        <f>+Chem!D33</f>
        <v>50.03</v>
      </c>
      <c r="E33" s="7">
        <f>+Chem!E33</f>
        <v>50.433</v>
      </c>
      <c r="F33" s="7">
        <f t="shared" si="100"/>
        <v>1227.9929999999999</v>
      </c>
      <c r="G33" s="97"/>
      <c r="H33" s="87">
        <f t="shared" si="0"/>
        <v>0</v>
      </c>
      <c r="I33" s="8">
        <f t="shared" si="50"/>
        <v>0</v>
      </c>
      <c r="J33" s="87">
        <f t="shared" si="1"/>
        <v>0</v>
      </c>
      <c r="K33" s="97"/>
      <c r="L33" s="87">
        <f t="shared" si="2"/>
        <v>0</v>
      </c>
      <c r="M33" s="87">
        <f t="shared" si="51"/>
        <v>0</v>
      </c>
      <c r="N33" s="87">
        <f t="shared" si="3"/>
        <v>0</v>
      </c>
      <c r="O33" s="97"/>
      <c r="P33" s="87">
        <f t="shared" si="4"/>
        <v>0</v>
      </c>
      <c r="Q33" s="87">
        <f t="shared" si="52"/>
        <v>0</v>
      </c>
      <c r="R33" s="87">
        <f t="shared" si="5"/>
        <v>0</v>
      </c>
      <c r="S33" s="97"/>
      <c r="T33" s="87">
        <f t="shared" si="6"/>
        <v>0</v>
      </c>
      <c r="U33" s="87">
        <f t="shared" si="53"/>
        <v>0</v>
      </c>
      <c r="V33" s="87">
        <f t="shared" si="7"/>
        <v>0</v>
      </c>
      <c r="W33" s="97"/>
      <c r="X33" s="87">
        <f t="shared" si="8"/>
        <v>0</v>
      </c>
      <c r="Y33" s="87">
        <f t="shared" si="54"/>
        <v>0</v>
      </c>
      <c r="Z33" s="87">
        <f t="shared" si="9"/>
        <v>0</v>
      </c>
      <c r="AA33" s="97"/>
      <c r="AB33" s="87">
        <f t="shared" si="10"/>
        <v>0</v>
      </c>
      <c r="AC33" s="87">
        <f t="shared" si="55"/>
        <v>0</v>
      </c>
      <c r="AD33" s="87">
        <f t="shared" si="11"/>
        <v>0</v>
      </c>
      <c r="AE33" s="97"/>
      <c r="AF33" s="87">
        <f t="shared" si="12"/>
        <v>0</v>
      </c>
      <c r="AG33" s="87">
        <f t="shared" si="56"/>
        <v>0</v>
      </c>
      <c r="AH33" s="87">
        <f t="shared" si="13"/>
        <v>0</v>
      </c>
      <c r="AI33" s="97"/>
      <c r="AJ33" s="87">
        <f t="shared" si="14"/>
        <v>0</v>
      </c>
      <c r="AK33" s="87">
        <f t="shared" si="57"/>
        <v>0</v>
      </c>
      <c r="AL33" s="87">
        <f t="shared" si="15"/>
        <v>0</v>
      </c>
      <c r="AM33" s="97"/>
      <c r="AN33" s="87">
        <f t="shared" si="16"/>
        <v>0</v>
      </c>
      <c r="AO33" s="87">
        <f t="shared" si="58"/>
        <v>0</v>
      </c>
      <c r="AP33" s="87">
        <f t="shared" si="17"/>
        <v>0</v>
      </c>
      <c r="AQ33" s="97"/>
      <c r="AR33" s="87">
        <f t="shared" si="18"/>
        <v>0</v>
      </c>
      <c r="AS33" s="87">
        <f t="shared" si="59"/>
        <v>0</v>
      </c>
      <c r="AT33" s="87">
        <f t="shared" si="19"/>
        <v>0</v>
      </c>
      <c r="AU33" s="247"/>
      <c r="AV33" s="87">
        <f t="shared" si="20"/>
        <v>0</v>
      </c>
      <c r="AW33" s="8">
        <f t="shared" si="60"/>
        <v>0</v>
      </c>
      <c r="AX33" s="87">
        <f t="shared" si="21"/>
        <v>0</v>
      </c>
      <c r="AY33" s="97"/>
      <c r="AZ33" s="87">
        <f t="shared" si="22"/>
        <v>0</v>
      </c>
      <c r="BA33" s="87">
        <f t="shared" si="61"/>
        <v>0</v>
      </c>
      <c r="BB33" s="87">
        <f t="shared" si="23"/>
        <v>0</v>
      </c>
      <c r="BC33" s="97"/>
      <c r="BD33" s="87">
        <f t="shared" si="24"/>
        <v>0</v>
      </c>
      <c r="BE33" s="87">
        <f t="shared" si="62"/>
        <v>0</v>
      </c>
      <c r="BF33" s="87">
        <f t="shared" si="25"/>
        <v>0</v>
      </c>
      <c r="BG33" s="97"/>
      <c r="BH33" s="87">
        <f t="shared" si="26"/>
        <v>0</v>
      </c>
      <c r="BI33" s="87">
        <f t="shared" si="63"/>
        <v>0</v>
      </c>
      <c r="BJ33" s="87">
        <f t="shared" si="27"/>
        <v>0</v>
      </c>
      <c r="BK33" s="97"/>
      <c r="BL33" s="87"/>
      <c r="BM33" s="87"/>
      <c r="BN33" s="87"/>
      <c r="BO33" s="97"/>
      <c r="BP33" s="87"/>
      <c r="BQ33" s="87"/>
      <c r="BR33" s="87"/>
      <c r="BS33" s="97"/>
      <c r="BT33" s="87"/>
      <c r="BU33" s="87"/>
      <c r="BV33" s="87"/>
      <c r="BW33" s="87">
        <f t="shared" si="64"/>
        <v>0</v>
      </c>
      <c r="BX33" s="87">
        <f t="shared" si="28"/>
        <v>0</v>
      </c>
      <c r="BY33" s="87">
        <f t="shared" si="65"/>
        <v>0</v>
      </c>
      <c r="BZ33" s="87">
        <f t="shared" si="29"/>
        <v>0</v>
      </c>
      <c r="CA33" s="97"/>
      <c r="CB33" s="87">
        <f t="shared" si="30"/>
        <v>0</v>
      </c>
      <c r="CC33" s="87"/>
      <c r="CD33" s="87">
        <f t="shared" si="31"/>
        <v>0</v>
      </c>
      <c r="CE33" s="97"/>
      <c r="CF33" s="87">
        <f t="shared" si="32"/>
        <v>0</v>
      </c>
      <c r="CG33" s="87">
        <f t="shared" si="66"/>
        <v>0</v>
      </c>
      <c r="CH33" s="87">
        <f t="shared" si="33"/>
        <v>0</v>
      </c>
      <c r="CI33" s="97"/>
      <c r="CJ33" s="87">
        <f t="shared" si="34"/>
        <v>0</v>
      </c>
      <c r="CK33" s="87">
        <f t="shared" si="67"/>
        <v>0</v>
      </c>
      <c r="CL33" s="87">
        <f t="shared" si="35"/>
        <v>0</v>
      </c>
      <c r="CM33" s="97"/>
      <c r="CN33" s="87">
        <f t="shared" si="36"/>
        <v>0</v>
      </c>
      <c r="CO33" s="87">
        <f t="shared" si="68"/>
        <v>0</v>
      </c>
      <c r="CP33" s="87">
        <f t="shared" si="37"/>
        <v>0</v>
      </c>
      <c r="CQ33" s="97"/>
      <c r="CR33" s="87">
        <f t="shared" si="38"/>
        <v>0</v>
      </c>
      <c r="CS33" s="87">
        <f>CQ33+CS32</f>
        <v>0</v>
      </c>
      <c r="CT33" s="87">
        <f t="shared" si="39"/>
        <v>0</v>
      </c>
      <c r="CU33" s="97"/>
      <c r="CV33" s="87">
        <f t="shared" si="40"/>
        <v>0</v>
      </c>
      <c r="CW33" s="87">
        <f t="shared" si="70"/>
        <v>0</v>
      </c>
      <c r="CX33" s="87">
        <f t="shared" si="41"/>
        <v>0</v>
      </c>
      <c r="CY33" s="97"/>
      <c r="CZ33" s="87">
        <f t="shared" si="42"/>
        <v>0</v>
      </c>
      <c r="DA33" s="87">
        <f t="shared" si="71"/>
        <v>0</v>
      </c>
      <c r="DB33" s="87">
        <f t="shared" si="43"/>
        <v>0</v>
      </c>
      <c r="DC33" s="97"/>
      <c r="DD33" s="87">
        <f t="shared" si="44"/>
        <v>0</v>
      </c>
      <c r="DE33" s="87">
        <f t="shared" si="72"/>
        <v>0</v>
      </c>
      <c r="DF33" s="87">
        <f t="shared" si="45"/>
        <v>0</v>
      </c>
      <c r="DG33" s="97"/>
      <c r="DH33" s="87"/>
      <c r="DI33" s="87"/>
      <c r="DJ33" s="87"/>
      <c r="DK33" s="87">
        <f t="shared" si="73"/>
        <v>0</v>
      </c>
      <c r="DL33" s="87">
        <f t="shared" si="46"/>
        <v>0</v>
      </c>
      <c r="DM33" s="87">
        <f t="shared" si="74"/>
        <v>0</v>
      </c>
      <c r="DN33" s="87">
        <f t="shared" si="47"/>
        <v>0</v>
      </c>
      <c r="DO33" s="97">
        <v>0</v>
      </c>
      <c r="DP33" s="87">
        <f t="shared" si="75"/>
        <v>0</v>
      </c>
      <c r="DQ33" s="87">
        <f t="shared" si="76"/>
        <v>163287.55874249965</v>
      </c>
      <c r="DR33" s="87">
        <f t="shared" si="77"/>
        <v>13.526869697886326</v>
      </c>
      <c r="DS33" s="97">
        <v>29665.208719399197</v>
      </c>
      <c r="DT33" s="88">
        <f t="shared" si="78"/>
        <v>69.00681044267877</v>
      </c>
      <c r="DU33" s="87">
        <f t="shared" si="79"/>
        <v>674632.40778017417</v>
      </c>
      <c r="DV33" s="87">
        <f t="shared" si="80"/>
        <v>55.887078870501526</v>
      </c>
      <c r="DW33" s="97">
        <v>10225.09168048376</v>
      </c>
      <c r="DX33" s="88">
        <f t="shared" si="81"/>
        <v>23.785471055618611</v>
      </c>
      <c r="DY33" s="87">
        <f t="shared" si="82"/>
        <v>10225.09168048376</v>
      </c>
      <c r="DZ33" s="452">
        <f t="shared" si="83"/>
        <v>0.84705463095913025</v>
      </c>
      <c r="EA33" s="97">
        <v>1681.0040963620404</v>
      </c>
      <c r="EB33" s="87">
        <f t="shared" si="84"/>
        <v>3.9103291713961403</v>
      </c>
      <c r="EC33" s="87">
        <f t="shared" si="85"/>
        <v>41257.325236787758</v>
      </c>
      <c r="ED33" s="87">
        <f t="shared" si="86"/>
        <v>3.4177892477492851</v>
      </c>
      <c r="EE33" s="97">
        <v>883.19808836438108</v>
      </c>
      <c r="EF33" s="87" t="e">
        <f t="shared" si="87"/>
        <v>#DIV/0!</v>
      </c>
      <c r="EG33" s="87">
        <f t="shared" si="88"/>
        <v>35326.678307529561</v>
      </c>
      <c r="EH33" s="87" t="e">
        <f t="shared" si="89"/>
        <v>#DIV/0!</v>
      </c>
      <c r="EI33" s="87">
        <v>534.31044572320297</v>
      </c>
      <c r="EJ33" s="87">
        <f t="shared" si="90"/>
        <v>1.2429057888762769</v>
      </c>
      <c r="EK33" s="87">
        <f t="shared" si="91"/>
        <v>3553.9806643947791</v>
      </c>
      <c r="EL33" s="87">
        <f t="shared" si="92"/>
        <v>0.29441455139817174</v>
      </c>
      <c r="EM33" s="87">
        <f t="shared" si="93"/>
        <v>42988.813030332589</v>
      </c>
      <c r="EN33" s="87">
        <f t="shared" si="94"/>
        <v>100</v>
      </c>
      <c r="EO33" s="87">
        <f t="shared" si="95"/>
        <v>1207134.8537349668</v>
      </c>
      <c r="EP33" s="87">
        <f t="shared" si="96"/>
        <v>100</v>
      </c>
      <c r="EQ33" s="87">
        <f t="shared" si="97"/>
        <v>42988.813030332589</v>
      </c>
      <c r="ER33" s="87">
        <f t="shared" si="98"/>
        <v>1207134.8537349668</v>
      </c>
      <c r="ES33" s="87">
        <f t="shared" si="48"/>
        <v>0.85239452402856442</v>
      </c>
      <c r="ET33" s="87">
        <f t="shared" si="49"/>
        <v>0.98301444204890975</v>
      </c>
      <c r="EU33" s="6"/>
      <c r="EV33" s="451">
        <f t="shared" si="99"/>
        <v>0</v>
      </c>
      <c r="EW33" s="451">
        <f>(SUM($EU$10:EU33))/(SUM($EM$10:EM33))</f>
        <v>0</v>
      </c>
      <c r="EX33" s="364"/>
    </row>
    <row r="34" spans="1:154">
      <c r="A34" s="16">
        <f>+Chem!A34</f>
        <v>46106</v>
      </c>
      <c r="B34" s="6" t="str">
        <f>+Chem!B34</f>
        <v>Toilet</v>
      </c>
      <c r="C34" s="16" t="str">
        <f>+Chem!C34</f>
        <v>13,5</v>
      </c>
      <c r="D34" s="8">
        <f>+Chem!D34</f>
        <v>49.863</v>
      </c>
      <c r="E34" s="7">
        <f>+Chem!E34</f>
        <v>53.863999999999997</v>
      </c>
      <c r="F34" s="7">
        <f t="shared" si="100"/>
        <v>1281.857</v>
      </c>
      <c r="G34" s="97"/>
      <c r="H34" s="87">
        <f t="shared" si="0"/>
        <v>0</v>
      </c>
      <c r="I34" s="8">
        <f t="shared" si="50"/>
        <v>0</v>
      </c>
      <c r="J34" s="87">
        <f t="shared" si="1"/>
        <v>0</v>
      </c>
      <c r="K34" s="97"/>
      <c r="L34" s="87">
        <f t="shared" si="2"/>
        <v>0</v>
      </c>
      <c r="M34" s="87">
        <f t="shared" si="51"/>
        <v>0</v>
      </c>
      <c r="N34" s="87">
        <f t="shared" si="3"/>
        <v>0</v>
      </c>
      <c r="O34" s="97"/>
      <c r="P34" s="87">
        <f t="shared" si="4"/>
        <v>0</v>
      </c>
      <c r="Q34" s="87">
        <f t="shared" si="52"/>
        <v>0</v>
      </c>
      <c r="R34" s="87">
        <f t="shared" si="5"/>
        <v>0</v>
      </c>
      <c r="S34" s="97"/>
      <c r="T34" s="87">
        <f t="shared" si="6"/>
        <v>0</v>
      </c>
      <c r="U34" s="87">
        <f t="shared" si="53"/>
        <v>0</v>
      </c>
      <c r="V34" s="87">
        <f t="shared" si="7"/>
        <v>0</v>
      </c>
      <c r="W34" s="97"/>
      <c r="X34" s="87">
        <f t="shared" si="8"/>
        <v>0</v>
      </c>
      <c r="Y34" s="87">
        <f t="shared" si="54"/>
        <v>0</v>
      </c>
      <c r="Z34" s="87">
        <f t="shared" si="9"/>
        <v>0</v>
      </c>
      <c r="AA34" s="97"/>
      <c r="AB34" s="87">
        <f t="shared" si="10"/>
        <v>0</v>
      </c>
      <c r="AC34" s="87">
        <f t="shared" si="55"/>
        <v>0</v>
      </c>
      <c r="AD34" s="87">
        <f t="shared" si="11"/>
        <v>0</v>
      </c>
      <c r="AE34" s="97"/>
      <c r="AF34" s="87">
        <f t="shared" si="12"/>
        <v>0</v>
      </c>
      <c r="AG34" s="87">
        <f t="shared" si="56"/>
        <v>0</v>
      </c>
      <c r="AH34" s="87">
        <f t="shared" si="13"/>
        <v>0</v>
      </c>
      <c r="AI34" s="97"/>
      <c r="AJ34" s="87">
        <f t="shared" si="14"/>
        <v>0</v>
      </c>
      <c r="AK34" s="87">
        <f t="shared" si="57"/>
        <v>0</v>
      </c>
      <c r="AL34" s="87">
        <f t="shared" si="15"/>
        <v>0</v>
      </c>
      <c r="AM34" s="97"/>
      <c r="AN34" s="87">
        <f t="shared" si="16"/>
        <v>0</v>
      </c>
      <c r="AO34" s="87">
        <f t="shared" si="58"/>
        <v>0</v>
      </c>
      <c r="AP34" s="87">
        <f t="shared" si="17"/>
        <v>0</v>
      </c>
      <c r="AQ34" s="97"/>
      <c r="AR34" s="87">
        <f t="shared" si="18"/>
        <v>0</v>
      </c>
      <c r="AS34" s="87">
        <f t="shared" si="59"/>
        <v>0</v>
      </c>
      <c r="AT34" s="87">
        <f t="shared" si="19"/>
        <v>0</v>
      </c>
      <c r="AU34" s="247"/>
      <c r="AV34" s="87">
        <f t="shared" si="20"/>
        <v>0</v>
      </c>
      <c r="AW34" s="8">
        <f t="shared" si="60"/>
        <v>0</v>
      </c>
      <c r="AX34" s="87">
        <f t="shared" si="21"/>
        <v>0</v>
      </c>
      <c r="AY34" s="97"/>
      <c r="AZ34" s="87">
        <f t="shared" si="22"/>
        <v>0</v>
      </c>
      <c r="BA34" s="87">
        <f t="shared" si="61"/>
        <v>0</v>
      </c>
      <c r="BB34" s="87">
        <f t="shared" si="23"/>
        <v>0</v>
      </c>
      <c r="BC34" s="97"/>
      <c r="BD34" s="87">
        <f t="shared" si="24"/>
        <v>0</v>
      </c>
      <c r="BE34" s="87">
        <f t="shared" si="62"/>
        <v>0</v>
      </c>
      <c r="BF34" s="87">
        <f t="shared" si="25"/>
        <v>0</v>
      </c>
      <c r="BG34" s="97"/>
      <c r="BH34" s="87">
        <f t="shared" si="26"/>
        <v>0</v>
      </c>
      <c r="BI34" s="87">
        <f t="shared" si="63"/>
        <v>0</v>
      </c>
      <c r="BJ34" s="87">
        <f t="shared" si="27"/>
        <v>0</v>
      </c>
      <c r="BK34" s="97"/>
      <c r="BL34" s="87"/>
      <c r="BM34" s="87"/>
      <c r="BN34" s="87"/>
      <c r="BO34" s="97"/>
      <c r="BP34" s="87"/>
      <c r="BQ34" s="87"/>
      <c r="BR34" s="87"/>
      <c r="BS34" s="97"/>
      <c r="BT34" s="87"/>
      <c r="BU34" s="87"/>
      <c r="BV34" s="87"/>
      <c r="BW34" s="87">
        <f t="shared" si="64"/>
        <v>0</v>
      </c>
      <c r="BX34" s="87">
        <f t="shared" si="28"/>
        <v>0</v>
      </c>
      <c r="BY34" s="87">
        <f t="shared" si="65"/>
        <v>0</v>
      </c>
      <c r="BZ34" s="87">
        <f t="shared" si="29"/>
        <v>0</v>
      </c>
      <c r="CA34" s="97"/>
      <c r="CB34" s="87">
        <f t="shared" si="30"/>
        <v>0</v>
      </c>
      <c r="CC34" s="87"/>
      <c r="CD34" s="87">
        <f t="shared" si="31"/>
        <v>0</v>
      </c>
      <c r="CE34" s="97"/>
      <c r="CF34" s="87">
        <f t="shared" si="32"/>
        <v>0</v>
      </c>
      <c r="CG34" s="87">
        <f t="shared" si="66"/>
        <v>0</v>
      </c>
      <c r="CH34" s="87">
        <f t="shared" si="33"/>
        <v>0</v>
      </c>
      <c r="CI34" s="97"/>
      <c r="CJ34" s="87">
        <f t="shared" si="34"/>
        <v>0</v>
      </c>
      <c r="CK34" s="87">
        <f t="shared" si="67"/>
        <v>0</v>
      </c>
      <c r="CL34" s="87">
        <f t="shared" si="35"/>
        <v>0</v>
      </c>
      <c r="CM34" s="97"/>
      <c r="CN34" s="87">
        <f t="shared" si="36"/>
        <v>0</v>
      </c>
      <c r="CO34" s="87">
        <f t="shared" si="68"/>
        <v>0</v>
      </c>
      <c r="CP34" s="87">
        <f t="shared" si="37"/>
        <v>0</v>
      </c>
      <c r="CQ34" s="97"/>
      <c r="CR34" s="87">
        <f t="shared" si="38"/>
        <v>0</v>
      </c>
      <c r="CS34" s="87">
        <f>CQ34+CS33</f>
        <v>0</v>
      </c>
      <c r="CT34" s="87">
        <f t="shared" si="39"/>
        <v>0</v>
      </c>
      <c r="CU34" s="97"/>
      <c r="CV34" s="87">
        <f t="shared" si="40"/>
        <v>0</v>
      </c>
      <c r="CW34" s="87">
        <f t="shared" si="70"/>
        <v>0</v>
      </c>
      <c r="CX34" s="87">
        <f t="shared" si="41"/>
        <v>0</v>
      </c>
      <c r="CY34" s="97"/>
      <c r="CZ34" s="87">
        <f t="shared" si="42"/>
        <v>0</v>
      </c>
      <c r="DA34" s="87">
        <f t="shared" si="71"/>
        <v>0</v>
      </c>
      <c r="DB34" s="87">
        <f t="shared" si="43"/>
        <v>0</v>
      </c>
      <c r="DC34" s="97"/>
      <c r="DD34" s="87">
        <f t="shared" si="44"/>
        <v>0</v>
      </c>
      <c r="DE34" s="87">
        <f t="shared" si="72"/>
        <v>0</v>
      </c>
      <c r="DF34" s="87">
        <f t="shared" si="45"/>
        <v>0</v>
      </c>
      <c r="DG34" s="97"/>
      <c r="DH34" s="87"/>
      <c r="DI34" s="87"/>
      <c r="DJ34" s="87"/>
      <c r="DK34" s="87">
        <f t="shared" si="73"/>
        <v>0</v>
      </c>
      <c r="DL34" s="87">
        <f t="shared" si="46"/>
        <v>0</v>
      </c>
      <c r="DM34" s="87">
        <f t="shared" si="74"/>
        <v>0</v>
      </c>
      <c r="DN34" s="87">
        <f t="shared" si="47"/>
        <v>0</v>
      </c>
      <c r="DO34" s="97">
        <v>0</v>
      </c>
      <c r="DP34" s="87">
        <f t="shared" si="75"/>
        <v>0</v>
      </c>
      <c r="DQ34" s="87">
        <f t="shared" si="76"/>
        <v>163287.55874249965</v>
      </c>
      <c r="DR34" s="87">
        <f t="shared" si="77"/>
        <v>12.969575716132658</v>
      </c>
      <c r="DS34" s="97">
        <v>35808.832804375714</v>
      </c>
      <c r="DT34" s="88">
        <f t="shared" si="78"/>
        <v>69.036027263875354</v>
      </c>
      <c r="DU34" s="87">
        <f t="shared" si="79"/>
        <v>710441.24058454984</v>
      </c>
      <c r="DV34" s="87">
        <f t="shared" si="80"/>
        <v>56.428802859101921</v>
      </c>
      <c r="DW34" s="97">
        <v>12794.881490985212</v>
      </c>
      <c r="DX34" s="88">
        <f t="shared" si="81"/>
        <v>24.667315806556314</v>
      </c>
      <c r="DY34" s="87">
        <f t="shared" si="82"/>
        <v>12794.881490985212</v>
      </c>
      <c r="DZ34" s="452">
        <f t="shared" si="83"/>
        <v>1.0162696138899767</v>
      </c>
      <c r="EA34" s="453">
        <v>1370.8801597484155</v>
      </c>
      <c r="EB34" s="87">
        <f t="shared" si="84"/>
        <v>2.642926693559605</v>
      </c>
      <c r="EC34" s="87">
        <f t="shared" si="85"/>
        <v>42628.20539653617</v>
      </c>
      <c r="ED34" s="87">
        <f t="shared" si="86"/>
        <v>3.3858656580510966</v>
      </c>
      <c r="EE34" s="453">
        <v>1637.8410329625806</v>
      </c>
      <c r="EF34" s="87" t="e">
        <f t="shared" si="87"/>
        <v>#DIV/0!</v>
      </c>
      <c r="EG34" s="87">
        <f t="shared" si="88"/>
        <v>36964.519340492145</v>
      </c>
      <c r="EH34" s="87" t="e">
        <f t="shared" si="89"/>
        <v>#DIV/0!</v>
      </c>
      <c r="EI34" s="87">
        <v>257.3406615668078</v>
      </c>
      <c r="EJ34" s="87">
        <f t="shared" si="90"/>
        <v>0.49612834422961005</v>
      </c>
      <c r="EK34" s="87">
        <f t="shared" si="91"/>
        <v>3811.3213259615868</v>
      </c>
      <c r="EL34" s="87">
        <f t="shared" si="92"/>
        <v>0.30272496506314794</v>
      </c>
      <c r="EM34" s="87">
        <f t="shared" si="93"/>
        <v>51869.776149638732</v>
      </c>
      <c r="EN34" s="87">
        <f t="shared" si="94"/>
        <v>100</v>
      </c>
      <c r="EO34" s="87">
        <f t="shared" si="95"/>
        <v>1259004.6298846055</v>
      </c>
      <c r="EP34" s="87">
        <f t="shared" si="96"/>
        <v>100</v>
      </c>
      <c r="EQ34" s="87">
        <f t="shared" si="97"/>
        <v>51869.776149638732</v>
      </c>
      <c r="ER34" s="87">
        <f t="shared" si="98"/>
        <v>1259004.6298846055</v>
      </c>
      <c r="ES34" s="87">
        <f t="shared" si="48"/>
        <v>0.96297668479204546</v>
      </c>
      <c r="ET34" s="87">
        <f t="shared" si="49"/>
        <v>0.98217244972302331</v>
      </c>
      <c r="EU34" s="6"/>
      <c r="EV34" s="451">
        <f t="shared" si="99"/>
        <v>0</v>
      </c>
      <c r="EW34" s="451">
        <f>(SUM($EU$10:EU34))/(SUM($EM$10:EM34))</f>
        <v>0</v>
      </c>
      <c r="EX34" s="3"/>
    </row>
    <row r="35" spans="1:154">
      <c r="A35" s="16">
        <f>+Chem!A35</f>
        <v>46107</v>
      </c>
      <c r="B35" s="6" t="str">
        <f>+Chem!B35</f>
        <v>Toilet</v>
      </c>
      <c r="C35" s="16" t="str">
        <f>+Chem!C35</f>
        <v>13,5</v>
      </c>
      <c r="D35" s="8">
        <f>+Chem!D35</f>
        <v>48.759</v>
      </c>
      <c r="E35" s="7">
        <f>+Chem!E35</f>
        <v>49.85</v>
      </c>
      <c r="F35" s="7">
        <f t="shared" si="100"/>
        <v>1331.7069999999999</v>
      </c>
      <c r="G35" s="97"/>
      <c r="H35" s="87">
        <f t="shared" si="0"/>
        <v>0</v>
      </c>
      <c r="I35" s="8">
        <f t="shared" si="50"/>
        <v>0</v>
      </c>
      <c r="J35" s="87">
        <f t="shared" si="1"/>
        <v>0</v>
      </c>
      <c r="K35" s="97"/>
      <c r="L35" s="87">
        <f t="shared" si="2"/>
        <v>0</v>
      </c>
      <c r="M35" s="87">
        <f t="shared" si="51"/>
        <v>0</v>
      </c>
      <c r="N35" s="87">
        <f t="shared" si="3"/>
        <v>0</v>
      </c>
      <c r="O35" s="97"/>
      <c r="P35" s="87">
        <f t="shared" si="4"/>
        <v>0</v>
      </c>
      <c r="Q35" s="87">
        <f t="shared" si="52"/>
        <v>0</v>
      </c>
      <c r="R35" s="87">
        <f t="shared" si="5"/>
        <v>0</v>
      </c>
      <c r="S35" s="97"/>
      <c r="T35" s="87">
        <f t="shared" si="6"/>
        <v>0</v>
      </c>
      <c r="U35" s="87">
        <f t="shared" si="53"/>
        <v>0</v>
      </c>
      <c r="V35" s="87">
        <f t="shared" si="7"/>
        <v>0</v>
      </c>
      <c r="W35" s="97"/>
      <c r="X35" s="87">
        <f t="shared" si="8"/>
        <v>0</v>
      </c>
      <c r="Y35" s="87">
        <f t="shared" si="54"/>
        <v>0</v>
      </c>
      <c r="Z35" s="87">
        <f t="shared" si="9"/>
        <v>0</v>
      </c>
      <c r="AA35" s="97"/>
      <c r="AB35" s="87">
        <f t="shared" si="10"/>
        <v>0</v>
      </c>
      <c r="AC35" s="87">
        <f t="shared" si="55"/>
        <v>0</v>
      </c>
      <c r="AD35" s="87">
        <f t="shared" si="11"/>
        <v>0</v>
      </c>
      <c r="AE35" s="97"/>
      <c r="AF35" s="87">
        <f t="shared" si="12"/>
        <v>0</v>
      </c>
      <c r="AG35" s="87">
        <f t="shared" si="56"/>
        <v>0</v>
      </c>
      <c r="AH35" s="87">
        <f t="shared" si="13"/>
        <v>0</v>
      </c>
      <c r="AI35" s="97"/>
      <c r="AJ35" s="87">
        <f t="shared" si="14"/>
        <v>0</v>
      </c>
      <c r="AK35" s="87">
        <f t="shared" si="57"/>
        <v>0</v>
      </c>
      <c r="AL35" s="87">
        <f t="shared" si="15"/>
        <v>0</v>
      </c>
      <c r="AM35" s="97"/>
      <c r="AN35" s="87">
        <f t="shared" si="16"/>
        <v>0</v>
      </c>
      <c r="AO35" s="87">
        <f t="shared" si="58"/>
        <v>0</v>
      </c>
      <c r="AP35" s="87">
        <f t="shared" si="17"/>
        <v>0</v>
      </c>
      <c r="AQ35" s="97"/>
      <c r="AR35" s="87">
        <f t="shared" si="18"/>
        <v>0</v>
      </c>
      <c r="AS35" s="87">
        <f t="shared" si="59"/>
        <v>0</v>
      </c>
      <c r="AT35" s="87">
        <f t="shared" si="19"/>
        <v>0</v>
      </c>
      <c r="AU35" s="247"/>
      <c r="AV35" s="87">
        <f t="shared" si="20"/>
        <v>0</v>
      </c>
      <c r="AW35" s="8">
        <f t="shared" si="60"/>
        <v>0</v>
      </c>
      <c r="AX35" s="87">
        <f t="shared" si="21"/>
        <v>0</v>
      </c>
      <c r="AY35" s="97"/>
      <c r="AZ35" s="87">
        <f t="shared" si="22"/>
        <v>0</v>
      </c>
      <c r="BA35" s="87">
        <f t="shared" si="61"/>
        <v>0</v>
      </c>
      <c r="BB35" s="87">
        <f t="shared" si="23"/>
        <v>0</v>
      </c>
      <c r="BC35" s="97"/>
      <c r="BD35" s="87">
        <f t="shared" si="24"/>
        <v>0</v>
      </c>
      <c r="BE35" s="87">
        <f t="shared" si="62"/>
        <v>0</v>
      </c>
      <c r="BF35" s="87">
        <f t="shared" si="25"/>
        <v>0</v>
      </c>
      <c r="BG35" s="97"/>
      <c r="BH35" s="87">
        <f t="shared" si="26"/>
        <v>0</v>
      </c>
      <c r="BI35" s="87">
        <f t="shared" si="63"/>
        <v>0</v>
      </c>
      <c r="BJ35" s="87">
        <f t="shared" si="27"/>
        <v>0</v>
      </c>
      <c r="BK35" s="97"/>
      <c r="BL35" s="87"/>
      <c r="BM35" s="87"/>
      <c r="BN35" s="87"/>
      <c r="BO35" s="97"/>
      <c r="BP35" s="87"/>
      <c r="BQ35" s="87"/>
      <c r="BR35" s="87"/>
      <c r="BS35" s="97"/>
      <c r="BT35" s="87"/>
      <c r="BU35" s="87"/>
      <c r="BV35" s="87"/>
      <c r="BW35" s="87">
        <f t="shared" si="64"/>
        <v>0</v>
      </c>
      <c r="BX35" s="87">
        <f t="shared" si="28"/>
        <v>0</v>
      </c>
      <c r="BY35" s="87">
        <f t="shared" si="65"/>
        <v>0</v>
      </c>
      <c r="BZ35" s="87">
        <f t="shared" si="29"/>
        <v>0</v>
      </c>
      <c r="CA35" s="97"/>
      <c r="CB35" s="87">
        <f t="shared" si="30"/>
        <v>0</v>
      </c>
      <c r="CC35" s="87"/>
      <c r="CD35" s="87">
        <f t="shared" si="31"/>
        <v>0</v>
      </c>
      <c r="CE35" s="97"/>
      <c r="CF35" s="87">
        <f t="shared" si="32"/>
        <v>0</v>
      </c>
      <c r="CG35" s="87">
        <f t="shared" si="66"/>
        <v>0</v>
      </c>
      <c r="CH35" s="87">
        <f t="shared" si="33"/>
        <v>0</v>
      </c>
      <c r="CI35" s="97"/>
      <c r="CJ35" s="87">
        <f t="shared" si="34"/>
        <v>0</v>
      </c>
      <c r="CK35" s="87">
        <f t="shared" si="67"/>
        <v>0</v>
      </c>
      <c r="CL35" s="87">
        <f t="shared" si="35"/>
        <v>0</v>
      </c>
      <c r="CM35" s="97"/>
      <c r="CN35" s="87">
        <f t="shared" si="36"/>
        <v>0</v>
      </c>
      <c r="CO35" s="87">
        <f t="shared" si="68"/>
        <v>0</v>
      </c>
      <c r="CP35" s="87">
        <f t="shared" si="37"/>
        <v>0</v>
      </c>
      <c r="CQ35" s="97"/>
      <c r="CR35" s="87">
        <f t="shared" si="38"/>
        <v>0</v>
      </c>
      <c r="CS35" s="87">
        <f>CQ35+CS34</f>
        <v>0</v>
      </c>
      <c r="CT35" s="87">
        <f t="shared" si="39"/>
        <v>0</v>
      </c>
      <c r="CU35" s="97"/>
      <c r="CV35" s="87">
        <f t="shared" si="40"/>
        <v>0</v>
      </c>
      <c r="CW35" s="87">
        <f t="shared" si="70"/>
        <v>0</v>
      </c>
      <c r="CX35" s="87">
        <f t="shared" si="41"/>
        <v>0</v>
      </c>
      <c r="CY35" s="97"/>
      <c r="CZ35" s="87">
        <f t="shared" si="42"/>
        <v>0</v>
      </c>
      <c r="DA35" s="87">
        <f t="shared" si="71"/>
        <v>0</v>
      </c>
      <c r="DB35" s="87">
        <f t="shared" si="43"/>
        <v>0</v>
      </c>
      <c r="DC35" s="97"/>
      <c r="DD35" s="87">
        <f t="shared" si="44"/>
        <v>0</v>
      </c>
      <c r="DE35" s="87">
        <f t="shared" si="72"/>
        <v>0</v>
      </c>
      <c r="DF35" s="87">
        <f t="shared" si="45"/>
        <v>0</v>
      </c>
      <c r="DG35" s="97"/>
      <c r="DH35" s="87"/>
      <c r="DI35" s="87"/>
      <c r="DJ35" s="87"/>
      <c r="DK35" s="87">
        <f t="shared" si="73"/>
        <v>0</v>
      </c>
      <c r="DL35" s="87">
        <f t="shared" si="46"/>
        <v>0</v>
      </c>
      <c r="DM35" s="87">
        <f t="shared" si="74"/>
        <v>0</v>
      </c>
      <c r="DN35" s="87">
        <f t="shared" si="47"/>
        <v>0</v>
      </c>
      <c r="DO35" s="97">
        <v>0</v>
      </c>
      <c r="DP35" s="87">
        <f t="shared" si="75"/>
        <v>0</v>
      </c>
      <c r="DQ35" s="87">
        <f t="shared" si="76"/>
        <v>163287.55874249965</v>
      </c>
      <c r="DR35" s="87">
        <f t="shared" si="77"/>
        <v>12.546193832897423</v>
      </c>
      <c r="DS35" s="97">
        <v>29348.652108930262</v>
      </c>
      <c r="DT35" s="88">
        <f t="shared" si="78"/>
        <v>69.078127337089285</v>
      </c>
      <c r="DU35" s="87">
        <f t="shared" si="79"/>
        <v>739789.89269348013</v>
      </c>
      <c r="DV35" s="87">
        <f t="shared" si="80"/>
        <v>56.841730385519163</v>
      </c>
      <c r="DW35" s="97">
        <v>10474.852737543137</v>
      </c>
      <c r="DX35" s="88">
        <f t="shared" si="81"/>
        <v>24.654734008076982</v>
      </c>
      <c r="DY35" s="87">
        <f t="shared" si="82"/>
        <v>10474.852737543137</v>
      </c>
      <c r="DZ35" s="452">
        <f t="shared" si="83"/>
        <v>0.80483494167193537</v>
      </c>
      <c r="EA35" s="453">
        <v>1073.9636679341497</v>
      </c>
      <c r="EB35" s="87">
        <f t="shared" si="84"/>
        <v>2.5277957820212396</v>
      </c>
      <c r="EC35" s="87">
        <f t="shared" si="85"/>
        <v>43702.169064470319</v>
      </c>
      <c r="ED35" s="87">
        <f t="shared" si="86"/>
        <v>3.3578546229939472</v>
      </c>
      <c r="EE35" s="453">
        <v>1476.4352594676575</v>
      </c>
      <c r="EF35" s="87" t="e">
        <f t="shared" si="87"/>
        <v>#DIV/0!</v>
      </c>
      <c r="EG35" s="87">
        <f t="shared" si="88"/>
        <v>38440.954599959805</v>
      </c>
      <c r="EH35" s="87" t="e">
        <f t="shared" si="89"/>
        <v>#DIV/0!</v>
      </c>
      <c r="EI35" s="87">
        <v>112.2683913225048</v>
      </c>
      <c r="EJ35" s="87">
        <f t="shared" si="90"/>
        <v>0.26424689634541559</v>
      </c>
      <c r="EK35" s="87">
        <f t="shared" si="91"/>
        <v>3923.5897172840914</v>
      </c>
      <c r="EL35" s="87">
        <f t="shared" si="92"/>
        <v>0.30146887792864713</v>
      </c>
      <c r="EM35" s="87">
        <f t="shared" si="93"/>
        <v>42486.172165197713</v>
      </c>
      <c r="EN35" s="87">
        <f t="shared" si="94"/>
        <v>100</v>
      </c>
      <c r="EO35" s="87">
        <f t="shared" si="95"/>
        <v>1301490.8020498033</v>
      </c>
      <c r="EP35" s="87">
        <f t="shared" si="96"/>
        <v>100</v>
      </c>
      <c r="EQ35" s="87">
        <f t="shared" si="97"/>
        <v>42486.172165197713</v>
      </c>
      <c r="ER35" s="87">
        <f t="shared" si="98"/>
        <v>1301490.8020498033</v>
      </c>
      <c r="ES35" s="87">
        <f t="shared" si="48"/>
        <v>0.85228028415642354</v>
      </c>
      <c r="ET35" s="87">
        <f t="shared" si="49"/>
        <v>0.97731017562406997</v>
      </c>
      <c r="EU35" s="6"/>
      <c r="EV35" s="451">
        <f t="shared" si="99"/>
        <v>0</v>
      </c>
      <c r="EW35" s="451">
        <f>(SUM($EU$10:EU35))/(SUM($EM$10:EM35))</f>
        <v>0</v>
      </c>
      <c r="EX35" s="364"/>
    </row>
    <row r="36" spans="1:154">
      <c r="A36" s="16">
        <f>+Chem!A36</f>
        <v>46108</v>
      </c>
      <c r="B36" s="6" t="str">
        <f>+Chem!B36</f>
        <v>Toilet</v>
      </c>
      <c r="C36" s="16" t="str">
        <f>+Chem!C36</f>
        <v>13,5</v>
      </c>
      <c r="D36" s="8">
        <f>+Chem!D36</f>
        <v>51.256</v>
      </c>
      <c r="E36" s="7">
        <f>+Chem!E36</f>
        <v>42.185000000000002</v>
      </c>
      <c r="F36" s="7">
        <f t="shared" si="100"/>
        <v>1373.8919999999998</v>
      </c>
      <c r="G36" s="97"/>
      <c r="H36" s="87">
        <f t="shared" si="0"/>
        <v>0</v>
      </c>
      <c r="I36" s="8">
        <f t="shared" si="50"/>
        <v>0</v>
      </c>
      <c r="J36" s="87">
        <f t="shared" si="1"/>
        <v>0</v>
      </c>
      <c r="K36" s="97"/>
      <c r="L36" s="87">
        <f t="shared" si="2"/>
        <v>0</v>
      </c>
      <c r="M36" s="87">
        <f t="shared" si="51"/>
        <v>0</v>
      </c>
      <c r="N36" s="87">
        <f t="shared" si="3"/>
        <v>0</v>
      </c>
      <c r="O36" s="97"/>
      <c r="P36" s="87">
        <f t="shared" si="4"/>
        <v>0</v>
      </c>
      <c r="Q36" s="87">
        <f t="shared" si="52"/>
        <v>0</v>
      </c>
      <c r="R36" s="87">
        <f t="shared" si="5"/>
        <v>0</v>
      </c>
      <c r="S36" s="97"/>
      <c r="T36" s="87">
        <f t="shared" si="6"/>
        <v>0</v>
      </c>
      <c r="U36" s="87">
        <f t="shared" si="53"/>
        <v>0</v>
      </c>
      <c r="V36" s="87">
        <f t="shared" si="7"/>
        <v>0</v>
      </c>
      <c r="W36" s="97"/>
      <c r="X36" s="87">
        <f t="shared" si="8"/>
        <v>0</v>
      </c>
      <c r="Y36" s="87">
        <f t="shared" si="54"/>
        <v>0</v>
      </c>
      <c r="Z36" s="87">
        <f t="shared" si="9"/>
        <v>0</v>
      </c>
      <c r="AA36" s="97"/>
      <c r="AB36" s="87">
        <f t="shared" si="10"/>
        <v>0</v>
      </c>
      <c r="AC36" s="87">
        <f t="shared" si="55"/>
        <v>0</v>
      </c>
      <c r="AD36" s="87">
        <f t="shared" si="11"/>
        <v>0</v>
      </c>
      <c r="AE36" s="97"/>
      <c r="AF36" s="87">
        <f t="shared" si="12"/>
        <v>0</v>
      </c>
      <c r="AG36" s="87">
        <f t="shared" si="56"/>
        <v>0</v>
      </c>
      <c r="AH36" s="87">
        <f t="shared" si="13"/>
        <v>0</v>
      </c>
      <c r="AI36" s="97"/>
      <c r="AJ36" s="87">
        <f t="shared" si="14"/>
        <v>0</v>
      </c>
      <c r="AK36" s="87">
        <f t="shared" si="57"/>
        <v>0</v>
      </c>
      <c r="AL36" s="87">
        <f t="shared" si="15"/>
        <v>0</v>
      </c>
      <c r="AM36" s="97"/>
      <c r="AN36" s="87">
        <f t="shared" si="16"/>
        <v>0</v>
      </c>
      <c r="AO36" s="87">
        <f t="shared" si="58"/>
        <v>0</v>
      </c>
      <c r="AP36" s="87">
        <f t="shared" si="17"/>
        <v>0</v>
      </c>
      <c r="AQ36" s="97"/>
      <c r="AR36" s="87">
        <f t="shared" si="18"/>
        <v>0</v>
      </c>
      <c r="AS36" s="87">
        <f t="shared" si="59"/>
        <v>0</v>
      </c>
      <c r="AT36" s="87">
        <f t="shared" si="19"/>
        <v>0</v>
      </c>
      <c r="AU36" s="247"/>
      <c r="AV36" s="87">
        <f t="shared" si="20"/>
        <v>0</v>
      </c>
      <c r="AW36" s="8">
        <f t="shared" si="60"/>
        <v>0</v>
      </c>
      <c r="AX36" s="87">
        <f t="shared" si="21"/>
        <v>0</v>
      </c>
      <c r="AY36" s="97"/>
      <c r="AZ36" s="87">
        <f t="shared" si="22"/>
        <v>0</v>
      </c>
      <c r="BA36" s="87">
        <f t="shared" si="61"/>
        <v>0</v>
      </c>
      <c r="BB36" s="87">
        <f t="shared" si="23"/>
        <v>0</v>
      </c>
      <c r="BC36" s="97"/>
      <c r="BD36" s="87">
        <f t="shared" si="24"/>
        <v>0</v>
      </c>
      <c r="BE36" s="87">
        <f t="shared" si="62"/>
        <v>0</v>
      </c>
      <c r="BF36" s="87">
        <f t="shared" si="25"/>
        <v>0</v>
      </c>
      <c r="BG36" s="97"/>
      <c r="BH36" s="87">
        <f t="shared" si="26"/>
        <v>0</v>
      </c>
      <c r="BI36" s="87">
        <f t="shared" si="63"/>
        <v>0</v>
      </c>
      <c r="BJ36" s="87">
        <f t="shared" si="27"/>
        <v>0</v>
      </c>
      <c r="BK36" s="97"/>
      <c r="BL36" s="87"/>
      <c r="BM36" s="87"/>
      <c r="BN36" s="87"/>
      <c r="BO36" s="97"/>
      <c r="BP36" s="87"/>
      <c r="BQ36" s="87"/>
      <c r="BR36" s="87"/>
      <c r="BS36" s="97"/>
      <c r="BT36" s="87"/>
      <c r="BU36" s="87"/>
      <c r="BV36" s="87"/>
      <c r="BW36" s="87">
        <f t="shared" si="64"/>
        <v>0</v>
      </c>
      <c r="BX36" s="87">
        <f t="shared" si="28"/>
        <v>0</v>
      </c>
      <c r="BY36" s="87">
        <f t="shared" si="65"/>
        <v>0</v>
      </c>
      <c r="BZ36" s="87">
        <f t="shared" si="29"/>
        <v>0</v>
      </c>
      <c r="CA36" s="97"/>
      <c r="CB36" s="87">
        <f t="shared" si="30"/>
        <v>0</v>
      </c>
      <c r="CC36" s="87"/>
      <c r="CD36" s="87">
        <f t="shared" si="31"/>
        <v>0</v>
      </c>
      <c r="CE36" s="97"/>
      <c r="CF36" s="87">
        <f t="shared" si="32"/>
        <v>0</v>
      </c>
      <c r="CG36" s="87">
        <f t="shared" si="66"/>
        <v>0</v>
      </c>
      <c r="CH36" s="87">
        <f t="shared" si="33"/>
        <v>0</v>
      </c>
      <c r="CI36" s="97"/>
      <c r="CJ36" s="87">
        <f t="shared" si="34"/>
        <v>0</v>
      </c>
      <c r="CK36" s="87">
        <f t="shared" si="67"/>
        <v>0</v>
      </c>
      <c r="CL36" s="87">
        <f t="shared" si="35"/>
        <v>0</v>
      </c>
      <c r="CM36" s="97"/>
      <c r="CN36" s="87">
        <f t="shared" si="36"/>
        <v>0</v>
      </c>
      <c r="CO36" s="87">
        <f t="shared" si="68"/>
        <v>0</v>
      </c>
      <c r="CP36" s="87">
        <f t="shared" si="37"/>
        <v>0</v>
      </c>
      <c r="CQ36" s="97"/>
      <c r="CR36" s="87">
        <f t="shared" si="38"/>
        <v>0</v>
      </c>
      <c r="CS36" s="87">
        <f t="shared" si="69"/>
        <v>0</v>
      </c>
      <c r="CT36" s="87">
        <f t="shared" si="39"/>
        <v>0</v>
      </c>
      <c r="CU36" s="97"/>
      <c r="CV36" s="87">
        <f t="shared" si="40"/>
        <v>0</v>
      </c>
      <c r="CW36" s="87">
        <f t="shared" si="70"/>
        <v>0</v>
      </c>
      <c r="CX36" s="87">
        <f t="shared" si="41"/>
        <v>0</v>
      </c>
      <c r="CY36" s="97"/>
      <c r="CZ36" s="87">
        <f t="shared" si="42"/>
        <v>0</v>
      </c>
      <c r="DA36" s="87">
        <f t="shared" si="71"/>
        <v>0</v>
      </c>
      <c r="DB36" s="87">
        <f t="shared" si="43"/>
        <v>0</v>
      </c>
      <c r="DC36" s="97"/>
      <c r="DD36" s="87">
        <f t="shared" si="44"/>
        <v>0</v>
      </c>
      <c r="DE36" s="87">
        <f t="shared" si="72"/>
        <v>0</v>
      </c>
      <c r="DF36" s="87">
        <f t="shared" si="45"/>
        <v>0</v>
      </c>
      <c r="DG36" s="97"/>
      <c r="DH36" s="87"/>
      <c r="DI36" s="87"/>
      <c r="DJ36" s="87"/>
      <c r="DK36" s="87">
        <f t="shared" si="73"/>
        <v>0</v>
      </c>
      <c r="DL36" s="87">
        <f t="shared" si="46"/>
        <v>0</v>
      </c>
      <c r="DM36" s="87">
        <f t="shared" si="74"/>
        <v>0</v>
      </c>
      <c r="DN36" s="87">
        <f t="shared" si="47"/>
        <v>0</v>
      </c>
      <c r="DO36" s="97">
        <v>0</v>
      </c>
      <c r="DP36" s="87">
        <f t="shared" si="75"/>
        <v>0</v>
      </c>
      <c r="DQ36" s="87">
        <f t="shared" si="76"/>
        <v>163287.55874249965</v>
      </c>
      <c r="DR36" s="87">
        <f t="shared" si="77"/>
        <v>12.101554747823982</v>
      </c>
      <c r="DS36" s="97">
        <v>33055.353983592679</v>
      </c>
      <c r="DT36" s="88">
        <f t="shared" si="78"/>
        <v>69.124856576614164</v>
      </c>
      <c r="DU36" s="87">
        <f t="shared" si="79"/>
        <v>772845.24667707284</v>
      </c>
      <c r="DV36" s="87">
        <f t="shared" si="80"/>
        <v>57.277046311942158</v>
      </c>
      <c r="DW36" s="97">
        <v>11444.923753637151</v>
      </c>
      <c r="DX36" s="88">
        <f t="shared" si="81"/>
        <v>23.933451548972563</v>
      </c>
      <c r="DY36" s="87">
        <f t="shared" si="82"/>
        <v>11444.923753637151</v>
      </c>
      <c r="DZ36" s="452">
        <f t="shared" si="83"/>
        <v>0.84820529167028758</v>
      </c>
      <c r="EA36" s="453">
        <v>1434.0447065463852</v>
      </c>
      <c r="EB36" s="87">
        <f t="shared" si="84"/>
        <v>2.9988526129133195</v>
      </c>
      <c r="EC36" s="87">
        <f t="shared" si="85"/>
        <v>45136.213771016708</v>
      </c>
      <c r="ED36" s="87">
        <f t="shared" si="86"/>
        <v>3.3451315352250321</v>
      </c>
      <c r="EE36" s="453">
        <v>1611.1180529199389</v>
      </c>
      <c r="EF36" s="87" t="e">
        <f t="shared" si="87"/>
        <v>#DIV/0!</v>
      </c>
      <c r="EG36" s="87">
        <f t="shared" si="88"/>
        <v>40052.072652879746</v>
      </c>
      <c r="EH36" s="87" t="e">
        <f t="shared" si="89"/>
        <v>#DIV/0!</v>
      </c>
      <c r="EI36" s="87">
        <v>274.33898733930846</v>
      </c>
      <c r="EJ36" s="87">
        <f t="shared" si="90"/>
        <v>0.57369354333993938</v>
      </c>
      <c r="EK36" s="87">
        <f t="shared" si="91"/>
        <v>4197.9287046234003</v>
      </c>
      <c r="EL36" s="87">
        <f t="shared" si="92"/>
        <v>0.31111656293774664</v>
      </c>
      <c r="EM36" s="87">
        <f t="shared" si="93"/>
        <v>47819.779484035469</v>
      </c>
      <c r="EN36" s="87">
        <f t="shared" si="94"/>
        <v>100</v>
      </c>
      <c r="EO36" s="87">
        <f t="shared" si="95"/>
        <v>1349310.5815338388</v>
      </c>
      <c r="EP36" s="87">
        <f t="shared" si="96"/>
        <v>100</v>
      </c>
      <c r="EQ36" s="87">
        <f t="shared" si="97"/>
        <v>47819.779484035469</v>
      </c>
      <c r="ER36" s="87">
        <f t="shared" si="98"/>
        <v>1349310.5815338388</v>
      </c>
      <c r="ES36" s="87">
        <f t="shared" si="48"/>
        <v>1.1335730587658046</v>
      </c>
      <c r="ET36" s="87">
        <f t="shared" si="49"/>
        <v>0.98210818720382609</v>
      </c>
      <c r="EU36" s="6"/>
      <c r="EV36" s="451">
        <f t="shared" si="99"/>
        <v>0</v>
      </c>
      <c r="EW36" s="451">
        <f>(SUM($EU$10:EU36))/(SUM($EM$10:EM36))</f>
        <v>0</v>
      </c>
      <c r="EX36" s="3"/>
    </row>
    <row r="37" spans="1:154">
      <c r="A37" s="16">
        <f>+Chem!A37</f>
        <v>46109</v>
      </c>
      <c r="B37" s="6" t="str">
        <f>+Chem!B37</f>
        <v>Toilet</v>
      </c>
      <c r="C37" s="16" t="str">
        <f>+Chem!C37</f>
        <v>13,5</v>
      </c>
      <c r="D37" s="8">
        <f>+Chem!D37</f>
        <v>52.190000000000005</v>
      </c>
      <c r="E37" s="7">
        <f>+Chem!E37</f>
        <v>43.594999999999999</v>
      </c>
      <c r="F37" s="7">
        <f t="shared" si="100"/>
        <v>1417.4869999999999</v>
      </c>
      <c r="G37" s="97"/>
      <c r="H37" s="87">
        <f t="shared" si="0"/>
        <v>0</v>
      </c>
      <c r="I37" s="8">
        <f t="shared" si="50"/>
        <v>0</v>
      </c>
      <c r="J37" s="87">
        <f t="shared" si="1"/>
        <v>0</v>
      </c>
      <c r="K37" s="97"/>
      <c r="L37" s="87">
        <f t="shared" si="2"/>
        <v>0</v>
      </c>
      <c r="M37" s="87">
        <f t="shared" si="51"/>
        <v>0</v>
      </c>
      <c r="N37" s="87">
        <f t="shared" si="3"/>
        <v>0</v>
      </c>
      <c r="O37" s="97"/>
      <c r="P37" s="87">
        <f t="shared" si="4"/>
        <v>0</v>
      </c>
      <c r="Q37" s="87">
        <f t="shared" si="52"/>
        <v>0</v>
      </c>
      <c r="R37" s="87">
        <f t="shared" si="5"/>
        <v>0</v>
      </c>
      <c r="S37" s="97"/>
      <c r="T37" s="87">
        <f t="shared" si="6"/>
        <v>0</v>
      </c>
      <c r="U37" s="87">
        <f t="shared" si="53"/>
        <v>0</v>
      </c>
      <c r="V37" s="87">
        <f t="shared" si="7"/>
        <v>0</v>
      </c>
      <c r="W37" s="97"/>
      <c r="X37" s="87">
        <f t="shared" si="8"/>
        <v>0</v>
      </c>
      <c r="Y37" s="87">
        <f t="shared" si="54"/>
        <v>0</v>
      </c>
      <c r="Z37" s="87">
        <f t="shared" si="9"/>
        <v>0</v>
      </c>
      <c r="AA37" s="97"/>
      <c r="AB37" s="87">
        <f t="shared" si="10"/>
        <v>0</v>
      </c>
      <c r="AC37" s="87">
        <f t="shared" si="55"/>
        <v>0</v>
      </c>
      <c r="AD37" s="87">
        <f t="shared" si="11"/>
        <v>0</v>
      </c>
      <c r="AE37" s="97"/>
      <c r="AF37" s="87">
        <f t="shared" si="12"/>
        <v>0</v>
      </c>
      <c r="AG37" s="87">
        <f t="shared" si="56"/>
        <v>0</v>
      </c>
      <c r="AH37" s="87">
        <f t="shared" si="13"/>
        <v>0</v>
      </c>
      <c r="AI37" s="97"/>
      <c r="AJ37" s="87">
        <f t="shared" si="14"/>
        <v>0</v>
      </c>
      <c r="AK37" s="87">
        <f t="shared" si="57"/>
        <v>0</v>
      </c>
      <c r="AL37" s="87">
        <f t="shared" si="15"/>
        <v>0</v>
      </c>
      <c r="AM37" s="97"/>
      <c r="AN37" s="87">
        <f t="shared" si="16"/>
        <v>0</v>
      </c>
      <c r="AO37" s="87">
        <f t="shared" si="58"/>
        <v>0</v>
      </c>
      <c r="AP37" s="87">
        <f t="shared" si="17"/>
        <v>0</v>
      </c>
      <c r="AQ37" s="97"/>
      <c r="AR37" s="87">
        <f t="shared" si="18"/>
        <v>0</v>
      </c>
      <c r="AS37" s="87">
        <f t="shared" si="59"/>
        <v>0</v>
      </c>
      <c r="AT37" s="87">
        <f t="shared" si="19"/>
        <v>0</v>
      </c>
      <c r="AU37" s="247"/>
      <c r="AV37" s="87">
        <f t="shared" si="20"/>
        <v>0</v>
      </c>
      <c r="AW37" s="8">
        <f t="shared" si="60"/>
        <v>0</v>
      </c>
      <c r="AX37" s="87">
        <f t="shared" si="21"/>
        <v>0</v>
      </c>
      <c r="AY37" s="97"/>
      <c r="AZ37" s="87">
        <f t="shared" si="22"/>
        <v>0</v>
      </c>
      <c r="BA37" s="87">
        <f t="shared" si="61"/>
        <v>0</v>
      </c>
      <c r="BB37" s="87">
        <f t="shared" si="23"/>
        <v>0</v>
      </c>
      <c r="BC37" s="97"/>
      <c r="BD37" s="87">
        <f t="shared" si="24"/>
        <v>0</v>
      </c>
      <c r="BE37" s="87">
        <f t="shared" si="62"/>
        <v>0</v>
      </c>
      <c r="BF37" s="87">
        <f t="shared" si="25"/>
        <v>0</v>
      </c>
      <c r="BG37" s="97"/>
      <c r="BH37" s="87">
        <f t="shared" si="26"/>
        <v>0</v>
      </c>
      <c r="BI37" s="87">
        <f t="shared" si="63"/>
        <v>0</v>
      </c>
      <c r="BJ37" s="87">
        <f t="shared" si="27"/>
        <v>0</v>
      </c>
      <c r="BK37" s="97"/>
      <c r="BL37" s="87"/>
      <c r="BM37" s="87"/>
      <c r="BN37" s="87"/>
      <c r="BO37" s="97"/>
      <c r="BP37" s="87"/>
      <c r="BQ37" s="87"/>
      <c r="BR37" s="87"/>
      <c r="BS37" s="97"/>
      <c r="BT37" s="87"/>
      <c r="BU37" s="87"/>
      <c r="BV37" s="87"/>
      <c r="BW37" s="87">
        <f>G37+AY37+BK37+BG37+BS37+BO37+AU37+AI37+BC37+AQ37+AA37+AM37+AE37+K37+W37+S37+O37</f>
        <v>0</v>
      </c>
      <c r="BX37" s="87">
        <f t="shared" si="28"/>
        <v>0</v>
      </c>
      <c r="BY37" s="87">
        <f t="shared" si="65"/>
        <v>0</v>
      </c>
      <c r="BZ37" s="87">
        <f t="shared" si="29"/>
        <v>0</v>
      </c>
      <c r="CA37" s="97"/>
      <c r="CB37" s="87">
        <f t="shared" si="30"/>
        <v>0</v>
      </c>
      <c r="CC37" s="87"/>
      <c r="CD37" s="87">
        <f t="shared" si="31"/>
        <v>0</v>
      </c>
      <c r="CE37" s="97"/>
      <c r="CF37" s="87">
        <f t="shared" si="32"/>
        <v>0</v>
      </c>
      <c r="CG37" s="87">
        <f t="shared" si="66"/>
        <v>0</v>
      </c>
      <c r="CH37" s="87">
        <f t="shared" si="33"/>
        <v>0</v>
      </c>
      <c r="CI37" s="97"/>
      <c r="CJ37" s="87">
        <f t="shared" si="34"/>
        <v>0</v>
      </c>
      <c r="CK37" s="87">
        <f t="shared" si="67"/>
        <v>0</v>
      </c>
      <c r="CL37" s="87">
        <f t="shared" si="35"/>
        <v>0</v>
      </c>
      <c r="CM37" s="97"/>
      <c r="CN37" s="87">
        <f t="shared" si="36"/>
        <v>0</v>
      </c>
      <c r="CO37" s="87">
        <f t="shared" si="68"/>
        <v>0</v>
      </c>
      <c r="CP37" s="87">
        <f t="shared" si="37"/>
        <v>0</v>
      </c>
      <c r="CQ37" s="97"/>
      <c r="CR37" s="87">
        <f t="shared" si="38"/>
        <v>0</v>
      </c>
      <c r="CS37" s="87">
        <f t="shared" si="69"/>
        <v>0</v>
      </c>
      <c r="CT37" s="87">
        <f t="shared" si="39"/>
        <v>0</v>
      </c>
      <c r="CU37" s="97"/>
      <c r="CV37" s="87">
        <f t="shared" si="40"/>
        <v>0</v>
      </c>
      <c r="CW37" s="87">
        <f t="shared" si="70"/>
        <v>0</v>
      </c>
      <c r="CX37" s="87">
        <f t="shared" si="41"/>
        <v>0</v>
      </c>
      <c r="CY37" s="97"/>
      <c r="CZ37" s="87">
        <f t="shared" si="42"/>
        <v>0</v>
      </c>
      <c r="DA37" s="87">
        <f t="shared" si="71"/>
        <v>0</v>
      </c>
      <c r="DB37" s="87">
        <f t="shared" si="43"/>
        <v>0</v>
      </c>
      <c r="DC37" s="97"/>
      <c r="DD37" s="87">
        <f t="shared" si="44"/>
        <v>0</v>
      </c>
      <c r="DE37" s="87">
        <f t="shared" si="72"/>
        <v>0</v>
      </c>
      <c r="DF37" s="87">
        <f t="shared" si="45"/>
        <v>0</v>
      </c>
      <c r="DG37" s="97"/>
      <c r="DH37" s="87"/>
      <c r="DI37" s="87"/>
      <c r="DJ37" s="87"/>
      <c r="DK37" s="87">
        <f t="shared" si="73"/>
        <v>0</v>
      </c>
      <c r="DL37" s="87">
        <f t="shared" si="46"/>
        <v>0</v>
      </c>
      <c r="DM37" s="87">
        <f t="shared" si="74"/>
        <v>0</v>
      </c>
      <c r="DN37" s="87">
        <f t="shared" si="47"/>
        <v>0</v>
      </c>
      <c r="DO37" s="97"/>
      <c r="DP37" s="87">
        <f t="shared" si="75"/>
        <v>0</v>
      </c>
      <c r="DQ37" s="87">
        <f t="shared" si="76"/>
        <v>163287.55874249965</v>
      </c>
      <c r="DR37" s="87">
        <f t="shared" si="77"/>
        <v>11.67729729039201</v>
      </c>
      <c r="DS37" s="97">
        <v>33585.478732647272</v>
      </c>
      <c r="DT37" s="88">
        <f t="shared" si="78"/>
        <v>68.509763617677294</v>
      </c>
      <c r="DU37" s="87">
        <f t="shared" si="79"/>
        <v>806430.72540972009</v>
      </c>
      <c r="DV37" s="87">
        <f t="shared" si="80"/>
        <v>57.67084398368678</v>
      </c>
      <c r="DW37" s="97">
        <v>11930.755121348446</v>
      </c>
      <c r="DX37" s="88">
        <f t="shared" si="81"/>
        <v>24.337101747173691</v>
      </c>
      <c r="DY37" s="87">
        <f t="shared" si="82"/>
        <v>11930.755121348446</v>
      </c>
      <c r="DZ37" s="452">
        <f t="shared" si="83"/>
        <v>0.85321242796308383</v>
      </c>
      <c r="EA37" s="453">
        <v>1181.4873631571834</v>
      </c>
      <c r="EB37" s="87">
        <f t="shared" si="84"/>
        <v>2.4100719424460433</v>
      </c>
      <c r="EC37" s="87">
        <f t="shared" si="85"/>
        <v>46317.701134173891</v>
      </c>
      <c r="ED37" s="87">
        <f t="shared" si="86"/>
        <v>3.3123501270798412</v>
      </c>
      <c r="EE37" s="453">
        <v>2123.6542582974535</v>
      </c>
      <c r="EF37" s="87" t="e">
        <f t="shared" si="87"/>
        <v>#DIV/0!</v>
      </c>
      <c r="EG37" s="87">
        <f t="shared" si="88"/>
        <v>42175.726911177197</v>
      </c>
      <c r="EH37" s="87" t="e">
        <f t="shared" si="89"/>
        <v>#DIV/0!</v>
      </c>
      <c r="EI37" s="87">
        <v>201.53302569845346</v>
      </c>
      <c r="EJ37" s="87">
        <f t="shared" si="90"/>
        <v>0.41109969167523125</v>
      </c>
      <c r="EK37" s="87">
        <f t="shared" si="91"/>
        <v>4399.4617303218538</v>
      </c>
      <c r="EL37" s="87">
        <f t="shared" si="92"/>
        <v>0.31462178097527904</v>
      </c>
      <c r="EM37" s="87">
        <f t="shared" si="93"/>
        <v>49022.908501148806</v>
      </c>
      <c r="EN37" s="87">
        <f t="shared" si="94"/>
        <v>100</v>
      </c>
      <c r="EO37" s="87">
        <f t="shared" si="95"/>
        <v>1398333.4900349877</v>
      </c>
      <c r="EP37" s="87">
        <f t="shared" si="96"/>
        <v>100</v>
      </c>
      <c r="EQ37" s="87">
        <f t="shared" si="97"/>
        <v>49022.908501148806</v>
      </c>
      <c r="ER37" s="87">
        <f t="shared" si="98"/>
        <v>1398333.4900349877</v>
      </c>
      <c r="ES37" s="87">
        <f t="shared" si="48"/>
        <v>1.1245075926401837</v>
      </c>
      <c r="ET37" s="87">
        <f t="shared" si="49"/>
        <v>0.98648769973550932</v>
      </c>
      <c r="EU37" s="6"/>
      <c r="EV37" s="451">
        <f t="shared" si="99"/>
        <v>0</v>
      </c>
      <c r="EW37" s="451">
        <f>(SUM($EU$10:EU37))/(SUM($EM$10:EM37))</f>
        <v>0</v>
      </c>
      <c r="EX37" s="3"/>
    </row>
    <row r="38" spans="1:154">
      <c r="A38" s="16">
        <f>+Chem!A38</f>
        <v>46110</v>
      </c>
      <c r="B38" s="6" t="str">
        <f>+Chem!B38</f>
        <v>Toilet</v>
      </c>
      <c r="C38" s="16" t="str">
        <f>+Chem!C38</f>
        <v>13,5/14,5</v>
      </c>
      <c r="D38" s="8">
        <f>+Chem!D38</f>
        <v>51.055</v>
      </c>
      <c r="E38" s="7">
        <f>+Chem!E38</f>
        <v>45.021999999999998</v>
      </c>
      <c r="F38" s="7">
        <f t="shared" si="100"/>
        <v>1462.5089999999998</v>
      </c>
      <c r="G38" s="97"/>
      <c r="H38" s="87">
        <f t="shared" si="0"/>
        <v>0</v>
      </c>
      <c r="I38" s="8">
        <f t="shared" si="50"/>
        <v>0</v>
      </c>
      <c r="J38" s="87">
        <f t="shared" si="1"/>
        <v>0</v>
      </c>
      <c r="K38" s="97"/>
      <c r="L38" s="87">
        <f t="shared" si="2"/>
        <v>0</v>
      </c>
      <c r="M38" s="87">
        <f t="shared" si="51"/>
        <v>0</v>
      </c>
      <c r="N38" s="87">
        <f t="shared" si="3"/>
        <v>0</v>
      </c>
      <c r="O38" s="97"/>
      <c r="P38" s="87">
        <f t="shared" si="4"/>
        <v>0</v>
      </c>
      <c r="Q38" s="87">
        <f t="shared" si="52"/>
        <v>0</v>
      </c>
      <c r="R38" s="87">
        <f t="shared" si="5"/>
        <v>0</v>
      </c>
      <c r="S38" s="97"/>
      <c r="T38" s="87">
        <f t="shared" si="6"/>
        <v>0</v>
      </c>
      <c r="U38" s="87">
        <f t="shared" si="53"/>
        <v>0</v>
      </c>
      <c r="V38" s="87">
        <f t="shared" si="7"/>
        <v>0</v>
      </c>
      <c r="W38" s="97"/>
      <c r="X38" s="87">
        <f t="shared" si="8"/>
        <v>0</v>
      </c>
      <c r="Y38" s="87">
        <f t="shared" si="54"/>
        <v>0</v>
      </c>
      <c r="Z38" s="87">
        <f t="shared" si="9"/>
        <v>0</v>
      </c>
      <c r="AA38" s="97"/>
      <c r="AB38" s="87">
        <f t="shared" si="10"/>
        <v>0</v>
      </c>
      <c r="AC38" s="87">
        <f t="shared" si="55"/>
        <v>0</v>
      </c>
      <c r="AD38" s="87">
        <f t="shared" si="11"/>
        <v>0</v>
      </c>
      <c r="AE38" s="97"/>
      <c r="AF38" s="87">
        <f t="shared" si="12"/>
        <v>0</v>
      </c>
      <c r="AG38" s="87">
        <f t="shared" si="56"/>
        <v>0</v>
      </c>
      <c r="AH38" s="87">
        <f t="shared" si="13"/>
        <v>0</v>
      </c>
      <c r="AI38" s="97"/>
      <c r="AJ38" s="87">
        <f t="shared" si="14"/>
        <v>0</v>
      </c>
      <c r="AK38" s="87">
        <f t="shared" si="57"/>
        <v>0</v>
      </c>
      <c r="AL38" s="87">
        <f t="shared" si="15"/>
        <v>0</v>
      </c>
      <c r="AM38" s="97"/>
      <c r="AN38" s="87">
        <f t="shared" si="16"/>
        <v>0</v>
      </c>
      <c r="AO38" s="87">
        <f t="shared" si="58"/>
        <v>0</v>
      </c>
      <c r="AP38" s="87">
        <f t="shared" si="17"/>
        <v>0</v>
      </c>
      <c r="AQ38" s="97"/>
      <c r="AR38" s="87">
        <f t="shared" si="18"/>
        <v>0</v>
      </c>
      <c r="AS38" s="87">
        <f t="shared" si="59"/>
        <v>0</v>
      </c>
      <c r="AT38" s="87">
        <f t="shared" si="19"/>
        <v>0</v>
      </c>
      <c r="AU38" s="247"/>
      <c r="AV38" s="87">
        <f t="shared" si="20"/>
        <v>0</v>
      </c>
      <c r="AW38" s="8">
        <f t="shared" si="60"/>
        <v>0</v>
      </c>
      <c r="AX38" s="87">
        <f t="shared" si="21"/>
        <v>0</v>
      </c>
      <c r="AY38" s="97"/>
      <c r="AZ38" s="87">
        <f t="shared" si="22"/>
        <v>0</v>
      </c>
      <c r="BA38" s="87">
        <f t="shared" si="61"/>
        <v>0</v>
      </c>
      <c r="BB38" s="87">
        <f t="shared" si="23"/>
        <v>0</v>
      </c>
      <c r="BC38" s="97"/>
      <c r="BD38" s="87">
        <f t="shared" si="24"/>
        <v>0</v>
      </c>
      <c r="BE38" s="87">
        <f t="shared" si="62"/>
        <v>0</v>
      </c>
      <c r="BF38" s="87">
        <f t="shared" si="25"/>
        <v>0</v>
      </c>
      <c r="BG38" s="97"/>
      <c r="BH38" s="87">
        <f t="shared" si="26"/>
        <v>0</v>
      </c>
      <c r="BI38" s="87">
        <f t="shared" si="63"/>
        <v>0</v>
      </c>
      <c r="BJ38" s="87">
        <f t="shared" si="27"/>
        <v>0</v>
      </c>
      <c r="BK38" s="97"/>
      <c r="BL38" s="87"/>
      <c r="BM38" s="87"/>
      <c r="BN38" s="87"/>
      <c r="BO38" s="97"/>
      <c r="BP38" s="87"/>
      <c r="BQ38" s="87"/>
      <c r="BR38" s="87"/>
      <c r="BS38" s="97"/>
      <c r="BT38" s="87"/>
      <c r="BU38" s="87"/>
      <c r="BV38" s="87"/>
      <c r="BW38" s="87">
        <f t="shared" si="64"/>
        <v>0</v>
      </c>
      <c r="BX38" s="87">
        <f t="shared" si="28"/>
        <v>0</v>
      </c>
      <c r="BY38" s="87">
        <f t="shared" si="65"/>
        <v>0</v>
      </c>
      <c r="BZ38" s="87">
        <f t="shared" si="29"/>
        <v>0</v>
      </c>
      <c r="CA38" s="97"/>
      <c r="CB38" s="87">
        <f t="shared" si="30"/>
        <v>0</v>
      </c>
      <c r="CC38" s="87"/>
      <c r="CD38" s="87">
        <f t="shared" si="31"/>
        <v>0</v>
      </c>
      <c r="CE38" s="97"/>
      <c r="CF38" s="87">
        <f t="shared" si="32"/>
        <v>0</v>
      </c>
      <c r="CG38" s="87">
        <f t="shared" si="66"/>
        <v>0</v>
      </c>
      <c r="CH38" s="87">
        <f t="shared" si="33"/>
        <v>0</v>
      </c>
      <c r="CI38" s="97"/>
      <c r="CJ38" s="87">
        <f t="shared" si="34"/>
        <v>0</v>
      </c>
      <c r="CK38" s="87">
        <f t="shared" si="67"/>
        <v>0</v>
      </c>
      <c r="CL38" s="87">
        <f t="shared" si="35"/>
        <v>0</v>
      </c>
      <c r="CM38" s="97"/>
      <c r="CN38" s="87">
        <f t="shared" si="36"/>
        <v>0</v>
      </c>
      <c r="CO38" s="87">
        <f t="shared" si="68"/>
        <v>0</v>
      </c>
      <c r="CP38" s="87">
        <f t="shared" si="37"/>
        <v>0</v>
      </c>
      <c r="CQ38" s="97"/>
      <c r="CR38" s="87">
        <f t="shared" si="38"/>
        <v>0</v>
      </c>
      <c r="CS38" s="87">
        <f t="shared" si="69"/>
        <v>0</v>
      </c>
      <c r="CT38" s="87">
        <f t="shared" si="39"/>
        <v>0</v>
      </c>
      <c r="CU38" s="97"/>
      <c r="CV38" s="87">
        <f t="shared" si="40"/>
        <v>0</v>
      </c>
      <c r="CW38" s="87">
        <f t="shared" si="70"/>
        <v>0</v>
      </c>
      <c r="CX38" s="87">
        <f t="shared" si="41"/>
        <v>0</v>
      </c>
      <c r="CY38" s="97"/>
      <c r="CZ38" s="87">
        <f t="shared" si="42"/>
        <v>0</v>
      </c>
      <c r="DA38" s="87">
        <f t="shared" si="71"/>
        <v>0</v>
      </c>
      <c r="DB38" s="87">
        <f t="shared" si="43"/>
        <v>0</v>
      </c>
      <c r="DC38" s="97"/>
      <c r="DD38" s="87">
        <f t="shared" si="44"/>
        <v>0</v>
      </c>
      <c r="DE38" s="87">
        <f t="shared" si="72"/>
        <v>0</v>
      </c>
      <c r="DF38" s="87">
        <f t="shared" si="45"/>
        <v>0</v>
      </c>
      <c r="DG38" s="97"/>
      <c r="DH38" s="87"/>
      <c r="DI38" s="87"/>
      <c r="DJ38" s="87"/>
      <c r="DK38" s="87">
        <f t="shared" si="73"/>
        <v>0</v>
      </c>
      <c r="DL38" s="87">
        <f t="shared" si="46"/>
        <v>0</v>
      </c>
      <c r="DM38" s="87">
        <f t="shared" si="74"/>
        <v>0</v>
      </c>
      <c r="DN38" s="87">
        <f t="shared" si="47"/>
        <v>0</v>
      </c>
      <c r="DO38" s="97"/>
      <c r="DP38" s="87">
        <f t="shared" si="75"/>
        <v>0</v>
      </c>
      <c r="DQ38" s="87">
        <f t="shared" si="76"/>
        <v>163287.55874249965</v>
      </c>
      <c r="DR38" s="87">
        <f t="shared" si="77"/>
        <v>11.276594889027319</v>
      </c>
      <c r="DS38" s="97">
        <v>34094.559843597497</v>
      </c>
      <c r="DT38" s="88">
        <f t="shared" si="78"/>
        <v>68.616784530933188</v>
      </c>
      <c r="DU38" s="87">
        <f t="shared" si="79"/>
        <v>840525.28525331756</v>
      </c>
      <c r="DV38" s="87">
        <f t="shared" si="80"/>
        <v>58.046450132387442</v>
      </c>
      <c r="DW38" s="97">
        <v>12355.131307647438</v>
      </c>
      <c r="DX38" s="88">
        <f t="shared" si="81"/>
        <v>24.865239107858166</v>
      </c>
      <c r="DY38" s="87">
        <f t="shared" si="82"/>
        <v>12355.131307647438</v>
      </c>
      <c r="DZ38" s="452">
        <f t="shared" si="83"/>
        <v>0.85324204507698387</v>
      </c>
      <c r="EA38" s="97">
        <v>1093.4831805694332</v>
      </c>
      <c r="EB38" s="87">
        <f t="shared" si="84"/>
        <v>2.2006824588299292</v>
      </c>
      <c r="EC38" s="87">
        <f t="shared" si="85"/>
        <v>47411.184314743325</v>
      </c>
      <c r="ED38" s="87">
        <f t="shared" si="86"/>
        <v>3.2742036370907805</v>
      </c>
      <c r="EE38" s="97">
        <v>2145.1928463755394</v>
      </c>
      <c r="EF38" s="87" t="e">
        <f t="shared" si="87"/>
        <v>#DIV/0!</v>
      </c>
      <c r="EG38" s="87">
        <f t="shared" si="88"/>
        <v>44320.919757552736</v>
      </c>
      <c r="EH38" s="87" t="e">
        <f t="shared" si="89"/>
        <v>#DIV/0!</v>
      </c>
      <c r="EI38" s="87"/>
      <c r="EJ38" s="87">
        <f t="shared" si="90"/>
        <v>0</v>
      </c>
      <c r="EK38" s="87">
        <f t="shared" si="91"/>
        <v>4399.4617303218538</v>
      </c>
      <c r="EL38" s="87">
        <f t="shared" si="92"/>
        <v>0.30382564381928151</v>
      </c>
      <c r="EM38" s="87">
        <f t="shared" si="93"/>
        <v>49688.36717818991</v>
      </c>
      <c r="EN38" s="87">
        <f t="shared" si="94"/>
        <v>100</v>
      </c>
      <c r="EO38" s="87">
        <f t="shared" si="95"/>
        <v>1448021.8572131775</v>
      </c>
      <c r="EP38" s="87">
        <f t="shared" si="96"/>
        <v>100</v>
      </c>
      <c r="EQ38" s="87">
        <f t="shared" si="97"/>
        <v>49688.36717818991</v>
      </c>
      <c r="ER38" s="87">
        <f t="shared" si="98"/>
        <v>1448021.8572131775</v>
      </c>
      <c r="ES38" s="87">
        <f t="shared" si="48"/>
        <v>1.1036463768422085</v>
      </c>
      <c r="ET38" s="87">
        <f t="shared" si="49"/>
        <v>0.99009432230036043</v>
      </c>
      <c r="EU38" s="6"/>
      <c r="EV38" s="451">
        <f t="shared" si="99"/>
        <v>0</v>
      </c>
      <c r="EW38" s="451">
        <f>(SUM($EU$10:EU38))/(SUM($EM$10:EM38))</f>
        <v>0</v>
      </c>
      <c r="EX38" s="3"/>
    </row>
    <row r="39" spans="1:154">
      <c r="A39" s="16">
        <f>+Chem!A39</f>
        <v>46111</v>
      </c>
      <c r="B39" s="6" t="str">
        <f>+Chem!B39</f>
        <v>Toilet</v>
      </c>
      <c r="C39" s="16" t="str">
        <f>+Chem!C39</f>
        <v>13,5/14,5</v>
      </c>
      <c r="D39" s="8">
        <f>+Chem!D39</f>
        <v>50.265000000000001</v>
      </c>
      <c r="E39" s="7">
        <f>+Chem!E39</f>
        <v>54.600999999999999</v>
      </c>
      <c r="F39" s="7">
        <f t="shared" si="100"/>
        <v>1517.1099999999997</v>
      </c>
      <c r="G39" s="97"/>
      <c r="H39" s="87">
        <f t="shared" si="0"/>
        <v>0</v>
      </c>
      <c r="I39" s="8">
        <f t="shared" si="50"/>
        <v>0</v>
      </c>
      <c r="J39" s="87">
        <f t="shared" si="1"/>
        <v>0</v>
      </c>
      <c r="K39" s="97"/>
      <c r="L39" s="87">
        <f t="shared" si="2"/>
        <v>0</v>
      </c>
      <c r="M39" s="87">
        <f t="shared" si="51"/>
        <v>0</v>
      </c>
      <c r="N39" s="87">
        <f t="shared" si="3"/>
        <v>0</v>
      </c>
      <c r="O39" s="97"/>
      <c r="P39" s="87">
        <f t="shared" si="4"/>
        <v>0</v>
      </c>
      <c r="Q39" s="87">
        <f t="shared" si="52"/>
        <v>0</v>
      </c>
      <c r="R39" s="87">
        <f t="shared" si="5"/>
        <v>0</v>
      </c>
      <c r="S39" s="97"/>
      <c r="T39" s="87">
        <f t="shared" si="6"/>
        <v>0</v>
      </c>
      <c r="U39" s="87">
        <f t="shared" si="53"/>
        <v>0</v>
      </c>
      <c r="V39" s="87">
        <f t="shared" si="7"/>
        <v>0</v>
      </c>
      <c r="W39" s="97"/>
      <c r="X39" s="87">
        <f t="shared" si="8"/>
        <v>0</v>
      </c>
      <c r="Y39" s="87">
        <f t="shared" si="54"/>
        <v>0</v>
      </c>
      <c r="Z39" s="87">
        <f t="shared" si="9"/>
        <v>0</v>
      </c>
      <c r="AA39" s="97"/>
      <c r="AB39" s="87">
        <f t="shared" si="10"/>
        <v>0</v>
      </c>
      <c r="AC39" s="87">
        <f t="shared" si="55"/>
        <v>0</v>
      </c>
      <c r="AD39" s="87">
        <f t="shared" si="11"/>
        <v>0</v>
      </c>
      <c r="AE39" s="97"/>
      <c r="AF39" s="87">
        <f t="shared" si="12"/>
        <v>0</v>
      </c>
      <c r="AG39" s="87">
        <f t="shared" si="56"/>
        <v>0</v>
      </c>
      <c r="AH39" s="87">
        <f t="shared" si="13"/>
        <v>0</v>
      </c>
      <c r="AI39" s="97"/>
      <c r="AJ39" s="87">
        <f t="shared" si="14"/>
        <v>0</v>
      </c>
      <c r="AK39" s="87">
        <f t="shared" si="57"/>
        <v>0</v>
      </c>
      <c r="AL39" s="87">
        <f t="shared" si="15"/>
        <v>0</v>
      </c>
      <c r="AM39" s="97"/>
      <c r="AN39" s="87">
        <f t="shared" si="16"/>
        <v>0</v>
      </c>
      <c r="AO39" s="87">
        <f t="shared" si="58"/>
        <v>0</v>
      </c>
      <c r="AP39" s="87">
        <f t="shared" si="17"/>
        <v>0</v>
      </c>
      <c r="AQ39" s="97"/>
      <c r="AR39" s="87">
        <f t="shared" si="18"/>
        <v>0</v>
      </c>
      <c r="AS39" s="87">
        <f t="shared" si="59"/>
        <v>0</v>
      </c>
      <c r="AT39" s="87">
        <f t="shared" si="19"/>
        <v>0</v>
      </c>
      <c r="AU39" s="247"/>
      <c r="AV39" s="87">
        <f t="shared" si="20"/>
        <v>0</v>
      </c>
      <c r="AW39" s="8">
        <f t="shared" si="60"/>
        <v>0</v>
      </c>
      <c r="AX39" s="87">
        <f t="shared" si="21"/>
        <v>0</v>
      </c>
      <c r="AY39" s="97"/>
      <c r="AZ39" s="87">
        <f t="shared" si="22"/>
        <v>0</v>
      </c>
      <c r="BA39" s="87">
        <f t="shared" si="61"/>
        <v>0</v>
      </c>
      <c r="BB39" s="87">
        <f t="shared" si="23"/>
        <v>0</v>
      </c>
      <c r="BC39" s="97"/>
      <c r="BD39" s="87">
        <f t="shared" si="24"/>
        <v>0</v>
      </c>
      <c r="BE39" s="87">
        <f t="shared" si="62"/>
        <v>0</v>
      </c>
      <c r="BF39" s="87">
        <f t="shared" si="25"/>
        <v>0</v>
      </c>
      <c r="BG39" s="97"/>
      <c r="BH39" s="87">
        <f t="shared" si="26"/>
        <v>0</v>
      </c>
      <c r="BI39" s="87">
        <f t="shared" si="63"/>
        <v>0</v>
      </c>
      <c r="BJ39" s="87">
        <f t="shared" si="27"/>
        <v>0</v>
      </c>
      <c r="BK39" s="97"/>
      <c r="BL39" s="87"/>
      <c r="BM39" s="87"/>
      <c r="BN39" s="87"/>
      <c r="BO39" s="97"/>
      <c r="BP39" s="87"/>
      <c r="BQ39" s="87"/>
      <c r="BR39" s="87"/>
      <c r="BS39" s="97"/>
      <c r="BT39" s="87"/>
      <c r="BU39" s="87"/>
      <c r="BV39" s="87"/>
      <c r="BW39" s="87">
        <f t="shared" si="64"/>
        <v>0</v>
      </c>
      <c r="BX39" s="87">
        <f t="shared" si="28"/>
        <v>0</v>
      </c>
      <c r="BY39" s="87">
        <f t="shared" si="65"/>
        <v>0</v>
      </c>
      <c r="BZ39" s="87">
        <f t="shared" si="29"/>
        <v>0</v>
      </c>
      <c r="CA39" s="97"/>
      <c r="CB39" s="87">
        <f t="shared" si="30"/>
        <v>0</v>
      </c>
      <c r="CC39" s="87"/>
      <c r="CD39" s="87">
        <f t="shared" si="31"/>
        <v>0</v>
      </c>
      <c r="CE39" s="97"/>
      <c r="CF39" s="87">
        <f t="shared" si="32"/>
        <v>0</v>
      </c>
      <c r="CG39" s="87">
        <f t="shared" si="66"/>
        <v>0</v>
      </c>
      <c r="CH39" s="87">
        <f t="shared" si="33"/>
        <v>0</v>
      </c>
      <c r="CI39" s="97"/>
      <c r="CJ39" s="87">
        <f t="shared" si="34"/>
        <v>0</v>
      </c>
      <c r="CK39" s="87">
        <f t="shared" si="67"/>
        <v>0</v>
      </c>
      <c r="CL39" s="87">
        <f t="shared" si="35"/>
        <v>0</v>
      </c>
      <c r="CM39" s="97"/>
      <c r="CN39" s="87">
        <f t="shared" si="36"/>
        <v>0</v>
      </c>
      <c r="CO39" s="87">
        <f t="shared" si="68"/>
        <v>0</v>
      </c>
      <c r="CP39" s="87">
        <f t="shared" si="37"/>
        <v>0</v>
      </c>
      <c r="CQ39" s="97"/>
      <c r="CR39" s="87">
        <f t="shared" si="38"/>
        <v>0</v>
      </c>
      <c r="CS39" s="87">
        <f t="shared" si="69"/>
        <v>0</v>
      </c>
      <c r="CT39" s="87">
        <f t="shared" si="39"/>
        <v>0</v>
      </c>
      <c r="CU39" s="97"/>
      <c r="CV39" s="87">
        <f t="shared" si="40"/>
        <v>0</v>
      </c>
      <c r="CW39" s="87">
        <f t="shared" si="70"/>
        <v>0</v>
      </c>
      <c r="CX39" s="87">
        <f t="shared" si="41"/>
        <v>0</v>
      </c>
      <c r="CY39" s="97"/>
      <c r="CZ39" s="87">
        <f t="shared" si="42"/>
        <v>0</v>
      </c>
      <c r="DA39" s="87">
        <f t="shared" si="71"/>
        <v>0</v>
      </c>
      <c r="DB39" s="87">
        <f t="shared" si="43"/>
        <v>0</v>
      </c>
      <c r="DC39" s="97"/>
      <c r="DD39" s="87">
        <f t="shared" si="44"/>
        <v>0</v>
      </c>
      <c r="DE39" s="87">
        <f t="shared" si="72"/>
        <v>0</v>
      </c>
      <c r="DF39" s="87">
        <f t="shared" si="45"/>
        <v>0</v>
      </c>
      <c r="DG39" s="97"/>
      <c r="DH39" s="87"/>
      <c r="DI39" s="87"/>
      <c r="DJ39" s="87"/>
      <c r="DK39" s="87">
        <f t="shared" si="73"/>
        <v>0</v>
      </c>
      <c r="DL39" s="87">
        <f t="shared" si="46"/>
        <v>0</v>
      </c>
      <c r="DM39" s="87">
        <f t="shared" si="74"/>
        <v>0</v>
      </c>
      <c r="DN39" s="87">
        <f t="shared" si="47"/>
        <v>0</v>
      </c>
      <c r="DO39" s="97"/>
      <c r="DP39" s="87">
        <f t="shared" si="75"/>
        <v>0</v>
      </c>
      <c r="DQ39" s="87">
        <f t="shared" si="76"/>
        <v>163287.55874249965</v>
      </c>
      <c r="DR39" s="87">
        <f t="shared" si="77"/>
        <v>11.006573760566228</v>
      </c>
      <c r="DS39" s="97">
        <v>24532.400921044533</v>
      </c>
      <c r="DT39" s="88">
        <f t="shared" si="78"/>
        <v>69.058849140120444</v>
      </c>
      <c r="DU39" s="87">
        <f t="shared" si="79"/>
        <v>865057.68617436208</v>
      </c>
      <c r="DV39" s="87">
        <f t="shared" si="80"/>
        <v>58.310145018689099</v>
      </c>
      <c r="DW39" s="97">
        <v>8656.0683296067618</v>
      </c>
      <c r="DX39" s="88">
        <f t="shared" si="81"/>
        <v>24.366881938901386</v>
      </c>
      <c r="DY39" s="87">
        <f t="shared" si="82"/>
        <v>8656.0683296067618</v>
      </c>
      <c r="DZ39" s="452">
        <f t="shared" si="83"/>
        <v>0.58347160849261193</v>
      </c>
      <c r="EA39" s="97">
        <v>1023.3648382530923</v>
      </c>
      <c r="EB39" s="87">
        <f t="shared" si="84"/>
        <v>2.8807778825919743</v>
      </c>
      <c r="EC39" s="87">
        <f t="shared" si="85"/>
        <v>48434.54915299642</v>
      </c>
      <c r="ED39" s="87">
        <f t="shared" si="86"/>
        <v>3.2647829505057908</v>
      </c>
      <c r="EE39" s="97">
        <v>1312.0722989189521</v>
      </c>
      <c r="EF39" s="87" t="e">
        <f t="shared" si="87"/>
        <v>#DIV/0!</v>
      </c>
      <c r="EG39" s="87">
        <f t="shared" si="88"/>
        <v>45632.992056471689</v>
      </c>
      <c r="EH39" s="87" t="e">
        <f t="shared" si="89"/>
        <v>#DIV/0!</v>
      </c>
      <c r="EI39" s="87"/>
      <c r="EJ39" s="87">
        <f t="shared" si="90"/>
        <v>0</v>
      </c>
      <c r="EK39" s="87">
        <f t="shared" si="91"/>
        <v>4399.4617303218538</v>
      </c>
      <c r="EL39" s="87">
        <f t="shared" si="92"/>
        <v>0.29655045622880344</v>
      </c>
      <c r="EM39" s="87">
        <f t="shared" si="93"/>
        <v>35523.906387823343</v>
      </c>
      <c r="EN39" s="87">
        <f t="shared" si="94"/>
        <v>100</v>
      </c>
      <c r="EO39" s="87">
        <f t="shared" si="95"/>
        <v>1483545.7636010009</v>
      </c>
      <c r="EP39" s="87">
        <f t="shared" si="96"/>
        <v>100</v>
      </c>
      <c r="EQ39" s="87">
        <f t="shared" si="97"/>
        <v>35523.906387823343</v>
      </c>
      <c r="ER39" s="87">
        <f t="shared" si="98"/>
        <v>1483545.7636010009</v>
      </c>
      <c r="ES39" s="87">
        <f t="shared" si="48"/>
        <v>0.650609080196761</v>
      </c>
      <c r="ET39" s="87">
        <f t="shared" si="49"/>
        <v>0.9778762011989911</v>
      </c>
      <c r="EU39" s="6"/>
      <c r="EV39" s="451">
        <f t="shared" si="99"/>
        <v>0</v>
      </c>
      <c r="EW39" s="451">
        <f>(SUM($EU$10:EU39))/(SUM($EM$10:EM39))</f>
        <v>0</v>
      </c>
      <c r="EX39" s="3"/>
    </row>
    <row r="40" spans="1:154">
      <c r="A40" s="16">
        <f>+Chem!A40</f>
        <v>46112</v>
      </c>
      <c r="B40" s="6" t="str">
        <f>+Chem!B40</f>
        <v>Toilet</v>
      </c>
      <c r="C40" s="16" t="str">
        <f>+Chem!C40</f>
        <v>13,5/15</v>
      </c>
      <c r="D40" s="8">
        <f>+Chem!D40</f>
        <v>49.249000000000002</v>
      </c>
      <c r="E40" s="7">
        <f>+Chem!E40</f>
        <v>39.250999999999998</v>
      </c>
      <c r="F40" s="7">
        <f t="shared" ref="F40" si="101">+E40+F39</f>
        <v>1556.3609999999996</v>
      </c>
      <c r="G40" s="97"/>
      <c r="H40" s="87">
        <f t="shared" ref="H40" si="102">G40/EQ40*100</f>
        <v>0</v>
      </c>
      <c r="I40" s="8">
        <f t="shared" ref="I40" si="103">G40+I39</f>
        <v>0</v>
      </c>
      <c r="J40" s="87">
        <f t="shared" ref="J40" si="104">I40/ER40*100</f>
        <v>0</v>
      </c>
      <c r="K40" s="97"/>
      <c r="L40" s="87">
        <f t="shared" ref="L40" si="105">+K40/EQ40*100</f>
        <v>0</v>
      </c>
      <c r="M40" s="87">
        <f t="shared" ref="M40" si="106">+K40+M39</f>
        <v>0</v>
      </c>
      <c r="N40" s="87">
        <f t="shared" ref="N40" si="107">+M40/ER40*100</f>
        <v>0</v>
      </c>
      <c r="O40" s="97"/>
      <c r="P40" s="87">
        <f t="shared" ref="P40" si="108">+O40/EQ40*100</f>
        <v>0</v>
      </c>
      <c r="Q40" s="87">
        <f t="shared" ref="Q40" si="109">+O40+Q39</f>
        <v>0</v>
      </c>
      <c r="R40" s="87">
        <f t="shared" ref="R40" si="110">+Q40/ER40*100</f>
        <v>0</v>
      </c>
      <c r="S40" s="97"/>
      <c r="T40" s="87">
        <f t="shared" ref="T40" si="111">+S40/EQ40*100</f>
        <v>0</v>
      </c>
      <c r="U40" s="87">
        <f t="shared" ref="U40" si="112">+S40+U39</f>
        <v>0</v>
      </c>
      <c r="V40" s="87">
        <f t="shared" ref="V40" si="113">+U40/ER40*100</f>
        <v>0</v>
      </c>
      <c r="W40" s="97"/>
      <c r="X40" s="87">
        <f t="shared" ref="X40" si="114">+W40/EQ40*100</f>
        <v>0</v>
      </c>
      <c r="Y40" s="87">
        <f t="shared" ref="Y40" si="115">+W40+Y39</f>
        <v>0</v>
      </c>
      <c r="Z40" s="87">
        <f t="shared" ref="Z40" si="116">+Y40/ER40*100</f>
        <v>0</v>
      </c>
      <c r="AA40" s="97"/>
      <c r="AB40" s="87">
        <f t="shared" ref="AB40" si="117">AA40/EQ40*100</f>
        <v>0</v>
      </c>
      <c r="AC40" s="87">
        <f t="shared" ref="AC40" si="118">AA40+AC39</f>
        <v>0</v>
      </c>
      <c r="AD40" s="87">
        <f t="shared" ref="AD40" si="119">AC40/ER40*100</f>
        <v>0</v>
      </c>
      <c r="AE40" s="97"/>
      <c r="AF40" s="87">
        <f t="shared" ref="AF40" si="120">+AE40/EQ40*100</f>
        <v>0</v>
      </c>
      <c r="AG40" s="87">
        <f t="shared" ref="AG40" si="121">+AE40+AG39</f>
        <v>0</v>
      </c>
      <c r="AH40" s="87">
        <f t="shared" ref="AH40" si="122">+AG40/ER40*100</f>
        <v>0</v>
      </c>
      <c r="AI40" s="97"/>
      <c r="AJ40" s="87">
        <f t="shared" ref="AJ40" si="123">AI40/EQ40*100</f>
        <v>0</v>
      </c>
      <c r="AK40" s="87">
        <f t="shared" ref="AK40" si="124">AI40+AK39</f>
        <v>0</v>
      </c>
      <c r="AL40" s="87">
        <f t="shared" ref="AL40" si="125">AK40/ER40*100</f>
        <v>0</v>
      </c>
      <c r="AM40" s="97"/>
      <c r="AN40" s="87">
        <f t="shared" ref="AN40" si="126">AM40/EQ40*100</f>
        <v>0</v>
      </c>
      <c r="AO40" s="87">
        <f t="shared" ref="AO40" si="127">+AM40+AO39</f>
        <v>0</v>
      </c>
      <c r="AP40" s="87">
        <f t="shared" ref="AP40" si="128">+AO40/ER40*100</f>
        <v>0</v>
      </c>
      <c r="AQ40" s="97"/>
      <c r="AR40" s="87">
        <f t="shared" ref="AR40" si="129">AQ40/EQ40*100</f>
        <v>0</v>
      </c>
      <c r="AS40" s="87">
        <f t="shared" ref="AS40" si="130">AQ40+AS39</f>
        <v>0</v>
      </c>
      <c r="AT40" s="87">
        <f t="shared" ref="AT40" si="131">AS40/ER40*100</f>
        <v>0</v>
      </c>
      <c r="AU40" s="247"/>
      <c r="AV40" s="87">
        <f t="shared" ref="AV40" si="132">AU40/EQ40*100</f>
        <v>0</v>
      </c>
      <c r="AW40" s="8">
        <f t="shared" ref="AW40" si="133">AU40+AW39</f>
        <v>0</v>
      </c>
      <c r="AX40" s="87">
        <f t="shared" ref="AX40" si="134">AW40/ER40*100</f>
        <v>0</v>
      </c>
      <c r="AY40" s="97"/>
      <c r="AZ40" s="87">
        <f t="shared" ref="AZ40" si="135">AY40/EQ40*100</f>
        <v>0</v>
      </c>
      <c r="BA40" s="87">
        <f t="shared" ref="BA40" si="136">AY40+BA39</f>
        <v>0</v>
      </c>
      <c r="BB40" s="87">
        <f t="shared" ref="BB40" si="137">BA40/ER40*100</f>
        <v>0</v>
      </c>
      <c r="BC40" s="97"/>
      <c r="BD40" s="87">
        <f t="shared" ref="BD40" si="138">BC40/EQ40*100</f>
        <v>0</v>
      </c>
      <c r="BE40" s="87">
        <f t="shared" ref="BE40" si="139">BC40+BE39</f>
        <v>0</v>
      </c>
      <c r="BF40" s="87">
        <f t="shared" ref="BF40" si="140">BE40/ER40*100</f>
        <v>0</v>
      </c>
      <c r="BG40" s="97"/>
      <c r="BH40" s="87">
        <f t="shared" ref="BH40" si="141">BG40/EQ40*100</f>
        <v>0</v>
      </c>
      <c r="BI40" s="87">
        <f t="shared" ref="BI40" si="142">BG40+BI39</f>
        <v>0</v>
      </c>
      <c r="BJ40" s="87">
        <f t="shared" ref="BJ40" si="143">BI40/ER40*100</f>
        <v>0</v>
      </c>
      <c r="BK40" s="97"/>
      <c r="BL40" s="87"/>
      <c r="BM40" s="87"/>
      <c r="BN40" s="87"/>
      <c r="BO40" s="97"/>
      <c r="BP40" s="87"/>
      <c r="BQ40" s="87"/>
      <c r="BR40" s="87"/>
      <c r="BS40" s="97"/>
      <c r="BT40" s="87"/>
      <c r="BU40" s="87"/>
      <c r="BV40" s="87"/>
      <c r="BW40" s="87">
        <f t="shared" ref="BW40" si="144">G40+AY40+BK40+BG40+BS40+BO40+AU40+AI40+BC40+AQ40+AA40+AM40+AE40+K40+W40+S40+O40</f>
        <v>0</v>
      </c>
      <c r="BX40" s="87">
        <f t="shared" ref="BX40" si="145">BW40/EQ40*100</f>
        <v>0</v>
      </c>
      <c r="BY40" s="87">
        <f t="shared" ref="BY40" si="146">BW40+BY39</f>
        <v>0</v>
      </c>
      <c r="BZ40" s="87">
        <f t="shared" ref="BZ40" si="147">BY40/ER40*100</f>
        <v>0</v>
      </c>
      <c r="CA40" s="97"/>
      <c r="CB40" s="87">
        <f t="shared" ref="CB40" si="148">CA40/EQ40*100</f>
        <v>0</v>
      </c>
      <c r="CC40" s="87"/>
      <c r="CD40" s="87">
        <f t="shared" ref="CD40" si="149">CC40/ER40*100</f>
        <v>0</v>
      </c>
      <c r="CE40" s="97"/>
      <c r="CF40" s="87">
        <f t="shared" ref="CF40" si="150">CE40/EQ40*100</f>
        <v>0</v>
      </c>
      <c r="CG40" s="87">
        <f t="shared" ref="CG40" si="151">CE40+CG39</f>
        <v>0</v>
      </c>
      <c r="CH40" s="87">
        <f t="shared" ref="CH40" si="152">CG40/ER40*100</f>
        <v>0</v>
      </c>
      <c r="CI40" s="97"/>
      <c r="CJ40" s="87">
        <f t="shared" ref="CJ40" si="153">CI40/EQ40*100</f>
        <v>0</v>
      </c>
      <c r="CK40" s="87">
        <f t="shared" ref="CK40" si="154">CI40+CK39</f>
        <v>0</v>
      </c>
      <c r="CL40" s="87">
        <f t="shared" ref="CL40" si="155">CK40/ER40*100</f>
        <v>0</v>
      </c>
      <c r="CM40" s="97"/>
      <c r="CN40" s="87">
        <f t="shared" ref="CN40" si="156">CM40/EQ40*100</f>
        <v>0</v>
      </c>
      <c r="CO40" s="87">
        <f t="shared" ref="CO40" si="157">CM40+CO39</f>
        <v>0</v>
      </c>
      <c r="CP40" s="87">
        <f t="shared" ref="CP40" si="158">CO40/ER40*100</f>
        <v>0</v>
      </c>
      <c r="CQ40" s="97"/>
      <c r="CR40" s="87">
        <f t="shared" ref="CR40" si="159">CQ40/EQ40*100</f>
        <v>0</v>
      </c>
      <c r="CS40" s="87">
        <f t="shared" ref="CS40" si="160">CQ40+CS39</f>
        <v>0</v>
      </c>
      <c r="CT40" s="87">
        <f t="shared" ref="CT40" si="161">CS40/ER40*100</f>
        <v>0</v>
      </c>
      <c r="CU40" s="97"/>
      <c r="CV40" s="87">
        <f t="shared" ref="CV40" si="162">CU40/EQ40*100</f>
        <v>0</v>
      </c>
      <c r="CW40" s="87">
        <f t="shared" ref="CW40" si="163">CU40+CW39</f>
        <v>0</v>
      </c>
      <c r="CX40" s="87">
        <f t="shared" ref="CX40" si="164">CW40/ER40*100</f>
        <v>0</v>
      </c>
      <c r="CY40" s="97"/>
      <c r="CZ40" s="87">
        <f t="shared" ref="CZ40" si="165">CY40/EQ40*100</f>
        <v>0</v>
      </c>
      <c r="DA40" s="87">
        <f t="shared" ref="DA40" si="166">CY40+DA39</f>
        <v>0</v>
      </c>
      <c r="DB40" s="87">
        <f t="shared" ref="DB40" si="167">DA40/ER40</f>
        <v>0</v>
      </c>
      <c r="DC40" s="97"/>
      <c r="DD40" s="87">
        <f t="shared" ref="DD40" si="168">DC40/EQ40*100</f>
        <v>0</v>
      </c>
      <c r="DE40" s="87">
        <f t="shared" ref="DE40" si="169">DC40+DE39</f>
        <v>0</v>
      </c>
      <c r="DF40" s="87">
        <f t="shared" ref="DF40" si="170">DE40/ER40*100</f>
        <v>0</v>
      </c>
      <c r="DG40" s="97"/>
      <c r="DH40" s="87"/>
      <c r="DI40" s="87"/>
      <c r="DJ40" s="87"/>
      <c r="DK40" s="87">
        <f t="shared" ref="DK40" si="171">CA40+CE40+CI40+CM40+CQ40+CU40+CY40+DC40</f>
        <v>0</v>
      </c>
      <c r="DL40" s="87">
        <f t="shared" ref="DL40" si="172">DK40/EQ40*100</f>
        <v>0</v>
      </c>
      <c r="DM40" s="87">
        <f t="shared" ref="DM40" si="173">DK40+DM39</f>
        <v>0</v>
      </c>
      <c r="DN40" s="87">
        <f t="shared" ref="DN40" si="174">DM40/ER40*100</f>
        <v>0</v>
      </c>
      <c r="DO40" s="97"/>
      <c r="DP40" s="87">
        <f t="shared" ref="DP40" si="175">DO40/EQ40*100</f>
        <v>0</v>
      </c>
      <c r="DQ40" s="87">
        <f t="shared" ref="DQ40" si="176">DO40+DQ39</f>
        <v>163287.55874249965</v>
      </c>
      <c r="DR40" s="87">
        <f t="shared" ref="DR40" si="177">DQ40/ER40*100</f>
        <v>10.553355934931806</v>
      </c>
      <c r="DS40" s="97">
        <v>44317.367192131329</v>
      </c>
      <c r="DT40" s="88">
        <f t="shared" ref="DT40" si="178">DS40/EQ40*100</f>
        <v>69.55952492284672</v>
      </c>
      <c r="DU40" s="87">
        <f t="shared" ref="DU40" si="179">DS40+DU39</f>
        <v>909375.05336649343</v>
      </c>
      <c r="DV40" s="87">
        <f t="shared" ref="DV40" si="180">DU40/ER40*100</f>
        <v>58.77336087594017</v>
      </c>
      <c r="DW40" s="97">
        <v>15780.390831992449</v>
      </c>
      <c r="DX40" s="88">
        <f t="shared" ref="DX40" si="181">DW40/EQ40*100</f>
        <v>24.768540166464039</v>
      </c>
      <c r="DY40" s="87">
        <f t="shared" ref="DY40" si="182">DW40</f>
        <v>15780.390831992449</v>
      </c>
      <c r="DZ40" s="452">
        <f t="shared" ref="DZ40" si="183">DY40/ER40*100</f>
        <v>1.0198944887465318</v>
      </c>
      <c r="EA40" s="97">
        <v>1531.2669223417251</v>
      </c>
      <c r="EB40" s="87">
        <f t="shared" ref="EB40" si="184">+EA40/EQ40*100</f>
        <v>2.4034415037875241</v>
      </c>
      <c r="EC40" s="87">
        <f t="shared" ref="EC40" si="185">+EA40+EC39</f>
        <v>49965.816075338145</v>
      </c>
      <c r="ED40" s="87">
        <f t="shared" ref="ED40" si="186">+EC40/ER40*100</f>
        <v>3.2293154829629778</v>
      </c>
      <c r="EE40" s="97">
        <v>1641.4943078021217</v>
      </c>
      <c r="EF40" s="87" t="e">
        <f t="shared" si="87"/>
        <v>#DIV/0!</v>
      </c>
      <c r="EG40" s="87">
        <f t="shared" si="88"/>
        <v>47274.486364273813</v>
      </c>
      <c r="EH40" s="87" t="e">
        <f t="shared" si="89"/>
        <v>#DIV/0!</v>
      </c>
      <c r="EI40" s="87">
        <v>440.90954184158625</v>
      </c>
      <c r="EJ40" s="87">
        <f t="shared" si="90"/>
        <v>0.69204152249134943</v>
      </c>
      <c r="EK40" s="87">
        <f t="shared" si="91"/>
        <v>4840.3712721634402</v>
      </c>
      <c r="EL40" s="87">
        <f t="shared" si="92"/>
        <v>0.31283559681919632</v>
      </c>
      <c r="EM40" s="87">
        <f t="shared" si="93"/>
        <v>63711.42879610922</v>
      </c>
      <c r="EN40" s="87">
        <f t="shared" ref="EN40" si="187">EM40/EQ40*100</f>
        <v>100</v>
      </c>
      <c r="EO40" s="87">
        <f t="shared" ref="EO40" si="188">EM40+EO39</f>
        <v>1547257.1923971102</v>
      </c>
      <c r="EP40" s="87">
        <f t="shared" ref="EP40" si="189">EO40/ER40*100</f>
        <v>100</v>
      </c>
      <c r="EQ40" s="87">
        <f t="shared" ref="EQ40" si="190">+EM40+DK40+BW40</f>
        <v>63711.42879610922</v>
      </c>
      <c r="ER40" s="87">
        <f t="shared" ref="ER40" si="191">EQ40+ER39</f>
        <v>1547257.1923971102</v>
      </c>
      <c r="ES40" s="87">
        <f t="shared" ref="ES40" si="192">EQ40/1000/E40</f>
        <v>1.6231797609260712</v>
      </c>
      <c r="ET40" s="87">
        <f t="shared" ref="ET40" si="193">(ER40/1000)/F40</f>
        <v>0.99415058100087994</v>
      </c>
      <c r="EU40" s="6"/>
      <c r="EV40" s="451"/>
      <c r="EW40" s="451"/>
      <c r="EX40" s="3"/>
    </row>
    <row r="41" spans="1:154">
      <c r="A41" s="16"/>
      <c r="B41" s="16"/>
      <c r="C41" s="16"/>
      <c r="D41" s="8"/>
      <c r="E41" s="7"/>
      <c r="F41" s="7"/>
      <c r="G41" s="96"/>
      <c r="H41" s="10"/>
      <c r="I41" s="8"/>
      <c r="J41" s="10"/>
      <c r="K41" s="96"/>
      <c r="L41" s="10"/>
      <c r="M41" s="10"/>
      <c r="N41" s="10"/>
      <c r="O41" s="96"/>
      <c r="P41" s="10"/>
      <c r="Q41" s="10"/>
      <c r="R41" s="10"/>
      <c r="S41" s="96"/>
      <c r="T41" s="10"/>
      <c r="U41" s="10"/>
      <c r="V41" s="10"/>
      <c r="W41" s="96"/>
      <c r="X41" s="10"/>
      <c r="Y41" s="10"/>
      <c r="Z41" s="10"/>
      <c r="AA41" s="96"/>
      <c r="AB41" s="10"/>
      <c r="AC41" s="10"/>
      <c r="AD41" s="10"/>
      <c r="AE41" s="96"/>
      <c r="AF41" s="10"/>
      <c r="AG41" s="10"/>
      <c r="AH41" s="10"/>
      <c r="AI41" s="96"/>
      <c r="AJ41" s="10"/>
      <c r="AK41" s="10"/>
      <c r="AL41" s="10"/>
      <c r="AM41" s="96"/>
      <c r="AN41" s="10"/>
      <c r="AO41" s="10"/>
      <c r="AP41" s="10"/>
      <c r="AQ41" s="96"/>
      <c r="AR41" s="10"/>
      <c r="AS41" s="10"/>
      <c r="AT41" s="10"/>
      <c r="AU41" s="247"/>
      <c r="AV41" s="10"/>
      <c r="AW41" s="8"/>
      <c r="AX41" s="10"/>
      <c r="AY41" s="96"/>
      <c r="AZ41" s="10"/>
      <c r="BA41" s="10"/>
      <c r="BB41" s="10"/>
      <c r="BC41" s="96"/>
      <c r="BD41" s="10"/>
      <c r="BE41" s="10"/>
      <c r="BF41" s="10"/>
      <c r="BG41" s="96"/>
      <c r="BH41" s="10"/>
      <c r="BI41" s="10"/>
      <c r="BJ41" s="10"/>
      <c r="BK41" s="96"/>
      <c r="BL41" s="10"/>
      <c r="BM41" s="10"/>
      <c r="BN41" s="10"/>
      <c r="BO41" s="96"/>
      <c r="BP41" s="10"/>
      <c r="BQ41" s="10"/>
      <c r="BR41" s="10"/>
      <c r="BS41" s="96"/>
      <c r="BT41" s="10"/>
      <c r="BU41" s="10"/>
      <c r="BV41" s="10"/>
      <c r="BW41" s="10"/>
      <c r="BX41" s="10"/>
      <c r="BY41" s="10"/>
      <c r="BZ41" s="10"/>
      <c r="CA41" s="96"/>
      <c r="CB41" s="10"/>
      <c r="CC41" s="10"/>
      <c r="CD41" s="10"/>
      <c r="CE41" s="96"/>
      <c r="CF41" s="10"/>
      <c r="CG41" s="10"/>
      <c r="CH41" s="10"/>
      <c r="CI41" s="96"/>
      <c r="CJ41" s="10"/>
      <c r="CK41" s="10"/>
      <c r="CL41" s="10"/>
      <c r="CM41" s="96"/>
      <c r="CN41" s="10"/>
      <c r="CO41" s="10"/>
      <c r="CP41" s="10"/>
      <c r="CQ41" s="96"/>
      <c r="CR41" s="10"/>
      <c r="CS41" s="10"/>
      <c r="CT41" s="10"/>
      <c r="CU41" s="96"/>
      <c r="CV41" s="10"/>
      <c r="CW41" s="10"/>
      <c r="CX41" s="10"/>
      <c r="CY41" s="96"/>
      <c r="CZ41" s="10"/>
      <c r="DA41" s="10"/>
      <c r="DB41" s="10"/>
      <c r="DC41" s="96"/>
      <c r="DD41" s="10"/>
      <c r="DE41" s="10"/>
      <c r="DF41" s="10"/>
      <c r="DG41" s="96"/>
      <c r="DH41" s="10"/>
      <c r="DI41" s="10"/>
      <c r="DJ41" s="10"/>
      <c r="DK41" s="10"/>
      <c r="DL41" s="10"/>
      <c r="DM41" s="10"/>
      <c r="DN41" s="10"/>
      <c r="DO41" s="96"/>
      <c r="DP41" s="10"/>
      <c r="DQ41" s="10"/>
      <c r="DR41" s="10"/>
      <c r="DS41" s="96"/>
      <c r="DT41" s="15"/>
      <c r="DU41" s="10"/>
      <c r="DV41" s="10"/>
      <c r="DW41" s="96"/>
      <c r="DX41" s="15"/>
      <c r="DY41" s="10"/>
      <c r="DZ41" s="10"/>
      <c r="EA41" s="96"/>
      <c r="EB41" s="10"/>
      <c r="EC41" s="10"/>
      <c r="ED41" s="10"/>
      <c r="EE41" s="96"/>
      <c r="EF41" s="10"/>
      <c r="EG41" s="10"/>
      <c r="EH41" s="10"/>
      <c r="EI41" s="10"/>
      <c r="EJ41" s="10"/>
      <c r="EK41" s="10"/>
      <c r="EL41" s="10"/>
      <c r="EM41" s="10"/>
      <c r="EN41" s="10"/>
      <c r="EO41" s="10"/>
      <c r="EP41" s="10"/>
      <c r="EQ41" s="10"/>
      <c r="ER41" s="10"/>
      <c r="ES41" s="10"/>
      <c r="ET41" s="10"/>
      <c r="EU41" s="6"/>
      <c r="EV41" s="6"/>
      <c r="EW41" s="451"/>
      <c r="EX41" s="3"/>
    </row>
    <row r="42" spans="1:154" ht="13.8" thickBot="1">
      <c r="A42" s="11" t="s">
        <v>28</v>
      </c>
      <c r="B42" s="11"/>
      <c r="C42" s="12"/>
      <c r="D42" s="12">
        <f>SUM(D10:D41)</f>
        <v>1597.6710000000005</v>
      </c>
      <c r="E42" s="12">
        <f>SUM(E10:E41)</f>
        <v>1556.3609999999996</v>
      </c>
      <c r="F42" s="12"/>
      <c r="G42" s="12">
        <f>SUM(G10:G41)</f>
        <v>0</v>
      </c>
      <c r="H42" s="12">
        <f>G42/EQ42*100</f>
        <v>0</v>
      </c>
      <c r="I42" s="12"/>
      <c r="J42" s="12"/>
      <c r="K42" s="12">
        <f>SUM(K10:K41)</f>
        <v>0</v>
      </c>
      <c r="L42" s="12"/>
      <c r="M42" s="12"/>
      <c r="N42" s="12"/>
      <c r="O42" s="12"/>
      <c r="P42" s="12"/>
      <c r="Q42" s="12"/>
      <c r="R42" s="12"/>
      <c r="S42" s="12"/>
      <c r="T42" s="12"/>
      <c r="U42" s="12"/>
      <c r="V42" s="12"/>
      <c r="W42" s="12"/>
      <c r="X42" s="12"/>
      <c r="Y42" s="12"/>
      <c r="Z42" s="12"/>
      <c r="AA42" s="12">
        <f>SUM(AA10:AA41)</f>
        <v>0</v>
      </c>
      <c r="AB42" s="12">
        <f>+AA42/$EQ$42*100</f>
        <v>0</v>
      </c>
      <c r="AC42" s="12"/>
      <c r="AD42" s="12"/>
      <c r="AE42" s="12">
        <f>SUM(AE10:AE41)</f>
        <v>0</v>
      </c>
      <c r="AF42" s="12"/>
      <c r="AG42" s="12"/>
      <c r="AH42" s="12"/>
      <c r="AI42" s="12">
        <f>SUM(AI10:AI41)</f>
        <v>0</v>
      </c>
      <c r="AJ42" s="12"/>
      <c r="AK42" s="12"/>
      <c r="AL42" s="12"/>
      <c r="AM42" s="12">
        <f>SUM(AM10:AM41)</f>
        <v>0</v>
      </c>
      <c r="AN42" s="12">
        <f>AM42/$EQ$42*100</f>
        <v>0</v>
      </c>
      <c r="AO42" s="12"/>
      <c r="AP42" s="12"/>
      <c r="AQ42" s="12">
        <f>SUM(AQ10:AQ41)</f>
        <v>0</v>
      </c>
      <c r="AR42" s="12">
        <f>AQ42/$EQ$42*100</f>
        <v>0</v>
      </c>
      <c r="AS42" s="12"/>
      <c r="AT42" s="12"/>
      <c r="AU42" s="12">
        <f>SUM(AU10:AU41)</f>
        <v>0</v>
      </c>
      <c r="AV42" s="12">
        <f>AU42/$EQ$42*100</f>
        <v>0</v>
      </c>
      <c r="AW42" s="12"/>
      <c r="AX42" s="12"/>
      <c r="AY42" s="12">
        <f>SUM(AY10:AY41)</f>
        <v>0</v>
      </c>
      <c r="AZ42" s="12">
        <f>AY42/$EQ$42*100</f>
        <v>0</v>
      </c>
      <c r="BA42" s="12"/>
      <c r="BB42" s="12"/>
      <c r="BC42" s="12">
        <f>SUM(BC10:BC41)</f>
        <v>0</v>
      </c>
      <c r="BD42" s="12">
        <f>BC42/$EQ$42*100</f>
        <v>0</v>
      </c>
      <c r="BE42" s="12"/>
      <c r="BF42" s="12"/>
      <c r="BG42" s="12">
        <f>SUM(BG10:BG41)</f>
        <v>0</v>
      </c>
      <c r="BH42" s="12">
        <f>BG42/EQ42*100</f>
        <v>0</v>
      </c>
      <c r="BI42" s="12"/>
      <c r="BJ42" s="12"/>
      <c r="BK42" s="12">
        <f>SUM(BK10:BK41)</f>
        <v>0</v>
      </c>
      <c r="BL42" s="12">
        <f>BK42/EQ42*100</f>
        <v>0</v>
      </c>
      <c r="BM42" s="12"/>
      <c r="BN42" s="12"/>
      <c r="BO42" s="12"/>
      <c r="BP42" s="12"/>
      <c r="BQ42" s="12"/>
      <c r="BR42" s="12"/>
      <c r="BS42" s="12">
        <f>SUM(BS10:BS41)</f>
        <v>0</v>
      </c>
      <c r="BT42" s="12">
        <f>BS42/EQ42*100</f>
        <v>0</v>
      </c>
      <c r="BU42" s="12"/>
      <c r="BV42" s="12"/>
      <c r="BW42" s="12">
        <f>SUM(BW10:BW41)</f>
        <v>0</v>
      </c>
      <c r="BX42" s="18">
        <f>BW42/$EQ$42*100</f>
        <v>0</v>
      </c>
      <c r="BY42" s="12"/>
      <c r="BZ42" s="12"/>
      <c r="CA42" s="12">
        <f>SUM(CA10:CA41)</f>
        <v>0</v>
      </c>
      <c r="CB42" s="12">
        <f>CA42/EM42*100</f>
        <v>0</v>
      </c>
      <c r="CC42" s="12"/>
      <c r="CD42" s="12"/>
      <c r="CE42" s="12">
        <f>SUM(CE10:CE41)</f>
        <v>0</v>
      </c>
      <c r="CF42" s="12">
        <f>CE42/$EQ$42*100</f>
        <v>0</v>
      </c>
      <c r="CG42" s="12"/>
      <c r="CH42" s="12"/>
      <c r="CI42" s="12">
        <f>SUM(CI10:CI41)</f>
        <v>0</v>
      </c>
      <c r="CJ42" s="12">
        <f>CI42/$EQ$42*100</f>
        <v>0</v>
      </c>
      <c r="CK42" s="12"/>
      <c r="CL42" s="12"/>
      <c r="CM42" s="12">
        <f>SUM(CM10:CM41)</f>
        <v>0</v>
      </c>
      <c r="CN42" s="12">
        <f>CM42/$EQ$42*100</f>
        <v>0</v>
      </c>
      <c r="CO42" s="12"/>
      <c r="CP42" s="12"/>
      <c r="CQ42" s="12">
        <f>SUM(CQ10:CQ41)</f>
        <v>0</v>
      </c>
      <c r="CR42" s="12">
        <f>CQ42/$EQ$42*100</f>
        <v>0</v>
      </c>
      <c r="CS42" s="12"/>
      <c r="CT42" s="12"/>
      <c r="CU42" s="12">
        <f>SUM(CU10:CU41)</f>
        <v>0</v>
      </c>
      <c r="CV42" s="12">
        <f>CU42/$EQ$42*100</f>
        <v>0</v>
      </c>
      <c r="CW42" s="12"/>
      <c r="CX42" s="12"/>
      <c r="CY42" s="12">
        <f>SUM(CY10:CY41)</f>
        <v>0</v>
      </c>
      <c r="CZ42" s="12">
        <f>CY42/$EQ$42*100</f>
        <v>0</v>
      </c>
      <c r="DA42" s="12"/>
      <c r="DB42" s="12"/>
      <c r="DC42" s="12">
        <f>SUM(DC10:DC41)</f>
        <v>0</v>
      </c>
      <c r="DD42" s="12">
        <f>DC42/$EQ$42*100</f>
        <v>0</v>
      </c>
      <c r="DE42" s="12"/>
      <c r="DF42" s="12"/>
      <c r="DG42" s="12">
        <f>SUM(DG10:DG41)</f>
        <v>0</v>
      </c>
      <c r="DH42" s="12"/>
      <c r="DI42" s="12"/>
      <c r="DJ42" s="12"/>
      <c r="DK42" s="12">
        <f>SUM(DK10:DK41)</f>
        <v>0</v>
      </c>
      <c r="DL42" s="12"/>
      <c r="DM42" s="12"/>
      <c r="DN42" s="12"/>
      <c r="DO42" s="12">
        <f>SUM(DO10:DO41)</f>
        <v>163287.55874249965</v>
      </c>
      <c r="DP42" s="12">
        <f>DO42/$EQ$42*100</f>
        <v>10.553355934931806</v>
      </c>
      <c r="DQ42" s="12"/>
      <c r="DR42" s="12"/>
      <c r="DS42" s="12">
        <f>SUM(DS10:DS41)</f>
        <v>909375.05336649343</v>
      </c>
      <c r="DT42" s="12">
        <f>DS42/$EQ$42*100</f>
        <v>58.77336087594017</v>
      </c>
      <c r="DU42" s="12"/>
      <c r="DV42" s="12"/>
      <c r="DW42" s="12">
        <f>SUM(DW10:DW41)</f>
        <v>372513.90657634143</v>
      </c>
      <c r="DX42" s="12">
        <f>DW42/$EQ$42*100</f>
        <v>24.075758600883862</v>
      </c>
      <c r="DY42" s="12"/>
      <c r="DZ42" s="12"/>
      <c r="EA42" s="12">
        <f>SUM(EA10:EA41)</f>
        <v>49965.816075338145</v>
      </c>
      <c r="EB42" s="12">
        <f>EA42/$EQ$42*100</f>
        <v>3.2293154829629778</v>
      </c>
      <c r="EC42" s="12"/>
      <c r="ED42" s="12"/>
      <c r="EE42" s="12">
        <f>SUM(EE10:EE41)</f>
        <v>47274.486364273813</v>
      </c>
      <c r="EF42" s="12">
        <f>EE42/$EQ$42*100</f>
        <v>3.0553735084619738</v>
      </c>
      <c r="EG42" s="12"/>
      <c r="EH42" s="12"/>
      <c r="EI42" s="12">
        <f>SUM(EI10:EI41)</f>
        <v>4840.3712721634402</v>
      </c>
      <c r="EJ42" s="20">
        <f>EI42/$EQ$42*100</f>
        <v>0.31283559681919632</v>
      </c>
      <c r="EK42" s="12"/>
      <c r="EL42" s="12"/>
      <c r="EM42" s="12">
        <f>SUM(EM10:EM41)</f>
        <v>1547257.1923971102</v>
      </c>
      <c r="EN42" s="20">
        <f>EM42/$EQ$42*100</f>
        <v>100</v>
      </c>
      <c r="EO42" s="12"/>
      <c r="EP42" s="12"/>
      <c r="EQ42" s="12">
        <f>SUM(EQ10:EQ41)</f>
        <v>1547257.1923971102</v>
      </c>
      <c r="ER42" s="12">
        <f>EQ42/$EQ$42*100</f>
        <v>100</v>
      </c>
      <c r="ES42" s="12">
        <f>EQ42/1000/E42</f>
        <v>0.99415058100087994</v>
      </c>
      <c r="ET42" s="12"/>
      <c r="EU42" s="6"/>
      <c r="EV42" s="6"/>
      <c r="EW42" s="451"/>
      <c r="EX42" s="3"/>
    </row>
    <row r="43" spans="1:154" ht="13.8" thickTop="1"/>
    <row r="44" spans="1:154">
      <c r="CA44" s="14"/>
      <c r="CQ44" s="14"/>
      <c r="CU44" s="14"/>
      <c r="EA44">
        <v>25</v>
      </c>
      <c r="EB44">
        <v>17853</v>
      </c>
      <c r="EC44">
        <f>+EB44/2</f>
        <v>8926.5</v>
      </c>
      <c r="EE44">
        <v>25</v>
      </c>
      <c r="EF44">
        <v>17853</v>
      </c>
      <c r="EG44">
        <f>+EF44/2</f>
        <v>8926.5</v>
      </c>
      <c r="EJ44" s="14"/>
      <c r="EN44" s="14"/>
    </row>
    <row r="45" spans="1:154">
      <c r="E45" s="14"/>
      <c r="F45" s="14"/>
      <c r="G45" s="14"/>
      <c r="I45" s="14"/>
      <c r="AY45" s="14"/>
      <c r="CQ45" s="14"/>
      <c r="CU45" s="14"/>
      <c r="EA45">
        <v>26</v>
      </c>
      <c r="EB45">
        <v>2167</v>
      </c>
      <c r="EC45">
        <f>+EB45/2</f>
        <v>1083.5</v>
      </c>
      <c r="EE45">
        <v>26</v>
      </c>
      <c r="EF45">
        <v>2167</v>
      </c>
      <c r="EG45">
        <f>+EF45/2</f>
        <v>1083.5</v>
      </c>
    </row>
    <row r="46" spans="1:154">
      <c r="EA46">
        <v>27</v>
      </c>
      <c r="EB46">
        <v>3604</v>
      </c>
      <c r="EC46">
        <f>+EB46/2</f>
        <v>1802</v>
      </c>
      <c r="EE46">
        <v>27</v>
      </c>
      <c r="EF46">
        <v>3604</v>
      </c>
      <c r="EG46">
        <f>+EF46/2</f>
        <v>1802</v>
      </c>
    </row>
    <row r="47" spans="1:154">
      <c r="EA47">
        <v>28</v>
      </c>
      <c r="EB47">
        <v>10664</v>
      </c>
      <c r="EC47">
        <f>+EB47/2</f>
        <v>5332</v>
      </c>
      <c r="EE47">
        <v>28</v>
      </c>
      <c r="EF47">
        <v>10664</v>
      </c>
      <c r="EG47">
        <f>+EF47/2</f>
        <v>5332</v>
      </c>
    </row>
  </sheetData>
  <mergeCells count="44">
    <mergeCell ref="EI8:EL8"/>
    <mergeCell ref="EE8:EH8"/>
    <mergeCell ref="DW8:DZ8"/>
    <mergeCell ref="DO8:DR8"/>
    <mergeCell ref="DK8:DN8"/>
    <mergeCell ref="O8:R8"/>
    <mergeCell ref="W8:Z8"/>
    <mergeCell ref="AI8:AL8"/>
    <mergeCell ref="BW8:BZ8"/>
    <mergeCell ref="BS8:BV8"/>
    <mergeCell ref="S8:V8"/>
    <mergeCell ref="AA8:AD8"/>
    <mergeCell ref="AM8:AP8"/>
    <mergeCell ref="AE8:AH8"/>
    <mergeCell ref="BO8:BR8"/>
    <mergeCell ref="BK8:BN8"/>
    <mergeCell ref="AY8:BB8"/>
    <mergeCell ref="AQ8:AT8"/>
    <mergeCell ref="BG8:BJ8"/>
    <mergeCell ref="BC8:BF8"/>
    <mergeCell ref="AU8:AX8"/>
    <mergeCell ref="A8:A9"/>
    <mergeCell ref="B8:B9"/>
    <mergeCell ref="C8:C9"/>
    <mergeCell ref="K8:N8"/>
    <mergeCell ref="G8:J8"/>
    <mergeCell ref="D8:D9"/>
    <mergeCell ref="E8:F8"/>
    <mergeCell ref="EV8:EW8"/>
    <mergeCell ref="EX8:EX9"/>
    <mergeCell ref="CA8:CD8"/>
    <mergeCell ref="DC8:DF8"/>
    <mergeCell ref="CE8:CH8"/>
    <mergeCell ref="CM8:CP8"/>
    <mergeCell ref="CI8:CL8"/>
    <mergeCell ref="CQ8:CT8"/>
    <mergeCell ref="CY8:DB8"/>
    <mergeCell ref="CU8:CX8"/>
    <mergeCell ref="DG8:DJ8"/>
    <mergeCell ref="ES8:ET8"/>
    <mergeCell ref="DS8:DV8"/>
    <mergeCell ref="EA8:ED8"/>
    <mergeCell ref="EM8:EP8"/>
    <mergeCell ref="EQ8:ER8"/>
  </mergeCells>
  <phoneticPr fontId="31" type="noConversion"/>
  <pageMargins left="0.19513888888888889" right="0.19513888888888889" top="0.05" bottom="0.05" header="0" footer="0"/>
  <pageSetup paperSize="9" scale="70" firstPageNumber="4294963191" orientation="landscape"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39"/>
  <sheetViews>
    <sheetView workbookViewId="0">
      <selection activeCell="AE14" sqref="AE14"/>
    </sheetView>
  </sheetViews>
  <sheetFormatPr defaultRowHeight="13.2"/>
  <cols>
    <col min="1" max="1" width="21.33203125" customWidth="1"/>
    <col min="2" max="13" width="9.109375" hidden="1" customWidth="1"/>
    <col min="14" max="14" width="9.44140625" hidden="1" customWidth="1"/>
    <col min="15" max="28" width="9.109375" hidden="1" customWidth="1"/>
    <col min="29" max="32" width="9.109375" customWidth="1"/>
    <col min="34" max="34" width="10.88671875" bestFit="1" customWidth="1"/>
    <col min="35" max="35" width="16.33203125" bestFit="1" customWidth="1"/>
  </cols>
  <sheetData>
    <row r="1" spans="1:39">
      <c r="A1" s="357" t="s">
        <v>386</v>
      </c>
      <c r="B1">
        <v>5071</v>
      </c>
      <c r="C1">
        <v>4832</v>
      </c>
      <c r="D1">
        <v>4676</v>
      </c>
      <c r="E1">
        <v>4211</v>
      </c>
      <c r="F1">
        <v>4670</v>
      </c>
      <c r="H1">
        <v>4001</v>
      </c>
      <c r="I1">
        <v>4417</v>
      </c>
      <c r="J1">
        <v>4185</v>
      </c>
      <c r="K1">
        <v>3559</v>
      </c>
      <c r="L1">
        <v>3905</v>
      </c>
      <c r="M1">
        <v>3885</v>
      </c>
      <c r="N1">
        <v>3805</v>
      </c>
      <c r="O1">
        <v>3913</v>
      </c>
      <c r="P1">
        <v>4250</v>
      </c>
      <c r="Q1">
        <v>4167</v>
      </c>
      <c r="R1">
        <v>4250</v>
      </c>
      <c r="S1">
        <v>4453</v>
      </c>
      <c r="T1">
        <v>4750</v>
      </c>
      <c r="U1">
        <v>4386</v>
      </c>
      <c r="V1">
        <v>4152</v>
      </c>
      <c r="W1">
        <v>5041</v>
      </c>
      <c r="X1">
        <v>5569</v>
      </c>
      <c r="Y1">
        <v>3916</v>
      </c>
      <c r="Z1">
        <v>3806</v>
      </c>
      <c r="AA1">
        <v>3974</v>
      </c>
      <c r="AB1">
        <v>4878</v>
      </c>
      <c r="AC1">
        <v>4099</v>
      </c>
      <c r="AD1">
        <v>4551</v>
      </c>
      <c r="AE1">
        <v>3558</v>
      </c>
      <c r="AF1">
        <v>4099</v>
      </c>
    </row>
    <row r="2" spans="1:39" ht="14.4">
      <c r="A2" s="6"/>
      <c r="B2" s="6">
        <v>1</v>
      </c>
      <c r="C2" s="6">
        <v>2</v>
      </c>
      <c r="D2" s="6">
        <v>3</v>
      </c>
      <c r="E2" s="6">
        <v>4</v>
      </c>
      <c r="F2" s="6">
        <v>5</v>
      </c>
      <c r="G2" s="6">
        <v>6</v>
      </c>
      <c r="H2" s="6">
        <v>7</v>
      </c>
      <c r="I2" s="6">
        <v>8</v>
      </c>
      <c r="J2" s="6">
        <v>9</v>
      </c>
      <c r="K2" s="6">
        <v>10</v>
      </c>
      <c r="L2" s="6">
        <v>11</v>
      </c>
      <c r="M2" s="6">
        <v>12</v>
      </c>
      <c r="N2" s="6">
        <v>13</v>
      </c>
      <c r="O2" s="6">
        <v>14</v>
      </c>
      <c r="P2" s="6">
        <v>15</v>
      </c>
      <c r="Q2" s="6">
        <v>16</v>
      </c>
      <c r="R2" s="6">
        <v>17</v>
      </c>
      <c r="S2" s="6">
        <v>18</v>
      </c>
      <c r="T2" s="6">
        <v>19</v>
      </c>
      <c r="U2" s="6">
        <v>20</v>
      </c>
      <c r="V2" s="6">
        <v>21</v>
      </c>
      <c r="W2" s="6">
        <v>22</v>
      </c>
      <c r="X2" s="6">
        <v>23</v>
      </c>
      <c r="Y2" s="6">
        <v>24</v>
      </c>
      <c r="Z2" s="6">
        <v>25</v>
      </c>
      <c r="AA2" s="6">
        <v>26</v>
      </c>
      <c r="AB2" s="6">
        <v>27</v>
      </c>
      <c r="AC2" s="6">
        <v>28</v>
      </c>
      <c r="AD2" s="6">
        <v>29</v>
      </c>
      <c r="AE2" s="6">
        <v>30</v>
      </c>
      <c r="AF2" s="6">
        <v>31</v>
      </c>
      <c r="AG2" s="433" t="s">
        <v>270</v>
      </c>
      <c r="AH2" s="434" t="s">
        <v>271</v>
      </c>
      <c r="AI2" s="435" t="s">
        <v>272</v>
      </c>
    </row>
    <row r="3" spans="1:39">
      <c r="A3" s="399" t="s">
        <v>195</v>
      </c>
      <c r="B3" s="6">
        <f>6614/1000</f>
        <v>6.6139999999999999</v>
      </c>
      <c r="C3" s="6">
        <f>4663/1000</f>
        <v>4.6630000000000003</v>
      </c>
      <c r="D3" s="6">
        <f>4520/1000</f>
        <v>4.5199999999999996</v>
      </c>
      <c r="E3" s="6">
        <f>2074/1000</f>
        <v>2.0739999999999998</v>
      </c>
      <c r="F3" s="6"/>
      <c r="G3" s="6"/>
      <c r="H3" s="6">
        <f>7025/1000</f>
        <v>7.0250000000000004</v>
      </c>
      <c r="I3" s="6">
        <f>11700/1000</f>
        <v>11.7</v>
      </c>
      <c r="J3" s="6"/>
      <c r="K3" s="6">
        <f>2034/1000</f>
        <v>2.0339999999999998</v>
      </c>
      <c r="L3" s="6">
        <f>6910/1000</f>
        <v>6.91</v>
      </c>
      <c r="M3" s="6">
        <f>6050/1000</f>
        <v>6.05</v>
      </c>
      <c r="N3" s="6">
        <f>8249/1000</f>
        <v>8.2490000000000006</v>
      </c>
      <c r="O3" s="6">
        <f>11469/1000</f>
        <v>11.468999999999999</v>
      </c>
      <c r="P3" s="6">
        <f>11200/1000</f>
        <v>11.2</v>
      </c>
      <c r="Q3" s="6">
        <f>10400/1000</f>
        <v>10.4</v>
      </c>
      <c r="R3" s="6">
        <f>6300/1000</f>
        <v>6.3</v>
      </c>
      <c r="S3" s="6">
        <f>1100/1000</f>
        <v>1.1000000000000001</v>
      </c>
      <c r="T3" s="6">
        <f>2827/1000</f>
        <v>2.827</v>
      </c>
      <c r="U3" s="6">
        <f>2262/1000</f>
        <v>2.262</v>
      </c>
      <c r="V3" s="6">
        <f>3380/1000</f>
        <v>3.38</v>
      </c>
      <c r="W3" s="6">
        <f>3479/1000</f>
        <v>3.4790000000000001</v>
      </c>
      <c r="X3" s="6">
        <f>7833/1000</f>
        <v>7.8330000000000002</v>
      </c>
      <c r="Y3" s="6">
        <f>6177/1000</f>
        <v>6.1769999999999996</v>
      </c>
      <c r="Z3" s="6">
        <f>1835/1000</f>
        <v>1.835</v>
      </c>
      <c r="AA3" s="6">
        <f>1835/1000</f>
        <v>1.835</v>
      </c>
      <c r="AB3" s="6">
        <f>7381/1000</f>
        <v>7.3810000000000002</v>
      </c>
      <c r="AC3" s="6">
        <f>13117/1000</f>
        <v>13.117000000000001</v>
      </c>
      <c r="AD3" s="6">
        <f>15879/1000</f>
        <v>15.879</v>
      </c>
      <c r="AE3" s="6">
        <f>6673/1000</f>
        <v>6.673</v>
      </c>
      <c r="AF3" s="6">
        <f>15100/1000</f>
        <v>15.1</v>
      </c>
      <c r="AG3" s="6">
        <f>+AF3</f>
        <v>15.1</v>
      </c>
      <c r="AH3" s="425">
        <f>+AG3/Efficiency1!$K$136</f>
        <v>8.9157766073162097E-3</v>
      </c>
      <c r="AI3" s="762">
        <f>SUM(AH3:AH4)</f>
        <v>1.0185241488490373E-2</v>
      </c>
    </row>
    <row r="4" spans="1:39">
      <c r="A4" s="399" t="s">
        <v>196</v>
      </c>
      <c r="B4" s="6">
        <f>1924/1000</f>
        <v>1.9239999999999999</v>
      </c>
      <c r="C4" s="6">
        <f>2116/1000</f>
        <v>2.1160000000000001</v>
      </c>
      <c r="D4" s="6"/>
      <c r="E4" s="6">
        <f>450/1000</f>
        <v>0.45</v>
      </c>
      <c r="F4" s="6">
        <f>1900/1000</f>
        <v>1.9</v>
      </c>
      <c r="G4" s="6"/>
      <c r="H4" s="6">
        <f>950/1000</f>
        <v>0.95</v>
      </c>
      <c r="I4" s="6">
        <f>1400/1000</f>
        <v>1.4</v>
      </c>
      <c r="J4" s="6">
        <f>1400/1000</f>
        <v>1.4</v>
      </c>
      <c r="K4" s="6">
        <f>225/1000</f>
        <v>0.22500000000000001</v>
      </c>
      <c r="L4" s="6">
        <f>1455/1000</f>
        <v>1.4550000000000001</v>
      </c>
      <c r="M4" s="6">
        <f>2210/1000</f>
        <v>2.21</v>
      </c>
      <c r="N4" s="400">
        <f>2080/1000</f>
        <v>2.08</v>
      </c>
      <c r="O4" s="400">
        <f>1040/1000</f>
        <v>1.04</v>
      </c>
      <c r="P4" s="6">
        <f>1500/1000</f>
        <v>1.5</v>
      </c>
      <c r="Q4" s="6">
        <f>1250/1000</f>
        <v>1.25</v>
      </c>
      <c r="R4" s="6">
        <f>2250/1000</f>
        <v>2.25</v>
      </c>
      <c r="S4" s="6">
        <f>2757/1000</f>
        <v>2.7570000000000001</v>
      </c>
      <c r="T4" s="6">
        <f>500/1000</f>
        <v>0.5</v>
      </c>
      <c r="U4" s="6">
        <f>1250/1000</f>
        <v>1.25</v>
      </c>
      <c r="V4" s="6">
        <f>1074/1000</f>
        <v>1.0740000000000001</v>
      </c>
      <c r="W4" s="400">
        <f>1950/1000</f>
        <v>1.95</v>
      </c>
      <c r="X4" s="6">
        <f>519/1000</f>
        <v>0.51900000000000002</v>
      </c>
      <c r="Y4" s="6">
        <f>1040/1000</f>
        <v>1.04</v>
      </c>
      <c r="Z4" s="6">
        <f>769/1000</f>
        <v>0.76900000000000002</v>
      </c>
      <c r="AA4" s="6">
        <f>1004/1000</f>
        <v>1.004</v>
      </c>
      <c r="AB4" s="6">
        <f>1900/1000</f>
        <v>1.9</v>
      </c>
      <c r="AC4" s="6">
        <f>260/1000</f>
        <v>0.26</v>
      </c>
      <c r="AD4" s="6">
        <f>700/1000</f>
        <v>0.7</v>
      </c>
      <c r="AE4" s="6">
        <f>1220/1000</f>
        <v>1.22</v>
      </c>
      <c r="AF4" s="6">
        <f>2150/1000</f>
        <v>2.15</v>
      </c>
      <c r="AG4" s="6">
        <f>+AF4</f>
        <v>2.15</v>
      </c>
      <c r="AH4" s="425">
        <f>+AG4/Efficiency1!$K$136</f>
        <v>1.2694648811741624E-3</v>
      </c>
      <c r="AI4" s="763"/>
    </row>
    <row r="5" spans="1:39">
      <c r="A5" s="436"/>
      <c r="B5" s="437"/>
      <c r="C5" s="437"/>
      <c r="D5" s="437"/>
      <c r="E5" s="437"/>
      <c r="F5" s="437"/>
      <c r="G5" s="437"/>
      <c r="H5" s="437"/>
      <c r="I5" s="437"/>
      <c r="J5" s="437"/>
      <c r="K5" s="437"/>
      <c r="L5" s="437"/>
      <c r="M5" s="437"/>
      <c r="N5" s="438"/>
      <c r="O5" s="438"/>
      <c r="P5" s="437"/>
      <c r="Q5" s="437"/>
      <c r="R5" s="437"/>
      <c r="S5" s="437"/>
      <c r="T5" s="437"/>
      <c r="U5" s="437"/>
      <c r="V5" s="437"/>
      <c r="W5" s="438"/>
      <c r="X5" s="437"/>
      <c r="Y5" s="437"/>
      <c r="Z5" s="437"/>
      <c r="AA5" s="437"/>
      <c r="AB5" s="437"/>
      <c r="AC5" s="437"/>
      <c r="AD5" s="437"/>
      <c r="AE5" s="437"/>
      <c r="AF5" s="437"/>
      <c r="AG5" s="437"/>
      <c r="AH5" s="439"/>
    </row>
    <row r="6" spans="1:39">
      <c r="A6" s="399" t="s">
        <v>367</v>
      </c>
      <c r="B6" s="400" t="s">
        <v>525</v>
      </c>
      <c r="C6" s="6" t="s">
        <v>522</v>
      </c>
      <c r="D6" s="6" t="s">
        <v>520</v>
      </c>
      <c r="E6" s="6" t="s">
        <v>517</v>
      </c>
      <c r="F6" s="6" t="s">
        <v>515</v>
      </c>
      <c r="G6" s="6" t="s">
        <v>513</v>
      </c>
      <c r="H6" s="6" t="s">
        <v>599</v>
      </c>
      <c r="I6" s="6" t="s">
        <v>597</v>
      </c>
      <c r="J6" s="6" t="s">
        <v>595</v>
      </c>
      <c r="K6" s="6"/>
      <c r="L6" s="6" t="s">
        <v>782</v>
      </c>
      <c r="M6" s="6" t="s">
        <v>785</v>
      </c>
      <c r="N6" s="6" t="s">
        <v>593</v>
      </c>
      <c r="O6" s="6" t="s">
        <v>726</v>
      </c>
      <c r="P6" s="6" t="s">
        <v>724</v>
      </c>
      <c r="Q6" s="6" t="s">
        <v>722</v>
      </c>
      <c r="R6" s="6" t="s">
        <v>719</v>
      </c>
      <c r="S6" s="6" t="s">
        <v>716</v>
      </c>
      <c r="T6" s="6" t="s">
        <v>713</v>
      </c>
      <c r="U6" s="6" t="s">
        <v>711</v>
      </c>
      <c r="V6" s="6" t="s">
        <v>709</v>
      </c>
      <c r="W6" s="400" t="s">
        <v>706</v>
      </c>
      <c r="X6" s="6" t="s">
        <v>703</v>
      </c>
      <c r="Y6" s="6" t="s">
        <v>700</v>
      </c>
      <c r="Z6" s="400" t="s">
        <v>520</v>
      </c>
      <c r="AA6" s="6" t="s">
        <v>786</v>
      </c>
      <c r="AB6" s="6" t="s">
        <v>787</v>
      </c>
      <c r="AC6" s="6" t="s">
        <v>791</v>
      </c>
      <c r="AD6" s="6" t="s">
        <v>792</v>
      </c>
      <c r="AE6" s="6" t="s">
        <v>797</v>
      </c>
      <c r="AF6" s="6" t="s">
        <v>799</v>
      </c>
      <c r="AG6" s="6">
        <f>+SUM(B6:AF6)</f>
        <v>0</v>
      </c>
      <c r="AH6" s="440">
        <f t="shared" ref="AH6:AH36" si="0">+AG6/$AG$39</f>
        <v>0</v>
      </c>
    </row>
    <row r="7" spans="1:39">
      <c r="A7" s="399" t="s">
        <v>368</v>
      </c>
      <c r="B7" s="400" t="s">
        <v>526</v>
      </c>
      <c r="C7" s="400" t="s">
        <v>524</v>
      </c>
      <c r="D7" s="6" t="s">
        <v>521</v>
      </c>
      <c r="E7" s="6" t="s">
        <v>519</v>
      </c>
      <c r="F7" s="6"/>
      <c r="G7" s="6" t="s">
        <v>514</v>
      </c>
      <c r="H7" s="6" t="s">
        <v>600</v>
      </c>
      <c r="I7" s="6" t="s">
        <v>596</v>
      </c>
      <c r="J7" s="6"/>
      <c r="K7" s="6"/>
      <c r="L7" s="6" t="s">
        <v>783</v>
      </c>
      <c r="M7" s="6" t="s">
        <v>784</v>
      </c>
      <c r="N7" s="6" t="s">
        <v>594</v>
      </c>
      <c r="O7" s="6" t="s">
        <v>727</v>
      </c>
      <c r="P7" s="6" t="s">
        <v>725</v>
      </c>
      <c r="Q7" s="6" t="s">
        <v>723</v>
      </c>
      <c r="R7" s="539" t="s">
        <v>720</v>
      </c>
      <c r="S7" s="6" t="s">
        <v>718</v>
      </c>
      <c r="T7" s="6" t="s">
        <v>714</v>
      </c>
      <c r="U7" s="6" t="s">
        <v>712</v>
      </c>
      <c r="V7" s="6" t="s">
        <v>710</v>
      </c>
      <c r="W7" s="6" t="s">
        <v>707</v>
      </c>
      <c r="X7" s="6" t="s">
        <v>704</v>
      </c>
      <c r="Y7" s="6" t="s">
        <v>701</v>
      </c>
      <c r="Z7" s="6" t="s">
        <v>699</v>
      </c>
      <c r="AA7" s="6"/>
      <c r="AB7" s="6" t="s">
        <v>788</v>
      </c>
      <c r="AC7" s="6" t="s">
        <v>790</v>
      </c>
      <c r="AD7" s="6" t="s">
        <v>794</v>
      </c>
      <c r="AE7" s="6" t="s">
        <v>798</v>
      </c>
      <c r="AF7" s="6" t="s">
        <v>802</v>
      </c>
      <c r="AG7" s="6">
        <f t="shared" ref="AG7:AG37" si="1">+SUM(B7:AF7)</f>
        <v>0</v>
      </c>
      <c r="AH7" s="425">
        <f t="shared" si="0"/>
        <v>0</v>
      </c>
      <c r="AL7" s="357"/>
    </row>
    <row r="8" spans="1:39">
      <c r="A8" s="401" t="s">
        <v>197</v>
      </c>
      <c r="B8" s="6"/>
      <c r="C8" s="6"/>
      <c r="D8" s="6"/>
      <c r="E8" s="6"/>
      <c r="F8" s="6"/>
      <c r="G8" s="6"/>
      <c r="H8" s="6"/>
      <c r="I8" s="6"/>
      <c r="J8" s="6"/>
      <c r="K8" s="6"/>
      <c r="L8" s="6"/>
      <c r="M8" s="6"/>
      <c r="N8" s="6"/>
      <c r="O8" s="7"/>
      <c r="P8" s="6"/>
      <c r="Q8" s="6"/>
      <c r="R8" s="6"/>
      <c r="S8" s="6"/>
      <c r="T8" s="6"/>
      <c r="U8" s="6"/>
      <c r="V8" s="6"/>
      <c r="W8" s="6"/>
      <c r="X8" s="6"/>
      <c r="Y8" s="6"/>
      <c r="Z8" s="6"/>
      <c r="AA8" s="6"/>
      <c r="AB8" s="6"/>
      <c r="AC8" s="6"/>
      <c r="AD8" s="6"/>
      <c r="AE8" s="6"/>
      <c r="AF8" s="6"/>
      <c r="AG8" s="6">
        <f t="shared" si="1"/>
        <v>0</v>
      </c>
      <c r="AH8" s="425">
        <f t="shared" si="0"/>
        <v>0</v>
      </c>
    </row>
    <row r="9" spans="1:39">
      <c r="A9" s="399" t="s">
        <v>198</v>
      </c>
      <c r="B9" s="6"/>
      <c r="C9" s="6"/>
      <c r="D9" s="6"/>
      <c r="E9" s="6"/>
      <c r="F9" s="6"/>
      <c r="G9" s="6"/>
      <c r="H9" s="6"/>
      <c r="I9" s="6"/>
      <c r="J9" s="6"/>
      <c r="K9" s="6"/>
      <c r="L9" s="6"/>
      <c r="M9" s="6"/>
      <c r="N9" s="6"/>
      <c r="O9" s="7"/>
      <c r="P9" s="6"/>
      <c r="Q9" s="6"/>
      <c r="R9" s="6"/>
      <c r="S9" s="6"/>
      <c r="T9" s="6"/>
      <c r="U9" s="6"/>
      <c r="V9" s="6"/>
      <c r="W9" s="6"/>
      <c r="X9" s="6"/>
      <c r="Y9" s="6"/>
      <c r="Z9" s="6"/>
      <c r="AA9" s="6"/>
      <c r="AB9" s="6"/>
      <c r="AC9" s="6"/>
      <c r="AD9" s="6"/>
      <c r="AE9" s="6"/>
      <c r="AF9" s="6"/>
      <c r="AG9" s="6">
        <f t="shared" si="1"/>
        <v>0</v>
      </c>
      <c r="AH9" s="425">
        <f t="shared" si="0"/>
        <v>0</v>
      </c>
    </row>
    <row r="10" spans="1:39">
      <c r="A10" s="399" t="s">
        <v>199</v>
      </c>
      <c r="B10" s="6"/>
      <c r="C10" s="6" t="s">
        <v>523</v>
      </c>
      <c r="D10" s="6"/>
      <c r="E10" s="6" t="s">
        <v>516</v>
      </c>
      <c r="F10" s="6"/>
      <c r="G10" s="6"/>
      <c r="H10" s="6" t="s">
        <v>602</v>
      </c>
      <c r="I10" s="6"/>
      <c r="J10" s="6"/>
      <c r="K10" s="6"/>
      <c r="L10" s="6"/>
      <c r="M10" s="6"/>
      <c r="N10" s="6"/>
      <c r="O10" s="6"/>
      <c r="P10" s="6"/>
      <c r="Q10" s="6"/>
      <c r="R10" s="6" t="s">
        <v>721</v>
      </c>
      <c r="S10" s="6" t="s">
        <v>715</v>
      </c>
      <c r="T10" s="6"/>
      <c r="U10" s="6"/>
      <c r="V10" s="6"/>
      <c r="W10" s="6"/>
      <c r="X10" s="6"/>
      <c r="Y10" s="6"/>
      <c r="Z10" s="6"/>
      <c r="AA10" s="6"/>
      <c r="AB10" s="6"/>
      <c r="AC10" s="6" t="s">
        <v>789</v>
      </c>
      <c r="AD10" s="6" t="s">
        <v>793</v>
      </c>
      <c r="AE10" s="6" t="s">
        <v>795</v>
      </c>
      <c r="AF10" s="6" t="s">
        <v>800</v>
      </c>
      <c r="AG10" s="6">
        <f t="shared" si="1"/>
        <v>0</v>
      </c>
      <c r="AH10" s="425">
        <f t="shared" si="0"/>
        <v>0</v>
      </c>
    </row>
    <row r="11" spans="1:39">
      <c r="A11" s="399" t="s">
        <v>14</v>
      </c>
      <c r="B11" s="6"/>
      <c r="C11" s="6"/>
      <c r="D11" s="6"/>
      <c r="E11" s="6" t="s">
        <v>518</v>
      </c>
      <c r="F11" s="6"/>
      <c r="G11" s="6"/>
      <c r="H11" s="6"/>
      <c r="I11" s="6"/>
      <c r="J11" s="6"/>
      <c r="K11" s="6"/>
      <c r="L11" s="6" t="s">
        <v>781</v>
      </c>
      <c r="M11" s="6"/>
      <c r="N11" s="6"/>
      <c r="O11" s="6"/>
      <c r="P11" s="6"/>
      <c r="Q11" s="6"/>
      <c r="R11" s="6"/>
      <c r="S11" s="6" t="s">
        <v>717</v>
      </c>
      <c r="T11" s="6"/>
      <c r="U11" s="6"/>
      <c r="V11" s="6"/>
      <c r="W11" s="6"/>
      <c r="X11" s="6" t="s">
        <v>702</v>
      </c>
      <c r="Y11" s="6"/>
      <c r="Z11" s="6"/>
      <c r="AA11" s="6"/>
      <c r="AB11" s="6"/>
      <c r="AC11" s="6"/>
      <c r="AD11" s="6"/>
      <c r="AE11" s="6" t="s">
        <v>796</v>
      </c>
      <c r="AF11" s="6" t="s">
        <v>801</v>
      </c>
      <c r="AG11" s="6">
        <f t="shared" si="1"/>
        <v>0</v>
      </c>
      <c r="AH11" s="425">
        <f t="shared" si="0"/>
        <v>0</v>
      </c>
    </row>
    <row r="12" spans="1:39">
      <c r="A12" s="399" t="s">
        <v>200</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f t="shared" si="1"/>
        <v>0</v>
      </c>
      <c r="AH12" s="425">
        <f t="shared" si="0"/>
        <v>0</v>
      </c>
    </row>
    <row r="13" spans="1:39">
      <c r="A13" s="399" t="s">
        <v>201</v>
      </c>
      <c r="B13" s="6"/>
      <c r="C13" s="6"/>
      <c r="D13" s="6"/>
      <c r="E13" s="6"/>
      <c r="F13" s="6"/>
      <c r="G13" s="6"/>
      <c r="H13" s="6" t="s">
        <v>601</v>
      </c>
      <c r="I13" s="6" t="s">
        <v>598</v>
      </c>
      <c r="J13" s="6"/>
      <c r="K13" s="6"/>
      <c r="L13" s="6"/>
      <c r="M13" s="6"/>
      <c r="N13" s="6"/>
      <c r="O13" s="6"/>
      <c r="P13" s="6"/>
      <c r="Q13" s="6"/>
      <c r="R13" s="6"/>
      <c r="S13" s="6"/>
      <c r="T13" s="6"/>
      <c r="U13" s="6"/>
      <c r="V13" s="6"/>
      <c r="W13" s="6"/>
      <c r="X13" s="6"/>
      <c r="Y13" s="6"/>
      <c r="Z13" s="6"/>
      <c r="AA13" s="6"/>
      <c r="AB13" s="6"/>
      <c r="AC13" s="6"/>
      <c r="AD13" s="6"/>
      <c r="AE13" s="6"/>
      <c r="AF13" s="6"/>
      <c r="AG13" s="6">
        <f t="shared" si="1"/>
        <v>0</v>
      </c>
      <c r="AH13" s="425">
        <f t="shared" si="0"/>
        <v>0</v>
      </c>
      <c r="AM13" s="357"/>
    </row>
    <row r="14" spans="1:39">
      <c r="A14" s="399" t="s">
        <v>369</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f t="shared" si="1"/>
        <v>0</v>
      </c>
      <c r="AH14" s="425">
        <f t="shared" si="0"/>
        <v>0</v>
      </c>
    </row>
    <row r="15" spans="1:39">
      <c r="A15" s="399" t="s">
        <v>273</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f t="shared" si="1"/>
        <v>0</v>
      </c>
      <c r="AH15" s="425">
        <f t="shared" si="0"/>
        <v>0</v>
      </c>
    </row>
    <row r="16" spans="1:39">
      <c r="A16" s="399" t="s">
        <v>370</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f t="shared" si="1"/>
        <v>0</v>
      </c>
      <c r="AH16" s="425">
        <f t="shared" si="0"/>
        <v>0</v>
      </c>
    </row>
    <row r="17" spans="1:34">
      <c r="A17" s="399" t="s">
        <v>202</v>
      </c>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f t="shared" si="1"/>
        <v>0</v>
      </c>
      <c r="AH17" s="425">
        <f t="shared" si="0"/>
        <v>0</v>
      </c>
    </row>
    <row r="18" spans="1:34">
      <c r="A18" s="399" t="s">
        <v>203</v>
      </c>
      <c r="B18" s="6"/>
      <c r="C18" s="6"/>
      <c r="D18" s="6"/>
      <c r="E18" s="6"/>
      <c r="F18" s="6"/>
      <c r="G18" s="6"/>
      <c r="H18" s="6"/>
      <c r="I18" s="6"/>
      <c r="J18" s="6"/>
      <c r="K18" s="6"/>
      <c r="L18" s="6"/>
      <c r="M18" s="6"/>
      <c r="N18" s="6"/>
      <c r="O18" s="400"/>
      <c r="P18" s="6"/>
      <c r="Q18" s="6"/>
      <c r="R18" s="6"/>
      <c r="S18" s="6"/>
      <c r="T18" s="6"/>
      <c r="U18" s="6"/>
      <c r="V18" s="6" t="s">
        <v>708</v>
      </c>
      <c r="W18" s="6"/>
      <c r="X18" s="6"/>
      <c r="Y18" s="6"/>
      <c r="Z18" s="6"/>
      <c r="AA18" s="6"/>
      <c r="AB18" s="6"/>
      <c r="AC18" s="6"/>
      <c r="AD18" s="6">
        <v>180</v>
      </c>
      <c r="AE18" s="6"/>
      <c r="AF18" s="6"/>
      <c r="AG18" s="6">
        <f t="shared" si="1"/>
        <v>180</v>
      </c>
      <c r="AH18" s="425">
        <f t="shared" si="0"/>
        <v>1</v>
      </c>
    </row>
    <row r="19" spans="1:34">
      <c r="A19" s="399" t="s">
        <v>274</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f t="shared" si="1"/>
        <v>0</v>
      </c>
      <c r="AH19" s="425">
        <f t="shared" si="0"/>
        <v>0</v>
      </c>
    </row>
    <row r="20" spans="1:34">
      <c r="A20" s="399" t="s">
        <v>371</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f t="shared" si="1"/>
        <v>0</v>
      </c>
      <c r="AH20" s="425">
        <f t="shared" si="0"/>
        <v>0</v>
      </c>
    </row>
    <row r="21" spans="1:34">
      <c r="A21" s="399" t="s">
        <v>204</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f t="shared" si="1"/>
        <v>0</v>
      </c>
      <c r="AH21" s="425">
        <f t="shared" si="0"/>
        <v>0</v>
      </c>
    </row>
    <row r="22" spans="1:34">
      <c r="A22" s="399" t="s">
        <v>372</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f t="shared" si="1"/>
        <v>0</v>
      </c>
      <c r="AH22" s="425">
        <f t="shared" si="0"/>
        <v>0</v>
      </c>
    </row>
    <row r="23" spans="1:34">
      <c r="A23" s="399" t="s">
        <v>205</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f t="shared" si="1"/>
        <v>0</v>
      </c>
      <c r="AH23" s="425">
        <f t="shared" si="0"/>
        <v>0</v>
      </c>
    </row>
    <row r="24" spans="1:34">
      <c r="A24" s="399" t="s">
        <v>373</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f t="shared" si="1"/>
        <v>0</v>
      </c>
      <c r="AH24" s="425">
        <f t="shared" si="0"/>
        <v>0</v>
      </c>
    </row>
    <row r="25" spans="1:34">
      <c r="A25" s="399" t="s">
        <v>206</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f t="shared" si="1"/>
        <v>0</v>
      </c>
      <c r="AH25" s="425">
        <f t="shared" si="0"/>
        <v>0</v>
      </c>
    </row>
    <row r="26" spans="1:34">
      <c r="A26" s="399" t="s">
        <v>374</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f t="shared" si="1"/>
        <v>0</v>
      </c>
      <c r="AH26" s="425">
        <f t="shared" si="0"/>
        <v>0</v>
      </c>
    </row>
    <row r="27" spans="1:34">
      <c r="A27" s="399" t="s">
        <v>375</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f t="shared" si="1"/>
        <v>0</v>
      </c>
      <c r="AH27" s="425">
        <f t="shared" si="0"/>
        <v>0</v>
      </c>
    </row>
    <row r="28" spans="1:34">
      <c r="A28" s="399" t="s">
        <v>376</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f t="shared" si="1"/>
        <v>0</v>
      </c>
      <c r="AH28" s="425">
        <f t="shared" si="0"/>
        <v>0</v>
      </c>
    </row>
    <row r="29" spans="1:34">
      <c r="A29" s="399" t="s">
        <v>207</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f t="shared" si="1"/>
        <v>0</v>
      </c>
      <c r="AH29" s="425">
        <f t="shared" si="0"/>
        <v>0</v>
      </c>
    </row>
    <row r="30" spans="1:34">
      <c r="A30" s="399" t="s">
        <v>275</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f t="shared" si="1"/>
        <v>0</v>
      </c>
      <c r="AH30" s="425">
        <f t="shared" si="0"/>
        <v>0</v>
      </c>
    </row>
    <row r="31" spans="1:34">
      <c r="A31" s="399" t="s">
        <v>377</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f t="shared" si="1"/>
        <v>0</v>
      </c>
      <c r="AH31" s="425">
        <f t="shared" si="0"/>
        <v>0</v>
      </c>
    </row>
    <row r="32" spans="1:34">
      <c r="A32" s="399" t="s">
        <v>208</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f t="shared" si="1"/>
        <v>0</v>
      </c>
      <c r="AH32" s="425">
        <f t="shared" si="0"/>
        <v>0</v>
      </c>
    </row>
    <row r="33" spans="1:34">
      <c r="A33" s="399" t="s">
        <v>209</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f t="shared" si="1"/>
        <v>0</v>
      </c>
      <c r="AH33" s="425">
        <f t="shared" si="0"/>
        <v>0</v>
      </c>
    </row>
    <row r="34" spans="1:34">
      <c r="A34" s="399" t="s">
        <v>210</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f t="shared" si="1"/>
        <v>0</v>
      </c>
      <c r="AH34" s="425">
        <f t="shared" si="0"/>
        <v>0</v>
      </c>
    </row>
    <row r="35" spans="1:34">
      <c r="A35" s="399" t="s">
        <v>378</v>
      </c>
      <c r="B35" s="6"/>
      <c r="C35" s="6"/>
      <c r="D35" s="6"/>
      <c r="E35" s="6"/>
      <c r="F35" s="6"/>
      <c r="G35" s="6"/>
      <c r="H35" s="6"/>
      <c r="I35" s="6"/>
      <c r="J35" s="6"/>
      <c r="K35" s="6"/>
      <c r="L35" s="6"/>
      <c r="M35" s="6"/>
      <c r="N35" s="6"/>
      <c r="O35" s="6"/>
      <c r="P35" s="6"/>
      <c r="Q35" s="6"/>
      <c r="R35" s="6"/>
      <c r="S35" s="6"/>
      <c r="T35" s="6"/>
      <c r="U35" s="6"/>
      <c r="V35" s="6"/>
      <c r="W35" s="6"/>
      <c r="X35" s="6" t="s">
        <v>705</v>
      </c>
      <c r="Y35" s="6"/>
      <c r="Z35" s="6"/>
      <c r="AA35" s="6"/>
      <c r="AB35" s="6"/>
      <c r="AC35" s="6"/>
      <c r="AD35" s="6"/>
      <c r="AE35" s="6"/>
      <c r="AF35" s="6"/>
      <c r="AG35" s="6">
        <f t="shared" si="1"/>
        <v>0</v>
      </c>
      <c r="AH35" s="425">
        <f t="shared" si="0"/>
        <v>0</v>
      </c>
    </row>
    <row r="36" spans="1:34">
      <c r="A36" s="399" t="s">
        <v>379</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f t="shared" si="1"/>
        <v>0</v>
      </c>
      <c r="AH36" s="425">
        <f t="shared" si="0"/>
        <v>0</v>
      </c>
    </row>
    <row r="37" spans="1:34">
      <c r="A37" s="399" t="s">
        <v>380</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f t="shared" si="1"/>
        <v>0</v>
      </c>
      <c r="AH37" s="425">
        <f>+AG37/$AG$39</f>
        <v>0</v>
      </c>
    </row>
    <row r="38" spans="1:34">
      <c r="A38" s="441"/>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442">
        <f>+AG39/Efficiency1!$K$136</f>
        <v>0.10628078074946476</v>
      </c>
    </row>
    <row r="39" spans="1:34">
      <c r="A39" s="402" t="s">
        <v>3</v>
      </c>
      <c r="B39" s="6">
        <f t="shared" ref="B39:AF39" si="2">SUM(B3:B37)</f>
        <v>8.5380000000000003</v>
      </c>
      <c r="C39" s="6">
        <f t="shared" si="2"/>
        <v>6.7789999999999999</v>
      </c>
      <c r="D39" s="6">
        <f t="shared" si="2"/>
        <v>4.5199999999999996</v>
      </c>
      <c r="E39" s="6">
        <f t="shared" si="2"/>
        <v>2.524</v>
      </c>
      <c r="F39" s="6">
        <f t="shared" si="2"/>
        <v>1.9</v>
      </c>
      <c r="G39" s="6">
        <f t="shared" si="2"/>
        <v>0</v>
      </c>
      <c r="H39" s="6">
        <f t="shared" si="2"/>
        <v>7.9750000000000005</v>
      </c>
      <c r="I39" s="6">
        <f t="shared" si="2"/>
        <v>13.1</v>
      </c>
      <c r="J39" s="6">
        <f t="shared" si="2"/>
        <v>1.4</v>
      </c>
      <c r="K39" s="6">
        <f t="shared" si="2"/>
        <v>2.2589999999999999</v>
      </c>
      <c r="L39" s="6">
        <f t="shared" si="2"/>
        <v>8.3650000000000002</v>
      </c>
      <c r="M39" s="6">
        <f t="shared" si="2"/>
        <v>8.26</v>
      </c>
      <c r="N39" s="6">
        <f t="shared" si="2"/>
        <v>10.329000000000001</v>
      </c>
      <c r="O39" s="7">
        <f t="shared" si="2"/>
        <v>12.509</v>
      </c>
      <c r="P39" s="6">
        <f t="shared" si="2"/>
        <v>12.7</v>
      </c>
      <c r="Q39" s="6">
        <f t="shared" si="2"/>
        <v>11.65</v>
      </c>
      <c r="R39" s="6">
        <f t="shared" si="2"/>
        <v>8.5500000000000007</v>
      </c>
      <c r="S39" s="6">
        <f t="shared" si="2"/>
        <v>3.8570000000000002</v>
      </c>
      <c r="T39" s="6">
        <f t="shared" si="2"/>
        <v>3.327</v>
      </c>
      <c r="U39" s="6">
        <f t="shared" si="2"/>
        <v>3.512</v>
      </c>
      <c r="V39" s="6">
        <f t="shared" si="2"/>
        <v>4.4539999999999997</v>
      </c>
      <c r="W39" s="6">
        <f t="shared" si="2"/>
        <v>5.4290000000000003</v>
      </c>
      <c r="X39" s="6">
        <f t="shared" si="2"/>
        <v>8.3520000000000003</v>
      </c>
      <c r="Y39" s="6">
        <f t="shared" si="2"/>
        <v>7.2169999999999996</v>
      </c>
      <c r="Z39" s="6">
        <f t="shared" si="2"/>
        <v>2.6040000000000001</v>
      </c>
      <c r="AA39" s="6">
        <f t="shared" si="2"/>
        <v>2.839</v>
      </c>
      <c r="AB39" s="6">
        <f t="shared" si="2"/>
        <v>9.2810000000000006</v>
      </c>
      <c r="AC39" s="6">
        <f t="shared" si="2"/>
        <v>13.377000000000001</v>
      </c>
      <c r="AD39" s="6">
        <f t="shared" si="2"/>
        <v>196.57900000000001</v>
      </c>
      <c r="AE39" s="6">
        <f t="shared" si="2"/>
        <v>7.8929999999999998</v>
      </c>
      <c r="AF39" s="6">
        <f t="shared" si="2"/>
        <v>17.25</v>
      </c>
      <c r="AG39" s="17">
        <f>SUM(AG6:AG38)</f>
        <v>180</v>
      </c>
      <c r="AH39" s="443">
        <f>SUM(AH6:AH37)</f>
        <v>1</v>
      </c>
    </row>
  </sheetData>
  <mergeCells count="1">
    <mergeCell ref="AI3:AI4"/>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63"/>
  <sheetViews>
    <sheetView workbookViewId="0">
      <selection activeCell="B33" sqref="B33"/>
    </sheetView>
  </sheetViews>
  <sheetFormatPr defaultRowHeight="13.2"/>
  <cols>
    <col min="2" max="2" width="10.88671875" style="427" bestFit="1" customWidth="1"/>
    <col min="3" max="3" width="11.88671875" style="4" customWidth="1"/>
    <col min="4" max="4" width="43.88671875" customWidth="1"/>
    <col min="5" max="6" width="23.109375" bestFit="1" customWidth="1"/>
    <col min="8" max="8" width="30.6640625" bestFit="1" customWidth="1"/>
    <col min="10" max="10" width="12" customWidth="1"/>
    <col min="13" max="13" width="10.88671875" style="427" bestFit="1" customWidth="1"/>
    <col min="14" max="14" width="11.88671875" style="4" customWidth="1"/>
    <col min="15" max="15" width="38.33203125" customWidth="1"/>
    <col min="16" max="16" width="30.44140625" customWidth="1"/>
    <col min="17" max="17" width="23.109375" bestFit="1" customWidth="1"/>
    <col min="19" max="19" width="30.6640625" bestFit="1" customWidth="1"/>
    <col min="21" max="21" width="12" customWidth="1"/>
  </cols>
  <sheetData>
    <row r="1" spans="1:21" ht="28.8">
      <c r="A1" s="403" t="s">
        <v>222</v>
      </c>
      <c r="B1" s="416" t="s">
        <v>8</v>
      </c>
      <c r="C1" s="417" t="s">
        <v>230</v>
      </c>
      <c r="D1" s="418" t="s">
        <v>138</v>
      </c>
      <c r="E1" s="418" t="s">
        <v>231</v>
      </c>
      <c r="F1" s="418" t="s">
        <v>232</v>
      </c>
      <c r="H1" s="419" t="s">
        <v>233</v>
      </c>
      <c r="I1" s="420" t="s">
        <v>234</v>
      </c>
      <c r="J1" s="420" t="s">
        <v>235</v>
      </c>
      <c r="L1" s="403" t="s">
        <v>362</v>
      </c>
      <c r="M1" s="416" t="s">
        <v>8</v>
      </c>
      <c r="N1" s="417" t="s">
        <v>230</v>
      </c>
      <c r="O1" s="418" t="s">
        <v>138</v>
      </c>
      <c r="P1" s="418" t="s">
        <v>231</v>
      </c>
      <c r="Q1" s="418" t="s">
        <v>232</v>
      </c>
      <c r="S1" s="419" t="s">
        <v>233</v>
      </c>
      <c r="T1" s="420" t="s">
        <v>234</v>
      </c>
      <c r="U1" s="420" t="s">
        <v>235</v>
      </c>
    </row>
    <row r="2" spans="1:21">
      <c r="B2" s="309">
        <v>46082</v>
      </c>
      <c r="C2" s="4">
        <v>0</v>
      </c>
      <c r="D2" s="426" t="s">
        <v>417</v>
      </c>
      <c r="E2" t="s">
        <v>236</v>
      </c>
      <c r="F2" t="s">
        <v>237</v>
      </c>
      <c r="H2" s="6" t="s">
        <v>157</v>
      </c>
      <c r="I2" s="288">
        <f>+Efficiency1!Z136</f>
        <v>3.81</v>
      </c>
      <c r="J2" s="421">
        <f t="shared" ref="J2:J3" si="0">I2/$I$8</f>
        <v>2.2496098591970044E-3</v>
      </c>
      <c r="M2" s="309">
        <v>46082</v>
      </c>
      <c r="N2" s="4">
        <v>0</v>
      </c>
      <c r="O2" s="426" t="s">
        <v>417</v>
      </c>
      <c r="P2" t="s">
        <v>236</v>
      </c>
      <c r="Q2" t="s">
        <v>237</v>
      </c>
      <c r="S2" s="6" t="s">
        <v>157</v>
      </c>
      <c r="T2" s="288">
        <f>+Efficiency2!Z136</f>
        <v>3.81</v>
      </c>
      <c r="U2" s="421">
        <f>T2/$T$8</f>
        <v>2.2920806707946162E-3</v>
      </c>
    </row>
    <row r="3" spans="1:21">
      <c r="B3" s="309"/>
      <c r="C3" s="4">
        <v>2</v>
      </c>
      <c r="D3" s="426" t="s">
        <v>416</v>
      </c>
      <c r="E3" t="s">
        <v>238</v>
      </c>
      <c r="F3" t="s">
        <v>237</v>
      </c>
      <c r="H3" s="6" t="s">
        <v>239</v>
      </c>
      <c r="I3" s="288">
        <f>+Efficiency1!Y136+Efficiency1!AA136</f>
        <v>30.478669780086538</v>
      </c>
      <c r="J3" s="421">
        <f t="shared" si="0"/>
        <v>1.7996093446848414E-2</v>
      </c>
      <c r="M3" s="309"/>
      <c r="N3" s="4">
        <v>2</v>
      </c>
      <c r="O3" s="426" t="s">
        <v>416</v>
      </c>
      <c r="P3" t="s">
        <v>238</v>
      </c>
      <c r="Q3" t="s">
        <v>237</v>
      </c>
      <c r="S3" s="6" t="s">
        <v>239</v>
      </c>
      <c r="T3" s="288">
        <f>+Efficiency2!Y136+Efficiency2!AA136</f>
        <v>30.478669780086538</v>
      </c>
      <c r="U3" s="421">
        <f t="shared" ref="U3:U5" si="1">T3/$T$8</f>
        <v>1.8335845111409017E-2</v>
      </c>
    </row>
    <row r="4" spans="1:21">
      <c r="B4" s="41"/>
      <c r="C4" s="4">
        <v>25</v>
      </c>
      <c r="D4" s="426" t="s">
        <v>424</v>
      </c>
      <c r="E4" t="s">
        <v>240</v>
      </c>
      <c r="F4" t="s">
        <v>237</v>
      </c>
      <c r="H4" s="6" t="s">
        <v>241</v>
      </c>
      <c r="I4" s="288">
        <f>+Efficiency1!AB136</f>
        <v>0.80220388039500379</v>
      </c>
      <c r="J4" s="421">
        <f>I4/$I$8</f>
        <v>4.7366030404795141E-4</v>
      </c>
      <c r="M4" s="41"/>
      <c r="N4" s="4">
        <v>25</v>
      </c>
      <c r="O4" s="426" t="s">
        <v>424</v>
      </c>
      <c r="P4" t="s">
        <v>240</v>
      </c>
      <c r="Q4" t="s">
        <v>237</v>
      </c>
      <c r="S4" s="6" t="s">
        <v>241</v>
      </c>
      <c r="T4" s="288">
        <f>+Efficiency2!AB136</f>
        <v>1.0382755777499333</v>
      </c>
      <c r="U4" s="421">
        <f t="shared" si="1"/>
        <v>6.2462241016239767E-4</v>
      </c>
    </row>
    <row r="5" spans="1:21" ht="15" customHeight="1">
      <c r="B5" s="41"/>
      <c r="D5" s="426"/>
      <c r="E5" s="357"/>
      <c r="F5" s="357"/>
      <c r="H5" s="6" t="s">
        <v>243</v>
      </c>
      <c r="I5" s="288">
        <f>+Efficiency1!AC136</f>
        <v>29.618948737866177</v>
      </c>
      <c r="J5" s="421">
        <f>I5/$I$8</f>
        <v>1.748847220465995E-2</v>
      </c>
      <c r="M5" s="41"/>
      <c r="O5" s="426"/>
      <c r="P5" s="357"/>
      <c r="Q5" s="357"/>
      <c r="S5" s="6" t="s">
        <v>243</v>
      </c>
      <c r="T5" s="288">
        <f>+Efficiency2!AC136</f>
        <v>29.297231690511239</v>
      </c>
      <c r="U5" s="421">
        <f t="shared" si="1"/>
        <v>1.7625096710134461E-2</v>
      </c>
    </row>
    <row r="6" spans="1:21" ht="15" customHeight="1">
      <c r="B6" s="309">
        <v>46083</v>
      </c>
      <c r="C6" s="4">
        <v>5</v>
      </c>
      <c r="D6" t="s">
        <v>445</v>
      </c>
      <c r="E6" t="s">
        <v>236</v>
      </c>
      <c r="F6" t="s">
        <v>237</v>
      </c>
      <c r="M6" s="309">
        <v>46083</v>
      </c>
      <c r="N6" s="4">
        <v>5</v>
      </c>
      <c r="O6" t="s">
        <v>445</v>
      </c>
      <c r="P6" t="s">
        <v>236</v>
      </c>
      <c r="Q6" t="s">
        <v>237</v>
      </c>
    </row>
    <row r="7" spans="1:21">
      <c r="B7" s="309"/>
      <c r="C7" s="4">
        <v>3</v>
      </c>
      <c r="D7" s="426" t="s">
        <v>416</v>
      </c>
      <c r="E7" t="s">
        <v>238</v>
      </c>
      <c r="F7" t="s">
        <v>237</v>
      </c>
      <c r="I7" s="422"/>
      <c r="J7" s="423"/>
      <c r="M7" s="309"/>
      <c r="N7" s="4">
        <v>3</v>
      </c>
      <c r="O7" s="426" t="s">
        <v>416</v>
      </c>
      <c r="P7" t="s">
        <v>238</v>
      </c>
      <c r="Q7" t="s">
        <v>237</v>
      </c>
      <c r="T7" s="422"/>
      <c r="U7" s="423"/>
    </row>
    <row r="8" spans="1:21">
      <c r="B8" s="309"/>
      <c r="C8" s="4">
        <v>21</v>
      </c>
      <c r="D8" s="426" t="s">
        <v>446</v>
      </c>
      <c r="E8" t="s">
        <v>240</v>
      </c>
      <c r="F8" t="s">
        <v>237</v>
      </c>
      <c r="H8" s="424" t="s">
        <v>244</v>
      </c>
      <c r="I8" s="7">
        <f>+Efficiency1!K136</f>
        <v>1693.6270013325668</v>
      </c>
      <c r="M8" s="309"/>
      <c r="N8" s="4">
        <v>21</v>
      </c>
      <c r="O8" s="426" t="s">
        <v>446</v>
      </c>
      <c r="P8" t="s">
        <v>240</v>
      </c>
      <c r="Q8" t="s">
        <v>237</v>
      </c>
      <c r="S8" s="424" t="s">
        <v>244</v>
      </c>
      <c r="T8" s="7">
        <f>+Efficiency2!K136</f>
        <v>1662.2451594075669</v>
      </c>
    </row>
    <row r="9" spans="1:21">
      <c r="B9" s="309"/>
      <c r="D9" s="426"/>
      <c r="E9" s="489"/>
      <c r="F9" s="357"/>
      <c r="H9" s="424" t="s">
        <v>245</v>
      </c>
      <c r="I9" s="7">
        <f>+Efficiency1!AD136</f>
        <v>1946</v>
      </c>
      <c r="M9" s="309"/>
      <c r="O9" s="426"/>
      <c r="P9" s="489"/>
      <c r="Q9" s="357"/>
      <c r="S9" s="424" t="s">
        <v>245</v>
      </c>
      <c r="T9" s="7">
        <f>+Efficiency2!AD136</f>
        <v>1097</v>
      </c>
    </row>
    <row r="10" spans="1:21" ht="15" customHeight="1">
      <c r="B10" s="41">
        <v>46084</v>
      </c>
      <c r="C10" s="4">
        <v>0</v>
      </c>
      <c r="D10" s="426" t="s">
        <v>417</v>
      </c>
      <c r="E10" t="s">
        <v>236</v>
      </c>
      <c r="F10" t="s">
        <v>237</v>
      </c>
      <c r="H10" s="424" t="s">
        <v>246</v>
      </c>
      <c r="I10" s="7">
        <f>+Efficiency1!V136</f>
        <v>72.556178934219417</v>
      </c>
      <c r="M10" s="41">
        <v>46084</v>
      </c>
      <c r="N10" s="4">
        <v>0</v>
      </c>
      <c r="O10" s="426" t="s">
        <v>417</v>
      </c>
      <c r="P10" t="s">
        <v>236</v>
      </c>
      <c r="Q10" t="s">
        <v>237</v>
      </c>
      <c r="S10" s="424" t="s">
        <v>246</v>
      </c>
      <c r="T10" s="7">
        <f>+Efficiency2!V136</f>
        <v>41.259982359219421</v>
      </c>
    </row>
    <row r="11" spans="1:21">
      <c r="B11" s="309"/>
      <c r="C11" s="4">
        <v>3</v>
      </c>
      <c r="D11" t="s">
        <v>416</v>
      </c>
      <c r="E11" t="s">
        <v>238</v>
      </c>
      <c r="F11" t="s">
        <v>237</v>
      </c>
      <c r="G11" s="490">
        <f>+summary!H42</f>
        <v>1</v>
      </c>
      <c r="H11" s="424" t="s">
        <v>247</v>
      </c>
      <c r="I11" s="425">
        <f>I10/I8</f>
        <v>4.2840707474037266E-2</v>
      </c>
      <c r="M11" s="309"/>
      <c r="N11" s="4">
        <v>3</v>
      </c>
      <c r="O11" t="s">
        <v>416</v>
      </c>
      <c r="P11" t="s">
        <v>238</v>
      </c>
      <c r="Q11" t="s">
        <v>237</v>
      </c>
      <c r="R11" s="490">
        <f>+summary!Q42</f>
        <v>0.99999999999999989</v>
      </c>
      <c r="S11" s="424" t="s">
        <v>247</v>
      </c>
      <c r="T11" s="425">
        <f>T10/T8</f>
        <v>2.4821839381336926E-2</v>
      </c>
    </row>
    <row r="12" spans="1:21">
      <c r="B12" s="309"/>
      <c r="C12" s="4">
        <v>19</v>
      </c>
      <c r="D12" s="426" t="s">
        <v>457</v>
      </c>
      <c r="E12" t="s">
        <v>240</v>
      </c>
      <c r="F12" t="s">
        <v>237</v>
      </c>
      <c r="M12" s="309"/>
      <c r="N12" s="4">
        <v>19</v>
      </c>
      <c r="O12" s="426" t="s">
        <v>457</v>
      </c>
      <c r="P12" t="s">
        <v>240</v>
      </c>
      <c r="Q12" t="s">
        <v>237</v>
      </c>
    </row>
    <row r="13" spans="1:21">
      <c r="B13" s="309"/>
      <c r="D13" s="426"/>
      <c r="M13" s="309"/>
      <c r="O13" s="426"/>
    </row>
    <row r="14" spans="1:21" ht="15" customHeight="1">
      <c r="B14" s="41">
        <v>46085</v>
      </c>
      <c r="C14" s="4">
        <v>0</v>
      </c>
      <c r="D14" s="426" t="s">
        <v>417</v>
      </c>
      <c r="E14" t="s">
        <v>236</v>
      </c>
      <c r="F14" t="s">
        <v>237</v>
      </c>
      <c r="M14" s="41">
        <v>46085</v>
      </c>
      <c r="N14" s="4">
        <v>0</v>
      </c>
      <c r="O14" s="426" t="s">
        <v>417</v>
      </c>
      <c r="P14" t="s">
        <v>236</v>
      </c>
      <c r="Q14" t="s">
        <v>237</v>
      </c>
    </row>
    <row r="15" spans="1:21" ht="15" customHeight="1">
      <c r="B15" s="309"/>
      <c r="C15" s="4">
        <v>0</v>
      </c>
      <c r="D15" s="426" t="s">
        <v>419</v>
      </c>
      <c r="E15" t="s">
        <v>238</v>
      </c>
      <c r="F15" t="s">
        <v>237</v>
      </c>
      <c r="M15" s="309"/>
      <c r="N15" s="4">
        <v>0</v>
      </c>
      <c r="O15" s="426" t="s">
        <v>419</v>
      </c>
      <c r="P15" t="s">
        <v>238</v>
      </c>
      <c r="Q15" t="s">
        <v>237</v>
      </c>
    </row>
    <row r="16" spans="1:21">
      <c r="B16" s="309"/>
      <c r="C16" s="4">
        <v>13</v>
      </c>
      <c r="D16" t="s">
        <v>476</v>
      </c>
      <c r="E16" t="s">
        <v>240</v>
      </c>
      <c r="F16" t="s">
        <v>237</v>
      </c>
      <c r="M16" s="309"/>
      <c r="N16" s="4">
        <v>13</v>
      </c>
      <c r="O16" t="s">
        <v>476</v>
      </c>
      <c r="P16" t="s">
        <v>240</v>
      </c>
      <c r="Q16" t="s">
        <v>237</v>
      </c>
    </row>
    <row r="17" spans="2:17">
      <c r="B17" s="309"/>
      <c r="C17" s="4">
        <v>35</v>
      </c>
      <c r="D17" s="426" t="s">
        <v>477</v>
      </c>
      <c r="E17" t="s">
        <v>757</v>
      </c>
      <c r="F17" t="s">
        <v>251</v>
      </c>
      <c r="M17" s="309"/>
      <c r="N17" s="4">
        <v>35</v>
      </c>
      <c r="O17" s="426" t="s">
        <v>477</v>
      </c>
      <c r="P17" t="s">
        <v>757</v>
      </c>
      <c r="Q17" t="s">
        <v>251</v>
      </c>
    </row>
    <row r="18" spans="2:17">
      <c r="B18" s="309"/>
      <c r="C18" s="4">
        <v>313</v>
      </c>
      <c r="D18" s="426" t="s">
        <v>478</v>
      </c>
      <c r="E18" t="s">
        <v>759</v>
      </c>
      <c r="F18" t="s">
        <v>301</v>
      </c>
      <c r="M18" s="309"/>
      <c r="N18" s="4">
        <v>148</v>
      </c>
      <c r="O18" s="426" t="s">
        <v>478</v>
      </c>
      <c r="P18" t="s">
        <v>759</v>
      </c>
      <c r="Q18" t="s">
        <v>301</v>
      </c>
    </row>
    <row r="19" spans="2:17">
      <c r="B19" s="309"/>
      <c r="C19" s="4">
        <v>69</v>
      </c>
      <c r="D19" s="426" t="s">
        <v>490</v>
      </c>
      <c r="E19" t="s">
        <v>758</v>
      </c>
      <c r="F19" t="s">
        <v>302</v>
      </c>
      <c r="M19" s="309"/>
      <c r="N19" s="4">
        <v>69</v>
      </c>
      <c r="O19" s="426" t="s">
        <v>490</v>
      </c>
      <c r="P19" t="s">
        <v>758</v>
      </c>
      <c r="Q19" t="s">
        <v>302</v>
      </c>
    </row>
    <row r="20" spans="2:17">
      <c r="B20" s="41"/>
      <c r="D20" s="426"/>
      <c r="M20" s="41"/>
      <c r="O20" s="426"/>
    </row>
    <row r="21" spans="2:17">
      <c r="B21" s="309">
        <v>46086</v>
      </c>
      <c r="C21" s="4">
        <v>4</v>
      </c>
      <c r="D21" t="s">
        <v>445</v>
      </c>
      <c r="E21" t="s">
        <v>236</v>
      </c>
      <c r="F21" t="s">
        <v>237</v>
      </c>
      <c r="M21" s="309">
        <v>46086</v>
      </c>
      <c r="N21" s="4">
        <v>4</v>
      </c>
      <c r="O21" t="s">
        <v>445</v>
      </c>
      <c r="P21" t="s">
        <v>236</v>
      </c>
      <c r="Q21" t="s">
        <v>237</v>
      </c>
    </row>
    <row r="22" spans="2:17">
      <c r="B22" s="309"/>
      <c r="C22" s="4">
        <v>3</v>
      </c>
      <c r="D22" t="s">
        <v>416</v>
      </c>
      <c r="E22" t="s">
        <v>238</v>
      </c>
      <c r="F22" t="s">
        <v>237</v>
      </c>
      <c r="M22" s="309"/>
      <c r="N22" s="4">
        <v>3</v>
      </c>
      <c r="O22" t="s">
        <v>416</v>
      </c>
      <c r="P22" t="s">
        <v>238</v>
      </c>
      <c r="Q22" t="s">
        <v>237</v>
      </c>
    </row>
    <row r="23" spans="2:17">
      <c r="B23" s="309"/>
      <c r="C23" s="4">
        <v>24</v>
      </c>
      <c r="D23" t="s">
        <v>498</v>
      </c>
      <c r="E23" t="s">
        <v>240</v>
      </c>
      <c r="F23" t="s">
        <v>237</v>
      </c>
      <c r="M23" s="309"/>
      <c r="N23" s="4">
        <v>24</v>
      </c>
      <c r="O23" t="s">
        <v>498</v>
      </c>
      <c r="P23" t="s">
        <v>240</v>
      </c>
      <c r="Q23" t="s">
        <v>237</v>
      </c>
    </row>
    <row r="24" spans="2:17">
      <c r="B24" s="309"/>
      <c r="M24" s="309"/>
    </row>
    <row r="25" spans="2:17">
      <c r="B25" s="309">
        <v>46087</v>
      </c>
      <c r="C25" s="4">
        <v>0</v>
      </c>
      <c r="D25" t="s">
        <v>417</v>
      </c>
      <c r="E25" t="s">
        <v>236</v>
      </c>
      <c r="F25" t="s">
        <v>237</v>
      </c>
      <c r="M25" s="309">
        <v>46087</v>
      </c>
      <c r="N25" s="4">
        <v>0</v>
      </c>
      <c r="O25" t="s">
        <v>417</v>
      </c>
      <c r="P25" t="s">
        <v>236</v>
      </c>
      <c r="Q25" t="s">
        <v>237</v>
      </c>
    </row>
    <row r="26" spans="2:17">
      <c r="B26" s="41"/>
      <c r="C26" s="4">
        <v>2</v>
      </c>
      <c r="D26" t="s">
        <v>416</v>
      </c>
      <c r="E26" t="s">
        <v>238</v>
      </c>
      <c r="F26" t="s">
        <v>237</v>
      </c>
      <c r="M26" s="41"/>
      <c r="N26" s="4">
        <v>2</v>
      </c>
      <c r="O26" t="s">
        <v>416</v>
      </c>
      <c r="P26" t="s">
        <v>238</v>
      </c>
      <c r="Q26" t="s">
        <v>237</v>
      </c>
    </row>
    <row r="27" spans="2:17">
      <c r="B27" s="41"/>
      <c r="C27" s="4">
        <v>19</v>
      </c>
      <c r="D27" t="s">
        <v>511</v>
      </c>
      <c r="E27" t="s">
        <v>240</v>
      </c>
      <c r="F27" t="s">
        <v>237</v>
      </c>
      <c r="M27" s="41"/>
      <c r="N27" s="4">
        <v>19</v>
      </c>
      <c r="O27" t="s">
        <v>511</v>
      </c>
      <c r="P27" t="s">
        <v>240</v>
      </c>
      <c r="Q27" t="s">
        <v>237</v>
      </c>
    </row>
    <row r="28" spans="2:17">
      <c r="B28" s="309"/>
      <c r="C28" s="4">
        <v>530</v>
      </c>
      <c r="D28" t="s">
        <v>512</v>
      </c>
      <c r="E28" t="s">
        <v>759</v>
      </c>
      <c r="F28" t="s">
        <v>301</v>
      </c>
      <c r="M28" s="309"/>
      <c r="N28" s="4">
        <v>0</v>
      </c>
      <c r="O28" t="s">
        <v>512</v>
      </c>
      <c r="P28" t="s">
        <v>759</v>
      </c>
      <c r="Q28" t="s">
        <v>301</v>
      </c>
    </row>
    <row r="29" spans="2:17">
      <c r="B29" s="309"/>
      <c r="M29" s="309"/>
    </row>
    <row r="30" spans="2:17">
      <c r="B30" s="309">
        <v>46088</v>
      </c>
      <c r="C30" s="4">
        <v>0</v>
      </c>
      <c r="D30" t="s">
        <v>417</v>
      </c>
      <c r="E30" t="s">
        <v>236</v>
      </c>
      <c r="F30" t="s">
        <v>237</v>
      </c>
      <c r="M30" s="309">
        <v>46088</v>
      </c>
      <c r="N30" s="4">
        <v>0</v>
      </c>
      <c r="O30" t="s">
        <v>417</v>
      </c>
      <c r="P30" t="s">
        <v>236</v>
      </c>
      <c r="Q30" t="s">
        <v>237</v>
      </c>
    </row>
    <row r="31" spans="2:17">
      <c r="B31" s="41"/>
      <c r="C31" s="4">
        <v>0</v>
      </c>
      <c r="D31" t="s">
        <v>419</v>
      </c>
      <c r="E31" t="s">
        <v>238</v>
      </c>
      <c r="F31" t="s">
        <v>237</v>
      </c>
      <c r="M31" s="41"/>
      <c r="N31" s="4">
        <v>0</v>
      </c>
      <c r="O31" t="s">
        <v>419</v>
      </c>
      <c r="P31" t="s">
        <v>238</v>
      </c>
      <c r="Q31" t="s">
        <v>237</v>
      </c>
    </row>
    <row r="32" spans="2:17">
      <c r="B32" s="309"/>
      <c r="C32" s="4">
        <v>17</v>
      </c>
      <c r="D32" t="s">
        <v>476</v>
      </c>
      <c r="E32" t="s">
        <v>240</v>
      </c>
      <c r="F32" t="s">
        <v>237</v>
      </c>
      <c r="M32" s="309"/>
      <c r="N32" s="4">
        <v>17</v>
      </c>
      <c r="O32" t="s">
        <v>476</v>
      </c>
      <c r="P32" t="s">
        <v>240</v>
      </c>
      <c r="Q32" t="s">
        <v>237</v>
      </c>
    </row>
    <row r="33" spans="2:17">
      <c r="B33" s="309"/>
      <c r="C33" s="4">
        <v>154</v>
      </c>
      <c r="D33" t="s">
        <v>512</v>
      </c>
      <c r="E33" t="s">
        <v>759</v>
      </c>
      <c r="F33" t="s">
        <v>301</v>
      </c>
      <c r="M33" s="309"/>
      <c r="N33" s="4">
        <v>0</v>
      </c>
      <c r="O33" t="s">
        <v>512</v>
      </c>
      <c r="P33" t="s">
        <v>759</v>
      </c>
      <c r="Q33" t="s">
        <v>301</v>
      </c>
    </row>
    <row r="34" spans="2:17">
      <c r="B34" s="309"/>
      <c r="C34" s="4">
        <v>6</v>
      </c>
      <c r="D34" t="s">
        <v>543</v>
      </c>
      <c r="E34" t="s">
        <v>758</v>
      </c>
      <c r="F34" t="s">
        <v>302</v>
      </c>
      <c r="M34" s="309"/>
      <c r="N34" s="4">
        <v>6</v>
      </c>
      <c r="O34" t="s">
        <v>543</v>
      </c>
      <c r="P34" t="s">
        <v>758</v>
      </c>
      <c r="Q34" t="s">
        <v>302</v>
      </c>
    </row>
    <row r="35" spans="2:17">
      <c r="B35" s="309"/>
      <c r="M35" s="309"/>
    </row>
    <row r="36" spans="2:17">
      <c r="B36" s="41">
        <v>46089</v>
      </c>
      <c r="C36" s="4">
        <v>0</v>
      </c>
      <c r="D36" t="s">
        <v>417</v>
      </c>
      <c r="E36" t="s">
        <v>236</v>
      </c>
      <c r="F36" t="s">
        <v>237</v>
      </c>
      <c r="M36" s="41">
        <v>46089</v>
      </c>
      <c r="N36" s="4">
        <v>0</v>
      </c>
      <c r="O36" t="s">
        <v>417</v>
      </c>
      <c r="P36" t="s">
        <v>236</v>
      </c>
      <c r="Q36" t="s">
        <v>237</v>
      </c>
    </row>
    <row r="37" spans="2:17">
      <c r="B37" s="309"/>
      <c r="C37" s="4">
        <v>3</v>
      </c>
      <c r="D37" t="s">
        <v>416</v>
      </c>
      <c r="E37" t="s">
        <v>238</v>
      </c>
      <c r="F37" t="s">
        <v>237</v>
      </c>
      <c r="M37" s="309"/>
      <c r="N37" s="4">
        <v>3</v>
      </c>
      <c r="O37" t="s">
        <v>416</v>
      </c>
      <c r="P37" t="s">
        <v>238</v>
      </c>
      <c r="Q37" t="s">
        <v>237</v>
      </c>
    </row>
    <row r="38" spans="2:17">
      <c r="B38" s="309"/>
      <c r="C38" s="4">
        <v>21</v>
      </c>
      <c r="D38" t="s">
        <v>446</v>
      </c>
      <c r="E38" t="s">
        <v>240</v>
      </c>
      <c r="F38" t="s">
        <v>237</v>
      </c>
      <c r="M38" s="309"/>
      <c r="N38" s="4">
        <v>21</v>
      </c>
      <c r="O38" t="s">
        <v>446</v>
      </c>
      <c r="P38" t="s">
        <v>240</v>
      </c>
      <c r="Q38" t="s">
        <v>237</v>
      </c>
    </row>
    <row r="39" spans="2:17">
      <c r="B39" s="309"/>
      <c r="M39" s="309"/>
    </row>
    <row r="40" spans="2:17">
      <c r="B40" s="41">
        <v>46090</v>
      </c>
      <c r="C40" s="4">
        <v>0</v>
      </c>
      <c r="D40" t="s">
        <v>417</v>
      </c>
      <c r="E40" t="s">
        <v>236</v>
      </c>
      <c r="F40" t="s">
        <v>237</v>
      </c>
      <c r="M40" s="41">
        <v>46090</v>
      </c>
      <c r="N40" s="4">
        <v>0</v>
      </c>
      <c r="O40" t="s">
        <v>417</v>
      </c>
      <c r="P40" t="s">
        <v>236</v>
      </c>
      <c r="Q40" t="s">
        <v>237</v>
      </c>
    </row>
    <row r="41" spans="2:17">
      <c r="B41" s="309"/>
      <c r="C41" s="4">
        <v>0</v>
      </c>
      <c r="D41" t="s">
        <v>419</v>
      </c>
      <c r="E41" t="s">
        <v>238</v>
      </c>
      <c r="F41" t="s">
        <v>237</v>
      </c>
      <c r="M41" s="309"/>
      <c r="N41" s="4">
        <v>0</v>
      </c>
      <c r="O41" t="s">
        <v>419</v>
      </c>
      <c r="P41" t="s">
        <v>238</v>
      </c>
      <c r="Q41" t="s">
        <v>237</v>
      </c>
    </row>
    <row r="42" spans="2:17">
      <c r="B42" s="41"/>
      <c r="C42" s="4">
        <v>22</v>
      </c>
      <c r="D42" t="s">
        <v>392</v>
      </c>
      <c r="E42" t="s">
        <v>240</v>
      </c>
      <c r="F42" t="s">
        <v>237</v>
      </c>
      <c r="M42" s="41"/>
      <c r="N42" s="4">
        <v>22</v>
      </c>
      <c r="O42" t="s">
        <v>392</v>
      </c>
      <c r="P42" t="s">
        <v>240</v>
      </c>
      <c r="Q42" t="s">
        <v>237</v>
      </c>
    </row>
    <row r="43" spans="2:17">
      <c r="B43" s="309"/>
      <c r="M43" s="309"/>
    </row>
    <row r="44" spans="2:17">
      <c r="B44" s="309">
        <v>46091</v>
      </c>
      <c r="C44" s="4">
        <v>0</v>
      </c>
      <c r="D44" t="s">
        <v>417</v>
      </c>
      <c r="E44" t="s">
        <v>236</v>
      </c>
      <c r="F44" t="s">
        <v>237</v>
      </c>
      <c r="M44" s="309">
        <v>46091</v>
      </c>
      <c r="N44" s="4">
        <v>0</v>
      </c>
      <c r="O44" t="s">
        <v>417</v>
      </c>
      <c r="P44" t="s">
        <v>236</v>
      </c>
      <c r="Q44" t="s">
        <v>237</v>
      </c>
    </row>
    <row r="45" spans="2:17">
      <c r="B45" s="41"/>
      <c r="C45" s="4">
        <v>0</v>
      </c>
      <c r="D45" t="s">
        <v>419</v>
      </c>
      <c r="E45" t="s">
        <v>238</v>
      </c>
      <c r="F45" t="s">
        <v>237</v>
      </c>
      <c r="M45" s="41"/>
      <c r="N45" s="4">
        <v>0</v>
      </c>
      <c r="O45" t="s">
        <v>419</v>
      </c>
      <c r="P45" t="s">
        <v>238</v>
      </c>
      <c r="Q45" t="s">
        <v>237</v>
      </c>
    </row>
    <row r="46" spans="2:17">
      <c r="B46" s="309"/>
      <c r="C46" s="4">
        <v>24</v>
      </c>
      <c r="D46" t="s">
        <v>556</v>
      </c>
      <c r="E46" t="s">
        <v>240</v>
      </c>
      <c r="F46" t="s">
        <v>237</v>
      </c>
      <c r="M46" s="309"/>
      <c r="N46" s="4">
        <v>24</v>
      </c>
      <c r="O46" t="s">
        <v>556</v>
      </c>
      <c r="P46" t="s">
        <v>240</v>
      </c>
      <c r="Q46" t="s">
        <v>237</v>
      </c>
    </row>
    <row r="47" spans="2:17">
      <c r="B47" s="309"/>
      <c r="M47" s="309"/>
    </row>
    <row r="48" spans="2:17">
      <c r="B48" s="309">
        <v>46092</v>
      </c>
      <c r="C48" s="4">
        <v>0</v>
      </c>
      <c r="D48" t="s">
        <v>417</v>
      </c>
      <c r="E48" t="s">
        <v>236</v>
      </c>
      <c r="F48" t="s">
        <v>237</v>
      </c>
      <c r="M48" s="309">
        <v>46092</v>
      </c>
      <c r="N48" s="4">
        <v>0</v>
      </c>
      <c r="O48" t="s">
        <v>417</v>
      </c>
      <c r="P48" t="s">
        <v>236</v>
      </c>
      <c r="Q48" t="s">
        <v>237</v>
      </c>
    </row>
    <row r="49" spans="2:17">
      <c r="B49" s="309"/>
      <c r="C49" s="4">
        <v>2</v>
      </c>
      <c r="D49" t="s">
        <v>416</v>
      </c>
      <c r="E49" t="s">
        <v>238</v>
      </c>
      <c r="F49" t="s">
        <v>237</v>
      </c>
      <c r="M49" s="309"/>
      <c r="N49" s="4">
        <v>2</v>
      </c>
      <c r="O49" t="s">
        <v>416</v>
      </c>
      <c r="P49" t="s">
        <v>238</v>
      </c>
      <c r="Q49" t="s">
        <v>237</v>
      </c>
    </row>
    <row r="50" spans="2:17">
      <c r="B50" s="309"/>
      <c r="C50" s="4">
        <v>21</v>
      </c>
      <c r="D50" t="s">
        <v>565</v>
      </c>
      <c r="E50" t="s">
        <v>240</v>
      </c>
      <c r="F50" t="s">
        <v>237</v>
      </c>
      <c r="M50" s="309"/>
      <c r="N50" s="4">
        <v>21</v>
      </c>
      <c r="O50" t="s">
        <v>565</v>
      </c>
      <c r="P50" t="s">
        <v>240</v>
      </c>
      <c r="Q50" t="s">
        <v>237</v>
      </c>
    </row>
    <row r="51" spans="2:17">
      <c r="B51" s="309"/>
      <c r="M51" s="309"/>
    </row>
    <row r="52" spans="2:17">
      <c r="B52" s="41">
        <v>46093</v>
      </c>
      <c r="C52" s="4">
        <v>0</v>
      </c>
      <c r="D52" t="s">
        <v>417</v>
      </c>
      <c r="E52" t="s">
        <v>236</v>
      </c>
      <c r="F52" t="s">
        <v>237</v>
      </c>
      <c r="M52" s="41">
        <v>46093</v>
      </c>
      <c r="N52" s="4">
        <v>0</v>
      </c>
      <c r="O52" t="s">
        <v>417</v>
      </c>
      <c r="P52" t="s">
        <v>236</v>
      </c>
      <c r="Q52" t="s">
        <v>237</v>
      </c>
    </row>
    <row r="53" spans="2:17">
      <c r="B53" s="41"/>
      <c r="C53" s="4">
        <v>0</v>
      </c>
      <c r="D53" t="s">
        <v>419</v>
      </c>
      <c r="E53" t="s">
        <v>238</v>
      </c>
      <c r="F53" t="s">
        <v>237</v>
      </c>
      <c r="M53" s="41"/>
      <c r="N53" s="4">
        <v>0</v>
      </c>
      <c r="O53" t="s">
        <v>419</v>
      </c>
      <c r="P53" t="s">
        <v>238</v>
      </c>
      <c r="Q53" t="s">
        <v>237</v>
      </c>
    </row>
    <row r="54" spans="2:17">
      <c r="B54" s="309"/>
      <c r="C54" s="4">
        <v>24</v>
      </c>
      <c r="D54" t="s">
        <v>457</v>
      </c>
      <c r="E54" t="s">
        <v>240</v>
      </c>
      <c r="F54" t="s">
        <v>237</v>
      </c>
      <c r="M54" s="309"/>
      <c r="N54" s="4">
        <v>24</v>
      </c>
      <c r="O54" t="s">
        <v>457</v>
      </c>
      <c r="P54" t="s">
        <v>240</v>
      </c>
      <c r="Q54" t="s">
        <v>237</v>
      </c>
    </row>
    <row r="55" spans="2:17">
      <c r="B55" s="309"/>
      <c r="E55" s="357"/>
      <c r="F55" s="357"/>
      <c r="M55" s="309"/>
      <c r="P55" s="357"/>
      <c r="Q55" s="357"/>
    </row>
    <row r="56" spans="2:17">
      <c r="B56" s="41">
        <v>46094</v>
      </c>
      <c r="C56" s="4">
        <v>0</v>
      </c>
      <c r="D56" t="s">
        <v>417</v>
      </c>
      <c r="E56" t="s">
        <v>236</v>
      </c>
      <c r="F56" t="s">
        <v>237</v>
      </c>
      <c r="M56" s="41">
        <v>46094</v>
      </c>
      <c r="N56" s="4">
        <v>0</v>
      </c>
      <c r="O56" t="s">
        <v>417</v>
      </c>
      <c r="P56" t="s">
        <v>236</v>
      </c>
      <c r="Q56" t="s">
        <v>237</v>
      </c>
    </row>
    <row r="57" spans="2:17">
      <c r="B57" s="309"/>
      <c r="C57" s="4">
        <v>3</v>
      </c>
      <c r="D57" t="s">
        <v>416</v>
      </c>
      <c r="E57" t="s">
        <v>238</v>
      </c>
      <c r="F57" t="s">
        <v>237</v>
      </c>
      <c r="M57" s="309"/>
      <c r="N57" s="4">
        <v>3</v>
      </c>
      <c r="O57" t="s">
        <v>416</v>
      </c>
      <c r="P57" t="s">
        <v>238</v>
      </c>
      <c r="Q57" t="s">
        <v>237</v>
      </c>
    </row>
    <row r="58" spans="2:17">
      <c r="B58" s="41"/>
      <c r="C58" s="4">
        <v>21</v>
      </c>
      <c r="D58" t="s">
        <v>565</v>
      </c>
      <c r="E58" t="s">
        <v>240</v>
      </c>
      <c r="F58" t="s">
        <v>237</v>
      </c>
      <c r="M58" s="41"/>
      <c r="N58" s="4">
        <v>21</v>
      </c>
      <c r="O58" t="s">
        <v>565</v>
      </c>
      <c r="P58" t="s">
        <v>240</v>
      </c>
      <c r="Q58" t="s">
        <v>237</v>
      </c>
    </row>
    <row r="59" spans="2:17">
      <c r="B59" s="309"/>
      <c r="M59" s="309"/>
    </row>
    <row r="60" spans="2:17">
      <c r="B60" s="309">
        <v>46095</v>
      </c>
      <c r="C60" s="4">
        <v>0</v>
      </c>
      <c r="D60" t="s">
        <v>417</v>
      </c>
      <c r="E60" t="s">
        <v>236</v>
      </c>
      <c r="F60" t="s">
        <v>237</v>
      </c>
      <c r="M60" s="309">
        <v>46095</v>
      </c>
      <c r="N60" s="4">
        <v>0</v>
      </c>
      <c r="O60" t="s">
        <v>417</v>
      </c>
      <c r="P60" t="s">
        <v>236</v>
      </c>
      <c r="Q60" t="s">
        <v>237</v>
      </c>
    </row>
    <row r="61" spans="2:17">
      <c r="B61" s="41"/>
      <c r="C61" s="4">
        <v>0</v>
      </c>
      <c r="D61" t="s">
        <v>419</v>
      </c>
      <c r="E61" t="s">
        <v>238</v>
      </c>
      <c r="F61" t="s">
        <v>237</v>
      </c>
      <c r="M61" s="41"/>
      <c r="N61" s="4">
        <v>0</v>
      </c>
      <c r="O61" t="s">
        <v>419</v>
      </c>
      <c r="P61" t="s">
        <v>238</v>
      </c>
      <c r="Q61" t="s">
        <v>237</v>
      </c>
    </row>
    <row r="62" spans="2:17">
      <c r="B62" s="309"/>
      <c r="C62" s="4">
        <v>23</v>
      </c>
      <c r="D62" t="s">
        <v>457</v>
      </c>
      <c r="E62" t="s">
        <v>240</v>
      </c>
      <c r="F62" t="s">
        <v>237</v>
      </c>
      <c r="M62" s="309"/>
      <c r="N62" s="4">
        <v>23</v>
      </c>
      <c r="O62" t="s">
        <v>457</v>
      </c>
      <c r="P62" t="s">
        <v>240</v>
      </c>
      <c r="Q62" t="s">
        <v>237</v>
      </c>
    </row>
    <row r="63" spans="2:17">
      <c r="B63" s="41"/>
      <c r="M63" s="41"/>
    </row>
    <row r="64" spans="2:17">
      <c r="B64" s="309">
        <v>46096</v>
      </c>
      <c r="C64" s="4">
        <v>15</v>
      </c>
      <c r="D64" t="s">
        <v>391</v>
      </c>
      <c r="E64" t="s">
        <v>236</v>
      </c>
      <c r="F64" t="s">
        <v>237</v>
      </c>
      <c r="M64" s="309">
        <v>46096</v>
      </c>
      <c r="N64" s="4">
        <v>15</v>
      </c>
      <c r="O64" t="s">
        <v>391</v>
      </c>
      <c r="P64" t="s">
        <v>236</v>
      </c>
      <c r="Q64" t="s">
        <v>237</v>
      </c>
    </row>
    <row r="65" spans="2:17">
      <c r="B65" s="309"/>
      <c r="C65" s="4">
        <v>2</v>
      </c>
      <c r="D65" t="s">
        <v>416</v>
      </c>
      <c r="E65" t="s">
        <v>238</v>
      </c>
      <c r="F65" t="s">
        <v>237</v>
      </c>
      <c r="M65" s="309"/>
      <c r="N65" s="4">
        <v>2</v>
      </c>
      <c r="O65" t="s">
        <v>416</v>
      </c>
      <c r="P65" t="s">
        <v>238</v>
      </c>
      <c r="Q65" t="s">
        <v>237</v>
      </c>
    </row>
    <row r="66" spans="2:17">
      <c r="B66" s="41"/>
      <c r="C66" s="4">
        <v>22</v>
      </c>
      <c r="D66" t="s">
        <v>457</v>
      </c>
      <c r="E66" t="s">
        <v>240</v>
      </c>
      <c r="F66" t="s">
        <v>237</v>
      </c>
      <c r="M66" s="41"/>
      <c r="N66" s="4">
        <v>22</v>
      </c>
      <c r="O66" t="s">
        <v>457</v>
      </c>
      <c r="P66" t="s">
        <v>240</v>
      </c>
      <c r="Q66" t="s">
        <v>237</v>
      </c>
    </row>
    <row r="67" spans="2:17">
      <c r="B67" s="41"/>
      <c r="E67" s="357"/>
      <c r="M67" s="41"/>
      <c r="P67" s="357"/>
    </row>
    <row r="68" spans="2:17">
      <c r="B68" s="309">
        <v>46097</v>
      </c>
      <c r="C68" s="4">
        <v>0</v>
      </c>
      <c r="D68" t="s">
        <v>417</v>
      </c>
      <c r="E68" t="s">
        <v>236</v>
      </c>
      <c r="F68" t="s">
        <v>237</v>
      </c>
      <c r="M68" s="309">
        <v>46097</v>
      </c>
      <c r="N68" s="4">
        <v>0</v>
      </c>
      <c r="O68" t="s">
        <v>417</v>
      </c>
      <c r="P68" t="s">
        <v>236</v>
      </c>
      <c r="Q68" t="s">
        <v>237</v>
      </c>
    </row>
    <row r="69" spans="2:17">
      <c r="B69" s="309"/>
      <c r="C69" s="4">
        <v>0</v>
      </c>
      <c r="D69" t="s">
        <v>419</v>
      </c>
      <c r="E69" t="s">
        <v>238</v>
      </c>
      <c r="F69" t="s">
        <v>237</v>
      </c>
      <c r="M69" s="309"/>
      <c r="N69" s="4">
        <v>0</v>
      </c>
      <c r="O69" t="s">
        <v>419</v>
      </c>
      <c r="P69" t="s">
        <v>238</v>
      </c>
      <c r="Q69" t="s">
        <v>237</v>
      </c>
    </row>
    <row r="70" spans="2:17">
      <c r="B70" s="309"/>
      <c r="C70" s="4">
        <v>25</v>
      </c>
      <c r="D70" t="s">
        <v>457</v>
      </c>
      <c r="E70" t="s">
        <v>240</v>
      </c>
      <c r="F70" t="s">
        <v>237</v>
      </c>
      <c r="M70" s="309"/>
      <c r="N70" s="4">
        <v>25</v>
      </c>
      <c r="O70" t="s">
        <v>457</v>
      </c>
      <c r="P70" t="s">
        <v>240</v>
      </c>
      <c r="Q70" t="s">
        <v>237</v>
      </c>
    </row>
    <row r="71" spans="2:17">
      <c r="B71" s="41"/>
      <c r="M71" s="41"/>
    </row>
    <row r="72" spans="2:17">
      <c r="B72" s="41">
        <v>46098</v>
      </c>
      <c r="C72" s="4">
        <v>0</v>
      </c>
      <c r="D72" t="s">
        <v>417</v>
      </c>
      <c r="E72" t="s">
        <v>236</v>
      </c>
      <c r="F72" t="s">
        <v>237</v>
      </c>
      <c r="M72" s="41">
        <v>46098</v>
      </c>
      <c r="N72" s="4">
        <v>0</v>
      </c>
      <c r="O72" t="s">
        <v>417</v>
      </c>
      <c r="P72" t="s">
        <v>236</v>
      </c>
      <c r="Q72" t="s">
        <v>237</v>
      </c>
    </row>
    <row r="73" spans="2:17">
      <c r="B73" s="309"/>
      <c r="C73" s="4">
        <v>4</v>
      </c>
      <c r="D73" t="s">
        <v>630</v>
      </c>
      <c r="E73" t="s">
        <v>238</v>
      </c>
      <c r="F73" t="s">
        <v>237</v>
      </c>
      <c r="M73" s="309"/>
      <c r="N73" s="4">
        <v>4</v>
      </c>
      <c r="O73" t="s">
        <v>630</v>
      </c>
      <c r="P73" t="s">
        <v>238</v>
      </c>
      <c r="Q73" t="s">
        <v>237</v>
      </c>
    </row>
    <row r="74" spans="2:17">
      <c r="B74" s="309"/>
      <c r="C74" s="4">
        <v>29</v>
      </c>
      <c r="D74" t="s">
        <v>457</v>
      </c>
      <c r="E74" t="s">
        <v>240</v>
      </c>
      <c r="F74" t="s">
        <v>237</v>
      </c>
      <c r="M74" s="309"/>
      <c r="N74" s="4">
        <v>29</v>
      </c>
      <c r="O74" t="s">
        <v>457</v>
      </c>
      <c r="P74" t="s">
        <v>240</v>
      </c>
      <c r="Q74" t="s">
        <v>237</v>
      </c>
    </row>
    <row r="75" spans="2:17">
      <c r="B75" s="309"/>
      <c r="M75" s="309"/>
    </row>
    <row r="76" spans="2:17">
      <c r="B76" s="41">
        <v>46099</v>
      </c>
      <c r="C76" s="4">
        <v>0</v>
      </c>
      <c r="D76" t="s">
        <v>417</v>
      </c>
      <c r="E76" t="s">
        <v>236</v>
      </c>
      <c r="F76" t="s">
        <v>237</v>
      </c>
      <c r="M76" s="41">
        <v>46099</v>
      </c>
      <c r="N76" s="4">
        <v>0</v>
      </c>
      <c r="O76" t="s">
        <v>417</v>
      </c>
      <c r="P76" t="s">
        <v>236</v>
      </c>
      <c r="Q76" t="s">
        <v>237</v>
      </c>
    </row>
    <row r="77" spans="2:17">
      <c r="B77" s="41"/>
      <c r="C77" s="4">
        <v>2</v>
      </c>
      <c r="D77" t="s">
        <v>630</v>
      </c>
      <c r="E77" t="s">
        <v>238</v>
      </c>
      <c r="F77" t="s">
        <v>237</v>
      </c>
      <c r="M77" s="41"/>
      <c r="N77" s="4">
        <v>2</v>
      </c>
      <c r="O77" t="s">
        <v>630</v>
      </c>
      <c r="P77" t="s">
        <v>238</v>
      </c>
      <c r="Q77" t="s">
        <v>237</v>
      </c>
    </row>
    <row r="78" spans="2:17">
      <c r="B78" s="41"/>
      <c r="C78" s="4">
        <v>27</v>
      </c>
      <c r="D78" t="s">
        <v>651</v>
      </c>
      <c r="E78" t="s">
        <v>240</v>
      </c>
      <c r="F78" t="s">
        <v>237</v>
      </c>
      <c r="M78" s="41"/>
      <c r="N78" s="4">
        <v>27</v>
      </c>
      <c r="O78" t="s">
        <v>651</v>
      </c>
      <c r="P78" t="s">
        <v>240</v>
      </c>
      <c r="Q78" t="s">
        <v>237</v>
      </c>
    </row>
    <row r="79" spans="2:17">
      <c r="B79" s="309"/>
      <c r="M79" s="309"/>
    </row>
    <row r="80" spans="2:17">
      <c r="B80" s="309">
        <v>46100</v>
      </c>
      <c r="C80" s="4">
        <v>10</v>
      </c>
      <c r="D80" t="s">
        <v>445</v>
      </c>
      <c r="E80" t="s">
        <v>236</v>
      </c>
      <c r="F80" t="s">
        <v>237</v>
      </c>
      <c r="M80" s="309">
        <v>46100</v>
      </c>
      <c r="N80" s="4">
        <v>10</v>
      </c>
      <c r="O80" t="s">
        <v>445</v>
      </c>
      <c r="P80" t="s">
        <v>236</v>
      </c>
      <c r="Q80" t="s">
        <v>237</v>
      </c>
    </row>
    <row r="81" spans="2:17">
      <c r="B81" s="41"/>
      <c r="C81" s="4">
        <v>12</v>
      </c>
      <c r="D81" t="s">
        <v>654</v>
      </c>
      <c r="E81" t="s">
        <v>238</v>
      </c>
      <c r="F81" t="s">
        <v>237</v>
      </c>
      <c r="M81" s="41"/>
      <c r="N81" s="4">
        <v>12</v>
      </c>
      <c r="O81" t="s">
        <v>654</v>
      </c>
      <c r="P81" t="s">
        <v>238</v>
      </c>
      <c r="Q81" t="s">
        <v>237</v>
      </c>
    </row>
    <row r="82" spans="2:17">
      <c r="B82" s="41"/>
      <c r="C82" s="4">
        <v>24</v>
      </c>
      <c r="D82" t="s">
        <v>565</v>
      </c>
      <c r="E82" t="s">
        <v>240</v>
      </c>
      <c r="F82" t="s">
        <v>237</v>
      </c>
      <c r="M82" s="41"/>
      <c r="N82" s="4">
        <v>24</v>
      </c>
      <c r="O82" t="s">
        <v>565</v>
      </c>
      <c r="P82" t="s">
        <v>240</v>
      </c>
      <c r="Q82" t="s">
        <v>237</v>
      </c>
    </row>
    <row r="83" spans="2:17">
      <c r="B83" s="309"/>
      <c r="M83" s="309"/>
    </row>
    <row r="84" spans="2:17">
      <c r="B84" s="309">
        <v>46101</v>
      </c>
      <c r="C84" s="4">
        <v>0</v>
      </c>
      <c r="D84" t="s">
        <v>417</v>
      </c>
      <c r="E84" t="s">
        <v>236</v>
      </c>
      <c r="F84" t="s">
        <v>237</v>
      </c>
      <c r="M84" s="309">
        <v>46101</v>
      </c>
      <c r="N84" s="4">
        <v>0</v>
      </c>
      <c r="O84" t="s">
        <v>417</v>
      </c>
      <c r="P84" t="s">
        <v>236</v>
      </c>
      <c r="Q84" t="s">
        <v>237</v>
      </c>
    </row>
    <row r="85" spans="2:17">
      <c r="B85" s="309"/>
      <c r="C85" s="4">
        <v>14</v>
      </c>
      <c r="D85" t="s">
        <v>680</v>
      </c>
      <c r="E85" t="s">
        <v>238</v>
      </c>
      <c r="F85" t="s">
        <v>237</v>
      </c>
      <c r="M85" s="309"/>
      <c r="N85" s="4">
        <v>14</v>
      </c>
      <c r="O85" t="s">
        <v>680</v>
      </c>
      <c r="P85" t="s">
        <v>238</v>
      </c>
      <c r="Q85" t="s">
        <v>237</v>
      </c>
    </row>
    <row r="86" spans="2:17">
      <c r="B86" s="41"/>
      <c r="C86" s="4">
        <v>26</v>
      </c>
      <c r="D86" t="s">
        <v>446</v>
      </c>
      <c r="E86" t="s">
        <v>240</v>
      </c>
      <c r="F86" t="s">
        <v>237</v>
      </c>
      <c r="M86" s="41"/>
      <c r="N86" s="4">
        <v>26</v>
      </c>
      <c r="O86" t="s">
        <v>446</v>
      </c>
      <c r="P86" t="s">
        <v>240</v>
      </c>
      <c r="Q86" t="s">
        <v>237</v>
      </c>
    </row>
    <row r="87" spans="2:17">
      <c r="B87" s="309"/>
      <c r="E87" s="357"/>
      <c r="F87" s="357"/>
      <c r="M87" s="309"/>
      <c r="P87" s="357"/>
      <c r="Q87" s="357"/>
    </row>
    <row r="88" spans="2:17">
      <c r="B88" s="309">
        <v>46102</v>
      </c>
      <c r="C88" s="4">
        <v>0</v>
      </c>
      <c r="D88" t="s">
        <v>417</v>
      </c>
      <c r="E88" t="s">
        <v>236</v>
      </c>
      <c r="F88" t="s">
        <v>237</v>
      </c>
      <c r="M88" s="309">
        <v>46102</v>
      </c>
      <c r="N88" s="4">
        <v>0</v>
      </c>
      <c r="O88" t="s">
        <v>417</v>
      </c>
      <c r="P88" t="s">
        <v>236</v>
      </c>
      <c r="Q88" t="s">
        <v>237</v>
      </c>
    </row>
    <row r="89" spans="2:17">
      <c r="B89" s="309"/>
      <c r="C89" s="4">
        <v>6</v>
      </c>
      <c r="D89" t="s">
        <v>679</v>
      </c>
      <c r="E89" t="s">
        <v>238</v>
      </c>
      <c r="F89" t="s">
        <v>237</v>
      </c>
      <c r="M89" s="309"/>
      <c r="N89" s="4">
        <v>6</v>
      </c>
      <c r="O89" t="s">
        <v>679</v>
      </c>
      <c r="P89" t="s">
        <v>238</v>
      </c>
      <c r="Q89" t="s">
        <v>237</v>
      </c>
    </row>
    <row r="90" spans="2:17">
      <c r="B90" s="309"/>
      <c r="C90" s="4">
        <v>16</v>
      </c>
      <c r="D90" t="s">
        <v>446</v>
      </c>
      <c r="E90" t="s">
        <v>240</v>
      </c>
      <c r="F90" t="s">
        <v>237</v>
      </c>
      <c r="M90" s="309"/>
      <c r="N90" s="4">
        <v>16</v>
      </c>
      <c r="O90" t="s">
        <v>446</v>
      </c>
      <c r="P90" t="s">
        <v>240</v>
      </c>
      <c r="Q90" t="s">
        <v>237</v>
      </c>
    </row>
    <row r="91" spans="2:17">
      <c r="B91" s="41"/>
      <c r="M91" s="41"/>
    </row>
    <row r="92" spans="2:17">
      <c r="B92" s="309">
        <v>46103</v>
      </c>
      <c r="C92" s="4">
        <v>0</v>
      </c>
      <c r="D92" t="s">
        <v>417</v>
      </c>
      <c r="E92" t="s">
        <v>236</v>
      </c>
      <c r="F92" t="s">
        <v>237</v>
      </c>
      <c r="M92" s="309">
        <v>46103</v>
      </c>
      <c r="N92" s="4">
        <v>0</v>
      </c>
      <c r="O92" t="s">
        <v>417</v>
      </c>
      <c r="P92" t="s">
        <v>236</v>
      </c>
      <c r="Q92" t="s">
        <v>237</v>
      </c>
    </row>
    <row r="93" spans="2:17">
      <c r="B93" s="41"/>
      <c r="C93" s="4">
        <v>4</v>
      </c>
      <c r="D93" t="s">
        <v>653</v>
      </c>
      <c r="E93" t="s">
        <v>238</v>
      </c>
      <c r="F93" t="s">
        <v>237</v>
      </c>
      <c r="M93" s="41"/>
      <c r="N93" s="4">
        <v>4</v>
      </c>
      <c r="O93" t="s">
        <v>653</v>
      </c>
      <c r="P93" t="s">
        <v>238</v>
      </c>
      <c r="Q93" t="s">
        <v>237</v>
      </c>
    </row>
    <row r="94" spans="2:17">
      <c r="B94" s="309"/>
      <c r="C94" s="4">
        <v>22</v>
      </c>
      <c r="D94" t="s">
        <v>565</v>
      </c>
      <c r="E94" t="s">
        <v>240</v>
      </c>
      <c r="F94" t="s">
        <v>237</v>
      </c>
      <c r="M94" s="309"/>
      <c r="N94" s="4">
        <v>22</v>
      </c>
      <c r="O94" t="s">
        <v>565</v>
      </c>
      <c r="P94" t="s">
        <v>240</v>
      </c>
      <c r="Q94" t="s">
        <v>237</v>
      </c>
    </row>
    <row r="95" spans="2:17">
      <c r="B95" s="309"/>
      <c r="M95" s="309"/>
    </row>
    <row r="96" spans="2:17">
      <c r="B96" s="309">
        <v>46104</v>
      </c>
      <c r="C96" s="4">
        <v>4</v>
      </c>
      <c r="D96" t="s">
        <v>445</v>
      </c>
      <c r="E96" t="s">
        <v>236</v>
      </c>
      <c r="F96" t="s">
        <v>237</v>
      </c>
      <c r="M96" s="309">
        <v>46104</v>
      </c>
      <c r="N96" s="4">
        <v>4</v>
      </c>
      <c r="O96" t="s">
        <v>445</v>
      </c>
      <c r="P96" t="s">
        <v>236</v>
      </c>
      <c r="Q96" t="s">
        <v>237</v>
      </c>
    </row>
    <row r="97" spans="2:17">
      <c r="B97" s="41"/>
      <c r="C97">
        <v>0</v>
      </c>
      <c r="D97" t="s">
        <v>419</v>
      </c>
      <c r="E97" t="s">
        <v>238</v>
      </c>
      <c r="F97" t="s">
        <v>237</v>
      </c>
      <c r="M97" s="41"/>
      <c r="N97">
        <v>0</v>
      </c>
      <c r="O97" t="s">
        <v>419</v>
      </c>
      <c r="P97" t="s">
        <v>238</v>
      </c>
      <c r="Q97" t="s">
        <v>237</v>
      </c>
    </row>
    <row r="98" spans="2:17">
      <c r="B98" s="309"/>
      <c r="C98" s="4">
        <v>22</v>
      </c>
      <c r="D98" t="s">
        <v>651</v>
      </c>
      <c r="E98" t="s">
        <v>240</v>
      </c>
      <c r="F98" t="s">
        <v>237</v>
      </c>
      <c r="M98" s="309"/>
      <c r="N98" s="4">
        <v>22</v>
      </c>
      <c r="O98" t="s">
        <v>651</v>
      </c>
      <c r="P98" t="s">
        <v>240</v>
      </c>
      <c r="Q98" t="s">
        <v>237</v>
      </c>
    </row>
    <row r="99" spans="2:17">
      <c r="B99" s="309"/>
      <c r="M99" s="309"/>
    </row>
    <row r="100" spans="2:17">
      <c r="B100" s="309">
        <v>46105</v>
      </c>
      <c r="C100">
        <v>8</v>
      </c>
      <c r="D100" t="s">
        <v>696</v>
      </c>
      <c r="E100" t="s">
        <v>236</v>
      </c>
      <c r="F100" t="s">
        <v>237</v>
      </c>
      <c r="M100" s="309">
        <v>46105</v>
      </c>
      <c r="N100">
        <v>8</v>
      </c>
      <c r="O100" t="s">
        <v>696</v>
      </c>
      <c r="P100" t="s">
        <v>236</v>
      </c>
      <c r="Q100" t="s">
        <v>237</v>
      </c>
    </row>
    <row r="101" spans="2:17">
      <c r="B101" s="309"/>
      <c r="C101">
        <v>0</v>
      </c>
      <c r="D101" t="s">
        <v>419</v>
      </c>
      <c r="E101" t="s">
        <v>238</v>
      </c>
      <c r="F101" t="s">
        <v>237</v>
      </c>
      <c r="M101" s="309"/>
      <c r="N101">
        <v>0</v>
      </c>
      <c r="O101" t="s">
        <v>419</v>
      </c>
      <c r="P101" t="s">
        <v>238</v>
      </c>
      <c r="Q101" t="s">
        <v>237</v>
      </c>
    </row>
    <row r="102" spans="2:17">
      <c r="B102" s="41"/>
      <c r="C102">
        <v>22</v>
      </c>
      <c r="D102" t="s">
        <v>457</v>
      </c>
      <c r="E102" t="s">
        <v>240</v>
      </c>
      <c r="F102" t="s">
        <v>237</v>
      </c>
      <c r="M102" s="41"/>
      <c r="N102">
        <v>22</v>
      </c>
      <c r="O102" t="s">
        <v>457</v>
      </c>
      <c r="P102" t="s">
        <v>240</v>
      </c>
      <c r="Q102" t="s">
        <v>237</v>
      </c>
    </row>
    <row r="103" spans="2:17">
      <c r="B103" s="309"/>
      <c r="E103" s="357"/>
      <c r="F103" s="357"/>
      <c r="M103" s="309"/>
      <c r="P103" s="357"/>
      <c r="Q103" s="357"/>
    </row>
    <row r="104" spans="2:17">
      <c r="B104" s="309">
        <v>46106</v>
      </c>
      <c r="C104">
        <v>0</v>
      </c>
      <c r="D104" t="s">
        <v>417</v>
      </c>
      <c r="E104" t="s">
        <v>236</v>
      </c>
      <c r="F104" t="s">
        <v>237</v>
      </c>
      <c r="M104" s="309">
        <v>46106</v>
      </c>
      <c r="N104">
        <v>0</v>
      </c>
      <c r="O104" t="s">
        <v>417</v>
      </c>
      <c r="P104" t="s">
        <v>236</v>
      </c>
      <c r="Q104" t="s">
        <v>237</v>
      </c>
    </row>
    <row r="105" spans="2:17">
      <c r="B105" s="309"/>
      <c r="C105">
        <v>8</v>
      </c>
      <c r="D105" t="s">
        <v>653</v>
      </c>
      <c r="E105" t="s">
        <v>238</v>
      </c>
      <c r="F105" t="s">
        <v>237</v>
      </c>
      <c r="M105" s="309"/>
      <c r="N105">
        <v>8</v>
      </c>
      <c r="O105" t="s">
        <v>653</v>
      </c>
      <c r="P105" t="s">
        <v>238</v>
      </c>
      <c r="Q105" t="s">
        <v>237</v>
      </c>
    </row>
    <row r="106" spans="2:17">
      <c r="B106" s="309"/>
      <c r="C106">
        <v>28</v>
      </c>
      <c r="D106" t="s">
        <v>392</v>
      </c>
      <c r="E106" t="s">
        <v>240</v>
      </c>
      <c r="F106" t="s">
        <v>237</v>
      </c>
      <c r="M106" s="309"/>
      <c r="N106">
        <v>28</v>
      </c>
      <c r="O106" t="s">
        <v>392</v>
      </c>
      <c r="P106" t="s">
        <v>240</v>
      </c>
      <c r="Q106" t="s">
        <v>237</v>
      </c>
    </row>
    <row r="107" spans="2:17">
      <c r="B107" s="41"/>
      <c r="M107" s="41"/>
    </row>
    <row r="108" spans="2:17">
      <c r="B108" s="309">
        <v>46107</v>
      </c>
      <c r="C108" s="4">
        <v>0</v>
      </c>
      <c r="D108" t="s">
        <v>417</v>
      </c>
      <c r="E108" t="s">
        <v>236</v>
      </c>
      <c r="F108" t="s">
        <v>237</v>
      </c>
      <c r="M108" s="309">
        <v>46107</v>
      </c>
      <c r="N108" s="4">
        <v>0</v>
      </c>
      <c r="O108" t="s">
        <v>417</v>
      </c>
      <c r="P108" t="s">
        <v>236</v>
      </c>
      <c r="Q108" t="s">
        <v>237</v>
      </c>
    </row>
    <row r="109" spans="2:17">
      <c r="B109" s="309"/>
      <c r="C109" s="4">
        <v>2</v>
      </c>
      <c r="D109" t="s">
        <v>416</v>
      </c>
      <c r="E109" t="s">
        <v>238</v>
      </c>
      <c r="F109" t="s">
        <v>237</v>
      </c>
      <c r="M109" s="309"/>
      <c r="N109" s="4">
        <v>2</v>
      </c>
      <c r="O109" t="s">
        <v>416</v>
      </c>
      <c r="P109" t="s">
        <v>238</v>
      </c>
      <c r="Q109" t="s">
        <v>237</v>
      </c>
    </row>
    <row r="110" spans="2:17">
      <c r="B110" s="309"/>
      <c r="C110" s="4">
        <v>32</v>
      </c>
      <c r="D110" t="s">
        <v>498</v>
      </c>
      <c r="E110" t="s">
        <v>240</v>
      </c>
      <c r="F110" t="s">
        <v>237</v>
      </c>
      <c r="M110" s="309"/>
      <c r="N110" s="4">
        <v>32</v>
      </c>
      <c r="O110" t="s">
        <v>498</v>
      </c>
      <c r="P110" t="s">
        <v>240</v>
      </c>
      <c r="Q110" t="s">
        <v>237</v>
      </c>
    </row>
    <row r="111" spans="2:17">
      <c r="B111" s="309"/>
      <c r="M111" s="309"/>
    </row>
    <row r="112" spans="2:17">
      <c r="B112" s="41">
        <v>46108</v>
      </c>
      <c r="C112" s="4">
        <v>0</v>
      </c>
      <c r="D112" t="s">
        <v>417</v>
      </c>
      <c r="E112" t="s">
        <v>236</v>
      </c>
      <c r="F112" t="s">
        <v>237</v>
      </c>
      <c r="M112" s="41">
        <v>46108</v>
      </c>
      <c r="N112" s="4">
        <v>0</v>
      </c>
      <c r="O112" t="s">
        <v>417</v>
      </c>
      <c r="P112" t="s">
        <v>236</v>
      </c>
      <c r="Q112" t="s">
        <v>237</v>
      </c>
    </row>
    <row r="113" spans="2:17">
      <c r="B113" s="309"/>
      <c r="C113" s="4">
        <v>2</v>
      </c>
      <c r="D113" t="s">
        <v>416</v>
      </c>
      <c r="E113" t="s">
        <v>238</v>
      </c>
      <c r="F113" t="s">
        <v>237</v>
      </c>
      <c r="M113" s="309"/>
      <c r="N113" s="4">
        <v>2</v>
      </c>
      <c r="O113" t="s">
        <v>416</v>
      </c>
      <c r="P113" t="s">
        <v>238</v>
      </c>
      <c r="Q113" t="s">
        <v>237</v>
      </c>
    </row>
    <row r="114" spans="2:17">
      <c r="B114" s="309"/>
      <c r="C114" s="4">
        <v>24</v>
      </c>
      <c r="D114" t="s">
        <v>651</v>
      </c>
      <c r="E114" t="s">
        <v>240</v>
      </c>
      <c r="F114" t="s">
        <v>237</v>
      </c>
      <c r="M114" s="309"/>
      <c r="N114" s="4">
        <v>24</v>
      </c>
      <c r="O114" t="s">
        <v>651</v>
      </c>
      <c r="P114" t="s">
        <v>240</v>
      </c>
      <c r="Q114" t="s">
        <v>237</v>
      </c>
    </row>
    <row r="115" spans="2:17">
      <c r="B115" s="309"/>
      <c r="M115" s="309"/>
    </row>
    <row r="116" spans="2:17">
      <c r="B116" s="309">
        <v>46109</v>
      </c>
      <c r="C116" s="4">
        <v>0</v>
      </c>
      <c r="D116" t="s">
        <v>417</v>
      </c>
      <c r="E116" t="s">
        <v>236</v>
      </c>
      <c r="F116" t="s">
        <v>237</v>
      </c>
      <c r="M116" s="309">
        <v>46109</v>
      </c>
      <c r="N116" s="4">
        <v>0</v>
      </c>
      <c r="O116" t="s">
        <v>417</v>
      </c>
      <c r="P116" t="s">
        <v>236</v>
      </c>
      <c r="Q116" t="s">
        <v>237</v>
      </c>
    </row>
    <row r="117" spans="2:17">
      <c r="B117" s="309"/>
      <c r="C117" s="4">
        <v>3</v>
      </c>
      <c r="D117" t="s">
        <v>416</v>
      </c>
      <c r="E117" t="s">
        <v>238</v>
      </c>
      <c r="F117" t="s">
        <v>237</v>
      </c>
      <c r="M117" s="309"/>
      <c r="N117" s="4">
        <v>3</v>
      </c>
      <c r="O117" t="s">
        <v>416</v>
      </c>
      <c r="P117" t="s">
        <v>238</v>
      </c>
      <c r="Q117" t="s">
        <v>237</v>
      </c>
    </row>
    <row r="118" spans="2:17">
      <c r="B118" s="41"/>
      <c r="C118" s="4">
        <v>23</v>
      </c>
      <c r="D118" t="s">
        <v>565</v>
      </c>
      <c r="E118" t="s">
        <v>240</v>
      </c>
      <c r="F118" t="s">
        <v>237</v>
      </c>
      <c r="M118" s="41"/>
      <c r="N118" s="4">
        <v>23</v>
      </c>
      <c r="O118" t="s">
        <v>565</v>
      </c>
      <c r="P118" t="s">
        <v>240</v>
      </c>
      <c r="Q118" t="s">
        <v>237</v>
      </c>
    </row>
    <row r="119" spans="2:17">
      <c r="B119" s="309"/>
      <c r="E119" s="357"/>
      <c r="M119" s="309"/>
      <c r="P119" s="357"/>
    </row>
    <row r="120" spans="2:17">
      <c r="B120" s="309">
        <v>46110</v>
      </c>
      <c r="C120" s="4">
        <v>0</v>
      </c>
      <c r="D120" t="s">
        <v>417</v>
      </c>
      <c r="E120" t="s">
        <v>236</v>
      </c>
      <c r="F120" t="s">
        <v>237</v>
      </c>
      <c r="M120" s="309">
        <v>46110</v>
      </c>
      <c r="N120" s="4">
        <v>0</v>
      </c>
      <c r="O120" t="s">
        <v>417</v>
      </c>
      <c r="P120" t="s">
        <v>236</v>
      </c>
      <c r="Q120" t="s">
        <v>237</v>
      </c>
    </row>
    <row r="121" spans="2:17">
      <c r="B121" s="41"/>
      <c r="C121" s="4">
        <v>4</v>
      </c>
      <c r="D121" t="s">
        <v>630</v>
      </c>
      <c r="E121" t="s">
        <v>238</v>
      </c>
      <c r="F121" t="s">
        <v>237</v>
      </c>
      <c r="M121" s="41"/>
      <c r="N121" s="4">
        <v>4</v>
      </c>
      <c r="O121" t="s">
        <v>630</v>
      </c>
      <c r="P121" t="s">
        <v>238</v>
      </c>
      <c r="Q121" t="s">
        <v>237</v>
      </c>
    </row>
    <row r="122" spans="2:17">
      <c r="B122" s="309"/>
      <c r="C122" s="4">
        <v>28</v>
      </c>
      <c r="D122" t="s">
        <v>457</v>
      </c>
      <c r="E122" t="s">
        <v>240</v>
      </c>
      <c r="F122" t="s">
        <v>237</v>
      </c>
      <c r="M122" s="309"/>
      <c r="N122" s="4">
        <v>28</v>
      </c>
      <c r="O122" t="s">
        <v>457</v>
      </c>
      <c r="P122" t="s">
        <v>240</v>
      </c>
      <c r="Q122" t="s">
        <v>237</v>
      </c>
    </row>
    <row r="123" spans="2:17">
      <c r="B123" s="309"/>
      <c r="E123" s="357"/>
      <c r="F123" s="357"/>
      <c r="M123" s="309"/>
      <c r="P123" s="357"/>
      <c r="Q123" s="357"/>
    </row>
    <row r="124" spans="2:17">
      <c r="B124" s="41">
        <v>46111</v>
      </c>
      <c r="C124" s="4">
        <v>0</v>
      </c>
      <c r="D124" t="s">
        <v>417</v>
      </c>
      <c r="E124" t="s">
        <v>236</v>
      </c>
      <c r="F124" t="s">
        <v>237</v>
      </c>
      <c r="M124" s="41">
        <v>46111</v>
      </c>
      <c r="N124" s="4">
        <v>0</v>
      </c>
      <c r="O124" t="s">
        <v>417</v>
      </c>
      <c r="P124" t="s">
        <v>236</v>
      </c>
      <c r="Q124" t="s">
        <v>237</v>
      </c>
    </row>
    <row r="125" spans="2:17">
      <c r="B125" s="309"/>
      <c r="C125" s="4">
        <v>3</v>
      </c>
      <c r="D125" t="s">
        <v>630</v>
      </c>
      <c r="E125" t="s">
        <v>238</v>
      </c>
      <c r="F125" t="s">
        <v>237</v>
      </c>
      <c r="M125" s="309"/>
      <c r="N125" s="4">
        <v>3</v>
      </c>
      <c r="O125" t="s">
        <v>630</v>
      </c>
      <c r="P125" t="s">
        <v>238</v>
      </c>
      <c r="Q125" t="s">
        <v>237</v>
      </c>
    </row>
    <row r="126" spans="2:17">
      <c r="B126" s="309"/>
      <c r="C126" s="4">
        <v>18</v>
      </c>
      <c r="D126" t="s">
        <v>565</v>
      </c>
      <c r="E126" t="s">
        <v>240</v>
      </c>
      <c r="F126" t="s">
        <v>237</v>
      </c>
      <c r="M126" s="309"/>
      <c r="N126" s="4">
        <v>18</v>
      </c>
      <c r="O126" t="s">
        <v>565</v>
      </c>
      <c r="P126" t="s">
        <v>240</v>
      </c>
      <c r="Q126" t="s">
        <v>237</v>
      </c>
    </row>
    <row r="127" spans="2:17">
      <c r="B127" s="309"/>
      <c r="E127" s="357"/>
      <c r="M127" s="309"/>
      <c r="P127" s="357"/>
    </row>
    <row r="128" spans="2:17">
      <c r="B128" s="41">
        <v>46112</v>
      </c>
      <c r="C128" s="4">
        <v>0</v>
      </c>
      <c r="D128" t="s">
        <v>417</v>
      </c>
      <c r="E128" t="s">
        <v>236</v>
      </c>
      <c r="F128" t="s">
        <v>237</v>
      </c>
      <c r="M128" s="41">
        <v>46112</v>
      </c>
      <c r="N128" s="4">
        <v>0</v>
      </c>
      <c r="O128" t="s">
        <v>417</v>
      </c>
      <c r="P128" t="s">
        <v>236</v>
      </c>
      <c r="Q128" t="s">
        <v>237</v>
      </c>
    </row>
    <row r="129" spans="2:17">
      <c r="B129" s="309"/>
      <c r="C129" s="4">
        <v>0</v>
      </c>
      <c r="D129" t="s">
        <v>419</v>
      </c>
      <c r="E129" t="s">
        <v>238</v>
      </c>
      <c r="F129" t="s">
        <v>237</v>
      </c>
      <c r="M129" s="309"/>
      <c r="N129" s="4">
        <v>0</v>
      </c>
      <c r="O129" t="s">
        <v>419</v>
      </c>
      <c r="P129" t="s">
        <v>238</v>
      </c>
      <c r="Q129" t="s">
        <v>237</v>
      </c>
    </row>
    <row r="130" spans="2:17">
      <c r="B130" s="41"/>
      <c r="C130" s="4">
        <v>24</v>
      </c>
      <c r="D130" t="s">
        <v>446</v>
      </c>
      <c r="E130" t="s">
        <v>240</v>
      </c>
      <c r="F130" t="s">
        <v>237</v>
      </c>
      <c r="M130" s="41"/>
      <c r="N130" s="4">
        <v>24</v>
      </c>
      <c r="O130" t="s">
        <v>446</v>
      </c>
      <c r="P130" t="s">
        <v>240</v>
      </c>
      <c r="Q130" t="s">
        <v>237</v>
      </c>
    </row>
    <row r="131" spans="2:17">
      <c r="B131" s="309"/>
      <c r="E131" s="357"/>
      <c r="F131" s="357"/>
      <c r="M131" s="309"/>
      <c r="P131" s="357"/>
      <c r="Q131" s="357"/>
    </row>
    <row r="132" spans="2:17">
      <c r="B132" s="309"/>
      <c r="E132" s="357"/>
      <c r="M132" s="309"/>
      <c r="P132" s="357"/>
    </row>
    <row r="133" spans="2:17">
      <c r="B133" s="41"/>
      <c r="E133" s="357"/>
      <c r="M133" s="41"/>
      <c r="P133" s="357"/>
    </row>
    <row r="134" spans="2:17">
      <c r="B134" s="41"/>
      <c r="M134" s="41"/>
    </row>
    <row r="135" spans="2:17">
      <c r="B135" s="309"/>
      <c r="M135" s="309"/>
    </row>
    <row r="136" spans="2:17">
      <c r="B136" s="309"/>
      <c r="M136" s="309"/>
    </row>
    <row r="137" spans="2:17">
      <c r="B137" s="309"/>
      <c r="M137" s="309"/>
    </row>
    <row r="138" spans="2:17">
      <c r="B138" s="41"/>
      <c r="E138" s="357"/>
      <c r="F138" s="357"/>
      <c r="M138" s="41"/>
      <c r="P138" s="357"/>
      <c r="Q138" s="357"/>
    </row>
    <row r="139" spans="2:17">
      <c r="B139" s="41"/>
      <c r="M139" s="41"/>
    </row>
    <row r="140" spans="2:17">
      <c r="B140" s="309"/>
      <c r="M140" s="309"/>
    </row>
    <row r="141" spans="2:17">
      <c r="B141" s="309"/>
      <c r="M141" s="309"/>
    </row>
    <row r="142" spans="2:17">
      <c r="B142" s="545"/>
      <c r="M142" s="545"/>
    </row>
    <row r="143" spans="2:17">
      <c r="B143" s="545"/>
      <c r="M143" s="545"/>
    </row>
    <row r="144" spans="2:17">
      <c r="B144" s="545"/>
      <c r="M144" s="545"/>
    </row>
    <row r="145" spans="2:17">
      <c r="B145" s="545"/>
      <c r="F145" s="357"/>
      <c r="M145" s="545"/>
      <c r="Q145" s="357"/>
    </row>
    <row r="146" spans="2:17">
      <c r="B146" s="309"/>
      <c r="M146" s="309"/>
    </row>
    <row r="147" spans="2:17">
      <c r="B147" s="545"/>
      <c r="M147" s="545"/>
    </row>
    <row r="148" spans="2:17">
      <c r="B148" s="545"/>
      <c r="M148" s="545"/>
    </row>
    <row r="149" spans="2:17">
      <c r="B149" s="545"/>
      <c r="E149" s="357"/>
      <c r="M149" s="545"/>
      <c r="P149" s="357"/>
    </row>
    <row r="150" spans="2:17">
      <c r="B150" s="309"/>
      <c r="M150" s="309"/>
    </row>
    <row r="151" spans="2:17">
      <c r="B151" s="545"/>
      <c r="M151" s="545"/>
    </row>
    <row r="152" spans="2:17">
      <c r="B152" s="545"/>
      <c r="M152" s="545"/>
    </row>
    <row r="153" spans="2:17">
      <c r="B153" s="545"/>
      <c r="E153" s="357"/>
      <c r="M153" s="545"/>
      <c r="P153" s="357"/>
    </row>
    <row r="154" spans="2:17">
      <c r="B154" s="545"/>
      <c r="E154" s="357"/>
      <c r="F154" s="357"/>
      <c r="M154" s="545"/>
      <c r="P154" s="357"/>
      <c r="Q154" s="357"/>
    </row>
    <row r="155" spans="2:17">
      <c r="B155" s="545"/>
      <c r="M155" s="545"/>
    </row>
    <row r="156" spans="2:17">
      <c r="B156" s="309"/>
      <c r="M156" s="309"/>
    </row>
    <row r="157" spans="2:17">
      <c r="B157" s="545"/>
      <c r="M157" s="545"/>
    </row>
    <row r="158" spans="2:17">
      <c r="B158" s="545"/>
      <c r="M158" s="545"/>
    </row>
    <row r="159" spans="2:17">
      <c r="B159" s="545"/>
      <c r="E159" s="357"/>
      <c r="F159" s="357"/>
      <c r="M159" s="545"/>
      <c r="P159" s="357"/>
      <c r="Q159" s="357"/>
    </row>
    <row r="160" spans="2:17">
      <c r="B160" s="545"/>
      <c r="M160" s="545"/>
    </row>
    <row r="161" spans="2:13">
      <c r="B161" s="545"/>
      <c r="M161" s="545"/>
    </row>
    <row r="162" spans="2:13">
      <c r="M162" s="545"/>
    </row>
    <row r="163" spans="2:13">
      <c r="M163" s="545"/>
    </row>
  </sheetData>
  <conditionalFormatting sqref="G1:G1048576">
    <cfRule type="cellIs" dxfId="8" priority="3" operator="greaterThan">
      <formula>0</formula>
    </cfRule>
  </conditionalFormatting>
  <conditionalFormatting sqref="R1:R123 R136:R1048576">
    <cfRule type="cellIs" dxfId="7" priority="2" operator="greaterThan">
      <formula>0</formula>
    </cfRule>
  </conditionalFormatting>
  <conditionalFormatting sqref="R124:R135">
    <cfRule type="cellIs" dxfId="6" priority="1" operator="greater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42"/>
  <sheetViews>
    <sheetView workbookViewId="0">
      <selection activeCell="G7" sqref="G4:H11"/>
    </sheetView>
  </sheetViews>
  <sheetFormatPr defaultRowHeight="13.2"/>
  <cols>
    <col min="1" max="1" width="15.33203125" bestFit="1" customWidth="1"/>
    <col min="2" max="2" width="23.33203125" bestFit="1" customWidth="1"/>
    <col min="3" max="3" width="34.33203125" style="546" customWidth="1"/>
    <col min="4" max="8" width="13.5546875" customWidth="1"/>
    <col min="10" max="10" width="15.33203125" bestFit="1" customWidth="1"/>
    <col min="11" max="11" width="23.33203125" bestFit="1" customWidth="1"/>
    <col min="12" max="12" width="34.33203125" style="546" customWidth="1"/>
    <col min="13" max="17" width="13.5546875" customWidth="1"/>
  </cols>
  <sheetData>
    <row r="1" spans="1:17" ht="14.4">
      <c r="A1" s="403" t="s">
        <v>267</v>
      </c>
      <c r="E1" s="428"/>
      <c r="F1" s="1"/>
      <c r="J1" s="403" t="s">
        <v>365</v>
      </c>
      <c r="N1" s="428"/>
      <c r="O1" s="1"/>
    </row>
    <row r="2" spans="1:17" ht="28.8">
      <c r="A2" s="765" t="s">
        <v>254</v>
      </c>
      <c r="B2" s="765" t="s">
        <v>255</v>
      </c>
      <c r="C2" s="766" t="s">
        <v>256</v>
      </c>
      <c r="D2" s="429" t="s">
        <v>257</v>
      </c>
      <c r="E2" s="420" t="s">
        <v>258</v>
      </c>
      <c r="F2" s="430" t="s">
        <v>259</v>
      </c>
      <c r="G2" s="420" t="s">
        <v>260</v>
      </c>
      <c r="H2" s="420" t="s">
        <v>261</v>
      </c>
      <c r="J2" s="765" t="s">
        <v>254</v>
      </c>
      <c r="K2" s="765" t="s">
        <v>255</v>
      </c>
      <c r="L2" s="764" t="s">
        <v>256</v>
      </c>
      <c r="M2" s="429" t="s">
        <v>257</v>
      </c>
      <c r="N2" s="420" t="s">
        <v>258</v>
      </c>
      <c r="O2" s="430" t="s">
        <v>259</v>
      </c>
      <c r="P2" s="420" t="s">
        <v>260</v>
      </c>
      <c r="Q2" s="420" t="s">
        <v>261</v>
      </c>
    </row>
    <row r="3" spans="1:17" ht="14.4">
      <c r="A3" s="765"/>
      <c r="B3" s="765"/>
      <c r="C3" s="767"/>
      <c r="D3" s="429" t="s">
        <v>780</v>
      </c>
      <c r="E3" s="429" t="str">
        <f>+D3</f>
        <v>MARET</v>
      </c>
      <c r="F3" s="429" t="str">
        <f>+E3</f>
        <v>MARET</v>
      </c>
      <c r="G3" s="429" t="str">
        <f>+F3</f>
        <v>MARET</v>
      </c>
      <c r="H3" s="429" t="str">
        <f>+G3</f>
        <v>MARET</v>
      </c>
      <c r="J3" s="765"/>
      <c r="K3" s="765"/>
      <c r="L3" s="764"/>
      <c r="M3" s="429" t="str">
        <f>+H3</f>
        <v>MARET</v>
      </c>
      <c r="N3" s="429" t="str">
        <f>+M3</f>
        <v>MARET</v>
      </c>
      <c r="O3" s="429" t="str">
        <f>+N3</f>
        <v>MARET</v>
      </c>
      <c r="P3" s="429" t="str">
        <f>+O3</f>
        <v>MARET</v>
      </c>
      <c r="Q3" s="429" t="str">
        <f>+P3</f>
        <v>MARET</v>
      </c>
    </row>
    <row r="4" spans="1:17" ht="14.4">
      <c r="A4" s="768" t="s">
        <v>262</v>
      </c>
      <c r="B4" s="508" t="s">
        <v>297</v>
      </c>
      <c r="C4" s="547"/>
      <c r="D4" s="7">
        <f>SUMIFS(Sheet1!$C$2:$C$180,Sheet1!$F$2:$F$180,B4,Sheet1!$E$2:$E$180,C4)</f>
        <v>0</v>
      </c>
      <c r="E4" s="7">
        <f>D4/Sheet1!$I$9*Sheet1!$I$10</f>
        <v>0</v>
      </c>
      <c r="F4" s="431">
        <f>D4/Sheet1!$I$9*Sheet1!$I$11</f>
        <v>0</v>
      </c>
      <c r="G4" s="509">
        <f>F4</f>
        <v>0</v>
      </c>
      <c r="H4" s="769">
        <f>SUM(G4:G11)</f>
        <v>2.3599814189192162E-2</v>
      </c>
      <c r="J4" s="768" t="s">
        <v>262</v>
      </c>
      <c r="K4" s="508" t="s">
        <v>297</v>
      </c>
      <c r="L4" s="547"/>
      <c r="M4" s="7">
        <f>SUMIFS(Sheet1!$N$2:$N$180,Sheet1!$Q$2:$Q$180,K4,Sheet1!$P$2:$P$180,L4)</f>
        <v>0</v>
      </c>
      <c r="N4" s="7">
        <f>M4/Sheet1!$T$9*Sheet1!$T$10</f>
        <v>0</v>
      </c>
      <c r="O4" s="431">
        <f>M4/Sheet1!$T$9*Sheet1!$T$11</f>
        <v>0</v>
      </c>
      <c r="P4" s="509">
        <f>O4</f>
        <v>0</v>
      </c>
      <c r="Q4" s="769">
        <f>SUM(P4:P11)</f>
        <v>5.0458251431523557E-3</v>
      </c>
    </row>
    <row r="5" spans="1:17" ht="14.4">
      <c r="A5" s="768"/>
      <c r="B5" s="508" t="s">
        <v>253</v>
      </c>
      <c r="C5" s="547"/>
      <c r="D5" s="7">
        <f>SUMIFS(Sheet1!$C$2:$C$180,Sheet1!$F$2:$F$180,B5,Sheet1!$E$2:$E$180,C5)</f>
        <v>0</v>
      </c>
      <c r="E5" s="7">
        <f>D5/Sheet1!$I$9*Sheet1!$I$10</f>
        <v>0</v>
      </c>
      <c r="F5" s="431">
        <f>D5/Sheet1!$I$9*Sheet1!$I$11</f>
        <v>0</v>
      </c>
      <c r="G5" s="548">
        <f t="shared" ref="G5:G14" si="0">F5</f>
        <v>0</v>
      </c>
      <c r="H5" s="768"/>
      <c r="J5" s="768"/>
      <c r="K5" s="508" t="s">
        <v>253</v>
      </c>
      <c r="L5" s="547"/>
      <c r="M5" s="7">
        <f>SUMIFS(Sheet1!$N$2:$N$180,Sheet1!$Q$2:$Q$180,K5,Sheet1!$P$2:$P$180,L5)</f>
        <v>0</v>
      </c>
      <c r="N5" s="7">
        <f>M5/Sheet1!$T$9*Sheet1!$T$10</f>
        <v>0</v>
      </c>
      <c r="O5" s="431">
        <f>M5/Sheet1!$T$9*Sheet1!$T$11</f>
        <v>0</v>
      </c>
      <c r="P5" s="548">
        <f t="shared" ref="P5:P14" si="1">O5</f>
        <v>0</v>
      </c>
      <c r="Q5" s="768"/>
    </row>
    <row r="6" spans="1:17" ht="14.4">
      <c r="A6" s="768"/>
      <c r="B6" s="770" t="s">
        <v>302</v>
      </c>
      <c r="C6" s="547" t="s">
        <v>758</v>
      </c>
      <c r="D6" s="7">
        <f>SUMIFS(Sheet1!$C$2:$C$180,Sheet1!$F$2:$F$180,B6,Sheet1!$E$2:$E$180,C6)</f>
        <v>75</v>
      </c>
      <c r="E6" s="7">
        <f>D6/Sheet1!$I$9*Sheet1!$I$10</f>
        <v>2.7963583864678605</v>
      </c>
      <c r="F6" s="431">
        <f>D6/Sheet1!$I$9*Sheet1!$I$11</f>
        <v>1.6511064031617653E-3</v>
      </c>
      <c r="G6" s="548">
        <f t="shared" si="0"/>
        <v>1.6511064031617653E-3</v>
      </c>
      <c r="H6" s="768"/>
      <c r="J6" s="768"/>
      <c r="K6" s="770" t="s">
        <v>302</v>
      </c>
      <c r="L6" s="547" t="s">
        <v>758</v>
      </c>
      <c r="M6" s="7">
        <f>SUMIFS(Sheet1!$N$2:$N$180,Sheet1!$Q$2:$Q$180,K6,Sheet1!$P$2:$P$180,L6)</f>
        <v>75</v>
      </c>
      <c r="N6" s="7">
        <f>M6/Sheet1!$T$9*Sheet1!$T$10</f>
        <v>2.8208739078773535</v>
      </c>
      <c r="O6" s="431">
        <f>M6/Sheet1!$T$9*Sheet1!$T$11</f>
        <v>1.6970263934368911E-3</v>
      </c>
      <c r="P6" s="548">
        <f t="shared" si="1"/>
        <v>1.6970263934368911E-3</v>
      </c>
      <c r="Q6" s="768"/>
    </row>
    <row r="7" spans="1:17" ht="14.4">
      <c r="A7" s="768"/>
      <c r="B7" s="771"/>
      <c r="C7" s="547"/>
      <c r="D7" s="7">
        <f>SUMIFS(Sheet1!$C$2:$C$180,Sheet1!$F$2:$F$180,B6,Sheet1!$E$2:$E$180,C7)</f>
        <v>0</v>
      </c>
      <c r="E7" s="7">
        <f>D7/Sheet1!$I$9*Sheet1!$I$10</f>
        <v>0</v>
      </c>
      <c r="F7" s="431">
        <f>D7/Sheet1!$I$9*Sheet1!$I$11</f>
        <v>0</v>
      </c>
      <c r="G7" s="548">
        <f t="shared" si="0"/>
        <v>0</v>
      </c>
      <c r="H7" s="768"/>
      <c r="J7" s="768"/>
      <c r="K7" s="771"/>
      <c r="L7" s="547"/>
      <c r="M7" s="7">
        <f>SUMIFS(Sheet1!$N$2:$N$180,Sheet1!$Q$2:$Q$180,K6,Sheet1!$P$2:$P$180,L7)</f>
        <v>0</v>
      </c>
      <c r="N7" s="7">
        <f>M7/Sheet1!$T$9*Sheet1!$T$10</f>
        <v>0</v>
      </c>
      <c r="O7" s="431">
        <f>M7/Sheet1!$T$9*Sheet1!$T$11</f>
        <v>0</v>
      </c>
      <c r="P7" s="548">
        <f t="shared" si="1"/>
        <v>0</v>
      </c>
      <c r="Q7" s="768"/>
    </row>
    <row r="8" spans="1:17">
      <c r="A8" s="768"/>
      <c r="B8" s="770" t="s">
        <v>301</v>
      </c>
      <c r="C8" s="547" t="s">
        <v>759</v>
      </c>
      <c r="D8" s="7">
        <f>SUMIFS(Sheet1!$C$2:$C$180,Sheet1!$F$2:$F$180,B8,Sheet1!$E$2:$E$180,C8)</f>
        <v>997</v>
      </c>
      <c r="E8" s="7">
        <f>D8/Sheet1!$I$9*Sheet1!$I$10</f>
        <v>37.172924150779423</v>
      </c>
      <c r="F8" s="431">
        <f>D8/Sheet1!$I$9*Sheet1!$I$11</f>
        <v>2.1948707786030398E-2</v>
      </c>
      <c r="G8" s="549">
        <f t="shared" si="0"/>
        <v>2.1948707786030398E-2</v>
      </c>
      <c r="H8" s="768"/>
      <c r="J8" s="768"/>
      <c r="K8" s="770" t="s">
        <v>301</v>
      </c>
      <c r="L8" s="547" t="s">
        <v>759</v>
      </c>
      <c r="M8" s="7">
        <f>SUMIFS(Sheet1!$N$2:$N$180,Sheet1!$Q$2:$Q$180,K8,Sheet1!$P$2:$P$180,L8)</f>
        <v>148</v>
      </c>
      <c r="N8" s="7">
        <f>M8/Sheet1!$T$9*Sheet1!$T$10</f>
        <v>5.5665245115446433</v>
      </c>
      <c r="O8" s="431">
        <f>M8/Sheet1!$T$9*Sheet1!$T$11</f>
        <v>3.3487987497154647E-3</v>
      </c>
      <c r="P8" s="549">
        <f t="shared" si="1"/>
        <v>3.3487987497154647E-3</v>
      </c>
      <c r="Q8" s="768"/>
    </row>
    <row r="9" spans="1:17">
      <c r="A9" s="768"/>
      <c r="B9" s="771"/>
      <c r="C9" s="547"/>
      <c r="D9" s="7">
        <f>SUMIFS(Sheet1!$C$2:$C$180,Sheet1!$F$2:$F$180,B8,Sheet1!$E$2:$E$180,C9)</f>
        <v>0</v>
      </c>
      <c r="E9" s="7">
        <f>D9/Sheet1!$I$9*Sheet1!$I$10</f>
        <v>0</v>
      </c>
      <c r="F9" s="431">
        <f>D9/Sheet1!$I$9*Sheet1!$I$11</f>
        <v>0</v>
      </c>
      <c r="G9" s="549">
        <f t="shared" si="0"/>
        <v>0</v>
      </c>
      <c r="H9" s="768"/>
      <c r="J9" s="768"/>
      <c r="K9" s="771"/>
      <c r="L9" s="547"/>
      <c r="M9" s="7">
        <f>SUMIFS(Sheet1!$N$2:$N$180,Sheet1!$Q$2:$Q$180,K8,Sheet1!$P$2:$P$180,L9)</f>
        <v>0</v>
      </c>
      <c r="N9" s="7">
        <f>M9/Sheet1!$T$9*Sheet1!$T$10</f>
        <v>0</v>
      </c>
      <c r="O9" s="431">
        <f>M9/Sheet1!$T$9*Sheet1!$T$11</f>
        <v>0</v>
      </c>
      <c r="P9" s="549">
        <f t="shared" si="1"/>
        <v>0</v>
      </c>
      <c r="Q9" s="768"/>
    </row>
    <row r="10" spans="1:17" ht="15" customHeight="1">
      <c r="A10" s="768"/>
      <c r="B10" s="770" t="s">
        <v>361</v>
      </c>
      <c r="C10" s="547"/>
      <c r="D10" s="7">
        <f>SUMIFS(Sheet1!$C$2:$C$180,Sheet1!$F$2:$F$180,B10,Sheet1!$E$2:$E$180,C10)</f>
        <v>0</v>
      </c>
      <c r="E10" s="7">
        <f>D10/Sheet1!$I$9*Sheet1!$I$10</f>
        <v>0</v>
      </c>
      <c r="F10" s="431">
        <f>D10/Sheet1!$I$9*Sheet1!$I$11</f>
        <v>0</v>
      </c>
      <c r="G10" s="549">
        <f t="shared" si="0"/>
        <v>0</v>
      </c>
      <c r="H10" s="768"/>
      <c r="J10" s="768"/>
      <c r="K10" s="770" t="s">
        <v>361</v>
      </c>
      <c r="L10" s="547"/>
      <c r="M10" s="7">
        <f>SUMIFS(Sheet1!$N$2:$N$180,Sheet1!$Q$2:$Q$180,K10,Sheet1!$P$2:$P$180,L10)</f>
        <v>0</v>
      </c>
      <c r="N10" s="7">
        <f>M10/Sheet1!$T$9*Sheet1!$T$10</f>
        <v>0</v>
      </c>
      <c r="O10" s="431">
        <f>M10/Sheet1!$T$9*Sheet1!$T$11</f>
        <v>0</v>
      </c>
      <c r="P10" s="549">
        <f t="shared" si="1"/>
        <v>0</v>
      </c>
      <c r="Q10" s="768"/>
    </row>
    <row r="11" spans="1:17" ht="15" customHeight="1">
      <c r="A11" s="768"/>
      <c r="B11" s="771"/>
      <c r="C11" s="547"/>
      <c r="D11" s="7">
        <f>SUMIFS(Sheet1!$C$2:$C$180,Sheet1!$F$2:$F$180,B10,Sheet1!$E$2:$E$180,C11)</f>
        <v>0</v>
      </c>
      <c r="E11" s="7">
        <f>D11/Sheet1!$I$9*Sheet1!$I$10</f>
        <v>0</v>
      </c>
      <c r="F11" s="431">
        <f>D11/Sheet1!$I$9*Sheet1!$I$11</f>
        <v>0</v>
      </c>
      <c r="G11" s="549">
        <f t="shared" si="0"/>
        <v>0</v>
      </c>
      <c r="H11" s="768"/>
      <c r="J11" s="768"/>
      <c r="K11" s="771"/>
      <c r="L11" s="547"/>
      <c r="M11" s="7">
        <f>SUMIFS(Sheet1!$N$2:$N$180,Sheet1!$Q$2:$Q$180,K10,Sheet1!$P$2:$P$180,L11)</f>
        <v>0</v>
      </c>
      <c r="N11" s="7">
        <f>M11/Sheet1!$T$9*Sheet1!$T$10</f>
        <v>0</v>
      </c>
      <c r="O11" s="431">
        <f>M11/Sheet1!$T$9*Sheet1!$T$11</f>
        <v>0</v>
      </c>
      <c r="P11" s="549">
        <f t="shared" si="1"/>
        <v>0</v>
      </c>
      <c r="Q11" s="768"/>
    </row>
    <row r="12" spans="1:17" ht="14.4">
      <c r="A12" s="768" t="s">
        <v>10</v>
      </c>
      <c r="B12" s="508" t="s">
        <v>157</v>
      </c>
      <c r="C12" s="547" t="s">
        <v>157</v>
      </c>
      <c r="D12" s="7"/>
      <c r="E12" s="7">
        <f>+Sheet1!I2</f>
        <v>3.81</v>
      </c>
      <c r="F12" s="431">
        <f>E12/Sheet1!$I$8</f>
        <v>2.2496098591970044E-3</v>
      </c>
      <c r="G12" s="548">
        <f t="shared" si="0"/>
        <v>2.2496098591970044E-3</v>
      </c>
      <c r="H12" s="772">
        <f>SUM(G12:G13)</f>
        <v>2.0245703306045418E-2</v>
      </c>
      <c r="J12" s="768" t="s">
        <v>10</v>
      </c>
      <c r="K12" s="508" t="s">
        <v>157</v>
      </c>
      <c r="L12" s="547" t="s">
        <v>157</v>
      </c>
      <c r="M12" s="7"/>
      <c r="N12" s="7">
        <f>+Sheet1!T2</f>
        <v>3.81</v>
      </c>
      <c r="O12" s="431">
        <f>+Sheet1!U2</f>
        <v>2.2920806707946162E-3</v>
      </c>
      <c r="P12" s="548">
        <f t="shared" si="1"/>
        <v>2.2920806707946162E-3</v>
      </c>
      <c r="Q12" s="772">
        <f>SUM(P12:P13)</f>
        <v>2.0627925782203634E-2</v>
      </c>
    </row>
    <row r="13" spans="1:17" ht="14.4">
      <c r="A13" s="768"/>
      <c r="B13" s="508" t="s">
        <v>239</v>
      </c>
      <c r="C13" s="547" t="s">
        <v>263</v>
      </c>
      <c r="D13" s="7"/>
      <c r="E13" s="7">
        <f>+Sheet1!I3</f>
        <v>30.478669780086538</v>
      </c>
      <c r="F13" s="431">
        <f>E13/Sheet1!$I$8</f>
        <v>1.7996093446848414E-2</v>
      </c>
      <c r="G13" s="548">
        <f t="shared" si="0"/>
        <v>1.7996093446848414E-2</v>
      </c>
      <c r="H13" s="773"/>
      <c r="J13" s="768"/>
      <c r="K13" s="508" t="s">
        <v>239</v>
      </c>
      <c r="L13" s="547" t="s">
        <v>263</v>
      </c>
      <c r="M13" s="7"/>
      <c r="N13" s="7">
        <f>+Sheet1!T3</f>
        <v>30.478669780086538</v>
      </c>
      <c r="O13" s="431">
        <f>+Sheet1!U3</f>
        <v>1.8335845111409017E-2</v>
      </c>
      <c r="P13" s="548">
        <f t="shared" si="1"/>
        <v>1.8335845111409017E-2</v>
      </c>
      <c r="Q13" s="773"/>
    </row>
    <row r="14" spans="1:17" ht="14.4">
      <c r="A14" s="774" t="s">
        <v>12</v>
      </c>
      <c r="B14" s="508" t="s">
        <v>264</v>
      </c>
      <c r="C14" s="547" t="s">
        <v>264</v>
      </c>
      <c r="D14" s="7"/>
      <c r="E14" s="7">
        <f>+Sheet1!I4</f>
        <v>0.80220388039500379</v>
      </c>
      <c r="F14" s="431">
        <f>E14/Sheet1!$I$8</f>
        <v>4.7366030404795141E-4</v>
      </c>
      <c r="G14" s="548">
        <f t="shared" si="0"/>
        <v>4.7366030404795141E-4</v>
      </c>
      <c r="H14" s="776">
        <f>SUM(G14:G23)</f>
        <v>3.7203025793553002E-2</v>
      </c>
      <c r="J14" s="774" t="s">
        <v>12</v>
      </c>
      <c r="K14" s="508" t="s">
        <v>264</v>
      </c>
      <c r="L14" s="547" t="s">
        <v>264</v>
      </c>
      <c r="M14" s="7"/>
      <c r="N14" s="7">
        <f>+Sheet1!T4</f>
        <v>1.0382755777499333</v>
      </c>
      <c r="O14" s="431">
        <f>+Sheet1!U4</f>
        <v>6.2462241016239767E-4</v>
      </c>
      <c r="P14" s="548">
        <f t="shared" si="1"/>
        <v>6.2462241016239767E-4</v>
      </c>
      <c r="Q14" s="776">
        <f>SUM(P14:P23)</f>
        <v>3.8025733358481431E-2</v>
      </c>
    </row>
    <row r="15" spans="1:17" ht="14.4">
      <c r="A15" s="775"/>
      <c r="B15" s="508" t="s">
        <v>243</v>
      </c>
      <c r="C15" s="547" t="s">
        <v>243</v>
      </c>
      <c r="D15" s="7"/>
      <c r="E15" s="7">
        <f>+Sheet1!I5</f>
        <v>29.618948737866177</v>
      </c>
      <c r="F15" s="431">
        <f>E15/Sheet1!$I$8</f>
        <v>1.748847220465995E-2</v>
      </c>
      <c r="G15" s="548">
        <f>F15</f>
        <v>1.748847220465995E-2</v>
      </c>
      <c r="H15" s="776"/>
      <c r="J15" s="775"/>
      <c r="K15" s="508" t="s">
        <v>243</v>
      </c>
      <c r="L15" s="547" t="s">
        <v>243</v>
      </c>
      <c r="M15" s="7"/>
      <c r="N15" s="7">
        <f>+Sheet1!T5</f>
        <v>29.297231690511239</v>
      </c>
      <c r="O15" s="431">
        <f>+Sheet1!U5</f>
        <v>1.7625096710134461E-2</v>
      </c>
      <c r="P15" s="548">
        <f>O15</f>
        <v>1.7625096710134461E-2</v>
      </c>
      <c r="Q15" s="776"/>
    </row>
    <row r="16" spans="1:17">
      <c r="A16" s="775"/>
      <c r="B16" s="777" t="s">
        <v>251</v>
      </c>
      <c r="C16" s="547" t="s">
        <v>757</v>
      </c>
      <c r="D16" s="7">
        <f>SUMIFS(Sheet1!$C$2:$C$180,Sheet1!$F$2:$F$180,B16,Sheet1!$E$2:$E$180,C16)</f>
        <v>35</v>
      </c>
      <c r="E16" s="7">
        <f>D16/Sheet1!$I$9*Sheet1!$I$10</f>
        <v>1.3049672470183349</v>
      </c>
      <c r="F16" s="431">
        <f>D16/Sheet1!$I$9*Sheet1!$I$11</f>
        <v>7.7051632147549039E-4</v>
      </c>
      <c r="G16" s="778">
        <f>SUM(F16:F17)</f>
        <v>7.7051632147549039E-4</v>
      </c>
      <c r="H16" s="776"/>
      <c r="J16" s="775"/>
      <c r="K16" s="777" t="s">
        <v>251</v>
      </c>
      <c r="L16" s="547" t="s">
        <v>757</v>
      </c>
      <c r="M16" s="7">
        <f>SUMIFS(Sheet1!$N$2:$N$180,Sheet1!$Q$2:$Q$180,K16,Sheet1!$P$2:$P$180,L16)</f>
        <v>35</v>
      </c>
      <c r="N16" s="7">
        <f>M16/Sheet1!$T$9*Sheet1!$T$10</f>
        <v>1.3164078236760981</v>
      </c>
      <c r="O16" s="431">
        <f>M16/Sheet1!$T$9*Sheet1!$T$11</f>
        <v>7.9194565027054906E-4</v>
      </c>
      <c r="P16" s="778">
        <f>SUM(O16:O17)</f>
        <v>7.9194565027054906E-4</v>
      </c>
      <c r="Q16" s="776"/>
    </row>
    <row r="17" spans="1:17">
      <c r="A17" s="775"/>
      <c r="B17" s="777"/>
      <c r="C17" s="547"/>
      <c r="D17" s="7">
        <f>SUMIFS(Sheet1!$C$2:$C$180,Sheet1!$F$2:$F$180,B16,Sheet1!$E$2:$E$180,C17)</f>
        <v>0</v>
      </c>
      <c r="E17" s="7">
        <f>D17/Sheet1!$I$9*Sheet1!$I$10</f>
        <v>0</v>
      </c>
      <c r="F17" s="431">
        <f>D17/Sheet1!$I$9*Sheet1!$I$11</f>
        <v>0</v>
      </c>
      <c r="G17" s="778"/>
      <c r="H17" s="776"/>
      <c r="J17" s="775"/>
      <c r="K17" s="777"/>
      <c r="L17" s="547"/>
      <c r="M17" s="7">
        <f>SUMIFS(Sheet1!$N$2:$N$180,Sheet1!$Q$2:$Q$180,K16,Sheet1!$P$2:$P$180,L17)</f>
        <v>0</v>
      </c>
      <c r="N17" s="7">
        <f>M17/Sheet1!$T$9*Sheet1!$T$10</f>
        <v>0</v>
      </c>
      <c r="O17" s="431">
        <f>M17/Sheet1!$T$9*Sheet1!$T$11</f>
        <v>0</v>
      </c>
      <c r="P17" s="778"/>
      <c r="Q17" s="776"/>
    </row>
    <row r="18" spans="1:17" ht="14.4">
      <c r="A18" s="775"/>
      <c r="B18" s="508" t="s">
        <v>242</v>
      </c>
      <c r="C18" s="547" t="s">
        <v>218</v>
      </c>
      <c r="D18" s="7">
        <f>SUMIFS(Sheet1!$C$2:$C$180,Sheet1!$F$2:$F$180,B18,Sheet1!$E$2:$E$180,C18)</f>
        <v>0</v>
      </c>
      <c r="E18" s="7">
        <f>D18/Sheet1!$I$9*Sheet1!$I$10</f>
        <v>0</v>
      </c>
      <c r="F18" s="431">
        <f>D18/Sheet1!$I$9*Sheet1!$I$11</f>
        <v>0</v>
      </c>
      <c r="G18" s="548">
        <f>F18</f>
        <v>0</v>
      </c>
      <c r="H18" s="776"/>
      <c r="J18" s="775"/>
      <c r="K18" s="508" t="s">
        <v>242</v>
      </c>
      <c r="L18" s="547" t="s">
        <v>218</v>
      </c>
      <c r="M18" s="7">
        <f>SUMIFS(Sheet1!$N$2:$N$180,Sheet1!$Q$2:$Q$180,K18,Sheet1!$P$2:$P$180,L18)</f>
        <v>0</v>
      </c>
      <c r="N18" s="7">
        <f>M18/Sheet1!$T$9*Sheet1!$T$10</f>
        <v>0</v>
      </c>
      <c r="O18" s="431">
        <f>M18/Sheet1!$T$9*Sheet1!$T$11</f>
        <v>0</v>
      </c>
      <c r="P18" s="548">
        <f>O18</f>
        <v>0</v>
      </c>
      <c r="Q18" s="776"/>
    </row>
    <row r="19" spans="1:17">
      <c r="A19" s="775"/>
      <c r="B19" s="770" t="s">
        <v>237</v>
      </c>
      <c r="C19" s="547" t="s">
        <v>238</v>
      </c>
      <c r="D19" s="7">
        <f>SUMIFS(Sheet1!$C$2:$C$180,Sheet1!$F$2:$F$180,B19,Sheet1!$E$2:$E$180,C19)</f>
        <v>87</v>
      </c>
      <c r="E19" s="7">
        <f>D19/Sheet1!$I$9*Sheet1!$I$10</f>
        <v>3.243775728302718</v>
      </c>
      <c r="F19" s="431">
        <f>D19/Sheet1!$I$9*Sheet1!$I$11</f>
        <v>1.9152834276676474E-3</v>
      </c>
      <c r="G19" s="780">
        <f>SUM(F19:F23)</f>
        <v>1.8470376963369613E-2</v>
      </c>
      <c r="H19" s="776"/>
      <c r="J19" s="775"/>
      <c r="K19" s="770" t="s">
        <v>237</v>
      </c>
      <c r="L19" s="547" t="s">
        <v>238</v>
      </c>
      <c r="M19" s="7">
        <f>SUMIFS(Sheet1!$N$2:$N$180,Sheet1!$Q$2:$Q$180,$K$19,Sheet1!$P$2:$P$180,L19)</f>
        <v>87</v>
      </c>
      <c r="N19" s="7">
        <f>M19/Sheet1!$T$9*Sheet1!$T$10</f>
        <v>3.2722137331377299</v>
      </c>
      <c r="O19" s="431">
        <f>M19/Sheet1!$T$9*Sheet1!$T$11</f>
        <v>1.9685506163867935E-3</v>
      </c>
      <c r="P19" s="780">
        <f>SUM(O19:O23)</f>
        <v>1.8984068587914019E-2</v>
      </c>
      <c r="Q19" s="776"/>
    </row>
    <row r="20" spans="1:17">
      <c r="A20" s="775"/>
      <c r="B20" s="779"/>
      <c r="C20" s="547" t="s">
        <v>240</v>
      </c>
      <c r="D20" s="7">
        <f>SUMIFS(Sheet1!$C$2:$C$180,Sheet1!$F$2:$F$180,B19,Sheet1!$E$2:$E$180,C20)</f>
        <v>706</v>
      </c>
      <c r="E20" s="7">
        <f>D20/Sheet1!$I$9*Sheet1!$I$10</f>
        <v>26.323053611284124</v>
      </c>
      <c r="F20" s="431">
        <f>D20/Sheet1!$I$9*Sheet1!$I$11</f>
        <v>1.5542414941762749E-2</v>
      </c>
      <c r="G20" s="781"/>
      <c r="H20" s="776"/>
      <c r="J20" s="775"/>
      <c r="K20" s="779"/>
      <c r="L20" s="547" t="s">
        <v>240</v>
      </c>
      <c r="M20" s="7">
        <f>SUMIFS(Sheet1!$N$2:$N$180,Sheet1!$Q$2:$Q$180,$K$19,Sheet1!$P$2:$P$180,L20)</f>
        <v>706</v>
      </c>
      <c r="N20" s="7">
        <f>M20/Sheet1!$T$9*Sheet1!$T$10</f>
        <v>26.553826386152153</v>
      </c>
      <c r="O20" s="431">
        <f>M20/Sheet1!$T$9*Sheet1!$T$11</f>
        <v>1.5974675116885936E-2</v>
      </c>
      <c r="P20" s="781"/>
      <c r="Q20" s="776"/>
    </row>
    <row r="21" spans="1:17">
      <c r="A21" s="775"/>
      <c r="B21" s="779"/>
      <c r="C21" s="547" t="s">
        <v>236</v>
      </c>
      <c r="D21" s="7">
        <f>SUMIFS(Sheet1!$C$2:$C$180,Sheet1!$F$2:$F$180,B19,Sheet1!$E$2:$E$180,C21)</f>
        <v>46</v>
      </c>
      <c r="E21" s="7">
        <f>D21/Sheet1!$I$9*Sheet1!$I$10</f>
        <v>1.7150998103669544</v>
      </c>
      <c r="F21" s="431">
        <f>D21/Sheet1!$I$9*Sheet1!$I$11</f>
        <v>1.0126785939392161E-3</v>
      </c>
      <c r="G21" s="781"/>
      <c r="H21" s="776"/>
      <c r="J21" s="775"/>
      <c r="K21" s="779"/>
      <c r="L21" s="547" t="s">
        <v>236</v>
      </c>
      <c r="M21" s="7">
        <f>SUMIFS(Sheet1!$N$2:$N$180,Sheet1!$Q$2:$Q$180,$K$19,Sheet1!$P$2:$P$180,L21)</f>
        <v>46</v>
      </c>
      <c r="N21" s="7">
        <f>M21/Sheet1!$T$9*Sheet1!$T$10</f>
        <v>1.7301359968314434</v>
      </c>
      <c r="O21" s="431">
        <f>M21/Sheet1!$T$9*Sheet1!$T$11</f>
        <v>1.0408428546412932E-3</v>
      </c>
      <c r="P21" s="781"/>
      <c r="Q21" s="776"/>
    </row>
    <row r="22" spans="1:17">
      <c r="A22" s="775"/>
      <c r="B22" s="779"/>
      <c r="C22" s="547"/>
      <c r="D22" s="7">
        <f>SUMIFS(Sheet1!$C$2:$C$180,Sheet1!$F$2:$F$180,B19,Sheet1!$E$2:$E$180,C22)</f>
        <v>0</v>
      </c>
      <c r="E22" s="7">
        <f>D22/Sheet1!$I$9*Sheet1!$I$10</f>
        <v>0</v>
      </c>
      <c r="F22" s="431">
        <f>D22/Sheet1!$I$9*Sheet1!$I$11</f>
        <v>0</v>
      </c>
      <c r="G22" s="781"/>
      <c r="H22" s="776"/>
      <c r="J22" s="775"/>
      <c r="K22" s="779"/>
      <c r="L22" s="547"/>
      <c r="M22" s="7">
        <f>SUMIFS(Sheet1!$N$2:$N$180,Sheet1!$Q$2:$Q$180,$K$19,Sheet1!$P$2:$P$180,L22)</f>
        <v>0</v>
      </c>
      <c r="N22" s="7">
        <f>M22/Sheet1!$T$9*Sheet1!$T$10</f>
        <v>0</v>
      </c>
      <c r="O22" s="431">
        <f>M22/Sheet1!$T$9*Sheet1!$T$11</f>
        <v>0</v>
      </c>
      <c r="P22" s="781"/>
      <c r="Q22" s="776"/>
    </row>
    <row r="23" spans="1:17">
      <c r="A23" s="775"/>
      <c r="B23" s="771"/>
      <c r="C23" s="547"/>
      <c r="D23" s="7">
        <f>SUMIFS(Sheet1!$C$2:$C$180,Sheet1!$F$2:$F$180,B19,Sheet1!$E$2:$E$180,C23)</f>
        <v>0</v>
      </c>
      <c r="E23" s="7">
        <f>D23/Sheet1!$I$9*Sheet1!$I$10</f>
        <v>0</v>
      </c>
      <c r="F23" s="431">
        <f>D23/Sheet1!$I$9*Sheet1!$I$11</f>
        <v>0</v>
      </c>
      <c r="G23" s="782"/>
      <c r="H23" s="776"/>
      <c r="J23" s="775"/>
      <c r="K23" s="771"/>
      <c r="L23" s="547"/>
      <c r="M23" s="7">
        <f>SUMIFS(Sheet1!$N$2:$N$180,Sheet1!$Q$2:$Q$180,$K$19,Sheet1!$P$2:$P$180,L23)</f>
        <v>0</v>
      </c>
      <c r="N23" s="7">
        <f>M23/Sheet1!$T$9*Sheet1!$T$10</f>
        <v>0</v>
      </c>
      <c r="O23" s="431">
        <f>M23/Sheet1!$T$9*Sheet1!$T$11</f>
        <v>0</v>
      </c>
      <c r="P23" s="782"/>
      <c r="Q23" s="776"/>
    </row>
    <row r="24" spans="1:17" ht="12.75" customHeight="1">
      <c r="A24" s="768" t="s">
        <v>265</v>
      </c>
      <c r="B24" s="777" t="s">
        <v>249</v>
      </c>
      <c r="C24" s="550"/>
      <c r="D24" s="7">
        <f>SUMIFS(Sheet1!$C$2:$C$180,Sheet1!$F$2:$F$180,B24,Sheet1!$E$2:$E$180,C24)</f>
        <v>0</v>
      </c>
      <c r="E24" s="7">
        <f>D24/Sheet1!$I$9*Sheet1!$I$10</f>
        <v>0</v>
      </c>
      <c r="F24" s="431">
        <f>D24/Sheet1!$I$9*Sheet1!$I$11</f>
        <v>0</v>
      </c>
      <c r="G24" s="778">
        <f>SUM(F24:F30)</f>
        <v>0</v>
      </c>
      <c r="H24" s="776">
        <f>SUM(G24:G37)</f>
        <v>0</v>
      </c>
      <c r="J24" s="768" t="s">
        <v>265</v>
      </c>
      <c r="K24" s="777" t="s">
        <v>249</v>
      </c>
      <c r="L24" s="550"/>
      <c r="M24" s="7">
        <f>SUMIFS(Sheet1!$N$2:$N$180,Sheet1!$Q$2:$Q$180,$K$24,Sheet1!$P$2:$P$180,L24)</f>
        <v>0</v>
      </c>
      <c r="N24" s="7">
        <f>M24/Sheet1!$T$9*Sheet1!$T$10</f>
        <v>0</v>
      </c>
      <c r="O24" s="431">
        <f>M24/Sheet1!$T$9*Sheet1!$T$11</f>
        <v>0</v>
      </c>
      <c r="P24" s="778">
        <f>SUM(O24:O30)</f>
        <v>0</v>
      </c>
      <c r="Q24" s="776">
        <f>SUM(P24:P37)</f>
        <v>0</v>
      </c>
    </row>
    <row r="25" spans="1:17" ht="12.75" customHeight="1">
      <c r="A25" s="768"/>
      <c r="B25" s="777"/>
      <c r="C25" s="550"/>
      <c r="D25" s="7">
        <f>SUMIFS(Sheet1!$C$2:$C$180,Sheet1!$F$2:$F$180,B24,Sheet1!$E$2:$E$180,C25)</f>
        <v>0</v>
      </c>
      <c r="E25" s="7">
        <f>D25/Sheet1!$I$9*Sheet1!$I$10</f>
        <v>0</v>
      </c>
      <c r="F25" s="431">
        <f>D25/Sheet1!$I$9*Sheet1!$I$11</f>
        <v>0</v>
      </c>
      <c r="G25" s="778"/>
      <c r="H25" s="776"/>
      <c r="J25" s="768"/>
      <c r="K25" s="777"/>
      <c r="L25" s="550"/>
      <c r="M25" s="7">
        <f>SUMIFS(Sheet1!$N$2:$N$180,Sheet1!$Q$2:$Q$180,$K$24,Sheet1!$P$2:$P$180,L25)</f>
        <v>0</v>
      </c>
      <c r="N25" s="7">
        <f>M25/Sheet1!$T$9*Sheet1!$T$10</f>
        <v>0</v>
      </c>
      <c r="O25" s="431">
        <f>M25/Sheet1!$T$9*Sheet1!$T$11</f>
        <v>0</v>
      </c>
      <c r="P25" s="778"/>
      <c r="Q25" s="776"/>
    </row>
    <row r="26" spans="1:17" ht="12.75" customHeight="1">
      <c r="A26" s="768"/>
      <c r="B26" s="777"/>
      <c r="C26" s="510"/>
      <c r="D26" s="7">
        <f>SUMIFS(Sheet1!$C$2:$C$180,Sheet1!$F$2:$F$180,B24,Sheet1!$E$2:$E$180,C26)</f>
        <v>0</v>
      </c>
      <c r="E26" s="7">
        <f>D26/Sheet1!$I$9*Sheet1!$I$10</f>
        <v>0</v>
      </c>
      <c r="F26" s="431">
        <f>D26/Sheet1!$I$9*Sheet1!$I$11</f>
        <v>0</v>
      </c>
      <c r="G26" s="778"/>
      <c r="H26" s="776"/>
      <c r="J26" s="768"/>
      <c r="K26" s="777"/>
      <c r="L26" s="510"/>
      <c r="M26" s="7">
        <f>SUMIFS(Sheet1!$N$2:$N$180,Sheet1!$Q$2:$Q$180,$K$24,Sheet1!$P$2:$P$180,L26)</f>
        <v>0</v>
      </c>
      <c r="N26" s="7">
        <f>M26/Sheet1!$T$9*Sheet1!$T$10</f>
        <v>0</v>
      </c>
      <c r="O26" s="431">
        <f>M26/Sheet1!$T$9*Sheet1!$T$11</f>
        <v>0</v>
      </c>
      <c r="P26" s="778"/>
      <c r="Q26" s="776"/>
    </row>
    <row r="27" spans="1:17" ht="12.75" customHeight="1">
      <c r="A27" s="768"/>
      <c r="B27" s="777"/>
      <c r="D27" s="7">
        <f>SUMIFS(Sheet1!$C$2:$C$180,Sheet1!$F$2:$F$180,B24,Sheet1!$E$2:$E$180,C27)</f>
        <v>0</v>
      </c>
      <c r="E27" s="7">
        <f>D27/Sheet1!$I$9*Sheet1!$I$10</f>
        <v>0</v>
      </c>
      <c r="F27" s="431">
        <f>D27/Sheet1!$I$9*Sheet1!$I$11</f>
        <v>0</v>
      </c>
      <c r="G27" s="778"/>
      <c r="H27" s="776"/>
      <c r="J27" s="768"/>
      <c r="K27" s="777"/>
      <c r="M27" s="7">
        <f>SUMIFS(Sheet1!$N$2:$N$180,Sheet1!$Q$2:$Q$180,$K$24,Sheet1!$P$2:$P$180,L27)</f>
        <v>0</v>
      </c>
      <c r="N27" s="7">
        <f>M27/Sheet1!$T$9*Sheet1!$T$10</f>
        <v>0</v>
      </c>
      <c r="O27" s="431">
        <f>M27/Sheet1!$T$9*Sheet1!$T$11</f>
        <v>0</v>
      </c>
      <c r="P27" s="778"/>
      <c r="Q27" s="776"/>
    </row>
    <row r="28" spans="1:17" ht="12.75" customHeight="1">
      <c r="A28" s="768"/>
      <c r="B28" s="777"/>
      <c r="C28" s="547"/>
      <c r="D28" s="7">
        <f>SUMIFS(Sheet1!$C$2:$C$180,Sheet1!$F$2:$F$180,B24,Sheet1!$E$2:$E$180,C28)</f>
        <v>0</v>
      </c>
      <c r="E28" s="7">
        <f>D28/Sheet1!$I$9*Sheet1!$I$10</f>
        <v>0</v>
      </c>
      <c r="F28" s="431">
        <f>D28/Sheet1!$I$9*Sheet1!$I$11</f>
        <v>0</v>
      </c>
      <c r="G28" s="778"/>
      <c r="H28" s="776"/>
      <c r="J28" s="768"/>
      <c r="K28" s="777"/>
      <c r="L28" s="547"/>
      <c r="M28" s="7">
        <f>SUMIFS(Sheet1!$N$2:$N$180,Sheet1!$Q$2:$Q$180,$K$24,Sheet1!$P$2:$P$180,L28)</f>
        <v>0</v>
      </c>
      <c r="N28" s="7">
        <f>M28/Sheet1!$T$9*Sheet1!$T$10</f>
        <v>0</v>
      </c>
      <c r="O28" s="431">
        <f>M28/Sheet1!$T$9*Sheet1!$T$11</f>
        <v>0</v>
      </c>
      <c r="P28" s="778"/>
      <c r="Q28" s="776"/>
    </row>
    <row r="29" spans="1:17" ht="12.75" customHeight="1">
      <c r="A29" s="768"/>
      <c r="B29" s="777"/>
      <c r="C29" s="547"/>
      <c r="D29" s="7">
        <f>SUMIFS(Sheet1!$C$2:$C$180,Sheet1!$F$2:$F$180,B24,Sheet1!$E$2:$E$180,C29)</f>
        <v>0</v>
      </c>
      <c r="E29" s="7">
        <f>D29/Sheet1!$I$9*Sheet1!$I$10</f>
        <v>0</v>
      </c>
      <c r="F29" s="431">
        <f>D29/Sheet1!$I$9*Sheet1!$I$11</f>
        <v>0</v>
      </c>
      <c r="G29" s="778"/>
      <c r="H29" s="776"/>
      <c r="J29" s="768"/>
      <c r="K29" s="777"/>
      <c r="L29" s="547"/>
      <c r="M29" s="7">
        <f>SUMIFS(Sheet1!$N$2:$N$180,Sheet1!$Q$2:$Q$180,$K$24,Sheet1!$P$2:$P$180,L29)</f>
        <v>0</v>
      </c>
      <c r="N29" s="7">
        <f>M29/Sheet1!$T$9*Sheet1!$T$10</f>
        <v>0</v>
      </c>
      <c r="O29" s="431">
        <f>M29/Sheet1!$T$9*Sheet1!$T$11</f>
        <v>0</v>
      </c>
      <c r="P29" s="778"/>
      <c r="Q29" s="776"/>
    </row>
    <row r="30" spans="1:17" ht="12.75" customHeight="1">
      <c r="A30" s="768"/>
      <c r="B30" s="777"/>
      <c r="C30" s="547"/>
      <c r="D30" s="7">
        <f>SUMIFS(Sheet1!$C$2:$C$180,Sheet1!$F$2:$F$180,B24,Sheet1!$E$2:$E$180,C30)</f>
        <v>0</v>
      </c>
      <c r="E30" s="7">
        <f>D30/Sheet1!$I$9*Sheet1!$I$10</f>
        <v>0</v>
      </c>
      <c r="F30" s="431">
        <f>D30/Sheet1!$I$9*Sheet1!$I$11</f>
        <v>0</v>
      </c>
      <c r="G30" s="778"/>
      <c r="H30" s="776"/>
      <c r="J30" s="768"/>
      <c r="K30" s="777"/>
      <c r="L30" s="547"/>
      <c r="M30" s="7">
        <f>SUMIFS(Sheet1!$N$2:$N$180,Sheet1!$Q$2:$Q$180,$K$24,Sheet1!$P$2:$P$180,L30)</f>
        <v>0</v>
      </c>
      <c r="N30" s="7">
        <f>M30/Sheet1!$T$9*Sheet1!$T$10</f>
        <v>0</v>
      </c>
      <c r="O30" s="431">
        <f>M30/Sheet1!$T$9*Sheet1!$T$11</f>
        <v>0</v>
      </c>
      <c r="P30" s="778"/>
      <c r="Q30" s="776"/>
    </row>
    <row r="31" spans="1:17" ht="12.75" customHeight="1">
      <c r="A31" s="768"/>
      <c r="B31" s="770" t="s">
        <v>248</v>
      </c>
      <c r="D31" s="7">
        <f>SUMIFS(Sheet1!$C$2:$C$180,Sheet1!$F$2:$F$180,B31,Sheet1!$E$2:$E$180,C31)</f>
        <v>0</v>
      </c>
      <c r="E31" s="7">
        <f>D31/Sheet1!$I$9*Sheet1!$I$10</f>
        <v>0</v>
      </c>
      <c r="F31" s="431">
        <f>D31/Sheet1!$I$9*Sheet1!$I$11</f>
        <v>0</v>
      </c>
      <c r="G31" s="780">
        <f>SUM(F31:F32)</f>
        <v>0</v>
      </c>
      <c r="H31" s="776"/>
      <c r="J31" s="768"/>
      <c r="K31" s="770" t="s">
        <v>248</v>
      </c>
      <c r="M31" s="7">
        <f>SUMIFS(Sheet1!$N$2:$N$180,Sheet1!$Q$2:$Q$180,$K$31,Sheet1!$P$2:$P$180,L31)</f>
        <v>0</v>
      </c>
      <c r="N31" s="7">
        <f>M31/Sheet1!$T$9*Sheet1!$T$10</f>
        <v>0</v>
      </c>
      <c r="O31" s="431">
        <f>M31/Sheet1!$T$9*Sheet1!$T$11</f>
        <v>0</v>
      </c>
      <c r="P31" s="780">
        <f>SUM(O31:O32)</f>
        <v>0</v>
      </c>
      <c r="Q31" s="776"/>
    </row>
    <row r="32" spans="1:17" ht="12.75" customHeight="1">
      <c r="A32" s="768"/>
      <c r="B32" s="771"/>
      <c r="C32" s="547"/>
      <c r="D32" s="7">
        <f>SUMIFS(Sheet1!$C$2:$C$180,Sheet1!$F$2:$F$180,B31,Sheet1!$E$2:$E$180,C32)</f>
        <v>0</v>
      </c>
      <c r="E32" s="7">
        <f>D32/Sheet1!$I$9*Sheet1!$I$10</f>
        <v>0</v>
      </c>
      <c r="F32" s="431">
        <f>D32/Sheet1!$I$9*Sheet1!$I$11</f>
        <v>0</v>
      </c>
      <c r="G32" s="782"/>
      <c r="H32" s="776"/>
      <c r="J32" s="768"/>
      <c r="K32" s="771"/>
      <c r="L32" s="547"/>
      <c r="M32" s="7">
        <f>SUMIFS(Sheet1!$N$2:$N$180,Sheet1!$Q$2:$Q$180,$K$31,Sheet1!$P$2:$P$180,L32)</f>
        <v>0</v>
      </c>
      <c r="N32" s="7">
        <f>M32/Sheet1!$T$9*Sheet1!$T$10</f>
        <v>0</v>
      </c>
      <c r="O32" s="431">
        <f>M32/Sheet1!$T$9*Sheet1!$T$11</f>
        <v>0</v>
      </c>
      <c r="P32" s="782"/>
      <c r="Q32" s="776"/>
    </row>
    <row r="33" spans="1:17" ht="12.75" customHeight="1">
      <c r="A33" s="768"/>
      <c r="B33" s="777" t="s">
        <v>250</v>
      </c>
      <c r="C33" s="489"/>
      <c r="D33" s="7">
        <f>SUMIFS(Sheet1!$C$2:$C$180,Sheet1!$F$2:$F$180,B33,Sheet1!$E$2:$E$180,C33)</f>
        <v>0</v>
      </c>
      <c r="E33" s="7">
        <f>D33/Sheet1!$I$9*Sheet1!$I$10</f>
        <v>0</v>
      </c>
      <c r="F33" s="431">
        <f>D33/Sheet1!$I$9*Sheet1!$I$11</f>
        <v>0</v>
      </c>
      <c r="G33" s="778">
        <f>SUM(F33:F35)</f>
        <v>0</v>
      </c>
      <c r="H33" s="776"/>
      <c r="J33" s="768"/>
      <c r="K33" s="777" t="s">
        <v>250</v>
      </c>
      <c r="L33" s="489"/>
      <c r="M33" s="7">
        <f>SUMIFS(Sheet1!$N$2:$N$180,Sheet1!$Q$2:$Q$180,$K$33,Sheet1!$P$2:$P$180,L33)</f>
        <v>0</v>
      </c>
      <c r="N33" s="7">
        <f>M33/Sheet1!$T$9*Sheet1!$T$10</f>
        <v>0</v>
      </c>
      <c r="O33" s="431">
        <f>M33/Sheet1!$T$9*Sheet1!$T$11</f>
        <v>0</v>
      </c>
      <c r="P33" s="778">
        <f>SUM(O33:O35)</f>
        <v>0</v>
      </c>
      <c r="Q33" s="776"/>
    </row>
    <row r="34" spans="1:17" ht="12.75" customHeight="1">
      <c r="A34" s="768"/>
      <c r="B34" s="777"/>
      <c r="C34" s="547"/>
      <c r="D34" s="7">
        <f>SUMIFS(Sheet1!$C$2:$C$180,Sheet1!$F$2:$F$180,B33,Sheet1!$E$2:$E$180,C34)</f>
        <v>0</v>
      </c>
      <c r="E34" s="7">
        <f>D34/Sheet1!$I$9*Sheet1!$I$10</f>
        <v>0</v>
      </c>
      <c r="F34" s="431">
        <f>D34/Sheet1!$I$9*Sheet1!$I$11</f>
        <v>0</v>
      </c>
      <c r="G34" s="778"/>
      <c r="H34" s="776"/>
      <c r="J34" s="768"/>
      <c r="K34" s="777"/>
      <c r="L34" s="547"/>
      <c r="M34" s="7">
        <f>SUMIFS(Sheet1!$N$2:$N$180,Sheet1!$Q$2:$Q$180,$K$33,Sheet1!$P$2:$P$180,L34)</f>
        <v>0</v>
      </c>
      <c r="N34" s="7">
        <f>M34/Sheet1!$T$9*Sheet1!$T$10</f>
        <v>0</v>
      </c>
      <c r="O34" s="431">
        <f>M34/Sheet1!$T$9*Sheet1!$T$11</f>
        <v>0</v>
      </c>
      <c r="P34" s="778"/>
      <c r="Q34" s="776"/>
    </row>
    <row r="35" spans="1:17" ht="12.75" customHeight="1">
      <c r="A35" s="768"/>
      <c r="B35" s="777"/>
      <c r="C35" s="547"/>
      <c r="D35" s="7">
        <f>SUMIFS(Sheet1!$C$2:$C$180,Sheet1!$F$2:$F$180,B33,Sheet1!$E$2:$E$180,C35)</f>
        <v>0</v>
      </c>
      <c r="E35" s="7">
        <f>D35/Sheet1!$I$9*Sheet1!$I$10</f>
        <v>0</v>
      </c>
      <c r="F35" s="431">
        <f>D35/Sheet1!$I$9*Sheet1!$I$11</f>
        <v>0</v>
      </c>
      <c r="G35" s="778"/>
      <c r="H35" s="776"/>
      <c r="J35" s="768"/>
      <c r="K35" s="777"/>
      <c r="L35" s="547"/>
      <c r="M35" s="7">
        <f>SUMIFS(Sheet1!$N$2:$N$180,Sheet1!$Q$2:$Q$180,$K$33,Sheet1!$P$2:$P$180,L35)</f>
        <v>0</v>
      </c>
      <c r="N35" s="7">
        <f>M35/Sheet1!$T$9*Sheet1!$T$10</f>
        <v>0</v>
      </c>
      <c r="O35" s="431">
        <f>M35/Sheet1!$T$9*Sheet1!$T$11</f>
        <v>0</v>
      </c>
      <c r="P35" s="778"/>
      <c r="Q35" s="776"/>
    </row>
    <row r="36" spans="1:17" ht="12.75" customHeight="1">
      <c r="A36" s="768"/>
      <c r="B36" s="770" t="s">
        <v>266</v>
      </c>
      <c r="C36" s="547"/>
      <c r="D36" s="7">
        <f>SUMIFS(Sheet1!$C$2:$C$180,Sheet1!$F$2:$F$180,B36,Sheet1!$E$2:$E$180,C36)</f>
        <v>0</v>
      </c>
      <c r="E36" s="7">
        <f>D36/Sheet1!$I$9*Sheet1!$I$10</f>
        <v>0</v>
      </c>
      <c r="F36" s="431">
        <f>D36/Sheet1!$I$9*Sheet1!$I$11</f>
        <v>0</v>
      </c>
      <c r="G36" s="780">
        <f>SUM(F36:F37)</f>
        <v>0</v>
      </c>
      <c r="H36" s="776"/>
      <c r="J36" s="768"/>
      <c r="K36" s="770" t="s">
        <v>266</v>
      </c>
      <c r="L36" s="547"/>
      <c r="M36" s="7">
        <f>SUMIFS(Sheet1!$N$2:$N$180,Sheet1!$Q$2:$Q$180,$K$36,Sheet1!$P$2:$P$180,L36)</f>
        <v>0</v>
      </c>
      <c r="N36" s="7">
        <f>M36/Sheet1!$T$9*Sheet1!$T$10</f>
        <v>0</v>
      </c>
      <c r="O36" s="431">
        <f>M36/Sheet1!$T$9*Sheet1!$T$11</f>
        <v>0</v>
      </c>
      <c r="P36" s="780">
        <f>SUM(O36:O37)</f>
        <v>0</v>
      </c>
      <c r="Q36" s="776"/>
    </row>
    <row r="37" spans="1:17" ht="12.75" customHeight="1">
      <c r="A37" s="768"/>
      <c r="B37" s="771"/>
      <c r="C37" s="547"/>
      <c r="D37" s="7">
        <f>SUMIFS(Sheet1!$C$2:$C$180,Sheet1!$F$2:$F$180,B36,Sheet1!$E$2:$E$180,C37)</f>
        <v>0</v>
      </c>
      <c r="E37" s="7">
        <f>D37/Sheet1!$I$9*Sheet1!$I$10</f>
        <v>0</v>
      </c>
      <c r="F37" s="431">
        <f>D37/Sheet1!$I$9*Sheet1!$I$11</f>
        <v>0</v>
      </c>
      <c r="G37" s="782"/>
      <c r="H37" s="776"/>
      <c r="J37" s="768"/>
      <c r="K37" s="771"/>
      <c r="L37" s="547"/>
      <c r="M37" s="7">
        <f>SUMIFS(Sheet1!$N$2:$N$180,Sheet1!$Q$2:$Q$180,$K$36,Sheet1!$P$2:$P$180,L37)</f>
        <v>0</v>
      </c>
      <c r="N37" s="7">
        <f>M37/Sheet1!$T$9*Sheet1!$T$10</f>
        <v>0</v>
      </c>
      <c r="O37" s="431">
        <f>M37/Sheet1!$T$9*Sheet1!$T$11</f>
        <v>0</v>
      </c>
      <c r="P37" s="782"/>
      <c r="Q37" s="776"/>
    </row>
    <row r="38" spans="1:17" ht="12.75" customHeight="1">
      <c r="A38" s="768" t="s">
        <v>397</v>
      </c>
      <c r="B38" s="770" t="s">
        <v>252</v>
      </c>
      <c r="C38" s="547"/>
      <c r="D38" s="7">
        <f>SUMIFS(Sheet1!$C$2:$C$180,Sheet1!$F$2:$F$180,B38,Sheet1!$E$2:$E$180,C38)</f>
        <v>0</v>
      </c>
      <c r="E38" s="7">
        <f>D38/Sheet1!$I$9*Sheet1!$I$10</f>
        <v>0</v>
      </c>
      <c r="F38" s="431">
        <f>D38/Sheet1!$I$9*Sheet1!$I$11</f>
        <v>0</v>
      </c>
      <c r="G38" s="780">
        <f>SUM(F38:F39)</f>
        <v>0</v>
      </c>
      <c r="H38" s="784">
        <f>SUM(G38:G39)</f>
        <v>0</v>
      </c>
      <c r="J38" s="768" t="s">
        <v>397</v>
      </c>
      <c r="K38" s="770" t="s">
        <v>252</v>
      </c>
      <c r="L38" s="547"/>
      <c r="M38" s="7">
        <f>SUMIFS(Sheet1!$N$2:$N$180,Sheet1!$Q$2:$Q$180,K38,Sheet1!$P$2:$P$180,L38)</f>
        <v>0</v>
      </c>
      <c r="N38" s="7">
        <f>M38/Sheet1!$T$9*Sheet1!$T$10</f>
        <v>0</v>
      </c>
      <c r="O38" s="431">
        <f>M38/Sheet1!$T$9*Sheet1!$T$11</f>
        <v>0</v>
      </c>
      <c r="P38" s="780">
        <f>SUM(O38:O39)</f>
        <v>0</v>
      </c>
      <c r="Q38" s="784">
        <f>SUM(P38:P39)</f>
        <v>0</v>
      </c>
    </row>
    <row r="39" spans="1:17" ht="12.75" customHeight="1">
      <c r="A39" s="768"/>
      <c r="B39" s="771"/>
      <c r="C39" s="550"/>
      <c r="D39" s="7">
        <f>SUMIFS(Sheet1!$C$2:$C$180,Sheet1!$F$2:$F$180,B38,Sheet1!$E$2:$E$180,C39)</f>
        <v>0</v>
      </c>
      <c r="E39" s="7">
        <f>D39/Sheet1!$I$9*Sheet1!$I$10</f>
        <v>0</v>
      </c>
      <c r="F39" s="431">
        <f>D39/Sheet1!$I$9*Sheet1!$I$11</f>
        <v>0</v>
      </c>
      <c r="G39" s="782"/>
      <c r="H39" s="785"/>
      <c r="J39" s="768"/>
      <c r="K39" s="771"/>
      <c r="L39" s="550"/>
      <c r="M39" s="7">
        <f>SUMIFS(Sheet1!$N$2:$N$180,Sheet1!$Q$2:$Q$180,K38,Sheet1!$P$2:$P$180,L39)</f>
        <v>0</v>
      </c>
      <c r="N39" s="7">
        <f>M39/Sheet1!$T$9*Sheet1!$T$10</f>
        <v>0</v>
      </c>
      <c r="O39" s="431">
        <f>M39/Sheet1!$T$9*Sheet1!$T$11</f>
        <v>0</v>
      </c>
      <c r="P39" s="782"/>
      <c r="Q39" s="785"/>
    </row>
    <row r="40" spans="1:17" ht="14.4">
      <c r="A40" s="551"/>
      <c r="B40" s="783" t="s">
        <v>3</v>
      </c>
      <c r="C40" s="783"/>
      <c r="D40" s="288">
        <f>SUM(D4:D39)</f>
        <v>1946</v>
      </c>
      <c r="E40" s="288">
        <f>SUM(E4:E39)</f>
        <v>137.26600133256713</v>
      </c>
      <c r="F40" s="421">
        <f>SUM(F4:F39)</f>
        <v>8.1048543288790575E-2</v>
      </c>
      <c r="G40" s="421">
        <f>SUM(G4:G39)</f>
        <v>8.1048543288790589E-2</v>
      </c>
      <c r="H40" s="421">
        <f>SUM(H4:H39)</f>
        <v>8.1048543288790575E-2</v>
      </c>
      <c r="J40" s="551"/>
      <c r="K40" s="783" t="s">
        <v>3</v>
      </c>
      <c r="L40" s="783"/>
      <c r="M40" s="288">
        <f>SUM(M4:M39)</f>
        <v>1097</v>
      </c>
      <c r="N40" s="288">
        <f>SUM(N4:N39)</f>
        <v>105.88415940756715</v>
      </c>
      <c r="O40" s="421">
        <f>SUM(O4:O39)</f>
        <v>6.3699484283837413E-2</v>
      </c>
      <c r="P40" s="421">
        <f>SUM(P4:P39)</f>
        <v>6.3699484283837413E-2</v>
      </c>
      <c r="Q40" s="421">
        <f>SUM(Q4:Q39)</f>
        <v>6.3699484283837426E-2</v>
      </c>
    </row>
    <row r="41" spans="1:17" ht="14.4">
      <c r="A41" s="551"/>
      <c r="B41" s="783" t="s">
        <v>2</v>
      </c>
      <c r="C41" s="783"/>
      <c r="D41" s="783"/>
      <c r="E41" s="783"/>
      <c r="F41" s="552">
        <f>+Efficiency1!X136</f>
        <v>0.91895145671120937</v>
      </c>
      <c r="G41" s="552">
        <f>+F41</f>
        <v>0.91895145671120937</v>
      </c>
      <c r="H41" s="552">
        <f>+G41</f>
        <v>0.91895145671120937</v>
      </c>
      <c r="J41" s="551"/>
      <c r="K41" s="783" t="s">
        <v>2</v>
      </c>
      <c r="L41" s="783"/>
      <c r="M41" s="783"/>
      <c r="N41" s="783"/>
      <c r="O41" s="552">
        <f>+Efficiency2!X136</f>
        <v>0.93630051571616246</v>
      </c>
      <c r="P41" s="552">
        <f>+O41</f>
        <v>0.93630051571616246</v>
      </c>
      <c r="Q41" s="552">
        <f>+P41</f>
        <v>0.93630051571616246</v>
      </c>
    </row>
    <row r="42" spans="1:17" ht="14.4">
      <c r="A42" s="551"/>
      <c r="B42" s="783" t="s">
        <v>68</v>
      </c>
      <c r="C42" s="783"/>
      <c r="D42" s="783"/>
      <c r="E42" s="783"/>
      <c r="F42" s="432">
        <f>SUM(F40:F41)</f>
        <v>1</v>
      </c>
      <c r="G42" s="432">
        <f>SUM(G40:G41)</f>
        <v>1</v>
      </c>
      <c r="H42" s="509">
        <f>SUM(H40:H41)</f>
        <v>1</v>
      </c>
      <c r="J42" s="551"/>
      <c r="K42" s="783" t="s">
        <v>68</v>
      </c>
      <c r="L42" s="783"/>
      <c r="M42" s="783"/>
      <c r="N42" s="783"/>
      <c r="O42" s="432">
        <f>SUM(O40:O41)</f>
        <v>0.99999999999999989</v>
      </c>
      <c r="P42" s="432">
        <f>SUM(P40:P41)</f>
        <v>0.99999999999999989</v>
      </c>
      <c r="Q42" s="509">
        <f>SUM(Q40:Q41)</f>
        <v>0.99999999999999989</v>
      </c>
    </row>
  </sheetData>
  <mergeCells count="66">
    <mergeCell ref="Q38:Q39"/>
    <mergeCell ref="B40:C40"/>
    <mergeCell ref="K40:L40"/>
    <mergeCell ref="B41:E41"/>
    <mergeCell ref="K41:N41"/>
    <mergeCell ref="B42:E42"/>
    <mergeCell ref="K42:N42"/>
    <mergeCell ref="P36:P37"/>
    <mergeCell ref="B38:B39"/>
    <mergeCell ref="G38:G39"/>
    <mergeCell ref="H38:H39"/>
    <mergeCell ref="K38:K39"/>
    <mergeCell ref="P38:P39"/>
    <mergeCell ref="Q24:Q37"/>
    <mergeCell ref="B31:B32"/>
    <mergeCell ref="G31:G32"/>
    <mergeCell ref="K31:K32"/>
    <mergeCell ref="P31:P32"/>
    <mergeCell ref="B33:B35"/>
    <mergeCell ref="G33:G35"/>
    <mergeCell ref="K33:K35"/>
    <mergeCell ref="P33:P35"/>
    <mergeCell ref="K24:K30"/>
    <mergeCell ref="K36:K37"/>
    <mergeCell ref="A24:A37"/>
    <mergeCell ref="A38:A39"/>
    <mergeCell ref="J24:J37"/>
    <mergeCell ref="J38:J39"/>
    <mergeCell ref="P24:P30"/>
    <mergeCell ref="B24:B30"/>
    <mergeCell ref="G24:G30"/>
    <mergeCell ref="H24:H37"/>
    <mergeCell ref="B36:B37"/>
    <mergeCell ref="G36:G37"/>
    <mergeCell ref="A12:A13"/>
    <mergeCell ref="H12:H13"/>
    <mergeCell ref="J12:J13"/>
    <mergeCell ref="Q12:Q13"/>
    <mergeCell ref="A14:A23"/>
    <mergeCell ref="H14:H23"/>
    <mergeCell ref="J14:J23"/>
    <mergeCell ref="Q14:Q23"/>
    <mergeCell ref="B16:B17"/>
    <mergeCell ref="G16:G17"/>
    <mergeCell ref="K16:K17"/>
    <mergeCell ref="P16:P17"/>
    <mergeCell ref="B19:B23"/>
    <mergeCell ref="G19:G23"/>
    <mergeCell ref="K19:K23"/>
    <mergeCell ref="P19:P23"/>
    <mergeCell ref="A4:A11"/>
    <mergeCell ref="H4:H11"/>
    <mergeCell ref="J4:J11"/>
    <mergeCell ref="Q4:Q11"/>
    <mergeCell ref="B6:B7"/>
    <mergeCell ref="K6:K7"/>
    <mergeCell ref="B8:B9"/>
    <mergeCell ref="K8:K9"/>
    <mergeCell ref="B10:B11"/>
    <mergeCell ref="K10:K11"/>
    <mergeCell ref="L2:L3"/>
    <mergeCell ref="A2:A3"/>
    <mergeCell ref="B2:B3"/>
    <mergeCell ref="C2:C3"/>
    <mergeCell ref="J2:J3"/>
    <mergeCell ref="K2:K3"/>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61"/>
  <sheetViews>
    <sheetView view="pageBreakPreview" zoomScale="80" zoomScaleNormal="80" zoomScaleSheetLayoutView="80" workbookViewId="0">
      <selection activeCell="H46" sqref="H46"/>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4.44140625" style="149" customWidth="1"/>
    <col min="14" max="16384" width="9.109375" style="149"/>
  </cols>
  <sheetData>
    <row r="1" spans="1:19" ht="15.6">
      <c r="A1" s="148"/>
    </row>
    <row r="2" spans="1:19" ht="15.6">
      <c r="A2" s="148" t="s">
        <v>219</v>
      </c>
    </row>
    <row r="3" spans="1:19" ht="15">
      <c r="A3" s="150"/>
    </row>
    <row r="4" spans="1:19" ht="21">
      <c r="A4" s="151" t="s">
        <v>4</v>
      </c>
      <c r="B4" s="152"/>
      <c r="F4" s="153" t="s">
        <v>29</v>
      </c>
      <c r="G4" s="154">
        <v>31</v>
      </c>
      <c r="H4" s="154" t="str">
        <f>+'1'!H4</f>
        <v>.03.26</v>
      </c>
      <c r="J4" s="149">
        <f>546+375+480</f>
        <v>1401</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584</v>
      </c>
      <c r="O6" s="149">
        <v>1200</v>
      </c>
      <c r="P6" s="149">
        <f t="shared" ref="P6" si="0">+O6-(O6*0.16)</f>
        <v>1008</v>
      </c>
      <c r="Q6" s="149">
        <v>480</v>
      </c>
      <c r="R6" s="149">
        <f t="shared" ref="R6" si="1">+O6*Q6</f>
        <v>576000</v>
      </c>
      <c r="S6" s="149">
        <f t="shared" ref="S6" si="2">+P6*Q6</f>
        <v>483840</v>
      </c>
    </row>
    <row r="7" spans="1:19" ht="13.5" customHeight="1" thickBot="1">
      <c r="A7" s="788" t="s">
        <v>429</v>
      </c>
      <c r="B7" s="213" t="s">
        <v>592</v>
      </c>
      <c r="C7" s="214">
        <v>13145</v>
      </c>
      <c r="D7" s="215">
        <v>750</v>
      </c>
      <c r="E7" s="216"/>
      <c r="F7" s="224"/>
      <c r="G7" s="553" t="s">
        <v>12</v>
      </c>
      <c r="H7" s="554" t="s">
        <v>417</v>
      </c>
      <c r="I7" s="791" t="s">
        <v>752</v>
      </c>
      <c r="J7" s="212" t="str">
        <f>+'30'!J7</f>
        <v>T 15 RC HW</v>
      </c>
      <c r="K7" s="233"/>
      <c r="L7" s="237"/>
      <c r="M7" s="117">
        <f>+L7+'30'!M7+K7</f>
        <v>444860</v>
      </c>
    </row>
    <row r="8" spans="1:19" ht="13.8" thickBot="1">
      <c r="A8" s="789"/>
      <c r="B8" s="213" t="s">
        <v>480</v>
      </c>
      <c r="C8" s="214">
        <v>891</v>
      </c>
      <c r="D8" s="215"/>
      <c r="E8" s="217"/>
      <c r="F8" s="227"/>
      <c r="G8" s="555" t="s">
        <v>12</v>
      </c>
      <c r="H8" s="226" t="s">
        <v>419</v>
      </c>
      <c r="I8" s="792"/>
      <c r="J8" s="212" t="str">
        <f>+'30'!J8</f>
        <v>T 14,5 RC HW</v>
      </c>
      <c r="K8" s="234">
        <f>+C8</f>
        <v>891</v>
      </c>
      <c r="L8" s="234"/>
      <c r="M8" s="117">
        <f>+L8+'30'!M8+K8</f>
        <v>260003</v>
      </c>
    </row>
    <row r="9" spans="1:19" ht="13.8" thickBot="1">
      <c r="A9" s="789"/>
      <c r="B9" s="213"/>
      <c r="C9" s="214"/>
      <c r="D9" s="215"/>
      <c r="E9" s="218"/>
      <c r="F9" s="224">
        <v>8</v>
      </c>
      <c r="G9" s="555" t="s">
        <v>12</v>
      </c>
      <c r="H9" s="229" t="s">
        <v>418</v>
      </c>
      <c r="I9" s="792"/>
      <c r="J9" s="212" t="str">
        <f>+'30'!J9</f>
        <v>T 14 RC HW</v>
      </c>
      <c r="K9" s="234"/>
      <c r="L9" s="234"/>
      <c r="M9" s="117">
        <f>+L9+'30'!M9+K9</f>
        <v>49646</v>
      </c>
    </row>
    <row r="10" spans="1:19" ht="53.4" thickBot="1">
      <c r="A10" s="789"/>
      <c r="B10" s="213"/>
      <c r="C10" s="214"/>
      <c r="D10" s="215"/>
      <c r="E10" s="217"/>
      <c r="F10" s="224"/>
      <c r="G10" s="225"/>
      <c r="H10" s="556" t="s">
        <v>773</v>
      </c>
      <c r="I10" s="792"/>
      <c r="J10" s="212" t="str">
        <f>+'30'!J10</f>
        <v>T 13,5 RC HW</v>
      </c>
      <c r="K10" s="234">
        <f>+C7+C16+C25</f>
        <v>38360</v>
      </c>
      <c r="L10" s="234"/>
      <c r="M10" s="117">
        <f>+L10+'30'!M10+K10</f>
        <v>538906</v>
      </c>
    </row>
    <row r="11" spans="1:19" ht="13.8" thickBot="1">
      <c r="A11" s="789"/>
      <c r="B11" s="213"/>
      <c r="C11" s="214"/>
      <c r="D11" s="215"/>
      <c r="E11" s="217"/>
      <c r="F11" s="224"/>
      <c r="G11" s="228"/>
      <c r="H11" s="229" t="s">
        <v>772</v>
      </c>
      <c r="I11" s="792"/>
      <c r="J11" s="212" t="str">
        <f>+'30'!J11</f>
        <v>TW 22 RC HW</v>
      </c>
      <c r="K11" s="234"/>
      <c r="L11" s="234"/>
      <c r="M11" s="117">
        <f>+L11+'30'!M11+K11</f>
        <v>262946</v>
      </c>
    </row>
    <row r="12" spans="1:19" ht="13.8" thickBot="1">
      <c r="A12" s="789"/>
      <c r="B12" s="213"/>
      <c r="C12" s="214"/>
      <c r="D12" s="215"/>
      <c r="E12" s="217"/>
      <c r="F12" s="224"/>
      <c r="G12" s="228"/>
      <c r="H12" s="229"/>
      <c r="I12" s="792"/>
      <c r="J12" s="212">
        <f>+'30'!J12</f>
        <v>0</v>
      </c>
      <c r="K12" s="234"/>
      <c r="L12" s="234"/>
      <c r="M12" s="117">
        <f>+L12+'30'!M12+K12</f>
        <v>0</v>
      </c>
    </row>
    <row r="13" spans="1:19" ht="13.8" thickBot="1">
      <c r="A13" s="789"/>
      <c r="B13" s="213"/>
      <c r="C13" s="214"/>
      <c r="D13" s="214"/>
      <c r="E13" s="217"/>
      <c r="F13" s="224"/>
      <c r="G13" s="228"/>
      <c r="H13" s="229"/>
      <c r="I13" s="793"/>
      <c r="J13" s="212">
        <f>+'30'!J13</f>
        <v>0</v>
      </c>
      <c r="K13" s="234"/>
      <c r="L13" s="234"/>
      <c r="M13" s="117">
        <f>+L13+'30'!M13+K13</f>
        <v>0</v>
      </c>
      <c r="Q13" s="174">
        <f>SUM(Q6:Q12)</f>
        <v>480</v>
      </c>
      <c r="R13" s="174">
        <f>SUM(R6:R12)</f>
        <v>576000</v>
      </c>
      <c r="S13" s="174">
        <f>SUM(S6:S12)</f>
        <v>483840</v>
      </c>
    </row>
    <row r="14" spans="1:19" ht="13.8" thickBot="1">
      <c r="A14" s="790"/>
      <c r="B14" s="165" t="s">
        <v>3</v>
      </c>
      <c r="C14" s="99">
        <f>SUM(C7:C13)</f>
        <v>14036</v>
      </c>
      <c r="D14" s="111">
        <f>SUM(D7:D13)</f>
        <v>750</v>
      </c>
      <c r="E14" s="112">
        <f>SUM(E5:E13)</f>
        <v>0</v>
      </c>
      <c r="F14" s="116">
        <f>SUM(F7:F13)</f>
        <v>8</v>
      </c>
      <c r="G14" s="159"/>
      <c r="H14" s="166"/>
      <c r="I14" s="167"/>
      <c r="J14" s="212">
        <f>+'30'!J14</f>
        <v>0</v>
      </c>
      <c r="K14" s="234"/>
      <c r="L14" s="234"/>
      <c r="M14" s="117">
        <f>+L14+'30'!M14+K14</f>
        <v>0</v>
      </c>
      <c r="Q14" s="149">
        <f>480-Q13</f>
        <v>0</v>
      </c>
      <c r="R14" s="174">
        <f>+R13/Q13</f>
        <v>1200</v>
      </c>
      <c r="S14" s="174">
        <f>+S13/Q13</f>
        <v>1008</v>
      </c>
    </row>
    <row r="15" spans="1:19" ht="13.5" customHeight="1" thickBot="1">
      <c r="A15" s="794" t="s">
        <v>387</v>
      </c>
      <c r="B15" s="513"/>
      <c r="C15" s="113">
        <f>C14/($C$23+$D$23+$E$23)</f>
        <v>1.5637254901960784</v>
      </c>
      <c r="D15" s="114">
        <f>D14/($C$23+$D$23+$E$23)</f>
        <v>8.3556149732620322E-2</v>
      </c>
      <c r="E15" s="115">
        <f>E14/($C$23+$D$23+$E$23)</f>
        <v>0</v>
      </c>
      <c r="F15" s="224"/>
      <c r="G15" s="553" t="s">
        <v>12</v>
      </c>
      <c r="H15" s="554" t="s">
        <v>417</v>
      </c>
      <c r="I15" s="791" t="s">
        <v>752</v>
      </c>
      <c r="J15" s="212">
        <f>+'30'!J15</f>
        <v>0</v>
      </c>
      <c r="K15" s="234"/>
      <c r="L15" s="234"/>
      <c r="M15" s="117">
        <f>+L15+'30'!M15+K15</f>
        <v>0</v>
      </c>
      <c r="N15" s="149" t="s">
        <v>584</v>
      </c>
      <c r="O15" s="149">
        <v>1200</v>
      </c>
      <c r="P15" s="149">
        <f t="shared" ref="P15" si="3">+O15-(O15*0.16)</f>
        <v>1008</v>
      </c>
      <c r="Q15" s="149">
        <v>480</v>
      </c>
      <c r="R15" s="149">
        <f t="shared" ref="R15" si="4">+O15*Q15</f>
        <v>576000</v>
      </c>
      <c r="S15" s="149">
        <f t="shared" ref="S15" si="5">+P15*Q15</f>
        <v>483840</v>
      </c>
    </row>
    <row r="16" spans="1:19" ht="13.8" thickBot="1">
      <c r="A16" s="789"/>
      <c r="B16" s="213" t="s">
        <v>592</v>
      </c>
      <c r="C16" s="511">
        <v>8976</v>
      </c>
      <c r="D16" s="219"/>
      <c r="E16" s="220"/>
      <c r="F16" s="224"/>
      <c r="G16" s="555" t="s">
        <v>12</v>
      </c>
      <c r="H16" s="226" t="s">
        <v>419</v>
      </c>
      <c r="I16" s="792"/>
      <c r="J16" s="212">
        <f>+'30'!J16</f>
        <v>0</v>
      </c>
      <c r="K16" s="225"/>
      <c r="L16" s="225"/>
      <c r="M16" s="117">
        <f>+L16+'30'!M16+K16</f>
        <v>0</v>
      </c>
    </row>
    <row r="17" spans="1:19" ht="13.8" thickBot="1">
      <c r="A17" s="789"/>
      <c r="B17" s="213"/>
      <c r="C17" s="214"/>
      <c r="D17" s="215"/>
      <c r="E17" s="221"/>
      <c r="F17" s="224">
        <v>7</v>
      </c>
      <c r="G17" s="555" t="s">
        <v>12</v>
      </c>
      <c r="H17" s="229" t="s">
        <v>418</v>
      </c>
      <c r="I17" s="792"/>
      <c r="J17" s="212">
        <f>+'30'!J17</f>
        <v>0</v>
      </c>
      <c r="K17" s="225"/>
      <c r="L17" s="225"/>
      <c r="M17" s="117">
        <f>+L17+'30'!M17+K17</f>
        <v>0</v>
      </c>
    </row>
    <row r="18" spans="1:19" ht="53.4" thickBot="1">
      <c r="A18" s="789"/>
      <c r="B18" s="213"/>
      <c r="C18" s="214"/>
      <c r="D18" s="215"/>
      <c r="E18" s="221"/>
      <c r="F18" s="224"/>
      <c r="G18" s="225"/>
      <c r="H18" s="556" t="s">
        <v>779</v>
      </c>
      <c r="I18" s="792"/>
      <c r="J18" s="212">
        <f>+'30'!J18</f>
        <v>0</v>
      </c>
      <c r="K18" s="234"/>
      <c r="L18" s="234"/>
      <c r="M18" s="117">
        <f>+L18+'30'!M18+K18</f>
        <v>0</v>
      </c>
    </row>
    <row r="19" spans="1:19" ht="13.8" thickBot="1">
      <c r="A19" s="789"/>
      <c r="B19" s="213"/>
      <c r="C19" s="214"/>
      <c r="D19" s="215"/>
      <c r="E19" s="221"/>
      <c r="F19" s="230"/>
      <c r="G19" s="228"/>
      <c r="H19" s="229" t="s">
        <v>774</v>
      </c>
      <c r="I19" s="792"/>
      <c r="J19" s="212">
        <f>+'30'!J19</f>
        <v>0</v>
      </c>
      <c r="K19" s="234"/>
      <c r="L19" s="234"/>
      <c r="M19" s="117">
        <f>+L19+'30'!M19+K19</f>
        <v>0</v>
      </c>
    </row>
    <row r="20" spans="1:19" ht="13.8" thickBot="1">
      <c r="A20" s="789"/>
      <c r="B20" s="213"/>
      <c r="C20" s="214"/>
      <c r="D20" s="215"/>
      <c r="E20" s="221"/>
      <c r="F20" s="224"/>
      <c r="G20" s="228"/>
      <c r="H20" s="229"/>
      <c r="I20" s="792"/>
      <c r="J20" s="212">
        <f>+'30'!J20</f>
        <v>0</v>
      </c>
      <c r="K20" s="235"/>
      <c r="L20" s="235"/>
      <c r="M20" s="117">
        <f>+L20+'30'!M20+K20</f>
        <v>0</v>
      </c>
    </row>
    <row r="21" spans="1:19" ht="13.8" thickBot="1">
      <c r="A21" s="789"/>
      <c r="B21" s="213"/>
      <c r="C21" s="214"/>
      <c r="D21" s="215"/>
      <c r="E21" s="221"/>
      <c r="F21" s="227"/>
      <c r="G21" s="228"/>
      <c r="H21" s="229"/>
      <c r="I21" s="792"/>
      <c r="J21" s="212">
        <f>+'30'!J21</f>
        <v>0</v>
      </c>
      <c r="K21" s="234"/>
      <c r="L21" s="234"/>
      <c r="M21" s="117">
        <f>+L21+'30'!M21+K21</f>
        <v>0</v>
      </c>
    </row>
    <row r="22" spans="1:19" ht="13.8" thickBot="1">
      <c r="A22" s="789"/>
      <c r="B22" s="213"/>
      <c r="C22" s="214"/>
      <c r="D22" s="215"/>
      <c r="E22" s="221"/>
      <c r="F22" s="231"/>
      <c r="G22" s="228"/>
      <c r="H22" s="229"/>
      <c r="I22" s="793"/>
      <c r="J22" s="212">
        <f>+'30'!J22</f>
        <v>0</v>
      </c>
      <c r="K22" s="234"/>
      <c r="L22" s="234"/>
      <c r="M22" s="117">
        <f>+L22+'30'!M22+K22</f>
        <v>0</v>
      </c>
      <c r="Q22" s="174">
        <f>SUM(Q15:Q21)</f>
        <v>480</v>
      </c>
      <c r="R22" s="174">
        <f>SUM(R15:R21)</f>
        <v>576000</v>
      </c>
      <c r="S22" s="174">
        <f>SUM(S15:S21)</f>
        <v>483840</v>
      </c>
    </row>
    <row r="23" spans="1:19" ht="13.8" thickBot="1">
      <c r="A23" s="790"/>
      <c r="B23" s="165" t="s">
        <v>3</v>
      </c>
      <c r="C23" s="99">
        <f>SUM(C16:C22)</f>
        <v>8976</v>
      </c>
      <c r="D23" s="111">
        <f>SUM(D16:D22)</f>
        <v>0</v>
      </c>
      <c r="E23" s="112">
        <f>SUM(E18:E22)</f>
        <v>0</v>
      </c>
      <c r="F23" s="116">
        <f>SUM(F15:F22)</f>
        <v>7</v>
      </c>
      <c r="G23" s="159"/>
      <c r="H23" s="166"/>
      <c r="I23" s="168"/>
      <c r="J23" s="212">
        <f>+'30'!J23</f>
        <v>0</v>
      </c>
      <c r="K23" s="234"/>
      <c r="L23" s="234"/>
      <c r="M23" s="117">
        <f>+L23+'30'!M23+K23</f>
        <v>0</v>
      </c>
      <c r="Q23" s="149">
        <f>480-Q22</f>
        <v>0</v>
      </c>
      <c r="R23" s="174">
        <f>+R22/Q22</f>
        <v>1200</v>
      </c>
      <c r="S23" s="174">
        <f>+S22/Q22</f>
        <v>1008</v>
      </c>
    </row>
    <row r="24" spans="1:19" ht="13.5" customHeight="1" thickBot="1">
      <c r="A24" s="794" t="s">
        <v>458</v>
      </c>
      <c r="B24" s="513"/>
      <c r="C24" s="103">
        <f>C23/($C$23+$D$23+$E$23)</f>
        <v>1</v>
      </c>
      <c r="D24" s="104">
        <f>D23/($C$23+$D$23+$E$23)</f>
        <v>0</v>
      </c>
      <c r="E24" s="109">
        <f>E23/($C$23+$D$23+$E$23)</f>
        <v>0</v>
      </c>
      <c r="F24" s="231"/>
      <c r="G24" s="553" t="s">
        <v>12</v>
      </c>
      <c r="H24" s="554" t="s">
        <v>417</v>
      </c>
      <c r="I24" s="791" t="s">
        <v>777</v>
      </c>
      <c r="J24" s="212">
        <f>+'30'!J24</f>
        <v>0</v>
      </c>
      <c r="K24" s="234"/>
      <c r="L24" s="234"/>
      <c r="M24" s="117">
        <f>+L24+'30'!M24+K24</f>
        <v>0</v>
      </c>
    </row>
    <row r="25" spans="1:19" ht="13.8" thickBot="1">
      <c r="A25" s="789"/>
      <c r="B25" s="213" t="s">
        <v>592</v>
      </c>
      <c r="C25" s="222">
        <v>16239</v>
      </c>
      <c r="D25" s="215"/>
      <c r="E25" s="221"/>
      <c r="F25" s="227"/>
      <c r="G25" s="555" t="s">
        <v>12</v>
      </c>
      <c r="H25" s="226" t="s">
        <v>419</v>
      </c>
      <c r="I25" s="792"/>
      <c r="J25" s="212">
        <f>+'30'!J25</f>
        <v>0</v>
      </c>
      <c r="K25" s="234"/>
      <c r="L25" s="234"/>
      <c r="M25" s="117">
        <f>+L25+'30'!M25+K25</f>
        <v>0</v>
      </c>
      <c r="N25" s="149" t="s">
        <v>584</v>
      </c>
      <c r="O25" s="149">
        <v>1200</v>
      </c>
      <c r="P25" s="149">
        <f t="shared" ref="P25:P26" si="6">+O25-(O25*0.16)</f>
        <v>1008</v>
      </c>
      <c r="Q25" s="149">
        <v>58</v>
      </c>
      <c r="R25" s="149">
        <f t="shared" ref="R25:R26" si="7">+O25*Q25</f>
        <v>69600</v>
      </c>
      <c r="S25" s="149">
        <f t="shared" ref="S25:S26" si="8">+P25*Q25</f>
        <v>58464</v>
      </c>
    </row>
    <row r="26" spans="1:19" ht="13.8" thickBot="1">
      <c r="A26" s="789"/>
      <c r="B26" s="213"/>
      <c r="C26" s="222"/>
      <c r="D26" s="215"/>
      <c r="E26" s="223"/>
      <c r="F26" s="227">
        <v>9</v>
      </c>
      <c r="G26" s="555" t="s">
        <v>12</v>
      </c>
      <c r="H26" s="229" t="s">
        <v>415</v>
      </c>
      <c r="I26" s="792"/>
      <c r="J26" s="212">
        <f>+'30'!J26</f>
        <v>0</v>
      </c>
      <c r="K26" s="234"/>
      <c r="L26" s="234"/>
      <c r="M26" s="117">
        <f>+L26+'30'!M26+K26</f>
        <v>0</v>
      </c>
      <c r="N26" s="149" t="s">
        <v>410</v>
      </c>
      <c r="O26" s="149">
        <v>1120</v>
      </c>
      <c r="P26" s="149">
        <f t="shared" si="6"/>
        <v>940.8</v>
      </c>
      <c r="Q26" s="149">
        <f>480-Q25</f>
        <v>422</v>
      </c>
      <c r="R26" s="149">
        <f t="shared" si="7"/>
        <v>472640</v>
      </c>
      <c r="S26" s="149">
        <f t="shared" si="8"/>
        <v>397017.59999999998</v>
      </c>
    </row>
    <row r="27" spans="1:19" ht="96" customHeight="1" thickBot="1">
      <c r="A27" s="789"/>
      <c r="B27" s="213"/>
      <c r="C27" s="214"/>
      <c r="D27" s="215"/>
      <c r="E27" s="221"/>
      <c r="F27" s="227"/>
      <c r="G27" s="225"/>
      <c r="H27" s="556" t="s">
        <v>775</v>
      </c>
      <c r="I27" s="792"/>
      <c r="J27" s="212">
        <f>+'30'!J27</f>
        <v>0</v>
      </c>
      <c r="K27" s="234"/>
      <c r="L27" s="234"/>
      <c r="M27" s="117">
        <f>+L27+'30'!M27+K27</f>
        <v>0</v>
      </c>
    </row>
    <row r="28" spans="1:19" ht="27" thickBot="1">
      <c r="A28" s="789"/>
      <c r="B28" s="213"/>
      <c r="C28" s="214"/>
      <c r="D28" s="215"/>
      <c r="E28" s="221"/>
      <c r="F28" s="227"/>
      <c r="G28" s="228"/>
      <c r="H28" s="229" t="s">
        <v>776</v>
      </c>
      <c r="I28" s="792"/>
      <c r="J28" s="212">
        <f>+'30'!J28</f>
        <v>0</v>
      </c>
      <c r="K28" s="234"/>
      <c r="L28" s="234"/>
      <c r="M28" s="117">
        <f>+L28+'30'!M28+K28</f>
        <v>0</v>
      </c>
    </row>
    <row r="29" spans="1:19" ht="13.8" thickBot="1">
      <c r="A29" s="789"/>
      <c r="B29" s="213"/>
      <c r="C29" s="214"/>
      <c r="D29" s="215"/>
      <c r="E29" s="221"/>
      <c r="F29" s="231"/>
      <c r="G29" s="228"/>
      <c r="H29" s="229"/>
      <c r="I29" s="792"/>
      <c r="J29" s="212">
        <f>+'30'!J29</f>
        <v>0</v>
      </c>
      <c r="K29" s="234"/>
      <c r="L29" s="234"/>
      <c r="M29" s="117">
        <f>+L29+'30'!M29+K29</f>
        <v>0</v>
      </c>
    </row>
    <row r="30" spans="1:19" ht="13.8" thickBot="1">
      <c r="A30" s="789"/>
      <c r="B30" s="213"/>
      <c r="C30" s="222"/>
      <c r="D30" s="215"/>
      <c r="E30" s="221"/>
      <c r="F30" s="231"/>
      <c r="G30" s="228"/>
      <c r="H30" s="229"/>
      <c r="I30" s="792"/>
      <c r="J30" s="212">
        <f>+'30'!J30</f>
        <v>0</v>
      </c>
      <c r="K30" s="234"/>
      <c r="L30" s="234"/>
      <c r="M30" s="117">
        <f>+L30+'30'!M30+K30</f>
        <v>0</v>
      </c>
    </row>
    <row r="31" spans="1:19" ht="13.8" thickBot="1">
      <c r="A31" s="789"/>
      <c r="B31" s="213"/>
      <c r="C31" s="222"/>
      <c r="D31" s="215"/>
      <c r="E31" s="221"/>
      <c r="F31" s="231"/>
      <c r="G31" s="232"/>
      <c r="H31" s="404"/>
      <c r="I31" s="793"/>
      <c r="J31" s="212">
        <f>+'30'!J31</f>
        <v>0</v>
      </c>
      <c r="K31" s="234"/>
      <c r="L31" s="234"/>
      <c r="M31" s="117">
        <f>+L31+'30'!M31+K31</f>
        <v>0</v>
      </c>
    </row>
    <row r="32" spans="1:19" ht="13.8" thickBot="1">
      <c r="A32" s="790"/>
      <c r="B32" s="165" t="s">
        <v>3</v>
      </c>
      <c r="C32" s="99">
        <f>SUM(C25:C31)</f>
        <v>16239</v>
      </c>
      <c r="D32" s="100">
        <f>SUM(D25:D31)</f>
        <v>0</v>
      </c>
      <c r="E32" s="101">
        <f>SUM(E25:E31)</f>
        <v>0</v>
      </c>
      <c r="F32" s="99">
        <f>SUM(F24:F31)</f>
        <v>9</v>
      </c>
      <c r="G32" s="169"/>
      <c r="H32" s="170"/>
      <c r="I32" s="168"/>
      <c r="J32" s="212">
        <f>+'30'!J32</f>
        <v>0</v>
      </c>
      <c r="K32" s="236"/>
      <c r="L32" s="238"/>
      <c r="M32" s="117">
        <f>+L32+'30'!M32+K32</f>
        <v>0</v>
      </c>
      <c r="Q32" s="174">
        <f>SUM(Q25:Q31)</f>
        <v>480</v>
      </c>
      <c r="R32" s="174">
        <f>SUM(R25:R31)</f>
        <v>542240</v>
      </c>
      <c r="S32" s="174">
        <f>SUM(S25:S31)</f>
        <v>455481.59999999998</v>
      </c>
    </row>
    <row r="33" spans="1:19" ht="13.8" thickBot="1">
      <c r="A33" s="171"/>
      <c r="B33" s="172"/>
      <c r="C33" s="103">
        <f>C32/($C$32+$D$32+$E$32)</f>
        <v>1</v>
      </c>
      <c r="D33" s="104">
        <f>D32/($C$32+$D$32+$E$32)</f>
        <v>0</v>
      </c>
      <c r="E33" s="105">
        <f>E32/($C$32+$D$32+$E$32)</f>
        <v>0</v>
      </c>
      <c r="F33" s="106"/>
      <c r="G33" s="173"/>
      <c r="H33" s="174"/>
      <c r="I33" s="175"/>
      <c r="J33" s="121"/>
      <c r="K33" s="122"/>
      <c r="L33" s="211"/>
      <c r="M33" s="119"/>
      <c r="Q33" s="149">
        <f>480-Q32</f>
        <v>0</v>
      </c>
      <c r="R33" s="174">
        <f>+R32/Q32</f>
        <v>1129.6666666666667</v>
      </c>
      <c r="S33" s="174">
        <f>+S32/Q32</f>
        <v>948.92</v>
      </c>
    </row>
    <row r="34" spans="1:19" ht="13.8" thickBot="1">
      <c r="A34" s="795" t="s">
        <v>68</v>
      </c>
      <c r="B34" s="796"/>
      <c r="C34" s="107">
        <f>C14+C23+C32</f>
        <v>39251</v>
      </c>
      <c r="D34" s="107">
        <f>D14+D23+D32</f>
        <v>750</v>
      </c>
      <c r="E34" s="107">
        <f>E14+E23+E32</f>
        <v>0</v>
      </c>
      <c r="F34" s="108">
        <f>F14+F23+F32</f>
        <v>24</v>
      </c>
      <c r="H34" s="176"/>
      <c r="I34" s="176"/>
      <c r="J34" s="123" t="s">
        <v>28</v>
      </c>
      <c r="K34" s="124">
        <f>SUM(K7:K32)</f>
        <v>39251</v>
      </c>
      <c r="L34" s="210">
        <f>SUM(L7:L32)</f>
        <v>0</v>
      </c>
      <c r="M34" s="120">
        <f>SUM(M7:M32)</f>
        <v>1556361</v>
      </c>
      <c r="N34" s="155"/>
    </row>
    <row r="35" spans="1:19" ht="13.8" thickBot="1">
      <c r="A35" s="177"/>
      <c r="B35" s="178"/>
      <c r="C35" s="104">
        <f>C34/($C$34+$D$34+$E$34)</f>
        <v>0.98125046873828159</v>
      </c>
      <c r="D35" s="104">
        <f>D34/($C$34+$D$34+$E$34)</f>
        <v>1.8749531261718456E-2</v>
      </c>
      <c r="E35" s="109">
        <f>E34/($C$34+$D$34+$E$34)</f>
        <v>0</v>
      </c>
      <c r="K35" s="155"/>
      <c r="N35" s="149" t="s">
        <v>584</v>
      </c>
      <c r="O35" s="149">
        <v>1200</v>
      </c>
      <c r="P35" s="149">
        <v>1008</v>
      </c>
      <c r="Q35" s="149">
        <f>1440-Q36</f>
        <v>1018</v>
      </c>
    </row>
    <row r="36" spans="1:19" ht="13.8" thickBot="1">
      <c r="A36" s="176"/>
      <c r="B36" s="176"/>
      <c r="C36" s="155"/>
      <c r="D36" s="155"/>
      <c r="E36" s="155"/>
      <c r="G36" s="155"/>
      <c r="H36" s="179"/>
      <c r="I36" s="162" t="s">
        <v>37</v>
      </c>
      <c r="J36" s="162" t="s">
        <v>38</v>
      </c>
      <c r="K36" s="180"/>
      <c r="N36" s="149" t="s">
        <v>410</v>
      </c>
      <c r="O36" s="149">
        <v>1120</v>
      </c>
      <c r="P36" s="149">
        <v>940.8</v>
      </c>
      <c r="Q36" s="149">
        <v>422</v>
      </c>
    </row>
    <row r="37" spans="1:19" ht="17.399999999999999" customHeight="1" thickBot="1">
      <c r="A37" s="797" t="s">
        <v>69</v>
      </c>
      <c r="B37" s="798"/>
      <c r="C37" s="162" t="s">
        <v>70</v>
      </c>
      <c r="D37" s="181" t="s">
        <v>71</v>
      </c>
      <c r="E37" s="182" t="s">
        <v>72</v>
      </c>
      <c r="F37" s="304"/>
      <c r="G37" s="306"/>
      <c r="H37" s="184" t="s">
        <v>73</v>
      </c>
      <c r="I37" s="239">
        <f>(13.5*1018+422*15)/1440*G42*2.7*1440/1000000</f>
        <v>53.563355244000007</v>
      </c>
      <c r="J37" s="125">
        <f>+I37+'30'!J37</f>
        <v>1666.2364512360616</v>
      </c>
      <c r="K37" s="126" t="s">
        <v>74</v>
      </c>
    </row>
    <row r="38" spans="1:19" ht="17.399999999999999" customHeight="1">
      <c r="A38" s="799" t="s">
        <v>12</v>
      </c>
      <c r="B38" s="800"/>
      <c r="C38" s="164">
        <f>SUMIF($G$7:$G$31,"Process",$F$7:$F$31)</f>
        <v>24</v>
      </c>
      <c r="D38" s="118">
        <f>C38+'30'!D38</f>
        <v>874</v>
      </c>
      <c r="E38" s="143">
        <f t="shared" ref="E38:E52" si="9">D38/60</f>
        <v>14.566666666666666</v>
      </c>
      <c r="F38" s="304">
        <v>1200</v>
      </c>
      <c r="G38" s="304">
        <v>1008</v>
      </c>
      <c r="H38" s="185" t="s">
        <v>75</v>
      </c>
      <c r="I38" s="240">
        <f>17.314+17.314+14.621</f>
        <v>49.249000000000002</v>
      </c>
      <c r="J38" s="127">
        <f>+I38+'30'!J38</f>
        <v>1597.6710000000005</v>
      </c>
      <c r="K38" s="128" t="s">
        <v>74</v>
      </c>
    </row>
    <row r="39" spans="1:19" ht="17.399999999999999" customHeight="1">
      <c r="A39" s="786" t="s">
        <v>13</v>
      </c>
      <c r="B39" s="787"/>
      <c r="C39" s="164">
        <f>SUMIF($G$7:$G$31,"Cleaning",$F$7:$F$31)</f>
        <v>0</v>
      </c>
      <c r="D39" s="118">
        <f>C39+'30'!D39</f>
        <v>0</v>
      </c>
      <c r="E39" s="143">
        <f t="shared" si="9"/>
        <v>0</v>
      </c>
      <c r="F39" s="304">
        <v>1200</v>
      </c>
      <c r="G39" s="304">
        <v>1008</v>
      </c>
      <c r="H39" s="185" t="s">
        <v>76</v>
      </c>
      <c r="I39" s="142"/>
      <c r="J39" s="129">
        <f>J37/G4</f>
        <v>53.749562943098759</v>
      </c>
      <c r="K39" s="130" t="s">
        <v>74</v>
      </c>
    </row>
    <row r="40" spans="1:19" ht="17.399999999999999" customHeight="1">
      <c r="A40" s="786" t="s">
        <v>77</v>
      </c>
      <c r="B40" s="787"/>
      <c r="C40" s="164">
        <f>SUMIF($G$7:$G$31,"Mechanical",$F$7:$F$31)</f>
        <v>0</v>
      </c>
      <c r="D40" s="118">
        <f>C40+'30'!D40</f>
        <v>0</v>
      </c>
      <c r="E40" s="143">
        <f t="shared" si="9"/>
        <v>0</v>
      </c>
      <c r="F40" s="304">
        <v>1129.6666666666667</v>
      </c>
      <c r="G40" s="304">
        <v>948.92</v>
      </c>
      <c r="H40" s="185" t="s">
        <v>78</v>
      </c>
      <c r="I40" s="118">
        <f>(K34+L34)/1000</f>
        <v>39.250999999999998</v>
      </c>
      <c r="J40" s="131">
        <f>+I40+'30'!J40</f>
        <v>1556.3609999999996</v>
      </c>
      <c r="K40" s="130" t="s">
        <v>74</v>
      </c>
    </row>
    <row r="41" spans="1:19" ht="17.399999999999999" customHeight="1">
      <c r="A41" s="786" t="s">
        <v>79</v>
      </c>
      <c r="B41" s="787"/>
      <c r="C41" s="164">
        <f>SUMIF($G$7:$G$31,"Electrical",$F$7:$F$31)</f>
        <v>0</v>
      </c>
      <c r="D41" s="118">
        <f>C41+'30'!D41</f>
        <v>0</v>
      </c>
      <c r="E41" s="143">
        <f t="shared" si="9"/>
        <v>0</v>
      </c>
      <c r="F41" s="304"/>
      <c r="G41" s="304"/>
      <c r="H41" s="185" t="s">
        <v>80</v>
      </c>
      <c r="I41" s="142"/>
      <c r="J41" s="129">
        <f>J40/G4</f>
        <v>50.205193548387086</v>
      </c>
      <c r="K41" s="130" t="s">
        <v>74</v>
      </c>
    </row>
    <row r="42" spans="1:19" ht="17.399999999999999" customHeight="1">
      <c r="A42" s="786" t="s">
        <v>16</v>
      </c>
      <c r="B42" s="787"/>
      <c r="C42" s="164">
        <f>SUMIF($G$7:$G$31,"Instrument",$F$7:$F$31)</f>
        <v>0</v>
      </c>
      <c r="D42" s="118">
        <f>C42+'30'!D42</f>
        <v>0</v>
      </c>
      <c r="E42" s="143">
        <f t="shared" si="9"/>
        <v>0</v>
      </c>
      <c r="F42" s="183">
        <f>+(F38*480+F39*480+F40*480)/1440</f>
        <v>1176.5555555555557</v>
      </c>
      <c r="G42" s="183">
        <f>+(G38*480+G39*480+G40*480)/1440</f>
        <v>988.30666666666673</v>
      </c>
      <c r="H42" s="185" t="s">
        <v>81</v>
      </c>
      <c r="I42" s="241" t="s">
        <v>778</v>
      </c>
      <c r="J42" s="132"/>
      <c r="K42" s="130" t="s">
        <v>82</v>
      </c>
    </row>
    <row r="43" spans="1:19" ht="17.399999999999999" customHeight="1">
      <c r="A43" s="786" t="s">
        <v>83</v>
      </c>
      <c r="B43" s="787"/>
      <c r="C43" s="164">
        <f>SUMIF($G$7:$G$31,"Water",$F$7:$F$31)</f>
        <v>0</v>
      </c>
      <c r="D43" s="118">
        <f>C43+'30'!D43</f>
        <v>0</v>
      </c>
      <c r="E43" s="143">
        <f t="shared" si="9"/>
        <v>0</v>
      </c>
      <c r="F43" s="304"/>
      <c r="G43" s="305"/>
      <c r="H43" s="186" t="s">
        <v>84</v>
      </c>
      <c r="I43" s="118">
        <f>+Report1!Z39</f>
        <v>94.1</v>
      </c>
      <c r="J43" s="133">
        <f>+I43+'30'!J43</f>
        <v>2960.82</v>
      </c>
      <c r="K43" s="130" t="s">
        <v>74</v>
      </c>
      <c r="L43" s="187"/>
    </row>
    <row r="44" spans="1:19" ht="17.399999999999999" customHeight="1">
      <c r="A44" s="786" t="s">
        <v>17</v>
      </c>
      <c r="B44" s="787"/>
      <c r="C44" s="164">
        <f>SUMIF($G$7:$G$31,"PLN",$F$7:$F$31)</f>
        <v>0</v>
      </c>
      <c r="D44" s="118">
        <f>C44+'30'!D44</f>
        <v>0</v>
      </c>
      <c r="E44" s="143">
        <f t="shared" si="9"/>
        <v>0</v>
      </c>
      <c r="F44" s="304"/>
      <c r="G44" s="305"/>
      <c r="H44" s="186" t="s">
        <v>85</v>
      </c>
      <c r="I44" s="118">
        <f>I43/I38</f>
        <v>1.9106986943897335</v>
      </c>
      <c r="J44" s="134">
        <f>J43/J38</f>
        <v>1.853210078921129</v>
      </c>
      <c r="K44" s="130" t="s">
        <v>74</v>
      </c>
    </row>
    <row r="45" spans="1:19" ht="17.399999999999999" customHeight="1">
      <c r="A45" s="786" t="s">
        <v>18</v>
      </c>
      <c r="B45" s="787"/>
      <c r="C45" s="164">
        <f>SUMIF($G$7:$G$31,"Boiler",$F$7:$F$31)</f>
        <v>0</v>
      </c>
      <c r="D45" s="118">
        <f>C45+'30'!D45</f>
        <v>0</v>
      </c>
      <c r="E45" s="143">
        <f t="shared" si="9"/>
        <v>0</v>
      </c>
      <c r="F45" s="304"/>
      <c r="G45" s="307"/>
      <c r="H45" s="186" t="s">
        <v>86</v>
      </c>
      <c r="I45" s="118">
        <f>I43/I40</f>
        <v>2.3973911492700823</v>
      </c>
      <c r="J45" s="134">
        <f>J43/J40</f>
        <v>1.9023992505594787</v>
      </c>
      <c r="K45" s="130" t="s">
        <v>74</v>
      </c>
    </row>
    <row r="46" spans="1:19" ht="17.399999999999999" customHeight="1">
      <c r="A46" s="786" t="s">
        <v>87</v>
      </c>
      <c r="B46" s="787"/>
      <c r="C46" s="164">
        <f>SUMIF($G$7:$G$31,"Gas",$F$7:$F$31)</f>
        <v>0</v>
      </c>
      <c r="D46" s="118">
        <f>C46+'30'!D46</f>
        <v>0</v>
      </c>
      <c r="E46" s="143">
        <f t="shared" si="9"/>
        <v>0</v>
      </c>
      <c r="F46" s="304"/>
      <c r="G46" s="305"/>
      <c r="H46" s="186" t="s">
        <v>88</v>
      </c>
      <c r="I46" s="140">
        <f>+SUMIF(Listrik!X38,"&gt;0")</f>
        <v>41946.46610990812</v>
      </c>
      <c r="J46" s="135">
        <f>+I46+'30'!J46</f>
        <v>1202595.3951848687</v>
      </c>
      <c r="K46" s="130" t="s">
        <v>89</v>
      </c>
    </row>
    <row r="47" spans="1:19" ht="17.399999999999999" customHeight="1">
      <c r="A47" s="786" t="s">
        <v>90</v>
      </c>
      <c r="B47" s="787"/>
      <c r="C47" s="164">
        <f>SUMIF($G$7:$G$31,"Gas",$F$7:$F$31)</f>
        <v>0</v>
      </c>
      <c r="D47" s="118">
        <f>C47+'30'!D47</f>
        <v>0</v>
      </c>
      <c r="E47" s="143">
        <f t="shared" si="9"/>
        <v>0</v>
      </c>
      <c r="F47" s="304"/>
      <c r="G47" s="305"/>
      <c r="H47" s="186" t="s">
        <v>91</v>
      </c>
      <c r="I47" s="118">
        <f>I46/I38</f>
        <v>851.72218948421528</v>
      </c>
      <c r="J47" s="135">
        <f>J46/J38</f>
        <v>752.71779683355851</v>
      </c>
      <c r="K47" s="130" t="s">
        <v>24</v>
      </c>
    </row>
    <row r="48" spans="1:19" ht="17.399999999999999" customHeight="1">
      <c r="A48" s="786" t="s">
        <v>14</v>
      </c>
      <c r="B48" s="787"/>
      <c r="C48" s="164">
        <f>SUMIF($G$7:$G$31,"Start Up",$F$7:$F$31)</f>
        <v>0</v>
      </c>
      <c r="D48" s="118">
        <f>C48+'30'!D48</f>
        <v>0</v>
      </c>
      <c r="E48" s="143">
        <f t="shared" si="9"/>
        <v>0</v>
      </c>
      <c r="F48" s="304"/>
      <c r="G48" s="305"/>
      <c r="H48" s="186" t="s">
        <v>92</v>
      </c>
      <c r="I48" s="118">
        <f>I46/I40</f>
        <v>1068.6725461748267</v>
      </c>
      <c r="J48" s="135">
        <f>J46/J40</f>
        <v>772.69694832038897</v>
      </c>
      <c r="K48" s="130" t="s">
        <v>24</v>
      </c>
    </row>
    <row r="49" spans="1:11" ht="17.399999999999999" customHeight="1">
      <c r="A49" s="786" t="s">
        <v>20</v>
      </c>
      <c r="B49" s="787"/>
      <c r="C49" s="164">
        <f>SUMIF($G$7:$G$31,"Others",$F$7:$F$31)</f>
        <v>0</v>
      </c>
      <c r="D49" s="118">
        <f>C49+'30'!D49</f>
        <v>1072</v>
      </c>
      <c r="E49" s="143">
        <f t="shared" si="9"/>
        <v>17.866666666666667</v>
      </c>
      <c r="F49" s="183"/>
      <c r="H49" s="186" t="s">
        <v>269</v>
      </c>
      <c r="I49" s="118">
        <f>+Report1!T39</f>
        <v>3877.0003418378446</v>
      </c>
      <c r="J49" s="135">
        <f>+I49+'30'!J49</f>
        <v>114664.77162120279</v>
      </c>
      <c r="K49" s="130" t="s">
        <v>93</v>
      </c>
    </row>
    <row r="50" spans="1:11" ht="17.399999999999999" customHeight="1">
      <c r="A50" s="786" t="s">
        <v>19</v>
      </c>
      <c r="B50" s="787"/>
      <c r="C50" s="164">
        <f>SUMIF($G$7:$G$31,"Steam",$F$7:$F$31)</f>
        <v>0</v>
      </c>
      <c r="D50" s="118">
        <f>C50+'30'!D50</f>
        <v>0</v>
      </c>
      <c r="E50" s="143">
        <f t="shared" si="9"/>
        <v>0</v>
      </c>
      <c r="F50" s="183"/>
      <c r="H50" s="186" t="s">
        <v>94</v>
      </c>
      <c r="I50" s="140">
        <f>I49/I38</f>
        <v>78.722417548332842</v>
      </c>
      <c r="J50" s="133">
        <f>J49/J38</f>
        <v>71.769952400214279</v>
      </c>
      <c r="K50" s="130" t="s">
        <v>93</v>
      </c>
    </row>
    <row r="51" spans="1:11" ht="17.399999999999999" customHeight="1">
      <c r="A51" s="803" t="s">
        <v>95</v>
      </c>
      <c r="B51" s="803"/>
      <c r="C51" s="164">
        <f>SUMIF($G$7:$G$31,"Planned shut",$F$7:$F$31)</f>
        <v>0</v>
      </c>
      <c r="D51" s="118">
        <f>C51+'30'!D51</f>
        <v>0</v>
      </c>
      <c r="E51" s="143">
        <f t="shared" si="9"/>
        <v>0</v>
      </c>
      <c r="F51" s="183"/>
      <c r="H51" s="188" t="s">
        <v>96</v>
      </c>
      <c r="I51" s="141">
        <f>I49/I40</f>
        <v>98.774562223582706</v>
      </c>
      <c r="J51" s="136">
        <f>J49/J40</f>
        <v>73.674919649877381</v>
      </c>
      <c r="K51" s="137" t="s">
        <v>93</v>
      </c>
    </row>
    <row r="52" spans="1:11" ht="13.8" thickBot="1">
      <c r="A52" s="804" t="s">
        <v>218</v>
      </c>
      <c r="B52" s="805"/>
      <c r="C52" s="164">
        <f>SUMIF($G$7:$G$31,"Change Grade",$F$7:$F$31)</f>
        <v>0</v>
      </c>
      <c r="D52" s="118">
        <f>C52+'30'!D52</f>
        <v>0</v>
      </c>
      <c r="E52" s="143">
        <f t="shared" si="9"/>
        <v>0</v>
      </c>
      <c r="F52" s="183"/>
      <c r="H52" s="189"/>
      <c r="I52" s="190"/>
      <c r="J52" s="138"/>
      <c r="K52" s="139"/>
    </row>
    <row r="53" spans="1:11">
      <c r="A53" s="799" t="s">
        <v>28</v>
      </c>
      <c r="B53" s="800"/>
      <c r="C53" s="144">
        <f>SUM(C38:C52)</f>
        <v>24</v>
      </c>
      <c r="D53" s="144">
        <f>SUM(D38:D52)</f>
        <v>1946</v>
      </c>
      <c r="E53" s="145">
        <f>SUM(E38:E52)</f>
        <v>32.433333333333337</v>
      </c>
      <c r="F53" s="183"/>
    </row>
    <row r="54" spans="1:11" ht="13.8" thickBot="1">
      <c r="A54" s="801"/>
      <c r="B54" s="802"/>
      <c r="C54" s="146">
        <f>C53/(24*60)</f>
        <v>1.6666666666666666E-2</v>
      </c>
      <c r="D54" s="146">
        <f>D53/(24*60*G4)</f>
        <v>4.3593189964157709E-2</v>
      </c>
      <c r="E54" s="147">
        <f>E53/(G4*24)</f>
        <v>4.3593189964157709E-2</v>
      </c>
      <c r="F54" s="183"/>
    </row>
    <row r="55" spans="1:11">
      <c r="E55" s="191"/>
    </row>
    <row r="56" spans="1:11">
      <c r="A56" s="192" t="s">
        <v>97</v>
      </c>
      <c r="B56" s="193"/>
      <c r="C56" s="194"/>
      <c r="D56" s="194"/>
      <c r="E56" s="194"/>
      <c r="F56" s="195"/>
      <c r="G56" s="194"/>
      <c r="H56" s="196"/>
      <c r="I56" s="197" t="s">
        <v>98</v>
      </c>
      <c r="J56" s="198">
        <f>+D34+'30'!J56</f>
        <v>3810</v>
      </c>
      <c r="K56" s="199">
        <f>J56/(J40+J56/1000)/1000</f>
        <v>2.4420400071530628E-3</v>
      </c>
    </row>
    <row r="57" spans="1:11">
      <c r="A57" s="174"/>
      <c r="I57" s="197" t="s">
        <v>99</v>
      </c>
      <c r="J57" s="198">
        <f>+E34+'30'!J57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25" right="0.25" top="0.25" bottom="0.5" header="0.5" footer="0.5"/>
  <pageSetup paperSize="9" scale="60" firstPageNumber="4294963191"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Y61"/>
  <sheetViews>
    <sheetView view="pageBreakPreview" topLeftCell="A13" zoomScale="80" zoomScaleNormal="80" zoomScaleSheetLayoutView="80" workbookViewId="0">
      <selection activeCell="A7" sqref="A7:A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4.109375" style="149" customWidth="1"/>
    <col min="14" max="14" width="10.109375" style="149" bestFit="1" customWidth="1"/>
    <col min="15" max="15" width="13.88671875" style="149" bestFit="1" customWidth="1"/>
    <col min="16" max="16384" width="9.109375" style="149"/>
  </cols>
  <sheetData>
    <row r="1" spans="1:25" ht="15.6">
      <c r="A1" s="148"/>
    </row>
    <row r="2" spans="1:25" ht="15.6">
      <c r="A2" s="148" t="s">
        <v>219</v>
      </c>
    </row>
    <row r="3" spans="1:25" ht="15">
      <c r="A3" s="150"/>
    </row>
    <row r="4" spans="1:25" ht="21">
      <c r="A4" s="151" t="s">
        <v>4</v>
      </c>
      <c r="B4" s="152"/>
      <c r="F4" s="153" t="s">
        <v>29</v>
      </c>
      <c r="G4" s="154">
        <v>30</v>
      </c>
      <c r="H4" s="154" t="str">
        <f>+'1'!H4</f>
        <v>.03.26</v>
      </c>
      <c r="J4" s="149">
        <f>533+529+511</f>
        <v>1573</v>
      </c>
    </row>
    <row r="5" spans="1:25" ht="13.8" thickBot="1">
      <c r="C5" s="155"/>
      <c r="D5" s="155"/>
    </row>
    <row r="6" spans="1:25"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584</v>
      </c>
      <c r="O6" s="149">
        <v>1180</v>
      </c>
      <c r="P6" s="149">
        <f>+O6-(O6*0.16)</f>
        <v>991.2</v>
      </c>
      <c r="Q6" s="149">
        <v>15</v>
      </c>
      <c r="R6" s="149">
        <f t="shared" ref="R6:R7" si="0">+O6*Q6</f>
        <v>17700</v>
      </c>
      <c r="S6" s="149">
        <f t="shared" ref="S6:S7" si="1">+P6*Q6</f>
        <v>14868</v>
      </c>
      <c r="T6" s="149" t="s">
        <v>584</v>
      </c>
      <c r="U6" s="149">
        <v>1180</v>
      </c>
      <c r="V6" s="149">
        <v>991.2</v>
      </c>
      <c r="W6" s="149">
        <v>15</v>
      </c>
      <c r="X6" s="149">
        <f t="shared" ref="X6:X7" si="2">+U6*W6</f>
        <v>17700</v>
      </c>
      <c r="Y6" s="149">
        <f t="shared" ref="Y6:Y7" si="3">+V6*W6</f>
        <v>14868</v>
      </c>
    </row>
    <row r="7" spans="1:25" ht="13.5" customHeight="1" thickBot="1">
      <c r="A7" s="788" t="s">
        <v>428</v>
      </c>
      <c r="B7" s="213" t="s">
        <v>592</v>
      </c>
      <c r="C7" s="214">
        <f>203+4021</f>
        <v>4224</v>
      </c>
      <c r="D7" s="215"/>
      <c r="E7" s="216"/>
      <c r="F7" s="231"/>
      <c r="G7" s="553" t="s">
        <v>12</v>
      </c>
      <c r="H7" s="554" t="s">
        <v>417</v>
      </c>
      <c r="I7" s="791" t="s">
        <v>770</v>
      </c>
      <c r="J7" s="212" t="str">
        <f>+'29'!J7</f>
        <v>T 15 RC HW</v>
      </c>
      <c r="K7" s="233"/>
      <c r="L7" s="237"/>
      <c r="M7" s="117">
        <f>+K7+'29'!M7+L7</f>
        <v>444860</v>
      </c>
      <c r="N7" s="149" t="s">
        <v>465</v>
      </c>
      <c r="O7" s="149">
        <v>1160</v>
      </c>
      <c r="P7" s="149">
        <f>+O7-(O7*0.16)</f>
        <v>974.4</v>
      </c>
      <c r="Q7" s="149">
        <f>480-Q6</f>
        <v>465</v>
      </c>
      <c r="R7" s="149">
        <f t="shared" si="0"/>
        <v>539400</v>
      </c>
      <c r="S7" s="149">
        <f t="shared" si="1"/>
        <v>453096</v>
      </c>
      <c r="T7" s="149" t="s">
        <v>584</v>
      </c>
      <c r="U7" s="149">
        <v>1200</v>
      </c>
      <c r="V7" s="149">
        <v>1008</v>
      </c>
      <c r="W7" s="149">
        <v>255</v>
      </c>
      <c r="X7" s="149">
        <f t="shared" si="2"/>
        <v>306000</v>
      </c>
      <c r="Y7" s="149">
        <f t="shared" si="3"/>
        <v>257040</v>
      </c>
    </row>
    <row r="8" spans="1:25" ht="13.8" thickBot="1">
      <c r="A8" s="789"/>
      <c r="B8" s="213" t="s">
        <v>480</v>
      </c>
      <c r="C8" s="214">
        <v>15807</v>
      </c>
      <c r="D8" s="215"/>
      <c r="E8" s="217"/>
      <c r="F8" s="227"/>
      <c r="G8" s="555" t="s">
        <v>12</v>
      </c>
      <c r="H8" s="226" t="s">
        <v>419</v>
      </c>
      <c r="I8" s="792"/>
      <c r="J8" s="212" t="str">
        <f>+'29'!J8</f>
        <v>T 14,5 RC HW</v>
      </c>
      <c r="K8" s="234">
        <f>+C8+C16+C25</f>
        <v>50377</v>
      </c>
      <c r="L8" s="234"/>
      <c r="M8" s="117">
        <f>+K8+'29'!M8+L8</f>
        <v>259112</v>
      </c>
    </row>
    <row r="9" spans="1:25" ht="13.8" thickBot="1">
      <c r="A9" s="789"/>
      <c r="B9" s="213"/>
      <c r="C9" s="214"/>
      <c r="D9" s="215"/>
      <c r="E9" s="218"/>
      <c r="F9" s="227">
        <v>5</v>
      </c>
      <c r="G9" s="555" t="s">
        <v>12</v>
      </c>
      <c r="H9" s="229" t="s">
        <v>497</v>
      </c>
      <c r="I9" s="792"/>
      <c r="J9" s="212" t="str">
        <f>+'29'!J9</f>
        <v>T 14 RC HW</v>
      </c>
      <c r="K9" s="234"/>
      <c r="L9" s="234"/>
      <c r="M9" s="117">
        <f>+K9+'29'!M9+L9</f>
        <v>49646</v>
      </c>
    </row>
    <row r="10" spans="1:25" ht="79.8" thickBot="1">
      <c r="A10" s="789"/>
      <c r="B10" s="213"/>
      <c r="C10" s="214"/>
      <c r="D10" s="215"/>
      <c r="E10" s="217"/>
      <c r="F10" s="227"/>
      <c r="G10" s="225"/>
      <c r="H10" s="556" t="s">
        <v>764</v>
      </c>
      <c r="I10" s="792"/>
      <c r="J10" s="212" t="str">
        <f>+'29'!J10</f>
        <v>T 13,5 RC HW</v>
      </c>
      <c r="K10" s="234">
        <f>+C7</f>
        <v>4224</v>
      </c>
      <c r="L10" s="234"/>
      <c r="M10" s="117">
        <f>+K10+'29'!M10+L10</f>
        <v>500546</v>
      </c>
    </row>
    <row r="11" spans="1:25" ht="59.25" customHeight="1" thickBot="1">
      <c r="A11" s="789"/>
      <c r="B11" s="213"/>
      <c r="C11" s="214"/>
      <c r="D11" s="215"/>
      <c r="E11" s="217"/>
      <c r="F11" s="224"/>
      <c r="G11" s="228"/>
      <c r="H11" s="229" t="s">
        <v>765</v>
      </c>
      <c r="I11" s="792"/>
      <c r="J11" s="212" t="str">
        <f>+'29'!J11</f>
        <v>TW 22 RC HW</v>
      </c>
      <c r="K11" s="234"/>
      <c r="L11" s="234"/>
      <c r="M11" s="117">
        <f>+K11+'29'!M11+L11</f>
        <v>262946</v>
      </c>
    </row>
    <row r="12" spans="1:25" ht="13.8" thickBot="1">
      <c r="A12" s="789"/>
      <c r="B12" s="213"/>
      <c r="C12" s="214"/>
      <c r="D12" s="215"/>
      <c r="E12" s="217"/>
      <c r="F12" s="224"/>
      <c r="G12" s="228"/>
      <c r="H12" s="229"/>
      <c r="I12" s="792"/>
      <c r="J12" s="212">
        <f>+'29'!J12</f>
        <v>0</v>
      </c>
      <c r="K12" s="234"/>
      <c r="L12" s="234"/>
      <c r="M12" s="117">
        <f>+K12+'29'!M12+L12</f>
        <v>0</v>
      </c>
    </row>
    <row r="13" spans="1:25" ht="13.8" thickBot="1">
      <c r="A13" s="789"/>
      <c r="B13" s="213"/>
      <c r="C13" s="214"/>
      <c r="D13" s="214"/>
      <c r="E13" s="217"/>
      <c r="F13" s="224"/>
      <c r="G13" s="228"/>
      <c r="H13" s="229"/>
      <c r="I13" s="793"/>
      <c r="J13" s="212">
        <f>+'29'!J13</f>
        <v>0</v>
      </c>
      <c r="K13" s="234"/>
      <c r="L13" s="234"/>
      <c r="M13" s="117">
        <f>+K13+'29'!M13+L13</f>
        <v>0</v>
      </c>
      <c r="Q13" s="174">
        <f>SUM(Q6:Q12)</f>
        <v>480</v>
      </c>
      <c r="R13" s="174">
        <f>SUM(R6:R12)</f>
        <v>557100</v>
      </c>
      <c r="S13" s="174">
        <f>SUM(S6:S12)</f>
        <v>467964</v>
      </c>
      <c r="W13" s="174">
        <f>SUM(W6:W12)</f>
        <v>270</v>
      </c>
      <c r="X13" s="174">
        <f>SUM(X6:X12)</f>
        <v>323700</v>
      </c>
      <c r="Y13" s="174">
        <f>SUM(Y6:Y12)</f>
        <v>271908</v>
      </c>
    </row>
    <row r="14" spans="1:25" ht="13.8" thickBot="1">
      <c r="A14" s="790"/>
      <c r="B14" s="165" t="s">
        <v>3</v>
      </c>
      <c r="C14" s="99">
        <f>SUM(C7:C13)</f>
        <v>20031</v>
      </c>
      <c r="D14" s="111">
        <f>SUM(D7:D13)</f>
        <v>0</v>
      </c>
      <c r="E14" s="112">
        <f>SUM(E5:E13)</f>
        <v>0</v>
      </c>
      <c r="F14" s="116">
        <f>SUM(F7:F13)</f>
        <v>5</v>
      </c>
      <c r="G14" s="159"/>
      <c r="H14" s="166"/>
      <c r="I14" s="167"/>
      <c r="J14" s="212">
        <f>+'29'!J14</f>
        <v>0</v>
      </c>
      <c r="K14" s="234"/>
      <c r="L14" s="234"/>
      <c r="M14" s="117">
        <f>+K14+'29'!M14+L14</f>
        <v>0</v>
      </c>
      <c r="Q14" s="149">
        <f>480-Q13</f>
        <v>0</v>
      </c>
      <c r="R14" s="174">
        <f>+R13/Q13</f>
        <v>1160.625</v>
      </c>
      <c r="S14" s="174">
        <f>+S13/Q13</f>
        <v>974.92499999999995</v>
      </c>
      <c r="W14" s="149">
        <f>480-W13</f>
        <v>210</v>
      </c>
      <c r="X14" s="174">
        <f>+X13/W13</f>
        <v>1198.8888888888889</v>
      </c>
      <c r="Y14" s="174">
        <f>+Y13/W13</f>
        <v>1007.0666666666667</v>
      </c>
    </row>
    <row r="15" spans="1:25" ht="13.8" thickBot="1">
      <c r="A15" s="794" t="s">
        <v>387</v>
      </c>
      <c r="B15" s="513"/>
      <c r="C15" s="113">
        <f>C14/($C$23+$D$23+$E$23)</f>
        <v>1.1243264481365065</v>
      </c>
      <c r="D15" s="114">
        <f>D14/($C$23+$D$23+$E$23)</f>
        <v>0</v>
      </c>
      <c r="E15" s="115">
        <f>E14/($C$23+$D$23+$E$23)</f>
        <v>0</v>
      </c>
      <c r="F15" s="231"/>
      <c r="G15" s="553" t="s">
        <v>12</v>
      </c>
      <c r="H15" s="554" t="s">
        <v>417</v>
      </c>
      <c r="I15" s="791" t="s">
        <v>769</v>
      </c>
      <c r="J15" s="212">
        <f>+'29'!J15</f>
        <v>0</v>
      </c>
      <c r="K15" s="234"/>
      <c r="L15" s="234"/>
      <c r="M15" s="117">
        <f>+K15+'29'!M15+L15</f>
        <v>0</v>
      </c>
    </row>
    <row r="16" spans="1:25" ht="13.8" thickBot="1">
      <c r="A16" s="789"/>
      <c r="B16" s="512" t="s">
        <v>480</v>
      </c>
      <c r="C16" s="511">
        <v>17816</v>
      </c>
      <c r="D16" s="219"/>
      <c r="E16" s="220"/>
      <c r="F16" s="227">
        <v>2</v>
      </c>
      <c r="G16" s="555" t="s">
        <v>12</v>
      </c>
      <c r="H16" s="226" t="s">
        <v>416</v>
      </c>
      <c r="I16" s="792"/>
      <c r="J16" s="212">
        <f>+'29'!J16</f>
        <v>0</v>
      </c>
      <c r="K16" s="225"/>
      <c r="L16" s="225"/>
      <c r="M16" s="117">
        <f>+K16+'29'!M16+L16</f>
        <v>0</v>
      </c>
      <c r="N16" s="149" t="s">
        <v>465</v>
      </c>
      <c r="O16" s="149">
        <v>1160</v>
      </c>
      <c r="P16" s="149">
        <f>+O16-(O16*0.16)</f>
        <v>974.4</v>
      </c>
      <c r="Q16" s="149">
        <f>60*4</f>
        <v>240</v>
      </c>
      <c r="R16" s="149">
        <f t="shared" ref="R16:R18" si="4">+O16*Q16</f>
        <v>278400</v>
      </c>
      <c r="S16" s="149">
        <f t="shared" ref="S16:S18" si="5">+P16*Q16</f>
        <v>233856</v>
      </c>
      <c r="T16" s="149" t="s">
        <v>465</v>
      </c>
      <c r="U16" s="149">
        <v>1160</v>
      </c>
      <c r="V16" s="149">
        <v>974.4</v>
      </c>
      <c r="W16" s="149">
        <v>465</v>
      </c>
      <c r="X16" s="149">
        <f t="shared" ref="X16" si="6">+U16*W16</f>
        <v>539400</v>
      </c>
      <c r="Y16" s="149">
        <f t="shared" ref="Y16" si="7">+V16*W16</f>
        <v>453096</v>
      </c>
    </row>
    <row r="17" spans="1:25" ht="13.8" thickBot="1">
      <c r="A17" s="789"/>
      <c r="B17" s="213"/>
      <c r="C17" s="214"/>
      <c r="D17" s="215"/>
      <c r="E17" s="221"/>
      <c r="F17" s="227">
        <v>8</v>
      </c>
      <c r="G17" s="555" t="s">
        <v>12</v>
      </c>
      <c r="H17" s="229" t="s">
        <v>418</v>
      </c>
      <c r="I17" s="792"/>
      <c r="J17" s="212">
        <f>+'29'!J17</f>
        <v>0</v>
      </c>
      <c r="K17" s="225"/>
      <c r="L17" s="225"/>
      <c r="M17" s="117">
        <f>+K17+'29'!M17+L17</f>
        <v>0</v>
      </c>
      <c r="O17" s="149">
        <v>1000</v>
      </c>
      <c r="P17" s="149">
        <f t="shared" ref="P17:P18" si="8">+O17-(O17*0.16)</f>
        <v>840</v>
      </c>
      <c r="Q17" s="149">
        <f>60*2+45</f>
        <v>165</v>
      </c>
      <c r="R17" s="149">
        <f t="shared" si="4"/>
        <v>165000</v>
      </c>
      <c r="S17" s="149">
        <f t="shared" si="5"/>
        <v>138600</v>
      </c>
      <c r="T17" s="149" t="s">
        <v>465</v>
      </c>
      <c r="U17" s="149">
        <v>1160</v>
      </c>
      <c r="V17" s="149">
        <v>974.4</v>
      </c>
      <c r="W17" s="149">
        <v>240</v>
      </c>
      <c r="X17" s="149">
        <f t="shared" ref="X17:X19" si="9">+U17*W17</f>
        <v>278400</v>
      </c>
      <c r="Y17" s="149">
        <f t="shared" ref="Y17:Y19" si="10">+V17*W17</f>
        <v>233856</v>
      </c>
    </row>
    <row r="18" spans="1:25" ht="53.4" thickBot="1">
      <c r="A18" s="789"/>
      <c r="B18" s="213"/>
      <c r="C18" s="214"/>
      <c r="D18" s="215"/>
      <c r="E18" s="221"/>
      <c r="F18" s="227"/>
      <c r="G18" s="225"/>
      <c r="H18" s="556" t="s">
        <v>763</v>
      </c>
      <c r="I18" s="792"/>
      <c r="J18" s="212">
        <f>+'29'!J18</f>
        <v>0</v>
      </c>
      <c r="K18" s="234"/>
      <c r="L18" s="234"/>
      <c r="M18" s="117">
        <f>+K18+'29'!M18+L18</f>
        <v>0</v>
      </c>
      <c r="O18" s="149">
        <v>1050</v>
      </c>
      <c r="P18" s="149">
        <f t="shared" si="8"/>
        <v>882</v>
      </c>
      <c r="Q18" s="149">
        <f>60-45+60</f>
        <v>75</v>
      </c>
      <c r="R18" s="149">
        <f t="shared" si="4"/>
        <v>78750</v>
      </c>
      <c r="S18" s="149">
        <f t="shared" si="5"/>
        <v>66150</v>
      </c>
      <c r="U18" s="149">
        <v>1000</v>
      </c>
      <c r="V18" s="149">
        <v>840</v>
      </c>
      <c r="W18" s="149">
        <v>165</v>
      </c>
      <c r="X18" s="149">
        <f t="shared" si="9"/>
        <v>165000</v>
      </c>
      <c r="Y18" s="149">
        <f t="shared" si="10"/>
        <v>138600</v>
      </c>
    </row>
    <row r="19" spans="1:25" ht="79.8" thickBot="1">
      <c r="A19" s="789"/>
      <c r="B19" s="213"/>
      <c r="C19" s="214"/>
      <c r="D19" s="215"/>
      <c r="E19" s="221"/>
      <c r="F19" s="230"/>
      <c r="G19" s="228"/>
      <c r="H19" s="229" t="s">
        <v>762</v>
      </c>
      <c r="I19" s="792"/>
      <c r="J19" s="212">
        <f>+'29'!J19</f>
        <v>0</v>
      </c>
      <c r="K19" s="234"/>
      <c r="L19" s="234"/>
      <c r="M19" s="117">
        <f>+K19+'29'!M19+L19</f>
        <v>0</v>
      </c>
      <c r="U19" s="149">
        <v>1050</v>
      </c>
      <c r="V19" s="149">
        <v>882</v>
      </c>
      <c r="W19" s="149">
        <v>75</v>
      </c>
      <c r="X19" s="149">
        <f t="shared" si="9"/>
        <v>78750</v>
      </c>
      <c r="Y19" s="149">
        <f t="shared" si="10"/>
        <v>66150</v>
      </c>
    </row>
    <row r="20" spans="1:25" ht="13.8" thickBot="1">
      <c r="A20" s="789"/>
      <c r="B20" s="213"/>
      <c r="C20" s="214"/>
      <c r="D20" s="215"/>
      <c r="E20" s="221"/>
      <c r="F20" s="224"/>
      <c r="G20" s="228"/>
      <c r="H20" s="229"/>
      <c r="I20" s="792"/>
      <c r="J20" s="212">
        <f>+'29'!J20</f>
        <v>0</v>
      </c>
      <c r="K20" s="235"/>
      <c r="L20" s="235"/>
      <c r="M20" s="117">
        <f>+K20+'29'!M20+L20</f>
        <v>0</v>
      </c>
      <c r="T20" s="149" t="s">
        <v>465</v>
      </c>
      <c r="U20" s="149">
        <v>1080</v>
      </c>
      <c r="V20" s="149">
        <v>907.2</v>
      </c>
      <c r="W20" s="149">
        <v>165</v>
      </c>
      <c r="X20" s="149">
        <f t="shared" ref="X20:X21" si="11">+U20*W20</f>
        <v>178200</v>
      </c>
      <c r="Y20" s="149">
        <f t="shared" ref="Y20:Y21" si="12">+V20*W20</f>
        <v>149688</v>
      </c>
    </row>
    <row r="21" spans="1:25" ht="13.8" thickBot="1">
      <c r="A21" s="789"/>
      <c r="B21" s="213"/>
      <c r="C21" s="214"/>
      <c r="D21" s="215"/>
      <c r="E21" s="221"/>
      <c r="F21" s="227"/>
      <c r="G21" s="228"/>
      <c r="H21" s="229"/>
      <c r="I21" s="792"/>
      <c r="J21" s="212">
        <f>+'29'!J21</f>
        <v>0</v>
      </c>
      <c r="K21" s="234"/>
      <c r="L21" s="234"/>
      <c r="M21" s="117">
        <f>+K21+'29'!M21+L21</f>
        <v>0</v>
      </c>
      <c r="U21" s="149">
        <v>1160</v>
      </c>
      <c r="V21" s="149">
        <v>974.4</v>
      </c>
      <c r="W21" s="149">
        <v>60</v>
      </c>
      <c r="X21" s="149">
        <f t="shared" si="11"/>
        <v>69600</v>
      </c>
      <c r="Y21" s="149">
        <f t="shared" si="12"/>
        <v>58464</v>
      </c>
    </row>
    <row r="22" spans="1:25" ht="13.8" thickBot="1">
      <c r="A22" s="789"/>
      <c r="B22" s="213"/>
      <c r="C22" s="214"/>
      <c r="D22" s="215"/>
      <c r="E22" s="221"/>
      <c r="F22" s="231"/>
      <c r="G22" s="228"/>
      <c r="H22" s="229"/>
      <c r="I22" s="793"/>
      <c r="J22" s="212">
        <f>+'29'!J22</f>
        <v>0</v>
      </c>
      <c r="K22" s="234"/>
      <c r="L22" s="234"/>
      <c r="M22" s="117">
        <f>+K22+'29'!M22+L22</f>
        <v>0</v>
      </c>
    </row>
    <row r="23" spans="1:25" ht="13.8" thickBot="1">
      <c r="A23" s="790"/>
      <c r="B23" s="165" t="s">
        <v>3</v>
      </c>
      <c r="C23" s="99">
        <f>SUM(C16:C22)</f>
        <v>17816</v>
      </c>
      <c r="D23" s="111">
        <f>SUM(D16:D22)</f>
        <v>0</v>
      </c>
      <c r="E23" s="112">
        <f>SUM(E18:E22)</f>
        <v>0</v>
      </c>
      <c r="F23" s="116">
        <f>SUM(F15:F22)</f>
        <v>10</v>
      </c>
      <c r="G23" s="159"/>
      <c r="H23" s="166"/>
      <c r="I23" s="168"/>
      <c r="J23" s="212">
        <f>+'29'!J23</f>
        <v>0</v>
      </c>
      <c r="K23" s="234"/>
      <c r="L23" s="234"/>
      <c r="M23" s="117">
        <f>+K23+'29'!M23+L23</f>
        <v>0</v>
      </c>
      <c r="Q23" s="174">
        <f>SUM(Q16:Q22)</f>
        <v>480</v>
      </c>
      <c r="R23" s="174">
        <f>SUM(R16:R22)</f>
        <v>522150</v>
      </c>
      <c r="S23" s="174">
        <f>SUM(S16:S22)</f>
        <v>438606</v>
      </c>
      <c r="W23" s="174">
        <f>SUM(W16:W22)</f>
        <v>1170</v>
      </c>
      <c r="X23" s="174">
        <f>SUM(X16:X22)</f>
        <v>1309350</v>
      </c>
      <c r="Y23" s="174">
        <f>SUM(Y16:Y22)</f>
        <v>1099854</v>
      </c>
    </row>
    <row r="24" spans="1:25" ht="13.8" thickBot="1">
      <c r="A24" s="794" t="s">
        <v>458</v>
      </c>
      <c r="B24" s="513"/>
      <c r="C24" s="113">
        <f>C23/($C$23+$D$23+$E$23)</f>
        <v>1</v>
      </c>
      <c r="D24" s="114">
        <f>D23/($C$23+$D$23+$E$23)</f>
        <v>0</v>
      </c>
      <c r="E24" s="115">
        <f>E23/($C$23+$D$23+$E$23)</f>
        <v>0</v>
      </c>
      <c r="F24" s="231"/>
      <c r="G24" s="553" t="s">
        <v>12</v>
      </c>
      <c r="H24" s="554" t="s">
        <v>417</v>
      </c>
      <c r="I24" s="791" t="s">
        <v>768</v>
      </c>
      <c r="J24" s="212">
        <f>+'29'!J24</f>
        <v>0</v>
      </c>
      <c r="K24" s="234"/>
      <c r="L24" s="234"/>
      <c r="M24" s="117">
        <f>+K24+'29'!M24+L24</f>
        <v>0</v>
      </c>
      <c r="Q24" s="149">
        <f>480-Q23</f>
        <v>0</v>
      </c>
      <c r="R24" s="174">
        <f>+R23/Q23</f>
        <v>1087.8125</v>
      </c>
      <c r="S24" s="174">
        <f>+S23/Q23</f>
        <v>913.76250000000005</v>
      </c>
      <c r="W24" s="149">
        <f>480-W23</f>
        <v>-690</v>
      </c>
      <c r="X24" s="174">
        <f>+X23/W23</f>
        <v>1119.1025641025642</v>
      </c>
      <c r="Y24" s="174">
        <f>+Y23/W23</f>
        <v>940.04615384615386</v>
      </c>
    </row>
    <row r="25" spans="1:25" ht="13.8" thickBot="1">
      <c r="A25" s="789"/>
      <c r="B25" s="512" t="s">
        <v>480</v>
      </c>
      <c r="C25" s="222">
        <v>16754</v>
      </c>
      <c r="D25" s="215"/>
      <c r="E25" s="221"/>
      <c r="F25" s="227">
        <v>1</v>
      </c>
      <c r="G25" s="555" t="s">
        <v>12</v>
      </c>
      <c r="H25" s="226" t="s">
        <v>416</v>
      </c>
      <c r="I25" s="792"/>
      <c r="J25" s="212">
        <f>+'29'!J25</f>
        <v>0</v>
      </c>
      <c r="K25" s="234"/>
      <c r="L25" s="234"/>
      <c r="M25" s="117">
        <f>+K25+'29'!M25+L25</f>
        <v>0</v>
      </c>
    </row>
    <row r="26" spans="1:25" ht="13.8" thickBot="1">
      <c r="A26" s="789"/>
      <c r="B26" s="213"/>
      <c r="C26" s="222"/>
      <c r="D26" s="215"/>
      <c r="E26" s="223"/>
      <c r="F26" s="227">
        <v>5</v>
      </c>
      <c r="G26" s="555" t="s">
        <v>12</v>
      </c>
      <c r="H26" s="229" t="s">
        <v>418</v>
      </c>
      <c r="I26" s="792"/>
      <c r="J26" s="212">
        <f>+'29'!J26</f>
        <v>0</v>
      </c>
      <c r="K26" s="234"/>
      <c r="L26" s="234"/>
      <c r="M26" s="117">
        <f>+K26+'29'!M26+L26</f>
        <v>0</v>
      </c>
      <c r="N26" s="149" t="s">
        <v>465</v>
      </c>
      <c r="O26" s="149">
        <v>1080</v>
      </c>
      <c r="P26" s="149">
        <f>+O26-(O26*0.16)</f>
        <v>907.2</v>
      </c>
      <c r="Q26" s="149">
        <f>60*2+45</f>
        <v>165</v>
      </c>
      <c r="R26" s="149">
        <f t="shared" ref="R26:R28" si="13">+O26*Q26</f>
        <v>178200</v>
      </c>
      <c r="S26" s="149">
        <f t="shared" ref="S26:S28" si="14">+P26*Q26</f>
        <v>149688</v>
      </c>
    </row>
    <row r="27" spans="1:25" ht="93" thickBot="1">
      <c r="A27" s="789"/>
      <c r="B27" s="213"/>
      <c r="C27" s="214"/>
      <c r="D27" s="215"/>
      <c r="E27" s="221"/>
      <c r="F27" s="227"/>
      <c r="G27" s="225"/>
      <c r="H27" s="556" t="s">
        <v>760</v>
      </c>
      <c r="I27" s="792"/>
      <c r="J27" s="212">
        <f>+'29'!J27</f>
        <v>0</v>
      </c>
      <c r="K27" s="234"/>
      <c r="L27" s="234"/>
      <c r="M27" s="117">
        <f>+K27+'29'!M27+L27</f>
        <v>0</v>
      </c>
      <c r="O27" s="149">
        <v>1160</v>
      </c>
      <c r="P27" s="149">
        <f t="shared" ref="P27:P28" si="15">+O27-(O27*0.16)</f>
        <v>974.4</v>
      </c>
      <c r="Q27" s="149">
        <f>60-45+45</f>
        <v>60</v>
      </c>
      <c r="R27" s="149">
        <f t="shared" si="13"/>
        <v>69600</v>
      </c>
      <c r="S27" s="149">
        <f t="shared" si="14"/>
        <v>58464</v>
      </c>
    </row>
    <row r="28" spans="1:25" ht="106.5" customHeight="1" thickBot="1">
      <c r="A28" s="789"/>
      <c r="B28" s="213"/>
      <c r="C28" s="214"/>
      <c r="D28" s="215"/>
      <c r="E28" s="221"/>
      <c r="F28" s="227"/>
      <c r="G28" s="225"/>
      <c r="H28" s="229" t="s">
        <v>761</v>
      </c>
      <c r="I28" s="792"/>
      <c r="J28" s="212">
        <f>+'29'!J28</f>
        <v>0</v>
      </c>
      <c r="K28" s="234"/>
      <c r="L28" s="234"/>
      <c r="M28" s="117">
        <f>+K28+'29'!M28+L28</f>
        <v>0</v>
      </c>
      <c r="N28" s="149" t="s">
        <v>584</v>
      </c>
      <c r="O28" s="149">
        <v>1200</v>
      </c>
      <c r="P28" s="149">
        <f t="shared" si="15"/>
        <v>1008</v>
      </c>
      <c r="Q28" s="149">
        <f>60-45+240</f>
        <v>255</v>
      </c>
      <c r="R28" s="149">
        <f t="shared" si="13"/>
        <v>306000</v>
      </c>
      <c r="S28" s="149">
        <f t="shared" si="14"/>
        <v>257040</v>
      </c>
    </row>
    <row r="29" spans="1:25" ht="13.8" thickBot="1">
      <c r="A29" s="789"/>
      <c r="B29" s="213"/>
      <c r="C29" s="214"/>
      <c r="D29" s="215"/>
      <c r="E29" s="221"/>
      <c r="F29" s="231"/>
      <c r="G29" s="228"/>
      <c r="H29" s="229"/>
      <c r="I29" s="792"/>
      <c r="J29" s="212">
        <f>+'29'!J29</f>
        <v>0</v>
      </c>
      <c r="K29" s="234"/>
      <c r="L29" s="234"/>
      <c r="M29" s="117">
        <f>+K29+'29'!M29+L29</f>
        <v>0</v>
      </c>
    </row>
    <row r="30" spans="1:25" ht="13.8" thickBot="1">
      <c r="A30" s="789"/>
      <c r="B30" s="213"/>
      <c r="C30" s="222"/>
      <c r="D30" s="215"/>
      <c r="E30" s="221"/>
      <c r="F30" s="231"/>
      <c r="G30" s="228"/>
      <c r="H30" s="229"/>
      <c r="I30" s="792"/>
      <c r="J30" s="212">
        <f>+'29'!J30</f>
        <v>0</v>
      </c>
      <c r="K30" s="234"/>
      <c r="L30" s="234"/>
      <c r="M30" s="117">
        <f>+K30+'29'!M30+L30</f>
        <v>0</v>
      </c>
    </row>
    <row r="31" spans="1:25" ht="13.8" thickBot="1">
      <c r="A31" s="789"/>
      <c r="B31" s="213"/>
      <c r="C31" s="222"/>
      <c r="D31" s="215"/>
      <c r="E31" s="221"/>
      <c r="F31" s="231"/>
      <c r="G31" s="232"/>
      <c r="H31" s="404"/>
      <c r="I31" s="793"/>
      <c r="J31" s="212">
        <f>+'29'!J31</f>
        <v>0</v>
      </c>
      <c r="K31" s="234"/>
      <c r="L31" s="234"/>
      <c r="M31" s="117">
        <f>+K31+'29'!M31+L31</f>
        <v>0</v>
      </c>
    </row>
    <row r="32" spans="1:25" ht="13.8" thickBot="1">
      <c r="A32" s="790"/>
      <c r="B32" s="165" t="s">
        <v>3</v>
      </c>
      <c r="C32" s="99">
        <f>SUM(C25:C31)</f>
        <v>16754</v>
      </c>
      <c r="D32" s="100">
        <f>SUM(D25:D31)</f>
        <v>0</v>
      </c>
      <c r="E32" s="101">
        <f>SUM(E25:E31)</f>
        <v>0</v>
      </c>
      <c r="F32" s="99">
        <f>SUM(F24:F31)</f>
        <v>6</v>
      </c>
      <c r="G32" s="169"/>
      <c r="H32" s="170"/>
      <c r="I32" s="168"/>
      <c r="J32" s="212">
        <f>+'29'!J32</f>
        <v>0</v>
      </c>
      <c r="K32" s="236"/>
      <c r="L32" s="238"/>
      <c r="M32" s="117">
        <f>+K32+'29'!M32+L32</f>
        <v>0</v>
      </c>
    </row>
    <row r="33" spans="1:19" ht="13.8" thickBot="1">
      <c r="A33" s="171"/>
      <c r="B33" s="172"/>
      <c r="C33" s="103">
        <f>C32/($C$32+$D$32+$E$32)</f>
        <v>1</v>
      </c>
      <c r="D33" s="104">
        <f>D32/($C$32+$D$32+$E$32)</f>
        <v>0</v>
      </c>
      <c r="E33" s="105">
        <f>E32/($C$32+$D$32+$E$32)</f>
        <v>0</v>
      </c>
      <c r="F33" s="106"/>
      <c r="G33" s="173"/>
      <c r="H33" s="174"/>
      <c r="I33" s="175"/>
      <c r="J33" s="121"/>
      <c r="K33" s="122"/>
      <c r="L33" s="211"/>
      <c r="M33" s="119"/>
      <c r="Q33" s="174">
        <f>SUM(Q26:Q32)</f>
        <v>480</v>
      </c>
      <c r="R33" s="174">
        <f>SUM(R26:R32)</f>
        <v>553800</v>
      </c>
      <c r="S33" s="174">
        <f>SUM(S26:S32)</f>
        <v>465192</v>
      </c>
    </row>
    <row r="34" spans="1:19" ht="13.8" thickBot="1">
      <c r="A34" s="795" t="s">
        <v>68</v>
      </c>
      <c r="B34" s="796"/>
      <c r="C34" s="107">
        <f>C14+C23+C32</f>
        <v>54601</v>
      </c>
      <c r="D34" s="107">
        <f>D14+D23+D32</f>
        <v>0</v>
      </c>
      <c r="E34" s="107">
        <f>E14+E23+E32</f>
        <v>0</v>
      </c>
      <c r="F34" s="108">
        <f>F14+F23+F32</f>
        <v>21</v>
      </c>
      <c r="H34" s="176"/>
      <c r="I34" s="176"/>
      <c r="J34" s="123" t="s">
        <v>28</v>
      </c>
      <c r="K34" s="124">
        <f>SUM(K7:K32)</f>
        <v>54601</v>
      </c>
      <c r="L34" s="210">
        <f>SUM(L7:L32)</f>
        <v>0</v>
      </c>
      <c r="M34" s="120">
        <f>SUM(M7:M32)</f>
        <v>1517110</v>
      </c>
      <c r="Q34" s="149">
        <f>480-Q33</f>
        <v>0</v>
      </c>
      <c r="R34" s="174">
        <f>+R33/Q33</f>
        <v>1153.75</v>
      </c>
      <c r="S34" s="174">
        <f>+S33/Q33</f>
        <v>969.15</v>
      </c>
    </row>
    <row r="35" spans="1:19" ht="13.8" thickBot="1">
      <c r="A35" s="177"/>
      <c r="B35" s="178"/>
      <c r="C35" s="104">
        <f>C34/($C$34+$D$34+$E$34)</f>
        <v>1</v>
      </c>
      <c r="D35" s="104">
        <f>D34/($C$34+$D$34+$E$34)</f>
        <v>0</v>
      </c>
      <c r="E35" s="109">
        <f>E34/($C$34+$D$34+$E$34)</f>
        <v>0</v>
      </c>
      <c r="K35" s="155"/>
    </row>
    <row r="36" spans="1:19" ht="13.8" thickBot="1">
      <c r="A36" s="176"/>
      <c r="B36" s="176"/>
      <c r="C36" s="155"/>
      <c r="D36" s="155"/>
      <c r="E36" s="155"/>
      <c r="G36" s="155"/>
      <c r="H36" s="179"/>
      <c r="I36" s="162" t="s">
        <v>37</v>
      </c>
      <c r="J36" s="162" t="s">
        <v>38</v>
      </c>
      <c r="K36" s="180"/>
    </row>
    <row r="37" spans="1:19" ht="17.399999999999999" customHeight="1" thickBot="1">
      <c r="A37" s="797" t="s">
        <v>69</v>
      </c>
      <c r="B37" s="798"/>
      <c r="C37" s="162" t="s">
        <v>70</v>
      </c>
      <c r="D37" s="181" t="s">
        <v>71</v>
      </c>
      <c r="E37" s="182" t="s">
        <v>72</v>
      </c>
      <c r="F37" s="304"/>
      <c r="G37" s="306"/>
      <c r="H37" s="184" t="s">
        <v>73</v>
      </c>
      <c r="I37" s="239">
        <f>(13.5*270+14.5*1170)/1440*G42*2.7*1440/1000000</f>
        <v>53.010027787499993</v>
      </c>
      <c r="J37" s="125">
        <f>+I37+'29'!J37</f>
        <v>1612.6730959920617</v>
      </c>
      <c r="K37" s="126" t="s">
        <v>74</v>
      </c>
    </row>
    <row r="38" spans="1:19" ht="17.399999999999999" customHeight="1">
      <c r="A38" s="799" t="s">
        <v>12</v>
      </c>
      <c r="B38" s="800"/>
      <c r="C38" s="164">
        <f>SUMIF($G$7:$G$31,"Process",$F$7:$F$31)</f>
        <v>21</v>
      </c>
      <c r="D38" s="118">
        <f>C38+'29'!D38</f>
        <v>850</v>
      </c>
      <c r="E38" s="143">
        <f t="shared" ref="E38:E52" si="16">D38/60</f>
        <v>14.166666666666666</v>
      </c>
      <c r="F38" s="304">
        <v>1160.625</v>
      </c>
      <c r="G38" s="304">
        <v>974.92499999999995</v>
      </c>
      <c r="H38" s="185" t="s">
        <v>75</v>
      </c>
      <c r="I38" s="240">
        <f>17.553+16.851+15.861</f>
        <v>50.265000000000001</v>
      </c>
      <c r="J38" s="127">
        <f>+I38+'29'!J38</f>
        <v>1548.4220000000005</v>
      </c>
      <c r="K38" s="128" t="s">
        <v>74</v>
      </c>
    </row>
    <row r="39" spans="1:19" ht="17.399999999999999" customHeight="1">
      <c r="A39" s="786" t="s">
        <v>13</v>
      </c>
      <c r="B39" s="787"/>
      <c r="C39" s="164">
        <f>SUMIF($G$7:$G$31,"Cleaning",$F$7:$F$31)</f>
        <v>0</v>
      </c>
      <c r="D39" s="118">
        <f>C39+'29'!D39</f>
        <v>0</v>
      </c>
      <c r="E39" s="143">
        <f t="shared" si="16"/>
        <v>0</v>
      </c>
      <c r="F39" s="304">
        <v>1087.8125</v>
      </c>
      <c r="G39" s="304">
        <v>913.76250000000005</v>
      </c>
      <c r="H39" s="185" t="s">
        <v>76</v>
      </c>
      <c r="I39" s="142"/>
      <c r="J39" s="129">
        <f>J37/G4</f>
        <v>53.755769866402055</v>
      </c>
      <c r="K39" s="130" t="s">
        <v>74</v>
      </c>
      <c r="O39" s="149" t="s">
        <v>584</v>
      </c>
      <c r="P39" s="149">
        <v>1198.8888888888889</v>
      </c>
      <c r="Q39" s="149">
        <v>1007.0666666666667</v>
      </c>
      <c r="R39" s="149">
        <v>270</v>
      </c>
    </row>
    <row r="40" spans="1:19" ht="17.399999999999999" customHeight="1">
      <c r="A40" s="786" t="s">
        <v>77</v>
      </c>
      <c r="B40" s="787"/>
      <c r="C40" s="164">
        <f>SUMIF($G$7:$G$31,"Mechanical",$F$7:$F$31)</f>
        <v>0</v>
      </c>
      <c r="D40" s="118">
        <f>C40+'29'!D40</f>
        <v>0</v>
      </c>
      <c r="E40" s="143">
        <f t="shared" si="16"/>
        <v>0</v>
      </c>
      <c r="F40" s="304">
        <v>1153.75</v>
      </c>
      <c r="G40" s="304">
        <v>969.15</v>
      </c>
      <c r="H40" s="185" t="s">
        <v>78</v>
      </c>
      <c r="I40" s="118">
        <f>(K34+L34)/1000</f>
        <v>54.600999999999999</v>
      </c>
      <c r="J40" s="131">
        <f>+I40+'29'!J40</f>
        <v>1517.1099999999997</v>
      </c>
      <c r="K40" s="130" t="s">
        <v>74</v>
      </c>
      <c r="O40" s="149" t="s">
        <v>465</v>
      </c>
      <c r="P40" s="149">
        <v>1119.1025641025642</v>
      </c>
      <c r="Q40" s="149">
        <v>940.04615384615386</v>
      </c>
      <c r="R40" s="149">
        <v>1170</v>
      </c>
    </row>
    <row r="41" spans="1:19" ht="17.399999999999999" customHeight="1">
      <c r="A41" s="786" t="s">
        <v>79</v>
      </c>
      <c r="B41" s="787"/>
      <c r="C41" s="164">
        <f>SUMIF($G$7:$G$31,"Electrical",$F$7:$F$31)</f>
        <v>0</v>
      </c>
      <c r="D41" s="118">
        <f>C41+'29'!D41</f>
        <v>0</v>
      </c>
      <c r="E41" s="143">
        <f t="shared" si="16"/>
        <v>0</v>
      </c>
      <c r="F41" s="304"/>
      <c r="G41" s="304"/>
      <c r="H41" s="185" t="s">
        <v>80</v>
      </c>
      <c r="I41" s="142"/>
      <c r="J41" s="129">
        <f>J40/G4</f>
        <v>50.570333333333323</v>
      </c>
      <c r="K41" s="130" t="s">
        <v>74</v>
      </c>
      <c r="R41" s="149">
        <f>SUM(R39:R40)</f>
        <v>1440</v>
      </c>
    </row>
    <row r="42" spans="1:19" ht="17.399999999999999" customHeight="1">
      <c r="A42" s="786" t="s">
        <v>16</v>
      </c>
      <c r="B42" s="787"/>
      <c r="C42" s="164">
        <f>SUMIF($G$7:$G$31,"Instrument",$F$7:$F$31)</f>
        <v>0</v>
      </c>
      <c r="D42" s="118">
        <f>C42+'29'!D42</f>
        <v>0</v>
      </c>
      <c r="E42" s="143">
        <f t="shared" si="16"/>
        <v>0</v>
      </c>
      <c r="F42" s="183">
        <f>+(F38*480+F39*480+F40*480)/1440</f>
        <v>1134.0625</v>
      </c>
      <c r="G42" s="183">
        <f>+(G38*480+G39*480+G40*480)/1440</f>
        <v>952.61249999999995</v>
      </c>
      <c r="H42" s="185" t="s">
        <v>81</v>
      </c>
      <c r="I42" s="241" t="s">
        <v>771</v>
      </c>
      <c r="J42" s="132"/>
      <c r="K42" s="130" t="s">
        <v>82</v>
      </c>
    </row>
    <row r="43" spans="1:19" ht="17.399999999999999" customHeight="1">
      <c r="A43" s="786" t="s">
        <v>83</v>
      </c>
      <c r="B43" s="787"/>
      <c r="C43" s="164">
        <f>SUMIF($G$7:$G$31,"Water",$F$7:$F$31)</f>
        <v>0</v>
      </c>
      <c r="D43" s="118">
        <f>C43+'29'!D43</f>
        <v>0</v>
      </c>
      <c r="E43" s="143">
        <f t="shared" si="16"/>
        <v>0</v>
      </c>
      <c r="F43" s="304"/>
      <c r="G43" s="305"/>
      <c r="H43" s="186" t="s">
        <v>84</v>
      </c>
      <c r="I43" s="118">
        <f>+Report1!Z38</f>
        <v>91.2</v>
      </c>
      <c r="J43" s="133">
        <f>+I43+'29'!J43</f>
        <v>2866.7200000000003</v>
      </c>
      <c r="K43" s="130" t="s">
        <v>74</v>
      </c>
      <c r="L43" s="187"/>
    </row>
    <row r="44" spans="1:19" ht="17.399999999999999" customHeight="1">
      <c r="A44" s="786" t="s">
        <v>17</v>
      </c>
      <c r="B44" s="787"/>
      <c r="C44" s="164">
        <f>SUMIF($G$7:$G$31,"PLN",$F$7:$F$31)</f>
        <v>0</v>
      </c>
      <c r="D44" s="118">
        <f>C44+'29'!D44</f>
        <v>0</v>
      </c>
      <c r="E44" s="143">
        <f t="shared" si="16"/>
        <v>0</v>
      </c>
      <c r="F44" s="304"/>
      <c r="G44" s="305"/>
      <c r="H44" s="186" t="s">
        <v>85</v>
      </c>
      <c r="I44" s="118">
        <f>I43/I38</f>
        <v>1.8143837660399882</v>
      </c>
      <c r="J44" s="134">
        <f>J43/J38</f>
        <v>1.8513816001064305</v>
      </c>
      <c r="K44" s="130" t="s">
        <v>74</v>
      </c>
    </row>
    <row r="45" spans="1:19" ht="17.399999999999999" customHeight="1">
      <c r="A45" s="786" t="s">
        <v>18</v>
      </c>
      <c r="B45" s="787"/>
      <c r="C45" s="164">
        <f>SUMIF($G$7:$G$31,"Boiler",$F$7:$F$31)</f>
        <v>0</v>
      </c>
      <c r="D45" s="118">
        <f>C45+'29'!D45</f>
        <v>0</v>
      </c>
      <c r="E45" s="143">
        <f t="shared" si="16"/>
        <v>0</v>
      </c>
      <c r="F45" s="304"/>
      <c r="G45" s="307"/>
      <c r="H45" s="186" t="s">
        <v>86</v>
      </c>
      <c r="I45" s="118">
        <f>I43/I40</f>
        <v>1.6702990787714511</v>
      </c>
      <c r="J45" s="134">
        <f>J43/J40</f>
        <v>1.889592712459875</v>
      </c>
      <c r="K45" s="130" t="s">
        <v>74</v>
      </c>
    </row>
    <row r="46" spans="1:19" ht="17.399999999999999" customHeight="1">
      <c r="A46" s="786" t="s">
        <v>87</v>
      </c>
      <c r="B46" s="787"/>
      <c r="C46" s="164">
        <f>SUMIF($G$7:$G$31,"Gas",$F$7:$F$31)</f>
        <v>0</v>
      </c>
      <c r="D46" s="118">
        <f>C46+'29'!D46</f>
        <v>0</v>
      </c>
      <c r="E46" s="143">
        <f t="shared" si="16"/>
        <v>0</v>
      </c>
      <c r="F46" s="304"/>
      <c r="G46" s="305"/>
      <c r="H46" s="186" t="s">
        <v>88</v>
      </c>
      <c r="I46" s="140">
        <f>+SUMIF(Listrik!X37,"&gt;0")</f>
        <v>41917.126586746686</v>
      </c>
      <c r="J46" s="135">
        <f>+I46+'29'!J46</f>
        <v>1160648.9290749605</v>
      </c>
      <c r="K46" s="130" t="s">
        <v>89</v>
      </c>
    </row>
    <row r="47" spans="1:19" ht="17.399999999999999" customHeight="1">
      <c r="A47" s="786" t="s">
        <v>90</v>
      </c>
      <c r="B47" s="787"/>
      <c r="C47" s="164">
        <f>SUMIF($G$7:$G$31,"Gas",$F$7:$F$31)</f>
        <v>0</v>
      </c>
      <c r="D47" s="118">
        <f>C47+'29'!D47</f>
        <v>0</v>
      </c>
      <c r="E47" s="143">
        <f t="shared" si="16"/>
        <v>0</v>
      </c>
      <c r="F47" s="304"/>
      <c r="G47" s="305"/>
      <c r="H47" s="186" t="s">
        <v>91</v>
      </c>
      <c r="I47" s="118">
        <f>I46/I38</f>
        <v>833.92274120653906</v>
      </c>
      <c r="J47" s="135">
        <f>J46/J38</f>
        <v>749.56887016263022</v>
      </c>
      <c r="K47" s="130" t="s">
        <v>24</v>
      </c>
      <c r="N47" s="149">
        <v>1517110</v>
      </c>
    </row>
    <row r="48" spans="1:19" ht="17.399999999999999" customHeight="1">
      <c r="A48" s="786" t="s">
        <v>14</v>
      </c>
      <c r="B48" s="787"/>
      <c r="C48" s="164">
        <f>SUMIF($G$7:$G$31,"Start Up",$F$7:$F$31)</f>
        <v>0</v>
      </c>
      <c r="D48" s="118">
        <f>C48+'29'!D48</f>
        <v>0</v>
      </c>
      <c r="E48" s="143">
        <f t="shared" si="16"/>
        <v>0</v>
      </c>
      <c r="F48" s="304"/>
      <c r="G48" s="305"/>
      <c r="H48" s="186" t="s">
        <v>92</v>
      </c>
      <c r="I48" s="118">
        <f>I46/I40</f>
        <v>767.69888073014567</v>
      </c>
      <c r="J48" s="135">
        <f>J46/J40</f>
        <v>765.03940325682436</v>
      </c>
      <c r="K48" s="130" t="s">
        <v>24</v>
      </c>
      <c r="N48" s="586">
        <f>+N47-M34</f>
        <v>0</v>
      </c>
    </row>
    <row r="49" spans="1:15" ht="17.399999999999999" customHeight="1">
      <c r="A49" s="786" t="s">
        <v>20</v>
      </c>
      <c r="B49" s="787"/>
      <c r="C49" s="164">
        <f>SUMIF($G$7:$G$31,"Others",$F$7:$F$31)</f>
        <v>0</v>
      </c>
      <c r="D49" s="118">
        <f>C49+'29'!D49</f>
        <v>1072</v>
      </c>
      <c r="E49" s="143">
        <f t="shared" si="16"/>
        <v>17.866666666666667</v>
      </c>
      <c r="F49" s="183"/>
      <c r="H49" s="186" t="s">
        <v>269</v>
      </c>
      <c r="I49" s="118">
        <f>+Report1!T38</f>
        <v>3711.3866575998409</v>
      </c>
      <c r="J49" s="135">
        <f>+I49+'29'!J49</f>
        <v>110787.77127936494</v>
      </c>
      <c r="K49" s="130" t="s">
        <v>93</v>
      </c>
    </row>
    <row r="50" spans="1:15" ht="17.399999999999999" customHeight="1">
      <c r="A50" s="786" t="s">
        <v>19</v>
      </c>
      <c r="B50" s="787"/>
      <c r="C50" s="164">
        <f>SUMIF($G$7:$G$31,"Steam",$F$7:$F$31)</f>
        <v>0</v>
      </c>
      <c r="D50" s="118">
        <f>C50+'29'!D50</f>
        <v>0</v>
      </c>
      <c r="E50" s="143">
        <f t="shared" si="16"/>
        <v>0</v>
      </c>
      <c r="F50" s="183"/>
      <c r="H50" s="186" t="s">
        <v>94</v>
      </c>
      <c r="I50" s="140">
        <f>I49/I38</f>
        <v>73.836400230773719</v>
      </c>
      <c r="J50" s="133">
        <f>J49/J38</f>
        <v>71.548822788209478</v>
      </c>
      <c r="K50" s="130" t="s">
        <v>93</v>
      </c>
    </row>
    <row r="51" spans="1:15" ht="17.399999999999999" customHeight="1">
      <c r="A51" s="803" t="s">
        <v>95</v>
      </c>
      <c r="B51" s="803"/>
      <c r="C51" s="164">
        <f>SUMIF($G$7:$G$31,"Planned shut",$F$7:$F$31)</f>
        <v>0</v>
      </c>
      <c r="D51" s="118">
        <f>C51+'29'!D51</f>
        <v>0</v>
      </c>
      <c r="E51" s="143">
        <f t="shared" si="16"/>
        <v>0</v>
      </c>
      <c r="F51" s="183"/>
      <c r="H51" s="188" t="s">
        <v>96</v>
      </c>
      <c r="I51" s="141">
        <f>I49/I40</f>
        <v>67.972869683702513</v>
      </c>
      <c r="J51" s="136">
        <f>J49/J40</f>
        <v>73.025536236241905</v>
      </c>
      <c r="K51" s="137" t="s">
        <v>93</v>
      </c>
    </row>
    <row r="52" spans="1:15" ht="13.8" thickBot="1">
      <c r="A52" s="804" t="s">
        <v>218</v>
      </c>
      <c r="B52" s="805"/>
      <c r="C52" s="164">
        <f>SUMIF($G$7:$G$31,"Change Grade",$F$7:$F$31)</f>
        <v>0</v>
      </c>
      <c r="D52" s="118">
        <f>C52+'29'!D52</f>
        <v>0</v>
      </c>
      <c r="E52" s="143">
        <f t="shared" si="16"/>
        <v>0</v>
      </c>
      <c r="F52" s="183"/>
      <c r="H52" s="189"/>
      <c r="I52" s="190"/>
      <c r="J52" s="138"/>
      <c r="K52" s="139"/>
      <c r="O52" s="155">
        <f>+M34-Efficiency1!W136*1000</f>
        <v>-39250.999999999534</v>
      </c>
    </row>
    <row r="53" spans="1:15">
      <c r="A53" s="799" t="s">
        <v>28</v>
      </c>
      <c r="B53" s="800"/>
      <c r="C53" s="144">
        <f>SUM(C38:C52)</f>
        <v>21</v>
      </c>
      <c r="D53" s="144">
        <f>SUM(D38:D52)</f>
        <v>1922</v>
      </c>
      <c r="E53" s="145">
        <f>SUM(E38:E52)</f>
        <v>32.033333333333331</v>
      </c>
      <c r="F53" s="183"/>
    </row>
    <row r="54" spans="1:15" ht="13.8" thickBot="1">
      <c r="A54" s="801"/>
      <c r="B54" s="802"/>
      <c r="C54" s="146">
        <f>C53/(24*60)</f>
        <v>1.4583333333333334E-2</v>
      </c>
      <c r="D54" s="146">
        <f>D53/(24*60*G4)</f>
        <v>4.449074074074074E-2</v>
      </c>
      <c r="E54" s="147">
        <f>E53/(G4*24)</f>
        <v>4.449074074074074E-2</v>
      </c>
      <c r="F54" s="183"/>
    </row>
    <row r="55" spans="1:15">
      <c r="E55" s="191"/>
    </row>
    <row r="56" spans="1:15">
      <c r="A56" s="192" t="s">
        <v>97</v>
      </c>
      <c r="B56" s="193"/>
      <c r="C56" s="194"/>
      <c r="D56" s="194"/>
      <c r="E56" s="194"/>
      <c r="F56" s="195"/>
      <c r="G56" s="194"/>
      <c r="H56" s="196"/>
      <c r="I56" s="197" t="s">
        <v>98</v>
      </c>
      <c r="J56" s="198">
        <f>+D34+'29'!J56</f>
        <v>3060</v>
      </c>
      <c r="K56" s="199">
        <f>J56/(J40+J56/1000)/1000</f>
        <v>2.0129327640987524E-3</v>
      </c>
    </row>
    <row r="57" spans="1:15">
      <c r="A57" s="174"/>
      <c r="I57" s="197" t="s">
        <v>99</v>
      </c>
      <c r="J57" s="198">
        <f>+E34+'29'!J57</f>
        <v>0</v>
      </c>
      <c r="K57" s="199">
        <f>J57/(J40+J57/1000)/1000</f>
        <v>0</v>
      </c>
    </row>
    <row r="58" spans="1:15">
      <c r="A58" s="200"/>
      <c r="B58" s="201"/>
      <c r="F58" s="183"/>
      <c r="H58" s="202"/>
    </row>
    <row r="59" spans="1:15">
      <c r="A59" s="203"/>
      <c r="B59" s="174"/>
      <c r="C59" s="174"/>
      <c r="D59" s="174"/>
      <c r="E59" s="174"/>
      <c r="F59" s="187"/>
      <c r="G59" s="174"/>
      <c r="H59" s="202"/>
    </row>
    <row r="60" spans="1:15">
      <c r="H60" s="202"/>
    </row>
    <row r="61" spans="1:15">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15625" right="0.19513888888888889" top="0.39027777777777778" bottom="0.39027777777777778" header="0" footer="0"/>
  <pageSetup paperSize="9" scale="44"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61"/>
  <sheetViews>
    <sheetView view="pageBreakPreview" zoomScale="80" zoomScaleNormal="80" zoomScaleSheetLayoutView="80" workbookViewId="0">
      <selection activeCell="A7" sqref="A7:A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4.109375" style="149" customWidth="1"/>
    <col min="14" max="16384" width="9.109375" style="149"/>
  </cols>
  <sheetData>
    <row r="1" spans="1:19" ht="15.6">
      <c r="A1" s="148"/>
    </row>
    <row r="2" spans="1:19" ht="15.6">
      <c r="A2" s="148" t="s">
        <v>219</v>
      </c>
    </row>
    <row r="3" spans="1:19" ht="15">
      <c r="A3" s="150"/>
    </row>
    <row r="4" spans="1:19" ht="21">
      <c r="A4" s="151" t="s">
        <v>4</v>
      </c>
      <c r="B4" s="152"/>
      <c r="F4" s="153" t="s">
        <v>29</v>
      </c>
      <c r="G4" s="154">
        <v>29</v>
      </c>
      <c r="H4" s="154" t="str">
        <f>+'1'!H4</f>
        <v>.03.26</v>
      </c>
      <c r="J4" s="149">
        <f>515+477+544</f>
        <v>1536</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584</v>
      </c>
      <c r="O6" s="149">
        <v>1200</v>
      </c>
      <c r="P6" s="149">
        <f>+O6-(O6*0.16)</f>
        <v>1008</v>
      </c>
      <c r="Q6" s="149">
        <v>480</v>
      </c>
      <c r="R6" s="149">
        <f t="shared" ref="R6" si="0">+O6*Q6</f>
        <v>576000</v>
      </c>
      <c r="S6" s="149">
        <f t="shared" ref="S6" si="1">+P6*Q6</f>
        <v>483840</v>
      </c>
    </row>
    <row r="7" spans="1:19" ht="13.5" customHeight="1" thickBot="1">
      <c r="A7" s="788" t="s">
        <v>428</v>
      </c>
      <c r="B7" s="213" t="s">
        <v>592</v>
      </c>
      <c r="C7" s="214">
        <v>16170</v>
      </c>
      <c r="D7" s="215"/>
      <c r="E7" s="216"/>
      <c r="F7" s="231"/>
      <c r="G7" s="553" t="s">
        <v>12</v>
      </c>
      <c r="H7" s="554" t="s">
        <v>417</v>
      </c>
      <c r="I7" s="791" t="s">
        <v>752</v>
      </c>
      <c r="J7" s="212" t="str">
        <f>+'28'!J7</f>
        <v>T 15 RC HW</v>
      </c>
      <c r="K7" s="233"/>
      <c r="L7" s="237"/>
      <c r="M7" s="117">
        <f>+K7+'28'!M7+L7</f>
        <v>444860</v>
      </c>
    </row>
    <row r="8" spans="1:19" ht="13.8" thickBot="1">
      <c r="A8" s="789"/>
      <c r="B8" s="213"/>
      <c r="C8" s="214"/>
      <c r="D8" s="215"/>
      <c r="E8" s="217"/>
      <c r="F8" s="227">
        <v>2</v>
      </c>
      <c r="G8" s="555" t="s">
        <v>12</v>
      </c>
      <c r="H8" s="226" t="s">
        <v>416</v>
      </c>
      <c r="I8" s="792"/>
      <c r="J8" s="212" t="str">
        <f>+'28'!J8</f>
        <v>T 14,5 RC HW</v>
      </c>
      <c r="K8" s="234">
        <f>+C26</f>
        <v>2615</v>
      </c>
      <c r="L8" s="234"/>
      <c r="M8" s="117">
        <f>+K8+'28'!M8+L8</f>
        <v>208735</v>
      </c>
    </row>
    <row r="9" spans="1:19" ht="13.8" thickBot="1">
      <c r="A9" s="789"/>
      <c r="B9" s="213"/>
      <c r="C9" s="214"/>
      <c r="D9" s="215"/>
      <c r="E9" s="218"/>
      <c r="F9" s="227">
        <v>8</v>
      </c>
      <c r="G9" s="555" t="s">
        <v>12</v>
      </c>
      <c r="H9" s="229" t="s">
        <v>415</v>
      </c>
      <c r="I9" s="792"/>
      <c r="J9" s="212" t="str">
        <f>+'28'!J9</f>
        <v>T 14 RC HW</v>
      </c>
      <c r="K9" s="234"/>
      <c r="L9" s="234"/>
      <c r="M9" s="117">
        <f>+K9+'28'!M9+L9</f>
        <v>49646</v>
      </c>
    </row>
    <row r="10" spans="1:19" ht="53.4" thickBot="1">
      <c r="A10" s="789"/>
      <c r="B10" s="213"/>
      <c r="C10" s="214"/>
      <c r="D10" s="215"/>
      <c r="E10" s="217"/>
      <c r="F10" s="227"/>
      <c r="G10" s="225"/>
      <c r="H10" s="556" t="s">
        <v>746</v>
      </c>
      <c r="I10" s="792"/>
      <c r="J10" s="212" t="str">
        <f>+'28'!J10</f>
        <v>T 13,5 RC HW</v>
      </c>
      <c r="K10" s="234">
        <f>+C7+C16+C25</f>
        <v>42407</v>
      </c>
      <c r="L10" s="234"/>
      <c r="M10" s="117">
        <f>+K10+'28'!M10+L10</f>
        <v>496322</v>
      </c>
    </row>
    <row r="11" spans="1:19" ht="53.4" thickBot="1">
      <c r="A11" s="789"/>
      <c r="B11" s="213"/>
      <c r="C11" s="214"/>
      <c r="D11" s="215"/>
      <c r="E11" s="217"/>
      <c r="F11" s="224"/>
      <c r="G11" s="228"/>
      <c r="H11" s="229" t="s">
        <v>747</v>
      </c>
      <c r="I11" s="792"/>
      <c r="J11" s="212" t="str">
        <f>+'28'!J11</f>
        <v>TW 22 RC HW</v>
      </c>
      <c r="K11" s="234"/>
      <c r="L11" s="234"/>
      <c r="M11" s="117">
        <f>+K11+'28'!M11+L11</f>
        <v>262946</v>
      </c>
    </row>
    <row r="12" spans="1:19" ht="13.8" thickBot="1">
      <c r="A12" s="789"/>
      <c r="B12" s="213"/>
      <c r="C12" s="214"/>
      <c r="D12" s="215"/>
      <c r="E12" s="217"/>
      <c r="F12" s="224"/>
      <c r="G12" s="228"/>
      <c r="H12" s="229"/>
      <c r="I12" s="792"/>
      <c r="J12" s="212">
        <f>+'28'!J12</f>
        <v>0</v>
      </c>
      <c r="K12" s="234"/>
      <c r="L12" s="234"/>
      <c r="M12" s="117">
        <f>+K12+'28'!M12+L12</f>
        <v>0</v>
      </c>
    </row>
    <row r="13" spans="1:19" ht="13.8" thickBot="1">
      <c r="A13" s="789"/>
      <c r="B13" s="213"/>
      <c r="C13" s="214"/>
      <c r="D13" s="214"/>
      <c r="E13" s="217"/>
      <c r="F13" s="224"/>
      <c r="G13" s="228"/>
      <c r="H13" s="229"/>
      <c r="I13" s="793"/>
      <c r="J13" s="212">
        <f>+'28'!J13</f>
        <v>0</v>
      </c>
      <c r="K13" s="234"/>
      <c r="L13" s="234"/>
      <c r="M13" s="117">
        <f>+K13+'28'!M13+L13</f>
        <v>0</v>
      </c>
      <c r="Q13" s="174">
        <f>SUM(Q6:Q12)</f>
        <v>480</v>
      </c>
      <c r="R13" s="174">
        <f>SUM(R6:R12)</f>
        <v>576000</v>
      </c>
      <c r="S13" s="174">
        <f>SUM(S6:S12)</f>
        <v>483840</v>
      </c>
    </row>
    <row r="14" spans="1:19" ht="13.8" thickBot="1">
      <c r="A14" s="790"/>
      <c r="B14" s="165" t="s">
        <v>3</v>
      </c>
      <c r="C14" s="99">
        <f>SUM(C7:C13)</f>
        <v>16170</v>
      </c>
      <c r="D14" s="111">
        <f>SUM(D7:D13)</f>
        <v>0</v>
      </c>
      <c r="E14" s="112">
        <f>SUM(E5:E13)</f>
        <v>0</v>
      </c>
      <c r="F14" s="116">
        <f>SUM(F7:F13)</f>
        <v>10</v>
      </c>
      <c r="G14" s="159"/>
      <c r="H14" s="166"/>
      <c r="I14" s="167"/>
      <c r="J14" s="212">
        <f>+'28'!J14</f>
        <v>0</v>
      </c>
      <c r="K14" s="234"/>
      <c r="L14" s="234"/>
      <c r="M14" s="117">
        <f>+K14+'28'!M14+L14</f>
        <v>0</v>
      </c>
      <c r="Q14" s="149">
        <f>480-Q13</f>
        <v>0</v>
      </c>
      <c r="R14" s="174">
        <f>+R13/Q13</f>
        <v>1200</v>
      </c>
      <c r="S14" s="174">
        <f>+S13/Q13</f>
        <v>1008</v>
      </c>
    </row>
    <row r="15" spans="1:19" ht="13.8" thickBot="1">
      <c r="A15" s="794" t="s">
        <v>387</v>
      </c>
      <c r="B15" s="513"/>
      <c r="C15" s="113">
        <f>C14/($C$23+$D$23+$E$23)</f>
        <v>0.9570878958271678</v>
      </c>
      <c r="D15" s="114">
        <f>D14/($C$23+$D$23+$E$23)</f>
        <v>0</v>
      </c>
      <c r="E15" s="115">
        <f>E14/($C$23+$D$23+$E$23)</f>
        <v>0</v>
      </c>
      <c r="F15" s="231"/>
      <c r="G15" s="553" t="s">
        <v>12</v>
      </c>
      <c r="H15" s="554" t="s">
        <v>417</v>
      </c>
      <c r="I15" s="791" t="s">
        <v>752</v>
      </c>
      <c r="J15" s="212">
        <f>+'28'!J15</f>
        <v>0</v>
      </c>
      <c r="K15" s="234"/>
      <c r="L15" s="234"/>
      <c r="M15" s="117">
        <f>+K15+'28'!M15+L15</f>
        <v>0</v>
      </c>
    </row>
    <row r="16" spans="1:19" ht="13.8" thickBot="1">
      <c r="A16" s="789"/>
      <c r="B16" s="213" t="s">
        <v>592</v>
      </c>
      <c r="C16" s="511">
        <v>16895</v>
      </c>
      <c r="D16" s="219"/>
      <c r="E16" s="220"/>
      <c r="F16" s="227"/>
      <c r="G16" s="555" t="s">
        <v>12</v>
      </c>
      <c r="H16" s="226" t="s">
        <v>419</v>
      </c>
      <c r="I16" s="792"/>
      <c r="J16" s="212">
        <f>+'28'!J16</f>
        <v>0</v>
      </c>
      <c r="K16" s="225"/>
      <c r="L16" s="225"/>
      <c r="M16" s="117">
        <f>+K16+'28'!M16+L16</f>
        <v>0</v>
      </c>
      <c r="N16" s="149" t="s">
        <v>584</v>
      </c>
      <c r="O16" s="149">
        <v>1200</v>
      </c>
      <c r="P16" s="149">
        <f>+O16-(O16*0.16)</f>
        <v>1008</v>
      </c>
      <c r="Q16" s="149">
        <f>480-Q17</f>
        <v>465</v>
      </c>
      <c r="R16" s="149">
        <f t="shared" ref="R16:R17" si="2">+O16*Q16</f>
        <v>558000</v>
      </c>
      <c r="S16" s="149">
        <f t="shared" ref="S16:S17" si="3">+P16*Q16</f>
        <v>468720</v>
      </c>
    </row>
    <row r="17" spans="1:26" ht="13.8" thickBot="1">
      <c r="A17" s="789"/>
      <c r="B17" s="213"/>
      <c r="C17" s="214"/>
      <c r="D17" s="215"/>
      <c r="E17" s="221"/>
      <c r="F17" s="227">
        <v>9</v>
      </c>
      <c r="G17" s="555" t="s">
        <v>12</v>
      </c>
      <c r="H17" s="229" t="s">
        <v>497</v>
      </c>
      <c r="I17" s="792"/>
      <c r="J17" s="212">
        <f>+'28'!J17</f>
        <v>0</v>
      </c>
      <c r="K17" s="225"/>
      <c r="L17" s="225"/>
      <c r="M17" s="117">
        <f>+K17+'28'!M17+L17</f>
        <v>0</v>
      </c>
      <c r="N17" s="149" t="s">
        <v>465</v>
      </c>
      <c r="O17" s="149">
        <v>1200</v>
      </c>
      <c r="P17" s="149">
        <f>+O17-(O17*0.16)</f>
        <v>1008</v>
      </c>
      <c r="Q17" s="149">
        <f>60-45</f>
        <v>15</v>
      </c>
      <c r="R17" s="149">
        <f t="shared" si="2"/>
        <v>18000</v>
      </c>
      <c r="S17" s="149">
        <f t="shared" si="3"/>
        <v>15120</v>
      </c>
    </row>
    <row r="18" spans="1:26" ht="79.8" thickBot="1">
      <c r="A18" s="789"/>
      <c r="B18" s="213"/>
      <c r="C18" s="214"/>
      <c r="D18" s="215"/>
      <c r="E18" s="221"/>
      <c r="F18" s="227"/>
      <c r="G18" s="225"/>
      <c r="H18" s="556" t="s">
        <v>744</v>
      </c>
      <c r="I18" s="792"/>
      <c r="J18" s="212">
        <f>+'28'!J18</f>
        <v>0</v>
      </c>
      <c r="K18" s="234"/>
      <c r="L18" s="234"/>
      <c r="M18" s="117">
        <f>+K18+'28'!M18+L18</f>
        <v>0</v>
      </c>
    </row>
    <row r="19" spans="1:26" ht="13.8" thickBot="1">
      <c r="A19" s="789"/>
      <c r="B19" s="213"/>
      <c r="C19" s="214"/>
      <c r="D19" s="215"/>
      <c r="E19" s="221"/>
      <c r="F19" s="230"/>
      <c r="G19" s="228"/>
      <c r="H19" s="229" t="s">
        <v>745</v>
      </c>
      <c r="I19" s="792"/>
      <c r="J19" s="212">
        <f>+'28'!J19</f>
        <v>0</v>
      </c>
      <c r="K19" s="234"/>
      <c r="L19" s="234"/>
      <c r="M19" s="117">
        <f>+K19+'28'!M19+L19</f>
        <v>0</v>
      </c>
    </row>
    <row r="20" spans="1:26" ht="13.8" thickBot="1">
      <c r="A20" s="789"/>
      <c r="B20" s="213"/>
      <c r="C20" s="214"/>
      <c r="D20" s="215"/>
      <c r="E20" s="221"/>
      <c r="F20" s="224"/>
      <c r="G20" s="228"/>
      <c r="H20" s="229"/>
      <c r="I20" s="792"/>
      <c r="J20" s="212">
        <f>+'28'!J20</f>
        <v>0</v>
      </c>
      <c r="K20" s="235"/>
      <c r="L20" s="235"/>
      <c r="M20" s="117">
        <f>+K20+'28'!M20+L20</f>
        <v>0</v>
      </c>
    </row>
    <row r="21" spans="1:26" ht="13.8" thickBot="1">
      <c r="A21" s="789"/>
      <c r="B21" s="213"/>
      <c r="C21" s="214"/>
      <c r="D21" s="215"/>
      <c r="E21" s="221"/>
      <c r="F21" s="227"/>
      <c r="G21" s="228"/>
      <c r="H21" s="229"/>
      <c r="I21" s="792"/>
      <c r="J21" s="212">
        <f>+'28'!J21</f>
        <v>0</v>
      </c>
      <c r="K21" s="234"/>
      <c r="L21" s="234"/>
      <c r="M21" s="117">
        <f>+K21+'28'!M21+L21</f>
        <v>0</v>
      </c>
    </row>
    <row r="22" spans="1:26" ht="13.8" thickBot="1">
      <c r="A22" s="789"/>
      <c r="B22" s="213"/>
      <c r="C22" s="214"/>
      <c r="D22" s="215"/>
      <c r="E22" s="221"/>
      <c r="F22" s="231"/>
      <c r="G22" s="228"/>
      <c r="H22" s="229"/>
      <c r="I22" s="793"/>
      <c r="J22" s="212">
        <f>+'28'!J22</f>
        <v>0</v>
      </c>
      <c r="K22" s="234"/>
      <c r="L22" s="234"/>
      <c r="M22" s="117">
        <f>+K22+'28'!M22+L22</f>
        <v>0</v>
      </c>
    </row>
    <row r="23" spans="1:26" ht="13.8" thickBot="1">
      <c r="A23" s="790"/>
      <c r="B23" s="165" t="s">
        <v>3</v>
      </c>
      <c r="C23" s="99">
        <f>SUM(C16:C22)</f>
        <v>16895</v>
      </c>
      <c r="D23" s="111">
        <f>SUM(D16:D22)</f>
        <v>0</v>
      </c>
      <c r="E23" s="112">
        <f>SUM(E18:E22)</f>
        <v>0</v>
      </c>
      <c r="F23" s="116">
        <f>SUM(F15:F22)</f>
        <v>9</v>
      </c>
      <c r="G23" s="159"/>
      <c r="H23" s="166"/>
      <c r="I23" s="168"/>
      <c r="J23" s="212">
        <f>+'28'!J23</f>
        <v>0</v>
      </c>
      <c r="K23" s="234"/>
      <c r="L23" s="234"/>
      <c r="M23" s="117">
        <f>+K23+'28'!M23+L23</f>
        <v>0</v>
      </c>
      <c r="Q23" s="174">
        <f>SUM(Q16:Q22)</f>
        <v>480</v>
      </c>
      <c r="R23" s="174">
        <f>SUM(R16:R22)</f>
        <v>576000</v>
      </c>
      <c r="S23" s="174">
        <f>SUM(S16:S22)</f>
        <v>483840</v>
      </c>
    </row>
    <row r="24" spans="1:26" ht="13.8" thickBot="1">
      <c r="A24" s="794" t="s">
        <v>458</v>
      </c>
      <c r="B24" s="513"/>
      <c r="C24" s="113">
        <f>C23/($C$23+$D$23+$E$23)</f>
        <v>1</v>
      </c>
      <c r="D24" s="114">
        <f>D23/($C$23+$D$23+$E$23)</f>
        <v>0</v>
      </c>
      <c r="E24" s="115">
        <f>E23/($C$23+$D$23+$E$23)</f>
        <v>0</v>
      </c>
      <c r="F24" s="231"/>
      <c r="G24" s="553" t="s">
        <v>12</v>
      </c>
      <c r="H24" s="554" t="s">
        <v>417</v>
      </c>
      <c r="I24" s="791" t="s">
        <v>767</v>
      </c>
      <c r="J24" s="212">
        <f>+'28'!J24</f>
        <v>0</v>
      </c>
      <c r="K24" s="234"/>
      <c r="L24" s="234"/>
      <c r="M24" s="117">
        <f>+K24+'28'!M24+L24</f>
        <v>0</v>
      </c>
      <c r="Q24" s="149">
        <f>480-Q23</f>
        <v>0</v>
      </c>
      <c r="R24" s="174">
        <f>+R23/Q23</f>
        <v>1200</v>
      </c>
      <c r="S24" s="174">
        <f>+S23/Q23</f>
        <v>1008</v>
      </c>
    </row>
    <row r="25" spans="1:26" ht="13.8" thickBot="1">
      <c r="A25" s="789"/>
      <c r="B25" s="213" t="s">
        <v>592</v>
      </c>
      <c r="C25" s="222">
        <f>445+8897</f>
        <v>9342</v>
      </c>
      <c r="D25" s="215"/>
      <c r="E25" s="221"/>
      <c r="F25" s="227">
        <v>2</v>
      </c>
      <c r="G25" s="555" t="s">
        <v>12</v>
      </c>
      <c r="H25" s="226" t="s">
        <v>416</v>
      </c>
      <c r="I25" s="792"/>
      <c r="J25" s="212">
        <f>+'28'!J25</f>
        <v>0</v>
      </c>
      <c r="K25" s="234"/>
      <c r="L25" s="234"/>
      <c r="M25" s="117">
        <f>+K25+'28'!M25+L25</f>
        <v>0</v>
      </c>
    </row>
    <row r="26" spans="1:26" ht="13.8" thickBot="1">
      <c r="A26" s="789"/>
      <c r="B26" s="213" t="s">
        <v>480</v>
      </c>
      <c r="C26" s="222">
        <v>2615</v>
      </c>
      <c r="D26" s="215"/>
      <c r="E26" s="223"/>
      <c r="F26" s="227">
        <f>13-2</f>
        <v>11</v>
      </c>
      <c r="G26" s="555" t="s">
        <v>12</v>
      </c>
      <c r="H26" s="229" t="s">
        <v>418</v>
      </c>
      <c r="I26" s="792"/>
      <c r="J26" s="212">
        <f>+'28'!J26</f>
        <v>0</v>
      </c>
      <c r="K26" s="234"/>
      <c r="L26" s="234"/>
      <c r="M26" s="117">
        <f>+K26+'28'!M26+L26</f>
        <v>0</v>
      </c>
      <c r="N26" s="149" t="s">
        <v>465</v>
      </c>
      <c r="O26" s="149">
        <v>1160</v>
      </c>
      <c r="P26" s="149">
        <f>+O26-(O26*0.16)</f>
        <v>974.4</v>
      </c>
      <c r="Q26" s="149">
        <f>480-Q27</f>
        <v>455</v>
      </c>
      <c r="R26" s="149">
        <f t="shared" ref="R26:R27" si="4">+O26*Q26</f>
        <v>527800</v>
      </c>
      <c r="S26" s="149">
        <f t="shared" ref="S26:S27" si="5">+P26*Q26</f>
        <v>443352</v>
      </c>
      <c r="U26" s="149" t="s">
        <v>465</v>
      </c>
      <c r="V26" s="149">
        <v>1160</v>
      </c>
      <c r="W26" s="149">
        <f>+V26-(V26*0.16)</f>
        <v>974.4</v>
      </c>
      <c r="X26" s="149">
        <v>15</v>
      </c>
      <c r="Y26" s="149">
        <f t="shared" ref="Y26" si="6">+V26*X26</f>
        <v>17400</v>
      </c>
      <c r="Z26" s="149">
        <f t="shared" ref="Z26" si="7">+W26*X26</f>
        <v>14616</v>
      </c>
    </row>
    <row r="27" spans="1:26" ht="66.599999999999994" thickBot="1">
      <c r="A27" s="789"/>
      <c r="B27" s="213"/>
      <c r="C27" s="214"/>
      <c r="D27" s="215"/>
      <c r="E27" s="221"/>
      <c r="F27" s="227"/>
      <c r="G27" s="225"/>
      <c r="H27" s="556" t="s">
        <v>742</v>
      </c>
      <c r="I27" s="792"/>
      <c r="J27" s="212">
        <f>+'28'!J27</f>
        <v>0</v>
      </c>
      <c r="K27" s="234"/>
      <c r="L27" s="234"/>
      <c r="M27" s="117">
        <f>+K27+'28'!M27+L27</f>
        <v>0</v>
      </c>
      <c r="N27" s="149" t="s">
        <v>584</v>
      </c>
      <c r="O27" s="149">
        <v>1200</v>
      </c>
      <c r="P27" s="149">
        <f>+O27-(O27*0.16)</f>
        <v>1008</v>
      </c>
      <c r="Q27" s="149">
        <f>60-35</f>
        <v>25</v>
      </c>
      <c r="R27" s="149">
        <f t="shared" si="4"/>
        <v>30000</v>
      </c>
      <c r="S27" s="149">
        <f t="shared" si="5"/>
        <v>25200</v>
      </c>
      <c r="U27" s="149" t="s">
        <v>465</v>
      </c>
      <c r="V27" s="149">
        <v>1160</v>
      </c>
      <c r="W27" s="149">
        <v>974.4</v>
      </c>
      <c r="X27" s="149">
        <v>480</v>
      </c>
      <c r="Y27" s="149">
        <f t="shared" ref="Y27" si="8">+V27*X27</f>
        <v>556800</v>
      </c>
      <c r="Z27" s="149">
        <f t="shared" ref="Z27" si="9">+W27*X27</f>
        <v>467712</v>
      </c>
    </row>
    <row r="28" spans="1:26" ht="27" thickBot="1">
      <c r="A28" s="789"/>
      <c r="B28" s="213"/>
      <c r="C28" s="214"/>
      <c r="D28" s="215"/>
      <c r="E28" s="221"/>
      <c r="F28" s="227"/>
      <c r="G28" s="225"/>
      <c r="H28" s="229" t="s">
        <v>743</v>
      </c>
      <c r="I28" s="792"/>
      <c r="J28" s="212">
        <f>+'28'!J28</f>
        <v>0</v>
      </c>
      <c r="K28" s="234"/>
      <c r="L28" s="234"/>
      <c r="M28" s="117">
        <f>+K28+'28'!M28+L28</f>
        <v>0</v>
      </c>
    </row>
    <row r="29" spans="1:26" ht="13.5" customHeight="1" thickBot="1">
      <c r="A29" s="789"/>
      <c r="B29" s="213"/>
      <c r="C29" s="214"/>
      <c r="D29" s="215"/>
      <c r="E29" s="221"/>
      <c r="F29" s="231"/>
      <c r="G29" s="228"/>
      <c r="H29" s="229" t="s">
        <v>766</v>
      </c>
      <c r="I29" s="792"/>
      <c r="J29" s="212">
        <f>+'28'!J29</f>
        <v>0</v>
      </c>
      <c r="K29" s="234"/>
      <c r="L29" s="234"/>
      <c r="M29" s="117">
        <f>+K29+'28'!M29+L29</f>
        <v>0</v>
      </c>
    </row>
    <row r="30" spans="1:26" ht="13.5" customHeight="1" thickBot="1">
      <c r="A30" s="789"/>
      <c r="B30" s="213"/>
      <c r="C30" s="222"/>
      <c r="D30" s="215"/>
      <c r="E30" s="221"/>
      <c r="F30" s="231"/>
      <c r="G30" s="228"/>
      <c r="H30" s="229"/>
      <c r="I30" s="792"/>
      <c r="J30" s="212">
        <f>+'28'!J30</f>
        <v>0</v>
      </c>
      <c r="K30" s="234"/>
      <c r="L30" s="234"/>
      <c r="M30" s="117">
        <f>+K30+'28'!M30+L30</f>
        <v>0</v>
      </c>
    </row>
    <row r="31" spans="1:26" ht="13.5" customHeight="1" thickBot="1">
      <c r="A31" s="789"/>
      <c r="B31" s="213"/>
      <c r="C31" s="222"/>
      <c r="D31" s="215"/>
      <c r="E31" s="221"/>
      <c r="F31" s="231"/>
      <c r="G31" s="232"/>
      <c r="H31" s="404"/>
      <c r="I31" s="793"/>
      <c r="J31" s="212">
        <f>+'28'!J31</f>
        <v>0</v>
      </c>
      <c r="K31" s="234"/>
      <c r="L31" s="234"/>
      <c r="M31" s="117">
        <f>+K31+'28'!M31+L31</f>
        <v>0</v>
      </c>
    </row>
    <row r="32" spans="1:26" ht="13.5" customHeight="1" thickBot="1">
      <c r="A32" s="790"/>
      <c r="B32" s="165" t="s">
        <v>3</v>
      </c>
      <c r="C32" s="99">
        <f>SUM(C25:C31)</f>
        <v>11957</v>
      </c>
      <c r="D32" s="100">
        <f>SUM(D25:D31)</f>
        <v>0</v>
      </c>
      <c r="E32" s="101">
        <f>SUM(E25:E31)</f>
        <v>0</v>
      </c>
      <c r="F32" s="99">
        <f>SUM(F24:F31)</f>
        <v>13</v>
      </c>
      <c r="G32" s="169"/>
      <c r="H32" s="170"/>
      <c r="I32" s="168"/>
      <c r="J32" s="212">
        <f>+'28'!J32</f>
        <v>0</v>
      </c>
      <c r="K32" s="236"/>
      <c r="L32" s="238"/>
      <c r="M32" s="117">
        <f>+K32+'28'!M32+L32</f>
        <v>0</v>
      </c>
    </row>
    <row r="33" spans="1:26" ht="13.8" thickBot="1">
      <c r="A33" s="171"/>
      <c r="B33" s="172"/>
      <c r="C33" s="103">
        <f>C32/($C$32+$D$32+$E$32)</f>
        <v>1</v>
      </c>
      <c r="D33" s="104">
        <f>D32/($C$32+$D$32+$E$32)</f>
        <v>0</v>
      </c>
      <c r="E33" s="105">
        <f>E32/($C$32+$D$32+$E$32)</f>
        <v>0</v>
      </c>
      <c r="F33" s="106"/>
      <c r="G33" s="173"/>
      <c r="H33" s="174"/>
      <c r="I33" s="175"/>
      <c r="J33" s="121"/>
      <c r="K33" s="122"/>
      <c r="L33" s="211"/>
      <c r="M33" s="119"/>
      <c r="Q33" s="174">
        <f>SUM(Q26:Q32)</f>
        <v>480</v>
      </c>
      <c r="R33" s="174">
        <f>SUM(R26:R32)</f>
        <v>557800</v>
      </c>
      <c r="S33" s="174">
        <f>SUM(S26:S32)</f>
        <v>468552</v>
      </c>
      <c r="X33" s="174">
        <f>SUM(X26:X32)</f>
        <v>495</v>
      </c>
      <c r="Y33" s="174">
        <f>SUM(Y26:Y32)</f>
        <v>574200</v>
      </c>
      <c r="Z33" s="174">
        <f>SUM(Z26:Z32)</f>
        <v>482328</v>
      </c>
    </row>
    <row r="34" spans="1:26" ht="13.8" thickBot="1">
      <c r="A34" s="795" t="s">
        <v>68</v>
      </c>
      <c r="B34" s="796"/>
      <c r="C34" s="107">
        <f>C14+C23+C32</f>
        <v>45022</v>
      </c>
      <c r="D34" s="107">
        <f>D14+D23+D32</f>
        <v>0</v>
      </c>
      <c r="E34" s="107">
        <f>E14+E23+E32</f>
        <v>0</v>
      </c>
      <c r="F34" s="108">
        <f>F14+F23+F32</f>
        <v>32</v>
      </c>
      <c r="H34" s="176"/>
      <c r="I34" s="176"/>
      <c r="J34" s="123" t="s">
        <v>28</v>
      </c>
      <c r="K34" s="124">
        <f>SUM(K7:K32)</f>
        <v>45022</v>
      </c>
      <c r="L34" s="210">
        <f>SUM(L7:L32)</f>
        <v>0</v>
      </c>
      <c r="M34" s="120">
        <f>SUM(M7:M32)</f>
        <v>1462509</v>
      </c>
      <c r="Q34" s="149">
        <f>480-Q33</f>
        <v>0</v>
      </c>
      <c r="R34" s="174">
        <f>+R33/Q33</f>
        <v>1162.0833333333333</v>
      </c>
      <c r="S34" s="174">
        <f>+S33/Q33</f>
        <v>976.15</v>
      </c>
      <c r="X34" s="149">
        <f>480-X33</f>
        <v>-15</v>
      </c>
      <c r="Y34" s="174">
        <f>+Y33/X33</f>
        <v>1160</v>
      </c>
      <c r="Z34" s="174">
        <f>+Z33/X33</f>
        <v>974.4</v>
      </c>
    </row>
    <row r="35" spans="1:26" ht="13.8" thickBot="1">
      <c r="A35" s="177"/>
      <c r="B35" s="178"/>
      <c r="C35" s="104">
        <f>C34/($C$34+$D$34+$E$34)</f>
        <v>1</v>
      </c>
      <c r="D35" s="104">
        <f>D34/($C$34+$D$34+$E$34)</f>
        <v>0</v>
      </c>
      <c r="E35" s="109">
        <f>E34/($C$34+$D$34+$E$34)</f>
        <v>0</v>
      </c>
      <c r="K35" s="155"/>
    </row>
    <row r="36" spans="1:26" ht="13.8" thickBot="1">
      <c r="A36" s="176"/>
      <c r="B36" s="176"/>
      <c r="C36" s="155"/>
      <c r="D36" s="155"/>
      <c r="E36" s="155"/>
      <c r="G36" s="155"/>
      <c r="H36" s="179"/>
      <c r="I36" s="162" t="s">
        <v>37</v>
      </c>
      <c r="J36" s="162" t="s">
        <v>38</v>
      </c>
      <c r="K36" s="180"/>
    </row>
    <row r="37" spans="1:26" ht="17.399999999999999" customHeight="1" thickBot="1">
      <c r="A37" s="797" t="s">
        <v>69</v>
      </c>
      <c r="B37" s="798"/>
      <c r="C37" s="162" t="s">
        <v>70</v>
      </c>
      <c r="D37" s="181" t="s">
        <v>71</v>
      </c>
      <c r="E37" s="182" t="s">
        <v>72</v>
      </c>
      <c r="F37" s="304"/>
      <c r="G37" s="306"/>
      <c r="H37" s="184" t="s">
        <v>73</v>
      </c>
      <c r="I37" s="239">
        <f>(13.5*970+470*14.5)/1440*G42*2.7*1440/1000000</f>
        <v>53.616335850000006</v>
      </c>
      <c r="J37" s="125">
        <f>+I37+'28'!J37</f>
        <v>1559.6630682045618</v>
      </c>
      <c r="K37" s="126" t="s">
        <v>74</v>
      </c>
      <c r="O37" s="149" t="s">
        <v>584</v>
      </c>
      <c r="P37" s="149">
        <v>1200</v>
      </c>
      <c r="Q37" s="149">
        <v>1008</v>
      </c>
      <c r="R37" s="149">
        <f>480+465+25</f>
        <v>970</v>
      </c>
    </row>
    <row r="38" spans="1:26" ht="17.399999999999999" customHeight="1">
      <c r="A38" s="799" t="s">
        <v>12</v>
      </c>
      <c r="B38" s="800"/>
      <c r="C38" s="164">
        <f>SUMIF($G$7:$G$31,"Process",$F$7:$F$31)</f>
        <v>32</v>
      </c>
      <c r="D38" s="118">
        <f>C38+'28'!D38</f>
        <v>829</v>
      </c>
      <c r="E38" s="143">
        <f t="shared" ref="E38:E52" si="10">D38/60</f>
        <v>13.816666666666666</v>
      </c>
      <c r="F38" s="304">
        <v>1200</v>
      </c>
      <c r="G38" s="304">
        <v>1008</v>
      </c>
      <c r="H38" s="185" t="s">
        <v>75</v>
      </c>
      <c r="I38" s="240">
        <f>15.196+19.139+16.72</f>
        <v>51.055</v>
      </c>
      <c r="J38" s="127">
        <f>+I38+'28'!J38</f>
        <v>1498.1570000000004</v>
      </c>
      <c r="K38" s="128" t="s">
        <v>74</v>
      </c>
      <c r="O38" s="149" t="s">
        <v>465</v>
      </c>
      <c r="P38" s="149">
        <v>1160</v>
      </c>
      <c r="Q38" s="149">
        <v>974.4</v>
      </c>
      <c r="R38" s="149">
        <f>15+455</f>
        <v>470</v>
      </c>
    </row>
    <row r="39" spans="1:26" ht="17.399999999999999" customHeight="1">
      <c r="A39" s="786" t="s">
        <v>13</v>
      </c>
      <c r="B39" s="787"/>
      <c r="C39" s="164">
        <f>SUMIF($G$7:$G$31,"Cleaning",$F$7:$F$31)</f>
        <v>0</v>
      </c>
      <c r="D39" s="118">
        <f>C39+'28'!D39</f>
        <v>0</v>
      </c>
      <c r="E39" s="143">
        <f t="shared" si="10"/>
        <v>0</v>
      </c>
      <c r="F39" s="304">
        <v>1200</v>
      </c>
      <c r="G39" s="304">
        <v>1008</v>
      </c>
      <c r="H39" s="185" t="s">
        <v>76</v>
      </c>
      <c r="I39" s="142"/>
      <c r="J39" s="129">
        <f>J37/G4</f>
        <v>53.781485110502132</v>
      </c>
      <c r="K39" s="130" t="s">
        <v>74</v>
      </c>
      <c r="R39" s="149">
        <f>SUM(R37:R38)</f>
        <v>1440</v>
      </c>
    </row>
    <row r="40" spans="1:26" ht="17.399999999999999" customHeight="1">
      <c r="A40" s="786" t="s">
        <v>77</v>
      </c>
      <c r="B40" s="787"/>
      <c r="C40" s="164">
        <f>SUMIF($G$7:$G$31,"Mechanical",$F$7:$F$31)</f>
        <v>0</v>
      </c>
      <c r="D40" s="118">
        <f>C40+'28'!D40</f>
        <v>0</v>
      </c>
      <c r="E40" s="143">
        <f t="shared" si="10"/>
        <v>0</v>
      </c>
      <c r="F40" s="304">
        <v>1162.0833333333333</v>
      </c>
      <c r="G40" s="304">
        <v>976.15</v>
      </c>
      <c r="H40" s="185" t="s">
        <v>78</v>
      </c>
      <c r="I40" s="118">
        <f>(K34+L34)/1000</f>
        <v>45.021999999999998</v>
      </c>
      <c r="J40" s="131">
        <f>+I40+'28'!J40</f>
        <v>1462.5089999999998</v>
      </c>
      <c r="K40" s="130" t="s">
        <v>74</v>
      </c>
    </row>
    <row r="41" spans="1:26" ht="17.399999999999999" customHeight="1">
      <c r="A41" s="786" t="s">
        <v>79</v>
      </c>
      <c r="B41" s="787"/>
      <c r="C41" s="164">
        <f>SUMIF($G$7:$G$31,"Electrical",$F$7:$F$31)</f>
        <v>0</v>
      </c>
      <c r="D41" s="118">
        <f>C41+'28'!D41</f>
        <v>0</v>
      </c>
      <c r="E41" s="143">
        <f t="shared" si="10"/>
        <v>0</v>
      </c>
      <c r="F41" s="304"/>
      <c r="G41" s="304"/>
      <c r="H41" s="185" t="s">
        <v>80</v>
      </c>
      <c r="I41" s="142"/>
      <c r="J41" s="129">
        <f>J40/G4</f>
        <v>50.431344827586202</v>
      </c>
      <c r="K41" s="130" t="s">
        <v>74</v>
      </c>
    </row>
    <row r="42" spans="1:26" ht="17.399999999999999" customHeight="1">
      <c r="A42" s="786" t="s">
        <v>16</v>
      </c>
      <c r="B42" s="787"/>
      <c r="C42" s="164">
        <f>SUMIF($G$7:$G$31,"Instrument",$F$7:$F$31)</f>
        <v>0</v>
      </c>
      <c r="D42" s="118">
        <f>C42+'28'!D42</f>
        <v>0</v>
      </c>
      <c r="E42" s="143">
        <f t="shared" si="10"/>
        <v>0</v>
      </c>
      <c r="F42" s="183">
        <f>+(F38*480+F39*480+F40*480)/1440</f>
        <v>1187.3611111111111</v>
      </c>
      <c r="G42" s="183">
        <f>+(G38*480+G39*480+G40*480)/1440</f>
        <v>997.38333333333333</v>
      </c>
      <c r="H42" s="185" t="s">
        <v>81</v>
      </c>
      <c r="I42" s="241" t="s">
        <v>754</v>
      </c>
      <c r="J42" s="132"/>
      <c r="K42" s="130" t="s">
        <v>82</v>
      </c>
    </row>
    <row r="43" spans="1:26" ht="17.399999999999999" customHeight="1">
      <c r="A43" s="786" t="s">
        <v>83</v>
      </c>
      <c r="B43" s="787"/>
      <c r="C43" s="164">
        <f>SUMIF($G$7:$G$31,"Water",$F$7:$F$31)</f>
        <v>0</v>
      </c>
      <c r="D43" s="118">
        <f>C43+'28'!D43</f>
        <v>0</v>
      </c>
      <c r="E43" s="143">
        <f t="shared" si="10"/>
        <v>0</v>
      </c>
      <c r="F43" s="304"/>
      <c r="G43" s="305"/>
      <c r="H43" s="186" t="s">
        <v>84</v>
      </c>
      <c r="I43" s="118">
        <f>+Report1!Z37</f>
        <v>93.8</v>
      </c>
      <c r="J43" s="133">
        <f>+I43+'28'!J43</f>
        <v>2775.5200000000004</v>
      </c>
      <c r="K43" s="130" t="s">
        <v>74</v>
      </c>
      <c r="L43" s="187"/>
    </row>
    <row r="44" spans="1:26" ht="17.399999999999999" customHeight="1">
      <c r="A44" s="786" t="s">
        <v>17</v>
      </c>
      <c r="B44" s="787"/>
      <c r="C44" s="164">
        <f>SUMIF($G$7:$G$31,"PLN",$F$7:$F$31)</f>
        <v>0</v>
      </c>
      <c r="D44" s="118">
        <f>C44+'28'!D44</f>
        <v>0</v>
      </c>
      <c r="E44" s="143">
        <f t="shared" si="10"/>
        <v>0</v>
      </c>
      <c r="F44" s="304"/>
      <c r="G44" s="305"/>
      <c r="H44" s="186" t="s">
        <v>85</v>
      </c>
      <c r="I44" s="118">
        <f>I43/I38</f>
        <v>1.8372343551072372</v>
      </c>
      <c r="J44" s="134">
        <f>J43/J38</f>
        <v>1.8526229226976878</v>
      </c>
      <c r="K44" s="130" t="s">
        <v>74</v>
      </c>
    </row>
    <row r="45" spans="1:26" ht="17.399999999999999" customHeight="1">
      <c r="A45" s="786" t="s">
        <v>18</v>
      </c>
      <c r="B45" s="787"/>
      <c r="C45" s="164">
        <f>SUMIF($G$7:$G$31,"Boiler",$F$7:$F$31)</f>
        <v>0</v>
      </c>
      <c r="D45" s="118">
        <f>C45+'28'!D45</f>
        <v>0</v>
      </c>
      <c r="E45" s="143">
        <f t="shared" si="10"/>
        <v>0</v>
      </c>
      <c r="F45" s="304"/>
      <c r="G45" s="307"/>
      <c r="H45" s="186" t="s">
        <v>86</v>
      </c>
      <c r="I45" s="118">
        <f>I43/I40</f>
        <v>2.0834258806805561</v>
      </c>
      <c r="J45" s="134">
        <f>J43/J40</f>
        <v>1.8977797743466884</v>
      </c>
      <c r="K45" s="130" t="s">
        <v>74</v>
      </c>
    </row>
    <row r="46" spans="1:26" ht="17.399999999999999" customHeight="1">
      <c r="A46" s="786" t="s">
        <v>87</v>
      </c>
      <c r="B46" s="787"/>
      <c r="C46" s="164">
        <f>SUMIF($G$7:$G$31,"Gas",$F$7:$F$31)</f>
        <v>0</v>
      </c>
      <c r="D46" s="118">
        <f>C46+'28'!D46</f>
        <v>0</v>
      </c>
      <c r="E46" s="143">
        <f t="shared" si="10"/>
        <v>0</v>
      </c>
      <c r="F46" s="304"/>
      <c r="G46" s="305"/>
      <c r="H46" s="186" t="s">
        <v>88</v>
      </c>
      <c r="I46" s="140">
        <f>+SUMIF(Listrik!X36,"&gt;0")</f>
        <v>39765.439955555317</v>
      </c>
      <c r="J46" s="135">
        <f>+I46+'28'!J46</f>
        <v>1118731.8024882139</v>
      </c>
      <c r="K46" s="130" t="s">
        <v>89</v>
      </c>
    </row>
    <row r="47" spans="1:26" ht="17.399999999999999" customHeight="1">
      <c r="A47" s="786" t="s">
        <v>90</v>
      </c>
      <c r="B47" s="787"/>
      <c r="C47" s="164">
        <f>SUMIF($G$7:$G$31,"Gas",$F$7:$F$31)</f>
        <v>0</v>
      </c>
      <c r="D47" s="118">
        <f>C47+'28'!D47</f>
        <v>0</v>
      </c>
      <c r="E47" s="143">
        <f t="shared" si="10"/>
        <v>0</v>
      </c>
      <c r="F47" s="304"/>
      <c r="G47" s="305"/>
      <c r="H47" s="186" t="s">
        <v>91</v>
      </c>
      <c r="I47" s="118">
        <f>I46/I38</f>
        <v>778.87454618656977</v>
      </c>
      <c r="J47" s="135">
        <f>J46/J38</f>
        <v>746.73869460157619</v>
      </c>
      <c r="K47" s="130" t="s">
        <v>24</v>
      </c>
    </row>
    <row r="48" spans="1:26" ht="17.399999999999999" customHeight="1">
      <c r="A48" s="786" t="s">
        <v>14</v>
      </c>
      <c r="B48" s="787"/>
      <c r="C48" s="164">
        <f>SUMIF($G$7:$G$31,"Start Up",$F$7:$F$31)</f>
        <v>0</v>
      </c>
      <c r="D48" s="118">
        <f>C48+'28'!D48</f>
        <v>0</v>
      </c>
      <c r="E48" s="143">
        <f t="shared" si="10"/>
        <v>0</v>
      </c>
      <c r="F48" s="304"/>
      <c r="G48" s="305"/>
      <c r="H48" s="186" t="s">
        <v>92</v>
      </c>
      <c r="I48" s="118">
        <f>I46/I40</f>
        <v>883.244634968578</v>
      </c>
      <c r="J48" s="135">
        <f>J46/J40</f>
        <v>764.9401148903795</v>
      </c>
      <c r="K48" s="130" t="s">
        <v>24</v>
      </c>
    </row>
    <row r="49" spans="1:11" ht="17.399999999999999" customHeight="1">
      <c r="A49" s="786" t="s">
        <v>20</v>
      </c>
      <c r="B49" s="787"/>
      <c r="C49" s="164">
        <f>SUMIF($G$7:$G$31,"Others",$F$7:$F$31)</f>
        <v>0</v>
      </c>
      <c r="D49" s="118">
        <f>C49+'28'!D49</f>
        <v>1072</v>
      </c>
      <c r="E49" s="143">
        <f t="shared" si="10"/>
        <v>17.866666666666667</v>
      </c>
      <c r="F49" s="183"/>
      <c r="H49" s="186" t="s">
        <v>269</v>
      </c>
      <c r="I49" s="118">
        <f>+Report1!T37</f>
        <v>3761.701747104893</v>
      </c>
      <c r="J49" s="135">
        <f>+I49+'28'!J49</f>
        <v>107076.3846217651</v>
      </c>
      <c r="K49" s="130" t="s">
        <v>93</v>
      </c>
    </row>
    <row r="50" spans="1:11" ht="17.399999999999999" customHeight="1">
      <c r="A50" s="786" t="s">
        <v>19</v>
      </c>
      <c r="B50" s="787"/>
      <c r="C50" s="164">
        <f>SUMIF($G$7:$G$31,"Steam",$F$7:$F$31)</f>
        <v>0</v>
      </c>
      <c r="D50" s="118">
        <f>C50+'28'!D50</f>
        <v>0</v>
      </c>
      <c r="E50" s="143">
        <f t="shared" si="10"/>
        <v>0</v>
      </c>
      <c r="F50" s="183"/>
      <c r="H50" s="186" t="s">
        <v>94</v>
      </c>
      <c r="I50" s="140">
        <f>I49/I38</f>
        <v>73.679399610320104</v>
      </c>
      <c r="J50" s="133">
        <f>J49/J38</f>
        <v>71.472071766687392</v>
      </c>
      <c r="K50" s="130" t="s">
        <v>93</v>
      </c>
    </row>
    <row r="51" spans="1:11" ht="17.399999999999999" customHeight="1">
      <c r="A51" s="803" t="s">
        <v>95</v>
      </c>
      <c r="B51" s="803"/>
      <c r="C51" s="164">
        <f>SUMIF($G$7:$G$31,"Planned shut",$F$7:$F$31)</f>
        <v>0</v>
      </c>
      <c r="D51" s="118">
        <f>C51+'28'!D51</f>
        <v>0</v>
      </c>
      <c r="E51" s="143">
        <f t="shared" si="10"/>
        <v>0</v>
      </c>
      <c r="F51" s="183"/>
      <c r="H51" s="188" t="s">
        <v>96</v>
      </c>
      <c r="I51" s="141">
        <f>I49/I40</f>
        <v>83.552524257138586</v>
      </c>
      <c r="J51" s="136">
        <f>J49/J40</f>
        <v>73.214171414852913</v>
      </c>
      <c r="K51" s="137" t="s">
        <v>93</v>
      </c>
    </row>
    <row r="52" spans="1:11" ht="13.8" thickBot="1">
      <c r="A52" s="804" t="s">
        <v>218</v>
      </c>
      <c r="B52" s="805"/>
      <c r="C52" s="164">
        <f>SUMIF($G$7:$G$31,"Change Grade",$F$7:$F$31)</f>
        <v>0</v>
      </c>
      <c r="D52" s="118">
        <f>C52+'28'!D52</f>
        <v>0</v>
      </c>
      <c r="E52" s="143">
        <f t="shared" si="10"/>
        <v>0</v>
      </c>
      <c r="F52" s="183"/>
      <c r="H52" s="189"/>
      <c r="I52" s="190"/>
      <c r="J52" s="138"/>
      <c r="K52" s="139"/>
    </row>
    <row r="53" spans="1:11">
      <c r="A53" s="799" t="s">
        <v>28</v>
      </c>
      <c r="B53" s="800"/>
      <c r="C53" s="144">
        <f>SUM(C38:C52)</f>
        <v>32</v>
      </c>
      <c r="D53" s="144">
        <f>SUM(D38:D52)</f>
        <v>1901</v>
      </c>
      <c r="E53" s="145">
        <f>SUM(E38:E52)</f>
        <v>31.683333333333334</v>
      </c>
      <c r="F53" s="183"/>
    </row>
    <row r="54" spans="1:11" ht="13.8" thickBot="1">
      <c r="A54" s="801"/>
      <c r="B54" s="802"/>
      <c r="C54" s="146">
        <f>C53/(24*60)</f>
        <v>2.2222222222222223E-2</v>
      </c>
      <c r="D54" s="146">
        <f>D53/(24*60*G4)</f>
        <v>4.5522030651340993E-2</v>
      </c>
      <c r="E54" s="147">
        <f>E53/(G4*24)</f>
        <v>4.5522030651340993E-2</v>
      </c>
      <c r="F54" s="183"/>
    </row>
    <row r="55" spans="1:11">
      <c r="E55" s="191"/>
    </row>
    <row r="56" spans="1:11">
      <c r="A56" s="192" t="s">
        <v>97</v>
      </c>
      <c r="B56" s="193"/>
      <c r="C56" s="194"/>
      <c r="D56" s="194"/>
      <c r="E56" s="194"/>
      <c r="F56" s="195"/>
      <c r="G56" s="194"/>
      <c r="H56" s="196"/>
      <c r="I56" s="197" t="s">
        <v>98</v>
      </c>
      <c r="J56" s="198">
        <f>+D34+'28'!J56</f>
        <v>3060</v>
      </c>
      <c r="K56" s="199">
        <f>J56/(J40+J56/1000)/1000</f>
        <v>2.0879262593572877E-3</v>
      </c>
    </row>
    <row r="57" spans="1:11">
      <c r="A57" s="174"/>
      <c r="I57" s="197" t="s">
        <v>99</v>
      </c>
      <c r="J57" s="198">
        <f>+E34+'28'!J57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74791666666666667" right="0.74791666666666667" top="0.39027777777777778" bottom="0.39027777777777778" header="0" footer="0"/>
  <pageSetup paperSize="9" scale="51"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S61"/>
  <sheetViews>
    <sheetView view="pageBreakPreview" zoomScale="80" zoomScaleNormal="80" zoomScaleSheetLayoutView="80" workbookViewId="0">
      <selection activeCell="C26" sqref="C26"/>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5.44140625" style="149" customWidth="1"/>
    <col min="14" max="16384" width="9.109375" style="149"/>
  </cols>
  <sheetData>
    <row r="1" spans="1:19" ht="15.6">
      <c r="A1" s="148"/>
    </row>
    <row r="2" spans="1:19" ht="15.6">
      <c r="A2" s="148" t="s">
        <v>219</v>
      </c>
    </row>
    <row r="3" spans="1:19" ht="15">
      <c r="A3" s="150"/>
    </row>
    <row r="4" spans="1:19" ht="21">
      <c r="A4" s="151" t="s">
        <v>4</v>
      </c>
      <c r="B4" s="152"/>
      <c r="F4" s="153" t="s">
        <v>29</v>
      </c>
      <c r="G4" s="154">
        <v>28</v>
      </c>
      <c r="H4" s="154" t="str">
        <f>+'1'!H4</f>
        <v>.03.26</v>
      </c>
      <c r="J4" s="149">
        <f>462+462+490</f>
        <v>1414</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584</v>
      </c>
      <c r="O6" s="149">
        <v>1225</v>
      </c>
      <c r="P6" s="149">
        <f>+O6-(O6*0.16)</f>
        <v>1029</v>
      </c>
      <c r="Q6" s="149">
        <v>480</v>
      </c>
      <c r="R6" s="149">
        <f t="shared" ref="R6:R8" si="0">+O6*Q6</f>
        <v>588000</v>
      </c>
      <c r="S6" s="149">
        <f t="shared" ref="S6:S8" si="1">+P6*Q6</f>
        <v>493920</v>
      </c>
    </row>
    <row r="7" spans="1:19" ht="13.5" customHeight="1" thickBot="1">
      <c r="A7" s="788" t="s">
        <v>428</v>
      </c>
      <c r="B7" s="213" t="s">
        <v>592</v>
      </c>
      <c r="C7" s="214">
        <v>9920</v>
      </c>
      <c r="D7" s="215"/>
      <c r="E7" s="216"/>
      <c r="F7" s="231"/>
      <c r="G7" s="553" t="s">
        <v>12</v>
      </c>
      <c r="H7" s="554" t="s">
        <v>417</v>
      </c>
      <c r="I7" s="791" t="s">
        <v>585</v>
      </c>
      <c r="J7" s="212" t="str">
        <f>+'27'!J7</f>
        <v>T 15 RC HW</v>
      </c>
      <c r="K7" s="233"/>
      <c r="L7" s="237"/>
      <c r="M7" s="117">
        <f>+K7+'27'!M7+L7</f>
        <v>444860</v>
      </c>
      <c r="O7" s="149">
        <v>1200</v>
      </c>
      <c r="P7" s="149">
        <f>+O7-(O7*0.16)</f>
        <v>1008</v>
      </c>
      <c r="Q7" s="149">
        <v>480</v>
      </c>
      <c r="R7" s="149">
        <f t="shared" si="0"/>
        <v>576000</v>
      </c>
      <c r="S7" s="149">
        <f t="shared" si="1"/>
        <v>483840</v>
      </c>
    </row>
    <row r="8" spans="1:19" ht="13.8" thickBot="1">
      <c r="A8" s="789"/>
      <c r="B8" s="213"/>
      <c r="C8" s="214"/>
      <c r="D8" s="215"/>
      <c r="E8" s="217"/>
      <c r="F8" s="227">
        <v>3</v>
      </c>
      <c r="G8" s="555" t="s">
        <v>12</v>
      </c>
      <c r="H8" s="226" t="s">
        <v>416</v>
      </c>
      <c r="I8" s="792"/>
      <c r="J8" s="212" t="str">
        <f>+'27'!J8</f>
        <v>T 14,5 RC HW</v>
      </c>
      <c r="K8" s="234"/>
      <c r="L8" s="234"/>
      <c r="M8" s="117">
        <f>+K8+'27'!M8+L8</f>
        <v>206120</v>
      </c>
      <c r="O8" s="149">
        <v>1200</v>
      </c>
      <c r="P8" s="149">
        <f>+O8-(O8*0.16)</f>
        <v>1008</v>
      </c>
      <c r="Q8" s="149">
        <v>480</v>
      </c>
      <c r="R8" s="149">
        <f t="shared" si="0"/>
        <v>576000</v>
      </c>
      <c r="S8" s="149">
        <f t="shared" si="1"/>
        <v>483840</v>
      </c>
    </row>
    <row r="9" spans="1:19" ht="13.8" thickBot="1">
      <c r="A9" s="789"/>
      <c r="B9" s="213"/>
      <c r="C9" s="214"/>
      <c r="D9" s="215"/>
      <c r="E9" s="218"/>
      <c r="F9" s="227">
        <v>12</v>
      </c>
      <c r="G9" s="555" t="s">
        <v>12</v>
      </c>
      <c r="H9" s="229" t="s">
        <v>497</v>
      </c>
      <c r="I9" s="792"/>
      <c r="J9" s="212" t="str">
        <f>+'27'!J9</f>
        <v>T 14 RC HW</v>
      </c>
      <c r="K9" s="234"/>
      <c r="L9" s="234"/>
      <c r="M9" s="117">
        <f>+K9+'27'!M9+L9</f>
        <v>49646</v>
      </c>
    </row>
    <row r="10" spans="1:19" ht="53.4" thickBot="1">
      <c r="A10" s="789"/>
      <c r="B10" s="213"/>
      <c r="C10" s="214"/>
      <c r="D10" s="215"/>
      <c r="E10" s="217"/>
      <c r="F10" s="227"/>
      <c r="G10" s="225"/>
      <c r="H10" s="556" t="s">
        <v>735</v>
      </c>
      <c r="I10" s="792"/>
      <c r="J10" s="212" t="str">
        <f>+'27'!J10</f>
        <v>T 13,5 RC HW</v>
      </c>
      <c r="K10" s="234">
        <f>+C7+C16+C25</f>
        <v>43595</v>
      </c>
      <c r="L10" s="234"/>
      <c r="M10" s="117">
        <f>+K10+'27'!M10+L10</f>
        <v>453915</v>
      </c>
    </row>
    <row r="11" spans="1:19" ht="96.75" customHeight="1" thickBot="1">
      <c r="A11" s="789"/>
      <c r="B11" s="213"/>
      <c r="C11" s="214"/>
      <c r="D11" s="215"/>
      <c r="E11" s="217"/>
      <c r="F11" s="224"/>
      <c r="G11" s="228"/>
      <c r="H11" s="229" t="s">
        <v>751</v>
      </c>
      <c r="I11" s="792"/>
      <c r="J11" s="212" t="str">
        <f>+'27'!J11</f>
        <v>TW 22 RC HW</v>
      </c>
      <c r="K11" s="234"/>
      <c r="L11" s="234"/>
      <c r="M11" s="117">
        <f>+K11+'27'!M11+L11</f>
        <v>262946</v>
      </c>
    </row>
    <row r="12" spans="1:19" ht="13.8" thickBot="1">
      <c r="A12" s="789"/>
      <c r="B12" s="213"/>
      <c r="C12" s="214"/>
      <c r="D12" s="215"/>
      <c r="E12" s="217"/>
      <c r="F12" s="224"/>
      <c r="G12" s="228"/>
      <c r="H12" s="229"/>
      <c r="I12" s="792"/>
      <c r="J12" s="212">
        <f>+'27'!J12</f>
        <v>0</v>
      </c>
      <c r="K12" s="234"/>
      <c r="L12" s="234"/>
      <c r="M12" s="117">
        <f>+K12+'27'!M12+L12</f>
        <v>0</v>
      </c>
    </row>
    <row r="13" spans="1:19" ht="13.8" thickBot="1">
      <c r="A13" s="789"/>
      <c r="B13" s="213"/>
      <c r="C13" s="214"/>
      <c r="D13" s="214"/>
      <c r="E13" s="217"/>
      <c r="F13" s="224"/>
      <c r="G13" s="228"/>
      <c r="H13" s="229"/>
      <c r="I13" s="793"/>
      <c r="J13" s="212">
        <f>+'27'!J13</f>
        <v>0</v>
      </c>
      <c r="K13" s="234"/>
      <c r="L13" s="234"/>
      <c r="M13" s="117">
        <f>+K13+'27'!M13+L13</f>
        <v>0</v>
      </c>
      <c r="Q13" s="174">
        <f>SUM(Q6:Q12)</f>
        <v>1440</v>
      </c>
      <c r="R13" s="174">
        <f>SUM(R6:R12)</f>
        <v>1740000</v>
      </c>
      <c r="S13" s="174">
        <f>SUM(S6:S12)</f>
        <v>1461600</v>
      </c>
    </row>
    <row r="14" spans="1:19" ht="13.8" thickBot="1">
      <c r="A14" s="790"/>
      <c r="B14" s="165" t="s">
        <v>3</v>
      </c>
      <c r="C14" s="99">
        <f>SUM(C7:C13)</f>
        <v>9920</v>
      </c>
      <c r="D14" s="111">
        <f>SUM(D7:D13)</f>
        <v>0</v>
      </c>
      <c r="E14" s="112">
        <f>SUM(E5:E13)</f>
        <v>0</v>
      </c>
      <c r="F14" s="116">
        <f>SUM(F7:F13)</f>
        <v>15</v>
      </c>
      <c r="G14" s="159"/>
      <c r="H14" s="166"/>
      <c r="I14" s="167"/>
      <c r="J14" s="212">
        <f>+'27'!J14</f>
        <v>0</v>
      </c>
      <c r="K14" s="234"/>
      <c r="L14" s="234"/>
      <c r="M14" s="117">
        <f>+K14+'27'!M14+L14</f>
        <v>0</v>
      </c>
      <c r="Q14" s="149">
        <f>480-Q13</f>
        <v>-960</v>
      </c>
      <c r="R14" s="174">
        <f>+R13/Q13</f>
        <v>1208.3333333333333</v>
      </c>
      <c r="S14" s="174">
        <f>+S13/Q13</f>
        <v>1015</v>
      </c>
    </row>
    <row r="15" spans="1:19" ht="13.8" thickBot="1">
      <c r="A15" s="794" t="s">
        <v>429</v>
      </c>
      <c r="B15" s="513"/>
      <c r="C15" s="113">
        <f>C14/($C$23+$D$23+$E$23)</f>
        <v>0.5337925096857512</v>
      </c>
      <c r="D15" s="114">
        <f>D14/($C$23+$D$23+$E$23)</f>
        <v>0</v>
      </c>
      <c r="E15" s="115">
        <f>E14/($C$23+$D$23+$E$23)</f>
        <v>0</v>
      </c>
      <c r="F15" s="231"/>
      <c r="G15" s="553" t="s">
        <v>12</v>
      </c>
      <c r="H15" s="554" t="s">
        <v>417</v>
      </c>
      <c r="I15" s="791" t="s">
        <v>752</v>
      </c>
      <c r="J15" s="212">
        <f>+'27'!J15</f>
        <v>0</v>
      </c>
      <c r="K15" s="234"/>
      <c r="L15" s="234"/>
      <c r="M15" s="117">
        <f>+K15+'27'!M15+L15</f>
        <v>0</v>
      </c>
    </row>
    <row r="16" spans="1:19" ht="13.8" thickBot="1">
      <c r="A16" s="789"/>
      <c r="B16" s="512" t="s">
        <v>592</v>
      </c>
      <c r="C16" s="511">
        <v>18584</v>
      </c>
      <c r="D16" s="219"/>
      <c r="E16" s="220"/>
      <c r="F16" s="227"/>
      <c r="G16" s="555" t="s">
        <v>12</v>
      </c>
      <c r="H16" s="226" t="s">
        <v>419</v>
      </c>
      <c r="I16" s="792"/>
      <c r="J16" s="212">
        <f>+'27'!J16</f>
        <v>0</v>
      </c>
      <c r="K16" s="225"/>
      <c r="L16" s="225"/>
      <c r="M16" s="117">
        <f>+K16+'27'!M16+L16</f>
        <v>0</v>
      </c>
    </row>
    <row r="17" spans="1:14" ht="13.8" thickBot="1">
      <c r="A17" s="789"/>
      <c r="B17" s="213"/>
      <c r="C17" s="214"/>
      <c r="D17" s="215"/>
      <c r="E17" s="221"/>
      <c r="F17" s="227">
        <v>5</v>
      </c>
      <c r="G17" s="555" t="s">
        <v>12</v>
      </c>
      <c r="H17" s="229" t="s">
        <v>418</v>
      </c>
      <c r="I17" s="792"/>
      <c r="J17" s="212">
        <f>+'27'!J17</f>
        <v>0</v>
      </c>
      <c r="K17" s="225"/>
      <c r="L17" s="225"/>
      <c r="M17" s="117">
        <f>+K17+'27'!M17+L17</f>
        <v>0</v>
      </c>
    </row>
    <row r="18" spans="1:14" ht="53.4" thickBot="1">
      <c r="A18" s="789"/>
      <c r="B18" s="213"/>
      <c r="C18" s="214"/>
      <c r="D18" s="215"/>
      <c r="E18" s="221"/>
      <c r="F18" s="227"/>
      <c r="G18" s="225"/>
      <c r="H18" s="556" t="s">
        <v>746</v>
      </c>
      <c r="I18" s="792"/>
      <c r="J18" s="212">
        <f>+'27'!J18</f>
        <v>0</v>
      </c>
      <c r="K18" s="234"/>
      <c r="L18" s="234"/>
      <c r="M18" s="117">
        <f>+K18+'27'!M18+L18</f>
        <v>0</v>
      </c>
    </row>
    <row r="19" spans="1:14" ht="27" thickBot="1">
      <c r="A19" s="789"/>
      <c r="B19" s="213"/>
      <c r="C19" s="214"/>
      <c r="D19" s="215"/>
      <c r="E19" s="221"/>
      <c r="F19" s="230"/>
      <c r="G19" s="228"/>
      <c r="H19" s="229" t="s">
        <v>750</v>
      </c>
      <c r="I19" s="792"/>
      <c r="J19" s="212">
        <f>+'27'!J19</f>
        <v>0</v>
      </c>
      <c r="K19" s="234"/>
      <c r="L19" s="234"/>
      <c r="M19" s="117">
        <f>+K19+'27'!M19+L19</f>
        <v>0</v>
      </c>
    </row>
    <row r="20" spans="1:14" ht="13.8" thickBot="1">
      <c r="A20" s="789"/>
      <c r="B20" s="213"/>
      <c r="C20" s="214"/>
      <c r="D20" s="215"/>
      <c r="E20" s="221"/>
      <c r="F20" s="224"/>
      <c r="G20" s="228"/>
      <c r="H20" s="229"/>
      <c r="I20" s="792"/>
      <c r="J20" s="212">
        <f>+'27'!J20</f>
        <v>0</v>
      </c>
      <c r="K20" s="235"/>
      <c r="L20" s="235"/>
      <c r="M20" s="117">
        <f>+K20+'27'!M20+L20</f>
        <v>0</v>
      </c>
    </row>
    <row r="21" spans="1:14" ht="13.8" thickBot="1">
      <c r="A21" s="789"/>
      <c r="B21" s="213"/>
      <c r="C21" s="214"/>
      <c r="D21" s="215"/>
      <c r="E21" s="221"/>
      <c r="F21" s="227"/>
      <c r="G21" s="228"/>
      <c r="H21" s="229"/>
      <c r="I21" s="792"/>
      <c r="J21" s="212">
        <f>+'27'!J21</f>
        <v>0</v>
      </c>
      <c r="K21" s="234"/>
      <c r="L21" s="234"/>
      <c r="M21" s="117">
        <f>+K21+'27'!M21+L21</f>
        <v>0</v>
      </c>
    </row>
    <row r="22" spans="1:14" ht="13.8" thickBot="1">
      <c r="A22" s="789"/>
      <c r="B22" s="213"/>
      <c r="C22" s="214"/>
      <c r="D22" s="215"/>
      <c r="E22" s="221"/>
      <c r="F22" s="231"/>
      <c r="G22" s="228"/>
      <c r="H22" s="229"/>
      <c r="I22" s="793"/>
      <c r="J22" s="212">
        <f>+'27'!J22</f>
        <v>0</v>
      </c>
      <c r="K22" s="234"/>
      <c r="L22" s="234"/>
      <c r="M22" s="117">
        <f>+K22+'27'!M22+L22</f>
        <v>0</v>
      </c>
    </row>
    <row r="23" spans="1:14" ht="13.8" thickBot="1">
      <c r="A23" s="790"/>
      <c r="B23" s="165" t="s">
        <v>3</v>
      </c>
      <c r="C23" s="99">
        <f>SUM(C16:C22)</f>
        <v>18584</v>
      </c>
      <c r="D23" s="111">
        <f>SUM(D16:D22)</f>
        <v>0</v>
      </c>
      <c r="E23" s="112">
        <f>SUM(E18:E22)</f>
        <v>0</v>
      </c>
      <c r="F23" s="116">
        <f>SUM(F15:F22)</f>
        <v>5</v>
      </c>
      <c r="G23" s="159"/>
      <c r="H23" s="166"/>
      <c r="I23" s="168"/>
      <c r="J23" s="212">
        <f>+'27'!J23</f>
        <v>0</v>
      </c>
      <c r="K23" s="234"/>
      <c r="L23" s="234"/>
      <c r="M23" s="117">
        <f>+K23+'27'!M23+L23</f>
        <v>0</v>
      </c>
    </row>
    <row r="24" spans="1:14" ht="13.8" thickBot="1">
      <c r="A24" s="794" t="s">
        <v>458</v>
      </c>
      <c r="B24" s="513"/>
      <c r="C24" s="113">
        <f>C23/($C$23+$D$23+$E$23)</f>
        <v>1</v>
      </c>
      <c r="D24" s="114">
        <f>D23/($C$23+$D$23+$E$23)</f>
        <v>0</v>
      </c>
      <c r="E24" s="115">
        <f>E23/($C$23+$D$23+$E$23)</f>
        <v>0</v>
      </c>
      <c r="F24" s="231"/>
      <c r="G24" s="553" t="s">
        <v>12</v>
      </c>
      <c r="H24" s="554" t="s">
        <v>417</v>
      </c>
      <c r="I24" s="791" t="s">
        <v>752</v>
      </c>
      <c r="J24" s="212">
        <f>+'27'!J24</f>
        <v>0</v>
      </c>
      <c r="K24" s="234"/>
      <c r="L24" s="234"/>
      <c r="M24" s="117">
        <f>+K24+'27'!M24+L24</f>
        <v>0</v>
      </c>
    </row>
    <row r="25" spans="1:14" ht="13.8" thickBot="1">
      <c r="A25" s="789"/>
      <c r="B25" s="512" t="s">
        <v>592</v>
      </c>
      <c r="C25" s="222">
        <v>15091</v>
      </c>
      <c r="D25" s="215"/>
      <c r="E25" s="221"/>
      <c r="F25" s="227"/>
      <c r="G25" s="555" t="s">
        <v>12</v>
      </c>
      <c r="H25" s="226" t="s">
        <v>419</v>
      </c>
      <c r="I25" s="792"/>
      <c r="J25" s="212">
        <f>+'27'!J25</f>
        <v>0</v>
      </c>
      <c r="K25" s="234"/>
      <c r="L25" s="234"/>
      <c r="M25" s="117">
        <f>+K25+'27'!M25+L25</f>
        <v>0</v>
      </c>
    </row>
    <row r="26" spans="1:14" ht="13.8" thickBot="1">
      <c r="A26" s="789"/>
      <c r="B26" s="213"/>
      <c r="C26" s="222"/>
      <c r="D26" s="215"/>
      <c r="E26" s="223"/>
      <c r="F26" s="227">
        <v>6</v>
      </c>
      <c r="G26" s="555" t="s">
        <v>12</v>
      </c>
      <c r="H26" s="229" t="s">
        <v>418</v>
      </c>
      <c r="I26" s="792"/>
      <c r="J26" s="212">
        <f>+'27'!J26</f>
        <v>0</v>
      </c>
      <c r="K26" s="234"/>
      <c r="L26" s="234"/>
      <c r="M26" s="117">
        <f>+K26+'27'!M26+L26</f>
        <v>0</v>
      </c>
    </row>
    <row r="27" spans="1:14" ht="66.599999999999994" thickBot="1">
      <c r="A27" s="789"/>
      <c r="B27" s="213"/>
      <c r="C27" s="214"/>
      <c r="D27" s="215"/>
      <c r="E27" s="221"/>
      <c r="F27" s="227"/>
      <c r="G27" s="225"/>
      <c r="H27" s="556" t="s">
        <v>748</v>
      </c>
      <c r="I27" s="792"/>
      <c r="J27" s="212">
        <f>+'27'!J27</f>
        <v>0</v>
      </c>
      <c r="K27" s="234"/>
      <c r="L27" s="234"/>
      <c r="M27" s="117">
        <f>+K27+'27'!M27+L27</f>
        <v>0</v>
      </c>
    </row>
    <row r="28" spans="1:14" ht="13.8" thickBot="1">
      <c r="A28" s="789"/>
      <c r="B28" s="213"/>
      <c r="C28" s="214"/>
      <c r="D28" s="215"/>
      <c r="E28" s="221"/>
      <c r="F28" s="227"/>
      <c r="G28" s="225"/>
      <c r="H28" s="229" t="s">
        <v>749</v>
      </c>
      <c r="I28" s="792"/>
      <c r="J28" s="212">
        <f>+'27'!J28</f>
        <v>0</v>
      </c>
      <c r="K28" s="234"/>
      <c r="L28" s="234"/>
      <c r="M28" s="117">
        <f>+K28+'27'!M28+L28</f>
        <v>0</v>
      </c>
    </row>
    <row r="29" spans="1:14" ht="13.8" thickBot="1">
      <c r="A29" s="789"/>
      <c r="B29" s="213"/>
      <c r="C29" s="214"/>
      <c r="D29" s="215"/>
      <c r="E29" s="221"/>
      <c r="F29" s="231"/>
      <c r="G29" s="228"/>
      <c r="H29" s="229"/>
      <c r="I29" s="792"/>
      <c r="J29" s="212">
        <f>+'27'!J29</f>
        <v>0</v>
      </c>
      <c r="K29" s="234"/>
      <c r="L29" s="234"/>
      <c r="M29" s="117">
        <f>+K29+'27'!M29+L29</f>
        <v>0</v>
      </c>
    </row>
    <row r="30" spans="1:14" ht="13.5" customHeight="1" thickBot="1">
      <c r="A30" s="789"/>
      <c r="B30" s="213"/>
      <c r="C30" s="222"/>
      <c r="D30" s="215"/>
      <c r="E30" s="221"/>
      <c r="F30" s="231"/>
      <c r="G30" s="228"/>
      <c r="H30" s="229"/>
      <c r="I30" s="792"/>
      <c r="J30" s="212">
        <f>+'27'!J30</f>
        <v>0</v>
      </c>
      <c r="K30" s="234"/>
      <c r="L30" s="234"/>
      <c r="M30" s="117">
        <f>+K30+'27'!M30+L30</f>
        <v>0</v>
      </c>
      <c r="N30" s="155"/>
    </row>
    <row r="31" spans="1:14" ht="13.5" customHeight="1" thickBot="1">
      <c r="A31" s="789"/>
      <c r="B31" s="213"/>
      <c r="C31" s="222"/>
      <c r="D31" s="215"/>
      <c r="E31" s="221"/>
      <c r="F31" s="231"/>
      <c r="G31" s="232"/>
      <c r="H31" s="404"/>
      <c r="I31" s="793"/>
      <c r="J31" s="212">
        <f>+'27'!J31</f>
        <v>0</v>
      </c>
      <c r="K31" s="234"/>
      <c r="L31" s="234"/>
      <c r="M31" s="117">
        <f>+K31+'27'!M31+L31</f>
        <v>0</v>
      </c>
    </row>
    <row r="32" spans="1:14" ht="13.5" customHeight="1" thickBot="1">
      <c r="A32" s="790"/>
      <c r="B32" s="165" t="s">
        <v>3</v>
      </c>
      <c r="C32" s="99">
        <f>SUM(C25:C31)</f>
        <v>15091</v>
      </c>
      <c r="D32" s="100">
        <f>SUM(D25:D31)</f>
        <v>0</v>
      </c>
      <c r="E32" s="101">
        <f>SUM(E25:E31)</f>
        <v>0</v>
      </c>
      <c r="F32" s="99">
        <f>SUM(F24:F31)</f>
        <v>6</v>
      </c>
      <c r="G32" s="169"/>
      <c r="H32" s="170"/>
      <c r="I32" s="168"/>
      <c r="J32" s="212">
        <f>+'27'!J32</f>
        <v>0</v>
      </c>
      <c r="K32" s="236"/>
      <c r="L32" s="238"/>
      <c r="M32" s="117">
        <f>+K32+'27'!M32+L32</f>
        <v>0</v>
      </c>
    </row>
    <row r="33" spans="1:14" ht="13.8" thickBot="1">
      <c r="A33" s="171"/>
      <c r="B33" s="172"/>
      <c r="C33" s="103">
        <f>C32/($C$32+$D$32+$E$32)</f>
        <v>1</v>
      </c>
      <c r="D33" s="104">
        <f>D32/($C$32+$D$32+$E$32)</f>
        <v>0</v>
      </c>
      <c r="E33" s="105">
        <f>E32/($C$32+$D$32+$E$32)</f>
        <v>0</v>
      </c>
      <c r="F33" s="106"/>
      <c r="G33" s="173"/>
      <c r="H33" s="174"/>
      <c r="I33" s="175"/>
      <c r="J33" s="121"/>
      <c r="K33" s="122"/>
      <c r="L33" s="211"/>
      <c r="M33" s="119"/>
    </row>
    <row r="34" spans="1:14" ht="13.8" thickBot="1">
      <c r="A34" s="795" t="s">
        <v>68</v>
      </c>
      <c r="B34" s="796"/>
      <c r="C34" s="107">
        <f>C14+C23+C32</f>
        <v>43595</v>
      </c>
      <c r="D34" s="107">
        <f>D14+D23+D32</f>
        <v>0</v>
      </c>
      <c r="E34" s="107">
        <f>E14+E23+E32</f>
        <v>0</v>
      </c>
      <c r="F34" s="108">
        <f>F14+F23+F32</f>
        <v>26</v>
      </c>
      <c r="H34" s="176"/>
      <c r="I34" s="176"/>
      <c r="J34" s="123" t="s">
        <v>28</v>
      </c>
      <c r="K34" s="124">
        <f>SUM(K7:K32)</f>
        <v>43595</v>
      </c>
      <c r="L34" s="210">
        <f>SUM(L7:L32)</f>
        <v>0</v>
      </c>
      <c r="M34" s="120">
        <f>SUM(M7:M32)</f>
        <v>1417487</v>
      </c>
      <c r="N34" s="155"/>
    </row>
    <row r="35" spans="1:14" ht="13.8" thickBot="1">
      <c r="A35" s="177"/>
      <c r="B35" s="178"/>
      <c r="C35" s="104">
        <f>C34/($C$34+$D$34+$E$34)</f>
        <v>1</v>
      </c>
      <c r="D35" s="104">
        <f>D34/($C$34+$D$34+$E$34)</f>
        <v>0</v>
      </c>
      <c r="E35" s="109">
        <f>E34/($C$34+$D$34+$E$34)</f>
        <v>0</v>
      </c>
      <c r="K35" s="155"/>
    </row>
    <row r="36" spans="1:14" ht="13.8" thickBot="1">
      <c r="A36" s="176"/>
      <c r="B36" s="176"/>
      <c r="C36" s="155"/>
      <c r="D36" s="155"/>
      <c r="E36" s="155"/>
      <c r="G36" s="155"/>
      <c r="H36" s="179"/>
      <c r="I36" s="162" t="s">
        <v>37</v>
      </c>
      <c r="J36" s="162" t="s">
        <v>38</v>
      </c>
      <c r="K36" s="180"/>
    </row>
    <row r="37" spans="1:14" ht="17.399999999999999" customHeight="1" thickBot="1">
      <c r="A37" s="797" t="s">
        <v>69</v>
      </c>
      <c r="B37" s="798"/>
      <c r="C37" s="162" t="s">
        <v>70</v>
      </c>
      <c r="D37" s="181" t="s">
        <v>71</v>
      </c>
      <c r="E37" s="182" t="s">
        <v>72</v>
      </c>
      <c r="F37" s="304"/>
      <c r="G37" s="306"/>
      <c r="H37" s="184" t="s">
        <v>73</v>
      </c>
      <c r="I37" s="239">
        <f>(13.5*1440)/1440*G42*2.7*1440/1000000</f>
        <v>53.275320000000001</v>
      </c>
      <c r="J37" s="125">
        <f>+I37+'27'!J37</f>
        <v>1506.0467323545618</v>
      </c>
      <c r="K37" s="126" t="s">
        <v>74</v>
      </c>
    </row>
    <row r="38" spans="1:14" ht="17.399999999999999" customHeight="1">
      <c r="A38" s="799" t="s">
        <v>12</v>
      </c>
      <c r="B38" s="800"/>
      <c r="C38" s="164">
        <f>SUMIF($G$7:$G$31,"Process",$F$7:$F$31)</f>
        <v>26</v>
      </c>
      <c r="D38" s="118">
        <f>C38+'27'!D38</f>
        <v>797</v>
      </c>
      <c r="E38" s="143">
        <f t="shared" ref="E38:E52" si="2">D38/60</f>
        <v>13.283333333333333</v>
      </c>
      <c r="F38" s="304">
        <v>1225</v>
      </c>
      <c r="G38" s="304">
        <v>1029</v>
      </c>
      <c r="H38" s="185" t="s">
        <v>75</v>
      </c>
      <c r="I38" s="240">
        <f>16.607+17.855+17.728</f>
        <v>52.190000000000005</v>
      </c>
      <c r="J38" s="127">
        <f>+I38+'27'!J38</f>
        <v>1447.1020000000003</v>
      </c>
      <c r="K38" s="128" t="s">
        <v>74</v>
      </c>
    </row>
    <row r="39" spans="1:14" ht="17.399999999999999" customHeight="1">
      <c r="A39" s="786" t="s">
        <v>13</v>
      </c>
      <c r="B39" s="787"/>
      <c r="C39" s="164">
        <f>SUMIF($G$7:$G$31,"Cleaning",$F$7:$F$31)</f>
        <v>0</v>
      </c>
      <c r="D39" s="118">
        <f>C39+'27'!D39</f>
        <v>0</v>
      </c>
      <c r="E39" s="143">
        <f t="shared" si="2"/>
        <v>0</v>
      </c>
      <c r="F39" s="304">
        <v>1200</v>
      </c>
      <c r="G39" s="304">
        <v>1008</v>
      </c>
      <c r="H39" s="185" t="s">
        <v>76</v>
      </c>
      <c r="I39" s="142"/>
      <c r="J39" s="129">
        <f>J37/G4</f>
        <v>53.787383298377208</v>
      </c>
      <c r="K39" s="130" t="s">
        <v>74</v>
      </c>
    </row>
    <row r="40" spans="1:14" ht="17.399999999999999" customHeight="1">
      <c r="A40" s="786" t="s">
        <v>77</v>
      </c>
      <c r="B40" s="787"/>
      <c r="C40" s="164">
        <f>SUMIF($G$7:$G$31,"Mechanical",$F$7:$F$31)</f>
        <v>0</v>
      </c>
      <c r="D40" s="118">
        <f>C40+'27'!D40</f>
        <v>0</v>
      </c>
      <c r="E40" s="143">
        <f t="shared" si="2"/>
        <v>0</v>
      </c>
      <c r="F40" s="304">
        <v>1200</v>
      </c>
      <c r="G40" s="304">
        <v>1008</v>
      </c>
      <c r="H40" s="185" t="s">
        <v>78</v>
      </c>
      <c r="I40" s="118">
        <f>(K34+L34)/1000</f>
        <v>43.594999999999999</v>
      </c>
      <c r="J40" s="131">
        <f>+I40+'27'!J40</f>
        <v>1417.4869999999999</v>
      </c>
      <c r="K40" s="130" t="s">
        <v>74</v>
      </c>
    </row>
    <row r="41" spans="1:14" ht="17.399999999999999" customHeight="1">
      <c r="A41" s="786" t="s">
        <v>79</v>
      </c>
      <c r="B41" s="787"/>
      <c r="C41" s="164">
        <f>SUMIF($G$7:$G$31,"Electrical",$F$7:$F$31)</f>
        <v>0</v>
      </c>
      <c r="D41" s="118">
        <f>C41+'27'!D41</f>
        <v>0</v>
      </c>
      <c r="E41" s="143">
        <f t="shared" si="2"/>
        <v>0</v>
      </c>
      <c r="F41" s="304"/>
      <c r="G41" s="304"/>
      <c r="H41" s="185" t="s">
        <v>80</v>
      </c>
      <c r="I41" s="142"/>
      <c r="J41" s="129">
        <f>J40/G4</f>
        <v>50.624535714285706</v>
      </c>
      <c r="K41" s="130" t="s">
        <v>74</v>
      </c>
    </row>
    <row r="42" spans="1:14" ht="17.399999999999999" customHeight="1">
      <c r="A42" s="786" t="s">
        <v>16</v>
      </c>
      <c r="B42" s="787"/>
      <c r="C42" s="164">
        <f>SUMIF($G$7:$G$31,"Instrument",$F$7:$F$31)</f>
        <v>0</v>
      </c>
      <c r="D42" s="118">
        <f>C42+'27'!D42</f>
        <v>0</v>
      </c>
      <c r="E42" s="143">
        <f t="shared" si="2"/>
        <v>0</v>
      </c>
      <c r="F42" s="183">
        <f>+(480*F38+480*F39+480*F40)/1440</f>
        <v>1208.3333333333333</v>
      </c>
      <c r="G42" s="183">
        <f>+(480*G38+480*G39+480*G40)/1440</f>
        <v>1015</v>
      </c>
      <c r="H42" s="185" t="s">
        <v>81</v>
      </c>
      <c r="I42" s="241" t="s">
        <v>753</v>
      </c>
      <c r="J42" s="132"/>
      <c r="K42" s="130" t="s">
        <v>82</v>
      </c>
    </row>
    <row r="43" spans="1:14" ht="17.399999999999999" customHeight="1">
      <c r="A43" s="786" t="s">
        <v>83</v>
      </c>
      <c r="B43" s="787"/>
      <c r="C43" s="164">
        <f>SUMIF($G$7:$G$31,"Water",$F$7:$F$31)</f>
        <v>0</v>
      </c>
      <c r="D43" s="118">
        <f>C43+'27'!D43</f>
        <v>0</v>
      </c>
      <c r="E43" s="143">
        <f t="shared" si="2"/>
        <v>0</v>
      </c>
      <c r="F43" s="304"/>
      <c r="G43" s="305"/>
      <c r="H43" s="186" t="s">
        <v>84</v>
      </c>
      <c r="I43" s="118">
        <f>+Report1!Z36</f>
        <v>94</v>
      </c>
      <c r="J43" s="133">
        <f>+I43+'27'!J43</f>
        <v>2681.7200000000003</v>
      </c>
      <c r="K43" s="130" t="s">
        <v>74</v>
      </c>
      <c r="L43" s="187"/>
    </row>
    <row r="44" spans="1:14" ht="17.399999999999999" customHeight="1">
      <c r="A44" s="786" t="s">
        <v>17</v>
      </c>
      <c r="B44" s="787"/>
      <c r="C44" s="164">
        <f>SUMIF($G$7:$G$31,"PLN",$F$7:$F$31)</f>
        <v>0</v>
      </c>
      <c r="D44" s="118">
        <f>C44+'27'!D44</f>
        <v>0</v>
      </c>
      <c r="E44" s="143">
        <f t="shared" si="2"/>
        <v>0</v>
      </c>
      <c r="F44" s="304"/>
      <c r="G44" s="305"/>
      <c r="H44" s="186" t="s">
        <v>85</v>
      </c>
      <c r="I44" s="118">
        <f>I43/I38</f>
        <v>1.8011113240084307</v>
      </c>
      <c r="J44" s="134">
        <f>J43/J38</f>
        <v>1.8531658445638246</v>
      </c>
      <c r="K44" s="130" t="s">
        <v>74</v>
      </c>
    </row>
    <row r="45" spans="1:14" ht="17.399999999999999" customHeight="1">
      <c r="A45" s="786" t="s">
        <v>18</v>
      </c>
      <c r="B45" s="787"/>
      <c r="C45" s="164">
        <f>SUMIF($G$7:$G$31,"Boiler",$F$7:$F$31)</f>
        <v>0</v>
      </c>
      <c r="D45" s="118">
        <f>C45+'27'!D45</f>
        <v>0</v>
      </c>
      <c r="E45" s="143">
        <f t="shared" si="2"/>
        <v>0</v>
      </c>
      <c r="F45" s="304"/>
      <c r="G45" s="307"/>
      <c r="H45" s="186" t="s">
        <v>86</v>
      </c>
      <c r="I45" s="118">
        <f>I43/I40</f>
        <v>2.1562105746071798</v>
      </c>
      <c r="J45" s="134">
        <f>J43/J40</f>
        <v>1.8918833118046237</v>
      </c>
      <c r="K45" s="130" t="s">
        <v>74</v>
      </c>
    </row>
    <row r="46" spans="1:14" ht="17.399999999999999" customHeight="1">
      <c r="A46" s="786" t="s">
        <v>87</v>
      </c>
      <c r="B46" s="787"/>
      <c r="C46" s="164">
        <f>SUMIF($G$7:$G$31,"Gas",$F$7:$F$31)</f>
        <v>0</v>
      </c>
      <c r="D46" s="118">
        <f>C46+'27'!D46</f>
        <v>0</v>
      </c>
      <c r="E46" s="143">
        <f t="shared" si="2"/>
        <v>0</v>
      </c>
      <c r="F46" s="304"/>
      <c r="G46" s="305"/>
      <c r="H46" s="186" t="s">
        <v>88</v>
      </c>
      <c r="I46" s="140">
        <f>+SUMIF(Listrik!X35,"&gt;0")</f>
        <v>38411.681780205559</v>
      </c>
      <c r="J46" s="135">
        <f>+I46+'27'!J46</f>
        <v>1078966.3625326585</v>
      </c>
      <c r="K46" s="130" t="s">
        <v>89</v>
      </c>
    </row>
    <row r="47" spans="1:14" ht="17.399999999999999" customHeight="1">
      <c r="A47" s="786" t="s">
        <v>90</v>
      </c>
      <c r="B47" s="787"/>
      <c r="C47" s="164">
        <f>SUMIF($G$7:$G$31,"Gas",$F$7:$F$31)</f>
        <v>0</v>
      </c>
      <c r="D47" s="118">
        <f>C47+'27'!D47</f>
        <v>0</v>
      </c>
      <c r="E47" s="143">
        <f t="shared" si="2"/>
        <v>0</v>
      </c>
      <c r="F47" s="304"/>
      <c r="G47" s="305"/>
      <c r="H47" s="186" t="s">
        <v>91</v>
      </c>
      <c r="I47" s="118">
        <f>I46/I38</f>
        <v>735.9969683886867</v>
      </c>
      <c r="J47" s="135">
        <f>J46/J38</f>
        <v>745.60491418895026</v>
      </c>
      <c r="K47" s="130" t="s">
        <v>24</v>
      </c>
    </row>
    <row r="48" spans="1:14" ht="17.399999999999999" customHeight="1">
      <c r="A48" s="786" t="s">
        <v>14</v>
      </c>
      <c r="B48" s="787"/>
      <c r="C48" s="164">
        <f>SUMIF($G$7:$G$31,"Start Up",$F$7:$F$31)</f>
        <v>0</v>
      </c>
      <c r="D48" s="118">
        <f>C48+'27'!D48</f>
        <v>0</v>
      </c>
      <c r="E48" s="143">
        <f t="shared" si="2"/>
        <v>0</v>
      </c>
      <c r="F48" s="304"/>
      <c r="G48" s="305"/>
      <c r="H48" s="186" t="s">
        <v>92</v>
      </c>
      <c r="I48" s="118">
        <f>I46/I40</f>
        <v>881.10291960558686</v>
      </c>
      <c r="J48" s="135">
        <f>J46/J40</f>
        <v>761.18254525978625</v>
      </c>
      <c r="K48" s="130" t="s">
        <v>24</v>
      </c>
    </row>
    <row r="49" spans="1:11" ht="17.399999999999999" customHeight="1">
      <c r="A49" s="786" t="s">
        <v>20</v>
      </c>
      <c r="B49" s="787"/>
      <c r="C49" s="164">
        <f>SUMIF($G$7:$G$31,"Others",$F$7:$F$31)</f>
        <v>0</v>
      </c>
      <c r="D49" s="118">
        <f>C49+'27'!D49</f>
        <v>1072</v>
      </c>
      <c r="E49" s="143">
        <f t="shared" si="2"/>
        <v>17.866666666666667</v>
      </c>
      <c r="F49" s="183"/>
      <c r="H49" s="186" t="s">
        <v>269</v>
      </c>
      <c r="I49" s="118">
        <f>+Report1!T36</f>
        <v>3762.7395026498166</v>
      </c>
      <c r="J49" s="135">
        <f>+I49+'27'!J49</f>
        <v>103314.68287466021</v>
      </c>
      <c r="K49" s="130" t="s">
        <v>93</v>
      </c>
    </row>
    <row r="50" spans="1:11" ht="17.399999999999999" customHeight="1">
      <c r="A50" s="786" t="s">
        <v>19</v>
      </c>
      <c r="B50" s="787"/>
      <c r="C50" s="164">
        <f>SUMIF($G$7:$G$31,"Steam",$F$7:$F$31)</f>
        <v>0</v>
      </c>
      <c r="D50" s="118">
        <f>C50+'27'!D50</f>
        <v>0</v>
      </c>
      <c r="E50" s="143">
        <f t="shared" si="2"/>
        <v>0</v>
      </c>
      <c r="F50" s="183"/>
      <c r="H50" s="186" t="s">
        <v>94</v>
      </c>
      <c r="I50" s="140">
        <f>I49/I38</f>
        <v>72.096943909749299</v>
      </c>
      <c r="J50" s="133">
        <f>J49/J38</f>
        <v>71.394195346741412</v>
      </c>
      <c r="K50" s="130" t="s">
        <v>93</v>
      </c>
    </row>
    <row r="51" spans="1:11" ht="17.399999999999999" customHeight="1">
      <c r="A51" s="803" t="s">
        <v>95</v>
      </c>
      <c r="B51" s="803"/>
      <c r="C51" s="164">
        <f>SUMIF($G$7:$G$31,"Planned shut",$F$7:$F$31)</f>
        <v>0</v>
      </c>
      <c r="D51" s="118">
        <f>C51+'27'!D51</f>
        <v>0</v>
      </c>
      <c r="E51" s="143">
        <f t="shared" si="2"/>
        <v>0</v>
      </c>
      <c r="F51" s="183"/>
      <c r="H51" s="188" t="s">
        <v>96</v>
      </c>
      <c r="I51" s="141">
        <f>I49/I40</f>
        <v>86.311262820273356</v>
      </c>
      <c r="J51" s="136">
        <f>J49/J40</f>
        <v>72.885806271704936</v>
      </c>
      <c r="K51" s="137" t="s">
        <v>93</v>
      </c>
    </row>
    <row r="52" spans="1:11" ht="13.8" thickBot="1">
      <c r="A52" s="804" t="s">
        <v>218</v>
      </c>
      <c r="B52" s="805"/>
      <c r="C52" s="164">
        <f>SUMIF($G$7:$G$31,"Change Grade",$F$7:$F$31)</f>
        <v>0</v>
      </c>
      <c r="D52" s="118">
        <f>C52+'27'!D52</f>
        <v>0</v>
      </c>
      <c r="E52" s="143">
        <f t="shared" si="2"/>
        <v>0</v>
      </c>
      <c r="F52" s="183"/>
      <c r="H52" s="189"/>
      <c r="I52" s="190"/>
      <c r="J52" s="138"/>
      <c r="K52" s="139"/>
    </row>
    <row r="53" spans="1:11">
      <c r="A53" s="799" t="s">
        <v>28</v>
      </c>
      <c r="B53" s="800"/>
      <c r="C53" s="144">
        <f>SUM(C38:C52)</f>
        <v>26</v>
      </c>
      <c r="D53" s="144">
        <f>SUM(D38:D52)</f>
        <v>1869</v>
      </c>
      <c r="E53" s="145">
        <f>SUM(E38:E52)</f>
        <v>31.15</v>
      </c>
      <c r="F53" s="183"/>
    </row>
    <row r="54" spans="1:11" ht="13.8" thickBot="1">
      <c r="A54" s="801"/>
      <c r="B54" s="802"/>
      <c r="C54" s="146">
        <f>C53/(24*60)</f>
        <v>1.8055555555555554E-2</v>
      </c>
      <c r="D54" s="146">
        <f>D53/(24*60*G4)</f>
        <v>4.6354166666666669E-2</v>
      </c>
      <c r="E54" s="147">
        <f>E53/(G4*24)</f>
        <v>4.6354166666666662E-2</v>
      </c>
      <c r="F54" s="183"/>
    </row>
    <row r="55" spans="1:11">
      <c r="E55" s="191"/>
    </row>
    <row r="56" spans="1:11">
      <c r="A56" s="192" t="s">
        <v>97</v>
      </c>
      <c r="B56" s="193"/>
      <c r="C56" s="194"/>
      <c r="D56" s="194"/>
      <c r="E56" s="194"/>
      <c r="F56" s="195"/>
      <c r="G56" s="194"/>
      <c r="H56" s="196"/>
      <c r="I56" s="197" t="s">
        <v>98</v>
      </c>
      <c r="J56" s="198">
        <f>+D34+'27'!J56</f>
        <v>3060</v>
      </c>
      <c r="K56" s="199">
        <f>J56/(J40+J56/1000)/1000</f>
        <v>2.1540997939526116E-3</v>
      </c>
    </row>
    <row r="57" spans="1:11">
      <c r="A57" s="174"/>
      <c r="I57" s="197" t="s">
        <v>99</v>
      </c>
      <c r="J57" s="198">
        <f>+E34+'27'!J57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05" right="0.05" top="0.19513888888888889" bottom="0.39027777777777778" header="0" footer="0"/>
  <pageSetup paperSize="9" scale="51"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S61"/>
  <sheetViews>
    <sheetView view="pageBreakPreview" topLeftCell="A19" zoomScale="80" zoomScaleNormal="80" zoomScaleSheetLayoutView="80" workbookViewId="0">
      <selection activeCell="H25" sqref="H25"/>
    </sheetView>
  </sheetViews>
  <sheetFormatPr defaultColWidth="9.109375" defaultRowHeight="13.2"/>
  <cols>
    <col min="1" max="1" width="8" style="149" customWidth="1"/>
    <col min="2" max="2" width="7" style="149"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4.33203125" style="149" customWidth="1"/>
    <col min="14" max="16384" width="9.109375" style="149"/>
  </cols>
  <sheetData>
    <row r="1" spans="1:19" ht="15.6">
      <c r="A1" s="148"/>
    </row>
    <row r="2" spans="1:19" ht="15.6">
      <c r="A2" s="148" t="s">
        <v>219</v>
      </c>
    </row>
    <row r="3" spans="1:19" ht="15">
      <c r="A3" s="150"/>
    </row>
    <row r="4" spans="1:19" ht="21">
      <c r="A4" s="151" t="s">
        <v>4</v>
      </c>
      <c r="B4" s="152"/>
      <c r="F4" s="153" t="s">
        <v>29</v>
      </c>
      <c r="G4" s="154">
        <v>27</v>
      </c>
      <c r="H4" s="154" t="str">
        <f>+'1'!H4</f>
        <v>.03.26</v>
      </c>
      <c r="J4" s="149" t="s">
        <v>740</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584</v>
      </c>
      <c r="O6" s="149">
        <v>1225</v>
      </c>
      <c r="P6" s="149">
        <f>+O6-(O6*0.16)</f>
        <v>1029</v>
      </c>
      <c r="Q6" s="149">
        <v>480</v>
      </c>
      <c r="R6" s="149">
        <f t="shared" ref="R6:R8" si="0">+O6*Q6</f>
        <v>588000</v>
      </c>
      <c r="S6" s="149">
        <f t="shared" ref="S6:S8" si="1">+P6*Q6</f>
        <v>493920</v>
      </c>
    </row>
    <row r="7" spans="1:19" ht="13.5" customHeight="1" thickBot="1">
      <c r="A7" s="788" t="s">
        <v>428</v>
      </c>
      <c r="B7" s="213" t="s">
        <v>592</v>
      </c>
      <c r="C7" s="214">
        <v>15072</v>
      </c>
      <c r="D7" s="215"/>
      <c r="E7" s="216"/>
      <c r="F7" s="231"/>
      <c r="G7" s="553" t="s">
        <v>12</v>
      </c>
      <c r="H7" s="554" t="s">
        <v>417</v>
      </c>
      <c r="I7" s="791" t="s">
        <v>585</v>
      </c>
      <c r="J7" s="212" t="str">
        <f>+'26'!J7</f>
        <v>T 15 RC HW</v>
      </c>
      <c r="K7" s="233"/>
      <c r="L7" s="237"/>
      <c r="M7" s="117">
        <f>+K7+'26'!M7+L7</f>
        <v>444860</v>
      </c>
      <c r="O7" s="149">
        <v>1225</v>
      </c>
      <c r="P7" s="149">
        <f>+O7-(O7*0.16)</f>
        <v>1029</v>
      </c>
      <c r="Q7" s="149">
        <v>480</v>
      </c>
      <c r="R7" s="149">
        <f t="shared" si="0"/>
        <v>588000</v>
      </c>
      <c r="S7" s="149">
        <f t="shared" si="1"/>
        <v>493920</v>
      </c>
    </row>
    <row r="8" spans="1:19" ht="13.8" thickBot="1">
      <c r="A8" s="789"/>
      <c r="B8" s="213"/>
      <c r="C8" s="214"/>
      <c r="D8" s="215"/>
      <c r="E8" s="217"/>
      <c r="F8" s="227"/>
      <c r="G8" s="555" t="s">
        <v>12</v>
      </c>
      <c r="H8" s="226" t="s">
        <v>419</v>
      </c>
      <c r="I8" s="792"/>
      <c r="J8" s="212" t="str">
        <f>+'26'!J8</f>
        <v>T 14,5 RC HW</v>
      </c>
      <c r="K8" s="234"/>
      <c r="L8" s="234"/>
      <c r="M8" s="117">
        <f>+K8+'26'!M8+L8</f>
        <v>206120</v>
      </c>
      <c r="O8" s="149">
        <v>1225</v>
      </c>
      <c r="P8" s="149">
        <f>+O8-(O8*0.16)</f>
        <v>1029</v>
      </c>
      <c r="Q8" s="149">
        <v>480</v>
      </c>
      <c r="R8" s="149">
        <f t="shared" si="0"/>
        <v>588000</v>
      </c>
      <c r="S8" s="149">
        <f t="shared" si="1"/>
        <v>493920</v>
      </c>
    </row>
    <row r="9" spans="1:19" ht="13.8" thickBot="1">
      <c r="A9" s="789"/>
      <c r="B9" s="213"/>
      <c r="C9" s="214"/>
      <c r="D9" s="215"/>
      <c r="E9" s="218"/>
      <c r="F9" s="227">
        <v>8</v>
      </c>
      <c r="G9" s="555" t="s">
        <v>12</v>
      </c>
      <c r="H9" s="229" t="s">
        <v>475</v>
      </c>
      <c r="I9" s="792"/>
      <c r="J9" s="212" t="str">
        <f>+'26'!J9</f>
        <v>T 14 RC HW</v>
      </c>
      <c r="K9" s="234"/>
      <c r="L9" s="234"/>
      <c r="M9" s="117">
        <f>+K9+'26'!M9+L9</f>
        <v>49646</v>
      </c>
    </row>
    <row r="10" spans="1:19" ht="93" thickBot="1">
      <c r="A10" s="789"/>
      <c r="B10" s="213"/>
      <c r="C10" s="214"/>
      <c r="D10" s="215"/>
      <c r="E10" s="217"/>
      <c r="F10" s="227"/>
      <c r="G10" s="225"/>
      <c r="H10" s="556" t="s">
        <v>737</v>
      </c>
      <c r="I10" s="792"/>
      <c r="J10" s="212" t="str">
        <f>+'26'!J10</f>
        <v>T 13,5 RC HW</v>
      </c>
      <c r="K10" s="234">
        <f>+C7+C16+C25</f>
        <v>42185</v>
      </c>
      <c r="L10" s="234"/>
      <c r="M10" s="117">
        <f>+K10+'26'!M10+L10</f>
        <v>410320</v>
      </c>
    </row>
    <row r="11" spans="1:19" ht="53.4" thickBot="1">
      <c r="A11" s="789"/>
      <c r="B11" s="213"/>
      <c r="C11" s="214"/>
      <c r="D11" s="215"/>
      <c r="E11" s="217"/>
      <c r="F11" s="224"/>
      <c r="G11" s="228"/>
      <c r="H11" s="229" t="s">
        <v>738</v>
      </c>
      <c r="I11" s="792"/>
      <c r="J11" s="212" t="str">
        <f>+'26'!J11</f>
        <v>TW 22 RC HW</v>
      </c>
      <c r="K11" s="234"/>
      <c r="L11" s="234"/>
      <c r="M11" s="117">
        <f>+K11+'26'!M11+L11</f>
        <v>262946</v>
      </c>
    </row>
    <row r="12" spans="1:19" ht="13.8" thickBot="1">
      <c r="A12" s="789"/>
      <c r="B12" s="213"/>
      <c r="C12" s="214"/>
      <c r="D12" s="215"/>
      <c r="E12" s="217"/>
      <c r="F12" s="224"/>
      <c r="G12" s="228"/>
      <c r="H12" s="229"/>
      <c r="I12" s="792"/>
      <c r="J12" s="212">
        <f>+'26'!J12</f>
        <v>0</v>
      </c>
      <c r="K12" s="234"/>
      <c r="L12" s="234"/>
      <c r="M12" s="117">
        <f>+K12+'26'!M12+L12</f>
        <v>0</v>
      </c>
    </row>
    <row r="13" spans="1:19" ht="13.8" thickBot="1">
      <c r="A13" s="789"/>
      <c r="B13" s="213"/>
      <c r="C13" s="214"/>
      <c r="D13" s="214"/>
      <c r="E13" s="217"/>
      <c r="F13" s="224"/>
      <c r="G13" s="228"/>
      <c r="H13" s="229"/>
      <c r="I13" s="793"/>
      <c r="J13" s="212">
        <f>+'26'!J13</f>
        <v>0</v>
      </c>
      <c r="K13" s="234"/>
      <c r="L13" s="234"/>
      <c r="M13" s="117">
        <f>+K13+'26'!M13+L13</f>
        <v>0</v>
      </c>
      <c r="Q13" s="174">
        <f>SUM(Q6:Q12)</f>
        <v>1440</v>
      </c>
      <c r="R13" s="174">
        <f>SUM(R6:R12)</f>
        <v>1764000</v>
      </c>
      <c r="S13" s="174">
        <f>SUM(S6:S12)</f>
        <v>1481760</v>
      </c>
    </row>
    <row r="14" spans="1:19" ht="13.8" thickBot="1">
      <c r="A14" s="790"/>
      <c r="B14" s="165" t="s">
        <v>3</v>
      </c>
      <c r="C14" s="99">
        <f>SUM(C7:C13)</f>
        <v>15072</v>
      </c>
      <c r="D14" s="111">
        <f>SUM(D7:D13)</f>
        <v>0</v>
      </c>
      <c r="E14" s="112">
        <f>SUM(E5:E13)</f>
        <v>0</v>
      </c>
      <c r="F14" s="116">
        <f>SUM(F7:F13)</f>
        <v>8</v>
      </c>
      <c r="G14" s="159"/>
      <c r="H14" s="166"/>
      <c r="I14" s="167"/>
      <c r="J14" s="212">
        <f>+'26'!J14</f>
        <v>0</v>
      </c>
      <c r="K14" s="234"/>
      <c r="L14" s="234"/>
      <c r="M14" s="117">
        <f>+K14+'26'!M14+L14</f>
        <v>0</v>
      </c>
      <c r="Q14" s="149">
        <f>480-Q13</f>
        <v>-960</v>
      </c>
      <c r="R14" s="174">
        <f>+R13/Q13</f>
        <v>1225</v>
      </c>
      <c r="S14" s="174">
        <f>+S13/Q13</f>
        <v>1029</v>
      </c>
    </row>
    <row r="15" spans="1:19" ht="13.8" thickBot="1">
      <c r="A15" s="794" t="s">
        <v>429</v>
      </c>
      <c r="B15" s="513"/>
      <c r="C15" s="113">
        <f>C14/($C$23+$D$23+$E$23)</f>
        <v>0.77594728171334426</v>
      </c>
      <c r="D15" s="114">
        <f>D14/($C$23+$D$23+$E$23)</f>
        <v>0</v>
      </c>
      <c r="E15" s="115">
        <f>E14/($C$23+$D$23+$E$23)</f>
        <v>0</v>
      </c>
      <c r="F15" s="231"/>
      <c r="G15" s="553" t="s">
        <v>12</v>
      </c>
      <c r="H15" s="554" t="s">
        <v>417</v>
      </c>
      <c r="I15" s="791" t="s">
        <v>585</v>
      </c>
      <c r="J15" s="212">
        <f>+'26'!J15</f>
        <v>0</v>
      </c>
      <c r="K15" s="234"/>
      <c r="L15" s="234"/>
      <c r="M15" s="117">
        <f>+K15+'26'!M15+L15</f>
        <v>0</v>
      </c>
    </row>
    <row r="16" spans="1:19" ht="13.8" thickBot="1">
      <c r="A16" s="789"/>
      <c r="B16" s="512" t="s">
        <v>592</v>
      </c>
      <c r="C16" s="511">
        <v>18614</v>
      </c>
      <c r="D16" s="219">
        <v>810</v>
      </c>
      <c r="E16" s="220"/>
      <c r="F16" s="227"/>
      <c r="G16" s="555" t="s">
        <v>12</v>
      </c>
      <c r="H16" s="226" t="s">
        <v>419</v>
      </c>
      <c r="I16" s="792"/>
      <c r="J16" s="212">
        <f>+'26'!J16</f>
        <v>0</v>
      </c>
      <c r="K16" s="225"/>
      <c r="L16" s="225"/>
      <c r="M16" s="117">
        <f>+K16+'26'!M16+L16</f>
        <v>0</v>
      </c>
    </row>
    <row r="17" spans="1:14" ht="13.8" thickBot="1">
      <c r="A17" s="789"/>
      <c r="B17" s="213"/>
      <c r="C17" s="214"/>
      <c r="D17" s="215"/>
      <c r="E17" s="221"/>
      <c r="F17" s="227">
        <v>8</v>
      </c>
      <c r="G17" s="555" t="s">
        <v>12</v>
      </c>
      <c r="H17" s="229" t="s">
        <v>418</v>
      </c>
      <c r="I17" s="792"/>
      <c r="J17" s="212">
        <f>+'26'!J17</f>
        <v>0</v>
      </c>
      <c r="K17" s="225"/>
      <c r="L17" s="225"/>
      <c r="M17" s="117">
        <f>+K17+'26'!M17+L17</f>
        <v>0</v>
      </c>
    </row>
    <row r="18" spans="1:14" ht="53.4" thickBot="1">
      <c r="A18" s="789"/>
      <c r="B18" s="213"/>
      <c r="C18" s="214"/>
      <c r="D18" s="215"/>
      <c r="E18" s="221"/>
      <c r="F18" s="227"/>
      <c r="G18" s="225"/>
      <c r="H18" s="556" t="s">
        <v>735</v>
      </c>
      <c r="I18" s="792"/>
      <c r="J18" s="212">
        <f>+'26'!J18</f>
        <v>0</v>
      </c>
      <c r="K18" s="234"/>
      <c r="L18" s="234"/>
      <c r="M18" s="117">
        <f>+K18+'26'!M18+L18</f>
        <v>0</v>
      </c>
    </row>
    <row r="19" spans="1:14" ht="13.8" thickBot="1">
      <c r="A19" s="789"/>
      <c r="B19" s="213"/>
      <c r="C19" s="214"/>
      <c r="D19" s="215"/>
      <c r="E19" s="221"/>
      <c r="F19" s="230"/>
      <c r="G19" s="228"/>
      <c r="H19" s="229" t="s">
        <v>736</v>
      </c>
      <c r="I19" s="792"/>
      <c r="J19" s="212">
        <f>+'26'!J19</f>
        <v>0</v>
      </c>
      <c r="K19" s="234"/>
      <c r="L19" s="234"/>
      <c r="M19" s="117">
        <f>+K19+'26'!M19+L19</f>
        <v>0</v>
      </c>
    </row>
    <row r="20" spans="1:14" ht="13.8" thickBot="1">
      <c r="A20" s="789"/>
      <c r="B20" s="213"/>
      <c r="C20" s="214"/>
      <c r="D20" s="215"/>
      <c r="E20" s="221"/>
      <c r="F20" s="224"/>
      <c r="G20" s="228"/>
      <c r="H20" s="229"/>
      <c r="I20" s="792"/>
      <c r="J20" s="212">
        <f>+'26'!J20</f>
        <v>0</v>
      </c>
      <c r="K20" s="235"/>
      <c r="L20" s="235"/>
      <c r="M20" s="117">
        <f>+K20+'26'!M20+L20</f>
        <v>0</v>
      </c>
    </row>
    <row r="21" spans="1:14" ht="13.8" thickBot="1">
      <c r="A21" s="789"/>
      <c r="B21" s="213"/>
      <c r="C21" s="214"/>
      <c r="D21" s="215"/>
      <c r="E21" s="221"/>
      <c r="F21" s="227"/>
      <c r="G21" s="228"/>
      <c r="H21" s="229"/>
      <c r="I21" s="792"/>
      <c r="J21" s="212">
        <f>+'26'!J21</f>
        <v>0</v>
      </c>
      <c r="K21" s="234"/>
      <c r="L21" s="234"/>
      <c r="M21" s="117">
        <f>+K21+'26'!M21+L21</f>
        <v>0</v>
      </c>
    </row>
    <row r="22" spans="1:14" ht="13.8" thickBot="1">
      <c r="A22" s="789"/>
      <c r="B22" s="213"/>
      <c r="C22" s="214"/>
      <c r="D22" s="215"/>
      <c r="E22" s="221"/>
      <c r="F22" s="231"/>
      <c r="G22" s="228"/>
      <c r="H22" s="229"/>
      <c r="I22" s="793"/>
      <c r="J22" s="212">
        <f>+'26'!J22</f>
        <v>0</v>
      </c>
      <c r="K22" s="234"/>
      <c r="L22" s="234"/>
      <c r="M22" s="117">
        <f>+K22+'26'!M22+L22</f>
        <v>0</v>
      </c>
    </row>
    <row r="23" spans="1:14" ht="13.8" thickBot="1">
      <c r="A23" s="790"/>
      <c r="B23" s="165" t="s">
        <v>3</v>
      </c>
      <c r="C23" s="99">
        <f>SUM(C16:C22)</f>
        <v>18614</v>
      </c>
      <c r="D23" s="111">
        <f>SUM(D16:D22)</f>
        <v>810</v>
      </c>
      <c r="E23" s="112">
        <f>SUM(E18:E22)</f>
        <v>0</v>
      </c>
      <c r="F23" s="116">
        <f>SUM(F15:F22)</f>
        <v>8</v>
      </c>
      <c r="G23" s="159"/>
      <c r="H23" s="166"/>
      <c r="I23" s="168"/>
      <c r="J23" s="212">
        <f>+'26'!J23</f>
        <v>0</v>
      </c>
      <c r="K23" s="234"/>
      <c r="L23" s="234"/>
      <c r="M23" s="117">
        <f>+K23+'26'!M23+L23</f>
        <v>0</v>
      </c>
    </row>
    <row r="24" spans="1:14" ht="13.8" thickBot="1">
      <c r="A24" s="794" t="s">
        <v>458</v>
      </c>
      <c r="B24" s="513"/>
      <c r="C24" s="113">
        <f>C23/($C$23+$D$23+$E$23)</f>
        <v>0.95829901153212516</v>
      </c>
      <c r="D24" s="114">
        <f>D23/($C$23+$D$23+$E$23)</f>
        <v>4.1700988467874796E-2</v>
      </c>
      <c r="E24" s="115">
        <f>E23/($C$23+$D$23+$E$23)</f>
        <v>0</v>
      </c>
      <c r="F24" s="231"/>
      <c r="G24" s="553" t="s">
        <v>12</v>
      </c>
      <c r="H24" s="554" t="s">
        <v>417</v>
      </c>
      <c r="I24" s="791" t="s">
        <v>585</v>
      </c>
      <c r="J24" s="212">
        <f>+'26'!J24</f>
        <v>0</v>
      </c>
      <c r="K24" s="234"/>
      <c r="L24" s="234"/>
      <c r="M24" s="117">
        <f>+K24+'26'!M24+L24</f>
        <v>0</v>
      </c>
    </row>
    <row r="25" spans="1:14" ht="13.8" thickBot="1">
      <c r="A25" s="789"/>
      <c r="B25" s="512" t="s">
        <v>592</v>
      </c>
      <c r="C25" s="222">
        <v>8499</v>
      </c>
      <c r="D25" s="215">
        <v>40</v>
      </c>
      <c r="E25" s="221"/>
      <c r="F25" s="227">
        <v>2</v>
      </c>
      <c r="G25" s="555" t="s">
        <v>12</v>
      </c>
      <c r="H25" s="226" t="s">
        <v>416</v>
      </c>
      <c r="I25" s="792"/>
      <c r="J25" s="212">
        <f>+'26'!J25</f>
        <v>0</v>
      </c>
      <c r="K25" s="234"/>
      <c r="L25" s="234"/>
      <c r="M25" s="117">
        <f>+K25+'26'!M25+L25</f>
        <v>0</v>
      </c>
    </row>
    <row r="26" spans="1:14" ht="13.8" thickBot="1">
      <c r="A26" s="789"/>
      <c r="B26" s="213"/>
      <c r="C26" s="222"/>
      <c r="D26" s="215"/>
      <c r="E26" s="223"/>
      <c r="F26" s="227">
        <v>8</v>
      </c>
      <c r="G26" s="555" t="s">
        <v>12</v>
      </c>
      <c r="H26" s="229" t="s">
        <v>418</v>
      </c>
      <c r="I26" s="792"/>
      <c r="J26" s="212">
        <f>+'26'!J26</f>
        <v>0</v>
      </c>
      <c r="K26" s="234"/>
      <c r="L26" s="234"/>
      <c r="M26" s="117">
        <f>+K26+'26'!M26+L26</f>
        <v>0</v>
      </c>
    </row>
    <row r="27" spans="1:14" ht="66.599999999999994" thickBot="1">
      <c r="A27" s="789"/>
      <c r="B27" s="213"/>
      <c r="C27" s="214"/>
      <c r="D27" s="215"/>
      <c r="E27" s="221"/>
      <c r="F27" s="227"/>
      <c r="G27" s="225"/>
      <c r="H27" s="556" t="s">
        <v>739</v>
      </c>
      <c r="I27" s="792"/>
      <c r="J27" s="212">
        <f>+'26'!J27</f>
        <v>0</v>
      </c>
      <c r="K27" s="234"/>
      <c r="L27" s="234"/>
      <c r="M27" s="117">
        <f>+K27+'26'!M27+L27</f>
        <v>0</v>
      </c>
    </row>
    <row r="28" spans="1:14" ht="125.25" customHeight="1" thickBot="1">
      <c r="A28" s="789"/>
      <c r="B28" s="213"/>
      <c r="C28" s="214"/>
      <c r="D28" s="215"/>
      <c r="E28" s="221"/>
      <c r="F28" s="227"/>
      <c r="G28" s="225"/>
      <c r="H28" s="229" t="s">
        <v>741</v>
      </c>
      <c r="I28" s="792"/>
      <c r="J28" s="212">
        <f>+'26'!J28</f>
        <v>0</v>
      </c>
      <c r="K28" s="234"/>
      <c r="L28" s="234"/>
      <c r="M28" s="117">
        <f>+K28+'26'!M28+L28</f>
        <v>0</v>
      </c>
    </row>
    <row r="29" spans="1:14" ht="13.8" thickBot="1">
      <c r="A29" s="789"/>
      <c r="B29" s="213"/>
      <c r="C29" s="214"/>
      <c r="D29" s="215"/>
      <c r="E29" s="221"/>
      <c r="F29" s="231"/>
      <c r="G29" s="228"/>
      <c r="H29" s="229"/>
      <c r="I29" s="792"/>
      <c r="J29" s="212">
        <f>+'26'!J29</f>
        <v>0</v>
      </c>
      <c r="K29" s="234"/>
      <c r="L29" s="234"/>
      <c r="M29" s="117">
        <f>+K29+'26'!M29+L29</f>
        <v>0</v>
      </c>
    </row>
    <row r="30" spans="1:14" ht="13.8" thickBot="1">
      <c r="A30" s="789"/>
      <c r="B30" s="213"/>
      <c r="C30" s="222"/>
      <c r="D30" s="215"/>
      <c r="E30" s="221"/>
      <c r="F30" s="231"/>
      <c r="G30" s="228"/>
      <c r="H30" s="229"/>
      <c r="I30" s="792"/>
      <c r="J30" s="212">
        <f>+'26'!J30</f>
        <v>0</v>
      </c>
      <c r="K30" s="234"/>
      <c r="L30" s="234"/>
      <c r="M30" s="117">
        <f>+K30+'26'!M30+L30</f>
        <v>0</v>
      </c>
      <c r="N30" s="155"/>
    </row>
    <row r="31" spans="1:14" ht="13.8" thickBot="1">
      <c r="A31" s="789"/>
      <c r="B31" s="213"/>
      <c r="C31" s="222"/>
      <c r="D31" s="215"/>
      <c r="E31" s="221"/>
      <c r="F31" s="231"/>
      <c r="G31" s="232"/>
      <c r="H31" s="404"/>
      <c r="I31" s="793"/>
      <c r="J31" s="212">
        <f>+'26'!J31</f>
        <v>0</v>
      </c>
      <c r="K31" s="234"/>
      <c r="L31" s="234"/>
      <c r="M31" s="117">
        <f>+K31+'26'!M31+L31</f>
        <v>0</v>
      </c>
    </row>
    <row r="32" spans="1:14" ht="13.8" thickBot="1">
      <c r="A32" s="790"/>
      <c r="B32" s="165" t="s">
        <v>3</v>
      </c>
      <c r="C32" s="99">
        <f>SUM(C25:C31)</f>
        <v>8499</v>
      </c>
      <c r="D32" s="100">
        <f>SUM(D25:D31)</f>
        <v>40</v>
      </c>
      <c r="E32" s="101">
        <f>SUM(E25:E31)</f>
        <v>0</v>
      </c>
      <c r="F32" s="99">
        <f>SUM(F24:F31)</f>
        <v>10</v>
      </c>
      <c r="G32" s="169"/>
      <c r="H32" s="170"/>
      <c r="I32" s="168"/>
      <c r="J32" s="212">
        <f>+'26'!J32</f>
        <v>0</v>
      </c>
      <c r="K32" s="236"/>
      <c r="L32" s="238"/>
      <c r="M32" s="117">
        <f>+K32+'26'!M32+L32</f>
        <v>0</v>
      </c>
    </row>
    <row r="33" spans="1:14" ht="13.8" thickBot="1">
      <c r="A33" s="171"/>
      <c r="B33" s="172"/>
      <c r="C33" s="103">
        <f>C32/($C$32+$D$32+$E$32)</f>
        <v>0.99531561072725139</v>
      </c>
      <c r="D33" s="104">
        <f>D32/($C$32+$D$32+$E$32)</f>
        <v>4.6843892727485657E-3</v>
      </c>
      <c r="E33" s="105">
        <f>E32/($C$32+$D$32+$E$32)</f>
        <v>0</v>
      </c>
      <c r="F33" s="106"/>
      <c r="G33" s="173"/>
      <c r="H33" s="174"/>
      <c r="I33" s="175"/>
      <c r="J33" s="121"/>
      <c r="K33" s="122"/>
      <c r="L33" s="211"/>
      <c r="M33" s="119"/>
    </row>
    <row r="34" spans="1:14" ht="13.8" thickBot="1">
      <c r="A34" s="795" t="s">
        <v>68</v>
      </c>
      <c r="B34" s="796"/>
      <c r="C34" s="107">
        <f>C14+C23+C32</f>
        <v>42185</v>
      </c>
      <c r="D34" s="107">
        <f>D14+D23+D32</f>
        <v>850</v>
      </c>
      <c r="E34" s="107">
        <f>E14+E23+E32</f>
        <v>0</v>
      </c>
      <c r="F34" s="108">
        <f>F14+F23+F32</f>
        <v>26</v>
      </c>
      <c r="H34" s="176"/>
      <c r="I34" s="176"/>
      <c r="J34" s="123" t="s">
        <v>28</v>
      </c>
      <c r="K34" s="124">
        <f>SUM(K7:K32)</f>
        <v>42185</v>
      </c>
      <c r="L34" s="210">
        <f>SUM(L7:L32)</f>
        <v>0</v>
      </c>
      <c r="M34" s="120">
        <f>SUM(M7:M32)</f>
        <v>1373892</v>
      </c>
      <c r="N34" s="155"/>
    </row>
    <row r="35" spans="1:14" ht="13.8" thickBot="1">
      <c r="A35" s="177"/>
      <c r="B35" s="178"/>
      <c r="C35" s="104">
        <f>C34/($C$34+$D$34+$E$34)</f>
        <v>0.98024863483211344</v>
      </c>
      <c r="D35" s="104">
        <f>D34/($C$34+$D$34+$E$34)</f>
        <v>1.9751365167886604E-2</v>
      </c>
      <c r="E35" s="109">
        <f>E34/($C$34+$D$34+$E$34)</f>
        <v>0</v>
      </c>
      <c r="K35" s="155"/>
    </row>
    <row r="36" spans="1:14" ht="13.8" thickBot="1">
      <c r="A36" s="176"/>
      <c r="B36" s="176"/>
      <c r="C36" s="155"/>
      <c r="D36" s="155"/>
      <c r="E36" s="155"/>
      <c r="G36" s="155"/>
      <c r="H36" s="179"/>
      <c r="I36" s="162" t="s">
        <v>37</v>
      </c>
      <c r="J36" s="162" t="s">
        <v>38</v>
      </c>
      <c r="K36" s="180"/>
    </row>
    <row r="37" spans="1:14" ht="17.399999999999999" customHeight="1" thickBot="1">
      <c r="A37" s="797" t="s">
        <v>69</v>
      </c>
      <c r="B37" s="798"/>
      <c r="C37" s="162" t="s">
        <v>70</v>
      </c>
      <c r="D37" s="181" t="s">
        <v>71</v>
      </c>
      <c r="E37" s="182" t="s">
        <v>72</v>
      </c>
      <c r="F37" s="310"/>
      <c r="G37" s="306"/>
      <c r="H37" s="184" t="s">
        <v>73</v>
      </c>
      <c r="I37" s="239">
        <f>(13.5*1440)/1440*G42*2.7*1440/1000000</f>
        <v>54.010152000000005</v>
      </c>
      <c r="J37" s="125">
        <f>+I37+'26'!J37</f>
        <v>1452.7714123545618</v>
      </c>
      <c r="K37" s="126" t="s">
        <v>74</v>
      </c>
    </row>
    <row r="38" spans="1:14" ht="17.399999999999999" customHeight="1">
      <c r="A38" s="799" t="s">
        <v>12</v>
      </c>
      <c r="B38" s="800"/>
      <c r="C38" s="164">
        <f>SUMIF($G$7:$G$31,"Process",$F$7:$F$31)</f>
        <v>26</v>
      </c>
      <c r="D38" s="118">
        <f>C38+'26'!D38</f>
        <v>771</v>
      </c>
      <c r="E38" s="143">
        <f t="shared" ref="E38:E52" si="2">D38/60</f>
        <v>12.85</v>
      </c>
      <c r="F38" s="304">
        <v>1225</v>
      </c>
      <c r="G38" s="304">
        <v>1029</v>
      </c>
      <c r="H38" s="185" t="s">
        <v>75</v>
      </c>
      <c r="I38" s="240">
        <f>16.973+16.808+17.475</f>
        <v>51.256</v>
      </c>
      <c r="J38" s="127">
        <f>+I38+'26'!J38</f>
        <v>1394.9120000000003</v>
      </c>
      <c r="K38" s="128" t="s">
        <v>74</v>
      </c>
    </row>
    <row r="39" spans="1:14" ht="17.399999999999999" customHeight="1">
      <c r="A39" s="786" t="s">
        <v>13</v>
      </c>
      <c r="B39" s="787"/>
      <c r="C39" s="164">
        <f>SUMIF($G$7:$G$31,"Cleaning",$F$7:$F$31)</f>
        <v>0</v>
      </c>
      <c r="D39" s="118">
        <f>C39+'26'!D39</f>
        <v>0</v>
      </c>
      <c r="E39" s="143">
        <f t="shared" si="2"/>
        <v>0</v>
      </c>
      <c r="F39" s="304">
        <v>1225</v>
      </c>
      <c r="G39" s="304">
        <v>1029</v>
      </c>
      <c r="H39" s="185" t="s">
        <v>76</v>
      </c>
      <c r="I39" s="142"/>
      <c r="J39" s="129">
        <f>J37/G4</f>
        <v>53.806348605724509</v>
      </c>
      <c r="K39" s="130" t="s">
        <v>74</v>
      </c>
    </row>
    <row r="40" spans="1:14" ht="17.399999999999999" customHeight="1">
      <c r="A40" s="786" t="s">
        <v>77</v>
      </c>
      <c r="B40" s="787"/>
      <c r="C40" s="164">
        <f>SUMIF($G$7:$G$31,"Mechanical",$F$7:$F$31)</f>
        <v>0</v>
      </c>
      <c r="D40" s="118">
        <f>C40+'26'!D40</f>
        <v>0</v>
      </c>
      <c r="E40" s="143">
        <f t="shared" si="2"/>
        <v>0</v>
      </c>
      <c r="F40" s="304">
        <v>1225</v>
      </c>
      <c r="G40" s="304">
        <v>1029</v>
      </c>
      <c r="H40" s="185" t="s">
        <v>78</v>
      </c>
      <c r="I40" s="118">
        <f>(K34+L34)/1000</f>
        <v>42.185000000000002</v>
      </c>
      <c r="J40" s="131">
        <f>+I40+'26'!J40</f>
        <v>1373.8919999999998</v>
      </c>
      <c r="K40" s="130" t="s">
        <v>74</v>
      </c>
    </row>
    <row r="41" spans="1:14" ht="17.399999999999999" customHeight="1">
      <c r="A41" s="786" t="s">
        <v>79</v>
      </c>
      <c r="B41" s="787"/>
      <c r="C41" s="164">
        <f>SUMIF($G$7:$G$31,"Electrical",$F$7:$F$31)</f>
        <v>0</v>
      </c>
      <c r="D41" s="118">
        <f>C41+'26'!D41</f>
        <v>0</v>
      </c>
      <c r="E41" s="143">
        <f t="shared" si="2"/>
        <v>0</v>
      </c>
      <c r="F41" s="304"/>
      <c r="G41" s="304"/>
      <c r="H41" s="185" t="s">
        <v>80</v>
      </c>
      <c r="I41" s="142"/>
      <c r="J41" s="129">
        <f>J40/G4</f>
        <v>50.884888888888881</v>
      </c>
      <c r="K41" s="130" t="s">
        <v>74</v>
      </c>
    </row>
    <row r="42" spans="1:14" ht="17.399999999999999" customHeight="1">
      <c r="A42" s="786" t="s">
        <v>16</v>
      </c>
      <c r="B42" s="787"/>
      <c r="C42" s="164">
        <f>SUMIF($G$7:$G$31,"Instrument",$F$7:$F$31)</f>
        <v>0</v>
      </c>
      <c r="D42" s="118">
        <f>C42+'26'!D42</f>
        <v>0</v>
      </c>
      <c r="E42" s="143">
        <f t="shared" si="2"/>
        <v>0</v>
      </c>
      <c r="F42" s="183">
        <f>+(F38*480+F39*480+F40*480)/1440</f>
        <v>1225</v>
      </c>
      <c r="G42" s="183">
        <f>+(G38*480+G39*480+G40*480)/1440</f>
        <v>1029</v>
      </c>
      <c r="H42" s="185" t="s">
        <v>81</v>
      </c>
      <c r="I42" s="241"/>
      <c r="J42" s="132"/>
      <c r="K42" s="130" t="s">
        <v>82</v>
      </c>
    </row>
    <row r="43" spans="1:14" ht="17.399999999999999" customHeight="1">
      <c r="A43" s="786" t="s">
        <v>83</v>
      </c>
      <c r="B43" s="787"/>
      <c r="C43" s="164">
        <f>SUMIF($G$7:$G$31,"Water",$F$7:$F$31)</f>
        <v>0</v>
      </c>
      <c r="D43" s="118">
        <f>C43+'26'!D43</f>
        <v>0</v>
      </c>
      <c r="E43" s="143">
        <f t="shared" si="2"/>
        <v>0</v>
      </c>
      <c r="F43" s="304"/>
      <c r="G43" s="305"/>
      <c r="H43" s="186" t="s">
        <v>84</v>
      </c>
      <c r="I43" s="118">
        <f>+Report1!Z35</f>
        <v>95.3</v>
      </c>
      <c r="J43" s="133">
        <f>+I43+'26'!J43</f>
        <v>2587.7200000000003</v>
      </c>
      <c r="K43" s="130" t="s">
        <v>74</v>
      </c>
      <c r="L43" s="187"/>
    </row>
    <row r="44" spans="1:14" ht="17.399999999999999" customHeight="1">
      <c r="A44" s="786" t="s">
        <v>17</v>
      </c>
      <c r="B44" s="787"/>
      <c r="C44" s="164">
        <f>SUMIF($G$7:$G$31,"PLN",$F$7:$F$31)</f>
        <v>0</v>
      </c>
      <c r="D44" s="118">
        <f>C44+'26'!D44</f>
        <v>0</v>
      </c>
      <c r="E44" s="143">
        <f t="shared" si="2"/>
        <v>0</v>
      </c>
      <c r="F44" s="304"/>
      <c r="G44" s="305"/>
      <c r="H44" s="186" t="s">
        <v>85</v>
      </c>
      <c r="I44" s="118">
        <f>I43/I38</f>
        <v>1.8592945216169814</v>
      </c>
      <c r="J44" s="134">
        <f>J43/J38</f>
        <v>1.8551134408478813</v>
      </c>
      <c r="K44" s="130" t="s">
        <v>74</v>
      </c>
    </row>
    <row r="45" spans="1:14" ht="17.399999999999999" customHeight="1">
      <c r="A45" s="786" t="s">
        <v>18</v>
      </c>
      <c r="B45" s="787"/>
      <c r="C45" s="164">
        <f>SUMIF($G$7:$G$31,"Boiler",$F$7:$F$31)</f>
        <v>0</v>
      </c>
      <c r="D45" s="118">
        <f>C45+'26'!D45</f>
        <v>0</v>
      </c>
      <c r="E45" s="143">
        <f t="shared" si="2"/>
        <v>0</v>
      </c>
      <c r="F45" s="304"/>
      <c r="G45" s="307"/>
      <c r="H45" s="186" t="s">
        <v>86</v>
      </c>
      <c r="I45" s="118">
        <f>I43/I40</f>
        <v>2.2590968353680214</v>
      </c>
      <c r="J45" s="134">
        <f>J43/J40</f>
        <v>1.8834959370896698</v>
      </c>
      <c r="K45" s="130" t="s">
        <v>74</v>
      </c>
    </row>
    <row r="46" spans="1:14" ht="17.399999999999999" customHeight="1">
      <c r="A46" s="786" t="s">
        <v>87</v>
      </c>
      <c r="B46" s="787"/>
      <c r="C46" s="164">
        <f>SUMIF($G$7:$G$31,"Gas",$F$7:$F$31)</f>
        <v>0</v>
      </c>
      <c r="D46" s="118">
        <f>C46+'26'!D46</f>
        <v>0</v>
      </c>
      <c r="E46" s="143">
        <f t="shared" si="2"/>
        <v>0</v>
      </c>
      <c r="F46" s="304"/>
      <c r="G46" s="305"/>
      <c r="H46" s="186" t="s">
        <v>88</v>
      </c>
      <c r="I46" s="140">
        <f>+SUMIF(Listrik!X34,"&gt;0")</f>
        <v>37571.506902964531</v>
      </c>
      <c r="J46" s="135">
        <f>+I46+'26'!J46</f>
        <v>1040554.680752453</v>
      </c>
      <c r="K46" s="130" t="s">
        <v>89</v>
      </c>
    </row>
    <row r="47" spans="1:14" ht="17.399999999999999" customHeight="1">
      <c r="A47" s="786" t="s">
        <v>90</v>
      </c>
      <c r="B47" s="787"/>
      <c r="C47" s="164">
        <f>SUMIF($G$7:$G$31,"Gas",$F$7:$F$31)</f>
        <v>0</v>
      </c>
      <c r="D47" s="118">
        <f>C47+'26'!D47</f>
        <v>0</v>
      </c>
      <c r="E47" s="143">
        <f t="shared" si="2"/>
        <v>0</v>
      </c>
      <c r="F47" s="304"/>
      <c r="G47" s="305"/>
      <c r="H47" s="186" t="s">
        <v>91</v>
      </c>
      <c r="I47" s="118">
        <f>I46/I38</f>
        <v>733.0167571204255</v>
      </c>
      <c r="J47" s="135">
        <f>J46/J38</f>
        <v>745.96439112463929</v>
      </c>
      <c r="K47" s="130" t="s">
        <v>24</v>
      </c>
    </row>
    <row r="48" spans="1:14" ht="17.399999999999999" customHeight="1">
      <c r="A48" s="786" t="s">
        <v>14</v>
      </c>
      <c r="B48" s="787"/>
      <c r="C48" s="164">
        <f>SUMIF($G$7:$G$31,"Start Up",$F$7:$F$31)</f>
        <v>0</v>
      </c>
      <c r="D48" s="118">
        <f>C48+'26'!D48</f>
        <v>0</v>
      </c>
      <c r="E48" s="143">
        <f t="shared" si="2"/>
        <v>0</v>
      </c>
      <c r="F48" s="304"/>
      <c r="G48" s="305"/>
      <c r="H48" s="186" t="s">
        <v>92</v>
      </c>
      <c r="I48" s="118">
        <f>I46/I40</f>
        <v>890.63664579742863</v>
      </c>
      <c r="J48" s="135">
        <f>J46/J40</f>
        <v>757.37734898554845</v>
      </c>
      <c r="K48" s="130" t="s">
        <v>24</v>
      </c>
    </row>
    <row r="49" spans="1:11" ht="17.399999999999999" customHeight="1">
      <c r="A49" s="786" t="s">
        <v>20</v>
      </c>
      <c r="B49" s="787"/>
      <c r="C49" s="164">
        <f>SUMIF($G$7:$G$31,"Others",$F$7:$F$31)</f>
        <v>0</v>
      </c>
      <c r="D49" s="118">
        <f>C49+'26'!D49</f>
        <v>1072</v>
      </c>
      <c r="E49" s="143">
        <f t="shared" si="2"/>
        <v>17.866666666666667</v>
      </c>
      <c r="F49" s="183"/>
      <c r="H49" s="186" t="s">
        <v>269</v>
      </c>
      <c r="I49" s="118">
        <f>+Report1!T35</f>
        <v>3644.9277556261404</v>
      </c>
      <c r="J49" s="135">
        <f>+I49+'26'!J49</f>
        <v>99551.943372010399</v>
      </c>
      <c r="K49" s="130" t="s">
        <v>93</v>
      </c>
    </row>
    <row r="50" spans="1:11" ht="17.399999999999999" customHeight="1">
      <c r="A50" s="786" t="s">
        <v>19</v>
      </c>
      <c r="B50" s="787"/>
      <c r="C50" s="164">
        <f>SUMIF($G$7:$G$31,"Steam",$F$7:$F$31)</f>
        <v>0</v>
      </c>
      <c r="D50" s="118">
        <f>C50+'26'!D50</f>
        <v>0</v>
      </c>
      <c r="E50" s="143">
        <f t="shared" si="2"/>
        <v>0</v>
      </c>
      <c r="F50" s="183"/>
      <c r="H50" s="186" t="s">
        <v>94</v>
      </c>
      <c r="I50" s="140">
        <f>I49/I38</f>
        <v>71.112216240559945</v>
      </c>
      <c r="J50" s="133">
        <f>J49/J38</f>
        <v>71.367902327896232</v>
      </c>
      <c r="K50" s="130" t="s">
        <v>93</v>
      </c>
    </row>
    <row r="51" spans="1:11" ht="17.399999999999999" customHeight="1">
      <c r="A51" s="803" t="s">
        <v>95</v>
      </c>
      <c r="B51" s="803"/>
      <c r="C51" s="164">
        <f>SUMIF($G$7:$G$31,"Planned shut",$F$7:$F$31)</f>
        <v>0</v>
      </c>
      <c r="D51" s="118">
        <f>C51+'26'!D51</f>
        <v>0</v>
      </c>
      <c r="E51" s="143">
        <f t="shared" si="2"/>
        <v>0</v>
      </c>
      <c r="F51" s="183"/>
      <c r="H51" s="188" t="s">
        <v>96</v>
      </c>
      <c r="I51" s="141">
        <f>I49/I40</f>
        <v>86.403407742708083</v>
      </c>
      <c r="J51" s="136">
        <f>J49/J40</f>
        <v>72.459802787999649</v>
      </c>
      <c r="K51" s="137" t="s">
        <v>93</v>
      </c>
    </row>
    <row r="52" spans="1:11" ht="13.8" thickBot="1">
      <c r="A52" s="804" t="s">
        <v>218</v>
      </c>
      <c r="B52" s="805"/>
      <c r="C52" s="164">
        <f>SUMIF($G$7:$G$31,"Change Grade",$F$7:$F$31)</f>
        <v>0</v>
      </c>
      <c r="D52" s="118">
        <f>C52+'26'!D52</f>
        <v>0</v>
      </c>
      <c r="E52" s="143">
        <f t="shared" si="2"/>
        <v>0</v>
      </c>
      <c r="F52" s="183"/>
      <c r="H52" s="189"/>
      <c r="I52" s="190"/>
      <c r="J52" s="138"/>
      <c r="K52" s="139"/>
    </row>
    <row r="53" spans="1:11">
      <c r="A53" s="799" t="s">
        <v>28</v>
      </c>
      <c r="B53" s="800"/>
      <c r="C53" s="144">
        <f>SUM(C38:C52)</f>
        <v>26</v>
      </c>
      <c r="D53" s="144">
        <f>SUM(D38:D52)</f>
        <v>1843</v>
      </c>
      <c r="E53" s="145">
        <f>SUM(E38:E52)</f>
        <v>30.716666666666669</v>
      </c>
      <c r="F53" s="183"/>
    </row>
    <row r="54" spans="1:11" ht="13.8" thickBot="1">
      <c r="A54" s="801"/>
      <c r="B54" s="802"/>
      <c r="C54" s="146">
        <f>C53/(24*60)</f>
        <v>1.8055555555555554E-2</v>
      </c>
      <c r="D54" s="146">
        <f>D53/(24*60*G4)</f>
        <v>4.7402263374485595E-2</v>
      </c>
      <c r="E54" s="147">
        <f>E53/(G4*24)</f>
        <v>4.7402263374485602E-2</v>
      </c>
      <c r="F54" s="183"/>
    </row>
    <row r="55" spans="1:11">
      <c r="E55" s="191"/>
    </row>
    <row r="56" spans="1:11">
      <c r="A56" s="192" t="s">
        <v>97</v>
      </c>
      <c r="B56" s="193"/>
      <c r="C56" s="194"/>
      <c r="D56" s="194"/>
      <c r="E56" s="194"/>
      <c r="F56" s="195"/>
      <c r="G56" s="194"/>
      <c r="H56" s="196"/>
      <c r="I56" s="197" t="s">
        <v>98</v>
      </c>
      <c r="J56" s="198">
        <f>+D34+'26'!J56</f>
        <v>3060</v>
      </c>
      <c r="K56" s="199">
        <f>J56/(J40+J56/1000)/1000</f>
        <v>2.2222996880065541E-3</v>
      </c>
    </row>
    <row r="57" spans="1:11">
      <c r="A57" s="174"/>
      <c r="I57" s="197" t="s">
        <v>99</v>
      </c>
      <c r="J57" s="198">
        <f>+E34+'26'!J57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1" type="noConversion"/>
  <printOptions horizontalCentered="1"/>
  <pageMargins left="0.74791666666666667" right="0.74791666666666667" top="0.39027777777777778" bottom="0.39027777777777778" header="0" footer="0"/>
  <pageSetup paperSize="9" scale="46"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61"/>
  <sheetViews>
    <sheetView view="pageBreakPreview" topLeftCell="A4" zoomScale="80" zoomScaleNormal="80" zoomScaleSheetLayoutView="80" workbookViewId="0">
      <selection activeCell="A7" sqref="A7:A32"/>
    </sheetView>
  </sheetViews>
  <sheetFormatPr defaultColWidth="9.109375" defaultRowHeight="13.2"/>
  <cols>
    <col min="1" max="1" width="8" style="149" customWidth="1"/>
    <col min="2" max="2" width="7" style="149" bestFit="1" customWidth="1"/>
    <col min="3" max="3" width="1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4" style="149" bestFit="1" customWidth="1"/>
    <col min="12" max="12" width="8.33203125" style="149" customWidth="1"/>
    <col min="13" max="13" width="17.109375" style="149" customWidth="1"/>
    <col min="14" max="16384" width="9.109375" style="149"/>
  </cols>
  <sheetData>
    <row r="1" spans="1:16" ht="15.6">
      <c r="A1" s="148"/>
    </row>
    <row r="2" spans="1:16" ht="15.6">
      <c r="A2" s="148" t="s">
        <v>219</v>
      </c>
    </row>
    <row r="3" spans="1:16" ht="15">
      <c r="A3" s="150"/>
    </row>
    <row r="4" spans="1:16" ht="21">
      <c r="A4" s="151" t="s">
        <v>4</v>
      </c>
      <c r="B4" s="152"/>
      <c r="F4" s="153" t="s">
        <v>29</v>
      </c>
      <c r="G4" s="154">
        <v>26</v>
      </c>
      <c r="H4" s="154" t="str">
        <f>+'1'!H4</f>
        <v>.03.26</v>
      </c>
      <c r="J4" s="149">
        <f>511+515+559</f>
        <v>1585</v>
      </c>
    </row>
    <row r="5" spans="1:16" ht="13.8" thickBot="1">
      <c r="C5" s="155"/>
      <c r="D5" s="155"/>
    </row>
    <row r="6" spans="1:16"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row>
    <row r="7" spans="1:16" ht="13.5" customHeight="1" thickBot="1">
      <c r="A7" s="788" t="s">
        <v>428</v>
      </c>
      <c r="B7" s="213" t="s">
        <v>592</v>
      </c>
      <c r="C7" s="214">
        <v>16554</v>
      </c>
      <c r="D7" s="215"/>
      <c r="E7" s="216"/>
      <c r="F7" s="231"/>
      <c r="G7" s="553" t="s">
        <v>12</v>
      </c>
      <c r="H7" s="554" t="s">
        <v>417</v>
      </c>
      <c r="I7" s="791" t="s">
        <v>585</v>
      </c>
      <c r="J7" s="212" t="str">
        <f>+'25'!J7</f>
        <v>T 15 RC HW</v>
      </c>
      <c r="K7" s="233"/>
      <c r="L7" s="237"/>
      <c r="M7" s="117">
        <f>+K7+'25'!M7+L7</f>
        <v>444860</v>
      </c>
    </row>
    <row r="8" spans="1:16" ht="13.8" thickBot="1">
      <c r="A8" s="789"/>
      <c r="B8" s="213"/>
      <c r="C8" s="214"/>
      <c r="D8" s="215"/>
      <c r="E8" s="217"/>
      <c r="F8" s="227"/>
      <c r="G8" s="555" t="s">
        <v>12</v>
      </c>
      <c r="H8" s="226" t="s">
        <v>419</v>
      </c>
      <c r="I8" s="792"/>
      <c r="J8" s="212" t="str">
        <f>+'25'!J8</f>
        <v>T 14,5 RC HW</v>
      </c>
      <c r="K8" s="234"/>
      <c r="L8" s="234"/>
      <c r="M8" s="117">
        <f>+K8+'25'!M8+L8</f>
        <v>206120</v>
      </c>
      <c r="N8" s="174"/>
      <c r="O8" s="174"/>
      <c r="P8" s="174"/>
    </row>
    <row r="9" spans="1:16" ht="13.8" thickBot="1">
      <c r="A9" s="789"/>
      <c r="B9" s="213"/>
      <c r="C9" s="214"/>
      <c r="D9" s="215"/>
      <c r="E9" s="218"/>
      <c r="F9" s="227">
        <v>8</v>
      </c>
      <c r="G9" s="555" t="s">
        <v>12</v>
      </c>
      <c r="H9" s="229" t="s">
        <v>475</v>
      </c>
      <c r="I9" s="792"/>
      <c r="J9" s="212" t="str">
        <f>+'25'!J9</f>
        <v>T 14 RC HW</v>
      </c>
      <c r="K9" s="234"/>
      <c r="L9" s="234"/>
      <c r="M9" s="117">
        <f>+K9+'25'!M9+L9</f>
        <v>49646</v>
      </c>
    </row>
    <row r="10" spans="1:16" ht="53.4" thickBot="1">
      <c r="A10" s="789"/>
      <c r="B10" s="213"/>
      <c r="C10" s="214"/>
      <c r="D10" s="215"/>
      <c r="E10" s="217"/>
      <c r="F10" s="227"/>
      <c r="G10" s="225"/>
      <c r="H10" s="556" t="s">
        <v>733</v>
      </c>
      <c r="I10" s="792"/>
      <c r="J10" s="212" t="str">
        <f>+'25'!J10</f>
        <v>T 13,5 RC HW</v>
      </c>
      <c r="K10" s="234">
        <f>+C7+C16+C25</f>
        <v>49850</v>
      </c>
      <c r="L10" s="234"/>
      <c r="M10" s="117">
        <f>+K10+'25'!M10+L10</f>
        <v>368135</v>
      </c>
    </row>
    <row r="11" spans="1:16" ht="53.4" thickBot="1">
      <c r="A11" s="789"/>
      <c r="B11" s="213"/>
      <c r="C11" s="214"/>
      <c r="D11" s="215"/>
      <c r="E11" s="217"/>
      <c r="F11" s="224"/>
      <c r="G11" s="228"/>
      <c r="H11" s="229" t="s">
        <v>734</v>
      </c>
      <c r="I11" s="792"/>
      <c r="J11" s="212" t="str">
        <f>+'25'!J11</f>
        <v>TW 22 RC HW</v>
      </c>
      <c r="K11" s="234"/>
      <c r="L11" s="234"/>
      <c r="M11" s="117">
        <f>+K11+'25'!M11+L11</f>
        <v>262946</v>
      </c>
    </row>
    <row r="12" spans="1:16" ht="13.8" thickBot="1">
      <c r="A12" s="789"/>
      <c r="B12" s="213"/>
      <c r="C12" s="214"/>
      <c r="D12" s="215"/>
      <c r="E12" s="217"/>
      <c r="F12" s="224"/>
      <c r="G12" s="228"/>
      <c r="H12" s="229"/>
      <c r="I12" s="792"/>
      <c r="J12" s="212">
        <f>+'25'!J12</f>
        <v>0</v>
      </c>
      <c r="K12" s="234"/>
      <c r="L12" s="234"/>
      <c r="M12" s="117">
        <f>+K12+'25'!M12+L12</f>
        <v>0</v>
      </c>
    </row>
    <row r="13" spans="1:16" ht="13.8" thickBot="1">
      <c r="A13" s="789"/>
      <c r="B13" s="213"/>
      <c r="C13" s="214"/>
      <c r="D13" s="214"/>
      <c r="E13" s="217"/>
      <c r="F13" s="224"/>
      <c r="G13" s="228"/>
      <c r="H13" s="229"/>
      <c r="I13" s="793"/>
      <c r="J13" s="212">
        <f>+'25'!J13</f>
        <v>0</v>
      </c>
      <c r="K13" s="234"/>
      <c r="L13" s="234"/>
      <c r="M13" s="117">
        <f>+K13+'25'!M13+L13</f>
        <v>0</v>
      </c>
    </row>
    <row r="14" spans="1:16" ht="13.8" thickBot="1">
      <c r="A14" s="790"/>
      <c r="B14" s="165" t="s">
        <v>3</v>
      </c>
      <c r="C14" s="99">
        <f>SUM(C7:C13)</f>
        <v>16554</v>
      </c>
      <c r="D14" s="111">
        <f>SUM(D7:D13)</f>
        <v>0</v>
      </c>
      <c r="E14" s="112">
        <f>SUM(E5:E13)</f>
        <v>0</v>
      </c>
      <c r="F14" s="116">
        <f>SUM(F7:F13)</f>
        <v>8</v>
      </c>
      <c r="G14" s="159"/>
      <c r="H14" s="166"/>
      <c r="I14" s="167"/>
      <c r="J14" s="212">
        <f>+'25'!J14</f>
        <v>0</v>
      </c>
      <c r="K14" s="234"/>
      <c r="L14" s="234"/>
      <c r="M14" s="117">
        <f>+K14+'25'!M14+L14</f>
        <v>0</v>
      </c>
    </row>
    <row r="15" spans="1:16" ht="13.8" thickBot="1">
      <c r="A15" s="794" t="s">
        <v>429</v>
      </c>
      <c r="B15" s="513"/>
      <c r="C15" s="113">
        <f>C14/($C$23+$D$23+$E$23)</f>
        <v>0.99453289276058876</v>
      </c>
      <c r="D15" s="114">
        <f>D14/($C$23+$D$23+$E$23)</f>
        <v>0</v>
      </c>
      <c r="E15" s="115">
        <f>E14/($C$23+$D$23+$E$23)</f>
        <v>0</v>
      </c>
      <c r="F15" s="231"/>
      <c r="G15" s="553" t="s">
        <v>12</v>
      </c>
      <c r="H15" s="554" t="s">
        <v>417</v>
      </c>
      <c r="I15" s="791" t="s">
        <v>585</v>
      </c>
      <c r="J15" s="212">
        <f>+'25'!J15</f>
        <v>0</v>
      </c>
      <c r="K15" s="234"/>
      <c r="L15" s="234"/>
      <c r="M15" s="117">
        <f>+K15+'25'!M15+L15</f>
        <v>0</v>
      </c>
    </row>
    <row r="16" spans="1:16" ht="13.8" thickBot="1">
      <c r="A16" s="789"/>
      <c r="B16" s="213" t="s">
        <v>592</v>
      </c>
      <c r="C16" s="511">
        <v>16645</v>
      </c>
      <c r="D16" s="219"/>
      <c r="E16" s="220"/>
      <c r="F16" s="227"/>
      <c r="G16" s="555" t="s">
        <v>12</v>
      </c>
      <c r="H16" s="226" t="s">
        <v>419</v>
      </c>
      <c r="I16" s="792"/>
      <c r="J16" s="212">
        <f>+'25'!J16</f>
        <v>0</v>
      </c>
      <c r="K16" s="225"/>
      <c r="L16" s="225"/>
      <c r="M16" s="117">
        <f>+K16+'25'!M16+L16</f>
        <v>0</v>
      </c>
      <c r="N16" s="174"/>
      <c r="O16" s="174"/>
      <c r="P16" s="174"/>
    </row>
    <row r="17" spans="1:18" ht="13.8" thickBot="1">
      <c r="A17" s="789"/>
      <c r="B17" s="213"/>
      <c r="C17" s="214"/>
      <c r="D17" s="215"/>
      <c r="E17" s="221"/>
      <c r="F17" s="227">
        <v>15</v>
      </c>
      <c r="G17" s="555" t="s">
        <v>12</v>
      </c>
      <c r="H17" s="229" t="s">
        <v>497</v>
      </c>
      <c r="I17" s="792"/>
      <c r="J17" s="212">
        <f>+'25'!J17</f>
        <v>0</v>
      </c>
      <c r="K17" s="225"/>
      <c r="L17" s="225"/>
      <c r="M17" s="117">
        <f>+K17+'25'!M17+L17</f>
        <v>0</v>
      </c>
    </row>
    <row r="18" spans="1:18" ht="53.4" thickBot="1">
      <c r="A18" s="789"/>
      <c r="B18" s="213"/>
      <c r="C18" s="214"/>
      <c r="D18" s="215"/>
      <c r="E18" s="221"/>
      <c r="F18" s="227"/>
      <c r="G18" s="225"/>
      <c r="H18" s="556" t="s">
        <v>697</v>
      </c>
      <c r="I18" s="792"/>
      <c r="J18" s="212">
        <f>+'25'!J18</f>
        <v>0</v>
      </c>
      <c r="K18" s="234"/>
      <c r="L18" s="234"/>
      <c r="M18" s="117">
        <f>+K18+'25'!M18+L18</f>
        <v>0</v>
      </c>
    </row>
    <row r="19" spans="1:18" ht="79.8" thickBot="1">
      <c r="A19" s="789"/>
      <c r="B19" s="213"/>
      <c r="C19" s="214"/>
      <c r="D19" s="215"/>
      <c r="E19" s="221"/>
      <c r="F19" s="230"/>
      <c r="G19" s="228"/>
      <c r="H19" s="229" t="s">
        <v>732</v>
      </c>
      <c r="I19" s="792"/>
      <c r="J19" s="212">
        <f>+'25'!J19</f>
        <v>0</v>
      </c>
      <c r="K19" s="234"/>
      <c r="L19" s="234"/>
      <c r="M19" s="117">
        <f>+K19+'25'!M19+L19</f>
        <v>0</v>
      </c>
    </row>
    <row r="20" spans="1:18" ht="13.8" thickBot="1">
      <c r="A20" s="789"/>
      <c r="B20" s="213"/>
      <c r="C20" s="214"/>
      <c r="D20" s="215"/>
      <c r="E20" s="221"/>
      <c r="F20" s="224"/>
      <c r="G20" s="228"/>
      <c r="H20" s="229"/>
      <c r="I20" s="792"/>
      <c r="J20" s="212">
        <f>+'25'!J20</f>
        <v>0</v>
      </c>
      <c r="K20" s="235"/>
      <c r="L20" s="235"/>
      <c r="M20" s="117">
        <f>+K20+'25'!M20+L20</f>
        <v>0</v>
      </c>
    </row>
    <row r="21" spans="1:18" ht="13.8" thickBot="1">
      <c r="A21" s="789"/>
      <c r="B21" s="213"/>
      <c r="C21" s="214"/>
      <c r="D21" s="215"/>
      <c r="E21" s="221"/>
      <c r="F21" s="227"/>
      <c r="G21" s="228"/>
      <c r="H21" s="229"/>
      <c r="I21" s="792"/>
      <c r="J21" s="212">
        <f>+'25'!J21</f>
        <v>0</v>
      </c>
      <c r="K21" s="234"/>
      <c r="L21" s="234"/>
      <c r="M21" s="117">
        <f>+K21+'25'!M21+L21</f>
        <v>0</v>
      </c>
    </row>
    <row r="22" spans="1:18" ht="13.8" thickBot="1">
      <c r="A22" s="789"/>
      <c r="B22" s="213"/>
      <c r="C22" s="214"/>
      <c r="D22" s="215"/>
      <c r="E22" s="221"/>
      <c r="F22" s="231"/>
      <c r="G22" s="228"/>
      <c r="H22" s="229"/>
      <c r="I22" s="793"/>
      <c r="J22" s="212">
        <f>+'25'!J22</f>
        <v>0</v>
      </c>
      <c r="K22" s="234"/>
      <c r="L22" s="234"/>
      <c r="M22" s="117">
        <f>+K22+'25'!M22+L22</f>
        <v>0</v>
      </c>
    </row>
    <row r="23" spans="1:18" ht="13.8" thickBot="1">
      <c r="A23" s="790"/>
      <c r="B23" s="165" t="s">
        <v>3</v>
      </c>
      <c r="C23" s="99">
        <f>SUM(C16:C22)</f>
        <v>16645</v>
      </c>
      <c r="D23" s="111">
        <f>SUM(D16:D22)</f>
        <v>0</v>
      </c>
      <c r="E23" s="112">
        <f>SUM(E18:E22)</f>
        <v>0</v>
      </c>
      <c r="F23" s="116">
        <f>SUM(F15:F22)</f>
        <v>15</v>
      </c>
      <c r="G23" s="159"/>
      <c r="H23" s="166"/>
      <c r="I23" s="168"/>
      <c r="J23" s="212">
        <f>+'25'!J23</f>
        <v>0</v>
      </c>
      <c r="K23" s="234"/>
      <c r="L23" s="234"/>
      <c r="M23" s="117">
        <f>+K23+'25'!M23+L23</f>
        <v>0</v>
      </c>
    </row>
    <row r="24" spans="1:18" ht="13.8" thickBot="1">
      <c r="A24" s="794" t="s">
        <v>387</v>
      </c>
      <c r="B24" s="513"/>
      <c r="C24" s="113">
        <f>C23/($C$23+$D$23+$E$23)</f>
        <v>1</v>
      </c>
      <c r="D24" s="114">
        <f>D23/($C$23+$D$23+$E$23)</f>
        <v>0</v>
      </c>
      <c r="E24" s="115">
        <f>E23/($C$23+$D$23+$E$23)</f>
        <v>0</v>
      </c>
      <c r="F24" s="231"/>
      <c r="G24" s="553" t="s">
        <v>12</v>
      </c>
      <c r="H24" s="554" t="s">
        <v>417</v>
      </c>
      <c r="I24" s="791" t="s">
        <v>585</v>
      </c>
      <c r="J24" s="212">
        <f>+'25'!J24</f>
        <v>0</v>
      </c>
      <c r="K24" s="234"/>
      <c r="L24" s="234"/>
      <c r="M24" s="117">
        <f>+K24+'25'!M24+L24</f>
        <v>0</v>
      </c>
    </row>
    <row r="25" spans="1:18" ht="13.8" thickBot="1">
      <c r="A25" s="789"/>
      <c r="B25" s="213" t="s">
        <v>592</v>
      </c>
      <c r="C25" s="222">
        <v>16651</v>
      </c>
      <c r="D25" s="215"/>
      <c r="E25" s="221"/>
      <c r="F25" s="227">
        <v>2</v>
      </c>
      <c r="G25" s="555" t="s">
        <v>12</v>
      </c>
      <c r="H25" s="226" t="s">
        <v>416</v>
      </c>
      <c r="I25" s="792"/>
      <c r="J25" s="212">
        <f>+'25'!J25</f>
        <v>0</v>
      </c>
      <c r="K25" s="234"/>
      <c r="L25" s="234"/>
      <c r="M25" s="117">
        <f>+K25+'25'!M25+L25</f>
        <v>0</v>
      </c>
    </row>
    <row r="26" spans="1:18" ht="13.8" thickBot="1">
      <c r="A26" s="789"/>
      <c r="B26" s="213"/>
      <c r="C26" s="222"/>
      <c r="D26" s="215"/>
      <c r="E26" s="223"/>
      <c r="F26" s="227">
        <v>9</v>
      </c>
      <c r="G26" s="555" t="s">
        <v>12</v>
      </c>
      <c r="H26" s="229" t="s">
        <v>475</v>
      </c>
      <c r="I26" s="792"/>
      <c r="J26" s="212">
        <f>+'25'!J26</f>
        <v>0</v>
      </c>
      <c r="K26" s="234"/>
      <c r="L26" s="234"/>
      <c r="M26" s="117">
        <f>+K26+'25'!M26+L26</f>
        <v>0</v>
      </c>
    </row>
    <row r="27" spans="1:18" ht="53.4" thickBot="1">
      <c r="A27" s="789"/>
      <c r="B27" s="213"/>
      <c r="C27" s="214"/>
      <c r="D27" s="215"/>
      <c r="E27" s="221"/>
      <c r="F27" s="227"/>
      <c r="G27" s="225"/>
      <c r="H27" s="556" t="s">
        <v>728</v>
      </c>
      <c r="I27" s="792"/>
      <c r="J27" s="212">
        <f>+'25'!J27</f>
        <v>0</v>
      </c>
      <c r="K27" s="234"/>
      <c r="L27" s="234"/>
      <c r="M27" s="117">
        <f>+K27+'25'!M27+L27</f>
        <v>0</v>
      </c>
    </row>
    <row r="28" spans="1:18" ht="27" thickBot="1">
      <c r="A28" s="789"/>
      <c r="B28" s="213"/>
      <c r="C28" s="214"/>
      <c r="D28" s="215"/>
      <c r="E28" s="221"/>
      <c r="F28" s="227"/>
      <c r="G28" s="225"/>
      <c r="H28" s="229" t="s">
        <v>731</v>
      </c>
      <c r="I28" s="792"/>
      <c r="J28" s="212">
        <f>+'25'!J28</f>
        <v>0</v>
      </c>
      <c r="K28" s="234"/>
      <c r="L28" s="234"/>
      <c r="M28" s="117">
        <f>+K28+'25'!M28+L28</f>
        <v>0</v>
      </c>
    </row>
    <row r="29" spans="1:18" ht="13.8" thickBot="1">
      <c r="A29" s="789"/>
      <c r="B29" s="213"/>
      <c r="C29" s="214"/>
      <c r="D29" s="215"/>
      <c r="E29" s="221"/>
      <c r="F29" s="231"/>
      <c r="G29" s="228"/>
      <c r="H29" s="229"/>
      <c r="I29" s="792"/>
      <c r="J29" s="212">
        <f>+'25'!J29</f>
        <v>0</v>
      </c>
      <c r="K29" s="234"/>
      <c r="L29" s="234"/>
      <c r="M29" s="117">
        <f>+K29+'25'!M29+L29</f>
        <v>0</v>
      </c>
      <c r="P29" s="174"/>
    </row>
    <row r="30" spans="1:18" ht="13.8" thickBot="1">
      <c r="A30" s="789"/>
      <c r="B30" s="213"/>
      <c r="C30" s="222"/>
      <c r="D30" s="215"/>
      <c r="E30" s="221"/>
      <c r="F30" s="231"/>
      <c r="G30" s="228"/>
      <c r="H30" s="229"/>
      <c r="I30" s="792"/>
      <c r="J30" s="212">
        <f>+'25'!J30</f>
        <v>0</v>
      </c>
      <c r="K30" s="234"/>
      <c r="L30" s="234"/>
      <c r="M30" s="117">
        <f>+K30+'25'!M30+L30</f>
        <v>0</v>
      </c>
      <c r="N30" s="155"/>
      <c r="Q30" s="174"/>
      <c r="R30" s="174"/>
    </row>
    <row r="31" spans="1:18" ht="13.8" thickBot="1">
      <c r="A31" s="789"/>
      <c r="B31" s="213"/>
      <c r="C31" s="222"/>
      <c r="D31" s="215"/>
      <c r="E31" s="221"/>
      <c r="F31" s="231"/>
      <c r="G31" s="232"/>
      <c r="H31" s="404"/>
      <c r="I31" s="793"/>
      <c r="J31" s="212">
        <f>+'25'!J31</f>
        <v>0</v>
      </c>
      <c r="K31" s="234"/>
      <c r="L31" s="234"/>
      <c r="M31" s="117">
        <f>+K31+'25'!M31+L31</f>
        <v>0</v>
      </c>
    </row>
    <row r="32" spans="1:18" ht="13.8" thickBot="1">
      <c r="A32" s="790"/>
      <c r="B32" s="165" t="s">
        <v>3</v>
      </c>
      <c r="C32" s="99">
        <f>SUM(C25:C31)</f>
        <v>16651</v>
      </c>
      <c r="D32" s="100">
        <f>SUM(D25:D31)</f>
        <v>0</v>
      </c>
      <c r="E32" s="101">
        <f>SUM(E25:E31)</f>
        <v>0</v>
      </c>
      <c r="F32" s="99">
        <f>SUM(F24:F31)</f>
        <v>11</v>
      </c>
      <c r="G32" s="169"/>
      <c r="H32" s="170"/>
      <c r="I32" s="168"/>
      <c r="J32" s="212">
        <f>+'25'!J32</f>
        <v>0</v>
      </c>
      <c r="K32" s="236"/>
      <c r="L32" s="238"/>
      <c r="M32" s="117">
        <f>+K32+'25'!M32+L32</f>
        <v>0</v>
      </c>
    </row>
    <row r="33" spans="1:14" ht="13.8" thickBot="1">
      <c r="A33" s="171"/>
      <c r="B33" s="172"/>
      <c r="C33" s="103">
        <f>C32/($C$32+$D$32+$E$32)</f>
        <v>1</v>
      </c>
      <c r="D33" s="104">
        <f>D32/($C$32+$D$32+$E$32)</f>
        <v>0</v>
      </c>
      <c r="E33" s="105">
        <f>E32/($C$32+$D$32+$E$32)</f>
        <v>0</v>
      </c>
      <c r="F33" s="106"/>
      <c r="G33" s="173"/>
      <c r="H33" s="174"/>
      <c r="I33" s="175"/>
      <c r="J33" s="121"/>
      <c r="K33" s="122"/>
      <c r="L33" s="211"/>
      <c r="M33" s="119"/>
    </row>
    <row r="34" spans="1:14" ht="13.8" thickBot="1">
      <c r="A34" s="795" t="s">
        <v>68</v>
      </c>
      <c r="B34" s="796"/>
      <c r="C34" s="107">
        <f>C14+C23+C32</f>
        <v>49850</v>
      </c>
      <c r="D34" s="107">
        <f>D14+D23+D32</f>
        <v>0</v>
      </c>
      <c r="E34" s="107">
        <f>E14+E23+E32</f>
        <v>0</v>
      </c>
      <c r="F34" s="108">
        <f>F14+F23+F32</f>
        <v>34</v>
      </c>
      <c r="H34" s="176"/>
      <c r="I34" s="176"/>
      <c r="J34" s="123" t="s">
        <v>28</v>
      </c>
      <c r="K34" s="124">
        <f>SUM(K7:K32)</f>
        <v>49850</v>
      </c>
      <c r="L34" s="210">
        <f>SUM(L7:L32)</f>
        <v>0</v>
      </c>
      <c r="M34" s="120">
        <f>SUM(M7:M32)</f>
        <v>1331707</v>
      </c>
      <c r="N34" s="155"/>
    </row>
    <row r="35" spans="1:14" ht="13.8" thickBot="1">
      <c r="A35" s="177"/>
      <c r="B35" s="178"/>
      <c r="C35" s="104">
        <f>C34/($C$34+$D$34+$E$34)</f>
        <v>1</v>
      </c>
      <c r="D35" s="104">
        <f>D34/($C$34+$D$34+$E$34)</f>
        <v>0</v>
      </c>
      <c r="E35" s="109">
        <f>E34/($C$34+$D$34+$E$34)</f>
        <v>0</v>
      </c>
      <c r="K35" s="155"/>
    </row>
    <row r="36" spans="1:14" ht="13.8" thickBot="1">
      <c r="A36" s="176"/>
      <c r="B36" s="176"/>
      <c r="C36" s="155"/>
      <c r="D36" s="155"/>
      <c r="E36" s="155"/>
      <c r="G36" s="155"/>
      <c r="H36" s="179"/>
      <c r="I36" s="162" t="s">
        <v>37</v>
      </c>
      <c r="J36" s="162" t="s">
        <v>38</v>
      </c>
      <c r="K36" s="180"/>
    </row>
    <row r="37" spans="1:14" ht="17.399999999999999" customHeight="1" thickBot="1">
      <c r="A37" s="797" t="s">
        <v>69</v>
      </c>
      <c r="B37" s="798"/>
      <c r="C37" s="162" t="s">
        <v>70</v>
      </c>
      <c r="D37" s="181" t="s">
        <v>71</v>
      </c>
      <c r="E37" s="182" t="s">
        <v>72</v>
      </c>
      <c r="F37" s="304"/>
      <c r="G37" s="306"/>
      <c r="H37" s="184" t="s">
        <v>73</v>
      </c>
      <c r="I37" s="239">
        <f>(13.5*1440)/1440*G42*2.7*1440/1000000</f>
        <v>54.010152000000005</v>
      </c>
      <c r="J37" s="125">
        <f>+I37+'25'!J37</f>
        <v>1398.7612603545617</v>
      </c>
      <c r="K37" s="126" t="s">
        <v>74</v>
      </c>
    </row>
    <row r="38" spans="1:14" ht="17.399999999999999" customHeight="1">
      <c r="A38" s="799" t="s">
        <v>12</v>
      </c>
      <c r="B38" s="800"/>
      <c r="C38" s="164">
        <f>SUMIF($G$7:$G$31,"Process",$F$7:$F$31)</f>
        <v>34</v>
      </c>
      <c r="D38" s="118">
        <f>C38+'25'!D38</f>
        <v>745</v>
      </c>
      <c r="E38" s="143">
        <f t="shared" ref="E38:E52" si="0">D38/60</f>
        <v>12.416666666666666</v>
      </c>
      <c r="F38" s="304">
        <v>1225</v>
      </c>
      <c r="G38" s="304">
        <v>1029</v>
      </c>
      <c r="H38" s="185" t="s">
        <v>75</v>
      </c>
      <c r="I38" s="240">
        <f>15.517+16.725+16.517</f>
        <v>48.759</v>
      </c>
      <c r="J38" s="127">
        <f>+I38+'25'!J38</f>
        <v>1343.6560000000002</v>
      </c>
      <c r="K38" s="128" t="s">
        <v>74</v>
      </c>
    </row>
    <row r="39" spans="1:14" ht="17.399999999999999" customHeight="1">
      <c r="A39" s="786" t="s">
        <v>13</v>
      </c>
      <c r="B39" s="787"/>
      <c r="C39" s="164">
        <f>SUMIF($G$7:$G$31,"Cleaning",$F$7:$F$31)</f>
        <v>0</v>
      </c>
      <c r="D39" s="118">
        <f>C39+'25'!D39</f>
        <v>0</v>
      </c>
      <c r="E39" s="143">
        <f t="shared" si="0"/>
        <v>0</v>
      </c>
      <c r="F39" s="304">
        <v>1225</v>
      </c>
      <c r="G39" s="304">
        <v>1029</v>
      </c>
      <c r="H39" s="185" t="s">
        <v>76</v>
      </c>
      <c r="I39" s="142"/>
      <c r="J39" s="129">
        <f>J37/G4</f>
        <v>53.798510013636992</v>
      </c>
      <c r="K39" s="130" t="s">
        <v>74</v>
      </c>
    </row>
    <row r="40" spans="1:14" ht="17.399999999999999" customHeight="1">
      <c r="A40" s="786" t="s">
        <v>77</v>
      </c>
      <c r="B40" s="787"/>
      <c r="C40" s="164">
        <f>SUMIF($G$7:$G$31,"Mechanical",$F$7:$F$31)</f>
        <v>0</v>
      </c>
      <c r="D40" s="118">
        <f>C40+'25'!D40</f>
        <v>0</v>
      </c>
      <c r="E40" s="143">
        <f t="shared" si="0"/>
        <v>0</v>
      </c>
      <c r="F40" s="304">
        <v>1225</v>
      </c>
      <c r="G40" s="304">
        <v>1029</v>
      </c>
      <c r="H40" s="185" t="s">
        <v>78</v>
      </c>
      <c r="I40" s="118">
        <f>(K34+L34)/1000</f>
        <v>49.85</v>
      </c>
      <c r="J40" s="131">
        <f>+I40+'25'!J40</f>
        <v>1331.7069999999999</v>
      </c>
      <c r="K40" s="130" t="s">
        <v>74</v>
      </c>
    </row>
    <row r="41" spans="1:14" ht="17.399999999999999" customHeight="1">
      <c r="A41" s="786" t="s">
        <v>79</v>
      </c>
      <c r="B41" s="787"/>
      <c r="C41" s="164">
        <f>SUMIF($G$7:$G$31,"Electrical",$F$7:$F$31)</f>
        <v>0</v>
      </c>
      <c r="D41" s="118">
        <f>C41+'25'!D41</f>
        <v>0</v>
      </c>
      <c r="E41" s="143">
        <f t="shared" si="0"/>
        <v>0</v>
      </c>
      <c r="F41" s="304"/>
      <c r="G41" s="304"/>
      <c r="H41" s="185" t="s">
        <v>80</v>
      </c>
      <c r="I41" s="142"/>
      <c r="J41" s="129">
        <f>J40/G4</f>
        <v>51.219499999999996</v>
      </c>
      <c r="K41" s="130" t="s">
        <v>74</v>
      </c>
    </row>
    <row r="42" spans="1:14" ht="17.399999999999999" customHeight="1">
      <c r="A42" s="786" t="s">
        <v>16</v>
      </c>
      <c r="B42" s="787"/>
      <c r="C42" s="164">
        <f>SUMIF($G$7:$G$31,"Instrument",$F$7:$F$31)</f>
        <v>0</v>
      </c>
      <c r="D42" s="118">
        <f>C42+'25'!D42</f>
        <v>0</v>
      </c>
      <c r="E42" s="143">
        <f t="shared" si="0"/>
        <v>0</v>
      </c>
      <c r="F42" s="183">
        <f>+(F38*480+F39*480+F40*480)/1440</f>
        <v>1225</v>
      </c>
      <c r="G42" s="183">
        <f>+(G38*480+G39*480+G40*480)/1440</f>
        <v>1029</v>
      </c>
      <c r="H42" s="185" t="s">
        <v>81</v>
      </c>
      <c r="I42" s="241" t="s">
        <v>585</v>
      </c>
      <c r="J42" s="132"/>
      <c r="K42" s="130" t="s">
        <v>82</v>
      </c>
    </row>
    <row r="43" spans="1:14" ht="17.399999999999999" customHeight="1">
      <c r="A43" s="786" t="s">
        <v>83</v>
      </c>
      <c r="B43" s="787"/>
      <c r="C43" s="164">
        <f>SUMIF($G$7:$G$31,"Water",$F$7:$F$31)</f>
        <v>0</v>
      </c>
      <c r="D43" s="118">
        <f>C43+'25'!D43</f>
        <v>0</v>
      </c>
      <c r="E43" s="143">
        <f t="shared" si="0"/>
        <v>0</v>
      </c>
      <c r="F43" s="304"/>
      <c r="G43" s="305"/>
      <c r="H43" s="186" t="s">
        <v>84</v>
      </c>
      <c r="I43" s="118">
        <f>+Report1!Z34</f>
        <v>94.9</v>
      </c>
      <c r="J43" s="133">
        <f>+I43+'25'!J43</f>
        <v>2492.42</v>
      </c>
      <c r="K43" s="130" t="s">
        <v>74</v>
      </c>
      <c r="L43" s="187"/>
    </row>
    <row r="44" spans="1:14" ht="17.399999999999999" customHeight="1">
      <c r="A44" s="786" t="s">
        <v>17</v>
      </c>
      <c r="B44" s="787"/>
      <c r="C44" s="164">
        <f>SUMIF($G$7:$G$31,"PLN",$F$7:$F$31)</f>
        <v>0</v>
      </c>
      <c r="D44" s="118">
        <f>C44+'25'!D44</f>
        <v>0</v>
      </c>
      <c r="E44" s="143">
        <f t="shared" si="0"/>
        <v>0</v>
      </c>
      <c r="F44" s="304"/>
      <c r="G44" s="305"/>
      <c r="H44" s="186" t="s">
        <v>85</v>
      </c>
      <c r="I44" s="118">
        <f>I43/I38</f>
        <v>1.9463073483869646</v>
      </c>
      <c r="J44" s="134">
        <f>J43/J38</f>
        <v>1.854953946545842</v>
      </c>
      <c r="K44" s="130" t="s">
        <v>74</v>
      </c>
    </row>
    <row r="45" spans="1:14" ht="17.399999999999999" customHeight="1">
      <c r="A45" s="786" t="s">
        <v>18</v>
      </c>
      <c r="B45" s="787"/>
      <c r="C45" s="164">
        <f>SUMIF($G$7:$G$31,"Boiler",$F$7:$F$31)</f>
        <v>0</v>
      </c>
      <c r="D45" s="118">
        <f>C45+'25'!D45</f>
        <v>0</v>
      </c>
      <c r="E45" s="143">
        <f t="shared" si="0"/>
        <v>0</v>
      </c>
      <c r="F45" s="304"/>
      <c r="G45" s="307"/>
      <c r="H45" s="186" t="s">
        <v>86</v>
      </c>
      <c r="I45" s="118">
        <f>I43/I40</f>
        <v>1.9037111334002006</v>
      </c>
      <c r="J45" s="134">
        <f>J43/J40</f>
        <v>1.8715978815159793</v>
      </c>
      <c r="K45" s="130" t="s">
        <v>74</v>
      </c>
    </row>
    <row r="46" spans="1:14" ht="17.399999999999999" customHeight="1">
      <c r="A46" s="786" t="s">
        <v>87</v>
      </c>
      <c r="B46" s="787"/>
      <c r="C46" s="164">
        <f>SUMIF($G$7:$G$31,"Gas",$F$7:$F$31)</f>
        <v>0</v>
      </c>
      <c r="D46" s="118">
        <f>C46+'25'!D46</f>
        <v>0</v>
      </c>
      <c r="E46" s="143">
        <f t="shared" si="0"/>
        <v>0</v>
      </c>
      <c r="F46" s="304"/>
      <c r="G46" s="305"/>
      <c r="H46" s="186" t="s">
        <v>88</v>
      </c>
      <c r="I46" s="140">
        <f>+SUMIF(Listrik!X33,"&gt;0")</f>
        <v>40859.999967961099</v>
      </c>
      <c r="J46" s="135">
        <f>+I46+'25'!J46</f>
        <v>1002983.1738494885</v>
      </c>
      <c r="K46" s="130" t="s">
        <v>89</v>
      </c>
    </row>
    <row r="47" spans="1:14" ht="17.399999999999999" customHeight="1">
      <c r="A47" s="786" t="s">
        <v>90</v>
      </c>
      <c r="B47" s="787"/>
      <c r="C47" s="164">
        <f>SUMIF($G$7:$G$31,"Gas",$F$7:$F$31)</f>
        <v>0</v>
      </c>
      <c r="D47" s="118">
        <f>C47+'25'!D47</f>
        <v>0</v>
      </c>
      <c r="E47" s="143">
        <f t="shared" si="0"/>
        <v>0</v>
      </c>
      <c r="F47" s="304"/>
      <c r="G47" s="305"/>
      <c r="H47" s="186" t="s">
        <v>91</v>
      </c>
      <c r="I47" s="118">
        <f>I46/I38</f>
        <v>837.99913796347539</v>
      </c>
      <c r="J47" s="135">
        <f>J46/J38</f>
        <v>746.45830022676068</v>
      </c>
      <c r="K47" s="130" t="s">
        <v>24</v>
      </c>
    </row>
    <row r="48" spans="1:14" ht="17.399999999999999" customHeight="1">
      <c r="A48" s="786" t="s">
        <v>14</v>
      </c>
      <c r="B48" s="787"/>
      <c r="C48" s="164">
        <f>SUMIF($G$7:$G$31,"Start Up",$F$7:$F$31)</f>
        <v>0</v>
      </c>
      <c r="D48" s="118">
        <f>C48+'25'!D48</f>
        <v>0</v>
      </c>
      <c r="E48" s="143">
        <f t="shared" si="0"/>
        <v>0</v>
      </c>
      <c r="F48" s="304"/>
      <c r="G48" s="305"/>
      <c r="H48" s="186" t="s">
        <v>92</v>
      </c>
      <c r="I48" s="118">
        <f>I46/I40</f>
        <v>819.65897628808625</v>
      </c>
      <c r="J48" s="135">
        <f>J46/J40</f>
        <v>753.15604246991916</v>
      </c>
      <c r="K48" s="130" t="s">
        <v>24</v>
      </c>
    </row>
    <row r="49" spans="1:11" ht="17.399999999999999" customHeight="1">
      <c r="A49" s="786" t="s">
        <v>20</v>
      </c>
      <c r="B49" s="787"/>
      <c r="C49" s="164">
        <f>SUMIF($G$7:$G$31,"Others",$F$7:$F$31)</f>
        <v>0</v>
      </c>
      <c r="D49" s="118">
        <f>C49+'25'!D49</f>
        <v>1072</v>
      </c>
      <c r="E49" s="143">
        <f t="shared" si="0"/>
        <v>17.866666666666667</v>
      </c>
      <c r="F49" s="183"/>
      <c r="H49" s="186" t="s">
        <v>269</v>
      </c>
      <c r="I49" s="118">
        <f>+Report1!T34</f>
        <v>3586.2410050639141</v>
      </c>
      <c r="J49" s="135">
        <f>+I49+'25'!J49</f>
        <v>95907.015616384262</v>
      </c>
      <c r="K49" s="130" t="s">
        <v>93</v>
      </c>
    </row>
    <row r="50" spans="1:11" ht="17.399999999999999" customHeight="1">
      <c r="A50" s="786" t="s">
        <v>19</v>
      </c>
      <c r="B50" s="787"/>
      <c r="C50" s="164">
        <f>SUMIF($G$7:$G$31,"Steam",$F$7:$F$31)</f>
        <v>0</v>
      </c>
      <c r="D50" s="118">
        <f>C50+'25'!D50</f>
        <v>0</v>
      </c>
      <c r="E50" s="143">
        <f t="shared" si="0"/>
        <v>0</v>
      </c>
      <c r="F50" s="183"/>
      <c r="H50" s="186" t="s">
        <v>94</v>
      </c>
      <c r="I50" s="140">
        <f>I49/I38</f>
        <v>73.55033952837249</v>
      </c>
      <c r="J50" s="133">
        <f>J49/J38</f>
        <v>71.377655900308</v>
      </c>
      <c r="K50" s="130" t="s">
        <v>93</v>
      </c>
    </row>
    <row r="51" spans="1:11" ht="17.399999999999999" customHeight="1">
      <c r="A51" s="803" t="s">
        <v>95</v>
      </c>
      <c r="B51" s="803"/>
      <c r="C51" s="164">
        <f>SUMIF($G$7:$G$31,"Planned shut",$F$7:$F$31)</f>
        <v>0</v>
      </c>
      <c r="D51" s="118">
        <f>C51+'25'!D51</f>
        <v>0</v>
      </c>
      <c r="E51" s="143">
        <f t="shared" si="0"/>
        <v>0</v>
      </c>
      <c r="F51" s="183"/>
      <c r="H51" s="188" t="s">
        <v>96</v>
      </c>
      <c r="I51" s="141">
        <f>I49/I40</f>
        <v>71.940642027360369</v>
      </c>
      <c r="J51" s="136">
        <f>J49/J40</f>
        <v>72.018105796833893</v>
      </c>
      <c r="K51" s="137" t="s">
        <v>93</v>
      </c>
    </row>
    <row r="52" spans="1:11" ht="13.8" thickBot="1">
      <c r="A52" s="804" t="s">
        <v>218</v>
      </c>
      <c r="B52" s="805"/>
      <c r="C52" s="164">
        <f>SUMIF($G$7:$G$31,"Change Grade",$F$7:$F$31)</f>
        <v>0</v>
      </c>
      <c r="D52" s="118">
        <f>C52+'25'!D52</f>
        <v>0</v>
      </c>
      <c r="E52" s="143">
        <f t="shared" si="0"/>
        <v>0</v>
      </c>
      <c r="F52" s="183"/>
      <c r="H52" s="189"/>
      <c r="I52" s="190"/>
      <c r="J52" s="138"/>
      <c r="K52" s="139"/>
    </row>
    <row r="53" spans="1:11">
      <c r="A53" s="799" t="s">
        <v>28</v>
      </c>
      <c r="B53" s="800"/>
      <c r="C53" s="144">
        <f>SUM(C38:C52)</f>
        <v>34</v>
      </c>
      <c r="D53" s="144">
        <f>SUM(D38:D52)</f>
        <v>1817</v>
      </c>
      <c r="E53" s="145">
        <f>SUM(E38:E52)</f>
        <v>30.283333333333331</v>
      </c>
      <c r="F53" s="183"/>
    </row>
    <row r="54" spans="1:11" ht="13.8" thickBot="1">
      <c r="A54" s="801"/>
      <c r="B54" s="802"/>
      <c r="C54" s="146">
        <f>C53/(24*60)</f>
        <v>2.361111111111111E-2</v>
      </c>
      <c r="D54" s="146">
        <f>D53/(24*60*G4)</f>
        <v>4.8530982905982907E-2</v>
      </c>
      <c r="E54" s="147">
        <f>E53/(G4*24)</f>
        <v>4.85309829059829E-2</v>
      </c>
      <c r="F54" s="183"/>
    </row>
    <row r="55" spans="1:11">
      <c r="E55" s="191"/>
    </row>
    <row r="56" spans="1:11">
      <c r="A56" s="192" t="s">
        <v>97</v>
      </c>
      <c r="B56" s="193"/>
      <c r="C56" s="194"/>
      <c r="D56" s="194"/>
      <c r="E56" s="194"/>
      <c r="F56" s="195"/>
      <c r="G56" s="194"/>
      <c r="H56" s="196"/>
      <c r="I56" s="197" t="s">
        <v>98</v>
      </c>
      <c r="J56" s="198">
        <f>+D34+'25'!J56</f>
        <v>2210</v>
      </c>
      <c r="K56" s="199">
        <f>J56/(J40+J56/1000)/1000</f>
        <v>1.6567747468545647E-3</v>
      </c>
    </row>
    <row r="57" spans="1:11">
      <c r="A57" s="174"/>
      <c r="I57" s="197" t="s">
        <v>99</v>
      </c>
      <c r="J57" s="198">
        <f>+E34+'25'!J57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1"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S61"/>
  <sheetViews>
    <sheetView view="pageBreakPreview" topLeftCell="F1" zoomScale="80" zoomScaleNormal="80" zoomScaleSheetLayoutView="80" workbookViewId="0">
      <selection activeCell="N6" sqref="N6:S14"/>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4.44140625" style="149" bestFit="1" customWidth="1"/>
    <col min="14" max="16384" width="9.109375" style="149"/>
  </cols>
  <sheetData>
    <row r="1" spans="1:19" ht="15.6">
      <c r="A1" s="148"/>
    </row>
    <row r="2" spans="1:19" ht="15.6">
      <c r="A2" s="148" t="s">
        <v>219</v>
      </c>
    </row>
    <row r="3" spans="1:19" ht="15">
      <c r="A3" s="150"/>
    </row>
    <row r="4" spans="1:19" ht="21">
      <c r="A4" s="151" t="s">
        <v>4</v>
      </c>
      <c r="B4" s="152"/>
      <c r="F4" s="153" t="s">
        <v>29</v>
      </c>
      <c r="G4" s="154">
        <v>25</v>
      </c>
      <c r="H4" s="154" t="str">
        <f>+'1'!H4</f>
        <v>.03.26</v>
      </c>
      <c r="J4" s="149">
        <f>438+435+506</f>
        <v>1379</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584</v>
      </c>
      <c r="O6" s="149">
        <v>1225</v>
      </c>
      <c r="P6" s="149">
        <f>+O6-(O6*0.16)</f>
        <v>1029</v>
      </c>
      <c r="Q6" s="149">
        <v>480</v>
      </c>
      <c r="R6" s="149">
        <f t="shared" ref="R6:R7" si="0">+O6*Q6</f>
        <v>588000</v>
      </c>
      <c r="S6" s="149">
        <f t="shared" ref="S6:S7" si="1">+P6*Q6</f>
        <v>493920</v>
      </c>
    </row>
    <row r="7" spans="1:19" ht="13.5" customHeight="1" thickBot="1">
      <c r="A7" s="788" t="s">
        <v>428</v>
      </c>
      <c r="B7" s="213" t="s">
        <v>592</v>
      </c>
      <c r="C7" s="214">
        <v>20735</v>
      </c>
      <c r="D7" s="215"/>
      <c r="E7" s="216"/>
      <c r="F7" s="231"/>
      <c r="G7" s="553" t="s">
        <v>12</v>
      </c>
      <c r="H7" s="554" t="s">
        <v>417</v>
      </c>
      <c r="I7" s="791" t="s">
        <v>585</v>
      </c>
      <c r="J7" s="212" t="str">
        <f>+'24'!J7</f>
        <v>T 15 RC HW</v>
      </c>
      <c r="K7" s="233"/>
      <c r="L7" s="237"/>
      <c r="M7" s="117">
        <f>+K7+'24'!M7+L7</f>
        <v>444860</v>
      </c>
      <c r="O7" s="149">
        <v>1225</v>
      </c>
      <c r="P7" s="149">
        <f>+O7-(O7*0.16)</f>
        <v>1029</v>
      </c>
      <c r="Q7" s="149">
        <v>480</v>
      </c>
      <c r="R7" s="149">
        <f t="shared" si="0"/>
        <v>588000</v>
      </c>
      <c r="S7" s="149">
        <f t="shared" si="1"/>
        <v>493920</v>
      </c>
    </row>
    <row r="8" spans="1:19" ht="13.8" thickBot="1">
      <c r="A8" s="789"/>
      <c r="B8" s="213"/>
      <c r="C8" s="214"/>
      <c r="D8" s="215"/>
      <c r="E8" s="217"/>
      <c r="F8" s="227">
        <v>2</v>
      </c>
      <c r="G8" s="555" t="s">
        <v>12</v>
      </c>
      <c r="H8" s="226" t="s">
        <v>416</v>
      </c>
      <c r="I8" s="792"/>
      <c r="J8" s="212" t="str">
        <f>+'24'!J8</f>
        <v>T 14,5 RC HW</v>
      </c>
      <c r="K8" s="234"/>
      <c r="L8" s="234"/>
      <c r="M8" s="117">
        <f>+K8+'24'!M8+L8</f>
        <v>206120</v>
      </c>
      <c r="O8" s="149">
        <v>1225</v>
      </c>
      <c r="P8" s="149">
        <f>+O8-(O8*0.16)</f>
        <v>1029</v>
      </c>
      <c r="Q8" s="149">
        <v>480</v>
      </c>
      <c r="R8" s="149">
        <f t="shared" ref="R8" si="2">+O8*Q8</f>
        <v>588000</v>
      </c>
      <c r="S8" s="149">
        <f t="shared" ref="S8" si="3">+P8*Q8</f>
        <v>493920</v>
      </c>
    </row>
    <row r="9" spans="1:19" ht="13.8" thickBot="1">
      <c r="A9" s="789"/>
      <c r="B9" s="213"/>
      <c r="C9" s="214"/>
      <c r="D9" s="215"/>
      <c r="E9" s="218"/>
      <c r="F9" s="227">
        <v>8</v>
      </c>
      <c r="G9" s="555" t="s">
        <v>12</v>
      </c>
      <c r="H9" s="229" t="s">
        <v>475</v>
      </c>
      <c r="I9" s="792"/>
      <c r="J9" s="212" t="str">
        <f>+'24'!J9</f>
        <v>T 14 RC HW</v>
      </c>
      <c r="K9" s="234"/>
      <c r="L9" s="234"/>
      <c r="M9" s="117">
        <f>+K9+'24'!M9+L9</f>
        <v>49646</v>
      </c>
    </row>
    <row r="10" spans="1:19" ht="53.4" thickBot="1">
      <c r="A10" s="789"/>
      <c r="B10" s="213"/>
      <c r="C10" s="214"/>
      <c r="D10" s="215"/>
      <c r="E10" s="217"/>
      <c r="F10" s="227"/>
      <c r="G10" s="225"/>
      <c r="H10" s="556" t="s">
        <v>697</v>
      </c>
      <c r="I10" s="792"/>
      <c r="J10" s="212" t="str">
        <f>+'24'!J10</f>
        <v>T 13,5 RC HW</v>
      </c>
      <c r="K10" s="234">
        <f>+C34</f>
        <v>53864</v>
      </c>
      <c r="L10" s="234"/>
      <c r="M10" s="117">
        <f>+K10+'24'!M10+L10</f>
        <v>318285</v>
      </c>
    </row>
    <row r="11" spans="1:19" ht="27" thickBot="1">
      <c r="A11" s="789"/>
      <c r="B11" s="213"/>
      <c r="C11" s="214"/>
      <c r="D11" s="215"/>
      <c r="E11" s="217"/>
      <c r="F11" s="224"/>
      <c r="G11" s="228"/>
      <c r="H11" s="229" t="s">
        <v>698</v>
      </c>
      <c r="I11" s="792"/>
      <c r="J11" s="212" t="str">
        <f>+'24'!J11</f>
        <v>TW 22 RC HW</v>
      </c>
      <c r="K11" s="234"/>
      <c r="L11" s="234"/>
      <c r="M11" s="117">
        <f>+K11+'24'!M11+L11</f>
        <v>262946</v>
      </c>
    </row>
    <row r="12" spans="1:19" ht="13.8" thickBot="1">
      <c r="A12" s="789"/>
      <c r="B12" s="213"/>
      <c r="C12" s="214"/>
      <c r="D12" s="215"/>
      <c r="E12" s="217"/>
      <c r="F12" s="224"/>
      <c r="G12" s="228"/>
      <c r="H12" s="229"/>
      <c r="I12" s="792"/>
      <c r="J12" s="212">
        <f>+'24'!J12</f>
        <v>0</v>
      </c>
      <c r="K12" s="234"/>
      <c r="L12" s="234"/>
      <c r="M12" s="117">
        <f>+K12+'24'!M12+L12</f>
        <v>0</v>
      </c>
    </row>
    <row r="13" spans="1:19" ht="13.8" thickBot="1">
      <c r="A13" s="789"/>
      <c r="B13" s="213"/>
      <c r="C13" s="214"/>
      <c r="D13" s="214"/>
      <c r="E13" s="217"/>
      <c r="F13" s="224"/>
      <c r="G13" s="228"/>
      <c r="H13" s="229"/>
      <c r="I13" s="793"/>
      <c r="J13" s="212">
        <f>+'24'!J13</f>
        <v>0</v>
      </c>
      <c r="K13" s="234"/>
      <c r="L13" s="234"/>
      <c r="M13" s="117">
        <f>+K13+'24'!M13+L13</f>
        <v>0</v>
      </c>
      <c r="Q13" s="174">
        <f>SUM(Q6:Q12)</f>
        <v>1440</v>
      </c>
      <c r="R13" s="174">
        <f>SUM(R6:R12)</f>
        <v>1764000</v>
      </c>
      <c r="S13" s="174">
        <f>SUM(S6:S12)</f>
        <v>1481760</v>
      </c>
    </row>
    <row r="14" spans="1:19" ht="13.8" thickBot="1">
      <c r="A14" s="790"/>
      <c r="B14" s="165" t="s">
        <v>3</v>
      </c>
      <c r="C14" s="99">
        <f>SUM(C7:C13)</f>
        <v>20735</v>
      </c>
      <c r="D14" s="111">
        <f>SUM(D7:D13)</f>
        <v>0</v>
      </c>
      <c r="E14" s="112">
        <f>SUM(E5:E13)</f>
        <v>0</v>
      </c>
      <c r="F14" s="116">
        <f>SUM(F7:F13)</f>
        <v>10</v>
      </c>
      <c r="G14" s="159"/>
      <c r="H14" s="166"/>
      <c r="I14" s="167"/>
      <c r="J14" s="212">
        <f>+'24'!J14</f>
        <v>0</v>
      </c>
      <c r="K14" s="234"/>
      <c r="L14" s="234"/>
      <c r="M14" s="117">
        <f>+K14+'24'!M14+L14</f>
        <v>0</v>
      </c>
      <c r="Q14" s="149">
        <f>480-Q13</f>
        <v>-960</v>
      </c>
      <c r="R14" s="174">
        <f>+R13/Q13</f>
        <v>1225</v>
      </c>
      <c r="S14" s="174">
        <f>+S13/Q13</f>
        <v>1029</v>
      </c>
    </row>
    <row r="15" spans="1:19" ht="13.8" thickBot="1">
      <c r="A15" s="794" t="s">
        <v>429</v>
      </c>
      <c r="B15" s="513"/>
      <c r="C15" s="113">
        <f>C14/($C$23+$D$23+$E$23)</f>
        <v>1.2542342124364869</v>
      </c>
      <c r="D15" s="114">
        <f>D14/($C$23+$D$23+$E$23)</f>
        <v>0</v>
      </c>
      <c r="E15" s="115">
        <f>E14/($C$23+$D$23+$E$23)</f>
        <v>0</v>
      </c>
      <c r="F15" s="231"/>
      <c r="G15" s="553" t="s">
        <v>12</v>
      </c>
      <c r="H15" s="554" t="s">
        <v>417</v>
      </c>
      <c r="I15" s="791" t="s">
        <v>585</v>
      </c>
      <c r="J15" s="212">
        <f>+'24'!J15</f>
        <v>0</v>
      </c>
      <c r="K15" s="234"/>
      <c r="L15" s="234"/>
      <c r="M15" s="117">
        <f>+K15+'24'!M15+L15</f>
        <v>0</v>
      </c>
    </row>
    <row r="16" spans="1:19" ht="13.8" thickBot="1">
      <c r="A16" s="789"/>
      <c r="B16" s="213" t="s">
        <v>592</v>
      </c>
      <c r="C16" s="511">
        <v>16532</v>
      </c>
      <c r="D16" s="219"/>
      <c r="E16" s="220"/>
      <c r="F16" s="227">
        <v>3</v>
      </c>
      <c r="G16" s="555" t="s">
        <v>12</v>
      </c>
      <c r="H16" s="226" t="s">
        <v>416</v>
      </c>
      <c r="I16" s="792"/>
      <c r="J16" s="212">
        <f>+'24'!J16</f>
        <v>0</v>
      </c>
      <c r="K16" s="225"/>
      <c r="L16" s="225"/>
      <c r="M16" s="117">
        <f>+K16+'24'!M16+L16</f>
        <v>0</v>
      </c>
    </row>
    <row r="17" spans="1:14" ht="13.8" thickBot="1">
      <c r="A17" s="789"/>
      <c r="B17" s="213"/>
      <c r="C17" s="214"/>
      <c r="D17" s="215"/>
      <c r="E17" s="221"/>
      <c r="F17" s="227">
        <v>10</v>
      </c>
      <c r="G17" s="555" t="s">
        <v>12</v>
      </c>
      <c r="H17" s="229" t="s">
        <v>475</v>
      </c>
      <c r="I17" s="792"/>
      <c r="J17" s="212">
        <f>+'24'!J17</f>
        <v>0</v>
      </c>
      <c r="K17" s="225"/>
      <c r="L17" s="225"/>
      <c r="M17" s="117">
        <f>+K17+'24'!M17+L17</f>
        <v>0</v>
      </c>
    </row>
    <row r="18" spans="1:14" ht="53.4" thickBot="1">
      <c r="A18" s="789"/>
      <c r="B18" s="213"/>
      <c r="C18" s="214"/>
      <c r="D18" s="215"/>
      <c r="E18" s="221"/>
      <c r="F18" s="227"/>
      <c r="G18" s="225"/>
      <c r="H18" s="556" t="s">
        <v>728</v>
      </c>
      <c r="I18" s="792"/>
      <c r="J18" s="212">
        <f>+'24'!J18</f>
        <v>0</v>
      </c>
      <c r="K18" s="234"/>
      <c r="L18" s="234"/>
      <c r="M18" s="117">
        <f>+K18+'24'!M18+L18</f>
        <v>0</v>
      </c>
    </row>
    <row r="19" spans="1:14" ht="58.5" customHeight="1" thickBot="1">
      <c r="A19" s="789"/>
      <c r="B19" s="213"/>
      <c r="C19" s="214"/>
      <c r="D19" s="215"/>
      <c r="E19" s="221"/>
      <c r="F19" s="230"/>
      <c r="G19" s="228"/>
      <c r="H19" s="229" t="s">
        <v>730</v>
      </c>
      <c r="I19" s="792"/>
      <c r="J19" s="212">
        <f>+'24'!J19</f>
        <v>0</v>
      </c>
      <c r="K19" s="234"/>
      <c r="L19" s="234"/>
      <c r="M19" s="117">
        <f>+K19+'24'!M19+L19</f>
        <v>0</v>
      </c>
    </row>
    <row r="20" spans="1:14" ht="13.8" thickBot="1">
      <c r="A20" s="789"/>
      <c r="B20" s="213"/>
      <c r="C20" s="214"/>
      <c r="D20" s="215"/>
      <c r="E20" s="221"/>
      <c r="F20" s="224"/>
      <c r="G20" s="228"/>
      <c r="H20" s="229"/>
      <c r="I20" s="792"/>
      <c r="J20" s="212">
        <f>+'24'!J20</f>
        <v>0</v>
      </c>
      <c r="K20" s="235"/>
      <c r="L20" s="235"/>
      <c r="M20" s="117">
        <f>+K20+'24'!M20+L20</f>
        <v>0</v>
      </c>
    </row>
    <row r="21" spans="1:14" ht="13.8" thickBot="1">
      <c r="A21" s="789"/>
      <c r="B21" s="213"/>
      <c r="C21" s="214"/>
      <c r="D21" s="215"/>
      <c r="E21" s="221"/>
      <c r="F21" s="227"/>
      <c r="G21" s="228"/>
      <c r="H21" s="229"/>
      <c r="I21" s="792"/>
      <c r="J21" s="212">
        <f>+'24'!J21</f>
        <v>0</v>
      </c>
      <c r="K21" s="234"/>
      <c r="L21" s="234"/>
      <c r="M21" s="117">
        <f>+K21+'24'!M21+L21</f>
        <v>0</v>
      </c>
    </row>
    <row r="22" spans="1:14" ht="13.8" thickBot="1">
      <c r="A22" s="789"/>
      <c r="B22" s="213"/>
      <c r="C22" s="214"/>
      <c r="D22" s="215"/>
      <c r="E22" s="221"/>
      <c r="F22" s="231"/>
      <c r="G22" s="228"/>
      <c r="H22" s="229"/>
      <c r="I22" s="793"/>
      <c r="J22" s="212">
        <f>+'24'!J22</f>
        <v>0</v>
      </c>
      <c r="K22" s="234"/>
      <c r="L22" s="234"/>
      <c r="M22" s="117">
        <f>+K22+'24'!M22+L22</f>
        <v>0</v>
      </c>
    </row>
    <row r="23" spans="1:14" ht="13.8" thickBot="1">
      <c r="A23" s="790"/>
      <c r="B23" s="165" t="s">
        <v>3</v>
      </c>
      <c r="C23" s="99">
        <f>SUM(C16:C22)</f>
        <v>16532</v>
      </c>
      <c r="D23" s="111">
        <f>SUM(D16:D22)</f>
        <v>0</v>
      </c>
      <c r="E23" s="112">
        <f>SUM(E18:E22)</f>
        <v>0</v>
      </c>
      <c r="F23" s="116">
        <f>SUM(F15:F22)</f>
        <v>13</v>
      </c>
      <c r="G23" s="159"/>
      <c r="H23" s="166"/>
      <c r="I23" s="168"/>
      <c r="J23" s="212">
        <f>+'24'!J23</f>
        <v>0</v>
      </c>
      <c r="K23" s="234"/>
      <c r="L23" s="234"/>
      <c r="M23" s="117">
        <f>+K23+'24'!M23+L23</f>
        <v>0</v>
      </c>
    </row>
    <row r="24" spans="1:14" ht="13.8" thickBot="1">
      <c r="A24" s="794" t="s">
        <v>387</v>
      </c>
      <c r="B24" s="513"/>
      <c r="C24" s="113">
        <f>C23/($C$23+$D$23+$E$23)</f>
        <v>1</v>
      </c>
      <c r="D24" s="114">
        <f>D23/($C$23+$D$23+$E$23)</f>
        <v>0</v>
      </c>
      <c r="E24" s="115">
        <f>E23/($C$23+$D$23+$E$23)</f>
        <v>0</v>
      </c>
      <c r="F24" s="231"/>
      <c r="G24" s="553" t="s">
        <v>12</v>
      </c>
      <c r="H24" s="554" t="s">
        <v>417</v>
      </c>
      <c r="I24" s="791" t="s">
        <v>585</v>
      </c>
      <c r="J24" s="212">
        <f>+'24'!J24</f>
        <v>0</v>
      </c>
      <c r="K24" s="234"/>
      <c r="L24" s="234"/>
      <c r="M24" s="117">
        <f>+K24+'24'!M24+L24</f>
        <v>0</v>
      </c>
    </row>
    <row r="25" spans="1:14" ht="13.8" thickBot="1">
      <c r="A25" s="789"/>
      <c r="B25" s="213" t="s">
        <v>592</v>
      </c>
      <c r="C25" s="222">
        <v>16597</v>
      </c>
      <c r="D25" s="215"/>
      <c r="E25" s="221"/>
      <c r="F25" s="227">
        <v>3</v>
      </c>
      <c r="G25" s="555" t="s">
        <v>12</v>
      </c>
      <c r="H25" s="226" t="s">
        <v>416</v>
      </c>
      <c r="I25" s="792"/>
      <c r="J25" s="212">
        <f>+'24'!J25</f>
        <v>0</v>
      </c>
      <c r="K25" s="234"/>
      <c r="L25" s="234"/>
      <c r="M25" s="117">
        <f>+K25+'24'!M25+L25</f>
        <v>0</v>
      </c>
    </row>
    <row r="26" spans="1:14" ht="13.8" thickBot="1">
      <c r="A26" s="789"/>
      <c r="B26" s="213"/>
      <c r="C26" s="222"/>
      <c r="D26" s="215"/>
      <c r="E26" s="223"/>
      <c r="F26" s="227">
        <v>10</v>
      </c>
      <c r="G26" s="555" t="s">
        <v>12</v>
      </c>
      <c r="H26" s="229" t="s">
        <v>475</v>
      </c>
      <c r="I26" s="792"/>
      <c r="J26" s="212">
        <f>+'24'!J26</f>
        <v>0</v>
      </c>
      <c r="K26" s="234"/>
      <c r="L26" s="234"/>
      <c r="M26" s="117">
        <f>+K26+'24'!M26+L26</f>
        <v>0</v>
      </c>
    </row>
    <row r="27" spans="1:14" ht="53.4" thickBot="1">
      <c r="A27" s="789"/>
      <c r="B27" s="213"/>
      <c r="C27" s="214"/>
      <c r="D27" s="215"/>
      <c r="E27" s="221"/>
      <c r="F27" s="227"/>
      <c r="G27" s="225"/>
      <c r="H27" s="556" t="s">
        <v>728</v>
      </c>
      <c r="I27" s="792"/>
      <c r="J27" s="212">
        <f>+'24'!J27</f>
        <v>0</v>
      </c>
      <c r="K27" s="234"/>
      <c r="L27" s="234"/>
      <c r="M27" s="117">
        <f>+K27+'24'!M27+L27</f>
        <v>0</v>
      </c>
    </row>
    <row r="28" spans="1:14" ht="13.8" thickBot="1">
      <c r="A28" s="789"/>
      <c r="B28" s="213"/>
      <c r="C28" s="214"/>
      <c r="D28" s="215"/>
      <c r="E28" s="221"/>
      <c r="F28" s="227"/>
      <c r="G28" s="225"/>
      <c r="H28" s="229" t="s">
        <v>729</v>
      </c>
      <c r="I28" s="792"/>
      <c r="J28" s="212">
        <f>+'24'!J28</f>
        <v>0</v>
      </c>
      <c r="K28" s="234"/>
      <c r="L28" s="234"/>
      <c r="M28" s="117">
        <f>+K28+'24'!M28+L28</f>
        <v>0</v>
      </c>
    </row>
    <row r="29" spans="1:14" ht="13.8" thickBot="1">
      <c r="A29" s="789"/>
      <c r="B29" s="213"/>
      <c r="C29" s="214"/>
      <c r="D29" s="215"/>
      <c r="E29" s="221"/>
      <c r="F29" s="231"/>
      <c r="G29" s="228"/>
      <c r="H29" s="229"/>
      <c r="I29" s="792"/>
      <c r="J29" s="212">
        <f>+'24'!J29</f>
        <v>0</v>
      </c>
      <c r="K29" s="234"/>
      <c r="L29" s="234"/>
      <c r="M29" s="117">
        <f>+K29+'24'!M29+L29</f>
        <v>0</v>
      </c>
    </row>
    <row r="30" spans="1:14" ht="13.8" thickBot="1">
      <c r="A30" s="789"/>
      <c r="B30" s="213"/>
      <c r="C30" s="222"/>
      <c r="D30" s="215"/>
      <c r="E30" s="221"/>
      <c r="F30" s="231"/>
      <c r="G30" s="228"/>
      <c r="H30" s="229"/>
      <c r="I30" s="792"/>
      <c r="J30" s="212">
        <f>+'24'!J30</f>
        <v>0</v>
      </c>
      <c r="K30" s="234"/>
      <c r="L30" s="234"/>
      <c r="M30" s="117">
        <f>+K30+'24'!M30+L30</f>
        <v>0</v>
      </c>
      <c r="N30" s="155"/>
    </row>
    <row r="31" spans="1:14" ht="13.8" thickBot="1">
      <c r="A31" s="789"/>
      <c r="B31" s="213"/>
      <c r="C31" s="222"/>
      <c r="D31" s="215"/>
      <c r="E31" s="221"/>
      <c r="F31" s="231"/>
      <c r="G31" s="232"/>
      <c r="H31" s="404"/>
      <c r="I31" s="793"/>
      <c r="J31" s="212">
        <f>+'24'!J31</f>
        <v>0</v>
      </c>
      <c r="K31" s="234"/>
      <c r="L31" s="234"/>
      <c r="M31" s="117">
        <f>+K31+'24'!M31+L31</f>
        <v>0</v>
      </c>
    </row>
    <row r="32" spans="1:14" ht="13.8" thickBot="1">
      <c r="A32" s="790"/>
      <c r="B32" s="165" t="s">
        <v>3</v>
      </c>
      <c r="C32" s="99">
        <f>SUM(C25:C31)</f>
        <v>16597</v>
      </c>
      <c r="D32" s="100">
        <f>SUM(D25:D31)</f>
        <v>0</v>
      </c>
      <c r="E32" s="101">
        <f>SUM(E25:E31)</f>
        <v>0</v>
      </c>
      <c r="F32" s="99">
        <f>SUM(F24:F31)</f>
        <v>13</v>
      </c>
      <c r="G32" s="169"/>
      <c r="H32" s="170"/>
      <c r="I32" s="168"/>
      <c r="J32" s="212">
        <f>+'24'!J32</f>
        <v>0</v>
      </c>
      <c r="K32" s="236"/>
      <c r="L32" s="238"/>
      <c r="M32" s="117">
        <f>+K32+'24'!M32+L32</f>
        <v>0</v>
      </c>
    </row>
    <row r="33" spans="1:14" ht="13.8" thickBot="1">
      <c r="A33" s="171"/>
      <c r="B33" s="172"/>
      <c r="C33" s="103">
        <f>C32/($C$32+$D$32+$E$32)</f>
        <v>1</v>
      </c>
      <c r="D33" s="104">
        <f>D32/($C$32+$D$32+$E$32)</f>
        <v>0</v>
      </c>
      <c r="E33" s="105">
        <f>E32/($C$32+$D$32+$E$32)</f>
        <v>0</v>
      </c>
      <c r="F33" s="106"/>
      <c r="G33" s="173"/>
      <c r="H33" s="174"/>
      <c r="I33" s="175"/>
      <c r="J33" s="121"/>
      <c r="K33" s="122"/>
      <c r="L33" s="211"/>
      <c r="M33" s="119"/>
    </row>
    <row r="34" spans="1:14" ht="13.8" thickBot="1">
      <c r="A34" s="795" t="s">
        <v>68</v>
      </c>
      <c r="B34" s="796"/>
      <c r="C34" s="107">
        <f>C14+C23+C32</f>
        <v>53864</v>
      </c>
      <c r="D34" s="107">
        <f>D14+D23+D32</f>
        <v>0</v>
      </c>
      <c r="E34" s="107">
        <f>E14+E23+E32</f>
        <v>0</v>
      </c>
      <c r="F34" s="108">
        <f>F14+F23+F32</f>
        <v>36</v>
      </c>
      <c r="H34" s="176"/>
      <c r="I34" s="176"/>
      <c r="J34" s="123" t="s">
        <v>28</v>
      </c>
      <c r="K34" s="124">
        <f>SUM(K7:K32)</f>
        <v>53864</v>
      </c>
      <c r="L34" s="210">
        <f>SUM(L7:L32)</f>
        <v>0</v>
      </c>
      <c r="M34" s="120">
        <f>SUM(M7:M32)</f>
        <v>1281857</v>
      </c>
      <c r="N34" s="155"/>
    </row>
    <row r="35" spans="1:14" ht="13.8" thickBot="1">
      <c r="A35" s="177"/>
      <c r="B35" s="178"/>
      <c r="C35" s="104">
        <f>C34/($C$34+$D$34+$E$34)</f>
        <v>1</v>
      </c>
      <c r="D35" s="104">
        <f>D34/($C$34+$D$34+$E$34)</f>
        <v>0</v>
      </c>
      <c r="E35" s="109">
        <f>E34/($C$34+$D$34+$E$34)</f>
        <v>0</v>
      </c>
      <c r="H35" s="149" t="s">
        <v>0</v>
      </c>
      <c r="K35" s="155"/>
    </row>
    <row r="36" spans="1:14" ht="13.8" thickBot="1">
      <c r="A36" s="176"/>
      <c r="B36" s="176"/>
      <c r="C36" s="155"/>
      <c r="D36" s="155"/>
      <c r="E36" s="155"/>
      <c r="G36" s="155"/>
      <c r="H36" s="179"/>
      <c r="I36" s="162" t="s">
        <v>37</v>
      </c>
      <c r="J36" s="162" t="s">
        <v>38</v>
      </c>
      <c r="K36" s="180"/>
    </row>
    <row r="37" spans="1:14" ht="17.399999999999999" customHeight="1" thickBot="1">
      <c r="A37" s="797" t="s">
        <v>69</v>
      </c>
      <c r="B37" s="798"/>
      <c r="C37" s="162" t="s">
        <v>70</v>
      </c>
      <c r="D37" s="181" t="s">
        <v>71</v>
      </c>
      <c r="E37" s="182" t="s">
        <v>72</v>
      </c>
      <c r="F37" s="304"/>
      <c r="G37" s="306"/>
      <c r="H37" s="184" t="s">
        <v>73</v>
      </c>
      <c r="I37" s="239">
        <f>(13.5*1440)/1440*G42*2.7*1440/1000000</f>
        <v>54.010152000000005</v>
      </c>
      <c r="J37" s="125">
        <f>+I37+'24'!J37</f>
        <v>1344.7511083545617</v>
      </c>
      <c r="K37" s="126" t="s">
        <v>74</v>
      </c>
    </row>
    <row r="38" spans="1:14" ht="17.399999999999999" customHeight="1">
      <c r="A38" s="799" t="s">
        <v>12</v>
      </c>
      <c r="B38" s="800"/>
      <c r="C38" s="164">
        <f>SUMIF($G$7:$G$31,"Process",$F$7:$F$31)</f>
        <v>36</v>
      </c>
      <c r="D38" s="118">
        <f>C38+'24'!D38</f>
        <v>711</v>
      </c>
      <c r="E38" s="143">
        <f t="shared" ref="E38:E52" si="4">D38/60</f>
        <v>11.85</v>
      </c>
      <c r="F38" s="304">
        <v>1225</v>
      </c>
      <c r="G38" s="304">
        <v>1029</v>
      </c>
      <c r="H38" s="185" t="s">
        <v>75</v>
      </c>
      <c r="I38" s="240">
        <f>16.517+16.829+16.517</f>
        <v>49.863</v>
      </c>
      <c r="J38" s="127">
        <f>+I38+'24'!J38</f>
        <v>1294.8970000000002</v>
      </c>
      <c r="K38" s="128" t="s">
        <v>74</v>
      </c>
    </row>
    <row r="39" spans="1:14" ht="17.399999999999999" customHeight="1">
      <c r="A39" s="786" t="s">
        <v>13</v>
      </c>
      <c r="B39" s="787"/>
      <c r="C39" s="164">
        <f>SUMIF($G$7:$G$31,"Cleaning",$F$7:$F$31)</f>
        <v>0</v>
      </c>
      <c r="D39" s="118">
        <f>C39+'24'!D39</f>
        <v>0</v>
      </c>
      <c r="E39" s="143">
        <f t="shared" si="4"/>
        <v>0</v>
      </c>
      <c r="F39" s="304">
        <v>1225</v>
      </c>
      <c r="G39" s="304">
        <v>1029</v>
      </c>
      <c r="H39" s="185" t="s">
        <v>76</v>
      </c>
      <c r="I39" s="142"/>
      <c r="J39" s="129">
        <f>J37/G4</f>
        <v>53.790044334182468</v>
      </c>
      <c r="K39" s="130" t="s">
        <v>74</v>
      </c>
    </row>
    <row r="40" spans="1:14" ht="17.399999999999999" customHeight="1">
      <c r="A40" s="786" t="s">
        <v>77</v>
      </c>
      <c r="B40" s="787"/>
      <c r="C40" s="164">
        <f>SUMIF($G$7:$G$31,"Mechanical",$F$7:$F$31)</f>
        <v>0</v>
      </c>
      <c r="D40" s="118">
        <f>C40+'24'!D40</f>
        <v>0</v>
      </c>
      <c r="E40" s="143">
        <f t="shared" si="4"/>
        <v>0</v>
      </c>
      <c r="F40" s="304">
        <v>1225</v>
      </c>
      <c r="G40" s="304">
        <v>1029</v>
      </c>
      <c r="H40" s="185" t="s">
        <v>78</v>
      </c>
      <c r="I40" s="118">
        <f>(K34+L34)/1000</f>
        <v>53.863999999999997</v>
      </c>
      <c r="J40" s="131">
        <f>+I40+'24'!J40</f>
        <v>1281.857</v>
      </c>
      <c r="K40" s="130" t="s">
        <v>74</v>
      </c>
    </row>
    <row r="41" spans="1:14" ht="17.399999999999999" customHeight="1">
      <c r="A41" s="786" t="s">
        <v>79</v>
      </c>
      <c r="B41" s="787"/>
      <c r="C41" s="164">
        <f>SUMIF($G$7:$G$31,"Electrical",$F$7:$F$31)</f>
        <v>0</v>
      </c>
      <c r="D41" s="118">
        <f>C41+'24'!D41</f>
        <v>0</v>
      </c>
      <c r="E41" s="143">
        <f t="shared" si="4"/>
        <v>0</v>
      </c>
      <c r="F41" s="304"/>
      <c r="G41" s="304"/>
      <c r="H41" s="185" t="s">
        <v>80</v>
      </c>
      <c r="I41" s="142"/>
      <c r="J41" s="129">
        <f>J40/G4</f>
        <v>51.274279999999997</v>
      </c>
      <c r="K41" s="130" t="s">
        <v>74</v>
      </c>
    </row>
    <row r="42" spans="1:14" ht="17.399999999999999" customHeight="1">
      <c r="A42" s="786" t="s">
        <v>16</v>
      </c>
      <c r="B42" s="787"/>
      <c r="C42" s="164">
        <f>SUMIF($G$7:$G$31,"Instrument",$F$7:$F$31)</f>
        <v>0</v>
      </c>
      <c r="D42" s="118">
        <f>C42+'24'!D42</f>
        <v>0</v>
      </c>
      <c r="E42" s="143">
        <f t="shared" si="4"/>
        <v>0</v>
      </c>
      <c r="F42" s="183">
        <f>+(F38*480+F39*480+F40*480)/1440</f>
        <v>1225</v>
      </c>
      <c r="G42" s="183">
        <f>+(G38*480+G39*480+G40*480)/1440</f>
        <v>1029</v>
      </c>
      <c r="H42" s="185" t="s">
        <v>81</v>
      </c>
      <c r="I42" s="241" t="s">
        <v>585</v>
      </c>
      <c r="J42" s="132"/>
      <c r="K42" s="130" t="s">
        <v>82</v>
      </c>
    </row>
    <row r="43" spans="1:14" ht="17.399999999999999" customHeight="1">
      <c r="A43" s="786" t="s">
        <v>83</v>
      </c>
      <c r="B43" s="787"/>
      <c r="C43" s="164">
        <f>SUMIF($G$7:$G$31,"Water",$F$7:$F$31)</f>
        <v>0</v>
      </c>
      <c r="D43" s="118">
        <f>C43+'24'!D43</f>
        <v>0</v>
      </c>
      <c r="E43" s="143">
        <f t="shared" si="4"/>
        <v>0</v>
      </c>
      <c r="F43" s="304"/>
      <c r="G43" s="305"/>
      <c r="H43" s="186" t="s">
        <v>84</v>
      </c>
      <c r="I43" s="118">
        <f>+Report1!Z33</f>
        <v>93.5</v>
      </c>
      <c r="J43" s="133">
        <f>+I43+'24'!J43</f>
        <v>2397.52</v>
      </c>
      <c r="K43" s="130" t="s">
        <v>74</v>
      </c>
      <c r="L43" s="187"/>
    </row>
    <row r="44" spans="1:14" ht="17.399999999999999" customHeight="1">
      <c r="A44" s="786" t="s">
        <v>17</v>
      </c>
      <c r="B44" s="787"/>
      <c r="C44" s="164">
        <f>SUMIF($G$7:$G$31,"PLN",$F$7:$F$31)</f>
        <v>0</v>
      </c>
      <c r="D44" s="118">
        <f>C44+'24'!D44</f>
        <v>0</v>
      </c>
      <c r="E44" s="143">
        <f t="shared" si="4"/>
        <v>0</v>
      </c>
      <c r="F44" s="304"/>
      <c r="G44" s="305"/>
      <c r="H44" s="186" t="s">
        <v>85</v>
      </c>
      <c r="I44" s="118">
        <f>I43/I38</f>
        <v>1.8751378777851313</v>
      </c>
      <c r="J44" s="134">
        <f>J43/J38</f>
        <v>1.8515140586471355</v>
      </c>
      <c r="K44" s="130" t="s">
        <v>74</v>
      </c>
    </row>
    <row r="45" spans="1:14" ht="17.399999999999999" customHeight="1">
      <c r="A45" s="786" t="s">
        <v>18</v>
      </c>
      <c r="B45" s="787"/>
      <c r="C45" s="164">
        <f>SUMIF($G$7:$G$31,"Boiler",$F$7:$F$31)</f>
        <v>0</v>
      </c>
      <c r="D45" s="118">
        <f>C45+'24'!D45</f>
        <v>0</v>
      </c>
      <c r="E45" s="143">
        <f t="shared" si="4"/>
        <v>0</v>
      </c>
      <c r="F45" s="304"/>
      <c r="G45" s="307"/>
      <c r="H45" s="186" t="s">
        <v>86</v>
      </c>
      <c r="I45" s="118">
        <f>I43/I40</f>
        <v>1.7358532600623795</v>
      </c>
      <c r="J45" s="134">
        <f>J43/J40</f>
        <v>1.8703490326924141</v>
      </c>
      <c r="K45" s="130" t="s">
        <v>74</v>
      </c>
    </row>
    <row r="46" spans="1:14" ht="17.399999999999999" customHeight="1">
      <c r="A46" s="786" t="s">
        <v>87</v>
      </c>
      <c r="B46" s="787"/>
      <c r="C46" s="164">
        <f>SUMIF($G$7:$G$31,"Gas",$F$7:$F$31)</f>
        <v>0</v>
      </c>
      <c r="D46" s="118">
        <f>C46+'24'!D46</f>
        <v>0</v>
      </c>
      <c r="E46" s="143">
        <f t="shared" si="4"/>
        <v>0</v>
      </c>
      <c r="F46" s="304"/>
      <c r="G46" s="305"/>
      <c r="H46" s="186" t="s">
        <v>88</v>
      </c>
      <c r="I46" s="140">
        <f>+SUMIF(Listrik!X32,"&gt;0")</f>
        <v>37579.775184333979</v>
      </c>
      <c r="J46" s="135">
        <f>+I46+'24'!J46</f>
        <v>962123.17388152739</v>
      </c>
      <c r="K46" s="130" t="s">
        <v>89</v>
      </c>
    </row>
    <row r="47" spans="1:14" ht="17.399999999999999" customHeight="1">
      <c r="A47" s="786" t="s">
        <v>90</v>
      </c>
      <c r="B47" s="787"/>
      <c r="C47" s="164">
        <f>SUMIF($G$7:$G$31,"Gas",$F$7:$F$31)</f>
        <v>0</v>
      </c>
      <c r="D47" s="118">
        <f>C47+'24'!D47</f>
        <v>0</v>
      </c>
      <c r="E47" s="143">
        <f t="shared" si="4"/>
        <v>0</v>
      </c>
      <c r="F47" s="304"/>
      <c r="G47" s="305"/>
      <c r="H47" s="186" t="s">
        <v>91</v>
      </c>
      <c r="I47" s="118">
        <f>I46/I38</f>
        <v>753.66053354860276</v>
      </c>
      <c r="J47" s="135">
        <f>J46/J38</f>
        <v>743.01135447956653</v>
      </c>
      <c r="K47" s="130" t="s">
        <v>24</v>
      </c>
    </row>
    <row r="48" spans="1:14" ht="17.399999999999999" customHeight="1">
      <c r="A48" s="786" t="s">
        <v>14</v>
      </c>
      <c r="B48" s="787"/>
      <c r="C48" s="164">
        <f>SUMIF($G$7:$G$31,"Start Up",$F$7:$F$31)</f>
        <v>0</v>
      </c>
      <c r="D48" s="118">
        <f>C48+'24'!D48</f>
        <v>0</v>
      </c>
      <c r="E48" s="143">
        <f t="shared" si="4"/>
        <v>0</v>
      </c>
      <c r="F48" s="304"/>
      <c r="G48" s="305"/>
      <c r="H48" s="186" t="s">
        <v>92</v>
      </c>
      <c r="I48" s="118">
        <f>I46/I40</f>
        <v>697.67887985173741</v>
      </c>
      <c r="J48" s="135">
        <f>J46/J40</f>
        <v>750.56981697765616</v>
      </c>
      <c r="K48" s="130" t="s">
        <v>24</v>
      </c>
    </row>
    <row r="49" spans="1:11" ht="17.399999999999999" customHeight="1">
      <c r="A49" s="786" t="s">
        <v>20</v>
      </c>
      <c r="B49" s="787"/>
      <c r="C49" s="164">
        <f>SUMIF($G$7:$G$31,"Others",$F$7:$F$31)</f>
        <v>0</v>
      </c>
      <c r="D49" s="118">
        <f>C49+'24'!D49</f>
        <v>1072</v>
      </c>
      <c r="E49" s="143">
        <f t="shared" si="4"/>
        <v>17.866666666666667</v>
      </c>
      <c r="F49" s="183"/>
      <c r="H49" s="186" t="s">
        <v>269</v>
      </c>
      <c r="I49" s="118">
        <f>+Report1!T33</f>
        <v>3619.8030881799114</v>
      </c>
      <c r="J49" s="135">
        <f>+I49+'24'!J49</f>
        <v>92320.774611320347</v>
      </c>
      <c r="K49" s="130" t="s">
        <v>93</v>
      </c>
    </row>
    <row r="50" spans="1:11" ht="17.399999999999999" customHeight="1">
      <c r="A50" s="786" t="s">
        <v>19</v>
      </c>
      <c r="B50" s="787"/>
      <c r="C50" s="164">
        <f>SUMIF($G$7:$G$31,"Steam",$F$7:$F$31)</f>
        <v>0</v>
      </c>
      <c r="D50" s="118">
        <f>C50+'24'!D50</f>
        <v>0</v>
      </c>
      <c r="E50" s="143">
        <f t="shared" si="4"/>
        <v>0</v>
      </c>
      <c r="F50" s="183"/>
      <c r="H50" s="186" t="s">
        <v>94</v>
      </c>
      <c r="I50" s="140">
        <f>I49/I38</f>
        <v>72.594971986842182</v>
      </c>
      <c r="J50" s="133">
        <f>J49/J38</f>
        <v>71.295844079737876</v>
      </c>
      <c r="K50" s="130" t="s">
        <v>93</v>
      </c>
    </row>
    <row r="51" spans="1:11" ht="17.399999999999999" customHeight="1">
      <c r="A51" s="803" t="s">
        <v>95</v>
      </c>
      <c r="B51" s="803"/>
      <c r="C51" s="164">
        <f>SUMIF($G$7:$G$31,"Planned shut",$F$7:$F$31)</f>
        <v>0</v>
      </c>
      <c r="D51" s="118">
        <f>C51+'24'!D51</f>
        <v>0</v>
      </c>
      <c r="E51" s="143">
        <f t="shared" si="4"/>
        <v>0</v>
      </c>
      <c r="F51" s="183"/>
      <c r="H51" s="188" t="s">
        <v>96</v>
      </c>
      <c r="I51" s="141">
        <f>I49/I40</f>
        <v>67.202641619261684</v>
      </c>
      <c r="J51" s="136">
        <f>J49/J40</f>
        <v>72.021118277093578</v>
      </c>
      <c r="K51" s="137" t="s">
        <v>93</v>
      </c>
    </row>
    <row r="52" spans="1:11" ht="13.8" thickBot="1">
      <c r="A52" s="804" t="s">
        <v>218</v>
      </c>
      <c r="B52" s="805"/>
      <c r="C52" s="164">
        <f>SUMIF($G$7:$G$31,"Change Grade",$F$7:$F$31)</f>
        <v>0</v>
      </c>
      <c r="D52" s="118">
        <f>C52+'24'!D52</f>
        <v>0</v>
      </c>
      <c r="E52" s="143">
        <f t="shared" si="4"/>
        <v>0</v>
      </c>
      <c r="F52" s="183"/>
      <c r="H52" s="189"/>
      <c r="I52" s="190"/>
      <c r="J52" s="138"/>
      <c r="K52" s="139"/>
    </row>
    <row r="53" spans="1:11">
      <c r="A53" s="799" t="s">
        <v>28</v>
      </c>
      <c r="B53" s="800"/>
      <c r="C53" s="144">
        <f>SUM(C38:C52)</f>
        <v>36</v>
      </c>
      <c r="D53" s="144">
        <f>SUM(D38:D52)</f>
        <v>1783</v>
      </c>
      <c r="E53" s="145">
        <f>SUM(E38:E52)</f>
        <v>29.716666666666669</v>
      </c>
      <c r="F53" s="183"/>
    </row>
    <row r="54" spans="1:11" ht="13.8" thickBot="1">
      <c r="A54" s="801"/>
      <c r="B54" s="802"/>
      <c r="C54" s="146">
        <f>C53/(24*60)</f>
        <v>2.5000000000000001E-2</v>
      </c>
      <c r="D54" s="146">
        <f>D53/(24*60*G4)</f>
        <v>4.9527777777777775E-2</v>
      </c>
      <c r="E54" s="147">
        <f>E53/(G4*24)</f>
        <v>4.9527777777777782E-2</v>
      </c>
      <c r="F54" s="183"/>
    </row>
    <row r="55" spans="1:11">
      <c r="E55" s="191"/>
    </row>
    <row r="56" spans="1:11">
      <c r="A56" s="192" t="s">
        <v>97</v>
      </c>
      <c r="B56" s="193"/>
      <c r="C56" s="194"/>
      <c r="D56" s="194"/>
      <c r="E56" s="194"/>
      <c r="F56" s="195"/>
      <c r="G56" s="194"/>
      <c r="H56" s="196"/>
      <c r="I56" s="197" t="s">
        <v>98</v>
      </c>
      <c r="J56" s="198">
        <f>+D34+'24'!J56</f>
        <v>2210</v>
      </c>
      <c r="K56" s="199">
        <f>J56/(J40+J56/1000)/1000</f>
        <v>1.7210939927589449E-3</v>
      </c>
    </row>
    <row r="57" spans="1:11">
      <c r="A57" s="174"/>
      <c r="I57" s="197" t="s">
        <v>99</v>
      </c>
      <c r="J57" s="198">
        <f>+E34+'24'!J57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1"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S61"/>
  <sheetViews>
    <sheetView view="pageBreakPreview" zoomScale="80" zoomScaleNormal="80" zoomScaleSheetLayoutView="80" workbookViewId="0">
      <selection activeCell="A7" sqref="A7:A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3.5546875" style="149" customWidth="1"/>
    <col min="14" max="16384" width="9.109375" style="149"/>
  </cols>
  <sheetData>
    <row r="1" spans="1:19" ht="15.6">
      <c r="A1" s="148"/>
    </row>
    <row r="2" spans="1:19" ht="15.6">
      <c r="A2" s="148" t="s">
        <v>219</v>
      </c>
    </row>
    <row r="3" spans="1:19" ht="15">
      <c r="A3" s="150"/>
    </row>
    <row r="4" spans="1:19" ht="21">
      <c r="A4" s="151" t="s">
        <v>4</v>
      </c>
      <c r="B4" s="152"/>
      <c r="F4" s="153" t="s">
        <v>29</v>
      </c>
      <c r="G4" s="154">
        <v>24</v>
      </c>
      <c r="H4" s="154" t="str">
        <f>+'1'!H4</f>
        <v>.03.26</v>
      </c>
      <c r="J4" s="149">
        <f>769+301+380</f>
        <v>1450</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584</v>
      </c>
      <c r="O6" s="149">
        <v>1225</v>
      </c>
      <c r="P6" s="149">
        <f>+O6-(O6*0.16)</f>
        <v>1029</v>
      </c>
      <c r="Q6" s="149">
        <v>480</v>
      </c>
      <c r="R6" s="149">
        <f t="shared" ref="R6" si="0">+O6*Q6</f>
        <v>588000</v>
      </c>
      <c r="S6" s="149">
        <f t="shared" ref="S6" si="1">+P6*Q6</f>
        <v>493920</v>
      </c>
    </row>
    <row r="7" spans="1:19" ht="13.8" thickBot="1">
      <c r="A7" s="788" t="s">
        <v>458</v>
      </c>
      <c r="B7" s="213" t="s">
        <v>592</v>
      </c>
      <c r="C7" s="214">
        <v>14606</v>
      </c>
      <c r="D7" s="215"/>
      <c r="E7" s="216"/>
      <c r="F7" s="231"/>
      <c r="G7" s="553" t="s">
        <v>12</v>
      </c>
      <c r="H7" s="554" t="s">
        <v>417</v>
      </c>
      <c r="I7" s="791" t="s">
        <v>585</v>
      </c>
      <c r="J7" s="212" t="str">
        <f>+'23'!J7</f>
        <v>T 15 RC HW</v>
      </c>
      <c r="K7" s="233"/>
      <c r="L7" s="237"/>
      <c r="M7" s="117">
        <f>+K7+'23'!M7+L7</f>
        <v>444860</v>
      </c>
    </row>
    <row r="8" spans="1:19" ht="13.8" thickBot="1">
      <c r="A8" s="789"/>
      <c r="B8" s="213"/>
      <c r="C8" s="214"/>
      <c r="D8" s="215"/>
      <c r="E8" s="217"/>
      <c r="F8" s="227"/>
      <c r="G8" s="555" t="s">
        <v>12</v>
      </c>
      <c r="H8" s="226" t="s">
        <v>419</v>
      </c>
      <c r="I8" s="792"/>
      <c r="J8" s="212" t="str">
        <f>+'23'!J8</f>
        <v>T 14,5 RC HW</v>
      </c>
      <c r="K8" s="234"/>
      <c r="L8" s="234"/>
      <c r="M8" s="117">
        <f>+K8+'23'!M8+L8</f>
        <v>206120</v>
      </c>
    </row>
    <row r="9" spans="1:19" ht="13.8" thickBot="1">
      <c r="A9" s="789"/>
      <c r="B9" s="213"/>
      <c r="C9" s="214"/>
      <c r="D9" s="215"/>
      <c r="E9" s="218"/>
      <c r="F9" s="227">
        <v>8</v>
      </c>
      <c r="G9" s="555" t="s">
        <v>12</v>
      </c>
      <c r="H9" s="229" t="s">
        <v>418</v>
      </c>
      <c r="I9" s="792"/>
      <c r="J9" s="212" t="str">
        <f>+'23'!J9</f>
        <v>T 14 RC HW</v>
      </c>
      <c r="K9" s="234"/>
      <c r="L9" s="234"/>
      <c r="M9" s="117">
        <f>+K9+'23'!M9+L9</f>
        <v>49646</v>
      </c>
    </row>
    <row r="10" spans="1:19" ht="66.599999999999994" thickBot="1">
      <c r="A10" s="789"/>
      <c r="B10" s="213"/>
      <c r="C10" s="214"/>
      <c r="D10" s="215"/>
      <c r="E10" s="217"/>
      <c r="F10" s="227"/>
      <c r="G10" s="225"/>
      <c r="H10" s="556" t="s">
        <v>690</v>
      </c>
      <c r="I10" s="792"/>
      <c r="J10" s="212" t="str">
        <f>+'23'!J10</f>
        <v>T 13,5 RC HW</v>
      </c>
      <c r="K10" s="234">
        <f>+C34</f>
        <v>50433</v>
      </c>
      <c r="L10" s="234"/>
      <c r="M10" s="117">
        <f>+K10+'23'!M10+L10</f>
        <v>264421</v>
      </c>
    </row>
    <row r="11" spans="1:19" ht="45.75" customHeight="1" thickBot="1">
      <c r="A11" s="789"/>
      <c r="B11" s="213"/>
      <c r="C11" s="214"/>
      <c r="D11" s="215"/>
      <c r="E11" s="217"/>
      <c r="F11" s="224"/>
      <c r="G11" s="228"/>
      <c r="H11" s="229" t="s">
        <v>691</v>
      </c>
      <c r="I11" s="792"/>
      <c r="J11" s="212" t="str">
        <f>+'23'!J11</f>
        <v>TW 22 RC HW</v>
      </c>
      <c r="K11" s="234"/>
      <c r="L11" s="234"/>
      <c r="M11" s="117">
        <f>+K11+'23'!M11+L11</f>
        <v>262946</v>
      </c>
    </row>
    <row r="12" spans="1:19" ht="13.8" thickBot="1">
      <c r="A12" s="789"/>
      <c r="B12" s="213"/>
      <c r="C12" s="214"/>
      <c r="D12" s="215"/>
      <c r="E12" s="217"/>
      <c r="F12" s="224"/>
      <c r="G12" s="228"/>
      <c r="H12" s="229"/>
      <c r="I12" s="792"/>
      <c r="J12" s="212">
        <f>+'23'!J12</f>
        <v>0</v>
      </c>
      <c r="K12" s="234"/>
      <c r="L12" s="234"/>
      <c r="M12" s="117">
        <f>+K12+'23'!M12+L12</f>
        <v>0</v>
      </c>
    </row>
    <row r="13" spans="1:19" ht="13.8" thickBot="1">
      <c r="A13" s="789"/>
      <c r="B13" s="213"/>
      <c r="C13" s="214"/>
      <c r="D13" s="214"/>
      <c r="E13" s="217"/>
      <c r="F13" s="224"/>
      <c r="G13" s="228"/>
      <c r="H13" s="229"/>
      <c r="I13" s="793"/>
      <c r="J13" s="212">
        <f>+'23'!J13</f>
        <v>0</v>
      </c>
      <c r="K13" s="234"/>
      <c r="L13" s="234"/>
      <c r="M13" s="117">
        <f>+K13+'23'!M13+L13</f>
        <v>0</v>
      </c>
      <c r="Q13" s="174">
        <f>SUM(Q6:Q12)</f>
        <v>480</v>
      </c>
      <c r="R13" s="174">
        <f>SUM(R6:R12)</f>
        <v>588000</v>
      </c>
      <c r="S13" s="174">
        <f>SUM(S6:S12)</f>
        <v>493920</v>
      </c>
    </row>
    <row r="14" spans="1:19" ht="13.8" thickBot="1">
      <c r="A14" s="790"/>
      <c r="B14" s="165" t="s">
        <v>3</v>
      </c>
      <c r="C14" s="99">
        <f>SUM(C7:C13)</f>
        <v>14606</v>
      </c>
      <c r="D14" s="111">
        <f>SUM(D7:D13)</f>
        <v>0</v>
      </c>
      <c r="E14" s="112">
        <f>SUM(E5:E13)</f>
        <v>0</v>
      </c>
      <c r="F14" s="116">
        <f>SUM(F7:F13)</f>
        <v>8</v>
      </c>
      <c r="G14" s="159"/>
      <c r="H14" s="166"/>
      <c r="I14" s="167"/>
      <c r="J14" s="212">
        <f>+'23'!J14</f>
        <v>0</v>
      </c>
      <c r="K14" s="234"/>
      <c r="L14" s="234"/>
      <c r="M14" s="117">
        <f>+K14+'23'!M14+L14</f>
        <v>0</v>
      </c>
      <c r="Q14" s="149">
        <f>480-Q13</f>
        <v>0</v>
      </c>
      <c r="R14" s="174">
        <f>+R13/Q13</f>
        <v>1225</v>
      </c>
      <c r="S14" s="174">
        <f>+S13/Q13</f>
        <v>1029</v>
      </c>
    </row>
    <row r="15" spans="1:19" ht="13.8" thickBot="1">
      <c r="A15" s="794" t="s">
        <v>429</v>
      </c>
      <c r="B15" s="513"/>
      <c r="C15" s="113">
        <f>C14/($C$23+$D$23+$E$23)</f>
        <v>1.0023332418336537</v>
      </c>
      <c r="D15" s="114">
        <f>D14/($C$23+$D$23+$E$23)</f>
        <v>0</v>
      </c>
      <c r="E15" s="115">
        <f>E14/($C$23+$D$23+$E$23)</f>
        <v>0</v>
      </c>
      <c r="F15" s="231">
        <v>4</v>
      </c>
      <c r="G15" s="553" t="s">
        <v>12</v>
      </c>
      <c r="H15" s="554" t="s">
        <v>445</v>
      </c>
      <c r="I15" s="791" t="s">
        <v>585</v>
      </c>
      <c r="J15" s="212">
        <f>+'23'!J15</f>
        <v>0</v>
      </c>
      <c r="K15" s="234"/>
      <c r="L15" s="234"/>
      <c r="M15" s="117">
        <f>+K15+'23'!M15+L15</f>
        <v>0</v>
      </c>
    </row>
    <row r="16" spans="1:19" ht="13.8" thickBot="1">
      <c r="A16" s="789"/>
      <c r="B16" s="512" t="s">
        <v>592</v>
      </c>
      <c r="C16" s="511">
        <v>14572</v>
      </c>
      <c r="D16" s="219"/>
      <c r="E16" s="220"/>
      <c r="F16" s="227"/>
      <c r="G16" s="555" t="s">
        <v>12</v>
      </c>
      <c r="H16" s="226" t="s">
        <v>419</v>
      </c>
      <c r="I16" s="792"/>
      <c r="J16" s="212">
        <f>+'23'!J16</f>
        <v>0</v>
      </c>
      <c r="K16" s="225"/>
      <c r="L16" s="225"/>
      <c r="M16" s="117">
        <f>+K16+'23'!M16+L16</f>
        <v>0</v>
      </c>
      <c r="N16" s="149" t="s">
        <v>584</v>
      </c>
      <c r="O16" s="149">
        <v>1225</v>
      </c>
      <c r="P16" s="149">
        <f>+O16-(O16*0.16)</f>
        <v>1029</v>
      </c>
      <c r="Q16" s="149">
        <v>480</v>
      </c>
      <c r="R16" s="149">
        <f t="shared" ref="R16" si="2">+O16*Q16</f>
        <v>588000</v>
      </c>
      <c r="S16" s="149">
        <f t="shared" ref="S16" si="3">+P16*Q16</f>
        <v>493920</v>
      </c>
    </row>
    <row r="17" spans="1:19" ht="13.8" thickBot="1">
      <c r="A17" s="789"/>
      <c r="B17" s="213"/>
      <c r="C17" s="214"/>
      <c r="D17" s="215"/>
      <c r="E17" s="221"/>
      <c r="F17" s="227">
        <v>6</v>
      </c>
      <c r="G17" s="555" t="s">
        <v>12</v>
      </c>
      <c r="H17" s="229" t="s">
        <v>418</v>
      </c>
      <c r="I17" s="792"/>
      <c r="J17" s="212">
        <f>+'23'!J17</f>
        <v>0</v>
      </c>
      <c r="K17" s="225"/>
      <c r="L17" s="225"/>
      <c r="M17" s="117">
        <f>+K17+'23'!M17+L17</f>
        <v>0</v>
      </c>
    </row>
    <row r="18" spans="1:19" ht="53.4" thickBot="1">
      <c r="A18" s="789"/>
      <c r="B18" s="213"/>
      <c r="C18" s="214"/>
      <c r="D18" s="215"/>
      <c r="E18" s="221"/>
      <c r="F18" s="227"/>
      <c r="G18" s="225"/>
      <c r="H18" s="556" t="s">
        <v>692</v>
      </c>
      <c r="I18" s="792"/>
      <c r="J18" s="212">
        <f>+'23'!J18</f>
        <v>0</v>
      </c>
      <c r="K18" s="234"/>
      <c r="L18" s="234"/>
      <c r="M18" s="117">
        <f>+K18+'23'!M18+L18</f>
        <v>0</v>
      </c>
    </row>
    <row r="19" spans="1:19" ht="27" thickBot="1">
      <c r="A19" s="789"/>
      <c r="B19" s="213"/>
      <c r="C19" s="214"/>
      <c r="D19" s="215"/>
      <c r="E19" s="221"/>
      <c r="F19" s="230"/>
      <c r="G19" s="228"/>
      <c r="H19" s="229" t="s">
        <v>693</v>
      </c>
      <c r="I19" s="792"/>
      <c r="J19" s="212">
        <f>+'23'!J19</f>
        <v>0</v>
      </c>
      <c r="K19" s="234"/>
      <c r="L19" s="234"/>
      <c r="M19" s="117">
        <f>+K19+'23'!M19+L19</f>
        <v>0</v>
      </c>
    </row>
    <row r="20" spans="1:19" ht="13.8" thickBot="1">
      <c r="A20" s="789"/>
      <c r="B20" s="213"/>
      <c r="C20" s="214"/>
      <c r="D20" s="215"/>
      <c r="E20" s="221"/>
      <c r="F20" s="224"/>
      <c r="G20" s="228"/>
      <c r="H20" s="229"/>
      <c r="I20" s="792"/>
      <c r="J20" s="212">
        <f>+'23'!J20</f>
        <v>0</v>
      </c>
      <c r="K20" s="235"/>
      <c r="L20" s="235"/>
      <c r="M20" s="117">
        <f>+K20+'23'!M20+L20</f>
        <v>0</v>
      </c>
    </row>
    <row r="21" spans="1:19" ht="13.8" thickBot="1">
      <c r="A21" s="789"/>
      <c r="B21" s="213"/>
      <c r="C21" s="214"/>
      <c r="D21" s="215"/>
      <c r="E21" s="221"/>
      <c r="F21" s="227"/>
      <c r="G21" s="228"/>
      <c r="H21" s="229"/>
      <c r="I21" s="792"/>
      <c r="J21" s="212">
        <f>+'23'!J21</f>
        <v>0</v>
      </c>
      <c r="K21" s="234"/>
      <c r="L21" s="234"/>
      <c r="M21" s="117">
        <f>+K21+'23'!M21+L21</f>
        <v>0</v>
      </c>
    </row>
    <row r="22" spans="1:19" ht="13.8" thickBot="1">
      <c r="A22" s="789"/>
      <c r="B22" s="213"/>
      <c r="C22" s="214"/>
      <c r="D22" s="215"/>
      <c r="E22" s="221"/>
      <c r="F22" s="231"/>
      <c r="G22" s="228"/>
      <c r="H22" s="229"/>
      <c r="I22" s="793"/>
      <c r="J22" s="212">
        <f>+'23'!J22</f>
        <v>0</v>
      </c>
      <c r="K22" s="234"/>
      <c r="L22" s="234"/>
      <c r="M22" s="117">
        <f>+K22+'23'!M22+L22</f>
        <v>0</v>
      </c>
    </row>
    <row r="23" spans="1:19" ht="13.8" thickBot="1">
      <c r="A23" s="790"/>
      <c r="B23" s="165" t="s">
        <v>3</v>
      </c>
      <c r="C23" s="99">
        <f>SUM(C16:C22)</f>
        <v>14572</v>
      </c>
      <c r="D23" s="111">
        <f>SUM(D16:D22)</f>
        <v>0</v>
      </c>
      <c r="E23" s="112">
        <f>SUM(E18:E22)</f>
        <v>0</v>
      </c>
      <c r="F23" s="116">
        <f>SUM(F15:F22)</f>
        <v>10</v>
      </c>
      <c r="G23" s="159"/>
      <c r="H23" s="166"/>
      <c r="I23" s="168"/>
      <c r="J23" s="212">
        <f>+'23'!J23</f>
        <v>0</v>
      </c>
      <c r="K23" s="234"/>
      <c r="L23" s="234"/>
      <c r="M23" s="117">
        <f>+K23+'23'!M23+L23</f>
        <v>0</v>
      </c>
      <c r="Q23" s="174">
        <f>SUM(Q16:Q22)</f>
        <v>480</v>
      </c>
      <c r="R23" s="174">
        <f>SUM(R16:R22)</f>
        <v>588000</v>
      </c>
      <c r="S23" s="174">
        <f>SUM(S16:S22)</f>
        <v>493920</v>
      </c>
    </row>
    <row r="24" spans="1:19" ht="13.8" thickBot="1">
      <c r="A24" s="794" t="s">
        <v>387</v>
      </c>
      <c r="B24" s="513"/>
      <c r="C24" s="113">
        <f>C23/($C$23+$D$23+$E$23)</f>
        <v>1</v>
      </c>
      <c r="D24" s="114">
        <f>D23/($C$23+$D$23+$E$23)</f>
        <v>0</v>
      </c>
      <c r="E24" s="115">
        <f>E23/($C$23+$D$23+$E$23)</f>
        <v>0</v>
      </c>
      <c r="F24" s="231">
        <v>4</v>
      </c>
      <c r="G24" s="553" t="s">
        <v>12</v>
      </c>
      <c r="H24" s="554" t="s">
        <v>445</v>
      </c>
      <c r="I24" s="791" t="s">
        <v>585</v>
      </c>
      <c r="J24" s="212">
        <f>+'23'!J24</f>
        <v>0</v>
      </c>
      <c r="K24" s="234"/>
      <c r="L24" s="234"/>
      <c r="M24" s="117">
        <f>+K24+'23'!M24+L24</f>
        <v>0</v>
      </c>
      <c r="Q24" s="149">
        <f>480-Q23</f>
        <v>0</v>
      </c>
      <c r="R24" s="174">
        <f>+R23/Q23</f>
        <v>1225</v>
      </c>
      <c r="S24" s="174">
        <f>+S23/Q23</f>
        <v>1029</v>
      </c>
    </row>
    <row r="25" spans="1:19" ht="13.8" thickBot="1">
      <c r="A25" s="789"/>
      <c r="B25" s="512" t="s">
        <v>592</v>
      </c>
      <c r="C25" s="222">
        <v>21255</v>
      </c>
      <c r="D25" s="215"/>
      <c r="E25" s="221"/>
      <c r="F25" s="227"/>
      <c r="G25" s="555" t="s">
        <v>12</v>
      </c>
      <c r="H25" s="226" t="s">
        <v>419</v>
      </c>
      <c r="I25" s="792"/>
      <c r="J25" s="212">
        <f>+'23'!J25</f>
        <v>0</v>
      </c>
      <c r="K25" s="234"/>
      <c r="L25" s="234"/>
      <c r="M25" s="117">
        <f>+K25+'23'!M25+L25</f>
        <v>0</v>
      </c>
    </row>
    <row r="26" spans="1:19" ht="13.8" thickBot="1">
      <c r="A26" s="789"/>
      <c r="B26" s="213"/>
      <c r="C26" s="222"/>
      <c r="D26" s="215"/>
      <c r="E26" s="223"/>
      <c r="F26" s="227">
        <v>8</v>
      </c>
      <c r="G26" s="555" t="s">
        <v>12</v>
      </c>
      <c r="H26" s="229" t="s">
        <v>418</v>
      </c>
      <c r="I26" s="792"/>
      <c r="J26" s="212">
        <f>+'23'!J26</f>
        <v>0</v>
      </c>
      <c r="K26" s="234"/>
      <c r="L26" s="234"/>
      <c r="M26" s="117">
        <f>+K26+'23'!M26+L26</f>
        <v>0</v>
      </c>
    </row>
    <row r="27" spans="1:19" ht="79.8" thickBot="1">
      <c r="A27" s="789"/>
      <c r="B27" s="213"/>
      <c r="C27" s="214"/>
      <c r="D27" s="215"/>
      <c r="E27" s="221"/>
      <c r="F27" s="227"/>
      <c r="G27" s="225"/>
      <c r="H27" s="556" t="s">
        <v>694</v>
      </c>
      <c r="I27" s="792"/>
      <c r="J27" s="212">
        <f>+'23'!J27</f>
        <v>0</v>
      </c>
      <c r="K27" s="234"/>
      <c r="L27" s="234"/>
      <c r="M27" s="117">
        <f>+K27+'23'!M27+L27</f>
        <v>0</v>
      </c>
      <c r="N27" s="149" t="s">
        <v>584</v>
      </c>
      <c r="O27" s="149">
        <v>1225</v>
      </c>
      <c r="P27" s="149">
        <f>+O27-(O27*0.16)</f>
        <v>1029</v>
      </c>
      <c r="Q27" s="149">
        <v>480</v>
      </c>
      <c r="R27" s="149">
        <f t="shared" ref="R27" si="4">+O27*Q27</f>
        <v>588000</v>
      </c>
      <c r="S27" s="149">
        <f t="shared" ref="S27" si="5">+P27*Q27</f>
        <v>493920</v>
      </c>
    </row>
    <row r="28" spans="1:19" ht="27" thickBot="1">
      <c r="A28" s="789"/>
      <c r="B28" s="213"/>
      <c r="C28" s="214"/>
      <c r="D28" s="215"/>
      <c r="E28" s="221"/>
      <c r="F28" s="227"/>
      <c r="G28" s="225"/>
      <c r="H28" s="229" t="s">
        <v>695</v>
      </c>
      <c r="I28" s="792"/>
      <c r="J28" s="212">
        <f>+'23'!J28</f>
        <v>0</v>
      </c>
      <c r="K28" s="234"/>
      <c r="L28" s="234"/>
      <c r="M28" s="117">
        <f>+K28+'23'!M28+L28</f>
        <v>0</v>
      </c>
    </row>
    <row r="29" spans="1:19" ht="13.8" thickBot="1">
      <c r="A29" s="789"/>
      <c r="B29" s="213"/>
      <c r="C29" s="214"/>
      <c r="D29" s="215"/>
      <c r="E29" s="221"/>
      <c r="F29" s="231"/>
      <c r="G29" s="228"/>
      <c r="H29" s="229"/>
      <c r="I29" s="792"/>
      <c r="J29" s="212">
        <f>+'23'!J29</f>
        <v>0</v>
      </c>
      <c r="K29" s="234"/>
      <c r="L29" s="234"/>
      <c r="M29" s="117">
        <f>+K29+'23'!M29+L29</f>
        <v>0</v>
      </c>
    </row>
    <row r="30" spans="1:19" ht="13.8" thickBot="1">
      <c r="A30" s="789"/>
      <c r="B30" s="213"/>
      <c r="C30" s="222"/>
      <c r="D30" s="215"/>
      <c r="E30" s="221"/>
      <c r="F30" s="231"/>
      <c r="G30" s="228"/>
      <c r="H30" s="229"/>
      <c r="I30" s="792"/>
      <c r="J30" s="212">
        <f>+'23'!J30</f>
        <v>0</v>
      </c>
      <c r="K30" s="234"/>
      <c r="L30" s="234"/>
      <c r="M30" s="117">
        <f>+K30+'23'!M30+L30</f>
        <v>0</v>
      </c>
    </row>
    <row r="31" spans="1:19" ht="13.8" thickBot="1">
      <c r="A31" s="789"/>
      <c r="B31" s="213"/>
      <c r="C31" s="222"/>
      <c r="D31" s="215"/>
      <c r="E31" s="221"/>
      <c r="F31" s="231"/>
      <c r="G31" s="232"/>
      <c r="H31" s="404"/>
      <c r="I31" s="793"/>
      <c r="J31" s="212">
        <f>+'23'!J31</f>
        <v>0</v>
      </c>
      <c r="K31" s="234"/>
      <c r="L31" s="234"/>
      <c r="M31" s="117">
        <f>+K31+'23'!M31+L31</f>
        <v>0</v>
      </c>
    </row>
    <row r="32" spans="1:19" ht="13.8" thickBot="1">
      <c r="A32" s="790"/>
      <c r="B32" s="165" t="s">
        <v>3</v>
      </c>
      <c r="C32" s="99">
        <f>SUM(C25:C31)</f>
        <v>21255</v>
      </c>
      <c r="D32" s="100">
        <f>SUM(D25:D31)</f>
        <v>0</v>
      </c>
      <c r="E32" s="101">
        <f>SUM(E25:E31)</f>
        <v>0</v>
      </c>
      <c r="F32" s="99">
        <f>SUM(F24:F31)</f>
        <v>12</v>
      </c>
      <c r="G32" s="169"/>
      <c r="H32" s="170"/>
      <c r="I32" s="168"/>
      <c r="J32" s="212">
        <f>+'23'!J32</f>
        <v>0</v>
      </c>
      <c r="K32" s="236"/>
      <c r="L32" s="238"/>
      <c r="M32" s="117">
        <f>+K32+'23'!M32+L32</f>
        <v>0</v>
      </c>
    </row>
    <row r="33" spans="1:19" ht="13.8" thickBot="1">
      <c r="A33" s="171"/>
      <c r="B33" s="172"/>
      <c r="C33" s="103">
        <f>C32/($C$32+$D$32+$E$32)</f>
        <v>1</v>
      </c>
      <c r="D33" s="104">
        <f>D32/($C$32+$D$32+$E$32)</f>
        <v>0</v>
      </c>
      <c r="E33" s="105">
        <f>E32/($C$32+$D$32+$E$32)</f>
        <v>0</v>
      </c>
      <c r="F33" s="106"/>
      <c r="G33" s="173"/>
      <c r="H33" s="174"/>
      <c r="I33" s="175"/>
      <c r="J33" s="121"/>
      <c r="K33" s="122"/>
      <c r="L33" s="211"/>
      <c r="M33" s="119"/>
    </row>
    <row r="34" spans="1:19" ht="13.8" thickBot="1">
      <c r="A34" s="795" t="s">
        <v>68</v>
      </c>
      <c r="B34" s="796"/>
      <c r="C34" s="107">
        <f>C14+C23+C32</f>
        <v>50433</v>
      </c>
      <c r="D34" s="107">
        <f>D14+D23+D32</f>
        <v>0</v>
      </c>
      <c r="E34" s="107">
        <f>E14+E23+E32</f>
        <v>0</v>
      </c>
      <c r="F34" s="108">
        <f>F14+F23+F32</f>
        <v>30</v>
      </c>
      <c r="H34" s="176"/>
      <c r="I34" s="176"/>
      <c r="J34" s="123" t="s">
        <v>28</v>
      </c>
      <c r="K34" s="124">
        <f>SUM(K7:K32)</f>
        <v>50433</v>
      </c>
      <c r="L34" s="210">
        <f>SUM(L7:L32)</f>
        <v>0</v>
      </c>
      <c r="M34" s="120">
        <f>SUM(M7:M32)</f>
        <v>1227993</v>
      </c>
      <c r="Q34" s="174">
        <f>SUM(Q27:Q33)</f>
        <v>480</v>
      </c>
      <c r="R34" s="174">
        <f>SUM(R27:R33)</f>
        <v>588000</v>
      </c>
      <c r="S34" s="174">
        <f>SUM(S27:S33)</f>
        <v>493920</v>
      </c>
    </row>
    <row r="35" spans="1:19" ht="13.8" thickBot="1">
      <c r="A35" s="177"/>
      <c r="B35" s="178"/>
      <c r="C35" s="104">
        <f>C34/($C$34+$D$34+$E$34)</f>
        <v>1</v>
      </c>
      <c r="D35" s="104">
        <f>D34/($C$34+$D$34+$E$34)</f>
        <v>0</v>
      </c>
      <c r="E35" s="109">
        <f>E34/($C$34+$D$34+$E$34)</f>
        <v>0</v>
      </c>
      <c r="H35" s="149" t="s">
        <v>0</v>
      </c>
      <c r="K35" s="155"/>
      <c r="Q35" s="149">
        <f>480-Q34</f>
        <v>0</v>
      </c>
      <c r="R35" s="174">
        <f>+R34/Q34</f>
        <v>1225</v>
      </c>
      <c r="S35" s="174">
        <f>+S34/Q34</f>
        <v>1029</v>
      </c>
    </row>
    <row r="36" spans="1:19" ht="13.8" thickBot="1">
      <c r="A36" s="176"/>
      <c r="B36" s="176"/>
      <c r="C36" s="155"/>
      <c r="D36" s="155"/>
      <c r="E36" s="155"/>
      <c r="G36" s="155"/>
      <c r="H36" s="179"/>
      <c r="I36" s="162" t="s">
        <v>37</v>
      </c>
      <c r="J36" s="162" t="s">
        <v>38</v>
      </c>
      <c r="K36" s="180"/>
    </row>
    <row r="37" spans="1:19" ht="17.399999999999999" customHeight="1" thickBot="1">
      <c r="A37" s="797" t="s">
        <v>69</v>
      </c>
      <c r="B37" s="798"/>
      <c r="C37" s="162" t="s">
        <v>70</v>
      </c>
      <c r="D37" s="181" t="s">
        <v>71</v>
      </c>
      <c r="E37" s="182" t="s">
        <v>72</v>
      </c>
      <c r="F37" s="304"/>
      <c r="G37" s="306"/>
      <c r="H37" s="184" t="s">
        <v>73</v>
      </c>
      <c r="I37" s="239">
        <f>(13.5*1440)/1440*G42*2.7*1440/1000000</f>
        <v>54.010152000000005</v>
      </c>
      <c r="J37" s="125">
        <f>+I37+'23'!J37</f>
        <v>1290.7409563545616</v>
      </c>
      <c r="K37" s="126" t="s">
        <v>74</v>
      </c>
    </row>
    <row r="38" spans="1:19" ht="17.399999999999999" customHeight="1">
      <c r="A38" s="799" t="s">
        <v>12</v>
      </c>
      <c r="B38" s="800"/>
      <c r="C38" s="164">
        <f>SUMIF($G$7:$G$31,"Process",$F$7:$F$31)</f>
        <v>30</v>
      </c>
      <c r="D38" s="118">
        <f>C38+'23'!D38</f>
        <v>675</v>
      </c>
      <c r="E38" s="143">
        <f t="shared" ref="E38:E52" si="6">D38/60</f>
        <v>11.25</v>
      </c>
      <c r="F38" s="304">
        <v>1225</v>
      </c>
      <c r="G38" s="304">
        <v>1029</v>
      </c>
      <c r="H38" s="185" t="s">
        <v>75</v>
      </c>
      <c r="I38" s="240">
        <f>16.552+16.881+16.597</f>
        <v>50.03</v>
      </c>
      <c r="J38" s="127">
        <f>+I38+'23'!J38</f>
        <v>1245.0340000000001</v>
      </c>
      <c r="K38" s="128" t="s">
        <v>74</v>
      </c>
    </row>
    <row r="39" spans="1:19" ht="17.399999999999999" customHeight="1">
      <c r="A39" s="786" t="s">
        <v>13</v>
      </c>
      <c r="B39" s="787"/>
      <c r="C39" s="164">
        <f>SUMIF($G$7:$G$31,"Cleaning",$F$7:$F$31)</f>
        <v>0</v>
      </c>
      <c r="D39" s="118">
        <f>C39+'23'!D39</f>
        <v>0</v>
      </c>
      <c r="E39" s="143">
        <f t="shared" si="6"/>
        <v>0</v>
      </c>
      <c r="F39" s="304">
        <v>1225</v>
      </c>
      <c r="G39" s="304">
        <v>1029</v>
      </c>
      <c r="H39" s="185" t="s">
        <v>76</v>
      </c>
      <c r="I39" s="142"/>
      <c r="J39" s="129">
        <f>J37/G4</f>
        <v>53.780873181440064</v>
      </c>
      <c r="K39" s="130" t="s">
        <v>74</v>
      </c>
    </row>
    <row r="40" spans="1:19" ht="17.399999999999999" customHeight="1">
      <c r="A40" s="786" t="s">
        <v>77</v>
      </c>
      <c r="B40" s="787"/>
      <c r="C40" s="164">
        <f>SUMIF($G$7:$G$31,"Mechanical",$F$7:$F$31)</f>
        <v>0</v>
      </c>
      <c r="D40" s="118">
        <f>C40+'23'!D40</f>
        <v>0</v>
      </c>
      <c r="E40" s="143">
        <f t="shared" si="6"/>
        <v>0</v>
      </c>
      <c r="F40" s="304">
        <v>1225</v>
      </c>
      <c r="G40" s="304">
        <v>1029</v>
      </c>
      <c r="H40" s="185" t="s">
        <v>78</v>
      </c>
      <c r="I40" s="118">
        <f>(K34+L34)/1000</f>
        <v>50.433</v>
      </c>
      <c r="J40" s="131">
        <f>+I40+'23'!J40</f>
        <v>1227.9929999999999</v>
      </c>
      <c r="K40" s="130" t="s">
        <v>74</v>
      </c>
    </row>
    <row r="41" spans="1:19" ht="17.399999999999999" customHeight="1">
      <c r="A41" s="786" t="s">
        <v>79</v>
      </c>
      <c r="B41" s="787"/>
      <c r="C41" s="164">
        <f>SUMIF($G$7:$G$31,"Electrical",$F$7:$F$31)</f>
        <v>0</v>
      </c>
      <c r="D41" s="118">
        <f>C41+'23'!D41</f>
        <v>0</v>
      </c>
      <c r="E41" s="143">
        <f t="shared" si="6"/>
        <v>0</v>
      </c>
      <c r="F41" s="304"/>
      <c r="G41" s="304"/>
      <c r="H41" s="185" t="s">
        <v>80</v>
      </c>
      <c r="I41" s="142"/>
      <c r="J41" s="129">
        <f>J40/G4</f>
        <v>51.166374999999995</v>
      </c>
      <c r="K41" s="130" t="s">
        <v>74</v>
      </c>
    </row>
    <row r="42" spans="1:19" ht="17.399999999999999" customHeight="1">
      <c r="A42" s="786" t="s">
        <v>16</v>
      </c>
      <c r="B42" s="787"/>
      <c r="C42" s="164">
        <f>SUMIF($G$7:$G$31,"Instrument",$F$7:$F$31)</f>
        <v>0</v>
      </c>
      <c r="D42" s="118">
        <f>C42+'23'!D42</f>
        <v>0</v>
      </c>
      <c r="E42" s="143">
        <f t="shared" si="6"/>
        <v>0</v>
      </c>
      <c r="F42" s="183">
        <f>+(F38*480+F39*480+F40*480)/1440</f>
        <v>1225</v>
      </c>
      <c r="G42" s="183">
        <f>+(G38*480+G39*480+G40*480)/1440</f>
        <v>1029</v>
      </c>
      <c r="H42" s="185" t="s">
        <v>81</v>
      </c>
      <c r="I42" s="241" t="s">
        <v>585</v>
      </c>
      <c r="J42" s="132"/>
      <c r="K42" s="130" t="s">
        <v>82</v>
      </c>
    </row>
    <row r="43" spans="1:19" ht="17.399999999999999" customHeight="1">
      <c r="A43" s="786" t="s">
        <v>83</v>
      </c>
      <c r="B43" s="787"/>
      <c r="C43" s="164">
        <f>SUMIF($G$7:$G$31,"Water",$F$7:$F$31)</f>
        <v>0</v>
      </c>
      <c r="D43" s="118">
        <f>C43+'23'!D43</f>
        <v>0</v>
      </c>
      <c r="E43" s="143">
        <f t="shared" si="6"/>
        <v>0</v>
      </c>
      <c r="F43" s="304"/>
      <c r="G43" s="305"/>
      <c r="H43" s="186" t="s">
        <v>84</v>
      </c>
      <c r="I43" s="118">
        <f>+Report1!Z32</f>
        <v>94.9</v>
      </c>
      <c r="J43" s="133">
        <f>+I43+'23'!J43</f>
        <v>2304.02</v>
      </c>
      <c r="K43" s="130" t="s">
        <v>74</v>
      </c>
      <c r="L43" s="187"/>
    </row>
    <row r="44" spans="1:19" ht="17.399999999999999" customHeight="1">
      <c r="A44" s="786" t="s">
        <v>17</v>
      </c>
      <c r="B44" s="787"/>
      <c r="C44" s="164">
        <f>SUMIF($G$7:$G$31,"PLN",$F$7:$F$31)</f>
        <v>0</v>
      </c>
      <c r="D44" s="118">
        <f>C44+'23'!D44</f>
        <v>0</v>
      </c>
      <c r="E44" s="143">
        <f t="shared" si="6"/>
        <v>0</v>
      </c>
      <c r="F44" s="304"/>
      <c r="G44" s="305"/>
      <c r="H44" s="186" t="s">
        <v>85</v>
      </c>
      <c r="I44" s="118">
        <f>I43/I38</f>
        <v>1.8968618828702779</v>
      </c>
      <c r="J44" s="134">
        <f>J43/J38</f>
        <v>1.8505679362973217</v>
      </c>
      <c r="K44" s="130" t="s">
        <v>74</v>
      </c>
    </row>
    <row r="45" spans="1:19" ht="17.399999999999999" customHeight="1">
      <c r="A45" s="786" t="s">
        <v>18</v>
      </c>
      <c r="B45" s="787"/>
      <c r="C45" s="164">
        <f>SUMIF($G$7:$G$31,"Boiler",$F$7:$F$31)</f>
        <v>0</v>
      </c>
      <c r="D45" s="118">
        <f>C45+'23'!D45</f>
        <v>0</v>
      </c>
      <c r="E45" s="143">
        <f t="shared" si="6"/>
        <v>0</v>
      </c>
      <c r="F45" s="304"/>
      <c r="G45" s="307"/>
      <c r="H45" s="186" t="s">
        <v>86</v>
      </c>
      <c r="I45" s="118">
        <f>I43/I40</f>
        <v>1.881704439553467</v>
      </c>
      <c r="J45" s="134">
        <f>J43/J40</f>
        <v>1.87624848024378</v>
      </c>
      <c r="K45" s="130" t="s">
        <v>74</v>
      </c>
    </row>
    <row r="46" spans="1:19" ht="17.399999999999999" customHeight="1">
      <c r="A46" s="786" t="s">
        <v>87</v>
      </c>
      <c r="B46" s="787"/>
      <c r="C46" s="164">
        <f>SUMIF($G$7:$G$31,"Gas",$F$7:$F$31)</f>
        <v>0</v>
      </c>
      <c r="D46" s="118">
        <f>C46+'23'!D46</f>
        <v>0</v>
      </c>
      <c r="E46" s="143">
        <f t="shared" si="6"/>
        <v>0</v>
      </c>
      <c r="F46" s="304"/>
      <c r="G46" s="305"/>
      <c r="H46" s="186" t="s">
        <v>88</v>
      </c>
      <c r="I46" s="140">
        <f>+SUMIF(Listrik!X31,"&gt;0")</f>
        <v>42826.360000000081</v>
      </c>
      <c r="J46" s="135">
        <f>+I46+'23'!J46</f>
        <v>924543.39869719336</v>
      </c>
      <c r="K46" s="130" t="s">
        <v>89</v>
      </c>
    </row>
    <row r="47" spans="1:19" ht="17.399999999999999" customHeight="1">
      <c r="A47" s="786" t="s">
        <v>90</v>
      </c>
      <c r="B47" s="787"/>
      <c r="C47" s="164">
        <f>SUMIF($G$7:$G$31,"Gas",$F$7:$F$31)</f>
        <v>0</v>
      </c>
      <c r="D47" s="118">
        <f>C47+'23'!D47</f>
        <v>0</v>
      </c>
      <c r="E47" s="143">
        <f t="shared" si="6"/>
        <v>0</v>
      </c>
      <c r="F47" s="304"/>
      <c r="G47" s="305"/>
      <c r="H47" s="186" t="s">
        <v>91</v>
      </c>
      <c r="I47" s="118">
        <f>I46/I38</f>
        <v>856.01359184489468</v>
      </c>
      <c r="J47" s="135">
        <f>J46/J38</f>
        <v>742.58486008991986</v>
      </c>
      <c r="K47" s="130" t="s">
        <v>24</v>
      </c>
    </row>
    <row r="48" spans="1:19" ht="17.399999999999999" customHeight="1">
      <c r="A48" s="786" t="s">
        <v>14</v>
      </c>
      <c r="B48" s="787"/>
      <c r="C48" s="164">
        <f>SUMIF($G$7:$G$31,"Start Up",$F$7:$F$31)</f>
        <v>0</v>
      </c>
      <c r="D48" s="118">
        <f>C48+'23'!D48</f>
        <v>0</v>
      </c>
      <c r="E48" s="143">
        <f t="shared" si="6"/>
        <v>0</v>
      </c>
      <c r="F48" s="304"/>
      <c r="G48" s="305"/>
      <c r="H48" s="186" t="s">
        <v>92</v>
      </c>
      <c r="I48" s="118">
        <f>I46/I40</f>
        <v>849.17335871354237</v>
      </c>
      <c r="J48" s="135">
        <f>J46/J40</f>
        <v>752.88979554215166</v>
      </c>
      <c r="K48" s="130" t="s">
        <v>24</v>
      </c>
    </row>
    <row r="49" spans="1:11" ht="17.399999999999999" customHeight="1">
      <c r="A49" s="786" t="s">
        <v>20</v>
      </c>
      <c r="B49" s="787"/>
      <c r="C49" s="164">
        <f>SUMIF($G$7:$G$31,"Others",$F$7:$F$31)</f>
        <v>0</v>
      </c>
      <c r="D49" s="118">
        <f>C49+'23'!D49</f>
        <v>1072</v>
      </c>
      <c r="E49" s="143">
        <f t="shared" si="6"/>
        <v>17.866666666666667</v>
      </c>
      <c r="F49" s="183"/>
      <c r="H49" s="186" t="s">
        <v>269</v>
      </c>
      <c r="I49" s="118">
        <f>+Report1!T32</f>
        <v>3619.339770825286</v>
      </c>
      <c r="J49" s="135">
        <f>+I49+'23'!J49</f>
        <v>88700.971523140441</v>
      </c>
      <c r="K49" s="130" t="s">
        <v>93</v>
      </c>
    </row>
    <row r="50" spans="1:11" ht="17.399999999999999" customHeight="1">
      <c r="A50" s="786" t="s">
        <v>19</v>
      </c>
      <c r="B50" s="787"/>
      <c r="C50" s="164">
        <f>SUMIF($G$7:$G$31,"Steam",$F$7:$F$31)</f>
        <v>0</v>
      </c>
      <c r="D50" s="118">
        <f>C50+'23'!D50</f>
        <v>0</v>
      </c>
      <c r="E50" s="143">
        <f t="shared" si="6"/>
        <v>0</v>
      </c>
      <c r="F50" s="183"/>
      <c r="H50" s="186" t="s">
        <v>94</v>
      </c>
      <c r="I50" s="140">
        <f>I49/I38</f>
        <v>72.343389382875998</v>
      </c>
      <c r="J50" s="133">
        <f>J49/J38</f>
        <v>71.243814645335334</v>
      </c>
      <c r="K50" s="130" t="s">
        <v>93</v>
      </c>
    </row>
    <row r="51" spans="1:11" ht="17.399999999999999" customHeight="1">
      <c r="A51" s="803" t="s">
        <v>95</v>
      </c>
      <c r="B51" s="803"/>
      <c r="C51" s="164">
        <f>SUMIF($G$7:$G$31,"Planned shut",$F$7:$F$31)</f>
        <v>0</v>
      </c>
      <c r="D51" s="118">
        <f>C51+'23'!D51</f>
        <v>0</v>
      </c>
      <c r="E51" s="143">
        <f t="shared" si="6"/>
        <v>0</v>
      </c>
      <c r="F51" s="183"/>
      <c r="H51" s="188" t="s">
        <v>96</v>
      </c>
      <c r="I51" s="141">
        <f>I49/I40</f>
        <v>71.765307850520216</v>
      </c>
      <c r="J51" s="136">
        <f>J49/J40</f>
        <v>72.232473249554715</v>
      </c>
      <c r="K51" s="137" t="s">
        <v>93</v>
      </c>
    </row>
    <row r="52" spans="1:11" ht="13.8" thickBot="1">
      <c r="A52" s="804" t="s">
        <v>218</v>
      </c>
      <c r="B52" s="805"/>
      <c r="C52" s="164">
        <f>SUMIF($G$7:$G$31,"Change Grade",$F$7:$F$31)</f>
        <v>0</v>
      </c>
      <c r="D52" s="118">
        <f>C52+'23'!D52</f>
        <v>0</v>
      </c>
      <c r="E52" s="143">
        <f t="shared" si="6"/>
        <v>0</v>
      </c>
      <c r="F52" s="183"/>
      <c r="H52" s="189"/>
      <c r="I52" s="190"/>
      <c r="J52" s="138"/>
      <c r="K52" s="139"/>
    </row>
    <row r="53" spans="1:11">
      <c r="A53" s="799" t="s">
        <v>28</v>
      </c>
      <c r="B53" s="800"/>
      <c r="C53" s="144">
        <f>SUM(C38:C52)</f>
        <v>30</v>
      </c>
      <c r="D53" s="144">
        <f>SUM(D38:D52)</f>
        <v>1747</v>
      </c>
      <c r="E53" s="145">
        <f>SUM(E38:E52)</f>
        <v>29.116666666666667</v>
      </c>
      <c r="F53" s="183"/>
    </row>
    <row r="54" spans="1:11" ht="13.8" thickBot="1">
      <c r="A54" s="801"/>
      <c r="B54" s="802"/>
      <c r="C54" s="146">
        <f>C53/(24*60)</f>
        <v>2.0833333333333332E-2</v>
      </c>
      <c r="D54" s="146">
        <f>D53/(24*60*G4)</f>
        <v>5.0549768518518522E-2</v>
      </c>
      <c r="E54" s="147">
        <f>E53/(G4*24)</f>
        <v>5.0549768518518522E-2</v>
      </c>
      <c r="F54" s="183"/>
    </row>
    <row r="55" spans="1:11">
      <c r="E55" s="191"/>
    </row>
    <row r="56" spans="1:11">
      <c r="A56" s="192" t="s">
        <v>97</v>
      </c>
      <c r="B56" s="193"/>
      <c r="C56" s="194"/>
      <c r="D56" s="194"/>
      <c r="E56" s="194"/>
      <c r="F56" s="195"/>
      <c r="G56" s="194"/>
      <c r="H56" s="196"/>
      <c r="I56" s="197" t="s">
        <v>98</v>
      </c>
      <c r="J56" s="198">
        <f>+D34+'23'!J56</f>
        <v>2210</v>
      </c>
      <c r="K56" s="199">
        <f>J56/(J40+J56/1000)/1000</f>
        <v>1.7964514799589987E-3</v>
      </c>
    </row>
    <row r="57" spans="1:11">
      <c r="A57" s="174"/>
      <c r="I57" s="197" t="s">
        <v>99</v>
      </c>
      <c r="J57" s="198">
        <f>+E34+'23'!J57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1"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61"/>
  <sheetViews>
    <sheetView view="pageBreakPreview" topLeftCell="A13" zoomScale="80" zoomScaleNormal="80" zoomScaleSheetLayoutView="80" workbookViewId="0">
      <selection activeCell="H16" sqref="H16"/>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3.6640625" style="149" customWidth="1"/>
    <col min="14" max="16384" width="9.109375" style="149"/>
  </cols>
  <sheetData>
    <row r="1" spans="1:19" ht="15.6">
      <c r="A1" s="148"/>
    </row>
    <row r="2" spans="1:19" ht="15.6">
      <c r="A2" s="148" t="s">
        <v>219</v>
      </c>
    </row>
    <row r="3" spans="1:19" ht="15">
      <c r="A3" s="150"/>
    </row>
    <row r="4" spans="1:19" ht="21">
      <c r="A4" s="151" t="s">
        <v>4</v>
      </c>
      <c r="B4" s="152"/>
      <c r="F4" s="153" t="s">
        <v>29</v>
      </c>
      <c r="G4" s="154">
        <v>23</v>
      </c>
      <c r="H4" s="154" t="str">
        <f>+'1'!H4</f>
        <v>.03.26</v>
      </c>
      <c r="J4" s="149">
        <f>209+188+355</f>
        <v>752</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410</v>
      </c>
      <c r="O6" s="149">
        <v>1180</v>
      </c>
      <c r="P6" s="149">
        <f>+O6-(O6*0.23)</f>
        <v>908.59999999999991</v>
      </c>
      <c r="Q6" s="149">
        <v>480</v>
      </c>
      <c r="R6" s="149">
        <f t="shared" ref="R6" si="0">+O6*Q6</f>
        <v>566400</v>
      </c>
      <c r="S6" s="149">
        <f t="shared" ref="S6" si="1">+P6*Q6</f>
        <v>436127.99999999994</v>
      </c>
    </row>
    <row r="7" spans="1:19" ht="13.8" thickBot="1">
      <c r="A7" s="788" t="s">
        <v>458</v>
      </c>
      <c r="B7" s="213" t="s">
        <v>430</v>
      </c>
      <c r="C7" s="214">
        <v>14737</v>
      </c>
      <c r="D7" s="215">
        <v>1500</v>
      </c>
      <c r="E7" s="216"/>
      <c r="F7" s="231"/>
      <c r="G7" s="553" t="s">
        <v>12</v>
      </c>
      <c r="H7" s="554" t="s">
        <v>417</v>
      </c>
      <c r="I7" s="791" t="s">
        <v>626</v>
      </c>
      <c r="J7" s="212" t="str">
        <f>+'22'!J7</f>
        <v>T 15 RC HW</v>
      </c>
      <c r="K7" s="233">
        <f>+C7+C16</f>
        <v>27837</v>
      </c>
      <c r="L7" s="237"/>
      <c r="M7" s="117">
        <f>+K7+'22'!M7+L7</f>
        <v>444860</v>
      </c>
    </row>
    <row r="8" spans="1:19" ht="13.8" thickBot="1">
      <c r="A8" s="789"/>
      <c r="B8" s="213"/>
      <c r="C8" s="214"/>
      <c r="D8" s="215"/>
      <c r="E8" s="217"/>
      <c r="F8" s="227"/>
      <c r="G8" s="555" t="s">
        <v>12</v>
      </c>
      <c r="H8" s="226" t="s">
        <v>419</v>
      </c>
      <c r="I8" s="792"/>
      <c r="J8" s="212" t="str">
        <f>+'22'!J8</f>
        <v>T 14,5 RC HW</v>
      </c>
      <c r="K8" s="234"/>
      <c r="L8" s="234"/>
      <c r="M8" s="117">
        <f>+K8+'22'!M8+L8</f>
        <v>206120</v>
      </c>
    </row>
    <row r="9" spans="1:19" ht="13.8" thickBot="1">
      <c r="A9" s="789"/>
      <c r="B9" s="213"/>
      <c r="C9" s="214"/>
      <c r="D9" s="215"/>
      <c r="E9" s="218"/>
      <c r="F9" s="227">
        <v>6</v>
      </c>
      <c r="G9" s="555" t="s">
        <v>12</v>
      </c>
      <c r="H9" s="229" t="s">
        <v>418</v>
      </c>
      <c r="I9" s="792"/>
      <c r="J9" s="212" t="str">
        <f>+'22'!J9</f>
        <v>T 14 RC HW</v>
      </c>
      <c r="K9" s="234"/>
      <c r="L9" s="234"/>
      <c r="M9" s="117">
        <f>+K9+'22'!M9+L9</f>
        <v>49646</v>
      </c>
    </row>
    <row r="10" spans="1:19" ht="66.599999999999994" thickBot="1">
      <c r="A10" s="789"/>
      <c r="B10" s="213"/>
      <c r="C10" s="214"/>
      <c r="D10" s="215"/>
      <c r="E10" s="217"/>
      <c r="F10" s="227"/>
      <c r="G10" s="225"/>
      <c r="H10" s="556" t="s">
        <v>681</v>
      </c>
      <c r="I10" s="792"/>
      <c r="J10" s="212" t="str">
        <f>+'22'!J10</f>
        <v>T 13,5 RC HW</v>
      </c>
      <c r="K10" s="234">
        <f>+C17+C25</f>
        <v>17627</v>
      </c>
      <c r="L10" s="234"/>
      <c r="M10" s="117">
        <f>+K10+'22'!M10+L10</f>
        <v>213988</v>
      </c>
    </row>
    <row r="11" spans="1:19" ht="13.8" thickBot="1">
      <c r="A11" s="789"/>
      <c r="B11" s="213"/>
      <c r="C11" s="214"/>
      <c r="D11" s="215"/>
      <c r="E11" s="217"/>
      <c r="F11" s="224"/>
      <c r="G11" s="228"/>
      <c r="H11" s="229" t="s">
        <v>682</v>
      </c>
      <c r="I11" s="792"/>
      <c r="J11" s="212" t="str">
        <f>+'22'!J11</f>
        <v>TW 22 RC HW</v>
      </c>
      <c r="K11" s="234"/>
      <c r="L11" s="234"/>
      <c r="M11" s="117">
        <f>+K11+'22'!M11+L11</f>
        <v>262946</v>
      </c>
    </row>
    <row r="12" spans="1:19" ht="13.8" thickBot="1">
      <c r="A12" s="789"/>
      <c r="B12" s="213"/>
      <c r="C12" s="214"/>
      <c r="D12" s="215"/>
      <c r="E12" s="217"/>
      <c r="F12" s="224"/>
      <c r="G12" s="228"/>
      <c r="H12" s="229"/>
      <c r="I12" s="792"/>
      <c r="J12" s="212">
        <f>+'22'!J12</f>
        <v>0</v>
      </c>
      <c r="K12" s="234"/>
      <c r="L12" s="234"/>
      <c r="M12" s="117">
        <f>+K12+'22'!M12+L12</f>
        <v>0</v>
      </c>
    </row>
    <row r="13" spans="1:19" ht="13.8" thickBot="1">
      <c r="A13" s="789"/>
      <c r="B13" s="213"/>
      <c r="C13" s="214"/>
      <c r="D13" s="214"/>
      <c r="E13" s="217"/>
      <c r="F13" s="224"/>
      <c r="G13" s="228"/>
      <c r="H13" s="229"/>
      <c r="I13" s="793"/>
      <c r="J13" s="212">
        <f>+'22'!J13</f>
        <v>0</v>
      </c>
      <c r="K13" s="234"/>
      <c r="L13" s="234"/>
      <c r="M13" s="117">
        <f>+K13+'22'!M13+L13</f>
        <v>0</v>
      </c>
      <c r="Q13" s="174">
        <f>SUM(Q6:Q12)</f>
        <v>480</v>
      </c>
      <c r="R13" s="174">
        <f>SUM(R6:R12)</f>
        <v>566400</v>
      </c>
      <c r="S13" s="174">
        <f>SUM(S6:S12)</f>
        <v>436127.99999999994</v>
      </c>
    </row>
    <row r="14" spans="1:19" ht="13.8" thickBot="1">
      <c r="A14" s="790"/>
      <c r="B14" s="165" t="s">
        <v>3</v>
      </c>
      <c r="C14" s="99">
        <f>SUM(C7:C13)</f>
        <v>14737</v>
      </c>
      <c r="D14" s="111">
        <f>SUM(D7:D13)</f>
        <v>1500</v>
      </c>
      <c r="E14" s="112">
        <f>SUM(E5:E13)</f>
        <v>0</v>
      </c>
      <c r="F14" s="116">
        <f>SUM(F7:F13)</f>
        <v>6</v>
      </c>
      <c r="G14" s="159"/>
      <c r="H14" s="166"/>
      <c r="I14" s="167"/>
      <c r="J14" s="212">
        <f>+'22'!J14</f>
        <v>0</v>
      </c>
      <c r="K14" s="234"/>
      <c r="L14" s="234"/>
      <c r="M14" s="117">
        <f>+K14+'22'!M14+L14</f>
        <v>0</v>
      </c>
      <c r="Q14" s="149">
        <f>480-Q13</f>
        <v>0</v>
      </c>
      <c r="R14" s="174">
        <f>+R13/Q13</f>
        <v>1180</v>
      </c>
      <c r="S14" s="174">
        <f>+S13/Q13</f>
        <v>908.59999999999991</v>
      </c>
    </row>
    <row r="15" spans="1:19" ht="13.8" thickBot="1">
      <c r="A15" s="794" t="s">
        <v>429</v>
      </c>
      <c r="B15" s="513"/>
      <c r="C15" s="113">
        <f>C14/($C$23+$D$23+$E$23)</f>
        <v>0.91687923847446029</v>
      </c>
      <c r="D15" s="114">
        <f>D14/($C$23+$D$23+$E$23)</f>
        <v>9.3324208299632921E-2</v>
      </c>
      <c r="E15" s="115">
        <f>E14/($C$23+$D$23+$E$23)</f>
        <v>0</v>
      </c>
      <c r="F15" s="227"/>
      <c r="G15" s="553" t="s">
        <v>12</v>
      </c>
      <c r="H15" s="554" t="s">
        <v>417</v>
      </c>
      <c r="I15" s="791" t="s">
        <v>687</v>
      </c>
      <c r="J15" s="212">
        <f>+'22'!J15</f>
        <v>0</v>
      </c>
      <c r="K15" s="234"/>
      <c r="L15" s="234"/>
      <c r="M15" s="117">
        <f>+K15+'22'!M15+L15</f>
        <v>0</v>
      </c>
    </row>
    <row r="16" spans="1:19" ht="13.8" thickBot="1">
      <c r="A16" s="789"/>
      <c r="B16" s="512" t="s">
        <v>430</v>
      </c>
      <c r="C16" s="511">
        <v>13100</v>
      </c>
      <c r="D16" s="219"/>
      <c r="E16" s="220"/>
      <c r="F16" s="227"/>
      <c r="G16" s="555" t="s">
        <v>12</v>
      </c>
      <c r="H16" s="226" t="s">
        <v>419</v>
      </c>
      <c r="I16" s="792"/>
      <c r="J16" s="212">
        <f>+'22'!J16</f>
        <v>0</v>
      </c>
      <c r="K16" s="225"/>
      <c r="L16" s="225"/>
      <c r="M16" s="117">
        <f>+K16+'22'!M16+L16</f>
        <v>0</v>
      </c>
      <c r="N16" s="149" t="s">
        <v>410</v>
      </c>
      <c r="O16" s="149">
        <v>1180</v>
      </c>
      <c r="P16" s="149">
        <f>+O16-(O16*0.23)</f>
        <v>908.59999999999991</v>
      </c>
      <c r="Q16" s="149">
        <f>60*3+30</f>
        <v>210</v>
      </c>
      <c r="R16" s="149">
        <f t="shared" ref="R16:R17" si="2">+O16*Q16</f>
        <v>247800</v>
      </c>
      <c r="S16" s="149">
        <f t="shared" ref="S16:S17" si="3">+P16*Q16</f>
        <v>190805.99999999997</v>
      </c>
    </row>
    <row r="17" spans="1:19" ht="13.8" thickBot="1">
      <c r="A17" s="789"/>
      <c r="B17" s="213" t="s">
        <v>592</v>
      </c>
      <c r="C17" s="214">
        <v>2973</v>
      </c>
      <c r="D17" s="215"/>
      <c r="E17" s="221"/>
      <c r="F17" s="227">
        <v>8</v>
      </c>
      <c r="G17" s="555" t="s">
        <v>12</v>
      </c>
      <c r="H17" s="229" t="s">
        <v>475</v>
      </c>
      <c r="I17" s="792"/>
      <c r="J17" s="212">
        <f>+'22'!J17</f>
        <v>0</v>
      </c>
      <c r="K17" s="225"/>
      <c r="L17" s="225"/>
      <c r="M17" s="117">
        <f>+K17+'22'!M17+L17</f>
        <v>0</v>
      </c>
      <c r="N17" s="149" t="s">
        <v>584</v>
      </c>
      <c r="O17" s="149">
        <v>1225</v>
      </c>
      <c r="P17" s="149">
        <f>+O17-(O17*0.16)</f>
        <v>1029</v>
      </c>
      <c r="Q17" s="149">
        <f>480-Q16</f>
        <v>270</v>
      </c>
      <c r="R17" s="149">
        <f t="shared" si="2"/>
        <v>330750</v>
      </c>
      <c r="S17" s="149">
        <f t="shared" si="3"/>
        <v>277830</v>
      </c>
    </row>
    <row r="18" spans="1:19" ht="79.8" thickBot="1">
      <c r="A18" s="789"/>
      <c r="B18" s="213"/>
      <c r="C18" s="214"/>
      <c r="D18" s="215"/>
      <c r="E18" s="221"/>
      <c r="F18" s="227"/>
      <c r="G18" s="225"/>
      <c r="H18" s="556" t="s">
        <v>683</v>
      </c>
      <c r="I18" s="792"/>
      <c r="J18" s="212">
        <f>+'22'!J18</f>
        <v>0</v>
      </c>
      <c r="K18" s="234"/>
      <c r="L18" s="234"/>
      <c r="M18" s="117">
        <f>+K18+'22'!M18+L18</f>
        <v>0</v>
      </c>
    </row>
    <row r="19" spans="1:19" ht="27" thickBot="1">
      <c r="A19" s="789"/>
      <c r="B19" s="213"/>
      <c r="C19" s="214"/>
      <c r="D19" s="215"/>
      <c r="E19" s="221"/>
      <c r="F19" s="230"/>
      <c r="G19" s="228"/>
      <c r="H19" s="229" t="s">
        <v>684</v>
      </c>
      <c r="I19" s="792"/>
      <c r="J19" s="212">
        <f>+'22'!J19</f>
        <v>0</v>
      </c>
      <c r="K19" s="234"/>
      <c r="L19" s="234"/>
      <c r="M19" s="117">
        <f>+K19+'22'!M19+L19</f>
        <v>0</v>
      </c>
    </row>
    <row r="20" spans="1:19" ht="13.8" thickBot="1">
      <c r="A20" s="789"/>
      <c r="B20" s="213"/>
      <c r="C20" s="214"/>
      <c r="D20" s="215"/>
      <c r="E20" s="221"/>
      <c r="F20" s="224"/>
      <c r="G20" s="228"/>
      <c r="H20" s="229"/>
      <c r="I20" s="792"/>
      <c r="J20" s="212">
        <f>+'22'!J20</f>
        <v>0</v>
      </c>
      <c r="K20" s="235"/>
      <c r="L20" s="235"/>
      <c r="M20" s="117">
        <f>+K20+'22'!M20+L20</f>
        <v>0</v>
      </c>
    </row>
    <row r="21" spans="1:19" ht="13.8" thickBot="1">
      <c r="A21" s="789"/>
      <c r="B21" s="213"/>
      <c r="C21" s="214"/>
      <c r="D21" s="215"/>
      <c r="E21" s="221"/>
      <c r="F21" s="227"/>
      <c r="G21" s="228"/>
      <c r="H21" s="229"/>
      <c r="I21" s="792"/>
      <c r="J21" s="212">
        <f>+'22'!J21</f>
        <v>0</v>
      </c>
      <c r="K21" s="234"/>
      <c r="L21" s="234"/>
      <c r="M21" s="117">
        <f>+K21+'22'!M21+L21</f>
        <v>0</v>
      </c>
    </row>
    <row r="22" spans="1:19" ht="13.8" thickBot="1">
      <c r="A22" s="789"/>
      <c r="B22" s="213"/>
      <c r="C22" s="214"/>
      <c r="D22" s="215"/>
      <c r="E22" s="221"/>
      <c r="F22" s="231"/>
      <c r="G22" s="228"/>
      <c r="H22" s="229"/>
      <c r="I22" s="793"/>
      <c r="J22" s="212">
        <f>+'22'!J22</f>
        <v>0</v>
      </c>
      <c r="K22" s="234"/>
      <c r="L22" s="234"/>
      <c r="M22" s="117">
        <f>+K22+'22'!M22+L22</f>
        <v>0</v>
      </c>
    </row>
    <row r="23" spans="1:19" ht="13.8" thickBot="1">
      <c r="A23" s="790"/>
      <c r="B23" s="165" t="s">
        <v>3</v>
      </c>
      <c r="C23" s="99">
        <f>SUM(C16:C22)</f>
        <v>16073</v>
      </c>
      <c r="D23" s="111">
        <f>SUM(D16:D22)</f>
        <v>0</v>
      </c>
      <c r="E23" s="112">
        <f>SUM(E18:E22)</f>
        <v>0</v>
      </c>
      <c r="F23" s="116">
        <f>SUM(F15:F22)</f>
        <v>8</v>
      </c>
      <c r="G23" s="159"/>
      <c r="H23" s="166"/>
      <c r="I23" s="168"/>
      <c r="J23" s="212">
        <f>+'22'!J23</f>
        <v>0</v>
      </c>
      <c r="K23" s="234"/>
      <c r="L23" s="234"/>
      <c r="M23" s="117">
        <f>+K23+'22'!M23+L23</f>
        <v>0</v>
      </c>
      <c r="Q23" s="174">
        <f>SUM(Q16:Q22)</f>
        <v>480</v>
      </c>
      <c r="R23" s="174">
        <f>SUM(R16:R22)</f>
        <v>578550</v>
      </c>
      <c r="S23" s="174">
        <f>SUM(S16:S22)</f>
        <v>468636</v>
      </c>
    </row>
    <row r="24" spans="1:19" ht="13.8" thickBot="1">
      <c r="A24" s="794" t="s">
        <v>387</v>
      </c>
      <c r="B24" s="513"/>
      <c r="C24" s="113">
        <f>C23/($C$23+$D$23+$E$23)</f>
        <v>1</v>
      </c>
      <c r="D24" s="114">
        <f>D23/($C$23+$D$23+$E$23)</f>
        <v>0</v>
      </c>
      <c r="E24" s="115">
        <f>E23/($C$23+$D$23+$E$23)</f>
        <v>0</v>
      </c>
      <c r="F24" s="231">
        <v>4</v>
      </c>
      <c r="G24" s="553" t="s">
        <v>12</v>
      </c>
      <c r="H24" s="554" t="s">
        <v>445</v>
      </c>
      <c r="I24" s="791" t="s">
        <v>585</v>
      </c>
      <c r="J24" s="212">
        <f>+'22'!J24</f>
        <v>0</v>
      </c>
      <c r="K24" s="234"/>
      <c r="L24" s="234"/>
      <c r="M24" s="117">
        <f>+K24+'22'!M24+L24</f>
        <v>0</v>
      </c>
      <c r="Q24" s="149">
        <f>480-Q23</f>
        <v>0</v>
      </c>
      <c r="R24" s="174">
        <f>+R23/Q23</f>
        <v>1205.3125</v>
      </c>
      <c r="S24" s="174">
        <f>+S23/Q23</f>
        <v>976.32500000000005</v>
      </c>
    </row>
    <row r="25" spans="1:19" ht="13.8" thickBot="1">
      <c r="A25" s="789"/>
      <c r="B25" s="512" t="s">
        <v>592</v>
      </c>
      <c r="C25" s="222">
        <v>14654</v>
      </c>
      <c r="D25" s="215"/>
      <c r="E25" s="221"/>
      <c r="F25" s="227"/>
      <c r="G25" s="555" t="s">
        <v>12</v>
      </c>
      <c r="H25" s="226" t="s">
        <v>419</v>
      </c>
      <c r="I25" s="792"/>
      <c r="J25" s="212">
        <f>+'22'!J25</f>
        <v>0</v>
      </c>
      <c r="K25" s="234"/>
      <c r="L25" s="234"/>
      <c r="M25" s="117">
        <f>+K25+'22'!M25+L25</f>
        <v>0</v>
      </c>
      <c r="N25" s="544"/>
      <c r="O25" s="540"/>
      <c r="P25" s="540"/>
      <c r="Q25" s="540"/>
    </row>
    <row r="26" spans="1:19" ht="13.8" thickBot="1">
      <c r="A26" s="789"/>
      <c r="B26" s="213"/>
      <c r="C26" s="222"/>
      <c r="D26" s="215"/>
      <c r="E26" s="223"/>
      <c r="F26" s="227">
        <v>8</v>
      </c>
      <c r="G26" s="555" t="s">
        <v>12</v>
      </c>
      <c r="H26" s="229" t="s">
        <v>418</v>
      </c>
      <c r="I26" s="792"/>
      <c r="J26" s="212">
        <f>+'22'!J26</f>
        <v>0</v>
      </c>
      <c r="K26" s="234"/>
      <c r="L26" s="234"/>
      <c r="M26" s="117">
        <f>+K26+'22'!M26+L26</f>
        <v>0</v>
      </c>
      <c r="N26" s="149" t="s">
        <v>584</v>
      </c>
      <c r="O26" s="149">
        <v>1225</v>
      </c>
      <c r="P26" s="149">
        <f>+O26-(O26*0.16)</f>
        <v>1029</v>
      </c>
      <c r="Q26" s="149">
        <v>480</v>
      </c>
      <c r="R26" s="149">
        <f t="shared" ref="R26" si="4">+O26*Q26</f>
        <v>588000</v>
      </c>
      <c r="S26" s="149">
        <f t="shared" ref="S26" si="5">+P26*Q26</f>
        <v>493920</v>
      </c>
    </row>
    <row r="27" spans="1:19" ht="53.4" thickBot="1">
      <c r="A27" s="789"/>
      <c r="B27" s="213"/>
      <c r="C27" s="214"/>
      <c r="D27" s="215"/>
      <c r="E27" s="221"/>
      <c r="F27" s="227"/>
      <c r="G27" s="225"/>
      <c r="H27" s="556" t="s">
        <v>685</v>
      </c>
      <c r="I27" s="792"/>
      <c r="J27" s="212">
        <f>+'22'!J27</f>
        <v>0</v>
      </c>
      <c r="K27" s="234"/>
      <c r="L27" s="234"/>
      <c r="M27" s="117">
        <f>+K27+'22'!M27+L27</f>
        <v>0</v>
      </c>
    </row>
    <row r="28" spans="1:19" ht="13.8" thickBot="1">
      <c r="A28" s="789"/>
      <c r="B28" s="213"/>
      <c r="C28" s="214"/>
      <c r="D28" s="215"/>
      <c r="E28" s="221"/>
      <c r="F28" s="227"/>
      <c r="G28" s="225"/>
      <c r="H28" s="229" t="s">
        <v>686</v>
      </c>
      <c r="I28" s="792"/>
      <c r="J28" s="212">
        <f>+'22'!J28</f>
        <v>0</v>
      </c>
      <c r="K28" s="234"/>
      <c r="L28" s="234"/>
      <c r="M28" s="117">
        <f>+K28+'22'!M28+L28</f>
        <v>0</v>
      </c>
    </row>
    <row r="29" spans="1:19" ht="13.8" thickBot="1">
      <c r="A29" s="789"/>
      <c r="B29" s="213"/>
      <c r="C29" s="214"/>
      <c r="D29" s="215"/>
      <c r="E29" s="221"/>
      <c r="F29" s="231"/>
      <c r="G29" s="228"/>
      <c r="H29" s="229"/>
      <c r="I29" s="792"/>
      <c r="J29" s="212">
        <f>+'22'!J29</f>
        <v>0</v>
      </c>
      <c r="K29" s="234"/>
      <c r="L29" s="234"/>
      <c r="M29" s="117">
        <f>+K29+'22'!M29+L29</f>
        <v>0</v>
      </c>
    </row>
    <row r="30" spans="1:19" ht="13.8" thickBot="1">
      <c r="A30" s="789"/>
      <c r="B30" s="213"/>
      <c r="C30" s="222"/>
      <c r="D30" s="215"/>
      <c r="E30" s="221"/>
      <c r="F30" s="231"/>
      <c r="G30" s="228"/>
      <c r="H30" s="229"/>
      <c r="I30" s="792"/>
      <c r="J30" s="212">
        <f>+'22'!J30</f>
        <v>0</v>
      </c>
      <c r="K30" s="234"/>
      <c r="L30" s="234"/>
      <c r="M30" s="117">
        <f>+K30+'22'!M30+L30</f>
        <v>0</v>
      </c>
    </row>
    <row r="31" spans="1:19" ht="13.8" thickBot="1">
      <c r="A31" s="789"/>
      <c r="B31" s="213"/>
      <c r="C31" s="222"/>
      <c r="D31" s="215"/>
      <c r="E31" s="221"/>
      <c r="F31" s="231"/>
      <c r="G31" s="232"/>
      <c r="H31" s="404"/>
      <c r="I31" s="793"/>
      <c r="J31" s="212">
        <f>+'22'!J31</f>
        <v>0</v>
      </c>
      <c r="K31" s="234"/>
      <c r="L31" s="234"/>
      <c r="M31" s="117">
        <f>+K31+'22'!M31+L31</f>
        <v>0</v>
      </c>
    </row>
    <row r="32" spans="1:19" ht="13.8" thickBot="1">
      <c r="A32" s="790"/>
      <c r="B32" s="165" t="s">
        <v>3</v>
      </c>
      <c r="C32" s="99">
        <f>SUM(C25:C31)</f>
        <v>14654</v>
      </c>
      <c r="D32" s="100">
        <f>SUM(D25:D31)</f>
        <v>0</v>
      </c>
      <c r="E32" s="101">
        <f>SUM(E25:E31)</f>
        <v>0</v>
      </c>
      <c r="F32" s="99">
        <f>SUM(F24:F31)</f>
        <v>12</v>
      </c>
      <c r="G32" s="169"/>
      <c r="H32" s="170"/>
      <c r="I32" s="168"/>
      <c r="J32" s="212">
        <f>+'22'!J32</f>
        <v>0</v>
      </c>
      <c r="K32" s="236"/>
      <c r="L32" s="238"/>
      <c r="M32" s="117">
        <f>+K32+'22'!M32+L32</f>
        <v>0</v>
      </c>
    </row>
    <row r="33" spans="1:19" ht="13.8" thickBot="1">
      <c r="A33" s="171"/>
      <c r="B33" s="172"/>
      <c r="C33" s="103">
        <f>C32/($C$32+$D$32+$E$32)</f>
        <v>1</v>
      </c>
      <c r="D33" s="104">
        <f>D32/($C$32+$D$32+$E$32)</f>
        <v>0</v>
      </c>
      <c r="E33" s="105">
        <f>E32/($C$32+$D$32+$E$32)</f>
        <v>0</v>
      </c>
      <c r="F33" s="106"/>
      <c r="G33" s="173"/>
      <c r="H33" s="174"/>
      <c r="I33" s="175"/>
      <c r="J33" s="121"/>
      <c r="K33" s="122"/>
      <c r="L33" s="211"/>
      <c r="M33" s="119"/>
      <c r="Q33" s="174">
        <f>SUM(Q26:Q32)</f>
        <v>480</v>
      </c>
      <c r="R33" s="174">
        <f>SUM(R26:R32)</f>
        <v>588000</v>
      </c>
      <c r="S33" s="174">
        <f>SUM(S26:S32)</f>
        <v>493920</v>
      </c>
    </row>
    <row r="34" spans="1:19" ht="13.8" thickBot="1">
      <c r="A34" s="795" t="s">
        <v>68</v>
      </c>
      <c r="B34" s="796"/>
      <c r="C34" s="107">
        <f>C14+C23+C32</f>
        <v>45464</v>
      </c>
      <c r="D34" s="107">
        <f>D14+D23+D32</f>
        <v>1500</v>
      </c>
      <c r="E34" s="107">
        <f>E14+E23+E32</f>
        <v>0</v>
      </c>
      <c r="F34" s="108">
        <f>F14+F23+F32</f>
        <v>26</v>
      </c>
      <c r="H34" s="176"/>
      <c r="I34" s="176"/>
      <c r="J34" s="123" t="s">
        <v>28</v>
      </c>
      <c r="K34" s="124">
        <f>SUM(K7:K32)</f>
        <v>45464</v>
      </c>
      <c r="L34" s="210">
        <f>SUM(L7:L32)</f>
        <v>0</v>
      </c>
      <c r="M34" s="120">
        <f>SUM(M7:M32)</f>
        <v>1177560</v>
      </c>
      <c r="Q34" s="149">
        <f>480-Q33</f>
        <v>0</v>
      </c>
      <c r="R34" s="174">
        <f>+R33/Q33</f>
        <v>1225</v>
      </c>
      <c r="S34" s="174">
        <f>+S33/Q33</f>
        <v>1029</v>
      </c>
    </row>
    <row r="35" spans="1:19" ht="13.8" thickBot="1">
      <c r="A35" s="177"/>
      <c r="B35" s="178"/>
      <c r="C35" s="104">
        <f>C34/($C$34+$D$34+$E$34)</f>
        <v>0.96806064219402099</v>
      </c>
      <c r="D35" s="104">
        <f>D34/($C$34+$D$34+$E$34)</f>
        <v>3.1939357805979049E-2</v>
      </c>
      <c r="E35" s="109">
        <f>E34/($C$34+$D$34+$E$34)</f>
        <v>0</v>
      </c>
      <c r="H35" s="149" t="s">
        <v>0</v>
      </c>
      <c r="K35" s="155"/>
      <c r="N35" s="149" t="s">
        <v>410</v>
      </c>
      <c r="O35" s="149">
        <v>1180</v>
      </c>
      <c r="P35" s="149">
        <v>908.59999999999991</v>
      </c>
      <c r="Q35" s="149">
        <f>480+210</f>
        <v>690</v>
      </c>
    </row>
    <row r="36" spans="1:19" ht="13.8" thickBot="1">
      <c r="A36" s="176"/>
      <c r="B36" s="176"/>
      <c r="C36" s="155"/>
      <c r="D36" s="155"/>
      <c r="E36" s="155"/>
      <c r="G36" s="155"/>
      <c r="H36" s="179"/>
      <c r="I36" s="162" t="s">
        <v>37</v>
      </c>
      <c r="J36" s="162" t="s">
        <v>38</v>
      </c>
      <c r="K36" s="180"/>
      <c r="N36" s="149" t="s">
        <v>584</v>
      </c>
      <c r="O36" s="149">
        <v>1225</v>
      </c>
      <c r="P36" s="149">
        <v>1029</v>
      </c>
      <c r="Q36" s="149">
        <f>270+480</f>
        <v>750</v>
      </c>
    </row>
    <row r="37" spans="1:19" ht="17.399999999999999" customHeight="1" thickBot="1">
      <c r="A37" s="797" t="s">
        <v>69</v>
      </c>
      <c r="B37" s="798"/>
      <c r="C37" s="162" t="s">
        <v>70</v>
      </c>
      <c r="D37" s="181" t="s">
        <v>71</v>
      </c>
      <c r="E37" s="182" t="s">
        <v>72</v>
      </c>
      <c r="F37" s="304"/>
      <c r="G37" s="306"/>
      <c r="H37" s="184" t="s">
        <v>73</v>
      </c>
      <c r="I37" s="239">
        <f>(15*690+13.5*750)/1440*G42*2.7*1440/1000000</f>
        <v>53.696352937499995</v>
      </c>
      <c r="J37" s="125">
        <f>+I37+'22'!J37</f>
        <v>1236.7308043545615</v>
      </c>
      <c r="K37" s="126" t="s">
        <v>74</v>
      </c>
      <c r="Q37" s="149">
        <f>+Q35+Q36</f>
        <v>1440</v>
      </c>
    </row>
    <row r="38" spans="1:19" ht="17.399999999999999" customHeight="1">
      <c r="A38" s="799" t="s">
        <v>12</v>
      </c>
      <c r="B38" s="800"/>
      <c r="C38" s="164">
        <f>SUMIF($G$7:$G$31,"Process",$F$7:$F$31)</f>
        <v>26</v>
      </c>
      <c r="D38" s="118">
        <f>C38+'22'!D38</f>
        <v>645</v>
      </c>
      <c r="E38" s="143">
        <f t="shared" ref="E38:E52" si="6">D38/60</f>
        <v>10.75</v>
      </c>
      <c r="F38" s="304">
        <v>1180</v>
      </c>
      <c r="G38" s="304">
        <v>908.59999999999991</v>
      </c>
      <c r="H38" s="185" t="s">
        <v>75</v>
      </c>
      <c r="I38" s="240">
        <f>16.77+18.441+17.21</f>
        <v>52.420999999999999</v>
      </c>
      <c r="J38" s="127">
        <f>+I38+'22'!J38</f>
        <v>1195.0040000000001</v>
      </c>
      <c r="K38" s="128" t="s">
        <v>74</v>
      </c>
    </row>
    <row r="39" spans="1:19" ht="17.399999999999999" customHeight="1">
      <c r="A39" s="786" t="s">
        <v>13</v>
      </c>
      <c r="B39" s="787"/>
      <c r="C39" s="164">
        <f>SUMIF($G$7:$G$31,"Cleaning",$F$7:$F$31)</f>
        <v>0</v>
      </c>
      <c r="D39" s="118">
        <f>C39+'22'!D39</f>
        <v>0</v>
      </c>
      <c r="E39" s="143">
        <f t="shared" si="6"/>
        <v>0</v>
      </c>
      <c r="F39" s="304">
        <v>1205.3125</v>
      </c>
      <c r="G39" s="304">
        <v>976.32500000000005</v>
      </c>
      <c r="H39" s="185" t="s">
        <v>76</v>
      </c>
      <c r="I39" s="142"/>
      <c r="J39" s="129">
        <f>J37/G4</f>
        <v>53.770904537154848</v>
      </c>
      <c r="K39" s="130" t="s">
        <v>74</v>
      </c>
    </row>
    <row r="40" spans="1:19" ht="17.399999999999999" customHeight="1">
      <c r="A40" s="786" t="s">
        <v>77</v>
      </c>
      <c r="B40" s="787"/>
      <c r="C40" s="164">
        <f>SUMIF($G$7:$G$31,"Mechanical",$F$7:$F$31)</f>
        <v>0</v>
      </c>
      <c r="D40" s="118">
        <f>C40+'22'!D40</f>
        <v>0</v>
      </c>
      <c r="E40" s="143">
        <f t="shared" si="6"/>
        <v>0</v>
      </c>
      <c r="F40" s="304">
        <v>1225</v>
      </c>
      <c r="G40" s="304">
        <v>1029</v>
      </c>
      <c r="H40" s="185" t="s">
        <v>78</v>
      </c>
      <c r="I40" s="118">
        <f>(K34+L34)/1000</f>
        <v>45.463999999999999</v>
      </c>
      <c r="J40" s="131">
        <f>+I40+'22'!J40</f>
        <v>1177.56</v>
      </c>
      <c r="K40" s="130" t="s">
        <v>74</v>
      </c>
    </row>
    <row r="41" spans="1:19" ht="17.399999999999999" customHeight="1">
      <c r="A41" s="786" t="s">
        <v>79</v>
      </c>
      <c r="B41" s="787"/>
      <c r="C41" s="164">
        <f>SUMIF($G$7:$G$31,"Electrical",$F$7:$F$31)</f>
        <v>0</v>
      </c>
      <c r="D41" s="118">
        <f>C41+'22'!D41</f>
        <v>0</v>
      </c>
      <c r="E41" s="143">
        <f t="shared" si="6"/>
        <v>0</v>
      </c>
      <c r="F41" s="304"/>
      <c r="G41" s="304"/>
      <c r="H41" s="185" t="s">
        <v>80</v>
      </c>
      <c r="I41" s="142"/>
      <c r="J41" s="129">
        <f>J40/G4</f>
        <v>51.198260869565217</v>
      </c>
      <c r="K41" s="130" t="s">
        <v>74</v>
      </c>
    </row>
    <row r="42" spans="1:19" ht="17.399999999999999" customHeight="1">
      <c r="A42" s="786" t="s">
        <v>16</v>
      </c>
      <c r="B42" s="787"/>
      <c r="C42" s="164">
        <f>SUMIF($G$7:$G$31,"Instrument",$F$7:$F$31)</f>
        <v>0</v>
      </c>
      <c r="D42" s="118">
        <f>C42+'22'!D42</f>
        <v>0</v>
      </c>
      <c r="E42" s="143">
        <f t="shared" si="6"/>
        <v>0</v>
      </c>
      <c r="F42" s="183">
        <f>+(F38*480+F39*480+F40*480)/1440</f>
        <v>1203.4375</v>
      </c>
      <c r="G42" s="183">
        <f>+(G38*480+G39*480+G40*480)/1440</f>
        <v>971.30833333333328</v>
      </c>
      <c r="H42" s="185" t="s">
        <v>81</v>
      </c>
      <c r="I42" s="241" t="s">
        <v>689</v>
      </c>
      <c r="J42" s="132"/>
      <c r="K42" s="130" t="s">
        <v>82</v>
      </c>
    </row>
    <row r="43" spans="1:19" ht="17.399999999999999" customHeight="1">
      <c r="A43" s="786" t="s">
        <v>83</v>
      </c>
      <c r="B43" s="787"/>
      <c r="C43" s="164">
        <f>SUMIF($G$7:$G$31,"Water",$F$7:$F$31)</f>
        <v>0</v>
      </c>
      <c r="D43" s="118">
        <f>C43+'22'!D43</f>
        <v>0</v>
      </c>
      <c r="E43" s="143">
        <f t="shared" si="6"/>
        <v>0</v>
      </c>
      <c r="F43" s="304"/>
      <c r="G43" s="305"/>
      <c r="H43" s="186" t="s">
        <v>84</v>
      </c>
      <c r="I43" s="118">
        <f>+Report1!Z31</f>
        <v>93.6</v>
      </c>
      <c r="J43" s="133">
        <f>+I43+'22'!J43</f>
        <v>2209.12</v>
      </c>
      <c r="K43" s="130" t="s">
        <v>74</v>
      </c>
      <c r="L43" s="187"/>
    </row>
    <row r="44" spans="1:19" ht="17.399999999999999" customHeight="1">
      <c r="A44" s="786" t="s">
        <v>17</v>
      </c>
      <c r="B44" s="787"/>
      <c r="C44" s="164">
        <f>SUMIF($G$7:$G$31,"PLN",$F$7:$F$31)</f>
        <v>0</v>
      </c>
      <c r="D44" s="118">
        <f>C44+'22'!D44</f>
        <v>0</v>
      </c>
      <c r="E44" s="143">
        <f t="shared" si="6"/>
        <v>0</v>
      </c>
      <c r="F44" s="304"/>
      <c r="G44" s="305"/>
      <c r="H44" s="186" t="s">
        <v>85</v>
      </c>
      <c r="I44" s="118">
        <f>I43/I38</f>
        <v>1.7855439613895194</v>
      </c>
      <c r="J44" s="134">
        <f>J43/J38</f>
        <v>1.8486297953814377</v>
      </c>
      <c r="K44" s="130" t="s">
        <v>74</v>
      </c>
    </row>
    <row r="45" spans="1:19" ht="17.399999999999999" customHeight="1">
      <c r="A45" s="786" t="s">
        <v>18</v>
      </c>
      <c r="B45" s="787"/>
      <c r="C45" s="164">
        <f>SUMIF($G$7:$G$31,"Boiler",$F$7:$F$31)</f>
        <v>0</v>
      </c>
      <c r="D45" s="118">
        <f>C45+'22'!D45</f>
        <v>0</v>
      </c>
      <c r="E45" s="143">
        <f t="shared" si="6"/>
        <v>0</v>
      </c>
      <c r="F45" s="304"/>
      <c r="G45" s="307"/>
      <c r="H45" s="186" t="s">
        <v>86</v>
      </c>
      <c r="I45" s="118">
        <f>I43/I40</f>
        <v>2.058771775470702</v>
      </c>
      <c r="J45" s="134">
        <f>J43/J40</f>
        <v>1.8760148102856755</v>
      </c>
      <c r="K45" s="130" t="s">
        <v>74</v>
      </c>
    </row>
    <row r="46" spans="1:19" ht="17.399999999999999" customHeight="1">
      <c r="A46" s="786" t="s">
        <v>87</v>
      </c>
      <c r="B46" s="787"/>
      <c r="C46" s="164">
        <f>SUMIF($G$7:$G$31,"Gas",$F$7:$F$31)</f>
        <v>0</v>
      </c>
      <c r="D46" s="118">
        <f>C46+'22'!D46</f>
        <v>0</v>
      </c>
      <c r="E46" s="143">
        <f t="shared" si="6"/>
        <v>0</v>
      </c>
      <c r="F46" s="304"/>
      <c r="G46" s="305"/>
      <c r="H46" s="186" t="s">
        <v>88</v>
      </c>
      <c r="I46" s="140">
        <f>+SUMIF(Listrik!X30,"&gt;0")</f>
        <v>41518.040000000634</v>
      </c>
      <c r="J46" s="135">
        <f>+I46+'22'!J46</f>
        <v>881717.03869719326</v>
      </c>
      <c r="K46" s="130" t="s">
        <v>89</v>
      </c>
    </row>
    <row r="47" spans="1:19" ht="17.399999999999999" customHeight="1">
      <c r="A47" s="786" t="s">
        <v>90</v>
      </c>
      <c r="B47" s="787"/>
      <c r="C47" s="164">
        <f>SUMIF($G$7:$G$31,"Gas",$F$7:$F$31)</f>
        <v>0</v>
      </c>
      <c r="D47" s="118">
        <f>C47+'22'!D47</f>
        <v>0</v>
      </c>
      <c r="E47" s="143">
        <f t="shared" si="6"/>
        <v>0</v>
      </c>
      <c r="F47" s="304"/>
      <c r="G47" s="305"/>
      <c r="H47" s="186" t="s">
        <v>91</v>
      </c>
      <c r="I47" s="118">
        <f>I46/I38</f>
        <v>792.01159840523144</v>
      </c>
      <c r="J47" s="135">
        <f>J46/J38</f>
        <v>737.83605636231607</v>
      </c>
      <c r="K47" s="130" t="s">
        <v>24</v>
      </c>
    </row>
    <row r="48" spans="1:19" ht="17.399999999999999" customHeight="1">
      <c r="A48" s="786" t="s">
        <v>14</v>
      </c>
      <c r="B48" s="787"/>
      <c r="C48" s="164">
        <f>SUMIF($G$7:$G$31,"Start Up",$F$7:$F$31)</f>
        <v>0</v>
      </c>
      <c r="D48" s="118">
        <f>C48+'22'!D48</f>
        <v>0</v>
      </c>
      <c r="E48" s="143">
        <f t="shared" si="6"/>
        <v>0</v>
      </c>
      <c r="F48" s="304"/>
      <c r="G48" s="305"/>
      <c r="H48" s="186" t="s">
        <v>92</v>
      </c>
      <c r="I48" s="118">
        <f>I46/I40</f>
        <v>913.20693295795877</v>
      </c>
      <c r="J48" s="135">
        <f>J46/J40</f>
        <v>748.76612546043793</v>
      </c>
      <c r="K48" s="130" t="s">
        <v>24</v>
      </c>
    </row>
    <row r="49" spans="1:11" ht="17.399999999999999" customHeight="1">
      <c r="A49" s="786" t="s">
        <v>20</v>
      </c>
      <c r="B49" s="787"/>
      <c r="C49" s="164">
        <f>SUMIF($G$7:$G$31,"Others",$F$7:$F$31)</f>
        <v>0</v>
      </c>
      <c r="D49" s="118">
        <f>C49+'22'!D49</f>
        <v>1072</v>
      </c>
      <c r="E49" s="143">
        <f t="shared" si="6"/>
        <v>17.866666666666667</v>
      </c>
      <c r="F49" s="183"/>
      <c r="H49" s="186" t="s">
        <v>269</v>
      </c>
      <c r="I49" s="118">
        <f>+Report1!T31</f>
        <v>3910.1204494727936</v>
      </c>
      <c r="J49" s="135">
        <f>+I49+'22'!J49</f>
        <v>85081.631752315152</v>
      </c>
      <c r="K49" s="130" t="s">
        <v>93</v>
      </c>
    </row>
    <row r="50" spans="1:11" ht="17.399999999999999" customHeight="1">
      <c r="A50" s="786" t="s">
        <v>19</v>
      </c>
      <c r="B50" s="787"/>
      <c r="C50" s="164">
        <f>SUMIF($G$7:$G$31,"Steam",$F$7:$F$31)</f>
        <v>0</v>
      </c>
      <c r="D50" s="118">
        <f>C50+'22'!D50</f>
        <v>0</v>
      </c>
      <c r="E50" s="143">
        <f t="shared" si="6"/>
        <v>0</v>
      </c>
      <c r="F50" s="183"/>
      <c r="H50" s="186" t="s">
        <v>94</v>
      </c>
      <c r="I50" s="140">
        <f>I49/I38</f>
        <v>74.590726034848501</v>
      </c>
      <c r="J50" s="133">
        <f>J49/J38</f>
        <v>71.197779883845698</v>
      </c>
      <c r="K50" s="130" t="s">
        <v>93</v>
      </c>
    </row>
    <row r="51" spans="1:11" ht="17.399999999999999" customHeight="1">
      <c r="A51" s="803" t="s">
        <v>95</v>
      </c>
      <c r="B51" s="803"/>
      <c r="C51" s="164">
        <f>SUMIF($G$7:$G$31,"Planned shut",$F$7:$F$31)</f>
        <v>0</v>
      </c>
      <c r="D51" s="118">
        <f>C51+'22'!D51</f>
        <v>0</v>
      </c>
      <c r="E51" s="143">
        <f t="shared" si="6"/>
        <v>0</v>
      </c>
      <c r="F51" s="183"/>
      <c r="H51" s="188" t="s">
        <v>96</v>
      </c>
      <c r="I51" s="141">
        <f>I49/I40</f>
        <v>86.004760898134649</v>
      </c>
      <c r="J51" s="136">
        <f>J49/J40</f>
        <v>72.2524811918842</v>
      </c>
      <c r="K51" s="137" t="s">
        <v>93</v>
      </c>
    </row>
    <row r="52" spans="1:11" ht="13.8" thickBot="1">
      <c r="A52" s="804" t="s">
        <v>218</v>
      </c>
      <c r="B52" s="805"/>
      <c r="C52" s="164">
        <f>SUMIF($G$7:$G$31,"Change Grade",$F$7:$F$31)</f>
        <v>0</v>
      </c>
      <c r="D52" s="118">
        <f>C52+'22'!D52</f>
        <v>0</v>
      </c>
      <c r="E52" s="143">
        <f t="shared" si="6"/>
        <v>0</v>
      </c>
      <c r="F52" s="183"/>
      <c r="H52" s="189"/>
      <c r="I52" s="190"/>
      <c r="J52" s="138"/>
      <c r="K52" s="139"/>
    </row>
    <row r="53" spans="1:11">
      <c r="A53" s="799" t="s">
        <v>28</v>
      </c>
      <c r="B53" s="800"/>
      <c r="C53" s="144">
        <f>SUM(C38:C52)</f>
        <v>26</v>
      </c>
      <c r="D53" s="144">
        <f>SUM(D38:D52)</f>
        <v>1717</v>
      </c>
      <c r="E53" s="145">
        <f>SUM(E38:E52)</f>
        <v>28.616666666666667</v>
      </c>
      <c r="F53" s="183"/>
    </row>
    <row r="54" spans="1:11" ht="13.8" thickBot="1">
      <c r="A54" s="801"/>
      <c r="B54" s="802"/>
      <c r="C54" s="146">
        <f>C53/(24*60)</f>
        <v>1.8055555555555554E-2</v>
      </c>
      <c r="D54" s="146">
        <f>D53/(24*60*G4)</f>
        <v>5.1841787439613526E-2</v>
      </c>
      <c r="E54" s="147">
        <f>E53/(G4*24)</f>
        <v>5.1841787439613526E-2</v>
      </c>
      <c r="F54" s="183"/>
    </row>
    <row r="55" spans="1:11">
      <c r="E55" s="191"/>
    </row>
    <row r="56" spans="1:11">
      <c r="A56" s="192" t="s">
        <v>97</v>
      </c>
      <c r="B56" s="193"/>
      <c r="C56" s="194"/>
      <c r="D56" s="194"/>
      <c r="E56" s="194"/>
      <c r="F56" s="195"/>
      <c r="G56" s="194"/>
      <c r="H56" s="196"/>
      <c r="I56" s="197" t="s">
        <v>98</v>
      </c>
      <c r="J56" s="198">
        <f>+D34+'22'!J56</f>
        <v>2210</v>
      </c>
      <c r="K56" s="199">
        <f>J56/(J40+J56/1000)/1000</f>
        <v>1.8732464802461498E-3</v>
      </c>
    </row>
    <row r="57" spans="1:11">
      <c r="A57" s="174"/>
      <c r="I57" s="197" t="s">
        <v>99</v>
      </c>
      <c r="J57" s="198">
        <f>+E34+'22'!J57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1"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61"/>
  <sheetViews>
    <sheetView view="pageBreakPreview" zoomScale="80" zoomScaleNormal="80" zoomScaleSheetLayoutView="80" workbookViewId="0">
      <selection activeCell="A7" sqref="A7:A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6640625" style="149" bestFit="1" customWidth="1"/>
    <col min="12" max="12" width="8.33203125" style="149" customWidth="1"/>
    <col min="13" max="13" width="15.33203125" style="149" customWidth="1"/>
    <col min="14" max="16384" width="9.109375" style="149"/>
  </cols>
  <sheetData>
    <row r="1" spans="1:27" ht="15.6">
      <c r="A1" s="148"/>
      <c r="V1" s="515"/>
      <c r="X1" s="518"/>
    </row>
    <row r="2" spans="1:27" ht="15.6">
      <c r="A2" s="148" t="s">
        <v>219</v>
      </c>
      <c r="V2" s="515"/>
      <c r="X2" s="518"/>
    </row>
    <row r="3" spans="1:27" ht="15">
      <c r="A3" s="150"/>
      <c r="Y3" s="516"/>
    </row>
    <row r="4" spans="1:27" ht="21">
      <c r="A4" s="151" t="s">
        <v>4</v>
      </c>
      <c r="B4" s="152"/>
      <c r="F4" s="153" t="s">
        <v>29</v>
      </c>
      <c r="G4" s="154">
        <v>22</v>
      </c>
      <c r="H4" s="154" t="str">
        <f>+'1'!H4</f>
        <v>.03.26</v>
      </c>
      <c r="J4" s="149">
        <f>178+172+163</f>
        <v>513</v>
      </c>
      <c r="Z4" s="516"/>
      <c r="AA4" s="516"/>
    </row>
    <row r="5" spans="1:27" ht="13.8" thickBot="1">
      <c r="C5" s="155"/>
      <c r="D5" s="155"/>
    </row>
    <row r="6" spans="1:27"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659</v>
      </c>
      <c r="O6" s="149">
        <v>860</v>
      </c>
      <c r="P6" s="149">
        <f>+O6-(O6*0.16)</f>
        <v>722.4</v>
      </c>
      <c r="Q6" s="149">
        <v>480</v>
      </c>
      <c r="R6" s="149">
        <f t="shared" ref="R6" si="0">+O6*Q6</f>
        <v>412800</v>
      </c>
      <c r="S6" s="149">
        <f t="shared" ref="S6" si="1">+P6*Q6</f>
        <v>346752</v>
      </c>
    </row>
    <row r="7" spans="1:27" ht="13.5" customHeight="1" thickBot="1">
      <c r="A7" s="788" t="s">
        <v>458</v>
      </c>
      <c r="B7" s="213" t="s">
        <v>650</v>
      </c>
      <c r="C7" s="214">
        <v>19941</v>
      </c>
      <c r="D7" s="215"/>
      <c r="E7" s="216"/>
      <c r="F7" s="231"/>
      <c r="G7" s="553" t="s">
        <v>12</v>
      </c>
      <c r="H7" s="554" t="s">
        <v>417</v>
      </c>
      <c r="I7" s="791" t="s">
        <v>675</v>
      </c>
      <c r="J7" s="212" t="str">
        <f>+'21'!J7</f>
        <v>T 15 RC HW</v>
      </c>
      <c r="K7" s="233">
        <f>+C26</f>
        <v>10421</v>
      </c>
      <c r="L7" s="237"/>
      <c r="M7" s="117">
        <f>+K7+'21'!M7+L7</f>
        <v>417023</v>
      </c>
    </row>
    <row r="8" spans="1:27" ht="13.8" thickBot="1">
      <c r="A8" s="789"/>
      <c r="B8" s="213"/>
      <c r="C8" s="214"/>
      <c r="D8" s="215"/>
      <c r="E8" s="217"/>
      <c r="F8" s="227">
        <v>2</v>
      </c>
      <c r="G8" s="555" t="s">
        <v>12</v>
      </c>
      <c r="H8" s="226" t="s">
        <v>416</v>
      </c>
      <c r="I8" s="792"/>
      <c r="J8" s="212" t="str">
        <f>+'21'!J8</f>
        <v>T 14,5 RC HW</v>
      </c>
      <c r="K8" s="234"/>
      <c r="L8" s="234"/>
      <c r="M8" s="117">
        <f>+K8+'21'!M8+L8</f>
        <v>206120</v>
      </c>
      <c r="V8" s="541"/>
      <c r="X8" s="518"/>
    </row>
    <row r="9" spans="1:27" ht="13.8" thickBot="1">
      <c r="A9" s="789"/>
      <c r="B9" s="213"/>
      <c r="C9" s="214"/>
      <c r="D9" s="215"/>
      <c r="E9" s="218"/>
      <c r="F9" s="227">
        <v>8</v>
      </c>
      <c r="G9" s="555" t="s">
        <v>12</v>
      </c>
      <c r="H9" s="229" t="s">
        <v>415</v>
      </c>
      <c r="I9" s="792"/>
      <c r="J9" s="212" t="str">
        <f>+'21'!J9</f>
        <v>T 14 RC HW</v>
      </c>
      <c r="K9" s="234"/>
      <c r="L9" s="234"/>
      <c r="M9" s="117">
        <f>+K9+'21'!M9+L9</f>
        <v>49646</v>
      </c>
      <c r="V9" s="517"/>
      <c r="W9" s="518"/>
      <c r="X9" s="518"/>
      <c r="Y9" s="518"/>
    </row>
    <row r="10" spans="1:27" ht="53.4" thickBot="1">
      <c r="A10" s="789"/>
      <c r="B10" s="213"/>
      <c r="C10" s="214"/>
      <c r="D10" s="215"/>
      <c r="E10" s="217"/>
      <c r="F10" s="227"/>
      <c r="G10" s="225"/>
      <c r="H10" s="556" t="s">
        <v>661</v>
      </c>
      <c r="I10" s="792"/>
      <c r="J10" s="212" t="str">
        <f>+'21'!J10</f>
        <v>T 13,5 RC HW</v>
      </c>
      <c r="K10" s="234"/>
      <c r="L10" s="234"/>
      <c r="M10" s="117">
        <f>+K10+'21'!M10+L10</f>
        <v>196361</v>
      </c>
      <c r="Y10" s="543"/>
    </row>
    <row r="11" spans="1:27" ht="27" thickBot="1">
      <c r="A11" s="789"/>
      <c r="B11" s="213"/>
      <c r="C11" s="214"/>
      <c r="D11" s="215"/>
      <c r="E11" s="217"/>
      <c r="F11" s="224"/>
      <c r="G11" s="228"/>
      <c r="H11" s="229" t="s">
        <v>662</v>
      </c>
      <c r="I11" s="792"/>
      <c r="J11" s="212" t="str">
        <f>+'21'!J11</f>
        <v>TW 22 RC HW</v>
      </c>
      <c r="K11" s="234">
        <f>+C7+C16+C25</f>
        <v>44061</v>
      </c>
      <c r="L11" s="234"/>
      <c r="M11" s="117">
        <f>+K11+'21'!M11+L11</f>
        <v>262946</v>
      </c>
      <c r="Z11" s="543"/>
      <c r="AA11" s="543"/>
    </row>
    <row r="12" spans="1:27" ht="13.8" thickBot="1">
      <c r="A12" s="789"/>
      <c r="B12" s="213"/>
      <c r="C12" s="214"/>
      <c r="D12" s="215"/>
      <c r="E12" s="217"/>
      <c r="F12" s="224"/>
      <c r="G12" s="228"/>
      <c r="H12" s="229"/>
      <c r="I12" s="792"/>
      <c r="J12" s="212">
        <f>+'21'!J12</f>
        <v>0</v>
      </c>
      <c r="K12" s="234"/>
      <c r="L12" s="234"/>
      <c r="M12" s="117">
        <f>+K12+'21'!M12+L12</f>
        <v>0</v>
      </c>
    </row>
    <row r="13" spans="1:27" ht="13.8" thickBot="1">
      <c r="A13" s="789"/>
      <c r="B13" s="213"/>
      <c r="C13" s="214"/>
      <c r="D13" s="214"/>
      <c r="E13" s="217"/>
      <c r="F13" s="224"/>
      <c r="G13" s="228"/>
      <c r="H13" s="229"/>
      <c r="I13" s="793"/>
      <c r="J13" s="212">
        <f>+'21'!J13</f>
        <v>0</v>
      </c>
      <c r="K13" s="234"/>
      <c r="L13" s="234"/>
      <c r="M13" s="117">
        <f>+K13+'21'!M13+L13</f>
        <v>0</v>
      </c>
      <c r="Q13" s="174">
        <f>SUM(Q6:Q12)</f>
        <v>480</v>
      </c>
      <c r="R13" s="174">
        <f>SUM(R6:R12)</f>
        <v>412800</v>
      </c>
      <c r="S13" s="174">
        <f>SUM(S6:S12)</f>
        <v>346752</v>
      </c>
    </row>
    <row r="14" spans="1:27" ht="13.8" thickBot="1">
      <c r="A14" s="790"/>
      <c r="B14" s="165" t="s">
        <v>3</v>
      </c>
      <c r="C14" s="99">
        <f>SUM(C7:C13)</f>
        <v>19941</v>
      </c>
      <c r="D14" s="111">
        <f>SUM(D7:D13)</f>
        <v>0</v>
      </c>
      <c r="E14" s="112">
        <f>SUM(E5:E13)</f>
        <v>0</v>
      </c>
      <c r="F14" s="116">
        <f>SUM(F7:F13)</f>
        <v>10</v>
      </c>
      <c r="G14" s="159"/>
      <c r="H14" s="166"/>
      <c r="I14" s="167"/>
      <c r="J14" s="212">
        <f>+'21'!J14</f>
        <v>0</v>
      </c>
      <c r="K14" s="234"/>
      <c r="L14" s="234"/>
      <c r="M14" s="117">
        <f>+K14+'21'!M14+L14</f>
        <v>0</v>
      </c>
      <c r="Q14" s="149">
        <f>480-Q13</f>
        <v>0</v>
      </c>
      <c r="R14" s="174">
        <f>+R13/Q13</f>
        <v>860</v>
      </c>
      <c r="S14" s="174">
        <f>+S13/Q13</f>
        <v>722.4</v>
      </c>
    </row>
    <row r="15" spans="1:27" ht="13.5" customHeight="1" thickBot="1">
      <c r="A15" s="794" t="s">
        <v>428</v>
      </c>
      <c r="B15" s="513"/>
      <c r="C15" s="113">
        <f>C14/($C$23+$D$23+$E$23)</f>
        <v>1.0621604346436562</v>
      </c>
      <c r="D15" s="114">
        <f>D14/($C$23+$D$23+$E$23)</f>
        <v>0</v>
      </c>
      <c r="E15" s="115">
        <f>E14/($C$23+$D$23+$E$23)</f>
        <v>0</v>
      </c>
      <c r="F15" s="231"/>
      <c r="G15" s="553" t="s">
        <v>12</v>
      </c>
      <c r="H15" s="554" t="s">
        <v>417</v>
      </c>
      <c r="I15" s="791" t="s">
        <v>675</v>
      </c>
      <c r="J15" s="212">
        <f>+'21'!J15</f>
        <v>0</v>
      </c>
      <c r="K15" s="234"/>
      <c r="L15" s="234"/>
      <c r="M15" s="117">
        <f>+K15+'21'!M15+L15</f>
        <v>0</v>
      </c>
    </row>
    <row r="16" spans="1:27" ht="13.8" thickBot="1">
      <c r="A16" s="789"/>
      <c r="B16" s="213" t="s">
        <v>650</v>
      </c>
      <c r="C16" s="511">
        <v>18774</v>
      </c>
      <c r="D16" s="219"/>
      <c r="E16" s="220"/>
      <c r="F16" s="227">
        <v>1</v>
      </c>
      <c r="G16" s="555" t="s">
        <v>12</v>
      </c>
      <c r="H16" s="226" t="s">
        <v>416</v>
      </c>
      <c r="I16" s="792"/>
      <c r="J16" s="212">
        <f>+'21'!J16</f>
        <v>0</v>
      </c>
      <c r="K16" s="234"/>
      <c r="L16" s="225"/>
      <c r="M16" s="117">
        <f>+K16+'21'!M16+L16</f>
        <v>0</v>
      </c>
      <c r="N16" s="149" t="s">
        <v>659</v>
      </c>
      <c r="O16" s="149">
        <v>860</v>
      </c>
      <c r="P16" s="149">
        <f>+O16-(O16*0.16)</f>
        <v>722.4</v>
      </c>
      <c r="Q16" s="149">
        <v>480</v>
      </c>
      <c r="R16" s="149">
        <f t="shared" ref="R16" si="2">+O16*Q16</f>
        <v>412800</v>
      </c>
      <c r="S16" s="149">
        <f t="shared" ref="S16" si="3">+P16*Q16</f>
        <v>346752</v>
      </c>
    </row>
    <row r="17" spans="1:19" ht="13.8" thickBot="1">
      <c r="A17" s="789"/>
      <c r="B17" s="213"/>
      <c r="C17" s="214"/>
      <c r="D17" s="215"/>
      <c r="E17" s="221"/>
      <c r="F17" s="227">
        <v>5</v>
      </c>
      <c r="G17" s="555" t="s">
        <v>12</v>
      </c>
      <c r="H17" s="229" t="s">
        <v>415</v>
      </c>
      <c r="I17" s="792"/>
      <c r="J17" s="212">
        <f>+'21'!J17</f>
        <v>0</v>
      </c>
      <c r="K17" s="234"/>
      <c r="L17" s="225"/>
      <c r="M17" s="117">
        <f>+K17+'21'!M17+L17</f>
        <v>0</v>
      </c>
    </row>
    <row r="18" spans="1:19" ht="66.599999999999994" thickBot="1">
      <c r="A18" s="789"/>
      <c r="B18" s="213"/>
      <c r="C18" s="214"/>
      <c r="D18" s="215"/>
      <c r="E18" s="221"/>
      <c r="F18" s="227"/>
      <c r="G18" s="225"/>
      <c r="H18" s="556" t="s">
        <v>666</v>
      </c>
      <c r="I18" s="792"/>
      <c r="J18" s="212">
        <f>+'21'!J18</f>
        <v>0</v>
      </c>
      <c r="K18" s="234"/>
      <c r="L18" s="234"/>
      <c r="M18" s="117">
        <f>+K18+'21'!M18+L18</f>
        <v>0</v>
      </c>
    </row>
    <row r="19" spans="1:19" ht="13.8" thickBot="1">
      <c r="A19" s="789"/>
      <c r="B19" s="213"/>
      <c r="C19" s="214"/>
      <c r="D19" s="215"/>
      <c r="E19" s="221"/>
      <c r="F19" s="230"/>
      <c r="G19" s="228"/>
      <c r="H19" s="229"/>
      <c r="I19" s="792"/>
      <c r="J19" s="212">
        <f>+'21'!J19</f>
        <v>0</v>
      </c>
      <c r="K19" s="234"/>
      <c r="L19" s="234"/>
      <c r="M19" s="117">
        <f>+K19+'21'!M19+L19</f>
        <v>0</v>
      </c>
    </row>
    <row r="20" spans="1:19" ht="13.8" thickBot="1">
      <c r="A20" s="789"/>
      <c r="B20" s="213"/>
      <c r="C20" s="214"/>
      <c r="D20" s="215"/>
      <c r="E20" s="221"/>
      <c r="F20" s="224"/>
      <c r="G20" s="228"/>
      <c r="H20" s="229"/>
      <c r="I20" s="792"/>
      <c r="J20" s="212">
        <f>+'21'!J20</f>
        <v>0</v>
      </c>
      <c r="K20" s="235"/>
      <c r="L20" s="235"/>
      <c r="M20" s="117">
        <f>+K20+'21'!M20+L20</f>
        <v>0</v>
      </c>
    </row>
    <row r="21" spans="1:19" ht="13.8" thickBot="1">
      <c r="A21" s="789"/>
      <c r="B21" s="213"/>
      <c r="C21" s="214"/>
      <c r="D21" s="215"/>
      <c r="E21" s="221"/>
      <c r="F21" s="227"/>
      <c r="G21" s="228"/>
      <c r="H21" s="229"/>
      <c r="I21" s="792"/>
      <c r="J21" s="212">
        <f>+'21'!J21</f>
        <v>0</v>
      </c>
      <c r="K21" s="234"/>
      <c r="L21" s="234"/>
      <c r="M21" s="117">
        <f>+K21+'21'!M21+L21</f>
        <v>0</v>
      </c>
    </row>
    <row r="22" spans="1:19" ht="13.8" thickBot="1">
      <c r="A22" s="789"/>
      <c r="B22" s="213"/>
      <c r="C22" s="214"/>
      <c r="D22" s="215"/>
      <c r="E22" s="221"/>
      <c r="F22" s="231"/>
      <c r="G22" s="228"/>
      <c r="H22" s="229"/>
      <c r="I22" s="793"/>
      <c r="J22" s="212">
        <f>+'21'!J22</f>
        <v>0</v>
      </c>
      <c r="K22" s="234"/>
      <c r="L22" s="234"/>
      <c r="M22" s="117">
        <f>+K22+'21'!M22+L22</f>
        <v>0</v>
      </c>
    </row>
    <row r="23" spans="1:19" ht="13.8" thickBot="1">
      <c r="A23" s="790"/>
      <c r="B23" s="165" t="s">
        <v>3</v>
      </c>
      <c r="C23" s="99">
        <f>SUM(C16:C22)</f>
        <v>18774</v>
      </c>
      <c r="D23" s="111">
        <f>SUM(D16:D22)</f>
        <v>0</v>
      </c>
      <c r="E23" s="112">
        <f>SUM(E18:E22)</f>
        <v>0</v>
      </c>
      <c r="F23" s="116">
        <f>SUM(F15:F22)</f>
        <v>6</v>
      </c>
      <c r="G23" s="159"/>
      <c r="H23" s="166"/>
      <c r="I23" s="168"/>
      <c r="J23" s="212">
        <f>+'21'!J23</f>
        <v>0</v>
      </c>
      <c r="K23" s="234"/>
      <c r="L23" s="234"/>
      <c r="M23" s="117">
        <f>+K23+'21'!M23+L23</f>
        <v>0</v>
      </c>
      <c r="Q23" s="174">
        <f>SUM(Q16:Q22)</f>
        <v>480</v>
      </c>
      <c r="R23" s="174">
        <f>SUM(R16:R22)</f>
        <v>412800</v>
      </c>
      <c r="S23" s="174">
        <f>SUM(S16:S22)</f>
        <v>346752</v>
      </c>
    </row>
    <row r="24" spans="1:19" ht="13.5" customHeight="1" thickBot="1">
      <c r="A24" s="794" t="s">
        <v>387</v>
      </c>
      <c r="B24" s="513"/>
      <c r="C24" s="113">
        <f>C23/($C$23+$D$23+$E$23)</f>
        <v>1</v>
      </c>
      <c r="D24" s="114">
        <f>D23/($C$23+$D$23+$E$23)</f>
        <v>0</v>
      </c>
      <c r="E24" s="115">
        <f>E23/($C$23+$D$23+$E$23)</f>
        <v>0</v>
      </c>
      <c r="F24" s="231"/>
      <c r="G24" s="553" t="s">
        <v>12</v>
      </c>
      <c r="H24" s="554" t="s">
        <v>417</v>
      </c>
      <c r="I24" s="791" t="s">
        <v>678</v>
      </c>
      <c r="J24" s="212">
        <f>+'21'!J24</f>
        <v>0</v>
      </c>
      <c r="K24" s="234"/>
      <c r="L24" s="234"/>
      <c r="M24" s="117">
        <f>+K24+'21'!M24+L24</f>
        <v>0</v>
      </c>
      <c r="Q24" s="149">
        <f>480-Q23</f>
        <v>0</v>
      </c>
      <c r="R24" s="174">
        <f>+R23/Q23</f>
        <v>860</v>
      </c>
      <c r="S24" s="174">
        <f>+S23/Q23</f>
        <v>722.4</v>
      </c>
    </row>
    <row r="25" spans="1:19" ht="13.8" thickBot="1">
      <c r="A25" s="789"/>
      <c r="B25" s="213" t="s">
        <v>650</v>
      </c>
      <c r="C25" s="222">
        <v>5346</v>
      </c>
      <c r="D25" s="215"/>
      <c r="E25" s="221"/>
      <c r="F25" s="227">
        <v>1</v>
      </c>
      <c r="G25" s="555" t="s">
        <v>12</v>
      </c>
      <c r="H25" s="226" t="s">
        <v>416</v>
      </c>
      <c r="I25" s="792"/>
      <c r="J25" s="212">
        <f>+'21'!J25</f>
        <v>0</v>
      </c>
      <c r="K25" s="234"/>
      <c r="L25" s="234"/>
      <c r="M25" s="117">
        <f>+K25+'21'!M25+L25</f>
        <v>0</v>
      </c>
      <c r="N25" s="541"/>
      <c r="O25" s="542"/>
      <c r="P25" s="542"/>
      <c r="Q25" s="542"/>
    </row>
    <row r="26" spans="1:19" ht="13.8" thickBot="1">
      <c r="A26" s="789"/>
      <c r="B26" s="213" t="s">
        <v>430</v>
      </c>
      <c r="C26" s="222">
        <v>10421</v>
      </c>
      <c r="D26" s="215"/>
      <c r="E26" s="223"/>
      <c r="F26" s="227">
        <v>9</v>
      </c>
      <c r="G26" s="555" t="s">
        <v>12</v>
      </c>
      <c r="H26" s="229" t="s">
        <v>555</v>
      </c>
      <c r="I26" s="792"/>
      <c r="J26" s="212">
        <f>+'21'!J26</f>
        <v>0</v>
      </c>
      <c r="K26" s="234"/>
      <c r="L26" s="234"/>
      <c r="M26" s="117">
        <f>+K26+'21'!M26+L26</f>
        <v>0</v>
      </c>
      <c r="N26" s="149" t="s">
        <v>659</v>
      </c>
      <c r="O26" s="149">
        <v>860</v>
      </c>
      <c r="P26" s="149">
        <f>+O26-(O26*0.16)</f>
        <v>722.4</v>
      </c>
      <c r="Q26" s="149">
        <v>20</v>
      </c>
      <c r="R26" s="149">
        <f t="shared" ref="R26:R27" si="4">+O26*Q26</f>
        <v>17200</v>
      </c>
      <c r="S26" s="149">
        <f t="shared" ref="S26:S27" si="5">+P26*Q26</f>
        <v>14448</v>
      </c>
    </row>
    <row r="27" spans="1:19" ht="79.8" thickBot="1">
      <c r="A27" s="789"/>
      <c r="B27" s="213"/>
      <c r="C27" s="214"/>
      <c r="D27" s="215"/>
      <c r="E27" s="221"/>
      <c r="F27" s="227"/>
      <c r="G27" s="225"/>
      <c r="H27" s="556" t="s">
        <v>673</v>
      </c>
      <c r="I27" s="792"/>
      <c r="J27" s="212">
        <f>+'21'!J27</f>
        <v>0</v>
      </c>
      <c r="K27" s="234"/>
      <c r="L27" s="234"/>
      <c r="M27" s="117">
        <f>+K27+'21'!M27+L27</f>
        <v>0</v>
      </c>
      <c r="N27" s="149" t="s">
        <v>410</v>
      </c>
      <c r="O27" s="149">
        <v>1180</v>
      </c>
      <c r="P27" s="149">
        <f>+O27-(O27*0.23)</f>
        <v>908.59999999999991</v>
      </c>
      <c r="Q27" s="149">
        <f>480-Q26</f>
        <v>460</v>
      </c>
      <c r="R27" s="149">
        <f t="shared" si="4"/>
        <v>542800</v>
      </c>
      <c r="S27" s="149">
        <f t="shared" si="5"/>
        <v>417955.99999999994</v>
      </c>
    </row>
    <row r="28" spans="1:19" ht="13.8" thickBot="1">
      <c r="A28" s="789"/>
      <c r="B28" s="213"/>
      <c r="C28" s="214"/>
      <c r="D28" s="215"/>
      <c r="E28" s="221"/>
      <c r="F28" s="227"/>
      <c r="G28" s="225"/>
      <c r="H28" s="229" t="s">
        <v>674</v>
      </c>
      <c r="I28" s="792"/>
      <c r="J28" s="212">
        <f>+'21'!J28</f>
        <v>0</v>
      </c>
      <c r="K28" s="234"/>
      <c r="L28" s="234"/>
      <c r="M28" s="117">
        <f>+K28+'21'!M28+L28</f>
        <v>0</v>
      </c>
    </row>
    <row r="29" spans="1:19" ht="13.8" thickBot="1">
      <c r="A29" s="789"/>
      <c r="B29" s="213"/>
      <c r="C29" s="214"/>
      <c r="D29" s="215"/>
      <c r="E29" s="221"/>
      <c r="F29" s="231"/>
      <c r="G29" s="228"/>
      <c r="H29" s="229"/>
      <c r="I29" s="792"/>
      <c r="J29" s="212">
        <f>+'21'!J29</f>
        <v>0</v>
      </c>
      <c r="K29" s="234"/>
      <c r="L29" s="234"/>
      <c r="M29" s="117">
        <f>+K29+'21'!M29+L29</f>
        <v>0</v>
      </c>
    </row>
    <row r="30" spans="1:19" ht="13.8" thickBot="1">
      <c r="A30" s="789"/>
      <c r="B30" s="213"/>
      <c r="C30" s="222"/>
      <c r="D30" s="215"/>
      <c r="E30" s="221"/>
      <c r="F30" s="231"/>
      <c r="G30" s="228"/>
      <c r="H30" s="229"/>
      <c r="I30" s="792"/>
      <c r="J30" s="212">
        <f>+'21'!J30</f>
        <v>0</v>
      </c>
      <c r="K30" s="234"/>
      <c r="L30" s="234"/>
      <c r="M30" s="117">
        <f>+K30+'21'!M30+L30</f>
        <v>0</v>
      </c>
    </row>
    <row r="31" spans="1:19" ht="13.8" thickBot="1">
      <c r="A31" s="789"/>
      <c r="B31" s="213"/>
      <c r="C31" s="222"/>
      <c r="D31" s="215"/>
      <c r="E31" s="221"/>
      <c r="F31" s="231"/>
      <c r="G31" s="232"/>
      <c r="H31" s="404"/>
      <c r="I31" s="793"/>
      <c r="J31" s="212">
        <f>+'21'!J31</f>
        <v>0</v>
      </c>
      <c r="K31" s="234"/>
      <c r="L31" s="234"/>
      <c r="M31" s="117">
        <f>+K31+'21'!M31+L31</f>
        <v>0</v>
      </c>
    </row>
    <row r="32" spans="1:19" ht="13.8" thickBot="1">
      <c r="A32" s="790"/>
      <c r="B32" s="165" t="s">
        <v>3</v>
      </c>
      <c r="C32" s="99">
        <f>SUM(C25:C31)</f>
        <v>15767</v>
      </c>
      <c r="D32" s="100">
        <f>SUM(D25:D31)</f>
        <v>0</v>
      </c>
      <c r="E32" s="101">
        <f>SUM(E25:E31)</f>
        <v>0</v>
      </c>
      <c r="F32" s="99">
        <f>SUM(F24:F31)</f>
        <v>10</v>
      </c>
      <c r="G32" s="169"/>
      <c r="H32" s="170"/>
      <c r="I32" s="168"/>
      <c r="J32" s="212">
        <f>+'21'!J32</f>
        <v>0</v>
      </c>
      <c r="K32" s="236"/>
      <c r="L32" s="238"/>
      <c r="M32" s="117">
        <f>+K32+'21'!M32+L32</f>
        <v>0</v>
      </c>
    </row>
    <row r="33" spans="1:19" ht="13.8" thickBot="1">
      <c r="A33" s="171"/>
      <c r="B33" s="172"/>
      <c r="C33" s="103">
        <f>C32/($C$32+$D$32+$E$32)</f>
        <v>1</v>
      </c>
      <c r="D33" s="104">
        <f>D32/($C$32+$D$32+$E$32)</f>
        <v>0</v>
      </c>
      <c r="E33" s="105">
        <f>E32/($C$32+$D$32+$E$32)</f>
        <v>0</v>
      </c>
      <c r="F33" s="106"/>
      <c r="G33" s="173"/>
      <c r="H33" s="174"/>
      <c r="I33" s="175"/>
      <c r="J33" s="121"/>
      <c r="K33" s="122"/>
      <c r="L33" s="211"/>
      <c r="M33" s="119"/>
      <c r="Q33" s="174">
        <f>SUM(Q26:Q32)</f>
        <v>480</v>
      </c>
      <c r="R33" s="174">
        <f>SUM(R26:R32)</f>
        <v>560000</v>
      </c>
      <c r="S33" s="174">
        <f>SUM(S26:S32)</f>
        <v>432403.99999999994</v>
      </c>
    </row>
    <row r="34" spans="1:19" ht="13.8" thickBot="1">
      <c r="A34" s="795" t="s">
        <v>68</v>
      </c>
      <c r="B34" s="796"/>
      <c r="C34" s="107">
        <f>C14+C23+C32</f>
        <v>54482</v>
      </c>
      <c r="D34" s="107">
        <f>D14+D23+D32</f>
        <v>0</v>
      </c>
      <c r="E34" s="107">
        <f>E14+E23+E32</f>
        <v>0</v>
      </c>
      <c r="F34" s="108">
        <f>F14+F23+F32</f>
        <v>26</v>
      </c>
      <c r="H34" s="176"/>
      <c r="I34" s="176"/>
      <c r="J34" s="123" t="s">
        <v>28</v>
      </c>
      <c r="K34" s="124">
        <f>SUM(K7:K32)</f>
        <v>54482</v>
      </c>
      <c r="L34" s="210">
        <f>SUM(L7:L32)</f>
        <v>0</v>
      </c>
      <c r="M34" s="120">
        <f>SUM(M7:M32)</f>
        <v>1132096</v>
      </c>
      <c r="Q34" s="149">
        <f>480-Q33</f>
        <v>0</v>
      </c>
      <c r="R34" s="174">
        <f>+R33/Q33</f>
        <v>1166.6666666666667</v>
      </c>
      <c r="S34" s="174">
        <f>+S33/Q33</f>
        <v>900.84166666666658</v>
      </c>
    </row>
    <row r="35" spans="1:19" ht="13.8" thickBot="1">
      <c r="A35" s="177"/>
      <c r="B35" s="178"/>
      <c r="C35" s="104">
        <f>C34/($C$34+$D$34+$E$34)</f>
        <v>1</v>
      </c>
      <c r="D35" s="104">
        <f>D34/($C$34+$D$34+$E$34)</f>
        <v>0</v>
      </c>
      <c r="E35" s="109">
        <f>E34/($C$34+$D$34+$E$34)</f>
        <v>0</v>
      </c>
      <c r="H35" s="149" t="s">
        <v>0</v>
      </c>
      <c r="K35" s="155"/>
    </row>
    <row r="36" spans="1:19" ht="13.8" thickBot="1">
      <c r="A36" s="176"/>
      <c r="B36" s="176"/>
      <c r="C36" s="155"/>
      <c r="D36" s="155"/>
      <c r="E36" s="155"/>
      <c r="G36" s="155"/>
      <c r="H36" s="179"/>
      <c r="I36" s="162" t="s">
        <v>37</v>
      </c>
      <c r="J36" s="162" t="s">
        <v>38</v>
      </c>
      <c r="K36" s="180"/>
      <c r="N36" s="149" t="s">
        <v>659</v>
      </c>
      <c r="O36" s="149">
        <v>860</v>
      </c>
      <c r="P36" s="149">
        <v>722.4</v>
      </c>
      <c r="Q36" s="149">
        <f>1440-Q37</f>
        <v>980</v>
      </c>
    </row>
    <row r="37" spans="1:19" ht="17.399999999999999" customHeight="1" thickBot="1">
      <c r="A37" s="797" t="s">
        <v>69</v>
      </c>
      <c r="B37" s="798"/>
      <c r="C37" s="162" t="s">
        <v>70</v>
      </c>
      <c r="D37" s="181" t="s">
        <v>71</v>
      </c>
      <c r="E37" s="182" t="s">
        <v>72</v>
      </c>
      <c r="F37" s="304"/>
      <c r="G37" s="306"/>
      <c r="H37" s="184" t="s">
        <v>73</v>
      </c>
      <c r="I37" s="239">
        <f>(22*980+15*460)/1440*G42*2.7*1440/1000000</f>
        <v>60.081265650000006</v>
      </c>
      <c r="J37" s="125">
        <f>+I37+'21'!J37</f>
        <v>1183.0344514170615</v>
      </c>
      <c r="K37" s="126" t="s">
        <v>74</v>
      </c>
      <c r="N37" s="149" t="s">
        <v>410</v>
      </c>
      <c r="O37" s="149">
        <v>1180</v>
      </c>
      <c r="P37" s="149">
        <v>908.59999999999991</v>
      </c>
      <c r="Q37" s="149">
        <v>460</v>
      </c>
    </row>
    <row r="38" spans="1:19" ht="17.399999999999999" customHeight="1">
      <c r="A38" s="799" t="s">
        <v>12</v>
      </c>
      <c r="B38" s="800"/>
      <c r="C38" s="164">
        <f>SUMIF($G$7:$G$31,"Process",$F$7:$F$31)</f>
        <v>26</v>
      </c>
      <c r="D38" s="118">
        <f>C38+'21'!D38</f>
        <v>619</v>
      </c>
      <c r="E38" s="143">
        <f t="shared" ref="E38:E52" si="6">D38/60</f>
        <v>10.316666666666666</v>
      </c>
      <c r="F38" s="304">
        <v>860</v>
      </c>
      <c r="G38" s="304">
        <v>722.4</v>
      </c>
      <c r="H38" s="185" t="s">
        <v>75</v>
      </c>
      <c r="I38" s="240">
        <f>17.383+19.676+17.452</f>
        <v>54.510999999999996</v>
      </c>
      <c r="J38" s="127">
        <f>+I38+'21'!J38</f>
        <v>1142.5830000000001</v>
      </c>
      <c r="K38" s="128" t="s">
        <v>74</v>
      </c>
      <c r="Q38" s="149">
        <f>+Q36+Q37</f>
        <v>1440</v>
      </c>
    </row>
    <row r="39" spans="1:19" ht="17.399999999999999" customHeight="1">
      <c r="A39" s="786" t="s">
        <v>13</v>
      </c>
      <c r="B39" s="787"/>
      <c r="C39" s="164">
        <f>SUMIF($G$7:$G$31,"Cleaning",$F$7:$F$31)</f>
        <v>0</v>
      </c>
      <c r="D39" s="118">
        <f>C39+'21'!D39</f>
        <v>0</v>
      </c>
      <c r="E39" s="143">
        <f t="shared" si="6"/>
        <v>0</v>
      </c>
      <c r="F39" s="304">
        <v>860</v>
      </c>
      <c r="G39" s="304">
        <v>722.4</v>
      </c>
      <c r="H39" s="185" t="s">
        <v>76</v>
      </c>
      <c r="I39" s="142"/>
      <c r="J39" s="129">
        <f>J37/G4</f>
        <v>53.774293246230066</v>
      </c>
      <c r="K39" s="130" t="s">
        <v>74</v>
      </c>
    </row>
    <row r="40" spans="1:19" ht="17.399999999999999" customHeight="1">
      <c r="A40" s="786" t="s">
        <v>77</v>
      </c>
      <c r="B40" s="787"/>
      <c r="C40" s="164">
        <f>SUMIF($G$7:$G$31,"Mechanical",$F$7:$F$31)</f>
        <v>0</v>
      </c>
      <c r="D40" s="118">
        <f>C40+'21'!D40</f>
        <v>0</v>
      </c>
      <c r="E40" s="143">
        <f t="shared" si="6"/>
        <v>0</v>
      </c>
      <c r="F40" s="304">
        <v>1166.6666666666667</v>
      </c>
      <c r="G40" s="304">
        <v>900.84166666666658</v>
      </c>
      <c r="H40" s="185" t="s">
        <v>78</v>
      </c>
      <c r="I40" s="118">
        <f>(K34+L34)/1000</f>
        <v>54.481999999999999</v>
      </c>
      <c r="J40" s="131">
        <f>+I40+'21'!J40</f>
        <v>1132.096</v>
      </c>
      <c r="K40" s="130" t="s">
        <v>74</v>
      </c>
    </row>
    <row r="41" spans="1:19" ht="17.399999999999999" customHeight="1">
      <c r="A41" s="786" t="s">
        <v>79</v>
      </c>
      <c r="B41" s="787"/>
      <c r="C41" s="164">
        <f>SUMIF($G$7:$G$31,"Electrical",$F$7:$F$31)</f>
        <v>0</v>
      </c>
      <c r="D41" s="118">
        <f>C41+'21'!D41</f>
        <v>0</v>
      </c>
      <c r="E41" s="143">
        <f t="shared" si="6"/>
        <v>0</v>
      </c>
      <c r="F41" s="304"/>
      <c r="G41" s="304"/>
      <c r="H41" s="185" t="s">
        <v>80</v>
      </c>
      <c r="I41" s="142"/>
      <c r="J41" s="129">
        <f>J40/G4</f>
        <v>51.458909090909088</v>
      </c>
      <c r="K41" s="130" t="s">
        <v>74</v>
      </c>
    </row>
    <row r="42" spans="1:19" ht="17.399999999999999" customHeight="1">
      <c r="A42" s="786" t="s">
        <v>16</v>
      </c>
      <c r="B42" s="787"/>
      <c r="C42" s="164">
        <f>SUMIF($G$7:$G$31,"Instrument",$F$7:$F$31)</f>
        <v>0</v>
      </c>
      <c r="D42" s="118">
        <f>C42+'21'!D42</f>
        <v>0</v>
      </c>
      <c r="E42" s="143">
        <f t="shared" si="6"/>
        <v>0</v>
      </c>
      <c r="F42" s="183">
        <f>+(480*F38+480*F39+480*F40)/1440</f>
        <v>962.22222222222217</v>
      </c>
      <c r="G42" s="183">
        <f>+(480*G38+480*G39+480*G40)/1440</f>
        <v>781.88055555555559</v>
      </c>
      <c r="H42" s="185" t="s">
        <v>81</v>
      </c>
      <c r="I42" s="241"/>
      <c r="J42" s="132"/>
      <c r="K42" s="130" t="s">
        <v>82</v>
      </c>
    </row>
    <row r="43" spans="1:19" ht="17.399999999999999" customHeight="1">
      <c r="A43" s="786" t="s">
        <v>83</v>
      </c>
      <c r="B43" s="787"/>
      <c r="C43" s="164">
        <f>SUMIF($G$7:$G$31,"Water",$F$7:$F$31)</f>
        <v>0</v>
      </c>
      <c r="D43" s="118">
        <f>C43+'21'!D43</f>
        <v>0</v>
      </c>
      <c r="E43" s="143">
        <f t="shared" si="6"/>
        <v>0</v>
      </c>
      <c r="F43" s="304"/>
      <c r="G43" s="305"/>
      <c r="H43" s="186" t="s">
        <v>84</v>
      </c>
      <c r="I43" s="118">
        <f>+Report1!Z30</f>
        <v>98.4</v>
      </c>
      <c r="J43" s="133">
        <f>+I43+'21'!J43</f>
        <v>2115.52</v>
      </c>
      <c r="K43" s="130" t="s">
        <v>74</v>
      </c>
      <c r="L43" s="187"/>
    </row>
    <row r="44" spans="1:19" ht="17.399999999999999" customHeight="1">
      <c r="A44" s="786" t="s">
        <v>17</v>
      </c>
      <c r="B44" s="787"/>
      <c r="C44" s="164">
        <f>SUMIF($G$7:$G$31,"PLN",$F$7:$F$31)</f>
        <v>0</v>
      </c>
      <c r="D44" s="118">
        <f>C44+'21'!D44</f>
        <v>0</v>
      </c>
      <c r="E44" s="143">
        <f t="shared" si="6"/>
        <v>0</v>
      </c>
      <c r="F44" s="304"/>
      <c r="G44" s="305"/>
      <c r="H44" s="186" t="s">
        <v>85</v>
      </c>
      <c r="I44" s="118">
        <f>I43/I38</f>
        <v>1.8051402469226396</v>
      </c>
      <c r="J44" s="134">
        <f>J43/J38</f>
        <v>1.8515241343517275</v>
      </c>
      <c r="K44" s="130" t="s">
        <v>74</v>
      </c>
    </row>
    <row r="45" spans="1:19" ht="17.399999999999999" customHeight="1">
      <c r="A45" s="786" t="s">
        <v>18</v>
      </c>
      <c r="B45" s="787"/>
      <c r="C45" s="164">
        <f>SUMIF($G$7:$G$31,"Boiler",$F$7:$F$31)</f>
        <v>0</v>
      </c>
      <c r="D45" s="118">
        <f>C45+'21'!D45</f>
        <v>0</v>
      </c>
      <c r="E45" s="143">
        <f t="shared" si="6"/>
        <v>0</v>
      </c>
      <c r="F45" s="304"/>
      <c r="G45" s="307"/>
      <c r="H45" s="186" t="s">
        <v>86</v>
      </c>
      <c r="I45" s="118">
        <f>I43/I40</f>
        <v>1.8061010976102201</v>
      </c>
      <c r="J45" s="134">
        <f>J43/J40</f>
        <v>1.8686754480185426</v>
      </c>
      <c r="K45" s="130" t="s">
        <v>74</v>
      </c>
    </row>
    <row r="46" spans="1:19" ht="17.399999999999999" customHeight="1">
      <c r="A46" s="786" t="s">
        <v>87</v>
      </c>
      <c r="B46" s="787"/>
      <c r="C46" s="164">
        <f>SUMIF($G$7:$G$31,"Gas",$F$7:$F$31)</f>
        <v>0</v>
      </c>
      <c r="D46" s="118">
        <f>C46+'21'!D46</f>
        <v>0</v>
      </c>
      <c r="E46" s="143">
        <f t="shared" si="6"/>
        <v>0</v>
      </c>
      <c r="F46" s="304"/>
      <c r="G46" s="305"/>
      <c r="H46" s="186" t="s">
        <v>88</v>
      </c>
      <c r="I46" s="140">
        <f>+SUMIF(Listrik!X29,"&gt;0")</f>
        <v>37190.600000000188</v>
      </c>
      <c r="J46" s="135">
        <f>+I46+'21'!J46</f>
        <v>840198.99869719264</v>
      </c>
      <c r="K46" s="130" t="s">
        <v>89</v>
      </c>
    </row>
    <row r="47" spans="1:19" ht="17.399999999999999" customHeight="1">
      <c r="A47" s="786" t="s">
        <v>90</v>
      </c>
      <c r="B47" s="787"/>
      <c r="C47" s="164">
        <f>SUMIF($G$7:$G$31,"Gas",$F$7:$F$31)</f>
        <v>0</v>
      </c>
      <c r="D47" s="118">
        <f>C47+'21'!D47</f>
        <v>0</v>
      </c>
      <c r="E47" s="143">
        <f t="shared" si="6"/>
        <v>0</v>
      </c>
      <c r="F47" s="304"/>
      <c r="G47" s="305"/>
      <c r="H47" s="186" t="s">
        <v>91</v>
      </c>
      <c r="I47" s="118">
        <f>I46/I38</f>
        <v>682.25862669920184</v>
      </c>
      <c r="J47" s="135">
        <f>J46/J38</f>
        <v>735.35051606508466</v>
      </c>
      <c r="K47" s="130" t="s">
        <v>24</v>
      </c>
    </row>
    <row r="48" spans="1:19" ht="17.399999999999999" customHeight="1">
      <c r="A48" s="786" t="s">
        <v>14</v>
      </c>
      <c r="B48" s="787"/>
      <c r="C48" s="164">
        <f>SUMIF($G$7:$G$31,"Start Up",$F$7:$F$31)</f>
        <v>0</v>
      </c>
      <c r="D48" s="118">
        <f>C48+'21'!D48</f>
        <v>0</v>
      </c>
      <c r="E48" s="143">
        <f t="shared" si="6"/>
        <v>0</v>
      </c>
      <c r="F48" s="304"/>
      <c r="G48" s="305"/>
      <c r="H48" s="186" t="s">
        <v>92</v>
      </c>
      <c r="I48" s="118">
        <f>I46/I40</f>
        <v>682.62178334129044</v>
      </c>
      <c r="J48" s="135">
        <f>J46/J40</f>
        <v>742.16232430570608</v>
      </c>
      <c r="K48" s="130" t="s">
        <v>24</v>
      </c>
    </row>
    <row r="49" spans="1:11" ht="17.399999999999999" customHeight="1">
      <c r="A49" s="786" t="s">
        <v>20</v>
      </c>
      <c r="B49" s="787"/>
      <c r="C49" s="164">
        <f>SUMIF($G$7:$G$31,"Others",$F$7:$F$31)</f>
        <v>0</v>
      </c>
      <c r="D49" s="118">
        <f>C49+'21'!D49</f>
        <v>1072</v>
      </c>
      <c r="E49" s="143">
        <f t="shared" si="6"/>
        <v>17.866666666666667</v>
      </c>
      <c r="F49" s="183"/>
      <c r="H49" s="186" t="s">
        <v>269</v>
      </c>
      <c r="I49" s="118">
        <f>+Report1!T30</f>
        <v>4020.5961298709599</v>
      </c>
      <c r="J49" s="135">
        <f>+I49+'21'!J49</f>
        <v>81171.511302842351</v>
      </c>
      <c r="K49" s="130" t="s">
        <v>93</v>
      </c>
    </row>
    <row r="50" spans="1:11" ht="17.399999999999999" customHeight="1">
      <c r="A50" s="786" t="s">
        <v>19</v>
      </c>
      <c r="B50" s="787"/>
      <c r="C50" s="164">
        <f>SUMIF($G$7:$G$31,"Steam",$F$7:$F$31)</f>
        <v>0</v>
      </c>
      <c r="D50" s="118">
        <f>C50+'21'!D50</f>
        <v>0</v>
      </c>
      <c r="E50" s="143">
        <f t="shared" si="6"/>
        <v>0</v>
      </c>
      <c r="F50" s="183"/>
      <c r="H50" s="186" t="s">
        <v>94</v>
      </c>
      <c r="I50" s="140">
        <f>I49/I38</f>
        <v>73.757519213937741</v>
      </c>
      <c r="J50" s="133">
        <f>J49/J38</f>
        <v>71.042113616990932</v>
      </c>
      <c r="K50" s="130" t="s">
        <v>93</v>
      </c>
    </row>
    <row r="51" spans="1:11" ht="17.399999999999999" customHeight="1">
      <c r="A51" s="803" t="s">
        <v>95</v>
      </c>
      <c r="B51" s="803"/>
      <c r="C51" s="164">
        <f>SUMIF($G$7:$G$31,"Planned shut",$F$7:$F$31)</f>
        <v>0</v>
      </c>
      <c r="D51" s="118">
        <f>C51+'21'!D51</f>
        <v>0</v>
      </c>
      <c r="E51" s="143">
        <f t="shared" si="6"/>
        <v>0</v>
      </c>
      <c r="F51" s="183"/>
      <c r="H51" s="188" t="s">
        <v>96</v>
      </c>
      <c r="I51" s="141">
        <f>I49/I40</f>
        <v>73.796779300887636</v>
      </c>
      <c r="J51" s="136">
        <f>J49/J40</f>
        <v>71.700201487190441</v>
      </c>
      <c r="K51" s="137" t="s">
        <v>93</v>
      </c>
    </row>
    <row r="52" spans="1:11" ht="13.8" thickBot="1">
      <c r="A52" s="804" t="s">
        <v>218</v>
      </c>
      <c r="B52" s="805"/>
      <c r="C52" s="164">
        <f>SUMIF($G$7:$G$31,"Change Grade",$F$7:$F$31)</f>
        <v>0</v>
      </c>
      <c r="D52" s="118">
        <f>C52+'21'!D52</f>
        <v>0</v>
      </c>
      <c r="E52" s="143">
        <f t="shared" si="6"/>
        <v>0</v>
      </c>
      <c r="F52" s="183"/>
      <c r="H52" s="189"/>
      <c r="I52" s="190"/>
      <c r="J52" s="138"/>
      <c r="K52" s="139"/>
    </row>
    <row r="53" spans="1:11">
      <c r="A53" s="799" t="s">
        <v>28</v>
      </c>
      <c r="B53" s="800"/>
      <c r="C53" s="144">
        <f>SUM(C38:C52)</f>
        <v>26</v>
      </c>
      <c r="D53" s="144">
        <f>SUM(D38:D52)</f>
        <v>1691</v>
      </c>
      <c r="E53" s="145">
        <f>SUM(E38:E52)</f>
        <v>28.183333333333334</v>
      </c>
      <c r="F53" s="183"/>
    </row>
    <row r="54" spans="1:11" ht="13.8" thickBot="1">
      <c r="A54" s="801"/>
      <c r="B54" s="802"/>
      <c r="C54" s="146">
        <f>C53/(24*60)</f>
        <v>1.8055555555555554E-2</v>
      </c>
      <c r="D54" s="146">
        <f>D53/(24*60*G4)</f>
        <v>5.3377525252525253E-2</v>
      </c>
      <c r="E54" s="147">
        <f>E53/(G4*24)</f>
        <v>5.3377525252525253E-2</v>
      </c>
      <c r="F54" s="183"/>
    </row>
    <row r="55" spans="1:11">
      <c r="E55" s="191"/>
    </row>
    <row r="56" spans="1:11">
      <c r="A56" s="192" t="s">
        <v>97</v>
      </c>
      <c r="B56" s="193"/>
      <c r="C56" s="194"/>
      <c r="D56" s="194"/>
      <c r="E56" s="194"/>
      <c r="F56" s="195"/>
      <c r="G56" s="194"/>
      <c r="H56" s="196"/>
      <c r="I56" s="197" t="s">
        <v>98</v>
      </c>
      <c r="J56" s="198">
        <f>+D34+'21'!J56</f>
        <v>710</v>
      </c>
      <c r="K56" s="199">
        <f>J56/(J40+J56/1000)/1000</f>
        <v>6.2676221700803134E-4</v>
      </c>
    </row>
    <row r="57" spans="1:11">
      <c r="A57" s="174"/>
      <c r="I57" s="197" t="s">
        <v>99</v>
      </c>
      <c r="J57" s="198">
        <f>+E34+'21'!J57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1" type="noConversion"/>
  <printOptions horizontalCentered="1"/>
  <pageMargins left="0.74791666666666667" right="0.74791666666666667" top="0.1388888888888889" bottom="0.39027777777777778" header="0" footer="0"/>
  <pageSetup paperSize="9" scale="62"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61"/>
  <sheetViews>
    <sheetView view="pageBreakPreview" zoomScale="80" zoomScaleNormal="80" zoomScaleSheetLayoutView="80" workbookViewId="0">
      <selection activeCell="A24" sqref="A24:A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664062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4.6640625" style="149" customWidth="1"/>
    <col min="14" max="16384" width="9.109375" style="149"/>
  </cols>
  <sheetData>
    <row r="1" spans="1:26" ht="15.6">
      <c r="A1" s="148"/>
      <c r="U1" s="534"/>
      <c r="V1" s="518"/>
      <c r="W1" s="518"/>
      <c r="X1" s="518"/>
      <c r="Y1" s="518"/>
    </row>
    <row r="2" spans="1:26" ht="15.6">
      <c r="A2" s="148" t="s">
        <v>219</v>
      </c>
      <c r="U2" s="534"/>
      <c r="V2" s="518"/>
      <c r="W2" s="518"/>
      <c r="X2" s="518"/>
      <c r="Y2" s="518"/>
    </row>
    <row r="3" spans="1:26" ht="15">
      <c r="A3" s="150"/>
      <c r="X3" s="535"/>
    </row>
    <row r="4" spans="1:26" ht="21">
      <c r="A4" s="151" t="s">
        <v>4</v>
      </c>
      <c r="B4" s="152"/>
      <c r="F4" s="153" t="s">
        <v>29</v>
      </c>
      <c r="G4" s="154">
        <v>21</v>
      </c>
      <c r="H4" s="154" t="str">
        <f>+'1'!H4</f>
        <v>.03.26</v>
      </c>
      <c r="J4" s="149">
        <f>179+177+0</f>
        <v>356</v>
      </c>
      <c r="Y4" s="535"/>
      <c r="Z4" s="535"/>
    </row>
    <row r="5" spans="1:26" ht="13.8" thickBot="1">
      <c r="C5" s="155"/>
      <c r="D5" s="155"/>
    </row>
    <row r="6" spans="1:26"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659</v>
      </c>
      <c r="O6" s="149">
        <v>860</v>
      </c>
      <c r="P6" s="149">
        <f>+O6-(O6*0.16)</f>
        <v>722.4</v>
      </c>
      <c r="Q6" s="149">
        <v>480</v>
      </c>
      <c r="R6" s="149">
        <f t="shared" ref="R6:R8" si="0">+O6*Q6</f>
        <v>412800</v>
      </c>
      <c r="S6" s="149">
        <f t="shared" ref="S6:S8" si="1">+P6*Q6</f>
        <v>346752</v>
      </c>
    </row>
    <row r="7" spans="1:26" ht="13.5" customHeight="1" thickBot="1">
      <c r="A7" s="788" t="s">
        <v>458</v>
      </c>
      <c r="B7" s="213" t="s">
        <v>650</v>
      </c>
      <c r="C7" s="214">
        <v>17511</v>
      </c>
      <c r="D7" s="215"/>
      <c r="E7" s="216"/>
      <c r="F7" s="231"/>
      <c r="G7" s="553" t="s">
        <v>12</v>
      </c>
      <c r="H7" s="554" t="s">
        <v>417</v>
      </c>
      <c r="I7" s="791" t="s">
        <v>675</v>
      </c>
      <c r="J7" s="308" t="str">
        <f>+'20'!J7</f>
        <v>T 15 RC HW</v>
      </c>
      <c r="K7" s="233"/>
      <c r="L7" s="237"/>
      <c r="M7" s="117">
        <f>+K7+'20'!M7+L7</f>
        <v>406602</v>
      </c>
      <c r="O7" s="149">
        <v>860</v>
      </c>
      <c r="P7" s="149">
        <f>+O7-(O7*0.16)</f>
        <v>722.4</v>
      </c>
      <c r="Q7" s="149">
        <v>480</v>
      </c>
      <c r="R7" s="149">
        <f t="shared" si="0"/>
        <v>412800</v>
      </c>
      <c r="S7" s="149">
        <f t="shared" si="1"/>
        <v>346752</v>
      </c>
      <c r="U7" s="514"/>
      <c r="W7" s="518"/>
      <c r="Y7" s="518"/>
    </row>
    <row r="8" spans="1:26" ht="13.8" thickBot="1">
      <c r="A8" s="789"/>
      <c r="B8" s="213"/>
      <c r="C8" s="214"/>
      <c r="D8" s="215"/>
      <c r="E8" s="217"/>
      <c r="F8" s="227">
        <v>3</v>
      </c>
      <c r="G8" s="555" t="s">
        <v>12</v>
      </c>
      <c r="H8" s="226" t="s">
        <v>653</v>
      </c>
      <c r="I8" s="792"/>
      <c r="J8" s="308" t="str">
        <f>+'20'!J8</f>
        <v>T 14,5 RC HW</v>
      </c>
      <c r="K8" s="234"/>
      <c r="L8" s="234"/>
      <c r="M8" s="117">
        <f>+K8+'20'!M8+L8</f>
        <v>206120</v>
      </c>
      <c r="O8" s="149">
        <v>860</v>
      </c>
      <c r="P8" s="149">
        <f>+O8-(O8*0.16)</f>
        <v>722.4</v>
      </c>
      <c r="Q8" s="149">
        <v>480</v>
      </c>
      <c r="R8" s="149">
        <f t="shared" si="0"/>
        <v>412800</v>
      </c>
      <c r="S8" s="149">
        <f t="shared" si="1"/>
        <v>346752</v>
      </c>
      <c r="U8" s="532"/>
      <c r="W8" s="518"/>
      <c r="Y8" s="518"/>
    </row>
    <row r="9" spans="1:26" ht="13.8" thickBot="1">
      <c r="A9" s="789"/>
      <c r="B9" s="213"/>
      <c r="C9" s="214"/>
      <c r="D9" s="215"/>
      <c r="E9" s="218"/>
      <c r="F9" s="227">
        <v>4</v>
      </c>
      <c r="G9" s="555" t="s">
        <v>12</v>
      </c>
      <c r="H9" s="229" t="s">
        <v>415</v>
      </c>
      <c r="I9" s="792"/>
      <c r="J9" s="308" t="str">
        <f>+'20'!J9</f>
        <v>T 14 RC HW</v>
      </c>
      <c r="K9" s="234"/>
      <c r="L9" s="234"/>
      <c r="M9" s="117">
        <f>+K9+'20'!M9+L9</f>
        <v>49646</v>
      </c>
      <c r="X9" s="174"/>
    </row>
    <row r="10" spans="1:26" ht="66.599999999999994" thickBot="1">
      <c r="A10" s="789"/>
      <c r="B10" s="213"/>
      <c r="C10" s="214"/>
      <c r="D10" s="215"/>
      <c r="E10" s="217"/>
      <c r="F10" s="227"/>
      <c r="G10" s="225"/>
      <c r="H10" s="556" t="s">
        <v>666</v>
      </c>
      <c r="I10" s="792"/>
      <c r="J10" s="308" t="str">
        <f>+'20'!J10</f>
        <v>T 13,5 RC HW</v>
      </c>
      <c r="K10" s="234"/>
      <c r="L10" s="234"/>
      <c r="M10" s="117">
        <f>+K10+'20'!M10+L10</f>
        <v>196361</v>
      </c>
      <c r="Y10" s="174"/>
      <c r="Z10" s="174"/>
    </row>
    <row r="11" spans="1:26" ht="13.8" thickBot="1">
      <c r="A11" s="789"/>
      <c r="B11" s="213"/>
      <c r="C11" s="214"/>
      <c r="D11" s="215"/>
      <c r="E11" s="217"/>
      <c r="F11" s="224"/>
      <c r="G11" s="228"/>
      <c r="H11" s="229"/>
      <c r="I11" s="792"/>
      <c r="J11" s="308" t="str">
        <f>+'20'!J11</f>
        <v>TW 22 RC HW</v>
      </c>
      <c r="K11" s="234">
        <f>+C34</f>
        <v>57914</v>
      </c>
      <c r="L11" s="234"/>
      <c r="M11" s="117">
        <f>+K11+'20'!M11+L11</f>
        <v>218885</v>
      </c>
    </row>
    <row r="12" spans="1:26" ht="13.8" thickBot="1">
      <c r="A12" s="789"/>
      <c r="B12" s="213"/>
      <c r="C12" s="214"/>
      <c r="D12" s="215"/>
      <c r="E12" s="217"/>
      <c r="F12" s="224"/>
      <c r="G12" s="228"/>
      <c r="H12" s="229"/>
      <c r="I12" s="792"/>
      <c r="J12" s="308">
        <f>+'20'!J12</f>
        <v>0</v>
      </c>
      <c r="K12" s="234"/>
      <c r="L12" s="234"/>
      <c r="M12" s="117">
        <f>+K12+'20'!M12+L12</f>
        <v>0</v>
      </c>
    </row>
    <row r="13" spans="1:26" ht="13.8" thickBot="1">
      <c r="A13" s="789"/>
      <c r="B13" s="213"/>
      <c r="C13" s="214"/>
      <c r="D13" s="214"/>
      <c r="E13" s="217"/>
      <c r="F13" s="224"/>
      <c r="G13" s="228"/>
      <c r="H13" s="229"/>
      <c r="I13" s="793"/>
      <c r="J13" s="308">
        <f>+'20'!J13</f>
        <v>0</v>
      </c>
      <c r="K13" s="234"/>
      <c r="L13" s="234"/>
      <c r="M13" s="117">
        <f>+K13+'20'!M13+L13</f>
        <v>0</v>
      </c>
      <c r="Q13" s="174">
        <f>SUM(Q6:Q12)</f>
        <v>1440</v>
      </c>
      <c r="R13" s="174">
        <f>SUM(R6:R12)</f>
        <v>1238400</v>
      </c>
      <c r="S13" s="174">
        <f>SUM(S6:S12)</f>
        <v>1040256</v>
      </c>
    </row>
    <row r="14" spans="1:26" ht="13.8" thickBot="1">
      <c r="A14" s="790"/>
      <c r="B14" s="165" t="s">
        <v>3</v>
      </c>
      <c r="C14" s="99">
        <f>SUM(C7:C13)</f>
        <v>17511</v>
      </c>
      <c r="D14" s="111">
        <f>SUM(D7:D13)</f>
        <v>0</v>
      </c>
      <c r="E14" s="112">
        <f>SUM(E5:E13)</f>
        <v>0</v>
      </c>
      <c r="F14" s="116">
        <f>SUM(F7:F13)</f>
        <v>7</v>
      </c>
      <c r="G14" s="159"/>
      <c r="H14" s="166"/>
      <c r="I14" s="167"/>
      <c r="J14" s="308">
        <f>+'20'!J14</f>
        <v>0</v>
      </c>
      <c r="K14" s="234"/>
      <c r="L14" s="234"/>
      <c r="M14" s="117">
        <f>+K14+'20'!M14+L14</f>
        <v>0</v>
      </c>
      <c r="Q14" s="149">
        <f>480-Q13</f>
        <v>-960</v>
      </c>
      <c r="R14" s="174">
        <f>+R13/Q13</f>
        <v>860</v>
      </c>
      <c r="S14" s="174">
        <f>+S13/Q13</f>
        <v>722.4</v>
      </c>
    </row>
    <row r="15" spans="1:26" ht="13.5" customHeight="1" thickBot="1">
      <c r="A15" s="794" t="s">
        <v>428</v>
      </c>
      <c r="B15" s="513"/>
      <c r="C15" s="113">
        <f>C14/($C$23+$D$23+$E$23)</f>
        <v>0.88699219937189744</v>
      </c>
      <c r="D15" s="114">
        <f>D14/($C$23+$D$23+$E$23)</f>
        <v>0</v>
      </c>
      <c r="E15" s="115">
        <f>E14/($C$23+$D$23+$E$23)</f>
        <v>0</v>
      </c>
      <c r="F15" s="231"/>
      <c r="G15" s="553" t="s">
        <v>12</v>
      </c>
      <c r="H15" s="554" t="s">
        <v>417</v>
      </c>
      <c r="I15" s="791" t="s">
        <v>675</v>
      </c>
      <c r="J15" s="308">
        <f>+'20'!J15</f>
        <v>0</v>
      </c>
      <c r="K15" s="234"/>
      <c r="L15" s="234"/>
      <c r="M15" s="117">
        <f>+K15+'20'!M15+L15</f>
        <v>0</v>
      </c>
      <c r="N15" s="534"/>
      <c r="O15" s="518"/>
      <c r="P15" s="518"/>
      <c r="Q15" s="518"/>
      <c r="R15" s="518"/>
    </row>
    <row r="16" spans="1:26" ht="13.8" thickBot="1">
      <c r="A16" s="789"/>
      <c r="B16" s="213" t="s">
        <v>650</v>
      </c>
      <c r="C16" s="511">
        <v>19742</v>
      </c>
      <c r="D16" s="219"/>
      <c r="E16" s="220"/>
      <c r="F16" s="227"/>
      <c r="G16" s="555" t="s">
        <v>12</v>
      </c>
      <c r="H16" s="226" t="s">
        <v>419</v>
      </c>
      <c r="I16" s="792"/>
      <c r="J16" s="308">
        <f>+'20'!J16</f>
        <v>0</v>
      </c>
      <c r="K16" s="225"/>
      <c r="L16" s="225"/>
      <c r="M16" s="117">
        <f>+K16+'20'!M16+L16</f>
        <v>0</v>
      </c>
      <c r="N16" s="514"/>
      <c r="P16" s="518"/>
      <c r="R16" s="518"/>
    </row>
    <row r="17" spans="1:19" ht="13.8" thickBot="1">
      <c r="A17" s="789"/>
      <c r="B17" s="213"/>
      <c r="C17" s="214"/>
      <c r="D17" s="215"/>
      <c r="E17" s="221"/>
      <c r="F17" s="227">
        <v>5</v>
      </c>
      <c r="G17" s="555" t="s">
        <v>12</v>
      </c>
      <c r="H17" s="229" t="s">
        <v>418</v>
      </c>
      <c r="I17" s="792"/>
      <c r="J17" s="308">
        <f>+'20'!J17</f>
        <v>0</v>
      </c>
      <c r="K17" s="225"/>
      <c r="L17" s="225"/>
      <c r="M17" s="117">
        <f>+K17+'20'!M17+L17</f>
        <v>0</v>
      </c>
      <c r="Q17" s="174"/>
    </row>
    <row r="18" spans="1:19" ht="53.4" thickBot="1">
      <c r="A18" s="789"/>
      <c r="B18" s="213"/>
      <c r="C18" s="214"/>
      <c r="D18" s="215"/>
      <c r="E18" s="221"/>
      <c r="F18" s="227"/>
      <c r="G18" s="225"/>
      <c r="H18" s="556" t="s">
        <v>661</v>
      </c>
      <c r="I18" s="792"/>
      <c r="J18" s="308">
        <f>+'20'!J18</f>
        <v>0</v>
      </c>
      <c r="K18" s="234"/>
      <c r="L18" s="234"/>
      <c r="M18" s="117">
        <f>+K18+'20'!M18+L18</f>
        <v>0</v>
      </c>
      <c r="R18" s="174"/>
      <c r="S18" s="174"/>
    </row>
    <row r="19" spans="1:19" ht="13.8" thickBot="1">
      <c r="A19" s="789"/>
      <c r="B19" s="213"/>
      <c r="C19" s="214"/>
      <c r="D19" s="215"/>
      <c r="E19" s="221"/>
      <c r="F19" s="230"/>
      <c r="G19" s="228"/>
      <c r="H19" s="229" t="s">
        <v>665</v>
      </c>
      <c r="I19" s="792"/>
      <c r="J19" s="308">
        <f>+'20'!J19</f>
        <v>0</v>
      </c>
      <c r="K19" s="234"/>
      <c r="L19" s="234"/>
      <c r="M19" s="117">
        <f>+K19+'20'!M19+L19</f>
        <v>0</v>
      </c>
    </row>
    <row r="20" spans="1:19" ht="13.8" thickBot="1">
      <c r="A20" s="789"/>
      <c r="B20" s="213"/>
      <c r="C20" s="214"/>
      <c r="D20" s="215"/>
      <c r="E20" s="221"/>
      <c r="F20" s="224"/>
      <c r="G20" s="228"/>
      <c r="H20" s="229"/>
      <c r="I20" s="792"/>
      <c r="J20" s="308">
        <f>+'20'!J20</f>
        <v>0</v>
      </c>
      <c r="K20" s="235"/>
      <c r="L20" s="235"/>
      <c r="M20" s="117">
        <f>+K20+'20'!M20+L20</f>
        <v>0</v>
      </c>
    </row>
    <row r="21" spans="1:19" ht="13.8" thickBot="1">
      <c r="A21" s="789"/>
      <c r="B21" s="213"/>
      <c r="C21" s="214"/>
      <c r="D21" s="215"/>
      <c r="E21" s="221"/>
      <c r="F21" s="227"/>
      <c r="G21" s="228"/>
      <c r="H21" s="229"/>
      <c r="I21" s="792"/>
      <c r="J21" s="308">
        <f>+'20'!J21</f>
        <v>0</v>
      </c>
      <c r="K21" s="234"/>
      <c r="L21" s="234"/>
      <c r="M21" s="117">
        <f>+K21+'20'!M21+L21</f>
        <v>0</v>
      </c>
    </row>
    <row r="22" spans="1:19" ht="13.8" thickBot="1">
      <c r="A22" s="789"/>
      <c r="B22" s="213"/>
      <c r="C22" s="214"/>
      <c r="D22" s="215"/>
      <c r="E22" s="221"/>
      <c r="F22" s="231"/>
      <c r="G22" s="228"/>
      <c r="H22" s="229"/>
      <c r="I22" s="793"/>
      <c r="J22" s="308">
        <f>+'20'!J22</f>
        <v>0</v>
      </c>
      <c r="K22" s="234"/>
      <c r="L22" s="234"/>
      <c r="M22" s="117">
        <f>+K22+'20'!M22+L22</f>
        <v>0</v>
      </c>
    </row>
    <row r="23" spans="1:19" ht="13.8" thickBot="1">
      <c r="A23" s="790"/>
      <c r="B23" s="165" t="s">
        <v>3</v>
      </c>
      <c r="C23" s="99">
        <f>SUM(C16:C22)</f>
        <v>19742</v>
      </c>
      <c r="D23" s="111">
        <f>SUM(D16:D22)</f>
        <v>0</v>
      </c>
      <c r="E23" s="112">
        <f>SUM(E18:E22)</f>
        <v>0</v>
      </c>
      <c r="F23" s="116">
        <f>SUM(F15:F22)</f>
        <v>5</v>
      </c>
      <c r="G23" s="159"/>
      <c r="H23" s="166"/>
      <c r="I23" s="168"/>
      <c r="J23" s="308">
        <f>+'20'!J23</f>
        <v>0</v>
      </c>
      <c r="K23" s="234"/>
      <c r="L23" s="234"/>
      <c r="M23" s="117">
        <f>+K23+'20'!M23+L23</f>
        <v>0</v>
      </c>
    </row>
    <row r="24" spans="1:19" ht="13.5" customHeight="1" thickBot="1">
      <c r="A24" s="794" t="s">
        <v>387</v>
      </c>
      <c r="B24" s="513"/>
      <c r="C24" s="113">
        <f>C23/($C$23+$D$23+$E$23)</f>
        <v>1</v>
      </c>
      <c r="D24" s="114">
        <f>D23/($C$23+$D$23+$E$23)</f>
        <v>0</v>
      </c>
      <c r="E24" s="115">
        <f>E23/($C$23+$D$23+$E$23)</f>
        <v>0</v>
      </c>
      <c r="F24" s="231"/>
      <c r="G24" s="553" t="s">
        <v>12</v>
      </c>
      <c r="H24" s="554" t="s">
        <v>417</v>
      </c>
      <c r="I24" s="791" t="s">
        <v>675</v>
      </c>
      <c r="J24" s="212">
        <f>+'20'!J24</f>
        <v>0</v>
      </c>
      <c r="K24" s="234"/>
      <c r="L24" s="234"/>
      <c r="M24" s="117">
        <f>+K24+'20'!M24+L24</f>
        <v>0</v>
      </c>
    </row>
    <row r="25" spans="1:19" ht="13.8" thickBot="1">
      <c r="A25" s="789"/>
      <c r="B25" s="213" t="s">
        <v>650</v>
      </c>
      <c r="C25" s="222">
        <v>20661</v>
      </c>
      <c r="D25" s="215"/>
      <c r="E25" s="221"/>
      <c r="F25" s="227">
        <v>3</v>
      </c>
      <c r="G25" s="555" t="s">
        <v>12</v>
      </c>
      <c r="H25" s="226" t="s">
        <v>416</v>
      </c>
      <c r="I25" s="792"/>
      <c r="J25" s="212">
        <f>+'20'!J25</f>
        <v>0</v>
      </c>
      <c r="K25" s="234"/>
      <c r="L25" s="234"/>
      <c r="M25" s="117">
        <f>+K25+'20'!M25+L25</f>
        <v>0</v>
      </c>
      <c r="N25" s="514"/>
      <c r="O25" s="174"/>
      <c r="P25" s="540"/>
      <c r="Q25" s="174"/>
    </row>
    <row r="26" spans="1:19" ht="13.8" thickBot="1">
      <c r="A26" s="789"/>
      <c r="B26" s="213"/>
      <c r="C26" s="222"/>
      <c r="D26" s="215"/>
      <c r="E26" s="223"/>
      <c r="F26" s="227">
        <v>7</v>
      </c>
      <c r="G26" s="555" t="s">
        <v>12</v>
      </c>
      <c r="H26" s="229" t="s">
        <v>418</v>
      </c>
      <c r="I26" s="792"/>
      <c r="J26" s="212">
        <f>+'20'!J26</f>
        <v>0</v>
      </c>
      <c r="K26" s="234"/>
      <c r="L26" s="234"/>
      <c r="M26" s="117">
        <f>+K26+'20'!M26+L26</f>
        <v>0</v>
      </c>
    </row>
    <row r="27" spans="1:19" ht="53.4" thickBot="1">
      <c r="A27" s="789"/>
      <c r="B27" s="213"/>
      <c r="C27" s="214"/>
      <c r="D27" s="215"/>
      <c r="E27" s="221"/>
      <c r="F27" s="227"/>
      <c r="G27" s="225"/>
      <c r="H27" s="556" t="s">
        <v>663</v>
      </c>
      <c r="I27" s="792"/>
      <c r="J27" s="212">
        <f>+'20'!J27</f>
        <v>0</v>
      </c>
      <c r="K27" s="234"/>
      <c r="L27" s="234"/>
      <c r="M27" s="117">
        <f>+K27+'20'!M27+L27</f>
        <v>0</v>
      </c>
    </row>
    <row r="28" spans="1:19" ht="13.8" thickBot="1">
      <c r="A28" s="789"/>
      <c r="B28" s="213"/>
      <c r="C28" s="214"/>
      <c r="D28" s="215"/>
      <c r="E28" s="221"/>
      <c r="F28" s="227"/>
      <c r="G28" s="225"/>
      <c r="H28" s="229" t="s">
        <v>664</v>
      </c>
      <c r="I28" s="792"/>
      <c r="J28" s="212">
        <f>+'20'!J28</f>
        <v>0</v>
      </c>
      <c r="K28" s="234"/>
      <c r="L28" s="234"/>
      <c r="M28" s="117">
        <f>+K28+'20'!M28+L28</f>
        <v>0</v>
      </c>
    </row>
    <row r="29" spans="1:19" ht="13.8" thickBot="1">
      <c r="A29" s="789"/>
      <c r="B29" s="213"/>
      <c r="C29" s="214"/>
      <c r="D29" s="215"/>
      <c r="E29" s="221"/>
      <c r="F29" s="231"/>
      <c r="G29" s="228"/>
      <c r="H29" s="229"/>
      <c r="I29" s="792"/>
      <c r="J29" s="212">
        <f>+'20'!J29</f>
        <v>0</v>
      </c>
      <c r="K29" s="234"/>
      <c r="L29" s="234"/>
      <c r="M29" s="117">
        <f>+K29+'20'!M29+L29</f>
        <v>0</v>
      </c>
    </row>
    <row r="30" spans="1:19" ht="13.8" thickBot="1">
      <c r="A30" s="789"/>
      <c r="B30" s="213"/>
      <c r="C30" s="222"/>
      <c r="D30" s="215"/>
      <c r="E30" s="221"/>
      <c r="F30" s="231"/>
      <c r="G30" s="228"/>
      <c r="H30" s="229"/>
      <c r="I30" s="792"/>
      <c r="J30" s="212">
        <f>+'20'!J30</f>
        <v>0</v>
      </c>
      <c r="K30" s="234"/>
      <c r="L30" s="234"/>
      <c r="M30" s="117">
        <f>+K30+'20'!M30+L30</f>
        <v>0</v>
      </c>
      <c r="N30" s="155"/>
    </row>
    <row r="31" spans="1:19" ht="13.8" thickBot="1">
      <c r="A31" s="789"/>
      <c r="B31" s="213"/>
      <c r="C31" s="222"/>
      <c r="D31" s="215"/>
      <c r="E31" s="221"/>
      <c r="F31" s="231"/>
      <c r="G31" s="232"/>
      <c r="H31" s="404"/>
      <c r="I31" s="793"/>
      <c r="J31" s="212">
        <f>+'20'!J31</f>
        <v>0</v>
      </c>
      <c r="K31" s="234"/>
      <c r="L31" s="234"/>
      <c r="M31" s="117">
        <f>+K31+'20'!M31+L31</f>
        <v>0</v>
      </c>
    </row>
    <row r="32" spans="1:19" ht="13.8" thickBot="1">
      <c r="A32" s="790"/>
      <c r="B32" s="165" t="s">
        <v>3</v>
      </c>
      <c r="C32" s="99">
        <f>SUM(C25:C31)</f>
        <v>20661</v>
      </c>
      <c r="D32" s="100">
        <f>SUM(D25:D31)</f>
        <v>0</v>
      </c>
      <c r="E32" s="101">
        <f>SUM(E25:E31)</f>
        <v>0</v>
      </c>
      <c r="F32" s="99">
        <f>SUM(F24:F31)</f>
        <v>10</v>
      </c>
      <c r="G32" s="169"/>
      <c r="H32" s="170"/>
      <c r="I32" s="168"/>
      <c r="J32" s="212">
        <f>+'20'!J32</f>
        <v>0</v>
      </c>
      <c r="K32" s="236"/>
      <c r="L32" s="238"/>
      <c r="M32" s="117">
        <f>+K32+'20'!M32+L32</f>
        <v>0</v>
      </c>
    </row>
    <row r="33" spans="1:14" ht="13.8" thickBot="1">
      <c r="A33" s="171"/>
      <c r="B33" s="172"/>
      <c r="C33" s="103">
        <f>C32/($C$32+$D$32+$E$32)</f>
        <v>1</v>
      </c>
      <c r="D33" s="104">
        <f>D32/($C$32+$D$32+$E$32)</f>
        <v>0</v>
      </c>
      <c r="E33" s="105">
        <f>E32/($C$32+$D$32+$E$32)</f>
        <v>0</v>
      </c>
      <c r="F33" s="106"/>
      <c r="G33" s="173"/>
      <c r="H33" s="174"/>
      <c r="I33" s="175"/>
      <c r="J33" s="121"/>
      <c r="K33" s="122"/>
      <c r="L33" s="211"/>
      <c r="M33" s="119"/>
    </row>
    <row r="34" spans="1:14" ht="13.8" thickBot="1">
      <c r="A34" s="795" t="s">
        <v>68</v>
      </c>
      <c r="B34" s="796"/>
      <c r="C34" s="107">
        <f>C14+C23+C32</f>
        <v>57914</v>
      </c>
      <c r="D34" s="107">
        <f>D14+D23+D32</f>
        <v>0</v>
      </c>
      <c r="E34" s="107">
        <f>E14+E23+E32</f>
        <v>0</v>
      </c>
      <c r="F34" s="108">
        <f>F14+F23+F32</f>
        <v>22</v>
      </c>
      <c r="H34" s="176"/>
      <c r="I34" s="176"/>
      <c r="J34" s="123" t="s">
        <v>28</v>
      </c>
      <c r="K34" s="124">
        <f>SUM(K7:K32)</f>
        <v>57914</v>
      </c>
      <c r="L34" s="210">
        <f>SUM(L7:L32)</f>
        <v>0</v>
      </c>
      <c r="M34" s="120">
        <f>SUM(M7:M32)</f>
        <v>1077614</v>
      </c>
      <c r="N34" s="155"/>
    </row>
    <row r="35" spans="1:14" ht="13.8" thickBot="1">
      <c r="A35" s="177"/>
      <c r="B35" s="178"/>
      <c r="C35" s="104">
        <f>C34/($C$34+$D$34+$E$34)</f>
        <v>1</v>
      </c>
      <c r="D35" s="104">
        <f>D34/($C$34+$D$34+$E$34)</f>
        <v>0</v>
      </c>
      <c r="E35" s="109">
        <f>E34/($C$34+$D$34+$E$34)</f>
        <v>0</v>
      </c>
      <c r="K35" s="155"/>
    </row>
    <row r="36" spans="1:14" ht="13.8" thickBot="1">
      <c r="A36" s="176"/>
      <c r="B36" s="176"/>
      <c r="C36" s="155"/>
      <c r="D36" s="155"/>
      <c r="E36" s="155"/>
      <c r="G36" s="155"/>
      <c r="H36" s="179"/>
      <c r="I36" s="162" t="s">
        <v>37</v>
      </c>
      <c r="J36" s="162" t="s">
        <v>38</v>
      </c>
      <c r="K36" s="180"/>
    </row>
    <row r="37" spans="1:14" ht="17.399999999999999" customHeight="1" thickBot="1">
      <c r="A37" s="797" t="s">
        <v>69</v>
      </c>
      <c r="B37" s="798"/>
      <c r="C37" s="162" t="s">
        <v>70</v>
      </c>
      <c r="D37" s="181" t="s">
        <v>71</v>
      </c>
      <c r="E37" s="182" t="s">
        <v>72</v>
      </c>
      <c r="F37" s="304"/>
      <c r="G37" s="306"/>
      <c r="H37" s="184" t="s">
        <v>73</v>
      </c>
      <c r="I37" s="239">
        <f>(22*1440)/1440*G42*2.7*1440/1000000</f>
        <v>61.7912064</v>
      </c>
      <c r="J37" s="125">
        <f>+I37+'20'!J37</f>
        <v>1122.9531857670615</v>
      </c>
      <c r="K37" s="126" t="s">
        <v>74</v>
      </c>
    </row>
    <row r="38" spans="1:14" ht="17.399999999999999" customHeight="1">
      <c r="A38" s="799" t="s">
        <v>12</v>
      </c>
      <c r="B38" s="800"/>
      <c r="C38" s="164">
        <f>SUMIF($G$7:$G$31,"Process",$F$7:$F$31)</f>
        <v>22</v>
      </c>
      <c r="D38" s="118">
        <f>C38+'20'!D38</f>
        <v>593</v>
      </c>
      <c r="E38" s="143">
        <f t="shared" ref="E38:E52" si="2">D38/60</f>
        <v>9.8833333333333329</v>
      </c>
      <c r="F38" s="304">
        <v>860</v>
      </c>
      <c r="G38" s="304">
        <v>722.4</v>
      </c>
      <c r="H38" s="185" t="s">
        <v>75</v>
      </c>
      <c r="I38" s="240">
        <f>20.015+20.411+19.789</f>
        <v>60.215000000000003</v>
      </c>
      <c r="J38" s="127">
        <f>+I38+'20'!J38</f>
        <v>1088.0720000000001</v>
      </c>
      <c r="K38" s="128" t="s">
        <v>74</v>
      </c>
    </row>
    <row r="39" spans="1:14" ht="17.399999999999999" customHeight="1">
      <c r="A39" s="786" t="s">
        <v>13</v>
      </c>
      <c r="B39" s="787"/>
      <c r="C39" s="164">
        <f>SUMIF($G$7:$G$31,"Cleaning",$F$7:$F$31)</f>
        <v>0</v>
      </c>
      <c r="D39" s="118">
        <f>C39+'20'!D39</f>
        <v>0</v>
      </c>
      <c r="E39" s="143">
        <f t="shared" si="2"/>
        <v>0</v>
      </c>
      <c r="F39" s="304">
        <v>860</v>
      </c>
      <c r="G39" s="304">
        <v>722.4</v>
      </c>
      <c r="H39" s="185" t="s">
        <v>76</v>
      </c>
      <c r="I39" s="142"/>
      <c r="J39" s="129">
        <f>J37/G4</f>
        <v>53.473961227002931</v>
      </c>
      <c r="K39" s="130" t="s">
        <v>74</v>
      </c>
    </row>
    <row r="40" spans="1:14" ht="17.399999999999999" customHeight="1">
      <c r="A40" s="786" t="s">
        <v>77</v>
      </c>
      <c r="B40" s="787"/>
      <c r="C40" s="164">
        <f>SUMIF($G$7:$G$31,"Mechanical",$F$7:$F$31)</f>
        <v>0</v>
      </c>
      <c r="D40" s="118">
        <f>C40+'20'!D40</f>
        <v>0</v>
      </c>
      <c r="E40" s="143">
        <f t="shared" si="2"/>
        <v>0</v>
      </c>
      <c r="F40" s="304">
        <v>860</v>
      </c>
      <c r="G40" s="304">
        <v>722.4</v>
      </c>
      <c r="H40" s="185" t="s">
        <v>78</v>
      </c>
      <c r="I40" s="118">
        <f>(K34+L34)/1000</f>
        <v>57.914000000000001</v>
      </c>
      <c r="J40" s="131">
        <f>+I40+'20'!J40</f>
        <v>1077.614</v>
      </c>
      <c r="K40" s="130" t="s">
        <v>74</v>
      </c>
    </row>
    <row r="41" spans="1:14" ht="17.399999999999999" customHeight="1">
      <c r="A41" s="786" t="s">
        <v>79</v>
      </c>
      <c r="B41" s="787"/>
      <c r="C41" s="164">
        <f>SUMIF($G$7:$G$31,"Electrical",$F$7:$F$31)</f>
        <v>0</v>
      </c>
      <c r="D41" s="118">
        <f>C41+'20'!D41</f>
        <v>0</v>
      </c>
      <c r="E41" s="143">
        <f t="shared" si="2"/>
        <v>0</v>
      </c>
      <c r="F41" s="304"/>
      <c r="G41" s="304"/>
      <c r="H41" s="185" t="s">
        <v>80</v>
      </c>
      <c r="I41" s="142"/>
      <c r="J41" s="129">
        <f>J40/G4</f>
        <v>51.314952380952384</v>
      </c>
      <c r="K41" s="130" t="s">
        <v>74</v>
      </c>
    </row>
    <row r="42" spans="1:14" ht="17.399999999999999" customHeight="1">
      <c r="A42" s="786" t="s">
        <v>16</v>
      </c>
      <c r="B42" s="787"/>
      <c r="C42" s="164">
        <f>SUMIF($G$7:$G$31,"Instrument",$F$7:$F$31)</f>
        <v>0</v>
      </c>
      <c r="D42" s="118">
        <f>C42+'20'!D42</f>
        <v>0</v>
      </c>
      <c r="E42" s="143">
        <f t="shared" si="2"/>
        <v>0</v>
      </c>
      <c r="F42" s="183">
        <f>+(F38*480+F39*480+F40*480)/1440</f>
        <v>860</v>
      </c>
      <c r="G42" s="183">
        <f>+(G38*480+G39*480+G40*480)/1440</f>
        <v>722.4</v>
      </c>
      <c r="H42" s="185" t="s">
        <v>81</v>
      </c>
      <c r="I42" s="241"/>
      <c r="J42" s="132"/>
      <c r="K42" s="130" t="s">
        <v>82</v>
      </c>
    </row>
    <row r="43" spans="1:14" ht="17.399999999999999" customHeight="1">
      <c r="A43" s="786" t="s">
        <v>83</v>
      </c>
      <c r="B43" s="787"/>
      <c r="C43" s="164">
        <f>SUMIF($G$7:$G$31,"Water",$F$7:$F$31)</f>
        <v>0</v>
      </c>
      <c r="D43" s="118">
        <f>C43+'20'!D43</f>
        <v>0</v>
      </c>
      <c r="E43" s="143">
        <f t="shared" si="2"/>
        <v>0</v>
      </c>
      <c r="F43" s="304"/>
      <c r="G43" s="305"/>
      <c r="H43" s="186" t="s">
        <v>84</v>
      </c>
      <c r="I43" s="118">
        <f>+Report1!Z29</f>
        <v>98.7</v>
      </c>
      <c r="J43" s="133">
        <f>+I43+'20'!J43</f>
        <v>2017.12</v>
      </c>
      <c r="K43" s="130" t="s">
        <v>74</v>
      </c>
      <c r="L43" s="187"/>
    </row>
    <row r="44" spans="1:14" ht="17.399999999999999" customHeight="1">
      <c r="A44" s="786" t="s">
        <v>17</v>
      </c>
      <c r="B44" s="787"/>
      <c r="C44" s="164">
        <f>SUMIF($G$7:$G$31,"PLN",$F$7:$F$31)</f>
        <v>0</v>
      </c>
      <c r="D44" s="118">
        <f>C44+'20'!D44</f>
        <v>0</v>
      </c>
      <c r="E44" s="143">
        <f t="shared" si="2"/>
        <v>0</v>
      </c>
      <c r="F44" s="304"/>
      <c r="G44" s="305"/>
      <c r="H44" s="186" t="s">
        <v>85</v>
      </c>
      <c r="I44" s="118">
        <f>I43/I38</f>
        <v>1.639126463505771</v>
      </c>
      <c r="J44" s="134">
        <f>J43/J38</f>
        <v>1.853847907123793</v>
      </c>
      <c r="K44" s="130" t="s">
        <v>74</v>
      </c>
    </row>
    <row r="45" spans="1:14" ht="17.399999999999999" customHeight="1">
      <c r="A45" s="786" t="s">
        <v>18</v>
      </c>
      <c r="B45" s="787"/>
      <c r="C45" s="164">
        <f>SUMIF($G$7:$G$31,"Boiler",$F$7:$F$31)</f>
        <v>0</v>
      </c>
      <c r="D45" s="118">
        <f>C45+'20'!D45</f>
        <v>0</v>
      </c>
      <c r="E45" s="143">
        <f t="shared" si="2"/>
        <v>0</v>
      </c>
      <c r="F45" s="304"/>
      <c r="G45" s="307"/>
      <c r="H45" s="186" t="s">
        <v>86</v>
      </c>
      <c r="I45" s="118">
        <f>I43/I40</f>
        <v>1.7042511309873261</v>
      </c>
      <c r="J45" s="134">
        <f>J43/J40</f>
        <v>1.8718390815264092</v>
      </c>
      <c r="K45" s="130" t="s">
        <v>74</v>
      </c>
    </row>
    <row r="46" spans="1:14" ht="17.399999999999999" customHeight="1">
      <c r="A46" s="786" t="s">
        <v>87</v>
      </c>
      <c r="B46" s="787"/>
      <c r="C46" s="164">
        <f>SUMIF($G$7:$G$31,"Gas",$F$7:$F$31)</f>
        <v>0</v>
      </c>
      <c r="D46" s="118">
        <f>C46+'20'!D46</f>
        <v>0</v>
      </c>
      <c r="E46" s="143">
        <f t="shared" si="2"/>
        <v>0</v>
      </c>
      <c r="F46" s="304"/>
      <c r="G46" s="305"/>
      <c r="H46" s="186" t="s">
        <v>88</v>
      </c>
      <c r="I46" s="140">
        <f>+SUMIF(Listrik!X28,"&gt;0")</f>
        <v>35523.079999998758</v>
      </c>
      <c r="J46" s="135">
        <f>+I46+'20'!J46</f>
        <v>803008.39869719243</v>
      </c>
      <c r="K46" s="130" t="s">
        <v>89</v>
      </c>
    </row>
    <row r="47" spans="1:14" ht="17.399999999999999" customHeight="1">
      <c r="A47" s="786" t="s">
        <v>90</v>
      </c>
      <c r="B47" s="787"/>
      <c r="C47" s="164">
        <f>SUMIF($G$7:$G$31,"Gas",$F$7:$F$31)</f>
        <v>0</v>
      </c>
      <c r="D47" s="118">
        <f>C47+'20'!D47</f>
        <v>0</v>
      </c>
      <c r="E47" s="143">
        <f t="shared" si="2"/>
        <v>0</v>
      </c>
      <c r="F47" s="304"/>
      <c r="G47" s="305"/>
      <c r="H47" s="186" t="s">
        <v>91</v>
      </c>
      <c r="I47" s="118">
        <f>I46/I38</f>
        <v>589.93739101550705</v>
      </c>
      <c r="J47" s="135">
        <f>J46/J38</f>
        <v>738.01035105874644</v>
      </c>
      <c r="K47" s="130" t="s">
        <v>24</v>
      </c>
    </row>
    <row r="48" spans="1:14" ht="17.399999999999999" customHeight="1">
      <c r="A48" s="786" t="s">
        <v>14</v>
      </c>
      <c r="B48" s="787"/>
      <c r="C48" s="164">
        <f>SUMIF($G$7:$G$31,"Start Up",$F$7:$F$31)</f>
        <v>0</v>
      </c>
      <c r="D48" s="118">
        <f>C48+'20'!D48</f>
        <v>0</v>
      </c>
      <c r="E48" s="143">
        <f t="shared" si="2"/>
        <v>0</v>
      </c>
      <c r="F48" s="304"/>
      <c r="G48" s="305"/>
      <c r="H48" s="186" t="s">
        <v>92</v>
      </c>
      <c r="I48" s="118">
        <f>I46/I40</f>
        <v>613.37638567529018</v>
      </c>
      <c r="J48" s="135">
        <f>J46/J40</f>
        <v>745.17257449995304</v>
      </c>
      <c r="K48" s="130" t="s">
        <v>24</v>
      </c>
    </row>
    <row r="49" spans="1:11" ht="17.399999999999999" customHeight="1">
      <c r="A49" s="786" t="s">
        <v>20</v>
      </c>
      <c r="B49" s="787"/>
      <c r="C49" s="164">
        <f>SUMIF($G$7:$G$31,"Others",$F$7:$F$31)</f>
        <v>0</v>
      </c>
      <c r="D49" s="118">
        <f>C49+'20'!D49</f>
        <v>1072</v>
      </c>
      <c r="E49" s="143">
        <f t="shared" si="2"/>
        <v>17.866666666666667</v>
      </c>
      <c r="F49" s="183"/>
      <c r="H49" s="186" t="s">
        <v>269</v>
      </c>
      <c r="I49" s="118">
        <f>+Report1!T29</f>
        <v>4009.242008986902</v>
      </c>
      <c r="J49" s="135">
        <f>+I49+'20'!J49</f>
        <v>77150.915172971392</v>
      </c>
      <c r="K49" s="130" t="s">
        <v>93</v>
      </c>
    </row>
    <row r="50" spans="1:11" ht="17.399999999999999" customHeight="1">
      <c r="A50" s="786" t="s">
        <v>19</v>
      </c>
      <c r="B50" s="787"/>
      <c r="C50" s="164">
        <f>SUMIF($G$7:$G$31,"Steam",$F$7:$F$31)</f>
        <v>0</v>
      </c>
      <c r="D50" s="118">
        <f>C50+'20'!D50</f>
        <v>0</v>
      </c>
      <c r="E50" s="143">
        <f t="shared" si="2"/>
        <v>0</v>
      </c>
      <c r="F50" s="183"/>
      <c r="H50" s="186" t="s">
        <v>94</v>
      </c>
      <c r="I50" s="140">
        <f>I49/I38</f>
        <v>66.582114240420196</v>
      </c>
      <c r="J50" s="133">
        <f>J49/J38</f>
        <v>70.906075308409171</v>
      </c>
      <c r="K50" s="130" t="s">
        <v>93</v>
      </c>
    </row>
    <row r="51" spans="1:11" ht="17.399999999999999" customHeight="1">
      <c r="A51" s="803" t="s">
        <v>95</v>
      </c>
      <c r="B51" s="803"/>
      <c r="C51" s="164">
        <f>SUMIF($G$7:$G$31,"Planned shut",$F$7:$F$31)</f>
        <v>0</v>
      </c>
      <c r="D51" s="118">
        <f>C51+'20'!D51</f>
        <v>0</v>
      </c>
      <c r="E51" s="143">
        <f t="shared" si="2"/>
        <v>0</v>
      </c>
      <c r="F51" s="183"/>
      <c r="H51" s="188" t="s">
        <v>96</v>
      </c>
      <c r="I51" s="141">
        <f>I49/I40</f>
        <v>69.227509911021542</v>
      </c>
      <c r="J51" s="136">
        <f>J49/J40</f>
        <v>71.594202722840819</v>
      </c>
      <c r="K51" s="137" t="s">
        <v>93</v>
      </c>
    </row>
    <row r="52" spans="1:11" ht="13.8" thickBot="1">
      <c r="A52" s="804" t="s">
        <v>218</v>
      </c>
      <c r="B52" s="805"/>
      <c r="C52" s="164">
        <f>SUMIF($G$7:$G$31,"Change Grade",$F$7:$F$31)</f>
        <v>0</v>
      </c>
      <c r="D52" s="118">
        <f>C52+'20'!D52</f>
        <v>0</v>
      </c>
      <c r="E52" s="143">
        <f t="shared" si="2"/>
        <v>0</v>
      </c>
      <c r="F52" s="183"/>
      <c r="H52" s="189"/>
      <c r="I52" s="190"/>
      <c r="J52" s="138"/>
      <c r="K52" s="139"/>
    </row>
    <row r="53" spans="1:11">
      <c r="A53" s="799" t="s">
        <v>28</v>
      </c>
      <c r="B53" s="800"/>
      <c r="C53" s="144">
        <f>SUM(C38:C52)</f>
        <v>22</v>
      </c>
      <c r="D53" s="144">
        <f>SUM(D38:D52)</f>
        <v>1665</v>
      </c>
      <c r="E53" s="145">
        <f>SUM(E38:E52)</f>
        <v>27.75</v>
      </c>
      <c r="F53" s="183"/>
    </row>
    <row r="54" spans="1:11" ht="13.8" thickBot="1">
      <c r="A54" s="801"/>
      <c r="B54" s="802"/>
      <c r="C54" s="146">
        <f>C53/(24*60)</f>
        <v>1.5277777777777777E-2</v>
      </c>
      <c r="D54" s="146">
        <f>D53/(24*60*G4)</f>
        <v>5.5059523809523808E-2</v>
      </c>
      <c r="E54" s="147">
        <f>E53/(G4*24)</f>
        <v>5.5059523809523808E-2</v>
      </c>
      <c r="F54" s="183"/>
    </row>
    <row r="55" spans="1:11">
      <c r="E55" s="191"/>
    </row>
    <row r="56" spans="1:11">
      <c r="A56" s="192" t="s">
        <v>97</v>
      </c>
      <c r="B56" s="193"/>
      <c r="C56" s="194"/>
      <c r="D56" s="194"/>
      <c r="E56" s="194"/>
      <c r="F56" s="195"/>
      <c r="G56" s="194"/>
      <c r="H56" s="196"/>
      <c r="I56" s="197" t="s">
        <v>98</v>
      </c>
      <c r="J56" s="198">
        <f>+D34+'20'!J56</f>
        <v>710</v>
      </c>
      <c r="K56" s="199">
        <f>J56/(J40+J56/1000)/1000</f>
        <v>6.5842919196827665E-4</v>
      </c>
    </row>
    <row r="57" spans="1:11">
      <c r="A57" s="174"/>
      <c r="I57" s="197" t="s">
        <v>99</v>
      </c>
      <c r="J57" s="198">
        <f>+E34+'20'!J57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1"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S61"/>
  <sheetViews>
    <sheetView view="pageBreakPreview" zoomScale="80" zoomScaleNormal="80" zoomScaleSheetLayoutView="80" workbookViewId="0">
      <selection activeCell="H13" sqref="H13"/>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5.44140625" style="149" customWidth="1"/>
    <col min="14" max="16384" width="9.109375" style="149"/>
  </cols>
  <sheetData>
    <row r="1" spans="1:19" ht="15.6">
      <c r="A1" s="148"/>
    </row>
    <row r="2" spans="1:19" ht="15.6">
      <c r="A2" s="148" t="s">
        <v>219</v>
      </c>
    </row>
    <row r="3" spans="1:19" ht="15">
      <c r="A3" s="150"/>
    </row>
    <row r="4" spans="1:19" ht="21">
      <c r="A4" s="151" t="s">
        <v>4</v>
      </c>
      <c r="B4" s="152"/>
      <c r="F4" s="153" t="s">
        <v>29</v>
      </c>
      <c r="G4" s="154">
        <v>20</v>
      </c>
      <c r="H4" s="154" t="str">
        <f>+'1'!H4</f>
        <v>.03.26</v>
      </c>
      <c r="J4" s="149">
        <f>152+200+172</f>
        <v>524</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659</v>
      </c>
      <c r="O6" s="149">
        <v>860</v>
      </c>
      <c r="P6" s="149">
        <f>+O6-(O6*0.16)</f>
        <v>722.4</v>
      </c>
      <c r="Q6" s="149">
        <v>480</v>
      </c>
      <c r="R6" s="149">
        <f t="shared" ref="R6:R8" si="0">+O6*Q6</f>
        <v>412800</v>
      </c>
      <c r="S6" s="149">
        <f t="shared" ref="S6:S8" si="1">+P6*Q6</f>
        <v>346752</v>
      </c>
    </row>
    <row r="7" spans="1:19" ht="13.5" customHeight="1" thickBot="1">
      <c r="A7" s="788" t="s">
        <v>458</v>
      </c>
      <c r="B7" s="213" t="s">
        <v>650</v>
      </c>
      <c r="C7" s="214">
        <v>16788</v>
      </c>
      <c r="D7" s="215"/>
      <c r="E7" s="216"/>
      <c r="F7" s="231"/>
      <c r="G7" s="553" t="s">
        <v>12</v>
      </c>
      <c r="H7" s="554" t="s">
        <v>417</v>
      </c>
      <c r="I7" s="791" t="s">
        <v>675</v>
      </c>
      <c r="J7" s="212" t="str">
        <f>+'19'!J7</f>
        <v>T 15 RC HW</v>
      </c>
      <c r="K7" s="233"/>
      <c r="L7" s="237"/>
      <c r="M7" s="117">
        <f>+K7+'19'!M7+L7</f>
        <v>406602</v>
      </c>
      <c r="O7" s="149">
        <v>860</v>
      </c>
      <c r="P7" s="149">
        <f>+O7-(O7*0.16)</f>
        <v>722.4</v>
      </c>
      <c r="Q7" s="149">
        <v>480</v>
      </c>
      <c r="R7" s="149">
        <f t="shared" si="0"/>
        <v>412800</v>
      </c>
      <c r="S7" s="149">
        <f t="shared" si="1"/>
        <v>346752</v>
      </c>
    </row>
    <row r="8" spans="1:19" ht="13.8" thickBot="1">
      <c r="A8" s="789"/>
      <c r="B8" s="213"/>
      <c r="C8" s="214"/>
      <c r="D8" s="215"/>
      <c r="E8" s="217"/>
      <c r="F8" s="227">
        <v>5</v>
      </c>
      <c r="G8" s="555" t="s">
        <v>12</v>
      </c>
      <c r="H8" s="226" t="s">
        <v>630</v>
      </c>
      <c r="I8" s="792"/>
      <c r="J8" s="212" t="str">
        <f>+'19'!J8</f>
        <v>T 14,5 RC HW</v>
      </c>
      <c r="K8" s="234"/>
      <c r="L8" s="234"/>
      <c r="M8" s="117">
        <f>+K8+'19'!M8+L8</f>
        <v>206120</v>
      </c>
      <c r="O8" s="149">
        <v>860</v>
      </c>
      <c r="P8" s="149">
        <f>+O8-(O8*0.16)</f>
        <v>722.4</v>
      </c>
      <c r="Q8" s="149">
        <v>480</v>
      </c>
      <c r="R8" s="149">
        <f t="shared" si="0"/>
        <v>412800</v>
      </c>
      <c r="S8" s="149">
        <f t="shared" si="1"/>
        <v>346752</v>
      </c>
    </row>
    <row r="9" spans="1:19" ht="13.8" thickBot="1">
      <c r="A9" s="789"/>
      <c r="B9" s="213"/>
      <c r="C9" s="214"/>
      <c r="D9" s="215"/>
      <c r="E9" s="218"/>
      <c r="F9" s="227">
        <v>5</v>
      </c>
      <c r="G9" s="555" t="s">
        <v>12</v>
      </c>
      <c r="H9" s="229" t="s">
        <v>539</v>
      </c>
      <c r="I9" s="792"/>
      <c r="J9" s="212" t="str">
        <f>+'19'!J9</f>
        <v>T 14 RC HW</v>
      </c>
      <c r="K9" s="234"/>
      <c r="L9" s="234"/>
      <c r="M9" s="117">
        <f>+K9+'19'!M9+L9</f>
        <v>49646</v>
      </c>
    </row>
    <row r="10" spans="1:19" ht="66.599999999999994" thickBot="1">
      <c r="A10" s="789"/>
      <c r="B10" s="213"/>
      <c r="C10" s="214"/>
      <c r="D10" s="215"/>
      <c r="E10" s="217"/>
      <c r="F10" s="227"/>
      <c r="G10" s="225"/>
      <c r="H10" s="556" t="s">
        <v>666</v>
      </c>
      <c r="I10" s="792"/>
      <c r="J10" s="212" t="str">
        <f>+'19'!J10</f>
        <v>T 13,5 RC HW</v>
      </c>
      <c r="K10" s="234"/>
      <c r="L10" s="234"/>
      <c r="M10" s="117">
        <f>+K10+'19'!M10+L10</f>
        <v>196361</v>
      </c>
    </row>
    <row r="11" spans="1:19" ht="27" thickBot="1">
      <c r="A11" s="789"/>
      <c r="B11" s="213"/>
      <c r="C11" s="214"/>
      <c r="D11" s="215"/>
      <c r="E11" s="217"/>
      <c r="F11" s="224"/>
      <c r="G11" s="228"/>
      <c r="H11" s="229" t="s">
        <v>672</v>
      </c>
      <c r="I11" s="792"/>
      <c r="J11" s="212" t="str">
        <f>+'19'!J11</f>
        <v>TW 22 RC HW</v>
      </c>
      <c r="K11" s="234">
        <f>+C34</f>
        <v>56204</v>
      </c>
      <c r="L11" s="234"/>
      <c r="M11" s="117">
        <f>+K11+'19'!M11+L11</f>
        <v>160971</v>
      </c>
    </row>
    <row r="12" spans="1:19" ht="13.8" thickBot="1">
      <c r="A12" s="789"/>
      <c r="B12" s="213"/>
      <c r="C12" s="214"/>
      <c r="D12" s="215"/>
      <c r="E12" s="217"/>
      <c r="F12" s="224"/>
      <c r="G12" s="228"/>
      <c r="H12" s="229"/>
      <c r="I12" s="792"/>
      <c r="J12" s="212">
        <f>+'19'!J12</f>
        <v>0</v>
      </c>
      <c r="K12" s="234"/>
      <c r="L12" s="234"/>
      <c r="M12" s="117">
        <f>+K12+'19'!M12+L12</f>
        <v>0</v>
      </c>
    </row>
    <row r="13" spans="1:19" ht="13.8" thickBot="1">
      <c r="A13" s="789"/>
      <c r="B13" s="213"/>
      <c r="C13" s="214"/>
      <c r="D13" s="214"/>
      <c r="E13" s="217"/>
      <c r="F13" s="224"/>
      <c r="G13" s="228"/>
      <c r="H13" s="229"/>
      <c r="I13" s="793"/>
      <c r="J13" s="212">
        <f>+'19'!J13</f>
        <v>0</v>
      </c>
      <c r="K13" s="234"/>
      <c r="L13" s="234"/>
      <c r="M13" s="117">
        <f>+K13+'19'!M13+L13</f>
        <v>0</v>
      </c>
      <c r="Q13" s="174">
        <f>SUM(Q6:Q12)</f>
        <v>1440</v>
      </c>
      <c r="R13" s="174">
        <f>SUM(R6:R12)</f>
        <v>1238400</v>
      </c>
      <c r="S13" s="174">
        <f>SUM(S6:S12)</f>
        <v>1040256</v>
      </c>
    </row>
    <row r="14" spans="1:19" ht="13.8" thickBot="1">
      <c r="A14" s="790"/>
      <c r="B14" s="165" t="s">
        <v>3</v>
      </c>
      <c r="C14" s="99">
        <f>SUM(C7:C13)</f>
        <v>16788</v>
      </c>
      <c r="D14" s="111">
        <f>SUM(D7:D13)</f>
        <v>0</v>
      </c>
      <c r="E14" s="112">
        <f>SUM(E5:E13)</f>
        <v>0</v>
      </c>
      <c r="F14" s="116">
        <f>SUM(F7:F13)</f>
        <v>10</v>
      </c>
      <c r="G14" s="159"/>
      <c r="H14" s="166"/>
      <c r="I14" s="167"/>
      <c r="J14" s="212">
        <f>+'19'!J14</f>
        <v>0</v>
      </c>
      <c r="K14" s="234"/>
      <c r="L14" s="234"/>
      <c r="M14" s="117">
        <f>+K14+'19'!M14+L14</f>
        <v>0</v>
      </c>
      <c r="Q14" s="149">
        <f>480-Q13</f>
        <v>-960</v>
      </c>
      <c r="R14" s="174">
        <f>+R13/Q13</f>
        <v>860</v>
      </c>
      <c r="S14" s="174">
        <f>+S13/Q13</f>
        <v>722.4</v>
      </c>
    </row>
    <row r="15" spans="1:19" ht="13.8" thickBot="1">
      <c r="A15" s="794" t="s">
        <v>428</v>
      </c>
      <c r="B15" s="513"/>
      <c r="C15" s="113">
        <f>C14/($C$23+$D$23+$E$23)</f>
        <v>0.79711314752385931</v>
      </c>
      <c r="D15" s="114">
        <f>D14/($C$23+$D$23+$E$23)</f>
        <v>0</v>
      </c>
      <c r="E15" s="115">
        <f>E14/($C$23+$D$23+$E$23)</f>
        <v>0</v>
      </c>
      <c r="F15" s="231"/>
      <c r="G15" s="553" t="s">
        <v>12</v>
      </c>
      <c r="H15" s="554" t="s">
        <v>417</v>
      </c>
      <c r="I15" s="791" t="s">
        <v>675</v>
      </c>
      <c r="J15" s="212">
        <f>+'19'!J15</f>
        <v>0</v>
      </c>
      <c r="K15" s="234"/>
      <c r="L15" s="234"/>
      <c r="M15" s="117">
        <f>+K15+'19'!M15+L15</f>
        <v>0</v>
      </c>
    </row>
    <row r="16" spans="1:19" ht="13.8" thickBot="1">
      <c r="A16" s="789"/>
      <c r="B16" s="213" t="s">
        <v>650</v>
      </c>
      <c r="C16" s="511">
        <v>21061</v>
      </c>
      <c r="D16" s="219"/>
      <c r="E16" s="220"/>
      <c r="F16" s="227">
        <v>3</v>
      </c>
      <c r="G16" s="555" t="s">
        <v>12</v>
      </c>
      <c r="H16" s="226" t="s">
        <v>416</v>
      </c>
      <c r="I16" s="792"/>
      <c r="J16" s="212">
        <f>+'19'!J16</f>
        <v>0</v>
      </c>
      <c r="K16" s="225"/>
      <c r="L16" s="225"/>
      <c r="M16" s="117">
        <f>+K16+'19'!M16+L16</f>
        <v>0</v>
      </c>
      <c r="N16" s="534"/>
      <c r="O16" s="535"/>
      <c r="P16" s="535"/>
      <c r="Q16" s="535"/>
    </row>
    <row r="17" spans="1:17" ht="13.8" thickBot="1">
      <c r="A17" s="789"/>
      <c r="B17" s="213"/>
      <c r="C17" s="214"/>
      <c r="D17" s="215"/>
      <c r="E17" s="221"/>
      <c r="F17" s="227">
        <v>7</v>
      </c>
      <c r="G17" s="555" t="s">
        <v>12</v>
      </c>
      <c r="H17" s="229" t="s">
        <v>418</v>
      </c>
      <c r="I17" s="792"/>
      <c r="J17" s="212">
        <f>+'19'!J17</f>
        <v>0</v>
      </c>
      <c r="K17" s="225"/>
      <c r="L17" s="225"/>
      <c r="M17" s="117">
        <f>+K17+'19'!M17+L17</f>
        <v>0</v>
      </c>
    </row>
    <row r="18" spans="1:17" ht="53.4" thickBot="1">
      <c r="A18" s="789"/>
      <c r="B18" s="213"/>
      <c r="C18" s="214"/>
      <c r="D18" s="215"/>
      <c r="E18" s="221"/>
      <c r="F18" s="227"/>
      <c r="G18" s="225"/>
      <c r="H18" s="556" t="s">
        <v>661</v>
      </c>
      <c r="I18" s="792"/>
      <c r="J18" s="212">
        <f>+'19'!J18</f>
        <v>0</v>
      </c>
      <c r="K18" s="234"/>
      <c r="L18" s="234"/>
      <c r="M18" s="117">
        <f>+K18+'19'!M18+L18</f>
        <v>0</v>
      </c>
    </row>
    <row r="19" spans="1:17" ht="27" thickBot="1">
      <c r="A19" s="789"/>
      <c r="B19" s="213"/>
      <c r="C19" s="214"/>
      <c r="D19" s="215"/>
      <c r="E19" s="221"/>
      <c r="F19" s="230"/>
      <c r="G19" s="228"/>
      <c r="H19" s="229" t="s">
        <v>669</v>
      </c>
      <c r="I19" s="792"/>
      <c r="J19" s="212">
        <f>+'19'!J19</f>
        <v>0</v>
      </c>
      <c r="K19" s="234"/>
      <c r="L19" s="234"/>
      <c r="M19" s="117">
        <f>+K19+'19'!M19+L19</f>
        <v>0</v>
      </c>
    </row>
    <row r="20" spans="1:17" ht="13.8" thickBot="1">
      <c r="A20" s="789"/>
      <c r="B20" s="213"/>
      <c r="C20" s="214"/>
      <c r="D20" s="215"/>
      <c r="E20" s="221"/>
      <c r="F20" s="224"/>
      <c r="G20" s="228"/>
      <c r="H20" s="229"/>
      <c r="I20" s="792"/>
      <c r="J20" s="212">
        <f>+'19'!J20</f>
        <v>0</v>
      </c>
      <c r="K20" s="235"/>
      <c r="L20" s="235"/>
      <c r="M20" s="117">
        <f>+K20+'19'!M20+L20</f>
        <v>0</v>
      </c>
    </row>
    <row r="21" spans="1:17" ht="13.8" thickBot="1">
      <c r="A21" s="789"/>
      <c r="B21" s="213"/>
      <c r="C21" s="214"/>
      <c r="D21" s="215"/>
      <c r="E21" s="221"/>
      <c r="F21" s="227"/>
      <c r="G21" s="228"/>
      <c r="H21" s="229"/>
      <c r="I21" s="792"/>
      <c r="J21" s="212">
        <f>+'19'!J21</f>
        <v>0</v>
      </c>
      <c r="K21" s="234"/>
      <c r="L21" s="234"/>
      <c r="M21" s="117">
        <f>+K21+'19'!M21+L21</f>
        <v>0</v>
      </c>
    </row>
    <row r="22" spans="1:17" ht="13.8" thickBot="1">
      <c r="A22" s="789"/>
      <c r="B22" s="213"/>
      <c r="C22" s="214"/>
      <c r="D22" s="215"/>
      <c r="E22" s="221"/>
      <c r="F22" s="231"/>
      <c r="G22" s="228"/>
      <c r="H22" s="229"/>
      <c r="I22" s="793"/>
      <c r="J22" s="212">
        <f>+'19'!J22</f>
        <v>0</v>
      </c>
      <c r="K22" s="234"/>
      <c r="L22" s="234"/>
      <c r="M22" s="117">
        <f>+K22+'19'!M22+L22</f>
        <v>0</v>
      </c>
    </row>
    <row r="23" spans="1:17" ht="13.8" thickBot="1">
      <c r="A23" s="790"/>
      <c r="B23" s="165" t="s">
        <v>3</v>
      </c>
      <c r="C23" s="99">
        <f>SUM(C16:C22)</f>
        <v>21061</v>
      </c>
      <c r="D23" s="111">
        <f>SUM(D16:D22)</f>
        <v>0</v>
      </c>
      <c r="E23" s="112">
        <f>SUM(E18:E22)</f>
        <v>0</v>
      </c>
      <c r="F23" s="116">
        <f>SUM(F15:F22)</f>
        <v>10</v>
      </c>
      <c r="G23" s="159"/>
      <c r="H23" s="166"/>
      <c r="I23" s="168"/>
      <c r="J23" s="212">
        <f>+'19'!J23</f>
        <v>0</v>
      </c>
      <c r="K23" s="234"/>
      <c r="L23" s="234"/>
      <c r="M23" s="117">
        <f>+K23+'19'!M23+L23</f>
        <v>0</v>
      </c>
    </row>
    <row r="24" spans="1:17" ht="13.8" thickBot="1">
      <c r="A24" s="794" t="s">
        <v>429</v>
      </c>
      <c r="B24" s="513"/>
      <c r="C24" s="113">
        <f>C23/($C$23+$D$23+$E$23)</f>
        <v>1</v>
      </c>
      <c r="D24" s="114">
        <f>D23/($C$23+$D$23+$E$23)</f>
        <v>0</v>
      </c>
      <c r="E24" s="115">
        <f>E23/($C$23+$D$23+$E$23)</f>
        <v>0</v>
      </c>
      <c r="F24" s="231"/>
      <c r="G24" s="553" t="s">
        <v>12</v>
      </c>
      <c r="H24" s="554" t="s">
        <v>417</v>
      </c>
      <c r="I24" s="791" t="s">
        <v>675</v>
      </c>
      <c r="J24" s="212">
        <f>+'19'!J24</f>
        <v>0</v>
      </c>
      <c r="K24" s="234"/>
      <c r="L24" s="234"/>
      <c r="M24" s="117">
        <f>+K24+'19'!M24+L24</f>
        <v>0</v>
      </c>
    </row>
    <row r="25" spans="1:17" ht="13.8" thickBot="1">
      <c r="A25" s="789"/>
      <c r="B25" s="213" t="s">
        <v>650</v>
      </c>
      <c r="C25" s="222">
        <v>18355</v>
      </c>
      <c r="D25" s="215"/>
      <c r="E25" s="221"/>
      <c r="F25" s="227">
        <v>6</v>
      </c>
      <c r="G25" s="555" t="s">
        <v>12</v>
      </c>
      <c r="H25" s="226" t="s">
        <v>630</v>
      </c>
      <c r="I25" s="792"/>
      <c r="J25" s="212">
        <f>+'19'!J25</f>
        <v>0</v>
      </c>
      <c r="K25" s="234"/>
      <c r="L25" s="234"/>
      <c r="M25" s="117">
        <f>+K25+'19'!M25+L25</f>
        <v>0</v>
      </c>
      <c r="N25" s="534"/>
      <c r="O25" s="535"/>
      <c r="P25" s="535"/>
      <c r="Q25" s="535"/>
    </row>
    <row r="26" spans="1:17" ht="13.8" thickBot="1">
      <c r="A26" s="789"/>
      <c r="B26" s="213"/>
      <c r="C26" s="222"/>
      <c r="D26" s="215"/>
      <c r="E26" s="223"/>
      <c r="F26" s="227">
        <v>14</v>
      </c>
      <c r="G26" s="555" t="s">
        <v>12</v>
      </c>
      <c r="H26" s="229" t="s">
        <v>497</v>
      </c>
      <c r="I26" s="792"/>
      <c r="J26" s="212">
        <f>+'19'!J26</f>
        <v>0</v>
      </c>
      <c r="K26" s="234"/>
      <c r="L26" s="234"/>
      <c r="M26" s="117">
        <f>+K26+'19'!M26+L26</f>
        <v>0</v>
      </c>
    </row>
    <row r="27" spans="1:17" ht="53.4" thickBot="1">
      <c r="A27" s="789"/>
      <c r="B27" s="213"/>
      <c r="C27" s="214"/>
      <c r="D27" s="215"/>
      <c r="E27" s="221"/>
      <c r="F27" s="227"/>
      <c r="G27" s="225"/>
      <c r="H27" s="556" t="s">
        <v>667</v>
      </c>
      <c r="I27" s="792"/>
      <c r="J27" s="212">
        <f>+'19'!J27</f>
        <v>0</v>
      </c>
      <c r="K27" s="234"/>
      <c r="L27" s="234"/>
      <c r="M27" s="117">
        <f>+K27+'19'!M27+L27</f>
        <v>0</v>
      </c>
    </row>
    <row r="28" spans="1:17" ht="40.200000000000003" thickBot="1">
      <c r="A28" s="789"/>
      <c r="B28" s="213"/>
      <c r="C28" s="214"/>
      <c r="D28" s="215"/>
      <c r="E28" s="221"/>
      <c r="F28" s="227"/>
      <c r="G28" s="225"/>
      <c r="H28" s="229" t="s">
        <v>668</v>
      </c>
      <c r="I28" s="792"/>
      <c r="J28" s="212">
        <f>+'19'!J28</f>
        <v>0</v>
      </c>
      <c r="K28" s="234"/>
      <c r="L28" s="234"/>
      <c r="M28" s="117">
        <f>+K28+'19'!M28+L28</f>
        <v>0</v>
      </c>
    </row>
    <row r="29" spans="1:17" ht="13.8" thickBot="1">
      <c r="A29" s="789"/>
      <c r="B29" s="213"/>
      <c r="C29" s="214"/>
      <c r="D29" s="215"/>
      <c r="E29" s="221"/>
      <c r="F29" s="231"/>
      <c r="G29" s="228"/>
      <c r="H29" s="229"/>
      <c r="I29" s="792"/>
      <c r="J29" s="212">
        <f>+'19'!J29</f>
        <v>0</v>
      </c>
      <c r="K29" s="234"/>
      <c r="L29" s="234"/>
      <c r="M29" s="117">
        <f>+K29+'19'!M29+L29</f>
        <v>0</v>
      </c>
    </row>
    <row r="30" spans="1:17" ht="13.8" thickBot="1">
      <c r="A30" s="789"/>
      <c r="B30" s="213"/>
      <c r="C30" s="222"/>
      <c r="D30" s="215"/>
      <c r="E30" s="221"/>
      <c r="F30" s="231"/>
      <c r="G30" s="228"/>
      <c r="H30" s="229"/>
      <c r="I30" s="792"/>
      <c r="J30" s="212">
        <f>+'19'!J30</f>
        <v>0</v>
      </c>
      <c r="K30" s="234"/>
      <c r="L30" s="234"/>
      <c r="M30" s="117">
        <f>+K30+'19'!M30+L30</f>
        <v>0</v>
      </c>
      <c r="N30" s="155"/>
    </row>
    <row r="31" spans="1:17" ht="13.8" thickBot="1">
      <c r="A31" s="789"/>
      <c r="B31" s="213"/>
      <c r="C31" s="222"/>
      <c r="D31" s="215"/>
      <c r="E31" s="221"/>
      <c r="F31" s="231"/>
      <c r="G31" s="232"/>
      <c r="H31" s="404"/>
      <c r="I31" s="793"/>
      <c r="J31" s="212">
        <f>+'19'!J31</f>
        <v>0</v>
      </c>
      <c r="K31" s="234"/>
      <c r="L31" s="234"/>
      <c r="M31" s="117">
        <f>+K31+'19'!M31+L31</f>
        <v>0</v>
      </c>
    </row>
    <row r="32" spans="1:17" ht="13.8" thickBot="1">
      <c r="A32" s="790"/>
      <c r="B32" s="165" t="s">
        <v>3</v>
      </c>
      <c r="C32" s="99">
        <f>SUM(C25:C31)</f>
        <v>18355</v>
      </c>
      <c r="D32" s="100">
        <f>SUM(D25:D31)</f>
        <v>0</v>
      </c>
      <c r="E32" s="101">
        <f>SUM(E25:E31)</f>
        <v>0</v>
      </c>
      <c r="F32" s="99">
        <f>SUM(F24:F31)</f>
        <v>20</v>
      </c>
      <c r="G32" s="169"/>
      <c r="H32" s="170"/>
      <c r="I32" s="168"/>
      <c r="J32" s="212">
        <f>+'19'!J32</f>
        <v>0</v>
      </c>
      <c r="K32" s="236"/>
      <c r="L32" s="238"/>
      <c r="M32" s="117">
        <f>+K32+'19'!M32+L32</f>
        <v>0</v>
      </c>
    </row>
    <row r="33" spans="1:14" ht="13.8" thickBot="1">
      <c r="A33" s="171"/>
      <c r="B33" s="172"/>
      <c r="C33" s="103">
        <f>C32/($C$32+$D$32+$E$32)</f>
        <v>1</v>
      </c>
      <c r="D33" s="104">
        <f>D32/($C$32+$D$32+$E$32)</f>
        <v>0</v>
      </c>
      <c r="E33" s="105">
        <f>E32/($C$32+$D$32+$E$32)</f>
        <v>0</v>
      </c>
      <c r="F33" s="106"/>
      <c r="G33" s="173"/>
      <c r="H33" s="174"/>
      <c r="I33" s="175"/>
      <c r="J33" s="121"/>
      <c r="K33" s="122"/>
      <c r="L33" s="211"/>
      <c r="M33" s="119"/>
    </row>
    <row r="34" spans="1:14" ht="13.8" thickBot="1">
      <c r="A34" s="795" t="s">
        <v>68</v>
      </c>
      <c r="B34" s="796"/>
      <c r="C34" s="107">
        <f>C14+C23+C32</f>
        <v>56204</v>
      </c>
      <c r="D34" s="107">
        <f>D14+D23+D32</f>
        <v>0</v>
      </c>
      <c r="E34" s="107">
        <f>E14+E23+E32</f>
        <v>0</v>
      </c>
      <c r="F34" s="108">
        <f>F14+F23+F32</f>
        <v>40</v>
      </c>
      <c r="H34" s="176"/>
      <c r="I34" s="176"/>
      <c r="J34" s="123" t="s">
        <v>28</v>
      </c>
      <c r="K34" s="124">
        <f>SUM(K7:K32)</f>
        <v>56204</v>
      </c>
      <c r="L34" s="210">
        <f>SUM(L7:L32)</f>
        <v>0</v>
      </c>
      <c r="M34" s="120">
        <f>SUM(M7:M32)</f>
        <v>1019700</v>
      </c>
      <c r="N34" s="155"/>
    </row>
    <row r="35" spans="1:14" ht="13.8" thickBot="1">
      <c r="A35" s="177"/>
      <c r="B35" s="178"/>
      <c r="C35" s="104">
        <f>C34/($C$34+$D$34+$E$34)</f>
        <v>1</v>
      </c>
      <c r="D35" s="104">
        <f>D34/($C$34+$D$34+$E$34)</f>
        <v>0</v>
      </c>
      <c r="E35" s="109">
        <f>E34/($C$34+$D$34+$E$34)</f>
        <v>0</v>
      </c>
      <c r="K35" s="155"/>
    </row>
    <row r="36" spans="1:14" ht="13.8" thickBot="1">
      <c r="A36" s="176"/>
      <c r="B36" s="176"/>
      <c r="C36" s="155"/>
      <c r="D36" s="155"/>
      <c r="E36" s="155"/>
      <c r="G36" s="155"/>
      <c r="H36" s="179"/>
      <c r="I36" s="162" t="s">
        <v>37</v>
      </c>
      <c r="J36" s="162" t="s">
        <v>38</v>
      </c>
      <c r="K36" s="180"/>
    </row>
    <row r="37" spans="1:14" ht="17.399999999999999" customHeight="1" thickBot="1">
      <c r="A37" s="797" t="s">
        <v>69</v>
      </c>
      <c r="B37" s="798"/>
      <c r="C37" s="162" t="s">
        <v>70</v>
      </c>
      <c r="D37" s="181" t="s">
        <v>71</v>
      </c>
      <c r="E37" s="182" t="s">
        <v>72</v>
      </c>
      <c r="F37" s="304"/>
      <c r="G37" s="306"/>
      <c r="H37" s="184" t="s">
        <v>73</v>
      </c>
      <c r="I37" s="239">
        <f>(22*1440)/1440*G42*2.7*1440/1000000</f>
        <v>61.7912064</v>
      </c>
      <c r="J37" s="125">
        <f>+I37+'19'!J37</f>
        <v>1061.1619793670616</v>
      </c>
      <c r="K37" s="126" t="s">
        <v>74</v>
      </c>
    </row>
    <row r="38" spans="1:14" ht="17.399999999999999" customHeight="1">
      <c r="A38" s="799" t="s">
        <v>12</v>
      </c>
      <c r="B38" s="800"/>
      <c r="C38" s="164">
        <f>SUMIF($G$7:$G$31,"Process",$F$7:$F$31)</f>
        <v>40</v>
      </c>
      <c r="D38" s="118">
        <f>C38+'19'!D38</f>
        <v>571</v>
      </c>
      <c r="E38" s="143">
        <f t="shared" ref="E38:E52" si="2">D38/60</f>
        <v>9.5166666666666675</v>
      </c>
      <c r="F38" s="304">
        <v>860</v>
      </c>
      <c r="G38" s="304">
        <v>722.4</v>
      </c>
      <c r="H38" s="185" t="s">
        <v>75</v>
      </c>
      <c r="I38" s="240">
        <f>16.51+19.959+20.241</f>
        <v>56.71</v>
      </c>
      <c r="J38" s="127">
        <f>+I38+'19'!J38</f>
        <v>1027.8570000000002</v>
      </c>
      <c r="K38" s="128" t="s">
        <v>74</v>
      </c>
    </row>
    <row r="39" spans="1:14" ht="17.399999999999999" customHeight="1">
      <c r="A39" s="786" t="s">
        <v>13</v>
      </c>
      <c r="B39" s="787"/>
      <c r="C39" s="164">
        <f>SUMIF($G$7:$G$31,"Cleaning",$F$7:$F$31)</f>
        <v>0</v>
      </c>
      <c r="D39" s="118">
        <f>C39+'19'!D39</f>
        <v>0</v>
      </c>
      <c r="E39" s="143">
        <f t="shared" si="2"/>
        <v>0</v>
      </c>
      <c r="F39" s="304">
        <v>860</v>
      </c>
      <c r="G39" s="304">
        <v>722.4</v>
      </c>
      <c r="H39" s="185" t="s">
        <v>76</v>
      </c>
      <c r="I39" s="142"/>
      <c r="J39" s="129">
        <f>J37/G4</f>
        <v>53.058098968353079</v>
      </c>
      <c r="K39" s="130" t="s">
        <v>74</v>
      </c>
    </row>
    <row r="40" spans="1:14" ht="17.399999999999999" customHeight="1">
      <c r="A40" s="786" t="s">
        <v>77</v>
      </c>
      <c r="B40" s="787"/>
      <c r="C40" s="164">
        <f>SUMIF($G$7:$G$31,"Mechanical",$F$7:$F$31)</f>
        <v>0</v>
      </c>
      <c r="D40" s="118">
        <f>C40+'19'!D40</f>
        <v>0</v>
      </c>
      <c r="E40" s="143">
        <f t="shared" si="2"/>
        <v>0</v>
      </c>
      <c r="F40" s="304">
        <v>860</v>
      </c>
      <c r="G40" s="304">
        <v>722.4</v>
      </c>
      <c r="H40" s="185" t="s">
        <v>78</v>
      </c>
      <c r="I40" s="118">
        <f>(K34+L34)/1000</f>
        <v>56.204000000000001</v>
      </c>
      <c r="J40" s="131">
        <f>+I40+'19'!J40</f>
        <v>1019.6999999999999</v>
      </c>
      <c r="K40" s="130" t="s">
        <v>74</v>
      </c>
    </row>
    <row r="41" spans="1:14" ht="17.399999999999999" customHeight="1">
      <c r="A41" s="786" t="s">
        <v>79</v>
      </c>
      <c r="B41" s="787"/>
      <c r="C41" s="164">
        <f>SUMIF($G$7:$G$31,"Electrical",$F$7:$F$31)</f>
        <v>0</v>
      </c>
      <c r="D41" s="118">
        <f>C41+'19'!D41</f>
        <v>0</v>
      </c>
      <c r="E41" s="143">
        <f t="shared" si="2"/>
        <v>0</v>
      </c>
      <c r="F41" s="304"/>
      <c r="G41" s="304"/>
      <c r="H41" s="185" t="s">
        <v>80</v>
      </c>
      <c r="I41" s="142"/>
      <c r="J41" s="129">
        <f>J40/G4</f>
        <v>50.984999999999999</v>
      </c>
      <c r="K41" s="130" t="s">
        <v>74</v>
      </c>
    </row>
    <row r="42" spans="1:14" ht="17.399999999999999" customHeight="1">
      <c r="A42" s="786" t="s">
        <v>16</v>
      </c>
      <c r="B42" s="787"/>
      <c r="C42" s="164">
        <f>SUMIF($G$7:$G$31,"Instrument",$F$7:$F$31)</f>
        <v>0</v>
      </c>
      <c r="D42" s="118">
        <f>C42+'19'!D42</f>
        <v>0</v>
      </c>
      <c r="E42" s="143">
        <f t="shared" si="2"/>
        <v>0</v>
      </c>
      <c r="F42" s="183">
        <f>+(F38*480+F39*480+F40*480)/1440</f>
        <v>860</v>
      </c>
      <c r="G42" s="183">
        <f>+(G38*480+G39*480+G40*480)/1440</f>
        <v>722.4</v>
      </c>
      <c r="H42" s="185" t="s">
        <v>81</v>
      </c>
      <c r="I42" s="241"/>
      <c r="J42" s="132"/>
      <c r="K42" s="130" t="s">
        <v>82</v>
      </c>
    </row>
    <row r="43" spans="1:14" ht="17.399999999999999" customHeight="1">
      <c r="A43" s="786" t="s">
        <v>83</v>
      </c>
      <c r="B43" s="787"/>
      <c r="C43" s="164">
        <f>SUMIF($G$7:$G$31,"Water",$F$7:$F$31)</f>
        <v>0</v>
      </c>
      <c r="D43" s="118">
        <f>C43+'19'!D43</f>
        <v>0</v>
      </c>
      <c r="E43" s="143">
        <f t="shared" si="2"/>
        <v>0</v>
      </c>
      <c r="F43" s="304"/>
      <c r="G43" s="305"/>
      <c r="H43" s="186" t="s">
        <v>84</v>
      </c>
      <c r="I43" s="118">
        <f>+Report1!Z28</f>
        <v>100.3</v>
      </c>
      <c r="J43" s="133">
        <f>+I43+'19'!J43</f>
        <v>1918.4199999999998</v>
      </c>
      <c r="K43" s="130" t="s">
        <v>74</v>
      </c>
      <c r="L43" s="187"/>
    </row>
    <row r="44" spans="1:14" ht="17.399999999999999" customHeight="1">
      <c r="A44" s="786" t="s">
        <v>17</v>
      </c>
      <c r="B44" s="787"/>
      <c r="C44" s="164">
        <f>SUMIF($G$7:$G$31,"PLN",$F$7:$F$31)</f>
        <v>0</v>
      </c>
      <c r="D44" s="118">
        <f>C44+'19'!D44</f>
        <v>0</v>
      </c>
      <c r="E44" s="143">
        <f t="shared" si="2"/>
        <v>0</v>
      </c>
      <c r="F44" s="304"/>
      <c r="G44" s="305"/>
      <c r="H44" s="186" t="s">
        <v>85</v>
      </c>
      <c r="I44" s="118">
        <f>I43/I38</f>
        <v>1.7686475048492329</v>
      </c>
      <c r="J44" s="134">
        <f>J43/J38</f>
        <v>1.8664269446041613</v>
      </c>
      <c r="K44" s="130" t="s">
        <v>74</v>
      </c>
    </row>
    <row r="45" spans="1:14" ht="17.399999999999999" customHeight="1">
      <c r="A45" s="786" t="s">
        <v>18</v>
      </c>
      <c r="B45" s="787"/>
      <c r="C45" s="164">
        <f>SUMIF($G$7:$G$31,"Boiler",$F$7:$F$31)</f>
        <v>0</v>
      </c>
      <c r="D45" s="118">
        <f>C45+'19'!D45</f>
        <v>0</v>
      </c>
      <c r="E45" s="143">
        <f t="shared" si="2"/>
        <v>0</v>
      </c>
      <c r="F45" s="304"/>
      <c r="G45" s="307"/>
      <c r="H45" s="186" t="s">
        <v>86</v>
      </c>
      <c r="I45" s="118">
        <f>I43/I40</f>
        <v>1.7845704932033306</v>
      </c>
      <c r="J45" s="134">
        <f>J43/J40</f>
        <v>1.8813572619397863</v>
      </c>
      <c r="K45" s="130" t="s">
        <v>74</v>
      </c>
    </row>
    <row r="46" spans="1:14" ht="17.399999999999999" customHeight="1">
      <c r="A46" s="786" t="s">
        <v>87</v>
      </c>
      <c r="B46" s="787"/>
      <c r="C46" s="164">
        <f>SUMIF($G$7:$G$31,"Gas",$F$7:$F$31)</f>
        <v>0</v>
      </c>
      <c r="D46" s="118">
        <f>C46+'19'!D46</f>
        <v>0</v>
      </c>
      <c r="E46" s="143">
        <f t="shared" si="2"/>
        <v>0</v>
      </c>
      <c r="F46" s="304"/>
      <c r="G46" s="305"/>
      <c r="H46" s="186" t="s">
        <v>88</v>
      </c>
      <c r="I46" s="140">
        <f>+SUMIF(Listrik!X27,"&gt;0")</f>
        <v>38239.96000000045</v>
      </c>
      <c r="J46" s="135">
        <f>+I46+'19'!J46</f>
        <v>767485.31869719364</v>
      </c>
      <c r="K46" s="130" t="s">
        <v>89</v>
      </c>
    </row>
    <row r="47" spans="1:14" ht="17.399999999999999" customHeight="1">
      <c r="A47" s="786" t="s">
        <v>90</v>
      </c>
      <c r="B47" s="787"/>
      <c r="C47" s="164">
        <f>SUMIF($G$7:$G$31,"Gas",$F$7:$F$31)</f>
        <v>0</v>
      </c>
      <c r="D47" s="118">
        <f>C47+'19'!D47</f>
        <v>0</v>
      </c>
      <c r="E47" s="143">
        <f t="shared" si="2"/>
        <v>0</v>
      </c>
      <c r="F47" s="304"/>
      <c r="G47" s="305"/>
      <c r="H47" s="186" t="s">
        <v>91</v>
      </c>
      <c r="I47" s="118">
        <f>I46/I38</f>
        <v>674.30717686475839</v>
      </c>
      <c r="J47" s="135">
        <f>J46/J38</f>
        <v>746.68491696529134</v>
      </c>
      <c r="K47" s="130" t="s">
        <v>24</v>
      </c>
    </row>
    <row r="48" spans="1:14" ht="17.399999999999999" customHeight="1">
      <c r="A48" s="786" t="s">
        <v>14</v>
      </c>
      <c r="B48" s="787"/>
      <c r="C48" s="164">
        <f>SUMIF($G$7:$G$31,"Start Up",$F$7:$F$31)</f>
        <v>0</v>
      </c>
      <c r="D48" s="118">
        <f>C48+'19'!D48</f>
        <v>0</v>
      </c>
      <c r="E48" s="143">
        <f t="shared" si="2"/>
        <v>0</v>
      </c>
      <c r="F48" s="304"/>
      <c r="G48" s="305"/>
      <c r="H48" s="186" t="s">
        <v>92</v>
      </c>
      <c r="I48" s="118">
        <f>I46/I40</f>
        <v>680.37790904562758</v>
      </c>
      <c r="J48" s="135">
        <f>J46/J40</f>
        <v>752.65795694536985</v>
      </c>
      <c r="K48" s="130" t="s">
        <v>24</v>
      </c>
    </row>
    <row r="49" spans="1:11" ht="17.399999999999999" customHeight="1">
      <c r="A49" s="786" t="s">
        <v>20</v>
      </c>
      <c r="B49" s="787"/>
      <c r="C49" s="164">
        <f>SUMIF($G$7:$G$31,"Others",$F$7:$F$31)</f>
        <v>0</v>
      </c>
      <c r="D49" s="118">
        <f>C49+'19'!D49</f>
        <v>1072</v>
      </c>
      <c r="E49" s="143">
        <f t="shared" si="2"/>
        <v>17.866666666666667</v>
      </c>
      <c r="F49" s="183"/>
      <c r="H49" s="186" t="s">
        <v>269</v>
      </c>
      <c r="I49" s="118">
        <f>+Report1!T28</f>
        <v>3950.1688011802185</v>
      </c>
      <c r="J49" s="135">
        <f>+I49+'19'!J49</f>
        <v>73141.673163984495</v>
      </c>
      <c r="K49" s="130" t="s">
        <v>93</v>
      </c>
    </row>
    <row r="50" spans="1:11" ht="17.399999999999999" customHeight="1">
      <c r="A50" s="786" t="s">
        <v>19</v>
      </c>
      <c r="B50" s="787"/>
      <c r="C50" s="164">
        <f>SUMIF($G$7:$G$31,"Steam",$F$7:$F$31)</f>
        <v>0</v>
      </c>
      <c r="D50" s="118">
        <f>C50+'19'!D50</f>
        <v>0</v>
      </c>
      <c r="E50" s="143">
        <f t="shared" si="2"/>
        <v>0</v>
      </c>
      <c r="F50" s="183"/>
      <c r="H50" s="186" t="s">
        <v>94</v>
      </c>
      <c r="I50" s="140">
        <f>I49/I38</f>
        <v>69.655595153944958</v>
      </c>
      <c r="J50" s="133">
        <f>J49/J38</f>
        <v>71.159386144166433</v>
      </c>
      <c r="K50" s="130" t="s">
        <v>93</v>
      </c>
    </row>
    <row r="51" spans="1:11" ht="17.399999999999999" customHeight="1">
      <c r="A51" s="803" t="s">
        <v>95</v>
      </c>
      <c r="B51" s="803"/>
      <c r="C51" s="164">
        <f>SUMIF($G$7:$G$31,"Planned shut",$F$7:$F$31)</f>
        <v>0</v>
      </c>
      <c r="D51" s="118">
        <f>C51+'19'!D51</f>
        <v>0</v>
      </c>
      <c r="E51" s="143">
        <f t="shared" si="2"/>
        <v>0</v>
      </c>
      <c r="F51" s="183"/>
      <c r="H51" s="188" t="s">
        <v>96</v>
      </c>
      <c r="I51" s="141">
        <f>I49/I40</f>
        <v>70.282698761302015</v>
      </c>
      <c r="J51" s="136">
        <f>J49/J40</f>
        <v>71.728619362542418</v>
      </c>
      <c r="K51" s="137" t="s">
        <v>93</v>
      </c>
    </row>
    <row r="52" spans="1:11" ht="13.8" thickBot="1">
      <c r="A52" s="804" t="s">
        <v>218</v>
      </c>
      <c r="B52" s="805"/>
      <c r="C52" s="164">
        <f>SUMIF($G$7:$G$31,"Change Grade",$F$7:$F$31)</f>
        <v>0</v>
      </c>
      <c r="D52" s="118">
        <f>C52+'19'!D52</f>
        <v>0</v>
      </c>
      <c r="E52" s="143">
        <f t="shared" si="2"/>
        <v>0</v>
      </c>
      <c r="F52" s="183"/>
      <c r="H52" s="189"/>
      <c r="I52" s="190"/>
      <c r="J52" s="138"/>
      <c r="K52" s="139"/>
    </row>
    <row r="53" spans="1:11">
      <c r="A53" s="799" t="s">
        <v>28</v>
      </c>
      <c r="B53" s="800"/>
      <c r="C53" s="144">
        <f>SUM(C38:C52)</f>
        <v>40</v>
      </c>
      <c r="D53" s="144">
        <f>SUM(D38:D52)</f>
        <v>1643</v>
      </c>
      <c r="E53" s="145">
        <f>SUM(E38:E52)</f>
        <v>27.383333333333333</v>
      </c>
      <c r="F53" s="183"/>
    </row>
    <row r="54" spans="1:11" ht="13.8" thickBot="1">
      <c r="A54" s="801"/>
      <c r="B54" s="802"/>
      <c r="C54" s="146">
        <f>C53/(24*60)</f>
        <v>2.7777777777777776E-2</v>
      </c>
      <c r="D54" s="146">
        <f>D53/(24*60*G4)</f>
        <v>5.7048611111111112E-2</v>
      </c>
      <c r="E54" s="147">
        <f>E53/(G4*24)</f>
        <v>5.7048611111111112E-2</v>
      </c>
      <c r="F54" s="183"/>
    </row>
    <row r="55" spans="1:11">
      <c r="E55" s="191"/>
    </row>
    <row r="56" spans="1:11">
      <c r="A56" s="192" t="s">
        <v>97</v>
      </c>
      <c r="B56" s="193"/>
      <c r="C56" s="194"/>
      <c r="D56" s="194"/>
      <c r="E56" s="194"/>
      <c r="F56" s="195"/>
      <c r="G56" s="194"/>
      <c r="H56" s="196"/>
      <c r="I56" s="197" t="s">
        <v>98</v>
      </c>
      <c r="J56" s="198">
        <f>+D34+'19'!J56</f>
        <v>710</v>
      </c>
      <c r="K56" s="199">
        <f>J56/(J40+J56/1000)/1000</f>
        <v>6.9579874756225447E-4</v>
      </c>
    </row>
    <row r="57" spans="1:11">
      <c r="A57" s="174"/>
      <c r="I57" s="197" t="s">
        <v>99</v>
      </c>
      <c r="J57" s="198">
        <f>+E34+'19'!J57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1" type="noConversion"/>
  <printOptions horizontalCentered="1"/>
  <pageMargins left="0.74791666666666667" right="0.74791666666666667" top="0.39027777777777778" bottom="0.59027777777777779" header="0" footer="0"/>
  <pageSetup paperSize="9" scale="50"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A62"/>
  <sheetViews>
    <sheetView view="pageBreakPreview" zoomScale="80" zoomScaleNormal="80" zoomScaleSheetLayoutView="80" workbookViewId="0">
      <selection activeCell="C26" sqref="C26"/>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4.109375" style="149" customWidth="1"/>
    <col min="14" max="16384" width="9.109375" style="149"/>
  </cols>
  <sheetData>
    <row r="1" spans="1:27" ht="15.6">
      <c r="A1" s="148"/>
      <c r="V1" s="515"/>
      <c r="W1" s="518"/>
      <c r="X1" s="518"/>
      <c r="Y1" s="518"/>
    </row>
    <row r="2" spans="1:27" ht="15.6">
      <c r="A2" s="148" t="s">
        <v>219</v>
      </c>
      <c r="V2" s="515"/>
      <c r="W2" s="518"/>
      <c r="X2" s="518"/>
      <c r="Y2" s="518"/>
    </row>
    <row r="3" spans="1:27" ht="15">
      <c r="A3" s="150"/>
      <c r="Y3" s="516"/>
    </row>
    <row r="4" spans="1:27" ht="21">
      <c r="A4" s="151" t="s">
        <v>4</v>
      </c>
      <c r="B4" s="152"/>
      <c r="F4" s="153" t="s">
        <v>29</v>
      </c>
      <c r="G4" s="154">
        <v>19</v>
      </c>
      <c r="H4" s="154" t="str">
        <f>+'1'!H4</f>
        <v>.03.26</v>
      </c>
      <c r="Z4" s="516"/>
      <c r="AA4" s="516"/>
    </row>
    <row r="5" spans="1:27" ht="13.8" thickBot="1">
      <c r="C5" s="155"/>
      <c r="D5" s="155"/>
    </row>
    <row r="6" spans="1:27"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f>196+157+156</f>
        <v>509</v>
      </c>
    </row>
    <row r="7" spans="1:27" ht="13.5" customHeight="1" thickBot="1">
      <c r="A7" s="788" t="s">
        <v>458</v>
      </c>
      <c r="B7" s="213" t="s">
        <v>650</v>
      </c>
      <c r="C7" s="214">
        <v>19009</v>
      </c>
      <c r="D7" s="215"/>
      <c r="E7" s="216"/>
      <c r="F7" s="231"/>
      <c r="G7" s="553" t="s">
        <v>12</v>
      </c>
      <c r="H7" s="554" t="s">
        <v>417</v>
      </c>
      <c r="I7" s="791" t="s">
        <v>652</v>
      </c>
      <c r="J7" s="212" t="str">
        <f>+'18'!J7</f>
        <v>T 15 RC HW</v>
      </c>
      <c r="K7" s="233"/>
      <c r="L7" s="237"/>
      <c r="M7" s="117">
        <f>+K7+'18'!M7+L7</f>
        <v>406602</v>
      </c>
      <c r="V7" s="534"/>
      <c r="X7" s="518"/>
    </row>
    <row r="8" spans="1:27" ht="13.8" thickBot="1">
      <c r="A8" s="789"/>
      <c r="B8" s="213"/>
      <c r="C8" s="214"/>
      <c r="D8" s="215"/>
      <c r="E8" s="217"/>
      <c r="F8" s="227">
        <v>2</v>
      </c>
      <c r="G8" s="555" t="s">
        <v>12</v>
      </c>
      <c r="H8" s="226" t="s">
        <v>630</v>
      </c>
      <c r="I8" s="792"/>
      <c r="J8" s="212" t="str">
        <f>+'18'!J8</f>
        <v>T 14,5 RC HW</v>
      </c>
      <c r="K8" s="234"/>
      <c r="L8" s="234"/>
      <c r="M8" s="117">
        <f>+K8+'18'!M8+L8</f>
        <v>206120</v>
      </c>
      <c r="N8" s="515">
        <v>860</v>
      </c>
      <c r="O8" s="516">
        <f>+N8-N8*0.23</f>
        <v>662.2</v>
      </c>
      <c r="P8" s="516"/>
      <c r="Q8" s="516"/>
      <c r="V8" s="517"/>
      <c r="W8" s="518"/>
      <c r="X8" s="518"/>
      <c r="Y8" s="518"/>
    </row>
    <row r="9" spans="1:27" ht="13.8" thickBot="1">
      <c r="A9" s="789"/>
      <c r="B9" s="213"/>
      <c r="C9" s="214"/>
      <c r="D9" s="215"/>
      <c r="E9" s="218"/>
      <c r="F9" s="227">
        <v>4</v>
      </c>
      <c r="G9" s="555" t="s">
        <v>12</v>
      </c>
      <c r="H9" s="229" t="s">
        <v>415</v>
      </c>
      <c r="I9" s="792"/>
      <c r="J9" s="212" t="str">
        <f>+'18'!J9</f>
        <v>T 14 RC HW</v>
      </c>
      <c r="K9" s="234"/>
      <c r="L9" s="234"/>
      <c r="M9" s="117">
        <f>+K9+'18'!M9+L9</f>
        <v>49646</v>
      </c>
      <c r="Y9" s="535"/>
    </row>
    <row r="10" spans="1:27" ht="13.8" thickBot="1">
      <c r="A10" s="789"/>
      <c r="B10" s="213"/>
      <c r="C10" s="214"/>
      <c r="D10" s="215"/>
      <c r="E10" s="217"/>
      <c r="F10" s="227"/>
      <c r="G10" s="225"/>
      <c r="H10" s="556" t="s">
        <v>670</v>
      </c>
      <c r="I10" s="792"/>
      <c r="J10" s="212" t="str">
        <f>+'18'!J10</f>
        <v>T 13,5 RC HW</v>
      </c>
      <c r="K10" s="234"/>
      <c r="L10" s="234"/>
      <c r="M10" s="117">
        <f>+K10+'18'!M10+L10</f>
        <v>196361</v>
      </c>
      <c r="Z10" s="535"/>
      <c r="AA10" s="535"/>
    </row>
    <row r="11" spans="1:27" ht="13.8" thickBot="1">
      <c r="A11" s="789"/>
      <c r="B11" s="213"/>
      <c r="C11" s="214"/>
      <c r="D11" s="215"/>
      <c r="E11" s="217"/>
      <c r="F11" s="224"/>
      <c r="G11" s="228"/>
      <c r="H11" s="229" t="s">
        <v>642</v>
      </c>
      <c r="I11" s="792"/>
      <c r="J11" s="212" t="str">
        <f>+'18'!J11</f>
        <v>TW 22 RC HW</v>
      </c>
      <c r="K11" s="234">
        <f>+C34</f>
        <v>57947</v>
      </c>
      <c r="L11" s="234"/>
      <c r="M11" s="117">
        <f>+K11+'18'!M11+L11</f>
        <v>104767</v>
      </c>
    </row>
    <row r="12" spans="1:27" ht="13.8" thickBot="1">
      <c r="A12" s="789"/>
      <c r="B12" s="213"/>
      <c r="C12" s="214"/>
      <c r="D12" s="215"/>
      <c r="E12" s="217"/>
      <c r="F12" s="224"/>
      <c r="G12" s="228"/>
      <c r="H12" s="229" t="s">
        <v>643</v>
      </c>
      <c r="I12" s="792"/>
      <c r="J12" s="212">
        <f>+'18'!J12</f>
        <v>0</v>
      </c>
      <c r="K12" s="234"/>
      <c r="L12" s="234"/>
      <c r="M12" s="117">
        <f>+K12+'18'!M12+L12</f>
        <v>0</v>
      </c>
    </row>
    <row r="13" spans="1:27" ht="13.8" thickBot="1">
      <c r="A13" s="789"/>
      <c r="B13" s="213"/>
      <c r="C13" s="214"/>
      <c r="D13" s="214"/>
      <c r="E13" s="217"/>
      <c r="F13" s="224"/>
      <c r="G13" s="228"/>
      <c r="H13" s="229"/>
      <c r="I13" s="793"/>
      <c r="J13" s="212">
        <f>+'18'!J13</f>
        <v>0</v>
      </c>
      <c r="K13" s="234"/>
      <c r="L13" s="234"/>
      <c r="M13" s="117">
        <f>+K13+'18'!M13+L13</f>
        <v>0</v>
      </c>
    </row>
    <row r="14" spans="1:27" ht="13.8" thickBot="1">
      <c r="A14" s="790"/>
      <c r="B14" s="165" t="s">
        <v>3</v>
      </c>
      <c r="C14" s="99">
        <f>SUM(C7:C13)</f>
        <v>19009</v>
      </c>
      <c r="D14" s="111">
        <f>SUM(D7:D13)</f>
        <v>0</v>
      </c>
      <c r="E14" s="112">
        <f>SUM(E5:E13)</f>
        <v>0</v>
      </c>
      <c r="F14" s="116">
        <f>SUM(F7:F13)</f>
        <v>6</v>
      </c>
      <c r="G14" s="159"/>
      <c r="H14" s="166"/>
      <c r="I14" s="167"/>
      <c r="J14" s="212">
        <f>+'18'!J14</f>
        <v>0</v>
      </c>
      <c r="K14" s="234"/>
      <c r="L14" s="234"/>
      <c r="M14" s="117">
        <f>+K14+'18'!M14+L14</f>
        <v>0</v>
      </c>
      <c r="O14" s="518"/>
      <c r="P14" s="518"/>
      <c r="Q14" s="518"/>
    </row>
    <row r="15" spans="1:27" ht="13.8" thickBot="1">
      <c r="A15" s="794" t="s">
        <v>428</v>
      </c>
      <c r="B15" s="513"/>
      <c r="C15" s="113">
        <f>C14/($C$23+$D$23+$E$23)</f>
        <v>0.89412041392285979</v>
      </c>
      <c r="D15" s="114">
        <f>D14/($C$23+$D$23+$E$23)</f>
        <v>0</v>
      </c>
      <c r="E15" s="115">
        <f>E14/($C$23+$D$23+$E$23)</f>
        <v>0</v>
      </c>
      <c r="F15" s="231">
        <v>10</v>
      </c>
      <c r="G15" s="553" t="s">
        <v>12</v>
      </c>
      <c r="H15" s="554" t="s">
        <v>445</v>
      </c>
      <c r="I15" s="791" t="s">
        <v>652</v>
      </c>
      <c r="J15" s="212">
        <f>+'18'!J15</f>
        <v>0</v>
      </c>
      <c r="K15" s="234"/>
      <c r="L15" s="234"/>
      <c r="M15" s="117">
        <f>+K15+'18'!M15+L15</f>
        <v>0</v>
      </c>
      <c r="N15" s="515"/>
      <c r="O15" s="518"/>
      <c r="P15" s="518"/>
      <c r="Q15" s="518"/>
    </row>
    <row r="16" spans="1:27" ht="13.8" thickBot="1">
      <c r="A16" s="789"/>
      <c r="B16" s="213" t="s">
        <v>650</v>
      </c>
      <c r="C16" s="511">
        <v>21260</v>
      </c>
      <c r="D16" s="219"/>
      <c r="E16" s="220"/>
      <c r="F16" s="227">
        <v>5</v>
      </c>
      <c r="G16" s="555" t="s">
        <v>12</v>
      </c>
      <c r="H16" s="226" t="s">
        <v>416</v>
      </c>
      <c r="I16" s="792"/>
      <c r="J16" s="212">
        <f>+'18'!J16</f>
        <v>0</v>
      </c>
      <c r="K16" s="225"/>
      <c r="L16" s="225"/>
      <c r="M16" s="117">
        <f>+K16+'18'!M16+L16</f>
        <v>0</v>
      </c>
      <c r="N16" s="534"/>
      <c r="P16" s="518"/>
    </row>
    <row r="17" spans="1:19" ht="13.8" thickBot="1">
      <c r="A17" s="789"/>
      <c r="B17" s="213"/>
      <c r="C17" s="214"/>
      <c r="D17" s="215"/>
      <c r="E17" s="221"/>
      <c r="F17" s="227">
        <v>10</v>
      </c>
      <c r="G17" s="555" t="s">
        <v>12</v>
      </c>
      <c r="H17" s="229" t="s">
        <v>418</v>
      </c>
      <c r="I17" s="792"/>
      <c r="J17" s="212">
        <f>+'18'!J17</f>
        <v>0</v>
      </c>
      <c r="K17" s="225"/>
      <c r="L17" s="225"/>
      <c r="M17" s="117">
        <f>+K17+'18'!M17+L17</f>
        <v>0</v>
      </c>
      <c r="Q17" s="174"/>
    </row>
    <row r="18" spans="1:19" ht="13.8" thickBot="1">
      <c r="A18" s="789"/>
      <c r="B18" s="213"/>
      <c r="C18" s="214"/>
      <c r="D18" s="215"/>
      <c r="E18" s="221"/>
      <c r="F18" s="227"/>
      <c r="G18" s="225"/>
      <c r="H18" s="556" t="s">
        <v>671</v>
      </c>
      <c r="I18" s="792"/>
      <c r="J18" s="212">
        <f>+'18'!J18</f>
        <v>0</v>
      </c>
      <c r="K18" s="234"/>
      <c r="L18" s="234"/>
      <c r="M18" s="117">
        <f>+K18+'18'!M18+L18</f>
        <v>0</v>
      </c>
      <c r="R18" s="174"/>
      <c r="S18" s="174"/>
    </row>
    <row r="19" spans="1:19" ht="13.8" thickBot="1">
      <c r="A19" s="789"/>
      <c r="B19" s="213"/>
      <c r="C19" s="214"/>
      <c r="D19" s="215"/>
      <c r="E19" s="221"/>
      <c r="F19" s="230"/>
      <c r="G19" s="228"/>
      <c r="H19" s="229" t="s">
        <v>640</v>
      </c>
      <c r="I19" s="792"/>
      <c r="J19" s="212">
        <f>+'18'!J19</f>
        <v>0</v>
      </c>
      <c r="K19" s="234"/>
      <c r="L19" s="234"/>
      <c r="M19" s="117">
        <f>+K19+'18'!M19+L19</f>
        <v>0</v>
      </c>
    </row>
    <row r="20" spans="1:19" ht="13.8" thickBot="1">
      <c r="A20" s="789"/>
      <c r="B20" s="213"/>
      <c r="C20" s="214"/>
      <c r="D20" s="215"/>
      <c r="E20" s="221"/>
      <c r="F20" s="224"/>
      <c r="G20" s="228"/>
      <c r="H20" s="229" t="s">
        <v>641</v>
      </c>
      <c r="I20" s="792"/>
      <c r="J20" s="212">
        <f>+'18'!J20</f>
        <v>0</v>
      </c>
      <c r="K20" s="235"/>
      <c r="L20" s="235"/>
      <c r="M20" s="117">
        <f>+K20+'18'!M20+L20</f>
        <v>0</v>
      </c>
    </row>
    <row r="21" spans="1:19" ht="13.8" thickBot="1">
      <c r="A21" s="789"/>
      <c r="B21" s="213"/>
      <c r="C21" s="214"/>
      <c r="D21" s="215"/>
      <c r="E21" s="221"/>
      <c r="F21" s="227"/>
      <c r="G21" s="228"/>
      <c r="H21" s="229"/>
      <c r="I21" s="792"/>
      <c r="J21" s="212">
        <f>+'18'!J21</f>
        <v>0</v>
      </c>
      <c r="K21" s="234"/>
      <c r="L21" s="234"/>
      <c r="M21" s="117">
        <f>+K21+'18'!M21+L21</f>
        <v>0</v>
      </c>
    </row>
    <row r="22" spans="1:19" ht="13.8" thickBot="1">
      <c r="A22" s="789"/>
      <c r="B22" s="213"/>
      <c r="C22" s="214"/>
      <c r="D22" s="215"/>
      <c r="E22" s="221"/>
      <c r="F22" s="231"/>
      <c r="G22" s="228"/>
      <c r="H22" s="229"/>
      <c r="I22" s="793"/>
      <c r="J22" s="212">
        <f>+'18'!J22</f>
        <v>0</v>
      </c>
      <c r="K22" s="234"/>
      <c r="L22" s="234"/>
      <c r="M22" s="117">
        <f>+K22+'18'!M22+L22</f>
        <v>0</v>
      </c>
    </row>
    <row r="23" spans="1:19" ht="13.8" thickBot="1">
      <c r="A23" s="790"/>
      <c r="B23" s="165" t="s">
        <v>3</v>
      </c>
      <c r="C23" s="99">
        <f>SUM(C16:C22)</f>
        <v>21260</v>
      </c>
      <c r="D23" s="111">
        <f>SUM(D16:D22)</f>
        <v>0</v>
      </c>
      <c r="E23" s="112">
        <f>SUM(E18:E22)</f>
        <v>0</v>
      </c>
      <c r="F23" s="116">
        <f>SUM(F15:F22)</f>
        <v>25</v>
      </c>
      <c r="G23" s="159"/>
      <c r="H23" s="166"/>
      <c r="I23" s="168"/>
      <c r="J23" s="212">
        <f>+'18'!J23</f>
        <v>0</v>
      </c>
      <c r="K23" s="234"/>
      <c r="L23" s="234"/>
      <c r="M23" s="117">
        <f>+K23+'18'!M23+L23</f>
        <v>0</v>
      </c>
    </row>
    <row r="24" spans="1:19" ht="13.8" thickBot="1">
      <c r="A24" s="794" t="s">
        <v>429</v>
      </c>
      <c r="B24" s="513"/>
      <c r="C24" s="113">
        <f>C23/($C$23+$D$23+$E$23)</f>
        <v>1</v>
      </c>
      <c r="D24" s="114">
        <f>D23/($C$23+$D$23+$E$23)</f>
        <v>0</v>
      </c>
      <c r="E24" s="115">
        <f>E23/($C$23+$D$23+$E$23)</f>
        <v>0</v>
      </c>
      <c r="F24" s="231"/>
      <c r="G24" s="553" t="s">
        <v>12</v>
      </c>
      <c r="H24" s="554" t="s">
        <v>417</v>
      </c>
      <c r="I24" s="791" t="s">
        <v>652</v>
      </c>
      <c r="J24" s="212">
        <f>+'18'!J24</f>
        <v>0</v>
      </c>
      <c r="K24" s="234"/>
      <c r="L24" s="234"/>
      <c r="M24" s="117">
        <f>+K24+'18'!M24+L24</f>
        <v>0</v>
      </c>
    </row>
    <row r="25" spans="1:19" ht="13.8" thickBot="1">
      <c r="A25" s="789"/>
      <c r="B25" s="213" t="s">
        <v>650</v>
      </c>
      <c r="C25" s="222">
        <v>17678</v>
      </c>
      <c r="D25" s="215"/>
      <c r="E25" s="221"/>
      <c r="F25" s="227">
        <v>5</v>
      </c>
      <c r="G25" s="555" t="s">
        <v>12</v>
      </c>
      <c r="H25" s="226" t="s">
        <v>653</v>
      </c>
      <c r="I25" s="792"/>
      <c r="J25" s="212">
        <f>+'18'!J25</f>
        <v>0</v>
      </c>
      <c r="K25" s="234"/>
      <c r="L25" s="234"/>
      <c r="M25" s="117">
        <f>+K25+'18'!M25+L25</f>
        <v>0</v>
      </c>
      <c r="N25" s="534"/>
      <c r="O25" s="535"/>
      <c r="P25" s="535"/>
      <c r="Q25" s="535"/>
    </row>
    <row r="26" spans="1:19" ht="13.8" thickBot="1">
      <c r="A26" s="789"/>
      <c r="B26" s="213"/>
      <c r="C26" s="222"/>
      <c r="D26" s="215"/>
      <c r="E26" s="223"/>
      <c r="F26" s="227">
        <v>10</v>
      </c>
      <c r="G26" s="555" t="s">
        <v>12</v>
      </c>
      <c r="H26" s="229" t="s">
        <v>475</v>
      </c>
      <c r="I26" s="792"/>
      <c r="J26" s="212">
        <f>+'18'!J26</f>
        <v>0</v>
      </c>
      <c r="K26" s="234"/>
      <c r="L26" s="234"/>
      <c r="M26" s="117">
        <f>+K26+'18'!M26+L26</f>
        <v>0</v>
      </c>
    </row>
    <row r="27" spans="1:19" ht="13.8" thickBot="1">
      <c r="A27" s="789"/>
      <c r="B27" s="213"/>
      <c r="C27" s="214"/>
      <c r="D27" s="215"/>
      <c r="E27" s="221"/>
      <c r="F27" s="227"/>
      <c r="G27" s="225"/>
      <c r="H27" s="556" t="s">
        <v>670</v>
      </c>
      <c r="I27" s="792"/>
      <c r="J27" s="212">
        <f>+'18'!J27</f>
        <v>0</v>
      </c>
      <c r="K27" s="234"/>
      <c r="L27" s="234"/>
      <c r="M27" s="117">
        <f>+K27+'18'!M27+L27</f>
        <v>0</v>
      </c>
    </row>
    <row r="28" spans="1:19" ht="13.8" thickBot="1">
      <c r="A28" s="789"/>
      <c r="B28" s="213"/>
      <c r="C28" s="214"/>
      <c r="D28" s="215"/>
      <c r="E28" s="221"/>
      <c r="F28" s="227"/>
      <c r="G28" s="225"/>
      <c r="H28" s="229" t="s">
        <v>638</v>
      </c>
      <c r="I28" s="792"/>
      <c r="J28" s="212">
        <f>+'18'!J28</f>
        <v>0</v>
      </c>
      <c r="K28" s="234"/>
      <c r="L28" s="234"/>
      <c r="M28" s="117">
        <f>+K28+'18'!M28+L28</f>
        <v>0</v>
      </c>
    </row>
    <row r="29" spans="1:19" ht="13.8" thickBot="1">
      <c r="A29" s="789"/>
      <c r="B29" s="213"/>
      <c r="C29" s="214"/>
      <c r="D29" s="215"/>
      <c r="E29" s="221"/>
      <c r="F29" s="231"/>
      <c r="G29" s="228"/>
      <c r="H29" s="229" t="s">
        <v>639</v>
      </c>
      <c r="I29" s="792"/>
      <c r="J29" s="212">
        <f>+'18'!J29</f>
        <v>0</v>
      </c>
      <c r="K29" s="234"/>
      <c r="L29" s="234"/>
      <c r="M29" s="117">
        <f>+K29+'18'!M29+L29</f>
        <v>0</v>
      </c>
    </row>
    <row r="30" spans="1:19" ht="13.8" thickBot="1">
      <c r="A30" s="789"/>
      <c r="B30" s="213"/>
      <c r="C30" s="222"/>
      <c r="D30" s="215"/>
      <c r="E30" s="221"/>
      <c r="F30" s="231"/>
      <c r="G30" s="228"/>
      <c r="H30" s="229"/>
      <c r="I30" s="792"/>
      <c r="J30" s="212">
        <f>+'18'!J30</f>
        <v>0</v>
      </c>
      <c r="K30" s="234"/>
      <c r="L30" s="234"/>
      <c r="M30" s="117">
        <f>+K30+'18'!M30+L30</f>
        <v>0</v>
      </c>
      <c r="N30" s="155"/>
    </row>
    <row r="31" spans="1:19" ht="13.8" thickBot="1">
      <c r="A31" s="789"/>
      <c r="B31" s="213"/>
      <c r="C31" s="222"/>
      <c r="D31" s="215"/>
      <c r="E31" s="221"/>
      <c r="F31" s="231"/>
      <c r="G31" s="232"/>
      <c r="H31" s="404"/>
      <c r="I31" s="793"/>
      <c r="J31" s="212">
        <f>+'18'!J31</f>
        <v>0</v>
      </c>
      <c r="K31" s="234"/>
      <c r="L31" s="234"/>
      <c r="M31" s="117">
        <f>+K31+'18'!M31+L31</f>
        <v>0</v>
      </c>
    </row>
    <row r="32" spans="1:19" ht="13.8" thickBot="1">
      <c r="A32" s="790"/>
      <c r="B32" s="165" t="s">
        <v>3</v>
      </c>
      <c r="C32" s="99">
        <f>SUM(C25:C31)</f>
        <v>17678</v>
      </c>
      <c r="D32" s="100">
        <f>SUM(D25:D31)</f>
        <v>0</v>
      </c>
      <c r="E32" s="101">
        <f>SUM(E25:E31)</f>
        <v>0</v>
      </c>
      <c r="F32" s="99">
        <f>SUM(F24:F31)</f>
        <v>15</v>
      </c>
      <c r="G32" s="169"/>
      <c r="H32" s="170"/>
      <c r="I32" s="168"/>
      <c r="J32" s="212">
        <f>+'18'!J32</f>
        <v>0</v>
      </c>
      <c r="K32" s="236"/>
      <c r="L32" s="238"/>
      <c r="M32" s="117">
        <f>+K32+'18'!M32+L32</f>
        <v>0</v>
      </c>
    </row>
    <row r="33" spans="1:14" ht="13.8" thickBot="1">
      <c r="A33" s="171"/>
      <c r="B33" s="172"/>
      <c r="C33" s="103">
        <f>C32/($C$32+$D$32+$E$32)</f>
        <v>1</v>
      </c>
      <c r="D33" s="104">
        <f>D32/($C$32+$D$32+$E$32)</f>
        <v>0</v>
      </c>
      <c r="E33" s="105">
        <f>E32/($C$32+$D$32+$E$32)</f>
        <v>0</v>
      </c>
      <c r="F33" s="106"/>
      <c r="G33" s="173"/>
      <c r="H33" s="174"/>
      <c r="I33" s="175"/>
      <c r="J33" s="121"/>
      <c r="K33" s="122"/>
      <c r="L33" s="211"/>
      <c r="M33" s="119"/>
    </row>
    <row r="34" spans="1:14" ht="13.8" thickBot="1">
      <c r="A34" s="795" t="s">
        <v>68</v>
      </c>
      <c r="B34" s="796"/>
      <c r="C34" s="107">
        <f>C14+C23+C32</f>
        <v>57947</v>
      </c>
      <c r="D34" s="107">
        <f>D14+D23+D32</f>
        <v>0</v>
      </c>
      <c r="E34" s="107">
        <f>E14+E23+E32</f>
        <v>0</v>
      </c>
      <c r="F34" s="108">
        <f>F14+F23+F32</f>
        <v>46</v>
      </c>
      <c r="H34" s="176"/>
      <c r="I34" s="176"/>
      <c r="J34" s="123" t="s">
        <v>28</v>
      </c>
      <c r="K34" s="124">
        <f>SUM(K7:K32)</f>
        <v>57947</v>
      </c>
      <c r="L34" s="210">
        <f>SUM(L7:L32)</f>
        <v>0</v>
      </c>
      <c r="M34" s="120">
        <f>SUM(M7:M32)</f>
        <v>963496</v>
      </c>
      <c r="N34" s="155"/>
    </row>
    <row r="35" spans="1:14" ht="13.8" thickBot="1">
      <c r="A35" s="177"/>
      <c r="B35" s="178"/>
      <c r="C35" s="104">
        <f>C34/($C$34+$D$34+$E$34)</f>
        <v>1</v>
      </c>
      <c r="D35" s="104">
        <f>D34/($C$34+$D$34+$E$34)</f>
        <v>0</v>
      </c>
      <c r="E35" s="109">
        <f>E34/($C$34+$D$34+$E$34)</f>
        <v>0</v>
      </c>
      <c r="K35" s="155"/>
    </row>
    <row r="36" spans="1:14" ht="13.8" thickBot="1">
      <c r="A36" s="176"/>
      <c r="B36" s="176"/>
      <c r="C36" s="155"/>
      <c r="D36" s="155"/>
      <c r="E36" s="155"/>
      <c r="G36" s="155"/>
      <c r="H36" s="179"/>
      <c r="I36" s="162" t="s">
        <v>37</v>
      </c>
      <c r="J36" s="162" t="s">
        <v>38</v>
      </c>
      <c r="K36" s="180"/>
    </row>
    <row r="37" spans="1:14" ht="17.399999999999999" customHeight="1" thickBot="1">
      <c r="A37" s="797" t="s">
        <v>69</v>
      </c>
      <c r="B37" s="798"/>
      <c r="C37" s="162" t="s">
        <v>70</v>
      </c>
      <c r="D37" s="181" t="s">
        <v>71</v>
      </c>
      <c r="E37" s="182" t="s">
        <v>72</v>
      </c>
      <c r="F37" s="304"/>
      <c r="G37" s="306"/>
      <c r="H37" s="184" t="s">
        <v>73</v>
      </c>
      <c r="I37" s="239">
        <f>(22*1440)/1440*G42*2.7*1440/1000000</f>
        <v>56.64193920000001</v>
      </c>
      <c r="J37" s="125">
        <f>+I37+'18'!J37</f>
        <v>999.3707729670615</v>
      </c>
      <c r="K37" s="126" t="s">
        <v>74</v>
      </c>
    </row>
    <row r="38" spans="1:14" ht="17.399999999999999" customHeight="1">
      <c r="A38" s="799" t="s">
        <v>12</v>
      </c>
      <c r="B38" s="800"/>
      <c r="C38" s="164">
        <f>SUMIF($G$7:$G$31,"Process",$F$7:$F$31)</f>
        <v>46</v>
      </c>
      <c r="D38" s="118">
        <f>C38+'18'!D38</f>
        <v>531</v>
      </c>
      <c r="E38" s="143">
        <f t="shared" ref="E38:E52" si="0">D38/60</f>
        <v>8.85</v>
      </c>
      <c r="F38" s="304">
        <v>860</v>
      </c>
      <c r="G38" s="304">
        <f t="shared" ref="G38:G40" si="1">+F38-F38*0.23</f>
        <v>662.2</v>
      </c>
      <c r="H38" s="185" t="s">
        <v>75</v>
      </c>
      <c r="I38" s="240">
        <f>19.902+20.976+19.591</f>
        <v>60.469000000000001</v>
      </c>
      <c r="J38" s="127">
        <f>+I38+'18'!J38</f>
        <v>971.14700000000016</v>
      </c>
      <c r="K38" s="128" t="s">
        <v>74</v>
      </c>
    </row>
    <row r="39" spans="1:14" ht="17.399999999999999" customHeight="1">
      <c r="A39" s="786" t="s">
        <v>13</v>
      </c>
      <c r="B39" s="787"/>
      <c r="C39" s="164">
        <f>SUMIF($G$7:$G$31,"Cleaning",$F$7:$F$31)</f>
        <v>0</v>
      </c>
      <c r="D39" s="118">
        <f>C39+'18'!D39</f>
        <v>0</v>
      </c>
      <c r="E39" s="143">
        <f t="shared" si="0"/>
        <v>0</v>
      </c>
      <c r="F39" s="304">
        <v>860</v>
      </c>
      <c r="G39" s="304">
        <f t="shared" si="1"/>
        <v>662.2</v>
      </c>
      <c r="H39" s="185" t="s">
        <v>76</v>
      </c>
      <c r="I39" s="142"/>
      <c r="J39" s="129">
        <f>J37/G4</f>
        <v>52.598461735108501</v>
      </c>
      <c r="K39" s="130" t="s">
        <v>74</v>
      </c>
    </row>
    <row r="40" spans="1:14" ht="17.399999999999999" customHeight="1">
      <c r="A40" s="786" t="s">
        <v>77</v>
      </c>
      <c r="B40" s="787"/>
      <c r="C40" s="164">
        <f>SUMIF($G$7:$G$31,"Mechanical",$F$7:$F$31)</f>
        <v>0</v>
      </c>
      <c r="D40" s="118">
        <f>C40+'18'!D40</f>
        <v>0</v>
      </c>
      <c r="E40" s="143">
        <f t="shared" si="0"/>
        <v>0</v>
      </c>
      <c r="F40" s="304">
        <v>860</v>
      </c>
      <c r="G40" s="304">
        <f t="shared" si="1"/>
        <v>662.2</v>
      </c>
      <c r="H40" s="185" t="s">
        <v>78</v>
      </c>
      <c r="I40" s="118">
        <f>(K34+L34)/1000</f>
        <v>57.947000000000003</v>
      </c>
      <c r="J40" s="131">
        <f>+I40+'18'!J40</f>
        <v>963.49599999999998</v>
      </c>
      <c r="K40" s="130" t="s">
        <v>74</v>
      </c>
    </row>
    <row r="41" spans="1:14" ht="17.399999999999999" customHeight="1">
      <c r="A41" s="786" t="s">
        <v>79</v>
      </c>
      <c r="B41" s="787"/>
      <c r="C41" s="164">
        <f>SUMIF($G$7:$G$31,"Electrical",$F$7:$F$31)</f>
        <v>0</v>
      </c>
      <c r="D41" s="118">
        <f>C41+'18'!D41</f>
        <v>0</v>
      </c>
      <c r="E41" s="143">
        <f t="shared" si="0"/>
        <v>0</v>
      </c>
      <c r="F41" s="304"/>
      <c r="G41" s="304"/>
      <c r="H41" s="185" t="s">
        <v>80</v>
      </c>
      <c r="I41" s="142"/>
      <c r="J41" s="129">
        <f>J40/G4</f>
        <v>50.710315789473682</v>
      </c>
      <c r="K41" s="130" t="s">
        <v>74</v>
      </c>
    </row>
    <row r="42" spans="1:14" ht="17.399999999999999" customHeight="1">
      <c r="A42" s="786" t="s">
        <v>16</v>
      </c>
      <c r="B42" s="787"/>
      <c r="C42" s="164">
        <f>SUMIF($G$7:$G$31,"Instrument",$F$7:$F$31)</f>
        <v>0</v>
      </c>
      <c r="D42" s="118">
        <f>C42+'18'!D42</f>
        <v>0</v>
      </c>
      <c r="E42" s="143">
        <f t="shared" si="0"/>
        <v>0</v>
      </c>
      <c r="F42" s="183">
        <f>+(F38*480+F39*480+F40*480)/1440</f>
        <v>860</v>
      </c>
      <c r="G42" s="183">
        <f>+(G38*480+G39*480+G40*480)/1440</f>
        <v>662.2</v>
      </c>
      <c r="H42" s="185" t="s">
        <v>81</v>
      </c>
      <c r="I42" s="241" t="s">
        <v>652</v>
      </c>
      <c r="J42" s="132"/>
      <c r="K42" s="130" t="s">
        <v>82</v>
      </c>
    </row>
    <row r="43" spans="1:14" ht="17.399999999999999" customHeight="1">
      <c r="A43" s="786" t="s">
        <v>83</v>
      </c>
      <c r="B43" s="787"/>
      <c r="C43" s="164">
        <f>SUMIF($G$7:$G$31,"Water",$F$7:$F$31)</f>
        <v>0</v>
      </c>
      <c r="D43" s="118">
        <f>C43+'18'!D43</f>
        <v>0</v>
      </c>
      <c r="E43" s="143">
        <f t="shared" si="0"/>
        <v>0</v>
      </c>
      <c r="F43" s="304"/>
      <c r="G43" s="305"/>
      <c r="H43" s="186" t="s">
        <v>84</v>
      </c>
      <c r="I43" s="118">
        <f>+Report1!Z27</f>
        <v>100.1</v>
      </c>
      <c r="J43" s="133">
        <f>+I43+'18'!J43</f>
        <v>1818.12</v>
      </c>
      <c r="K43" s="130" t="s">
        <v>74</v>
      </c>
      <c r="L43" s="187"/>
    </row>
    <row r="44" spans="1:14" ht="17.399999999999999" customHeight="1">
      <c r="A44" s="786" t="s">
        <v>17</v>
      </c>
      <c r="B44" s="787"/>
      <c r="C44" s="164">
        <f>SUMIF($G$7:$G$31,"PLN",$F$7:$F$31)</f>
        <v>0</v>
      </c>
      <c r="D44" s="118">
        <f>C44+'18'!D44</f>
        <v>0</v>
      </c>
      <c r="E44" s="143">
        <f t="shared" si="0"/>
        <v>0</v>
      </c>
      <c r="F44" s="304"/>
      <c r="G44" s="305"/>
      <c r="H44" s="186" t="s">
        <v>85</v>
      </c>
      <c r="I44" s="118">
        <f>I43/I38</f>
        <v>1.6553936727910168</v>
      </c>
      <c r="J44" s="134">
        <f>J43/J38</f>
        <v>1.872136761993807</v>
      </c>
      <c r="K44" s="130" t="s">
        <v>74</v>
      </c>
    </row>
    <row r="45" spans="1:14" ht="17.399999999999999" customHeight="1">
      <c r="A45" s="786" t="s">
        <v>18</v>
      </c>
      <c r="B45" s="787"/>
      <c r="C45" s="164">
        <f>SUMIF($G$7:$G$31,"Boiler",$F$7:$F$31)</f>
        <v>0</v>
      </c>
      <c r="D45" s="118">
        <f>C45+'18'!D45</f>
        <v>0</v>
      </c>
      <c r="E45" s="143">
        <f t="shared" si="0"/>
        <v>0</v>
      </c>
      <c r="F45" s="304"/>
      <c r="G45" s="307"/>
      <c r="H45" s="186" t="s">
        <v>86</v>
      </c>
      <c r="I45" s="118">
        <f>I43/I40</f>
        <v>1.7274405922653457</v>
      </c>
      <c r="J45" s="134">
        <f>J43/J40</f>
        <v>1.8870031634796616</v>
      </c>
      <c r="K45" s="130" t="s">
        <v>74</v>
      </c>
    </row>
    <row r="46" spans="1:14" ht="17.399999999999999" customHeight="1">
      <c r="A46" s="786" t="s">
        <v>87</v>
      </c>
      <c r="B46" s="787"/>
      <c r="C46" s="164">
        <f>SUMIF($G$7:$G$31,"Gas",$F$7:$F$31)</f>
        <v>0</v>
      </c>
      <c r="D46" s="118">
        <f>C46+'18'!D46</f>
        <v>0</v>
      </c>
      <c r="E46" s="143">
        <f t="shared" si="0"/>
        <v>0</v>
      </c>
      <c r="F46" s="304"/>
      <c r="G46" s="305"/>
      <c r="H46" s="186" t="s">
        <v>88</v>
      </c>
      <c r="I46" s="140">
        <f>+SUMIF(Listrik!X26,"&gt;0")</f>
        <v>35820.319999998515</v>
      </c>
      <c r="J46" s="135">
        <f>+I46+'18'!J46</f>
        <v>729245.35869719321</v>
      </c>
      <c r="K46" s="130" t="s">
        <v>89</v>
      </c>
    </row>
    <row r="47" spans="1:14" ht="17.399999999999999" customHeight="1">
      <c r="A47" s="786" t="s">
        <v>90</v>
      </c>
      <c r="B47" s="787"/>
      <c r="C47" s="164">
        <f>SUMIF($G$7:$G$31,"Gas",$F$7:$F$31)</f>
        <v>0</v>
      </c>
      <c r="D47" s="118">
        <f>C47+'18'!D47</f>
        <v>0</v>
      </c>
      <c r="E47" s="143">
        <f t="shared" si="0"/>
        <v>0</v>
      </c>
      <c r="F47" s="304"/>
      <c r="G47" s="305"/>
      <c r="H47" s="186" t="s">
        <v>91</v>
      </c>
      <c r="I47" s="118">
        <f>I46/I38</f>
        <v>592.37493591755299</v>
      </c>
      <c r="J47" s="135">
        <f>J46/J38</f>
        <v>750.91140547949294</v>
      </c>
      <c r="K47" s="130" t="s">
        <v>24</v>
      </c>
    </row>
    <row r="48" spans="1:14" ht="17.399999999999999" customHeight="1">
      <c r="A48" s="786" t="s">
        <v>14</v>
      </c>
      <c r="B48" s="787"/>
      <c r="C48" s="164">
        <f>SUMIF($G$7:$G$31,"Start Up",$F$7:$F$31)</f>
        <v>0</v>
      </c>
      <c r="D48" s="118">
        <f>C48+'18'!D48</f>
        <v>0</v>
      </c>
      <c r="E48" s="143">
        <f t="shared" si="0"/>
        <v>0</v>
      </c>
      <c r="F48" s="304"/>
      <c r="G48" s="305"/>
      <c r="H48" s="186" t="s">
        <v>92</v>
      </c>
      <c r="I48" s="118">
        <f>I46/I40</f>
        <v>618.15659136794852</v>
      </c>
      <c r="J48" s="135">
        <f>J46/J40</f>
        <v>756.87429807408978</v>
      </c>
      <c r="K48" s="130" t="s">
        <v>24</v>
      </c>
    </row>
    <row r="49" spans="1:11" ht="17.399999999999999" customHeight="1">
      <c r="A49" s="786" t="s">
        <v>20</v>
      </c>
      <c r="B49" s="787"/>
      <c r="C49" s="164">
        <f>SUMIF($G$7:$G$31,"Others",$F$7:$F$31)</f>
        <v>0</v>
      </c>
      <c r="D49" s="118">
        <f>C49+'18'!D49</f>
        <v>1072</v>
      </c>
      <c r="E49" s="143">
        <f t="shared" si="0"/>
        <v>17.866666666666667</v>
      </c>
      <c r="F49" s="183"/>
      <c r="H49" s="186" t="s">
        <v>269</v>
      </c>
      <c r="I49" s="118">
        <f>+Report1!T27</f>
        <v>3752.4743444773953</v>
      </c>
      <c r="J49" s="135">
        <f>+I49+'18'!J49</f>
        <v>69191.504362804277</v>
      </c>
      <c r="K49" s="130" t="s">
        <v>93</v>
      </c>
    </row>
    <row r="50" spans="1:11" ht="17.399999999999999" customHeight="1">
      <c r="A50" s="786" t="s">
        <v>19</v>
      </c>
      <c r="B50" s="787"/>
      <c r="C50" s="164">
        <f>SUMIF($G$7:$G$31,"Steam",$F$7:$F$31)</f>
        <v>0</v>
      </c>
      <c r="D50" s="118">
        <f>C50+'18'!D50</f>
        <v>0</v>
      </c>
      <c r="E50" s="143">
        <f t="shared" si="0"/>
        <v>0</v>
      </c>
      <c r="F50" s="183"/>
      <c r="H50" s="186" t="s">
        <v>94</v>
      </c>
      <c r="I50" s="140">
        <f>I49/I38</f>
        <v>62.056166704880106</v>
      </c>
      <c r="J50" s="133">
        <f>J49/J38</f>
        <v>71.247199819187273</v>
      </c>
      <c r="K50" s="130" t="s">
        <v>93</v>
      </c>
    </row>
    <row r="51" spans="1:11" ht="17.399999999999999" customHeight="1">
      <c r="A51" s="803" t="s">
        <v>95</v>
      </c>
      <c r="B51" s="803"/>
      <c r="C51" s="164">
        <f>SUMIF($G$7:$G$31,"Planned shut",$F$7:$F$31)</f>
        <v>0</v>
      </c>
      <c r="D51" s="118">
        <f>C51+'18'!D51</f>
        <v>0</v>
      </c>
      <c r="E51" s="143">
        <f t="shared" si="0"/>
        <v>0</v>
      </c>
      <c r="F51" s="183"/>
      <c r="H51" s="188" t="s">
        <v>96</v>
      </c>
      <c r="I51" s="141">
        <f>I49/I40</f>
        <v>64.757008032812664</v>
      </c>
      <c r="J51" s="136">
        <f>J49/J40</f>
        <v>71.812964830994915</v>
      </c>
      <c r="K51" s="137" t="s">
        <v>93</v>
      </c>
    </row>
    <row r="52" spans="1:11" ht="13.8" thickBot="1">
      <c r="A52" s="804" t="s">
        <v>218</v>
      </c>
      <c r="B52" s="805"/>
      <c r="C52" s="164">
        <f>SUMIF($G$7:$G$31,"Change Grade",$F$7:$F$31)</f>
        <v>0</v>
      </c>
      <c r="D52" s="118">
        <f>C52+'18'!D52</f>
        <v>0</v>
      </c>
      <c r="E52" s="143">
        <f t="shared" si="0"/>
        <v>0</v>
      </c>
      <c r="F52" s="183"/>
      <c r="H52" s="189"/>
      <c r="I52" s="190"/>
      <c r="J52" s="138"/>
      <c r="K52" s="139"/>
    </row>
    <row r="53" spans="1:11">
      <c r="A53" s="799" t="s">
        <v>28</v>
      </c>
      <c r="B53" s="800"/>
      <c r="C53" s="144">
        <f>SUM(C38:C52)</f>
        <v>46</v>
      </c>
      <c r="D53" s="144">
        <f>SUM(D38:D52)</f>
        <v>1603</v>
      </c>
      <c r="E53" s="145">
        <f>SUM(E38:E52)</f>
        <v>26.716666666666669</v>
      </c>
      <c r="F53" s="183"/>
    </row>
    <row r="54" spans="1:11" ht="13.8" thickBot="1">
      <c r="A54" s="801"/>
      <c r="B54" s="802"/>
      <c r="C54" s="146">
        <f>C53/(24*60)</f>
        <v>3.1944444444444442E-2</v>
      </c>
      <c r="D54" s="146">
        <f>D53/(24*60*G4)</f>
        <v>5.8589181286549705E-2</v>
      </c>
      <c r="E54" s="147">
        <f>E53/(G4*24)</f>
        <v>5.8589181286549712E-2</v>
      </c>
      <c r="F54" s="183"/>
    </row>
    <row r="55" spans="1:11">
      <c r="E55" s="191"/>
    </row>
    <row r="56" spans="1:11">
      <c r="A56" s="192" t="s">
        <v>97</v>
      </c>
      <c r="B56" s="193"/>
      <c r="C56" s="194"/>
      <c r="D56" s="194"/>
      <c r="E56" s="194"/>
      <c r="F56" s="195"/>
      <c r="G56" s="194"/>
      <c r="H56" s="196"/>
      <c r="I56" s="197" t="s">
        <v>98</v>
      </c>
      <c r="J56" s="198">
        <f>+D34+'18'!J56</f>
        <v>710</v>
      </c>
      <c r="K56" s="199">
        <f>J56/(J40+J56/1000)/1000</f>
        <v>7.3635716848889133E-4</v>
      </c>
    </row>
    <row r="57" spans="1:11">
      <c r="A57" s="174"/>
      <c r="I57" s="197" t="s">
        <v>99</v>
      </c>
      <c r="J57" s="198">
        <f>+E34+'18'!J57</f>
        <v>0</v>
      </c>
      <c r="K57" s="199">
        <f>J57/(J40+J57/1000)/1000</f>
        <v>0</v>
      </c>
    </row>
    <row r="58" spans="1:11">
      <c r="A58" s="200"/>
      <c r="B58" s="201"/>
      <c r="F58" s="183"/>
      <c r="H58" s="202"/>
    </row>
    <row r="59" spans="1:11">
      <c r="A59" s="203"/>
      <c r="B59" s="174"/>
      <c r="C59" s="174"/>
      <c r="D59" s="174"/>
      <c r="E59" s="174"/>
      <c r="F59" s="187"/>
      <c r="G59" s="174"/>
      <c r="H59" s="202"/>
    </row>
    <row r="61" spans="1:11">
      <c r="A61" s="204"/>
      <c r="B61" s="205"/>
      <c r="C61" s="205"/>
      <c r="D61" s="205"/>
      <c r="E61" s="205"/>
      <c r="F61" s="206"/>
      <c r="G61" s="205"/>
      <c r="H61" s="207"/>
    </row>
    <row r="62" spans="1:11">
      <c r="H62" s="202"/>
    </row>
  </sheetData>
  <mergeCells count="25">
    <mergeCell ref="A54:B5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1"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61"/>
  <sheetViews>
    <sheetView view="pageBreakPreview" zoomScale="80" zoomScaleNormal="80" zoomScaleSheetLayoutView="80" workbookViewId="0">
      <selection activeCell="I38" sqref="I38"/>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2.33203125" style="149"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5.109375" style="149" customWidth="1"/>
    <col min="14" max="16384" width="9.109375" style="149"/>
  </cols>
  <sheetData>
    <row r="1" spans="1:26" ht="15.6">
      <c r="A1" s="148"/>
      <c r="U1" s="514"/>
    </row>
    <row r="2" spans="1:26" ht="15.6">
      <c r="A2" s="148" t="s">
        <v>219</v>
      </c>
      <c r="U2" s="532"/>
    </row>
    <row r="3" spans="1:26" ht="15">
      <c r="A3" s="150"/>
      <c r="U3" s="514"/>
    </row>
    <row r="4" spans="1:26" ht="21">
      <c r="A4" s="151" t="s">
        <v>4</v>
      </c>
      <c r="B4" s="152"/>
      <c r="F4" s="153" t="s">
        <v>29</v>
      </c>
      <c r="G4" s="154">
        <v>18</v>
      </c>
      <c r="H4" s="154" t="str">
        <f>+'1'!H4</f>
        <v>.03.26</v>
      </c>
      <c r="X4" s="174"/>
    </row>
    <row r="5" spans="1:26" ht="13.8" thickBot="1">
      <c r="C5" s="155"/>
      <c r="D5" s="155"/>
      <c r="Y5" s="174"/>
      <c r="Z5" s="174"/>
    </row>
    <row r="6" spans="1:26"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f>337+203+184</f>
        <v>724</v>
      </c>
    </row>
    <row r="7" spans="1:26" ht="13.5" customHeight="1" thickBot="1">
      <c r="A7" s="788" t="s">
        <v>387</v>
      </c>
      <c r="B7" s="213" t="s">
        <v>430</v>
      </c>
      <c r="C7" s="214">
        <v>12499</v>
      </c>
      <c r="D7" s="215"/>
      <c r="E7" s="216"/>
      <c r="F7" s="231"/>
      <c r="G7" s="553" t="s">
        <v>12</v>
      </c>
      <c r="H7" s="554" t="s">
        <v>417</v>
      </c>
      <c r="I7" s="791" t="s">
        <v>645</v>
      </c>
      <c r="J7" s="212" t="str">
        <f>+'17'!J7</f>
        <v>T 15 RC HW</v>
      </c>
      <c r="K7" s="233">
        <f>+C7</f>
        <v>12499</v>
      </c>
      <c r="L7" s="237"/>
      <c r="M7" s="117">
        <f>+K7+'17'!M7+L7</f>
        <v>406602</v>
      </c>
    </row>
    <row r="8" spans="1:26" ht="13.8" thickBot="1">
      <c r="A8" s="789"/>
      <c r="B8" s="213" t="s">
        <v>650</v>
      </c>
      <c r="C8" s="214">
        <v>6809</v>
      </c>
      <c r="D8" s="215"/>
      <c r="E8" s="217"/>
      <c r="F8" s="227">
        <v>2</v>
      </c>
      <c r="G8" s="555" t="s">
        <v>12</v>
      </c>
      <c r="H8" s="226" t="s">
        <v>630</v>
      </c>
      <c r="I8" s="792"/>
      <c r="J8" s="212" t="str">
        <f>+'17'!J8</f>
        <v>T 14,5 RC HW</v>
      </c>
      <c r="K8" s="234"/>
      <c r="L8" s="234"/>
      <c r="M8" s="117">
        <f>+K8+'17'!M8+L8</f>
        <v>206120</v>
      </c>
      <c r="N8" s="514">
        <v>1180</v>
      </c>
      <c r="O8" s="174">
        <f>+N8-N8*0.23</f>
        <v>908.59999999999991</v>
      </c>
      <c r="P8" s="174">
        <v>180</v>
      </c>
      <c r="Q8" s="174">
        <f>+N8*P8</f>
        <v>212400</v>
      </c>
      <c r="R8" s="149">
        <f>+O8*P8</f>
        <v>163547.99999999997</v>
      </c>
    </row>
    <row r="9" spans="1:26" ht="13.8" thickBot="1">
      <c r="A9" s="789"/>
      <c r="B9" s="213"/>
      <c r="C9" s="214"/>
      <c r="D9" s="215"/>
      <c r="E9" s="218"/>
      <c r="F9" s="227">
        <v>9</v>
      </c>
      <c r="G9" s="555" t="s">
        <v>12</v>
      </c>
      <c r="H9" s="229" t="s">
        <v>649</v>
      </c>
      <c r="I9" s="792"/>
      <c r="J9" s="212" t="str">
        <f>+'17'!J9</f>
        <v>T 14 RC HW</v>
      </c>
      <c r="K9" s="234"/>
      <c r="L9" s="234"/>
      <c r="M9" s="117">
        <f>+K9+'17'!M9+L9</f>
        <v>49646</v>
      </c>
      <c r="N9" s="149">
        <v>860</v>
      </c>
      <c r="O9" s="174">
        <f>+N9-N9*0.16</f>
        <v>722.4</v>
      </c>
      <c r="P9" s="149">
        <v>300</v>
      </c>
      <c r="Q9" s="174">
        <f>+N9*P9</f>
        <v>258000</v>
      </c>
      <c r="R9" s="149">
        <f>+O9*P9</f>
        <v>216720</v>
      </c>
    </row>
    <row r="10" spans="1:26" ht="53.4" thickBot="1">
      <c r="A10" s="789"/>
      <c r="B10" s="213"/>
      <c r="C10" s="214"/>
      <c r="D10" s="215"/>
      <c r="E10" s="217"/>
      <c r="F10" s="227"/>
      <c r="G10" s="225"/>
      <c r="H10" s="556" t="s">
        <v>620</v>
      </c>
      <c r="I10" s="792"/>
      <c r="J10" s="212" t="str">
        <f>+'17'!J10</f>
        <v>T 13,5 RC HW</v>
      </c>
      <c r="K10" s="234"/>
      <c r="L10" s="234"/>
      <c r="M10" s="117">
        <f>+K10+'17'!M10+L10</f>
        <v>196361</v>
      </c>
      <c r="P10" s="149">
        <f>SUM(P8:P9)</f>
        <v>480</v>
      </c>
      <c r="Q10" s="149">
        <f t="shared" ref="Q10:R10" si="0">SUM(Q8:Q9)</f>
        <v>470400</v>
      </c>
      <c r="R10" s="149">
        <f t="shared" si="0"/>
        <v>380268</v>
      </c>
    </row>
    <row r="11" spans="1:26" ht="13.8" thickBot="1">
      <c r="A11" s="789"/>
      <c r="B11" s="213"/>
      <c r="C11" s="214"/>
      <c r="D11" s="215"/>
      <c r="E11" s="217"/>
      <c r="F11" s="224"/>
      <c r="G11" s="228"/>
      <c r="H11" s="229" t="s">
        <v>644</v>
      </c>
      <c r="I11" s="792"/>
      <c r="J11" s="212" t="s">
        <v>650</v>
      </c>
      <c r="K11" s="234">
        <f>+C8+C16+C25</f>
        <v>46820</v>
      </c>
      <c r="L11" s="234"/>
      <c r="M11" s="117">
        <f>+K11+'17'!M11+L11</f>
        <v>46820</v>
      </c>
      <c r="Q11" s="149">
        <f>+Q10/P10</f>
        <v>980</v>
      </c>
      <c r="R11" s="149">
        <f>+R10/P10</f>
        <v>792.22500000000002</v>
      </c>
    </row>
    <row r="12" spans="1:26" ht="13.8" thickBot="1">
      <c r="A12" s="789"/>
      <c r="B12" s="213"/>
      <c r="C12" s="214"/>
      <c r="D12" s="215"/>
      <c r="E12" s="217"/>
      <c r="F12" s="224"/>
      <c r="G12" s="228"/>
      <c r="H12" s="229"/>
      <c r="I12" s="792"/>
      <c r="J12" s="212">
        <f>+'17'!J12</f>
        <v>0</v>
      </c>
      <c r="K12" s="234"/>
      <c r="L12" s="234"/>
      <c r="M12" s="117">
        <f>+K12+'17'!M12+L12</f>
        <v>0</v>
      </c>
    </row>
    <row r="13" spans="1:26" ht="13.8" thickBot="1">
      <c r="A13" s="789"/>
      <c r="B13" s="213"/>
      <c r="C13" s="214"/>
      <c r="D13" s="214"/>
      <c r="E13" s="217"/>
      <c r="F13" s="224"/>
      <c r="G13" s="228"/>
      <c r="H13" s="229"/>
      <c r="I13" s="793"/>
      <c r="J13" s="212">
        <f>+'17'!J13</f>
        <v>0</v>
      </c>
      <c r="K13" s="234"/>
      <c r="L13" s="234"/>
      <c r="M13" s="117">
        <f>+K13+'17'!M13+L13</f>
        <v>0</v>
      </c>
    </row>
    <row r="14" spans="1:26" ht="13.8" thickBot="1">
      <c r="A14" s="790"/>
      <c r="B14" s="165" t="s">
        <v>3</v>
      </c>
      <c r="C14" s="99">
        <f>SUM(C7:C13)</f>
        <v>19308</v>
      </c>
      <c r="D14" s="111">
        <f>SUM(D7:D13)</f>
        <v>0</v>
      </c>
      <c r="E14" s="112">
        <f>SUM(E5:E13)</f>
        <v>0</v>
      </c>
      <c r="F14" s="116">
        <f>SUM(F7:F13)</f>
        <v>11</v>
      </c>
      <c r="G14" s="159"/>
      <c r="H14" s="166"/>
      <c r="I14" s="167"/>
      <c r="J14" s="212">
        <f>+'17'!J14</f>
        <v>0</v>
      </c>
      <c r="K14" s="234"/>
      <c r="L14" s="234"/>
      <c r="M14" s="117">
        <f>+K14+'17'!M14+L14</f>
        <v>0</v>
      </c>
    </row>
    <row r="15" spans="1:26" ht="13.8" thickBot="1">
      <c r="A15" s="794" t="s">
        <v>428</v>
      </c>
      <c r="B15" s="513"/>
      <c r="C15" s="113">
        <f>C14/($C$23+$D$23+$E$23)</f>
        <v>0.95066469719350077</v>
      </c>
      <c r="D15" s="114">
        <f>D14/($C$23+$D$23+$E$23)</f>
        <v>0</v>
      </c>
      <c r="E15" s="115">
        <f>E14/($C$23+$D$23+$E$23)</f>
        <v>0</v>
      </c>
      <c r="F15" s="231"/>
      <c r="G15" s="553" t="s">
        <v>12</v>
      </c>
      <c r="H15" s="554" t="s">
        <v>417</v>
      </c>
      <c r="I15" s="791" t="s">
        <v>647</v>
      </c>
      <c r="J15" s="212">
        <f>+'17'!J15</f>
        <v>0</v>
      </c>
      <c r="K15" s="234"/>
      <c r="L15" s="234"/>
      <c r="M15" s="117">
        <f>+K15+'17'!M15+L15</f>
        <v>0</v>
      </c>
    </row>
    <row r="16" spans="1:26" ht="13.8" thickBot="1">
      <c r="A16" s="789"/>
      <c r="B16" s="213" t="s">
        <v>650</v>
      </c>
      <c r="C16" s="511">
        <v>20310</v>
      </c>
      <c r="D16" s="219"/>
      <c r="E16" s="220"/>
      <c r="F16" s="227"/>
      <c r="G16" s="555" t="s">
        <v>12</v>
      </c>
      <c r="H16" s="226" t="s">
        <v>419</v>
      </c>
      <c r="I16" s="792"/>
      <c r="J16" s="212">
        <f>+'17'!J16</f>
        <v>0</v>
      </c>
      <c r="K16" s="225"/>
      <c r="L16" s="225"/>
      <c r="M16" s="117">
        <f>+K16+'17'!M16+L16</f>
        <v>0</v>
      </c>
      <c r="N16" s="514"/>
      <c r="O16" s="174"/>
      <c r="P16" s="174"/>
      <c r="Q16" s="174"/>
    </row>
    <row r="17" spans="1:19" ht="13.8" thickBot="1">
      <c r="A17" s="789"/>
      <c r="B17" s="213"/>
      <c r="C17" s="214"/>
      <c r="D17" s="215"/>
      <c r="E17" s="221"/>
      <c r="F17" s="227">
        <v>8</v>
      </c>
      <c r="G17" s="555" t="s">
        <v>12</v>
      </c>
      <c r="H17" s="229" t="s">
        <v>415</v>
      </c>
      <c r="I17" s="792"/>
      <c r="J17" s="212">
        <f>+'17'!J17</f>
        <v>0</v>
      </c>
      <c r="K17" s="225"/>
      <c r="L17" s="225"/>
      <c r="M17" s="117">
        <f>+K17+'17'!M17+L17</f>
        <v>0</v>
      </c>
    </row>
    <row r="18" spans="1:19" ht="13.8" thickBot="1">
      <c r="A18" s="789"/>
      <c r="B18" s="213"/>
      <c r="C18" s="214"/>
      <c r="D18" s="215"/>
      <c r="E18" s="221"/>
      <c r="F18" s="227"/>
      <c r="G18" s="225"/>
      <c r="H18" s="556" t="s">
        <v>646</v>
      </c>
      <c r="I18" s="792"/>
      <c r="J18" s="212">
        <f>+'17'!J18</f>
        <v>0</v>
      </c>
      <c r="K18" s="234"/>
      <c r="L18" s="234"/>
      <c r="M18" s="117">
        <f>+K18+'17'!M18+L18</f>
        <v>0</v>
      </c>
    </row>
    <row r="19" spans="1:19" ht="13.8" thickBot="1">
      <c r="A19" s="789"/>
      <c r="B19" s="213"/>
      <c r="C19" s="214"/>
      <c r="D19" s="215"/>
      <c r="E19" s="221"/>
      <c r="F19" s="230"/>
      <c r="G19" s="228"/>
      <c r="H19" s="229" t="s">
        <v>633</v>
      </c>
      <c r="I19" s="792"/>
      <c r="J19" s="212">
        <f>+'17'!J19</f>
        <v>0</v>
      </c>
      <c r="K19" s="234"/>
      <c r="L19" s="234"/>
      <c r="M19" s="117">
        <f>+K19+'17'!M19+L19</f>
        <v>0</v>
      </c>
    </row>
    <row r="20" spans="1:19" ht="13.8" thickBot="1">
      <c r="A20" s="789"/>
      <c r="B20" s="213"/>
      <c r="C20" s="214"/>
      <c r="D20" s="215"/>
      <c r="E20" s="221"/>
      <c r="F20" s="224"/>
      <c r="G20" s="228"/>
      <c r="H20" s="229" t="s">
        <v>634</v>
      </c>
      <c r="I20" s="792"/>
      <c r="J20" s="212">
        <f>+'17'!J20</f>
        <v>0</v>
      </c>
      <c r="K20" s="235"/>
      <c r="L20" s="235"/>
      <c r="M20" s="117">
        <f>+K20+'17'!M20+L20</f>
        <v>0</v>
      </c>
    </row>
    <row r="21" spans="1:19" ht="13.8" thickBot="1">
      <c r="A21" s="789"/>
      <c r="B21" s="213"/>
      <c r="C21" s="214"/>
      <c r="D21" s="215"/>
      <c r="E21" s="221"/>
      <c r="F21" s="227"/>
      <c r="G21" s="228"/>
      <c r="H21" s="229"/>
      <c r="I21" s="792"/>
      <c r="J21" s="212">
        <f>+'17'!J21</f>
        <v>0</v>
      </c>
      <c r="K21" s="234"/>
      <c r="L21" s="234"/>
      <c r="M21" s="117">
        <f>+K21+'17'!M21+L21</f>
        <v>0</v>
      </c>
    </row>
    <row r="22" spans="1:19" ht="13.8" thickBot="1">
      <c r="A22" s="789"/>
      <c r="B22" s="213"/>
      <c r="C22" s="214"/>
      <c r="D22" s="215"/>
      <c r="E22" s="221"/>
      <c r="F22" s="231"/>
      <c r="G22" s="228"/>
      <c r="H22" s="229"/>
      <c r="I22" s="793"/>
      <c r="J22" s="212">
        <f>+'17'!J22</f>
        <v>0</v>
      </c>
      <c r="K22" s="234"/>
      <c r="L22" s="234"/>
      <c r="M22" s="117">
        <f>+K22+'17'!M22+L22</f>
        <v>0</v>
      </c>
    </row>
    <row r="23" spans="1:19" ht="13.8" thickBot="1">
      <c r="A23" s="790"/>
      <c r="B23" s="165" t="s">
        <v>3</v>
      </c>
      <c r="C23" s="99">
        <f>SUM(C16:C22)</f>
        <v>20310</v>
      </c>
      <c r="D23" s="111">
        <f>SUM(D16:D22)</f>
        <v>0</v>
      </c>
      <c r="E23" s="112">
        <f>SUM(E18:E22)</f>
        <v>0</v>
      </c>
      <c r="F23" s="116">
        <f>SUM(F15:F22)</f>
        <v>8</v>
      </c>
      <c r="G23" s="159"/>
      <c r="H23" s="166"/>
      <c r="I23" s="168"/>
      <c r="J23" s="212">
        <f>+'17'!J23</f>
        <v>0</v>
      </c>
      <c r="K23" s="234"/>
      <c r="L23" s="234"/>
      <c r="M23" s="117">
        <f>+K23+'17'!M23+L23</f>
        <v>0</v>
      </c>
    </row>
    <row r="24" spans="1:19" ht="13.8" thickBot="1">
      <c r="A24" s="794" t="s">
        <v>429</v>
      </c>
      <c r="B24" s="513"/>
      <c r="C24" s="113">
        <f>C23/($C$23+$D$23+$E$23)</f>
        <v>1</v>
      </c>
      <c r="D24" s="114">
        <f>D23/($C$23+$D$23+$E$23)</f>
        <v>0</v>
      </c>
      <c r="E24" s="115">
        <f>E23/($C$23+$D$23+$E$23)</f>
        <v>0</v>
      </c>
      <c r="F24" s="231"/>
      <c r="G24" s="553" t="s">
        <v>12</v>
      </c>
      <c r="H24" s="554" t="s">
        <v>417</v>
      </c>
      <c r="I24" s="791" t="s">
        <v>647</v>
      </c>
      <c r="J24" s="212">
        <f>+'17'!J24</f>
        <v>0</v>
      </c>
      <c r="K24" s="234"/>
      <c r="L24" s="234"/>
      <c r="M24" s="117">
        <f>+K24+'17'!M24+L24</f>
        <v>0</v>
      </c>
      <c r="N24" s="514"/>
    </row>
    <row r="25" spans="1:19" ht="13.8" thickBot="1">
      <c r="A25" s="789"/>
      <c r="B25" s="213" t="s">
        <v>650</v>
      </c>
      <c r="C25" s="222">
        <v>19701</v>
      </c>
      <c r="D25" s="215"/>
      <c r="E25" s="221"/>
      <c r="F25" s="227"/>
      <c r="G25" s="555" t="s">
        <v>12</v>
      </c>
      <c r="H25" s="226" t="s">
        <v>419</v>
      </c>
      <c r="I25" s="792"/>
      <c r="J25" s="212">
        <f>+'17'!J25</f>
        <v>0</v>
      </c>
      <c r="K25" s="234"/>
      <c r="L25" s="234"/>
      <c r="M25" s="117">
        <f>+K25+'17'!M25+L25</f>
        <v>0</v>
      </c>
      <c r="N25" s="515"/>
      <c r="O25" s="516"/>
      <c r="P25" s="516"/>
      <c r="Q25" s="516"/>
    </row>
    <row r="26" spans="1:19" ht="13.8" thickBot="1">
      <c r="A26" s="789"/>
      <c r="B26" s="213"/>
      <c r="C26" s="222"/>
      <c r="D26" s="215"/>
      <c r="E26" s="223"/>
      <c r="F26" s="227">
        <v>10</v>
      </c>
      <c r="G26" s="555" t="s">
        <v>12</v>
      </c>
      <c r="H26" s="229" t="s">
        <v>415</v>
      </c>
      <c r="I26" s="792"/>
      <c r="J26" s="212">
        <f>+'17'!J26</f>
        <v>0</v>
      </c>
      <c r="K26" s="234"/>
      <c r="L26" s="234"/>
      <c r="M26" s="117">
        <f>+K26+'17'!M26+L26</f>
        <v>0</v>
      </c>
      <c r="Q26" s="174"/>
    </row>
    <row r="27" spans="1:19" ht="13.8" thickBot="1">
      <c r="A27" s="789"/>
      <c r="B27" s="213"/>
      <c r="C27" s="214"/>
      <c r="D27" s="215"/>
      <c r="E27" s="221"/>
      <c r="F27" s="227"/>
      <c r="G27" s="225"/>
      <c r="H27" s="556" t="s">
        <v>646</v>
      </c>
      <c r="I27" s="792"/>
      <c r="J27" s="212">
        <f>+'17'!J27</f>
        <v>0</v>
      </c>
      <c r="K27" s="234"/>
      <c r="L27" s="234"/>
      <c r="M27" s="117">
        <f>+K27+'17'!M27+L27</f>
        <v>0</v>
      </c>
      <c r="R27" s="174"/>
      <c r="S27" s="174"/>
    </row>
    <row r="28" spans="1:19" ht="27" thickBot="1">
      <c r="A28" s="789"/>
      <c r="B28" s="213"/>
      <c r="C28" s="214"/>
      <c r="D28" s="215"/>
      <c r="E28" s="221"/>
      <c r="F28" s="227"/>
      <c r="G28" s="225"/>
      <c r="H28" s="229" t="s">
        <v>635</v>
      </c>
      <c r="I28" s="792"/>
      <c r="J28" s="212">
        <f>+'17'!J28</f>
        <v>0</v>
      </c>
      <c r="K28" s="234"/>
      <c r="L28" s="234"/>
      <c r="M28" s="117">
        <f>+K28+'17'!M28+L28</f>
        <v>0</v>
      </c>
    </row>
    <row r="29" spans="1:19" ht="27" thickBot="1">
      <c r="A29" s="789"/>
      <c r="B29" s="213"/>
      <c r="C29" s="214"/>
      <c r="D29" s="215"/>
      <c r="E29" s="221"/>
      <c r="F29" s="231"/>
      <c r="G29" s="228"/>
      <c r="H29" s="229" t="s">
        <v>636</v>
      </c>
      <c r="I29" s="792"/>
      <c r="J29" s="212">
        <f>+'17'!J29</f>
        <v>0</v>
      </c>
      <c r="K29" s="234"/>
      <c r="L29" s="234"/>
      <c r="M29" s="117">
        <f>+K29+'17'!M29+L29</f>
        <v>0</v>
      </c>
    </row>
    <row r="30" spans="1:19" ht="13.8" thickBot="1">
      <c r="A30" s="789"/>
      <c r="B30" s="213"/>
      <c r="C30" s="222"/>
      <c r="D30" s="215"/>
      <c r="E30" s="221"/>
      <c r="F30" s="231"/>
      <c r="G30" s="228"/>
      <c r="H30" s="404" t="s">
        <v>637</v>
      </c>
      <c r="I30" s="792"/>
      <c r="J30" s="212">
        <f>+'17'!J30</f>
        <v>0</v>
      </c>
      <c r="K30" s="234"/>
      <c r="L30" s="234"/>
      <c r="M30" s="117">
        <f>+K30+'17'!M30+L30</f>
        <v>0</v>
      </c>
      <c r="N30" s="155"/>
    </row>
    <row r="31" spans="1:19" ht="13.8" thickBot="1">
      <c r="A31" s="789"/>
      <c r="B31" s="213"/>
      <c r="C31" s="222"/>
      <c r="D31" s="215"/>
      <c r="E31" s="221"/>
      <c r="F31" s="231"/>
      <c r="G31" s="232"/>
      <c r="H31" s="404"/>
      <c r="I31" s="793"/>
      <c r="J31" s="212">
        <f>+'17'!J31</f>
        <v>0</v>
      </c>
      <c r="K31" s="234"/>
      <c r="L31" s="234"/>
      <c r="M31" s="117">
        <f>+K31+'17'!M31+L31</f>
        <v>0</v>
      </c>
    </row>
    <row r="32" spans="1:19" ht="13.8" thickBot="1">
      <c r="A32" s="790"/>
      <c r="B32" s="165" t="s">
        <v>3</v>
      </c>
      <c r="C32" s="99">
        <f>SUM(C25:C31)</f>
        <v>19701</v>
      </c>
      <c r="D32" s="100">
        <f>SUM(D25:D31)</f>
        <v>0</v>
      </c>
      <c r="E32" s="101">
        <f>SUM(E25:E31)</f>
        <v>0</v>
      </c>
      <c r="F32" s="99">
        <f>SUM(F24:F31)</f>
        <v>10</v>
      </c>
      <c r="G32" s="169"/>
      <c r="H32" s="170"/>
      <c r="I32" s="168"/>
      <c r="J32" s="212">
        <f>+'17'!J32</f>
        <v>0</v>
      </c>
      <c r="K32" s="236"/>
      <c r="L32" s="238"/>
      <c r="M32" s="117">
        <f>+K32+'17'!M32+L32</f>
        <v>0</v>
      </c>
    </row>
    <row r="33" spans="1:14" ht="13.8" thickBot="1">
      <c r="A33" s="171"/>
      <c r="B33" s="172"/>
      <c r="C33" s="103">
        <f>C32/($C$32+$D$32+$E$32)</f>
        <v>1</v>
      </c>
      <c r="D33" s="104">
        <f>D32/($C$32+$D$32+$E$32)</f>
        <v>0</v>
      </c>
      <c r="E33" s="105">
        <f>E32/($C$32+$D$32+$E$32)</f>
        <v>0</v>
      </c>
      <c r="F33" s="106"/>
      <c r="G33" s="173"/>
      <c r="H33" s="174"/>
      <c r="I33" s="175"/>
      <c r="J33" s="121"/>
      <c r="K33" s="122"/>
      <c r="L33" s="211"/>
      <c r="M33" s="119"/>
    </row>
    <row r="34" spans="1:14" ht="13.8" thickBot="1">
      <c r="A34" s="795" t="s">
        <v>68</v>
      </c>
      <c r="B34" s="796"/>
      <c r="C34" s="107">
        <f>C14+C23+C32</f>
        <v>59319</v>
      </c>
      <c r="D34" s="107">
        <f>D14+D23+D32</f>
        <v>0</v>
      </c>
      <c r="E34" s="107">
        <f>E14+E23+E32</f>
        <v>0</v>
      </c>
      <c r="F34" s="108">
        <f>F14+F23+F32</f>
        <v>29</v>
      </c>
      <c r="H34" s="176"/>
      <c r="I34" s="176"/>
      <c r="J34" s="123" t="s">
        <v>28</v>
      </c>
      <c r="K34" s="124">
        <f>SUM(K7:K32)</f>
        <v>59319</v>
      </c>
      <c r="L34" s="210">
        <f>SUM(L7:L32)</f>
        <v>0</v>
      </c>
      <c r="M34" s="120">
        <f>SUM(M7:M32)</f>
        <v>905549</v>
      </c>
      <c r="N34" s="155"/>
    </row>
    <row r="35" spans="1:14" ht="13.8" thickBot="1">
      <c r="A35" s="177"/>
      <c r="B35" s="178"/>
      <c r="C35" s="104">
        <f>C34/($C$34+$D$34+$E$34)</f>
        <v>1</v>
      </c>
      <c r="D35" s="104">
        <f>D34/($C$34+$D$34+$E$34)</f>
        <v>0</v>
      </c>
      <c r="E35" s="109">
        <f>E34/($C$34+$D$34+$E$34)</f>
        <v>0</v>
      </c>
      <c r="K35" s="155"/>
    </row>
    <row r="36" spans="1:14" ht="13.8" thickBot="1">
      <c r="A36" s="176"/>
      <c r="B36" s="176"/>
      <c r="C36" s="155"/>
      <c r="D36" s="155"/>
      <c r="E36" s="155"/>
      <c r="G36" s="155"/>
      <c r="H36" s="179"/>
      <c r="I36" s="162" t="s">
        <v>37</v>
      </c>
      <c r="J36" s="162" t="s">
        <v>38</v>
      </c>
      <c r="K36" s="180"/>
    </row>
    <row r="37" spans="1:14" ht="17.399999999999999" customHeight="1" thickBot="1">
      <c r="A37" s="797" t="s">
        <v>69</v>
      </c>
      <c r="B37" s="798"/>
      <c r="C37" s="162" t="s">
        <v>70</v>
      </c>
      <c r="D37" s="181" t="s">
        <v>71</v>
      </c>
      <c r="E37" s="182" t="s">
        <v>72</v>
      </c>
      <c r="F37" s="304"/>
      <c r="G37" s="306"/>
      <c r="H37" s="184" t="s">
        <v>73</v>
      </c>
      <c r="I37" s="239">
        <f>(15*180+22*1260)/1440*G42*2.7*1440/1000000</f>
        <v>61.24527045</v>
      </c>
      <c r="J37" s="125">
        <f>+I37+'17'!J37</f>
        <v>942.72883376706147</v>
      </c>
      <c r="K37" s="126" t="s">
        <v>74</v>
      </c>
      <c r="N37" s="149">
        <f>2.652+2.652+0.995+1.658</f>
        <v>7.9570000000000007</v>
      </c>
    </row>
    <row r="38" spans="1:14" ht="17.399999999999999" customHeight="1">
      <c r="A38" s="799" t="s">
        <v>12</v>
      </c>
      <c r="B38" s="800"/>
      <c r="C38" s="164">
        <f>SUMIF($G$7:$G$31,"Process",$F$7:$F$31)</f>
        <v>29</v>
      </c>
      <c r="D38" s="118">
        <f>C38+'17'!D38</f>
        <v>485</v>
      </c>
      <c r="E38" s="143">
        <f t="shared" ref="E38:E52" si="1">D38/60</f>
        <v>8.0833333333333339</v>
      </c>
      <c r="F38" s="304">
        <v>980</v>
      </c>
      <c r="G38" s="304">
        <v>792.22500000000002</v>
      </c>
      <c r="H38" s="185" t="s">
        <v>75</v>
      </c>
      <c r="I38" s="240">
        <f>18.925+19.8+18.093</f>
        <v>56.817999999999998</v>
      </c>
      <c r="J38" s="127">
        <f>+I38+'17'!J38</f>
        <v>910.67800000000011</v>
      </c>
      <c r="K38" s="128" t="s">
        <v>74</v>
      </c>
      <c r="N38" s="155">
        <f>+I38-N37</f>
        <v>48.860999999999997</v>
      </c>
    </row>
    <row r="39" spans="1:14" ht="17.399999999999999" customHeight="1">
      <c r="A39" s="786" t="s">
        <v>13</v>
      </c>
      <c r="B39" s="787"/>
      <c r="C39" s="164">
        <f>SUMIF($G$7:$G$31,"Cleaning",$F$7:$F$31)</f>
        <v>0</v>
      </c>
      <c r="D39" s="118">
        <f>C39+'17'!D39</f>
        <v>0</v>
      </c>
      <c r="E39" s="143">
        <f t="shared" si="1"/>
        <v>0</v>
      </c>
      <c r="F39" s="304">
        <v>860</v>
      </c>
      <c r="G39" s="304">
        <f t="shared" ref="G39:G40" si="2">+F39-F39*0.16</f>
        <v>722.4</v>
      </c>
      <c r="H39" s="185" t="s">
        <v>76</v>
      </c>
      <c r="I39" s="142"/>
      <c r="J39" s="129">
        <f>J37/G4</f>
        <v>52.373824098170083</v>
      </c>
      <c r="K39" s="130" t="s">
        <v>74</v>
      </c>
    </row>
    <row r="40" spans="1:14" ht="17.399999999999999" customHeight="1">
      <c r="A40" s="786" t="s">
        <v>77</v>
      </c>
      <c r="B40" s="787"/>
      <c r="C40" s="164">
        <f>SUMIF($G$7:$G$31,"Mechanical",$F$7:$F$31)</f>
        <v>0</v>
      </c>
      <c r="D40" s="118">
        <f>C40+'17'!D40</f>
        <v>0</v>
      </c>
      <c r="E40" s="143">
        <f t="shared" si="1"/>
        <v>0</v>
      </c>
      <c r="F40" s="304">
        <v>860</v>
      </c>
      <c r="G40" s="304">
        <f t="shared" si="2"/>
        <v>722.4</v>
      </c>
      <c r="H40" s="185" t="s">
        <v>78</v>
      </c>
      <c r="I40" s="118">
        <f>(K34+L34)/1000</f>
        <v>59.319000000000003</v>
      </c>
      <c r="J40" s="131">
        <f>+I40+'17'!J40</f>
        <v>905.54899999999998</v>
      </c>
      <c r="K40" s="130" t="s">
        <v>74</v>
      </c>
    </row>
    <row r="41" spans="1:14" ht="17.399999999999999" customHeight="1">
      <c r="A41" s="786" t="s">
        <v>79</v>
      </c>
      <c r="B41" s="787"/>
      <c r="C41" s="164">
        <f>SUMIF($G$7:$G$31,"Electrical",$F$7:$F$31)</f>
        <v>0</v>
      </c>
      <c r="D41" s="118">
        <f>C41+'17'!D41</f>
        <v>0</v>
      </c>
      <c r="E41" s="143">
        <f t="shared" si="1"/>
        <v>0</v>
      </c>
      <c r="F41" s="304"/>
      <c r="G41" s="304"/>
      <c r="H41" s="185" t="s">
        <v>80</v>
      </c>
      <c r="I41" s="142"/>
      <c r="J41" s="129">
        <f>J40/G4</f>
        <v>50.308277777777775</v>
      </c>
      <c r="K41" s="130" t="s">
        <v>74</v>
      </c>
    </row>
    <row r="42" spans="1:14" ht="17.399999999999999" customHeight="1">
      <c r="A42" s="786" t="s">
        <v>16</v>
      </c>
      <c r="B42" s="787"/>
      <c r="C42" s="164">
        <f>SUMIF($G$7:$G$31,"Instrument",$F$7:$F$31)</f>
        <v>0</v>
      </c>
      <c r="D42" s="118">
        <f>C42+'17'!D42</f>
        <v>0</v>
      </c>
      <c r="E42" s="143">
        <f t="shared" si="1"/>
        <v>0</v>
      </c>
      <c r="F42" s="183">
        <f>+(F38*480+F39*480+F40*480)/1440</f>
        <v>900</v>
      </c>
      <c r="G42" s="183">
        <f>+(G38*480+G39*480+G40*480)/1440</f>
        <v>745.67499999999995</v>
      </c>
      <c r="H42" s="185" t="s">
        <v>81</v>
      </c>
      <c r="I42" s="241" t="s">
        <v>648</v>
      </c>
      <c r="J42" s="132"/>
      <c r="K42" s="130" t="s">
        <v>82</v>
      </c>
    </row>
    <row r="43" spans="1:14" ht="17.399999999999999" customHeight="1">
      <c r="A43" s="786" t="s">
        <v>83</v>
      </c>
      <c r="B43" s="787"/>
      <c r="C43" s="164">
        <f>SUMIF($G$7:$G$31,"Water",$F$7:$F$31)</f>
        <v>0</v>
      </c>
      <c r="D43" s="118">
        <f>C43+'17'!D43</f>
        <v>0</v>
      </c>
      <c r="E43" s="143">
        <f t="shared" si="1"/>
        <v>0</v>
      </c>
      <c r="F43" s="304"/>
      <c r="G43" s="305"/>
      <c r="H43" s="186" t="s">
        <v>84</v>
      </c>
      <c r="I43" s="118">
        <f>+Report1!Z26</f>
        <v>98.9</v>
      </c>
      <c r="J43" s="133">
        <f>+I43+'17'!J43</f>
        <v>1718.02</v>
      </c>
      <c r="K43" s="130" t="s">
        <v>74</v>
      </c>
      <c r="L43" s="187"/>
    </row>
    <row r="44" spans="1:14" ht="17.399999999999999" customHeight="1">
      <c r="A44" s="786" t="s">
        <v>17</v>
      </c>
      <c r="B44" s="787"/>
      <c r="C44" s="164">
        <f>SUMIF($G$7:$G$31,"PLN",$F$7:$F$31)</f>
        <v>0</v>
      </c>
      <c r="D44" s="118">
        <f>C44+'17'!D44</f>
        <v>0</v>
      </c>
      <c r="E44" s="143">
        <f t="shared" si="1"/>
        <v>0</v>
      </c>
      <c r="F44" s="304"/>
      <c r="G44" s="305"/>
      <c r="H44" s="186" t="s">
        <v>85</v>
      </c>
      <c r="I44" s="118">
        <f>I43/I38</f>
        <v>1.7406455700658243</v>
      </c>
      <c r="J44" s="134">
        <f>J43/J38</f>
        <v>1.8865284985472359</v>
      </c>
      <c r="K44" s="130" t="s">
        <v>74</v>
      </c>
    </row>
    <row r="45" spans="1:14" ht="17.399999999999999" customHeight="1">
      <c r="A45" s="786" t="s">
        <v>18</v>
      </c>
      <c r="B45" s="787"/>
      <c r="C45" s="164">
        <f>SUMIF($G$7:$G$31,"Boiler",$F$7:$F$31)</f>
        <v>0</v>
      </c>
      <c r="D45" s="118">
        <f>C45+'17'!D45</f>
        <v>0</v>
      </c>
      <c r="E45" s="143">
        <f t="shared" si="1"/>
        <v>0</v>
      </c>
      <c r="F45" s="304"/>
      <c r="G45" s="307"/>
      <c r="H45" s="186" t="s">
        <v>86</v>
      </c>
      <c r="I45" s="118">
        <f>I43/I40</f>
        <v>1.6672566968424958</v>
      </c>
      <c r="J45" s="134">
        <f>J43/J40</f>
        <v>1.8972137344307156</v>
      </c>
      <c r="K45" s="130" t="s">
        <v>74</v>
      </c>
    </row>
    <row r="46" spans="1:14" ht="17.399999999999999" customHeight="1">
      <c r="A46" s="786" t="s">
        <v>87</v>
      </c>
      <c r="B46" s="787"/>
      <c r="C46" s="164">
        <f>SUMIF($G$7:$G$31,"Gas",$F$7:$F$31)</f>
        <v>0</v>
      </c>
      <c r="D46" s="118">
        <f>C46+'17'!D46</f>
        <v>0</v>
      </c>
      <c r="E46" s="143">
        <f t="shared" si="1"/>
        <v>0</v>
      </c>
      <c r="F46" s="304"/>
      <c r="G46" s="305"/>
      <c r="H46" s="186" t="s">
        <v>88</v>
      </c>
      <c r="I46" s="140">
        <f>+SUMIF(Listrik!X25,"&gt;0")</f>
        <v>37462.560000001489</v>
      </c>
      <c r="J46" s="135">
        <f>+I46+'17'!J46</f>
        <v>693425.03869719466</v>
      </c>
      <c r="K46" s="130" t="s">
        <v>89</v>
      </c>
    </row>
    <row r="47" spans="1:14" ht="17.399999999999999" customHeight="1">
      <c r="A47" s="786" t="s">
        <v>90</v>
      </c>
      <c r="B47" s="787"/>
      <c r="C47" s="164">
        <f>SUMIF($G$7:$G$31,"Gas",$F$7:$F$31)</f>
        <v>0</v>
      </c>
      <c r="D47" s="118">
        <f>C47+'17'!D47</f>
        <v>0</v>
      </c>
      <c r="E47" s="143">
        <f t="shared" si="1"/>
        <v>0</v>
      </c>
      <c r="F47" s="304"/>
      <c r="G47" s="305"/>
      <c r="H47" s="186" t="s">
        <v>91</v>
      </c>
      <c r="I47" s="118">
        <f>I46/I38</f>
        <v>659.34316589815705</v>
      </c>
      <c r="J47" s="135">
        <f>J46/J38</f>
        <v>761.4382237159507</v>
      </c>
      <c r="K47" s="130" t="s">
        <v>24</v>
      </c>
    </row>
    <row r="48" spans="1:14" ht="17.399999999999999" customHeight="1">
      <c r="A48" s="786" t="s">
        <v>14</v>
      </c>
      <c r="B48" s="787"/>
      <c r="C48" s="164">
        <f>SUMIF($G$7:$G$31,"Start Up",$F$7:$F$31)</f>
        <v>0</v>
      </c>
      <c r="D48" s="118">
        <f>C48+'17'!D48</f>
        <v>0</v>
      </c>
      <c r="E48" s="143">
        <f t="shared" si="1"/>
        <v>0</v>
      </c>
      <c r="F48" s="304"/>
      <c r="G48" s="305"/>
      <c r="H48" s="186" t="s">
        <v>92</v>
      </c>
      <c r="I48" s="118">
        <f>I46/I40</f>
        <v>631.54402468014439</v>
      </c>
      <c r="J48" s="135">
        <f>J46/J40</f>
        <v>765.75098497949273</v>
      </c>
      <c r="K48" s="130" t="s">
        <v>24</v>
      </c>
    </row>
    <row r="49" spans="1:11" ht="17.399999999999999" customHeight="1">
      <c r="A49" s="786" t="s">
        <v>20</v>
      </c>
      <c r="B49" s="787"/>
      <c r="C49" s="164">
        <f>SUMIF($G$7:$G$31,"Others",$F$7:$F$31)</f>
        <v>0</v>
      </c>
      <c r="D49" s="118">
        <f>C49+'17'!D49</f>
        <v>1072</v>
      </c>
      <c r="E49" s="143">
        <f t="shared" si="1"/>
        <v>17.866666666666667</v>
      </c>
      <c r="F49" s="183"/>
      <c r="H49" s="186" t="s">
        <v>269</v>
      </c>
      <c r="I49" s="118">
        <f>+Report1!T26</f>
        <v>3933.9584630665013</v>
      </c>
      <c r="J49" s="135">
        <f>+I49+'17'!J49</f>
        <v>65439.030018326885</v>
      </c>
      <c r="K49" s="130" t="s">
        <v>93</v>
      </c>
    </row>
    <row r="50" spans="1:11" ht="17.399999999999999" customHeight="1">
      <c r="A50" s="786" t="s">
        <v>19</v>
      </c>
      <c r="B50" s="787"/>
      <c r="C50" s="164">
        <f>SUMIF($G$7:$G$31,"Steam",$F$7:$F$31)</f>
        <v>0</v>
      </c>
      <c r="D50" s="118">
        <f>C50+'17'!D50</f>
        <v>0</v>
      </c>
      <c r="E50" s="143">
        <f t="shared" si="1"/>
        <v>0</v>
      </c>
      <c r="F50" s="183"/>
      <c r="H50" s="186" t="s">
        <v>94</v>
      </c>
      <c r="I50" s="140">
        <f>I49/I38</f>
        <v>69.237890511220058</v>
      </c>
      <c r="J50" s="133">
        <f>J49/J38</f>
        <v>71.857484224200959</v>
      </c>
      <c r="K50" s="130" t="s">
        <v>93</v>
      </c>
    </row>
    <row r="51" spans="1:11" ht="17.399999999999999" customHeight="1">
      <c r="A51" s="803" t="s">
        <v>95</v>
      </c>
      <c r="B51" s="803"/>
      <c r="C51" s="164">
        <f>SUMIF($G$7:$G$31,"Planned shut",$F$7:$F$31)</f>
        <v>0</v>
      </c>
      <c r="D51" s="118">
        <f>C51+'17'!D51</f>
        <v>0</v>
      </c>
      <c r="E51" s="143">
        <f t="shared" si="1"/>
        <v>0</v>
      </c>
      <c r="F51" s="183"/>
      <c r="H51" s="188" t="s">
        <v>96</v>
      </c>
      <c r="I51" s="141">
        <f>I49/I40</f>
        <v>66.318691533345159</v>
      </c>
      <c r="J51" s="136">
        <f>J49/J40</f>
        <v>72.264482671094427</v>
      </c>
      <c r="K51" s="137" t="s">
        <v>93</v>
      </c>
    </row>
    <row r="52" spans="1:11" ht="13.8" thickBot="1">
      <c r="A52" s="804" t="s">
        <v>218</v>
      </c>
      <c r="B52" s="805"/>
      <c r="C52" s="164">
        <f>SUMIF($G$7:$G$31,"Change Grade",$F$7:$F$31)</f>
        <v>0</v>
      </c>
      <c r="D52" s="118">
        <f>C52+'17'!D52</f>
        <v>0</v>
      </c>
      <c r="E52" s="143">
        <f t="shared" si="1"/>
        <v>0</v>
      </c>
      <c r="F52" s="183"/>
      <c r="H52" s="189"/>
      <c r="I52" s="190"/>
      <c r="J52" s="138"/>
      <c r="K52" s="139"/>
    </row>
    <row r="53" spans="1:11">
      <c r="A53" s="799" t="s">
        <v>28</v>
      </c>
      <c r="B53" s="800"/>
      <c r="C53" s="144">
        <f>SUM(C38:C52)</f>
        <v>29</v>
      </c>
      <c r="D53" s="144">
        <f>SUM(D38:D52)</f>
        <v>1557</v>
      </c>
      <c r="E53" s="145">
        <f>SUM(E38:E52)</f>
        <v>25.950000000000003</v>
      </c>
      <c r="F53" s="183"/>
    </row>
    <row r="54" spans="1:11" ht="13.8" thickBot="1">
      <c r="A54" s="801"/>
      <c r="B54" s="802"/>
      <c r="C54" s="146">
        <f>C53/(24*60)</f>
        <v>2.013888888888889E-2</v>
      </c>
      <c r="D54" s="146">
        <f>D53/(24*60*G4)</f>
        <v>6.0069444444444446E-2</v>
      </c>
      <c r="E54" s="147">
        <f>E53/(G4*24)</f>
        <v>6.0069444444444453E-2</v>
      </c>
      <c r="F54" s="183"/>
    </row>
    <row r="55" spans="1:11">
      <c r="E55" s="191"/>
    </row>
    <row r="56" spans="1:11">
      <c r="A56" s="192" t="s">
        <v>97</v>
      </c>
      <c r="B56" s="193"/>
      <c r="C56" s="194"/>
      <c r="D56" s="194"/>
      <c r="E56" s="194"/>
      <c r="F56" s="195"/>
      <c r="G56" s="194"/>
      <c r="H56" s="196"/>
      <c r="I56" s="197" t="s">
        <v>98</v>
      </c>
      <c r="J56" s="198">
        <f>+D34+'17'!J56</f>
        <v>710</v>
      </c>
      <c r="K56" s="199">
        <f>J56/(J40+J56/1000)/1000</f>
        <v>7.834404954874931E-4</v>
      </c>
    </row>
    <row r="57" spans="1:11">
      <c r="A57" s="174"/>
      <c r="I57" s="197" t="s">
        <v>99</v>
      </c>
      <c r="J57" s="198">
        <f>+E34+'17'!J57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1"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A61"/>
  <sheetViews>
    <sheetView view="pageBreakPreview" topLeftCell="A22" zoomScale="80" zoomScaleNormal="80" zoomScaleSheetLayoutView="80" workbookViewId="0">
      <selection activeCell="H28" sqref="A24:H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2.109375" style="149" customWidth="1"/>
    <col min="14" max="16384" width="9.109375" style="149"/>
  </cols>
  <sheetData>
    <row r="1" spans="1:27" ht="15.6">
      <c r="A1" s="148"/>
      <c r="V1" s="514"/>
    </row>
    <row r="2" spans="1:27" ht="15.6">
      <c r="A2" s="148" t="s">
        <v>219</v>
      </c>
      <c r="V2" s="514"/>
    </row>
    <row r="3" spans="1:27" ht="15">
      <c r="A3" s="150"/>
      <c r="Y3" s="174"/>
    </row>
    <row r="4" spans="1:27" ht="21">
      <c r="A4" s="151" t="s">
        <v>4</v>
      </c>
      <c r="B4" s="152"/>
      <c r="F4" s="153" t="s">
        <v>29</v>
      </c>
      <c r="G4" s="154">
        <v>17</v>
      </c>
      <c r="H4" s="154" t="str">
        <f>+'1'!H4</f>
        <v>.03.26</v>
      </c>
      <c r="J4" s="149">
        <f>214+197+444</f>
        <v>855</v>
      </c>
      <c r="Z4" s="174"/>
      <c r="AA4" s="174"/>
    </row>
    <row r="5" spans="1:27" ht="13.8" thickBot="1">
      <c r="C5" s="155"/>
      <c r="D5" s="155"/>
    </row>
    <row r="6" spans="1:27"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584</v>
      </c>
      <c r="O6" s="149">
        <v>1225</v>
      </c>
      <c r="P6" s="149">
        <f>+O6-(O6*0.16)</f>
        <v>1029</v>
      </c>
      <c r="Q6" s="149">
        <f>60*7+45</f>
        <v>465</v>
      </c>
      <c r="R6" s="149">
        <f t="shared" ref="R6:R7" si="0">+O6*Q6</f>
        <v>569625</v>
      </c>
      <c r="S6" s="149">
        <f t="shared" ref="S6:S7" si="1">+P6*Q6</f>
        <v>478485</v>
      </c>
      <c r="V6" s="515"/>
    </row>
    <row r="7" spans="1:27" ht="13.5" customHeight="1" thickBot="1">
      <c r="A7" s="788" t="s">
        <v>387</v>
      </c>
      <c r="B7" s="213" t="s">
        <v>592</v>
      </c>
      <c r="C7" s="214">
        <v>12395</v>
      </c>
      <c r="D7" s="215"/>
      <c r="E7" s="216"/>
      <c r="F7" s="231"/>
      <c r="G7" s="553" t="s">
        <v>12</v>
      </c>
      <c r="H7" s="554" t="s">
        <v>417</v>
      </c>
      <c r="I7" s="791" t="s">
        <v>628</v>
      </c>
      <c r="J7" s="212" t="str">
        <f>+'16'!J7</f>
        <v>T 15 RC HW</v>
      </c>
      <c r="K7" s="233">
        <f>+C26+C17</f>
        <v>25103</v>
      </c>
      <c r="L7" s="237"/>
      <c r="M7" s="117">
        <f>+K7+'16'!M7+L7</f>
        <v>394103</v>
      </c>
      <c r="N7" s="149" t="s">
        <v>410</v>
      </c>
      <c r="O7" s="149">
        <v>1225</v>
      </c>
      <c r="P7" s="149">
        <f>+O7-(O7*0.23)</f>
        <v>943.25</v>
      </c>
      <c r="Q7" s="149">
        <f>480-Q6</f>
        <v>15</v>
      </c>
      <c r="R7" s="149">
        <f t="shared" si="0"/>
        <v>18375</v>
      </c>
      <c r="S7" s="149">
        <f t="shared" si="1"/>
        <v>14148.75</v>
      </c>
      <c r="V7" s="517"/>
      <c r="W7" s="518"/>
      <c r="X7" s="518"/>
      <c r="Y7" s="518"/>
    </row>
    <row r="8" spans="1:27" ht="13.8" thickBot="1">
      <c r="A8" s="789"/>
      <c r="B8" s="213"/>
      <c r="C8" s="214"/>
      <c r="D8" s="215"/>
      <c r="E8" s="217"/>
      <c r="F8" s="227"/>
      <c r="G8" s="555" t="s">
        <v>12</v>
      </c>
      <c r="H8" s="226" t="s">
        <v>419</v>
      </c>
      <c r="I8" s="792"/>
      <c r="J8" s="212" t="str">
        <f>+'16'!J8</f>
        <v>T 14,5 RC HW</v>
      </c>
      <c r="K8" s="234"/>
      <c r="L8" s="234"/>
      <c r="M8" s="117">
        <f>+K8+'16'!M8+L8</f>
        <v>206120</v>
      </c>
      <c r="Y8" s="516"/>
    </row>
    <row r="9" spans="1:27" ht="13.8" thickBot="1">
      <c r="A9" s="789"/>
      <c r="B9" s="213"/>
      <c r="C9" s="214"/>
      <c r="D9" s="215"/>
      <c r="E9" s="218"/>
      <c r="F9" s="227">
        <v>13</v>
      </c>
      <c r="G9" s="555" t="s">
        <v>12</v>
      </c>
      <c r="H9" s="229" t="s">
        <v>497</v>
      </c>
      <c r="I9" s="792"/>
      <c r="J9" s="212" t="str">
        <f>+'16'!J9</f>
        <v>T 14 RC HW</v>
      </c>
      <c r="K9" s="234"/>
      <c r="L9" s="234"/>
      <c r="M9" s="117">
        <f>+K9+'16'!M9+L9</f>
        <v>49646</v>
      </c>
      <c r="Z9" s="516"/>
      <c r="AA9" s="516"/>
    </row>
    <row r="10" spans="1:27" ht="79.8" thickBot="1">
      <c r="A10" s="789"/>
      <c r="B10" s="213"/>
      <c r="C10" s="214"/>
      <c r="D10" s="215"/>
      <c r="E10" s="217"/>
      <c r="F10" s="227"/>
      <c r="G10" s="225"/>
      <c r="H10" s="556" t="s">
        <v>624</v>
      </c>
      <c r="I10" s="792"/>
      <c r="J10" s="212" t="str">
        <f>+'16'!J10</f>
        <v>T 13,5 RC HW</v>
      </c>
      <c r="K10" s="234">
        <f>+C7+C16+C25</f>
        <v>26974</v>
      </c>
      <c r="L10" s="234"/>
      <c r="M10" s="117">
        <f>+K10+'16'!M10+L10</f>
        <v>196361</v>
      </c>
    </row>
    <row r="11" spans="1:27" ht="79.8" thickBot="1">
      <c r="A11" s="789"/>
      <c r="B11" s="213"/>
      <c r="C11" s="214"/>
      <c r="D11" s="215"/>
      <c r="E11" s="217"/>
      <c r="F11" s="224"/>
      <c r="G11" s="228"/>
      <c r="H11" s="229" t="s">
        <v>625</v>
      </c>
      <c r="I11" s="792"/>
      <c r="J11" s="212">
        <f>+'16'!J11</f>
        <v>0</v>
      </c>
      <c r="K11" s="234"/>
      <c r="L11" s="234"/>
      <c r="M11" s="117">
        <f>+K11+'16'!M11+L11</f>
        <v>0</v>
      </c>
    </row>
    <row r="12" spans="1:27" ht="13.8" thickBot="1">
      <c r="A12" s="789"/>
      <c r="B12" s="213"/>
      <c r="C12" s="214"/>
      <c r="D12" s="215"/>
      <c r="E12" s="217"/>
      <c r="F12" s="224"/>
      <c r="G12" s="228"/>
      <c r="H12" s="229"/>
      <c r="I12" s="792"/>
      <c r="J12" s="212">
        <f>+'16'!J12</f>
        <v>0</v>
      </c>
      <c r="K12" s="234"/>
      <c r="L12" s="234"/>
      <c r="M12" s="117">
        <f>+K12+'16'!M12+L12</f>
        <v>0</v>
      </c>
    </row>
    <row r="13" spans="1:27" ht="13.8" thickBot="1">
      <c r="A13" s="789"/>
      <c r="B13" s="213"/>
      <c r="C13" s="214"/>
      <c r="D13" s="214"/>
      <c r="E13" s="217"/>
      <c r="F13" s="224"/>
      <c r="G13" s="228"/>
      <c r="H13" s="229"/>
      <c r="I13" s="793"/>
      <c r="J13" s="212">
        <f>+'16'!J13</f>
        <v>0</v>
      </c>
      <c r="K13" s="234"/>
      <c r="L13" s="234"/>
      <c r="M13" s="117">
        <f>+K13+'16'!M13+L13</f>
        <v>0</v>
      </c>
      <c r="Q13" s="174">
        <f>SUM(Q6:Q12)</f>
        <v>480</v>
      </c>
      <c r="R13" s="174">
        <f>SUM(R6:R12)</f>
        <v>588000</v>
      </c>
      <c r="S13" s="174">
        <f>SUM(S6:S12)</f>
        <v>492633.75</v>
      </c>
    </row>
    <row r="14" spans="1:27" ht="13.8" thickBot="1">
      <c r="A14" s="790"/>
      <c r="B14" s="165" t="s">
        <v>3</v>
      </c>
      <c r="C14" s="99">
        <f>SUM(C7:C13)</f>
        <v>12395</v>
      </c>
      <c r="D14" s="111">
        <f>SUM(D7:D13)</f>
        <v>0</v>
      </c>
      <c r="E14" s="112">
        <f>SUM(E5:E13)</f>
        <v>0</v>
      </c>
      <c r="F14" s="116">
        <f>SUM(F7:F13)</f>
        <v>13</v>
      </c>
      <c r="G14" s="159"/>
      <c r="H14" s="166"/>
      <c r="I14" s="167"/>
      <c r="J14" s="212">
        <f>+'16'!J14</f>
        <v>0</v>
      </c>
      <c r="K14" s="234"/>
      <c r="L14" s="234"/>
      <c r="M14" s="117">
        <f>+K14+'16'!M14+L14</f>
        <v>0</v>
      </c>
      <c r="Q14" s="149">
        <f>480-Q13</f>
        <v>0</v>
      </c>
      <c r="R14" s="174">
        <f>+R13/Q13</f>
        <v>1225</v>
      </c>
      <c r="S14" s="174">
        <f>+S13/Q13</f>
        <v>1026.3203125</v>
      </c>
    </row>
    <row r="15" spans="1:27" ht="13.8" thickBot="1">
      <c r="A15" s="794" t="s">
        <v>428</v>
      </c>
      <c r="B15" s="513"/>
      <c r="C15" s="113">
        <f>C14/($C$23+$D$23+$E$23)</f>
        <v>0.62355367743233725</v>
      </c>
      <c r="D15" s="114">
        <f>D14/($C$23+$D$23+$E$23)</f>
        <v>0</v>
      </c>
      <c r="E15" s="115">
        <f>E14/($C$23+$D$23+$E$23)</f>
        <v>0</v>
      </c>
      <c r="F15" s="231"/>
      <c r="G15" s="553" t="s">
        <v>12</v>
      </c>
      <c r="H15" s="554" t="s">
        <v>417</v>
      </c>
      <c r="I15" s="791" t="s">
        <v>627</v>
      </c>
      <c r="J15" s="212">
        <f>+'16'!J15</f>
        <v>0</v>
      </c>
      <c r="K15" s="234"/>
      <c r="L15" s="234"/>
      <c r="M15" s="117">
        <f>+K15+'16'!M15+L15</f>
        <v>0</v>
      </c>
      <c r="N15" s="514"/>
    </row>
    <row r="16" spans="1:27" ht="13.8" thickBot="1">
      <c r="A16" s="789"/>
      <c r="B16" s="512" t="s">
        <v>592</v>
      </c>
      <c r="C16" s="511">
        <f>4834+451+8551</f>
        <v>13836</v>
      </c>
      <c r="D16" s="219"/>
      <c r="E16" s="220"/>
      <c r="F16" s="227">
        <v>4</v>
      </c>
      <c r="G16" s="555" t="s">
        <v>12</v>
      </c>
      <c r="H16" s="226" t="s">
        <v>630</v>
      </c>
      <c r="I16" s="792"/>
      <c r="J16" s="212">
        <f>+'16'!J16</f>
        <v>0</v>
      </c>
      <c r="K16" s="225"/>
      <c r="L16" s="225"/>
      <c r="M16" s="117">
        <f>+K16+'16'!M16+L16</f>
        <v>0</v>
      </c>
      <c r="N16" s="149" t="s">
        <v>410</v>
      </c>
      <c r="O16" s="149">
        <v>1180</v>
      </c>
      <c r="P16" s="149">
        <f t="shared" ref="P16:P19" si="2">+O16-(O16*0.23)</f>
        <v>908.59999999999991</v>
      </c>
      <c r="Q16" s="149">
        <v>60</v>
      </c>
      <c r="R16" s="149">
        <f t="shared" ref="R16" si="3">+O16*Q16</f>
        <v>70800</v>
      </c>
      <c r="S16" s="149">
        <f t="shared" ref="S16" si="4">+P16*Q16</f>
        <v>54515.999999999993</v>
      </c>
      <c r="U16" s="149" t="s">
        <v>410</v>
      </c>
      <c r="V16" s="149">
        <v>1225</v>
      </c>
      <c r="W16" s="149">
        <v>943.25</v>
      </c>
      <c r="X16" s="149">
        <v>15</v>
      </c>
      <c r="Y16" s="149">
        <f t="shared" ref="Y16" si="5">+V16*X16</f>
        <v>18375</v>
      </c>
      <c r="Z16" s="149">
        <f t="shared" ref="Z16" si="6">+W16*X16</f>
        <v>14148.75</v>
      </c>
    </row>
    <row r="17" spans="1:26" ht="13.8" thickBot="1">
      <c r="A17" s="789"/>
      <c r="B17" s="213" t="s">
        <v>430</v>
      </c>
      <c r="C17" s="214">
        <v>6042</v>
      </c>
      <c r="D17" s="215"/>
      <c r="E17" s="221"/>
      <c r="F17" s="227">
        <v>6</v>
      </c>
      <c r="G17" s="555" t="s">
        <v>12</v>
      </c>
      <c r="H17" s="229" t="s">
        <v>418</v>
      </c>
      <c r="I17" s="792"/>
      <c r="J17" s="212">
        <f>+'16'!J17</f>
        <v>0</v>
      </c>
      <c r="K17" s="225"/>
      <c r="L17" s="225"/>
      <c r="M17" s="117">
        <f>+K17+'16'!M17+L17</f>
        <v>0</v>
      </c>
      <c r="O17" s="149">
        <v>1160</v>
      </c>
      <c r="P17" s="149">
        <f t="shared" si="2"/>
        <v>893.2</v>
      </c>
      <c r="Q17" s="149">
        <v>30</v>
      </c>
      <c r="R17" s="149">
        <f t="shared" ref="R17:R19" si="7">+O17*Q17</f>
        <v>34800</v>
      </c>
      <c r="S17" s="149">
        <f t="shared" ref="S17:S19" si="8">+P17*Q17</f>
        <v>26796</v>
      </c>
      <c r="U17" s="149" t="s">
        <v>410</v>
      </c>
      <c r="V17" s="149">
        <v>1180</v>
      </c>
      <c r="W17" s="149">
        <v>908.59999999999991</v>
      </c>
      <c r="X17" s="149">
        <v>60</v>
      </c>
      <c r="Y17" s="149">
        <f t="shared" ref="Y17:Y21" si="9">+V17*X17</f>
        <v>70800</v>
      </c>
      <c r="Z17" s="149">
        <f t="shared" ref="Z17:Z21" si="10">+W17*X17</f>
        <v>54515.999999999993</v>
      </c>
    </row>
    <row r="18" spans="1:26" ht="53.4" thickBot="1">
      <c r="A18" s="789"/>
      <c r="B18" s="213"/>
      <c r="C18" s="214"/>
      <c r="D18" s="215"/>
      <c r="E18" s="221"/>
      <c r="F18" s="227"/>
      <c r="G18" s="225"/>
      <c r="H18" s="556" t="s">
        <v>622</v>
      </c>
      <c r="I18" s="792"/>
      <c r="J18" s="212">
        <f>+'16'!J18</f>
        <v>0</v>
      </c>
      <c r="K18" s="234"/>
      <c r="L18" s="234"/>
      <c r="M18" s="117">
        <f>+K18+'16'!M18+L18</f>
        <v>0</v>
      </c>
      <c r="O18" s="149">
        <v>1100</v>
      </c>
      <c r="P18" s="149">
        <f t="shared" si="2"/>
        <v>847</v>
      </c>
      <c r="Q18" s="149">
        <f>60-30</f>
        <v>30</v>
      </c>
      <c r="R18" s="149">
        <f t="shared" si="7"/>
        <v>33000</v>
      </c>
      <c r="S18" s="149">
        <f t="shared" si="8"/>
        <v>25410</v>
      </c>
      <c r="V18" s="149">
        <v>1160</v>
      </c>
      <c r="W18" s="149">
        <v>893.2</v>
      </c>
      <c r="X18" s="149">
        <v>30</v>
      </c>
      <c r="Y18" s="149">
        <f t="shared" si="9"/>
        <v>34800</v>
      </c>
      <c r="Z18" s="149">
        <f t="shared" si="10"/>
        <v>26796</v>
      </c>
    </row>
    <row r="19" spans="1:26" ht="119.4" thickBot="1">
      <c r="A19" s="789"/>
      <c r="B19" s="213"/>
      <c r="C19" s="214"/>
      <c r="D19" s="215"/>
      <c r="E19" s="221"/>
      <c r="F19" s="230"/>
      <c r="G19" s="228"/>
      <c r="H19" s="229" t="s">
        <v>623</v>
      </c>
      <c r="I19" s="792"/>
      <c r="J19" s="212">
        <f>+'16'!J19</f>
        <v>0</v>
      </c>
      <c r="K19" s="234"/>
      <c r="L19" s="234"/>
      <c r="M19" s="117">
        <f>+K19+'16'!M19+L19</f>
        <v>0</v>
      </c>
      <c r="O19" s="149">
        <v>1180</v>
      </c>
      <c r="P19" s="149">
        <f t="shared" si="2"/>
        <v>908.59999999999991</v>
      </c>
      <c r="Q19" s="149">
        <f>60*6</f>
        <v>360</v>
      </c>
      <c r="R19" s="149">
        <f t="shared" si="7"/>
        <v>424800</v>
      </c>
      <c r="S19" s="149">
        <f t="shared" si="8"/>
        <v>327095.99999999994</v>
      </c>
      <c r="V19" s="149">
        <v>1100</v>
      </c>
      <c r="W19" s="149">
        <v>847</v>
      </c>
      <c r="X19" s="149">
        <v>30</v>
      </c>
      <c r="Y19" s="149">
        <f t="shared" si="9"/>
        <v>33000</v>
      </c>
      <c r="Z19" s="149">
        <f t="shared" si="10"/>
        <v>25410</v>
      </c>
    </row>
    <row r="20" spans="1:26" ht="13.8" thickBot="1">
      <c r="A20" s="789"/>
      <c r="B20" s="213"/>
      <c r="C20" s="214"/>
      <c r="D20" s="215"/>
      <c r="E20" s="221"/>
      <c r="F20" s="224"/>
      <c r="G20" s="228"/>
      <c r="H20" s="229"/>
      <c r="I20" s="792"/>
      <c r="J20" s="212">
        <f>+'16'!J20</f>
        <v>0</v>
      </c>
      <c r="K20" s="235"/>
      <c r="L20" s="235"/>
      <c r="M20" s="117">
        <f>+K20+'16'!M20+L20</f>
        <v>0</v>
      </c>
      <c r="V20" s="149">
        <v>1180</v>
      </c>
      <c r="W20" s="149">
        <v>908.59999999999991</v>
      </c>
      <c r="X20" s="149">
        <v>360</v>
      </c>
      <c r="Y20" s="149">
        <f t="shared" si="9"/>
        <v>424800</v>
      </c>
      <c r="Z20" s="149">
        <f t="shared" si="10"/>
        <v>327095.99999999994</v>
      </c>
    </row>
    <row r="21" spans="1:26" ht="13.8" thickBot="1">
      <c r="A21" s="789"/>
      <c r="B21" s="213"/>
      <c r="C21" s="214"/>
      <c r="D21" s="215"/>
      <c r="E21" s="221"/>
      <c r="F21" s="227"/>
      <c r="G21" s="228"/>
      <c r="H21" s="229"/>
      <c r="I21" s="792"/>
      <c r="J21" s="212">
        <f>+'16'!J21</f>
        <v>0</v>
      </c>
      <c r="K21" s="234"/>
      <c r="L21" s="234"/>
      <c r="M21" s="117">
        <f>+K21+'16'!M21+L21</f>
        <v>0</v>
      </c>
      <c r="U21" s="149" t="s">
        <v>410</v>
      </c>
      <c r="V21" s="149">
        <v>1180</v>
      </c>
      <c r="W21" s="149">
        <v>908.59999999999991</v>
      </c>
      <c r="X21" s="149">
        <v>480</v>
      </c>
      <c r="Y21" s="149">
        <f t="shared" si="9"/>
        <v>566400</v>
      </c>
      <c r="Z21" s="149">
        <f t="shared" si="10"/>
        <v>436127.99999999994</v>
      </c>
    </row>
    <row r="22" spans="1:26" ht="13.8" thickBot="1">
      <c r="A22" s="789"/>
      <c r="B22" s="213"/>
      <c r="C22" s="214"/>
      <c r="D22" s="215"/>
      <c r="E22" s="221"/>
      <c r="F22" s="231"/>
      <c r="G22" s="228"/>
      <c r="H22" s="229"/>
      <c r="I22" s="793"/>
      <c r="J22" s="212">
        <f>+'16'!J22</f>
        <v>0</v>
      </c>
      <c r="K22" s="234"/>
      <c r="L22" s="234"/>
      <c r="M22" s="117">
        <f>+K22+'16'!M22+L22</f>
        <v>0</v>
      </c>
    </row>
    <row r="23" spans="1:26" ht="13.8" thickBot="1">
      <c r="A23" s="790"/>
      <c r="B23" s="165" t="s">
        <v>3</v>
      </c>
      <c r="C23" s="99">
        <f>SUM(C16:C22)</f>
        <v>19878</v>
      </c>
      <c r="D23" s="111">
        <f>SUM(D16:D22)</f>
        <v>0</v>
      </c>
      <c r="E23" s="112">
        <f>SUM(E18:E22)</f>
        <v>0</v>
      </c>
      <c r="F23" s="116">
        <f>SUM(F15:F22)</f>
        <v>10</v>
      </c>
      <c r="G23" s="159"/>
      <c r="H23" s="166"/>
      <c r="I23" s="168"/>
      <c r="J23" s="212">
        <f>+'16'!J23</f>
        <v>0</v>
      </c>
      <c r="K23" s="234"/>
      <c r="L23" s="234"/>
      <c r="M23" s="117">
        <f>+K23+'16'!M23+L23</f>
        <v>0</v>
      </c>
      <c r="Q23" s="174">
        <f>SUM(Q16:Q22)</f>
        <v>480</v>
      </c>
      <c r="R23" s="174">
        <f>SUM(R16:R22)</f>
        <v>563400</v>
      </c>
      <c r="S23" s="174">
        <f>SUM(S16:S22)</f>
        <v>433817.99999999994</v>
      </c>
      <c r="X23" s="174">
        <f>SUM(X16:X22)</f>
        <v>975</v>
      </c>
      <c r="Y23" s="174">
        <f>SUM(Y16:Y22)</f>
        <v>1148175</v>
      </c>
      <c r="Z23" s="174">
        <f>SUM(Z16:Z22)</f>
        <v>884094.74999999988</v>
      </c>
    </row>
    <row r="24" spans="1:26" ht="13.8" thickBot="1">
      <c r="A24" s="794" t="s">
        <v>429</v>
      </c>
      <c r="B24" s="513"/>
      <c r="C24" s="113">
        <f>C23/($C$23+$D$23+$E$23)</f>
        <v>1</v>
      </c>
      <c r="D24" s="114">
        <f>D23/($C$23+$D$23+$E$23)</f>
        <v>0</v>
      </c>
      <c r="E24" s="115">
        <f>E23/($C$23+$D$23+$E$23)</f>
        <v>0</v>
      </c>
      <c r="F24" s="231"/>
      <c r="G24" s="553" t="s">
        <v>12</v>
      </c>
      <c r="H24" s="554" t="s">
        <v>417</v>
      </c>
      <c r="I24" s="791" t="s">
        <v>626</v>
      </c>
      <c r="J24" s="212">
        <f>+'16'!J24</f>
        <v>0</v>
      </c>
      <c r="K24" s="234"/>
      <c r="L24" s="234"/>
      <c r="M24" s="117">
        <f>+K24+'16'!M24+L24</f>
        <v>0</v>
      </c>
      <c r="Q24" s="149">
        <f>480-Q23</f>
        <v>0</v>
      </c>
      <c r="R24" s="174">
        <f>+R23/Q23</f>
        <v>1173.75</v>
      </c>
      <c r="S24" s="174">
        <f>+S23/Q23</f>
        <v>903.78749999999991</v>
      </c>
      <c r="X24" s="149">
        <f>480-X23</f>
        <v>-495</v>
      </c>
      <c r="Y24" s="174">
        <f>+Y23/X23</f>
        <v>1177.6153846153845</v>
      </c>
      <c r="Z24" s="174">
        <f>+Z23/X23</f>
        <v>906.76384615384609</v>
      </c>
    </row>
    <row r="25" spans="1:26" ht="13.8" thickBot="1">
      <c r="A25" s="789"/>
      <c r="B25" s="512" t="s">
        <v>592</v>
      </c>
      <c r="C25" s="222">
        <f>40+703</f>
        <v>743</v>
      </c>
      <c r="D25" s="215">
        <v>710</v>
      </c>
      <c r="E25" s="221"/>
      <c r="F25" s="227"/>
      <c r="G25" s="555" t="s">
        <v>12</v>
      </c>
      <c r="H25" s="226" t="s">
        <v>419</v>
      </c>
      <c r="I25" s="792"/>
      <c r="J25" s="212">
        <f>+'16'!J25</f>
        <v>0</v>
      </c>
      <c r="K25" s="234"/>
      <c r="L25" s="234"/>
      <c r="M25" s="117">
        <f>+K25+'16'!M25+L25</f>
        <v>0</v>
      </c>
      <c r="N25" s="149" t="s">
        <v>410</v>
      </c>
      <c r="O25" s="149">
        <v>1180</v>
      </c>
      <c r="P25" s="149">
        <f t="shared" ref="P25" si="11">+O25-(O25*0.23)</f>
        <v>908.59999999999991</v>
      </c>
      <c r="Q25" s="149">
        <v>480</v>
      </c>
      <c r="R25" s="149">
        <f t="shared" ref="R25" si="12">+O25*Q25</f>
        <v>566400</v>
      </c>
      <c r="S25" s="149">
        <f t="shared" ref="S25" si="13">+P25*Q25</f>
        <v>436127.99999999994</v>
      </c>
    </row>
    <row r="26" spans="1:26" ht="13.8" thickBot="1">
      <c r="A26" s="789"/>
      <c r="B26" s="213" t="s">
        <v>430</v>
      </c>
      <c r="C26" s="222">
        <v>19061</v>
      </c>
      <c r="D26" s="215"/>
      <c r="E26" s="223"/>
      <c r="F26" s="227">
        <v>10</v>
      </c>
      <c r="G26" s="555" t="s">
        <v>12</v>
      </c>
      <c r="H26" s="229" t="s">
        <v>415</v>
      </c>
      <c r="I26" s="792"/>
      <c r="J26" s="212">
        <f>+'16'!J26</f>
        <v>0</v>
      </c>
      <c r="K26" s="234"/>
      <c r="L26" s="234"/>
      <c r="M26" s="117">
        <f>+K26+'16'!M26+L26</f>
        <v>0</v>
      </c>
    </row>
    <row r="27" spans="1:26" ht="53.4" thickBot="1">
      <c r="A27" s="789"/>
      <c r="B27" s="213"/>
      <c r="C27" s="214"/>
      <c r="D27" s="215"/>
      <c r="E27" s="221"/>
      <c r="F27" s="227"/>
      <c r="G27" s="225"/>
      <c r="H27" s="556" t="s">
        <v>620</v>
      </c>
      <c r="I27" s="792"/>
      <c r="J27" s="212">
        <f>+'16'!J27</f>
        <v>0</v>
      </c>
      <c r="K27" s="234"/>
      <c r="L27" s="234"/>
      <c r="M27" s="117">
        <f>+K27+'16'!M27+L27</f>
        <v>0</v>
      </c>
    </row>
    <row r="28" spans="1:26" ht="53.4" thickBot="1">
      <c r="A28" s="789"/>
      <c r="B28" s="213"/>
      <c r="C28" s="214"/>
      <c r="D28" s="215"/>
      <c r="E28" s="221"/>
      <c r="F28" s="227"/>
      <c r="G28" s="225"/>
      <c r="H28" s="229" t="s">
        <v>621</v>
      </c>
      <c r="I28" s="792"/>
      <c r="J28" s="212">
        <f>+'16'!J28</f>
        <v>0</v>
      </c>
      <c r="K28" s="234"/>
      <c r="L28" s="234"/>
      <c r="M28" s="117">
        <f>+K28+'16'!M28+L28</f>
        <v>0</v>
      </c>
    </row>
    <row r="29" spans="1:26" ht="13.8" thickBot="1">
      <c r="A29" s="789"/>
      <c r="B29" s="213"/>
      <c r="C29" s="214"/>
      <c r="D29" s="215"/>
      <c r="E29" s="221"/>
      <c r="F29" s="231"/>
      <c r="G29" s="228"/>
      <c r="H29" s="229"/>
      <c r="I29" s="792"/>
      <c r="J29" s="212">
        <f>+'16'!J29</f>
        <v>0</v>
      </c>
      <c r="K29" s="234"/>
      <c r="L29" s="234"/>
      <c r="M29" s="117">
        <f>+K29+'16'!M29+L29</f>
        <v>0</v>
      </c>
    </row>
    <row r="30" spans="1:26" ht="13.8" thickBot="1">
      <c r="A30" s="789"/>
      <c r="B30" s="213"/>
      <c r="C30" s="222"/>
      <c r="D30" s="215"/>
      <c r="E30" s="221"/>
      <c r="F30" s="231"/>
      <c r="G30" s="228"/>
      <c r="H30" s="229"/>
      <c r="I30" s="792"/>
      <c r="J30" s="212">
        <f>+'16'!J30</f>
        <v>0</v>
      </c>
      <c r="K30" s="234"/>
      <c r="L30" s="234"/>
      <c r="M30" s="117">
        <f>+K30+'16'!M30+L30</f>
        <v>0</v>
      </c>
    </row>
    <row r="31" spans="1:26" ht="13.8" thickBot="1">
      <c r="A31" s="789"/>
      <c r="B31" s="213"/>
      <c r="C31" s="222"/>
      <c r="D31" s="215"/>
      <c r="E31" s="221"/>
      <c r="F31" s="231"/>
      <c r="G31" s="232"/>
      <c r="H31" s="404"/>
      <c r="I31" s="793"/>
      <c r="J31" s="212">
        <f>+'16'!J31</f>
        <v>0</v>
      </c>
      <c r="K31" s="234"/>
      <c r="L31" s="234"/>
      <c r="M31" s="117">
        <f>+K31+'16'!M31+L31</f>
        <v>0</v>
      </c>
    </row>
    <row r="32" spans="1:26" ht="13.8" thickBot="1">
      <c r="A32" s="790"/>
      <c r="B32" s="165" t="s">
        <v>3</v>
      </c>
      <c r="C32" s="99">
        <f>SUM(C25:C31)</f>
        <v>19804</v>
      </c>
      <c r="D32" s="100">
        <f>SUM(D25:D31)</f>
        <v>710</v>
      </c>
      <c r="E32" s="101">
        <f>SUM(E25:E31)</f>
        <v>0</v>
      </c>
      <c r="F32" s="99">
        <f>SUM(F24:F31)</f>
        <v>10</v>
      </c>
      <c r="G32" s="169"/>
      <c r="H32" s="170"/>
      <c r="I32" s="168"/>
      <c r="J32" s="212">
        <f>+'16'!J32</f>
        <v>0</v>
      </c>
      <c r="K32" s="236"/>
      <c r="L32" s="238"/>
      <c r="M32" s="117">
        <f>+K32+'16'!M32+L32</f>
        <v>0</v>
      </c>
      <c r="Q32" s="174">
        <f>SUM(Q25:Q31)</f>
        <v>480</v>
      </c>
      <c r="R32" s="174">
        <f>SUM(R25:R31)</f>
        <v>566400</v>
      </c>
      <c r="S32" s="174">
        <f>SUM(S25:S31)</f>
        <v>436127.99999999994</v>
      </c>
    </row>
    <row r="33" spans="1:19" ht="13.8" thickBot="1">
      <c r="A33" s="171"/>
      <c r="B33" s="172"/>
      <c r="C33" s="103">
        <f>C32/($C$32+$D$32+$E$32)</f>
        <v>0.96538949010431896</v>
      </c>
      <c r="D33" s="104">
        <f>D32/($C$32+$D$32+$E$32)</f>
        <v>3.4610509895680999E-2</v>
      </c>
      <c r="E33" s="105">
        <f>E32/($C$32+$D$32+$E$32)</f>
        <v>0</v>
      </c>
      <c r="F33" s="106"/>
      <c r="G33" s="173"/>
      <c r="H33" s="174"/>
      <c r="I33" s="175"/>
      <c r="J33" s="121"/>
      <c r="K33" s="122"/>
      <c r="L33" s="211"/>
      <c r="M33" s="119"/>
      <c r="Q33" s="149">
        <f>480-Q32</f>
        <v>0</v>
      </c>
      <c r="R33" s="174">
        <f>+R32/Q32</f>
        <v>1180</v>
      </c>
      <c r="S33" s="174">
        <f>+S32/Q32</f>
        <v>908.59999999999991</v>
      </c>
    </row>
    <row r="34" spans="1:19" ht="13.8" thickBot="1">
      <c r="A34" s="795" t="s">
        <v>68</v>
      </c>
      <c r="B34" s="796"/>
      <c r="C34" s="107">
        <f>C14+C23+C32</f>
        <v>52077</v>
      </c>
      <c r="D34" s="107">
        <f>D14+D23+D32</f>
        <v>710</v>
      </c>
      <c r="E34" s="107">
        <f>E14+E23+E32</f>
        <v>0</v>
      </c>
      <c r="F34" s="108">
        <f>F14+F23+F32</f>
        <v>33</v>
      </c>
      <c r="H34" s="176"/>
      <c r="I34" s="176"/>
      <c r="J34" s="123" t="s">
        <v>28</v>
      </c>
      <c r="K34" s="124">
        <f>SUM(K7:K32)</f>
        <v>52077</v>
      </c>
      <c r="L34" s="210">
        <f>SUM(L7:L32)</f>
        <v>0</v>
      </c>
      <c r="M34" s="120">
        <f>SUM(M7:M32)</f>
        <v>846230</v>
      </c>
      <c r="N34" s="155"/>
    </row>
    <row r="35" spans="1:19" ht="13.8" thickBot="1">
      <c r="A35" s="177"/>
      <c r="B35" s="178"/>
      <c r="C35" s="104">
        <f>C34/($C$34+$D$34+$E$34)</f>
        <v>0.98654971868073582</v>
      </c>
      <c r="D35" s="104">
        <f>D34/($C$34+$D$34+$E$34)</f>
        <v>1.3450281319264212E-2</v>
      </c>
      <c r="E35" s="109">
        <f>E34/($C$34+$D$34+$E$34)</f>
        <v>0</v>
      </c>
      <c r="K35" s="155"/>
      <c r="N35" s="149" t="s">
        <v>584</v>
      </c>
      <c r="O35" s="149">
        <v>1225</v>
      </c>
      <c r="P35" s="149">
        <v>1029</v>
      </c>
      <c r="Q35" s="149">
        <v>465</v>
      </c>
    </row>
    <row r="36" spans="1:19" ht="13.8" thickBot="1">
      <c r="A36" s="176"/>
      <c r="B36" s="176"/>
      <c r="C36" s="155"/>
      <c r="D36" s="155"/>
      <c r="E36" s="155"/>
      <c r="G36" s="155"/>
      <c r="H36" s="179"/>
      <c r="I36" s="162" t="s">
        <v>37</v>
      </c>
      <c r="J36" s="162" t="s">
        <v>38</v>
      </c>
      <c r="K36" s="180"/>
      <c r="N36" s="149" t="s">
        <v>410</v>
      </c>
      <c r="O36" s="149">
        <v>1177.6153846153845</v>
      </c>
      <c r="P36" s="149">
        <v>906.76384615384609</v>
      </c>
      <c r="Q36" s="149">
        <v>975</v>
      </c>
    </row>
    <row r="37" spans="1:19" ht="17.399999999999999" customHeight="1" thickBot="1">
      <c r="A37" s="797" t="s">
        <v>69</v>
      </c>
      <c r="B37" s="798"/>
      <c r="C37" s="162" t="s">
        <v>70</v>
      </c>
      <c r="D37" s="181" t="s">
        <v>71</v>
      </c>
      <c r="E37" s="182" t="s">
        <v>72</v>
      </c>
      <c r="F37" s="304"/>
      <c r="G37" s="306"/>
      <c r="H37" s="184" t="s">
        <v>73</v>
      </c>
      <c r="I37" s="239">
        <f>(13.5*465+15*975)/1440*G42*2.7*1440/1000000</f>
        <v>53.402481045703126</v>
      </c>
      <c r="J37" s="125">
        <f>+I37+'16'!J37</f>
        <v>881.48356331706145</v>
      </c>
      <c r="K37" s="126" t="s">
        <v>74</v>
      </c>
      <c r="Q37" s="149">
        <f>+Q35+Q36</f>
        <v>1440</v>
      </c>
    </row>
    <row r="38" spans="1:19" ht="17.399999999999999" customHeight="1">
      <c r="A38" s="799" t="s">
        <v>12</v>
      </c>
      <c r="B38" s="800"/>
      <c r="C38" s="164">
        <f>SUMIF($G$7:$G$31,"Process",$F$7:$F$31)</f>
        <v>33</v>
      </c>
      <c r="D38" s="118">
        <f>C38+'16'!D38</f>
        <v>456</v>
      </c>
      <c r="E38" s="143">
        <f t="shared" ref="E38:E52" si="14">D38/60</f>
        <v>7.6</v>
      </c>
      <c r="F38" s="304">
        <v>1225</v>
      </c>
      <c r="G38" s="304">
        <v>1026.3203125</v>
      </c>
      <c r="H38" s="185" t="s">
        <v>75</v>
      </c>
      <c r="I38" s="240">
        <f>18.22+16.458+14.82</f>
        <v>49.497999999999998</v>
      </c>
      <c r="J38" s="127">
        <f>+I38+'16'!J38</f>
        <v>853.86000000000013</v>
      </c>
      <c r="K38" s="128" t="s">
        <v>74</v>
      </c>
    </row>
    <row r="39" spans="1:19" ht="17.399999999999999" customHeight="1">
      <c r="A39" s="786" t="s">
        <v>13</v>
      </c>
      <c r="B39" s="787"/>
      <c r="C39" s="164">
        <f>SUMIF($G$7:$G$31,"Cleaning",$F$7:$F$31)</f>
        <v>0</v>
      </c>
      <c r="D39" s="118">
        <f>C39+'16'!D39</f>
        <v>0</v>
      </c>
      <c r="E39" s="143">
        <f t="shared" si="14"/>
        <v>0</v>
      </c>
      <c r="F39" s="304">
        <v>1173.75</v>
      </c>
      <c r="G39" s="304">
        <v>903.78749999999991</v>
      </c>
      <c r="H39" s="185" t="s">
        <v>76</v>
      </c>
      <c r="I39" s="142"/>
      <c r="J39" s="129">
        <f>J37/G4</f>
        <v>51.85197431276832</v>
      </c>
      <c r="K39" s="130" t="s">
        <v>74</v>
      </c>
    </row>
    <row r="40" spans="1:19" ht="17.399999999999999" customHeight="1">
      <c r="A40" s="786" t="s">
        <v>77</v>
      </c>
      <c r="B40" s="787"/>
      <c r="C40" s="164">
        <f>SUMIF($G$7:$G$31,"Mechanical",$F$7:$F$31)</f>
        <v>0</v>
      </c>
      <c r="D40" s="118">
        <f>C40+'16'!D40</f>
        <v>0</v>
      </c>
      <c r="E40" s="143">
        <f t="shared" si="14"/>
        <v>0</v>
      </c>
      <c r="F40" s="304">
        <v>1180</v>
      </c>
      <c r="G40" s="304">
        <v>908.59999999999991</v>
      </c>
      <c r="H40" s="185" t="s">
        <v>78</v>
      </c>
      <c r="I40" s="118">
        <f>(K34+L34)/1000</f>
        <v>52.076999999999998</v>
      </c>
      <c r="J40" s="131">
        <f>+I40+'16'!J40</f>
        <v>846.23</v>
      </c>
      <c r="K40" s="130" t="s">
        <v>74</v>
      </c>
    </row>
    <row r="41" spans="1:19" ht="17.399999999999999" customHeight="1">
      <c r="A41" s="786" t="s">
        <v>79</v>
      </c>
      <c r="B41" s="787"/>
      <c r="C41" s="164">
        <f>SUMIF($G$7:$G$31,"Electrical",$F$7:$F$31)</f>
        <v>0</v>
      </c>
      <c r="D41" s="118">
        <f>C41+'16'!D41</f>
        <v>0</v>
      </c>
      <c r="E41" s="143">
        <f t="shared" si="14"/>
        <v>0</v>
      </c>
      <c r="F41" s="304"/>
      <c r="G41" s="304"/>
      <c r="H41" s="185" t="s">
        <v>80</v>
      </c>
      <c r="I41" s="142"/>
      <c r="J41" s="129">
        <f>J40/G4</f>
        <v>49.77823529411765</v>
      </c>
      <c r="K41" s="130" t="s">
        <v>74</v>
      </c>
    </row>
    <row r="42" spans="1:19" ht="17.399999999999999" customHeight="1">
      <c r="A42" s="786" t="s">
        <v>16</v>
      </c>
      <c r="B42" s="787"/>
      <c r="C42" s="164">
        <f>SUMIF($G$7:$G$31,"Instrument",$F$7:$F$31)</f>
        <v>0</v>
      </c>
      <c r="D42" s="118">
        <f>C42+'16'!D42</f>
        <v>0</v>
      </c>
      <c r="E42" s="143">
        <f t="shared" si="14"/>
        <v>0</v>
      </c>
      <c r="F42" s="183">
        <f>+(F38*480+F39*480+F40*480)/1440</f>
        <v>1192.9166666666667</v>
      </c>
      <c r="G42" s="183">
        <f>+(G38*480+G39*480+G40*480)/1440</f>
        <v>946.23593749999998</v>
      </c>
      <c r="H42" s="185" t="s">
        <v>81</v>
      </c>
      <c r="I42" s="241" t="s">
        <v>629</v>
      </c>
      <c r="J42" s="132"/>
      <c r="K42" s="130" t="s">
        <v>82</v>
      </c>
    </row>
    <row r="43" spans="1:19" ht="17.399999999999999" customHeight="1">
      <c r="A43" s="786" t="s">
        <v>83</v>
      </c>
      <c r="B43" s="787"/>
      <c r="C43" s="164">
        <f>SUMIF($G$7:$G$31,"Water",$F$7:$F$31)</f>
        <v>0</v>
      </c>
      <c r="D43" s="118">
        <f>C43+'16'!D43</f>
        <v>0</v>
      </c>
      <c r="E43" s="143">
        <f t="shared" si="14"/>
        <v>0</v>
      </c>
      <c r="F43" s="304"/>
      <c r="G43" s="305"/>
      <c r="H43" s="186" t="s">
        <v>84</v>
      </c>
      <c r="I43" s="118">
        <f>+Report1!Z25</f>
        <v>94.7</v>
      </c>
      <c r="J43" s="133">
        <f>+I43+'16'!J43</f>
        <v>1619.12</v>
      </c>
      <c r="K43" s="130" t="s">
        <v>74</v>
      </c>
      <c r="L43" s="187"/>
    </row>
    <row r="44" spans="1:19" ht="17.399999999999999" customHeight="1">
      <c r="A44" s="786" t="s">
        <v>17</v>
      </c>
      <c r="B44" s="787"/>
      <c r="C44" s="164">
        <f>SUMIF($G$7:$G$31,"PLN",$F$7:$F$31)</f>
        <v>0</v>
      </c>
      <c r="D44" s="118">
        <f>C44+'16'!D44</f>
        <v>0</v>
      </c>
      <c r="E44" s="143">
        <f t="shared" si="14"/>
        <v>0</v>
      </c>
      <c r="F44" s="304"/>
      <c r="G44" s="305"/>
      <c r="H44" s="186" t="s">
        <v>85</v>
      </c>
      <c r="I44" s="118">
        <f>I43/I38</f>
        <v>1.9132086144894744</v>
      </c>
      <c r="J44" s="134">
        <f>J43/J38</f>
        <v>1.8962359168950409</v>
      </c>
      <c r="K44" s="130" t="s">
        <v>74</v>
      </c>
    </row>
    <row r="45" spans="1:19" ht="17.399999999999999" customHeight="1">
      <c r="A45" s="786" t="s">
        <v>18</v>
      </c>
      <c r="B45" s="787"/>
      <c r="C45" s="164">
        <f>SUMIF($G$7:$G$31,"Boiler",$F$7:$F$31)</f>
        <v>0</v>
      </c>
      <c r="D45" s="118">
        <f>C45+'16'!D45</f>
        <v>0</v>
      </c>
      <c r="E45" s="143">
        <f t="shared" si="14"/>
        <v>0</v>
      </c>
      <c r="F45" s="304"/>
      <c r="G45" s="307"/>
      <c r="H45" s="186" t="s">
        <v>86</v>
      </c>
      <c r="I45" s="118">
        <f>I43/I40</f>
        <v>1.8184611248727847</v>
      </c>
      <c r="J45" s="134">
        <f>J43/J40</f>
        <v>1.9133332545525445</v>
      </c>
      <c r="K45" s="130" t="s">
        <v>74</v>
      </c>
    </row>
    <row r="46" spans="1:19" ht="17.399999999999999" customHeight="1">
      <c r="A46" s="786" t="s">
        <v>87</v>
      </c>
      <c r="B46" s="787"/>
      <c r="C46" s="164">
        <f>SUMIF($G$7:$G$31,"Gas",$F$7:$F$31)</f>
        <v>0</v>
      </c>
      <c r="D46" s="118">
        <f>C46+'16'!D46</f>
        <v>0</v>
      </c>
      <c r="E46" s="143">
        <f t="shared" si="14"/>
        <v>0</v>
      </c>
      <c r="F46" s="304"/>
      <c r="G46" s="305"/>
      <c r="H46" s="186" t="s">
        <v>88</v>
      </c>
      <c r="I46" s="140">
        <f>+SUMIF(Listrik!X24,"&gt;0")</f>
        <v>42800.329344031605</v>
      </c>
      <c r="J46" s="135">
        <f>+I46+'16'!J46</f>
        <v>655962.4786971932</v>
      </c>
      <c r="K46" s="130" t="s">
        <v>89</v>
      </c>
    </row>
    <row r="47" spans="1:19" ht="17.399999999999999" customHeight="1">
      <c r="A47" s="786" t="s">
        <v>90</v>
      </c>
      <c r="B47" s="787"/>
      <c r="C47" s="164">
        <f>SUMIF($G$7:$G$31,"Gas",$F$7:$F$31)</f>
        <v>0</v>
      </c>
      <c r="D47" s="118">
        <f>C47+'16'!D47</f>
        <v>0</v>
      </c>
      <c r="E47" s="143">
        <f t="shared" si="14"/>
        <v>0</v>
      </c>
      <c r="F47" s="304"/>
      <c r="G47" s="305"/>
      <c r="H47" s="186" t="s">
        <v>91</v>
      </c>
      <c r="I47" s="118">
        <f>I46/I38</f>
        <v>864.68805495235381</v>
      </c>
      <c r="J47" s="135">
        <f>J46/J38</f>
        <v>768.23188660575863</v>
      </c>
      <c r="K47" s="130" t="s">
        <v>24</v>
      </c>
    </row>
    <row r="48" spans="1:19" ht="17.399999999999999" customHeight="1">
      <c r="A48" s="786" t="s">
        <v>14</v>
      </c>
      <c r="B48" s="787"/>
      <c r="C48" s="164">
        <f>SUMIF($G$7:$G$31,"Start Up",$F$7:$F$31)</f>
        <v>0</v>
      </c>
      <c r="D48" s="118">
        <f>C48+'16'!D48</f>
        <v>0</v>
      </c>
      <c r="E48" s="143">
        <f t="shared" si="14"/>
        <v>0</v>
      </c>
      <c r="F48" s="304"/>
      <c r="G48" s="305"/>
      <c r="H48" s="186" t="s">
        <v>92</v>
      </c>
      <c r="I48" s="118">
        <f>I46/I40</f>
        <v>821.8662623429077</v>
      </c>
      <c r="J48" s="135">
        <f>J46/J40</f>
        <v>775.1586196390972</v>
      </c>
      <c r="K48" s="130" t="s">
        <v>24</v>
      </c>
    </row>
    <row r="49" spans="1:11" ht="17.399999999999999" customHeight="1">
      <c r="A49" s="786" t="s">
        <v>20</v>
      </c>
      <c r="B49" s="787"/>
      <c r="C49" s="164">
        <f>SUMIF($G$7:$G$31,"Others",$F$7:$F$31)</f>
        <v>0</v>
      </c>
      <c r="D49" s="118">
        <f>C49+'16'!D49</f>
        <v>1072</v>
      </c>
      <c r="E49" s="143">
        <f t="shared" si="14"/>
        <v>17.866666666666667</v>
      </c>
      <c r="F49" s="183"/>
      <c r="H49" s="186" t="s">
        <v>269</v>
      </c>
      <c r="I49" s="118">
        <f>+Report1!T25</f>
        <v>4765.5035633156649</v>
      </c>
      <c r="J49" s="135">
        <f>+I49+'16'!J49</f>
        <v>61505.071555260387</v>
      </c>
      <c r="K49" s="130" t="s">
        <v>93</v>
      </c>
    </row>
    <row r="50" spans="1:11" ht="17.399999999999999" customHeight="1">
      <c r="A50" s="786" t="s">
        <v>19</v>
      </c>
      <c r="B50" s="787"/>
      <c r="C50" s="164">
        <f>SUMIF($G$7:$G$31,"Steam",$F$7:$F$31)</f>
        <v>0</v>
      </c>
      <c r="D50" s="118">
        <f>C50+'16'!D50</f>
        <v>0</v>
      </c>
      <c r="E50" s="143">
        <f t="shared" si="14"/>
        <v>0</v>
      </c>
      <c r="F50" s="183"/>
      <c r="H50" s="186" t="s">
        <v>94</v>
      </c>
      <c r="I50" s="140">
        <f>I49/I38</f>
        <v>96.276689226143787</v>
      </c>
      <c r="J50" s="133">
        <f>J49/J38</f>
        <v>72.031798603120393</v>
      </c>
      <c r="K50" s="130" t="s">
        <v>93</v>
      </c>
    </row>
    <row r="51" spans="1:11" ht="17.399999999999999" customHeight="1">
      <c r="A51" s="803" t="s">
        <v>95</v>
      </c>
      <c r="B51" s="803"/>
      <c r="C51" s="164">
        <f>SUMIF($G$7:$G$31,"Planned shut",$F$7:$F$31)</f>
        <v>0</v>
      </c>
      <c r="D51" s="118">
        <f>C51+'16'!D51</f>
        <v>0</v>
      </c>
      <c r="E51" s="143">
        <f t="shared" si="14"/>
        <v>0</v>
      </c>
      <c r="F51" s="183"/>
      <c r="H51" s="188" t="s">
        <v>96</v>
      </c>
      <c r="I51" s="141">
        <f>I49/I40</f>
        <v>91.508795885240417</v>
      </c>
      <c r="J51" s="136">
        <f>J49/J40</f>
        <v>72.681270523687871</v>
      </c>
      <c r="K51" s="137" t="s">
        <v>93</v>
      </c>
    </row>
    <row r="52" spans="1:11" ht="13.8" thickBot="1">
      <c r="A52" s="804" t="s">
        <v>218</v>
      </c>
      <c r="B52" s="805"/>
      <c r="C52" s="164">
        <f>SUMIF($G$7:$G$31,"Change Grade",$F$7:$F$31)</f>
        <v>0</v>
      </c>
      <c r="D52" s="118">
        <f>C52+'16'!D52</f>
        <v>0</v>
      </c>
      <c r="E52" s="143">
        <f t="shared" si="14"/>
        <v>0</v>
      </c>
      <c r="F52" s="183"/>
      <c r="H52" s="189"/>
      <c r="I52" s="190"/>
      <c r="J52" s="138"/>
      <c r="K52" s="139"/>
    </row>
    <row r="53" spans="1:11">
      <c r="A53" s="799" t="s">
        <v>28</v>
      </c>
      <c r="B53" s="800"/>
      <c r="C53" s="144">
        <f>SUM(C38:C52)</f>
        <v>33</v>
      </c>
      <c r="D53" s="144">
        <f>SUM(D38:D52)</f>
        <v>1528</v>
      </c>
      <c r="E53" s="145">
        <f>SUM(E38:E52)</f>
        <v>25.466666666666669</v>
      </c>
      <c r="F53" s="183"/>
    </row>
    <row r="54" spans="1:11" ht="13.8" thickBot="1">
      <c r="A54" s="801"/>
      <c r="B54" s="802"/>
      <c r="C54" s="146">
        <f>C53/(24*60)</f>
        <v>2.2916666666666665E-2</v>
      </c>
      <c r="D54" s="146">
        <f>D53/(24*60*G4)</f>
        <v>6.2418300653594772E-2</v>
      </c>
      <c r="E54" s="147">
        <f>E53/(G4*24)</f>
        <v>6.2418300653594778E-2</v>
      </c>
      <c r="F54" s="183"/>
    </row>
    <row r="55" spans="1:11">
      <c r="E55" s="191"/>
    </row>
    <row r="56" spans="1:11">
      <c r="A56" s="192" t="s">
        <v>97</v>
      </c>
      <c r="B56" s="193"/>
      <c r="C56" s="194"/>
      <c r="D56" s="194"/>
      <c r="E56" s="194"/>
      <c r="F56" s="195"/>
      <c r="G56" s="194"/>
      <c r="H56" s="196"/>
      <c r="I56" s="197" t="s">
        <v>98</v>
      </c>
      <c r="J56" s="198">
        <f>+D34+'16'!J56</f>
        <v>710</v>
      </c>
      <c r="K56" s="199">
        <f>J56/(J40+J56/1000)/1000</f>
        <v>8.3831204099463956E-4</v>
      </c>
    </row>
    <row r="57" spans="1:11">
      <c r="A57" s="174"/>
      <c r="I57" s="197" t="s">
        <v>99</v>
      </c>
      <c r="J57" s="198">
        <f>+E34+'16'!J57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2:B52"/>
    <mergeCell ref="A53:B53"/>
    <mergeCell ref="A47:B47"/>
    <mergeCell ref="A48:B48"/>
    <mergeCell ref="A49:B49"/>
    <mergeCell ref="A50:B50"/>
    <mergeCell ref="A51:B51"/>
    <mergeCell ref="A42:B42"/>
    <mergeCell ref="A43:B43"/>
    <mergeCell ref="A44:B44"/>
    <mergeCell ref="A45:B45"/>
    <mergeCell ref="A46:B46"/>
    <mergeCell ref="A41:B41"/>
    <mergeCell ref="A7:A14"/>
    <mergeCell ref="I7:I13"/>
    <mergeCell ref="A15:A23"/>
    <mergeCell ref="I15:I22"/>
    <mergeCell ref="A34:B34"/>
    <mergeCell ref="A37:B37"/>
    <mergeCell ref="A38:B38"/>
    <mergeCell ref="I24:I31"/>
    <mergeCell ref="A24:A32"/>
    <mergeCell ref="A39:B39"/>
    <mergeCell ref="A40:B40"/>
  </mergeCells>
  <phoneticPr fontId="31"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B61"/>
  <sheetViews>
    <sheetView view="pageBreakPreview" zoomScale="80" zoomScaleNormal="80" zoomScaleSheetLayoutView="80" workbookViewId="0">
      <selection activeCell="A7" sqref="A7:A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2.109375" style="149" customWidth="1"/>
    <col min="14" max="16384" width="9.109375" style="149"/>
  </cols>
  <sheetData>
    <row r="1" spans="1:28" ht="15.6">
      <c r="A1" s="148"/>
      <c r="W1" s="514"/>
    </row>
    <row r="2" spans="1:28" ht="15.6">
      <c r="A2" s="148" t="s">
        <v>219</v>
      </c>
    </row>
    <row r="3" spans="1:28" ht="15">
      <c r="A3" s="150"/>
    </row>
    <row r="4" spans="1:28" ht="21">
      <c r="A4" s="151" t="s">
        <v>4</v>
      </c>
      <c r="B4" s="152"/>
      <c r="F4" s="153" t="s">
        <v>29</v>
      </c>
      <c r="G4" s="154">
        <v>16</v>
      </c>
      <c r="H4" s="154" t="str">
        <f>+'1'!H4</f>
        <v>.03.26</v>
      </c>
      <c r="J4" s="149">
        <f>411+419+419</f>
        <v>1249</v>
      </c>
      <c r="W4" s="532"/>
    </row>
    <row r="5" spans="1:28" ht="13.8" thickBot="1">
      <c r="C5" s="155"/>
      <c r="D5" s="155"/>
      <c r="W5" s="514"/>
    </row>
    <row r="6" spans="1:28"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584</v>
      </c>
      <c r="O6" s="149">
        <v>1225</v>
      </c>
      <c r="P6" s="149">
        <f>+O6-(O6*0.18)</f>
        <v>1004.5</v>
      </c>
      <c r="Q6" s="149">
        <v>480</v>
      </c>
      <c r="R6" s="149">
        <f t="shared" ref="R6:R8" si="0">+O6*Q6</f>
        <v>588000</v>
      </c>
      <c r="S6" s="149">
        <f t="shared" ref="S6:S8" si="1">+P6*Q6</f>
        <v>482160</v>
      </c>
      <c r="Z6" s="174"/>
    </row>
    <row r="7" spans="1:28" ht="13.5" customHeight="1" thickBot="1">
      <c r="A7" s="788" t="s">
        <v>387</v>
      </c>
      <c r="B7" s="214" t="s">
        <v>592</v>
      </c>
      <c r="C7" s="214">
        <v>16851</v>
      </c>
      <c r="D7" s="215"/>
      <c r="E7" s="216"/>
      <c r="F7" s="231"/>
      <c r="G7" s="553" t="s">
        <v>12</v>
      </c>
      <c r="H7" s="554" t="s">
        <v>417</v>
      </c>
      <c r="I7" s="791" t="s">
        <v>618</v>
      </c>
      <c r="J7" s="212" t="str">
        <f>+'15'!J7</f>
        <v>T 15 RC HW</v>
      </c>
      <c r="K7" s="233"/>
      <c r="L7" s="237"/>
      <c r="M7" s="117">
        <f>+K7+'15'!M7+L7</f>
        <v>369000</v>
      </c>
      <c r="O7" s="149">
        <v>1225</v>
      </c>
      <c r="P7" s="149">
        <f t="shared" ref="P7:P8" si="2">+O7-(O7*0.16)</f>
        <v>1029</v>
      </c>
      <c r="Q7" s="149">
        <v>480</v>
      </c>
      <c r="R7" s="149">
        <f t="shared" si="0"/>
        <v>588000</v>
      </c>
      <c r="S7" s="149">
        <f t="shared" si="1"/>
        <v>493920</v>
      </c>
      <c r="AA7" s="174"/>
      <c r="AB7" s="174"/>
    </row>
    <row r="8" spans="1:28" ht="13.8" thickBot="1">
      <c r="A8" s="789"/>
      <c r="B8" s="213"/>
      <c r="C8" s="214"/>
      <c r="D8" s="215"/>
      <c r="E8" s="217"/>
      <c r="F8" s="227"/>
      <c r="G8" s="555" t="s">
        <v>12</v>
      </c>
      <c r="H8" s="226" t="s">
        <v>419</v>
      </c>
      <c r="I8" s="792"/>
      <c r="J8" s="212" t="str">
        <f>+'15'!J8</f>
        <v>T 14,5 RC HW</v>
      </c>
      <c r="K8" s="234"/>
      <c r="L8" s="234"/>
      <c r="M8" s="117">
        <f>+K8+'15'!M8+L8</f>
        <v>206120</v>
      </c>
      <c r="O8" s="149">
        <v>1225</v>
      </c>
      <c r="P8" s="149">
        <f t="shared" si="2"/>
        <v>1029</v>
      </c>
      <c r="Q8" s="149">
        <v>480</v>
      </c>
      <c r="R8" s="149">
        <f t="shared" si="0"/>
        <v>588000</v>
      </c>
      <c r="S8" s="149">
        <f t="shared" si="1"/>
        <v>493920</v>
      </c>
    </row>
    <row r="9" spans="1:28" ht="13.8" thickBot="1">
      <c r="A9" s="789"/>
      <c r="B9" s="213"/>
      <c r="C9" s="214"/>
      <c r="D9" s="215"/>
      <c r="E9" s="218"/>
      <c r="F9" s="227">
        <v>8</v>
      </c>
      <c r="G9" s="555" t="s">
        <v>12</v>
      </c>
      <c r="H9" s="229" t="s">
        <v>418</v>
      </c>
      <c r="I9" s="792"/>
      <c r="J9" s="212" t="str">
        <f>+'15'!J9</f>
        <v>T 14 RC HW</v>
      </c>
      <c r="K9" s="234"/>
      <c r="L9" s="234"/>
      <c r="M9" s="117">
        <f>+K9+'15'!M9+L9</f>
        <v>49646</v>
      </c>
    </row>
    <row r="10" spans="1:28" ht="53.4" thickBot="1">
      <c r="A10" s="789"/>
      <c r="B10" s="213"/>
      <c r="C10" s="214"/>
      <c r="D10" s="215"/>
      <c r="E10" s="217"/>
      <c r="F10" s="227"/>
      <c r="G10" s="225"/>
      <c r="H10" s="556" t="s">
        <v>617</v>
      </c>
      <c r="I10" s="792"/>
      <c r="J10" s="212" t="str">
        <f>+'15'!J10</f>
        <v>T 13,5 RC HW</v>
      </c>
      <c r="K10" s="234">
        <f>+C34</f>
        <v>50436</v>
      </c>
      <c r="L10" s="234"/>
      <c r="M10" s="117">
        <f>+K10+'15'!M10+L10</f>
        <v>169387</v>
      </c>
    </row>
    <row r="11" spans="1:28" ht="27" thickBot="1">
      <c r="A11" s="789"/>
      <c r="B11" s="213"/>
      <c r="C11" s="214"/>
      <c r="D11" s="215"/>
      <c r="E11" s="217"/>
      <c r="F11" s="224"/>
      <c r="G11" s="228"/>
      <c r="H11" s="229" t="s">
        <v>616</v>
      </c>
      <c r="I11" s="792"/>
      <c r="J11" s="212">
        <f>+'15'!J11</f>
        <v>0</v>
      </c>
      <c r="K11" s="234"/>
      <c r="L11" s="234"/>
      <c r="M11" s="117">
        <f>+K11+'15'!M11+L11</f>
        <v>0</v>
      </c>
    </row>
    <row r="12" spans="1:28" ht="13.8" thickBot="1">
      <c r="A12" s="789"/>
      <c r="B12" s="213"/>
      <c r="C12" s="214"/>
      <c r="D12" s="215"/>
      <c r="E12" s="217"/>
      <c r="F12" s="224"/>
      <c r="G12" s="228"/>
      <c r="H12" s="229"/>
      <c r="I12" s="792"/>
      <c r="J12" s="212">
        <f>+'15'!J12</f>
        <v>0</v>
      </c>
      <c r="K12" s="234"/>
      <c r="L12" s="234"/>
      <c r="M12" s="117">
        <f>+K12+'15'!M12+L12</f>
        <v>0</v>
      </c>
    </row>
    <row r="13" spans="1:28" ht="13.8" thickBot="1">
      <c r="A13" s="789"/>
      <c r="B13" s="213"/>
      <c r="C13" s="214"/>
      <c r="D13" s="214"/>
      <c r="E13" s="217"/>
      <c r="F13" s="224"/>
      <c r="G13" s="228"/>
      <c r="H13" s="229"/>
      <c r="I13" s="793"/>
      <c r="J13" s="212">
        <f>+'15'!J13</f>
        <v>0</v>
      </c>
      <c r="K13" s="234"/>
      <c r="L13" s="234"/>
      <c r="M13" s="117">
        <f>+K13+'15'!M13+L13</f>
        <v>0</v>
      </c>
      <c r="Q13" s="174">
        <f>SUM(Q6:Q12)</f>
        <v>1440</v>
      </c>
      <c r="R13" s="174">
        <f>SUM(R6:R12)</f>
        <v>1764000</v>
      </c>
      <c r="S13" s="174">
        <f>SUM(S6:S12)</f>
        <v>1470000</v>
      </c>
    </row>
    <row r="14" spans="1:28" ht="13.8" thickBot="1">
      <c r="A14" s="790"/>
      <c r="B14" s="165" t="s">
        <v>3</v>
      </c>
      <c r="C14" s="99">
        <f>SUM(C7:C13)</f>
        <v>16851</v>
      </c>
      <c r="D14" s="111">
        <f>SUM(D7:D13)</f>
        <v>0</v>
      </c>
      <c r="E14" s="112">
        <f>SUM(E5:E13)</f>
        <v>0</v>
      </c>
      <c r="F14" s="116">
        <f>SUM(F7:F13)</f>
        <v>8</v>
      </c>
      <c r="G14" s="159"/>
      <c r="H14" s="166"/>
      <c r="I14" s="167"/>
      <c r="J14" s="212">
        <f>+'15'!J14</f>
        <v>0</v>
      </c>
      <c r="K14" s="234"/>
      <c r="L14" s="234"/>
      <c r="M14" s="117">
        <f>+K14+'15'!M14+L14</f>
        <v>0</v>
      </c>
      <c r="Q14" s="149">
        <f>480-Q13</f>
        <v>-960</v>
      </c>
      <c r="R14" s="174">
        <f>+R13/Q13</f>
        <v>1225</v>
      </c>
      <c r="S14" s="174">
        <f>+S13/Q13</f>
        <v>1020.8333333333334</v>
      </c>
    </row>
    <row r="15" spans="1:28" ht="13.8" thickBot="1">
      <c r="A15" s="794" t="s">
        <v>390</v>
      </c>
      <c r="B15" s="513"/>
      <c r="C15" s="113">
        <f>C14/($C$23+$D$23+$E$23)</f>
        <v>0.77287529239095543</v>
      </c>
      <c r="D15" s="114">
        <f>D14/($C$23+$D$23+$E$23)</f>
        <v>0</v>
      </c>
      <c r="E15" s="115">
        <f>E14/($C$23+$D$23+$E$23)</f>
        <v>0</v>
      </c>
      <c r="F15" s="231"/>
      <c r="G15" s="553" t="s">
        <v>12</v>
      </c>
      <c r="H15" s="554" t="s">
        <v>417</v>
      </c>
      <c r="I15" s="791" t="s">
        <v>585</v>
      </c>
      <c r="J15" s="212">
        <f>+'15'!J15</f>
        <v>0</v>
      </c>
      <c r="K15" s="234"/>
      <c r="L15" s="234"/>
      <c r="M15" s="117">
        <f>+K15+'15'!M15+L15</f>
        <v>0</v>
      </c>
    </row>
    <row r="16" spans="1:28" ht="13.8" thickBot="1">
      <c r="A16" s="789"/>
      <c r="B16" s="512" t="s">
        <v>592</v>
      </c>
      <c r="C16" s="511">
        <v>21803</v>
      </c>
      <c r="D16" s="219"/>
      <c r="E16" s="220"/>
      <c r="F16" s="227"/>
      <c r="G16" s="555" t="s">
        <v>12</v>
      </c>
      <c r="H16" s="226" t="s">
        <v>419</v>
      </c>
      <c r="I16" s="792"/>
      <c r="J16" s="212">
        <f>+'15'!J16</f>
        <v>0</v>
      </c>
      <c r="K16" s="234"/>
      <c r="L16" s="225"/>
      <c r="M16" s="117">
        <f>+K16+'15'!M16+L16</f>
        <v>0</v>
      </c>
      <c r="N16" s="514"/>
      <c r="O16" s="174"/>
      <c r="P16" s="174"/>
      <c r="Q16" s="174"/>
    </row>
    <row r="17" spans="1:19" ht="13.8" thickBot="1">
      <c r="A17" s="789"/>
      <c r="B17" s="213"/>
      <c r="C17" s="214"/>
      <c r="D17" s="215"/>
      <c r="E17" s="221"/>
      <c r="F17" s="227">
        <v>5</v>
      </c>
      <c r="G17" s="555" t="s">
        <v>12</v>
      </c>
      <c r="H17" s="229" t="s">
        <v>418</v>
      </c>
      <c r="I17" s="792"/>
      <c r="J17" s="212">
        <f>+'15'!J17</f>
        <v>0</v>
      </c>
      <c r="K17" s="225"/>
      <c r="L17" s="225"/>
      <c r="M17" s="117">
        <f>+K17+'15'!M17+L17</f>
        <v>0</v>
      </c>
    </row>
    <row r="18" spans="1:19" ht="66.599999999999994" thickBot="1">
      <c r="A18" s="789"/>
      <c r="B18" s="213"/>
      <c r="C18" s="214"/>
      <c r="D18" s="215"/>
      <c r="E18" s="221"/>
      <c r="F18" s="227"/>
      <c r="G18" s="225"/>
      <c r="H18" s="556" t="s">
        <v>614</v>
      </c>
      <c r="I18" s="792"/>
      <c r="J18" s="212">
        <f>+'15'!J18</f>
        <v>0</v>
      </c>
      <c r="K18" s="234"/>
      <c r="L18" s="234"/>
      <c r="M18" s="117">
        <f>+K18+'15'!M18+L18</f>
        <v>0</v>
      </c>
    </row>
    <row r="19" spans="1:19" ht="66.599999999999994" thickBot="1">
      <c r="A19" s="789"/>
      <c r="B19" s="213"/>
      <c r="C19" s="214"/>
      <c r="D19" s="215"/>
      <c r="E19" s="221"/>
      <c r="F19" s="230"/>
      <c r="G19" s="228"/>
      <c r="H19" s="229" t="s">
        <v>615</v>
      </c>
      <c r="I19" s="792"/>
      <c r="J19" s="212">
        <f>+'15'!J19</f>
        <v>0</v>
      </c>
      <c r="K19" s="234"/>
      <c r="L19" s="234"/>
      <c r="M19" s="117">
        <f>+K19+'15'!M19+L19</f>
        <v>0</v>
      </c>
    </row>
    <row r="20" spans="1:19" ht="13.8" thickBot="1">
      <c r="A20" s="789"/>
      <c r="B20" s="213"/>
      <c r="C20" s="214"/>
      <c r="D20" s="215"/>
      <c r="E20" s="221"/>
      <c r="F20" s="224"/>
      <c r="G20" s="228"/>
      <c r="H20" s="229"/>
      <c r="I20" s="792"/>
      <c r="J20" s="212">
        <f>+'15'!J20</f>
        <v>0</v>
      </c>
      <c r="K20" s="235"/>
      <c r="L20" s="235"/>
      <c r="M20" s="117">
        <f>+K20+'15'!M20+L20</f>
        <v>0</v>
      </c>
    </row>
    <row r="21" spans="1:19" ht="13.8" thickBot="1">
      <c r="A21" s="789"/>
      <c r="B21" s="213"/>
      <c r="C21" s="214"/>
      <c r="D21" s="215"/>
      <c r="E21" s="221"/>
      <c r="F21" s="227"/>
      <c r="G21" s="228"/>
      <c r="H21" s="229"/>
      <c r="I21" s="792"/>
      <c r="J21" s="212">
        <f>+'15'!J21</f>
        <v>0</v>
      </c>
      <c r="K21" s="234"/>
      <c r="L21" s="234"/>
      <c r="M21" s="117">
        <f>+K21+'15'!M21+L21</f>
        <v>0</v>
      </c>
    </row>
    <row r="22" spans="1:19" ht="13.8" thickBot="1">
      <c r="A22" s="789"/>
      <c r="B22" s="213"/>
      <c r="C22" s="214"/>
      <c r="D22" s="215"/>
      <c r="E22" s="221"/>
      <c r="F22" s="231"/>
      <c r="G22" s="228"/>
      <c r="H22" s="229"/>
      <c r="I22" s="793"/>
      <c r="J22" s="212">
        <f>+'15'!J22</f>
        <v>0</v>
      </c>
      <c r="K22" s="234"/>
      <c r="L22" s="234"/>
      <c r="M22" s="117">
        <f>+K22+'15'!M22+L22</f>
        <v>0</v>
      </c>
    </row>
    <row r="23" spans="1:19" ht="13.8" thickBot="1">
      <c r="A23" s="790"/>
      <c r="B23" s="165" t="s">
        <v>3</v>
      </c>
      <c r="C23" s="99">
        <f>SUM(C16:C22)</f>
        <v>21803</v>
      </c>
      <c r="D23" s="111">
        <f>SUM(D16:D22)</f>
        <v>0</v>
      </c>
      <c r="E23" s="112">
        <f>SUM(E18:E22)</f>
        <v>0</v>
      </c>
      <c r="F23" s="116">
        <f>SUM(F15:F22)</f>
        <v>5</v>
      </c>
      <c r="G23" s="159"/>
      <c r="H23" s="166"/>
      <c r="I23" s="168"/>
      <c r="J23" s="212">
        <f>+'15'!J23</f>
        <v>0</v>
      </c>
      <c r="K23" s="234"/>
      <c r="L23" s="234"/>
      <c r="M23" s="117">
        <f>+K23+'15'!M23+L23</f>
        <v>0</v>
      </c>
    </row>
    <row r="24" spans="1:19" ht="13.8" thickBot="1">
      <c r="A24" s="794" t="s">
        <v>429</v>
      </c>
      <c r="B24" s="513"/>
      <c r="C24" s="113">
        <f>C23/($C$23+$D$23+$E$23)</f>
        <v>1</v>
      </c>
      <c r="D24" s="114">
        <f>D23/($C$23+$D$23+$E$23)</f>
        <v>0</v>
      </c>
      <c r="E24" s="115">
        <f>E23/($C$23+$D$23+$E$23)</f>
        <v>0</v>
      </c>
      <c r="F24" s="231"/>
      <c r="G24" s="553" t="s">
        <v>12</v>
      </c>
      <c r="H24" s="554" t="s">
        <v>417</v>
      </c>
      <c r="I24" s="791" t="s">
        <v>585</v>
      </c>
      <c r="J24" s="212">
        <f>+'15'!J24</f>
        <v>0</v>
      </c>
      <c r="K24" s="234"/>
      <c r="L24" s="234"/>
      <c r="M24" s="117">
        <f>+K24+'15'!M24+L24</f>
        <v>0</v>
      </c>
      <c r="N24" s="514"/>
    </row>
    <row r="25" spans="1:19" ht="13.8" thickBot="1">
      <c r="A25" s="789"/>
      <c r="B25" s="512" t="s">
        <v>592</v>
      </c>
      <c r="C25" s="222">
        <v>11782</v>
      </c>
      <c r="D25" s="215"/>
      <c r="E25" s="221"/>
      <c r="F25" s="227"/>
      <c r="G25" s="555" t="s">
        <v>12</v>
      </c>
      <c r="H25" s="226" t="s">
        <v>419</v>
      </c>
      <c r="I25" s="792"/>
      <c r="J25" s="212">
        <f>+'15'!J25</f>
        <v>0</v>
      </c>
      <c r="K25" s="234"/>
      <c r="L25" s="234"/>
      <c r="M25" s="117">
        <f>+K25+'15'!M25+L25</f>
        <v>0</v>
      </c>
      <c r="N25" s="534"/>
      <c r="O25" s="535"/>
      <c r="P25" s="535"/>
      <c r="Q25" s="535"/>
    </row>
    <row r="26" spans="1:19" ht="13.8" thickBot="1">
      <c r="A26" s="789"/>
      <c r="B26" s="213"/>
      <c r="C26" s="222"/>
      <c r="D26" s="215"/>
      <c r="E26" s="223"/>
      <c r="F26" s="227">
        <v>12</v>
      </c>
      <c r="G26" s="555" t="s">
        <v>12</v>
      </c>
      <c r="H26" s="229" t="s">
        <v>418</v>
      </c>
      <c r="I26" s="792"/>
      <c r="J26" s="212">
        <f>+'15'!J26</f>
        <v>0</v>
      </c>
      <c r="K26" s="234"/>
      <c r="L26" s="234"/>
      <c r="M26" s="117">
        <f>+K26+'15'!M26+L26</f>
        <v>0</v>
      </c>
      <c r="Q26" s="174"/>
    </row>
    <row r="27" spans="1:19" ht="53.4" thickBot="1">
      <c r="A27" s="789"/>
      <c r="B27" s="213"/>
      <c r="C27" s="214"/>
      <c r="D27" s="215"/>
      <c r="E27" s="221"/>
      <c r="F27" s="227"/>
      <c r="G27" s="225"/>
      <c r="H27" s="556" t="s">
        <v>612</v>
      </c>
      <c r="I27" s="792"/>
      <c r="J27" s="212">
        <f>+'15'!J27</f>
        <v>0</v>
      </c>
      <c r="K27" s="234"/>
      <c r="L27" s="234"/>
      <c r="M27" s="117">
        <f>+K27+'15'!M27+L27</f>
        <v>0</v>
      </c>
      <c r="R27" s="174"/>
      <c r="S27" s="174"/>
    </row>
    <row r="28" spans="1:19" ht="53.4" thickBot="1">
      <c r="A28" s="789"/>
      <c r="B28" s="213"/>
      <c r="C28" s="214"/>
      <c r="D28" s="215"/>
      <c r="E28" s="221"/>
      <c r="F28" s="227"/>
      <c r="G28" s="225"/>
      <c r="H28" s="229" t="s">
        <v>613</v>
      </c>
      <c r="I28" s="792"/>
      <c r="J28" s="212">
        <f>+'15'!J28</f>
        <v>0</v>
      </c>
      <c r="K28" s="234"/>
      <c r="L28" s="234"/>
      <c r="M28" s="117">
        <f>+K28+'15'!M28+L28</f>
        <v>0</v>
      </c>
    </row>
    <row r="29" spans="1:19" ht="13.8" thickBot="1">
      <c r="A29" s="789"/>
      <c r="B29" s="213"/>
      <c r="C29" s="214"/>
      <c r="D29" s="215"/>
      <c r="E29" s="221"/>
      <c r="F29" s="231"/>
      <c r="G29" s="228"/>
      <c r="H29" s="229"/>
      <c r="I29" s="792"/>
      <c r="J29" s="212">
        <f>+'15'!J29</f>
        <v>0</v>
      </c>
      <c r="K29" s="234"/>
      <c r="L29" s="234"/>
      <c r="M29" s="117">
        <f>+K29+'15'!M29+L29</f>
        <v>0</v>
      </c>
    </row>
    <row r="30" spans="1:19" ht="13.8" thickBot="1">
      <c r="A30" s="789"/>
      <c r="B30" s="213"/>
      <c r="C30" s="222"/>
      <c r="D30" s="215"/>
      <c r="E30" s="221"/>
      <c r="F30" s="231"/>
      <c r="G30" s="228"/>
      <c r="H30" s="229"/>
      <c r="I30" s="792"/>
      <c r="J30" s="212">
        <f>+'15'!J30</f>
        <v>0</v>
      </c>
      <c r="K30" s="234"/>
      <c r="L30" s="234"/>
      <c r="M30" s="117">
        <f>+K30+'15'!M30+L30</f>
        <v>0</v>
      </c>
      <c r="N30" s="155"/>
    </row>
    <row r="31" spans="1:19" ht="13.8" thickBot="1">
      <c r="A31" s="789"/>
      <c r="B31" s="213"/>
      <c r="C31" s="222"/>
      <c r="D31" s="215"/>
      <c r="E31" s="221"/>
      <c r="F31" s="231"/>
      <c r="G31" s="232"/>
      <c r="H31" s="404"/>
      <c r="I31" s="793"/>
      <c r="J31" s="212">
        <f>+'15'!J31</f>
        <v>0</v>
      </c>
      <c r="K31" s="234"/>
      <c r="L31" s="234"/>
      <c r="M31" s="117">
        <f>+K31+'15'!M31+L31</f>
        <v>0</v>
      </c>
    </row>
    <row r="32" spans="1:19" ht="13.8" thickBot="1">
      <c r="A32" s="790"/>
      <c r="B32" s="165" t="s">
        <v>3</v>
      </c>
      <c r="C32" s="99">
        <f>SUM(C25:C31)</f>
        <v>11782</v>
      </c>
      <c r="D32" s="100">
        <f>SUM(D25:D31)</f>
        <v>0</v>
      </c>
      <c r="E32" s="101">
        <f>SUM(E25:E31)</f>
        <v>0</v>
      </c>
      <c r="F32" s="99">
        <f>SUM(F24:F31)</f>
        <v>12</v>
      </c>
      <c r="G32" s="169"/>
      <c r="H32" s="170"/>
      <c r="I32" s="168"/>
      <c r="J32" s="212">
        <f>+'15'!J32</f>
        <v>0</v>
      </c>
      <c r="K32" s="236"/>
      <c r="L32" s="238"/>
      <c r="M32" s="117">
        <f>+K32+'15'!M32+L32</f>
        <v>0</v>
      </c>
    </row>
    <row r="33" spans="1:14" ht="13.8" thickBot="1">
      <c r="A33" s="171"/>
      <c r="B33" s="172"/>
      <c r="C33" s="103">
        <f>C32/($C$32+$D$32+$E$32)</f>
        <v>1</v>
      </c>
      <c r="D33" s="104">
        <f>D32/($C$32+$D$32+$E$32)</f>
        <v>0</v>
      </c>
      <c r="E33" s="105">
        <f>E32/($C$32+$D$32+$E$32)</f>
        <v>0</v>
      </c>
      <c r="F33" s="106"/>
      <c r="G33" s="173"/>
      <c r="H33" s="174"/>
      <c r="I33" s="175"/>
      <c r="J33" s="121"/>
      <c r="K33" s="122"/>
      <c r="L33" s="211"/>
      <c r="M33" s="119"/>
    </row>
    <row r="34" spans="1:14" ht="13.8" thickBot="1">
      <c r="A34" s="795" t="s">
        <v>68</v>
      </c>
      <c r="B34" s="796"/>
      <c r="C34" s="107">
        <f>C14+C23+C32</f>
        <v>50436</v>
      </c>
      <c r="D34" s="107">
        <f>D14+D23+D32</f>
        <v>0</v>
      </c>
      <c r="E34" s="107">
        <f>E14+E23+E32</f>
        <v>0</v>
      </c>
      <c r="F34" s="108">
        <f>F14+F23+F32</f>
        <v>25</v>
      </c>
      <c r="H34" s="176"/>
      <c r="I34" s="176"/>
      <c r="J34" s="123" t="s">
        <v>28</v>
      </c>
      <c r="K34" s="124">
        <f>SUM(K7:K32)</f>
        <v>50436</v>
      </c>
      <c r="L34" s="210">
        <f>SUM(L7:L32)</f>
        <v>0</v>
      </c>
      <c r="M34" s="120">
        <f>SUM(M7:M32)</f>
        <v>794153</v>
      </c>
      <c r="N34" s="155"/>
    </row>
    <row r="35" spans="1:14" ht="13.8" thickBot="1">
      <c r="A35" s="177"/>
      <c r="B35" s="178"/>
      <c r="C35" s="104">
        <f>C34/($C$34+$D$34+$E$34)</f>
        <v>1</v>
      </c>
      <c r="D35" s="104">
        <f>D34/($C$34+$D$34+$E$34)</f>
        <v>0</v>
      </c>
      <c r="E35" s="109">
        <f>E34/($C$34+$D$34+$E$34)</f>
        <v>0</v>
      </c>
      <c r="K35" s="155"/>
    </row>
    <row r="36" spans="1:14" ht="13.8" thickBot="1">
      <c r="A36" s="176"/>
      <c r="B36" s="176"/>
      <c r="C36" s="155"/>
      <c r="D36" s="155"/>
      <c r="E36" s="155"/>
      <c r="G36" s="155"/>
      <c r="H36" s="179"/>
      <c r="I36" s="162" t="s">
        <v>37</v>
      </c>
      <c r="J36" s="162" t="s">
        <v>38</v>
      </c>
      <c r="K36" s="180"/>
    </row>
    <row r="37" spans="1:14" ht="17.399999999999999" customHeight="1" thickBot="1">
      <c r="A37" s="797" t="s">
        <v>69</v>
      </c>
      <c r="B37" s="798"/>
      <c r="C37" s="162" t="s">
        <v>70</v>
      </c>
      <c r="D37" s="181" t="s">
        <v>71</v>
      </c>
      <c r="E37" s="182" t="s">
        <v>72</v>
      </c>
      <c r="F37" s="304"/>
      <c r="G37" s="306"/>
      <c r="H37" s="184" t="s">
        <v>73</v>
      </c>
      <c r="I37" s="239">
        <f>(13.5*1440)/1440*G42*2.7*1440/1000000</f>
        <v>53.581499999999998</v>
      </c>
      <c r="J37" s="125">
        <f>+I37+'15'!J37</f>
        <v>828.08108227135835</v>
      </c>
      <c r="K37" s="126" t="s">
        <v>74</v>
      </c>
    </row>
    <row r="38" spans="1:14" ht="17.399999999999999" customHeight="1">
      <c r="A38" s="799" t="s">
        <v>12</v>
      </c>
      <c r="B38" s="800"/>
      <c r="C38" s="164">
        <f>SUMIF($G$7:$G$31,"Process",$F$7:$F$31)</f>
        <v>25</v>
      </c>
      <c r="D38" s="118">
        <f>C38+'15'!D38</f>
        <v>423</v>
      </c>
      <c r="E38" s="143">
        <f t="shared" ref="E38:E52" si="3">D38/60</f>
        <v>7.05</v>
      </c>
      <c r="F38" s="304">
        <v>1225</v>
      </c>
      <c r="G38" s="304">
        <v>1004.5</v>
      </c>
      <c r="H38" s="185" t="s">
        <v>75</v>
      </c>
      <c r="I38" s="240">
        <f>16.136+17.21+16.489</f>
        <v>49.835000000000008</v>
      </c>
      <c r="J38" s="127">
        <f>+I38+'15'!J38</f>
        <v>804.36200000000008</v>
      </c>
      <c r="K38" s="128" t="s">
        <v>74</v>
      </c>
    </row>
    <row r="39" spans="1:14" ht="17.399999999999999" customHeight="1">
      <c r="A39" s="786" t="s">
        <v>13</v>
      </c>
      <c r="B39" s="787"/>
      <c r="C39" s="164">
        <f>SUMIF($G$7:$G$31,"Cleaning",$F$7:$F$31)</f>
        <v>0</v>
      </c>
      <c r="D39" s="118">
        <f>C39+'15'!D39</f>
        <v>0</v>
      </c>
      <c r="E39" s="143">
        <f t="shared" si="3"/>
        <v>0</v>
      </c>
      <c r="F39" s="304">
        <v>1225</v>
      </c>
      <c r="G39" s="304">
        <v>1029</v>
      </c>
      <c r="H39" s="185" t="s">
        <v>76</v>
      </c>
      <c r="I39" s="142"/>
      <c r="J39" s="129">
        <f>J37/G4</f>
        <v>51.755067641959897</v>
      </c>
      <c r="K39" s="130" t="s">
        <v>74</v>
      </c>
    </row>
    <row r="40" spans="1:14" ht="17.399999999999999" customHeight="1">
      <c r="A40" s="786" t="s">
        <v>77</v>
      </c>
      <c r="B40" s="787"/>
      <c r="C40" s="164">
        <f>SUMIF($G$7:$G$31,"Mechanical",$F$7:$F$31)</f>
        <v>0</v>
      </c>
      <c r="D40" s="118">
        <f>C40+'15'!D40</f>
        <v>0</v>
      </c>
      <c r="E40" s="143">
        <f t="shared" si="3"/>
        <v>0</v>
      </c>
      <c r="F40" s="304">
        <v>1225</v>
      </c>
      <c r="G40" s="304">
        <v>1029</v>
      </c>
      <c r="H40" s="185" t="s">
        <v>78</v>
      </c>
      <c r="I40" s="118">
        <f>(K34+L34)/1000</f>
        <v>50.436</v>
      </c>
      <c r="J40" s="131">
        <f>+I40+'15'!J40</f>
        <v>794.15300000000002</v>
      </c>
      <c r="K40" s="130" t="s">
        <v>74</v>
      </c>
    </row>
    <row r="41" spans="1:14" ht="17.399999999999999" customHeight="1">
      <c r="A41" s="786" t="s">
        <v>79</v>
      </c>
      <c r="B41" s="787"/>
      <c r="C41" s="164">
        <f>SUMIF($G$7:$G$31,"Electrical",$F$7:$F$31)</f>
        <v>0</v>
      </c>
      <c r="D41" s="118">
        <f>C41+'15'!D41</f>
        <v>0</v>
      </c>
      <c r="E41" s="143">
        <f t="shared" si="3"/>
        <v>0</v>
      </c>
      <c r="F41" s="304"/>
      <c r="G41" s="304"/>
      <c r="H41" s="185" t="s">
        <v>80</v>
      </c>
      <c r="I41" s="142"/>
      <c r="J41" s="129">
        <f>J40/G4</f>
        <v>49.634562500000001</v>
      </c>
      <c r="K41" s="130" t="s">
        <v>74</v>
      </c>
    </row>
    <row r="42" spans="1:14" ht="17.399999999999999" customHeight="1">
      <c r="A42" s="786" t="s">
        <v>16</v>
      </c>
      <c r="B42" s="787"/>
      <c r="C42" s="164">
        <f>SUMIF($G$7:$G$31,"Instrument",$F$7:$F$31)</f>
        <v>0</v>
      </c>
      <c r="D42" s="118">
        <f>C42+'15'!D42</f>
        <v>0</v>
      </c>
      <c r="E42" s="143">
        <f t="shared" si="3"/>
        <v>0</v>
      </c>
      <c r="F42" s="183">
        <f>+(F38*480+F39*480+F40*480)/1440</f>
        <v>1225</v>
      </c>
      <c r="G42" s="183">
        <f>+(G38*480+G39*480+G40*480)/1440</f>
        <v>1020.8333333333334</v>
      </c>
      <c r="H42" s="185" t="s">
        <v>81</v>
      </c>
      <c r="I42" s="241" t="s">
        <v>619</v>
      </c>
      <c r="J42" s="132"/>
      <c r="K42" s="130" t="s">
        <v>82</v>
      </c>
    </row>
    <row r="43" spans="1:14" ht="17.399999999999999" customHeight="1">
      <c r="A43" s="786" t="s">
        <v>83</v>
      </c>
      <c r="B43" s="787"/>
      <c r="C43" s="164">
        <f>SUMIF($G$7:$G$31,"Water",$F$7:$F$31)</f>
        <v>0</v>
      </c>
      <c r="D43" s="118">
        <f>C43+'15'!D43</f>
        <v>0</v>
      </c>
      <c r="E43" s="143">
        <f t="shared" si="3"/>
        <v>0</v>
      </c>
      <c r="F43" s="304"/>
      <c r="G43" s="305"/>
      <c r="H43" s="186" t="s">
        <v>84</v>
      </c>
      <c r="I43" s="118">
        <f>+Report1!Z24</f>
        <v>95.6</v>
      </c>
      <c r="J43" s="133">
        <f>+I43+'15'!J43</f>
        <v>1524.4199999999998</v>
      </c>
      <c r="K43" s="130" t="s">
        <v>74</v>
      </c>
      <c r="L43" s="187"/>
    </row>
    <row r="44" spans="1:14" ht="17.399999999999999" customHeight="1">
      <c r="A44" s="786" t="s">
        <v>17</v>
      </c>
      <c r="B44" s="787"/>
      <c r="C44" s="164">
        <f>SUMIF($G$7:$G$31,"PLN",$F$7:$F$31)</f>
        <v>0</v>
      </c>
      <c r="D44" s="118">
        <f>C44+'15'!D44</f>
        <v>0</v>
      </c>
      <c r="E44" s="143">
        <f t="shared" si="3"/>
        <v>0</v>
      </c>
      <c r="F44" s="304"/>
      <c r="G44" s="305"/>
      <c r="H44" s="186" t="s">
        <v>85</v>
      </c>
      <c r="I44" s="118">
        <f>I43/I38</f>
        <v>1.9183304906190424</v>
      </c>
      <c r="J44" s="134">
        <f>J43/J38</f>
        <v>1.8951914685179057</v>
      </c>
      <c r="K44" s="130" t="s">
        <v>74</v>
      </c>
    </row>
    <row r="45" spans="1:14" ht="17.399999999999999" customHeight="1">
      <c r="A45" s="786" t="s">
        <v>18</v>
      </c>
      <c r="B45" s="787"/>
      <c r="C45" s="164">
        <f>SUMIF($G$7:$G$31,"Boiler",$F$7:$F$31)</f>
        <v>0</v>
      </c>
      <c r="D45" s="118">
        <f>C45+'15'!D45</f>
        <v>0</v>
      </c>
      <c r="E45" s="143">
        <f t="shared" si="3"/>
        <v>0</v>
      </c>
      <c r="F45" s="304"/>
      <c r="G45" s="307"/>
      <c r="H45" s="186" t="s">
        <v>86</v>
      </c>
      <c r="I45" s="118">
        <f>I43/I40</f>
        <v>1.8954714886192401</v>
      </c>
      <c r="J45" s="134">
        <f>J43/J40</f>
        <v>1.9195545442754731</v>
      </c>
      <c r="K45" s="130" t="s">
        <v>74</v>
      </c>
    </row>
    <row r="46" spans="1:14" ht="17.399999999999999" customHeight="1">
      <c r="A46" s="786" t="s">
        <v>87</v>
      </c>
      <c r="B46" s="787"/>
      <c r="C46" s="164">
        <f>SUMIF($G$7:$G$31,"Gas",$F$7:$F$31)</f>
        <v>0</v>
      </c>
      <c r="D46" s="118">
        <f>C46+'15'!D46</f>
        <v>0</v>
      </c>
      <c r="E46" s="143">
        <f t="shared" si="3"/>
        <v>0</v>
      </c>
      <c r="F46" s="304"/>
      <c r="G46" s="305"/>
      <c r="H46" s="186" t="s">
        <v>88</v>
      </c>
      <c r="I46" s="140">
        <f>+SUMIF(Listrik!X23,"&gt;0")</f>
        <v>39730.313239774281</v>
      </c>
      <c r="J46" s="135">
        <f>+I46+'15'!J46</f>
        <v>613162.14935316157</v>
      </c>
      <c r="K46" s="130" t="s">
        <v>89</v>
      </c>
    </row>
    <row r="47" spans="1:14" ht="17.399999999999999" customHeight="1">
      <c r="A47" s="786" t="s">
        <v>90</v>
      </c>
      <c r="B47" s="787"/>
      <c r="C47" s="164">
        <f>SUMIF($G$7:$G$31,"Gas",$F$7:$F$31)</f>
        <v>0</v>
      </c>
      <c r="D47" s="118">
        <f>C47+'15'!D47</f>
        <v>0</v>
      </c>
      <c r="E47" s="143">
        <f t="shared" si="3"/>
        <v>0</v>
      </c>
      <c r="F47" s="304"/>
      <c r="G47" s="305"/>
      <c r="H47" s="186" t="s">
        <v>91</v>
      </c>
      <c r="I47" s="118">
        <f>I46/I38</f>
        <v>797.2371473818456</v>
      </c>
      <c r="J47" s="135">
        <f>J46/J38</f>
        <v>762.29626629945415</v>
      </c>
      <c r="K47" s="130" t="s">
        <v>24</v>
      </c>
    </row>
    <row r="48" spans="1:14" ht="17.399999999999999" customHeight="1">
      <c r="A48" s="786" t="s">
        <v>14</v>
      </c>
      <c r="B48" s="787"/>
      <c r="C48" s="164">
        <f>SUMIF($G$7:$G$31,"Start Up",$F$7:$F$31)</f>
        <v>0</v>
      </c>
      <c r="D48" s="118">
        <f>C48+'15'!D48</f>
        <v>0</v>
      </c>
      <c r="E48" s="143">
        <f t="shared" si="3"/>
        <v>0</v>
      </c>
      <c r="F48" s="304"/>
      <c r="G48" s="305"/>
      <c r="H48" s="186" t="s">
        <v>92</v>
      </c>
      <c r="I48" s="118">
        <f>I46/I40</f>
        <v>787.73719644250696</v>
      </c>
      <c r="J48" s="135">
        <f>J46/J40</f>
        <v>772.09574144171404</v>
      </c>
      <c r="K48" s="130" t="s">
        <v>24</v>
      </c>
    </row>
    <row r="49" spans="1:11" ht="17.399999999999999" customHeight="1">
      <c r="A49" s="786" t="s">
        <v>20</v>
      </c>
      <c r="B49" s="787"/>
      <c r="C49" s="164">
        <f>SUMIF($G$7:$G$31,"Others",$F$7:$F$31)</f>
        <v>0</v>
      </c>
      <c r="D49" s="118">
        <f>C49+'15'!D49</f>
        <v>1072</v>
      </c>
      <c r="E49" s="143">
        <f t="shared" si="3"/>
        <v>17.866666666666667</v>
      </c>
      <c r="F49" s="183"/>
      <c r="H49" s="186" t="s">
        <v>269</v>
      </c>
      <c r="I49" s="118">
        <f>+Report1!T24</f>
        <v>3015.5204442378663</v>
      </c>
      <c r="J49" s="135">
        <f>+I49+'15'!J49</f>
        <v>56739.567991944721</v>
      </c>
      <c r="K49" s="130" t="s">
        <v>93</v>
      </c>
    </row>
    <row r="50" spans="1:11" ht="17.399999999999999" customHeight="1">
      <c r="A50" s="786" t="s">
        <v>19</v>
      </c>
      <c r="B50" s="787"/>
      <c r="C50" s="164">
        <f>SUMIF($G$7:$G$31,"Steam",$F$7:$F$31)</f>
        <v>0</v>
      </c>
      <c r="D50" s="118">
        <f>C50+'15'!D50</f>
        <v>0</v>
      </c>
      <c r="E50" s="143">
        <f t="shared" si="3"/>
        <v>0</v>
      </c>
      <c r="F50" s="183"/>
      <c r="H50" s="186" t="s">
        <v>94</v>
      </c>
      <c r="I50" s="140">
        <f>I49/I38</f>
        <v>60.510092188980956</v>
      </c>
      <c r="J50" s="133">
        <f>J49/J38</f>
        <v>70.539841504129626</v>
      </c>
      <c r="K50" s="130" t="s">
        <v>93</v>
      </c>
    </row>
    <row r="51" spans="1:11" ht="17.399999999999999" customHeight="1">
      <c r="A51" s="803" t="s">
        <v>95</v>
      </c>
      <c r="B51" s="803"/>
      <c r="C51" s="164">
        <f>SUMIF($G$7:$G$31,"Planned shut",$F$7:$F$31)</f>
        <v>0</v>
      </c>
      <c r="D51" s="118">
        <f>C51+'15'!D51</f>
        <v>0</v>
      </c>
      <c r="E51" s="143">
        <f t="shared" si="3"/>
        <v>0</v>
      </c>
      <c r="F51" s="183"/>
      <c r="H51" s="188" t="s">
        <v>96</v>
      </c>
      <c r="I51" s="141">
        <f>I49/I40</f>
        <v>59.789048382858795</v>
      </c>
      <c r="J51" s="136">
        <f>J49/J40</f>
        <v>71.446645661408724</v>
      </c>
      <c r="K51" s="137" t="s">
        <v>93</v>
      </c>
    </row>
    <row r="52" spans="1:11" ht="13.8" thickBot="1">
      <c r="A52" s="804" t="s">
        <v>218</v>
      </c>
      <c r="B52" s="805"/>
      <c r="C52" s="164">
        <f>SUMIF($G$7:$G$31,"Change Grade",$F$7:$F$31)</f>
        <v>0</v>
      </c>
      <c r="D52" s="118">
        <f>C52+'15'!D52</f>
        <v>0</v>
      </c>
      <c r="E52" s="143">
        <f t="shared" si="3"/>
        <v>0</v>
      </c>
      <c r="F52" s="183"/>
      <c r="H52" s="189"/>
      <c r="I52" s="190"/>
      <c r="J52" s="138"/>
      <c r="K52" s="139"/>
    </row>
    <row r="53" spans="1:11">
      <c r="A53" s="799" t="s">
        <v>28</v>
      </c>
      <c r="B53" s="800"/>
      <c r="C53" s="144">
        <f>SUM(C38:C52)</f>
        <v>25</v>
      </c>
      <c r="D53" s="144">
        <f>SUM(D38:D52)</f>
        <v>1495</v>
      </c>
      <c r="E53" s="145">
        <f>SUM(E38:E52)</f>
        <v>24.916666666666668</v>
      </c>
      <c r="F53" s="183"/>
    </row>
    <row r="54" spans="1:11" ht="13.8" thickBot="1">
      <c r="A54" s="801"/>
      <c r="B54" s="802"/>
      <c r="C54" s="146">
        <f>C53/(24*60)</f>
        <v>1.7361111111111112E-2</v>
      </c>
      <c r="D54" s="146">
        <f>D53/(24*60*G4)</f>
        <v>6.4887152777777776E-2</v>
      </c>
      <c r="E54" s="147">
        <f>E53/(G4*24)</f>
        <v>6.4887152777777776E-2</v>
      </c>
      <c r="F54" s="183"/>
    </row>
    <row r="55" spans="1:11">
      <c r="E55" s="191"/>
    </row>
    <row r="56" spans="1:11">
      <c r="A56" s="192" t="s">
        <v>97</v>
      </c>
      <c r="B56" s="193"/>
      <c r="C56" s="194"/>
      <c r="D56" s="194"/>
      <c r="E56" s="194"/>
      <c r="F56" s="195"/>
      <c r="G56" s="194"/>
      <c r="H56" s="196"/>
      <c r="I56" s="197" t="s">
        <v>98</v>
      </c>
      <c r="J56" s="198">
        <f>+D34+'15'!J56</f>
        <v>0</v>
      </c>
      <c r="K56" s="199">
        <f>J56/(J40+J56/1000)/1000</f>
        <v>0</v>
      </c>
    </row>
    <row r="57" spans="1:11">
      <c r="A57" s="174"/>
      <c r="I57" s="197" t="s">
        <v>99</v>
      </c>
      <c r="J57" s="198">
        <f>+E34+'15'!J57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1"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61"/>
  <sheetViews>
    <sheetView view="pageBreakPreview" zoomScale="80" zoomScaleNormal="75" zoomScaleSheetLayoutView="80" workbookViewId="0">
      <selection activeCell="A7" sqref="A7:B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4.6640625" style="149" customWidth="1"/>
    <col min="14" max="16384" width="9.109375" style="149"/>
  </cols>
  <sheetData>
    <row r="1" spans="1:19" ht="15.6">
      <c r="A1" s="148"/>
    </row>
    <row r="2" spans="1:19" ht="15.6">
      <c r="A2" s="148" t="s">
        <v>219</v>
      </c>
    </row>
    <row r="3" spans="1:19" ht="15">
      <c r="A3" s="150"/>
    </row>
    <row r="4" spans="1:19" ht="21">
      <c r="A4" s="151" t="s">
        <v>4</v>
      </c>
      <c r="B4" s="152"/>
      <c r="F4" s="153" t="s">
        <v>29</v>
      </c>
      <c r="G4" s="154">
        <v>15</v>
      </c>
      <c r="H4" s="154" t="str">
        <f>+'1'!H4</f>
        <v>.03.26</v>
      </c>
      <c r="J4" s="149">
        <f>382+387+448</f>
        <v>1217</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584</v>
      </c>
      <c r="O6" s="149">
        <v>1225</v>
      </c>
      <c r="P6" s="149">
        <f>+O6-(O6*0.16)</f>
        <v>1029</v>
      </c>
      <c r="Q6" s="149">
        <v>480</v>
      </c>
      <c r="R6" s="149">
        <f t="shared" ref="R6:R8" si="0">+O6*Q6</f>
        <v>588000</v>
      </c>
      <c r="S6" s="149">
        <f t="shared" ref="S6:S8" si="1">+P6*Q6</f>
        <v>493920</v>
      </c>
    </row>
    <row r="7" spans="1:19" ht="13.5" customHeight="1" thickBot="1">
      <c r="A7" s="788" t="s">
        <v>387</v>
      </c>
      <c r="B7" s="214" t="s">
        <v>592</v>
      </c>
      <c r="C7" s="214">
        <v>16098</v>
      </c>
      <c r="D7" s="215"/>
      <c r="E7" s="216"/>
      <c r="F7" s="231"/>
      <c r="G7" s="553" t="s">
        <v>12</v>
      </c>
      <c r="H7" s="554" t="s">
        <v>417</v>
      </c>
      <c r="I7" s="791" t="s">
        <v>585</v>
      </c>
      <c r="J7" s="212" t="str">
        <f>+'14'!J7</f>
        <v>T 15 RC HW</v>
      </c>
      <c r="K7" s="233"/>
      <c r="L7" s="237"/>
      <c r="M7" s="117">
        <f>+K7+'14'!M7+L7</f>
        <v>369000</v>
      </c>
      <c r="O7" s="149">
        <v>1225</v>
      </c>
      <c r="P7" s="149">
        <f t="shared" ref="P7:P8" si="2">+O7-(O7*0.16)</f>
        <v>1029</v>
      </c>
      <c r="Q7" s="149">
        <v>480</v>
      </c>
      <c r="R7" s="149">
        <f t="shared" si="0"/>
        <v>588000</v>
      </c>
      <c r="S7" s="149">
        <f t="shared" si="1"/>
        <v>493920</v>
      </c>
    </row>
    <row r="8" spans="1:19" ht="13.8" thickBot="1">
      <c r="A8" s="789"/>
      <c r="B8" s="213"/>
      <c r="C8" s="214"/>
      <c r="D8" s="215"/>
      <c r="E8" s="217"/>
      <c r="F8" s="227">
        <v>2</v>
      </c>
      <c r="G8" s="555" t="s">
        <v>12</v>
      </c>
      <c r="H8" s="226" t="s">
        <v>416</v>
      </c>
      <c r="I8" s="792"/>
      <c r="J8" s="212" t="str">
        <f>+'14'!J8</f>
        <v>T 14,5 RC HW</v>
      </c>
      <c r="K8" s="234"/>
      <c r="L8" s="234"/>
      <c r="M8" s="117">
        <f>+K8+'14'!M8+L8</f>
        <v>206120</v>
      </c>
      <c r="O8" s="149">
        <v>1225</v>
      </c>
      <c r="P8" s="149">
        <f t="shared" si="2"/>
        <v>1029</v>
      </c>
      <c r="Q8" s="149">
        <v>480</v>
      </c>
      <c r="R8" s="149">
        <f t="shared" si="0"/>
        <v>588000</v>
      </c>
      <c r="S8" s="149">
        <f t="shared" si="1"/>
        <v>493920</v>
      </c>
    </row>
    <row r="9" spans="1:19" ht="13.8" thickBot="1">
      <c r="A9" s="789"/>
      <c r="B9" s="213"/>
      <c r="C9" s="214"/>
      <c r="D9" s="215"/>
      <c r="E9" s="218"/>
      <c r="F9" s="227">
        <v>8</v>
      </c>
      <c r="G9" s="555" t="s">
        <v>12</v>
      </c>
      <c r="H9" s="229" t="s">
        <v>418</v>
      </c>
      <c r="I9" s="792"/>
      <c r="J9" s="212" t="str">
        <f>+'14'!J9</f>
        <v>T 14 RC HW</v>
      </c>
      <c r="K9" s="234"/>
      <c r="L9" s="234"/>
      <c r="M9" s="117">
        <f>+K9+'14'!M9+L9</f>
        <v>49646</v>
      </c>
    </row>
    <row r="10" spans="1:19" ht="53.4" thickBot="1">
      <c r="A10" s="789"/>
      <c r="B10" s="213"/>
      <c r="C10" s="214"/>
      <c r="D10" s="215"/>
      <c r="E10" s="217"/>
      <c r="F10" s="227"/>
      <c r="G10" s="225"/>
      <c r="H10" s="556" t="s">
        <v>606</v>
      </c>
      <c r="I10" s="792"/>
      <c r="J10" s="212" t="str">
        <f>+'14'!J10</f>
        <v>T 13,5 RC HW</v>
      </c>
      <c r="K10" s="234">
        <f>+C34</f>
        <v>49429</v>
      </c>
      <c r="L10" s="234"/>
      <c r="M10" s="117">
        <f>+K10+'14'!M10+L10</f>
        <v>118951</v>
      </c>
    </row>
    <row r="11" spans="1:19" ht="13.8" thickBot="1">
      <c r="A11" s="789"/>
      <c r="B11" s="213"/>
      <c r="C11" s="214"/>
      <c r="D11" s="215"/>
      <c r="E11" s="217"/>
      <c r="F11" s="224"/>
      <c r="G11" s="228"/>
      <c r="H11" s="229" t="s">
        <v>607</v>
      </c>
      <c r="I11" s="792"/>
      <c r="J11" s="212">
        <f>+'14'!J11</f>
        <v>0</v>
      </c>
      <c r="K11" s="234"/>
      <c r="L11" s="234"/>
      <c r="M11" s="117">
        <f>+K11+'14'!M11+L11</f>
        <v>0</v>
      </c>
    </row>
    <row r="12" spans="1:19" ht="13.8" thickBot="1">
      <c r="A12" s="789"/>
      <c r="B12" s="213"/>
      <c r="C12" s="214"/>
      <c r="D12" s="215"/>
      <c r="E12" s="217"/>
      <c r="F12" s="224"/>
      <c r="G12" s="228"/>
      <c r="H12" s="229"/>
      <c r="I12" s="792"/>
      <c r="J12" s="212">
        <f>+'14'!J12</f>
        <v>0</v>
      </c>
      <c r="K12" s="234"/>
      <c r="L12" s="234"/>
      <c r="M12" s="117">
        <f>+K12+'14'!M12+L12</f>
        <v>0</v>
      </c>
    </row>
    <row r="13" spans="1:19" ht="13.8" thickBot="1">
      <c r="A13" s="789"/>
      <c r="B13" s="213"/>
      <c r="C13" s="214"/>
      <c r="D13" s="214"/>
      <c r="E13" s="217"/>
      <c r="F13" s="224"/>
      <c r="G13" s="228"/>
      <c r="H13" s="229"/>
      <c r="I13" s="793"/>
      <c r="J13" s="212">
        <f>+'14'!J13</f>
        <v>0</v>
      </c>
      <c r="K13" s="234"/>
      <c r="L13" s="234"/>
      <c r="M13" s="117">
        <f>+K13+'14'!M13+L13</f>
        <v>0</v>
      </c>
      <c r="Q13" s="174">
        <f>SUM(Q6:Q12)</f>
        <v>1440</v>
      </c>
      <c r="R13" s="174">
        <f>SUM(R6:R12)</f>
        <v>1764000</v>
      </c>
      <c r="S13" s="174">
        <f>SUM(S6:S12)</f>
        <v>1481760</v>
      </c>
    </row>
    <row r="14" spans="1:19" ht="13.8" thickBot="1">
      <c r="A14" s="790"/>
      <c r="B14" s="165" t="s">
        <v>3</v>
      </c>
      <c r="C14" s="99">
        <f>SUM(C7:C13)</f>
        <v>16098</v>
      </c>
      <c r="D14" s="111">
        <f>SUM(D7:D13)</f>
        <v>0</v>
      </c>
      <c r="E14" s="112">
        <f>SUM(E5:E13)</f>
        <v>0</v>
      </c>
      <c r="F14" s="116">
        <f>SUM(F7:F13)</f>
        <v>10</v>
      </c>
      <c r="G14" s="159"/>
      <c r="H14" s="166"/>
      <c r="I14" s="167"/>
      <c r="J14" s="212">
        <f>+'14'!J14</f>
        <v>0</v>
      </c>
      <c r="K14" s="234"/>
      <c r="L14" s="234"/>
      <c r="M14" s="117">
        <f>+K14+'14'!M14+L14</f>
        <v>0</v>
      </c>
      <c r="Q14" s="149">
        <f>480-Q13</f>
        <v>-960</v>
      </c>
      <c r="R14" s="174">
        <f>+R13/Q13</f>
        <v>1225</v>
      </c>
      <c r="S14" s="174">
        <f>+S13/Q13</f>
        <v>1029</v>
      </c>
    </row>
    <row r="15" spans="1:19" ht="13.5" customHeight="1" thickBot="1">
      <c r="A15" s="794" t="s">
        <v>390</v>
      </c>
      <c r="B15" s="513"/>
      <c r="C15" s="113">
        <f>C14/($C$23+$D$23+$E$23)</f>
        <v>0.93402959094865101</v>
      </c>
      <c r="D15" s="114">
        <f>D14/($C$23+$D$23+$E$23)</f>
        <v>0</v>
      </c>
      <c r="E15" s="115">
        <f>E14/($C$23+$D$23+$E$23)</f>
        <v>0</v>
      </c>
      <c r="F15" s="231">
        <v>6</v>
      </c>
      <c r="G15" s="553" t="s">
        <v>12</v>
      </c>
      <c r="H15" s="554" t="s">
        <v>610</v>
      </c>
      <c r="I15" s="791" t="s">
        <v>585</v>
      </c>
      <c r="J15" s="212">
        <f>+'14'!J15</f>
        <v>0</v>
      </c>
      <c r="K15" s="234"/>
      <c r="L15" s="234"/>
      <c r="M15" s="117">
        <f>+K15+'14'!M15+L15</f>
        <v>0</v>
      </c>
    </row>
    <row r="16" spans="1:19" ht="13.8" thickBot="1">
      <c r="A16" s="789"/>
      <c r="B16" s="512" t="s">
        <v>592</v>
      </c>
      <c r="C16" s="511">
        <v>17235</v>
      </c>
      <c r="D16" s="219"/>
      <c r="E16" s="220"/>
      <c r="F16" s="227"/>
      <c r="G16" s="555" t="s">
        <v>12</v>
      </c>
      <c r="H16" s="226" t="s">
        <v>419</v>
      </c>
      <c r="I16" s="792"/>
      <c r="J16" s="212">
        <f>+'14'!J16</f>
        <v>0</v>
      </c>
      <c r="K16" s="225"/>
      <c r="L16" s="225"/>
      <c r="M16" s="117">
        <f>+K16+'14'!M16+L16</f>
        <v>0</v>
      </c>
      <c r="P16" s="174"/>
    </row>
    <row r="17" spans="1:18" ht="13.8" thickBot="1">
      <c r="A17" s="789"/>
      <c r="B17" s="213"/>
      <c r="C17" s="214"/>
      <c r="D17" s="215"/>
      <c r="E17" s="221"/>
      <c r="F17" s="227">
        <v>8</v>
      </c>
      <c r="G17" s="555" t="s">
        <v>12</v>
      </c>
      <c r="H17" s="229" t="s">
        <v>418</v>
      </c>
      <c r="I17" s="792"/>
      <c r="J17" s="212">
        <f>+'14'!J17</f>
        <v>0</v>
      </c>
      <c r="K17" s="225"/>
      <c r="L17" s="225"/>
      <c r="M17" s="117">
        <f>+K17+'14'!M17+L17</f>
        <v>0</v>
      </c>
      <c r="Q17" s="174"/>
      <c r="R17" s="174"/>
    </row>
    <row r="18" spans="1:18" ht="53.4" thickBot="1">
      <c r="A18" s="789"/>
      <c r="B18" s="213"/>
      <c r="C18" s="214"/>
      <c r="D18" s="215"/>
      <c r="E18" s="221"/>
      <c r="F18" s="227"/>
      <c r="G18" s="225"/>
      <c r="H18" s="556" t="s">
        <v>603</v>
      </c>
      <c r="I18" s="792"/>
      <c r="J18" s="212">
        <f>+'14'!J18</f>
        <v>0</v>
      </c>
      <c r="K18" s="234"/>
      <c r="L18" s="234"/>
      <c r="M18" s="117">
        <f>+K18+'14'!M18+L18</f>
        <v>0</v>
      </c>
    </row>
    <row r="19" spans="1:18" ht="53.4" thickBot="1">
      <c r="A19" s="789"/>
      <c r="B19" s="213"/>
      <c r="C19" s="214"/>
      <c r="D19" s="215"/>
      <c r="E19" s="221"/>
      <c r="F19" s="230"/>
      <c r="G19" s="228"/>
      <c r="H19" s="229" t="s">
        <v>605</v>
      </c>
      <c r="I19" s="792"/>
      <c r="J19" s="212">
        <f>+'14'!J19</f>
        <v>0</v>
      </c>
      <c r="K19" s="234"/>
      <c r="L19" s="234"/>
      <c r="M19" s="117">
        <f>+K19+'14'!M19+L19</f>
        <v>0</v>
      </c>
    </row>
    <row r="20" spans="1:18" ht="13.8" thickBot="1">
      <c r="A20" s="789"/>
      <c r="B20" s="213"/>
      <c r="C20" s="214"/>
      <c r="D20" s="215"/>
      <c r="E20" s="221"/>
      <c r="F20" s="224"/>
      <c r="G20" s="228"/>
      <c r="H20" s="229"/>
      <c r="I20" s="792"/>
      <c r="J20" s="212">
        <f>+'14'!J20</f>
        <v>0</v>
      </c>
      <c r="K20" s="235"/>
      <c r="L20" s="235"/>
      <c r="M20" s="117">
        <f>+K20+'14'!M20+L20</f>
        <v>0</v>
      </c>
    </row>
    <row r="21" spans="1:18" ht="13.8" thickBot="1">
      <c r="A21" s="789"/>
      <c r="B21" s="213"/>
      <c r="C21" s="214"/>
      <c r="D21" s="215"/>
      <c r="E21" s="221"/>
      <c r="F21" s="227"/>
      <c r="G21" s="228"/>
      <c r="H21" s="229"/>
      <c r="I21" s="792"/>
      <c r="J21" s="212">
        <f>+'14'!J21</f>
        <v>0</v>
      </c>
      <c r="K21" s="234"/>
      <c r="L21" s="234"/>
      <c r="M21" s="117">
        <f>+K21+'14'!M21+L21</f>
        <v>0</v>
      </c>
    </row>
    <row r="22" spans="1:18" ht="13.8" thickBot="1">
      <c r="A22" s="789"/>
      <c r="B22" s="213"/>
      <c r="C22" s="214"/>
      <c r="D22" s="215"/>
      <c r="E22" s="221"/>
      <c r="F22" s="231"/>
      <c r="G22" s="228"/>
      <c r="H22" s="229"/>
      <c r="I22" s="793"/>
      <c r="J22" s="212">
        <f>+'14'!J22</f>
        <v>0</v>
      </c>
      <c r="K22" s="234"/>
      <c r="L22" s="234"/>
      <c r="M22" s="117">
        <f>+K22+'14'!M22+L22</f>
        <v>0</v>
      </c>
      <c r="P22" s="174"/>
    </row>
    <row r="23" spans="1:18" ht="13.8" thickBot="1">
      <c r="A23" s="790"/>
      <c r="B23" s="165" t="s">
        <v>3</v>
      </c>
      <c r="C23" s="99">
        <f>SUM(C16:C22)</f>
        <v>17235</v>
      </c>
      <c r="D23" s="111">
        <f>SUM(D16:D22)</f>
        <v>0</v>
      </c>
      <c r="E23" s="112">
        <f>SUM(E18:E22)</f>
        <v>0</v>
      </c>
      <c r="F23" s="116">
        <f>SUM(F15:F22)</f>
        <v>14</v>
      </c>
      <c r="G23" s="159"/>
      <c r="H23" s="166"/>
      <c r="I23" s="168"/>
      <c r="J23" s="212">
        <f>+'14'!J23</f>
        <v>0</v>
      </c>
      <c r="K23" s="234"/>
      <c r="L23" s="234"/>
      <c r="M23" s="117">
        <f>+K23+'14'!M23+L23</f>
        <v>0</v>
      </c>
      <c r="Q23" s="174"/>
      <c r="R23" s="174"/>
    </row>
    <row r="24" spans="1:18" ht="13.5" customHeight="1" thickBot="1">
      <c r="A24" s="794" t="s">
        <v>429</v>
      </c>
      <c r="B24" s="513"/>
      <c r="C24" s="113">
        <f>C23/($C$23+$D$23+$E$23)</f>
        <v>1</v>
      </c>
      <c r="D24" s="114">
        <f>D23/($C$23+$D$23+$E$23)</f>
        <v>0</v>
      </c>
      <c r="E24" s="115">
        <f>E23/($C$23+$D$23+$E$23)</f>
        <v>0</v>
      </c>
      <c r="F24" s="231">
        <v>9</v>
      </c>
      <c r="G24" s="553" t="s">
        <v>12</v>
      </c>
      <c r="H24" s="554" t="s">
        <v>610</v>
      </c>
      <c r="I24" s="791" t="s">
        <v>585</v>
      </c>
      <c r="J24" s="212">
        <f>+'14'!J24</f>
        <v>0</v>
      </c>
      <c r="K24" s="234"/>
      <c r="L24" s="234"/>
      <c r="M24" s="117">
        <f>+K24+'14'!M24+L24</f>
        <v>0</v>
      </c>
    </row>
    <row r="25" spans="1:18" ht="13.8" thickBot="1">
      <c r="A25" s="789"/>
      <c r="B25" s="512" t="s">
        <v>592</v>
      </c>
      <c r="C25" s="222">
        <v>16096</v>
      </c>
      <c r="D25" s="215"/>
      <c r="E25" s="221"/>
      <c r="F25" s="227"/>
      <c r="G25" s="555" t="s">
        <v>12</v>
      </c>
      <c r="H25" s="226" t="s">
        <v>419</v>
      </c>
      <c r="I25" s="792"/>
      <c r="J25" s="212">
        <f>+'14'!J25</f>
        <v>0</v>
      </c>
      <c r="K25" s="234"/>
      <c r="L25" s="234"/>
      <c r="M25" s="117">
        <f>+K25+'14'!M25+L25</f>
        <v>0</v>
      </c>
    </row>
    <row r="26" spans="1:18" ht="13.8" thickBot="1">
      <c r="A26" s="789"/>
      <c r="B26" s="213"/>
      <c r="C26" s="222"/>
      <c r="D26" s="215"/>
      <c r="E26" s="223"/>
      <c r="F26" s="227">
        <v>6</v>
      </c>
      <c r="G26" s="555" t="s">
        <v>12</v>
      </c>
      <c r="H26" s="229" t="s">
        <v>418</v>
      </c>
      <c r="I26" s="792"/>
      <c r="J26" s="212">
        <f>+'14'!J26</f>
        <v>0</v>
      </c>
      <c r="K26" s="234"/>
      <c r="L26" s="234"/>
      <c r="M26" s="117">
        <f>+K26+'14'!M26+L26</f>
        <v>0</v>
      </c>
    </row>
    <row r="27" spans="1:18" ht="53.4" thickBot="1">
      <c r="A27" s="789"/>
      <c r="B27" s="213"/>
      <c r="C27" s="214"/>
      <c r="D27" s="215"/>
      <c r="E27" s="221"/>
      <c r="F27" s="227"/>
      <c r="G27" s="225"/>
      <c r="H27" s="556" t="s">
        <v>603</v>
      </c>
      <c r="I27" s="792"/>
      <c r="J27" s="212">
        <f>+'14'!J27</f>
        <v>0</v>
      </c>
      <c r="K27" s="234"/>
      <c r="L27" s="234"/>
      <c r="M27" s="117">
        <f>+K27+'14'!M27+L27</f>
        <v>0</v>
      </c>
    </row>
    <row r="28" spans="1:18" ht="66.599999999999994" thickBot="1">
      <c r="A28" s="789"/>
      <c r="B28" s="213"/>
      <c r="C28" s="214"/>
      <c r="D28" s="215"/>
      <c r="E28" s="221"/>
      <c r="F28" s="227"/>
      <c r="G28" s="225"/>
      <c r="H28" s="229" t="s">
        <v>604</v>
      </c>
      <c r="I28" s="792"/>
      <c r="J28" s="212">
        <f>+'14'!J28</f>
        <v>0</v>
      </c>
      <c r="K28" s="234"/>
      <c r="L28" s="234"/>
      <c r="M28" s="117">
        <f>+K28+'14'!M28+L28</f>
        <v>0</v>
      </c>
    </row>
    <row r="29" spans="1:18" ht="13.8" thickBot="1">
      <c r="A29" s="789"/>
      <c r="B29" s="213"/>
      <c r="C29" s="214"/>
      <c r="D29" s="215"/>
      <c r="E29" s="221"/>
      <c r="F29" s="231"/>
      <c r="G29" s="228"/>
      <c r="H29" s="229"/>
      <c r="I29" s="792"/>
      <c r="J29" s="212">
        <f>+'14'!J29</f>
        <v>0</v>
      </c>
      <c r="K29" s="234"/>
      <c r="L29" s="234"/>
      <c r="M29" s="117">
        <f>+K29+'14'!M29+L29</f>
        <v>0</v>
      </c>
      <c r="P29" s="174"/>
    </row>
    <row r="30" spans="1:18" ht="13.8" thickBot="1">
      <c r="A30" s="789"/>
      <c r="B30" s="213"/>
      <c r="C30" s="222"/>
      <c r="D30" s="215"/>
      <c r="E30" s="221"/>
      <c r="F30" s="231"/>
      <c r="G30" s="228"/>
      <c r="H30" s="229"/>
      <c r="I30" s="792"/>
      <c r="J30" s="212">
        <f>+'14'!J30</f>
        <v>0</v>
      </c>
      <c r="K30" s="234"/>
      <c r="L30" s="234"/>
      <c r="M30" s="117">
        <f>+K30+'14'!M30+L30</f>
        <v>0</v>
      </c>
      <c r="N30" s="155"/>
      <c r="Q30" s="174"/>
      <c r="R30" s="174"/>
    </row>
    <row r="31" spans="1:18" ht="13.8" thickBot="1">
      <c r="A31" s="789"/>
      <c r="B31" s="213"/>
      <c r="C31" s="222"/>
      <c r="D31" s="215"/>
      <c r="E31" s="221"/>
      <c r="F31" s="231"/>
      <c r="G31" s="232"/>
      <c r="H31" s="404"/>
      <c r="I31" s="793"/>
      <c r="J31" s="212">
        <f>+'14'!J31</f>
        <v>0</v>
      </c>
      <c r="K31" s="234"/>
      <c r="L31" s="234"/>
      <c r="M31" s="117">
        <f>+K31+'14'!M31+L31</f>
        <v>0</v>
      </c>
    </row>
    <row r="32" spans="1:18" ht="13.8" thickBot="1">
      <c r="A32" s="790"/>
      <c r="B32" s="165" t="s">
        <v>3</v>
      </c>
      <c r="C32" s="99">
        <f>SUM(C25:C31)</f>
        <v>16096</v>
      </c>
      <c r="D32" s="100">
        <f>SUM(D25:D31)</f>
        <v>0</v>
      </c>
      <c r="E32" s="101">
        <f>SUM(E25:E31)</f>
        <v>0</v>
      </c>
      <c r="F32" s="99">
        <f>SUM(F24:F31)</f>
        <v>15</v>
      </c>
      <c r="G32" s="169"/>
      <c r="H32" s="170"/>
      <c r="I32" s="168"/>
      <c r="J32" s="212">
        <f>+'14'!J32</f>
        <v>0</v>
      </c>
      <c r="K32" s="236"/>
      <c r="L32" s="238"/>
      <c r="M32" s="117">
        <f>+K32+'14'!M32+L32</f>
        <v>0</v>
      </c>
    </row>
    <row r="33" spans="1:14" ht="13.8" thickBot="1">
      <c r="A33" s="171"/>
      <c r="B33" s="172"/>
      <c r="C33" s="103">
        <f>C32/($C$32+$D$32+$E$32)</f>
        <v>1</v>
      </c>
      <c r="D33" s="104">
        <f>D32/($C$32+$D$32+$E$32)</f>
        <v>0</v>
      </c>
      <c r="E33" s="105">
        <f>E32/($C$32+$D$32+$E$32)</f>
        <v>0</v>
      </c>
      <c r="F33" s="106"/>
      <c r="G33" s="173"/>
      <c r="H33" s="174"/>
      <c r="I33" s="175"/>
      <c r="J33" s="121"/>
      <c r="K33" s="122"/>
      <c r="L33" s="211"/>
      <c r="M33" s="119"/>
    </row>
    <row r="34" spans="1:14" ht="13.8" thickBot="1">
      <c r="A34" s="795" t="s">
        <v>68</v>
      </c>
      <c r="B34" s="796"/>
      <c r="C34" s="107">
        <f>C14+C23+C32</f>
        <v>49429</v>
      </c>
      <c r="D34" s="107">
        <f>D14+D23+D32</f>
        <v>0</v>
      </c>
      <c r="E34" s="107">
        <f>E14+E23+E32</f>
        <v>0</v>
      </c>
      <c r="F34" s="108">
        <f>F14+F23+F32</f>
        <v>39</v>
      </c>
      <c r="H34" s="176"/>
      <c r="I34" s="176"/>
      <c r="J34" s="123" t="s">
        <v>28</v>
      </c>
      <c r="K34" s="124">
        <f>SUM(K7:K32)</f>
        <v>49429</v>
      </c>
      <c r="L34" s="210">
        <f>SUM(L7:L32)</f>
        <v>0</v>
      </c>
      <c r="M34" s="120">
        <f>SUM(M7:M32)</f>
        <v>743717</v>
      </c>
      <c r="N34" s="155"/>
    </row>
    <row r="35" spans="1:14" ht="13.8" thickBot="1">
      <c r="A35" s="177"/>
      <c r="B35" s="178"/>
      <c r="C35" s="104">
        <f>C34/($C$34+$D$34+$E$34)</f>
        <v>1</v>
      </c>
      <c r="D35" s="104">
        <f>D34/($C$34+$D$34+$E$34)</f>
        <v>0</v>
      </c>
      <c r="E35" s="109">
        <f>E34/($C$34+$D$34+$E$34)</f>
        <v>0</v>
      </c>
      <c r="K35" s="155"/>
    </row>
    <row r="36" spans="1:14" ht="13.8" thickBot="1">
      <c r="A36" s="176"/>
      <c r="B36" s="176"/>
      <c r="C36" s="155"/>
      <c r="D36" s="155"/>
      <c r="E36" s="155"/>
      <c r="G36" s="155"/>
      <c r="H36" s="179"/>
      <c r="I36" s="162" t="s">
        <v>37</v>
      </c>
      <c r="J36" s="162" t="s">
        <v>38</v>
      </c>
      <c r="K36" s="180"/>
    </row>
    <row r="37" spans="1:14" ht="17.399999999999999" customHeight="1" thickBot="1">
      <c r="A37" s="797" t="s">
        <v>69</v>
      </c>
      <c r="B37" s="798"/>
      <c r="C37" s="162" t="s">
        <v>70</v>
      </c>
      <c r="D37" s="181" t="s">
        <v>71</v>
      </c>
      <c r="E37" s="182" t="s">
        <v>72</v>
      </c>
      <c r="F37" s="304"/>
      <c r="G37" s="306"/>
      <c r="H37" s="184" t="s">
        <v>73</v>
      </c>
      <c r="I37" s="239">
        <f>(13.5*1440)/1440*G42*2.7*1440/1000000</f>
        <v>54.010152000000005</v>
      </c>
      <c r="J37" s="125">
        <f>+I37+'14'!J37</f>
        <v>774.49958227135835</v>
      </c>
      <c r="K37" s="126" t="s">
        <v>74</v>
      </c>
    </row>
    <row r="38" spans="1:14" ht="17.399999999999999" customHeight="1">
      <c r="A38" s="799" t="s">
        <v>12</v>
      </c>
      <c r="B38" s="800"/>
      <c r="C38" s="164">
        <f>SUMIF($G$7:$G$31,"Process",$F$7:$F$31)</f>
        <v>39</v>
      </c>
      <c r="D38" s="118">
        <f>C38+'14'!D38</f>
        <v>398</v>
      </c>
      <c r="E38" s="143">
        <f t="shared" ref="E38:E52" si="3">D38/60</f>
        <v>6.6333333333333337</v>
      </c>
      <c r="F38" s="304">
        <v>1225</v>
      </c>
      <c r="G38" s="304">
        <v>1029</v>
      </c>
      <c r="H38" s="185" t="s">
        <v>75</v>
      </c>
      <c r="I38" s="240">
        <f>16.621+17.855+15.513</f>
        <v>49.988999999999997</v>
      </c>
      <c r="J38" s="127">
        <f>+I38+'14'!J38</f>
        <v>754.52700000000004</v>
      </c>
      <c r="K38" s="128" t="s">
        <v>74</v>
      </c>
    </row>
    <row r="39" spans="1:14" ht="17.399999999999999" customHeight="1">
      <c r="A39" s="786" t="s">
        <v>13</v>
      </c>
      <c r="B39" s="787"/>
      <c r="C39" s="164">
        <f>SUMIF($G$7:$G$31,"Cleaning",$F$7:$F$31)</f>
        <v>0</v>
      </c>
      <c r="D39" s="118">
        <f>C39+'14'!D39</f>
        <v>0</v>
      </c>
      <c r="E39" s="143">
        <f t="shared" si="3"/>
        <v>0</v>
      </c>
      <c r="F39" s="304">
        <v>1225</v>
      </c>
      <c r="G39" s="304">
        <v>1029</v>
      </c>
      <c r="H39" s="185" t="s">
        <v>76</v>
      </c>
      <c r="I39" s="142"/>
      <c r="J39" s="129">
        <f>J37/G4</f>
        <v>51.633305484757223</v>
      </c>
      <c r="K39" s="130" t="s">
        <v>74</v>
      </c>
    </row>
    <row r="40" spans="1:14" ht="17.399999999999999" customHeight="1">
      <c r="A40" s="786" t="s">
        <v>77</v>
      </c>
      <c r="B40" s="787"/>
      <c r="C40" s="164">
        <f>SUMIF($G$7:$G$31,"Mechanical",$F$7:$F$31)</f>
        <v>0</v>
      </c>
      <c r="D40" s="118">
        <f>C40+'14'!D40</f>
        <v>0</v>
      </c>
      <c r="E40" s="143">
        <f t="shared" si="3"/>
        <v>0</v>
      </c>
      <c r="F40" s="304">
        <v>1225</v>
      </c>
      <c r="G40" s="304">
        <v>1029</v>
      </c>
      <c r="H40" s="185" t="s">
        <v>78</v>
      </c>
      <c r="I40" s="118">
        <f>(K34+L34)/1000</f>
        <v>49.429000000000002</v>
      </c>
      <c r="J40" s="131">
        <f>+I40+'14'!J40</f>
        <v>743.71699999999998</v>
      </c>
      <c r="K40" s="130" t="s">
        <v>74</v>
      </c>
    </row>
    <row r="41" spans="1:14" ht="17.399999999999999" customHeight="1">
      <c r="A41" s="786" t="s">
        <v>79</v>
      </c>
      <c r="B41" s="787"/>
      <c r="C41" s="164">
        <f>SUMIF($G$7:$G$31,"Electrical",$F$7:$F$31)</f>
        <v>0</v>
      </c>
      <c r="D41" s="118">
        <f>C41+'14'!D41</f>
        <v>0</v>
      </c>
      <c r="E41" s="143">
        <f t="shared" si="3"/>
        <v>0</v>
      </c>
      <c r="F41" s="304"/>
      <c r="G41" s="304"/>
      <c r="H41" s="185" t="s">
        <v>80</v>
      </c>
      <c r="I41" s="142"/>
      <c r="J41" s="129">
        <f>J40/G4</f>
        <v>49.581133333333334</v>
      </c>
      <c r="K41" s="130" t="s">
        <v>74</v>
      </c>
    </row>
    <row r="42" spans="1:14" ht="17.399999999999999" customHeight="1">
      <c r="A42" s="786" t="s">
        <v>16</v>
      </c>
      <c r="B42" s="787"/>
      <c r="C42" s="164">
        <f>SUMIF($G$7:$G$31,"Instrument",$F$7:$F$31)</f>
        <v>0</v>
      </c>
      <c r="D42" s="118">
        <f>C42+'14'!D42</f>
        <v>0</v>
      </c>
      <c r="E42" s="143">
        <f t="shared" si="3"/>
        <v>0</v>
      </c>
      <c r="F42" s="183">
        <f>+(F38*480+F39*480+F40*480)/1440</f>
        <v>1225</v>
      </c>
      <c r="G42" s="183">
        <f>+(G38*480+G39*480+G40*480)/1440</f>
        <v>1029</v>
      </c>
      <c r="H42" s="185" t="s">
        <v>81</v>
      </c>
      <c r="I42" s="241" t="s">
        <v>585</v>
      </c>
      <c r="J42" s="132"/>
      <c r="K42" s="130" t="s">
        <v>82</v>
      </c>
    </row>
    <row r="43" spans="1:14" ht="17.399999999999999" customHeight="1">
      <c r="A43" s="786" t="s">
        <v>83</v>
      </c>
      <c r="B43" s="787"/>
      <c r="C43" s="164">
        <f>SUMIF($G$7:$G$31,"Water",$F$7:$F$31)</f>
        <v>0</v>
      </c>
      <c r="D43" s="118">
        <f>C43+'14'!D43</f>
        <v>0</v>
      </c>
      <c r="E43" s="143">
        <f t="shared" si="3"/>
        <v>0</v>
      </c>
      <c r="F43" s="304"/>
      <c r="G43" s="305"/>
      <c r="H43" s="186" t="s">
        <v>84</v>
      </c>
      <c r="I43" s="118">
        <f>+Report1!Z23</f>
        <v>96.5</v>
      </c>
      <c r="J43" s="133">
        <f>+I43+'14'!J43</f>
        <v>1428.82</v>
      </c>
      <c r="K43" s="130" t="s">
        <v>74</v>
      </c>
      <c r="L43" s="187"/>
    </row>
    <row r="44" spans="1:14" ht="17.399999999999999" customHeight="1">
      <c r="A44" s="786" t="s">
        <v>17</v>
      </c>
      <c r="B44" s="787"/>
      <c r="C44" s="164">
        <f>SUMIF($G$7:$G$31,"PLN",$F$7:$F$31)</f>
        <v>0</v>
      </c>
      <c r="D44" s="118">
        <f>C44+'14'!D44</f>
        <v>0</v>
      </c>
      <c r="E44" s="143">
        <f t="shared" si="3"/>
        <v>0</v>
      </c>
      <c r="F44" s="304"/>
      <c r="G44" s="305"/>
      <c r="H44" s="186" t="s">
        <v>85</v>
      </c>
      <c r="I44" s="118">
        <f>I43/I38</f>
        <v>1.9304246934325553</v>
      </c>
      <c r="J44" s="134">
        <f>J43/J38</f>
        <v>1.8936631823645804</v>
      </c>
      <c r="K44" s="130" t="s">
        <v>74</v>
      </c>
    </row>
    <row r="45" spans="1:14" ht="17.399999999999999" customHeight="1">
      <c r="A45" s="786" t="s">
        <v>18</v>
      </c>
      <c r="B45" s="787"/>
      <c r="C45" s="164">
        <f>SUMIF($G$7:$G$31,"Boiler",$F$7:$F$31)</f>
        <v>0</v>
      </c>
      <c r="D45" s="118">
        <f>C45+'14'!D45</f>
        <v>0</v>
      </c>
      <c r="E45" s="143">
        <f t="shared" si="3"/>
        <v>0</v>
      </c>
      <c r="F45" s="304"/>
      <c r="G45" s="307"/>
      <c r="H45" s="186" t="s">
        <v>86</v>
      </c>
      <c r="I45" s="118">
        <f>I43/I40</f>
        <v>1.9522952113131966</v>
      </c>
      <c r="J45" s="134">
        <f>J43/J40</f>
        <v>1.9211877636251422</v>
      </c>
      <c r="K45" s="130" t="s">
        <v>74</v>
      </c>
    </row>
    <row r="46" spans="1:14" ht="17.399999999999999" customHeight="1">
      <c r="A46" s="786" t="s">
        <v>87</v>
      </c>
      <c r="B46" s="787"/>
      <c r="C46" s="164">
        <f>SUMIF($G$7:$G$31,"Gas",$F$7:$F$31)</f>
        <v>0</v>
      </c>
      <c r="D46" s="118">
        <f>C46+'14'!D46</f>
        <v>0</v>
      </c>
      <c r="E46" s="143">
        <f t="shared" si="3"/>
        <v>0</v>
      </c>
      <c r="F46" s="304"/>
      <c r="G46" s="305"/>
      <c r="H46" s="186" t="s">
        <v>88</v>
      </c>
      <c r="I46" s="140">
        <f>+SUMIF(Listrik!X22,"&gt;0")</f>
        <v>40973.650087699098</v>
      </c>
      <c r="J46" s="135">
        <f>+I46+'14'!J46</f>
        <v>573431.83611338725</v>
      </c>
      <c r="K46" s="130" t="s">
        <v>89</v>
      </c>
    </row>
    <row r="47" spans="1:14" ht="17.399999999999999" customHeight="1">
      <c r="A47" s="786" t="s">
        <v>90</v>
      </c>
      <c r="B47" s="787"/>
      <c r="C47" s="164">
        <f>SUMIF($G$7:$G$31,"Gas",$F$7:$F$31)</f>
        <v>0</v>
      </c>
      <c r="D47" s="118">
        <f>C47+'14'!D47</f>
        <v>0</v>
      </c>
      <c r="E47" s="143">
        <f t="shared" si="3"/>
        <v>0</v>
      </c>
      <c r="F47" s="304"/>
      <c r="G47" s="305"/>
      <c r="H47" s="186" t="s">
        <v>91</v>
      </c>
      <c r="I47" s="118">
        <f>I46/I38</f>
        <v>819.65332548558888</v>
      </c>
      <c r="J47" s="135">
        <f>J46/J38</f>
        <v>759.98849095312323</v>
      </c>
      <c r="K47" s="130" t="s">
        <v>24</v>
      </c>
    </row>
    <row r="48" spans="1:14" ht="17.399999999999999" customHeight="1">
      <c r="A48" s="786" t="s">
        <v>14</v>
      </c>
      <c r="B48" s="787"/>
      <c r="C48" s="164">
        <f>SUMIF($G$7:$G$31,"Start Up",$F$7:$F$31)</f>
        <v>0</v>
      </c>
      <c r="D48" s="118">
        <f>C48+'14'!D48</f>
        <v>0</v>
      </c>
      <c r="E48" s="143">
        <f t="shared" si="3"/>
        <v>0</v>
      </c>
      <c r="F48" s="304"/>
      <c r="G48" s="305"/>
      <c r="H48" s="186" t="s">
        <v>92</v>
      </c>
      <c r="I48" s="118">
        <f>I46/I40</f>
        <v>828.93949073821227</v>
      </c>
      <c r="J48" s="135">
        <f>J46/J40</f>
        <v>771.03499868012602</v>
      </c>
      <c r="K48" s="130" t="s">
        <v>24</v>
      </c>
    </row>
    <row r="49" spans="1:11" ht="17.399999999999999" customHeight="1">
      <c r="A49" s="786" t="s">
        <v>20</v>
      </c>
      <c r="B49" s="787"/>
      <c r="C49" s="164">
        <f>SUMIF($G$7:$G$31,"Others",$F$7:$F$31)</f>
        <v>0</v>
      </c>
      <c r="D49" s="118">
        <f>C49+'14'!D49</f>
        <v>1072</v>
      </c>
      <c r="E49" s="143">
        <f t="shared" si="3"/>
        <v>17.866666666666667</v>
      </c>
      <c r="F49" s="183"/>
      <c r="H49" s="186" t="s">
        <v>269</v>
      </c>
      <c r="I49" s="118">
        <f>+Report1!T23</f>
        <v>3378.7757485071811</v>
      </c>
      <c r="J49" s="135">
        <f>+I49+'14'!J49</f>
        <v>53724.047547706854</v>
      </c>
      <c r="K49" s="130" t="s">
        <v>93</v>
      </c>
    </row>
    <row r="50" spans="1:11" ht="17.399999999999999" customHeight="1">
      <c r="A50" s="786" t="s">
        <v>19</v>
      </c>
      <c r="B50" s="787"/>
      <c r="C50" s="164">
        <f>SUMIF($G$7:$G$31,"Steam",$F$7:$F$31)</f>
        <v>0</v>
      </c>
      <c r="D50" s="118">
        <f>C50+'14'!D50</f>
        <v>0</v>
      </c>
      <c r="E50" s="143">
        <f t="shared" si="3"/>
        <v>0</v>
      </c>
      <c r="F50" s="183"/>
      <c r="H50" s="186" t="s">
        <v>94</v>
      </c>
      <c r="I50" s="140">
        <f>I49/I38</f>
        <v>67.590384854811688</v>
      </c>
      <c r="J50" s="133">
        <f>J49/J38</f>
        <v>71.202286396254678</v>
      </c>
      <c r="K50" s="130" t="s">
        <v>93</v>
      </c>
    </row>
    <row r="51" spans="1:11" ht="17.399999999999999" customHeight="1">
      <c r="A51" s="803" t="s">
        <v>95</v>
      </c>
      <c r="B51" s="803"/>
      <c r="C51" s="164">
        <f>SUMIF($G$7:$G$31,"Planned shut",$F$7:$F$31)</f>
        <v>0</v>
      </c>
      <c r="D51" s="118">
        <f>C51+'14'!D51</f>
        <v>0</v>
      </c>
      <c r="E51" s="143">
        <f t="shared" si="3"/>
        <v>0</v>
      </c>
      <c r="F51" s="183"/>
      <c r="H51" s="188" t="s">
        <v>96</v>
      </c>
      <c r="I51" s="141">
        <f>I49/I40</f>
        <v>68.356142113074938</v>
      </c>
      <c r="J51" s="136">
        <f>J49/J40</f>
        <v>72.237218656702552</v>
      </c>
      <c r="K51" s="137" t="s">
        <v>93</v>
      </c>
    </row>
    <row r="52" spans="1:11" ht="13.8" thickBot="1">
      <c r="A52" s="804" t="s">
        <v>218</v>
      </c>
      <c r="B52" s="805"/>
      <c r="C52" s="164">
        <f>SUMIF($G$7:$G$31,"Change Grade",$F$7:$F$31)</f>
        <v>0</v>
      </c>
      <c r="D52" s="118">
        <f>C52+'14'!D52</f>
        <v>0</v>
      </c>
      <c r="E52" s="143">
        <f t="shared" si="3"/>
        <v>0</v>
      </c>
      <c r="F52" s="183"/>
      <c r="H52" s="189"/>
      <c r="I52" s="190"/>
      <c r="J52" s="138"/>
      <c r="K52" s="139"/>
    </row>
    <row r="53" spans="1:11">
      <c r="A53" s="799" t="s">
        <v>28</v>
      </c>
      <c r="B53" s="800"/>
      <c r="C53" s="144">
        <f>SUM(C38:C52)</f>
        <v>39</v>
      </c>
      <c r="D53" s="144">
        <f>SUM(D38:D52)</f>
        <v>1470</v>
      </c>
      <c r="E53" s="145">
        <f>SUM(E38:E52)</f>
        <v>24.5</v>
      </c>
      <c r="F53" s="183"/>
    </row>
    <row r="54" spans="1:11" ht="13.8" thickBot="1">
      <c r="A54" s="801"/>
      <c r="B54" s="802"/>
      <c r="C54" s="146">
        <f>C53/(24*60)</f>
        <v>2.7083333333333334E-2</v>
      </c>
      <c r="D54" s="146">
        <f>D53/(24*60*G4)</f>
        <v>6.805555555555555E-2</v>
      </c>
      <c r="E54" s="147">
        <f>E53/(G4*24)</f>
        <v>6.805555555555555E-2</v>
      </c>
      <c r="F54" s="183"/>
    </row>
    <row r="55" spans="1:11">
      <c r="E55" s="191"/>
    </row>
    <row r="56" spans="1:11">
      <c r="A56" s="192" t="s">
        <v>97</v>
      </c>
      <c r="B56" s="193"/>
      <c r="C56" s="194"/>
      <c r="D56" s="194"/>
      <c r="E56" s="194"/>
      <c r="F56" s="195"/>
      <c r="G56" s="194"/>
      <c r="H56" s="196"/>
      <c r="I56" s="197" t="s">
        <v>98</v>
      </c>
      <c r="J56" s="198">
        <f>+D34+'14'!J56</f>
        <v>0</v>
      </c>
      <c r="K56" s="199">
        <f>J56/(J40+J56/1000)/1000</f>
        <v>0</v>
      </c>
    </row>
    <row r="57" spans="1:11">
      <c r="A57" s="174"/>
      <c r="I57" s="197" t="s">
        <v>99</v>
      </c>
      <c r="J57" s="198">
        <f>+E34+'14'!J57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8:B48"/>
    <mergeCell ref="A49:B49"/>
    <mergeCell ref="A50:B50"/>
    <mergeCell ref="A51:B51"/>
    <mergeCell ref="A52:B52"/>
    <mergeCell ref="A47:B47"/>
    <mergeCell ref="A7:A14"/>
    <mergeCell ref="A34:B34"/>
    <mergeCell ref="A37:B37"/>
    <mergeCell ref="A38:B38"/>
    <mergeCell ref="A39:B39"/>
    <mergeCell ref="A46:B46"/>
    <mergeCell ref="A40:B40"/>
    <mergeCell ref="A41:B41"/>
    <mergeCell ref="A43:B43"/>
    <mergeCell ref="I7:I13"/>
    <mergeCell ref="A15:A23"/>
    <mergeCell ref="I15:I22"/>
    <mergeCell ref="A44:B44"/>
    <mergeCell ref="A45:B45"/>
    <mergeCell ref="A42:B42"/>
    <mergeCell ref="I24:I31"/>
    <mergeCell ref="A24:A32"/>
  </mergeCells>
  <phoneticPr fontId="31" type="noConversion"/>
  <printOptions horizontalCentered="1"/>
  <pageMargins left="0.17" right="0.16" top="0.17" bottom="0.16" header="0" footer="0"/>
  <pageSetup paperSize="9" scale="53" firstPageNumber="4294963191"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61"/>
  <sheetViews>
    <sheetView view="pageBreakPreview" zoomScale="80" zoomScaleNormal="75" zoomScaleSheetLayoutView="80" workbookViewId="0">
      <selection activeCell="A7" sqref="A7:A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2.109375" style="149" customWidth="1"/>
    <col min="14" max="16384" width="9.109375" style="149"/>
  </cols>
  <sheetData>
    <row r="1" spans="1:19" ht="15.6">
      <c r="A1" s="148"/>
    </row>
    <row r="2" spans="1:19" ht="15.6">
      <c r="A2" s="148" t="s">
        <v>219</v>
      </c>
    </row>
    <row r="3" spans="1:19" ht="15">
      <c r="A3" s="150"/>
    </row>
    <row r="4" spans="1:19" ht="21">
      <c r="A4" s="151" t="s">
        <v>4</v>
      </c>
      <c r="B4" s="152"/>
      <c r="F4" s="153" t="s">
        <v>29</v>
      </c>
      <c r="G4" s="154">
        <v>14</v>
      </c>
      <c r="H4" s="154" t="str">
        <f>+'1'!H4</f>
        <v>.03.26</v>
      </c>
      <c r="J4" s="149">
        <f>387+394+437</f>
        <v>1218</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584</v>
      </c>
      <c r="O6" s="149">
        <v>1225</v>
      </c>
      <c r="P6" s="149">
        <f>+O6-(O6*0.16)</f>
        <v>1029</v>
      </c>
      <c r="Q6" s="149">
        <v>480</v>
      </c>
      <c r="R6" s="149">
        <f t="shared" ref="R6" si="0">+O6*Q6</f>
        <v>588000</v>
      </c>
      <c r="S6" s="149">
        <f t="shared" ref="S6" si="1">+P6*Q6</f>
        <v>493920</v>
      </c>
    </row>
    <row r="7" spans="1:19" ht="13.5" customHeight="1" thickBot="1">
      <c r="A7" s="788" t="s">
        <v>387</v>
      </c>
      <c r="B7" s="213" t="s">
        <v>592</v>
      </c>
      <c r="C7" s="214">
        <v>16023</v>
      </c>
      <c r="D7" s="215"/>
      <c r="E7" s="216"/>
      <c r="F7" s="231"/>
      <c r="G7" s="553" t="s">
        <v>12</v>
      </c>
      <c r="H7" s="554" t="s">
        <v>417</v>
      </c>
      <c r="I7" s="791" t="s">
        <v>585</v>
      </c>
      <c r="J7" s="212" t="str">
        <f>+'13'!J7</f>
        <v>T 15 RC HW</v>
      </c>
      <c r="K7" s="233"/>
      <c r="L7" s="237"/>
      <c r="M7" s="117">
        <f>+K7+'13'!M7+L7</f>
        <v>369000</v>
      </c>
      <c r="O7" s="149">
        <v>1225</v>
      </c>
      <c r="P7" s="149">
        <f t="shared" ref="P7:P8" si="2">+O7-(O7*0.16)</f>
        <v>1029</v>
      </c>
      <c r="Q7" s="149">
        <v>480</v>
      </c>
      <c r="R7" s="149">
        <f t="shared" ref="R7:R8" si="3">+O7*Q7</f>
        <v>588000</v>
      </c>
      <c r="S7" s="149">
        <f t="shared" ref="S7:S8" si="4">+P7*Q7</f>
        <v>493920</v>
      </c>
    </row>
    <row r="8" spans="1:19" ht="13.8" thickBot="1">
      <c r="A8" s="789"/>
      <c r="B8" s="213"/>
      <c r="C8" s="214"/>
      <c r="D8" s="215"/>
      <c r="E8" s="217"/>
      <c r="F8" s="227"/>
      <c r="G8" s="555" t="s">
        <v>12</v>
      </c>
      <c r="H8" s="226" t="s">
        <v>419</v>
      </c>
      <c r="I8" s="792"/>
      <c r="J8" s="212" t="str">
        <f>+'13'!J8</f>
        <v>T 14,5 RC HW</v>
      </c>
      <c r="K8" s="234"/>
      <c r="L8" s="234"/>
      <c r="M8" s="117">
        <f>+K8+'13'!M8+L8</f>
        <v>206120</v>
      </c>
      <c r="O8" s="149">
        <v>1225</v>
      </c>
      <c r="P8" s="149">
        <f t="shared" si="2"/>
        <v>1029</v>
      </c>
      <c r="Q8" s="149">
        <v>480</v>
      </c>
      <c r="R8" s="149">
        <f t="shared" si="3"/>
        <v>588000</v>
      </c>
      <c r="S8" s="149">
        <f t="shared" si="4"/>
        <v>493920</v>
      </c>
    </row>
    <row r="9" spans="1:19" ht="13.8" thickBot="1">
      <c r="A9" s="789"/>
      <c r="B9" s="213"/>
      <c r="C9" s="214"/>
      <c r="D9" s="215"/>
      <c r="E9" s="218"/>
      <c r="F9" s="227">
        <v>7</v>
      </c>
      <c r="G9" s="555" t="s">
        <v>12</v>
      </c>
      <c r="H9" s="229" t="s">
        <v>418</v>
      </c>
      <c r="I9" s="792"/>
      <c r="J9" s="212" t="str">
        <f>+'13'!J9</f>
        <v>T 14 RC HW</v>
      </c>
      <c r="K9" s="234"/>
      <c r="L9" s="234"/>
      <c r="M9" s="117">
        <f>+K9+'13'!M9+L9</f>
        <v>49646</v>
      </c>
    </row>
    <row r="10" spans="1:19" ht="53.4" thickBot="1">
      <c r="A10" s="789"/>
      <c r="B10" s="213"/>
      <c r="C10" s="214"/>
      <c r="D10" s="215"/>
      <c r="E10" s="217"/>
      <c r="F10" s="227"/>
      <c r="G10" s="225"/>
      <c r="H10" s="556" t="s">
        <v>606</v>
      </c>
      <c r="I10" s="792"/>
      <c r="J10" s="212" t="str">
        <f>+'13'!J10</f>
        <v>T 13,5 RC HW</v>
      </c>
      <c r="K10" s="234">
        <f>+C34</f>
        <v>49991</v>
      </c>
      <c r="L10" s="234"/>
      <c r="M10" s="117">
        <f>+K10+'13'!M10+L10</f>
        <v>69522</v>
      </c>
    </row>
    <row r="11" spans="1:19" ht="13.8" thickBot="1">
      <c r="A11" s="789"/>
      <c r="B11" s="213"/>
      <c r="C11" s="214"/>
      <c r="D11" s="215"/>
      <c r="E11" s="217"/>
      <c r="F11" s="224"/>
      <c r="G11" s="228"/>
      <c r="H11" s="229" t="s">
        <v>583</v>
      </c>
      <c r="I11" s="792"/>
      <c r="J11" s="212">
        <f>+'13'!J11</f>
        <v>0</v>
      </c>
      <c r="K11" s="234"/>
      <c r="L11" s="234"/>
      <c r="M11" s="117">
        <f>+K11+'13'!M11+L11</f>
        <v>0</v>
      </c>
    </row>
    <row r="12" spans="1:19" ht="13.8" thickBot="1">
      <c r="A12" s="789"/>
      <c r="B12" s="213"/>
      <c r="C12" s="214"/>
      <c r="D12" s="215"/>
      <c r="E12" s="217"/>
      <c r="F12" s="224"/>
      <c r="G12" s="228"/>
      <c r="H12" s="229"/>
      <c r="I12" s="792"/>
      <c r="J12" s="212">
        <f>+'13'!J12</f>
        <v>0</v>
      </c>
      <c r="K12" s="234"/>
      <c r="L12" s="234"/>
      <c r="M12" s="117">
        <f>+K12+'13'!M12+L12</f>
        <v>0</v>
      </c>
    </row>
    <row r="13" spans="1:19" ht="13.8" thickBot="1">
      <c r="A13" s="789"/>
      <c r="B13" s="213"/>
      <c r="C13" s="214"/>
      <c r="D13" s="214"/>
      <c r="E13" s="217"/>
      <c r="F13" s="224"/>
      <c r="G13" s="228"/>
      <c r="H13" s="229"/>
      <c r="I13" s="793"/>
      <c r="J13" s="212">
        <f>+'13'!J13</f>
        <v>0</v>
      </c>
      <c r="K13" s="234"/>
      <c r="L13" s="234"/>
      <c r="M13" s="117">
        <f>+K13+'13'!M13+L13</f>
        <v>0</v>
      </c>
      <c r="Q13" s="174">
        <f>SUM(Q6:Q12)</f>
        <v>1440</v>
      </c>
      <c r="R13" s="174">
        <f>SUM(R6:R12)</f>
        <v>1764000</v>
      </c>
      <c r="S13" s="174">
        <f>SUM(S6:S12)</f>
        <v>1481760</v>
      </c>
    </row>
    <row r="14" spans="1:19" ht="13.8" thickBot="1">
      <c r="A14" s="790"/>
      <c r="B14" s="165" t="s">
        <v>3</v>
      </c>
      <c r="C14" s="99">
        <f>SUM(C7:C13)</f>
        <v>16023</v>
      </c>
      <c r="D14" s="111">
        <f>SUM(D7:D13)</f>
        <v>0</v>
      </c>
      <c r="E14" s="112">
        <f>SUM(E5:E13)</f>
        <v>0</v>
      </c>
      <c r="F14" s="116">
        <f>SUM(F7:F13)</f>
        <v>7</v>
      </c>
      <c r="G14" s="159"/>
      <c r="H14" s="166"/>
      <c r="I14" s="167"/>
      <c r="J14" s="212">
        <f>+'13'!J14</f>
        <v>0</v>
      </c>
      <c r="K14" s="234"/>
      <c r="L14" s="234"/>
      <c r="M14" s="117">
        <f>+K14+'13'!M14+L14</f>
        <v>0</v>
      </c>
      <c r="Q14" s="149">
        <f>480-Q13</f>
        <v>-960</v>
      </c>
      <c r="R14" s="174">
        <f>+R13/Q13</f>
        <v>1225</v>
      </c>
      <c r="S14" s="174">
        <f>+S13/Q13</f>
        <v>1029</v>
      </c>
    </row>
    <row r="15" spans="1:19" ht="13.8" thickBot="1">
      <c r="A15" s="794" t="s">
        <v>390</v>
      </c>
      <c r="B15" s="513"/>
      <c r="C15" s="113">
        <f>C14/($C$23+$D$23+$E$23)</f>
        <v>0.94564447592067991</v>
      </c>
      <c r="D15" s="114">
        <f>D14/($C$23+$D$23+$E$23)</f>
        <v>0</v>
      </c>
      <c r="E15" s="115">
        <f>E14/($C$23+$D$23+$E$23)</f>
        <v>0</v>
      </c>
      <c r="F15" s="231"/>
      <c r="G15" s="553" t="s">
        <v>12</v>
      </c>
      <c r="H15" s="554" t="s">
        <v>417</v>
      </c>
      <c r="I15" s="791" t="s">
        <v>585</v>
      </c>
      <c r="J15" s="212">
        <f>+'13'!J15</f>
        <v>0</v>
      </c>
      <c r="K15" s="234"/>
      <c r="L15" s="234"/>
      <c r="M15" s="117">
        <f>+K15+'13'!M15+L15</f>
        <v>0</v>
      </c>
    </row>
    <row r="16" spans="1:19" ht="13.8" thickBot="1">
      <c r="A16" s="789"/>
      <c r="B16" s="512" t="s">
        <v>592</v>
      </c>
      <c r="C16" s="511">
        <v>16944</v>
      </c>
      <c r="D16" s="219"/>
      <c r="E16" s="220"/>
      <c r="F16" s="227"/>
      <c r="G16" s="555" t="s">
        <v>12</v>
      </c>
      <c r="H16" s="226" t="s">
        <v>419</v>
      </c>
      <c r="I16" s="792"/>
      <c r="J16" s="212">
        <f>+'13'!J16</f>
        <v>0</v>
      </c>
      <c r="K16" s="225"/>
      <c r="L16" s="225"/>
      <c r="M16" s="117">
        <f>+K16+'13'!M16+L16</f>
        <v>0</v>
      </c>
    </row>
    <row r="17" spans="1:23" ht="13.8" thickBot="1">
      <c r="A17" s="789"/>
      <c r="B17" s="213"/>
      <c r="C17" s="214"/>
      <c r="D17" s="215"/>
      <c r="E17" s="221"/>
      <c r="F17" s="227">
        <v>9</v>
      </c>
      <c r="G17" s="555" t="s">
        <v>12</v>
      </c>
      <c r="H17" s="229" t="s">
        <v>418</v>
      </c>
      <c r="I17" s="792"/>
      <c r="J17" s="212">
        <f>+'13'!J17</f>
        <v>0</v>
      </c>
      <c r="K17" s="225"/>
      <c r="L17" s="225"/>
      <c r="M17" s="117">
        <f>+K17+'13'!M17+L17</f>
        <v>0</v>
      </c>
    </row>
    <row r="18" spans="1:23" ht="53.4" thickBot="1">
      <c r="A18" s="789"/>
      <c r="B18" s="213"/>
      <c r="C18" s="214"/>
      <c r="D18" s="215"/>
      <c r="E18" s="221"/>
      <c r="F18" s="227"/>
      <c r="G18" s="225"/>
      <c r="H18" s="556" t="s">
        <v>578</v>
      </c>
      <c r="I18" s="792"/>
      <c r="J18" s="212">
        <f>+'13'!J18</f>
        <v>0</v>
      </c>
      <c r="K18" s="234"/>
      <c r="L18" s="234"/>
      <c r="M18" s="117">
        <f>+K18+'13'!M18+L18</f>
        <v>0</v>
      </c>
    </row>
    <row r="19" spans="1:23" ht="27" thickBot="1">
      <c r="A19" s="789"/>
      <c r="B19" s="213"/>
      <c r="C19" s="214"/>
      <c r="D19" s="215"/>
      <c r="E19" s="221"/>
      <c r="F19" s="230"/>
      <c r="G19" s="228"/>
      <c r="H19" s="229" t="s">
        <v>609</v>
      </c>
      <c r="I19" s="792"/>
      <c r="J19" s="212">
        <f>+'13'!J19</f>
        <v>0</v>
      </c>
      <c r="K19" s="234"/>
      <c r="L19" s="234"/>
      <c r="M19" s="117">
        <f>+K19+'13'!M19+L19</f>
        <v>0</v>
      </c>
    </row>
    <row r="20" spans="1:23" ht="13.8" thickBot="1">
      <c r="A20" s="789"/>
      <c r="B20" s="213"/>
      <c r="C20" s="214"/>
      <c r="D20" s="215"/>
      <c r="E20" s="221"/>
      <c r="F20" s="224"/>
      <c r="G20" s="228"/>
      <c r="H20" s="229"/>
      <c r="I20" s="792"/>
      <c r="J20" s="212">
        <f>+'13'!J20</f>
        <v>0</v>
      </c>
      <c r="K20" s="235"/>
      <c r="L20" s="235"/>
      <c r="M20" s="117">
        <f>+K20+'13'!M20+L20</f>
        <v>0</v>
      </c>
    </row>
    <row r="21" spans="1:23" ht="13.8" thickBot="1">
      <c r="A21" s="789"/>
      <c r="B21" s="213"/>
      <c r="C21" s="214"/>
      <c r="D21" s="215"/>
      <c r="E21" s="221"/>
      <c r="F21" s="227"/>
      <c r="G21" s="228"/>
      <c r="H21" s="229"/>
      <c r="I21" s="792"/>
      <c r="J21" s="212">
        <f>+'13'!J21</f>
        <v>0</v>
      </c>
      <c r="K21" s="234"/>
      <c r="L21" s="234"/>
      <c r="M21" s="117">
        <f>+K21+'13'!M21+L21</f>
        <v>0</v>
      </c>
    </row>
    <row r="22" spans="1:23" ht="13.8" thickBot="1">
      <c r="A22" s="789"/>
      <c r="B22" s="213"/>
      <c r="C22" s="214"/>
      <c r="D22" s="215"/>
      <c r="E22" s="221"/>
      <c r="F22" s="231"/>
      <c r="G22" s="228"/>
      <c r="H22" s="229"/>
      <c r="I22" s="793"/>
      <c r="J22" s="212">
        <f>+'13'!J22</f>
        <v>0</v>
      </c>
      <c r="K22" s="234"/>
      <c r="L22" s="234"/>
      <c r="M22" s="117">
        <f>+K22+'13'!M22+L22</f>
        <v>0</v>
      </c>
    </row>
    <row r="23" spans="1:23" ht="13.8" thickBot="1">
      <c r="A23" s="790"/>
      <c r="B23" s="165" t="s">
        <v>3</v>
      </c>
      <c r="C23" s="99">
        <f>SUM(C16:C22)</f>
        <v>16944</v>
      </c>
      <c r="D23" s="111">
        <f>SUM(D16:D22)</f>
        <v>0</v>
      </c>
      <c r="E23" s="112">
        <f>SUM(E18:E22)</f>
        <v>0</v>
      </c>
      <c r="F23" s="116">
        <f>SUM(F15:F22)</f>
        <v>9</v>
      </c>
      <c r="G23" s="159"/>
      <c r="H23" s="166"/>
      <c r="I23" s="168"/>
      <c r="J23" s="212">
        <f>+'13'!J23</f>
        <v>0</v>
      </c>
      <c r="K23" s="234"/>
      <c r="L23" s="234"/>
      <c r="M23" s="117">
        <f>+K23+'13'!M23+L23</f>
        <v>0</v>
      </c>
    </row>
    <row r="24" spans="1:23" ht="13.8" thickBot="1">
      <c r="A24" s="794" t="s">
        <v>366</v>
      </c>
      <c r="B24" s="513"/>
      <c r="C24" s="113">
        <f>C23/($C$23+$D$23+$E$23)</f>
        <v>1</v>
      </c>
      <c r="D24" s="114">
        <f>D23/($C$23+$D$23+$E$23)</f>
        <v>0</v>
      </c>
      <c r="E24" s="115">
        <f>E23/($C$23+$D$23+$E$23)</f>
        <v>0</v>
      </c>
      <c r="F24" s="231"/>
      <c r="G24" s="553" t="s">
        <v>12</v>
      </c>
      <c r="H24" s="554" t="s">
        <v>417</v>
      </c>
      <c r="I24" s="791" t="s">
        <v>585</v>
      </c>
      <c r="J24" s="212">
        <f>+'13'!J24</f>
        <v>0</v>
      </c>
      <c r="K24" s="234"/>
      <c r="L24" s="234"/>
      <c r="M24" s="117">
        <f>+K24+'13'!M24+L24</f>
        <v>0</v>
      </c>
    </row>
    <row r="25" spans="1:23" ht="13.8" thickBot="1">
      <c r="A25" s="789"/>
      <c r="B25" s="512" t="s">
        <v>592</v>
      </c>
      <c r="C25" s="222">
        <v>17024</v>
      </c>
      <c r="D25" s="215"/>
      <c r="E25" s="221"/>
      <c r="F25" s="227"/>
      <c r="G25" s="555" t="s">
        <v>12</v>
      </c>
      <c r="H25" s="226" t="s">
        <v>419</v>
      </c>
      <c r="I25" s="792"/>
      <c r="J25" s="212">
        <f>+'13'!J25</f>
        <v>0</v>
      </c>
      <c r="K25" s="234"/>
      <c r="L25" s="234"/>
      <c r="M25" s="117">
        <f>+K25+'13'!M25+L25</f>
        <v>0</v>
      </c>
    </row>
    <row r="26" spans="1:23" ht="13.8" thickBot="1">
      <c r="A26" s="789"/>
      <c r="B26" s="213"/>
      <c r="C26" s="222"/>
      <c r="D26" s="215"/>
      <c r="E26" s="223"/>
      <c r="F26" s="227">
        <v>7</v>
      </c>
      <c r="G26" s="555" t="s">
        <v>12</v>
      </c>
      <c r="H26" s="229" t="s">
        <v>418</v>
      </c>
      <c r="I26" s="792"/>
      <c r="J26" s="212">
        <f>+'13'!J26</f>
        <v>0</v>
      </c>
      <c r="K26" s="234"/>
      <c r="L26" s="234"/>
      <c r="M26" s="560">
        <f>+K26+'13'!M26+L26</f>
        <v>0</v>
      </c>
    </row>
    <row r="27" spans="1:23" ht="53.4" thickBot="1">
      <c r="A27" s="789"/>
      <c r="B27" s="213"/>
      <c r="C27" s="214"/>
      <c r="D27" s="215"/>
      <c r="E27" s="221"/>
      <c r="F27" s="227"/>
      <c r="G27" s="225"/>
      <c r="H27" s="556" t="s">
        <v>578</v>
      </c>
      <c r="I27" s="792"/>
      <c r="J27" s="212">
        <f>+'13'!J27</f>
        <v>0</v>
      </c>
      <c r="K27" s="234"/>
      <c r="L27" s="234"/>
      <c r="M27" s="560">
        <f>+K27+'13'!M27+L27</f>
        <v>0</v>
      </c>
      <c r="P27" s="174"/>
    </row>
    <row r="28" spans="1:23" ht="41.25" customHeight="1" thickBot="1">
      <c r="A28" s="789"/>
      <c r="B28" s="213"/>
      <c r="C28" s="214"/>
      <c r="D28" s="215"/>
      <c r="E28" s="221"/>
      <c r="F28" s="227"/>
      <c r="G28" s="225"/>
      <c r="H28" s="229" t="s">
        <v>608</v>
      </c>
      <c r="I28" s="792"/>
      <c r="J28" s="212">
        <f>+'13'!J28</f>
        <v>0</v>
      </c>
      <c r="K28" s="234"/>
      <c r="L28" s="234"/>
      <c r="M28" s="560">
        <f>+K28+'13'!M28+L28</f>
        <v>0</v>
      </c>
      <c r="Q28" s="174"/>
      <c r="R28" s="174"/>
    </row>
    <row r="29" spans="1:23" ht="13.8" thickBot="1">
      <c r="A29" s="789"/>
      <c r="B29" s="213"/>
      <c r="C29" s="214"/>
      <c r="D29" s="215"/>
      <c r="E29" s="221"/>
      <c r="F29" s="231"/>
      <c r="G29" s="228"/>
      <c r="H29" s="229"/>
      <c r="I29" s="792"/>
      <c r="J29" s="212">
        <f>+'13'!J29</f>
        <v>0</v>
      </c>
      <c r="K29" s="234"/>
      <c r="L29" s="234"/>
      <c r="M29" s="560">
        <f>+K29+'13'!M29+L29</f>
        <v>0</v>
      </c>
    </row>
    <row r="30" spans="1:23" ht="13.8" thickBot="1">
      <c r="A30" s="789"/>
      <c r="B30" s="213"/>
      <c r="C30" s="222"/>
      <c r="D30" s="215"/>
      <c r="E30" s="221"/>
      <c r="F30" s="231"/>
      <c r="G30" s="228"/>
      <c r="H30" s="229"/>
      <c r="I30" s="792"/>
      <c r="J30" s="212">
        <f>+'13'!J30</f>
        <v>0</v>
      </c>
      <c r="K30" s="234"/>
      <c r="L30" s="234"/>
      <c r="M30" s="560">
        <f>+K30+'13'!M30+L30</f>
        <v>0</v>
      </c>
      <c r="U30" s="563"/>
    </row>
    <row r="31" spans="1:23" ht="13.8" thickBot="1">
      <c r="A31" s="789"/>
      <c r="B31" s="213"/>
      <c r="C31" s="222"/>
      <c r="D31" s="215"/>
      <c r="E31" s="221"/>
      <c r="F31" s="231"/>
      <c r="G31" s="232"/>
      <c r="H31" s="404"/>
      <c r="I31" s="793"/>
      <c r="J31" s="212">
        <f>+'13'!J31</f>
        <v>0</v>
      </c>
      <c r="K31" s="234"/>
      <c r="L31" s="234"/>
      <c r="M31" s="560">
        <f>+K31+'13'!M31+L31</f>
        <v>0</v>
      </c>
      <c r="R31" s="564"/>
      <c r="T31" s="191"/>
      <c r="U31" s="565"/>
      <c r="V31" s="155"/>
      <c r="W31" s="325"/>
    </row>
    <row r="32" spans="1:23" ht="13.8" thickBot="1">
      <c r="A32" s="790"/>
      <c r="B32" s="165" t="s">
        <v>3</v>
      </c>
      <c r="C32" s="99">
        <f>SUM(C25:C31)</f>
        <v>17024</v>
      </c>
      <c r="D32" s="100">
        <f>SUM(D25:D31)</f>
        <v>0</v>
      </c>
      <c r="E32" s="101">
        <f>SUM(E25:E31)</f>
        <v>0</v>
      </c>
      <c r="F32" s="99">
        <f>SUM(F24:F31)</f>
        <v>7</v>
      </c>
      <c r="G32" s="169"/>
      <c r="H32" s="170"/>
      <c r="I32" s="168"/>
      <c r="J32" s="212">
        <f>+'13'!J32</f>
        <v>0</v>
      </c>
      <c r="K32" s="236"/>
      <c r="L32" s="238"/>
      <c r="M32" s="560">
        <f>+K32+'13'!M32+L32</f>
        <v>0</v>
      </c>
      <c r="U32" s="566"/>
    </row>
    <row r="33" spans="1:14" ht="13.8" thickBot="1">
      <c r="A33" s="171"/>
      <c r="B33" s="172"/>
      <c r="C33" s="103">
        <f>C32/($C$32+$D$32+$E$32)</f>
        <v>1</v>
      </c>
      <c r="D33" s="104">
        <f>D32/($C$32+$D$32+$E$32)</f>
        <v>0</v>
      </c>
      <c r="E33" s="105">
        <f>E32/($C$32+$D$32+$E$32)</f>
        <v>0</v>
      </c>
      <c r="F33" s="106"/>
      <c r="G33" s="173"/>
      <c r="H33" s="174"/>
      <c r="I33" s="175"/>
      <c r="J33" s="121"/>
      <c r="K33" s="122"/>
      <c r="L33" s="211"/>
      <c r="M33" s="561"/>
    </row>
    <row r="34" spans="1:14" ht="13.8" thickBot="1">
      <c r="A34" s="795" t="s">
        <v>68</v>
      </c>
      <c r="B34" s="796"/>
      <c r="C34" s="107">
        <f>C14+C23+C32</f>
        <v>49991</v>
      </c>
      <c r="D34" s="107">
        <f>D14+D23+D32</f>
        <v>0</v>
      </c>
      <c r="E34" s="107">
        <f>E14+E23+E32</f>
        <v>0</v>
      </c>
      <c r="F34" s="108">
        <f>F14+F23+F32</f>
        <v>23</v>
      </c>
      <c r="H34" s="176"/>
      <c r="I34" s="176"/>
      <c r="J34" s="123" t="s">
        <v>28</v>
      </c>
      <c r="K34" s="124">
        <f>SUM(K7:K32)</f>
        <v>49991</v>
      </c>
      <c r="L34" s="210">
        <f>SUM(L7:L32)</f>
        <v>0</v>
      </c>
      <c r="M34" s="562">
        <f>SUM(M7:M32)</f>
        <v>694288</v>
      </c>
      <c r="N34" s="155"/>
    </row>
    <row r="35" spans="1:14" ht="13.8" thickBot="1">
      <c r="A35" s="177"/>
      <c r="B35" s="178"/>
      <c r="C35" s="104">
        <f>C34/($C$34+$D$34+$E$34)</f>
        <v>1</v>
      </c>
      <c r="D35" s="104">
        <f>D34/($C$34+$D$34+$E$34)</f>
        <v>0</v>
      </c>
      <c r="E35" s="109">
        <f>E34/($C$34+$D$34+$E$34)</f>
        <v>0</v>
      </c>
      <c r="K35" s="155"/>
    </row>
    <row r="36" spans="1:14" ht="13.8" thickBot="1">
      <c r="A36" s="176"/>
      <c r="B36" s="176"/>
      <c r="C36" s="155"/>
      <c r="D36" s="155"/>
      <c r="E36" s="155"/>
      <c r="G36" s="155"/>
      <c r="H36" s="179"/>
      <c r="I36" s="162" t="s">
        <v>37</v>
      </c>
      <c r="J36" s="162" t="s">
        <v>38</v>
      </c>
      <c r="K36" s="180"/>
    </row>
    <row r="37" spans="1:14" ht="17.399999999999999" customHeight="1" thickBot="1">
      <c r="A37" s="797" t="s">
        <v>69</v>
      </c>
      <c r="B37" s="798"/>
      <c r="C37" s="162" t="s">
        <v>70</v>
      </c>
      <c r="D37" s="181" t="s">
        <v>71</v>
      </c>
      <c r="E37" s="182" t="s">
        <v>72</v>
      </c>
      <c r="F37" s="304"/>
      <c r="G37" s="306"/>
      <c r="H37" s="184" t="s">
        <v>73</v>
      </c>
      <c r="I37" s="239">
        <f>(13.5*1440)/1440*G42*2.7*1440/1000000</f>
        <v>54.010152000000005</v>
      </c>
      <c r="J37" s="125">
        <f>+I37+'13'!J37</f>
        <v>720.48943027135829</v>
      </c>
      <c r="K37" s="126" t="s">
        <v>74</v>
      </c>
    </row>
    <row r="38" spans="1:14" ht="17.399999999999999" customHeight="1">
      <c r="A38" s="799" t="s">
        <v>12</v>
      </c>
      <c r="B38" s="800"/>
      <c r="C38" s="164">
        <f>SUMIF($G$7:$G$31,"Process",$F$7:$F$31)</f>
        <v>23</v>
      </c>
      <c r="D38" s="118">
        <f>C38+'13'!D38</f>
        <v>359</v>
      </c>
      <c r="E38" s="143">
        <f t="shared" ref="E38:E52" si="5">D38/60</f>
        <v>5.9833333333333334</v>
      </c>
      <c r="F38" s="536">
        <v>1225</v>
      </c>
      <c r="G38" s="536">
        <v>1029</v>
      </c>
      <c r="H38" s="185" t="s">
        <v>75</v>
      </c>
      <c r="I38" s="240">
        <f>17.981+17.981+17.855</f>
        <v>53.817000000000007</v>
      </c>
      <c r="J38" s="127">
        <f>+I38+'13'!J38</f>
        <v>704.53800000000001</v>
      </c>
      <c r="K38" s="128" t="s">
        <v>74</v>
      </c>
    </row>
    <row r="39" spans="1:14" ht="17.399999999999999" customHeight="1">
      <c r="A39" s="786" t="s">
        <v>13</v>
      </c>
      <c r="B39" s="787"/>
      <c r="C39" s="164">
        <f>SUMIF($G$7:$G$31,"Cleaning",$F$7:$F$31)</f>
        <v>0</v>
      </c>
      <c r="D39" s="118">
        <f>C39+'13'!D39</f>
        <v>0</v>
      </c>
      <c r="E39" s="143">
        <f t="shared" si="5"/>
        <v>0</v>
      </c>
      <c r="F39" s="536">
        <v>1225</v>
      </c>
      <c r="G39" s="536">
        <v>1029</v>
      </c>
      <c r="H39" s="185" t="s">
        <v>76</v>
      </c>
      <c r="I39" s="142"/>
      <c r="J39" s="129">
        <f>J37/G4</f>
        <v>51.463530733668449</v>
      </c>
      <c r="K39" s="130" t="s">
        <v>74</v>
      </c>
    </row>
    <row r="40" spans="1:14" ht="17.399999999999999" customHeight="1">
      <c r="A40" s="786" t="s">
        <v>77</v>
      </c>
      <c r="B40" s="787"/>
      <c r="C40" s="164">
        <f>SUMIF($G$7:$G$31,"Mechanical",$F$7:$F$31)</f>
        <v>0</v>
      </c>
      <c r="D40" s="118">
        <f>C40+'13'!D40</f>
        <v>0</v>
      </c>
      <c r="E40" s="143">
        <f t="shared" si="5"/>
        <v>0</v>
      </c>
      <c r="F40" s="304">
        <v>1225</v>
      </c>
      <c r="G40" s="304">
        <v>1029</v>
      </c>
      <c r="H40" s="185" t="s">
        <v>78</v>
      </c>
      <c r="I40" s="118">
        <f>(K34+L34)/1000</f>
        <v>49.991</v>
      </c>
      <c r="J40" s="131">
        <f>+I40+'13'!J40</f>
        <v>694.28800000000001</v>
      </c>
      <c r="K40" s="130" t="s">
        <v>74</v>
      </c>
    </row>
    <row r="41" spans="1:14" ht="17.399999999999999" customHeight="1">
      <c r="A41" s="786" t="s">
        <v>79</v>
      </c>
      <c r="B41" s="787"/>
      <c r="C41" s="164">
        <f>SUMIF($G$7:$G$31,"Electrical",$F$7:$F$31)</f>
        <v>0</v>
      </c>
      <c r="D41" s="118">
        <f>C41+'13'!D41</f>
        <v>0</v>
      </c>
      <c r="E41" s="143">
        <f t="shared" si="5"/>
        <v>0</v>
      </c>
      <c r="F41" s="304"/>
      <c r="G41" s="304"/>
      <c r="H41" s="185" t="s">
        <v>80</v>
      </c>
      <c r="I41" s="142"/>
      <c r="J41" s="129">
        <f>J40/G4</f>
        <v>49.591999999999999</v>
      </c>
      <c r="K41" s="130" t="s">
        <v>74</v>
      </c>
    </row>
    <row r="42" spans="1:14" ht="17.399999999999999" customHeight="1">
      <c r="A42" s="786" t="s">
        <v>16</v>
      </c>
      <c r="B42" s="787"/>
      <c r="C42" s="164">
        <f>SUMIF($G$7:$G$31,"Instrument",$F$7:$F$31)</f>
        <v>0</v>
      </c>
      <c r="D42" s="118">
        <f>C42+'13'!D42</f>
        <v>0</v>
      </c>
      <c r="E42" s="143">
        <f t="shared" si="5"/>
        <v>0</v>
      </c>
      <c r="F42" s="183">
        <f>+(480*F38+480*F39+480*F40)/1440</f>
        <v>1225</v>
      </c>
      <c r="G42" s="183">
        <f>+(480*G38+480*G39+480*G40)/1440</f>
        <v>1029</v>
      </c>
      <c r="H42" s="185" t="s">
        <v>81</v>
      </c>
      <c r="I42" s="241" t="s">
        <v>585</v>
      </c>
      <c r="J42" s="132"/>
      <c r="K42" s="130" t="s">
        <v>82</v>
      </c>
    </row>
    <row r="43" spans="1:14" ht="17.399999999999999" customHeight="1">
      <c r="A43" s="786" t="s">
        <v>83</v>
      </c>
      <c r="B43" s="787"/>
      <c r="C43" s="164">
        <f>SUMIF($G$7:$G$31,"Water",$F$7:$F$31)</f>
        <v>0</v>
      </c>
      <c r="D43" s="118">
        <f>C43+'13'!D43</f>
        <v>0</v>
      </c>
      <c r="E43" s="143">
        <f t="shared" si="5"/>
        <v>0</v>
      </c>
      <c r="F43" s="304"/>
      <c r="G43" s="305"/>
      <c r="H43" s="186" t="s">
        <v>84</v>
      </c>
      <c r="I43" s="118">
        <f>+Report1!Z22</f>
        <v>95.6</v>
      </c>
      <c r="J43" s="133">
        <f>+I43+'13'!J43</f>
        <v>1332.32</v>
      </c>
      <c r="K43" s="130" t="s">
        <v>74</v>
      </c>
      <c r="L43" s="187"/>
    </row>
    <row r="44" spans="1:14" ht="17.399999999999999" customHeight="1">
      <c r="A44" s="786" t="s">
        <v>17</v>
      </c>
      <c r="B44" s="787"/>
      <c r="C44" s="164">
        <f>SUMIF($G$7:$G$31,"PLN",$F$7:$F$31)</f>
        <v>0</v>
      </c>
      <c r="D44" s="118">
        <f>C44+'13'!D44</f>
        <v>0</v>
      </c>
      <c r="E44" s="143">
        <f t="shared" si="5"/>
        <v>0</v>
      </c>
      <c r="F44" s="304"/>
      <c r="G44" s="305"/>
      <c r="H44" s="186" t="s">
        <v>85</v>
      </c>
      <c r="I44" s="118">
        <f>I43/I38</f>
        <v>1.7763903599234439</v>
      </c>
      <c r="J44" s="134">
        <f>J43/J38</f>
        <v>1.8910548472899971</v>
      </c>
      <c r="K44" s="130" t="s">
        <v>74</v>
      </c>
    </row>
    <row r="45" spans="1:14" ht="17.399999999999999" customHeight="1">
      <c r="A45" s="786" t="s">
        <v>18</v>
      </c>
      <c r="B45" s="787"/>
      <c r="C45" s="164">
        <f>SUMIF($G$7:$G$31,"Boiler",$F$7:$F$31)</f>
        <v>0</v>
      </c>
      <c r="D45" s="118">
        <f>C45+'13'!D45</f>
        <v>0</v>
      </c>
      <c r="E45" s="143">
        <f t="shared" si="5"/>
        <v>0</v>
      </c>
      <c r="F45" s="304"/>
      <c r="G45" s="307"/>
      <c r="H45" s="186" t="s">
        <v>86</v>
      </c>
      <c r="I45" s="118">
        <f>I43/I40</f>
        <v>1.9123442219599527</v>
      </c>
      <c r="J45" s="134">
        <f>J43/J40</f>
        <v>1.9189731062613784</v>
      </c>
      <c r="K45" s="130" t="s">
        <v>74</v>
      </c>
    </row>
    <row r="46" spans="1:14" ht="17.399999999999999" customHeight="1">
      <c r="A46" s="786" t="s">
        <v>87</v>
      </c>
      <c r="B46" s="787"/>
      <c r="C46" s="164">
        <f>SUMIF($G$7:$G$31,"Gas",$F$7:$F$31)</f>
        <v>0</v>
      </c>
      <c r="D46" s="118">
        <f>C46+'13'!D46</f>
        <v>0</v>
      </c>
      <c r="E46" s="143">
        <f t="shared" si="5"/>
        <v>0</v>
      </c>
      <c r="F46" s="304"/>
      <c r="G46" s="305"/>
      <c r="H46" s="186" t="s">
        <v>88</v>
      </c>
      <c r="I46" s="140">
        <f>+SUMIF(Listrik!X21,"&gt;0")</f>
        <v>43210.2528485492</v>
      </c>
      <c r="J46" s="135">
        <f>+I46+'13'!J46</f>
        <v>532458.18602568819</v>
      </c>
      <c r="K46" s="130" t="s">
        <v>89</v>
      </c>
    </row>
    <row r="47" spans="1:14" ht="17.399999999999999" customHeight="1">
      <c r="A47" s="786" t="s">
        <v>90</v>
      </c>
      <c r="B47" s="787"/>
      <c r="C47" s="164">
        <f>SUMIF($G$7:$G$31,"Gas",$F$7:$F$31)</f>
        <v>0</v>
      </c>
      <c r="D47" s="118">
        <f>C47+'13'!D47</f>
        <v>0</v>
      </c>
      <c r="E47" s="143">
        <f t="shared" si="5"/>
        <v>0</v>
      </c>
      <c r="F47" s="304"/>
      <c r="G47" s="305"/>
      <c r="H47" s="186" t="s">
        <v>91</v>
      </c>
      <c r="I47" s="118">
        <f>I46/I38</f>
        <v>802.91084320101811</v>
      </c>
      <c r="J47" s="135">
        <f>J46/J38</f>
        <v>755.75509912267069</v>
      </c>
      <c r="K47" s="130" t="s">
        <v>24</v>
      </c>
    </row>
    <row r="48" spans="1:14" ht="17.399999999999999" customHeight="1">
      <c r="A48" s="786" t="s">
        <v>14</v>
      </c>
      <c r="B48" s="787"/>
      <c r="C48" s="164">
        <f>SUMIF($G$7:$G$31,"Start Up",$F$7:$F$31)</f>
        <v>0</v>
      </c>
      <c r="D48" s="118">
        <f>C48+'13'!D48</f>
        <v>0</v>
      </c>
      <c r="E48" s="143">
        <f t="shared" si="5"/>
        <v>0</v>
      </c>
      <c r="F48" s="304"/>
      <c r="G48" s="305"/>
      <c r="H48" s="186" t="s">
        <v>92</v>
      </c>
      <c r="I48" s="118">
        <f>I46/I40</f>
        <v>864.36064188652358</v>
      </c>
      <c r="J48" s="135">
        <f>J46/J40</f>
        <v>766.91255793804328</v>
      </c>
      <c r="K48" s="130" t="s">
        <v>24</v>
      </c>
    </row>
    <row r="49" spans="1:11" ht="17.399999999999999" customHeight="1">
      <c r="A49" s="786" t="s">
        <v>20</v>
      </c>
      <c r="B49" s="787"/>
      <c r="C49" s="164">
        <f>SUMIF($G$7:$G$31,"Others",$F$7:$F$31)</f>
        <v>0</v>
      </c>
      <c r="D49" s="118">
        <f>C49+'13'!D49</f>
        <v>1072</v>
      </c>
      <c r="E49" s="143">
        <f t="shared" si="5"/>
        <v>17.866666666666667</v>
      </c>
      <c r="F49" s="183"/>
      <c r="H49" s="186" t="s">
        <v>269</v>
      </c>
      <c r="I49" s="118">
        <f>+Report1!T22</f>
        <v>3499.8967413945279</v>
      </c>
      <c r="J49" s="135">
        <f>+I49+'13'!J49</f>
        <v>50345.271799199676</v>
      </c>
      <c r="K49" s="130" t="s">
        <v>93</v>
      </c>
    </row>
    <row r="50" spans="1:11" ht="17.399999999999999" customHeight="1">
      <c r="A50" s="786" t="s">
        <v>19</v>
      </c>
      <c r="B50" s="787"/>
      <c r="C50" s="164">
        <f>SUMIF($G$7:$G$31,"Steam",$F$7:$F$31)</f>
        <v>0</v>
      </c>
      <c r="D50" s="118">
        <f>C50+'13'!D50</f>
        <v>0</v>
      </c>
      <c r="E50" s="143">
        <f t="shared" si="5"/>
        <v>0</v>
      </c>
      <c r="F50" s="183"/>
      <c r="H50" s="186" t="s">
        <v>94</v>
      </c>
      <c r="I50" s="140">
        <f>I49/I38</f>
        <v>65.033293223229222</v>
      </c>
      <c r="J50" s="133">
        <f>J49/J38</f>
        <v>71.458561212027845</v>
      </c>
      <c r="K50" s="130" t="s">
        <v>93</v>
      </c>
    </row>
    <row r="51" spans="1:11" ht="17.399999999999999" customHeight="1">
      <c r="A51" s="803" t="s">
        <v>95</v>
      </c>
      <c r="B51" s="803"/>
      <c r="C51" s="164">
        <f>SUMIF($G$7:$G$31,"Planned shut",$F$7:$F$31)</f>
        <v>0</v>
      </c>
      <c r="D51" s="118">
        <f>C51+'13'!D51</f>
        <v>0</v>
      </c>
      <c r="E51" s="143">
        <f t="shared" si="5"/>
        <v>0</v>
      </c>
      <c r="F51" s="183"/>
      <c r="H51" s="188" t="s">
        <v>96</v>
      </c>
      <c r="I51" s="141">
        <f>I49/I40</f>
        <v>70.010536724500966</v>
      </c>
      <c r="J51" s="136">
        <f>J49/J40</f>
        <v>72.513527238263762</v>
      </c>
      <c r="K51" s="137" t="s">
        <v>93</v>
      </c>
    </row>
    <row r="52" spans="1:11" ht="13.8" thickBot="1">
      <c r="A52" s="804" t="s">
        <v>218</v>
      </c>
      <c r="B52" s="805"/>
      <c r="C52" s="164">
        <f>SUMIF($G$7:$G$31,"Change Grade",$F$7:$F$31)</f>
        <v>0</v>
      </c>
      <c r="D52" s="118">
        <f>C52+'13'!D52</f>
        <v>0</v>
      </c>
      <c r="E52" s="143">
        <f t="shared" si="5"/>
        <v>0</v>
      </c>
      <c r="F52" s="183"/>
      <c r="H52" s="189"/>
      <c r="I52" s="190"/>
      <c r="J52" s="138"/>
      <c r="K52" s="139"/>
    </row>
    <row r="53" spans="1:11">
      <c r="A53" s="799" t="s">
        <v>28</v>
      </c>
      <c r="B53" s="800"/>
      <c r="C53" s="144">
        <f>SUM(C38:C52)</f>
        <v>23</v>
      </c>
      <c r="D53" s="144">
        <f>SUM(D38:D52)</f>
        <v>1431</v>
      </c>
      <c r="E53" s="145">
        <f>SUM(E38:E52)</f>
        <v>23.85</v>
      </c>
      <c r="F53" s="183"/>
    </row>
    <row r="54" spans="1:11" ht="13.8" thickBot="1">
      <c r="A54" s="801"/>
      <c r="B54" s="802"/>
      <c r="C54" s="146">
        <f>C53/(24*60)</f>
        <v>1.5972222222222221E-2</v>
      </c>
      <c r="D54" s="146">
        <f>D53/(24*60*G4)</f>
        <v>7.0982142857142855E-2</v>
      </c>
      <c r="E54" s="147">
        <f>E53/(G4*24)</f>
        <v>7.0982142857142855E-2</v>
      </c>
      <c r="F54" s="183"/>
    </row>
    <row r="55" spans="1:11">
      <c r="E55" s="191"/>
    </row>
    <row r="56" spans="1:11">
      <c r="A56" s="192" t="s">
        <v>97</v>
      </c>
      <c r="B56" s="193"/>
      <c r="C56" s="194"/>
      <c r="D56" s="194"/>
      <c r="E56" s="194"/>
      <c r="F56" s="195"/>
      <c r="G56" s="194"/>
      <c r="H56" s="196"/>
      <c r="I56" s="197" t="s">
        <v>98</v>
      </c>
      <c r="J56" s="198">
        <f>+D34+'13'!J56</f>
        <v>0</v>
      </c>
      <c r="K56" s="199">
        <f>J56/(J40+J56/1000)/1000</f>
        <v>0</v>
      </c>
    </row>
    <row r="57" spans="1:11">
      <c r="A57" s="174"/>
      <c r="I57" s="197" t="s">
        <v>99</v>
      </c>
      <c r="J57" s="198">
        <f>+E34+'13'!J57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 ref="A43:B43"/>
    <mergeCell ref="A46:B46"/>
    <mergeCell ref="A47:B47"/>
    <mergeCell ref="A52:B52"/>
    <mergeCell ref="A53:B53"/>
    <mergeCell ref="A48:B48"/>
    <mergeCell ref="A49:B49"/>
    <mergeCell ref="A50:B50"/>
    <mergeCell ref="A51:B51"/>
  </mergeCells>
  <phoneticPr fontId="31"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S61"/>
  <sheetViews>
    <sheetView view="pageBreakPreview" topLeftCell="G7" zoomScale="80" zoomScaleNormal="70" zoomScaleSheetLayoutView="80" workbookViewId="0">
      <selection activeCell="N25" sqref="N25:S33"/>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2.109375" style="149" customWidth="1"/>
    <col min="14" max="16384" width="9.109375" style="149"/>
  </cols>
  <sheetData>
    <row r="1" spans="1:19" ht="15.6">
      <c r="A1" s="148"/>
    </row>
    <row r="2" spans="1:19" ht="15.6">
      <c r="A2" s="148" t="s">
        <v>219</v>
      </c>
    </row>
    <row r="3" spans="1:19" ht="15">
      <c r="A3" s="150"/>
    </row>
    <row r="4" spans="1:19" ht="21">
      <c r="A4" s="151" t="s">
        <v>4</v>
      </c>
      <c r="B4" s="152"/>
      <c r="F4" s="153" t="s">
        <v>29</v>
      </c>
      <c r="G4" s="154">
        <v>13</v>
      </c>
      <c r="H4" s="154" t="str">
        <f>+'1'!H4</f>
        <v>.03.26</v>
      </c>
      <c r="J4" s="149">
        <f>502+400+394</f>
        <v>1296</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571</v>
      </c>
      <c r="O6" s="149">
        <v>1225</v>
      </c>
      <c r="P6" s="149">
        <f>+O6-(O6*0.2)</f>
        <v>980</v>
      </c>
      <c r="Q6" s="149">
        <v>480</v>
      </c>
      <c r="R6" s="149">
        <f t="shared" ref="R6" si="0">+O6*Q6</f>
        <v>588000</v>
      </c>
      <c r="S6" s="149">
        <f t="shared" ref="S6" si="1">+P6*Q6</f>
        <v>470400</v>
      </c>
    </row>
    <row r="7" spans="1:19" ht="13.5" customHeight="1" thickBot="1">
      <c r="A7" s="788" t="s">
        <v>591</v>
      </c>
      <c r="B7" s="213" t="s">
        <v>577</v>
      </c>
      <c r="C7" s="214">
        <v>17771</v>
      </c>
      <c r="D7" s="215"/>
      <c r="E7" s="216"/>
      <c r="F7" s="231"/>
      <c r="G7" s="553" t="s">
        <v>12</v>
      </c>
      <c r="H7" s="554" t="s">
        <v>417</v>
      </c>
      <c r="I7" s="791" t="s">
        <v>587</v>
      </c>
      <c r="J7" s="212" t="str">
        <f>+'12'!J7</f>
        <v>T 15 RC HW</v>
      </c>
      <c r="K7" s="233"/>
      <c r="L7" s="237"/>
      <c r="M7" s="117">
        <f>+K7+'12'!M7+L7</f>
        <v>369000</v>
      </c>
    </row>
    <row r="8" spans="1:19" ht="13.8" thickBot="1">
      <c r="A8" s="789"/>
      <c r="B8" s="213"/>
      <c r="C8" s="214"/>
      <c r="D8" s="215"/>
      <c r="E8" s="217"/>
      <c r="F8" s="227"/>
      <c r="G8" s="555" t="s">
        <v>12</v>
      </c>
      <c r="H8" s="226" t="s">
        <v>419</v>
      </c>
      <c r="I8" s="792"/>
      <c r="J8" s="212" t="str">
        <f>+'12'!J8</f>
        <v>T 14,5 RC HW</v>
      </c>
      <c r="K8" s="234"/>
      <c r="L8" s="234"/>
      <c r="M8" s="117">
        <f>+K8+'12'!M8+L8</f>
        <v>206120</v>
      </c>
    </row>
    <row r="9" spans="1:19" ht="13.8" thickBot="1">
      <c r="A9" s="789"/>
      <c r="B9" s="213"/>
      <c r="C9" s="214"/>
      <c r="D9" s="215"/>
      <c r="E9" s="218"/>
      <c r="F9" s="227">
        <v>7</v>
      </c>
      <c r="G9" s="555" t="s">
        <v>12</v>
      </c>
      <c r="H9" s="229" t="s">
        <v>497</v>
      </c>
      <c r="I9" s="792"/>
      <c r="J9" s="212" t="str">
        <f>+'12'!J9</f>
        <v>T 14 RC HW</v>
      </c>
      <c r="K9" s="234">
        <f>+C7+C16</f>
        <v>30647</v>
      </c>
      <c r="L9" s="234"/>
      <c r="M9" s="117">
        <f>+K9+'12'!M9+L9</f>
        <v>49646</v>
      </c>
    </row>
    <row r="10" spans="1:19" ht="53.4" thickBot="1">
      <c r="A10" s="789"/>
      <c r="B10" s="213"/>
      <c r="C10" s="214"/>
      <c r="D10" s="215"/>
      <c r="E10" s="217"/>
      <c r="F10" s="227"/>
      <c r="G10" s="225"/>
      <c r="H10" s="556" t="s">
        <v>582</v>
      </c>
      <c r="I10" s="792"/>
      <c r="J10" s="212" t="s">
        <v>592</v>
      </c>
      <c r="K10" s="234">
        <f>+C17+C25</f>
        <v>19531</v>
      </c>
      <c r="L10" s="234"/>
      <c r="M10" s="117">
        <f>+K10+'12'!M10+L10</f>
        <v>19531</v>
      </c>
    </row>
    <row r="11" spans="1:19" ht="13.8" thickBot="1">
      <c r="A11" s="789"/>
      <c r="B11" s="213"/>
      <c r="C11" s="214"/>
      <c r="D11" s="215"/>
      <c r="E11" s="217"/>
      <c r="F11" s="224"/>
      <c r="G11" s="228"/>
      <c r="H11" s="229" t="s">
        <v>583</v>
      </c>
      <c r="I11" s="792"/>
      <c r="J11" s="212">
        <f>+'12'!J11</f>
        <v>0</v>
      </c>
      <c r="K11" s="234"/>
      <c r="L11" s="234"/>
      <c r="M11" s="117">
        <f>+K11+'12'!M11+L11</f>
        <v>0</v>
      </c>
    </row>
    <row r="12" spans="1:19" ht="13.8" thickBot="1">
      <c r="A12" s="789"/>
      <c r="B12" s="213"/>
      <c r="C12" s="214"/>
      <c r="D12" s="215"/>
      <c r="E12" s="217"/>
      <c r="F12" s="224"/>
      <c r="G12" s="228"/>
      <c r="H12" s="229"/>
      <c r="I12" s="792"/>
      <c r="J12" s="212">
        <f>+'12'!J12</f>
        <v>0</v>
      </c>
      <c r="K12" s="234"/>
      <c r="L12" s="234"/>
      <c r="M12" s="117">
        <f>+K12+'12'!M12+L12</f>
        <v>0</v>
      </c>
    </row>
    <row r="13" spans="1:19" ht="13.8" thickBot="1">
      <c r="A13" s="789"/>
      <c r="B13" s="213"/>
      <c r="C13" s="214"/>
      <c r="D13" s="214"/>
      <c r="E13" s="217"/>
      <c r="F13" s="224"/>
      <c r="G13" s="228"/>
      <c r="H13" s="229"/>
      <c r="I13" s="793"/>
      <c r="J13" s="212">
        <f>+'12'!J13</f>
        <v>0</v>
      </c>
      <c r="K13" s="234"/>
      <c r="L13" s="234"/>
      <c r="M13" s="117">
        <f>+K13+'12'!M13+L13</f>
        <v>0</v>
      </c>
      <c r="Q13" s="174">
        <f>SUM(Q6:Q12)</f>
        <v>480</v>
      </c>
      <c r="R13" s="174">
        <f>SUM(R6:R12)</f>
        <v>588000</v>
      </c>
      <c r="S13" s="174">
        <f>SUM(S6:S12)</f>
        <v>470400</v>
      </c>
    </row>
    <row r="14" spans="1:19" ht="13.8" thickBot="1">
      <c r="A14" s="790"/>
      <c r="B14" s="165" t="s">
        <v>3</v>
      </c>
      <c r="C14" s="99">
        <f>SUM(C7:C13)</f>
        <v>17771</v>
      </c>
      <c r="D14" s="111">
        <f>SUM(D7:D13)</f>
        <v>0</v>
      </c>
      <c r="E14" s="112">
        <f>SUM(E5:E13)</f>
        <v>0</v>
      </c>
      <c r="F14" s="116">
        <f>SUM(F7:F13)</f>
        <v>7</v>
      </c>
      <c r="G14" s="159"/>
      <c r="H14" s="166"/>
      <c r="I14" s="167"/>
      <c r="J14" s="212">
        <f>+'12'!J14</f>
        <v>0</v>
      </c>
      <c r="K14" s="234"/>
      <c r="L14" s="234"/>
      <c r="M14" s="117">
        <f>+K14+'12'!M14+L14</f>
        <v>0</v>
      </c>
      <c r="Q14" s="149">
        <f>480-Q13</f>
        <v>0</v>
      </c>
      <c r="R14" s="174">
        <f>+R13/Q13</f>
        <v>1225</v>
      </c>
      <c r="S14" s="174">
        <f>+S13/Q13</f>
        <v>980</v>
      </c>
    </row>
    <row r="15" spans="1:19" ht="13.5" customHeight="1" thickBot="1">
      <c r="A15" s="794" t="s">
        <v>458</v>
      </c>
      <c r="B15" s="513"/>
      <c r="C15" s="113">
        <f>C14/($C$23+$D$23+$E$23)</f>
        <v>1.1472562943834732</v>
      </c>
      <c r="D15" s="114">
        <f>D14/($C$23+$D$23+$E$23)</f>
        <v>0</v>
      </c>
      <c r="E15" s="115">
        <f>E14/($C$23+$D$23+$E$23)</f>
        <v>0</v>
      </c>
      <c r="F15" s="231"/>
      <c r="G15" s="553" t="s">
        <v>12</v>
      </c>
      <c r="H15" s="554" t="s">
        <v>417</v>
      </c>
      <c r="I15" s="791" t="s">
        <v>586</v>
      </c>
      <c r="J15" s="212">
        <f>+'12'!J15</f>
        <v>0</v>
      </c>
      <c r="K15" s="234"/>
      <c r="L15" s="234"/>
      <c r="M15" s="117">
        <f>+K15+'12'!M15+L15</f>
        <v>0</v>
      </c>
    </row>
    <row r="16" spans="1:19" ht="13.8" thickBot="1">
      <c r="A16" s="789"/>
      <c r="B16" s="512" t="s">
        <v>577</v>
      </c>
      <c r="C16" s="511">
        <v>12876</v>
      </c>
      <c r="D16" s="219"/>
      <c r="E16" s="220"/>
      <c r="F16" s="227">
        <v>3</v>
      </c>
      <c r="G16" s="555" t="s">
        <v>12</v>
      </c>
      <c r="H16" s="226" t="s">
        <v>416</v>
      </c>
      <c r="I16" s="792"/>
      <c r="J16" s="212">
        <f>+'12'!J16</f>
        <v>0</v>
      </c>
      <c r="K16" s="225"/>
      <c r="L16" s="225"/>
      <c r="M16" s="117">
        <f>+K16+'12'!M16+L16</f>
        <v>0</v>
      </c>
      <c r="N16" s="149" t="s">
        <v>571</v>
      </c>
      <c r="O16" s="149">
        <v>1225</v>
      </c>
      <c r="P16" s="149">
        <f>+O16-(O16*0.2)</f>
        <v>980</v>
      </c>
      <c r="Q16" s="149">
        <f>60*4+42</f>
        <v>282</v>
      </c>
      <c r="R16" s="149">
        <f t="shared" ref="R16:R17" si="2">+O16*Q16</f>
        <v>345450</v>
      </c>
      <c r="S16" s="149">
        <f t="shared" ref="S16:S17" si="3">+P16*Q16</f>
        <v>276360</v>
      </c>
    </row>
    <row r="17" spans="1:19" ht="13.8" thickBot="1">
      <c r="A17" s="789"/>
      <c r="B17" s="213" t="s">
        <v>592</v>
      </c>
      <c r="C17" s="214">
        <f>15490-C16</f>
        <v>2614</v>
      </c>
      <c r="D17" s="215"/>
      <c r="E17" s="221"/>
      <c r="F17" s="227">
        <v>7</v>
      </c>
      <c r="G17" s="555" t="s">
        <v>12</v>
      </c>
      <c r="H17" s="229" t="s">
        <v>418</v>
      </c>
      <c r="I17" s="792"/>
      <c r="J17" s="212">
        <f>+'12'!J17</f>
        <v>0</v>
      </c>
      <c r="K17" s="225"/>
      <c r="L17" s="225"/>
      <c r="M17" s="117">
        <f>+K17+'12'!M17+L17</f>
        <v>0</v>
      </c>
      <c r="N17" s="149" t="s">
        <v>584</v>
      </c>
      <c r="O17" s="149">
        <v>1225</v>
      </c>
      <c r="P17" s="149">
        <f>+O17-(O17*0.16)</f>
        <v>1029</v>
      </c>
      <c r="Q17" s="149">
        <f>480-Q16</f>
        <v>198</v>
      </c>
      <c r="R17" s="149">
        <f t="shared" si="2"/>
        <v>242550</v>
      </c>
      <c r="S17" s="149">
        <f t="shared" si="3"/>
        <v>203742</v>
      </c>
    </row>
    <row r="18" spans="1:19" ht="93" thickBot="1">
      <c r="A18" s="789"/>
      <c r="B18" s="213"/>
      <c r="C18" s="214"/>
      <c r="D18" s="215"/>
      <c r="E18" s="221"/>
      <c r="F18" s="227"/>
      <c r="G18" s="225"/>
      <c r="H18" s="556" t="s">
        <v>580</v>
      </c>
      <c r="I18" s="792"/>
      <c r="J18" s="212">
        <f>+'12'!J18</f>
        <v>0</v>
      </c>
      <c r="K18" s="234"/>
      <c r="L18" s="234"/>
      <c r="M18" s="117">
        <f>+K18+'12'!M18+L18</f>
        <v>0</v>
      </c>
    </row>
    <row r="19" spans="1:19" ht="27" thickBot="1">
      <c r="A19" s="789"/>
      <c r="B19" s="213"/>
      <c r="C19" s="214"/>
      <c r="D19" s="215"/>
      <c r="E19" s="221"/>
      <c r="F19" s="230"/>
      <c r="G19" s="228"/>
      <c r="H19" s="229" t="s">
        <v>581</v>
      </c>
      <c r="I19" s="792"/>
      <c r="J19" s="212">
        <f>+'12'!J19</f>
        <v>0</v>
      </c>
      <c r="K19" s="234"/>
      <c r="L19" s="234"/>
      <c r="M19" s="117">
        <f>+K19+'12'!M19+L19</f>
        <v>0</v>
      </c>
    </row>
    <row r="20" spans="1:19" ht="13.8" thickBot="1">
      <c r="A20" s="789"/>
      <c r="B20" s="213"/>
      <c r="C20" s="214"/>
      <c r="D20" s="215"/>
      <c r="E20" s="221"/>
      <c r="F20" s="224"/>
      <c r="G20" s="228"/>
      <c r="H20" s="229"/>
      <c r="I20" s="792"/>
      <c r="J20" s="212">
        <f>+'12'!J20</f>
        <v>0</v>
      </c>
      <c r="K20" s="235"/>
      <c r="L20" s="235"/>
      <c r="M20" s="117">
        <f>+K20+'12'!M20+L20</f>
        <v>0</v>
      </c>
    </row>
    <row r="21" spans="1:19" ht="13.8" thickBot="1">
      <c r="A21" s="789"/>
      <c r="B21" s="213"/>
      <c r="C21" s="214"/>
      <c r="D21" s="215"/>
      <c r="E21" s="221"/>
      <c r="F21" s="227"/>
      <c r="G21" s="228"/>
      <c r="H21" s="229"/>
      <c r="I21" s="792"/>
      <c r="J21" s="212">
        <f>+'12'!J21</f>
        <v>0</v>
      </c>
      <c r="K21" s="234"/>
      <c r="L21" s="234"/>
      <c r="M21" s="117">
        <f>+K21+'12'!M21+L21</f>
        <v>0</v>
      </c>
    </row>
    <row r="22" spans="1:19" ht="13.8" thickBot="1">
      <c r="A22" s="789"/>
      <c r="B22" s="213"/>
      <c r="C22" s="214"/>
      <c r="D22" s="215"/>
      <c r="E22" s="221"/>
      <c r="F22" s="231"/>
      <c r="G22" s="228"/>
      <c r="H22" s="229"/>
      <c r="I22" s="793"/>
      <c r="J22" s="212">
        <f>+'12'!J22</f>
        <v>0</v>
      </c>
      <c r="K22" s="234"/>
      <c r="L22" s="234"/>
      <c r="M22" s="117">
        <f>+K22+'12'!M22+L22</f>
        <v>0</v>
      </c>
    </row>
    <row r="23" spans="1:19" ht="13.8" thickBot="1">
      <c r="A23" s="790"/>
      <c r="B23" s="165" t="s">
        <v>3</v>
      </c>
      <c r="C23" s="99">
        <f>SUM(C16:C22)</f>
        <v>15490</v>
      </c>
      <c r="D23" s="111">
        <f>SUM(D16:D22)</f>
        <v>0</v>
      </c>
      <c r="E23" s="112">
        <f>SUM(E18:E22)</f>
        <v>0</v>
      </c>
      <c r="F23" s="116">
        <f>SUM(F15:F22)</f>
        <v>10</v>
      </c>
      <c r="G23" s="159"/>
      <c r="H23" s="166"/>
      <c r="I23" s="168"/>
      <c r="J23" s="212">
        <f>+'12'!J23</f>
        <v>0</v>
      </c>
      <c r="K23" s="234"/>
      <c r="L23" s="234"/>
      <c r="M23" s="117">
        <f>+K23+'12'!M23+L23</f>
        <v>0</v>
      </c>
      <c r="Q23" s="174">
        <f>SUM(Q16:Q22)</f>
        <v>480</v>
      </c>
      <c r="R23" s="174">
        <f>SUM(R16:R22)</f>
        <v>588000</v>
      </c>
      <c r="S23" s="174">
        <f>SUM(S16:S22)</f>
        <v>480102</v>
      </c>
    </row>
    <row r="24" spans="1:19" ht="13.5" customHeight="1" thickBot="1">
      <c r="A24" s="794" t="s">
        <v>428</v>
      </c>
      <c r="B24" s="513"/>
      <c r="C24" s="113">
        <f>C23/($C$23+$D$23+$E$23)</f>
        <v>1</v>
      </c>
      <c r="D24" s="114">
        <f>D23/($C$23+$D$23+$E$23)</f>
        <v>0</v>
      </c>
      <c r="E24" s="115">
        <f>E23/($C$23+$D$23+$E$23)</f>
        <v>0</v>
      </c>
      <c r="F24" s="231"/>
      <c r="G24" s="553" t="s">
        <v>12</v>
      </c>
      <c r="H24" s="554" t="s">
        <v>417</v>
      </c>
      <c r="I24" s="791" t="s">
        <v>585</v>
      </c>
      <c r="J24" s="212">
        <f>+'12'!J24</f>
        <v>0</v>
      </c>
      <c r="K24" s="234"/>
      <c r="L24" s="234"/>
      <c r="M24" s="117">
        <f>+K24+'12'!M24+L24</f>
        <v>0</v>
      </c>
      <c r="Q24" s="149">
        <f>480-Q23</f>
        <v>0</v>
      </c>
      <c r="R24" s="174">
        <f>+R23/Q23</f>
        <v>1225</v>
      </c>
      <c r="S24" s="174">
        <f>+S23/Q23</f>
        <v>1000.2125</v>
      </c>
    </row>
    <row r="25" spans="1:19" ht="13.8" thickBot="1">
      <c r="A25" s="789"/>
      <c r="B25" s="512" t="s">
        <v>592</v>
      </c>
      <c r="C25" s="222">
        <v>16917</v>
      </c>
      <c r="D25" s="215"/>
      <c r="E25" s="221"/>
      <c r="F25" s="227"/>
      <c r="G25" s="555" t="s">
        <v>12</v>
      </c>
      <c r="H25" s="226" t="s">
        <v>419</v>
      </c>
      <c r="I25" s="792"/>
      <c r="J25" s="212">
        <f>+'12'!J25</f>
        <v>0</v>
      </c>
      <c r="K25" s="234"/>
      <c r="L25" s="234"/>
      <c r="M25" s="117">
        <f>+K25+'12'!M25+L25</f>
        <v>0</v>
      </c>
      <c r="N25" s="149" t="s">
        <v>584</v>
      </c>
      <c r="O25" s="149">
        <v>1225</v>
      </c>
      <c r="P25" s="149">
        <f>+O25-(O25*0.16)</f>
        <v>1029</v>
      </c>
      <c r="Q25" s="149">
        <v>480</v>
      </c>
      <c r="R25" s="149">
        <f t="shared" ref="R25" si="4">+O25*Q25</f>
        <v>588000</v>
      </c>
      <c r="S25" s="149">
        <f t="shared" ref="S25" si="5">+P25*Q25</f>
        <v>493920</v>
      </c>
    </row>
    <row r="26" spans="1:19" ht="13.8" thickBot="1">
      <c r="A26" s="789"/>
      <c r="B26" s="213"/>
      <c r="C26" s="222"/>
      <c r="D26" s="215"/>
      <c r="E26" s="223"/>
      <c r="F26" s="227">
        <v>7</v>
      </c>
      <c r="G26" s="555" t="s">
        <v>12</v>
      </c>
      <c r="H26" s="229" t="s">
        <v>418</v>
      </c>
      <c r="I26" s="792"/>
      <c r="J26" s="212">
        <f>+'12'!J26</f>
        <v>0</v>
      </c>
      <c r="K26" s="234"/>
      <c r="L26" s="234"/>
      <c r="M26" s="117">
        <f>+K26+'12'!M26+L26</f>
        <v>0</v>
      </c>
    </row>
    <row r="27" spans="1:19" ht="53.4" thickBot="1">
      <c r="A27" s="789"/>
      <c r="B27" s="213"/>
      <c r="C27" s="214"/>
      <c r="D27" s="215"/>
      <c r="E27" s="221"/>
      <c r="F27" s="227"/>
      <c r="G27" s="225"/>
      <c r="H27" s="556" t="s">
        <v>578</v>
      </c>
      <c r="I27" s="792"/>
      <c r="J27" s="212">
        <f>+'12'!J27</f>
        <v>0</v>
      </c>
      <c r="K27" s="234"/>
      <c r="L27" s="234"/>
      <c r="M27" s="117">
        <f>+K27+'12'!M27+L27</f>
        <v>0</v>
      </c>
    </row>
    <row r="28" spans="1:19" ht="27" thickBot="1">
      <c r="A28" s="789"/>
      <c r="B28" s="213"/>
      <c r="C28" s="214"/>
      <c r="D28" s="215"/>
      <c r="E28" s="221"/>
      <c r="F28" s="227"/>
      <c r="G28" s="225"/>
      <c r="H28" s="229" t="s">
        <v>579</v>
      </c>
      <c r="I28" s="792"/>
      <c r="J28" s="212">
        <f>+'12'!J28</f>
        <v>0</v>
      </c>
      <c r="K28" s="234"/>
      <c r="L28" s="234"/>
      <c r="M28" s="117">
        <f>+K28+'12'!M28+L28</f>
        <v>0</v>
      </c>
    </row>
    <row r="29" spans="1:19" ht="13.8" thickBot="1">
      <c r="A29" s="789"/>
      <c r="B29" s="213"/>
      <c r="C29" s="214"/>
      <c r="D29" s="215"/>
      <c r="E29" s="221"/>
      <c r="F29" s="231"/>
      <c r="G29" s="228"/>
      <c r="H29" s="229"/>
      <c r="I29" s="792"/>
      <c r="J29" s="212">
        <f>+'12'!J29</f>
        <v>0</v>
      </c>
      <c r="K29" s="234"/>
      <c r="L29" s="234"/>
      <c r="M29" s="117">
        <f>+K29+'12'!M29+L29</f>
        <v>0</v>
      </c>
    </row>
    <row r="30" spans="1:19" ht="13.8" thickBot="1">
      <c r="A30" s="789"/>
      <c r="B30" s="213"/>
      <c r="C30" s="222"/>
      <c r="D30" s="215"/>
      <c r="E30" s="221"/>
      <c r="F30" s="231"/>
      <c r="G30" s="228"/>
      <c r="H30" s="229"/>
      <c r="I30" s="792"/>
      <c r="J30" s="212">
        <f>+'12'!J30</f>
        <v>0</v>
      </c>
      <c r="K30" s="234"/>
      <c r="L30" s="234"/>
      <c r="M30" s="117">
        <f>+K30+'12'!M30+L30</f>
        <v>0</v>
      </c>
    </row>
    <row r="31" spans="1:19" ht="13.8" thickBot="1">
      <c r="A31" s="789"/>
      <c r="B31" s="213"/>
      <c r="C31" s="222"/>
      <c r="D31" s="215"/>
      <c r="E31" s="221"/>
      <c r="F31" s="231"/>
      <c r="G31" s="232"/>
      <c r="H31" s="404"/>
      <c r="I31" s="793"/>
      <c r="J31" s="212">
        <f>+'12'!J31</f>
        <v>0</v>
      </c>
      <c r="K31" s="234"/>
      <c r="L31" s="234"/>
      <c r="M31" s="117">
        <f>+K31+'12'!M31+L31</f>
        <v>0</v>
      </c>
    </row>
    <row r="32" spans="1:19" ht="13.8" thickBot="1">
      <c r="A32" s="790"/>
      <c r="B32" s="165" t="s">
        <v>3</v>
      </c>
      <c r="C32" s="99">
        <f>SUM(C25:C31)</f>
        <v>16917</v>
      </c>
      <c r="D32" s="100">
        <f>SUM(D25:D31)</f>
        <v>0</v>
      </c>
      <c r="E32" s="101">
        <f>SUM(E25:E31)</f>
        <v>0</v>
      </c>
      <c r="F32" s="99">
        <f>SUM(F24:F31)</f>
        <v>7</v>
      </c>
      <c r="G32" s="169"/>
      <c r="H32" s="170"/>
      <c r="I32" s="168"/>
      <c r="J32" s="212">
        <f>+'12'!J32</f>
        <v>0</v>
      </c>
      <c r="K32" s="236"/>
      <c r="L32" s="238"/>
      <c r="M32" s="117">
        <f>+K32+'12'!M32+L32</f>
        <v>0</v>
      </c>
      <c r="Q32" s="174">
        <f>SUM(Q25:Q31)</f>
        <v>480</v>
      </c>
      <c r="R32" s="174">
        <f>SUM(R25:R31)</f>
        <v>588000</v>
      </c>
      <c r="S32" s="174">
        <f>SUM(S25:S31)</f>
        <v>493920</v>
      </c>
    </row>
    <row r="33" spans="1:19" ht="13.8" thickBot="1">
      <c r="A33" s="171"/>
      <c r="B33" s="172"/>
      <c r="C33" s="103">
        <f>C32/($C$32+$D$32+$E$32)</f>
        <v>1</v>
      </c>
      <c r="D33" s="104">
        <f>D32/($C$32+$D$32+$E$32)</f>
        <v>0</v>
      </c>
      <c r="E33" s="105">
        <f>E32/($C$32+$D$32+$E$32)</f>
        <v>0</v>
      </c>
      <c r="F33" s="106"/>
      <c r="G33" s="173"/>
      <c r="H33" s="174"/>
      <c r="I33" s="175"/>
      <c r="J33" s="121"/>
      <c r="K33" s="122"/>
      <c r="L33" s="211"/>
      <c r="M33" s="119"/>
      <c r="Q33" s="149">
        <f>480-Q32</f>
        <v>0</v>
      </c>
      <c r="R33" s="174">
        <f>+R32/Q32</f>
        <v>1225</v>
      </c>
      <c r="S33" s="174">
        <f>+S32/Q32</f>
        <v>1029</v>
      </c>
    </row>
    <row r="34" spans="1:19" ht="13.8" thickBot="1">
      <c r="A34" s="795" t="s">
        <v>68</v>
      </c>
      <c r="B34" s="796"/>
      <c r="C34" s="107">
        <f>C14+C23+C32</f>
        <v>50178</v>
      </c>
      <c r="D34" s="107">
        <f>D14+D23+D32</f>
        <v>0</v>
      </c>
      <c r="E34" s="107">
        <f>E14+E23+E32</f>
        <v>0</v>
      </c>
      <c r="F34" s="108">
        <f>F14+F23+F32</f>
        <v>24</v>
      </c>
      <c r="H34" s="176"/>
      <c r="I34" s="176"/>
      <c r="J34" s="123" t="s">
        <v>28</v>
      </c>
      <c r="K34" s="124">
        <f>SUM(K7:K32)</f>
        <v>50178</v>
      </c>
      <c r="L34" s="210">
        <f>SUM(L7:L32)</f>
        <v>0</v>
      </c>
      <c r="M34" s="120">
        <f>SUM(M7:M32)</f>
        <v>644297</v>
      </c>
      <c r="N34" s="155" t="s">
        <v>571</v>
      </c>
      <c r="O34" s="149">
        <v>1225</v>
      </c>
      <c r="P34" s="149">
        <v>980</v>
      </c>
      <c r="Q34" s="149">
        <f>480+282</f>
        <v>762</v>
      </c>
    </row>
    <row r="35" spans="1:19" ht="13.8" thickBot="1">
      <c r="A35" s="177"/>
      <c r="B35" s="178"/>
      <c r="C35" s="104">
        <f>C34/($C$34+$D$34+$E$34)</f>
        <v>1</v>
      </c>
      <c r="D35" s="104">
        <f>D34/($C$34+$D$34+$E$34)</f>
        <v>0</v>
      </c>
      <c r="E35" s="109">
        <f>E34/($C$34+$D$34+$E$34)</f>
        <v>0</v>
      </c>
      <c r="K35" s="155"/>
      <c r="N35" s="149" t="s">
        <v>584</v>
      </c>
      <c r="O35" s="149">
        <v>1225</v>
      </c>
      <c r="P35" s="149">
        <v>1029</v>
      </c>
      <c r="Q35" s="149">
        <f>198+480</f>
        <v>678</v>
      </c>
    </row>
    <row r="36" spans="1:19" ht="13.8" thickBot="1">
      <c r="A36" s="176"/>
      <c r="B36" s="176"/>
      <c r="C36" s="155"/>
      <c r="D36" s="155"/>
      <c r="E36" s="155"/>
      <c r="G36" s="155"/>
      <c r="H36" s="179"/>
      <c r="I36" s="162" t="s">
        <v>37</v>
      </c>
      <c r="J36" s="162" t="s">
        <v>38</v>
      </c>
      <c r="K36" s="180"/>
      <c r="Q36" s="149">
        <f>+Q34+Q35</f>
        <v>1440</v>
      </c>
    </row>
    <row r="37" spans="1:19" ht="17.399999999999999" customHeight="1" thickBot="1">
      <c r="A37" s="797" t="s">
        <v>69</v>
      </c>
      <c r="B37" s="798"/>
      <c r="C37" s="162" t="s">
        <v>70</v>
      </c>
      <c r="D37" s="181" t="s">
        <v>71</v>
      </c>
      <c r="E37" s="182" t="s">
        <v>72</v>
      </c>
      <c r="F37" s="304"/>
      <c r="G37" s="306"/>
      <c r="H37" s="184" t="s">
        <v>73</v>
      </c>
      <c r="I37" s="239">
        <f>(14*762+13.5*678)/1440*G42*2.7*1440/1000000</f>
        <v>53.681040866250008</v>
      </c>
      <c r="J37" s="125">
        <f>+I37+'12'!J37</f>
        <v>666.47927827135823</v>
      </c>
      <c r="K37" s="126" t="s">
        <v>74</v>
      </c>
    </row>
    <row r="38" spans="1:19" ht="17.399999999999999" customHeight="1">
      <c r="A38" s="799" t="s">
        <v>12</v>
      </c>
      <c r="B38" s="800"/>
      <c r="C38" s="164">
        <f>SUMIF($G$7:$G$31,"Process",$F$7:$F$31)</f>
        <v>24</v>
      </c>
      <c r="D38" s="118">
        <f>C38+'12'!D38</f>
        <v>336</v>
      </c>
      <c r="E38" s="143">
        <f t="shared" ref="E38:E52" si="6">D38/60</f>
        <v>5.6</v>
      </c>
      <c r="F38" s="536">
        <v>1225</v>
      </c>
      <c r="G38" s="536">
        <v>980</v>
      </c>
      <c r="H38" s="185" t="s">
        <v>75</v>
      </c>
      <c r="I38" s="240">
        <f>19.084+16.132+17.692</f>
        <v>52.908000000000001</v>
      </c>
      <c r="J38" s="127">
        <f>+I38+'12'!J38</f>
        <v>650.721</v>
      </c>
      <c r="K38" s="128" t="s">
        <v>74</v>
      </c>
    </row>
    <row r="39" spans="1:19" ht="17.399999999999999" customHeight="1">
      <c r="A39" s="786" t="s">
        <v>13</v>
      </c>
      <c r="B39" s="787"/>
      <c r="C39" s="164">
        <f>SUMIF($G$7:$G$31,"Cleaning",$F$7:$F$31)</f>
        <v>0</v>
      </c>
      <c r="D39" s="118">
        <f>C39+'12'!D39</f>
        <v>0</v>
      </c>
      <c r="E39" s="143">
        <f t="shared" si="6"/>
        <v>0</v>
      </c>
      <c r="F39" s="536">
        <v>1225</v>
      </c>
      <c r="G39" s="536">
        <v>1000.2125</v>
      </c>
      <c r="H39" s="185" t="s">
        <v>76</v>
      </c>
      <c r="I39" s="142"/>
      <c r="J39" s="129">
        <f>J37/G4</f>
        <v>51.267636790104476</v>
      </c>
      <c r="K39" s="130" t="s">
        <v>74</v>
      </c>
    </row>
    <row r="40" spans="1:19" ht="17.399999999999999" customHeight="1">
      <c r="A40" s="786" t="s">
        <v>77</v>
      </c>
      <c r="B40" s="787"/>
      <c r="C40" s="164">
        <f>SUMIF($G$7:$G$31,"Mechanical",$F$7:$F$31)</f>
        <v>0</v>
      </c>
      <c r="D40" s="118">
        <f>C40+'12'!D40</f>
        <v>0</v>
      </c>
      <c r="E40" s="143">
        <f t="shared" si="6"/>
        <v>0</v>
      </c>
      <c r="F40" s="536">
        <v>1225</v>
      </c>
      <c r="G40" s="536">
        <v>1029</v>
      </c>
      <c r="H40" s="185" t="s">
        <v>78</v>
      </c>
      <c r="I40" s="118">
        <f>(K34+L34)/1000</f>
        <v>50.177999999999997</v>
      </c>
      <c r="J40" s="131">
        <f>+I40+'12'!J40</f>
        <v>644.29700000000003</v>
      </c>
      <c r="K40" s="130" t="s">
        <v>74</v>
      </c>
    </row>
    <row r="41" spans="1:19" ht="17.399999999999999" customHeight="1">
      <c r="A41" s="786" t="s">
        <v>79</v>
      </c>
      <c r="B41" s="787"/>
      <c r="C41" s="164">
        <f>SUMIF($G$7:$G$31,"Electrical",$F$7:$F$31)</f>
        <v>0</v>
      </c>
      <c r="D41" s="118">
        <f>C41+'12'!D41</f>
        <v>0</v>
      </c>
      <c r="E41" s="143">
        <f t="shared" si="6"/>
        <v>0</v>
      </c>
      <c r="F41" s="304"/>
      <c r="G41" s="304"/>
      <c r="H41" s="185" t="s">
        <v>80</v>
      </c>
      <c r="I41" s="142"/>
      <c r="J41" s="129">
        <f>J40/G4</f>
        <v>49.561307692307693</v>
      </c>
      <c r="K41" s="130" t="s">
        <v>74</v>
      </c>
    </row>
    <row r="42" spans="1:19" ht="17.399999999999999" customHeight="1">
      <c r="A42" s="786" t="s">
        <v>16</v>
      </c>
      <c r="B42" s="787"/>
      <c r="C42" s="164">
        <f>SUMIF($G$7:$G$31,"Instrument",$F$7:$F$31)</f>
        <v>0</v>
      </c>
      <c r="D42" s="118">
        <f>C42+'12'!D42</f>
        <v>0</v>
      </c>
      <c r="E42" s="143">
        <f t="shared" si="6"/>
        <v>0</v>
      </c>
      <c r="F42" s="537">
        <f>+(F38*480+F39*480+F40*480)/1440</f>
        <v>1225</v>
      </c>
      <c r="G42" s="537">
        <f>+(G38*480+G39*480+G40*480)/1440</f>
        <v>1003.0708333333333</v>
      </c>
      <c r="H42" s="185" t="s">
        <v>81</v>
      </c>
      <c r="I42" s="241" t="s">
        <v>588</v>
      </c>
      <c r="J42" s="132"/>
      <c r="K42" s="130" t="s">
        <v>82</v>
      </c>
    </row>
    <row r="43" spans="1:19" ht="17.399999999999999" customHeight="1">
      <c r="A43" s="786" t="s">
        <v>83</v>
      </c>
      <c r="B43" s="787"/>
      <c r="C43" s="164">
        <f>SUMIF($G$7:$G$31,"Water",$F$7:$F$31)</f>
        <v>0</v>
      </c>
      <c r="D43" s="118">
        <f>C43+'12'!D43</f>
        <v>0</v>
      </c>
      <c r="E43" s="143">
        <f t="shared" si="6"/>
        <v>0</v>
      </c>
      <c r="F43" s="304"/>
      <c r="G43" s="305"/>
      <c r="H43" s="186" t="s">
        <v>84</v>
      </c>
      <c r="I43" s="118">
        <f>+Report1!Z21</f>
        <v>95.9</v>
      </c>
      <c r="J43" s="133">
        <f>+I43+'12'!J43</f>
        <v>1236.72</v>
      </c>
      <c r="K43" s="130" t="s">
        <v>74</v>
      </c>
      <c r="L43" s="187"/>
    </row>
    <row r="44" spans="1:19" ht="17.399999999999999" customHeight="1">
      <c r="A44" s="786" t="s">
        <v>17</v>
      </c>
      <c r="B44" s="787"/>
      <c r="C44" s="164">
        <f>SUMIF($G$7:$G$31,"PLN",$F$7:$F$31)</f>
        <v>0</v>
      </c>
      <c r="D44" s="118">
        <f>C44+'12'!D44</f>
        <v>0</v>
      </c>
      <c r="E44" s="143">
        <f t="shared" si="6"/>
        <v>0</v>
      </c>
      <c r="F44" s="304"/>
      <c r="G44" s="305"/>
      <c r="H44" s="186" t="s">
        <v>85</v>
      </c>
      <c r="I44" s="118">
        <f>I43/I38</f>
        <v>1.812580328116731</v>
      </c>
      <c r="J44" s="134">
        <f>J43/J38</f>
        <v>1.9005380185978322</v>
      </c>
      <c r="K44" s="130" t="s">
        <v>74</v>
      </c>
    </row>
    <row r="45" spans="1:19" ht="17.399999999999999" customHeight="1">
      <c r="A45" s="786" t="s">
        <v>18</v>
      </c>
      <c r="B45" s="787"/>
      <c r="C45" s="164">
        <f>SUMIF($G$7:$G$31,"Boiler",$F$7:$F$31)</f>
        <v>0</v>
      </c>
      <c r="D45" s="118">
        <f>C45+'12'!D45</f>
        <v>0</v>
      </c>
      <c r="E45" s="143">
        <f t="shared" si="6"/>
        <v>0</v>
      </c>
      <c r="F45" s="304"/>
      <c r="G45" s="307"/>
      <c r="H45" s="186" t="s">
        <v>86</v>
      </c>
      <c r="I45" s="118">
        <f>I43/I40</f>
        <v>1.9111961417354222</v>
      </c>
      <c r="J45" s="134">
        <f>J43/J40</f>
        <v>1.9194874413508056</v>
      </c>
      <c r="K45" s="130" t="s">
        <v>74</v>
      </c>
    </row>
    <row r="46" spans="1:19" ht="17.399999999999999" customHeight="1">
      <c r="A46" s="786" t="s">
        <v>87</v>
      </c>
      <c r="B46" s="787"/>
      <c r="C46" s="164">
        <f>SUMIF($G$7:$G$31,"Gas",$F$7:$F$31)</f>
        <v>0</v>
      </c>
      <c r="D46" s="118">
        <f>C46+'12'!D46</f>
        <v>0</v>
      </c>
      <c r="E46" s="143">
        <f t="shared" si="6"/>
        <v>0</v>
      </c>
      <c r="F46" s="304"/>
      <c r="G46" s="305"/>
      <c r="H46" s="186" t="s">
        <v>88</v>
      </c>
      <c r="I46" s="140">
        <f>+SUMIF(Listrik!X20,"&gt;0")</f>
        <v>40397.662220054721</v>
      </c>
      <c r="J46" s="135">
        <f>+I46+'12'!J46</f>
        <v>489247.93317713897</v>
      </c>
      <c r="K46" s="130" t="s">
        <v>89</v>
      </c>
    </row>
    <row r="47" spans="1:19" ht="17.399999999999999" customHeight="1">
      <c r="A47" s="786" t="s">
        <v>90</v>
      </c>
      <c r="B47" s="787"/>
      <c r="C47" s="164">
        <f>SUMIF($G$7:$G$31,"Gas",$F$7:$F$31)</f>
        <v>0</v>
      </c>
      <c r="D47" s="118">
        <f>C47+'12'!D47</f>
        <v>0</v>
      </c>
      <c r="E47" s="143">
        <f t="shared" si="6"/>
        <v>0</v>
      </c>
      <c r="F47" s="304"/>
      <c r="G47" s="305"/>
      <c r="H47" s="186" t="s">
        <v>91</v>
      </c>
      <c r="I47" s="118">
        <f>I46/I38</f>
        <v>763.54544152216522</v>
      </c>
      <c r="J47" s="135">
        <f>J46/J38</f>
        <v>751.85514710165944</v>
      </c>
      <c r="K47" s="130" t="s">
        <v>24</v>
      </c>
    </row>
    <row r="48" spans="1:19" ht="17.399999999999999" customHeight="1">
      <c r="A48" s="786" t="s">
        <v>14</v>
      </c>
      <c r="B48" s="787"/>
      <c r="C48" s="164">
        <f>SUMIF($G$7:$G$31,"Start Up",$F$7:$F$31)</f>
        <v>0</v>
      </c>
      <c r="D48" s="118">
        <f>C48+'12'!D48</f>
        <v>0</v>
      </c>
      <c r="E48" s="143">
        <f t="shared" si="6"/>
        <v>0</v>
      </c>
      <c r="F48" s="304"/>
      <c r="G48" s="305"/>
      <c r="H48" s="186" t="s">
        <v>92</v>
      </c>
      <c r="I48" s="118">
        <f>I46/I40</f>
        <v>805.08713420333061</v>
      </c>
      <c r="J48" s="135">
        <f>J46/J40</f>
        <v>759.35156174425606</v>
      </c>
      <c r="K48" s="130" t="s">
        <v>24</v>
      </c>
    </row>
    <row r="49" spans="1:11" ht="17.399999999999999" customHeight="1">
      <c r="A49" s="786" t="s">
        <v>20</v>
      </c>
      <c r="B49" s="787"/>
      <c r="C49" s="164">
        <f>SUMIF($G$7:$G$31,"Others",$F$7:$F$31)</f>
        <v>0</v>
      </c>
      <c r="D49" s="118">
        <f>C49+'12'!D49</f>
        <v>1072</v>
      </c>
      <c r="E49" s="143">
        <f t="shared" si="6"/>
        <v>17.866666666666667</v>
      </c>
      <c r="F49" s="183"/>
      <c r="H49" s="186" t="s">
        <v>269</v>
      </c>
      <c r="I49" s="118">
        <f>+Report1!T21</f>
        <v>3466.1579030554694</v>
      </c>
      <c r="J49" s="135">
        <f>+I49+'12'!J49</f>
        <v>46845.375057805148</v>
      </c>
      <c r="K49" s="130" t="s">
        <v>93</v>
      </c>
    </row>
    <row r="50" spans="1:11" ht="17.399999999999999" customHeight="1">
      <c r="A50" s="786" t="s">
        <v>19</v>
      </c>
      <c r="B50" s="787"/>
      <c r="C50" s="164">
        <f>SUMIF($G$7:$G$31,"Steam",$F$7:$F$31)</f>
        <v>0</v>
      </c>
      <c r="D50" s="118">
        <f>C50+'12'!D50</f>
        <v>0</v>
      </c>
      <c r="E50" s="143">
        <f t="shared" si="6"/>
        <v>0</v>
      </c>
      <c r="F50" s="183"/>
      <c r="H50" s="186" t="s">
        <v>94</v>
      </c>
      <c r="I50" s="140">
        <f>I49/I38</f>
        <v>65.512926269287618</v>
      </c>
      <c r="J50" s="133">
        <f>J49/J38</f>
        <v>71.989954308843807</v>
      </c>
      <c r="K50" s="130" t="s">
        <v>93</v>
      </c>
    </row>
    <row r="51" spans="1:11" ht="17.399999999999999" customHeight="1">
      <c r="A51" s="803" t="s">
        <v>95</v>
      </c>
      <c r="B51" s="803"/>
      <c r="C51" s="164">
        <f>SUMIF($G$7:$G$31,"Planned shut",$F$7:$F$31)</f>
        <v>0</v>
      </c>
      <c r="D51" s="118">
        <f>C51+'12'!D51</f>
        <v>0</v>
      </c>
      <c r="E51" s="143">
        <f t="shared" si="6"/>
        <v>0</v>
      </c>
      <c r="F51" s="183"/>
      <c r="H51" s="188" t="s">
        <v>96</v>
      </c>
      <c r="I51" s="141">
        <f>I49/I40</f>
        <v>69.077243075759682</v>
      </c>
      <c r="J51" s="136">
        <f>J49/J40</f>
        <v>72.707734255793753</v>
      </c>
      <c r="K51" s="137" t="s">
        <v>93</v>
      </c>
    </row>
    <row r="52" spans="1:11" ht="13.8" thickBot="1">
      <c r="A52" s="804" t="s">
        <v>218</v>
      </c>
      <c r="B52" s="805"/>
      <c r="C52" s="164">
        <f>SUMIF($G$7:$G$31,"Change Grade",$F$7:$F$31)</f>
        <v>0</v>
      </c>
      <c r="D52" s="118">
        <f>C52+'12'!D52</f>
        <v>0</v>
      </c>
      <c r="E52" s="143">
        <f t="shared" si="6"/>
        <v>0</v>
      </c>
      <c r="F52" s="183"/>
      <c r="H52" s="189"/>
      <c r="I52" s="190"/>
      <c r="J52" s="138"/>
      <c r="K52" s="139"/>
    </row>
    <row r="53" spans="1:11">
      <c r="A53" s="799" t="s">
        <v>28</v>
      </c>
      <c r="B53" s="800"/>
      <c r="C53" s="144">
        <f>SUM(C38:C52)</f>
        <v>24</v>
      </c>
      <c r="D53" s="144">
        <f>SUM(D38:D52)</f>
        <v>1408</v>
      </c>
      <c r="E53" s="145">
        <f>SUM(E38:E52)</f>
        <v>23.466666666666669</v>
      </c>
      <c r="F53" s="183"/>
    </row>
    <row r="54" spans="1:11" ht="13.8" thickBot="1">
      <c r="A54" s="801"/>
      <c r="B54" s="802"/>
      <c r="C54" s="146">
        <f>C53/(24*60)</f>
        <v>1.6666666666666666E-2</v>
      </c>
      <c r="D54" s="146">
        <f>D53/(24*60*G4)</f>
        <v>7.521367521367521E-2</v>
      </c>
      <c r="E54" s="147">
        <f>E53/(G4*24)</f>
        <v>7.5213675213675224E-2</v>
      </c>
      <c r="F54" s="183"/>
    </row>
    <row r="55" spans="1:11">
      <c r="E55" s="191"/>
    </row>
    <row r="56" spans="1:11">
      <c r="A56" s="192" t="s">
        <v>97</v>
      </c>
      <c r="B56" s="193"/>
      <c r="C56" s="194"/>
      <c r="D56" s="194"/>
      <c r="E56" s="194"/>
      <c r="F56" s="195"/>
      <c r="G56" s="194"/>
      <c r="H56" s="196"/>
      <c r="I56" s="197" t="s">
        <v>98</v>
      </c>
      <c r="J56" s="198">
        <f>+D34+'12'!J56</f>
        <v>0</v>
      </c>
      <c r="K56" s="199">
        <f>J56/(J40+J56/1000)/1000</f>
        <v>0</v>
      </c>
    </row>
    <row r="57" spans="1:11">
      <c r="A57" s="174"/>
      <c r="I57" s="197" t="s">
        <v>99</v>
      </c>
      <c r="J57" s="198">
        <f>+E34+'12'!J57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1"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Z61"/>
  <sheetViews>
    <sheetView view="pageBreakPreview" zoomScale="80" zoomScaleNormal="80" zoomScaleSheetLayoutView="80" workbookViewId="0">
      <selection activeCell="A7" sqref="A7:A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4" style="149" bestFit="1" customWidth="1"/>
    <col min="12" max="12" width="8.33203125" style="149" customWidth="1"/>
    <col min="13" max="13" width="15" style="149" bestFit="1" customWidth="1"/>
    <col min="14" max="16384" width="9.109375" style="149"/>
  </cols>
  <sheetData>
    <row r="1" spans="1:19" ht="15.6">
      <c r="A1" s="148"/>
    </row>
    <row r="2" spans="1:19" ht="15.6">
      <c r="A2" s="148" t="s">
        <v>219</v>
      </c>
    </row>
    <row r="3" spans="1:19" ht="15">
      <c r="A3" s="150"/>
    </row>
    <row r="4" spans="1:19" ht="21">
      <c r="A4" s="151" t="s">
        <v>4</v>
      </c>
      <c r="B4" s="152"/>
      <c r="F4" s="153" t="s">
        <v>29</v>
      </c>
      <c r="G4" s="154">
        <v>12</v>
      </c>
      <c r="H4" s="154" t="str">
        <f>+'1'!H4</f>
        <v>.03.26</v>
      </c>
      <c r="J4" s="149">
        <f>448+400+382</f>
        <v>1230</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410</v>
      </c>
      <c r="O6" s="149">
        <v>1160</v>
      </c>
      <c r="P6" s="149">
        <f>+O6-(O6*0.2)</f>
        <v>928</v>
      </c>
      <c r="Q6" s="149">
        <v>480</v>
      </c>
      <c r="R6" s="149">
        <f t="shared" ref="R6" si="0">+O6*Q6</f>
        <v>556800</v>
      </c>
      <c r="S6" s="149">
        <f t="shared" ref="S6" si="1">+P6*Q6</f>
        <v>445440</v>
      </c>
    </row>
    <row r="7" spans="1:19" ht="13.5" customHeight="1" thickBot="1">
      <c r="A7" s="788" t="s">
        <v>226</v>
      </c>
      <c r="B7" s="213" t="s">
        <v>430</v>
      </c>
      <c r="C7" s="214">
        <v>21264</v>
      </c>
      <c r="D7" s="215"/>
      <c r="E7" s="216"/>
      <c r="F7" s="231"/>
      <c r="G7" s="553" t="s">
        <v>12</v>
      </c>
      <c r="H7" s="554" t="s">
        <v>417</v>
      </c>
      <c r="I7" s="791" t="s">
        <v>563</v>
      </c>
      <c r="J7" s="212" t="str">
        <f>+'11'!J7</f>
        <v>T 15 RC HW</v>
      </c>
      <c r="K7" s="233">
        <f>+C7+C16</f>
        <v>33937</v>
      </c>
      <c r="L7" s="237"/>
      <c r="M7" s="117">
        <f>+K7+'11'!M7+L7</f>
        <v>369000</v>
      </c>
    </row>
    <row r="8" spans="1:19" ht="13.8" thickBot="1">
      <c r="A8" s="789"/>
      <c r="B8" s="213"/>
      <c r="C8" s="214"/>
      <c r="D8" s="215"/>
      <c r="E8" s="217"/>
      <c r="F8" s="227"/>
      <c r="G8" s="555" t="s">
        <v>12</v>
      </c>
      <c r="H8" s="226" t="s">
        <v>419</v>
      </c>
      <c r="I8" s="792"/>
      <c r="J8" s="212" t="str">
        <f>+'11'!J8</f>
        <v>T 14,5 RC HW</v>
      </c>
      <c r="K8" s="234"/>
      <c r="L8" s="234"/>
      <c r="M8" s="117">
        <f>+K8+'11'!M8+L8</f>
        <v>206120</v>
      </c>
    </row>
    <row r="9" spans="1:19" ht="13.8" thickBot="1">
      <c r="A9" s="789"/>
      <c r="B9" s="213"/>
      <c r="C9" s="214"/>
      <c r="D9" s="215"/>
      <c r="E9" s="218"/>
      <c r="F9" s="227">
        <v>10</v>
      </c>
      <c r="G9" s="555" t="s">
        <v>12</v>
      </c>
      <c r="H9" s="229" t="s">
        <v>418</v>
      </c>
      <c r="I9" s="792"/>
      <c r="J9" s="212" t="s">
        <v>577</v>
      </c>
      <c r="K9" s="234">
        <f>+C17+C25</f>
        <v>18999</v>
      </c>
      <c r="L9" s="234"/>
      <c r="M9" s="117">
        <f>+K9+'11'!M9+L9</f>
        <v>18999</v>
      </c>
    </row>
    <row r="10" spans="1:19" ht="79.8" thickBot="1">
      <c r="A10" s="789"/>
      <c r="B10" s="213"/>
      <c r="C10" s="214"/>
      <c r="D10" s="215"/>
      <c r="E10" s="217"/>
      <c r="F10" s="227"/>
      <c r="G10" s="225"/>
      <c r="H10" s="556" t="s">
        <v>566</v>
      </c>
      <c r="I10" s="792"/>
      <c r="J10" s="212">
        <f>+'11'!J10</f>
        <v>0</v>
      </c>
      <c r="K10" s="234"/>
      <c r="L10" s="234"/>
      <c r="M10" s="117">
        <f>+K10+'11'!M10+L10</f>
        <v>0</v>
      </c>
    </row>
    <row r="11" spans="1:19" ht="13.8" thickBot="1">
      <c r="A11" s="789"/>
      <c r="B11" s="213"/>
      <c r="C11" s="214"/>
      <c r="D11" s="215"/>
      <c r="E11" s="217"/>
      <c r="F11" s="224"/>
      <c r="G11" s="228"/>
      <c r="H11" s="229"/>
      <c r="I11" s="792"/>
      <c r="J11" s="212">
        <f>+'11'!J11</f>
        <v>0</v>
      </c>
      <c r="K11" s="234"/>
      <c r="L11" s="234"/>
      <c r="M11" s="117">
        <f>+K11+'11'!M11+L11</f>
        <v>0</v>
      </c>
    </row>
    <row r="12" spans="1:19" ht="13.8" thickBot="1">
      <c r="A12" s="789"/>
      <c r="B12" s="213"/>
      <c r="C12" s="214"/>
      <c r="D12" s="215"/>
      <c r="E12" s="217"/>
      <c r="F12" s="224"/>
      <c r="G12" s="228"/>
      <c r="H12" s="229"/>
      <c r="I12" s="792"/>
      <c r="J12" s="212">
        <f>+'11'!J12</f>
        <v>0</v>
      </c>
      <c r="K12" s="234"/>
      <c r="L12" s="234"/>
      <c r="M12" s="117">
        <f>+K12+'11'!M12+L12</f>
        <v>0</v>
      </c>
    </row>
    <row r="13" spans="1:19" ht="13.8" thickBot="1">
      <c r="A13" s="789"/>
      <c r="B13" s="213"/>
      <c r="C13" s="214"/>
      <c r="D13" s="214"/>
      <c r="E13" s="217"/>
      <c r="F13" s="224"/>
      <c r="G13" s="228"/>
      <c r="H13" s="229"/>
      <c r="I13" s="793"/>
      <c r="J13" s="212">
        <f>+'11'!J13</f>
        <v>0</v>
      </c>
      <c r="K13" s="234"/>
      <c r="L13" s="234"/>
      <c r="M13" s="117">
        <f>+K13+'11'!M13+L13</f>
        <v>0</v>
      </c>
      <c r="Q13" s="174">
        <f>SUM(Q6:Q12)</f>
        <v>480</v>
      </c>
      <c r="R13" s="174">
        <f>SUM(R6:R12)</f>
        <v>556800</v>
      </c>
      <c r="S13" s="174">
        <f>SUM(S6:S12)</f>
        <v>445440</v>
      </c>
    </row>
    <row r="14" spans="1:19" ht="13.8" thickBot="1">
      <c r="A14" s="790"/>
      <c r="B14" s="165" t="s">
        <v>3</v>
      </c>
      <c r="C14" s="99">
        <f>SUM(C7:C13)</f>
        <v>21264</v>
      </c>
      <c r="D14" s="111">
        <f>SUM(D7:D13)</f>
        <v>0</v>
      </c>
      <c r="E14" s="112">
        <f>SUM(E5:E13)</f>
        <v>0</v>
      </c>
      <c r="F14" s="116">
        <f>SUM(F7:F13)</f>
        <v>10</v>
      </c>
      <c r="G14" s="159"/>
      <c r="H14" s="166"/>
      <c r="I14" s="167"/>
      <c r="J14" s="212">
        <f>+'11'!J14</f>
        <v>0</v>
      </c>
      <c r="K14" s="234"/>
      <c r="L14" s="234"/>
      <c r="M14" s="117">
        <f>+K14+'11'!M14+L14</f>
        <v>0</v>
      </c>
      <c r="Q14" s="149">
        <f>480-Q13</f>
        <v>0</v>
      </c>
      <c r="R14" s="174">
        <f>+R13/Q13</f>
        <v>1160</v>
      </c>
      <c r="S14" s="174">
        <f>+S13/Q13</f>
        <v>928</v>
      </c>
    </row>
    <row r="15" spans="1:19" ht="13.5" customHeight="1" thickBot="1">
      <c r="A15" s="794" t="s">
        <v>458</v>
      </c>
      <c r="B15" s="513"/>
      <c r="C15" s="113">
        <f>C14/($C$23+$D$23+$E$23)</f>
        <v>1.4002370604504148</v>
      </c>
      <c r="D15" s="114">
        <f>D14/($C$23+$D$23+$E$23)</f>
        <v>0</v>
      </c>
      <c r="E15" s="115">
        <f>E14/($C$23+$D$23+$E$23)</f>
        <v>0</v>
      </c>
      <c r="F15" s="231"/>
      <c r="G15" s="553" t="s">
        <v>12</v>
      </c>
      <c r="H15" s="554" t="s">
        <v>417</v>
      </c>
      <c r="I15" s="791" t="s">
        <v>572</v>
      </c>
      <c r="J15" s="212">
        <f>+'11'!J15</f>
        <v>0</v>
      </c>
      <c r="K15" s="234"/>
      <c r="L15" s="234"/>
      <c r="M15" s="117">
        <f>+K15+'11'!M15+L15</f>
        <v>0</v>
      </c>
      <c r="N15" s="149" t="s">
        <v>410</v>
      </c>
      <c r="O15" s="149">
        <v>1160</v>
      </c>
      <c r="P15" s="149">
        <f>+O15-(O15*0.2)</f>
        <v>928</v>
      </c>
      <c r="Q15" s="149">
        <f>60*3+30</f>
        <v>210</v>
      </c>
      <c r="R15" s="149">
        <f t="shared" ref="R15:R16" si="2">+O15*Q15</f>
        <v>243600</v>
      </c>
      <c r="S15" s="149">
        <f t="shared" ref="S15:S16" si="3">+P15*Q15</f>
        <v>194880</v>
      </c>
    </row>
    <row r="16" spans="1:19" ht="13.8" thickBot="1">
      <c r="A16" s="789"/>
      <c r="B16" s="512" t="s">
        <v>430</v>
      </c>
      <c r="C16" s="511">
        <f>9936+2737</f>
        <v>12673</v>
      </c>
      <c r="D16" s="219"/>
      <c r="E16" s="220"/>
      <c r="F16" s="227"/>
      <c r="G16" s="555" t="s">
        <v>12</v>
      </c>
      <c r="H16" s="226" t="s">
        <v>419</v>
      </c>
      <c r="I16" s="792"/>
      <c r="J16" s="212">
        <f>+'11'!J16</f>
        <v>0</v>
      </c>
      <c r="K16" s="225"/>
      <c r="L16" s="225"/>
      <c r="M16" s="117">
        <f>+K16+'11'!M16+L16</f>
        <v>0</v>
      </c>
      <c r="N16" s="149" t="s">
        <v>571</v>
      </c>
      <c r="O16" s="149">
        <v>1200</v>
      </c>
      <c r="P16" s="149">
        <f>+O16-(O16*0.2)</f>
        <v>960</v>
      </c>
      <c r="Q16" s="149">
        <f>480-Q15</f>
        <v>270</v>
      </c>
      <c r="R16" s="149">
        <f t="shared" si="2"/>
        <v>324000</v>
      </c>
      <c r="S16" s="149">
        <f t="shared" si="3"/>
        <v>259200</v>
      </c>
    </row>
    <row r="17" spans="1:26" ht="13.8" thickBot="1">
      <c r="A17" s="789"/>
      <c r="B17" s="213" t="s">
        <v>577</v>
      </c>
      <c r="C17" s="214">
        <v>2513</v>
      </c>
      <c r="D17" s="215"/>
      <c r="E17" s="221"/>
      <c r="F17" s="227">
        <v>5</v>
      </c>
      <c r="G17" s="555" t="s">
        <v>12</v>
      </c>
      <c r="H17" s="229" t="s">
        <v>418</v>
      </c>
      <c r="I17" s="792"/>
      <c r="J17" s="212">
        <f>+'11'!J17</f>
        <v>0</v>
      </c>
      <c r="K17" s="225"/>
      <c r="L17" s="225"/>
      <c r="M17" s="117">
        <f>+K17+'11'!M17+L17</f>
        <v>0</v>
      </c>
    </row>
    <row r="18" spans="1:26" ht="93" thickBot="1">
      <c r="A18" s="789"/>
      <c r="B18" s="213"/>
      <c r="C18" s="214"/>
      <c r="D18" s="215"/>
      <c r="E18" s="221"/>
      <c r="F18" s="227"/>
      <c r="G18" s="225"/>
      <c r="H18" s="556" t="s">
        <v>567</v>
      </c>
      <c r="I18" s="792"/>
      <c r="J18" s="212">
        <f>+'11'!J18</f>
        <v>0</v>
      </c>
      <c r="K18" s="234"/>
      <c r="L18" s="234"/>
      <c r="M18" s="117">
        <f>+K18+'11'!M18+L18</f>
        <v>0</v>
      </c>
    </row>
    <row r="19" spans="1:26" ht="27" thickBot="1">
      <c r="A19" s="789"/>
      <c r="B19" s="213"/>
      <c r="C19" s="214"/>
      <c r="D19" s="215"/>
      <c r="E19" s="221"/>
      <c r="F19" s="230"/>
      <c r="G19" s="228"/>
      <c r="H19" s="229" t="s">
        <v>568</v>
      </c>
      <c r="I19" s="792"/>
      <c r="J19" s="212">
        <f>+'11'!J19</f>
        <v>0</v>
      </c>
      <c r="K19" s="234"/>
      <c r="L19" s="234"/>
      <c r="M19" s="117">
        <f>+K19+'11'!M19+L19</f>
        <v>0</v>
      </c>
    </row>
    <row r="20" spans="1:26" ht="13.8" thickBot="1">
      <c r="A20" s="789"/>
      <c r="B20" s="213"/>
      <c r="C20" s="214"/>
      <c r="D20" s="215"/>
      <c r="E20" s="221"/>
      <c r="F20" s="224"/>
      <c r="G20" s="228"/>
      <c r="H20" s="229"/>
      <c r="I20" s="792"/>
      <c r="J20" s="212">
        <f>+'11'!J20</f>
        <v>0</v>
      </c>
      <c r="K20" s="235"/>
      <c r="L20" s="235"/>
      <c r="M20" s="117">
        <f>+K20+'11'!M20+L20</f>
        <v>0</v>
      </c>
    </row>
    <row r="21" spans="1:26" ht="13.8" thickBot="1">
      <c r="A21" s="789"/>
      <c r="B21" s="213"/>
      <c r="C21" s="214"/>
      <c r="D21" s="215"/>
      <c r="E21" s="221"/>
      <c r="F21" s="227"/>
      <c r="G21" s="228"/>
      <c r="H21" s="229"/>
      <c r="I21" s="792"/>
      <c r="J21" s="212">
        <f>+'11'!J21</f>
        <v>0</v>
      </c>
      <c r="K21" s="234"/>
      <c r="L21" s="234"/>
      <c r="M21" s="117">
        <f>+K21+'11'!M21+L21</f>
        <v>0</v>
      </c>
    </row>
    <row r="22" spans="1:26" ht="13.8" thickBot="1">
      <c r="A22" s="789"/>
      <c r="B22" s="213"/>
      <c r="C22" s="214"/>
      <c r="D22" s="215"/>
      <c r="E22" s="221"/>
      <c r="F22" s="231"/>
      <c r="G22" s="228"/>
      <c r="H22" s="229"/>
      <c r="I22" s="793"/>
      <c r="J22" s="212">
        <f>+'11'!J22</f>
        <v>0</v>
      </c>
      <c r="K22" s="234"/>
      <c r="L22" s="234"/>
      <c r="M22" s="117">
        <f>+K22+'11'!M22+L22</f>
        <v>0</v>
      </c>
      <c r="Q22" s="174">
        <f>SUM(Q15:Q21)</f>
        <v>480</v>
      </c>
      <c r="R22" s="174">
        <f>SUM(R15:R21)</f>
        <v>567600</v>
      </c>
      <c r="S22" s="174">
        <f>SUM(S15:S21)</f>
        <v>454080</v>
      </c>
    </row>
    <row r="23" spans="1:26" ht="13.8" thickBot="1">
      <c r="A23" s="790"/>
      <c r="B23" s="165" t="s">
        <v>3</v>
      </c>
      <c r="C23" s="99">
        <f>SUM(C16:C22)</f>
        <v>15186</v>
      </c>
      <c r="D23" s="111">
        <f>SUM(D16:D22)</f>
        <v>0</v>
      </c>
      <c r="E23" s="112">
        <f>SUM(E18:E22)</f>
        <v>0</v>
      </c>
      <c r="F23" s="116">
        <f>SUM(F15:F22)</f>
        <v>5</v>
      </c>
      <c r="G23" s="159"/>
      <c r="H23" s="166"/>
      <c r="I23" s="168"/>
      <c r="J23" s="212">
        <f>+'11'!J23</f>
        <v>0</v>
      </c>
      <c r="K23" s="234"/>
      <c r="L23" s="234"/>
      <c r="M23" s="117">
        <f>+K23+'11'!M23+L23</f>
        <v>0</v>
      </c>
      <c r="Q23" s="149">
        <f>480-Q22</f>
        <v>0</v>
      </c>
      <c r="R23" s="174">
        <f>+R22/Q22</f>
        <v>1182.5</v>
      </c>
      <c r="S23" s="174">
        <f>+S22/Q22</f>
        <v>946</v>
      </c>
    </row>
    <row r="24" spans="1:26" ht="13.5" customHeight="1" thickBot="1">
      <c r="A24" s="794" t="s">
        <v>428</v>
      </c>
      <c r="B24" s="513"/>
      <c r="C24" s="113">
        <f>C23/($C$23+$D$23+$E$23)</f>
        <v>1</v>
      </c>
      <c r="D24" s="114">
        <f>D23/($C$23+$D$23+$E$23)</f>
        <v>0</v>
      </c>
      <c r="E24" s="115">
        <f>E23/($C$23+$D$23+$E$23)</f>
        <v>0</v>
      </c>
      <c r="F24" s="231"/>
      <c r="G24" s="553" t="s">
        <v>12</v>
      </c>
      <c r="H24" s="554" t="s">
        <v>417</v>
      </c>
      <c r="I24" s="791" t="s">
        <v>573</v>
      </c>
      <c r="J24" s="212">
        <f>+'11'!J24</f>
        <v>0</v>
      </c>
      <c r="K24" s="234"/>
      <c r="L24" s="234"/>
      <c r="M24" s="117">
        <f>+K24+'11'!M24+L24</f>
        <v>0</v>
      </c>
      <c r="N24" s="149" t="s">
        <v>571</v>
      </c>
      <c r="O24" s="149">
        <v>1220</v>
      </c>
      <c r="P24" s="149">
        <f>+O24-(O24*0.19)</f>
        <v>988.2</v>
      </c>
      <c r="Q24" s="149">
        <v>480</v>
      </c>
      <c r="R24" s="149">
        <f t="shared" ref="R24" si="4">+O24*Q24</f>
        <v>585600</v>
      </c>
      <c r="S24" s="149">
        <f t="shared" ref="S24" si="5">+P24*Q24</f>
        <v>474336</v>
      </c>
      <c r="U24" s="149" t="s">
        <v>571</v>
      </c>
      <c r="V24" s="149">
        <v>1200</v>
      </c>
      <c r="W24" s="149">
        <v>960</v>
      </c>
      <c r="X24" s="149">
        <v>270</v>
      </c>
      <c r="Y24" s="149">
        <f t="shared" ref="Y24" si="6">+V24*X24</f>
        <v>324000</v>
      </c>
      <c r="Z24" s="149">
        <f t="shared" ref="Z24" si="7">+W24*X24</f>
        <v>259200</v>
      </c>
    </row>
    <row r="25" spans="1:26" ht="13.8" thickBot="1">
      <c r="A25" s="789"/>
      <c r="B25" s="512" t="s">
        <v>577</v>
      </c>
      <c r="C25" s="222">
        <v>16486</v>
      </c>
      <c r="D25" s="215"/>
      <c r="E25" s="221"/>
      <c r="F25" s="227"/>
      <c r="G25" s="555" t="s">
        <v>12</v>
      </c>
      <c r="H25" s="226" t="s">
        <v>419</v>
      </c>
      <c r="I25" s="792"/>
      <c r="J25" s="212">
        <f>+'11'!J25</f>
        <v>0</v>
      </c>
      <c r="K25" s="234"/>
      <c r="L25" s="234"/>
      <c r="M25" s="117">
        <f>+K25+'11'!M25+L25</f>
        <v>0</v>
      </c>
      <c r="U25" s="149" t="s">
        <v>571</v>
      </c>
      <c r="V25" s="149">
        <v>1220</v>
      </c>
      <c r="W25" s="149">
        <v>988.2</v>
      </c>
      <c r="X25" s="149">
        <v>480</v>
      </c>
      <c r="Y25" s="149">
        <f t="shared" ref="Y25" si="8">+V25*X25</f>
        <v>585600</v>
      </c>
      <c r="Z25" s="149">
        <f t="shared" ref="Z25" si="9">+W25*X25</f>
        <v>474336</v>
      </c>
    </row>
    <row r="26" spans="1:26" ht="13.8" thickBot="1">
      <c r="A26" s="789"/>
      <c r="B26" s="213"/>
      <c r="C26" s="222"/>
      <c r="D26" s="215"/>
      <c r="E26" s="223"/>
      <c r="F26" s="227">
        <v>9</v>
      </c>
      <c r="G26" s="555" t="s">
        <v>12</v>
      </c>
      <c r="H26" s="229" t="s">
        <v>418</v>
      </c>
      <c r="I26" s="792"/>
      <c r="J26" s="212">
        <f>+'11'!J26</f>
        <v>0</v>
      </c>
      <c r="K26" s="234"/>
      <c r="L26" s="234"/>
      <c r="M26" s="117">
        <f>+K26+'11'!M26+L26</f>
        <v>0</v>
      </c>
    </row>
    <row r="27" spans="1:26" ht="53.4" thickBot="1">
      <c r="A27" s="789"/>
      <c r="B27" s="213"/>
      <c r="C27" s="214"/>
      <c r="D27" s="215"/>
      <c r="E27" s="221"/>
      <c r="F27" s="227"/>
      <c r="G27" s="225"/>
      <c r="H27" s="556" t="s">
        <v>569</v>
      </c>
      <c r="I27" s="792"/>
      <c r="J27" s="212">
        <f>+'11'!J27</f>
        <v>0</v>
      </c>
      <c r="K27" s="234"/>
      <c r="L27" s="234"/>
      <c r="M27" s="117">
        <f>+K27+'11'!M27+L27</f>
        <v>0</v>
      </c>
    </row>
    <row r="28" spans="1:26" ht="27" thickBot="1">
      <c r="A28" s="789"/>
      <c r="B28" s="213"/>
      <c r="C28" s="214"/>
      <c r="D28" s="215"/>
      <c r="E28" s="221"/>
      <c r="F28" s="227"/>
      <c r="G28" s="225"/>
      <c r="H28" s="229" t="s">
        <v>570</v>
      </c>
      <c r="I28" s="792"/>
      <c r="J28" s="212">
        <f>+'11'!J28</f>
        <v>0</v>
      </c>
      <c r="K28" s="234"/>
      <c r="L28" s="234"/>
      <c r="M28" s="117">
        <f>+K28+'11'!M28+L28</f>
        <v>0</v>
      </c>
    </row>
    <row r="29" spans="1:26" ht="13.8" thickBot="1">
      <c r="A29" s="789"/>
      <c r="B29" s="213"/>
      <c r="C29" s="214"/>
      <c r="D29" s="215"/>
      <c r="E29" s="221"/>
      <c r="F29" s="231"/>
      <c r="G29" s="228"/>
      <c r="H29" s="229"/>
      <c r="I29" s="792"/>
      <c r="J29" s="212">
        <f>+'11'!J29</f>
        <v>0</v>
      </c>
      <c r="K29" s="234"/>
      <c r="L29" s="234"/>
      <c r="M29" s="117">
        <f>+K29+'11'!M29+L29</f>
        <v>0</v>
      </c>
    </row>
    <row r="30" spans="1:26" ht="13.8" thickBot="1">
      <c r="A30" s="789"/>
      <c r="B30" s="213"/>
      <c r="C30" s="222"/>
      <c r="D30" s="215"/>
      <c r="E30" s="221"/>
      <c r="F30" s="231"/>
      <c r="G30" s="228"/>
      <c r="H30" s="229"/>
      <c r="I30" s="792"/>
      <c r="J30" s="212">
        <f>+'11'!J30</f>
        <v>0</v>
      </c>
      <c r="K30" s="234"/>
      <c r="L30" s="234"/>
      <c r="M30" s="117">
        <f>+K30+'11'!M30+L30</f>
        <v>0</v>
      </c>
    </row>
    <row r="31" spans="1:26" ht="13.8" thickBot="1">
      <c r="A31" s="789"/>
      <c r="B31" s="213"/>
      <c r="C31" s="222"/>
      <c r="D31" s="215"/>
      <c r="E31" s="221"/>
      <c r="F31" s="231"/>
      <c r="G31" s="232"/>
      <c r="H31" s="404"/>
      <c r="I31" s="793"/>
      <c r="J31" s="212">
        <f>+'11'!J31</f>
        <v>0</v>
      </c>
      <c r="K31" s="234"/>
      <c r="L31" s="234"/>
      <c r="M31" s="117">
        <f>+K31+'11'!M31+L31</f>
        <v>0</v>
      </c>
      <c r="Q31" s="174">
        <f>SUM(Q24:Q30)</f>
        <v>480</v>
      </c>
      <c r="R31" s="174">
        <f>SUM(R24:R30)</f>
        <v>585600</v>
      </c>
      <c r="S31" s="174">
        <f>SUM(S24:S30)</f>
        <v>474336</v>
      </c>
      <c r="X31" s="174">
        <f>SUM(X24:X30)</f>
        <v>750</v>
      </c>
      <c r="Y31" s="174">
        <f>SUM(Y24:Y30)</f>
        <v>909600</v>
      </c>
      <c r="Z31" s="174">
        <f>SUM(Z24:Z30)</f>
        <v>733536</v>
      </c>
    </row>
    <row r="32" spans="1:26" ht="13.5" customHeight="1" thickBot="1">
      <c r="A32" s="790"/>
      <c r="B32" s="165" t="s">
        <v>3</v>
      </c>
      <c r="C32" s="99">
        <f>SUM(C25:C31)</f>
        <v>16486</v>
      </c>
      <c r="D32" s="100">
        <f>SUM(D25:D31)</f>
        <v>0</v>
      </c>
      <c r="E32" s="101">
        <f>SUM(E25:E31)</f>
        <v>0</v>
      </c>
      <c r="F32" s="99">
        <f>SUM(F24:F31)</f>
        <v>9</v>
      </c>
      <c r="G32" s="169"/>
      <c r="H32" s="170"/>
      <c r="I32" s="168"/>
      <c r="J32" s="212">
        <f>+'1'!J32</f>
        <v>0</v>
      </c>
      <c r="K32" s="236"/>
      <c r="L32" s="238"/>
      <c r="M32" s="117">
        <f>+K32+'11'!M32+L32</f>
        <v>0</v>
      </c>
      <c r="Q32" s="149">
        <f>480-Q31</f>
        <v>0</v>
      </c>
      <c r="R32" s="174">
        <f>+R31/Q31</f>
        <v>1220</v>
      </c>
      <c r="S32" s="174">
        <f>+S31/Q31</f>
        <v>988.2</v>
      </c>
      <c r="X32" s="149">
        <f>480-X31</f>
        <v>-270</v>
      </c>
      <c r="Y32" s="174">
        <f>+Y31/X31</f>
        <v>1212.8</v>
      </c>
      <c r="Z32" s="174">
        <f>+Z31/X31</f>
        <v>978.048</v>
      </c>
    </row>
    <row r="33" spans="1:17" ht="13.8" thickBot="1">
      <c r="A33" s="171"/>
      <c r="B33" s="172"/>
      <c r="C33" s="103">
        <f>C32/($C$32+$D$32+$E$32)</f>
        <v>1</v>
      </c>
      <c r="D33" s="104">
        <f>D32/($C$32+$D$32+$E$32)</f>
        <v>0</v>
      </c>
      <c r="E33" s="105">
        <f>E32/($C$32+$D$32+$E$32)</f>
        <v>0</v>
      </c>
      <c r="F33" s="106"/>
      <c r="G33" s="173"/>
      <c r="H33" s="174"/>
      <c r="I33" s="175"/>
      <c r="J33" s="121"/>
      <c r="K33" s="122"/>
      <c r="L33" s="211"/>
      <c r="M33" s="119"/>
    </row>
    <row r="34" spans="1:17" ht="13.8" thickBot="1">
      <c r="A34" s="795" t="s">
        <v>68</v>
      </c>
      <c r="B34" s="796"/>
      <c r="C34" s="107">
        <f>C14+C23+C32</f>
        <v>52936</v>
      </c>
      <c r="D34" s="107">
        <f>D14+D23+D32</f>
        <v>0</v>
      </c>
      <c r="E34" s="107">
        <f>E14+E23+E32</f>
        <v>0</v>
      </c>
      <c r="F34" s="108">
        <f>F14+F23+F32</f>
        <v>24</v>
      </c>
      <c r="H34" s="176"/>
      <c r="I34" s="176"/>
      <c r="J34" s="123" t="s">
        <v>28</v>
      </c>
      <c r="K34" s="124">
        <f>SUM(K7:K32)</f>
        <v>52936</v>
      </c>
      <c r="L34" s="210">
        <f>SUM(L7:L32)</f>
        <v>0</v>
      </c>
      <c r="M34" s="120">
        <f>SUM(M7:M32)</f>
        <v>594119</v>
      </c>
      <c r="N34" s="155" t="s">
        <v>410</v>
      </c>
      <c r="O34" s="149">
        <v>1160</v>
      </c>
      <c r="P34" s="149">
        <v>928</v>
      </c>
      <c r="Q34" s="149">
        <v>690</v>
      </c>
    </row>
    <row r="35" spans="1:17" ht="13.8" thickBot="1">
      <c r="A35" s="177"/>
      <c r="B35" s="178"/>
      <c r="C35" s="104">
        <f>C34/($C$34+$D$34+$E$34)</f>
        <v>1</v>
      </c>
      <c r="D35" s="104">
        <f>D34/($C$34+$D$34+$E$34)</f>
        <v>0</v>
      </c>
      <c r="E35" s="109">
        <f>E34/($C$34+$D$34+$E$34)</f>
        <v>0</v>
      </c>
      <c r="K35" s="155"/>
      <c r="N35" s="149" t="s">
        <v>571</v>
      </c>
      <c r="O35" s="149">
        <v>1212.8</v>
      </c>
      <c r="P35" s="149">
        <v>978.048</v>
      </c>
      <c r="Q35" s="149">
        <f>270+480</f>
        <v>750</v>
      </c>
    </row>
    <row r="36" spans="1:17" ht="13.8" thickBot="1">
      <c r="A36" s="176"/>
      <c r="B36" s="176"/>
      <c r="C36" s="155"/>
      <c r="D36" s="155"/>
      <c r="E36" s="155"/>
      <c r="G36" s="155"/>
      <c r="H36" s="179"/>
      <c r="I36" s="162" t="s">
        <v>37</v>
      </c>
      <c r="J36" s="162" t="s">
        <v>38</v>
      </c>
      <c r="K36" s="180"/>
      <c r="Q36" s="149">
        <f>+Q34+Q35</f>
        <v>1440</v>
      </c>
    </row>
    <row r="37" spans="1:17" ht="17.399999999999999" customHeight="1" thickBot="1">
      <c r="A37" s="797" t="s">
        <v>69</v>
      </c>
      <c r="B37" s="798"/>
      <c r="C37" s="162" t="s">
        <v>70</v>
      </c>
      <c r="D37" s="181" t="s">
        <v>71</v>
      </c>
      <c r="E37" s="182" t="s">
        <v>72</v>
      </c>
      <c r="F37" s="304"/>
      <c r="G37" s="306"/>
      <c r="H37" s="184" t="s">
        <v>73</v>
      </c>
      <c r="I37" s="239">
        <f>(15*690+14*750)/1440*G42*2.7*1440/1000000</f>
        <v>53.70918300000001</v>
      </c>
      <c r="J37" s="125">
        <f>+I37+'11'!J37</f>
        <v>612.79823740510824</v>
      </c>
      <c r="K37" s="126" t="s">
        <v>74</v>
      </c>
    </row>
    <row r="38" spans="1:17" ht="17.399999999999999" customHeight="1">
      <c r="A38" s="799" t="s">
        <v>12</v>
      </c>
      <c r="B38" s="800"/>
      <c r="C38" s="164">
        <f>SUMIF($G$7:$G$31,"Process",$F$7:$F$31)</f>
        <v>24</v>
      </c>
      <c r="D38" s="118">
        <f>C38+'11'!D38</f>
        <v>312</v>
      </c>
      <c r="E38" s="143">
        <f t="shared" ref="E38:E52" si="10">D38/60</f>
        <v>5.2</v>
      </c>
      <c r="F38" s="536">
        <v>1160</v>
      </c>
      <c r="G38" s="536">
        <v>928</v>
      </c>
      <c r="H38" s="185" t="s">
        <v>75</v>
      </c>
      <c r="I38" s="240">
        <f>18.732+16.207+17.528</f>
        <v>52.466999999999999</v>
      </c>
      <c r="J38" s="127">
        <f>+I38+'11'!J38</f>
        <v>597.81299999999999</v>
      </c>
      <c r="K38" s="128" t="s">
        <v>74</v>
      </c>
    </row>
    <row r="39" spans="1:17" ht="17.399999999999999" customHeight="1">
      <c r="A39" s="786" t="s">
        <v>13</v>
      </c>
      <c r="B39" s="787"/>
      <c r="C39" s="164">
        <f>SUMIF($G$7:$G$31,"Cleaning",$F$7:$F$31)</f>
        <v>0</v>
      </c>
      <c r="D39" s="118">
        <f>C39+'11'!D39</f>
        <v>0</v>
      </c>
      <c r="E39" s="143">
        <f t="shared" si="10"/>
        <v>0</v>
      </c>
      <c r="F39" s="536">
        <v>1182.5</v>
      </c>
      <c r="G39" s="536">
        <v>946</v>
      </c>
      <c r="H39" s="185" t="s">
        <v>76</v>
      </c>
      <c r="I39" s="142"/>
      <c r="J39" s="129">
        <f>J37/G4</f>
        <v>51.06651978375902</v>
      </c>
      <c r="K39" s="130" t="s">
        <v>74</v>
      </c>
    </row>
    <row r="40" spans="1:17" ht="17.399999999999999" customHeight="1">
      <c r="A40" s="786" t="s">
        <v>77</v>
      </c>
      <c r="B40" s="787"/>
      <c r="C40" s="164">
        <f>SUMIF($G$7:$G$31,"Mechanical",$F$7:$F$31)</f>
        <v>0</v>
      </c>
      <c r="D40" s="118">
        <f>C40+'11'!D40</f>
        <v>0</v>
      </c>
      <c r="E40" s="143">
        <f t="shared" si="10"/>
        <v>0</v>
      </c>
      <c r="F40" s="536">
        <v>1220</v>
      </c>
      <c r="G40" s="536">
        <v>988.2</v>
      </c>
      <c r="H40" s="185" t="s">
        <v>78</v>
      </c>
      <c r="I40" s="118">
        <f>(K34+L34)/1000</f>
        <v>52.936</v>
      </c>
      <c r="J40" s="131">
        <f>+I40+'11'!J40</f>
        <v>594.11900000000003</v>
      </c>
      <c r="K40" s="130" t="s">
        <v>74</v>
      </c>
    </row>
    <row r="41" spans="1:17" ht="17.399999999999999" customHeight="1">
      <c r="A41" s="786" t="s">
        <v>79</v>
      </c>
      <c r="B41" s="787"/>
      <c r="C41" s="164">
        <f>SUMIF($G$7:$G$31,"Electrical",$F$7:$F$31)</f>
        <v>0</v>
      </c>
      <c r="D41" s="118">
        <f>C41+'11'!D41</f>
        <v>0</v>
      </c>
      <c r="E41" s="143">
        <f t="shared" si="10"/>
        <v>0</v>
      </c>
      <c r="F41" s="304"/>
      <c r="G41" s="304"/>
      <c r="H41" s="185" t="s">
        <v>80</v>
      </c>
      <c r="I41" s="142"/>
      <c r="J41" s="129">
        <f>J40/G4</f>
        <v>49.509916666666669</v>
      </c>
      <c r="K41" s="130" t="s">
        <v>74</v>
      </c>
    </row>
    <row r="42" spans="1:17" ht="17.399999999999999" customHeight="1">
      <c r="A42" s="786" t="s">
        <v>16</v>
      </c>
      <c r="B42" s="787"/>
      <c r="C42" s="164">
        <f>SUMIF($G$7:$G$31,"Instrument",$F$7:$F$31)</f>
        <v>0</v>
      </c>
      <c r="D42" s="118">
        <f>C42+'11'!D42</f>
        <v>0</v>
      </c>
      <c r="E42" s="143">
        <f t="shared" si="10"/>
        <v>0</v>
      </c>
      <c r="F42" s="537">
        <f>+(F38*480+F39*480+F40*480)/1440</f>
        <v>1187.5</v>
      </c>
      <c r="G42" s="537">
        <f>+(G38*480+G39*480+G40*480)/1440</f>
        <v>954.06666666666672</v>
      </c>
      <c r="H42" s="185" t="s">
        <v>81</v>
      </c>
      <c r="I42" s="241" t="s">
        <v>574</v>
      </c>
      <c r="J42" s="132"/>
      <c r="K42" s="130" t="s">
        <v>82</v>
      </c>
    </row>
    <row r="43" spans="1:17" ht="17.399999999999999" customHeight="1">
      <c r="A43" s="786" t="s">
        <v>83</v>
      </c>
      <c r="B43" s="787"/>
      <c r="C43" s="164">
        <f>SUMIF($G$7:$G$31,"Water",$F$7:$F$31)</f>
        <v>0</v>
      </c>
      <c r="D43" s="118">
        <f>C43+'11'!D43</f>
        <v>0</v>
      </c>
      <c r="E43" s="143">
        <f t="shared" si="10"/>
        <v>0</v>
      </c>
      <c r="F43" s="304"/>
      <c r="G43" s="305"/>
      <c r="H43" s="186" t="s">
        <v>84</v>
      </c>
      <c r="I43" s="118">
        <f>+Report1!Z20</f>
        <v>95.6</v>
      </c>
      <c r="J43" s="133">
        <f>+I43+'11'!J43</f>
        <v>1140.82</v>
      </c>
      <c r="K43" s="130" t="s">
        <v>74</v>
      </c>
      <c r="L43" s="187"/>
    </row>
    <row r="44" spans="1:17" ht="17.399999999999999" customHeight="1">
      <c r="A44" s="786" t="s">
        <v>17</v>
      </c>
      <c r="B44" s="787"/>
      <c r="C44" s="164">
        <f>SUMIF($G$7:$G$31,"PLN",$F$7:$F$31)</f>
        <v>0</v>
      </c>
      <c r="D44" s="118">
        <f>C44+'11'!D44</f>
        <v>0</v>
      </c>
      <c r="E44" s="143">
        <f t="shared" si="10"/>
        <v>0</v>
      </c>
      <c r="F44" s="304"/>
      <c r="G44" s="305"/>
      <c r="H44" s="186" t="s">
        <v>85</v>
      </c>
      <c r="I44" s="118">
        <f>I43/I38</f>
        <v>1.8220976995063562</v>
      </c>
      <c r="J44" s="134">
        <f>J43/J38</f>
        <v>1.9083225021871386</v>
      </c>
      <c r="K44" s="130" t="s">
        <v>74</v>
      </c>
    </row>
    <row r="45" spans="1:17" ht="17.399999999999999" customHeight="1">
      <c r="A45" s="786" t="s">
        <v>18</v>
      </c>
      <c r="B45" s="787"/>
      <c r="C45" s="164">
        <f>SUMIF($G$7:$G$31,"Boiler",$F$7:$F$31)</f>
        <v>0</v>
      </c>
      <c r="D45" s="118">
        <f>C45+'11'!D45</f>
        <v>0</v>
      </c>
      <c r="E45" s="143">
        <f t="shared" si="10"/>
        <v>0</v>
      </c>
      <c r="F45" s="304"/>
      <c r="G45" s="307"/>
      <c r="H45" s="186" t="s">
        <v>86</v>
      </c>
      <c r="I45" s="118">
        <f>I43/I40</f>
        <v>1.8059543599818648</v>
      </c>
      <c r="J45" s="134">
        <f>J43/J40</f>
        <v>1.9201877065032424</v>
      </c>
      <c r="K45" s="130" t="s">
        <v>74</v>
      </c>
      <c r="M45" s="149" t="s">
        <v>1</v>
      </c>
    </row>
    <row r="46" spans="1:17" ht="17.399999999999999" customHeight="1">
      <c r="A46" s="786" t="s">
        <v>87</v>
      </c>
      <c r="B46" s="787"/>
      <c r="C46" s="164">
        <f>SUMIF($G$7:$G$31,"Gas",$F$7:$F$31)</f>
        <v>0</v>
      </c>
      <c r="D46" s="118">
        <f>C46+'11'!D46</f>
        <v>0</v>
      </c>
      <c r="E46" s="143">
        <f t="shared" si="10"/>
        <v>0</v>
      </c>
      <c r="F46" s="304"/>
      <c r="G46" s="305"/>
      <c r="H46" s="186" t="s">
        <v>88</v>
      </c>
      <c r="I46" s="140">
        <f>+SUMIF(Listrik!X19,"&gt;0")</f>
        <v>40299.710217802094</v>
      </c>
      <c r="J46" s="135">
        <f>+I46+'11'!J46</f>
        <v>448850.27095708426</v>
      </c>
      <c r="K46" s="130" t="s">
        <v>89</v>
      </c>
    </row>
    <row r="47" spans="1:17" ht="17.399999999999999" customHeight="1">
      <c r="A47" s="786" t="s">
        <v>90</v>
      </c>
      <c r="B47" s="787"/>
      <c r="C47" s="164">
        <f>SUMIF($G$7:$G$31,"Gas",$F$7:$F$31)</f>
        <v>0</v>
      </c>
      <c r="D47" s="118">
        <f>C47+'11'!D47</f>
        <v>0</v>
      </c>
      <c r="E47" s="143">
        <f t="shared" si="10"/>
        <v>0</v>
      </c>
      <c r="F47" s="304"/>
      <c r="G47" s="305"/>
      <c r="H47" s="186" t="s">
        <v>91</v>
      </c>
      <c r="I47" s="118">
        <f>I46/I38</f>
        <v>768.09633136642265</v>
      </c>
      <c r="J47" s="135">
        <f>J46/J38</f>
        <v>750.82052574481361</v>
      </c>
      <c r="K47" s="130" t="s">
        <v>24</v>
      </c>
    </row>
    <row r="48" spans="1:17" ht="17.399999999999999" customHeight="1">
      <c r="A48" s="786" t="s">
        <v>14</v>
      </c>
      <c r="B48" s="787"/>
      <c r="C48" s="164">
        <f>SUMIF($G$7:$G$31,"Start Up",$F$7:$F$31)</f>
        <v>0</v>
      </c>
      <c r="D48" s="118">
        <f>C48+'11'!D48</f>
        <v>0</v>
      </c>
      <c r="E48" s="143">
        <f t="shared" si="10"/>
        <v>0</v>
      </c>
      <c r="F48" s="304"/>
      <c r="G48" s="305"/>
      <c r="H48" s="186" t="s">
        <v>92</v>
      </c>
      <c r="I48" s="118">
        <f>I46/I40</f>
        <v>761.29118591888493</v>
      </c>
      <c r="J48" s="135">
        <f>J46/J40</f>
        <v>755.48883465616188</v>
      </c>
      <c r="K48" s="130" t="s">
        <v>24</v>
      </c>
    </row>
    <row r="49" spans="1:11" ht="17.399999999999999" customHeight="1">
      <c r="A49" s="786" t="s">
        <v>20</v>
      </c>
      <c r="B49" s="787"/>
      <c r="C49" s="164">
        <f>SUMIF($G$7:$G$31,"Others",$F$7:$F$31)</f>
        <v>0</v>
      </c>
      <c r="D49" s="118">
        <f>C49+'11'!D49</f>
        <v>1072</v>
      </c>
      <c r="E49" s="143">
        <f t="shared" si="10"/>
        <v>17.866666666666667</v>
      </c>
      <c r="F49" s="183"/>
      <c r="H49" s="186" t="s">
        <v>269</v>
      </c>
      <c r="I49" s="118">
        <f>+Report1!T20</f>
        <v>3690.066428686956</v>
      </c>
      <c r="J49" s="135">
        <f>+I49+'11'!J49</f>
        <v>43379.217154749676</v>
      </c>
      <c r="K49" s="130" t="s">
        <v>93</v>
      </c>
    </row>
    <row r="50" spans="1:11" ht="17.399999999999999" customHeight="1">
      <c r="A50" s="786" t="s">
        <v>19</v>
      </c>
      <c r="B50" s="787"/>
      <c r="C50" s="164">
        <f>SUMIF($G$7:$G$31,"Steam",$F$7:$F$31)</f>
        <v>0</v>
      </c>
      <c r="D50" s="118">
        <f>C50+'11'!D50</f>
        <v>0</v>
      </c>
      <c r="E50" s="143">
        <f t="shared" si="10"/>
        <v>0</v>
      </c>
      <c r="F50" s="183"/>
      <c r="H50" s="186" t="s">
        <v>94</v>
      </c>
      <c r="I50" s="140">
        <f>I49/I38</f>
        <v>70.33118776920648</v>
      </c>
      <c r="J50" s="133">
        <f>J49/J38</f>
        <v>72.563188078462119</v>
      </c>
      <c r="K50" s="130" t="s">
        <v>93</v>
      </c>
    </row>
    <row r="51" spans="1:11" ht="17.399999999999999" customHeight="1">
      <c r="A51" s="803" t="s">
        <v>95</v>
      </c>
      <c r="B51" s="803"/>
      <c r="C51" s="164">
        <f>SUMIF($G$7:$G$31,"Planned shut",$F$7:$F$31)</f>
        <v>0</v>
      </c>
      <c r="D51" s="118">
        <f>C51+'11'!D51</f>
        <v>0</v>
      </c>
      <c r="E51" s="143">
        <f t="shared" si="10"/>
        <v>0</v>
      </c>
      <c r="F51" s="183"/>
      <c r="H51" s="188" t="s">
        <v>96</v>
      </c>
      <c r="I51" s="141">
        <f>I49/I40</f>
        <v>69.708070664329682</v>
      </c>
      <c r="J51" s="136">
        <f>J49/J40</f>
        <v>73.014357653516683</v>
      </c>
      <c r="K51" s="137" t="s">
        <v>93</v>
      </c>
    </row>
    <row r="52" spans="1:11" ht="13.8" thickBot="1">
      <c r="A52" s="804" t="s">
        <v>218</v>
      </c>
      <c r="B52" s="805"/>
      <c r="C52" s="164">
        <f>SUMIF($G$7:$G$31,"Change Grade",$F$7:$F$31)</f>
        <v>0</v>
      </c>
      <c r="D52" s="118">
        <f>C52+'11'!D52</f>
        <v>0</v>
      </c>
      <c r="E52" s="143">
        <f t="shared" si="10"/>
        <v>0</v>
      </c>
      <c r="F52" s="183"/>
      <c r="H52" s="189"/>
      <c r="I52" s="190"/>
      <c r="J52" s="138"/>
      <c r="K52" s="139"/>
    </row>
    <row r="53" spans="1:11">
      <c r="A53" s="799" t="s">
        <v>28</v>
      </c>
      <c r="B53" s="800"/>
      <c r="C53" s="144">
        <f>SUM(C38:C52)</f>
        <v>24</v>
      </c>
      <c r="D53" s="144">
        <f>SUM(D38:D52)</f>
        <v>1384</v>
      </c>
      <c r="E53" s="145">
        <f>SUM(E38:E52)</f>
        <v>23.066666666666666</v>
      </c>
      <c r="F53" s="183"/>
    </row>
    <row r="54" spans="1:11" ht="13.8" thickBot="1">
      <c r="A54" s="801"/>
      <c r="B54" s="802"/>
      <c r="C54" s="146">
        <f>C53/(24*60)</f>
        <v>1.6666666666666666E-2</v>
      </c>
      <c r="D54" s="146">
        <f>D53/(24*60*G4)</f>
        <v>8.009259259259259E-2</v>
      </c>
      <c r="E54" s="147">
        <f>E53/(G4*24)</f>
        <v>8.009259259259259E-2</v>
      </c>
      <c r="F54" s="183"/>
    </row>
    <row r="55" spans="1:11">
      <c r="E55" s="191"/>
    </row>
    <row r="56" spans="1:11">
      <c r="A56" s="192" t="s">
        <v>97</v>
      </c>
      <c r="B56" s="193"/>
      <c r="C56" s="194"/>
      <c r="D56" s="194"/>
      <c r="E56" s="194"/>
      <c r="F56" s="195"/>
      <c r="G56" s="194"/>
      <c r="H56" s="196"/>
      <c r="I56" s="197" t="s">
        <v>98</v>
      </c>
      <c r="J56" s="198">
        <f>+D34+'11'!J56</f>
        <v>0</v>
      </c>
      <c r="K56" s="199">
        <f>J56/(J40+J56/1000)/1000</f>
        <v>0</v>
      </c>
    </row>
    <row r="57" spans="1:11">
      <c r="A57" s="174"/>
      <c r="I57" s="197" t="s">
        <v>99</v>
      </c>
      <c r="J57" s="198">
        <f>+E34+'11'!J57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2:B52"/>
    <mergeCell ref="A53:B53"/>
    <mergeCell ref="A48:B48"/>
    <mergeCell ref="A49:B49"/>
    <mergeCell ref="A50:B50"/>
    <mergeCell ref="A51:B51"/>
    <mergeCell ref="A7:A14"/>
    <mergeCell ref="I7:I13"/>
    <mergeCell ref="A15:A23"/>
    <mergeCell ref="I15:I22"/>
    <mergeCell ref="A46:B46"/>
    <mergeCell ref="A47:B47"/>
    <mergeCell ref="A39:B39"/>
    <mergeCell ref="I24:I31"/>
    <mergeCell ref="A37:B37"/>
    <mergeCell ref="A38:B38"/>
    <mergeCell ref="A24:A32"/>
    <mergeCell ref="A34:B34"/>
    <mergeCell ref="A42:B42"/>
    <mergeCell ref="A43:B43"/>
    <mergeCell ref="A44:B44"/>
    <mergeCell ref="A45:B45"/>
    <mergeCell ref="A40:B40"/>
    <mergeCell ref="A41:B41"/>
  </mergeCells>
  <phoneticPr fontId="31" type="noConversion"/>
  <printOptions horizontalCentered="1"/>
  <pageMargins left="0.15625" right="0.15625" top="0.39027777777777778" bottom="0.39027777777777778" header="0" footer="0"/>
  <pageSetup paperSize="9" scale="51" firstPageNumber="4294963191" fitToWidth="20"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Z61"/>
  <sheetViews>
    <sheetView view="pageBreakPreview" topLeftCell="A4" zoomScale="80" zoomScaleNormal="70" zoomScaleSheetLayoutView="80" workbookViewId="0">
      <selection activeCell="A7" sqref="A7:A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4" style="149" bestFit="1" customWidth="1"/>
    <col min="12" max="12" width="8.33203125" style="149" customWidth="1"/>
    <col min="13" max="13" width="15.5546875" style="149" bestFit="1" customWidth="1"/>
    <col min="14" max="16384" width="9.109375" style="149"/>
  </cols>
  <sheetData>
    <row r="1" spans="1:19" ht="15.6">
      <c r="A1" s="148"/>
    </row>
    <row r="2" spans="1:19" ht="15.6">
      <c r="A2" s="148" t="s">
        <v>219</v>
      </c>
    </row>
    <row r="3" spans="1:19" ht="15">
      <c r="A3" s="150"/>
    </row>
    <row r="4" spans="1:19" ht="21">
      <c r="A4" s="151" t="s">
        <v>4</v>
      </c>
      <c r="B4" s="152"/>
      <c r="F4" s="153" t="s">
        <v>29</v>
      </c>
      <c r="G4" s="154">
        <v>11</v>
      </c>
      <c r="H4" s="154" t="str">
        <f>+'1'!H4</f>
        <v>.03.26</v>
      </c>
      <c r="J4" s="149">
        <f>460+426+423</f>
        <v>1309</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465</v>
      </c>
      <c r="O6" s="149">
        <v>1150</v>
      </c>
      <c r="P6" s="149">
        <f>+O6-(O6*0.18)</f>
        <v>943</v>
      </c>
      <c r="Q6" s="149">
        <f>60*5+20</f>
        <v>320</v>
      </c>
      <c r="R6" s="149">
        <f t="shared" ref="R6:R8" si="0">+O6*Q6</f>
        <v>368000</v>
      </c>
      <c r="S6" s="149">
        <f t="shared" ref="S6:S8" si="1">+P6*Q6</f>
        <v>301760</v>
      </c>
    </row>
    <row r="7" spans="1:19" ht="13.5" customHeight="1" thickBot="1">
      <c r="A7" s="788" t="s">
        <v>226</v>
      </c>
      <c r="B7" s="213" t="s">
        <v>480</v>
      </c>
      <c r="C7" s="214">
        <v>14357</v>
      </c>
      <c r="D7" s="215"/>
      <c r="E7" s="216"/>
      <c r="F7" s="231"/>
      <c r="G7" s="553" t="s">
        <v>12</v>
      </c>
      <c r="H7" s="554" t="s">
        <v>417</v>
      </c>
      <c r="I7" s="791" t="s">
        <v>562</v>
      </c>
      <c r="J7" s="212" t="str">
        <f>+'10'!J7</f>
        <v>T 15 RC HW</v>
      </c>
      <c r="K7" s="233">
        <f>+C8+C16+C25</f>
        <v>34467</v>
      </c>
      <c r="L7" s="237"/>
      <c r="M7" s="117">
        <f>+K7+'10'!M7+L7</f>
        <v>335063</v>
      </c>
      <c r="N7" s="149" t="s">
        <v>410</v>
      </c>
      <c r="O7" s="149">
        <v>1150</v>
      </c>
      <c r="P7" s="149">
        <f>+O7-(O7*0.2)</f>
        <v>920</v>
      </c>
      <c r="Q7" s="149">
        <f>60-20+41</f>
        <v>81</v>
      </c>
      <c r="R7" s="149">
        <f t="shared" si="0"/>
        <v>93150</v>
      </c>
      <c r="S7" s="149">
        <f t="shared" si="1"/>
        <v>74520</v>
      </c>
    </row>
    <row r="8" spans="1:19" ht="13.8" thickBot="1">
      <c r="A8" s="789"/>
      <c r="B8" s="213" t="s">
        <v>430</v>
      </c>
      <c r="C8" s="214">
        <v>1354</v>
      </c>
      <c r="D8" s="215"/>
      <c r="E8" s="217"/>
      <c r="F8" s="227">
        <v>2</v>
      </c>
      <c r="G8" s="555" t="s">
        <v>12</v>
      </c>
      <c r="H8" s="226" t="s">
        <v>416</v>
      </c>
      <c r="I8" s="792"/>
      <c r="J8" s="212" t="str">
        <f>+'10'!J8</f>
        <v>T 14,5 RC HW</v>
      </c>
      <c r="K8" s="234">
        <f>+C7</f>
        <v>14357</v>
      </c>
      <c r="L8" s="234"/>
      <c r="M8" s="117">
        <f>+K8+'10'!M8+L8</f>
        <v>206120</v>
      </c>
      <c r="O8" s="149">
        <v>1160</v>
      </c>
      <c r="P8" s="149">
        <f>+O8-(O8*0.2)</f>
        <v>928</v>
      </c>
      <c r="Q8" s="149">
        <f>60-41+60</f>
        <v>79</v>
      </c>
      <c r="R8" s="149">
        <f t="shared" si="0"/>
        <v>91640</v>
      </c>
      <c r="S8" s="149">
        <f t="shared" si="1"/>
        <v>73312</v>
      </c>
    </row>
    <row r="9" spans="1:19" ht="13.8" thickBot="1">
      <c r="A9" s="789"/>
      <c r="B9" s="213"/>
      <c r="C9" s="214"/>
      <c r="D9" s="215"/>
      <c r="E9" s="218"/>
      <c r="F9" s="227">
        <v>8</v>
      </c>
      <c r="G9" s="555" t="s">
        <v>12</v>
      </c>
      <c r="H9" s="229" t="s">
        <v>475</v>
      </c>
      <c r="I9" s="792"/>
      <c r="J9" s="212">
        <f>+'10'!J9</f>
        <v>0</v>
      </c>
      <c r="K9" s="234"/>
      <c r="L9" s="234"/>
      <c r="M9" s="117">
        <f>+K9+'10'!M9+L9</f>
        <v>0</v>
      </c>
    </row>
    <row r="10" spans="1:19" ht="79.8" thickBot="1">
      <c r="A10" s="789"/>
      <c r="B10" s="213"/>
      <c r="C10" s="214"/>
      <c r="D10" s="215"/>
      <c r="E10" s="217"/>
      <c r="F10" s="227"/>
      <c r="G10" s="225"/>
      <c r="H10" s="556" t="s">
        <v>557</v>
      </c>
      <c r="I10" s="792"/>
      <c r="J10" s="212">
        <f>+'10'!J10</f>
        <v>0</v>
      </c>
      <c r="K10" s="234"/>
      <c r="L10" s="234"/>
      <c r="M10" s="117">
        <f>+K10+'10'!M10+L10</f>
        <v>0</v>
      </c>
    </row>
    <row r="11" spans="1:19" ht="66.599999999999994" thickBot="1">
      <c r="A11" s="789"/>
      <c r="B11" s="213"/>
      <c r="C11" s="214"/>
      <c r="D11" s="215"/>
      <c r="E11" s="217"/>
      <c r="F11" s="224"/>
      <c r="G11" s="228"/>
      <c r="H11" s="229" t="s">
        <v>558</v>
      </c>
      <c r="I11" s="792"/>
      <c r="J11" s="212">
        <f>+'10'!J11</f>
        <v>0</v>
      </c>
      <c r="K11" s="234"/>
      <c r="L11" s="234"/>
      <c r="M11" s="117">
        <f>+K11+'10'!M11+L11</f>
        <v>0</v>
      </c>
    </row>
    <row r="12" spans="1:19" ht="13.8" thickBot="1">
      <c r="A12" s="789"/>
      <c r="B12" s="213"/>
      <c r="C12" s="214"/>
      <c r="D12" s="215"/>
      <c r="E12" s="217"/>
      <c r="F12" s="224"/>
      <c r="G12" s="228"/>
      <c r="H12" s="229"/>
      <c r="I12" s="792"/>
      <c r="J12" s="212">
        <f>+'10'!J12</f>
        <v>0</v>
      </c>
      <c r="K12" s="234"/>
      <c r="L12" s="234"/>
      <c r="M12" s="117">
        <f>+K12+'10'!M12+L12</f>
        <v>0</v>
      </c>
    </row>
    <row r="13" spans="1:19" ht="13.8" thickBot="1">
      <c r="A13" s="789"/>
      <c r="B13" s="213"/>
      <c r="C13" s="214"/>
      <c r="D13" s="214"/>
      <c r="E13" s="217"/>
      <c r="F13" s="224"/>
      <c r="G13" s="228"/>
      <c r="H13" s="229"/>
      <c r="I13" s="793"/>
      <c r="J13" s="212">
        <f>+'10'!J13</f>
        <v>0</v>
      </c>
      <c r="K13" s="234"/>
      <c r="L13" s="234"/>
      <c r="M13" s="117">
        <f>+K13+'10'!M13+L13</f>
        <v>0</v>
      </c>
      <c r="Q13" s="174">
        <f>SUM(Q6:Q12)</f>
        <v>480</v>
      </c>
      <c r="R13" s="174">
        <f>SUM(R6:R12)</f>
        <v>552790</v>
      </c>
      <c r="S13" s="174">
        <f>SUM(S6:S12)</f>
        <v>449592</v>
      </c>
    </row>
    <row r="14" spans="1:19" ht="13.8" thickBot="1">
      <c r="A14" s="790"/>
      <c r="B14" s="165" t="s">
        <v>3</v>
      </c>
      <c r="C14" s="99">
        <f>SUM(C7:C13)</f>
        <v>15711</v>
      </c>
      <c r="D14" s="111">
        <f>SUM(D7:D13)</f>
        <v>0</v>
      </c>
      <c r="E14" s="112">
        <f>SUM(E5:E13)</f>
        <v>0</v>
      </c>
      <c r="F14" s="116">
        <f>SUM(F7:F13)</f>
        <v>10</v>
      </c>
      <c r="G14" s="159"/>
      <c r="H14" s="166"/>
      <c r="I14" s="167"/>
      <c r="J14" s="212">
        <f>+'10'!J14</f>
        <v>0</v>
      </c>
      <c r="K14" s="234"/>
      <c r="L14" s="234"/>
      <c r="M14" s="117">
        <f>+K14+'10'!M14+L14</f>
        <v>0</v>
      </c>
      <c r="Q14" s="149">
        <f>480-Q13</f>
        <v>0</v>
      </c>
      <c r="R14" s="174">
        <f>+R13/Q13</f>
        <v>1151.6458333333333</v>
      </c>
      <c r="S14" s="174">
        <f>+S13/Q13</f>
        <v>936.65</v>
      </c>
    </row>
    <row r="15" spans="1:19" ht="13.5" customHeight="1" thickBot="1">
      <c r="A15" s="794" t="s">
        <v>458</v>
      </c>
      <c r="B15" s="513"/>
      <c r="C15" s="113">
        <f>C14/($C$23+$D$23+$E$23)</f>
        <v>0.91502620850320326</v>
      </c>
      <c r="D15" s="114">
        <f>D14/($C$23+$D$23+$E$23)</f>
        <v>0</v>
      </c>
      <c r="E15" s="115">
        <f>E14/($C$23+$D$23+$E$23)</f>
        <v>0</v>
      </c>
      <c r="F15" s="231"/>
      <c r="G15" s="553" t="s">
        <v>12</v>
      </c>
      <c r="H15" s="554" t="s">
        <v>417</v>
      </c>
      <c r="I15" s="791" t="s">
        <v>563</v>
      </c>
      <c r="J15" s="212">
        <f>+'10'!J15</f>
        <v>0</v>
      </c>
      <c r="K15" s="234"/>
      <c r="L15" s="234"/>
      <c r="M15" s="117">
        <f>+K15+'10'!M15+L15</f>
        <v>0</v>
      </c>
    </row>
    <row r="16" spans="1:19" ht="13.8" thickBot="1">
      <c r="A16" s="789"/>
      <c r="B16" s="512" t="s">
        <v>430</v>
      </c>
      <c r="C16" s="511">
        <v>17170</v>
      </c>
      <c r="D16" s="219"/>
      <c r="E16" s="220"/>
      <c r="F16" s="227"/>
      <c r="G16" s="555" t="s">
        <v>12</v>
      </c>
      <c r="H16" s="226" t="s">
        <v>419</v>
      </c>
      <c r="I16" s="792"/>
      <c r="J16" s="212">
        <f>+'10'!J16</f>
        <v>0</v>
      </c>
      <c r="K16" s="225"/>
      <c r="L16" s="225"/>
      <c r="M16" s="117">
        <f>+K16+'10'!M16+L16</f>
        <v>0</v>
      </c>
      <c r="N16" s="149" t="s">
        <v>410</v>
      </c>
      <c r="O16" s="149">
        <v>1160</v>
      </c>
      <c r="P16" s="149">
        <f>+O16-(O16*0.2)</f>
        <v>928</v>
      </c>
      <c r="Q16" s="149">
        <v>480</v>
      </c>
      <c r="R16" s="149">
        <f t="shared" ref="R16" si="2">+O16*Q16</f>
        <v>556800</v>
      </c>
      <c r="S16" s="149">
        <f t="shared" ref="S16" si="3">+P16*Q16</f>
        <v>445440</v>
      </c>
    </row>
    <row r="17" spans="1:26" ht="13.8" thickBot="1">
      <c r="A17" s="789"/>
      <c r="B17" s="213"/>
      <c r="C17" s="214"/>
      <c r="D17" s="215"/>
      <c r="E17" s="221"/>
      <c r="F17" s="227">
        <v>5</v>
      </c>
      <c r="G17" s="555" t="s">
        <v>12</v>
      </c>
      <c r="H17" s="229" t="s">
        <v>415</v>
      </c>
      <c r="I17" s="792"/>
      <c r="J17" s="212">
        <f>+'10'!J17</f>
        <v>0</v>
      </c>
      <c r="K17" s="225"/>
      <c r="L17" s="225"/>
      <c r="M17" s="117">
        <f>+K17+'10'!M17+L17</f>
        <v>0</v>
      </c>
    </row>
    <row r="18" spans="1:26" ht="66.599999999999994" thickBot="1">
      <c r="A18" s="789"/>
      <c r="B18" s="213"/>
      <c r="C18" s="214"/>
      <c r="D18" s="215"/>
      <c r="E18" s="221"/>
      <c r="F18" s="227"/>
      <c r="G18" s="225"/>
      <c r="H18" s="556" t="s">
        <v>559</v>
      </c>
      <c r="I18" s="792"/>
      <c r="J18" s="212">
        <f>+'10'!J18</f>
        <v>0</v>
      </c>
      <c r="K18" s="234"/>
      <c r="L18" s="234"/>
      <c r="M18" s="117">
        <f>+K18+'10'!M18+L18</f>
        <v>0</v>
      </c>
    </row>
    <row r="19" spans="1:26" ht="13.8" thickBot="1">
      <c r="A19" s="789"/>
      <c r="B19" s="213"/>
      <c r="C19" s="214"/>
      <c r="D19" s="215"/>
      <c r="E19" s="221"/>
      <c r="F19" s="230"/>
      <c r="G19" s="228"/>
      <c r="H19" s="229" t="s">
        <v>560</v>
      </c>
      <c r="I19" s="792"/>
      <c r="J19" s="212">
        <f>+'10'!J19</f>
        <v>0</v>
      </c>
      <c r="K19" s="234"/>
      <c r="L19" s="234"/>
      <c r="M19" s="117">
        <f>+K19+'10'!M19+L19</f>
        <v>0</v>
      </c>
    </row>
    <row r="20" spans="1:26" ht="13.8" thickBot="1">
      <c r="A20" s="789"/>
      <c r="B20" s="213"/>
      <c r="C20" s="214"/>
      <c r="D20" s="215"/>
      <c r="E20" s="221"/>
      <c r="F20" s="224"/>
      <c r="G20" s="228"/>
      <c r="H20" s="229"/>
      <c r="I20" s="792"/>
      <c r="J20" s="212">
        <f>+'10'!J20</f>
        <v>0</v>
      </c>
      <c r="K20" s="235"/>
      <c r="L20" s="235"/>
      <c r="M20" s="117">
        <f>+K20+'10'!M20+L20</f>
        <v>0</v>
      </c>
    </row>
    <row r="21" spans="1:26" ht="13.8" thickBot="1">
      <c r="A21" s="789"/>
      <c r="B21" s="213"/>
      <c r="C21" s="214"/>
      <c r="D21" s="215"/>
      <c r="E21" s="221"/>
      <c r="F21" s="227"/>
      <c r="G21" s="228"/>
      <c r="H21" s="229"/>
      <c r="I21" s="792"/>
      <c r="J21" s="212">
        <f>+'10'!J21</f>
        <v>0</v>
      </c>
      <c r="K21" s="234"/>
      <c r="L21" s="234"/>
      <c r="M21" s="117">
        <f>+K21+'10'!M21+L21</f>
        <v>0</v>
      </c>
    </row>
    <row r="22" spans="1:26" ht="13.8" thickBot="1">
      <c r="A22" s="789"/>
      <c r="B22" s="213"/>
      <c r="C22" s="214"/>
      <c r="D22" s="215"/>
      <c r="E22" s="221"/>
      <c r="F22" s="231"/>
      <c r="G22" s="228"/>
      <c r="H22" s="229"/>
      <c r="I22" s="793"/>
      <c r="J22" s="212">
        <f>+'10'!J22</f>
        <v>0</v>
      </c>
      <c r="K22" s="234"/>
      <c r="L22" s="234"/>
      <c r="M22" s="117">
        <f>+K22+'10'!M22+L22</f>
        <v>0</v>
      </c>
    </row>
    <row r="23" spans="1:26" ht="13.8" thickBot="1">
      <c r="A23" s="790"/>
      <c r="B23" s="165" t="s">
        <v>3</v>
      </c>
      <c r="C23" s="99">
        <f>SUM(C16:C22)</f>
        <v>17170</v>
      </c>
      <c r="D23" s="111">
        <f>SUM(D16:D22)</f>
        <v>0</v>
      </c>
      <c r="E23" s="112">
        <f>SUM(E18:E22)</f>
        <v>0</v>
      </c>
      <c r="F23" s="116">
        <f>SUM(F15:F22)</f>
        <v>5</v>
      </c>
      <c r="G23" s="159"/>
      <c r="H23" s="166"/>
      <c r="I23" s="168"/>
      <c r="J23" s="212">
        <f>+'10'!J23</f>
        <v>0</v>
      </c>
      <c r="K23" s="234"/>
      <c r="L23" s="234"/>
      <c r="M23" s="117">
        <f>+K23+'10'!M23+L23</f>
        <v>0</v>
      </c>
      <c r="Q23" s="174">
        <f>SUM(Q16:Q22)</f>
        <v>480</v>
      </c>
      <c r="R23" s="174">
        <f>SUM(R16:R22)</f>
        <v>556800</v>
      </c>
      <c r="S23" s="174">
        <f>SUM(S16:S22)</f>
        <v>445440</v>
      </c>
    </row>
    <row r="24" spans="1:26" ht="13.5" customHeight="1" thickBot="1">
      <c r="A24" s="794" t="s">
        <v>428</v>
      </c>
      <c r="B24" s="513"/>
      <c r="C24" s="113">
        <f>C23/($C$23+$D$23+$E$23)</f>
        <v>1</v>
      </c>
      <c r="D24" s="114">
        <f>D23/($C$23+$D$23+$E$23)</f>
        <v>0</v>
      </c>
      <c r="E24" s="115">
        <f>E23/($C$23+$D$23+$E$23)</f>
        <v>0</v>
      </c>
      <c r="F24" s="231"/>
      <c r="G24" s="553" t="s">
        <v>12</v>
      </c>
      <c r="H24" s="554" t="s">
        <v>417</v>
      </c>
      <c r="I24" s="791" t="s">
        <v>563</v>
      </c>
      <c r="J24" s="212">
        <f>+'10'!J24</f>
        <v>0</v>
      </c>
      <c r="K24" s="234"/>
      <c r="L24" s="234"/>
      <c r="M24" s="117">
        <f>+K24+'10'!M24+L24</f>
        <v>0</v>
      </c>
      <c r="Q24" s="149">
        <f>480-Q23</f>
        <v>0</v>
      </c>
      <c r="R24" s="174">
        <f>+R23/Q23</f>
        <v>1160</v>
      </c>
      <c r="S24" s="174">
        <f>+S23/Q23</f>
        <v>928</v>
      </c>
    </row>
    <row r="25" spans="1:26" ht="13.8" thickBot="1">
      <c r="A25" s="789"/>
      <c r="B25" s="512" t="s">
        <v>430</v>
      </c>
      <c r="C25" s="222">
        <v>15943</v>
      </c>
      <c r="D25" s="215"/>
      <c r="E25" s="221"/>
      <c r="F25" s="227"/>
      <c r="G25" s="555" t="s">
        <v>12</v>
      </c>
      <c r="H25" s="226" t="s">
        <v>419</v>
      </c>
      <c r="I25" s="792"/>
      <c r="J25" s="212">
        <f>+'10'!J25</f>
        <v>0</v>
      </c>
      <c r="K25" s="234"/>
      <c r="L25" s="234"/>
      <c r="M25" s="117">
        <f>+K25+'10'!M25+L25</f>
        <v>0</v>
      </c>
    </row>
    <row r="26" spans="1:26" ht="13.8" thickBot="1">
      <c r="A26" s="789"/>
      <c r="B26" s="213"/>
      <c r="C26" s="222"/>
      <c r="D26" s="215"/>
      <c r="E26" s="223"/>
      <c r="F26" s="227">
        <v>8</v>
      </c>
      <c r="G26" s="555" t="s">
        <v>12</v>
      </c>
      <c r="H26" s="229" t="s">
        <v>418</v>
      </c>
      <c r="I26" s="792"/>
      <c r="J26" s="212">
        <f>+'10'!J26</f>
        <v>0</v>
      </c>
      <c r="K26" s="225"/>
      <c r="L26" s="225"/>
      <c r="M26" s="117">
        <f>+K26+'10'!M26+L26</f>
        <v>0</v>
      </c>
      <c r="N26" s="149" t="s">
        <v>410</v>
      </c>
      <c r="O26" s="149">
        <v>1160</v>
      </c>
      <c r="P26" s="149">
        <f>+O26-(O26*0.2)</f>
        <v>928</v>
      </c>
      <c r="Q26" s="149">
        <v>480</v>
      </c>
      <c r="R26" s="149">
        <f t="shared" ref="R26" si="4">+O26*Q26</f>
        <v>556800</v>
      </c>
      <c r="S26" s="149">
        <f t="shared" ref="S26" si="5">+P26*Q26</f>
        <v>445440</v>
      </c>
      <c r="U26" s="149" t="s">
        <v>410</v>
      </c>
      <c r="V26" s="149">
        <v>1150</v>
      </c>
      <c r="W26" s="149">
        <v>920</v>
      </c>
      <c r="X26" s="149">
        <v>81</v>
      </c>
      <c r="Y26" s="149">
        <f t="shared" ref="Y26:Y28" si="6">+V26*X26</f>
        <v>93150</v>
      </c>
      <c r="Z26" s="149">
        <f t="shared" ref="Z26:Z28" si="7">+W26*X26</f>
        <v>74520</v>
      </c>
    </row>
    <row r="27" spans="1:26" ht="53.4" thickBot="1">
      <c r="A27" s="789"/>
      <c r="B27" s="213"/>
      <c r="C27" s="214"/>
      <c r="D27" s="215"/>
      <c r="E27" s="221"/>
      <c r="F27" s="227"/>
      <c r="G27" s="225"/>
      <c r="H27" s="556" t="s">
        <v>561</v>
      </c>
      <c r="I27" s="792"/>
      <c r="J27" s="212">
        <f>+'10'!J27</f>
        <v>0</v>
      </c>
      <c r="K27" s="225"/>
      <c r="L27" s="225"/>
      <c r="M27" s="117">
        <f>+K27+'10'!M27+L27</f>
        <v>0</v>
      </c>
      <c r="V27" s="149">
        <v>1160</v>
      </c>
      <c r="W27" s="149">
        <v>928</v>
      </c>
      <c r="X27" s="149">
        <v>79</v>
      </c>
      <c r="Y27" s="149">
        <f t="shared" si="6"/>
        <v>91640</v>
      </c>
      <c r="Z27" s="149">
        <f t="shared" si="7"/>
        <v>73312</v>
      </c>
    </row>
    <row r="28" spans="1:26" ht="13.8" thickBot="1">
      <c r="A28" s="789"/>
      <c r="B28" s="213"/>
      <c r="C28" s="214"/>
      <c r="D28" s="215"/>
      <c r="E28" s="221"/>
      <c r="F28" s="227"/>
      <c r="G28" s="225"/>
      <c r="H28" s="229"/>
      <c r="I28" s="792"/>
      <c r="J28" s="212">
        <f>+'10'!J28</f>
        <v>0</v>
      </c>
      <c r="K28" s="234"/>
      <c r="L28" s="234"/>
      <c r="M28" s="117">
        <f>+K28+'10'!M28+L28</f>
        <v>0</v>
      </c>
      <c r="U28" s="149" t="s">
        <v>410</v>
      </c>
      <c r="V28" s="149">
        <v>1160</v>
      </c>
      <c r="W28" s="149">
        <v>928</v>
      </c>
      <c r="X28" s="149">
        <v>480</v>
      </c>
      <c r="Y28" s="149">
        <f t="shared" si="6"/>
        <v>556800</v>
      </c>
      <c r="Z28" s="149">
        <f t="shared" si="7"/>
        <v>445440</v>
      </c>
    </row>
    <row r="29" spans="1:26" ht="13.8" thickBot="1">
      <c r="A29" s="789"/>
      <c r="B29" s="213"/>
      <c r="C29" s="214"/>
      <c r="D29" s="215"/>
      <c r="E29" s="221"/>
      <c r="F29" s="231"/>
      <c r="G29" s="228"/>
      <c r="H29" s="229"/>
      <c r="I29" s="792"/>
      <c r="J29" s="212">
        <f>+'10'!J29</f>
        <v>0</v>
      </c>
      <c r="K29" s="234"/>
      <c r="L29" s="234"/>
      <c r="M29" s="117">
        <f>+K29+'10'!M29+L29</f>
        <v>0</v>
      </c>
      <c r="U29" s="149" t="s">
        <v>410</v>
      </c>
      <c r="V29" s="149">
        <v>1160</v>
      </c>
      <c r="W29" s="149">
        <v>928</v>
      </c>
      <c r="X29" s="149">
        <v>480</v>
      </c>
      <c r="Y29" s="149">
        <f t="shared" ref="Y29" si="8">+V29*X29</f>
        <v>556800</v>
      </c>
      <c r="Z29" s="149">
        <f t="shared" ref="Z29" si="9">+W29*X29</f>
        <v>445440</v>
      </c>
    </row>
    <row r="30" spans="1:26" ht="13.8" thickBot="1">
      <c r="A30" s="789"/>
      <c r="B30" s="213"/>
      <c r="C30" s="222"/>
      <c r="D30" s="215"/>
      <c r="E30" s="221"/>
      <c r="F30" s="231"/>
      <c r="G30" s="228"/>
      <c r="H30" s="229"/>
      <c r="I30" s="792"/>
      <c r="J30" s="212">
        <f>+'10'!J30</f>
        <v>0</v>
      </c>
      <c r="K30" s="235"/>
      <c r="L30" s="235"/>
      <c r="M30" s="117">
        <f>+K30+'10'!M30+L30</f>
        <v>0</v>
      </c>
    </row>
    <row r="31" spans="1:26" ht="13.8" thickBot="1">
      <c r="A31" s="789"/>
      <c r="B31" s="213"/>
      <c r="C31" s="222"/>
      <c r="D31" s="215"/>
      <c r="E31" s="221"/>
      <c r="F31" s="231"/>
      <c r="G31" s="232"/>
      <c r="H31" s="404"/>
      <c r="I31" s="793"/>
      <c r="J31" s="212">
        <f>+'10'!J31</f>
        <v>0</v>
      </c>
      <c r="K31" s="234"/>
      <c r="L31" s="234"/>
      <c r="M31" s="117">
        <f>+K31+'10'!M31+L31</f>
        <v>0</v>
      </c>
    </row>
    <row r="32" spans="1:26" ht="13.8" thickBot="1">
      <c r="A32" s="790"/>
      <c r="B32" s="165" t="s">
        <v>3</v>
      </c>
      <c r="C32" s="99">
        <f>SUM(C25:C31)</f>
        <v>15943</v>
      </c>
      <c r="D32" s="100">
        <f>SUM(D25:D31)</f>
        <v>0</v>
      </c>
      <c r="E32" s="101">
        <f>SUM(E25:E31)</f>
        <v>0</v>
      </c>
      <c r="F32" s="99">
        <f>SUM(F24:F31)</f>
        <v>8</v>
      </c>
      <c r="G32" s="169"/>
      <c r="H32" s="170"/>
      <c r="I32" s="168"/>
      <c r="J32" s="212">
        <f>+'10'!J32</f>
        <v>0</v>
      </c>
      <c r="K32" s="234"/>
      <c r="L32" s="234"/>
      <c r="M32" s="117">
        <f>+K32+'10'!M32+L32</f>
        <v>0</v>
      </c>
    </row>
    <row r="33" spans="1:26" ht="13.8" thickBot="1">
      <c r="A33" s="171"/>
      <c r="B33" s="172"/>
      <c r="C33" s="103">
        <f>C32/($C$32+$D$32+$E$32)</f>
        <v>1</v>
      </c>
      <c r="D33" s="104">
        <f>D32/($C$32+$D$32+$E$32)</f>
        <v>0</v>
      </c>
      <c r="E33" s="105">
        <f>E32/($C$32+$D$32+$E$32)</f>
        <v>0</v>
      </c>
      <c r="F33" s="106"/>
      <c r="G33" s="173"/>
      <c r="H33" s="174"/>
      <c r="I33" s="175"/>
      <c r="J33" s="121"/>
      <c r="K33" s="122"/>
      <c r="L33" s="211"/>
      <c r="M33" s="119"/>
      <c r="Q33" s="174">
        <f>SUM(Q26:Q32)</f>
        <v>480</v>
      </c>
      <c r="R33" s="174">
        <f>SUM(R26:R32)</f>
        <v>556800</v>
      </c>
      <c r="S33" s="174">
        <f>SUM(S26:S32)</f>
        <v>445440</v>
      </c>
      <c r="X33" s="174">
        <f>SUM(X26:X32)</f>
        <v>1120</v>
      </c>
      <c r="Y33" s="174">
        <f>SUM(Y26:Y32)</f>
        <v>1298390</v>
      </c>
      <c r="Z33" s="174">
        <f>SUM(Z26:Z32)</f>
        <v>1038712</v>
      </c>
    </row>
    <row r="34" spans="1:26" ht="13.8" thickBot="1">
      <c r="A34" s="795" t="s">
        <v>68</v>
      </c>
      <c r="B34" s="796"/>
      <c r="C34" s="107">
        <f>C14+C23+C32</f>
        <v>48824</v>
      </c>
      <c r="D34" s="107">
        <f>D14+D23+D32</f>
        <v>0</v>
      </c>
      <c r="E34" s="107">
        <f>E14+E23+E32</f>
        <v>0</v>
      </c>
      <c r="F34" s="108">
        <f>F14+F23+F32</f>
        <v>23</v>
      </c>
      <c r="H34" s="176"/>
      <c r="I34" s="176"/>
      <c r="J34" s="123" t="s">
        <v>28</v>
      </c>
      <c r="K34" s="124">
        <f>SUM(K7:K32)</f>
        <v>48824</v>
      </c>
      <c r="L34" s="210">
        <f>SUM(L7:L32)</f>
        <v>0</v>
      </c>
      <c r="M34" s="120">
        <f>SUM(M7:M32)</f>
        <v>541183</v>
      </c>
      <c r="Q34" s="149">
        <f>480-Q33</f>
        <v>0</v>
      </c>
      <c r="R34" s="174">
        <f>+R33/Q33</f>
        <v>1160</v>
      </c>
      <c r="S34" s="174">
        <f>+S33/Q33</f>
        <v>928</v>
      </c>
      <c r="X34" s="149">
        <f>480-X33</f>
        <v>-640</v>
      </c>
      <c r="Y34" s="174">
        <f>+Y33/X33</f>
        <v>1159.2767857142858</v>
      </c>
      <c r="Z34" s="174">
        <f>+Z33/X33</f>
        <v>927.42142857142858</v>
      </c>
    </row>
    <row r="35" spans="1:26" ht="13.8" thickBot="1">
      <c r="A35" s="177"/>
      <c r="B35" s="178"/>
      <c r="C35" s="104">
        <f>C34/($C$34+$D$34+$E$34)</f>
        <v>1</v>
      </c>
      <c r="D35" s="104">
        <f>D34/($C$34+$D$34+$E$34)</f>
        <v>0</v>
      </c>
      <c r="E35" s="109">
        <f>E34/($C$34+$D$34+$E$34)</f>
        <v>0</v>
      </c>
      <c r="K35" s="155"/>
    </row>
    <row r="36" spans="1:26" ht="13.8" thickBot="1">
      <c r="A36" s="176"/>
      <c r="B36" s="176"/>
      <c r="C36" s="155"/>
      <c r="D36" s="155"/>
      <c r="E36" s="155"/>
      <c r="G36" s="155"/>
      <c r="H36" s="179"/>
      <c r="I36" s="162" t="s">
        <v>37</v>
      </c>
      <c r="J36" s="162" t="s">
        <v>38</v>
      </c>
      <c r="K36" s="180"/>
      <c r="N36" s="149" t="s">
        <v>465</v>
      </c>
      <c r="O36" s="149">
        <v>1150</v>
      </c>
      <c r="P36" s="149">
        <v>943</v>
      </c>
      <c r="Q36" s="149">
        <v>320</v>
      </c>
    </row>
    <row r="37" spans="1:26" ht="17.399999999999999" customHeight="1" thickBot="1">
      <c r="A37" s="797" t="s">
        <v>69</v>
      </c>
      <c r="B37" s="798"/>
      <c r="C37" s="162" t="s">
        <v>70</v>
      </c>
      <c r="D37" s="181" t="s">
        <v>71</v>
      </c>
      <c r="E37" s="182" t="s">
        <v>72</v>
      </c>
      <c r="F37" s="304"/>
      <c r="G37" s="306"/>
      <c r="H37" s="184" t="s">
        <v>73</v>
      </c>
      <c r="I37" s="239">
        <f>(14.5*320+15*1120)/1440*G42*2.7*1440/1000000</f>
        <v>53.886974400000007</v>
      </c>
      <c r="J37" s="125">
        <f>+I37+'10'!J37</f>
        <v>559.08905440510819</v>
      </c>
      <c r="K37" s="126" t="s">
        <v>74</v>
      </c>
      <c r="N37" s="149" t="s">
        <v>410</v>
      </c>
      <c r="O37" s="149">
        <v>1159.2767857142858</v>
      </c>
      <c r="P37" s="149">
        <v>927.42142857142858</v>
      </c>
      <c r="Q37" s="149">
        <v>1120</v>
      </c>
    </row>
    <row r="38" spans="1:26" ht="17.399999999999999" customHeight="1">
      <c r="A38" s="799" t="s">
        <v>12</v>
      </c>
      <c r="B38" s="800"/>
      <c r="C38" s="164">
        <f>SUMIF($G$7:$G$31,"Process",$F$7:$F$31)</f>
        <v>23</v>
      </c>
      <c r="D38" s="118">
        <f>C38+'10'!D38</f>
        <v>288</v>
      </c>
      <c r="E38" s="143">
        <f t="shared" ref="E38:E52" si="10">D38/60</f>
        <v>4.8</v>
      </c>
      <c r="F38" s="304">
        <v>1151.6458333333333</v>
      </c>
      <c r="G38" s="304">
        <v>936.65</v>
      </c>
      <c r="H38" s="185" t="s">
        <v>75</v>
      </c>
      <c r="I38" s="240">
        <f>17.688+16.583+19.202</f>
        <v>53.472999999999999</v>
      </c>
      <c r="J38" s="127">
        <f>+I38+'10'!J38</f>
        <v>545.346</v>
      </c>
      <c r="K38" s="128" t="s">
        <v>74</v>
      </c>
      <c r="Q38" s="149">
        <f>+Q36+Q37</f>
        <v>1440</v>
      </c>
    </row>
    <row r="39" spans="1:26" ht="17.399999999999999" customHeight="1">
      <c r="A39" s="786" t="s">
        <v>13</v>
      </c>
      <c r="B39" s="787"/>
      <c r="C39" s="164">
        <f>SUMIF($G$7:$G$31,"Cleaning",$F$7:$F$31)</f>
        <v>0</v>
      </c>
      <c r="D39" s="118">
        <f>C39+'10'!D39</f>
        <v>0</v>
      </c>
      <c r="E39" s="143">
        <f t="shared" si="10"/>
        <v>0</v>
      </c>
      <c r="F39" s="304">
        <v>1160</v>
      </c>
      <c r="G39" s="304">
        <v>928</v>
      </c>
      <c r="H39" s="185" t="s">
        <v>76</v>
      </c>
      <c r="I39" s="142"/>
      <c r="J39" s="129">
        <f>J37/G4</f>
        <v>50.826277673191655</v>
      </c>
      <c r="K39" s="130" t="s">
        <v>74</v>
      </c>
    </row>
    <row r="40" spans="1:26" ht="17.399999999999999" customHeight="1">
      <c r="A40" s="786" t="s">
        <v>77</v>
      </c>
      <c r="B40" s="787"/>
      <c r="C40" s="164">
        <f>SUMIF($G$7:$G$31,"Mechanical",$F$7:$F$31)</f>
        <v>0</v>
      </c>
      <c r="D40" s="118">
        <f>C40+'10'!D40</f>
        <v>0</v>
      </c>
      <c r="E40" s="143">
        <f t="shared" si="10"/>
        <v>0</v>
      </c>
      <c r="F40" s="304">
        <v>1160</v>
      </c>
      <c r="G40" s="304">
        <v>928</v>
      </c>
      <c r="H40" s="185" t="s">
        <v>78</v>
      </c>
      <c r="I40" s="118">
        <f>(K34+L34)/1000</f>
        <v>48.823999999999998</v>
      </c>
      <c r="J40" s="131">
        <f>+I40+'10'!J40</f>
        <v>541.18299999999999</v>
      </c>
      <c r="K40" s="130" t="s">
        <v>74</v>
      </c>
    </row>
    <row r="41" spans="1:26" ht="17.399999999999999" customHeight="1">
      <c r="A41" s="786" t="s">
        <v>79</v>
      </c>
      <c r="B41" s="787"/>
      <c r="C41" s="164">
        <f>SUMIF($G$7:$G$31,"Electrical",$F$7:$F$31)</f>
        <v>0</v>
      </c>
      <c r="D41" s="118">
        <f>C41+'10'!D41</f>
        <v>0</v>
      </c>
      <c r="E41" s="143">
        <f t="shared" si="10"/>
        <v>0</v>
      </c>
      <c r="F41" s="304"/>
      <c r="G41" s="304"/>
      <c r="H41" s="185" t="s">
        <v>80</v>
      </c>
      <c r="I41" s="142"/>
      <c r="J41" s="129">
        <f>J40/G4</f>
        <v>49.198454545454545</v>
      </c>
      <c r="K41" s="130" t="s">
        <v>74</v>
      </c>
    </row>
    <row r="42" spans="1:26" ht="17.399999999999999" customHeight="1">
      <c r="A42" s="786" t="s">
        <v>16</v>
      </c>
      <c r="B42" s="787"/>
      <c r="C42" s="164">
        <f>SUMIF($G$7:$G$31,"Instrument",$F$7:$F$31)</f>
        <v>0</v>
      </c>
      <c r="D42" s="118">
        <f>C42+'10'!D42</f>
        <v>0</v>
      </c>
      <c r="E42" s="143">
        <f t="shared" si="10"/>
        <v>0</v>
      </c>
      <c r="F42" s="183">
        <f>+(480*F38+480*F39+480*F40)/1440</f>
        <v>1157.2152777777778</v>
      </c>
      <c r="G42" s="183">
        <f>+(480*G38+480*G39+480*G40)/1440</f>
        <v>930.88333333333333</v>
      </c>
      <c r="H42" s="185" t="s">
        <v>81</v>
      </c>
      <c r="I42" s="241" t="s">
        <v>564</v>
      </c>
      <c r="J42" s="132"/>
      <c r="K42" s="130" t="s">
        <v>82</v>
      </c>
    </row>
    <row r="43" spans="1:26" ht="17.399999999999999" customHeight="1">
      <c r="A43" s="786" t="s">
        <v>83</v>
      </c>
      <c r="B43" s="787"/>
      <c r="C43" s="164">
        <f>SUMIF($G$7:$G$31,"Water",$F$7:$F$31)</f>
        <v>0</v>
      </c>
      <c r="D43" s="118">
        <f>C43+'10'!D43</f>
        <v>0</v>
      </c>
      <c r="E43" s="143">
        <f t="shared" si="10"/>
        <v>0</v>
      </c>
      <c r="F43" s="304"/>
      <c r="G43" s="305"/>
      <c r="H43" s="186" t="s">
        <v>84</v>
      </c>
      <c r="I43" s="118">
        <f>+Report1!Z19</f>
        <v>96.3</v>
      </c>
      <c r="J43" s="133">
        <f>+I43+'10'!J43</f>
        <v>1045.22</v>
      </c>
      <c r="K43" s="130" t="s">
        <v>74</v>
      </c>
      <c r="L43" s="187"/>
    </row>
    <row r="44" spans="1:26" ht="17.399999999999999" customHeight="1">
      <c r="A44" s="786" t="s">
        <v>17</v>
      </c>
      <c r="B44" s="787"/>
      <c r="C44" s="164">
        <f>SUMIF($G$7:$G$31,"PLN",$F$7:$F$31)</f>
        <v>0</v>
      </c>
      <c r="D44" s="118">
        <f>C44+'10'!D44</f>
        <v>0</v>
      </c>
      <c r="E44" s="143">
        <f t="shared" si="10"/>
        <v>0</v>
      </c>
      <c r="F44" s="304"/>
      <c r="G44" s="305"/>
      <c r="H44" s="186" t="s">
        <v>85</v>
      </c>
      <c r="I44" s="118">
        <f>I43/I38</f>
        <v>1.8009088698969573</v>
      </c>
      <c r="J44" s="134">
        <f>J43/J38</f>
        <v>1.9166180736633258</v>
      </c>
      <c r="K44" s="130" t="s">
        <v>74</v>
      </c>
    </row>
    <row r="45" spans="1:26" ht="17.399999999999999" customHeight="1">
      <c r="A45" s="786" t="s">
        <v>18</v>
      </c>
      <c r="B45" s="787"/>
      <c r="C45" s="164">
        <f>SUMIF($G$7:$G$31,"Boiler",$F$7:$F$31)</f>
        <v>0</v>
      </c>
      <c r="D45" s="118">
        <f>C45+'10'!D45</f>
        <v>0</v>
      </c>
      <c r="E45" s="143">
        <f t="shared" si="10"/>
        <v>0</v>
      </c>
      <c r="F45" s="304"/>
      <c r="G45" s="307"/>
      <c r="H45" s="186" t="s">
        <v>86</v>
      </c>
      <c r="I45" s="118">
        <f>I43/I40</f>
        <v>1.9723906275602163</v>
      </c>
      <c r="J45" s="134">
        <f>J43/J40</f>
        <v>1.9313614803125745</v>
      </c>
      <c r="K45" s="130" t="s">
        <v>74</v>
      </c>
    </row>
    <row r="46" spans="1:26" ht="17.399999999999999" customHeight="1">
      <c r="A46" s="786" t="s">
        <v>87</v>
      </c>
      <c r="B46" s="787"/>
      <c r="C46" s="164">
        <f>SUMIF($G$7:$G$31,"Gas",$F$7:$F$31)</f>
        <v>0</v>
      </c>
      <c r="D46" s="118">
        <f>C46+'10'!D46</f>
        <v>0</v>
      </c>
      <c r="E46" s="143">
        <f t="shared" si="10"/>
        <v>0</v>
      </c>
      <c r="F46" s="304"/>
      <c r="G46" s="305"/>
      <c r="H46" s="186" t="s">
        <v>88</v>
      </c>
      <c r="I46" s="140">
        <f>+SUMIF(Listrik!X18,"&gt;0")</f>
        <v>42059.935434050887</v>
      </c>
      <c r="J46" s="135">
        <f>+I46+'10'!J46</f>
        <v>408550.56073928217</v>
      </c>
      <c r="K46" s="130" t="s">
        <v>89</v>
      </c>
    </row>
    <row r="47" spans="1:26" ht="17.399999999999999" customHeight="1">
      <c r="A47" s="786" t="s">
        <v>90</v>
      </c>
      <c r="B47" s="787"/>
      <c r="C47" s="164">
        <f>SUMIF($G$7:$G$31,"Gas",$F$7:$F$31)</f>
        <v>0</v>
      </c>
      <c r="D47" s="118">
        <f>C47+'10'!D47</f>
        <v>0</v>
      </c>
      <c r="E47" s="143">
        <f t="shared" si="10"/>
        <v>0</v>
      </c>
      <c r="F47" s="304"/>
      <c r="G47" s="305"/>
      <c r="H47" s="186" t="s">
        <v>91</v>
      </c>
      <c r="I47" s="118">
        <f>I46/I38</f>
        <v>786.56397497897797</v>
      </c>
      <c r="J47" s="135">
        <f>J46/J38</f>
        <v>749.15844388568394</v>
      </c>
      <c r="K47" s="130" t="s">
        <v>24</v>
      </c>
    </row>
    <row r="48" spans="1:26" ht="17.399999999999999" customHeight="1">
      <c r="A48" s="786" t="s">
        <v>14</v>
      </c>
      <c r="B48" s="787"/>
      <c r="C48" s="164">
        <f>SUMIF($G$7:$G$31,"Start Up",$F$7:$F$31)</f>
        <v>0</v>
      </c>
      <c r="D48" s="118">
        <f>C48+'10'!D48</f>
        <v>0</v>
      </c>
      <c r="E48" s="143">
        <f t="shared" si="10"/>
        <v>0</v>
      </c>
      <c r="F48" s="304"/>
      <c r="G48" s="305"/>
      <c r="H48" s="186" t="s">
        <v>92</v>
      </c>
      <c r="I48" s="118">
        <f>I46/I40</f>
        <v>861.4602538516076</v>
      </c>
      <c r="J48" s="135">
        <f>J46/J40</f>
        <v>754.92127568545607</v>
      </c>
      <c r="K48" s="130" t="s">
        <v>24</v>
      </c>
    </row>
    <row r="49" spans="1:11" ht="17.399999999999999" customHeight="1">
      <c r="A49" s="786" t="s">
        <v>20</v>
      </c>
      <c r="B49" s="787"/>
      <c r="C49" s="164">
        <f>SUMIF($G$7:$G$31,"Others",$F$7:$F$31)</f>
        <v>0</v>
      </c>
      <c r="D49" s="118">
        <f>C49+'10'!D49</f>
        <v>1072</v>
      </c>
      <c r="E49" s="143">
        <f t="shared" si="10"/>
        <v>17.866666666666667</v>
      </c>
      <c r="F49" s="183"/>
      <c r="H49" s="186" t="s">
        <v>268</v>
      </c>
      <c r="I49" s="118">
        <f>+Report1!T19</f>
        <v>3672.0504789215397</v>
      </c>
      <c r="J49" s="135">
        <f>+I49+'10'!J49</f>
        <v>39689.150726062719</v>
      </c>
      <c r="K49" s="130" t="s">
        <v>93</v>
      </c>
    </row>
    <row r="50" spans="1:11" ht="17.399999999999999" customHeight="1">
      <c r="A50" s="786" t="s">
        <v>19</v>
      </c>
      <c r="B50" s="787"/>
      <c r="C50" s="164">
        <f>SUMIF($G$7:$G$31,"Steam",$F$7:$F$31)</f>
        <v>0</v>
      </c>
      <c r="D50" s="118">
        <f>C50+'10'!D50</f>
        <v>0</v>
      </c>
      <c r="E50" s="143">
        <f t="shared" si="10"/>
        <v>0</v>
      </c>
      <c r="F50" s="183"/>
      <c r="H50" s="186" t="s">
        <v>94</v>
      </c>
      <c r="I50" s="140">
        <f>I49/I38</f>
        <v>68.671113999991391</v>
      </c>
      <c r="J50" s="133">
        <f>J49/J38</f>
        <v>72.777925805016849</v>
      </c>
      <c r="K50" s="130" t="s">
        <v>93</v>
      </c>
    </row>
    <row r="51" spans="1:11" ht="17.399999999999999" customHeight="1">
      <c r="A51" s="803" t="s">
        <v>95</v>
      </c>
      <c r="B51" s="803"/>
      <c r="C51" s="164">
        <f>SUMIF($G$7:$G$31,"Planned shut",$F$7:$F$31)</f>
        <v>0</v>
      </c>
      <c r="D51" s="118">
        <f>C51+'10'!D51</f>
        <v>0</v>
      </c>
      <c r="E51" s="143">
        <f t="shared" si="10"/>
        <v>0</v>
      </c>
      <c r="F51" s="183"/>
      <c r="H51" s="188" t="s">
        <v>96</v>
      </c>
      <c r="I51" s="141">
        <f>I49/I40</f>
        <v>75.209947544681711</v>
      </c>
      <c r="J51" s="136">
        <f>J49/J40</f>
        <v>73.337763244711525</v>
      </c>
      <c r="K51" s="137" t="s">
        <v>93</v>
      </c>
    </row>
    <row r="52" spans="1:11" ht="13.8" thickBot="1">
      <c r="A52" s="804" t="s">
        <v>218</v>
      </c>
      <c r="B52" s="805"/>
      <c r="C52" s="164">
        <f>SUMIF($G$7:$G$31,"Change Grade",$F$7:$F$31)</f>
        <v>0</v>
      </c>
      <c r="D52" s="118">
        <f>C52+'10'!D52</f>
        <v>0</v>
      </c>
      <c r="E52" s="143">
        <f t="shared" si="10"/>
        <v>0</v>
      </c>
      <c r="F52" s="183"/>
      <c r="H52" s="189"/>
      <c r="I52" s="190"/>
      <c r="J52" s="138"/>
      <c r="K52" s="139"/>
    </row>
    <row r="53" spans="1:11">
      <c r="A53" s="799" t="s">
        <v>28</v>
      </c>
      <c r="B53" s="800"/>
      <c r="C53" s="144">
        <f>SUM(C38:C52)</f>
        <v>23</v>
      </c>
      <c r="D53" s="144">
        <f>SUM(D38:D52)</f>
        <v>1360</v>
      </c>
      <c r="E53" s="145">
        <f>SUM(E38:E52)</f>
        <v>22.666666666666668</v>
      </c>
      <c r="F53" s="183"/>
    </row>
    <row r="54" spans="1:11" ht="13.8" thickBot="1">
      <c r="A54" s="801"/>
      <c r="B54" s="802"/>
      <c r="C54" s="146">
        <f>C53/(24*60)</f>
        <v>1.5972222222222221E-2</v>
      </c>
      <c r="D54" s="146">
        <f>D53/(24*60*G4)</f>
        <v>8.5858585858585856E-2</v>
      </c>
      <c r="E54" s="147">
        <f>E53/(G4*24)</f>
        <v>8.5858585858585856E-2</v>
      </c>
      <c r="F54" s="183"/>
    </row>
    <row r="55" spans="1:11">
      <c r="E55" s="191"/>
    </row>
    <row r="56" spans="1:11">
      <c r="A56" s="192" t="s">
        <v>97</v>
      </c>
      <c r="B56" s="193"/>
      <c r="C56" s="194"/>
      <c r="D56" s="194"/>
      <c r="E56" s="194"/>
      <c r="F56" s="195"/>
      <c r="G56" s="194"/>
      <c r="H56" s="196"/>
      <c r="I56" s="197" t="s">
        <v>98</v>
      </c>
      <c r="J56" s="198">
        <f>+D34+'10'!J56</f>
        <v>0</v>
      </c>
      <c r="K56" s="199">
        <f>J56/(J40+J56/1000)/1000</f>
        <v>0</v>
      </c>
    </row>
    <row r="57" spans="1:11">
      <c r="A57" s="174"/>
      <c r="I57" s="197" t="s">
        <v>99</v>
      </c>
      <c r="J57" s="198">
        <f>+E34+'10'!J57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 ref="A39:B39"/>
    <mergeCell ref="A53:B53"/>
    <mergeCell ref="A52:B52"/>
    <mergeCell ref="A46:B46"/>
    <mergeCell ref="A51:B51"/>
    <mergeCell ref="A50:B50"/>
    <mergeCell ref="A49:B49"/>
    <mergeCell ref="A47:B47"/>
    <mergeCell ref="A48:B48"/>
  </mergeCells>
  <phoneticPr fontId="31" type="noConversion"/>
  <pageMargins left="0.17" right="0.16" top="0.17" bottom="0.16" header="0" footer="0"/>
  <pageSetup paperSize="9" scale="56" firstPageNumber="429496319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S61"/>
  <sheetViews>
    <sheetView view="pageBreakPreview" zoomScale="80" zoomScaleNormal="75" zoomScaleSheetLayoutView="80" workbookViewId="0">
      <selection activeCell="A7" sqref="A7:A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8.33203125" style="149" customWidth="1"/>
    <col min="13" max="13" width="12.109375" style="149" customWidth="1"/>
    <col min="14" max="16384" width="9.109375" style="149"/>
  </cols>
  <sheetData>
    <row r="1" spans="1:19" ht="15.6">
      <c r="A1" s="148"/>
    </row>
    <row r="2" spans="1:19" ht="15.6">
      <c r="A2" s="148" t="s">
        <v>219</v>
      </c>
    </row>
    <row r="3" spans="1:19" ht="15">
      <c r="A3" s="150"/>
    </row>
    <row r="4" spans="1:19" ht="21">
      <c r="A4" s="151" t="s">
        <v>4</v>
      </c>
      <c r="B4" s="152"/>
      <c r="F4" s="153" t="s">
        <v>29</v>
      </c>
      <c r="G4" s="154">
        <v>10</v>
      </c>
      <c r="H4" s="154" t="str">
        <f>+'1'!H4</f>
        <v>.03.26</v>
      </c>
      <c r="J4" s="149">
        <f>395+447+433</f>
        <v>1275</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465</v>
      </c>
      <c r="O6" s="149">
        <v>1150</v>
      </c>
      <c r="P6" s="149">
        <f>+O6-(O6*0.18)</f>
        <v>943</v>
      </c>
      <c r="Q6" s="149">
        <v>480</v>
      </c>
      <c r="R6" s="149">
        <f t="shared" ref="R6" si="0">+O6*Q6</f>
        <v>552000</v>
      </c>
      <c r="S6" s="149">
        <f t="shared" ref="S6" si="1">+P6*Q6</f>
        <v>452640</v>
      </c>
    </row>
    <row r="7" spans="1:19" ht="13.5" customHeight="1" thickBot="1">
      <c r="A7" s="788" t="s">
        <v>226</v>
      </c>
      <c r="B7" s="213" t="s">
        <v>480</v>
      </c>
      <c r="C7" s="214">
        <v>18474</v>
      </c>
      <c r="D7" s="215"/>
      <c r="E7" s="216"/>
      <c r="F7" s="231"/>
      <c r="G7" s="553" t="s">
        <v>12</v>
      </c>
      <c r="H7" s="554" t="s">
        <v>417</v>
      </c>
      <c r="I7" s="791" t="s">
        <v>536</v>
      </c>
      <c r="J7" s="212" t="str">
        <f>+'9'!J7</f>
        <v>T 15 RC HW</v>
      </c>
      <c r="K7" s="233"/>
      <c r="L7" s="237"/>
      <c r="M7" s="117">
        <f>+K7+'9'!M7+L7</f>
        <v>300596</v>
      </c>
      <c r="O7" s="149">
        <v>1150</v>
      </c>
      <c r="P7" s="149">
        <f t="shared" ref="P7:P8" si="2">+O7-(O7*0.18)</f>
        <v>943</v>
      </c>
      <c r="Q7" s="149">
        <v>480</v>
      </c>
      <c r="R7" s="149">
        <f t="shared" ref="R7:R8" si="3">+O7*Q7</f>
        <v>552000</v>
      </c>
      <c r="S7" s="149">
        <f t="shared" ref="S7:S8" si="4">+P7*Q7</f>
        <v>452640</v>
      </c>
    </row>
    <row r="8" spans="1:19" ht="13.8" thickBot="1">
      <c r="A8" s="789"/>
      <c r="B8" s="213"/>
      <c r="C8" s="214"/>
      <c r="D8" s="215"/>
      <c r="E8" s="217"/>
      <c r="F8" s="227"/>
      <c r="G8" s="555" t="s">
        <v>12</v>
      </c>
      <c r="H8" s="226" t="s">
        <v>419</v>
      </c>
      <c r="I8" s="792"/>
      <c r="J8" s="212" t="str">
        <f>+'9'!J8</f>
        <v>T 14,5 RC HW</v>
      </c>
      <c r="K8" s="234">
        <f>+C34</f>
        <v>55335</v>
      </c>
      <c r="L8" s="234"/>
      <c r="M8" s="117">
        <f>+K8+'9'!M8+L8</f>
        <v>191763</v>
      </c>
      <c r="O8" s="149">
        <v>1150</v>
      </c>
      <c r="P8" s="149">
        <f t="shared" si="2"/>
        <v>943</v>
      </c>
      <c r="Q8" s="149">
        <v>480</v>
      </c>
      <c r="R8" s="149">
        <f t="shared" si="3"/>
        <v>552000</v>
      </c>
      <c r="S8" s="149">
        <f t="shared" si="4"/>
        <v>452640</v>
      </c>
    </row>
    <row r="9" spans="1:19" ht="13.8" thickBot="1">
      <c r="A9" s="789"/>
      <c r="B9" s="213"/>
      <c r="C9" s="214"/>
      <c r="D9" s="215"/>
      <c r="E9" s="218"/>
      <c r="F9" s="227">
        <v>10</v>
      </c>
      <c r="G9" s="555" t="s">
        <v>12</v>
      </c>
      <c r="H9" s="229" t="s">
        <v>555</v>
      </c>
      <c r="I9" s="792"/>
      <c r="J9" s="212">
        <f>+'9'!J9</f>
        <v>0</v>
      </c>
      <c r="K9" s="234"/>
      <c r="L9" s="234"/>
      <c r="M9" s="117">
        <f>+K9+'9'!M9+L9</f>
        <v>0</v>
      </c>
    </row>
    <row r="10" spans="1:19" ht="53.4" thickBot="1">
      <c r="A10" s="789"/>
      <c r="B10" s="213"/>
      <c r="C10" s="214"/>
      <c r="D10" s="215"/>
      <c r="E10" s="217"/>
      <c r="F10" s="227"/>
      <c r="G10" s="225"/>
      <c r="H10" s="556" t="s">
        <v>552</v>
      </c>
      <c r="I10" s="792"/>
      <c r="J10" s="212">
        <f>+'9'!J10</f>
        <v>0</v>
      </c>
      <c r="K10" s="234"/>
      <c r="L10" s="234"/>
      <c r="M10" s="117">
        <f>+K10+'9'!M10+L10</f>
        <v>0</v>
      </c>
    </row>
    <row r="11" spans="1:19" ht="40.200000000000003" thickBot="1">
      <c r="A11" s="789"/>
      <c r="B11" s="213"/>
      <c r="C11" s="214"/>
      <c r="D11" s="215"/>
      <c r="E11" s="217"/>
      <c r="F11" s="224"/>
      <c r="G11" s="228"/>
      <c r="H11" s="229" t="s">
        <v>553</v>
      </c>
      <c r="I11" s="792"/>
      <c r="J11" s="212">
        <f>+'9'!J11</f>
        <v>0</v>
      </c>
      <c r="K11" s="234"/>
      <c r="L11" s="234"/>
      <c r="M11" s="117">
        <f>+K11+'9'!M11+L11</f>
        <v>0</v>
      </c>
    </row>
    <row r="12" spans="1:19" ht="13.8" thickBot="1">
      <c r="A12" s="789"/>
      <c r="B12" s="213"/>
      <c r="C12" s="214"/>
      <c r="D12" s="215"/>
      <c r="E12" s="217"/>
      <c r="F12" s="224"/>
      <c r="G12" s="228"/>
      <c r="H12" s="229"/>
      <c r="I12" s="792"/>
      <c r="J12" s="212">
        <f>+'9'!J12</f>
        <v>0</v>
      </c>
      <c r="K12" s="234"/>
      <c r="L12" s="234"/>
      <c r="M12" s="117">
        <f>+K12+'9'!M12+L12</f>
        <v>0</v>
      </c>
    </row>
    <row r="13" spans="1:19" ht="13.8" thickBot="1">
      <c r="A13" s="789"/>
      <c r="B13" s="213"/>
      <c r="C13" s="214"/>
      <c r="D13" s="214"/>
      <c r="E13" s="217"/>
      <c r="F13" s="224"/>
      <c r="G13" s="228"/>
      <c r="H13" s="229"/>
      <c r="I13" s="793"/>
      <c r="J13" s="212">
        <f>+'9'!J13</f>
        <v>0</v>
      </c>
      <c r="K13" s="234"/>
      <c r="L13" s="234"/>
      <c r="M13" s="117">
        <f>+K13+'9'!M13+L13</f>
        <v>0</v>
      </c>
      <c r="Q13" s="174">
        <f>SUM(Q6:Q12)</f>
        <v>1440</v>
      </c>
      <c r="R13" s="174">
        <f>SUM(R6:R12)</f>
        <v>1656000</v>
      </c>
      <c r="S13" s="174">
        <f>SUM(S6:S12)</f>
        <v>1357920</v>
      </c>
    </row>
    <row r="14" spans="1:19" ht="13.8" thickBot="1">
      <c r="A14" s="790"/>
      <c r="B14" s="165" t="s">
        <v>3</v>
      </c>
      <c r="C14" s="99">
        <f>SUM(C7:C13)</f>
        <v>18474</v>
      </c>
      <c r="D14" s="111">
        <f>SUM(D7:D13)</f>
        <v>0</v>
      </c>
      <c r="E14" s="112">
        <f>SUM(E5:E13)</f>
        <v>0</v>
      </c>
      <c r="F14" s="116">
        <f>SUM(F7:F13)</f>
        <v>10</v>
      </c>
      <c r="G14" s="159"/>
      <c r="H14" s="166"/>
      <c r="I14" s="167"/>
      <c r="J14" s="212">
        <f>+'9'!J14</f>
        <v>0</v>
      </c>
      <c r="K14" s="234"/>
      <c r="L14" s="234"/>
      <c r="M14" s="117">
        <f>+K14+'9'!M14+L14</f>
        <v>0</v>
      </c>
      <c r="Q14" s="149">
        <f>480-Q13</f>
        <v>-960</v>
      </c>
      <c r="R14" s="174">
        <f>+R13/Q13</f>
        <v>1150</v>
      </c>
      <c r="S14" s="174">
        <f>+S13/Q13</f>
        <v>943</v>
      </c>
    </row>
    <row r="15" spans="1:19" ht="13.5" customHeight="1" thickBot="1">
      <c r="A15" s="794" t="s">
        <v>387</v>
      </c>
      <c r="B15" s="513"/>
      <c r="C15" s="113">
        <f>C14/($C$23+$D$23+$E$23)</f>
        <v>0.9977855792600594</v>
      </c>
      <c r="D15" s="114">
        <f>D14/($C$23+$D$23+$E$23)</f>
        <v>0</v>
      </c>
      <c r="E15" s="115">
        <f>E14/($C$23+$D$23+$E$23)</f>
        <v>0</v>
      </c>
      <c r="F15" s="231"/>
      <c r="G15" s="553" t="s">
        <v>12</v>
      </c>
      <c r="H15" s="554" t="s">
        <v>417</v>
      </c>
      <c r="I15" s="791" t="s">
        <v>536</v>
      </c>
      <c r="J15" s="212">
        <f>+'9'!J15</f>
        <v>0</v>
      </c>
      <c r="K15" s="234"/>
      <c r="L15" s="234"/>
      <c r="M15" s="117">
        <f>+K15+'9'!M15+L15</f>
        <v>0</v>
      </c>
    </row>
    <row r="16" spans="1:19" ht="13.8" thickBot="1">
      <c r="A16" s="789"/>
      <c r="B16" s="213" t="s">
        <v>480</v>
      </c>
      <c r="C16" s="511">
        <v>18515</v>
      </c>
      <c r="D16" s="219"/>
      <c r="E16" s="220"/>
      <c r="F16" s="227"/>
      <c r="G16" s="555" t="s">
        <v>12</v>
      </c>
      <c r="H16" s="226" t="s">
        <v>419</v>
      </c>
      <c r="I16" s="792"/>
      <c r="J16" s="212">
        <f>+'9'!J16</f>
        <v>0</v>
      </c>
      <c r="K16" s="234"/>
      <c r="L16" s="225"/>
      <c r="M16" s="117">
        <f>+K16+'9'!M16+L16</f>
        <v>0</v>
      </c>
    </row>
    <row r="17" spans="1:16" ht="13.8" thickBot="1">
      <c r="A17" s="789"/>
      <c r="B17" s="213"/>
      <c r="C17" s="214"/>
      <c r="D17" s="215"/>
      <c r="E17" s="221"/>
      <c r="F17" s="227">
        <v>9</v>
      </c>
      <c r="G17" s="555" t="s">
        <v>12</v>
      </c>
      <c r="H17" s="229" t="s">
        <v>475</v>
      </c>
      <c r="I17" s="792"/>
      <c r="J17" s="212">
        <f>+'9'!J17</f>
        <v>0</v>
      </c>
      <c r="K17" s="234"/>
      <c r="L17" s="225"/>
      <c r="M17" s="117">
        <f>+K17+'9'!M17+L17</f>
        <v>0</v>
      </c>
    </row>
    <row r="18" spans="1:16" ht="53.4" thickBot="1">
      <c r="A18" s="789"/>
      <c r="B18" s="213"/>
      <c r="C18" s="214"/>
      <c r="D18" s="215"/>
      <c r="E18" s="221"/>
      <c r="F18" s="227"/>
      <c r="G18" s="225"/>
      <c r="H18" s="556" t="s">
        <v>547</v>
      </c>
      <c r="I18" s="792"/>
      <c r="J18" s="212">
        <f>+'9'!J18</f>
        <v>0</v>
      </c>
      <c r="K18" s="234"/>
      <c r="L18" s="234"/>
      <c r="M18" s="117">
        <f>+K18+'9'!M18+L18</f>
        <v>0</v>
      </c>
    </row>
    <row r="19" spans="1:16" ht="13.8" thickBot="1">
      <c r="A19" s="789"/>
      <c r="B19" s="213"/>
      <c r="C19" s="214"/>
      <c r="D19" s="215"/>
      <c r="E19" s="221"/>
      <c r="F19" s="230"/>
      <c r="G19" s="228"/>
      <c r="H19" s="229" t="s">
        <v>551</v>
      </c>
      <c r="I19" s="792"/>
      <c r="J19" s="212">
        <f>+'9'!J19</f>
        <v>0</v>
      </c>
      <c r="K19" s="234"/>
      <c r="L19" s="234"/>
      <c r="M19" s="117">
        <f>+K19+'9'!M19+L19</f>
        <v>0</v>
      </c>
      <c r="P19" s="174"/>
    </row>
    <row r="20" spans="1:16" ht="13.8" thickBot="1">
      <c r="A20" s="789"/>
      <c r="B20" s="213"/>
      <c r="C20" s="214"/>
      <c r="D20" s="215"/>
      <c r="E20" s="221"/>
      <c r="F20" s="224"/>
      <c r="G20" s="228"/>
      <c r="H20" s="229"/>
      <c r="I20" s="792"/>
      <c r="J20" s="212">
        <f>+'9'!J20</f>
        <v>0</v>
      </c>
      <c r="K20" s="235"/>
      <c r="L20" s="235"/>
      <c r="M20" s="117">
        <f>+K20+'9'!M20+L20</f>
        <v>0</v>
      </c>
      <c r="P20" s="174"/>
    </row>
    <row r="21" spans="1:16" ht="13.8" thickBot="1">
      <c r="A21" s="789"/>
      <c r="B21" s="213"/>
      <c r="C21" s="214"/>
      <c r="D21" s="215"/>
      <c r="E21" s="221"/>
      <c r="F21" s="227"/>
      <c r="G21" s="228"/>
      <c r="H21" s="229"/>
      <c r="I21" s="792"/>
      <c r="J21" s="212">
        <f>+'9'!J21</f>
        <v>0</v>
      </c>
      <c r="K21" s="234"/>
      <c r="L21" s="234"/>
      <c r="M21" s="117">
        <f>+K21+'9'!M21+L21</f>
        <v>0</v>
      </c>
      <c r="P21" s="174"/>
    </row>
    <row r="22" spans="1:16" ht="13.8" thickBot="1">
      <c r="A22" s="789"/>
      <c r="B22" s="213"/>
      <c r="C22" s="214"/>
      <c r="D22" s="215"/>
      <c r="E22" s="221"/>
      <c r="F22" s="231"/>
      <c r="G22" s="228"/>
      <c r="H22" s="229"/>
      <c r="I22" s="793"/>
      <c r="J22" s="212">
        <f>+'9'!J22</f>
        <v>0</v>
      </c>
      <c r="K22" s="234"/>
      <c r="L22" s="234"/>
      <c r="M22" s="117">
        <f>+K22+'9'!M22+L22</f>
        <v>0</v>
      </c>
      <c r="P22" s="174"/>
    </row>
    <row r="23" spans="1:16" ht="13.8" thickBot="1">
      <c r="A23" s="790"/>
      <c r="B23" s="165" t="s">
        <v>3</v>
      </c>
      <c r="C23" s="99">
        <f>SUM(C16:C22)</f>
        <v>18515</v>
      </c>
      <c r="D23" s="111">
        <f>SUM(D16:D22)</f>
        <v>0</v>
      </c>
      <c r="E23" s="112">
        <f>SUM(E18:E22)</f>
        <v>0</v>
      </c>
      <c r="F23" s="116">
        <f>SUM(F15:F22)</f>
        <v>9</v>
      </c>
      <c r="G23" s="159"/>
      <c r="H23" s="166"/>
      <c r="I23" s="168"/>
      <c r="J23" s="212">
        <f>+'9'!J23</f>
        <v>0</v>
      </c>
      <c r="K23" s="234"/>
      <c r="L23" s="234"/>
      <c r="M23" s="117">
        <f>+K23+'9'!M23+L23</f>
        <v>0</v>
      </c>
      <c r="P23" s="174"/>
    </row>
    <row r="24" spans="1:16" ht="13.5" customHeight="1" thickBot="1">
      <c r="A24" s="794" t="s">
        <v>428</v>
      </c>
      <c r="B24" s="513"/>
      <c r="C24" s="113">
        <f>C23/($C$23+$D$23+$E$23)</f>
        <v>1</v>
      </c>
      <c r="D24" s="114">
        <f>D23/($C$23+$D$23+$E$23)</f>
        <v>0</v>
      </c>
      <c r="E24" s="115">
        <f>E23/($C$23+$D$23+$E$23)</f>
        <v>0</v>
      </c>
      <c r="F24" s="231"/>
      <c r="G24" s="553" t="s">
        <v>12</v>
      </c>
      <c r="H24" s="554" t="s">
        <v>417</v>
      </c>
      <c r="I24" s="791" t="s">
        <v>536</v>
      </c>
      <c r="J24" s="212">
        <f>+'9'!J24</f>
        <v>0</v>
      </c>
      <c r="K24" s="234"/>
      <c r="L24" s="234"/>
      <c r="M24" s="117">
        <f>+K24+'9'!M24+L24</f>
        <v>0</v>
      </c>
      <c r="P24" s="174"/>
    </row>
    <row r="25" spans="1:16" ht="13.5" customHeight="1" thickBot="1">
      <c r="A25" s="789"/>
      <c r="B25" s="213" t="s">
        <v>480</v>
      </c>
      <c r="C25" s="222">
        <v>18346</v>
      </c>
      <c r="D25" s="215"/>
      <c r="E25" s="221"/>
      <c r="F25" s="227"/>
      <c r="G25" s="555" t="s">
        <v>12</v>
      </c>
      <c r="H25" s="226" t="s">
        <v>419</v>
      </c>
      <c r="I25" s="792"/>
      <c r="J25" s="212">
        <f>+'8'!J25</f>
        <v>0</v>
      </c>
      <c r="K25" s="234"/>
      <c r="L25" s="234"/>
      <c r="M25" s="117">
        <f>+K25+'9'!M25+L25</f>
        <v>0</v>
      </c>
      <c r="P25" s="174"/>
    </row>
    <row r="26" spans="1:16" ht="13.5" customHeight="1" thickBot="1">
      <c r="A26" s="789"/>
      <c r="B26" s="213"/>
      <c r="C26" s="222"/>
      <c r="D26" s="215"/>
      <c r="E26" s="223"/>
      <c r="F26" s="227">
        <v>5</v>
      </c>
      <c r="G26" s="555" t="s">
        <v>12</v>
      </c>
      <c r="H26" s="229" t="s">
        <v>475</v>
      </c>
      <c r="I26" s="792"/>
      <c r="J26" s="212">
        <f>+'8'!J26</f>
        <v>0</v>
      </c>
      <c r="K26" s="234"/>
      <c r="L26" s="234"/>
      <c r="M26" s="117">
        <f>+K26+'9'!M26+L26</f>
        <v>0</v>
      </c>
      <c r="P26" s="174"/>
    </row>
    <row r="27" spans="1:16" ht="55.5" customHeight="1" thickBot="1">
      <c r="A27" s="789"/>
      <c r="B27" s="213"/>
      <c r="C27" s="214"/>
      <c r="D27" s="215"/>
      <c r="E27" s="221"/>
      <c r="F27" s="227"/>
      <c r="G27" s="225"/>
      <c r="H27" s="556" t="s">
        <v>545</v>
      </c>
      <c r="I27" s="792"/>
      <c r="J27" s="212">
        <f>+'8'!J27</f>
        <v>0</v>
      </c>
      <c r="K27" s="234"/>
      <c r="L27" s="234"/>
      <c r="M27" s="117">
        <f>+K27+'9'!M27+L27</f>
        <v>0</v>
      </c>
    </row>
    <row r="28" spans="1:16" ht="27" thickBot="1">
      <c r="A28" s="789"/>
      <c r="B28" s="213"/>
      <c r="C28" s="214"/>
      <c r="D28" s="215"/>
      <c r="E28" s="221"/>
      <c r="F28" s="227"/>
      <c r="G28" s="225"/>
      <c r="H28" s="229" t="s">
        <v>554</v>
      </c>
      <c r="I28" s="792"/>
      <c r="J28" s="212">
        <f>+'8'!J28</f>
        <v>0</v>
      </c>
      <c r="K28" s="234"/>
      <c r="L28" s="234"/>
      <c r="M28" s="117">
        <f>+K28+'9'!M28+L28</f>
        <v>0</v>
      </c>
    </row>
    <row r="29" spans="1:16" ht="13.5" customHeight="1" thickBot="1">
      <c r="A29" s="789"/>
      <c r="B29" s="213"/>
      <c r="C29" s="214"/>
      <c r="D29" s="215"/>
      <c r="E29" s="221"/>
      <c r="F29" s="231"/>
      <c r="G29" s="228"/>
      <c r="H29" s="229"/>
      <c r="I29" s="792"/>
      <c r="J29" s="212">
        <f>+'8'!J29</f>
        <v>0</v>
      </c>
      <c r="K29" s="234"/>
      <c r="L29" s="234"/>
      <c r="M29" s="117">
        <f>+K29+'9'!M29+L29</f>
        <v>0</v>
      </c>
    </row>
    <row r="30" spans="1:16" ht="13.5" customHeight="1" thickBot="1">
      <c r="A30" s="789"/>
      <c r="B30" s="213"/>
      <c r="C30" s="222"/>
      <c r="D30" s="215"/>
      <c r="E30" s="221"/>
      <c r="F30" s="231"/>
      <c r="G30" s="228"/>
      <c r="H30" s="229"/>
      <c r="I30" s="792"/>
      <c r="J30" s="212">
        <f>+'8'!J30</f>
        <v>0</v>
      </c>
      <c r="K30" s="234"/>
      <c r="L30" s="234"/>
      <c r="M30" s="117">
        <f>+K30+'9'!M30+L30</f>
        <v>0</v>
      </c>
      <c r="N30" s="155"/>
    </row>
    <row r="31" spans="1:16" ht="13.5" customHeight="1" thickBot="1">
      <c r="A31" s="789"/>
      <c r="B31" s="213"/>
      <c r="C31" s="222"/>
      <c r="D31" s="215"/>
      <c r="E31" s="221"/>
      <c r="F31" s="231"/>
      <c r="G31" s="232"/>
      <c r="H31" s="404"/>
      <c r="I31" s="793"/>
      <c r="J31" s="212">
        <f>+'8'!J31</f>
        <v>0</v>
      </c>
      <c r="K31" s="234"/>
      <c r="L31" s="234"/>
      <c r="M31" s="117">
        <f>+K31+'9'!M31+L31</f>
        <v>0</v>
      </c>
    </row>
    <row r="32" spans="1:16" ht="13.5" customHeight="1" thickBot="1">
      <c r="A32" s="790"/>
      <c r="B32" s="165" t="s">
        <v>3</v>
      </c>
      <c r="C32" s="99">
        <f>SUM(C25:C31)</f>
        <v>18346</v>
      </c>
      <c r="D32" s="100">
        <f>SUM(D25:D31)</f>
        <v>0</v>
      </c>
      <c r="E32" s="101">
        <f>SUM(E25:E31)</f>
        <v>0</v>
      </c>
      <c r="F32" s="99">
        <f>SUM(F24:F31)</f>
        <v>5</v>
      </c>
      <c r="G32" s="169"/>
      <c r="H32" s="170"/>
      <c r="I32" s="168"/>
      <c r="J32" s="212">
        <f>+'8'!J32</f>
        <v>0</v>
      </c>
      <c r="K32" s="236"/>
      <c r="L32" s="238"/>
      <c r="M32" s="117">
        <f>+K32+'9'!M32+L32</f>
        <v>0</v>
      </c>
    </row>
    <row r="33" spans="1:14" ht="13.8" thickBot="1">
      <c r="A33" s="171"/>
      <c r="B33" s="172"/>
      <c r="C33" s="103">
        <f>C32/($C$32+$D$32+$E$32)</f>
        <v>1</v>
      </c>
      <c r="D33" s="104">
        <f>D32/($C$32+$D$32+$E$32)</f>
        <v>0</v>
      </c>
      <c r="E33" s="105">
        <f>E32/($C$32+$D$32+$E$32)</f>
        <v>0</v>
      </c>
      <c r="F33" s="106"/>
      <c r="G33" s="173"/>
      <c r="H33" s="174"/>
      <c r="I33" s="175"/>
      <c r="J33" s="121"/>
      <c r="K33" s="122"/>
      <c r="L33" s="211"/>
      <c r="M33" s="119"/>
    </row>
    <row r="34" spans="1:14" ht="13.8" thickBot="1">
      <c r="A34" s="795" t="s">
        <v>68</v>
      </c>
      <c r="B34" s="796"/>
      <c r="C34" s="107">
        <f>C14+C23+C32</f>
        <v>55335</v>
      </c>
      <c r="D34" s="107">
        <f>D14+D23+D32</f>
        <v>0</v>
      </c>
      <c r="E34" s="107">
        <f>E14+E23+E32</f>
        <v>0</v>
      </c>
      <c r="F34" s="108">
        <f>F14+F23+F32</f>
        <v>24</v>
      </c>
      <c r="H34" s="176"/>
      <c r="I34" s="176"/>
      <c r="J34" s="123" t="s">
        <v>28</v>
      </c>
      <c r="K34" s="124">
        <f>SUM(K7:K32)</f>
        <v>55335</v>
      </c>
      <c r="L34" s="210">
        <f>SUM(L7:L32)</f>
        <v>0</v>
      </c>
      <c r="M34" s="120">
        <f>SUM(M7:M32)</f>
        <v>492359</v>
      </c>
      <c r="N34" s="155"/>
    </row>
    <row r="35" spans="1:14" ht="13.8" thickBot="1">
      <c r="A35" s="177"/>
      <c r="B35" s="178"/>
      <c r="C35" s="104">
        <f>C34/($C$34+$D$34+$E$34)</f>
        <v>1</v>
      </c>
      <c r="D35" s="104">
        <f>D34/($C$34+$D$34+$E$34)</f>
        <v>0</v>
      </c>
      <c r="E35" s="109">
        <f>E34/($C$34+$D$34+$E$34)</f>
        <v>0</v>
      </c>
      <c r="K35" s="155"/>
    </row>
    <row r="36" spans="1:14" ht="13.8" thickBot="1">
      <c r="A36" s="176"/>
      <c r="B36" s="176"/>
      <c r="C36" s="155"/>
      <c r="D36" s="155"/>
      <c r="E36" s="155"/>
      <c r="G36" s="155"/>
      <c r="H36" s="179"/>
      <c r="I36" s="162" t="s">
        <v>37</v>
      </c>
      <c r="J36" s="162" t="s">
        <v>38</v>
      </c>
      <c r="K36" s="180"/>
    </row>
    <row r="37" spans="1:14" ht="17.399999999999999" customHeight="1" thickBot="1">
      <c r="A37" s="797" t="s">
        <v>69</v>
      </c>
      <c r="B37" s="798"/>
      <c r="C37" s="162" t="s">
        <v>70</v>
      </c>
      <c r="D37" s="181" t="s">
        <v>71</v>
      </c>
      <c r="E37" s="182" t="s">
        <v>72</v>
      </c>
      <c r="F37" s="304"/>
      <c r="G37" s="306"/>
      <c r="H37" s="184" t="s">
        <v>73</v>
      </c>
      <c r="I37" s="239">
        <f>(14.5*1440)/1440*G42*2.66*1440/1000000</f>
        <v>52.374974400000006</v>
      </c>
      <c r="J37" s="315">
        <f>+I37+'9'!J37</f>
        <v>505.2020800051082</v>
      </c>
      <c r="K37" s="126" t="s">
        <v>74</v>
      </c>
    </row>
    <row r="38" spans="1:14" ht="17.399999999999999" customHeight="1">
      <c r="A38" s="799" t="s">
        <v>12</v>
      </c>
      <c r="B38" s="800"/>
      <c r="C38" s="164">
        <f>SUMIF($G$7:$G$31,"Process",$F$7:$F$31)</f>
        <v>24</v>
      </c>
      <c r="D38" s="118">
        <f>C38+'9'!D38</f>
        <v>265</v>
      </c>
      <c r="E38" s="143">
        <f t="shared" ref="E38:E52" si="5">D38/60</f>
        <v>4.416666666666667</v>
      </c>
      <c r="F38" s="304">
        <v>1150</v>
      </c>
      <c r="G38" s="304">
        <v>943</v>
      </c>
      <c r="H38" s="185" t="s">
        <v>75</v>
      </c>
      <c r="I38" s="240">
        <f>20.536+18.303+18.303</f>
        <v>57.141999999999996</v>
      </c>
      <c r="J38" s="316">
        <f>+I38+'9'!J38</f>
        <v>491.87299999999999</v>
      </c>
      <c r="K38" s="128" t="s">
        <v>74</v>
      </c>
    </row>
    <row r="39" spans="1:14" ht="17.399999999999999" customHeight="1">
      <c r="A39" s="786" t="s">
        <v>13</v>
      </c>
      <c r="B39" s="787"/>
      <c r="C39" s="164">
        <f>SUMIF($G$7:$G$31,"Cleaning",$F$7:$F$31)</f>
        <v>0</v>
      </c>
      <c r="D39" s="118">
        <f>C39+'9'!D39</f>
        <v>0</v>
      </c>
      <c r="E39" s="143">
        <f t="shared" si="5"/>
        <v>0</v>
      </c>
      <c r="F39" s="304">
        <v>1150</v>
      </c>
      <c r="G39" s="304">
        <v>943</v>
      </c>
      <c r="H39" s="185" t="s">
        <v>76</v>
      </c>
      <c r="I39" s="142"/>
      <c r="J39" s="317">
        <f>J37/G4</f>
        <v>50.52020800051082</v>
      </c>
      <c r="K39" s="130" t="s">
        <v>74</v>
      </c>
    </row>
    <row r="40" spans="1:14" ht="17.399999999999999" customHeight="1">
      <c r="A40" s="786" t="s">
        <v>77</v>
      </c>
      <c r="B40" s="787"/>
      <c r="C40" s="164">
        <f>SUMIF($G$7:$G$31,"Mechanical",$F$7:$F$31)</f>
        <v>0</v>
      </c>
      <c r="D40" s="118">
        <f>C40+'9'!D40</f>
        <v>0</v>
      </c>
      <c r="E40" s="143">
        <f t="shared" si="5"/>
        <v>0</v>
      </c>
      <c r="F40" s="304">
        <v>1150</v>
      </c>
      <c r="G40" s="304">
        <v>943</v>
      </c>
      <c r="H40" s="185" t="s">
        <v>78</v>
      </c>
      <c r="I40" s="118">
        <f>+(K34+L34)/1000</f>
        <v>55.335000000000001</v>
      </c>
      <c r="J40" s="318">
        <f>+I40+'9'!J40</f>
        <v>492.35900000000004</v>
      </c>
      <c r="K40" s="130" t="s">
        <v>74</v>
      </c>
    </row>
    <row r="41" spans="1:14" ht="17.399999999999999" customHeight="1">
      <c r="A41" s="786" t="s">
        <v>79</v>
      </c>
      <c r="B41" s="787"/>
      <c r="C41" s="164">
        <f>SUMIF($G$7:$G$31,"Electrical",$F$7:$F$31)</f>
        <v>0</v>
      </c>
      <c r="D41" s="118">
        <f>C41+'9'!D41</f>
        <v>0</v>
      </c>
      <c r="E41" s="143">
        <f t="shared" si="5"/>
        <v>0</v>
      </c>
      <c r="F41" s="304"/>
      <c r="G41" s="304"/>
      <c r="H41" s="185" t="s">
        <v>80</v>
      </c>
      <c r="I41" s="142"/>
      <c r="J41" s="317">
        <f>J40/G4</f>
        <v>49.235900000000001</v>
      </c>
      <c r="K41" s="130" t="s">
        <v>74</v>
      </c>
    </row>
    <row r="42" spans="1:14" ht="17.399999999999999" customHeight="1">
      <c r="A42" s="786" t="s">
        <v>16</v>
      </c>
      <c r="B42" s="787"/>
      <c r="C42" s="164">
        <f>SUMIF($G$7:$G$31,"Instrument",$F$7:$F$31)</f>
        <v>0</v>
      </c>
      <c r="D42" s="118">
        <f>C42+'9'!D42</f>
        <v>0</v>
      </c>
      <c r="E42" s="143">
        <f t="shared" si="5"/>
        <v>0</v>
      </c>
      <c r="F42" s="183">
        <f>+(F38*480+F39*480+F40*480)/1440</f>
        <v>1150</v>
      </c>
      <c r="G42" s="183">
        <f>+(G38*480+G39*480+G40*480)/1440</f>
        <v>943</v>
      </c>
      <c r="H42" s="185" t="s">
        <v>81</v>
      </c>
      <c r="I42" s="241" t="s">
        <v>536</v>
      </c>
      <c r="J42" s="319"/>
      <c r="K42" s="130" t="s">
        <v>82</v>
      </c>
    </row>
    <row r="43" spans="1:14" ht="17.399999999999999" customHeight="1">
      <c r="A43" s="786" t="s">
        <v>83</v>
      </c>
      <c r="B43" s="787"/>
      <c r="C43" s="164">
        <f>SUMIF($G$7:$G$31,"Water",$F$7:$F$31)</f>
        <v>0</v>
      </c>
      <c r="D43" s="118">
        <f>C43+'9'!D43</f>
        <v>0</v>
      </c>
      <c r="E43" s="143">
        <f t="shared" si="5"/>
        <v>0</v>
      </c>
      <c r="F43" s="304"/>
      <c r="G43" s="305"/>
      <c r="H43" s="186" t="s">
        <v>84</v>
      </c>
      <c r="I43" s="118">
        <f>+Report1!Z18</f>
        <v>97.9</v>
      </c>
      <c r="J43" s="320">
        <f>+I43+'9'!J43</f>
        <v>948.92</v>
      </c>
      <c r="K43" s="130" t="s">
        <v>74</v>
      </c>
      <c r="L43" s="187"/>
    </row>
    <row r="44" spans="1:14" ht="17.399999999999999" customHeight="1">
      <c r="A44" s="786" t="s">
        <v>17</v>
      </c>
      <c r="B44" s="787"/>
      <c r="C44" s="164">
        <f>SUMIF($G$7:$G$31,"PLN",$F$7:$F$31)</f>
        <v>0</v>
      </c>
      <c r="D44" s="118">
        <f>C44+'9'!D44</f>
        <v>0</v>
      </c>
      <c r="E44" s="143">
        <f t="shared" si="5"/>
        <v>0</v>
      </c>
      <c r="F44" s="304"/>
      <c r="G44" s="305"/>
      <c r="H44" s="186" t="s">
        <v>85</v>
      </c>
      <c r="I44" s="118">
        <f>I43/I38</f>
        <v>1.7132756991354872</v>
      </c>
      <c r="J44" s="320">
        <f>J43/J38</f>
        <v>1.9291971708144176</v>
      </c>
      <c r="K44" s="130" t="s">
        <v>74</v>
      </c>
    </row>
    <row r="45" spans="1:14" ht="17.399999999999999" customHeight="1">
      <c r="A45" s="786" t="s">
        <v>18</v>
      </c>
      <c r="B45" s="787"/>
      <c r="C45" s="164">
        <f>SUMIF($G$7:$G$31,"Boiler",$F$7:$F$31)</f>
        <v>0</v>
      </c>
      <c r="D45" s="118">
        <f>C45+'9'!D45</f>
        <v>0</v>
      </c>
      <c r="E45" s="143">
        <f t="shared" si="5"/>
        <v>0</v>
      </c>
      <c r="F45" s="304"/>
      <c r="G45" s="307"/>
      <c r="H45" s="186" t="s">
        <v>86</v>
      </c>
      <c r="I45" s="118">
        <f>I43/I40</f>
        <v>1.769223818559682</v>
      </c>
      <c r="J45" s="320">
        <f>J43/J40</f>
        <v>1.927292889944126</v>
      </c>
      <c r="K45" s="130" t="s">
        <v>74</v>
      </c>
    </row>
    <row r="46" spans="1:14" ht="17.399999999999999" customHeight="1">
      <c r="A46" s="786" t="s">
        <v>87</v>
      </c>
      <c r="B46" s="787"/>
      <c r="C46" s="164">
        <f>SUMIF($G$7:$G$31,"Gas",$F$7:$F$31)</f>
        <v>0</v>
      </c>
      <c r="D46" s="118">
        <f>C46+'9'!D46</f>
        <v>0</v>
      </c>
      <c r="E46" s="143">
        <f t="shared" si="5"/>
        <v>0</v>
      </c>
      <c r="F46" s="304"/>
      <c r="G46" s="305"/>
      <c r="H46" s="186" t="s">
        <v>88</v>
      </c>
      <c r="I46" s="140">
        <f>+SUMIF(Listrik!X17,"&gt;0")</f>
        <v>41034.571238279816</v>
      </c>
      <c r="J46" s="320">
        <f>+I46+'9'!J46</f>
        <v>366490.62530523125</v>
      </c>
      <c r="K46" s="130" t="s">
        <v>89</v>
      </c>
    </row>
    <row r="47" spans="1:14" ht="17.399999999999999" customHeight="1">
      <c r="A47" s="786" t="s">
        <v>90</v>
      </c>
      <c r="B47" s="787"/>
      <c r="C47" s="164">
        <f>SUMIF($G$7:$G$31,"Gas",$F$7:$F$31)</f>
        <v>0</v>
      </c>
      <c r="D47" s="118">
        <f>C47+'9'!D47</f>
        <v>0</v>
      </c>
      <c r="E47" s="143">
        <f t="shared" si="5"/>
        <v>0</v>
      </c>
      <c r="F47" s="304"/>
      <c r="G47" s="305"/>
      <c r="H47" s="186" t="s">
        <v>91</v>
      </c>
      <c r="I47" s="118">
        <f>I46/I38</f>
        <v>718.11576840642294</v>
      </c>
      <c r="J47" s="320">
        <f>J46/J38</f>
        <v>745.09197558156529</v>
      </c>
      <c r="K47" s="130" t="s">
        <v>24</v>
      </c>
    </row>
    <row r="48" spans="1:14" ht="17.399999999999999" customHeight="1">
      <c r="A48" s="786" t="s">
        <v>14</v>
      </c>
      <c r="B48" s="787"/>
      <c r="C48" s="164">
        <f>SUMIF($G$7:$G$31,"Start Up",$F$7:$F$31)</f>
        <v>0</v>
      </c>
      <c r="D48" s="118">
        <f>C48+'9'!D48</f>
        <v>0</v>
      </c>
      <c r="E48" s="143">
        <f t="shared" si="5"/>
        <v>0</v>
      </c>
      <c r="F48" s="304"/>
      <c r="G48" s="305"/>
      <c r="H48" s="186" t="s">
        <v>92</v>
      </c>
      <c r="I48" s="118">
        <f>I46/I40</f>
        <v>741.56630050202978</v>
      </c>
      <c r="J48" s="320">
        <f>J46/J40</f>
        <v>744.35650674656347</v>
      </c>
      <c r="K48" s="130" t="s">
        <v>24</v>
      </c>
    </row>
    <row r="49" spans="1:11" ht="17.399999999999999" customHeight="1">
      <c r="A49" s="786" t="s">
        <v>20</v>
      </c>
      <c r="B49" s="787"/>
      <c r="C49" s="164">
        <f>SUMIF($G$7:$G$31,"Others",$F$7:$F$31)</f>
        <v>0</v>
      </c>
      <c r="D49" s="118">
        <f>C49+'9'!D49</f>
        <v>1072</v>
      </c>
      <c r="E49" s="143">
        <f t="shared" si="5"/>
        <v>17.866666666666667</v>
      </c>
      <c r="F49" s="183"/>
      <c r="H49" s="186" t="s">
        <v>268</v>
      </c>
      <c r="I49" s="118">
        <f>+Report1!T18</f>
        <v>3763.2662878787878</v>
      </c>
      <c r="J49" s="320">
        <f>+I49+'9'!J49</f>
        <v>36017.100247141178</v>
      </c>
      <c r="K49" s="130" t="s">
        <v>93</v>
      </c>
    </row>
    <row r="50" spans="1:11" ht="17.399999999999999" customHeight="1">
      <c r="A50" s="786" t="s">
        <v>19</v>
      </c>
      <c r="B50" s="787"/>
      <c r="C50" s="164">
        <f>SUMIF($G$7:$G$31,"Steam",$F$7:$F$31)</f>
        <v>0</v>
      </c>
      <c r="D50" s="118">
        <f>C50+'9'!D50</f>
        <v>0</v>
      </c>
      <c r="E50" s="143">
        <f t="shared" si="5"/>
        <v>0</v>
      </c>
      <c r="F50" s="183"/>
      <c r="H50" s="186" t="s">
        <v>94</v>
      </c>
      <c r="I50" s="140">
        <f>I49/I38</f>
        <v>65.858147910097443</v>
      </c>
      <c r="J50" s="320">
        <f>J49/J38</f>
        <v>73.224389724870406</v>
      </c>
      <c r="K50" s="130" t="s">
        <v>93</v>
      </c>
    </row>
    <row r="51" spans="1:11" ht="17.399999999999999" customHeight="1">
      <c r="A51" s="803" t="s">
        <v>95</v>
      </c>
      <c r="B51" s="803"/>
      <c r="C51" s="164">
        <f>SUMIF($G$7:$G$31,"Planned shut",$F$7:$F$31)</f>
        <v>0</v>
      </c>
      <c r="D51" s="118">
        <f>C51+'9'!D51</f>
        <v>0</v>
      </c>
      <c r="E51" s="143">
        <f t="shared" si="5"/>
        <v>0</v>
      </c>
      <c r="F51" s="183"/>
      <c r="H51" s="188" t="s">
        <v>96</v>
      </c>
      <c r="I51" s="141">
        <f>I49/I40</f>
        <v>68.008788070457896</v>
      </c>
      <c r="J51" s="321">
        <f>J49/J40</f>
        <v>73.152111055431448</v>
      </c>
      <c r="K51" s="137" t="s">
        <v>93</v>
      </c>
    </row>
    <row r="52" spans="1:11" ht="13.8" thickBot="1">
      <c r="A52" s="804" t="s">
        <v>218</v>
      </c>
      <c r="B52" s="805"/>
      <c r="C52" s="164">
        <f>SUMIF($G$7:$G$31,"Change Grade",$F$7:$F$31)</f>
        <v>0</v>
      </c>
      <c r="D52" s="118">
        <f>C52+'9'!D52</f>
        <v>0</v>
      </c>
      <c r="E52" s="143">
        <f t="shared" si="5"/>
        <v>0</v>
      </c>
      <c r="F52" s="183"/>
      <c r="H52" s="189"/>
      <c r="I52" s="190"/>
      <c r="J52" s="322"/>
      <c r="K52" s="139"/>
    </row>
    <row r="53" spans="1:11">
      <c r="A53" s="799" t="s">
        <v>28</v>
      </c>
      <c r="B53" s="800"/>
      <c r="C53" s="144">
        <f>SUM(C38:C52)</f>
        <v>24</v>
      </c>
      <c r="D53" s="144">
        <f>SUM(D38:D52)</f>
        <v>1337</v>
      </c>
      <c r="E53" s="145">
        <f>SUM(E38:E52)</f>
        <v>22.283333333333335</v>
      </c>
      <c r="F53" s="183"/>
    </row>
    <row r="54" spans="1:11" ht="13.8" thickBot="1">
      <c r="A54" s="801"/>
      <c r="B54" s="802"/>
      <c r="C54" s="146">
        <f>C53/(24*60)</f>
        <v>1.6666666666666666E-2</v>
      </c>
      <c r="D54" s="146">
        <f>D53/(24*60*G4)</f>
        <v>9.284722222222222E-2</v>
      </c>
      <c r="E54" s="147">
        <f>E53/(G4*24)</f>
        <v>9.2847222222222234E-2</v>
      </c>
      <c r="F54" s="183"/>
    </row>
    <row r="55" spans="1:11">
      <c r="E55" s="191"/>
    </row>
    <row r="56" spans="1:11">
      <c r="A56" s="192" t="s">
        <v>97</v>
      </c>
      <c r="B56" s="193"/>
      <c r="C56" s="194"/>
      <c r="D56" s="194"/>
      <c r="E56" s="194"/>
      <c r="F56" s="195"/>
      <c r="G56" s="194"/>
      <c r="H56" s="196"/>
      <c r="I56" s="197" t="s">
        <v>98</v>
      </c>
      <c r="J56" s="198">
        <f>+D34+'9'!J56</f>
        <v>0</v>
      </c>
      <c r="K56" s="199">
        <f>J56/(J40+J56/1000)/1000</f>
        <v>0</v>
      </c>
    </row>
    <row r="57" spans="1:11">
      <c r="A57" s="174"/>
      <c r="I57" s="197" t="s">
        <v>99</v>
      </c>
      <c r="J57" s="198"/>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1:B41"/>
    <mergeCell ref="A40:B40"/>
    <mergeCell ref="A7:A14"/>
    <mergeCell ref="I7:I13"/>
    <mergeCell ref="A15:A23"/>
    <mergeCell ref="I15:I22"/>
    <mergeCell ref="A24:A32"/>
    <mergeCell ref="I24:I31"/>
    <mergeCell ref="A37:B37"/>
    <mergeCell ref="A34:B34"/>
    <mergeCell ref="A38:B38"/>
    <mergeCell ref="A39:B39"/>
    <mergeCell ref="A50:B50"/>
    <mergeCell ref="A52:B52"/>
    <mergeCell ref="A51:B51"/>
    <mergeCell ref="A46:B46"/>
    <mergeCell ref="A54:B54"/>
    <mergeCell ref="A53:B53"/>
    <mergeCell ref="A49:B49"/>
    <mergeCell ref="A47:B47"/>
    <mergeCell ref="A42:B42"/>
    <mergeCell ref="A43:B43"/>
    <mergeCell ref="A44:B44"/>
    <mergeCell ref="A45:B45"/>
    <mergeCell ref="A48:B48"/>
  </mergeCells>
  <phoneticPr fontId="31" type="noConversion"/>
  <printOptions horizontalCentered="1"/>
  <pageMargins left="0.17" right="0.16" top="0.17" bottom="0.16" header="0" footer="0"/>
  <pageSetup paperSize="9" scale="62" firstPageNumber="4294963191"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B61"/>
  <sheetViews>
    <sheetView view="pageBreakPreview" zoomScale="80" zoomScaleNormal="75" zoomScaleSheetLayoutView="80" workbookViewId="0">
      <selection activeCell="A7" sqref="A7:A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5546875" style="149" bestFit="1" customWidth="1"/>
    <col min="12" max="12" width="10.5546875" style="149" bestFit="1" customWidth="1"/>
    <col min="13" max="13" width="12.109375" style="149" customWidth="1"/>
    <col min="14" max="16384" width="9.109375" style="149"/>
  </cols>
  <sheetData>
    <row r="1" spans="1:28" ht="15.6">
      <c r="A1" s="148"/>
      <c r="W1" s="514"/>
      <c r="X1" s="518"/>
      <c r="Y1" s="518"/>
      <c r="AA1" s="518"/>
      <c r="AB1" s="518"/>
    </row>
    <row r="2" spans="1:28" ht="15.6">
      <c r="A2" s="148" t="s">
        <v>219</v>
      </c>
      <c r="W2" s="514"/>
      <c r="X2" s="518"/>
      <c r="Y2" s="518"/>
    </row>
    <row r="3" spans="1:28" ht="15">
      <c r="A3" s="150"/>
      <c r="W3" s="534"/>
      <c r="Y3" s="518"/>
    </row>
    <row r="4" spans="1:28" ht="21">
      <c r="A4" s="151" t="s">
        <v>4</v>
      </c>
      <c r="B4" s="152"/>
      <c r="F4" s="153" t="s">
        <v>29</v>
      </c>
      <c r="G4" s="154">
        <v>9</v>
      </c>
      <c r="H4" s="154" t="str">
        <f>+'1'!H4</f>
        <v>.03.26</v>
      </c>
      <c r="J4" s="149">
        <f>420+425+425</f>
        <v>1270</v>
      </c>
      <c r="W4" s="534"/>
      <c r="Y4" s="518"/>
    </row>
    <row r="5" spans="1:28" ht="13.8" thickBot="1">
      <c r="C5" s="155"/>
      <c r="D5" s="155"/>
      <c r="Y5" s="518"/>
    </row>
    <row r="6" spans="1:28"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410</v>
      </c>
      <c r="O6" s="149">
        <v>1150</v>
      </c>
      <c r="P6" s="149">
        <f>+O6-(O6*0.18)</f>
        <v>943</v>
      </c>
      <c r="Q6" s="149">
        <f>60*3</f>
        <v>180</v>
      </c>
      <c r="R6" s="149">
        <f t="shared" ref="R6:R7" si="0">+O6*Q6</f>
        <v>207000</v>
      </c>
      <c r="S6" s="149">
        <f t="shared" ref="S6:S7" si="1">+P6*Q6</f>
        <v>169740</v>
      </c>
      <c r="Z6" s="174"/>
    </row>
    <row r="7" spans="1:28" ht="13.5" customHeight="1" thickBot="1">
      <c r="A7" s="788" t="s">
        <v>226</v>
      </c>
      <c r="B7" s="213" t="s">
        <v>430</v>
      </c>
      <c r="C7" s="214">
        <v>9354</v>
      </c>
      <c r="D7" s="215"/>
      <c r="E7" s="216"/>
      <c r="F7" s="231"/>
      <c r="G7" s="553" t="s">
        <v>12</v>
      </c>
      <c r="H7" s="554" t="s">
        <v>417</v>
      </c>
      <c r="I7" s="791" t="s">
        <v>536</v>
      </c>
      <c r="J7" s="212" t="str">
        <f>+'8'!J7</f>
        <v>T 15 RC HW</v>
      </c>
      <c r="K7" s="233">
        <f>+C7+C16+C25</f>
        <v>27425</v>
      </c>
      <c r="L7" s="237"/>
      <c r="M7" s="117">
        <f>+K7+'8'!M7+L7</f>
        <v>300596</v>
      </c>
      <c r="N7" s="149" t="s">
        <v>465</v>
      </c>
      <c r="O7" s="149">
        <v>1150</v>
      </c>
      <c r="P7" s="149">
        <f>+O7-(O7*0.18)</f>
        <v>943</v>
      </c>
      <c r="Q7" s="149">
        <f>480-Q6</f>
        <v>300</v>
      </c>
      <c r="R7" s="149">
        <f t="shared" si="0"/>
        <v>345000</v>
      </c>
      <c r="S7" s="149">
        <f t="shared" si="1"/>
        <v>282900</v>
      </c>
      <c r="AA7" s="174"/>
      <c r="AB7" s="174"/>
    </row>
    <row r="8" spans="1:28" ht="13.8" thickBot="1">
      <c r="A8" s="789"/>
      <c r="B8" s="213" t="s">
        <v>480</v>
      </c>
      <c r="C8" s="214">
        <v>18610</v>
      </c>
      <c r="D8" s="215"/>
      <c r="E8" s="217"/>
      <c r="F8" s="227"/>
      <c r="G8" s="555" t="s">
        <v>12</v>
      </c>
      <c r="H8" s="226" t="s">
        <v>419</v>
      </c>
      <c r="I8" s="792"/>
      <c r="J8" s="212" t="str">
        <f>+'8'!J8</f>
        <v>T 14,5 RC HW</v>
      </c>
      <c r="K8" s="234">
        <f>+C8+C17+C26</f>
        <v>39531</v>
      </c>
      <c r="L8" s="234"/>
      <c r="M8" s="117">
        <f>+K8+'8'!M8+L8</f>
        <v>136428</v>
      </c>
    </row>
    <row r="9" spans="1:28" ht="13.8" thickBot="1">
      <c r="A9" s="789"/>
      <c r="B9" s="213"/>
      <c r="C9" s="214"/>
      <c r="D9" s="215"/>
      <c r="E9" s="218"/>
      <c r="F9" s="227">
        <v>10</v>
      </c>
      <c r="G9" s="555" t="s">
        <v>12</v>
      </c>
      <c r="H9" s="229" t="s">
        <v>475</v>
      </c>
      <c r="I9" s="792"/>
      <c r="J9" s="212">
        <f>+'8'!J9</f>
        <v>0</v>
      </c>
      <c r="K9" s="234"/>
      <c r="L9" s="234"/>
      <c r="M9" s="117">
        <f>+K9+'8'!M9+L9</f>
        <v>0</v>
      </c>
    </row>
    <row r="10" spans="1:28" ht="27" thickBot="1">
      <c r="A10" s="789"/>
      <c r="B10" s="213"/>
      <c r="C10" s="214"/>
      <c r="D10" s="215"/>
      <c r="E10" s="217"/>
      <c r="F10" s="227"/>
      <c r="G10" s="225"/>
      <c r="H10" s="556" t="s">
        <v>550</v>
      </c>
      <c r="I10" s="792"/>
      <c r="J10" s="212">
        <f>+'8'!J10</f>
        <v>0</v>
      </c>
      <c r="K10" s="234"/>
      <c r="L10" s="234"/>
      <c r="M10" s="117">
        <f>+K10+'8'!M10+L10</f>
        <v>0</v>
      </c>
    </row>
    <row r="11" spans="1:28" ht="13.8" thickBot="1">
      <c r="A11" s="789"/>
      <c r="B11" s="213"/>
      <c r="C11" s="214"/>
      <c r="D11" s="215"/>
      <c r="E11" s="217"/>
      <c r="F11" s="224"/>
      <c r="G11" s="228"/>
      <c r="H11" s="229" t="s">
        <v>544</v>
      </c>
      <c r="I11" s="792"/>
      <c r="J11" s="212">
        <f>+'8'!J11</f>
        <v>0</v>
      </c>
      <c r="K11" s="234"/>
      <c r="L11" s="234"/>
      <c r="M11" s="117">
        <f>+K11+'8'!M11+L11</f>
        <v>0</v>
      </c>
    </row>
    <row r="12" spans="1:28" ht="13.8" thickBot="1">
      <c r="A12" s="789"/>
      <c r="B12" s="213"/>
      <c r="C12" s="214"/>
      <c r="D12" s="215"/>
      <c r="E12" s="217"/>
      <c r="F12" s="224"/>
      <c r="G12" s="228"/>
      <c r="H12" s="229" t="s">
        <v>549</v>
      </c>
      <c r="I12" s="792"/>
      <c r="J12" s="212">
        <f>+'8'!J12</f>
        <v>0</v>
      </c>
      <c r="K12" s="234"/>
      <c r="L12" s="234"/>
      <c r="M12" s="117">
        <f>+K12+'8'!M12+L12</f>
        <v>0</v>
      </c>
    </row>
    <row r="13" spans="1:28" ht="13.8" thickBot="1">
      <c r="A13" s="789"/>
      <c r="B13" s="213"/>
      <c r="C13" s="214"/>
      <c r="D13" s="214"/>
      <c r="E13" s="217"/>
      <c r="F13" s="224"/>
      <c r="G13" s="228"/>
      <c r="H13" s="229"/>
      <c r="I13" s="793"/>
      <c r="J13" s="212">
        <f>+'8'!J13</f>
        <v>0</v>
      </c>
      <c r="K13" s="234"/>
      <c r="L13" s="234"/>
      <c r="M13" s="117">
        <f>+K13+'8'!M13+L13</f>
        <v>0</v>
      </c>
      <c r="Q13" s="174">
        <f>SUM(Q6:Q12)</f>
        <v>480</v>
      </c>
      <c r="R13" s="174">
        <f>SUM(R6:R12)</f>
        <v>552000</v>
      </c>
      <c r="S13" s="174">
        <f>SUM(S6:S12)</f>
        <v>452640</v>
      </c>
    </row>
    <row r="14" spans="1:28" ht="13.8" thickBot="1">
      <c r="A14" s="790"/>
      <c r="B14" s="165" t="s">
        <v>3</v>
      </c>
      <c r="C14" s="99">
        <f>SUM(C7:C13)</f>
        <v>27964</v>
      </c>
      <c r="D14" s="111">
        <f>SUM(D7:D13)</f>
        <v>0</v>
      </c>
      <c r="E14" s="112">
        <f>SUM(E5:E13)</f>
        <v>0</v>
      </c>
      <c r="F14" s="116">
        <f>SUM(F7:F13)</f>
        <v>10</v>
      </c>
      <c r="G14" s="159"/>
      <c r="H14" s="166"/>
      <c r="I14" s="167"/>
      <c r="J14" s="212">
        <f>+'8'!J14</f>
        <v>0</v>
      </c>
      <c r="K14" s="234"/>
      <c r="L14" s="234"/>
      <c r="M14" s="117">
        <f>+K14+'8'!M14+L14</f>
        <v>0</v>
      </c>
      <c r="Q14" s="149">
        <f>480-Q13</f>
        <v>0</v>
      </c>
      <c r="R14" s="174">
        <f>+R13/Q13</f>
        <v>1150</v>
      </c>
      <c r="S14" s="174">
        <f>+S13/Q13</f>
        <v>943</v>
      </c>
    </row>
    <row r="15" spans="1:28" ht="13.5" customHeight="1" thickBot="1">
      <c r="A15" s="794" t="s">
        <v>387</v>
      </c>
      <c r="B15" s="513"/>
      <c r="C15" s="113">
        <f>C14/($C$23+$D$23+$E$23)</f>
        <v>1.3470134874759152</v>
      </c>
      <c r="D15" s="114">
        <f>D14/($C$23+$D$23+$E$23)</f>
        <v>0</v>
      </c>
      <c r="E15" s="115">
        <f>E14/($C$23+$D$23+$E$23)</f>
        <v>0</v>
      </c>
      <c r="F15" s="231"/>
      <c r="G15" s="553" t="s">
        <v>12</v>
      </c>
      <c r="H15" s="554" t="s">
        <v>417</v>
      </c>
      <c r="I15" s="791" t="s">
        <v>536</v>
      </c>
      <c r="J15" s="212">
        <f>+'8'!J15</f>
        <v>0</v>
      </c>
      <c r="K15" s="234"/>
      <c r="L15" s="234"/>
      <c r="M15" s="117">
        <f>+K15+'8'!M15+L15</f>
        <v>0</v>
      </c>
      <c r="N15" s="149" t="s">
        <v>465</v>
      </c>
      <c r="O15" s="149">
        <v>1150</v>
      </c>
      <c r="P15" s="149">
        <f>+O15-(O15*0.18)</f>
        <v>943</v>
      </c>
      <c r="Q15" s="149">
        <v>480</v>
      </c>
      <c r="R15" s="149">
        <f t="shared" ref="R15" si="2">+O15*Q15</f>
        <v>552000</v>
      </c>
      <c r="S15" s="149">
        <f t="shared" ref="S15" si="3">+P15*Q15</f>
        <v>452640</v>
      </c>
    </row>
    <row r="16" spans="1:28" ht="13.8" thickBot="1">
      <c r="A16" s="789"/>
      <c r="B16" s="512" t="s">
        <v>430</v>
      </c>
      <c r="C16" s="511">
        <v>1683</v>
      </c>
      <c r="D16" s="219"/>
      <c r="E16" s="220"/>
      <c r="F16" s="227"/>
      <c r="G16" s="555" t="s">
        <v>12</v>
      </c>
      <c r="H16" s="226" t="s">
        <v>419</v>
      </c>
      <c r="I16" s="792"/>
      <c r="J16" s="212">
        <f>+'8'!J16</f>
        <v>0</v>
      </c>
      <c r="K16" s="225"/>
      <c r="L16" s="225"/>
      <c r="M16" s="117">
        <f>+K16+'8'!M16+L16</f>
        <v>0</v>
      </c>
    </row>
    <row r="17" spans="1:19" ht="13.8" thickBot="1">
      <c r="A17" s="789"/>
      <c r="B17" s="213" t="s">
        <v>480</v>
      </c>
      <c r="C17" s="214">
        <v>19077</v>
      </c>
      <c r="D17" s="215"/>
      <c r="E17" s="221"/>
      <c r="F17" s="227">
        <v>7</v>
      </c>
      <c r="G17" s="555" t="s">
        <v>12</v>
      </c>
      <c r="H17" s="229" t="s">
        <v>475</v>
      </c>
      <c r="I17" s="792"/>
      <c r="J17" s="212">
        <f>+'8'!J17</f>
        <v>0</v>
      </c>
      <c r="K17" s="225"/>
      <c r="L17" s="225"/>
      <c r="M17" s="117">
        <f>+K17+'8'!M17+L17</f>
        <v>0</v>
      </c>
    </row>
    <row r="18" spans="1:19" ht="53.4" thickBot="1">
      <c r="A18" s="789"/>
      <c r="B18" s="213"/>
      <c r="C18" s="214"/>
      <c r="D18" s="215"/>
      <c r="E18" s="221"/>
      <c r="F18" s="227"/>
      <c r="G18" s="225"/>
      <c r="H18" s="556" t="s">
        <v>547</v>
      </c>
      <c r="I18" s="792"/>
      <c r="J18" s="212">
        <f>+'8'!J18</f>
        <v>0</v>
      </c>
      <c r="K18" s="234"/>
      <c r="L18" s="234"/>
      <c r="M18" s="117">
        <f>+K18+'8'!M18+L18</f>
        <v>0</v>
      </c>
    </row>
    <row r="19" spans="1:19" ht="13.8" thickBot="1">
      <c r="A19" s="789"/>
      <c r="B19" s="213"/>
      <c r="C19" s="214"/>
      <c r="D19" s="215"/>
      <c r="E19" s="221"/>
      <c r="F19" s="230"/>
      <c r="G19" s="228"/>
      <c r="H19" s="229" t="s">
        <v>548</v>
      </c>
      <c r="I19" s="792"/>
      <c r="J19" s="212">
        <f>+'8'!J19</f>
        <v>0</v>
      </c>
      <c r="K19" s="234"/>
      <c r="L19" s="234"/>
      <c r="M19" s="117">
        <f>+K19+'8'!M19+L19</f>
        <v>0</v>
      </c>
    </row>
    <row r="20" spans="1:19" ht="13.8" thickBot="1">
      <c r="A20" s="789"/>
      <c r="B20" s="213"/>
      <c r="C20" s="214"/>
      <c r="D20" s="215"/>
      <c r="E20" s="221"/>
      <c r="F20" s="224"/>
      <c r="G20" s="228"/>
      <c r="H20" s="229"/>
      <c r="I20" s="792"/>
      <c r="J20" s="212">
        <f>+'8'!J20</f>
        <v>0</v>
      </c>
      <c r="K20" s="235"/>
      <c r="L20" s="235"/>
      <c r="M20" s="117">
        <f>+K20+'8'!M20+L20</f>
        <v>0</v>
      </c>
    </row>
    <row r="21" spans="1:19" ht="13.8" thickBot="1">
      <c r="A21" s="789"/>
      <c r="B21" s="213"/>
      <c r="C21" s="214"/>
      <c r="D21" s="215"/>
      <c r="E21" s="221"/>
      <c r="F21" s="227"/>
      <c r="G21" s="228"/>
      <c r="H21" s="229"/>
      <c r="I21" s="792"/>
      <c r="J21" s="212">
        <f>+'8'!J21</f>
        <v>0</v>
      </c>
      <c r="K21" s="234"/>
      <c r="L21" s="234"/>
      <c r="M21" s="117">
        <f>+K21+'8'!M21+L21</f>
        <v>0</v>
      </c>
    </row>
    <row r="22" spans="1:19" ht="13.8" thickBot="1">
      <c r="A22" s="789"/>
      <c r="B22" s="213"/>
      <c r="C22" s="214"/>
      <c r="D22" s="215"/>
      <c r="E22" s="221"/>
      <c r="F22" s="231"/>
      <c r="G22" s="228"/>
      <c r="H22" s="229"/>
      <c r="I22" s="793"/>
      <c r="J22" s="212">
        <f>+'8'!J22</f>
        <v>0</v>
      </c>
      <c r="K22" s="234"/>
      <c r="L22" s="234"/>
      <c r="M22" s="117">
        <f>+K22+'8'!M22+L22</f>
        <v>0</v>
      </c>
      <c r="Q22" s="174">
        <f>SUM(Q15:Q21)</f>
        <v>480</v>
      </c>
      <c r="R22" s="174">
        <f>SUM(R15:R21)</f>
        <v>552000</v>
      </c>
      <c r="S22" s="174">
        <f>SUM(S15:S21)</f>
        <v>452640</v>
      </c>
    </row>
    <row r="23" spans="1:19" ht="13.8" thickBot="1">
      <c r="A23" s="790"/>
      <c r="B23" s="165" t="s">
        <v>3</v>
      </c>
      <c r="C23" s="99">
        <f>SUM(C16:C22)</f>
        <v>20760</v>
      </c>
      <c r="D23" s="111">
        <f>SUM(D16:D22)</f>
        <v>0</v>
      </c>
      <c r="E23" s="112">
        <f>SUM(E18:E22)</f>
        <v>0</v>
      </c>
      <c r="F23" s="116">
        <f>SUM(F15:F22)</f>
        <v>7</v>
      </c>
      <c r="G23" s="159"/>
      <c r="H23" s="166"/>
      <c r="I23" s="168"/>
      <c r="J23" s="212">
        <f>+'8'!J23</f>
        <v>0</v>
      </c>
      <c r="K23" s="234"/>
      <c r="L23" s="234"/>
      <c r="M23" s="117">
        <f>+K23+'8'!M23+L23</f>
        <v>0</v>
      </c>
      <c r="Q23" s="149">
        <f>480-Q22</f>
        <v>0</v>
      </c>
      <c r="R23" s="174">
        <f>+R22/Q22</f>
        <v>1150</v>
      </c>
      <c r="S23" s="174">
        <f>+S22/Q22</f>
        <v>943</v>
      </c>
    </row>
    <row r="24" spans="1:19" ht="13.5" customHeight="1" thickBot="1">
      <c r="A24" s="794" t="s">
        <v>428</v>
      </c>
      <c r="B24" s="513"/>
      <c r="C24" s="113">
        <f>C23/($C$23+$D$23+$E$23)</f>
        <v>1</v>
      </c>
      <c r="D24" s="114">
        <f>D23/($C$23+$D$23+$E$23)</f>
        <v>0</v>
      </c>
      <c r="E24" s="115">
        <f>E23/($C$23+$D$23+$E$23)</f>
        <v>0</v>
      </c>
      <c r="F24" s="231"/>
      <c r="G24" s="553" t="s">
        <v>12</v>
      </c>
      <c r="H24" s="554" t="s">
        <v>417</v>
      </c>
      <c r="I24" s="791" t="s">
        <v>536</v>
      </c>
      <c r="J24" s="212">
        <f>+'8'!J24</f>
        <v>0</v>
      </c>
      <c r="K24" s="234"/>
      <c r="L24" s="234"/>
      <c r="M24" s="117">
        <f>+K24+'8'!M24+L24</f>
        <v>0</v>
      </c>
    </row>
    <row r="25" spans="1:19" ht="13.8" thickBot="1">
      <c r="A25" s="789"/>
      <c r="B25" s="512" t="s">
        <v>430</v>
      </c>
      <c r="C25" s="222">
        <v>16388</v>
      </c>
      <c r="D25" s="215"/>
      <c r="E25" s="221"/>
      <c r="F25" s="227"/>
      <c r="G25" s="555" t="s">
        <v>12</v>
      </c>
      <c r="H25" s="226" t="s">
        <v>419</v>
      </c>
      <c r="I25" s="792"/>
      <c r="J25" s="212">
        <f>+'8'!J25</f>
        <v>0</v>
      </c>
      <c r="K25" s="234"/>
      <c r="L25" s="234"/>
      <c r="M25" s="117">
        <f>+K25+'8'!M25+L25</f>
        <v>0</v>
      </c>
      <c r="N25" s="149" t="s">
        <v>465</v>
      </c>
      <c r="O25" s="149">
        <v>1150</v>
      </c>
      <c r="P25" s="149">
        <f>+O25-(O25*0.18)</f>
        <v>943</v>
      </c>
      <c r="Q25" s="149">
        <v>480</v>
      </c>
      <c r="R25" s="149">
        <f t="shared" ref="R25" si="4">+O25*Q25</f>
        <v>552000</v>
      </c>
      <c r="S25" s="149">
        <f t="shared" ref="S25" si="5">+P25*Q25</f>
        <v>452640</v>
      </c>
    </row>
    <row r="26" spans="1:19" ht="13.8" thickBot="1">
      <c r="A26" s="789"/>
      <c r="B26" s="213" t="s">
        <v>480</v>
      </c>
      <c r="C26" s="222">
        <v>1844</v>
      </c>
      <c r="D26" s="215"/>
      <c r="E26" s="223"/>
      <c r="F26" s="227">
        <v>5</v>
      </c>
      <c r="G26" s="555" t="s">
        <v>12</v>
      </c>
      <c r="H26" s="229" t="s">
        <v>475</v>
      </c>
      <c r="I26" s="792"/>
      <c r="J26" s="212">
        <f>+'8'!J26</f>
        <v>0</v>
      </c>
      <c r="K26" s="234"/>
      <c r="L26" s="234"/>
      <c r="M26" s="117">
        <f>+K26+'8'!M26+L26</f>
        <v>0</v>
      </c>
    </row>
    <row r="27" spans="1:19" ht="53.4" thickBot="1">
      <c r="A27" s="789"/>
      <c r="B27" s="213"/>
      <c r="C27" s="214"/>
      <c r="D27" s="215"/>
      <c r="E27" s="221"/>
      <c r="F27" s="227"/>
      <c r="G27" s="225"/>
      <c r="H27" s="556" t="s">
        <v>545</v>
      </c>
      <c r="I27" s="792"/>
      <c r="J27" s="212">
        <f>+'8'!J27</f>
        <v>0</v>
      </c>
      <c r="K27" s="234"/>
      <c r="L27" s="234"/>
      <c r="M27" s="117">
        <f>+K27+'8'!M27+L27</f>
        <v>0</v>
      </c>
    </row>
    <row r="28" spans="1:19" ht="27" thickBot="1">
      <c r="A28" s="789"/>
      <c r="B28" s="213"/>
      <c r="C28" s="214"/>
      <c r="D28" s="215"/>
      <c r="E28" s="221"/>
      <c r="F28" s="227"/>
      <c r="G28" s="225"/>
      <c r="H28" s="229" t="s">
        <v>546</v>
      </c>
      <c r="I28" s="792"/>
      <c r="J28" s="212">
        <f>+'8'!J28</f>
        <v>0</v>
      </c>
      <c r="K28" s="234"/>
      <c r="L28" s="234"/>
      <c r="M28" s="117">
        <f>+K28+'8'!M28+L28</f>
        <v>0</v>
      </c>
    </row>
    <row r="29" spans="1:19" ht="13.8" thickBot="1">
      <c r="A29" s="789"/>
      <c r="B29" s="213"/>
      <c r="C29" s="214"/>
      <c r="D29" s="215"/>
      <c r="E29" s="221"/>
      <c r="F29" s="231"/>
      <c r="G29" s="228"/>
      <c r="H29" s="229"/>
      <c r="I29" s="792"/>
      <c r="J29" s="212">
        <f>+'8'!J29</f>
        <v>0</v>
      </c>
      <c r="K29" s="234"/>
      <c r="L29" s="234"/>
      <c r="M29" s="117">
        <f>+K29+'8'!M29+L29</f>
        <v>0</v>
      </c>
    </row>
    <row r="30" spans="1:19" ht="13.8" thickBot="1">
      <c r="A30" s="789"/>
      <c r="B30" s="213"/>
      <c r="C30" s="222"/>
      <c r="D30" s="215"/>
      <c r="E30" s="221"/>
      <c r="F30" s="231"/>
      <c r="G30" s="228"/>
      <c r="H30" s="229"/>
      <c r="I30" s="792"/>
      <c r="J30" s="212">
        <f>+'8'!J30</f>
        <v>0</v>
      </c>
      <c r="K30" s="234"/>
      <c r="L30" s="234"/>
      <c r="M30" s="117">
        <f>+K30+'8'!M30+L30</f>
        <v>0</v>
      </c>
    </row>
    <row r="31" spans="1:19" ht="13.8" thickBot="1">
      <c r="A31" s="789"/>
      <c r="B31" s="213"/>
      <c r="C31" s="222"/>
      <c r="D31" s="215"/>
      <c r="E31" s="221"/>
      <c r="F31" s="231"/>
      <c r="G31" s="232"/>
      <c r="H31" s="404"/>
      <c r="I31" s="793"/>
      <c r="J31" s="212">
        <f>+'8'!J31</f>
        <v>0</v>
      </c>
      <c r="K31" s="234"/>
      <c r="L31" s="234"/>
      <c r="M31" s="117">
        <f>+K31+'8'!M31+L31</f>
        <v>0</v>
      </c>
    </row>
    <row r="32" spans="1:19" ht="13.8" thickBot="1">
      <c r="A32" s="790"/>
      <c r="B32" s="165" t="s">
        <v>3</v>
      </c>
      <c r="C32" s="99">
        <f>SUM(C25:C31)</f>
        <v>18232</v>
      </c>
      <c r="D32" s="100">
        <f>SUM(D25:D31)</f>
        <v>0</v>
      </c>
      <c r="E32" s="101">
        <f>SUM(E25:E31)</f>
        <v>0</v>
      </c>
      <c r="F32" s="99">
        <f>SUM(F24:F31)</f>
        <v>5</v>
      </c>
      <c r="G32" s="169"/>
      <c r="H32" s="170"/>
      <c r="I32" s="168"/>
      <c r="J32" s="212">
        <f>+'8'!J32</f>
        <v>0</v>
      </c>
      <c r="K32" s="236"/>
      <c r="L32" s="238"/>
      <c r="M32" s="117">
        <f>+K32+'8'!M32+L32</f>
        <v>0</v>
      </c>
      <c r="Q32" s="174">
        <f>SUM(Q25:Q31)</f>
        <v>480</v>
      </c>
      <c r="R32" s="174">
        <f>SUM(R25:R31)</f>
        <v>552000</v>
      </c>
      <c r="S32" s="174">
        <f>SUM(S25:S31)</f>
        <v>452640</v>
      </c>
    </row>
    <row r="33" spans="1:19" ht="13.8" thickBot="1">
      <c r="A33" s="171"/>
      <c r="B33" s="172"/>
      <c r="C33" s="103">
        <f>C32/($C$32+$D$32+$E$32)</f>
        <v>1</v>
      </c>
      <c r="D33" s="104">
        <f>D32/($C$32+$D$32+$E$32)</f>
        <v>0</v>
      </c>
      <c r="E33" s="105">
        <f>E32/($C$32+$D$32+$E$32)</f>
        <v>0</v>
      </c>
      <c r="F33" s="106"/>
      <c r="G33" s="173"/>
      <c r="H33" s="174"/>
      <c r="I33" s="175"/>
      <c r="J33" s="121"/>
      <c r="K33" s="122"/>
      <c r="L33" s="211"/>
      <c r="M33" s="119"/>
      <c r="Q33" s="149">
        <f>480-Q32</f>
        <v>0</v>
      </c>
      <c r="R33" s="174">
        <f>+R32/Q32</f>
        <v>1150</v>
      </c>
      <c r="S33" s="174">
        <f>+S32/Q32</f>
        <v>943</v>
      </c>
    </row>
    <row r="34" spans="1:19" ht="13.8" thickBot="1">
      <c r="A34" s="795" t="s">
        <v>68</v>
      </c>
      <c r="B34" s="796"/>
      <c r="C34" s="107">
        <f>C14+C23+C32</f>
        <v>66956</v>
      </c>
      <c r="D34" s="107">
        <f>D14+D23+D32</f>
        <v>0</v>
      </c>
      <c r="E34" s="107">
        <f>E14+E23+E32</f>
        <v>0</v>
      </c>
      <c r="F34" s="108">
        <f>F14+F23+F32</f>
        <v>22</v>
      </c>
      <c r="H34" s="176"/>
      <c r="I34" s="176"/>
      <c r="J34" s="123" t="s">
        <v>28</v>
      </c>
      <c r="K34" s="124">
        <f>SUM(K7:K32)</f>
        <v>66956</v>
      </c>
      <c r="L34" s="210">
        <f>SUM(L7:L32)</f>
        <v>0</v>
      </c>
      <c r="M34" s="120">
        <f>SUM(M7:M32)</f>
        <v>437024</v>
      </c>
      <c r="N34" s="155" t="s">
        <v>410</v>
      </c>
      <c r="O34" s="149">
        <v>1150</v>
      </c>
      <c r="P34" s="149">
        <v>943</v>
      </c>
      <c r="Q34" s="149">
        <v>180</v>
      </c>
    </row>
    <row r="35" spans="1:19" ht="13.8" thickBot="1">
      <c r="A35" s="177"/>
      <c r="B35" s="178"/>
      <c r="C35" s="104">
        <f>C34/($C$34+$D$34+$E$34)</f>
        <v>1</v>
      </c>
      <c r="D35" s="104">
        <f>D34/($C$34+$D$34+$E$34)</f>
        <v>0</v>
      </c>
      <c r="E35" s="109">
        <f>E34/($C$34+$D$34+$E$34)</f>
        <v>0</v>
      </c>
      <c r="K35" s="155"/>
      <c r="N35" s="149" t="s">
        <v>465</v>
      </c>
      <c r="O35" s="149">
        <v>1150</v>
      </c>
      <c r="P35" s="149">
        <v>943</v>
      </c>
      <c r="Q35" s="149">
        <f>300+480+480</f>
        <v>1260</v>
      </c>
    </row>
    <row r="36" spans="1:19" ht="13.8" thickBot="1">
      <c r="A36" s="176"/>
      <c r="B36" s="176"/>
      <c r="C36" s="155"/>
      <c r="D36" s="155"/>
      <c r="E36" s="155"/>
      <c r="G36" s="155"/>
      <c r="H36" s="179"/>
      <c r="I36" s="162" t="s">
        <v>37</v>
      </c>
      <c r="J36" s="162" t="s">
        <v>38</v>
      </c>
      <c r="K36" s="180"/>
      <c r="Q36" s="149">
        <f>+Q34+Q35</f>
        <v>1440</v>
      </c>
    </row>
    <row r="37" spans="1:19" ht="17.399999999999999" customHeight="1" thickBot="1">
      <c r="A37" s="797" t="s">
        <v>69</v>
      </c>
      <c r="B37" s="798"/>
      <c r="C37" s="162" t="s">
        <v>70</v>
      </c>
      <c r="D37" s="181" t="s">
        <v>71</v>
      </c>
      <c r="E37" s="182" t="s">
        <v>72</v>
      </c>
      <c r="F37" s="304"/>
      <c r="G37" s="306"/>
      <c r="H37" s="184" t="s">
        <v>73</v>
      </c>
      <c r="I37" s="239">
        <f>(15*180+14.5*1260)/1440*G42*2.7*1440/1000000</f>
        <v>53.391717000000007</v>
      </c>
      <c r="J37" s="125">
        <f>+I37+'8'!J37</f>
        <v>452.82710560510822</v>
      </c>
      <c r="K37" s="126" t="s">
        <v>74</v>
      </c>
    </row>
    <row r="38" spans="1:19" ht="17.399999999999999" customHeight="1">
      <c r="A38" s="799" t="s">
        <v>12</v>
      </c>
      <c r="B38" s="800"/>
      <c r="C38" s="164">
        <f>SUMIF($G$7:$G$31,"Process",$F$7:$F$31)</f>
        <v>22</v>
      </c>
      <c r="D38" s="118">
        <f>C38+'8'!D38</f>
        <v>241</v>
      </c>
      <c r="E38" s="143">
        <f t="shared" ref="E38:E52" si="6">D38/60</f>
        <v>4.0166666666666666</v>
      </c>
      <c r="F38" s="304">
        <v>1150</v>
      </c>
      <c r="G38" s="304">
        <v>943</v>
      </c>
      <c r="H38" s="185" t="s">
        <v>75</v>
      </c>
      <c r="I38" s="240">
        <f>18.841+18.841+18.077</f>
        <v>55.759</v>
      </c>
      <c r="J38" s="127">
        <f>+I38+'8'!J38</f>
        <v>434.73099999999999</v>
      </c>
      <c r="K38" s="128" t="s">
        <v>74</v>
      </c>
    </row>
    <row r="39" spans="1:19" ht="17.399999999999999" customHeight="1">
      <c r="A39" s="786" t="s">
        <v>13</v>
      </c>
      <c r="B39" s="787"/>
      <c r="C39" s="164">
        <f>SUMIF($G$7:$G$31,"Cleaning",$F$7:$F$31)</f>
        <v>0</v>
      </c>
      <c r="D39" s="118">
        <f>C39+'8'!D39</f>
        <v>0</v>
      </c>
      <c r="E39" s="143">
        <f t="shared" si="6"/>
        <v>0</v>
      </c>
      <c r="F39" s="304">
        <v>1150</v>
      </c>
      <c r="G39" s="304">
        <v>943</v>
      </c>
      <c r="H39" s="185" t="s">
        <v>76</v>
      </c>
      <c r="I39" s="142"/>
      <c r="J39" s="129">
        <f>J37/G4</f>
        <v>50.314122845012022</v>
      </c>
      <c r="K39" s="130" t="s">
        <v>74</v>
      </c>
    </row>
    <row r="40" spans="1:19" ht="17.399999999999999" customHeight="1">
      <c r="A40" s="786" t="s">
        <v>77</v>
      </c>
      <c r="B40" s="787"/>
      <c r="C40" s="164">
        <f>SUMIF($G$7:$G$31,"Mechanical",$F$7:$F$31)</f>
        <v>0</v>
      </c>
      <c r="D40" s="118">
        <f>C40+'8'!D40</f>
        <v>0</v>
      </c>
      <c r="E40" s="143">
        <f t="shared" si="6"/>
        <v>0</v>
      </c>
      <c r="F40" s="304">
        <v>1150</v>
      </c>
      <c r="G40" s="304">
        <v>943</v>
      </c>
      <c r="H40" s="185" t="s">
        <v>78</v>
      </c>
      <c r="I40" s="118">
        <f>(K34+L34)/1000</f>
        <v>66.956000000000003</v>
      </c>
      <c r="J40" s="131">
        <f>+I40+'8'!J40</f>
        <v>437.02400000000006</v>
      </c>
      <c r="K40" s="130" t="s">
        <v>74</v>
      </c>
    </row>
    <row r="41" spans="1:19" ht="17.399999999999999" customHeight="1">
      <c r="A41" s="786" t="s">
        <v>79</v>
      </c>
      <c r="B41" s="787"/>
      <c r="C41" s="164">
        <f>SUMIF($G$7:$G$31,"Electrical",$F$7:$F$31)</f>
        <v>0</v>
      </c>
      <c r="D41" s="118">
        <f>C41+'8'!D41</f>
        <v>0</v>
      </c>
      <c r="E41" s="143">
        <f t="shared" si="6"/>
        <v>0</v>
      </c>
      <c r="F41" s="304"/>
      <c r="G41" s="304"/>
      <c r="H41" s="185" t="s">
        <v>80</v>
      </c>
      <c r="I41" s="142"/>
      <c r="J41" s="129">
        <f>J40/G4</f>
        <v>48.558222222222227</v>
      </c>
      <c r="K41" s="130" t="s">
        <v>74</v>
      </c>
    </row>
    <row r="42" spans="1:19" ht="17.399999999999999" customHeight="1">
      <c r="A42" s="786" t="s">
        <v>16</v>
      </c>
      <c r="B42" s="787"/>
      <c r="C42" s="164">
        <f>SUMIF($G$7:$G$31,"Instrument",$F$7:$F$31)</f>
        <v>0</v>
      </c>
      <c r="D42" s="118">
        <f>C42+'8'!D42</f>
        <v>0</v>
      </c>
      <c r="E42" s="143">
        <f t="shared" si="6"/>
        <v>0</v>
      </c>
      <c r="F42" s="183">
        <f>+(F38*480+F39*480+F40*480)/1440</f>
        <v>1150</v>
      </c>
      <c r="G42" s="183">
        <f>+(G38*480+G39*480+G40*480)/1440</f>
        <v>943</v>
      </c>
      <c r="H42" s="185" t="s">
        <v>81</v>
      </c>
      <c r="I42" s="241" t="s">
        <v>536</v>
      </c>
      <c r="J42" s="132"/>
      <c r="K42" s="130" t="s">
        <v>82</v>
      </c>
    </row>
    <row r="43" spans="1:19" ht="17.399999999999999" customHeight="1">
      <c r="A43" s="786" t="s">
        <v>83</v>
      </c>
      <c r="B43" s="787"/>
      <c r="C43" s="164">
        <f>SUMIF($G$7:$G$31,"Water",$F$7:$F$31)</f>
        <v>0</v>
      </c>
      <c r="D43" s="118">
        <f>C43+'8'!D43</f>
        <v>0</v>
      </c>
      <c r="E43" s="143">
        <f t="shared" si="6"/>
        <v>0</v>
      </c>
      <c r="F43" s="304"/>
      <c r="G43" s="305"/>
      <c r="H43" s="186" t="s">
        <v>84</v>
      </c>
      <c r="I43" s="118">
        <f>+Report1!Z17</f>
        <v>96.6</v>
      </c>
      <c r="J43" s="133">
        <f>+I43+'8'!J43</f>
        <v>851.02</v>
      </c>
      <c r="K43" s="130" t="s">
        <v>74</v>
      </c>
      <c r="L43" s="187"/>
    </row>
    <row r="44" spans="1:19" ht="17.399999999999999" customHeight="1">
      <c r="A44" s="786" t="s">
        <v>17</v>
      </c>
      <c r="B44" s="787"/>
      <c r="C44" s="164">
        <f>SUMIF($G$7:$G$31,"PLN",$F$7:$F$31)</f>
        <v>0</v>
      </c>
      <c r="D44" s="118">
        <f>C44+'8'!D44</f>
        <v>0</v>
      </c>
      <c r="E44" s="143">
        <f t="shared" si="6"/>
        <v>0</v>
      </c>
      <c r="F44" s="304"/>
      <c r="G44" s="305"/>
      <c r="H44" s="186" t="s">
        <v>85</v>
      </c>
      <c r="I44" s="118">
        <f>I43/I38</f>
        <v>1.7324557470542872</v>
      </c>
      <c r="J44" s="134">
        <f>J43/J38</f>
        <v>1.9575783645518723</v>
      </c>
      <c r="K44" s="130" t="s">
        <v>74</v>
      </c>
    </row>
    <row r="45" spans="1:19" ht="17.399999999999999" customHeight="1">
      <c r="A45" s="786" t="s">
        <v>18</v>
      </c>
      <c r="B45" s="787"/>
      <c r="C45" s="164">
        <f>SUMIF($G$7:$G$31,"Boiler",$F$7:$F$31)</f>
        <v>0</v>
      </c>
      <c r="D45" s="118">
        <f>C45+'8'!D45</f>
        <v>0</v>
      </c>
      <c r="E45" s="143">
        <f t="shared" si="6"/>
        <v>0</v>
      </c>
      <c r="F45" s="304"/>
      <c r="G45" s="307"/>
      <c r="H45" s="186" t="s">
        <v>86</v>
      </c>
      <c r="I45" s="118">
        <f>I43/I40</f>
        <v>1.44273851484557</v>
      </c>
      <c r="J45" s="134">
        <f>J43/J40</f>
        <v>1.947307241707549</v>
      </c>
      <c r="K45" s="130" t="s">
        <v>74</v>
      </c>
    </row>
    <row r="46" spans="1:19" ht="17.399999999999999" customHeight="1">
      <c r="A46" s="786" t="s">
        <v>87</v>
      </c>
      <c r="B46" s="787"/>
      <c r="C46" s="164">
        <f>SUMIF($G$7:$G$31,"Gas",$F$7:$F$31)</f>
        <v>0</v>
      </c>
      <c r="D46" s="118">
        <f>C46+'8'!D46</f>
        <v>0</v>
      </c>
      <c r="E46" s="143">
        <f t="shared" si="6"/>
        <v>0</v>
      </c>
      <c r="F46" s="304"/>
      <c r="G46" s="305"/>
      <c r="H46" s="186" t="s">
        <v>88</v>
      </c>
      <c r="I46" s="140">
        <f>+SUMIF(Listrik!X16,"&gt;0")</f>
        <v>44055.334325343581</v>
      </c>
      <c r="J46" s="135">
        <f>+I46+'8'!J46</f>
        <v>325456.05406695144</v>
      </c>
      <c r="K46" s="130" t="s">
        <v>89</v>
      </c>
    </row>
    <row r="47" spans="1:19" ht="17.399999999999999" customHeight="1">
      <c r="A47" s="786" t="s">
        <v>90</v>
      </c>
      <c r="B47" s="787"/>
      <c r="C47" s="164">
        <f>SUMIF($G$7:$G$31,"Gas",$F$7:$F$31)</f>
        <v>0</v>
      </c>
      <c r="D47" s="118">
        <f>C47+'8'!D47</f>
        <v>0</v>
      </c>
      <c r="E47" s="143">
        <f t="shared" si="6"/>
        <v>0</v>
      </c>
      <c r="F47" s="304"/>
      <c r="G47" s="305"/>
      <c r="H47" s="186" t="s">
        <v>91</v>
      </c>
      <c r="I47" s="118">
        <f>I46/I38</f>
        <v>790.10266190827633</v>
      </c>
      <c r="J47" s="135">
        <f>J46/J38</f>
        <v>748.63778765938355</v>
      </c>
      <c r="K47" s="130" t="s">
        <v>24</v>
      </c>
    </row>
    <row r="48" spans="1:19" ht="17.399999999999999" customHeight="1">
      <c r="A48" s="786" t="s">
        <v>14</v>
      </c>
      <c r="B48" s="787"/>
      <c r="C48" s="164">
        <f>SUMIF($G$7:$G$31,"Start Up",$F$7:$F$31)</f>
        <v>0</v>
      </c>
      <c r="D48" s="118">
        <f>C48+'8'!D48</f>
        <v>0</v>
      </c>
      <c r="E48" s="143">
        <f t="shared" si="6"/>
        <v>0</v>
      </c>
      <c r="F48" s="304"/>
      <c r="G48" s="305"/>
      <c r="H48" s="186" t="s">
        <v>92</v>
      </c>
      <c r="I48" s="118">
        <f>I46/I40</f>
        <v>657.97440595829471</v>
      </c>
      <c r="J48" s="135">
        <f>J46/J40</f>
        <v>744.70979641152746</v>
      </c>
      <c r="K48" s="130" t="s">
        <v>24</v>
      </c>
    </row>
    <row r="49" spans="1:11" ht="17.399999999999999" customHeight="1">
      <c r="A49" s="786" t="s">
        <v>20</v>
      </c>
      <c r="B49" s="787"/>
      <c r="C49" s="164">
        <f>SUMIF($G$7:$G$31,"Others",$F$7:$F$31)</f>
        <v>0</v>
      </c>
      <c r="D49" s="118">
        <f>C49+'8'!D49</f>
        <v>1072</v>
      </c>
      <c r="E49" s="143">
        <f t="shared" si="6"/>
        <v>17.866666666666667</v>
      </c>
      <c r="F49" s="183"/>
      <c r="H49" s="186" t="s">
        <v>268</v>
      </c>
      <c r="I49" s="118">
        <f>+Report1!T17</f>
        <v>3851.5604233450363</v>
      </c>
      <c r="J49" s="135">
        <f>+I49+'8'!J49</f>
        <v>32253.833959262392</v>
      </c>
      <c r="K49" s="130" t="s">
        <v>93</v>
      </c>
    </row>
    <row r="50" spans="1:11" ht="17.399999999999999" customHeight="1">
      <c r="A50" s="786" t="s">
        <v>19</v>
      </c>
      <c r="B50" s="787"/>
      <c r="C50" s="164">
        <f>SUMIF($G$7:$G$31,"Steam",$F$7:$F$31)</f>
        <v>0</v>
      </c>
      <c r="D50" s="118">
        <f>C50+'8'!D50</f>
        <v>0</v>
      </c>
      <c r="E50" s="143">
        <f t="shared" si="6"/>
        <v>0</v>
      </c>
      <c r="F50" s="183"/>
      <c r="H50" s="186" t="s">
        <v>94</v>
      </c>
      <c r="I50" s="140">
        <f>I49/I38</f>
        <v>69.075134477753124</v>
      </c>
      <c r="J50" s="133">
        <f>J49/J38</f>
        <v>74.192624770863802</v>
      </c>
      <c r="K50" s="130" t="s">
        <v>93</v>
      </c>
    </row>
    <row r="51" spans="1:11" ht="17.399999999999999" customHeight="1">
      <c r="A51" s="803" t="s">
        <v>95</v>
      </c>
      <c r="B51" s="803"/>
      <c r="C51" s="164">
        <f>SUMIF($G$7:$G$31,"Planned shut",$F$7:$F$31)</f>
        <v>0</v>
      </c>
      <c r="D51" s="118">
        <f>C51+'8'!D51</f>
        <v>0</v>
      </c>
      <c r="E51" s="143">
        <f t="shared" si="6"/>
        <v>0</v>
      </c>
      <c r="F51" s="183"/>
      <c r="H51" s="188" t="s">
        <v>96</v>
      </c>
      <c r="I51" s="141">
        <f>I49/I40</f>
        <v>57.523753261022705</v>
      </c>
      <c r="J51" s="136">
        <f>J49/J40</f>
        <v>73.803347091378015</v>
      </c>
      <c r="K51" s="137" t="s">
        <v>93</v>
      </c>
    </row>
    <row r="52" spans="1:11" ht="13.8" thickBot="1">
      <c r="A52" s="804" t="s">
        <v>218</v>
      </c>
      <c r="B52" s="805"/>
      <c r="C52" s="164">
        <f>SUMIF($G$7:$G$31,"Change Grade",$F$7:$F$31)</f>
        <v>0</v>
      </c>
      <c r="D52" s="118">
        <f>C52+'8'!D52</f>
        <v>0</v>
      </c>
      <c r="E52" s="143">
        <f t="shared" si="6"/>
        <v>0</v>
      </c>
      <c r="F52" s="183"/>
      <c r="H52" s="189"/>
      <c r="I52" s="190"/>
      <c r="J52" s="138"/>
      <c r="K52" s="139"/>
    </row>
    <row r="53" spans="1:11">
      <c r="A53" s="799" t="s">
        <v>28</v>
      </c>
      <c r="B53" s="800"/>
      <c r="C53" s="144">
        <f>SUM(C38:C52)</f>
        <v>22</v>
      </c>
      <c r="D53" s="144">
        <f>SUM(D38:D52)</f>
        <v>1313</v>
      </c>
      <c r="E53" s="145">
        <f>SUM(E38:E52)</f>
        <v>21.883333333333333</v>
      </c>
      <c r="F53" s="183"/>
    </row>
    <row r="54" spans="1:11" ht="13.8" thickBot="1">
      <c r="A54" s="801"/>
      <c r="B54" s="802"/>
      <c r="C54" s="146">
        <f>C53/(24*60)</f>
        <v>1.5277777777777777E-2</v>
      </c>
      <c r="D54" s="146">
        <f>D53/(24*60*G4)</f>
        <v>0.10131172839506172</v>
      </c>
      <c r="E54" s="147">
        <f>E53/(G4*24)</f>
        <v>0.10131172839506172</v>
      </c>
      <c r="F54" s="183"/>
    </row>
    <row r="55" spans="1:11">
      <c r="E55" s="191"/>
    </row>
    <row r="56" spans="1:11">
      <c r="A56" s="192" t="s">
        <v>97</v>
      </c>
      <c r="B56" s="193"/>
      <c r="C56" s="194"/>
      <c r="D56" s="194"/>
      <c r="E56" s="194"/>
      <c r="F56" s="195"/>
      <c r="G56" s="194"/>
      <c r="H56" s="196"/>
      <c r="I56" s="197" t="s">
        <v>98</v>
      </c>
      <c r="J56" s="198">
        <f>+D34+'8'!J56</f>
        <v>0</v>
      </c>
      <c r="K56" s="199">
        <f>J56/(J40+J56/1000)/1000</f>
        <v>0</v>
      </c>
    </row>
    <row r="57" spans="1:11">
      <c r="A57" s="174"/>
      <c r="I57" s="197" t="s">
        <v>99</v>
      </c>
      <c r="J57" s="198">
        <f>+E34+'8'!J57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 ref="A43:B43"/>
    <mergeCell ref="A44:B44"/>
    <mergeCell ref="A45:B45"/>
    <mergeCell ref="A48:B48"/>
    <mergeCell ref="A53:B53"/>
    <mergeCell ref="A52:B52"/>
    <mergeCell ref="A49:B49"/>
    <mergeCell ref="A51:B51"/>
    <mergeCell ref="A50:B50"/>
  </mergeCells>
  <phoneticPr fontId="31" type="noConversion"/>
  <printOptions horizontalCentered="1"/>
  <pageMargins left="0.17" right="0.16" top="0.17" bottom="0.16" header="0" footer="0"/>
  <pageSetup paperSize="9" scale="57" firstPageNumber="4294963191" fitToWidth="27"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A61"/>
  <sheetViews>
    <sheetView view="pageBreakPreview" topLeftCell="C1" zoomScale="80" zoomScaleNormal="75" zoomScaleSheetLayoutView="80" workbookViewId="0">
      <selection activeCell="H27" sqref="H27"/>
    </sheetView>
  </sheetViews>
  <sheetFormatPr defaultColWidth="9.109375" defaultRowHeight="13.2"/>
  <cols>
    <col min="1" max="1" width="8" style="149" customWidth="1"/>
    <col min="2" max="2" width="7" style="149" bestFit="1" customWidth="1"/>
    <col min="3" max="3" width="14.88671875" style="149" bestFit="1" customWidth="1"/>
    <col min="4" max="4" width="1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4" style="149" bestFit="1" customWidth="1"/>
    <col min="12" max="12" width="13.6640625" style="149" bestFit="1" customWidth="1"/>
    <col min="13" max="13" width="14.5546875" style="149" customWidth="1"/>
    <col min="14" max="16384" width="9.109375" style="149"/>
  </cols>
  <sheetData>
    <row r="1" spans="1:27" ht="15.6">
      <c r="A1" s="148"/>
      <c r="V1" s="534"/>
    </row>
    <row r="2" spans="1:27" ht="15.6">
      <c r="A2" s="148" t="s">
        <v>219</v>
      </c>
      <c r="V2" s="517"/>
      <c r="W2" s="518"/>
      <c r="X2" s="518"/>
      <c r="Y2" s="518"/>
    </row>
    <row r="3" spans="1:27" ht="15">
      <c r="A3" s="150"/>
      <c r="V3" s="534"/>
    </row>
    <row r="4" spans="1:27" ht="21">
      <c r="A4" s="151" t="s">
        <v>4</v>
      </c>
      <c r="B4" s="152"/>
      <c r="F4" s="153" t="s">
        <v>29</v>
      </c>
      <c r="G4" s="154">
        <v>8</v>
      </c>
      <c r="H4" s="154" t="str">
        <f>+'1'!H4</f>
        <v>.03.26</v>
      </c>
      <c r="J4" s="149">
        <f>436+437+442</f>
        <v>1315</v>
      </c>
      <c r="Y4" s="535"/>
    </row>
    <row r="5" spans="1:27" ht="13.8" thickBot="1">
      <c r="C5" s="155"/>
      <c r="D5" s="155"/>
      <c r="Z5" s="535"/>
      <c r="AA5" s="535"/>
    </row>
    <row r="6" spans="1:27"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410</v>
      </c>
      <c r="O6" s="149">
        <v>1150</v>
      </c>
      <c r="P6" s="149">
        <f>+O6-(O6*0.18)</f>
        <v>943</v>
      </c>
      <c r="Q6" s="149">
        <v>480</v>
      </c>
      <c r="R6" s="149">
        <f t="shared" ref="R6" si="0">+O6*Q6</f>
        <v>552000</v>
      </c>
      <c r="S6" s="149">
        <f t="shared" ref="S6" si="1">+P6*Q6</f>
        <v>452640</v>
      </c>
    </row>
    <row r="7" spans="1:27" ht="13.5" customHeight="1" thickBot="1">
      <c r="A7" s="788" t="s">
        <v>429</v>
      </c>
      <c r="B7" s="213" t="s">
        <v>430</v>
      </c>
      <c r="C7" s="214">
        <v>10590</v>
      </c>
      <c r="D7" s="215"/>
      <c r="E7" s="216"/>
      <c r="F7" s="231"/>
      <c r="G7" s="553" t="s">
        <v>12</v>
      </c>
      <c r="H7" s="554" t="s">
        <v>417</v>
      </c>
      <c r="I7" s="791" t="s">
        <v>536</v>
      </c>
      <c r="J7" s="410" t="str">
        <f>+'7'!J7</f>
        <v>T 15 RC HW</v>
      </c>
      <c r="K7" s="411">
        <f>+C34</f>
        <v>46312</v>
      </c>
      <c r="L7" s="412"/>
      <c r="M7" s="413">
        <f>+K7+'7'!M7+L7</f>
        <v>273171</v>
      </c>
    </row>
    <row r="8" spans="1:27" ht="13.8" thickBot="1">
      <c r="A8" s="789"/>
      <c r="B8" s="213"/>
      <c r="C8" s="214"/>
      <c r="D8" s="215"/>
      <c r="E8" s="217"/>
      <c r="F8" s="227"/>
      <c r="G8" s="555" t="s">
        <v>12</v>
      </c>
      <c r="H8" s="226" t="s">
        <v>419</v>
      </c>
      <c r="I8" s="792"/>
      <c r="J8" s="410" t="str">
        <f>+'7'!J8</f>
        <v>T 14,5 RC HW</v>
      </c>
      <c r="K8" s="414"/>
      <c r="L8" s="414"/>
      <c r="M8" s="413">
        <f>+K8+'7'!M8+L8</f>
        <v>96897</v>
      </c>
    </row>
    <row r="9" spans="1:27" ht="13.8" thickBot="1">
      <c r="A9" s="789"/>
      <c r="B9" s="213"/>
      <c r="C9" s="214"/>
      <c r="D9" s="215"/>
      <c r="E9" s="218"/>
      <c r="F9" s="227">
        <v>10</v>
      </c>
      <c r="G9" s="555" t="s">
        <v>12</v>
      </c>
      <c r="H9" s="229" t="s">
        <v>418</v>
      </c>
      <c r="I9" s="792"/>
      <c r="J9" s="410">
        <f>+'7'!J9</f>
        <v>0</v>
      </c>
      <c r="K9" s="414"/>
      <c r="L9" s="414"/>
      <c r="M9" s="413">
        <f>+K9+'7'!M9+L9</f>
        <v>0</v>
      </c>
    </row>
    <row r="10" spans="1:27" ht="66.599999999999994" thickBot="1">
      <c r="A10" s="789"/>
      <c r="B10" s="213"/>
      <c r="C10" s="214"/>
      <c r="D10" s="215"/>
      <c r="E10" s="217"/>
      <c r="F10" s="227"/>
      <c r="G10" s="225"/>
      <c r="H10" s="556" t="s">
        <v>531</v>
      </c>
      <c r="I10" s="792"/>
      <c r="J10" s="410">
        <f>+'7'!J10</f>
        <v>0</v>
      </c>
      <c r="K10" s="414"/>
      <c r="L10" s="414"/>
      <c r="M10" s="413">
        <f>+K10+'7'!M10+L10</f>
        <v>0</v>
      </c>
    </row>
    <row r="11" spans="1:27" ht="40.200000000000003" thickBot="1">
      <c r="A11" s="789"/>
      <c r="B11" s="213"/>
      <c r="C11" s="214"/>
      <c r="D11" s="215"/>
      <c r="E11" s="217"/>
      <c r="F11" s="224"/>
      <c r="G11" s="228"/>
      <c r="H11" s="229" t="s">
        <v>532</v>
      </c>
      <c r="I11" s="792"/>
      <c r="J11" s="410">
        <f>+'7'!J11</f>
        <v>0</v>
      </c>
      <c r="K11" s="414"/>
      <c r="L11" s="414"/>
      <c r="M11" s="413">
        <f>+K11+'7'!M11+L11</f>
        <v>0</v>
      </c>
    </row>
    <row r="12" spans="1:27" ht="13.8" thickBot="1">
      <c r="A12" s="789"/>
      <c r="B12" s="213"/>
      <c r="C12" s="214"/>
      <c r="D12" s="215"/>
      <c r="E12" s="217"/>
      <c r="F12" s="224"/>
      <c r="G12" s="228"/>
      <c r="H12" s="229"/>
      <c r="I12" s="792"/>
      <c r="J12" s="410">
        <f>+'7'!J12</f>
        <v>0</v>
      </c>
      <c r="K12" s="414"/>
      <c r="L12" s="414"/>
      <c r="M12" s="413">
        <f>+K12+'7'!M12+L12</f>
        <v>0</v>
      </c>
    </row>
    <row r="13" spans="1:27" ht="13.8" thickBot="1">
      <c r="A13" s="789"/>
      <c r="B13" s="213"/>
      <c r="C13" s="214"/>
      <c r="D13" s="214"/>
      <c r="E13" s="217"/>
      <c r="F13" s="224"/>
      <c r="G13" s="228"/>
      <c r="H13" s="229"/>
      <c r="I13" s="793"/>
      <c r="J13" s="410">
        <f>+'7'!J13</f>
        <v>0</v>
      </c>
      <c r="K13" s="414"/>
      <c r="L13" s="414"/>
      <c r="M13" s="413">
        <f>+K13+'7'!M13+L13</f>
        <v>0</v>
      </c>
      <c r="Q13" s="174">
        <f>SUM(Q6:Q12)</f>
        <v>480</v>
      </c>
      <c r="R13" s="174">
        <f>SUM(R6:R12)</f>
        <v>552000</v>
      </c>
      <c r="S13" s="174">
        <f>SUM(S6:S12)</f>
        <v>452640</v>
      </c>
    </row>
    <row r="14" spans="1:27" ht="13.8" thickBot="1">
      <c r="A14" s="790"/>
      <c r="B14" s="165" t="s">
        <v>3</v>
      </c>
      <c r="C14" s="99">
        <f>SUM(C7:C13)</f>
        <v>10590</v>
      </c>
      <c r="D14" s="111">
        <f>SUM(D7:D13)</f>
        <v>0</v>
      </c>
      <c r="E14" s="112">
        <f>SUM(E5:E13)</f>
        <v>0</v>
      </c>
      <c r="F14" s="116">
        <f>SUM(F7:F13)</f>
        <v>10</v>
      </c>
      <c r="G14" s="159"/>
      <c r="H14" s="166"/>
      <c r="I14" s="167"/>
      <c r="J14" s="410">
        <f>+'7'!J14</f>
        <v>0</v>
      </c>
      <c r="K14" s="414"/>
      <c r="L14" s="414"/>
      <c r="M14" s="413">
        <f>+K14+'7'!M14+L14</f>
        <v>0</v>
      </c>
      <c r="Q14" s="149">
        <f>480-Q13</f>
        <v>0</v>
      </c>
      <c r="R14" s="174">
        <f>+R13/Q13</f>
        <v>1150</v>
      </c>
      <c r="S14" s="174">
        <f>+S13/Q13</f>
        <v>943</v>
      </c>
    </row>
    <row r="15" spans="1:27" ht="13.5" customHeight="1" thickBot="1">
      <c r="A15" s="794" t="s">
        <v>499</v>
      </c>
      <c r="B15" s="513"/>
      <c r="C15" s="113">
        <f>C14/($C$23+$D$23+$E$23)</f>
        <v>0.61423351313728902</v>
      </c>
      <c r="D15" s="114">
        <f>D14/($C$23+$D$23+$E$23)</f>
        <v>0</v>
      </c>
      <c r="E15" s="115">
        <f>E14/($C$23+$D$23+$E$23)</f>
        <v>0</v>
      </c>
      <c r="F15" s="231"/>
      <c r="G15" s="553" t="s">
        <v>12</v>
      </c>
      <c r="H15" s="554" t="s">
        <v>417</v>
      </c>
      <c r="I15" s="791" t="s">
        <v>536</v>
      </c>
      <c r="J15" s="410">
        <f>+'7'!J15</f>
        <v>0</v>
      </c>
      <c r="K15" s="414"/>
      <c r="L15" s="414"/>
      <c r="M15" s="413">
        <f>+K15+'7'!M15+L15</f>
        <v>0</v>
      </c>
    </row>
    <row r="16" spans="1:27" ht="13.8" thickBot="1">
      <c r="A16" s="789"/>
      <c r="B16" s="213" t="s">
        <v>430</v>
      </c>
      <c r="C16" s="511">
        <v>17241</v>
      </c>
      <c r="D16" s="219"/>
      <c r="E16" s="220"/>
      <c r="F16" s="227">
        <v>3</v>
      </c>
      <c r="G16" s="555" t="s">
        <v>12</v>
      </c>
      <c r="H16" s="226" t="s">
        <v>416</v>
      </c>
      <c r="I16" s="792"/>
      <c r="J16" s="410">
        <f>+'7'!J16</f>
        <v>0</v>
      </c>
      <c r="K16" s="415"/>
      <c r="L16" s="415"/>
      <c r="M16" s="413">
        <f>+K16+'7'!M16+L16</f>
        <v>0</v>
      </c>
      <c r="N16" s="149" t="s">
        <v>410</v>
      </c>
      <c r="O16" s="149">
        <v>1150</v>
      </c>
      <c r="P16" s="149">
        <f>+O16-(O16*0.18)</f>
        <v>943</v>
      </c>
      <c r="Q16" s="149">
        <v>480</v>
      </c>
      <c r="R16" s="149">
        <f t="shared" ref="R16" si="2">+O16*Q16</f>
        <v>552000</v>
      </c>
      <c r="S16" s="149">
        <f t="shared" ref="S16" si="3">+P16*Q16</f>
        <v>452640</v>
      </c>
    </row>
    <row r="17" spans="1:19" ht="13.8" thickBot="1">
      <c r="A17" s="789"/>
      <c r="B17" s="213"/>
      <c r="C17" s="214"/>
      <c r="D17" s="215"/>
      <c r="E17" s="221"/>
      <c r="F17" s="227">
        <v>6</v>
      </c>
      <c r="G17" s="555" t="s">
        <v>12</v>
      </c>
      <c r="H17" s="229" t="s">
        <v>415</v>
      </c>
      <c r="I17" s="792"/>
      <c r="J17" s="410">
        <f>+'7'!J17</f>
        <v>0</v>
      </c>
      <c r="K17" s="415"/>
      <c r="L17" s="415"/>
      <c r="M17" s="413">
        <f>+K17+'7'!M17+L17</f>
        <v>0</v>
      </c>
    </row>
    <row r="18" spans="1:19" ht="53.4" thickBot="1">
      <c r="A18" s="789"/>
      <c r="B18" s="213"/>
      <c r="C18" s="214"/>
      <c r="D18" s="215"/>
      <c r="E18" s="221"/>
      <c r="F18" s="227"/>
      <c r="G18" s="225"/>
      <c r="H18" s="556" t="s">
        <v>529</v>
      </c>
      <c r="I18" s="792"/>
      <c r="J18" s="410">
        <f>+'7'!J18</f>
        <v>0</v>
      </c>
      <c r="K18" s="234"/>
      <c r="L18" s="234"/>
      <c r="M18" s="117">
        <f>+K18+'7'!M18+L18</f>
        <v>0</v>
      </c>
    </row>
    <row r="19" spans="1:19" ht="13.8" thickBot="1">
      <c r="A19" s="789"/>
      <c r="B19" s="213"/>
      <c r="C19" s="214"/>
      <c r="D19" s="215"/>
      <c r="E19" s="221"/>
      <c r="F19" s="230"/>
      <c r="G19" s="228"/>
      <c r="H19" s="229" t="s">
        <v>530</v>
      </c>
      <c r="I19" s="792"/>
      <c r="J19" s="410">
        <f>+'7'!J19</f>
        <v>0</v>
      </c>
      <c r="K19" s="234"/>
      <c r="L19" s="234"/>
      <c r="M19" s="117">
        <f>+K19+'7'!M19+L19</f>
        <v>0</v>
      </c>
    </row>
    <row r="20" spans="1:19" ht="13.8" thickBot="1">
      <c r="A20" s="789"/>
      <c r="B20" s="213"/>
      <c r="C20" s="214"/>
      <c r="D20" s="215"/>
      <c r="E20" s="221"/>
      <c r="F20" s="224"/>
      <c r="G20" s="228"/>
      <c r="H20" s="229"/>
      <c r="I20" s="792"/>
      <c r="J20" s="410">
        <f>+'7'!J20</f>
        <v>0</v>
      </c>
      <c r="K20" s="235"/>
      <c r="L20" s="235"/>
      <c r="M20" s="117">
        <f>+K20+'7'!M20+L20</f>
        <v>0</v>
      </c>
    </row>
    <row r="21" spans="1:19" ht="13.8" thickBot="1">
      <c r="A21" s="789"/>
      <c r="B21" s="213"/>
      <c r="C21" s="214"/>
      <c r="D21" s="215"/>
      <c r="E21" s="221"/>
      <c r="F21" s="227"/>
      <c r="G21" s="228"/>
      <c r="H21" s="229"/>
      <c r="I21" s="792"/>
      <c r="J21" s="410">
        <f>+'7'!J21</f>
        <v>0</v>
      </c>
      <c r="K21" s="234"/>
      <c r="L21" s="234"/>
      <c r="M21" s="117">
        <f>+K21+'7'!M21+L21</f>
        <v>0</v>
      </c>
    </row>
    <row r="22" spans="1:19" ht="13.8" thickBot="1">
      <c r="A22" s="789"/>
      <c r="B22" s="213"/>
      <c r="C22" s="214"/>
      <c r="D22" s="215"/>
      <c r="E22" s="221"/>
      <c r="F22" s="231"/>
      <c r="G22" s="228"/>
      <c r="H22" s="229"/>
      <c r="I22" s="793"/>
      <c r="J22" s="410">
        <f>+'7'!J22</f>
        <v>0</v>
      </c>
      <c r="K22" s="234"/>
      <c r="L22" s="234"/>
      <c r="M22" s="117">
        <f>+K22+'7'!M22+L22</f>
        <v>0</v>
      </c>
    </row>
    <row r="23" spans="1:19" ht="13.8" thickBot="1">
      <c r="A23" s="790"/>
      <c r="B23" s="165" t="s">
        <v>3</v>
      </c>
      <c r="C23" s="99">
        <f>SUM(C16:C22)</f>
        <v>17241</v>
      </c>
      <c r="D23" s="111">
        <f>SUM(D16:D22)</f>
        <v>0</v>
      </c>
      <c r="E23" s="112">
        <f>SUM(E18:E22)</f>
        <v>0</v>
      </c>
      <c r="F23" s="116">
        <f>SUM(F15:F22)</f>
        <v>9</v>
      </c>
      <c r="G23" s="159"/>
      <c r="H23" s="166"/>
      <c r="I23" s="168"/>
      <c r="J23" s="410">
        <f>+'7'!J23</f>
        <v>0</v>
      </c>
      <c r="K23" s="234"/>
      <c r="L23" s="234"/>
      <c r="M23" s="117">
        <f>+K23+'7'!M23+L23</f>
        <v>0</v>
      </c>
      <c r="Q23" s="174">
        <f>SUM(Q16:Q22)</f>
        <v>480</v>
      </c>
      <c r="R23" s="174">
        <f>SUM(R16:R22)</f>
        <v>552000</v>
      </c>
      <c r="S23" s="174">
        <f>SUM(S16:S22)</f>
        <v>452640</v>
      </c>
    </row>
    <row r="24" spans="1:19" ht="13.5" customHeight="1" thickBot="1">
      <c r="A24" s="794" t="s">
        <v>458</v>
      </c>
      <c r="B24" s="513"/>
      <c r="C24" s="113">
        <f>C23/($C$23+$D$23+$E$23)</f>
        <v>1</v>
      </c>
      <c r="D24" s="114">
        <f>D23/($C$23+$D$23+$E$23)</f>
        <v>0</v>
      </c>
      <c r="E24" s="115">
        <f>E23/($C$23+$D$23+$E$23)</f>
        <v>0</v>
      </c>
      <c r="F24" s="231"/>
      <c r="G24" s="553" t="s">
        <v>12</v>
      </c>
      <c r="H24" s="554" t="s">
        <v>417</v>
      </c>
      <c r="I24" s="791" t="s">
        <v>540</v>
      </c>
      <c r="J24" s="410">
        <f>+'7'!J24</f>
        <v>0</v>
      </c>
      <c r="K24" s="234"/>
      <c r="L24" s="234"/>
      <c r="M24" s="117">
        <f>+K24+'7'!M24+L24</f>
        <v>0</v>
      </c>
      <c r="Q24" s="149">
        <f>480-Q23</f>
        <v>0</v>
      </c>
      <c r="R24" s="174">
        <f>+R23/Q23</f>
        <v>1150</v>
      </c>
      <c r="S24" s="174">
        <f>+S23/Q23</f>
        <v>943</v>
      </c>
    </row>
    <row r="25" spans="1:19" ht="13.8" thickBot="1">
      <c r="A25" s="789"/>
      <c r="B25" s="213" t="s">
        <v>430</v>
      </c>
      <c r="C25" s="222">
        <v>18481</v>
      </c>
      <c r="D25" s="215"/>
      <c r="E25" s="221"/>
      <c r="F25" s="227"/>
      <c r="G25" s="555" t="s">
        <v>12</v>
      </c>
      <c r="H25" s="226" t="s">
        <v>419</v>
      </c>
      <c r="I25" s="792"/>
      <c r="J25" s="212">
        <f>+'7'!J25</f>
        <v>0</v>
      </c>
      <c r="K25" s="234"/>
      <c r="L25" s="234"/>
      <c r="M25" s="117">
        <f>+K25+'7'!M25+L25</f>
        <v>0</v>
      </c>
      <c r="N25" s="515"/>
      <c r="O25" s="516"/>
      <c r="P25" s="516"/>
      <c r="Q25" s="516"/>
    </row>
    <row r="26" spans="1:19" ht="13.8" thickBot="1">
      <c r="A26" s="789"/>
      <c r="B26" s="213"/>
      <c r="C26" s="222"/>
      <c r="D26" s="215"/>
      <c r="E26" s="223"/>
      <c r="F26" s="227">
        <v>5</v>
      </c>
      <c r="G26" s="555" t="s">
        <v>12</v>
      </c>
      <c r="H26" s="229" t="s">
        <v>418</v>
      </c>
      <c r="I26" s="792"/>
      <c r="J26" s="212">
        <f>+'7'!J26</f>
        <v>0</v>
      </c>
      <c r="K26" s="234"/>
      <c r="L26" s="234"/>
      <c r="M26" s="117">
        <f>+K26+'7'!M26+L26</f>
        <v>0</v>
      </c>
      <c r="Q26" s="174"/>
    </row>
    <row r="27" spans="1:19" ht="66.599999999999994" thickBot="1">
      <c r="A27" s="789"/>
      <c r="B27" s="213"/>
      <c r="C27" s="214"/>
      <c r="D27" s="215"/>
      <c r="E27" s="221"/>
      <c r="F27" s="227"/>
      <c r="G27" s="225"/>
      <c r="H27" s="556" t="s">
        <v>527</v>
      </c>
      <c r="I27" s="792"/>
      <c r="J27" s="212">
        <f>+'7'!J27</f>
        <v>0</v>
      </c>
      <c r="K27" s="234"/>
      <c r="L27" s="234"/>
      <c r="M27" s="117">
        <f>+K27+'7'!M27+L27</f>
        <v>0</v>
      </c>
      <c r="N27" s="149" t="s">
        <v>410</v>
      </c>
      <c r="O27" s="149">
        <v>1150</v>
      </c>
      <c r="P27" s="149">
        <f>+O27-(O27*0.18)</f>
        <v>943</v>
      </c>
      <c r="Q27" s="149">
        <f>480-Q28</f>
        <v>435</v>
      </c>
      <c r="R27" s="149">
        <f t="shared" ref="R27:R28" si="4">+O27*Q27</f>
        <v>500250</v>
      </c>
      <c r="S27" s="149">
        <f t="shared" ref="S27:S28" si="5">+P27*Q27</f>
        <v>410205</v>
      </c>
    </row>
    <row r="28" spans="1:19" ht="53.4" thickBot="1">
      <c r="A28" s="789"/>
      <c r="B28" s="213"/>
      <c r="C28" s="214"/>
      <c r="D28" s="215"/>
      <c r="E28" s="221"/>
      <c r="F28" s="227"/>
      <c r="G28" s="225"/>
      <c r="H28" s="229" t="s">
        <v>528</v>
      </c>
      <c r="I28" s="792"/>
      <c r="J28" s="212">
        <f>+'7'!J28</f>
        <v>0</v>
      </c>
      <c r="K28" s="234"/>
      <c r="L28" s="234"/>
      <c r="M28" s="117">
        <f>+K28+'7'!M28+L28</f>
        <v>0</v>
      </c>
      <c r="N28" s="149" t="s">
        <v>410</v>
      </c>
      <c r="O28" s="149">
        <v>1100</v>
      </c>
      <c r="P28" s="149">
        <f>+O28-(O28*0.18)</f>
        <v>902</v>
      </c>
      <c r="Q28" s="149">
        <f>60-15</f>
        <v>45</v>
      </c>
      <c r="R28" s="149">
        <f t="shared" si="4"/>
        <v>49500</v>
      </c>
      <c r="S28" s="149">
        <f t="shared" si="5"/>
        <v>40590</v>
      </c>
    </row>
    <row r="29" spans="1:19" ht="13.8" thickBot="1">
      <c r="A29" s="789"/>
      <c r="B29" s="213"/>
      <c r="C29" s="214"/>
      <c r="D29" s="215"/>
      <c r="E29" s="221"/>
      <c r="F29" s="231"/>
      <c r="G29" s="228"/>
      <c r="H29" s="229"/>
      <c r="I29" s="792"/>
      <c r="J29" s="212">
        <f>+'7'!J29</f>
        <v>0</v>
      </c>
      <c r="K29" s="234"/>
      <c r="L29" s="234"/>
      <c r="M29" s="117">
        <f>+K29+'7'!M29+L29</f>
        <v>0</v>
      </c>
    </row>
    <row r="30" spans="1:19" ht="13.8" thickBot="1">
      <c r="A30" s="789"/>
      <c r="B30" s="213"/>
      <c r="C30" s="222"/>
      <c r="D30" s="215"/>
      <c r="E30" s="221"/>
      <c r="F30" s="231"/>
      <c r="G30" s="228"/>
      <c r="H30" s="229"/>
      <c r="I30" s="792"/>
      <c r="J30" s="212">
        <f>+'7'!J30</f>
        <v>0</v>
      </c>
      <c r="K30" s="234"/>
      <c r="L30" s="234"/>
      <c r="M30" s="117">
        <f>+K30+'7'!M30+L30</f>
        <v>0</v>
      </c>
    </row>
    <row r="31" spans="1:19" ht="13.8" thickBot="1">
      <c r="A31" s="789"/>
      <c r="B31" s="213"/>
      <c r="C31" s="222"/>
      <c r="D31" s="215"/>
      <c r="E31" s="221"/>
      <c r="F31" s="231"/>
      <c r="G31" s="232"/>
      <c r="H31" s="404"/>
      <c r="I31" s="793"/>
      <c r="J31" s="212">
        <f>+'7'!J31</f>
        <v>0</v>
      </c>
      <c r="K31" s="234"/>
      <c r="L31" s="234"/>
      <c r="M31" s="117">
        <f>+K31+'7'!M31+L31</f>
        <v>0</v>
      </c>
    </row>
    <row r="32" spans="1:19" ht="13.8" thickBot="1">
      <c r="A32" s="790"/>
      <c r="B32" s="165" t="s">
        <v>3</v>
      </c>
      <c r="C32" s="99">
        <f>SUM(C25:C31)</f>
        <v>18481</v>
      </c>
      <c r="D32" s="100">
        <f>SUM(D25:D31)</f>
        <v>0</v>
      </c>
      <c r="E32" s="101">
        <f>SUM(E25:E31)</f>
        <v>0</v>
      </c>
      <c r="F32" s="99">
        <f>SUM(F24:F31)</f>
        <v>5</v>
      </c>
      <c r="G32" s="169"/>
      <c r="H32" s="170"/>
      <c r="I32" s="168"/>
      <c r="J32" s="212">
        <f>+'7'!J32</f>
        <v>0</v>
      </c>
      <c r="K32" s="236"/>
      <c r="L32" s="238"/>
      <c r="M32" s="117">
        <f>+K32+'7'!M32+L32</f>
        <v>0</v>
      </c>
    </row>
    <row r="33" spans="1:19" ht="13.8" thickBot="1">
      <c r="A33" s="171"/>
      <c r="B33" s="172"/>
      <c r="C33" s="103">
        <f>C32/($C$32+$D$32+$E$32)</f>
        <v>1</v>
      </c>
      <c r="D33" s="104">
        <f>D32/($C$32+$D$32+$E$32)</f>
        <v>0</v>
      </c>
      <c r="E33" s="105">
        <f>E32/($C$32+$D$32+$E$32)</f>
        <v>0</v>
      </c>
      <c r="F33" s="106"/>
      <c r="G33" s="173"/>
      <c r="H33" s="174"/>
      <c r="I33" s="175"/>
      <c r="J33" s="121"/>
      <c r="K33" s="122"/>
      <c r="L33" s="211"/>
      <c r="M33" s="119"/>
    </row>
    <row r="34" spans="1:19" ht="13.8" thickBot="1">
      <c r="A34" s="795" t="s">
        <v>68</v>
      </c>
      <c r="B34" s="796"/>
      <c r="C34" s="107">
        <f>C14+C23+C32</f>
        <v>46312</v>
      </c>
      <c r="D34" s="107">
        <f>D14+D23+D32</f>
        <v>0</v>
      </c>
      <c r="E34" s="107">
        <f>E14+E23+E32</f>
        <v>0</v>
      </c>
      <c r="F34" s="108">
        <f>F14+F23+F32</f>
        <v>24</v>
      </c>
      <c r="H34" s="176"/>
      <c r="I34" s="176"/>
      <c r="J34" s="123" t="s">
        <v>28</v>
      </c>
      <c r="K34" s="124">
        <f>SUM(K7:K32)</f>
        <v>46312</v>
      </c>
      <c r="L34" s="210">
        <f>SUM(L7:L32)</f>
        <v>0</v>
      </c>
      <c r="M34" s="120">
        <f>SUM(M7:M32)</f>
        <v>370068</v>
      </c>
      <c r="Q34" s="174">
        <f>SUM(Q27:Q33)</f>
        <v>480</v>
      </c>
      <c r="R34" s="174">
        <f>SUM(R27:R33)</f>
        <v>549750</v>
      </c>
      <c r="S34" s="174">
        <f>SUM(S27:S33)</f>
        <v>450795</v>
      </c>
    </row>
    <row r="35" spans="1:19" ht="13.8" thickBot="1">
      <c r="A35" s="177"/>
      <c r="B35" s="178"/>
      <c r="C35" s="104">
        <f>C34/($C$34+$D$34+$E$34)</f>
        <v>1</v>
      </c>
      <c r="D35" s="104">
        <f>D34/($C$34+$D$34+$E$34)</f>
        <v>0</v>
      </c>
      <c r="E35" s="109">
        <f>E34/($C$34+$D$34+$E$34)</f>
        <v>0</v>
      </c>
      <c r="K35" s="155"/>
      <c r="Q35" s="149">
        <f>480-Q34</f>
        <v>0</v>
      </c>
      <c r="R35" s="174">
        <f>+R34/Q34</f>
        <v>1145.3125</v>
      </c>
      <c r="S35" s="174">
        <f>+S34/Q34</f>
        <v>939.15625</v>
      </c>
    </row>
    <row r="36" spans="1:19" ht="13.8" thickBot="1">
      <c r="A36" s="176"/>
      <c r="B36" s="176"/>
      <c r="C36" s="155"/>
      <c r="D36" s="155"/>
      <c r="E36" s="155"/>
      <c r="G36" s="155"/>
      <c r="H36" s="179"/>
      <c r="I36" s="162" t="s">
        <v>37</v>
      </c>
      <c r="J36" s="162" t="s">
        <v>38</v>
      </c>
      <c r="K36" s="180"/>
      <c r="M36" s="155"/>
    </row>
    <row r="37" spans="1:19" ht="17.399999999999999" customHeight="1" thickBot="1">
      <c r="A37" s="797" t="s">
        <v>69</v>
      </c>
      <c r="B37" s="798"/>
      <c r="C37" s="162" t="s">
        <v>70</v>
      </c>
      <c r="D37" s="181" t="s">
        <v>71</v>
      </c>
      <c r="E37" s="182" t="s">
        <v>72</v>
      </c>
      <c r="F37" s="304"/>
      <c r="G37" s="306"/>
      <c r="H37" s="184" t="s">
        <v>73</v>
      </c>
      <c r="I37" s="239">
        <f>(15*1440)/1440*G42*2.7*1440/1000000</f>
        <v>54.921037499999997</v>
      </c>
      <c r="J37" s="125">
        <f>+I37+'7'!J37</f>
        <v>399.43538860510819</v>
      </c>
      <c r="K37" s="126" t="s">
        <v>74</v>
      </c>
    </row>
    <row r="38" spans="1:19" ht="17.399999999999999" customHeight="1">
      <c r="A38" s="799" t="s">
        <v>12</v>
      </c>
      <c r="B38" s="800"/>
      <c r="C38" s="164">
        <f>SUMIF($G$7:$G$31,"Process",$F$7:$F$31)</f>
        <v>24</v>
      </c>
      <c r="D38" s="118">
        <f>C38+'7'!D38</f>
        <v>219</v>
      </c>
      <c r="E38" s="143">
        <f t="shared" ref="E38:E52" si="6">D38/60</f>
        <v>3.65</v>
      </c>
      <c r="F38" s="304">
        <v>1150</v>
      </c>
      <c r="G38" s="304">
        <v>943</v>
      </c>
      <c r="H38" s="185" t="s">
        <v>75</v>
      </c>
      <c r="I38" s="240">
        <f>18.583+16.16+17.583</f>
        <v>52.325999999999993</v>
      </c>
      <c r="J38" s="127">
        <f>+I38+'7'!J38</f>
        <v>378.97199999999998</v>
      </c>
      <c r="K38" s="128" t="s">
        <v>74</v>
      </c>
    </row>
    <row r="39" spans="1:19" ht="17.399999999999999" customHeight="1">
      <c r="A39" s="786" t="s">
        <v>13</v>
      </c>
      <c r="B39" s="787"/>
      <c r="C39" s="164">
        <f>SUMIF($G$7:$G$31,"Cleaning",$F$7:$F$31)</f>
        <v>0</v>
      </c>
      <c r="D39" s="118">
        <f>C39+'7'!D39</f>
        <v>0</v>
      </c>
      <c r="E39" s="143">
        <f t="shared" si="6"/>
        <v>0</v>
      </c>
      <c r="F39" s="304">
        <v>1150</v>
      </c>
      <c r="G39" s="304">
        <v>943</v>
      </c>
      <c r="H39" s="185" t="s">
        <v>76</v>
      </c>
      <c r="I39" s="142"/>
      <c r="J39" s="129">
        <f>J37/G4</f>
        <v>49.929423575638523</v>
      </c>
      <c r="K39" s="130" t="s">
        <v>74</v>
      </c>
    </row>
    <row r="40" spans="1:19" ht="17.399999999999999" customHeight="1">
      <c r="A40" s="786" t="s">
        <v>77</v>
      </c>
      <c r="B40" s="787"/>
      <c r="C40" s="164">
        <f>SUMIF($G$7:$G$31,"Mechanical",$F$7:$F$31)</f>
        <v>0</v>
      </c>
      <c r="D40" s="118">
        <f>C40+'7'!D40</f>
        <v>0</v>
      </c>
      <c r="E40" s="143">
        <f t="shared" si="6"/>
        <v>0</v>
      </c>
      <c r="F40" s="304">
        <v>1145.3125</v>
      </c>
      <c r="G40" s="304">
        <v>939.15625</v>
      </c>
      <c r="H40" s="185" t="s">
        <v>78</v>
      </c>
      <c r="I40" s="118">
        <f>(K34+L34)/1000</f>
        <v>46.311999999999998</v>
      </c>
      <c r="J40" s="131">
        <f>+I40+'7'!J40</f>
        <v>370.06800000000004</v>
      </c>
      <c r="K40" s="130" t="s">
        <v>74</v>
      </c>
    </row>
    <row r="41" spans="1:19" ht="17.399999999999999" customHeight="1">
      <c r="A41" s="786" t="s">
        <v>79</v>
      </c>
      <c r="B41" s="787"/>
      <c r="C41" s="164">
        <f>SUMIF($G$7:$G$31,"Electrical",$F$7:$F$31)</f>
        <v>0</v>
      </c>
      <c r="D41" s="118">
        <f>C41+'7'!D41</f>
        <v>0</v>
      </c>
      <c r="E41" s="143">
        <f t="shared" si="6"/>
        <v>0</v>
      </c>
      <c r="F41" s="304"/>
      <c r="G41" s="304"/>
      <c r="H41" s="185" t="s">
        <v>80</v>
      </c>
      <c r="I41" s="142"/>
      <c r="J41" s="129">
        <f>J40/G4</f>
        <v>46.258500000000005</v>
      </c>
      <c r="K41" s="130" t="s">
        <v>74</v>
      </c>
    </row>
    <row r="42" spans="1:19" ht="17.399999999999999" customHeight="1">
      <c r="A42" s="786" t="s">
        <v>16</v>
      </c>
      <c r="B42" s="787"/>
      <c r="C42" s="164">
        <f>SUMIF($G$7:$G$31,"Instrument",$F$7:$F$31)</f>
        <v>0</v>
      </c>
      <c r="D42" s="118">
        <f>C42+'7'!D42</f>
        <v>0</v>
      </c>
      <c r="E42" s="143">
        <f t="shared" si="6"/>
        <v>0</v>
      </c>
      <c r="F42" s="183">
        <f>+(F38*480+F39*480+F40*480)/1440</f>
        <v>1148.4375</v>
      </c>
      <c r="G42" s="183">
        <f>+(G38*480+G39*480+G40*480)/1440</f>
        <v>941.71875</v>
      </c>
      <c r="H42" s="185" t="s">
        <v>81</v>
      </c>
      <c r="I42" s="241" t="s">
        <v>541</v>
      </c>
      <c r="J42" s="132"/>
      <c r="K42" s="130" t="s">
        <v>82</v>
      </c>
    </row>
    <row r="43" spans="1:19" ht="17.399999999999999" customHeight="1">
      <c r="A43" s="786" t="s">
        <v>83</v>
      </c>
      <c r="B43" s="787"/>
      <c r="C43" s="164">
        <f>SUMIF($G$7:$G$31,"Water",$F$7:$F$31)</f>
        <v>0</v>
      </c>
      <c r="D43" s="118">
        <f>C43+'7'!D43</f>
        <v>0</v>
      </c>
      <c r="E43" s="143">
        <f t="shared" si="6"/>
        <v>0</v>
      </c>
      <c r="F43" s="304"/>
      <c r="G43" s="305"/>
      <c r="H43" s="186" t="s">
        <v>84</v>
      </c>
      <c r="I43" s="118">
        <f>+Report1!Z16</f>
        <v>99.6</v>
      </c>
      <c r="J43" s="133">
        <f>+I43+'7'!J43</f>
        <v>754.42</v>
      </c>
      <c r="K43" s="130" t="s">
        <v>74</v>
      </c>
      <c r="L43" s="187"/>
    </row>
    <row r="44" spans="1:19" ht="17.399999999999999" customHeight="1">
      <c r="A44" s="786" t="s">
        <v>17</v>
      </c>
      <c r="B44" s="787"/>
      <c r="C44" s="164">
        <f>SUMIF($G$7:$G$31,"PLN",$F$7:$F$31)</f>
        <v>0</v>
      </c>
      <c r="D44" s="118">
        <f>C44+'7'!D44</f>
        <v>0</v>
      </c>
      <c r="E44" s="143">
        <f t="shared" si="6"/>
        <v>0</v>
      </c>
      <c r="F44" s="304"/>
      <c r="G44" s="305"/>
      <c r="H44" s="186" t="s">
        <v>85</v>
      </c>
      <c r="I44" s="118">
        <f>I43/I38</f>
        <v>1.9034514390551545</v>
      </c>
      <c r="J44" s="134">
        <f>J43/J38</f>
        <v>1.9907011599801567</v>
      </c>
      <c r="K44" s="130" t="s">
        <v>74</v>
      </c>
    </row>
    <row r="45" spans="1:19" ht="17.399999999999999" customHeight="1">
      <c r="A45" s="786" t="s">
        <v>18</v>
      </c>
      <c r="B45" s="787"/>
      <c r="C45" s="164">
        <f>SUMIF($G$7:$G$31,"Boiler",$F$7:$F$31)</f>
        <v>0</v>
      </c>
      <c r="D45" s="118">
        <f>C45+'7'!D45</f>
        <v>0</v>
      </c>
      <c r="E45" s="143">
        <f t="shared" si="6"/>
        <v>0</v>
      </c>
      <c r="F45" s="304"/>
      <c r="G45" s="307"/>
      <c r="H45" s="186" t="s">
        <v>86</v>
      </c>
      <c r="I45" s="118">
        <f>I43/I40</f>
        <v>2.1506305061323201</v>
      </c>
      <c r="J45" s="134">
        <f>J43/J40</f>
        <v>2.0385983116616404</v>
      </c>
      <c r="K45" s="130" t="s">
        <v>74</v>
      </c>
    </row>
    <row r="46" spans="1:19" ht="17.399999999999999" customHeight="1">
      <c r="A46" s="786" t="s">
        <v>87</v>
      </c>
      <c r="B46" s="787"/>
      <c r="C46" s="164">
        <f>SUMIF($G$7:$G$31,"Gas",$F$7:$F$31)</f>
        <v>0</v>
      </c>
      <c r="D46" s="118">
        <f>C46+'7'!D46</f>
        <v>0</v>
      </c>
      <c r="E46" s="143">
        <f t="shared" si="6"/>
        <v>0</v>
      </c>
      <c r="F46" s="304"/>
      <c r="G46" s="305"/>
      <c r="H46" s="186" t="s">
        <v>88</v>
      </c>
      <c r="I46" s="140">
        <f>+SUMIF(Listrik!X15,"&gt;0")</f>
        <v>37494.252447724903</v>
      </c>
      <c r="J46" s="135">
        <f>+I46+'7'!J46</f>
        <v>281400.71974160784</v>
      </c>
      <c r="K46" s="130" t="s">
        <v>89</v>
      </c>
    </row>
    <row r="47" spans="1:19" ht="17.399999999999999" customHeight="1">
      <c r="A47" s="786" t="s">
        <v>90</v>
      </c>
      <c r="B47" s="787"/>
      <c r="C47" s="164">
        <f>SUMIF($G$7:$G$31,"Gas",$F$7:$F$31)</f>
        <v>0</v>
      </c>
      <c r="D47" s="118">
        <f>C47+'7'!D47</f>
        <v>0</v>
      </c>
      <c r="E47" s="143">
        <f t="shared" si="6"/>
        <v>0</v>
      </c>
      <c r="F47" s="304"/>
      <c r="G47" s="305"/>
      <c r="H47" s="186" t="s">
        <v>91</v>
      </c>
      <c r="I47" s="118">
        <f>I46/I38</f>
        <v>716.55109214778327</v>
      </c>
      <c r="J47" s="135">
        <f>J46/J38</f>
        <v>742.53696774856155</v>
      </c>
      <c r="K47" s="130" t="s">
        <v>24</v>
      </c>
    </row>
    <row r="48" spans="1:19" ht="17.399999999999999" customHeight="1">
      <c r="A48" s="786" t="s">
        <v>14</v>
      </c>
      <c r="B48" s="787"/>
      <c r="C48" s="164">
        <f>SUMIF($G$7:$G$31,"Start Up",$F$7:$F$31)</f>
        <v>0</v>
      </c>
      <c r="D48" s="118">
        <f>C48+'7'!D48</f>
        <v>0</v>
      </c>
      <c r="E48" s="143">
        <f t="shared" si="6"/>
        <v>0</v>
      </c>
      <c r="F48" s="304"/>
      <c r="G48" s="305"/>
      <c r="H48" s="186" t="s">
        <v>92</v>
      </c>
      <c r="I48" s="118">
        <f>I46/I40</f>
        <v>809.60123613156213</v>
      </c>
      <c r="J48" s="135">
        <f>J46/J40</f>
        <v>760.40273609608994</v>
      </c>
      <c r="K48" s="130" t="s">
        <v>24</v>
      </c>
    </row>
    <row r="49" spans="1:11" ht="17.399999999999999" customHeight="1">
      <c r="A49" s="786" t="s">
        <v>20</v>
      </c>
      <c r="B49" s="787"/>
      <c r="C49" s="164">
        <f>SUMIF($G$7:$G$31,"Others",$F$7:$F$31)</f>
        <v>0</v>
      </c>
      <c r="D49" s="118">
        <f>C49+'7'!D49</f>
        <v>1072</v>
      </c>
      <c r="E49" s="143">
        <f t="shared" si="6"/>
        <v>17.866666666666667</v>
      </c>
      <c r="F49" s="183"/>
      <c r="H49" s="186" t="s">
        <v>268</v>
      </c>
      <c r="I49" s="118">
        <f>+Report1!T16</f>
        <v>3559.8694463178026</v>
      </c>
      <c r="J49" s="135">
        <f>+I49+'7'!J49</f>
        <v>28402.273535917357</v>
      </c>
      <c r="K49" s="130" t="s">
        <v>93</v>
      </c>
    </row>
    <row r="50" spans="1:11" ht="17.399999999999999" customHeight="1">
      <c r="A50" s="786" t="s">
        <v>19</v>
      </c>
      <c r="B50" s="787"/>
      <c r="C50" s="164">
        <f>SUMIF($G$7:$G$31,"Steam",$F$7:$F$31)</f>
        <v>0</v>
      </c>
      <c r="D50" s="118">
        <f>C50+'7'!D50</f>
        <v>0</v>
      </c>
      <c r="E50" s="143">
        <f t="shared" si="6"/>
        <v>0</v>
      </c>
      <c r="F50" s="183"/>
      <c r="H50" s="186" t="s">
        <v>94</v>
      </c>
      <c r="I50" s="140">
        <f>I49/I38</f>
        <v>68.03251626949897</v>
      </c>
      <c r="J50" s="133">
        <f>J49/J38</f>
        <v>74.945572590896845</v>
      </c>
      <c r="K50" s="130" t="s">
        <v>93</v>
      </c>
    </row>
    <row r="51" spans="1:11" ht="17.399999999999999" customHeight="1">
      <c r="A51" s="803" t="s">
        <v>95</v>
      </c>
      <c r="B51" s="803"/>
      <c r="C51" s="164">
        <f>SUMIF($G$7:$G$31,"Planned shut",$F$7:$F$31)</f>
        <v>0</v>
      </c>
      <c r="D51" s="118">
        <f>C51+'7'!D51</f>
        <v>0</v>
      </c>
      <c r="E51" s="143">
        <f t="shared" si="6"/>
        <v>0</v>
      </c>
      <c r="F51" s="183"/>
      <c r="H51" s="188" t="s">
        <v>96</v>
      </c>
      <c r="I51" s="141">
        <f>I49/I40</f>
        <v>76.867106717865838</v>
      </c>
      <c r="J51" s="136">
        <f>J49/J40</f>
        <v>76.748796264246991</v>
      </c>
      <c r="K51" s="137" t="s">
        <v>93</v>
      </c>
    </row>
    <row r="52" spans="1:11" ht="13.8" thickBot="1">
      <c r="A52" s="804" t="s">
        <v>218</v>
      </c>
      <c r="B52" s="805"/>
      <c r="C52" s="164">
        <f>SUMIF($G$7:$G$31,"Change Grade",$F$7:$F$31)</f>
        <v>0</v>
      </c>
      <c r="D52" s="118">
        <f>C52+'7'!D52</f>
        <v>0</v>
      </c>
      <c r="E52" s="143">
        <f t="shared" si="6"/>
        <v>0</v>
      </c>
      <c r="F52" s="183"/>
      <c r="H52" s="189"/>
      <c r="I52" s="190"/>
      <c r="J52" s="138"/>
      <c r="K52" s="139"/>
    </row>
    <row r="53" spans="1:11">
      <c r="A53" s="799" t="s">
        <v>28</v>
      </c>
      <c r="B53" s="800"/>
      <c r="C53" s="144">
        <f>SUM(C38:C52)</f>
        <v>24</v>
      </c>
      <c r="D53" s="144">
        <f>SUM(D38:D52)</f>
        <v>1291</v>
      </c>
      <c r="E53" s="145">
        <f>SUM(E38:E52)</f>
        <v>21.516666666666666</v>
      </c>
      <c r="F53" s="183"/>
    </row>
    <row r="54" spans="1:11" ht="13.8" thickBot="1">
      <c r="A54" s="801"/>
      <c r="B54" s="802"/>
      <c r="C54" s="146">
        <f>C53/(24*60)</f>
        <v>1.6666666666666666E-2</v>
      </c>
      <c r="D54" s="146">
        <f>D53/(24*60*G4)</f>
        <v>0.11206597222222223</v>
      </c>
      <c r="E54" s="147">
        <f>E53/(G4*24)</f>
        <v>0.11206597222222221</v>
      </c>
      <c r="F54" s="183"/>
    </row>
    <row r="55" spans="1:11">
      <c r="E55" s="191"/>
    </row>
    <row r="56" spans="1:11">
      <c r="A56" s="192" t="s">
        <v>97</v>
      </c>
      <c r="B56" s="193"/>
      <c r="C56" s="194"/>
      <c r="D56" s="194"/>
      <c r="E56" s="194"/>
      <c r="F56" s="195"/>
      <c r="G56" s="194"/>
      <c r="H56" s="196"/>
      <c r="I56" s="197" t="s">
        <v>98</v>
      </c>
      <c r="J56" s="198">
        <f>+D34+'7'!J56</f>
        <v>0</v>
      </c>
      <c r="K56" s="199">
        <f>J56/(J40+J56/1000)/1000</f>
        <v>0</v>
      </c>
    </row>
    <row r="57" spans="1:11">
      <c r="A57" s="174"/>
      <c r="I57" s="197" t="s">
        <v>99</v>
      </c>
      <c r="J57" s="198">
        <f>+E34+'7'!J57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34:B34"/>
    <mergeCell ref="A38:B38"/>
    <mergeCell ref="A39:B39"/>
    <mergeCell ref="A7:A14"/>
    <mergeCell ref="A53:B53"/>
    <mergeCell ref="A37:B37"/>
    <mergeCell ref="A48:B48"/>
    <mergeCell ref="A50:B50"/>
    <mergeCell ref="A49:B49"/>
    <mergeCell ref="A52:B52"/>
    <mergeCell ref="A51:B51"/>
    <mergeCell ref="A46:B46"/>
    <mergeCell ref="A47:B47"/>
    <mergeCell ref="A42:B42"/>
    <mergeCell ref="A43:B43"/>
    <mergeCell ref="A45:B45"/>
    <mergeCell ref="A40:B40"/>
    <mergeCell ref="A41:B41"/>
    <mergeCell ref="A44:B44"/>
    <mergeCell ref="I7:I13"/>
    <mergeCell ref="A15:A23"/>
    <mergeCell ref="I15:I22"/>
    <mergeCell ref="A24:A32"/>
    <mergeCell ref="I24:I31"/>
  </mergeCells>
  <phoneticPr fontId="31" type="noConversion"/>
  <printOptions horizontalCentered="1"/>
  <pageMargins left="0.17" right="0.16" top="0.17" bottom="0.16" header="0" footer="0"/>
  <pageSetup paperSize="9" scale="57" firstPageNumber="4294963191" fitToWidth="8"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D61"/>
  <sheetViews>
    <sheetView view="pageBreakPreview" topLeftCell="J1" zoomScale="80" zoomScaleNormal="75" zoomScaleSheetLayoutView="80" workbookViewId="0">
      <selection activeCell="S12" sqref="S12"/>
    </sheetView>
  </sheetViews>
  <sheetFormatPr defaultColWidth="9.109375" defaultRowHeight="13.2"/>
  <cols>
    <col min="1" max="1" width="8" style="149" customWidth="1"/>
    <col min="2" max="2" width="7" style="149" bestFit="1" customWidth="1"/>
    <col min="3" max="3" width="14.88671875" style="149" bestFit="1" customWidth="1"/>
    <col min="4" max="4" width="12.664062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3.33203125" style="149" bestFit="1" customWidth="1"/>
    <col min="12" max="12" width="12" style="149" bestFit="1" customWidth="1"/>
    <col min="13" max="13" width="14.6640625" style="149" customWidth="1"/>
    <col min="14" max="16384" width="9.109375" style="149"/>
  </cols>
  <sheetData>
    <row r="1" spans="1:30" ht="15.6">
      <c r="A1" s="148"/>
      <c r="W1" s="514"/>
    </row>
    <row r="2" spans="1:30" ht="15.6">
      <c r="A2" s="148" t="s">
        <v>219</v>
      </c>
      <c r="W2" s="532"/>
    </row>
    <row r="3" spans="1:30" ht="15">
      <c r="A3" s="150"/>
      <c r="W3" s="532"/>
    </row>
    <row r="4" spans="1:30" ht="21">
      <c r="A4" s="151" t="s">
        <v>4</v>
      </c>
      <c r="B4" s="152"/>
      <c r="F4" s="153" t="s">
        <v>29</v>
      </c>
      <c r="G4" s="154">
        <v>7</v>
      </c>
      <c r="H4" s="154" t="str">
        <f>+'1'!H4</f>
        <v>.03.26</v>
      </c>
      <c r="J4" s="149">
        <f>428+441+452</f>
        <v>1321</v>
      </c>
      <c r="Z4" s="174"/>
    </row>
    <row r="5" spans="1:30" ht="13.8" thickBot="1">
      <c r="C5" s="155"/>
      <c r="D5" s="155"/>
      <c r="AA5" s="174"/>
      <c r="AB5" s="174"/>
    </row>
    <row r="6" spans="1:30"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410</v>
      </c>
      <c r="O6" s="149">
        <v>1000</v>
      </c>
      <c r="P6" s="149">
        <f>+O6-(O6*0.18)</f>
        <v>820</v>
      </c>
      <c r="Q6" s="149">
        <f>36-34</f>
        <v>2</v>
      </c>
      <c r="R6" s="149">
        <f t="shared" ref="R6:R9" si="0">+O6*Q6</f>
        <v>2000</v>
      </c>
      <c r="S6" s="149">
        <f t="shared" ref="S6:S9" si="1">+P6*Q6</f>
        <v>1640</v>
      </c>
      <c r="U6" s="179" t="s">
        <v>103</v>
      </c>
      <c r="V6" s="569" t="s">
        <v>481</v>
      </c>
      <c r="W6" s="569" t="s">
        <v>482</v>
      </c>
      <c r="X6" s="569" t="s">
        <v>483</v>
      </c>
      <c r="Y6" s="569" t="s">
        <v>484</v>
      </c>
      <c r="Z6" s="570" t="s">
        <v>485</v>
      </c>
      <c r="AA6" s="569" t="s">
        <v>486</v>
      </c>
      <c r="AB6" s="571" t="s">
        <v>487</v>
      </c>
      <c r="AC6" s="569" t="s">
        <v>488</v>
      </c>
      <c r="AD6" s="569" t="s">
        <v>489</v>
      </c>
    </row>
    <row r="7" spans="1:30" ht="13.5" customHeight="1" thickBot="1">
      <c r="A7" s="788" t="s">
        <v>429</v>
      </c>
      <c r="B7" s="213" t="s">
        <v>430</v>
      </c>
      <c r="C7" s="214">
        <v>6013</v>
      </c>
      <c r="D7" s="215"/>
      <c r="E7" s="216"/>
      <c r="F7" s="224"/>
      <c r="G7" s="225" t="s">
        <v>12</v>
      </c>
      <c r="H7" s="226" t="s">
        <v>417</v>
      </c>
      <c r="I7" s="791" t="s">
        <v>537</v>
      </c>
      <c r="J7" s="212" t="str">
        <f>+'6'!J7</f>
        <v>T 15 RC HW</v>
      </c>
      <c r="K7" s="233">
        <f>+C34</f>
        <v>38324</v>
      </c>
      <c r="L7" s="237"/>
      <c r="M7" s="117">
        <f>+K7+'6'!M7+L7</f>
        <v>226859</v>
      </c>
      <c r="O7" s="149">
        <v>1150</v>
      </c>
      <c r="P7" s="149">
        <f t="shared" ref="P7:P9" si="2">+O7-(O7*0.18)</f>
        <v>943</v>
      </c>
      <c r="Q7" s="149">
        <f>44-36</f>
        <v>8</v>
      </c>
      <c r="R7" s="149">
        <f t="shared" si="0"/>
        <v>9200</v>
      </c>
      <c r="S7" s="149">
        <f t="shared" si="1"/>
        <v>7544</v>
      </c>
      <c r="U7" s="572">
        <v>15</v>
      </c>
      <c r="V7" s="197">
        <v>1148.0674846625766</v>
      </c>
      <c r="W7" s="197">
        <v>1150</v>
      </c>
      <c r="X7" s="149">
        <v>941.41533742331296</v>
      </c>
      <c r="Y7" s="573">
        <f>1-(X7/V7)</f>
        <v>0.17999999999999983</v>
      </c>
      <c r="Z7" s="574">
        <v>6</v>
      </c>
      <c r="AA7" s="575">
        <v>256.5</v>
      </c>
      <c r="AB7" s="576">
        <f>(V7*(1-Y7)*U7*AA7*Z7)/100000000</f>
        <v>0.21732573064417177</v>
      </c>
      <c r="AC7" s="577">
        <f>+J14/1000</f>
        <v>0</v>
      </c>
      <c r="AD7" s="578">
        <f>SUM(AC7:AC9)/SUM(AB7:AB9)</f>
        <v>0</v>
      </c>
    </row>
    <row r="8" spans="1:30" ht="13.8" thickBot="1">
      <c r="A8" s="789"/>
      <c r="B8" s="213"/>
      <c r="C8" s="214"/>
      <c r="D8" s="215"/>
      <c r="E8" s="217"/>
      <c r="F8" s="227"/>
      <c r="G8" s="555" t="s">
        <v>12</v>
      </c>
      <c r="H8" s="226" t="s">
        <v>419</v>
      </c>
      <c r="I8" s="792"/>
      <c r="J8" s="212" t="str">
        <f>+'6'!J8</f>
        <v>T 14,5 RC HW</v>
      </c>
      <c r="K8" s="234"/>
      <c r="L8" s="234"/>
      <c r="M8" s="117">
        <f>+K8+'6'!M8+L8</f>
        <v>96897</v>
      </c>
      <c r="O8" s="149">
        <v>1140</v>
      </c>
      <c r="P8" s="149">
        <f t="shared" si="2"/>
        <v>934.8</v>
      </c>
      <c r="Q8" s="149">
        <f>60-44+17</f>
        <v>33</v>
      </c>
      <c r="R8" s="149">
        <f t="shared" si="0"/>
        <v>37620</v>
      </c>
      <c r="S8" s="149">
        <f t="shared" si="1"/>
        <v>30848.399999999998</v>
      </c>
      <c r="U8" s="572"/>
      <c r="V8" s="197"/>
      <c r="W8" s="197"/>
      <c r="X8" s="197"/>
      <c r="Y8" s="573"/>
      <c r="Z8" s="579"/>
      <c r="AA8" s="575"/>
      <c r="AB8" s="576"/>
      <c r="AC8" s="577"/>
      <c r="AD8" s="580"/>
    </row>
    <row r="9" spans="1:30" ht="13.8" thickBot="1">
      <c r="A9" s="789"/>
      <c r="B9" s="213"/>
      <c r="C9" s="214"/>
      <c r="D9" s="215"/>
      <c r="E9" s="218"/>
      <c r="F9" s="224">
        <v>6</v>
      </c>
      <c r="G9" s="555" t="s">
        <v>12</v>
      </c>
      <c r="H9" s="229" t="s">
        <v>539</v>
      </c>
      <c r="I9" s="792"/>
      <c r="J9" s="212">
        <f>+'6'!J9</f>
        <v>0</v>
      </c>
      <c r="K9" s="234"/>
      <c r="L9" s="234"/>
      <c r="M9" s="117">
        <f>+K9+'6'!M9+L9</f>
        <v>0</v>
      </c>
      <c r="O9" s="149">
        <v>1150</v>
      </c>
      <c r="P9" s="149">
        <f t="shared" si="2"/>
        <v>943</v>
      </c>
      <c r="Q9" s="149">
        <f>60-17+240</f>
        <v>283</v>
      </c>
      <c r="R9" s="149">
        <f t="shared" si="0"/>
        <v>325450</v>
      </c>
      <c r="S9" s="149">
        <f t="shared" si="1"/>
        <v>266869</v>
      </c>
      <c r="AB9" s="149">
        <f>2230/1000</f>
        <v>2.23</v>
      </c>
    </row>
    <row r="10" spans="1:30" ht="53.4" thickBot="1">
      <c r="A10" s="789"/>
      <c r="B10" s="213"/>
      <c r="C10" s="214"/>
      <c r="D10" s="215"/>
      <c r="E10" s="217"/>
      <c r="F10" s="224"/>
      <c r="G10" s="232" t="s">
        <v>13</v>
      </c>
      <c r="H10" s="229" t="s">
        <v>534</v>
      </c>
      <c r="I10" s="792"/>
      <c r="J10" s="212">
        <f>+'6'!J10</f>
        <v>0</v>
      </c>
      <c r="K10" s="234"/>
      <c r="L10" s="234"/>
      <c r="M10" s="117">
        <f>+K10+'6'!M10+L10</f>
        <v>0</v>
      </c>
    </row>
    <row r="11" spans="1:30" ht="13.8" thickBot="1">
      <c r="A11" s="789"/>
      <c r="B11" s="213"/>
      <c r="C11" s="214"/>
      <c r="D11" s="215"/>
      <c r="E11" s="217"/>
      <c r="F11" s="224">
        <v>154</v>
      </c>
      <c r="G11" s="228" t="s">
        <v>20</v>
      </c>
      <c r="H11" s="229" t="s">
        <v>542</v>
      </c>
      <c r="I11" s="792"/>
      <c r="J11" s="212">
        <f>+'6'!J11</f>
        <v>0</v>
      </c>
      <c r="K11" s="234"/>
      <c r="L11" s="234"/>
      <c r="M11" s="117">
        <f>+K11+'6'!M11+L11</f>
        <v>0</v>
      </c>
    </row>
    <row r="12" spans="1:30" ht="120" customHeight="1" thickBot="1">
      <c r="A12" s="789"/>
      <c r="B12" s="213"/>
      <c r="C12" s="214"/>
      <c r="D12" s="215"/>
      <c r="E12" s="217" t="s">
        <v>471</v>
      </c>
      <c r="F12" s="224">
        <v>6</v>
      </c>
      <c r="G12" s="228" t="s">
        <v>20</v>
      </c>
      <c r="H12" s="229" t="s">
        <v>535</v>
      </c>
      <c r="I12" s="792"/>
      <c r="J12" s="212">
        <f>+'6'!J12</f>
        <v>0</v>
      </c>
      <c r="K12" s="234"/>
      <c r="L12" s="234"/>
      <c r="M12" s="117">
        <f>+K12+'6'!M12+L12</f>
        <v>0</v>
      </c>
    </row>
    <row r="13" spans="1:30" ht="13.8" thickBot="1">
      <c r="A13" s="789"/>
      <c r="B13" s="213"/>
      <c r="C13" s="214"/>
      <c r="D13" s="214"/>
      <c r="E13" s="217"/>
      <c r="F13" s="224"/>
      <c r="G13" s="228"/>
      <c r="H13" s="229"/>
      <c r="I13" s="793"/>
      <c r="J13" s="212">
        <f>+'6'!J13</f>
        <v>0</v>
      </c>
      <c r="K13" s="234"/>
      <c r="L13" s="234"/>
      <c r="M13" s="117">
        <f>+K13+'6'!M13+L13</f>
        <v>0</v>
      </c>
      <c r="Q13" s="174">
        <f>SUM(Q6:Q12)</f>
        <v>326</v>
      </c>
      <c r="R13" s="174">
        <f>SUM(R6:R12)</f>
        <v>374270</v>
      </c>
      <c r="S13" s="174">
        <f>SUM(S6:S12)</f>
        <v>306901.40000000002</v>
      </c>
    </row>
    <row r="14" spans="1:30" ht="13.8" thickBot="1">
      <c r="A14" s="790"/>
      <c r="B14" s="165" t="s">
        <v>3</v>
      </c>
      <c r="C14" s="99">
        <f>SUM(C7:C13)</f>
        <v>6013</v>
      </c>
      <c r="D14" s="111">
        <f>SUM(D7:D13)</f>
        <v>0</v>
      </c>
      <c r="E14" s="112">
        <f>SUM(E5:E13)</f>
        <v>0</v>
      </c>
      <c r="F14" s="116">
        <f>SUM(F7:F13)</f>
        <v>166</v>
      </c>
      <c r="G14" s="159"/>
      <c r="H14" s="166"/>
      <c r="I14" s="167"/>
      <c r="J14" s="212">
        <f>+'6'!J14</f>
        <v>0</v>
      </c>
      <c r="K14" s="234"/>
      <c r="L14" s="234"/>
      <c r="M14" s="117">
        <f>+K14+'6'!M14+L14</f>
        <v>0</v>
      </c>
      <c r="Q14" s="149">
        <f>480-Q13</f>
        <v>154</v>
      </c>
      <c r="R14" s="174">
        <f>+R13/Q13</f>
        <v>1148.0674846625766</v>
      </c>
      <c r="S14" s="174">
        <f>+S13/Q13</f>
        <v>941.41533742331296</v>
      </c>
    </row>
    <row r="15" spans="1:30" ht="13.5" customHeight="1" thickBot="1">
      <c r="A15" s="794" t="s">
        <v>499</v>
      </c>
      <c r="B15" s="513"/>
      <c r="C15" s="113">
        <f>C14/($C$23+$D$23+$E$23)</f>
        <v>0.34533654950608778</v>
      </c>
      <c r="D15" s="114">
        <f>D14/($C$23+$D$23+$E$23)</f>
        <v>0</v>
      </c>
      <c r="E15" s="115">
        <f>E14/($C$23+$D$23+$E$23)</f>
        <v>0</v>
      </c>
      <c r="F15" s="224"/>
      <c r="G15" s="225" t="s">
        <v>12</v>
      </c>
      <c r="H15" s="226" t="s">
        <v>417</v>
      </c>
      <c r="I15" s="791" t="s">
        <v>536</v>
      </c>
      <c r="J15" s="212">
        <f>+'6'!J15</f>
        <v>0</v>
      </c>
      <c r="K15" s="234"/>
      <c r="L15" s="234"/>
      <c r="M15" s="117">
        <f>+K15+'6'!M15+L15</f>
        <v>0</v>
      </c>
    </row>
    <row r="16" spans="1:30" ht="13.8" thickBot="1">
      <c r="A16" s="789"/>
      <c r="B16" s="213" t="s">
        <v>430</v>
      </c>
      <c r="C16" s="511">
        <v>17412</v>
      </c>
      <c r="D16" s="219"/>
      <c r="E16" s="220"/>
      <c r="F16" s="227"/>
      <c r="G16" s="555" t="s">
        <v>12</v>
      </c>
      <c r="H16" s="226" t="s">
        <v>419</v>
      </c>
      <c r="I16" s="792"/>
      <c r="J16" s="212">
        <f>+'6'!J16</f>
        <v>0</v>
      </c>
      <c r="K16" s="225"/>
      <c r="L16" s="225"/>
      <c r="M16" s="117">
        <f>+K16+'6'!M16+L16</f>
        <v>0</v>
      </c>
      <c r="N16" s="149" t="s">
        <v>410</v>
      </c>
      <c r="O16" s="149">
        <v>1150</v>
      </c>
      <c r="P16" s="149">
        <f>+O16-(O16*0.18)</f>
        <v>943</v>
      </c>
      <c r="Q16" s="149">
        <v>480</v>
      </c>
      <c r="R16" s="149">
        <f t="shared" ref="R16" si="3">+O16*Q16</f>
        <v>552000</v>
      </c>
      <c r="S16" s="149">
        <f t="shared" ref="S16" si="4">+P16*Q16</f>
        <v>452640</v>
      </c>
    </row>
    <row r="17" spans="1:19" ht="13.8" thickBot="1">
      <c r="A17" s="789"/>
      <c r="B17" s="213"/>
      <c r="C17" s="214"/>
      <c r="D17" s="215"/>
      <c r="E17" s="221"/>
      <c r="F17" s="224">
        <v>6</v>
      </c>
      <c r="G17" s="555" t="s">
        <v>12</v>
      </c>
      <c r="H17" s="229" t="s">
        <v>415</v>
      </c>
      <c r="I17" s="792"/>
      <c r="J17" s="212">
        <f>+'6'!J17</f>
        <v>0</v>
      </c>
      <c r="K17" s="225"/>
      <c r="L17" s="225"/>
      <c r="M17" s="117">
        <f>+K17+'6'!M17+L17</f>
        <v>0</v>
      </c>
    </row>
    <row r="18" spans="1:19" ht="53.4" thickBot="1">
      <c r="A18" s="789"/>
      <c r="B18" s="213"/>
      <c r="C18" s="214"/>
      <c r="D18" s="215"/>
      <c r="E18" s="221"/>
      <c r="F18" s="224"/>
      <c r="G18" s="232" t="s">
        <v>13</v>
      </c>
      <c r="H18" s="229" t="s">
        <v>529</v>
      </c>
      <c r="I18" s="792"/>
      <c r="J18" s="212">
        <f>+'6'!J18</f>
        <v>0</v>
      </c>
      <c r="K18" s="234"/>
      <c r="L18" s="234"/>
      <c r="M18" s="117">
        <f>+K18+'6'!M18+L18</f>
        <v>0</v>
      </c>
    </row>
    <row r="19" spans="1:19" ht="13.8" thickBot="1">
      <c r="A19" s="789"/>
      <c r="B19" s="213"/>
      <c r="C19" s="214"/>
      <c r="D19" s="215"/>
      <c r="E19" s="221"/>
      <c r="F19" s="230"/>
      <c r="G19" s="228"/>
      <c r="H19" s="229"/>
      <c r="I19" s="792"/>
      <c r="J19" s="212">
        <f>+'6'!J19</f>
        <v>0</v>
      </c>
      <c r="K19" s="234"/>
      <c r="L19" s="234"/>
      <c r="M19" s="117">
        <f>+K19+'6'!M19+L19</f>
        <v>0</v>
      </c>
    </row>
    <row r="20" spans="1:19" ht="13.8" thickBot="1">
      <c r="A20" s="789"/>
      <c r="B20" s="213"/>
      <c r="C20" s="214"/>
      <c r="D20" s="215"/>
      <c r="E20" s="221"/>
      <c r="F20" s="224"/>
      <c r="G20" s="228"/>
      <c r="H20" s="229"/>
      <c r="I20" s="792"/>
      <c r="J20" s="212">
        <f>+'6'!J20</f>
        <v>0</v>
      </c>
      <c r="K20" s="235"/>
      <c r="L20" s="235"/>
      <c r="M20" s="117">
        <f>+K20+'6'!M20+L20</f>
        <v>0</v>
      </c>
    </row>
    <row r="21" spans="1:19" ht="13.8" thickBot="1">
      <c r="A21" s="789"/>
      <c r="B21" s="213"/>
      <c r="C21" s="214"/>
      <c r="D21" s="215"/>
      <c r="E21" s="221"/>
      <c r="F21" s="227"/>
      <c r="G21" s="228"/>
      <c r="H21" s="229"/>
      <c r="I21" s="792"/>
      <c r="J21" s="212">
        <f>+'6'!J21</f>
        <v>0</v>
      </c>
      <c r="K21" s="234"/>
      <c r="L21" s="234"/>
      <c r="M21" s="117">
        <f>+K21+'6'!M21+L21</f>
        <v>0</v>
      </c>
    </row>
    <row r="22" spans="1:19" ht="13.8" thickBot="1">
      <c r="A22" s="789"/>
      <c r="B22" s="213"/>
      <c r="C22" s="214"/>
      <c r="D22" s="215"/>
      <c r="E22" s="221"/>
      <c r="F22" s="231"/>
      <c r="G22" s="228"/>
      <c r="H22" s="229"/>
      <c r="I22" s="793"/>
      <c r="J22" s="212">
        <f>+'6'!J22</f>
        <v>0</v>
      </c>
      <c r="K22" s="234"/>
      <c r="L22" s="234"/>
      <c r="M22" s="117">
        <f>+K22+'6'!M22+L22</f>
        <v>0</v>
      </c>
    </row>
    <row r="23" spans="1:19" ht="13.8" thickBot="1">
      <c r="A23" s="790"/>
      <c r="B23" s="165" t="s">
        <v>3</v>
      </c>
      <c r="C23" s="99">
        <f>SUM(C16:C22)</f>
        <v>17412</v>
      </c>
      <c r="D23" s="111">
        <f>SUM(D16:D22)</f>
        <v>0</v>
      </c>
      <c r="E23" s="112">
        <f>SUM(E18:E22)</f>
        <v>0</v>
      </c>
      <c r="F23" s="116">
        <f>SUM(F15:F22)</f>
        <v>6</v>
      </c>
      <c r="G23" s="159"/>
      <c r="H23" s="166"/>
      <c r="I23" s="168"/>
      <c r="J23" s="212">
        <f>+'6'!J23</f>
        <v>0</v>
      </c>
      <c r="K23" s="234"/>
      <c r="L23" s="234"/>
      <c r="M23" s="117">
        <f>+K23+'6'!M23+L23</f>
        <v>0</v>
      </c>
      <c r="Q23" s="174">
        <f>SUM(Q16:Q22)</f>
        <v>480</v>
      </c>
      <c r="R23" s="174">
        <f>SUM(R16:R22)</f>
        <v>552000</v>
      </c>
      <c r="S23" s="174">
        <f>SUM(S16:S22)</f>
        <v>452640</v>
      </c>
    </row>
    <row r="24" spans="1:19" ht="13.5" customHeight="1" thickBot="1">
      <c r="A24" s="794" t="s">
        <v>458</v>
      </c>
      <c r="B24" s="513"/>
      <c r="C24" s="113">
        <f>C23/($C$23+$D$23+$E$23)</f>
        <v>1</v>
      </c>
      <c r="D24" s="114">
        <f>D23/($C$23+$D$23+$E$23)</f>
        <v>0</v>
      </c>
      <c r="E24" s="115">
        <f>E23/($C$23+$D$23+$E$23)</f>
        <v>0</v>
      </c>
      <c r="F24" s="231"/>
      <c r="G24" s="553" t="s">
        <v>12</v>
      </c>
      <c r="H24" s="554" t="s">
        <v>417</v>
      </c>
      <c r="I24" s="791" t="s">
        <v>536</v>
      </c>
      <c r="J24" s="212">
        <f>+'6'!J24</f>
        <v>0</v>
      </c>
      <c r="K24" s="234"/>
      <c r="L24" s="234"/>
      <c r="M24" s="117">
        <f>+K24+'6'!M24+L24</f>
        <v>0</v>
      </c>
      <c r="Q24" s="149">
        <f>480-Q23</f>
        <v>0</v>
      </c>
      <c r="R24" s="174">
        <f>+R23/Q23</f>
        <v>1150</v>
      </c>
      <c r="S24" s="174">
        <f>+S23/Q23</f>
        <v>943</v>
      </c>
    </row>
    <row r="25" spans="1:19" ht="13.8" thickBot="1">
      <c r="A25" s="789"/>
      <c r="B25" s="213" t="s">
        <v>430</v>
      </c>
      <c r="C25" s="222">
        <v>14899</v>
      </c>
      <c r="D25" s="215"/>
      <c r="E25" s="221"/>
      <c r="F25" s="227"/>
      <c r="G25" s="555" t="s">
        <v>12</v>
      </c>
      <c r="H25" s="226" t="s">
        <v>419</v>
      </c>
      <c r="I25" s="792"/>
      <c r="J25" s="212">
        <f>+'6'!J25</f>
        <v>0</v>
      </c>
      <c r="K25" s="234"/>
      <c r="L25" s="234"/>
      <c r="M25" s="117">
        <f>+K25+'6'!M25+L25</f>
        <v>0</v>
      </c>
      <c r="N25" s="514"/>
      <c r="O25" s="174"/>
      <c r="P25" s="174"/>
      <c r="Q25" s="174"/>
    </row>
    <row r="26" spans="1:19" ht="13.8" thickBot="1">
      <c r="A26" s="789"/>
      <c r="B26" s="213"/>
      <c r="C26" s="222"/>
      <c r="D26" s="215"/>
      <c r="E26" s="223"/>
      <c r="F26" s="227">
        <v>5</v>
      </c>
      <c r="G26" s="555" t="s">
        <v>12</v>
      </c>
      <c r="H26" s="229" t="s">
        <v>418</v>
      </c>
      <c r="I26" s="792"/>
      <c r="J26" s="212">
        <f>+'6'!J26</f>
        <v>0</v>
      </c>
      <c r="K26" s="234"/>
      <c r="L26" s="234"/>
      <c r="M26" s="117">
        <f>+K26+'6'!M26+L26</f>
        <v>0</v>
      </c>
      <c r="N26" s="149" t="s">
        <v>410</v>
      </c>
      <c r="O26" s="149">
        <v>1150</v>
      </c>
      <c r="P26" s="149">
        <f>+O26-(O26*0.18)</f>
        <v>943</v>
      </c>
      <c r="Q26" s="149">
        <v>480</v>
      </c>
      <c r="R26" s="149">
        <f t="shared" ref="R26" si="5">+O26*Q26</f>
        <v>552000</v>
      </c>
      <c r="S26" s="149">
        <f t="shared" ref="S26" si="6">+P26*Q26</f>
        <v>452640</v>
      </c>
    </row>
    <row r="27" spans="1:19" ht="66.599999999999994" thickBot="1">
      <c r="A27" s="789"/>
      <c r="B27" s="213"/>
      <c r="C27" s="214"/>
      <c r="D27" s="215"/>
      <c r="E27" s="221"/>
      <c r="F27" s="227"/>
      <c r="G27" s="225"/>
      <c r="H27" s="556" t="s">
        <v>527</v>
      </c>
      <c r="I27" s="792"/>
      <c r="J27" s="212">
        <f>+'6'!J27</f>
        <v>0</v>
      </c>
      <c r="K27" s="234"/>
      <c r="L27" s="234"/>
      <c r="M27" s="117">
        <f>+K27+'6'!M27+L27</f>
        <v>0</v>
      </c>
    </row>
    <row r="28" spans="1:19" ht="13.8" thickBot="1">
      <c r="A28" s="789"/>
      <c r="B28" s="213"/>
      <c r="C28" s="214"/>
      <c r="D28" s="215"/>
      <c r="E28" s="221"/>
      <c r="F28" s="227"/>
      <c r="G28" s="225"/>
      <c r="H28" s="229" t="s">
        <v>533</v>
      </c>
      <c r="I28" s="792"/>
      <c r="J28" s="212">
        <f>+'6'!J28</f>
        <v>0</v>
      </c>
      <c r="K28" s="234"/>
      <c r="L28" s="234"/>
      <c r="M28" s="117">
        <f>+K28+'6'!M28+L28</f>
        <v>0</v>
      </c>
    </row>
    <row r="29" spans="1:19" ht="13.8" thickBot="1">
      <c r="A29" s="789"/>
      <c r="B29" s="213"/>
      <c r="C29" s="214"/>
      <c r="D29" s="215"/>
      <c r="E29" s="221"/>
      <c r="F29" s="231"/>
      <c r="G29" s="228"/>
      <c r="H29" s="229"/>
      <c r="I29" s="792"/>
      <c r="J29" s="212">
        <f>+'6'!J29</f>
        <v>0</v>
      </c>
      <c r="K29" s="234"/>
      <c r="L29" s="234"/>
      <c r="M29" s="117">
        <f>+K29+'6'!M29+L29</f>
        <v>0</v>
      </c>
    </row>
    <row r="30" spans="1:19" ht="13.8" thickBot="1">
      <c r="A30" s="789"/>
      <c r="B30" s="213"/>
      <c r="C30" s="222"/>
      <c r="D30" s="215"/>
      <c r="E30" s="221"/>
      <c r="F30" s="231"/>
      <c r="G30" s="228"/>
      <c r="H30" s="229"/>
      <c r="I30" s="792"/>
      <c r="J30" s="212">
        <f>+'6'!J30</f>
        <v>0</v>
      </c>
      <c r="K30" s="234"/>
      <c r="L30" s="234"/>
      <c r="M30" s="117">
        <f>+K30+'6'!M30+L30</f>
        <v>0</v>
      </c>
    </row>
    <row r="31" spans="1:19" ht="13.8" thickBot="1">
      <c r="A31" s="789"/>
      <c r="B31" s="213"/>
      <c r="C31" s="222"/>
      <c r="D31" s="215"/>
      <c r="E31" s="221"/>
      <c r="F31" s="231"/>
      <c r="G31" s="232"/>
      <c r="H31" s="404"/>
      <c r="I31" s="793"/>
      <c r="J31" s="212">
        <f>+'6'!J31</f>
        <v>0</v>
      </c>
      <c r="K31" s="234"/>
      <c r="L31" s="234"/>
      <c r="M31" s="117">
        <f>+K31+'6'!M31+L31</f>
        <v>0</v>
      </c>
    </row>
    <row r="32" spans="1:19" ht="13.8" thickBot="1">
      <c r="A32" s="790"/>
      <c r="B32" s="165" t="s">
        <v>3</v>
      </c>
      <c r="C32" s="99">
        <f>SUM(C25:C31)</f>
        <v>14899</v>
      </c>
      <c r="D32" s="100">
        <f>SUM(D25:D31)</f>
        <v>0</v>
      </c>
      <c r="E32" s="101">
        <f>SUM(E25:E31)</f>
        <v>0</v>
      </c>
      <c r="F32" s="99">
        <f>SUM(F24:F31)</f>
        <v>5</v>
      </c>
      <c r="G32" s="169"/>
      <c r="H32" s="170"/>
      <c r="I32" s="168"/>
      <c r="J32" s="212">
        <f>+'6'!J32</f>
        <v>0</v>
      </c>
      <c r="K32" s="236"/>
      <c r="L32" s="238"/>
      <c r="M32" s="117">
        <f>+K32+'6'!M32+L32</f>
        <v>0</v>
      </c>
    </row>
    <row r="33" spans="1:19" ht="13.8" thickBot="1">
      <c r="A33" s="171"/>
      <c r="B33" s="172"/>
      <c r="C33" s="103">
        <f>C32/($C$32+$D$32+$E$32)</f>
        <v>1</v>
      </c>
      <c r="D33" s="104">
        <f>D32/($C$32+$D$32+$E$32)</f>
        <v>0</v>
      </c>
      <c r="E33" s="105">
        <f>E32/($C$32+$D$32+$E$32)</f>
        <v>0</v>
      </c>
      <c r="F33" s="106"/>
      <c r="G33" s="173"/>
      <c r="H33" s="174"/>
      <c r="I33" s="175"/>
      <c r="J33" s="121"/>
      <c r="K33" s="122"/>
      <c r="L33" s="211"/>
      <c r="M33" s="119"/>
      <c r="Q33" s="174">
        <f>SUM(Q26:Q32)</f>
        <v>480</v>
      </c>
      <c r="R33" s="174">
        <f>SUM(R26:R32)</f>
        <v>552000</v>
      </c>
      <c r="S33" s="174">
        <f>SUM(S26:S32)</f>
        <v>452640</v>
      </c>
    </row>
    <row r="34" spans="1:19" ht="13.8" thickBot="1">
      <c r="A34" s="795" t="s">
        <v>68</v>
      </c>
      <c r="B34" s="796"/>
      <c r="C34" s="107">
        <f>C14+C23+C32</f>
        <v>38324</v>
      </c>
      <c r="D34" s="107">
        <f>D14+D23+D32</f>
        <v>0</v>
      </c>
      <c r="E34" s="107">
        <f>E14+E23+E32</f>
        <v>0</v>
      </c>
      <c r="F34" s="108">
        <f>F14+F23+F32</f>
        <v>177</v>
      </c>
      <c r="H34" s="176"/>
      <c r="I34" s="176"/>
      <c r="J34" s="123" t="s">
        <v>28</v>
      </c>
      <c r="K34" s="124">
        <f>SUM(K7:K32)</f>
        <v>38324</v>
      </c>
      <c r="L34" s="210">
        <f>SUM(L7:L32)</f>
        <v>0</v>
      </c>
      <c r="M34" s="120">
        <f>SUM(M7:M32)</f>
        <v>323756</v>
      </c>
      <c r="Q34" s="149">
        <f>480-Q33</f>
        <v>0</v>
      </c>
      <c r="R34" s="174">
        <f>+R33/Q33</f>
        <v>1150</v>
      </c>
      <c r="S34" s="174">
        <f>+S33/Q33</f>
        <v>943</v>
      </c>
    </row>
    <row r="35" spans="1:19" ht="13.8" thickBot="1">
      <c r="A35" s="177"/>
      <c r="B35" s="178"/>
      <c r="C35" s="104">
        <f>C34/($C$34+$D$34+$E$34)</f>
        <v>1</v>
      </c>
      <c r="D35" s="104">
        <f>D34/($C$34+$D$34+$E$34)</f>
        <v>0</v>
      </c>
      <c r="E35" s="109">
        <f>E34/($C$34+$D$34+$E$34)</f>
        <v>0</v>
      </c>
      <c r="K35" s="155"/>
    </row>
    <row r="36" spans="1:19" ht="13.8" thickBot="1">
      <c r="A36" s="176"/>
      <c r="B36" s="176"/>
      <c r="C36" s="155"/>
      <c r="D36" s="155"/>
      <c r="E36" s="155"/>
      <c r="G36" s="155"/>
      <c r="H36" s="179"/>
      <c r="I36" s="162" t="s">
        <v>37</v>
      </c>
      <c r="J36" s="162" t="s">
        <v>38</v>
      </c>
      <c r="K36" s="180"/>
      <c r="O36" s="149">
        <v>326</v>
      </c>
    </row>
    <row r="37" spans="1:19" ht="17.399999999999999" customHeight="1" thickBot="1">
      <c r="A37" s="797" t="s">
        <v>69</v>
      </c>
      <c r="B37" s="798"/>
      <c r="C37" s="162" t="s">
        <v>70</v>
      </c>
      <c r="D37" s="181" t="s">
        <v>71</v>
      </c>
      <c r="E37" s="182" t="s">
        <v>72</v>
      </c>
      <c r="F37" s="304"/>
      <c r="G37" s="306"/>
      <c r="H37" s="184" t="s">
        <v>73</v>
      </c>
      <c r="I37" s="239">
        <f>(15*1286)/1286*G42*2.7*1286/1000000</f>
        <v>49.093346700000005</v>
      </c>
      <c r="J37" s="125">
        <f>+I37+'6'!J37</f>
        <v>344.51435110510818</v>
      </c>
      <c r="K37" s="126" t="s">
        <v>74</v>
      </c>
      <c r="O37" s="149">
        <v>480</v>
      </c>
    </row>
    <row r="38" spans="1:19" ht="17.399999999999999" customHeight="1">
      <c r="A38" s="799" t="s">
        <v>12</v>
      </c>
      <c r="B38" s="800"/>
      <c r="C38" s="164">
        <f>SUMIF($G$7:$G$31,"Process",$F$7:$F$31)</f>
        <v>17</v>
      </c>
      <c r="D38" s="118">
        <f>C38+'6'!D38</f>
        <v>195</v>
      </c>
      <c r="E38" s="143">
        <f t="shared" ref="E38:E52" si="7">D38/60</f>
        <v>3.25</v>
      </c>
      <c r="F38" s="304">
        <v>1148.0674846625766</v>
      </c>
      <c r="G38" s="304">
        <v>941.41533742331296</v>
      </c>
      <c r="H38" s="185" t="s">
        <v>75</v>
      </c>
      <c r="I38" s="240">
        <f>12.043+16.044+18.545</f>
        <v>46.632000000000005</v>
      </c>
      <c r="J38" s="127">
        <f>+I38+'6'!J38</f>
        <v>326.64600000000002</v>
      </c>
      <c r="K38" s="128" t="s">
        <v>74</v>
      </c>
      <c r="O38" s="149">
        <v>480</v>
      </c>
    </row>
    <row r="39" spans="1:19" ht="17.399999999999999" customHeight="1">
      <c r="A39" s="786" t="s">
        <v>13</v>
      </c>
      <c r="B39" s="787"/>
      <c r="C39" s="164">
        <f>SUMIF($G$7:$G$31,"Cleaning",$F$7:$F$31)</f>
        <v>0</v>
      </c>
      <c r="D39" s="118">
        <f>C39+'6'!D39</f>
        <v>0</v>
      </c>
      <c r="E39" s="143">
        <f t="shared" si="7"/>
        <v>0</v>
      </c>
      <c r="F39" s="304">
        <v>1150</v>
      </c>
      <c r="G39" s="304">
        <v>943</v>
      </c>
      <c r="H39" s="185" t="s">
        <v>76</v>
      </c>
      <c r="I39" s="142"/>
      <c r="J39" s="129">
        <f>J37/G4</f>
        <v>49.216335872158311</v>
      </c>
      <c r="K39" s="130" t="s">
        <v>74</v>
      </c>
      <c r="O39" s="149">
        <f>SUM(O36:O38)</f>
        <v>1286</v>
      </c>
    </row>
    <row r="40" spans="1:19" ht="17.399999999999999" customHeight="1">
      <c r="A40" s="786" t="s">
        <v>77</v>
      </c>
      <c r="B40" s="787"/>
      <c r="C40" s="164">
        <f>SUMIF($G$7:$G$31,"Mechanical",$F$7:$F$31)</f>
        <v>0</v>
      </c>
      <c r="D40" s="118">
        <f>C40+'6'!D40</f>
        <v>0</v>
      </c>
      <c r="E40" s="143">
        <f t="shared" si="7"/>
        <v>0</v>
      </c>
      <c r="F40" s="304">
        <v>1150</v>
      </c>
      <c r="G40" s="304">
        <v>943</v>
      </c>
      <c r="H40" s="185" t="s">
        <v>78</v>
      </c>
      <c r="I40" s="118">
        <f>(K34+L34)/1000</f>
        <v>38.323999999999998</v>
      </c>
      <c r="J40" s="131">
        <f>+I40+'6'!J40</f>
        <v>323.75600000000003</v>
      </c>
      <c r="K40" s="130" t="s">
        <v>74</v>
      </c>
    </row>
    <row r="41" spans="1:19" ht="17.399999999999999" customHeight="1">
      <c r="A41" s="786" t="s">
        <v>79</v>
      </c>
      <c r="B41" s="787"/>
      <c r="C41" s="164">
        <f>SUMIF($G$7:$G$31,"Electrical",$F$7:$F$31)</f>
        <v>0</v>
      </c>
      <c r="D41" s="118">
        <f>C41+'6'!D41</f>
        <v>0</v>
      </c>
      <c r="E41" s="143">
        <f t="shared" si="7"/>
        <v>0</v>
      </c>
      <c r="F41" s="304"/>
      <c r="G41" s="304"/>
      <c r="H41" s="185" t="s">
        <v>80</v>
      </c>
      <c r="I41" s="142"/>
      <c r="J41" s="129">
        <f>J40/G4</f>
        <v>46.25085714285715</v>
      </c>
      <c r="K41" s="130" t="s">
        <v>74</v>
      </c>
    </row>
    <row r="42" spans="1:19" ht="17.399999999999999" customHeight="1">
      <c r="A42" s="786" t="s">
        <v>16</v>
      </c>
      <c r="B42" s="787"/>
      <c r="C42" s="164">
        <f>SUMIF($G$7:$G$31,"Instrument",$F$7:$F$31)</f>
        <v>0</v>
      </c>
      <c r="D42" s="118">
        <f>C42+'6'!D42</f>
        <v>0</v>
      </c>
      <c r="E42" s="143">
        <f t="shared" si="7"/>
        <v>0</v>
      </c>
      <c r="F42" s="183">
        <f>+(326*F38+480*F39+480*F40)/1286</f>
        <v>1149.5101088646968</v>
      </c>
      <c r="G42" s="183">
        <f>+(326*G38+480*G39+480*G40)/1286</f>
        <v>942.59828926905129</v>
      </c>
      <c r="H42" s="185" t="s">
        <v>81</v>
      </c>
      <c r="I42" s="241" t="s">
        <v>538</v>
      </c>
      <c r="J42" s="132"/>
      <c r="K42" s="130" t="s">
        <v>82</v>
      </c>
    </row>
    <row r="43" spans="1:19" ht="17.399999999999999" customHeight="1">
      <c r="A43" s="786" t="s">
        <v>83</v>
      </c>
      <c r="B43" s="787"/>
      <c r="C43" s="164">
        <f>SUMIF($G$7:$G$31,"Water",$F$7:$F$31)</f>
        <v>0</v>
      </c>
      <c r="D43" s="118">
        <f>C43+'6'!D43</f>
        <v>0</v>
      </c>
      <c r="E43" s="143">
        <f t="shared" si="7"/>
        <v>0</v>
      </c>
      <c r="F43" s="304"/>
      <c r="G43" s="305"/>
      <c r="H43" s="186" t="s">
        <v>84</v>
      </c>
      <c r="I43" s="118">
        <f>+Report1!Z15</f>
        <v>94.3</v>
      </c>
      <c r="J43" s="133">
        <f>+I43+'6'!J43</f>
        <v>654.81999999999994</v>
      </c>
      <c r="K43" s="130" t="s">
        <v>74</v>
      </c>
      <c r="L43" s="187"/>
    </row>
    <row r="44" spans="1:19" ht="17.399999999999999" customHeight="1">
      <c r="A44" s="786" t="s">
        <v>17</v>
      </c>
      <c r="B44" s="787"/>
      <c r="C44" s="164">
        <f>SUMIF($G$7:$G$31,"PLN",$F$7:$F$31)</f>
        <v>0</v>
      </c>
      <c r="D44" s="118">
        <f>C44+'6'!D44</f>
        <v>0</v>
      </c>
      <c r="E44" s="143">
        <f t="shared" si="7"/>
        <v>0</v>
      </c>
      <c r="F44" s="304"/>
      <c r="G44" s="305"/>
      <c r="H44" s="186" t="s">
        <v>85</v>
      </c>
      <c r="I44" s="118">
        <f>I43/I38</f>
        <v>2.0222165036884538</v>
      </c>
      <c r="J44" s="134">
        <f>J43/J38</f>
        <v>2.0046778469658282</v>
      </c>
      <c r="K44" s="130" t="s">
        <v>74</v>
      </c>
    </row>
    <row r="45" spans="1:19" ht="17.399999999999999" customHeight="1">
      <c r="A45" s="786" t="s">
        <v>18</v>
      </c>
      <c r="B45" s="787"/>
      <c r="C45" s="164">
        <f>SUMIF($G$7:$G$31,"Boiler",$F$7:$F$31)</f>
        <v>0</v>
      </c>
      <c r="D45" s="118">
        <f>C45+'6'!D45</f>
        <v>0</v>
      </c>
      <c r="E45" s="143">
        <f t="shared" si="7"/>
        <v>0</v>
      </c>
      <c r="F45" s="304"/>
      <c r="G45" s="307"/>
      <c r="H45" s="186" t="s">
        <v>86</v>
      </c>
      <c r="I45" s="118">
        <f>I43/I40</f>
        <v>2.4605991023901472</v>
      </c>
      <c r="J45" s="134">
        <f>J43/J40</f>
        <v>2.0225725546399138</v>
      </c>
      <c r="K45" s="130" t="s">
        <v>74</v>
      </c>
    </row>
    <row r="46" spans="1:19" ht="17.399999999999999" customHeight="1">
      <c r="A46" s="786" t="s">
        <v>87</v>
      </c>
      <c r="B46" s="787"/>
      <c r="C46" s="164">
        <f>SUMIF($G$7:$G$31,"Gas",$F$7:$F$31)</f>
        <v>0</v>
      </c>
      <c r="D46" s="118">
        <f>C46+'6'!D46</f>
        <v>0</v>
      </c>
      <c r="E46" s="143">
        <f t="shared" si="7"/>
        <v>0</v>
      </c>
      <c r="F46" s="304"/>
      <c r="G46" s="305"/>
      <c r="H46" s="186" t="s">
        <v>88</v>
      </c>
      <c r="I46" s="140">
        <f>+SUMIF(Listrik!X14,"&gt;0")</f>
        <v>36777.094523572268</v>
      </c>
      <c r="J46" s="135">
        <f>+I46+'6'!J46</f>
        <v>243906.46729388295</v>
      </c>
      <c r="K46" s="130" t="s">
        <v>89</v>
      </c>
    </row>
    <row r="47" spans="1:19" ht="17.399999999999999" customHeight="1">
      <c r="A47" s="786" t="s">
        <v>90</v>
      </c>
      <c r="B47" s="787"/>
      <c r="C47" s="164">
        <f>SUMIF($G$7:$G$31,"Gas",$F$7:$F$31)</f>
        <v>0</v>
      </c>
      <c r="D47" s="118">
        <f>C47+'6'!D47</f>
        <v>0</v>
      </c>
      <c r="E47" s="143">
        <f t="shared" si="7"/>
        <v>0</v>
      </c>
      <c r="F47" s="304"/>
      <c r="G47" s="305"/>
      <c r="H47" s="186" t="s">
        <v>91</v>
      </c>
      <c r="I47" s="118">
        <f>I46/I38</f>
        <v>788.6664634493967</v>
      </c>
      <c r="J47" s="135">
        <f>J46/J38</f>
        <v>746.69969108417956</v>
      </c>
      <c r="K47" s="130" t="s">
        <v>24</v>
      </c>
    </row>
    <row r="48" spans="1:19" ht="17.399999999999999" customHeight="1">
      <c r="A48" s="786" t="s">
        <v>14</v>
      </c>
      <c r="B48" s="787"/>
      <c r="C48" s="164">
        <f>SUMIF($G$7:$G$31,"Start Up",$F$7:$F$31)</f>
        <v>0</v>
      </c>
      <c r="D48" s="118">
        <f>C48+'6'!D48</f>
        <v>0</v>
      </c>
      <c r="E48" s="143">
        <f t="shared" si="7"/>
        <v>0</v>
      </c>
      <c r="F48" s="304"/>
      <c r="G48" s="305"/>
      <c r="H48" s="186" t="s">
        <v>92</v>
      </c>
      <c r="I48" s="118">
        <f>I46/I40</f>
        <v>959.63611636500025</v>
      </c>
      <c r="J48" s="135">
        <f>J46/J40</f>
        <v>753.36508757793808</v>
      </c>
      <c r="K48" s="130" t="s">
        <v>24</v>
      </c>
    </row>
    <row r="49" spans="1:11" ht="17.399999999999999" customHeight="1">
      <c r="A49" s="786" t="s">
        <v>20</v>
      </c>
      <c r="B49" s="787"/>
      <c r="C49" s="164">
        <f>SUMIF($G$7:$G$31,"Others",$F$7:$F$31)</f>
        <v>160</v>
      </c>
      <c r="D49" s="118">
        <f>C49+'6'!D49</f>
        <v>1072</v>
      </c>
      <c r="E49" s="143">
        <f t="shared" si="7"/>
        <v>17.866666666666667</v>
      </c>
      <c r="F49" s="183"/>
      <c r="H49" s="186" t="s">
        <v>268</v>
      </c>
      <c r="I49" s="118">
        <f>+Report1!T15</f>
        <v>3997.8691628287879</v>
      </c>
      <c r="J49" s="135">
        <f>+I49+'6'!J49</f>
        <v>24842.404089599553</v>
      </c>
      <c r="K49" s="130" t="s">
        <v>93</v>
      </c>
    </row>
    <row r="50" spans="1:11" ht="17.399999999999999" customHeight="1">
      <c r="A50" s="786" t="s">
        <v>19</v>
      </c>
      <c r="B50" s="787"/>
      <c r="C50" s="164">
        <f>SUMIF($G$7:$G$31,"Steam",$F$7:$F$31)</f>
        <v>0</v>
      </c>
      <c r="D50" s="118">
        <f>C50+'6'!D50</f>
        <v>0</v>
      </c>
      <c r="E50" s="143">
        <f t="shared" si="7"/>
        <v>0</v>
      </c>
      <c r="F50" s="183"/>
      <c r="H50" s="186" t="s">
        <v>94</v>
      </c>
      <c r="I50" s="140">
        <f>I49/I38</f>
        <v>85.732311777937625</v>
      </c>
      <c r="J50" s="133">
        <f>J49/J38</f>
        <v>76.05298730001148</v>
      </c>
      <c r="K50" s="130" t="s">
        <v>93</v>
      </c>
    </row>
    <row r="51" spans="1:11" ht="17.399999999999999" customHeight="1">
      <c r="A51" s="803" t="s">
        <v>95</v>
      </c>
      <c r="B51" s="803"/>
      <c r="C51" s="164">
        <f>SUMIF($G$7:$G$31,"Planned shut",$F$7:$F$31)</f>
        <v>0</v>
      </c>
      <c r="D51" s="118">
        <f>C51+'6'!D51</f>
        <v>0</v>
      </c>
      <c r="E51" s="143">
        <f t="shared" si="7"/>
        <v>0</v>
      </c>
      <c r="F51" s="183"/>
      <c r="H51" s="188" t="s">
        <v>96</v>
      </c>
      <c r="I51" s="141">
        <f>I49/I40</f>
        <v>104.31763810742062</v>
      </c>
      <c r="J51" s="136">
        <f>J49/J40</f>
        <v>76.7318724273822</v>
      </c>
      <c r="K51" s="137" t="s">
        <v>93</v>
      </c>
    </row>
    <row r="52" spans="1:11" ht="13.8" thickBot="1">
      <c r="A52" s="804" t="s">
        <v>218</v>
      </c>
      <c r="B52" s="805"/>
      <c r="C52" s="164">
        <f>SUMIF($G$7:$G$31,"Change Grade",$F$7:$F$31)</f>
        <v>0</v>
      </c>
      <c r="D52" s="118">
        <f>C52+'6'!D52</f>
        <v>0</v>
      </c>
      <c r="E52" s="143">
        <f t="shared" si="7"/>
        <v>0</v>
      </c>
      <c r="F52" s="183"/>
      <c r="H52" s="189"/>
      <c r="I52" s="190"/>
      <c r="J52" s="138"/>
      <c r="K52" s="139"/>
    </row>
    <row r="53" spans="1:11">
      <c r="A53" s="799" t="s">
        <v>28</v>
      </c>
      <c r="B53" s="800"/>
      <c r="C53" s="144">
        <f>SUM(C38:C52)</f>
        <v>177</v>
      </c>
      <c r="D53" s="144">
        <f>SUM(D38:D52)</f>
        <v>1267</v>
      </c>
      <c r="E53" s="145">
        <f>SUM(E38:E52)</f>
        <v>21.116666666666667</v>
      </c>
      <c r="F53" s="183"/>
    </row>
    <row r="54" spans="1:11" ht="13.8" thickBot="1">
      <c r="A54" s="801"/>
      <c r="B54" s="802"/>
      <c r="C54" s="146">
        <f>C53/(24*60)</f>
        <v>0.12291666666666666</v>
      </c>
      <c r="D54" s="146">
        <f>D53/(24*60*G4)</f>
        <v>0.12569444444444444</v>
      </c>
      <c r="E54" s="147">
        <f>E53/(G4*24)</f>
        <v>0.12569444444444444</v>
      </c>
      <c r="F54" s="183"/>
    </row>
    <row r="55" spans="1:11">
      <c r="E55" s="191"/>
    </row>
    <row r="56" spans="1:11">
      <c r="A56" s="192" t="s">
        <v>97</v>
      </c>
      <c r="B56" s="193"/>
      <c r="C56" s="194"/>
      <c r="D56" s="194"/>
      <c r="E56" s="194"/>
      <c r="F56" s="195"/>
      <c r="G56" s="194"/>
      <c r="H56" s="196"/>
      <c r="I56" s="197" t="s">
        <v>98</v>
      </c>
      <c r="J56" s="198">
        <f>+D34+'6'!J56</f>
        <v>0</v>
      </c>
      <c r="K56" s="199">
        <f>J56/(J40+J56/1000)/1000</f>
        <v>0</v>
      </c>
    </row>
    <row r="57" spans="1:11">
      <c r="A57" s="174"/>
      <c r="I57" s="197" t="s">
        <v>99</v>
      </c>
      <c r="J57" s="198">
        <f>+E34+'6'!J57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S61"/>
  <sheetViews>
    <sheetView view="pageBreakPreview" topLeftCell="F13" zoomScale="80" zoomScaleNormal="75" zoomScaleSheetLayoutView="80" workbookViewId="0">
      <selection activeCell="L28" sqref="L28:S28"/>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2.88671875" style="149" bestFit="1" customWidth="1"/>
    <col min="12" max="12" width="8.33203125" style="149" customWidth="1"/>
    <col min="13" max="13" width="14.5546875" style="149" bestFit="1" customWidth="1"/>
    <col min="14" max="16384" width="9.109375" style="149"/>
  </cols>
  <sheetData>
    <row r="1" spans="1:19" ht="15.6">
      <c r="A1" s="148"/>
    </row>
    <row r="2" spans="1:19" ht="15.6">
      <c r="A2" s="148" t="s">
        <v>219</v>
      </c>
    </row>
    <row r="3" spans="1:19" ht="15">
      <c r="A3" s="150"/>
    </row>
    <row r="4" spans="1:19" ht="21">
      <c r="A4" s="151" t="s">
        <v>4</v>
      </c>
      <c r="B4" s="152"/>
      <c r="F4" s="153" t="s">
        <v>29</v>
      </c>
      <c r="G4" s="154">
        <v>6</v>
      </c>
      <c r="H4" s="154" t="str">
        <f>+'1'!H4</f>
        <v>.03.26</v>
      </c>
      <c r="J4" s="149">
        <f>435+442</f>
        <v>877</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465</v>
      </c>
      <c r="O6" s="149">
        <v>1150</v>
      </c>
      <c r="P6" s="149">
        <f>+O6-(O6*0.16)</f>
        <v>966</v>
      </c>
      <c r="Q6" s="149">
        <f>60*3+45</f>
        <v>225</v>
      </c>
      <c r="R6" s="149">
        <f t="shared" ref="R6:R7" si="0">+O6*Q6</f>
        <v>258750</v>
      </c>
      <c r="S6" s="149">
        <f t="shared" ref="S6:S7" si="1">+P6*Q6</f>
        <v>217350</v>
      </c>
    </row>
    <row r="7" spans="1:19" ht="13.5" customHeight="1" thickBot="1">
      <c r="A7" s="788" t="s">
        <v>428</v>
      </c>
      <c r="B7" s="213" t="s">
        <v>480</v>
      </c>
      <c r="C7" s="214">
        <v>10114</v>
      </c>
      <c r="D7" s="215"/>
      <c r="E7" s="216"/>
      <c r="F7" s="231"/>
      <c r="G7" s="553" t="s">
        <v>12</v>
      </c>
      <c r="H7" s="554" t="s">
        <v>417</v>
      </c>
      <c r="I7" s="791" t="s">
        <v>507</v>
      </c>
      <c r="J7" s="212" t="str">
        <f>+'5'!J7</f>
        <v>T 15 RC HW</v>
      </c>
      <c r="K7" s="233">
        <f>+C8+C16+C25</f>
        <v>22901</v>
      </c>
      <c r="L7" s="237"/>
      <c r="M7" s="117">
        <f>+K7+'5'!M7+L7</f>
        <v>188535</v>
      </c>
      <c r="N7" s="149" t="s">
        <v>410</v>
      </c>
      <c r="O7" s="149">
        <v>1130</v>
      </c>
      <c r="P7" s="149">
        <f t="shared" ref="P7" si="2">+O7-(O7*0.16)</f>
        <v>949.2</v>
      </c>
      <c r="Q7" s="149">
        <f>480-Q6</f>
        <v>255</v>
      </c>
      <c r="R7" s="149">
        <f t="shared" si="0"/>
        <v>288150</v>
      </c>
      <c r="S7" s="149">
        <f t="shared" si="1"/>
        <v>242046</v>
      </c>
    </row>
    <row r="8" spans="1:19" ht="13.8" thickBot="1">
      <c r="A8" s="789"/>
      <c r="B8" s="213" t="s">
        <v>430</v>
      </c>
      <c r="C8" s="214">
        <v>3608</v>
      </c>
      <c r="D8" s="215"/>
      <c r="E8" s="217"/>
      <c r="F8" s="227">
        <v>2</v>
      </c>
      <c r="G8" s="555" t="s">
        <v>12</v>
      </c>
      <c r="H8" s="226" t="s">
        <v>416</v>
      </c>
      <c r="I8" s="792"/>
      <c r="J8" s="212" t="str">
        <f>+'5'!J8</f>
        <v>T 14,5 RC HW</v>
      </c>
      <c r="K8" s="234">
        <f>+C7</f>
        <v>10114</v>
      </c>
      <c r="L8" s="234"/>
      <c r="M8" s="117">
        <f>+K8+'5'!M8+L8</f>
        <v>96897</v>
      </c>
    </row>
    <row r="9" spans="1:19" ht="13.8" thickBot="1">
      <c r="A9" s="789"/>
      <c r="B9" s="213"/>
      <c r="C9" s="214"/>
      <c r="D9" s="215"/>
      <c r="E9" s="218"/>
      <c r="F9" s="227">
        <v>13</v>
      </c>
      <c r="G9" s="555" t="s">
        <v>12</v>
      </c>
      <c r="H9" s="229" t="s">
        <v>497</v>
      </c>
      <c r="I9" s="792"/>
      <c r="J9" s="212">
        <f>+'5'!J9</f>
        <v>0</v>
      </c>
      <c r="K9" s="234"/>
      <c r="L9" s="234"/>
      <c r="M9" s="117">
        <f>+K9+'5'!M9+L9</f>
        <v>0</v>
      </c>
    </row>
    <row r="10" spans="1:19" ht="81.75" customHeight="1" thickBot="1">
      <c r="A10" s="789"/>
      <c r="B10" s="213"/>
      <c r="C10" s="214"/>
      <c r="D10" s="215"/>
      <c r="E10" s="217"/>
      <c r="F10" s="227"/>
      <c r="G10" s="225"/>
      <c r="H10" s="556" t="s">
        <v>500</v>
      </c>
      <c r="I10" s="792"/>
      <c r="J10" s="212">
        <f>+'5'!J10</f>
        <v>0</v>
      </c>
      <c r="K10" s="234"/>
      <c r="L10" s="234"/>
      <c r="M10" s="117">
        <f>+K10+'5'!M10+L10</f>
        <v>0</v>
      </c>
    </row>
    <row r="11" spans="1:19" ht="93.75" customHeight="1" thickBot="1">
      <c r="A11" s="789"/>
      <c r="B11" s="213"/>
      <c r="C11" s="214"/>
      <c r="D11" s="215"/>
      <c r="E11" s="217"/>
      <c r="F11" s="224"/>
      <c r="G11" s="228"/>
      <c r="H11" s="229" t="s">
        <v>501</v>
      </c>
      <c r="I11" s="792"/>
      <c r="J11" s="212">
        <f>+'5'!J11</f>
        <v>0</v>
      </c>
      <c r="K11" s="234"/>
      <c r="L11" s="234"/>
      <c r="M11" s="117">
        <f>+K11+'5'!M11+L11</f>
        <v>0</v>
      </c>
    </row>
    <row r="12" spans="1:19" ht="13.8" thickBot="1">
      <c r="A12" s="789"/>
      <c r="B12" s="213"/>
      <c r="C12" s="214"/>
      <c r="D12" s="215"/>
      <c r="E12" s="217"/>
      <c r="F12" s="224"/>
      <c r="G12" s="228"/>
      <c r="H12" s="229"/>
      <c r="I12" s="792"/>
      <c r="J12" s="212">
        <f>+'5'!J12</f>
        <v>0</v>
      </c>
      <c r="K12" s="234"/>
      <c r="L12" s="234"/>
      <c r="M12" s="117">
        <f>+K12+'5'!M12+L12</f>
        <v>0</v>
      </c>
    </row>
    <row r="13" spans="1:19" ht="13.8" thickBot="1">
      <c r="A13" s="789"/>
      <c r="B13" s="213"/>
      <c r="C13" s="214"/>
      <c r="D13" s="214"/>
      <c r="E13" s="217"/>
      <c r="F13" s="224"/>
      <c r="G13" s="228"/>
      <c r="H13" s="229"/>
      <c r="I13" s="793"/>
      <c r="J13" s="212">
        <f>+'5'!J13</f>
        <v>0</v>
      </c>
      <c r="K13" s="234"/>
      <c r="L13" s="234"/>
      <c r="M13" s="117">
        <f>+K13+'5'!M13+L13</f>
        <v>0</v>
      </c>
      <c r="Q13" s="174">
        <f>SUM(Q6:Q12)</f>
        <v>480</v>
      </c>
      <c r="R13" s="174">
        <f>SUM(R6:R12)</f>
        <v>546900</v>
      </c>
      <c r="S13" s="174">
        <f>SUM(S6:S12)</f>
        <v>459396</v>
      </c>
    </row>
    <row r="14" spans="1:19" ht="13.8" thickBot="1">
      <c r="A14" s="790"/>
      <c r="B14" s="165" t="s">
        <v>3</v>
      </c>
      <c r="C14" s="99">
        <f>SUM(C7:C13)</f>
        <v>13722</v>
      </c>
      <c r="D14" s="111">
        <f>SUM(D7:D13)</f>
        <v>0</v>
      </c>
      <c r="E14" s="112">
        <f>SUM(E5:E13)</f>
        <v>0</v>
      </c>
      <c r="F14" s="116">
        <f>SUM(F7:F13)</f>
        <v>15</v>
      </c>
      <c r="G14" s="159"/>
      <c r="H14" s="166"/>
      <c r="I14" s="167"/>
      <c r="J14" s="212">
        <f>+'5'!J14</f>
        <v>0</v>
      </c>
      <c r="K14" s="234"/>
      <c r="L14" s="234"/>
      <c r="M14" s="117">
        <f>+K14+'5'!M14+L14</f>
        <v>0</v>
      </c>
      <c r="Q14" s="149">
        <f>480-Q13</f>
        <v>0</v>
      </c>
      <c r="R14" s="174">
        <f>+R13/Q13</f>
        <v>1139.375</v>
      </c>
      <c r="S14" s="174">
        <f>+S13/Q13</f>
        <v>957.07500000000005</v>
      </c>
    </row>
    <row r="15" spans="1:19" ht="13.5" customHeight="1" thickBot="1">
      <c r="A15" s="794" t="s">
        <v>499</v>
      </c>
      <c r="B15" s="513"/>
      <c r="C15" s="113">
        <f>C14/($C$23+$D$23+$E$23)</f>
        <v>1.1122639215368404</v>
      </c>
      <c r="D15" s="114">
        <f>D14/($C$23+$D$23+$E$23)</f>
        <v>0</v>
      </c>
      <c r="E15" s="115">
        <f>E14/($C$23+$D$23+$E$23)</f>
        <v>0</v>
      </c>
      <c r="F15" s="231"/>
      <c r="G15" s="553" t="s">
        <v>12</v>
      </c>
      <c r="H15" s="554" t="s">
        <v>417</v>
      </c>
      <c r="I15" s="791" t="s">
        <v>506</v>
      </c>
      <c r="J15" s="212">
        <f>+'5'!J15</f>
        <v>0</v>
      </c>
      <c r="K15" s="234"/>
      <c r="L15" s="234"/>
      <c r="M15" s="117">
        <f>+K15+'5'!M15+L15</f>
        <v>0</v>
      </c>
      <c r="N15" s="149" t="s">
        <v>410</v>
      </c>
      <c r="O15" s="149">
        <v>1130</v>
      </c>
      <c r="P15" s="149">
        <f t="shared" ref="P15" si="3">+O15-(O15*0.16)</f>
        <v>949.2</v>
      </c>
      <c r="Q15" s="149">
        <f>480-50</f>
        <v>430</v>
      </c>
      <c r="R15" s="149">
        <f t="shared" ref="R15:R16" si="4">+O15*Q15</f>
        <v>485900</v>
      </c>
      <c r="S15" s="149">
        <f t="shared" ref="S15:S16" si="5">+P15*Q15</f>
        <v>408156</v>
      </c>
    </row>
    <row r="16" spans="1:19" ht="13.8" thickBot="1">
      <c r="A16" s="789"/>
      <c r="B16" s="512" t="s">
        <v>430</v>
      </c>
      <c r="C16" s="511">
        <v>12337</v>
      </c>
      <c r="D16" s="219"/>
      <c r="E16" s="220"/>
      <c r="F16" s="227"/>
      <c r="G16" s="555" t="s">
        <v>12</v>
      </c>
      <c r="H16" s="226" t="s">
        <v>419</v>
      </c>
      <c r="I16" s="792"/>
      <c r="J16" s="212">
        <f>+'5'!J16</f>
        <v>0</v>
      </c>
      <c r="K16" s="225"/>
      <c r="L16" s="225"/>
      <c r="M16" s="117">
        <f>+K16+'5'!M16+L16</f>
        <v>0</v>
      </c>
      <c r="R16" s="149">
        <f t="shared" si="4"/>
        <v>0</v>
      </c>
      <c r="S16" s="149">
        <f t="shared" si="5"/>
        <v>0</v>
      </c>
    </row>
    <row r="17" spans="1:19" ht="13.8" thickBot="1">
      <c r="A17" s="789"/>
      <c r="B17" s="213"/>
      <c r="C17" s="214"/>
      <c r="D17" s="215"/>
      <c r="E17" s="221"/>
      <c r="F17" s="227">
        <v>6</v>
      </c>
      <c r="G17" s="555" t="s">
        <v>12</v>
      </c>
      <c r="H17" s="229" t="s">
        <v>415</v>
      </c>
      <c r="I17" s="792"/>
      <c r="J17" s="212">
        <f>+'5'!J17</f>
        <v>0</v>
      </c>
      <c r="K17" s="225"/>
      <c r="L17" s="225"/>
      <c r="M17" s="117">
        <f>+K17+'5'!M17+L17</f>
        <v>0</v>
      </c>
    </row>
    <row r="18" spans="1:19" ht="53.4" thickBot="1">
      <c r="A18" s="789"/>
      <c r="B18" s="213"/>
      <c r="C18" s="214"/>
      <c r="D18" s="215"/>
      <c r="E18" s="221"/>
      <c r="F18" s="227"/>
      <c r="G18" s="225"/>
      <c r="H18" s="556" t="s">
        <v>502</v>
      </c>
      <c r="I18" s="792"/>
      <c r="J18" s="212">
        <f>+'5'!J18</f>
        <v>0</v>
      </c>
      <c r="K18" s="234"/>
      <c r="L18" s="234"/>
      <c r="M18" s="117">
        <f>+K18+'5'!M18+L18</f>
        <v>0</v>
      </c>
    </row>
    <row r="19" spans="1:19" ht="53.4" thickBot="1">
      <c r="A19" s="789"/>
      <c r="B19" s="213"/>
      <c r="C19" s="214"/>
      <c r="D19" s="215"/>
      <c r="E19" s="218"/>
      <c r="F19" s="230">
        <v>50</v>
      </c>
      <c r="G19" s="228" t="s">
        <v>20</v>
      </c>
      <c r="H19" s="229" t="s">
        <v>503</v>
      </c>
      <c r="I19" s="792"/>
      <c r="J19" s="212">
        <f>+'5'!J19</f>
        <v>0</v>
      </c>
      <c r="K19" s="234"/>
      <c r="L19" s="234"/>
      <c r="M19" s="117">
        <f>+K19+'5'!M19+L19</f>
        <v>0</v>
      </c>
    </row>
    <row r="20" spans="1:19" ht="13.8" thickBot="1">
      <c r="A20" s="789"/>
      <c r="B20" s="213"/>
      <c r="C20" s="214"/>
      <c r="D20" s="215"/>
      <c r="E20" s="221"/>
      <c r="F20" s="224"/>
      <c r="G20" s="228"/>
      <c r="H20" s="229"/>
      <c r="I20" s="792"/>
      <c r="J20" s="212">
        <f>+'5'!J20</f>
        <v>0</v>
      </c>
      <c r="K20" s="235"/>
      <c r="L20" s="235"/>
      <c r="M20" s="117">
        <f>+K20+'5'!M20+L20</f>
        <v>0</v>
      </c>
    </row>
    <row r="21" spans="1:19" ht="13.8" thickBot="1">
      <c r="A21" s="789"/>
      <c r="B21" s="213"/>
      <c r="C21" s="214"/>
      <c r="D21" s="215"/>
      <c r="E21" s="221"/>
      <c r="F21" s="227"/>
      <c r="G21" s="228"/>
      <c r="H21" s="229"/>
      <c r="I21" s="792"/>
      <c r="J21" s="212">
        <f>+'5'!J21</f>
        <v>0</v>
      </c>
      <c r="K21" s="234"/>
      <c r="L21" s="234"/>
      <c r="M21" s="117">
        <f>+K21+'5'!M21+L21</f>
        <v>0</v>
      </c>
    </row>
    <row r="22" spans="1:19" ht="13.8" thickBot="1">
      <c r="A22" s="789"/>
      <c r="B22" s="213"/>
      <c r="C22" s="214"/>
      <c r="D22" s="215"/>
      <c r="E22" s="221"/>
      <c r="F22" s="231"/>
      <c r="G22" s="228"/>
      <c r="H22" s="229"/>
      <c r="I22" s="793"/>
      <c r="J22" s="212">
        <f>+'5'!J22</f>
        <v>0</v>
      </c>
      <c r="K22" s="234"/>
      <c r="L22" s="234"/>
      <c r="M22" s="117">
        <f>+K22+'5'!M22+L22</f>
        <v>0</v>
      </c>
      <c r="Q22" s="174">
        <f>SUM(Q15:Q21)</f>
        <v>430</v>
      </c>
      <c r="R22" s="174">
        <f>SUM(R15:R21)</f>
        <v>485900</v>
      </c>
      <c r="S22" s="174">
        <f>SUM(S15:S21)</f>
        <v>408156</v>
      </c>
    </row>
    <row r="23" spans="1:19" ht="13.8" thickBot="1">
      <c r="A23" s="790"/>
      <c r="B23" s="165" t="s">
        <v>3</v>
      </c>
      <c r="C23" s="99">
        <f>SUM(C16:C22)</f>
        <v>12337</v>
      </c>
      <c r="D23" s="111">
        <f>SUM(D16:D22)</f>
        <v>0</v>
      </c>
      <c r="E23" s="112">
        <f>SUM(E18:E22)</f>
        <v>0</v>
      </c>
      <c r="F23" s="116">
        <f>SUM(F15:F22)</f>
        <v>56</v>
      </c>
      <c r="G23" s="159"/>
      <c r="H23" s="166"/>
      <c r="I23" s="168"/>
      <c r="J23" s="212">
        <f>+'5'!J23</f>
        <v>0</v>
      </c>
      <c r="K23" s="234"/>
      <c r="L23" s="234"/>
      <c r="M23" s="117">
        <f>+K23+'5'!M23+L23</f>
        <v>0</v>
      </c>
      <c r="Q23" s="149">
        <f>480-Q22</f>
        <v>50</v>
      </c>
      <c r="R23" s="174">
        <f>+R22/Q22</f>
        <v>1130</v>
      </c>
      <c r="S23" s="174">
        <f>+S22/Q22</f>
        <v>949.2</v>
      </c>
    </row>
    <row r="24" spans="1:19" ht="13.5" customHeight="1" thickBot="1">
      <c r="A24" s="794" t="s">
        <v>458</v>
      </c>
      <c r="B24" s="513"/>
      <c r="C24" s="113">
        <f>C23/($C$23+$D$23+$E$23)</f>
        <v>1</v>
      </c>
      <c r="D24" s="114">
        <f>D23/($C$23+$D$23+$E$23)</f>
        <v>0</v>
      </c>
      <c r="E24" s="115">
        <f>E23/($C$23+$D$23+$E$23)</f>
        <v>0</v>
      </c>
      <c r="F24" s="231"/>
      <c r="G24" s="553" t="s">
        <v>12</v>
      </c>
      <c r="H24" s="554" t="s">
        <v>417</v>
      </c>
      <c r="I24" s="791" t="s">
        <v>505</v>
      </c>
      <c r="J24" s="212">
        <f>+'5'!J24</f>
        <v>0</v>
      </c>
      <c r="K24" s="234"/>
      <c r="L24" s="234"/>
      <c r="M24" s="117">
        <f>+K24+'5'!M24+L24</f>
        <v>0</v>
      </c>
    </row>
    <row r="25" spans="1:19" ht="13.8" thickBot="1">
      <c r="A25" s="789"/>
      <c r="B25" s="512" t="s">
        <v>430</v>
      </c>
      <c r="C25" s="222">
        <v>6956</v>
      </c>
      <c r="D25" s="215"/>
      <c r="E25" s="221"/>
      <c r="F25" s="227"/>
      <c r="G25" s="555" t="s">
        <v>12</v>
      </c>
      <c r="H25" s="226" t="s">
        <v>419</v>
      </c>
      <c r="I25" s="792"/>
      <c r="J25" s="212">
        <f>+'5'!J25</f>
        <v>0</v>
      </c>
      <c r="K25" s="234"/>
      <c r="L25" s="234"/>
      <c r="M25" s="117">
        <f>+K25+'5'!M25+L25</f>
        <v>0</v>
      </c>
    </row>
    <row r="26" spans="1:19" ht="13.8" thickBot="1">
      <c r="A26" s="789"/>
      <c r="B26" s="213"/>
      <c r="C26" s="222"/>
      <c r="D26" s="215"/>
      <c r="E26" s="223"/>
      <c r="F26" s="227"/>
      <c r="G26" s="555" t="s">
        <v>12</v>
      </c>
      <c r="H26" s="229" t="s">
        <v>510</v>
      </c>
      <c r="I26" s="792"/>
      <c r="J26" s="212">
        <f>+'5'!J26</f>
        <v>0</v>
      </c>
      <c r="K26" s="234"/>
      <c r="L26" s="234"/>
      <c r="M26" s="117">
        <f>+K26+'5'!M26+L26</f>
        <v>0</v>
      </c>
      <c r="N26" s="149" t="s">
        <v>465</v>
      </c>
      <c r="O26" s="149">
        <v>1150</v>
      </c>
      <c r="P26" s="149">
        <v>966</v>
      </c>
      <c r="Q26" s="149">
        <v>225</v>
      </c>
    </row>
    <row r="27" spans="1:19" ht="66.599999999999994" thickBot="1">
      <c r="A27" s="789"/>
      <c r="B27" s="213"/>
      <c r="C27" s="214"/>
      <c r="D27" s="215"/>
      <c r="E27" s="221"/>
      <c r="F27" s="227"/>
      <c r="G27" s="225"/>
      <c r="H27" s="556" t="s">
        <v>459</v>
      </c>
      <c r="I27" s="792"/>
      <c r="J27" s="212">
        <f>+'5'!J27</f>
        <v>0</v>
      </c>
      <c r="K27" s="234"/>
      <c r="L27" s="234"/>
      <c r="M27" s="117">
        <f>+K27+'5'!M27+L27</f>
        <v>0</v>
      </c>
      <c r="N27" s="149" t="s">
        <v>410</v>
      </c>
      <c r="O27" s="149">
        <v>1130</v>
      </c>
      <c r="P27" s="149">
        <v>949.2</v>
      </c>
      <c r="Q27" s="149">
        <v>685</v>
      </c>
    </row>
    <row r="28" spans="1:19" ht="209.25" customHeight="1" thickBot="1">
      <c r="A28" s="789"/>
      <c r="B28" s="213"/>
      <c r="C28" s="214"/>
      <c r="D28" s="215"/>
      <c r="E28" s="221"/>
      <c r="F28" s="227">
        <v>480</v>
      </c>
      <c r="G28" s="228" t="s">
        <v>20</v>
      </c>
      <c r="H28" s="229" t="s">
        <v>504</v>
      </c>
      <c r="I28" s="792"/>
      <c r="J28" s="212">
        <f>+'5'!J28</f>
        <v>0</v>
      </c>
      <c r="K28" s="234"/>
      <c r="L28" s="234"/>
      <c r="M28" s="117">
        <f>+K28+'5'!M28+L28</f>
        <v>0</v>
      </c>
      <c r="Q28" s="149">
        <f>+Q26+Q27</f>
        <v>910</v>
      </c>
    </row>
    <row r="29" spans="1:19" ht="13.8" thickBot="1">
      <c r="A29" s="789"/>
      <c r="B29" s="213"/>
      <c r="C29" s="214"/>
      <c r="D29" s="215"/>
      <c r="E29" s="221"/>
      <c r="F29" s="231"/>
      <c r="G29" s="228"/>
      <c r="H29" s="229"/>
      <c r="I29" s="792"/>
      <c r="J29" s="212">
        <f>+'5'!J29</f>
        <v>0</v>
      </c>
      <c r="K29" s="234"/>
      <c r="L29" s="234"/>
      <c r="M29" s="117">
        <f>+K29+'5'!M29+L29</f>
        <v>0</v>
      </c>
    </row>
    <row r="30" spans="1:19" ht="13.8" thickBot="1">
      <c r="A30" s="789"/>
      <c r="B30" s="213"/>
      <c r="C30" s="222"/>
      <c r="D30" s="215"/>
      <c r="E30" s="221"/>
      <c r="F30" s="231"/>
      <c r="G30" s="228"/>
      <c r="H30" s="229"/>
      <c r="I30" s="792"/>
      <c r="J30" s="212">
        <f>+'5'!J30</f>
        <v>0</v>
      </c>
      <c r="K30" s="234"/>
      <c r="L30" s="234"/>
      <c r="M30" s="117">
        <f>+K30+'5'!M30+L30</f>
        <v>0</v>
      </c>
      <c r="N30" s="155"/>
    </row>
    <row r="31" spans="1:19" ht="13.8" thickBot="1">
      <c r="A31" s="789"/>
      <c r="B31" s="213"/>
      <c r="C31" s="222"/>
      <c r="D31" s="215"/>
      <c r="E31" s="221"/>
      <c r="F31" s="231"/>
      <c r="G31" s="232"/>
      <c r="H31" s="404"/>
      <c r="I31" s="793"/>
      <c r="J31" s="212">
        <f>+'5'!J31</f>
        <v>0</v>
      </c>
      <c r="K31" s="234"/>
      <c r="L31" s="234"/>
      <c r="M31" s="117">
        <f>+K31+'5'!M31+L31</f>
        <v>0</v>
      </c>
    </row>
    <row r="32" spans="1:19" ht="13.8" thickBot="1">
      <c r="A32" s="790"/>
      <c r="B32" s="165" t="s">
        <v>3</v>
      </c>
      <c r="C32" s="99">
        <f>SUM(C25:C31)</f>
        <v>6956</v>
      </c>
      <c r="D32" s="100">
        <f>SUM(D25:D31)</f>
        <v>0</v>
      </c>
      <c r="E32" s="101">
        <f>SUM(E25:E31)</f>
        <v>0</v>
      </c>
      <c r="F32" s="99">
        <f>SUM(F24:F31)</f>
        <v>480</v>
      </c>
      <c r="G32" s="169"/>
      <c r="H32" s="170"/>
      <c r="I32" s="168"/>
      <c r="J32" s="212">
        <f>+'5'!J32</f>
        <v>0</v>
      </c>
      <c r="K32" s="236"/>
      <c r="L32" s="238"/>
      <c r="M32" s="117">
        <f>+K32+'5'!M32+L32</f>
        <v>0</v>
      </c>
    </row>
    <row r="33" spans="1:15" ht="13.8" thickBot="1">
      <c r="A33" s="171"/>
      <c r="B33" s="172"/>
      <c r="C33" s="103">
        <f>C32/($C$32+$D$32+$E$32)</f>
        <v>1</v>
      </c>
      <c r="D33" s="104">
        <f>D32/($C$32+$D$32+$E$32)</f>
        <v>0</v>
      </c>
      <c r="E33" s="105">
        <f>E32/($C$32+$D$32+$E$32)</f>
        <v>0</v>
      </c>
      <c r="F33" s="106"/>
      <c r="G33" s="173"/>
      <c r="H33" s="174"/>
      <c r="I33" s="175"/>
      <c r="J33" s="121"/>
      <c r="K33" s="122"/>
      <c r="L33" s="211"/>
      <c r="M33" s="119"/>
    </row>
    <row r="34" spans="1:15" ht="13.8" thickBot="1">
      <c r="A34" s="795" t="s">
        <v>68</v>
      </c>
      <c r="B34" s="796"/>
      <c r="C34" s="107">
        <f>C14+C23+C32</f>
        <v>33015</v>
      </c>
      <c r="D34" s="107">
        <f>D14+D23+D32</f>
        <v>0</v>
      </c>
      <c r="E34" s="107">
        <f>E14+E23+E32</f>
        <v>0</v>
      </c>
      <c r="F34" s="108">
        <f>F14+F23+F32</f>
        <v>551</v>
      </c>
      <c r="H34" s="176"/>
      <c r="I34" s="176"/>
      <c r="J34" s="123" t="s">
        <v>28</v>
      </c>
      <c r="K34" s="124">
        <f>SUM(K7:K32)</f>
        <v>33015</v>
      </c>
      <c r="L34" s="210">
        <f>SUM(L7:L32)</f>
        <v>0</v>
      </c>
      <c r="M34" s="120">
        <f>SUM(M7:M32)</f>
        <v>285432</v>
      </c>
      <c r="N34" s="155"/>
      <c r="O34" s="149">
        <v>480</v>
      </c>
    </row>
    <row r="35" spans="1:15" ht="13.8" thickBot="1">
      <c r="A35" s="177"/>
      <c r="B35" s="178"/>
      <c r="C35" s="104">
        <f>C34/($C$34+$D$34+$E$34)</f>
        <v>1</v>
      </c>
      <c r="D35" s="104">
        <f>D34/($C$34+$D$34+$E$34)</f>
        <v>0</v>
      </c>
      <c r="E35" s="109">
        <f>E34/($C$34+$D$34+$E$34)</f>
        <v>0</v>
      </c>
      <c r="K35" s="155"/>
      <c r="O35" s="149">
        <v>430</v>
      </c>
    </row>
    <row r="36" spans="1:15" ht="13.8" thickBot="1">
      <c r="A36" s="176"/>
      <c r="B36" s="176"/>
      <c r="C36" s="155"/>
      <c r="D36" s="155"/>
      <c r="E36" s="155"/>
      <c r="G36" s="155"/>
      <c r="H36" s="179"/>
      <c r="I36" s="162" t="s">
        <v>37</v>
      </c>
      <c r="J36" s="162" t="s">
        <v>38</v>
      </c>
      <c r="K36" s="180"/>
      <c r="O36" s="149">
        <f>+O34+O35</f>
        <v>910</v>
      </c>
    </row>
    <row r="37" spans="1:15" ht="17.399999999999999" customHeight="1" thickBot="1">
      <c r="A37" s="797" t="s">
        <v>69</v>
      </c>
      <c r="B37" s="798"/>
      <c r="C37" s="162" t="s">
        <v>70</v>
      </c>
      <c r="D37" s="181" t="s">
        <v>71</v>
      </c>
      <c r="E37" s="182" t="s">
        <v>72</v>
      </c>
      <c r="F37" s="304"/>
      <c r="G37" s="306"/>
      <c r="H37" s="184" t="s">
        <v>73</v>
      </c>
      <c r="I37" s="239">
        <f>(14.5*225+15*685)/910*G42*2.7*910/1000000</f>
        <v>34.846274769230767</v>
      </c>
      <c r="J37" s="125">
        <f>+I37+'5'!J37</f>
        <v>295.42100440510819</v>
      </c>
      <c r="K37" s="126" t="s">
        <v>74</v>
      </c>
    </row>
    <row r="38" spans="1:15" ht="17.399999999999999" customHeight="1">
      <c r="A38" s="799" t="s">
        <v>12</v>
      </c>
      <c r="B38" s="800"/>
      <c r="C38" s="164">
        <f>SUMIF($G$7:$G$31,"Process",$F$7:$F$31)</f>
        <v>21</v>
      </c>
      <c r="D38" s="118">
        <f>C38+'5'!D38</f>
        <v>178</v>
      </c>
      <c r="E38" s="143">
        <f t="shared" ref="E38:E52" si="6">D38/60</f>
        <v>2.9666666666666668</v>
      </c>
      <c r="F38" s="304">
        <v>1139.375</v>
      </c>
      <c r="G38" s="304">
        <v>957.07500000000005</v>
      </c>
      <c r="H38" s="185" t="s">
        <v>75</v>
      </c>
      <c r="I38" s="240">
        <f>17.32+16.16</f>
        <v>33.480000000000004</v>
      </c>
      <c r="J38" s="127">
        <f>+I38+'5'!J38</f>
        <v>280.01400000000001</v>
      </c>
      <c r="K38" s="128" t="s">
        <v>74</v>
      </c>
    </row>
    <row r="39" spans="1:15" ht="17.399999999999999" customHeight="1">
      <c r="A39" s="786" t="s">
        <v>13</v>
      </c>
      <c r="B39" s="787"/>
      <c r="C39" s="164">
        <f>SUMIF($G$7:$G$31,"Cleaning",$F$7:$F$31)</f>
        <v>0</v>
      </c>
      <c r="D39" s="118">
        <f>C39+'5'!D39</f>
        <v>0</v>
      </c>
      <c r="E39" s="143">
        <f t="shared" si="6"/>
        <v>0</v>
      </c>
      <c r="F39" s="304">
        <v>1130</v>
      </c>
      <c r="G39" s="304">
        <v>949.2</v>
      </c>
      <c r="H39" s="185" t="s">
        <v>76</v>
      </c>
      <c r="I39" s="142"/>
      <c r="J39" s="129">
        <f>J37/G4</f>
        <v>49.236834067518032</v>
      </c>
      <c r="K39" s="130" t="s">
        <v>74</v>
      </c>
    </row>
    <row r="40" spans="1:15" ht="17.399999999999999" customHeight="1">
      <c r="A40" s="786" t="s">
        <v>77</v>
      </c>
      <c r="B40" s="787"/>
      <c r="C40" s="164">
        <f>SUMIF($G$7:$G$31,"Mechanical",$F$7:$F$31)</f>
        <v>0</v>
      </c>
      <c r="D40" s="118">
        <f>C40+'5'!D40</f>
        <v>0</v>
      </c>
      <c r="E40" s="143">
        <f t="shared" si="6"/>
        <v>0</v>
      </c>
      <c r="F40" s="304"/>
      <c r="G40" s="304"/>
      <c r="H40" s="185" t="s">
        <v>78</v>
      </c>
      <c r="I40" s="118">
        <f>(K34+L34)/1000</f>
        <v>33.015000000000001</v>
      </c>
      <c r="J40" s="131">
        <f>+I40+'5'!J40</f>
        <v>285.43200000000002</v>
      </c>
      <c r="K40" s="130" t="s">
        <v>74</v>
      </c>
    </row>
    <row r="41" spans="1:15" ht="17.399999999999999" customHeight="1">
      <c r="A41" s="786" t="s">
        <v>79</v>
      </c>
      <c r="B41" s="787"/>
      <c r="C41" s="164">
        <f>SUMIF($G$7:$G$31,"Electrical",$F$7:$F$31)</f>
        <v>0</v>
      </c>
      <c r="D41" s="118">
        <f>C41+'5'!D41</f>
        <v>0</v>
      </c>
      <c r="E41" s="143">
        <f t="shared" si="6"/>
        <v>0</v>
      </c>
      <c r="F41" s="304"/>
      <c r="G41" s="304"/>
      <c r="H41" s="185" t="s">
        <v>80</v>
      </c>
      <c r="I41" s="142"/>
      <c r="J41" s="129">
        <f>J40/G4</f>
        <v>47.572000000000003</v>
      </c>
      <c r="K41" s="130" t="s">
        <v>74</v>
      </c>
    </row>
    <row r="42" spans="1:15" ht="17.399999999999999" customHeight="1">
      <c r="A42" s="786" t="s">
        <v>16</v>
      </c>
      <c r="B42" s="787"/>
      <c r="C42" s="164">
        <f>SUMIF($G$7:$G$31,"Instrument",$F$7:$F$31)</f>
        <v>0</v>
      </c>
      <c r="D42" s="118">
        <f>C42+'5'!D42</f>
        <v>0</v>
      </c>
      <c r="E42" s="143">
        <f t="shared" si="6"/>
        <v>0</v>
      </c>
      <c r="F42" s="183">
        <f>+(480*F38+430*F39)/910</f>
        <v>1134.9450549450548</v>
      </c>
      <c r="G42" s="183">
        <f>+(480*G38+430*G39)/910</f>
        <v>953.35384615384612</v>
      </c>
      <c r="H42" s="185" t="s">
        <v>81</v>
      </c>
      <c r="I42" s="241" t="s">
        <v>509</v>
      </c>
      <c r="J42" s="132"/>
      <c r="K42" s="130" t="s">
        <v>82</v>
      </c>
    </row>
    <row r="43" spans="1:15" ht="17.399999999999999" customHeight="1">
      <c r="A43" s="786" t="s">
        <v>83</v>
      </c>
      <c r="B43" s="787"/>
      <c r="C43" s="164">
        <f>SUMIF($G$7:$G$31,"Water",$F$7:$F$31)</f>
        <v>0</v>
      </c>
      <c r="D43" s="118">
        <f>C43+'5'!D43</f>
        <v>0</v>
      </c>
      <c r="E43" s="143">
        <f t="shared" si="6"/>
        <v>0</v>
      </c>
      <c r="F43" s="304"/>
      <c r="G43" s="305"/>
      <c r="H43" s="186" t="s">
        <v>84</v>
      </c>
      <c r="I43" s="118">
        <f>+Report1!Z14</f>
        <v>63.6</v>
      </c>
      <c r="J43" s="133">
        <f>+I43+'5'!J43</f>
        <v>560.52</v>
      </c>
      <c r="K43" s="130" t="s">
        <v>74</v>
      </c>
      <c r="L43" s="187"/>
    </row>
    <row r="44" spans="1:15" ht="17.399999999999999" customHeight="1">
      <c r="A44" s="786" t="s">
        <v>17</v>
      </c>
      <c r="B44" s="787"/>
      <c r="C44" s="164">
        <f>SUMIF($G$7:$G$31,"PLN",$F$7:$F$31)</f>
        <v>0</v>
      </c>
      <c r="D44" s="118">
        <f>C44+'5'!D44</f>
        <v>0</v>
      </c>
      <c r="E44" s="143">
        <f t="shared" si="6"/>
        <v>0</v>
      </c>
      <c r="F44" s="304"/>
      <c r="G44" s="305"/>
      <c r="H44" s="186" t="s">
        <v>85</v>
      </c>
      <c r="I44" s="118">
        <f>I43/I38</f>
        <v>1.8996415770609316</v>
      </c>
      <c r="J44" s="134">
        <f>J43/J38</f>
        <v>2.0017570550043926</v>
      </c>
      <c r="K44" s="130" t="s">
        <v>74</v>
      </c>
    </row>
    <row r="45" spans="1:15" ht="17.399999999999999" customHeight="1">
      <c r="A45" s="786" t="s">
        <v>18</v>
      </c>
      <c r="B45" s="787"/>
      <c r="C45" s="164">
        <f>SUMIF($G$7:$G$31,"Boiler",$F$7:$F$31)</f>
        <v>0</v>
      </c>
      <c r="D45" s="118">
        <f>C45+'5'!D45</f>
        <v>0</v>
      </c>
      <c r="E45" s="143">
        <f t="shared" si="6"/>
        <v>0</v>
      </c>
      <c r="F45" s="304"/>
      <c r="G45" s="307"/>
      <c r="H45" s="186" t="s">
        <v>86</v>
      </c>
      <c r="I45" s="118">
        <f>I43/I40</f>
        <v>1.9263970922308042</v>
      </c>
      <c r="J45" s="134">
        <f>J43/J40</f>
        <v>1.9637601950727317</v>
      </c>
      <c r="K45" s="130" t="s">
        <v>74</v>
      </c>
    </row>
    <row r="46" spans="1:15" ht="17.399999999999999" customHeight="1">
      <c r="A46" s="786" t="s">
        <v>87</v>
      </c>
      <c r="B46" s="787"/>
      <c r="C46" s="164">
        <f>SUMIF($G$7:$G$31,"Gas",$F$7:$F$31)</f>
        <v>0</v>
      </c>
      <c r="D46" s="118">
        <f>C46+'5'!D46</f>
        <v>0</v>
      </c>
      <c r="E46" s="143">
        <f t="shared" si="6"/>
        <v>0</v>
      </c>
      <c r="F46" s="304"/>
      <c r="G46" s="305"/>
      <c r="H46" s="186" t="s">
        <v>88</v>
      </c>
      <c r="I46" s="140">
        <f>+SUMIF(Listrik!X13,"&gt;0")</f>
        <v>27123.78685798878</v>
      </c>
      <c r="J46" s="135">
        <f>+I46+'5'!J46</f>
        <v>207129.37277031067</v>
      </c>
      <c r="K46" s="130" t="s">
        <v>89</v>
      </c>
    </row>
    <row r="47" spans="1:15" ht="17.399999999999999" customHeight="1">
      <c r="A47" s="786" t="s">
        <v>90</v>
      </c>
      <c r="B47" s="787"/>
      <c r="C47" s="164">
        <f>SUMIF($G$7:$G$31,"Gas",$F$7:$F$31)</f>
        <v>0</v>
      </c>
      <c r="D47" s="118">
        <f>C47+'5'!D47</f>
        <v>0</v>
      </c>
      <c r="E47" s="143">
        <f t="shared" si="6"/>
        <v>0</v>
      </c>
      <c r="F47" s="304"/>
      <c r="G47" s="305"/>
      <c r="H47" s="186" t="s">
        <v>91</v>
      </c>
      <c r="I47" s="118">
        <f>I46/I38</f>
        <v>810.14895035808775</v>
      </c>
      <c r="J47" s="135">
        <f>J46/J38</f>
        <v>739.71077435524887</v>
      </c>
      <c r="K47" s="130" t="s">
        <v>24</v>
      </c>
    </row>
    <row r="48" spans="1:15" ht="17.399999999999999" customHeight="1">
      <c r="A48" s="786" t="s">
        <v>14</v>
      </c>
      <c r="B48" s="787"/>
      <c r="C48" s="164">
        <f>SUMIF($G$7:$G$31,"Start Up",$F$7:$F$31)</f>
        <v>0</v>
      </c>
      <c r="D48" s="118">
        <f>C48+'5'!D48</f>
        <v>0</v>
      </c>
      <c r="E48" s="143">
        <f t="shared" si="6"/>
        <v>0</v>
      </c>
      <c r="F48" s="304"/>
      <c r="G48" s="305"/>
      <c r="H48" s="186" t="s">
        <v>92</v>
      </c>
      <c r="I48" s="118">
        <f>I46/I40</f>
        <v>821.55949895468063</v>
      </c>
      <c r="J48" s="135">
        <f>J46/J40</f>
        <v>725.66976642531552</v>
      </c>
      <c r="K48" s="130" t="s">
        <v>24</v>
      </c>
    </row>
    <row r="49" spans="1:11" ht="17.399999999999999" customHeight="1">
      <c r="A49" s="786" t="s">
        <v>20</v>
      </c>
      <c r="B49" s="787"/>
      <c r="C49" s="164">
        <f>SUMIF($G$7:$G$31,"Others",$F$7:$F$31)</f>
        <v>530</v>
      </c>
      <c r="D49" s="118">
        <f>C49+'5'!D49</f>
        <v>912</v>
      </c>
      <c r="E49" s="143">
        <f t="shared" si="6"/>
        <v>15.2</v>
      </c>
      <c r="F49" s="183"/>
      <c r="H49" s="186" t="s">
        <v>268</v>
      </c>
      <c r="I49" s="118">
        <f>+Report1!T14</f>
        <v>2068.6606885430156</v>
      </c>
      <c r="J49" s="135">
        <f>+I49+'5'!J49</f>
        <v>20844.534926770764</v>
      </c>
      <c r="K49" s="130" t="s">
        <v>93</v>
      </c>
    </row>
    <row r="50" spans="1:11" ht="17.399999999999999" customHeight="1">
      <c r="A50" s="786" t="s">
        <v>19</v>
      </c>
      <c r="B50" s="787"/>
      <c r="C50" s="164">
        <f>SUMIF($G$7:$G$31,"Steam",$F$7:$F$31)</f>
        <v>0</v>
      </c>
      <c r="D50" s="118">
        <f>C50+'5'!D50</f>
        <v>0</v>
      </c>
      <c r="E50" s="143">
        <f t="shared" si="6"/>
        <v>0</v>
      </c>
      <c r="F50" s="183"/>
      <c r="H50" s="186" t="s">
        <v>94</v>
      </c>
      <c r="I50" s="140">
        <f>I49/I38</f>
        <v>61.787953660185643</v>
      </c>
      <c r="J50" s="133">
        <f>J49/J38</f>
        <v>74.441045543332706</v>
      </c>
      <c r="K50" s="130" t="s">
        <v>93</v>
      </c>
    </row>
    <row r="51" spans="1:11" ht="17.399999999999999" customHeight="1">
      <c r="A51" s="803" t="s">
        <v>95</v>
      </c>
      <c r="B51" s="803"/>
      <c r="C51" s="164">
        <f>SUMIF($G$7:$G$31,"Planned shut",$F$7:$F$31)</f>
        <v>0</v>
      </c>
      <c r="D51" s="118">
        <f>C51+'5'!D51</f>
        <v>0</v>
      </c>
      <c r="E51" s="143">
        <f t="shared" si="6"/>
        <v>0</v>
      </c>
      <c r="F51" s="183"/>
      <c r="H51" s="188" t="s">
        <v>96</v>
      </c>
      <c r="I51" s="141">
        <f>I49/I40</f>
        <v>62.658206528638971</v>
      </c>
      <c r="J51" s="136">
        <f>J49/J40</f>
        <v>73.028023931341835</v>
      </c>
      <c r="K51" s="137" t="s">
        <v>93</v>
      </c>
    </row>
    <row r="52" spans="1:11" ht="13.8" thickBot="1">
      <c r="A52" s="804" t="s">
        <v>218</v>
      </c>
      <c r="B52" s="805"/>
      <c r="C52" s="164">
        <f>SUMIF($G$7:$G$31,"Change Grade",$F$7:$F$31)</f>
        <v>0</v>
      </c>
      <c r="D52" s="118">
        <f>C52+'5'!D52</f>
        <v>0</v>
      </c>
      <c r="E52" s="143">
        <f t="shared" si="6"/>
        <v>0</v>
      </c>
      <c r="F52" s="183"/>
      <c r="H52" s="189"/>
      <c r="I52" s="190"/>
      <c r="J52" s="138"/>
      <c r="K52" s="139"/>
    </row>
    <row r="53" spans="1:11">
      <c r="A53" s="799" t="s">
        <v>28</v>
      </c>
      <c r="B53" s="800"/>
      <c r="C53" s="144">
        <f>SUM(C38:C52)</f>
        <v>551</v>
      </c>
      <c r="D53" s="144">
        <f>SUM(D38:D52)</f>
        <v>1090</v>
      </c>
      <c r="E53" s="145">
        <f>SUM(E38:E52)</f>
        <v>18.166666666666664</v>
      </c>
      <c r="F53" s="183"/>
    </row>
    <row r="54" spans="1:11" ht="13.8" thickBot="1">
      <c r="A54" s="801"/>
      <c r="B54" s="802"/>
      <c r="C54" s="146">
        <f>C53/(24*60)</f>
        <v>0.38263888888888886</v>
      </c>
      <c r="D54" s="146">
        <f>D53/(24*60*G4)</f>
        <v>0.12615740740740741</v>
      </c>
      <c r="E54" s="147">
        <f>E53/(G4*24)</f>
        <v>0.12615740740740738</v>
      </c>
      <c r="F54" s="183"/>
    </row>
    <row r="55" spans="1:11">
      <c r="E55" s="191"/>
    </row>
    <row r="56" spans="1:11">
      <c r="A56" s="192" t="s">
        <v>97</v>
      </c>
      <c r="B56" s="193"/>
      <c r="C56" s="194"/>
      <c r="D56" s="194"/>
      <c r="E56" s="194"/>
      <c r="F56" s="195"/>
      <c r="G56" s="194"/>
      <c r="H56" s="196"/>
      <c r="I56" s="197" t="s">
        <v>98</v>
      </c>
      <c r="J56" s="198">
        <f>+D34+'5'!J56</f>
        <v>0</v>
      </c>
      <c r="K56" s="199">
        <f>J56/(J40+J56/1000)/1000</f>
        <v>0</v>
      </c>
    </row>
    <row r="57" spans="1:11">
      <c r="A57" s="174"/>
      <c r="I57" s="197" t="s">
        <v>99</v>
      </c>
      <c r="J57" s="198">
        <f>+E34+'5'!J57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A61"/>
  <sheetViews>
    <sheetView view="pageBreakPreview" zoomScale="80" zoomScaleNormal="75" zoomScaleSheetLayoutView="80" workbookViewId="0">
      <selection activeCell="A7" sqref="A7:A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4" style="149" customWidth="1"/>
    <col min="12" max="12" width="8.33203125" style="149" customWidth="1"/>
    <col min="13" max="13" width="15.109375" style="149" customWidth="1"/>
    <col min="14" max="16384" width="9.109375" style="149"/>
  </cols>
  <sheetData>
    <row r="1" spans="1:27" ht="15.6">
      <c r="A1" s="148"/>
      <c r="V1" s="514"/>
    </row>
    <row r="2" spans="1:27" ht="15.6">
      <c r="A2" s="148" t="s">
        <v>219</v>
      </c>
      <c r="V2" s="534"/>
    </row>
    <row r="3" spans="1:27" ht="15">
      <c r="A3" s="150"/>
      <c r="Y3" s="174"/>
    </row>
    <row r="4" spans="1:27" ht="21">
      <c r="A4" s="151" t="s">
        <v>4</v>
      </c>
      <c r="B4" s="152"/>
      <c r="F4" s="153" t="s">
        <v>29</v>
      </c>
      <c r="G4" s="154">
        <v>5</v>
      </c>
      <c r="H4" s="154" t="s">
        <v>388</v>
      </c>
      <c r="J4" s="149">
        <f>529+411+517</f>
        <v>1457</v>
      </c>
      <c r="Z4" s="174"/>
      <c r="AA4" s="174"/>
    </row>
    <row r="5" spans="1:27" ht="13.8" thickBot="1">
      <c r="C5" s="155"/>
      <c r="D5" s="155"/>
    </row>
    <row r="6" spans="1:27"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465</v>
      </c>
      <c r="O6" s="149">
        <v>1150</v>
      </c>
      <c r="P6" s="149">
        <f>+O6-(O6*0.16)</f>
        <v>966</v>
      </c>
      <c r="Q6" s="149">
        <v>480</v>
      </c>
      <c r="R6" s="149">
        <f t="shared" ref="R6" si="0">+O6*Q6</f>
        <v>552000</v>
      </c>
      <c r="S6" s="149">
        <f t="shared" ref="S6" si="1">+P6*Q6</f>
        <v>463680</v>
      </c>
      <c r="V6" s="515"/>
    </row>
    <row r="7" spans="1:27" ht="13.5" customHeight="1" thickBot="1">
      <c r="A7" s="788" t="s">
        <v>428</v>
      </c>
      <c r="B7" s="213" t="s">
        <v>480</v>
      </c>
      <c r="C7" s="214">
        <v>19989</v>
      </c>
      <c r="D7" s="215"/>
      <c r="E7" s="216"/>
      <c r="F7" s="231"/>
      <c r="G7" s="553" t="s">
        <v>12</v>
      </c>
      <c r="H7" s="554" t="s">
        <v>417</v>
      </c>
      <c r="I7" s="791" t="s">
        <v>468</v>
      </c>
      <c r="J7" s="212" t="str">
        <f>+'4'!J7</f>
        <v>T 15 RC HW</v>
      </c>
      <c r="K7" s="233"/>
      <c r="L7" s="237"/>
      <c r="M7" s="117">
        <f>+K7+'4'!M7+L7</f>
        <v>165634</v>
      </c>
      <c r="O7" s="149">
        <v>1150</v>
      </c>
      <c r="P7" s="149">
        <f t="shared" ref="P7:P8" si="2">+O7-(O7*0.16)</f>
        <v>966</v>
      </c>
      <c r="Q7" s="149">
        <v>480</v>
      </c>
      <c r="R7" s="149">
        <f t="shared" ref="R7:R8" si="3">+O7*Q7</f>
        <v>552000</v>
      </c>
      <c r="S7" s="149">
        <f t="shared" ref="S7:S8" si="4">+P7*Q7</f>
        <v>463680</v>
      </c>
      <c r="V7" s="515"/>
    </row>
    <row r="8" spans="1:27" ht="13.8" thickBot="1">
      <c r="A8" s="789"/>
      <c r="B8" s="213"/>
      <c r="C8" s="214"/>
      <c r="D8" s="215"/>
      <c r="E8" s="217"/>
      <c r="F8" s="227"/>
      <c r="G8" s="555" t="s">
        <v>12</v>
      </c>
      <c r="H8" s="226" t="s">
        <v>419</v>
      </c>
      <c r="I8" s="792"/>
      <c r="J8" s="212" t="str">
        <f>+'4'!J8</f>
        <v>T 14,5 RC HW</v>
      </c>
      <c r="K8" s="234">
        <f>+C34</f>
        <v>54178</v>
      </c>
      <c r="L8" s="234"/>
      <c r="M8" s="117">
        <f>+K8+'4'!M8+L8</f>
        <v>86783</v>
      </c>
      <c r="O8" s="149">
        <v>1150</v>
      </c>
      <c r="P8" s="149">
        <f t="shared" si="2"/>
        <v>966</v>
      </c>
      <c r="Q8" s="149">
        <v>480</v>
      </c>
      <c r="R8" s="149">
        <f t="shared" si="3"/>
        <v>552000</v>
      </c>
      <c r="S8" s="149">
        <f t="shared" si="4"/>
        <v>463680</v>
      </c>
      <c r="Y8" s="516"/>
    </row>
    <row r="9" spans="1:27" ht="13.8" thickBot="1">
      <c r="A9" s="789"/>
      <c r="B9" s="213"/>
      <c r="C9" s="214"/>
      <c r="D9" s="215"/>
      <c r="E9" s="218"/>
      <c r="F9" s="227">
        <v>5</v>
      </c>
      <c r="G9" s="555" t="s">
        <v>12</v>
      </c>
      <c r="H9" s="229" t="s">
        <v>475</v>
      </c>
      <c r="I9" s="792"/>
      <c r="J9" s="212">
        <f>+'4'!J9</f>
        <v>0</v>
      </c>
      <c r="K9" s="234"/>
      <c r="L9" s="234"/>
      <c r="M9" s="117">
        <f>+K9+'4'!M9+L9</f>
        <v>0</v>
      </c>
      <c r="Z9" s="516"/>
      <c r="AA9" s="516"/>
    </row>
    <row r="10" spans="1:27" ht="40.200000000000003" thickBot="1">
      <c r="A10" s="789"/>
      <c r="B10" s="213"/>
      <c r="C10" s="214"/>
      <c r="D10" s="215"/>
      <c r="E10" s="217"/>
      <c r="F10" s="227"/>
      <c r="G10" s="225"/>
      <c r="H10" s="556" t="s">
        <v>491</v>
      </c>
      <c r="I10" s="792"/>
      <c r="J10" s="212">
        <f>+'4'!J10</f>
        <v>0</v>
      </c>
      <c r="K10" s="234"/>
      <c r="L10" s="234"/>
      <c r="M10" s="117">
        <f>+K10+'4'!M10+L10</f>
        <v>0</v>
      </c>
    </row>
    <row r="11" spans="1:27" ht="27" thickBot="1">
      <c r="A11" s="789"/>
      <c r="B11" s="213"/>
      <c r="C11" s="214"/>
      <c r="D11" s="215"/>
      <c r="E11" s="217"/>
      <c r="F11" s="227"/>
      <c r="G11" s="225"/>
      <c r="H11" s="229" t="s">
        <v>492</v>
      </c>
      <c r="I11" s="792"/>
      <c r="J11" s="212">
        <f>+'4'!J11</f>
        <v>0</v>
      </c>
      <c r="K11" s="234"/>
      <c r="L11" s="234"/>
      <c r="M11" s="117">
        <f>+K11+'4'!M11+L11</f>
        <v>0</v>
      </c>
    </row>
    <row r="12" spans="1:27" ht="13.8" thickBot="1">
      <c r="A12" s="789"/>
      <c r="B12" s="213"/>
      <c r="C12" s="214"/>
      <c r="D12" s="215"/>
      <c r="E12" s="217"/>
      <c r="F12" s="224"/>
      <c r="G12" s="228"/>
      <c r="H12" s="229"/>
      <c r="I12" s="792"/>
      <c r="J12" s="212">
        <f>+'4'!J12</f>
        <v>0</v>
      </c>
      <c r="K12" s="234"/>
      <c r="L12" s="234"/>
      <c r="M12" s="117">
        <f>+K12+'4'!M12+L12</f>
        <v>0</v>
      </c>
    </row>
    <row r="13" spans="1:27" ht="13.8" thickBot="1">
      <c r="A13" s="789"/>
      <c r="B13" s="213"/>
      <c r="C13" s="214"/>
      <c r="D13" s="214"/>
      <c r="E13" s="217"/>
      <c r="F13" s="224"/>
      <c r="G13" s="228"/>
      <c r="H13" s="229"/>
      <c r="I13" s="793"/>
      <c r="J13" s="212">
        <f>+'4'!J13</f>
        <v>0</v>
      </c>
      <c r="K13" s="234"/>
      <c r="L13" s="234"/>
      <c r="M13" s="117">
        <f>+K13+'4'!M13+L13</f>
        <v>0</v>
      </c>
      <c r="Q13" s="174">
        <f>SUM(Q6:Q12)</f>
        <v>1440</v>
      </c>
      <c r="R13" s="174">
        <f>SUM(R6:R12)</f>
        <v>1656000</v>
      </c>
      <c r="S13" s="174">
        <f>SUM(S6:S12)</f>
        <v>1391040</v>
      </c>
      <c r="V13" s="557"/>
    </row>
    <row r="14" spans="1:27" ht="13.8" thickBot="1">
      <c r="A14" s="790"/>
      <c r="B14" s="165" t="s">
        <v>3</v>
      </c>
      <c r="C14" s="99">
        <f>SUM(C7:C13)</f>
        <v>19989</v>
      </c>
      <c r="D14" s="111">
        <f>SUM(D7:D13)</f>
        <v>0</v>
      </c>
      <c r="E14" s="112">
        <f>SUM(E5:E13)</f>
        <v>0</v>
      </c>
      <c r="F14" s="116">
        <f>SUM(F7:F13)</f>
        <v>5</v>
      </c>
      <c r="G14" s="159"/>
      <c r="H14" s="166"/>
      <c r="I14" s="167"/>
      <c r="J14" s="212">
        <f>+'4'!J14</f>
        <v>0</v>
      </c>
      <c r="K14" s="234"/>
      <c r="L14" s="234"/>
      <c r="M14" s="117">
        <f>+K14+'4'!M14+L14</f>
        <v>0</v>
      </c>
      <c r="Q14" s="149">
        <f>480-Q13</f>
        <v>-960</v>
      </c>
      <c r="R14" s="174">
        <f>+R13/Q13</f>
        <v>1150</v>
      </c>
      <c r="S14" s="174">
        <f>+S13/Q13</f>
        <v>966</v>
      </c>
      <c r="V14" s="557"/>
    </row>
    <row r="15" spans="1:27" ht="13.5" customHeight="1" thickBot="1">
      <c r="A15" s="794" t="s">
        <v>499</v>
      </c>
      <c r="B15" s="513"/>
      <c r="C15" s="113">
        <f>C14/($C$23+$D$23+$E$23)</f>
        <v>1.1219690166142793</v>
      </c>
      <c r="D15" s="114">
        <f>D14/($C$23+$D$23+$E$23)</f>
        <v>0</v>
      </c>
      <c r="E15" s="115">
        <f>E14/($C$23+$D$23+$E$23)</f>
        <v>0</v>
      </c>
      <c r="F15" s="231"/>
      <c r="G15" s="553" t="s">
        <v>12</v>
      </c>
      <c r="H15" s="554" t="s">
        <v>417</v>
      </c>
      <c r="I15" s="791" t="s">
        <v>468</v>
      </c>
      <c r="J15" s="212">
        <f>+'4'!J15</f>
        <v>0</v>
      </c>
      <c r="K15" s="234"/>
      <c r="L15" s="234"/>
      <c r="M15" s="117">
        <f>+K15+'4'!M15+L15</f>
        <v>0</v>
      </c>
      <c r="N15" s="515"/>
      <c r="Y15" s="558"/>
    </row>
    <row r="16" spans="1:27" ht="13.8" thickBot="1">
      <c r="A16" s="789"/>
      <c r="B16" s="213" t="s">
        <v>480</v>
      </c>
      <c r="C16" s="511">
        <v>17816</v>
      </c>
      <c r="D16" s="219"/>
      <c r="E16" s="220"/>
      <c r="F16" s="227"/>
      <c r="G16" s="555" t="s">
        <v>12</v>
      </c>
      <c r="H16" s="226" t="s">
        <v>419</v>
      </c>
      <c r="I16" s="792"/>
      <c r="J16" s="212">
        <f>+'4'!J16</f>
        <v>0</v>
      </c>
      <c r="K16" s="225"/>
      <c r="L16" s="225"/>
      <c r="M16" s="117">
        <f>+K16+'4'!M16+L16</f>
        <v>0</v>
      </c>
      <c r="N16" s="557"/>
      <c r="Z16" s="558"/>
      <c r="AA16" s="558"/>
    </row>
    <row r="17" spans="1:19" ht="13.8" thickBot="1">
      <c r="A17" s="789"/>
      <c r="B17" s="213"/>
      <c r="C17" s="214"/>
      <c r="D17" s="215"/>
      <c r="E17" s="221"/>
      <c r="F17" s="227">
        <v>6</v>
      </c>
      <c r="G17" s="555" t="s">
        <v>12</v>
      </c>
      <c r="H17" s="229" t="s">
        <v>475</v>
      </c>
      <c r="I17" s="792"/>
      <c r="J17" s="212">
        <f>+'4'!J17</f>
        <v>0</v>
      </c>
      <c r="K17" s="225"/>
      <c r="L17" s="225"/>
      <c r="M17" s="117">
        <f>+K17+'4'!M17+L17</f>
        <v>0</v>
      </c>
      <c r="Q17" s="174"/>
    </row>
    <row r="18" spans="1:19" ht="53.4" thickBot="1">
      <c r="A18" s="789"/>
      <c r="B18" s="213"/>
      <c r="C18" s="214"/>
      <c r="D18" s="215"/>
      <c r="E18" s="221"/>
      <c r="F18" s="227"/>
      <c r="G18" s="225"/>
      <c r="H18" s="556" t="s">
        <v>494</v>
      </c>
      <c r="I18" s="792"/>
      <c r="J18" s="212">
        <f>+'4'!J18</f>
        <v>0</v>
      </c>
      <c r="K18" s="234"/>
      <c r="L18" s="234"/>
      <c r="M18" s="117">
        <f>+K18+'4'!M18+L18</f>
        <v>0</v>
      </c>
      <c r="R18" s="174"/>
      <c r="S18" s="174"/>
    </row>
    <row r="19" spans="1:19" ht="27" thickBot="1">
      <c r="A19" s="789"/>
      <c r="B19" s="213"/>
      <c r="C19" s="214"/>
      <c r="D19" s="215"/>
      <c r="E19" s="218"/>
      <c r="F19" s="230"/>
      <c r="G19" s="228"/>
      <c r="H19" s="229" t="s">
        <v>495</v>
      </c>
      <c r="I19" s="792"/>
      <c r="J19" s="212">
        <f>+'4'!J19</f>
        <v>0</v>
      </c>
      <c r="K19" s="234"/>
      <c r="L19" s="234"/>
      <c r="M19" s="117">
        <f>+K19+'4'!M19+L19</f>
        <v>0</v>
      </c>
    </row>
    <row r="20" spans="1:19" ht="13.8" thickBot="1">
      <c r="A20" s="789"/>
      <c r="B20" s="213"/>
      <c r="C20" s="214"/>
      <c r="D20" s="215"/>
      <c r="E20" s="221"/>
      <c r="F20" s="224"/>
      <c r="G20" s="228"/>
      <c r="H20" s="229"/>
      <c r="I20" s="792"/>
      <c r="J20" s="212">
        <f>+'4'!J20</f>
        <v>0</v>
      </c>
      <c r="K20" s="235"/>
      <c r="L20" s="235"/>
      <c r="M20" s="117">
        <f>+K20+'4'!M20+L20</f>
        <v>0</v>
      </c>
    </row>
    <row r="21" spans="1:19" ht="13.8" thickBot="1">
      <c r="A21" s="789"/>
      <c r="B21" s="213"/>
      <c r="C21" s="214"/>
      <c r="D21" s="215"/>
      <c r="E21" s="221"/>
      <c r="F21" s="227"/>
      <c r="G21" s="228"/>
      <c r="H21" s="229"/>
      <c r="I21" s="792"/>
      <c r="J21" s="212">
        <f>+'4'!J21</f>
        <v>0</v>
      </c>
      <c r="K21" s="234"/>
      <c r="L21" s="234"/>
      <c r="M21" s="117">
        <f>+K21+'4'!M21+L21</f>
        <v>0</v>
      </c>
    </row>
    <row r="22" spans="1:19" ht="13.8" thickBot="1">
      <c r="A22" s="789"/>
      <c r="B22" s="213"/>
      <c r="C22" s="214"/>
      <c r="D22" s="215"/>
      <c r="E22" s="221"/>
      <c r="F22" s="231"/>
      <c r="G22" s="228"/>
      <c r="H22" s="229"/>
      <c r="I22" s="793"/>
      <c r="J22" s="212">
        <f>+'4'!J22</f>
        <v>0</v>
      </c>
      <c r="K22" s="234"/>
      <c r="L22" s="234"/>
      <c r="M22" s="117">
        <f>+K22+'4'!M22+L22</f>
        <v>0</v>
      </c>
    </row>
    <row r="23" spans="1:19" ht="13.8" thickBot="1">
      <c r="A23" s="790"/>
      <c r="B23" s="165" t="s">
        <v>3</v>
      </c>
      <c r="C23" s="99">
        <f>SUM(C16:C22)</f>
        <v>17816</v>
      </c>
      <c r="D23" s="111">
        <f>SUM(D16:D22)</f>
        <v>0</v>
      </c>
      <c r="E23" s="112">
        <f>SUM(E18:E22)</f>
        <v>0</v>
      </c>
      <c r="F23" s="116">
        <f>SUM(F15:F22)</f>
        <v>6</v>
      </c>
      <c r="G23" s="159"/>
      <c r="H23" s="166"/>
      <c r="I23" s="168"/>
      <c r="J23" s="212">
        <f>+'4'!J23</f>
        <v>0</v>
      </c>
      <c r="K23" s="234"/>
      <c r="L23" s="234"/>
      <c r="M23" s="117">
        <f>+K23+'4'!M23+L23</f>
        <v>0</v>
      </c>
    </row>
    <row r="24" spans="1:19" ht="13.5" customHeight="1" thickBot="1">
      <c r="A24" s="794" t="s">
        <v>458</v>
      </c>
      <c r="B24" s="513"/>
      <c r="C24" s="113">
        <f>C23/($C$23+$D$23+$E$23)</f>
        <v>1</v>
      </c>
      <c r="D24" s="114">
        <f>D23/($C$23+$D$23+$E$23)</f>
        <v>0</v>
      </c>
      <c r="E24" s="115">
        <f>E23/($C$23+$D$23+$E$23)</f>
        <v>0</v>
      </c>
      <c r="F24" s="231">
        <v>4</v>
      </c>
      <c r="G24" s="553" t="s">
        <v>12</v>
      </c>
      <c r="H24" s="554" t="s">
        <v>445</v>
      </c>
      <c r="I24" s="791" t="s">
        <v>468</v>
      </c>
      <c r="J24" s="212">
        <f>+'4'!J24</f>
        <v>0</v>
      </c>
      <c r="K24" s="234"/>
      <c r="L24" s="234"/>
      <c r="M24" s="117">
        <f>+K24+'4'!M24+L24</f>
        <v>0</v>
      </c>
      <c r="N24" s="557"/>
    </row>
    <row r="25" spans="1:19" ht="13.8" thickBot="1">
      <c r="A25" s="789"/>
      <c r="B25" s="213" t="s">
        <v>480</v>
      </c>
      <c r="C25" s="222">
        <v>16373</v>
      </c>
      <c r="D25" s="215"/>
      <c r="E25" s="221"/>
      <c r="F25" s="227">
        <v>3</v>
      </c>
      <c r="G25" s="555" t="s">
        <v>12</v>
      </c>
      <c r="H25" s="226" t="s">
        <v>416</v>
      </c>
      <c r="I25" s="792"/>
      <c r="J25" s="212">
        <f>+'4'!J25</f>
        <v>0</v>
      </c>
      <c r="K25" s="234"/>
      <c r="L25" s="234"/>
      <c r="M25" s="117">
        <f>+K25+'4'!M25+L25</f>
        <v>0</v>
      </c>
      <c r="N25" s="534"/>
    </row>
    <row r="26" spans="1:19" ht="13.8" thickBot="1">
      <c r="A26" s="789"/>
      <c r="B26" s="213"/>
      <c r="C26" s="222"/>
      <c r="D26" s="215"/>
      <c r="E26" s="223"/>
      <c r="F26" s="227">
        <f>20-7</f>
        <v>13</v>
      </c>
      <c r="G26" s="555" t="s">
        <v>12</v>
      </c>
      <c r="H26" s="229" t="s">
        <v>497</v>
      </c>
      <c r="I26" s="792"/>
      <c r="J26" s="212">
        <f>+'4'!J26</f>
        <v>0</v>
      </c>
      <c r="K26" s="234"/>
      <c r="L26" s="234"/>
      <c r="M26" s="117">
        <f>+K26+'4'!M26+L26</f>
        <v>0</v>
      </c>
      <c r="Q26" s="174"/>
    </row>
    <row r="27" spans="1:19" ht="66.599999999999994" thickBot="1">
      <c r="A27" s="789"/>
      <c r="B27" s="213"/>
      <c r="C27" s="214"/>
      <c r="D27" s="215"/>
      <c r="E27" s="221"/>
      <c r="F27" s="227"/>
      <c r="G27" s="225"/>
      <c r="H27" s="556" t="s">
        <v>459</v>
      </c>
      <c r="I27" s="792"/>
      <c r="J27" s="212">
        <f>+'4'!J27</f>
        <v>0</v>
      </c>
      <c r="K27" s="234"/>
      <c r="L27" s="234"/>
      <c r="M27" s="117">
        <f>+K27+'4'!M27+L27</f>
        <v>0</v>
      </c>
      <c r="R27" s="174"/>
      <c r="S27" s="174"/>
    </row>
    <row r="28" spans="1:19" ht="53.4" thickBot="1">
      <c r="A28" s="789"/>
      <c r="B28" s="213"/>
      <c r="C28" s="214"/>
      <c r="D28" s="215"/>
      <c r="E28" s="221"/>
      <c r="F28" s="227"/>
      <c r="G28" s="225"/>
      <c r="H28" s="229" t="s">
        <v>493</v>
      </c>
      <c r="I28" s="792"/>
      <c r="J28" s="212">
        <f>+'4'!J28</f>
        <v>0</v>
      </c>
      <c r="K28" s="234"/>
      <c r="L28" s="234"/>
      <c r="M28" s="117">
        <f>+K28+'4'!M28+L28</f>
        <v>0</v>
      </c>
    </row>
    <row r="29" spans="1:19" ht="13.8" thickBot="1">
      <c r="A29" s="789"/>
      <c r="B29" s="213"/>
      <c r="C29" s="214"/>
      <c r="D29" s="215"/>
      <c r="E29" s="221"/>
      <c r="F29" s="231"/>
      <c r="G29" s="228"/>
      <c r="H29" s="229"/>
      <c r="I29" s="792"/>
      <c r="J29" s="212">
        <f>+'4'!J29</f>
        <v>0</v>
      </c>
      <c r="K29" s="234"/>
      <c r="L29" s="234"/>
      <c r="M29" s="117">
        <f>+K29+'4'!M29+L29</f>
        <v>0</v>
      </c>
    </row>
    <row r="30" spans="1:19" ht="13.8" thickBot="1">
      <c r="A30" s="789"/>
      <c r="B30" s="213"/>
      <c r="C30" s="222"/>
      <c r="D30" s="215"/>
      <c r="E30" s="221"/>
      <c r="F30" s="231"/>
      <c r="G30" s="228"/>
      <c r="H30" s="229"/>
      <c r="I30" s="792"/>
      <c r="J30" s="212">
        <f>+'4'!J30</f>
        <v>0</v>
      </c>
      <c r="K30" s="234"/>
      <c r="L30" s="234"/>
      <c r="M30" s="117">
        <f>+K30+'4'!M30+L30</f>
        <v>0</v>
      </c>
      <c r="N30" s="155"/>
    </row>
    <row r="31" spans="1:19" ht="13.8" thickBot="1">
      <c r="A31" s="789"/>
      <c r="B31" s="213"/>
      <c r="C31" s="222"/>
      <c r="D31" s="215"/>
      <c r="E31" s="221"/>
      <c r="F31" s="231"/>
      <c r="G31" s="232"/>
      <c r="H31" s="404"/>
      <c r="I31" s="793"/>
      <c r="J31" s="212">
        <f>+'4'!J31</f>
        <v>0</v>
      </c>
      <c r="K31" s="234"/>
      <c r="L31" s="234"/>
      <c r="M31" s="117">
        <f>+K31+'4'!M31+L31</f>
        <v>0</v>
      </c>
    </row>
    <row r="32" spans="1:19" ht="13.8" thickBot="1">
      <c r="A32" s="790"/>
      <c r="B32" s="165" t="s">
        <v>3</v>
      </c>
      <c r="C32" s="99">
        <f>SUM(C25:C31)</f>
        <v>16373</v>
      </c>
      <c r="D32" s="100">
        <f>SUM(D25:D31)</f>
        <v>0</v>
      </c>
      <c r="E32" s="101">
        <f>SUM(E25:E31)</f>
        <v>0</v>
      </c>
      <c r="F32" s="99">
        <f>SUM(F24:F31)</f>
        <v>20</v>
      </c>
      <c r="G32" s="169"/>
      <c r="H32" s="170"/>
      <c r="I32" s="168"/>
      <c r="J32" s="212">
        <f>+'4'!J32</f>
        <v>0</v>
      </c>
      <c r="K32" s="236"/>
      <c r="L32" s="238"/>
      <c r="M32" s="117">
        <v>0</v>
      </c>
    </row>
    <row r="33" spans="1:14" ht="13.8" thickBot="1">
      <c r="A33" s="171"/>
      <c r="B33" s="172"/>
      <c r="C33" s="103">
        <f>C32/($C$32+$D$32+$E$32)</f>
        <v>1</v>
      </c>
      <c r="D33" s="104">
        <f>D32/($C$32+$D$32+$E$32)</f>
        <v>0</v>
      </c>
      <c r="E33" s="105">
        <f>E32/($C$32+$D$32+$E$32)</f>
        <v>0</v>
      </c>
      <c r="F33" s="106"/>
      <c r="G33" s="173"/>
      <c r="H33" s="174"/>
      <c r="I33" s="175"/>
      <c r="J33" s="121"/>
      <c r="K33" s="122"/>
      <c r="L33" s="211"/>
      <c r="M33" s="119"/>
    </row>
    <row r="34" spans="1:14" ht="13.8" thickBot="1">
      <c r="A34" s="795" t="s">
        <v>68</v>
      </c>
      <c r="B34" s="796"/>
      <c r="C34" s="107">
        <f>C14+C23+C32</f>
        <v>54178</v>
      </c>
      <c r="D34" s="107">
        <f>D14+D23+D32</f>
        <v>0</v>
      </c>
      <c r="E34" s="107">
        <f>E14+E23+E32</f>
        <v>0</v>
      </c>
      <c r="F34" s="108">
        <f>F14+F23+F32</f>
        <v>31</v>
      </c>
      <c r="H34" s="176"/>
      <c r="I34" s="176"/>
      <c r="J34" s="123" t="s">
        <v>28</v>
      </c>
      <c r="K34" s="124">
        <f>SUM(K7:K32)</f>
        <v>54178</v>
      </c>
      <c r="L34" s="210">
        <f>SUM(L7:L32)</f>
        <v>0</v>
      </c>
      <c r="M34" s="120">
        <f>SUM(M7:M32)</f>
        <v>252417</v>
      </c>
      <c r="N34" s="155"/>
    </row>
    <row r="35" spans="1:14" ht="13.8" thickBot="1">
      <c r="A35" s="177"/>
      <c r="B35" s="178"/>
      <c r="C35" s="104">
        <f>C34/($C$34+$D$34+$E$34)</f>
        <v>1</v>
      </c>
      <c r="D35" s="104">
        <f>D34/($C$34+$D$34+$E$34)</f>
        <v>0</v>
      </c>
      <c r="E35" s="109">
        <f>E34/($C$34+$D$34+$E$34)</f>
        <v>0</v>
      </c>
      <c r="K35" s="155"/>
    </row>
    <row r="36" spans="1:14" ht="13.8" thickBot="1">
      <c r="A36" s="176"/>
      <c r="B36" s="176"/>
      <c r="C36" s="155"/>
      <c r="D36" s="155"/>
      <c r="E36" s="155"/>
      <c r="G36" s="155"/>
      <c r="H36" s="179"/>
      <c r="I36" s="162" t="s">
        <v>37</v>
      </c>
      <c r="J36" s="162" t="s">
        <v>38</v>
      </c>
      <c r="K36" s="180"/>
    </row>
    <row r="37" spans="1:14" ht="17.399999999999999" customHeight="1" thickBot="1">
      <c r="A37" s="797" t="s">
        <v>69</v>
      </c>
      <c r="B37" s="798"/>
      <c r="C37" s="162" t="s">
        <v>70</v>
      </c>
      <c r="D37" s="181" t="s">
        <v>71</v>
      </c>
      <c r="E37" s="182" t="s">
        <v>72</v>
      </c>
      <c r="F37" s="304"/>
      <c r="G37" s="306"/>
      <c r="H37" s="184" t="s">
        <v>73</v>
      </c>
      <c r="I37" s="239">
        <f>(14.5*1440)/1440*G42*2.7*1440/1000000</f>
        <v>54.459215999999998</v>
      </c>
      <c r="J37" s="125">
        <f>+I37+'4'!J37</f>
        <v>260.57472963587742</v>
      </c>
      <c r="K37" s="126" t="s">
        <v>74</v>
      </c>
    </row>
    <row r="38" spans="1:14" ht="17.399999999999999" customHeight="1">
      <c r="A38" s="799" t="s">
        <v>12</v>
      </c>
      <c r="B38" s="800"/>
      <c r="C38" s="164">
        <f>SUMIF($G$7:$G$31,"Process",$F$7:$F$31)</f>
        <v>31</v>
      </c>
      <c r="D38" s="118">
        <f>C38+'4'!D38</f>
        <v>157</v>
      </c>
      <c r="E38" s="143">
        <f t="shared" ref="E38:E52" si="5">D38/60</f>
        <v>2.6166666666666667</v>
      </c>
      <c r="F38" s="304">
        <v>1150</v>
      </c>
      <c r="G38" s="304">
        <v>966</v>
      </c>
      <c r="H38" s="185" t="s">
        <v>75</v>
      </c>
      <c r="I38" s="240">
        <f>18.303+17.944+16.429</f>
        <v>52.676000000000002</v>
      </c>
      <c r="J38" s="127">
        <f>+I38+'4'!J38</f>
        <v>246.53399999999999</v>
      </c>
      <c r="K38" s="128" t="s">
        <v>74</v>
      </c>
    </row>
    <row r="39" spans="1:14" ht="17.399999999999999" customHeight="1">
      <c r="A39" s="786" t="s">
        <v>13</v>
      </c>
      <c r="B39" s="787"/>
      <c r="C39" s="164">
        <f>SUMIF($G$7:$G$31,"Cleaning",$F$7:$F$31)</f>
        <v>0</v>
      </c>
      <c r="D39" s="118">
        <f>C39+'4'!D39</f>
        <v>0</v>
      </c>
      <c r="E39" s="143">
        <f t="shared" si="5"/>
        <v>0</v>
      </c>
      <c r="F39" s="304">
        <v>1150</v>
      </c>
      <c r="G39" s="304">
        <v>966</v>
      </c>
      <c r="H39" s="185" t="s">
        <v>76</v>
      </c>
      <c r="I39" s="142"/>
      <c r="J39" s="129">
        <f>J37/G4</f>
        <v>52.114945927175484</v>
      </c>
      <c r="K39" s="130" t="s">
        <v>74</v>
      </c>
      <c r="M39" s="155"/>
    </row>
    <row r="40" spans="1:14" ht="17.399999999999999" customHeight="1">
      <c r="A40" s="786" t="s">
        <v>77</v>
      </c>
      <c r="B40" s="787"/>
      <c r="C40" s="164">
        <f>SUMIF($G$7:$G$31,"Mechanical",$F$7:$F$31)</f>
        <v>0</v>
      </c>
      <c r="D40" s="118">
        <f>C40+'4'!D40</f>
        <v>0</v>
      </c>
      <c r="E40" s="143">
        <f t="shared" si="5"/>
        <v>0</v>
      </c>
      <c r="F40" s="304">
        <v>1150</v>
      </c>
      <c r="G40" s="304">
        <v>966</v>
      </c>
      <c r="H40" s="185" t="s">
        <v>78</v>
      </c>
      <c r="I40" s="118">
        <f>(K34+L34)/1000</f>
        <v>54.177999999999997</v>
      </c>
      <c r="J40" s="131">
        <f>+I40+'4'!J40</f>
        <v>252.417</v>
      </c>
      <c r="K40" s="130" t="s">
        <v>74</v>
      </c>
    </row>
    <row r="41" spans="1:14" ht="17.399999999999999" customHeight="1">
      <c r="A41" s="786" t="s">
        <v>79</v>
      </c>
      <c r="B41" s="787"/>
      <c r="C41" s="164">
        <f>SUMIF($G$7:$G$31,"Electrical",$F$7:$F$31)</f>
        <v>0</v>
      </c>
      <c r="D41" s="118">
        <f>C41+'4'!D41</f>
        <v>0</v>
      </c>
      <c r="E41" s="143">
        <f t="shared" si="5"/>
        <v>0</v>
      </c>
      <c r="F41" s="304"/>
      <c r="G41" s="304"/>
      <c r="H41" s="185" t="s">
        <v>80</v>
      </c>
      <c r="I41" s="142"/>
      <c r="J41" s="129">
        <f>J40/G4</f>
        <v>50.483400000000003</v>
      </c>
      <c r="K41" s="130" t="s">
        <v>74</v>
      </c>
    </row>
    <row r="42" spans="1:14" ht="17.399999999999999" customHeight="1">
      <c r="A42" s="786" t="s">
        <v>16</v>
      </c>
      <c r="B42" s="787"/>
      <c r="C42" s="164">
        <f>SUMIF($G$7:$G$31,"Instrument",$F$7:$F$31)</f>
        <v>0</v>
      </c>
      <c r="D42" s="118">
        <f>C42+'4'!D42</f>
        <v>0</v>
      </c>
      <c r="E42" s="143">
        <f t="shared" si="5"/>
        <v>0</v>
      </c>
      <c r="F42" s="183">
        <f>+(F38*480+F39*480+F40*480)/1440</f>
        <v>1150</v>
      </c>
      <c r="G42" s="183">
        <f>+(G38*480+G39*480+G40*480)/1440</f>
        <v>966</v>
      </c>
      <c r="H42" s="185" t="s">
        <v>81</v>
      </c>
      <c r="I42" s="241" t="s">
        <v>468</v>
      </c>
      <c r="J42" s="132"/>
      <c r="K42" s="130" t="s">
        <v>82</v>
      </c>
    </row>
    <row r="43" spans="1:14" ht="17.399999999999999" customHeight="1">
      <c r="A43" s="786" t="s">
        <v>83</v>
      </c>
      <c r="B43" s="787"/>
      <c r="C43" s="164">
        <f>SUMIF($G$7:$G$31,"Water",$F$7:$F$31)</f>
        <v>0</v>
      </c>
      <c r="D43" s="118">
        <f>C43+'4'!D43</f>
        <v>0</v>
      </c>
      <c r="E43" s="143">
        <f t="shared" si="5"/>
        <v>0</v>
      </c>
      <c r="F43" s="304"/>
      <c r="G43" s="305"/>
      <c r="H43" s="186" t="s">
        <v>84</v>
      </c>
      <c r="I43" s="118">
        <f>+Report1!Z13</f>
        <v>96.2</v>
      </c>
      <c r="J43" s="133">
        <f>+I43+'4'!J43</f>
        <v>496.92</v>
      </c>
      <c r="K43" s="130" t="s">
        <v>74</v>
      </c>
      <c r="L43" s="187"/>
    </row>
    <row r="44" spans="1:14" ht="17.399999999999999" customHeight="1">
      <c r="A44" s="786" t="s">
        <v>17</v>
      </c>
      <c r="B44" s="787"/>
      <c r="C44" s="164">
        <f>SUMIF($G$7:$G$31,"PLN",$F$7:$F$31)</f>
        <v>0</v>
      </c>
      <c r="D44" s="118">
        <f>C44+'4'!D44</f>
        <v>0</v>
      </c>
      <c r="E44" s="143">
        <f t="shared" si="5"/>
        <v>0</v>
      </c>
      <c r="F44" s="304"/>
      <c r="G44" s="305"/>
      <c r="H44" s="186" t="s">
        <v>85</v>
      </c>
      <c r="I44" s="118">
        <f>I43/I38</f>
        <v>1.8262586377097729</v>
      </c>
      <c r="J44" s="134">
        <f>J43/J38</f>
        <v>2.015624619727908</v>
      </c>
      <c r="K44" s="130" t="s">
        <v>74</v>
      </c>
    </row>
    <row r="45" spans="1:14" ht="17.399999999999999" customHeight="1">
      <c r="A45" s="786" t="s">
        <v>18</v>
      </c>
      <c r="B45" s="787"/>
      <c r="C45" s="164">
        <f>SUMIF($G$7:$G$31,"Boiler",$F$7:$F$31)</f>
        <v>0</v>
      </c>
      <c r="D45" s="118">
        <f>C45+'4'!D45</f>
        <v>0</v>
      </c>
      <c r="E45" s="143">
        <f t="shared" si="5"/>
        <v>0</v>
      </c>
      <c r="F45" s="304"/>
      <c r="G45" s="307"/>
      <c r="H45" s="186" t="s">
        <v>86</v>
      </c>
      <c r="I45" s="118">
        <f>I43/I40</f>
        <v>1.7756284838864484</v>
      </c>
      <c r="J45" s="134">
        <f>J43/J40</f>
        <v>1.9686471196472504</v>
      </c>
      <c r="K45" s="130" t="s">
        <v>74</v>
      </c>
    </row>
    <row r="46" spans="1:14" ht="17.399999999999999" customHeight="1">
      <c r="A46" s="786" t="s">
        <v>87</v>
      </c>
      <c r="B46" s="787"/>
      <c r="C46" s="164">
        <f>SUMIF($G$7:$G$31,"Gas",$F$7:$F$31)</f>
        <v>0</v>
      </c>
      <c r="D46" s="118">
        <f>C46+'4'!D46</f>
        <v>0</v>
      </c>
      <c r="E46" s="143">
        <f t="shared" si="5"/>
        <v>0</v>
      </c>
      <c r="F46" s="304"/>
      <c r="G46" s="305"/>
      <c r="H46" s="186" t="s">
        <v>88</v>
      </c>
      <c r="I46" s="140">
        <f>+SUMIF(Listrik!X12,"&gt;0")</f>
        <v>37494.22133385545</v>
      </c>
      <c r="J46" s="135">
        <f>+I46+'4'!J46</f>
        <v>180005.5859123219</v>
      </c>
      <c r="K46" s="130" t="s">
        <v>89</v>
      </c>
    </row>
    <row r="47" spans="1:14" ht="17.399999999999999" customHeight="1">
      <c r="A47" s="786" t="s">
        <v>90</v>
      </c>
      <c r="B47" s="787"/>
      <c r="C47" s="164">
        <f>SUMIF($G$7:$G$31,"Gas",$F$7:$F$31)</f>
        <v>0</v>
      </c>
      <c r="D47" s="118">
        <f>C47+'4'!D47</f>
        <v>0</v>
      </c>
      <c r="E47" s="143">
        <f t="shared" si="5"/>
        <v>0</v>
      </c>
      <c r="F47" s="304"/>
      <c r="G47" s="305"/>
      <c r="H47" s="186" t="s">
        <v>91</v>
      </c>
      <c r="I47" s="118">
        <f>I46/I38</f>
        <v>711.78945504319711</v>
      </c>
      <c r="J47" s="135">
        <f>J46/J38</f>
        <v>730.14507496865303</v>
      </c>
      <c r="K47" s="130" t="s">
        <v>24</v>
      </c>
    </row>
    <row r="48" spans="1:14" ht="17.399999999999999" customHeight="1">
      <c r="A48" s="786" t="s">
        <v>14</v>
      </c>
      <c r="B48" s="787"/>
      <c r="C48" s="164">
        <f>SUMIF($G$7:$G$31,"Start Up",$F$7:$F$31)</f>
        <v>0</v>
      </c>
      <c r="D48" s="118">
        <f>C48+'4'!D48</f>
        <v>0</v>
      </c>
      <c r="E48" s="143">
        <f t="shared" si="5"/>
        <v>0</v>
      </c>
      <c r="F48" s="304"/>
      <c r="G48" s="305"/>
      <c r="H48" s="186" t="s">
        <v>92</v>
      </c>
      <c r="I48" s="118">
        <f>I46/I40</f>
        <v>692.05620978728359</v>
      </c>
      <c r="J48" s="135">
        <f>J46/J40</f>
        <v>713.12782384832201</v>
      </c>
      <c r="K48" s="130" t="s">
        <v>24</v>
      </c>
    </row>
    <row r="49" spans="1:11" ht="17.399999999999999" customHeight="1">
      <c r="A49" s="786" t="s">
        <v>20</v>
      </c>
      <c r="B49" s="787"/>
      <c r="C49" s="164">
        <f>SUMIF($G$7:$G$31,"Others",$F$7:$F$31)</f>
        <v>0</v>
      </c>
      <c r="D49" s="118">
        <f>C49+'4'!D49</f>
        <v>382</v>
      </c>
      <c r="E49" s="143">
        <f t="shared" si="5"/>
        <v>6.3666666666666663</v>
      </c>
      <c r="F49" s="183"/>
      <c r="H49" s="186" t="s">
        <v>268</v>
      </c>
      <c r="I49" s="118">
        <f>+Report1!T13</f>
        <v>3824.0561458743277</v>
      </c>
      <c r="J49" s="135">
        <f>+I49+'4'!J49</f>
        <v>18775.874238227749</v>
      </c>
      <c r="K49" s="130" t="s">
        <v>93</v>
      </c>
    </row>
    <row r="50" spans="1:11" ht="17.399999999999999" customHeight="1">
      <c r="A50" s="786" t="s">
        <v>19</v>
      </c>
      <c r="B50" s="787"/>
      <c r="C50" s="164">
        <f>SUMIF($G$7:$G$31,"Steam",$F$7:$F$31)</f>
        <v>0</v>
      </c>
      <c r="D50" s="118">
        <f>C50+'4'!D50</f>
        <v>0</v>
      </c>
      <c r="E50" s="143">
        <f t="shared" si="5"/>
        <v>0</v>
      </c>
      <c r="F50" s="183"/>
      <c r="H50" s="186" t="s">
        <v>94</v>
      </c>
      <c r="I50" s="140">
        <f>I49/I38</f>
        <v>72.59579591985586</v>
      </c>
      <c r="J50" s="133">
        <f>J49/J38</f>
        <v>76.159370465038293</v>
      </c>
      <c r="K50" s="130" t="s">
        <v>93</v>
      </c>
    </row>
    <row r="51" spans="1:11" ht="17.399999999999999" customHeight="1">
      <c r="A51" s="803" t="s">
        <v>95</v>
      </c>
      <c r="B51" s="803"/>
      <c r="C51" s="164">
        <f>SUMIF($G$7:$G$31,"Planned shut",$F$7:$F$31)</f>
        <v>0</v>
      </c>
      <c r="D51" s="118">
        <f>C51+'4'!D51</f>
        <v>0</v>
      </c>
      <c r="E51" s="143">
        <f t="shared" si="5"/>
        <v>0</v>
      </c>
      <c r="F51" s="183"/>
      <c r="H51" s="188" t="s">
        <v>96</v>
      </c>
      <c r="I51" s="141">
        <f>I49/I40</f>
        <v>70.58319144070154</v>
      </c>
      <c r="J51" s="136">
        <f>J49/J40</f>
        <v>74.384349066139563</v>
      </c>
      <c r="K51" s="137" t="s">
        <v>93</v>
      </c>
    </row>
    <row r="52" spans="1:11" ht="13.8" thickBot="1">
      <c r="A52" s="804" t="s">
        <v>218</v>
      </c>
      <c r="B52" s="805"/>
      <c r="C52" s="164">
        <f>SUMIF($G$7:$G$31,"Change Grade",$F$7:$F$31)</f>
        <v>0</v>
      </c>
      <c r="D52" s="118">
        <f>C52+'4'!D52</f>
        <v>0</v>
      </c>
      <c r="E52" s="143">
        <f t="shared" si="5"/>
        <v>0</v>
      </c>
      <c r="F52" s="183"/>
      <c r="H52" s="189"/>
      <c r="I52" s="190"/>
      <c r="J52" s="138"/>
      <c r="K52" s="139"/>
    </row>
    <row r="53" spans="1:11">
      <c r="A53" s="799" t="s">
        <v>28</v>
      </c>
      <c r="B53" s="800"/>
      <c r="C53" s="144">
        <f>SUM(C38:C52)</f>
        <v>31</v>
      </c>
      <c r="D53" s="144">
        <f>SUM(D38:D52)</f>
        <v>539</v>
      </c>
      <c r="E53" s="145">
        <f>SUM(E38:E52)</f>
        <v>8.9833333333333325</v>
      </c>
      <c r="F53" s="183"/>
    </row>
    <row r="54" spans="1:11" ht="13.8" thickBot="1">
      <c r="A54" s="801"/>
      <c r="B54" s="802"/>
      <c r="C54" s="146">
        <f>C53/(24*60)</f>
        <v>2.1527777777777778E-2</v>
      </c>
      <c r="D54" s="146">
        <f>D53/(24*60*G4)</f>
        <v>7.4861111111111114E-2</v>
      </c>
      <c r="E54" s="147">
        <f>E53/(G4*24)</f>
        <v>7.4861111111111101E-2</v>
      </c>
      <c r="F54" s="183"/>
    </row>
    <row r="55" spans="1:11">
      <c r="E55" s="191"/>
    </row>
    <row r="56" spans="1:11">
      <c r="A56" s="192" t="s">
        <v>97</v>
      </c>
      <c r="B56" s="193"/>
      <c r="C56" s="194"/>
      <c r="D56" s="194"/>
      <c r="E56" s="194"/>
      <c r="F56" s="195"/>
      <c r="G56" s="194"/>
      <c r="H56" s="196"/>
      <c r="I56" s="197" t="s">
        <v>98</v>
      </c>
      <c r="J56" s="198">
        <f>+D34+'4'!J56</f>
        <v>0</v>
      </c>
      <c r="K56" s="199">
        <f>J56/(J40+J56/1000)/1000</f>
        <v>0</v>
      </c>
    </row>
    <row r="57" spans="1:11">
      <c r="A57" s="174"/>
      <c r="I57" s="197" t="s">
        <v>99</v>
      </c>
      <c r="J57" s="198">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17" right="0.16" top="0.17" bottom="0.14027777777777778" header="0" footer="0"/>
  <pageSetup paperSize="9" scale="55"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C61"/>
  <sheetViews>
    <sheetView view="pageBreakPreview" topLeftCell="I4" zoomScale="80" zoomScaleNormal="80" zoomScaleSheetLayoutView="80" workbookViewId="0">
      <selection activeCell="T15" sqref="T15:AC18"/>
    </sheetView>
  </sheetViews>
  <sheetFormatPr defaultRowHeight="13.2"/>
  <cols>
    <col min="1" max="1" width="8" customWidth="1"/>
    <col min="2" max="2" width="7" customWidth="1"/>
    <col min="3" max="3" width="14.88671875" customWidth="1"/>
    <col min="4" max="4" width="12.6640625" customWidth="1"/>
    <col min="5" max="5" width="13.88671875" customWidth="1"/>
    <col min="6" max="6" width="12.109375" customWidth="1"/>
    <col min="7" max="7" width="11.44140625" customWidth="1"/>
    <col min="8" max="8" width="64.88671875" customWidth="1"/>
    <col min="9" max="9" width="14.6640625" customWidth="1"/>
    <col min="10" max="10" width="14.5546875" customWidth="1"/>
    <col min="11" max="11" width="14" customWidth="1"/>
    <col min="12" max="12" width="8.109375" customWidth="1"/>
    <col min="13" max="13" width="15.33203125" customWidth="1"/>
  </cols>
  <sheetData>
    <row r="1" spans="1:29" ht="15.6">
      <c r="A1" s="148"/>
      <c r="B1" s="149"/>
      <c r="C1" s="149"/>
      <c r="D1" s="149"/>
      <c r="E1" s="149"/>
      <c r="F1" s="110"/>
      <c r="G1" s="149"/>
      <c r="H1" s="149"/>
      <c r="I1" s="149"/>
      <c r="J1" s="149"/>
      <c r="K1" s="149"/>
      <c r="L1" s="149"/>
      <c r="M1" s="149"/>
      <c r="V1" s="557"/>
      <c r="W1" s="149"/>
      <c r="X1" s="149"/>
      <c r="Y1" s="149"/>
      <c r="Z1" s="149"/>
      <c r="AA1" s="149"/>
    </row>
    <row r="2" spans="1:29" ht="15.6">
      <c r="A2" s="148" t="s">
        <v>219</v>
      </c>
      <c r="B2" s="149"/>
      <c r="C2" s="149"/>
      <c r="D2" s="149"/>
      <c r="E2" s="149"/>
      <c r="F2" s="110"/>
      <c r="G2" s="149"/>
      <c r="H2" s="149"/>
      <c r="I2" s="149"/>
      <c r="J2" s="149"/>
      <c r="K2" s="149"/>
      <c r="L2" s="149"/>
      <c r="M2" s="149"/>
      <c r="V2" s="517"/>
      <c r="W2" s="518"/>
      <c r="X2" s="518"/>
      <c r="Y2" s="518"/>
      <c r="Z2" s="149"/>
      <c r="AA2" s="149"/>
    </row>
    <row r="3" spans="1:29" ht="15">
      <c r="A3" s="150"/>
      <c r="B3" s="149"/>
      <c r="C3" s="149"/>
      <c r="D3" s="149"/>
      <c r="E3" s="149"/>
      <c r="F3" s="110"/>
      <c r="G3" s="149"/>
      <c r="H3" s="149"/>
      <c r="I3" s="149"/>
      <c r="J3" s="149"/>
      <c r="K3" s="149"/>
      <c r="L3" s="149"/>
      <c r="M3" s="149"/>
      <c r="V3" s="517"/>
      <c r="W3" s="518"/>
      <c r="X3" s="518"/>
      <c r="Y3" s="518"/>
      <c r="Z3" s="149"/>
      <c r="AA3" s="149"/>
    </row>
    <row r="4" spans="1:29" ht="21">
      <c r="A4" s="151" t="s">
        <v>4</v>
      </c>
      <c r="B4" s="152"/>
      <c r="C4" s="149"/>
      <c r="D4" s="149"/>
      <c r="E4" s="149"/>
      <c r="F4" s="153" t="s">
        <v>29</v>
      </c>
      <c r="G4" s="154">
        <v>4</v>
      </c>
      <c r="H4" s="154" t="str">
        <f>+'1'!H4</f>
        <v>.03.26</v>
      </c>
      <c r="I4" s="149"/>
      <c r="J4" s="149">
        <f>512+699+538</f>
        <v>1749</v>
      </c>
      <c r="K4" s="149"/>
      <c r="L4" s="149"/>
      <c r="M4" s="149"/>
      <c r="V4" s="357"/>
      <c r="W4" s="357"/>
      <c r="X4" s="357"/>
      <c r="Y4" s="559"/>
      <c r="Z4" s="357"/>
      <c r="AA4" s="357"/>
    </row>
    <row r="5" spans="1:29" ht="13.8" thickBot="1">
      <c r="A5" s="149"/>
      <c r="B5" s="149"/>
      <c r="C5" s="155"/>
      <c r="D5" s="155"/>
      <c r="E5" s="149"/>
      <c r="F5" s="110"/>
      <c r="G5" s="149"/>
      <c r="H5" s="149"/>
      <c r="I5" s="149"/>
      <c r="J5" s="149"/>
      <c r="K5" s="149"/>
      <c r="L5" s="149"/>
      <c r="M5" s="149"/>
      <c r="V5" s="357"/>
      <c r="W5" s="357"/>
      <c r="X5" s="357"/>
      <c r="Y5" s="357"/>
      <c r="Z5" s="559"/>
      <c r="AA5" s="559"/>
    </row>
    <row r="6" spans="1:29" ht="26.25" customHeight="1"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410</v>
      </c>
      <c r="O6" s="149">
        <v>1125</v>
      </c>
      <c r="P6" s="149">
        <f>+O6-(O6*0.16)</f>
        <v>945</v>
      </c>
      <c r="Q6" s="149">
        <v>60</v>
      </c>
      <c r="R6" s="149">
        <f t="shared" ref="R6:R7" si="0">+O6*Q6</f>
        <v>67500</v>
      </c>
      <c r="S6" s="149">
        <f t="shared" ref="S6:S7" si="1">+P6*Q6</f>
        <v>56700</v>
      </c>
      <c r="U6" s="149" t="s">
        <v>465</v>
      </c>
      <c r="V6" s="149">
        <v>1150</v>
      </c>
      <c r="W6" s="149">
        <v>966</v>
      </c>
      <c r="X6" s="149">
        <v>305</v>
      </c>
      <c r="Y6" s="149">
        <f t="shared" ref="Y6" si="2">+V6*X6</f>
        <v>350750</v>
      </c>
      <c r="Z6" s="149">
        <f t="shared" ref="Z6" si="3">+W6*X6</f>
        <v>294630</v>
      </c>
    </row>
    <row r="7" spans="1:29" ht="13.5" customHeight="1" thickBot="1">
      <c r="A7" s="788" t="s">
        <v>428</v>
      </c>
      <c r="B7" s="213" t="s">
        <v>430</v>
      </c>
      <c r="C7" s="214">
        <v>7075</v>
      </c>
      <c r="D7" s="215"/>
      <c r="E7" s="216"/>
      <c r="F7" s="231"/>
      <c r="G7" s="553" t="s">
        <v>12</v>
      </c>
      <c r="H7" s="554" t="s">
        <v>417</v>
      </c>
      <c r="I7" s="791" t="s">
        <v>466</v>
      </c>
      <c r="J7" s="212" t="str">
        <f>+'3'!J7</f>
        <v>T 15 RC HW</v>
      </c>
      <c r="K7" s="233">
        <f>+C7</f>
        <v>7075</v>
      </c>
      <c r="L7" s="237"/>
      <c r="M7" s="117">
        <f>+K7+'3'!M7+L7</f>
        <v>165634</v>
      </c>
      <c r="N7" s="149" t="s">
        <v>465</v>
      </c>
      <c r="O7" s="149">
        <v>1150</v>
      </c>
      <c r="P7" s="149">
        <f t="shared" ref="P7" si="4">+O7-(O7*0.16)</f>
        <v>966</v>
      </c>
      <c r="Q7" s="149">
        <f>60*5+5</f>
        <v>305</v>
      </c>
      <c r="R7" s="149">
        <f t="shared" si="0"/>
        <v>350750</v>
      </c>
      <c r="S7" s="149">
        <f t="shared" si="1"/>
        <v>294630</v>
      </c>
      <c r="U7" s="149" t="s">
        <v>465</v>
      </c>
      <c r="V7" s="149">
        <v>1000</v>
      </c>
      <c r="W7" s="149">
        <v>840</v>
      </c>
      <c r="X7" s="149">
        <v>61</v>
      </c>
      <c r="Y7" s="149">
        <f t="shared" ref="Y7:Y10" si="5">+V7*X7</f>
        <v>61000</v>
      </c>
      <c r="Z7" s="149">
        <f t="shared" ref="Z7:Z10" si="6">+W7*X7</f>
        <v>51240</v>
      </c>
    </row>
    <row r="8" spans="1:29" ht="13.8" thickBot="1">
      <c r="A8" s="789"/>
      <c r="B8" s="213" t="s">
        <v>480</v>
      </c>
      <c r="C8" s="214">
        <v>12131</v>
      </c>
      <c r="D8" s="215"/>
      <c r="E8" s="217"/>
      <c r="F8" s="227"/>
      <c r="G8" s="555" t="s">
        <v>12</v>
      </c>
      <c r="H8" s="226" t="s">
        <v>419</v>
      </c>
      <c r="I8" s="792"/>
      <c r="J8" s="212" t="s">
        <v>480</v>
      </c>
      <c r="K8" s="234">
        <f>+C8+C16+C25</f>
        <v>32605</v>
      </c>
      <c r="L8" s="234"/>
      <c r="M8" s="117">
        <f>+K8+'3'!M8+L8</f>
        <v>32605</v>
      </c>
      <c r="N8" s="149"/>
      <c r="O8" s="149"/>
      <c r="P8" s="149"/>
      <c r="Q8" s="149"/>
      <c r="R8" s="149"/>
      <c r="S8" s="149"/>
      <c r="U8" s="149"/>
      <c r="V8" s="149">
        <v>800</v>
      </c>
      <c r="W8" s="149">
        <v>672</v>
      </c>
      <c r="X8" s="149">
        <v>100</v>
      </c>
      <c r="Y8" s="149">
        <f t="shared" si="5"/>
        <v>80000</v>
      </c>
      <c r="Z8" s="149">
        <f t="shared" si="6"/>
        <v>67200</v>
      </c>
    </row>
    <row r="9" spans="1:29" ht="13.8" thickBot="1">
      <c r="A9" s="789"/>
      <c r="B9" s="213"/>
      <c r="C9" s="214"/>
      <c r="D9" s="215"/>
      <c r="E9" s="218"/>
      <c r="F9" s="227">
        <v>8</v>
      </c>
      <c r="G9" s="555" t="s">
        <v>12</v>
      </c>
      <c r="H9" s="229" t="s">
        <v>418</v>
      </c>
      <c r="I9" s="792"/>
      <c r="J9" s="212">
        <f>+'3'!J9</f>
        <v>0</v>
      </c>
      <c r="K9" s="234"/>
      <c r="L9" s="234"/>
      <c r="M9" s="117">
        <f>+K9+'3'!M9+L9</f>
        <v>0</v>
      </c>
      <c r="N9" s="149"/>
      <c r="O9" s="149"/>
      <c r="P9" s="149"/>
      <c r="Q9" s="149"/>
      <c r="R9" s="149"/>
      <c r="S9" s="149"/>
      <c r="U9" s="149"/>
      <c r="V9" s="149">
        <v>1150</v>
      </c>
      <c r="W9" s="149">
        <v>966</v>
      </c>
      <c r="X9" s="149">
        <v>86</v>
      </c>
      <c r="Y9" s="149">
        <f t="shared" si="5"/>
        <v>98900</v>
      </c>
      <c r="Z9" s="149">
        <f t="shared" si="6"/>
        <v>83076</v>
      </c>
    </row>
    <row r="10" spans="1:29" ht="79.8" thickBot="1">
      <c r="A10" s="789"/>
      <c r="B10" s="213"/>
      <c r="C10" s="214"/>
      <c r="D10" s="215"/>
      <c r="E10" s="217"/>
      <c r="F10" s="227">
        <f>40-5</f>
        <v>35</v>
      </c>
      <c r="G10" s="555" t="s">
        <v>12</v>
      </c>
      <c r="H10" s="556" t="s">
        <v>463</v>
      </c>
      <c r="I10" s="792"/>
      <c r="J10" s="212">
        <f>+'3'!J10</f>
        <v>0</v>
      </c>
      <c r="K10" s="234"/>
      <c r="L10" s="234"/>
      <c r="M10" s="117">
        <f>+K10+'3'!M10+L10</f>
        <v>0</v>
      </c>
      <c r="N10" s="149"/>
      <c r="O10" s="149"/>
      <c r="P10" s="149"/>
      <c r="Q10" s="149"/>
      <c r="R10" s="149"/>
      <c r="S10" s="149"/>
      <c r="U10" s="149" t="s">
        <v>465</v>
      </c>
      <c r="V10" s="149">
        <v>1150</v>
      </c>
      <c r="W10" s="149">
        <v>966</v>
      </c>
      <c r="X10" s="149">
        <v>480</v>
      </c>
      <c r="Y10" s="149">
        <f t="shared" si="5"/>
        <v>552000</v>
      </c>
      <c r="Z10" s="149">
        <f t="shared" si="6"/>
        <v>463680</v>
      </c>
    </row>
    <row r="11" spans="1:29" ht="132.75" customHeight="1" thickBot="1">
      <c r="A11" s="789"/>
      <c r="B11" s="213"/>
      <c r="C11" s="214"/>
      <c r="D11" s="215"/>
      <c r="E11" s="217"/>
      <c r="F11" s="224">
        <f>115-F10</f>
        <v>80</v>
      </c>
      <c r="G11" s="225" t="s">
        <v>20</v>
      </c>
      <c r="H11" s="229" t="s">
        <v>464</v>
      </c>
      <c r="I11" s="792"/>
      <c r="J11" s="212">
        <f>+'3'!J11</f>
        <v>0</v>
      </c>
      <c r="K11" s="234"/>
      <c r="L11" s="234"/>
      <c r="M11" s="117">
        <f>+K11+'3'!M11+L11</f>
        <v>0</v>
      </c>
      <c r="N11" s="149"/>
      <c r="O11" s="149"/>
      <c r="P11" s="149"/>
      <c r="Q11" s="149"/>
      <c r="R11" s="149"/>
      <c r="S11" s="149"/>
      <c r="U11" s="149"/>
      <c r="V11" s="149"/>
      <c r="W11" s="149"/>
      <c r="X11" s="149"/>
      <c r="Y11" s="149"/>
      <c r="Z11" s="149"/>
    </row>
    <row r="12" spans="1:29" ht="13.8" thickBot="1">
      <c r="A12" s="789"/>
      <c r="B12" s="213"/>
      <c r="C12" s="214"/>
      <c r="D12" s="215"/>
      <c r="E12" s="217"/>
      <c r="F12" s="224"/>
      <c r="G12" s="228"/>
      <c r="H12" s="229"/>
      <c r="I12" s="792"/>
      <c r="J12" s="212">
        <f>+'3'!J12</f>
        <v>0</v>
      </c>
      <c r="K12" s="234"/>
      <c r="L12" s="234"/>
      <c r="M12" s="117">
        <f>+K12+'3'!M12+L12</f>
        <v>0</v>
      </c>
      <c r="N12" s="149"/>
      <c r="O12" s="149"/>
      <c r="P12" s="149"/>
      <c r="Q12" s="149"/>
      <c r="R12" s="149"/>
      <c r="S12" s="149"/>
      <c r="U12" s="149"/>
      <c r="V12" s="149"/>
      <c r="W12" s="149"/>
      <c r="X12" s="149"/>
      <c r="Y12" s="149"/>
      <c r="Z12" s="149"/>
    </row>
    <row r="13" spans="1:29" ht="13.8" thickBot="1">
      <c r="A13" s="789"/>
      <c r="B13" s="213"/>
      <c r="C13" s="214"/>
      <c r="D13" s="214"/>
      <c r="E13" s="217"/>
      <c r="F13" s="224"/>
      <c r="G13" s="228"/>
      <c r="H13" s="229"/>
      <c r="I13" s="793"/>
      <c r="J13" s="212">
        <f>+'3'!J13</f>
        <v>0</v>
      </c>
      <c r="K13" s="234"/>
      <c r="L13" s="234"/>
      <c r="M13" s="117">
        <f>+K13+'3'!M13+L13</f>
        <v>0</v>
      </c>
      <c r="N13" s="149"/>
      <c r="O13" s="149"/>
      <c r="P13" s="149"/>
      <c r="Q13" s="174">
        <f>SUM(Q5:Q12)</f>
        <v>365</v>
      </c>
      <c r="R13" s="174">
        <f>SUM(R5:R12)</f>
        <v>418250</v>
      </c>
      <c r="S13" s="174">
        <f>SUM(S5:S12)</f>
        <v>351330</v>
      </c>
      <c r="U13" s="149"/>
      <c r="V13" s="149"/>
      <c r="W13" s="149"/>
      <c r="X13" s="174">
        <f>SUM(X5:X12)</f>
        <v>1032</v>
      </c>
      <c r="Y13" s="174">
        <f>SUM(Y5:Y12)</f>
        <v>1142650</v>
      </c>
      <c r="Z13" s="174">
        <f>SUM(Z5:Z12)</f>
        <v>959826</v>
      </c>
    </row>
    <row r="14" spans="1:29" ht="13.8" thickBot="1">
      <c r="A14" s="790"/>
      <c r="B14" s="165" t="s">
        <v>3</v>
      </c>
      <c r="C14" s="99">
        <f>SUM(C7:C13)</f>
        <v>19206</v>
      </c>
      <c r="D14" s="111">
        <f>SUM(D7:D13)</f>
        <v>0</v>
      </c>
      <c r="E14" s="112">
        <f>SUM(E5:E13)</f>
        <v>0</v>
      </c>
      <c r="F14" s="116">
        <f>SUM(F7:F13)</f>
        <v>123</v>
      </c>
      <c r="G14" s="159"/>
      <c r="H14" s="166"/>
      <c r="I14" s="167"/>
      <c r="J14" s="212">
        <f>+'3'!J14</f>
        <v>0</v>
      </c>
      <c r="K14" s="234"/>
      <c r="L14" s="234"/>
      <c r="M14" s="117">
        <f>+K14+'3'!M14+L14</f>
        <v>0</v>
      </c>
      <c r="N14" s="149"/>
      <c r="O14" s="149"/>
      <c r="P14" s="149"/>
      <c r="Q14" s="149">
        <f>480-Q13</f>
        <v>115</v>
      </c>
      <c r="R14" s="174">
        <f>+R13/Q13</f>
        <v>1145.8904109589041</v>
      </c>
      <c r="S14" s="174">
        <f>+S13/Q13</f>
        <v>962.54794520547944</v>
      </c>
      <c r="U14" s="149"/>
      <c r="V14" s="149"/>
      <c r="W14" s="149"/>
      <c r="X14" s="149">
        <f>480-X13</f>
        <v>-552</v>
      </c>
      <c r="Y14" s="174">
        <f>+Y13/X13</f>
        <v>1107.218992248062</v>
      </c>
      <c r="Z14" s="174">
        <f>+Z13/X13</f>
        <v>930.06395348837214</v>
      </c>
    </row>
    <row r="15" spans="1:29" ht="13.5" customHeight="1" thickBot="1">
      <c r="A15" s="794" t="s">
        <v>429</v>
      </c>
      <c r="B15" s="513"/>
      <c r="C15" s="113">
        <f>C14/($C$23+$D$23+$E$23)</f>
        <v>4.6843902439024392</v>
      </c>
      <c r="D15" s="114">
        <f>D14/($C$23+$D$23+$E$23)</f>
        <v>0</v>
      </c>
      <c r="E15" s="115">
        <f>E14/($C$23+$D$23+$E$23)</f>
        <v>0</v>
      </c>
      <c r="F15" s="231"/>
      <c r="G15" s="553" t="s">
        <v>12</v>
      </c>
      <c r="H15" s="554" t="s">
        <v>417</v>
      </c>
      <c r="I15" s="791" t="s">
        <v>467</v>
      </c>
      <c r="J15" s="212">
        <f>+'3'!J15</f>
        <v>0</v>
      </c>
      <c r="K15" s="234"/>
      <c r="L15" s="234"/>
      <c r="M15" s="117">
        <f>+K15+'3'!M15+L15</f>
        <v>0</v>
      </c>
      <c r="N15" s="149" t="s">
        <v>465</v>
      </c>
      <c r="O15" s="149">
        <v>1000</v>
      </c>
      <c r="P15" s="149">
        <f>+O15-(O15*0.16)</f>
        <v>840</v>
      </c>
      <c r="Q15" s="149">
        <f>60-53+54</f>
        <v>61</v>
      </c>
      <c r="R15" s="149">
        <f t="shared" ref="R15" si="7">+O15*Q15</f>
        <v>61000</v>
      </c>
      <c r="S15" s="149">
        <f t="shared" ref="S15" si="8">+P15*Q15</f>
        <v>51240</v>
      </c>
      <c r="T15" s="179" t="s">
        <v>103</v>
      </c>
      <c r="U15" s="569" t="s">
        <v>481</v>
      </c>
      <c r="V15" s="569" t="s">
        <v>482</v>
      </c>
      <c r="W15" s="569" t="s">
        <v>483</v>
      </c>
      <c r="X15" s="569" t="s">
        <v>484</v>
      </c>
      <c r="Y15" s="570" t="s">
        <v>485</v>
      </c>
      <c r="Z15" s="569" t="s">
        <v>486</v>
      </c>
      <c r="AA15" s="571" t="s">
        <v>487</v>
      </c>
      <c r="AB15" s="569" t="s">
        <v>488</v>
      </c>
      <c r="AC15" s="569" t="s">
        <v>489</v>
      </c>
    </row>
    <row r="16" spans="1:29" ht="13.8" thickBot="1">
      <c r="A16" s="789"/>
      <c r="B16" s="512" t="s">
        <v>480</v>
      </c>
      <c r="C16" s="511">
        <v>4100</v>
      </c>
      <c r="D16" s="219"/>
      <c r="E16" s="220"/>
      <c r="F16" s="227"/>
      <c r="G16" s="555" t="s">
        <v>12</v>
      </c>
      <c r="H16" s="226" t="s">
        <v>419</v>
      </c>
      <c r="I16" s="792"/>
      <c r="J16" s="212">
        <f>+'3'!J16</f>
        <v>0</v>
      </c>
      <c r="K16" s="225"/>
      <c r="L16" s="225"/>
      <c r="M16" s="117">
        <f>+K16+'3'!M16+L16</f>
        <v>0</v>
      </c>
      <c r="N16" s="149"/>
      <c r="O16" s="149">
        <v>800</v>
      </c>
      <c r="P16" s="149">
        <f t="shared" ref="P16:P17" si="9">+O16-(O16*0.16)</f>
        <v>672</v>
      </c>
      <c r="Q16" s="149">
        <f>60-54+60+34</f>
        <v>100</v>
      </c>
      <c r="R16" s="149">
        <f t="shared" ref="R16:R17" si="10">+O16*Q16</f>
        <v>80000</v>
      </c>
      <c r="S16" s="149">
        <f t="shared" ref="S16:S17" si="11">+P16*Q16</f>
        <v>67200</v>
      </c>
      <c r="T16" s="572">
        <v>14.5</v>
      </c>
      <c r="U16" s="197">
        <v>971.25506072874498</v>
      </c>
      <c r="V16" s="197">
        <v>1165</v>
      </c>
      <c r="W16" s="149">
        <v>815.85425101214571</v>
      </c>
      <c r="X16" s="573">
        <f>1-(W16/U16)</f>
        <v>0.16000000000000003</v>
      </c>
      <c r="Y16" s="574">
        <v>69</v>
      </c>
      <c r="Z16" s="575">
        <v>275</v>
      </c>
      <c r="AA16" s="576">
        <f>(U16*(1-X16)*T16*Z16*Y16)/100000000</f>
        <v>2.2447209898785423</v>
      </c>
      <c r="AB16" s="577">
        <f>+I23/1000</f>
        <v>0</v>
      </c>
      <c r="AC16" s="578">
        <f>SUM(AB16:AB18)/SUM(AA16:AA18)</f>
        <v>0</v>
      </c>
    </row>
    <row r="17" spans="1:29" ht="13.8" thickBot="1">
      <c r="A17" s="789"/>
      <c r="B17" s="213"/>
      <c r="C17" s="214"/>
      <c r="D17" s="215"/>
      <c r="E17" s="221"/>
      <c r="F17" s="227"/>
      <c r="G17" s="555" t="s">
        <v>12</v>
      </c>
      <c r="H17" s="229" t="s">
        <v>474</v>
      </c>
      <c r="I17" s="792"/>
      <c r="J17" s="212">
        <f>+'3'!J17</f>
        <v>0</v>
      </c>
      <c r="K17" s="225"/>
      <c r="L17" s="225"/>
      <c r="M17" s="117">
        <f>+K17+'3'!M17+L17</f>
        <v>0</v>
      </c>
      <c r="N17" s="149"/>
      <c r="O17" s="149">
        <v>1150</v>
      </c>
      <c r="P17" s="149">
        <f t="shared" si="9"/>
        <v>966</v>
      </c>
      <c r="Q17" s="149">
        <f>60-34+60</f>
        <v>86</v>
      </c>
      <c r="R17" s="149">
        <f t="shared" si="10"/>
        <v>98900</v>
      </c>
      <c r="S17" s="149">
        <f t="shared" si="11"/>
        <v>83076</v>
      </c>
      <c r="T17" s="572"/>
      <c r="U17" s="197"/>
      <c r="V17" s="197"/>
      <c r="W17" s="197"/>
      <c r="X17" s="573"/>
      <c r="Y17" s="579"/>
      <c r="Z17" s="575"/>
      <c r="AA17" s="576"/>
      <c r="AB17" s="577"/>
      <c r="AC17" s="580"/>
    </row>
    <row r="18" spans="1:29" ht="53.4" thickBot="1">
      <c r="A18" s="789"/>
      <c r="B18" s="213"/>
      <c r="C18" s="214"/>
      <c r="D18" s="215"/>
      <c r="E18" s="221" t="s">
        <v>470</v>
      </c>
      <c r="F18" s="227">
        <f>60*3+53</f>
        <v>233</v>
      </c>
      <c r="G18" s="225" t="s">
        <v>20</v>
      </c>
      <c r="H18" s="556" t="s">
        <v>461</v>
      </c>
      <c r="I18" s="792"/>
      <c r="J18" s="212">
        <f>+'3'!J18</f>
        <v>0</v>
      </c>
      <c r="K18" s="234"/>
      <c r="L18" s="234"/>
      <c r="M18" s="117">
        <f>+K18+'3'!M18+L18</f>
        <v>0</v>
      </c>
      <c r="N18" s="149"/>
      <c r="O18" s="149"/>
      <c r="P18" s="149"/>
      <c r="Q18" s="149"/>
      <c r="R18" s="149"/>
      <c r="S18" s="149"/>
      <c r="T18" s="149"/>
      <c r="U18" s="149"/>
      <c r="V18" s="149"/>
      <c r="W18" s="149"/>
      <c r="X18" s="149"/>
      <c r="Y18" s="149"/>
      <c r="Z18" s="149"/>
      <c r="AA18" s="149">
        <f>2230/1000</f>
        <v>2.23</v>
      </c>
      <c r="AB18" s="149"/>
      <c r="AC18" s="149"/>
    </row>
    <row r="19" spans="1:29" ht="13.8" thickBot="1">
      <c r="A19" s="789"/>
      <c r="B19" s="213"/>
      <c r="C19" s="214"/>
      <c r="D19" s="215"/>
      <c r="E19" s="218" t="s">
        <v>471</v>
      </c>
      <c r="F19" s="230">
        <v>69</v>
      </c>
      <c r="G19" s="225" t="s">
        <v>20</v>
      </c>
      <c r="H19" s="229" t="s">
        <v>462</v>
      </c>
      <c r="I19" s="792"/>
      <c r="J19" s="212">
        <f>+'3'!J19</f>
        <v>0</v>
      </c>
      <c r="K19" s="234"/>
      <c r="L19" s="234"/>
      <c r="M19" s="117">
        <f>+K19+'3'!M19+L19</f>
        <v>0</v>
      </c>
      <c r="N19" s="149"/>
      <c r="O19" s="149"/>
      <c r="P19" s="149"/>
      <c r="Q19" s="149"/>
      <c r="R19" s="149"/>
      <c r="S19" s="149"/>
      <c r="T19" s="149"/>
      <c r="U19" s="149"/>
      <c r="V19" s="149"/>
      <c r="W19" s="149"/>
      <c r="X19" s="149"/>
      <c r="Y19" s="149"/>
      <c r="Z19" s="149"/>
      <c r="AA19" s="149"/>
      <c r="AB19" s="149"/>
      <c r="AC19" s="149"/>
    </row>
    <row r="20" spans="1:29" ht="224.25" customHeight="1" thickBot="1">
      <c r="A20" s="789"/>
      <c r="B20" s="213"/>
      <c r="C20" s="214"/>
      <c r="D20" s="215"/>
      <c r="E20" s="221"/>
      <c r="F20" s="224"/>
      <c r="G20" s="228"/>
      <c r="H20" s="229" t="s">
        <v>472</v>
      </c>
      <c r="I20" s="792"/>
      <c r="J20" s="212">
        <f>+'3'!J20</f>
        <v>0</v>
      </c>
      <c r="K20" s="235"/>
      <c r="L20" s="235"/>
      <c r="M20" s="117">
        <f>+K20+'3'!M20+L20</f>
        <v>0</v>
      </c>
      <c r="N20" s="149"/>
      <c r="O20" s="149"/>
      <c r="P20" s="149"/>
      <c r="Q20" s="149"/>
      <c r="R20" s="149"/>
      <c r="S20" s="149"/>
    </row>
    <row r="21" spans="1:29" ht="13.8" thickBot="1">
      <c r="A21" s="789"/>
      <c r="B21" s="213"/>
      <c r="C21" s="214"/>
      <c r="D21" s="215"/>
      <c r="E21" s="221"/>
      <c r="F21" s="227"/>
      <c r="G21" s="228"/>
      <c r="H21" s="229"/>
      <c r="I21" s="792"/>
      <c r="J21" s="212">
        <f>+'3'!J21</f>
        <v>0</v>
      </c>
      <c r="K21" s="234"/>
      <c r="L21" s="234"/>
      <c r="M21" s="117">
        <f>+K21+'3'!M21+L21</f>
        <v>0</v>
      </c>
      <c r="N21" s="149"/>
      <c r="O21" s="149"/>
      <c r="P21" s="149"/>
      <c r="Q21" s="149"/>
      <c r="R21" s="149"/>
      <c r="S21" s="149"/>
    </row>
    <row r="22" spans="1:29" ht="13.8" thickBot="1">
      <c r="A22" s="789"/>
      <c r="B22" s="213"/>
      <c r="C22" s="214"/>
      <c r="D22" s="215"/>
      <c r="E22" s="221"/>
      <c r="F22" s="231"/>
      <c r="G22" s="228"/>
      <c r="H22" s="229"/>
      <c r="I22" s="793"/>
      <c r="J22" s="212">
        <f>+'3'!J22</f>
        <v>0</v>
      </c>
      <c r="K22" s="234"/>
      <c r="L22" s="234"/>
      <c r="M22" s="117">
        <f>+K22+'3'!M22+L22</f>
        <v>0</v>
      </c>
      <c r="N22" s="149"/>
      <c r="O22" s="149"/>
      <c r="P22" s="149"/>
      <c r="Q22" s="174">
        <f>SUM(Q15:Q21)</f>
        <v>247</v>
      </c>
      <c r="R22" s="174">
        <f>SUM(R15:R21)</f>
        <v>239900</v>
      </c>
      <c r="S22" s="174">
        <f>SUM(S15:S21)</f>
        <v>201516</v>
      </c>
    </row>
    <row r="23" spans="1:29" ht="13.8" thickBot="1">
      <c r="A23" s="790"/>
      <c r="B23" s="165" t="s">
        <v>3</v>
      </c>
      <c r="C23" s="99">
        <f>SUM(C16:C22)</f>
        <v>4100</v>
      </c>
      <c r="D23" s="111">
        <f>SUM(D16:D22)</f>
        <v>0</v>
      </c>
      <c r="E23" s="112">
        <f>SUM(E18:E22)</f>
        <v>0</v>
      </c>
      <c r="F23" s="116">
        <f>SUM(F15:F22)</f>
        <v>302</v>
      </c>
      <c r="G23" s="159"/>
      <c r="H23" s="166"/>
      <c r="I23" s="168"/>
      <c r="J23" s="212">
        <f>+'3'!J23</f>
        <v>0</v>
      </c>
      <c r="K23" s="234"/>
      <c r="L23" s="234"/>
      <c r="M23" s="117">
        <f>+K23+'3'!M23+L23</f>
        <v>0</v>
      </c>
      <c r="N23" s="149"/>
      <c r="O23" s="149"/>
      <c r="P23" s="149"/>
      <c r="Q23" s="149">
        <f>480-Q22</f>
        <v>233</v>
      </c>
      <c r="R23" s="174">
        <f>+R22/Q22</f>
        <v>971.25506072874498</v>
      </c>
      <c r="S23" s="174">
        <f>+S22/Q22</f>
        <v>815.85425101214571</v>
      </c>
    </row>
    <row r="24" spans="1:29" ht="13.5" customHeight="1" thickBot="1">
      <c r="A24" s="794" t="s">
        <v>458</v>
      </c>
      <c r="B24" s="513"/>
      <c r="C24" s="113">
        <f>C23/($C$23+$D$23+$E$23)</f>
        <v>1</v>
      </c>
      <c r="D24" s="114">
        <f>D23/($C$23+$D$23+$E$23)</f>
        <v>0</v>
      </c>
      <c r="E24" s="115">
        <f>E23/($C$23+$D$23+$E$23)</f>
        <v>0</v>
      </c>
      <c r="F24" s="231"/>
      <c r="G24" s="553" t="s">
        <v>12</v>
      </c>
      <c r="H24" s="554" t="s">
        <v>417</v>
      </c>
      <c r="I24" s="791" t="s">
        <v>468</v>
      </c>
      <c r="J24" s="212">
        <f>+'3'!J24</f>
        <v>0</v>
      </c>
      <c r="K24" s="234"/>
      <c r="L24" s="234"/>
      <c r="M24" s="117">
        <f>+K24+'3'!M24+L24</f>
        <v>0</v>
      </c>
    </row>
    <row r="25" spans="1:29" ht="13.8" thickBot="1">
      <c r="A25" s="789"/>
      <c r="B25" s="512" t="s">
        <v>480</v>
      </c>
      <c r="C25" s="222">
        <v>16374</v>
      </c>
      <c r="D25" s="215"/>
      <c r="E25" s="221"/>
      <c r="F25" s="227"/>
      <c r="G25" s="555" t="s">
        <v>12</v>
      </c>
      <c r="H25" s="226" t="s">
        <v>419</v>
      </c>
      <c r="I25" s="792"/>
      <c r="J25" s="212">
        <f>+'3'!J25</f>
        <v>0</v>
      </c>
      <c r="K25" s="234"/>
      <c r="L25" s="234"/>
      <c r="M25" s="117">
        <f>+K25+'3'!M25+L25</f>
        <v>0</v>
      </c>
      <c r="N25" s="149" t="s">
        <v>465</v>
      </c>
      <c r="O25" s="149">
        <v>1150</v>
      </c>
      <c r="P25" s="149">
        <f>+O25-(O25*0.16)</f>
        <v>966</v>
      </c>
      <c r="Q25" s="149">
        <v>480</v>
      </c>
      <c r="R25" s="149">
        <f t="shared" ref="R25" si="12">+O25*Q25</f>
        <v>552000</v>
      </c>
      <c r="S25" s="149">
        <f t="shared" ref="S25" si="13">+P25*Q25</f>
        <v>463680</v>
      </c>
    </row>
    <row r="26" spans="1:29" ht="13.8" thickBot="1">
      <c r="A26" s="789"/>
      <c r="B26" s="213"/>
      <c r="C26" s="222"/>
      <c r="D26" s="215"/>
      <c r="E26" s="223"/>
      <c r="F26" s="227">
        <v>5</v>
      </c>
      <c r="G26" s="555" t="s">
        <v>12</v>
      </c>
      <c r="H26" s="229" t="s">
        <v>475</v>
      </c>
      <c r="I26" s="792"/>
      <c r="J26" s="212">
        <f>+'3'!J26</f>
        <v>0</v>
      </c>
      <c r="K26" s="234"/>
      <c r="L26" s="234"/>
      <c r="M26" s="117">
        <f>+K26+'3'!M26+L26</f>
        <v>0</v>
      </c>
      <c r="N26" s="149"/>
      <c r="O26" s="149"/>
      <c r="P26" s="149"/>
      <c r="Q26" s="149"/>
      <c r="R26" s="149"/>
      <c r="S26" s="149"/>
    </row>
    <row r="27" spans="1:29" ht="66.599999999999994" thickBot="1">
      <c r="A27" s="789"/>
      <c r="B27" s="213"/>
      <c r="C27" s="214"/>
      <c r="D27" s="215"/>
      <c r="E27" s="221"/>
      <c r="F27" s="227"/>
      <c r="G27" s="225"/>
      <c r="H27" s="556" t="s">
        <v>459</v>
      </c>
      <c r="I27" s="792"/>
      <c r="J27" s="212">
        <f>+'3'!J27</f>
        <v>0</v>
      </c>
      <c r="K27" s="234"/>
      <c r="L27" s="234"/>
      <c r="M27" s="117">
        <f>+K27+'3'!M27+L27</f>
        <v>0</v>
      </c>
      <c r="N27" s="149"/>
      <c r="O27" s="149"/>
      <c r="P27" s="149"/>
      <c r="Q27" s="149"/>
      <c r="R27" s="149"/>
      <c r="S27" s="149"/>
    </row>
    <row r="28" spans="1:29" ht="53.4" thickBot="1">
      <c r="A28" s="789"/>
      <c r="B28" s="213"/>
      <c r="C28" s="214"/>
      <c r="D28" s="215"/>
      <c r="E28" s="221"/>
      <c r="F28" s="227"/>
      <c r="G28" s="225"/>
      <c r="H28" s="229" t="s">
        <v>460</v>
      </c>
      <c r="I28" s="792"/>
      <c r="J28" s="212">
        <f>+'3'!J28</f>
        <v>0</v>
      </c>
      <c r="K28" s="234"/>
      <c r="L28" s="234"/>
      <c r="M28" s="117">
        <f>+K28+'3'!M28+L28</f>
        <v>0</v>
      </c>
      <c r="N28" s="149"/>
      <c r="O28" s="149"/>
      <c r="P28" s="149"/>
      <c r="Q28" s="149"/>
      <c r="R28" s="149"/>
      <c r="S28" s="149"/>
    </row>
    <row r="29" spans="1:29" ht="13.8" thickBot="1">
      <c r="A29" s="789"/>
      <c r="B29" s="213"/>
      <c r="C29" s="214"/>
      <c r="D29" s="215"/>
      <c r="E29" s="221"/>
      <c r="F29" s="231"/>
      <c r="G29" s="228"/>
      <c r="H29" s="229"/>
      <c r="I29" s="792"/>
      <c r="J29" s="212">
        <f>+'3'!J29</f>
        <v>0</v>
      </c>
      <c r="K29" s="234"/>
      <c r="L29" s="234"/>
      <c r="M29" s="117">
        <f>+K29+'3'!M29+L29</f>
        <v>0</v>
      </c>
      <c r="N29" s="149"/>
      <c r="O29" s="149"/>
      <c r="P29" s="149"/>
      <c r="Q29" s="149"/>
      <c r="R29" s="149"/>
      <c r="S29" s="149"/>
    </row>
    <row r="30" spans="1:29" ht="13.8" thickBot="1">
      <c r="A30" s="789"/>
      <c r="B30" s="213"/>
      <c r="C30" s="222"/>
      <c r="D30" s="215"/>
      <c r="E30" s="221"/>
      <c r="F30" s="231"/>
      <c r="G30" s="228"/>
      <c r="H30" s="229"/>
      <c r="I30" s="792"/>
      <c r="J30" s="212">
        <f>+'3'!J30</f>
        <v>0</v>
      </c>
      <c r="K30" s="234"/>
      <c r="L30" s="234"/>
      <c r="M30" s="117">
        <f>+K30+'3'!M30+L30</f>
        <v>0</v>
      </c>
      <c r="N30" s="149"/>
      <c r="O30" s="149"/>
      <c r="P30" s="149"/>
      <c r="Q30" s="149"/>
      <c r="R30" s="149"/>
      <c r="S30" s="149"/>
    </row>
    <row r="31" spans="1:29" ht="13.8" thickBot="1">
      <c r="A31" s="789"/>
      <c r="B31" s="213"/>
      <c r="C31" s="222"/>
      <c r="D31" s="215"/>
      <c r="E31" s="221"/>
      <c r="F31" s="231"/>
      <c r="G31" s="232"/>
      <c r="H31" s="404"/>
      <c r="I31" s="793"/>
      <c r="J31" s="212">
        <f>+'3'!J31</f>
        <v>0</v>
      </c>
      <c r="K31" s="234"/>
      <c r="L31" s="234"/>
      <c r="M31" s="117">
        <f>+K31+'3'!M31+L31</f>
        <v>0</v>
      </c>
      <c r="N31" s="149"/>
      <c r="O31" s="149"/>
      <c r="P31" s="149"/>
      <c r="Q31" s="149"/>
      <c r="R31" s="149"/>
      <c r="S31" s="149"/>
    </row>
    <row r="32" spans="1:29" ht="13.8" thickBot="1">
      <c r="A32" s="790"/>
      <c r="B32" s="165" t="s">
        <v>3</v>
      </c>
      <c r="C32" s="99">
        <f>SUM(C25:C31)</f>
        <v>16374</v>
      </c>
      <c r="D32" s="100">
        <f>SUM(D25:D31)</f>
        <v>0</v>
      </c>
      <c r="E32" s="101">
        <f>SUM(E25:E31)</f>
        <v>0</v>
      </c>
      <c r="F32" s="99">
        <f>SUM(F24:F31)</f>
        <v>5</v>
      </c>
      <c r="G32" s="169"/>
      <c r="H32" s="170"/>
      <c r="I32" s="168"/>
      <c r="J32" s="212">
        <f>+'3'!J32</f>
        <v>0</v>
      </c>
      <c r="K32" s="236"/>
      <c r="L32" s="238"/>
      <c r="M32" s="117">
        <f>+K32+'3'!M32+L32</f>
        <v>0</v>
      </c>
      <c r="N32" s="149"/>
      <c r="O32" s="149"/>
      <c r="P32" s="149"/>
      <c r="Q32" s="174">
        <f>SUM(Q25:Q31)</f>
        <v>480</v>
      </c>
      <c r="R32" s="174">
        <f>SUM(R25:R31)</f>
        <v>552000</v>
      </c>
      <c r="S32" s="174">
        <f>SUM(S25:S31)</f>
        <v>463680</v>
      </c>
    </row>
    <row r="33" spans="1:19" ht="13.8" thickBot="1">
      <c r="A33" s="171"/>
      <c r="B33" s="172"/>
      <c r="C33" s="103">
        <f>C32/($C$32+$D$32+$E$32)</f>
        <v>1</v>
      </c>
      <c r="D33" s="104">
        <f>D32/($C$32+$D$32+$E$32)</f>
        <v>0</v>
      </c>
      <c r="E33" s="105">
        <f>E32/($C$32+$D$32+$E$32)</f>
        <v>0</v>
      </c>
      <c r="F33" s="106"/>
      <c r="G33" s="173"/>
      <c r="H33" s="174"/>
      <c r="I33" s="175"/>
      <c r="J33" s="121"/>
      <c r="K33" s="122"/>
      <c r="L33" s="211"/>
      <c r="M33" s="119"/>
      <c r="N33" s="149"/>
      <c r="O33" s="149"/>
      <c r="P33" s="149"/>
      <c r="Q33" s="149">
        <f>480-Q32</f>
        <v>0</v>
      </c>
      <c r="R33" s="174">
        <f>+R32/Q32</f>
        <v>1150</v>
      </c>
      <c r="S33" s="174">
        <f>+S32/Q32</f>
        <v>966</v>
      </c>
    </row>
    <row r="34" spans="1:19" ht="13.8" thickBot="1">
      <c r="A34" s="795" t="s">
        <v>68</v>
      </c>
      <c r="B34" s="796"/>
      <c r="C34" s="107">
        <f>C14+C23+C32</f>
        <v>39680</v>
      </c>
      <c r="D34" s="107">
        <f>D14+D23+D32</f>
        <v>0</v>
      </c>
      <c r="E34" s="107">
        <f>E14+E23+E32</f>
        <v>0</v>
      </c>
      <c r="F34" s="108">
        <f>F14+F23+F32</f>
        <v>430</v>
      </c>
      <c r="G34" s="149"/>
      <c r="H34" s="176"/>
      <c r="I34" s="176"/>
      <c r="J34" s="123" t="s">
        <v>28</v>
      </c>
      <c r="K34" s="124">
        <f>SUM(K7:K32)</f>
        <v>39680</v>
      </c>
      <c r="L34" s="210">
        <f>SUM(L7:L32)</f>
        <v>0</v>
      </c>
      <c r="M34" s="120">
        <f>SUM(M7:M32)</f>
        <v>198239</v>
      </c>
    </row>
    <row r="35" spans="1:19" ht="13.8" thickBot="1">
      <c r="A35" s="177"/>
      <c r="B35" s="178"/>
      <c r="C35" s="104">
        <f>C34/($C$34+$D$34+$E$34)</f>
        <v>1</v>
      </c>
      <c r="D35" s="104">
        <f>D34/($C$34+$D$34+$E$34)</f>
        <v>0</v>
      </c>
      <c r="E35" s="109">
        <f>E34/($C$34+$D$34+$E$34)</f>
        <v>0</v>
      </c>
      <c r="F35" s="110"/>
      <c r="G35" s="149"/>
      <c r="H35" s="149"/>
      <c r="I35" s="149"/>
      <c r="J35" s="149"/>
      <c r="K35" s="155"/>
      <c r="L35" s="149"/>
      <c r="M35" s="149"/>
      <c r="O35" t="s">
        <v>410</v>
      </c>
      <c r="P35">
        <v>1125</v>
      </c>
      <c r="Q35">
        <v>945</v>
      </c>
      <c r="R35">
        <v>60</v>
      </c>
    </row>
    <row r="36" spans="1:19" ht="13.8" thickBot="1">
      <c r="A36" s="176"/>
      <c r="B36" s="176"/>
      <c r="C36" s="155"/>
      <c r="D36" s="155"/>
      <c r="E36" s="155"/>
      <c r="F36" s="110"/>
      <c r="G36" s="155"/>
      <c r="H36" s="179"/>
      <c r="I36" s="162" t="s">
        <v>37</v>
      </c>
      <c r="J36" s="162" t="s">
        <v>38</v>
      </c>
      <c r="K36" s="180"/>
      <c r="L36" s="149"/>
      <c r="M36" s="149"/>
      <c r="O36" t="s">
        <v>465</v>
      </c>
      <c r="P36">
        <v>1107.218992248062</v>
      </c>
      <c r="Q36">
        <v>930.06395348837214</v>
      </c>
      <c r="R36">
        <v>1032</v>
      </c>
    </row>
    <row r="37" spans="1:19" ht="17.25" customHeight="1" thickBot="1">
      <c r="A37" s="797" t="s">
        <v>69</v>
      </c>
      <c r="B37" s="798"/>
      <c r="C37" s="162" t="s">
        <v>70</v>
      </c>
      <c r="D37" s="181" t="s">
        <v>71</v>
      </c>
      <c r="E37" s="182" t="s">
        <v>72</v>
      </c>
      <c r="F37" s="304"/>
      <c r="G37" s="306"/>
      <c r="H37" s="184" t="s">
        <v>73</v>
      </c>
      <c r="I37" s="239">
        <f>(15*60+14.5*1032)/1092*G42*2.7*1092/1000000</f>
        <v>39.872394553846156</v>
      </c>
      <c r="J37" s="125">
        <f>+I37+'3'!J37</f>
        <v>206.11551363587742</v>
      </c>
      <c r="K37" s="126" t="s">
        <v>74</v>
      </c>
      <c r="L37" s="149"/>
      <c r="M37" s="149"/>
      <c r="N37">
        <v>365</v>
      </c>
      <c r="R37">
        <f>+R35+R36</f>
        <v>1092</v>
      </c>
    </row>
    <row r="38" spans="1:19" ht="16.5" customHeight="1">
      <c r="A38" s="799" t="s">
        <v>12</v>
      </c>
      <c r="B38" s="800"/>
      <c r="C38" s="164">
        <f>SUMIF($G$7:$G$31,"Process",$F$7:$F$31)</f>
        <v>48</v>
      </c>
      <c r="D38" s="118">
        <f>C38+'3'!D38</f>
        <v>126</v>
      </c>
      <c r="E38" s="143">
        <f t="shared" ref="E38:E52" si="14">D38/60</f>
        <v>2.1</v>
      </c>
      <c r="F38" s="304">
        <v>1145.8904109589041</v>
      </c>
      <c r="G38" s="304">
        <v>962.54794520547944</v>
      </c>
      <c r="H38" s="185" t="s">
        <v>75</v>
      </c>
      <c r="I38" s="240">
        <f>15.01+4.167+18.701</f>
        <v>37.878</v>
      </c>
      <c r="J38" s="127">
        <f>+I38+'3'!J38</f>
        <v>193.858</v>
      </c>
      <c r="K38" s="128" t="s">
        <v>74</v>
      </c>
      <c r="L38" s="149"/>
      <c r="M38" s="149"/>
      <c r="N38">
        <v>247</v>
      </c>
    </row>
    <row r="39" spans="1:19" ht="16.5" customHeight="1">
      <c r="A39" s="786" t="s">
        <v>13</v>
      </c>
      <c r="B39" s="787"/>
      <c r="C39" s="164">
        <f>SUMIF($G$7:$G$31,"Cleaning",$F$7:$F$31)</f>
        <v>0</v>
      </c>
      <c r="D39" s="118">
        <f>C39+'3'!D39</f>
        <v>0</v>
      </c>
      <c r="E39" s="143">
        <f t="shared" si="14"/>
        <v>0</v>
      </c>
      <c r="F39" s="304">
        <v>971.25506072874498</v>
      </c>
      <c r="G39" s="304">
        <v>815.85425101214571</v>
      </c>
      <c r="H39" s="185" t="s">
        <v>76</v>
      </c>
      <c r="I39" s="142"/>
      <c r="J39" s="129">
        <f>J37/G4</f>
        <v>51.528878408969355</v>
      </c>
      <c r="K39" s="130" t="s">
        <v>74</v>
      </c>
      <c r="L39" s="149"/>
      <c r="M39" s="149"/>
      <c r="N39">
        <v>480</v>
      </c>
    </row>
    <row r="40" spans="1:19" ht="16.5" customHeight="1">
      <c r="A40" s="786" t="s">
        <v>77</v>
      </c>
      <c r="B40" s="787"/>
      <c r="C40" s="164">
        <f>SUMIF($G$7:$G$31,"Mechanical",$F$7:$F$31)</f>
        <v>0</v>
      </c>
      <c r="D40" s="118">
        <f>C40+'3'!D40</f>
        <v>0</v>
      </c>
      <c r="E40" s="143">
        <f t="shared" si="14"/>
        <v>0</v>
      </c>
      <c r="F40" s="304">
        <v>1150</v>
      </c>
      <c r="G40" s="304">
        <v>966</v>
      </c>
      <c r="H40" s="185" t="s">
        <v>78</v>
      </c>
      <c r="I40" s="118">
        <f>(K34+L34)/1000</f>
        <v>39.68</v>
      </c>
      <c r="J40" s="131">
        <f>+I40+'3'!J40</f>
        <v>198.239</v>
      </c>
      <c r="K40" s="130" t="s">
        <v>74</v>
      </c>
      <c r="L40" s="149"/>
      <c r="M40" s="149"/>
      <c r="N40">
        <f>SUM(N37:N39)</f>
        <v>1092</v>
      </c>
    </row>
    <row r="41" spans="1:19" ht="16.5" customHeight="1">
      <c r="A41" s="786" t="s">
        <v>79</v>
      </c>
      <c r="B41" s="787"/>
      <c r="C41" s="164">
        <f>SUMIF($G$7:$G$31,"Electrical",$F$7:$F$31)</f>
        <v>0</v>
      </c>
      <c r="D41" s="118">
        <f>C41+'3'!D41</f>
        <v>0</v>
      </c>
      <c r="E41" s="143">
        <f t="shared" si="14"/>
        <v>0</v>
      </c>
      <c r="F41" s="304"/>
      <c r="G41" s="304"/>
      <c r="H41" s="185" t="s">
        <v>80</v>
      </c>
      <c r="I41" s="142"/>
      <c r="J41" s="129">
        <f>J40/G4</f>
        <v>49.559750000000001</v>
      </c>
      <c r="K41" s="130" t="s">
        <v>74</v>
      </c>
      <c r="L41" s="149"/>
      <c r="M41" s="155"/>
    </row>
    <row r="42" spans="1:19" ht="16.5" customHeight="1">
      <c r="A42" s="786" t="s">
        <v>16</v>
      </c>
      <c r="B42" s="787"/>
      <c r="C42" s="164">
        <f>SUMIF($G$7:$G$31,"Instrument",$F$7:$F$31)</f>
        <v>0</v>
      </c>
      <c r="D42" s="118">
        <f>C42+'3'!D42</f>
        <v>0</v>
      </c>
      <c r="E42" s="143">
        <f t="shared" si="14"/>
        <v>0</v>
      </c>
      <c r="F42" s="183">
        <f>+(365*F38+247*F39+480*F40)/1092</f>
        <v>1108.1959706959708</v>
      </c>
      <c r="G42" s="183">
        <f>+(365*G38+247*G39+480*G40)/1092</f>
        <v>930.88461538461536</v>
      </c>
      <c r="H42" s="185" t="s">
        <v>81</v>
      </c>
      <c r="I42" s="241" t="s">
        <v>473</v>
      </c>
      <c r="J42" s="132"/>
      <c r="K42" s="130" t="s">
        <v>82</v>
      </c>
      <c r="L42" s="149"/>
      <c r="M42" s="149"/>
    </row>
    <row r="43" spans="1:19" ht="16.5" customHeight="1">
      <c r="A43" s="786" t="s">
        <v>83</v>
      </c>
      <c r="B43" s="787"/>
      <c r="C43" s="164">
        <f>SUMIF($G$7:$G$31,"Water",$F$7:$F$31)</f>
        <v>0</v>
      </c>
      <c r="D43" s="118">
        <f>C43+'3'!D43</f>
        <v>0</v>
      </c>
      <c r="E43" s="143">
        <f t="shared" si="14"/>
        <v>0</v>
      </c>
      <c r="F43" s="304"/>
      <c r="G43" s="305"/>
      <c r="H43" s="186" t="s">
        <v>84</v>
      </c>
      <c r="I43" s="118">
        <f>+Report1!Z11</f>
        <v>100.36</v>
      </c>
      <c r="J43" s="133">
        <f>+I43+'3'!J43</f>
        <v>400.72</v>
      </c>
      <c r="K43" s="130" t="s">
        <v>74</v>
      </c>
      <c r="L43" s="187"/>
      <c r="M43" s="149"/>
    </row>
    <row r="44" spans="1:19" ht="16.5" customHeight="1">
      <c r="A44" s="786" t="s">
        <v>17</v>
      </c>
      <c r="B44" s="787"/>
      <c r="C44" s="164">
        <f>SUMIF($G$7:$G$31,"PLN",$F$7:$F$31)</f>
        <v>0</v>
      </c>
      <c r="D44" s="118">
        <f>C44+'3'!D44</f>
        <v>0</v>
      </c>
      <c r="E44" s="143">
        <f t="shared" si="14"/>
        <v>0</v>
      </c>
      <c r="F44" s="304"/>
      <c r="G44" s="305"/>
      <c r="H44" s="186" t="s">
        <v>85</v>
      </c>
      <c r="I44" s="118">
        <f>I43/I38</f>
        <v>2.6495591108295051</v>
      </c>
      <c r="J44" s="134">
        <f>J43/J38</f>
        <v>2.0670800276491041</v>
      </c>
      <c r="K44" s="130" t="s">
        <v>74</v>
      </c>
      <c r="L44" s="149"/>
      <c r="M44" s="149"/>
    </row>
    <row r="45" spans="1:19" ht="16.5" customHeight="1">
      <c r="A45" s="786" t="s">
        <v>18</v>
      </c>
      <c r="B45" s="787"/>
      <c r="C45" s="164">
        <f>SUMIF($G$7:$G$31,"Boiler",$F$7:$F$31)</f>
        <v>0</v>
      </c>
      <c r="D45" s="118">
        <f>C45+'3'!D45</f>
        <v>0</v>
      </c>
      <c r="E45" s="143">
        <f t="shared" si="14"/>
        <v>0</v>
      </c>
      <c r="F45" s="304"/>
      <c r="G45" s="307"/>
      <c r="H45" s="186" t="s">
        <v>86</v>
      </c>
      <c r="I45" s="118">
        <f>I43/I40</f>
        <v>2.529233870967742</v>
      </c>
      <c r="J45" s="134">
        <f>J43/J40</f>
        <v>2.0213984130267</v>
      </c>
      <c r="K45" s="130" t="s">
        <v>74</v>
      </c>
      <c r="L45" s="149"/>
      <c r="M45" s="149"/>
    </row>
    <row r="46" spans="1:19" ht="16.5" customHeight="1">
      <c r="A46" s="786" t="s">
        <v>87</v>
      </c>
      <c r="B46" s="787"/>
      <c r="C46" s="164">
        <f>SUMIF($G$7:$G$31,"Gas",$F$7:$F$31)</f>
        <v>0</v>
      </c>
      <c r="D46" s="118">
        <f>C46+'3'!D46</f>
        <v>0</v>
      </c>
      <c r="E46" s="143">
        <f t="shared" si="14"/>
        <v>0</v>
      </c>
      <c r="F46" s="304"/>
      <c r="G46" s="305"/>
      <c r="H46" s="186" t="s">
        <v>88</v>
      </c>
      <c r="I46" s="140">
        <f>+SUMIF(Listrik!X11,"&gt;0")</f>
        <v>30472.534116435352</v>
      </c>
      <c r="J46" s="135">
        <f>+I46+'3'!J46</f>
        <v>142511.36457846645</v>
      </c>
      <c r="K46" s="130" t="s">
        <v>89</v>
      </c>
      <c r="L46" s="149"/>
      <c r="M46" s="149"/>
    </row>
    <row r="47" spans="1:19" ht="16.5" customHeight="1">
      <c r="A47" s="786" t="s">
        <v>90</v>
      </c>
      <c r="B47" s="787"/>
      <c r="C47" s="164">
        <f>SUMIF($G$7:$G$31,"Gas",$F$7:$F$31)</f>
        <v>0</v>
      </c>
      <c r="D47" s="118">
        <f>C47+'3'!D47</f>
        <v>0</v>
      </c>
      <c r="E47" s="143">
        <f t="shared" si="14"/>
        <v>0</v>
      </c>
      <c r="F47" s="304"/>
      <c r="G47" s="305"/>
      <c r="H47" s="186" t="s">
        <v>91</v>
      </c>
      <c r="I47" s="118">
        <f>I46/I38</f>
        <v>804.49163409988262</v>
      </c>
      <c r="J47" s="135">
        <f>J46/J38</f>
        <v>735.13274963357946</v>
      </c>
      <c r="K47" s="130" t="s">
        <v>24</v>
      </c>
      <c r="L47" s="149"/>
      <c r="M47" s="149"/>
    </row>
    <row r="48" spans="1:19" ht="16.5" customHeight="1">
      <c r="A48" s="786" t="s">
        <v>14</v>
      </c>
      <c r="B48" s="787"/>
      <c r="C48" s="164">
        <f>SUMIF($G$7:$G$31,"Start Up",$F$7:$F$31)</f>
        <v>0</v>
      </c>
      <c r="D48" s="118">
        <f>C48+'3'!D48</f>
        <v>0</v>
      </c>
      <c r="E48" s="143">
        <f t="shared" si="14"/>
        <v>0</v>
      </c>
      <c r="F48" s="304"/>
      <c r="G48" s="305"/>
      <c r="H48" s="186" t="s">
        <v>92</v>
      </c>
      <c r="I48" s="118">
        <f>I46/I40</f>
        <v>767.95700898274572</v>
      </c>
      <c r="J48" s="135">
        <f>J46/J40</f>
        <v>718.88661957771399</v>
      </c>
      <c r="K48" s="130" t="s">
        <v>24</v>
      </c>
      <c r="L48" s="149"/>
      <c r="M48" s="149"/>
    </row>
    <row r="49" spans="1:13" ht="16.5" customHeight="1">
      <c r="A49" s="786" t="s">
        <v>20</v>
      </c>
      <c r="B49" s="787"/>
      <c r="C49" s="164">
        <f>SUMIF($G$7:$G$31,"Others",$F$7:$F$31)</f>
        <v>382</v>
      </c>
      <c r="D49" s="118">
        <f>C49+'3'!D49</f>
        <v>382</v>
      </c>
      <c r="E49" s="143">
        <f t="shared" si="14"/>
        <v>6.3666666666666663</v>
      </c>
      <c r="F49" s="183"/>
      <c r="G49" s="149"/>
      <c r="H49" s="186" t="s">
        <v>268</v>
      </c>
      <c r="I49" s="118">
        <f>+Report1!T11</f>
        <v>3635.0489328435806</v>
      </c>
      <c r="J49" s="135">
        <f>+I49+'3'!J49</f>
        <v>14951.81809235342</v>
      </c>
      <c r="K49" s="130" t="s">
        <v>93</v>
      </c>
      <c r="L49" s="149"/>
      <c r="M49" s="149"/>
    </row>
    <row r="50" spans="1:13" ht="16.5" customHeight="1">
      <c r="A50" s="786" t="s">
        <v>19</v>
      </c>
      <c r="B50" s="787"/>
      <c r="C50" s="164">
        <f>SUMIF($G$7:$G$31,"Steam",$F$7:$F$31)</f>
        <v>0</v>
      </c>
      <c r="D50" s="118">
        <f>C50+'3'!D50</f>
        <v>0</v>
      </c>
      <c r="E50" s="143">
        <f t="shared" si="14"/>
        <v>0</v>
      </c>
      <c r="F50" s="183"/>
      <c r="G50" s="149"/>
      <c r="H50" s="186" t="s">
        <v>94</v>
      </c>
      <c r="I50" s="140">
        <f>I49/I38</f>
        <v>95.967287946659823</v>
      </c>
      <c r="J50" s="133">
        <f>J49/J38</f>
        <v>77.127681562553107</v>
      </c>
      <c r="K50" s="130" t="s">
        <v>93</v>
      </c>
      <c r="L50" s="149"/>
      <c r="M50" s="149"/>
    </row>
    <row r="51" spans="1:13" ht="16.5" customHeight="1">
      <c r="A51" s="803" t="s">
        <v>95</v>
      </c>
      <c r="B51" s="803"/>
      <c r="C51" s="164">
        <f>SUMIF($G$7:$G$31,"Planned shut",$F$7:$F$31)</f>
        <v>0</v>
      </c>
      <c r="D51" s="118">
        <f>C51+'3'!D51</f>
        <v>0</v>
      </c>
      <c r="E51" s="143">
        <f t="shared" si="14"/>
        <v>0</v>
      </c>
      <c r="F51" s="183"/>
      <c r="G51" s="149"/>
      <c r="H51" s="188" t="s">
        <v>96</v>
      </c>
      <c r="I51" s="141">
        <f>I49/I40</f>
        <v>91.609096089807977</v>
      </c>
      <c r="J51" s="136">
        <f>J49/J40</f>
        <v>75.423191664371899</v>
      </c>
      <c r="K51" s="137" t="s">
        <v>93</v>
      </c>
      <c r="L51" s="149"/>
      <c r="M51" s="149"/>
    </row>
    <row r="52" spans="1:13" ht="17.25" customHeight="1" thickBot="1">
      <c r="A52" s="804" t="s">
        <v>218</v>
      </c>
      <c r="B52" s="805"/>
      <c r="C52" s="164">
        <f>SUMIF($G$7:$G$31,"Change Grade",$F$7:$F$31)</f>
        <v>0</v>
      </c>
      <c r="D52" s="118">
        <f>C52+'3'!D52</f>
        <v>0</v>
      </c>
      <c r="E52" s="143">
        <f t="shared" si="14"/>
        <v>0</v>
      </c>
      <c r="F52" s="183"/>
      <c r="G52" s="149"/>
      <c r="H52" s="189"/>
      <c r="I52" s="190"/>
      <c r="J52" s="138"/>
      <c r="K52" s="139"/>
      <c r="L52" s="149"/>
      <c r="M52" s="149"/>
    </row>
    <row r="53" spans="1:13">
      <c r="A53" s="799" t="s">
        <v>28</v>
      </c>
      <c r="B53" s="800"/>
      <c r="C53" s="144">
        <f>SUM(C38:C52)</f>
        <v>430</v>
      </c>
      <c r="D53" s="144">
        <f>SUM(D38:D52)</f>
        <v>508</v>
      </c>
      <c r="E53" s="145">
        <f>SUM(E38:E52)</f>
        <v>8.4666666666666668</v>
      </c>
      <c r="F53" s="183"/>
      <c r="G53" s="149"/>
      <c r="H53" s="149"/>
      <c r="I53" s="149"/>
      <c r="J53" s="149"/>
      <c r="K53" s="149"/>
      <c r="L53" s="149"/>
      <c r="M53" s="149"/>
    </row>
    <row r="54" spans="1:13" ht="13.8" thickBot="1">
      <c r="A54" s="801"/>
      <c r="B54" s="802"/>
      <c r="C54" s="146">
        <f>C53/(24*60)</f>
        <v>0.2986111111111111</v>
      </c>
      <c r="D54" s="146">
        <f>D53/(24*60*G4)</f>
        <v>8.819444444444445E-2</v>
      </c>
      <c r="E54" s="147">
        <f>E53/(G4*24)</f>
        <v>8.819444444444445E-2</v>
      </c>
      <c r="F54" s="183"/>
      <c r="G54" s="149"/>
      <c r="H54" s="149"/>
      <c r="I54" s="149"/>
      <c r="J54" s="149"/>
      <c r="K54" s="149"/>
      <c r="L54" s="149"/>
      <c r="M54" s="149"/>
    </row>
    <row r="55" spans="1:13">
      <c r="A55" s="149"/>
      <c r="B55" s="149"/>
      <c r="C55" s="149"/>
      <c r="D55" s="149"/>
      <c r="E55" s="191"/>
      <c r="F55" s="110"/>
      <c r="G55" s="149"/>
      <c r="H55" s="149"/>
      <c r="I55" s="149"/>
      <c r="J55" s="149"/>
      <c r="K55" s="149"/>
      <c r="L55" s="149"/>
      <c r="M55" s="149"/>
    </row>
    <row r="56" spans="1:13">
      <c r="A56" s="192" t="s">
        <v>97</v>
      </c>
      <c r="B56" s="193"/>
      <c r="C56" s="194"/>
      <c r="D56" s="194"/>
      <c r="E56" s="194"/>
      <c r="F56" s="195"/>
      <c r="G56" s="194"/>
      <c r="H56" s="196"/>
      <c r="I56" s="197" t="s">
        <v>98</v>
      </c>
      <c r="J56" s="198">
        <f>+D34+'3'!J56</f>
        <v>0</v>
      </c>
      <c r="K56" s="199">
        <f>J56/(J40+J56/1000)/1000</f>
        <v>0</v>
      </c>
      <c r="L56" s="149"/>
      <c r="M56" s="149"/>
    </row>
    <row r="57" spans="1:13">
      <c r="A57" s="174"/>
      <c r="B57" s="149"/>
      <c r="C57" s="149"/>
      <c r="D57" s="149"/>
      <c r="E57" s="149"/>
      <c r="F57" s="110"/>
      <c r="G57" s="149"/>
      <c r="H57" s="149"/>
      <c r="I57" s="197" t="s">
        <v>99</v>
      </c>
      <c r="J57" s="198">
        <f>+E34+'3'!J57</f>
        <v>0</v>
      </c>
      <c r="K57" s="199">
        <f>J57/(J40+J57/1000)/1000</f>
        <v>0</v>
      </c>
      <c r="L57" s="149"/>
      <c r="M57" s="149"/>
    </row>
    <row r="58" spans="1:13">
      <c r="A58" s="200"/>
      <c r="B58" s="201"/>
      <c r="C58" s="149"/>
      <c r="D58" s="149"/>
      <c r="E58" s="149"/>
      <c r="F58" s="183"/>
      <c r="G58" s="149"/>
      <c r="H58" s="202"/>
      <c r="I58" s="149"/>
      <c r="J58" s="149"/>
      <c r="K58" s="149"/>
      <c r="L58" s="149"/>
      <c r="M58" s="149"/>
    </row>
    <row r="59" spans="1:13">
      <c r="A59" s="203"/>
      <c r="B59" s="174"/>
      <c r="C59" s="174"/>
      <c r="D59" s="174"/>
      <c r="E59" s="174"/>
      <c r="F59" s="187"/>
      <c r="G59" s="174"/>
      <c r="H59" s="202"/>
      <c r="I59" s="149"/>
      <c r="J59" s="149"/>
      <c r="K59" s="149"/>
      <c r="L59" s="149"/>
      <c r="M59" s="149"/>
    </row>
    <row r="60" spans="1:13">
      <c r="A60" s="149"/>
      <c r="B60" s="149"/>
      <c r="C60" s="149"/>
      <c r="D60" s="149"/>
      <c r="E60" s="149"/>
      <c r="F60" s="110"/>
      <c r="G60" s="149"/>
      <c r="H60" s="202"/>
      <c r="I60" s="149"/>
      <c r="J60" s="149"/>
      <c r="K60" s="149"/>
      <c r="L60" s="149"/>
      <c r="M60" s="149"/>
    </row>
    <row r="61" spans="1:13">
      <c r="A61" s="204"/>
      <c r="B61" s="205"/>
      <c r="C61" s="205"/>
      <c r="D61" s="205"/>
      <c r="E61" s="205"/>
      <c r="F61" s="206"/>
      <c r="G61" s="205"/>
      <c r="H61" s="207"/>
      <c r="I61" s="149"/>
      <c r="J61" s="149"/>
      <c r="K61" s="149"/>
      <c r="L61" s="149"/>
      <c r="M61" s="149"/>
    </row>
  </sheetData>
  <mergeCells count="25">
    <mergeCell ref="A7:A14"/>
    <mergeCell ref="I7:I13"/>
    <mergeCell ref="A15:A23"/>
    <mergeCell ref="I15:I22"/>
    <mergeCell ref="A24:A32"/>
    <mergeCell ref="I24:I31"/>
    <mergeCell ref="A47:B47"/>
    <mergeCell ref="A34:B34"/>
    <mergeCell ref="A37:B37"/>
    <mergeCell ref="A38:B38"/>
    <mergeCell ref="A39:B39"/>
    <mergeCell ref="A40:B40"/>
    <mergeCell ref="A41:B41"/>
    <mergeCell ref="A42:B42"/>
    <mergeCell ref="A43:B43"/>
    <mergeCell ref="A44:B44"/>
    <mergeCell ref="A45:B45"/>
    <mergeCell ref="A46:B46"/>
    <mergeCell ref="A54:B54"/>
    <mergeCell ref="A48:B48"/>
    <mergeCell ref="A49:B49"/>
    <mergeCell ref="A50:B50"/>
    <mergeCell ref="A51:B51"/>
    <mergeCell ref="A52:B52"/>
    <mergeCell ref="A53:B53"/>
  </mergeCells>
  <pageMargins left="0.7" right="0.7" top="0.75" bottom="0.75" header="0.3" footer="0.3"/>
  <pageSetup scale="43" orientation="portrait" horizontalDpi="4294967293"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S61"/>
  <sheetViews>
    <sheetView view="pageBreakPreview" topLeftCell="F1" zoomScale="80" zoomScaleNormal="75" zoomScaleSheetLayoutView="80" workbookViewId="0">
      <selection activeCell="L29" sqref="L28:S29"/>
    </sheetView>
  </sheetViews>
  <sheetFormatPr defaultColWidth="9.109375" defaultRowHeight="13.2"/>
  <cols>
    <col min="1" max="1" width="8" style="149" customWidth="1"/>
    <col min="2" max="2" width="7" style="149" bestFit="1" customWidth="1"/>
    <col min="3" max="3" width="14.88671875" style="149" bestFit="1" customWidth="1"/>
    <col min="4" max="4" width="12.6640625" style="149" bestFit="1" customWidth="1"/>
    <col min="5" max="5" width="13.88671875" style="149"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3.6640625" style="149" bestFit="1" customWidth="1"/>
    <col min="12" max="12" width="8.33203125" style="149" customWidth="1"/>
    <col min="13" max="13" width="14.5546875" style="149" bestFit="1" customWidth="1"/>
    <col min="14" max="16384" width="9.109375" style="149"/>
  </cols>
  <sheetData>
    <row r="1" spans="1:19" ht="15.6">
      <c r="A1" s="148"/>
    </row>
    <row r="2" spans="1:19" ht="15.6">
      <c r="A2" s="148" t="s">
        <v>219</v>
      </c>
    </row>
    <row r="3" spans="1:19" ht="15">
      <c r="A3" s="150"/>
    </row>
    <row r="4" spans="1:19" ht="21">
      <c r="A4" s="151" t="s">
        <v>4</v>
      </c>
      <c r="B4" s="152"/>
      <c r="F4" s="153" t="s">
        <v>29</v>
      </c>
      <c r="G4" s="154">
        <v>3</v>
      </c>
      <c r="H4" s="154" t="str">
        <f>+'1'!H4</f>
        <v>.03.26</v>
      </c>
      <c r="J4" s="149">
        <f>455+425+409</f>
        <v>1289</v>
      </c>
    </row>
    <row r="5" spans="1:19" ht="13.8" thickBot="1">
      <c r="C5" s="155"/>
      <c r="D5" s="155"/>
    </row>
    <row r="6" spans="1:19"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410</v>
      </c>
      <c r="O6" s="149">
        <v>1125</v>
      </c>
      <c r="P6" s="149">
        <f>+O6-(O6*0.16)</f>
        <v>945</v>
      </c>
      <c r="Q6" s="149">
        <v>480</v>
      </c>
      <c r="R6" s="149">
        <f t="shared" ref="R6" si="0">+O6*Q6</f>
        <v>540000</v>
      </c>
      <c r="S6" s="149">
        <f t="shared" ref="S6" si="1">+P6*Q6</f>
        <v>453600</v>
      </c>
    </row>
    <row r="7" spans="1:19" ht="13.5" customHeight="1" thickBot="1">
      <c r="A7" s="788" t="s">
        <v>428</v>
      </c>
      <c r="B7" s="213" t="s">
        <v>430</v>
      </c>
      <c r="C7" s="214">
        <v>16879</v>
      </c>
      <c r="D7" s="215"/>
      <c r="E7" s="216"/>
      <c r="F7" s="231"/>
      <c r="G7" s="553" t="s">
        <v>12</v>
      </c>
      <c r="H7" s="554" t="s">
        <v>417</v>
      </c>
      <c r="I7" s="791" t="s">
        <v>456</v>
      </c>
      <c r="J7" s="212" t="str">
        <f>+'2'!J7</f>
        <v>T 15 RC HW</v>
      </c>
      <c r="K7" s="233">
        <f>+C34</f>
        <v>49889</v>
      </c>
      <c r="L7" s="237"/>
      <c r="M7" s="117">
        <f>+K7+'2'!M7+L7</f>
        <v>158559</v>
      </c>
      <c r="O7" s="149">
        <v>1125</v>
      </c>
      <c r="P7" s="149">
        <f t="shared" ref="P7:P8" si="2">+O7-(O7*0.16)</f>
        <v>945</v>
      </c>
      <c r="Q7" s="149">
        <v>480</v>
      </c>
      <c r="R7" s="149">
        <f t="shared" ref="R7:R8" si="3">+O7*Q7</f>
        <v>540000</v>
      </c>
      <c r="S7" s="149">
        <f t="shared" ref="S7:S8" si="4">+P7*Q7</f>
        <v>453600</v>
      </c>
    </row>
    <row r="8" spans="1:19" ht="13.8" thickBot="1">
      <c r="A8" s="789"/>
      <c r="B8" s="213"/>
      <c r="C8" s="214"/>
      <c r="D8" s="215"/>
      <c r="E8" s="217"/>
      <c r="F8" s="227">
        <v>3</v>
      </c>
      <c r="G8" s="555" t="s">
        <v>12</v>
      </c>
      <c r="H8" s="226" t="s">
        <v>416</v>
      </c>
      <c r="I8" s="792"/>
      <c r="J8" s="212">
        <f>+'2'!J8</f>
        <v>0</v>
      </c>
      <c r="K8" s="234"/>
      <c r="L8" s="234"/>
      <c r="M8" s="117">
        <f>+K8+'2'!M8+L8</f>
        <v>0</v>
      </c>
      <c r="O8" s="149">
        <v>1125</v>
      </c>
      <c r="P8" s="149">
        <f t="shared" si="2"/>
        <v>945</v>
      </c>
      <c r="Q8" s="149">
        <v>480</v>
      </c>
      <c r="R8" s="149">
        <f t="shared" si="3"/>
        <v>540000</v>
      </c>
      <c r="S8" s="149">
        <f t="shared" si="4"/>
        <v>453600</v>
      </c>
    </row>
    <row r="9" spans="1:19" ht="13.8" thickBot="1">
      <c r="A9" s="789"/>
      <c r="B9" s="213"/>
      <c r="C9" s="214"/>
      <c r="D9" s="215"/>
      <c r="E9" s="218"/>
      <c r="F9" s="227">
        <v>5</v>
      </c>
      <c r="G9" s="555" t="s">
        <v>12</v>
      </c>
      <c r="H9" s="229" t="s">
        <v>418</v>
      </c>
      <c r="I9" s="792"/>
      <c r="J9" s="212"/>
      <c r="K9" s="234"/>
      <c r="L9" s="234"/>
      <c r="M9" s="117">
        <f>+K9+'2'!M9+L9</f>
        <v>0</v>
      </c>
    </row>
    <row r="10" spans="1:19" ht="53.4" thickBot="1">
      <c r="A10" s="789"/>
      <c r="B10" s="213"/>
      <c r="C10" s="214"/>
      <c r="D10" s="215"/>
      <c r="E10" s="217"/>
      <c r="F10" s="227"/>
      <c r="G10" s="225"/>
      <c r="H10" s="556" t="s">
        <v>438</v>
      </c>
      <c r="I10" s="792"/>
      <c r="J10" s="212">
        <f>+'2'!J10</f>
        <v>0</v>
      </c>
      <c r="K10" s="234"/>
      <c r="L10" s="234"/>
      <c r="M10" s="117">
        <f>+K10+'2'!M10+L10</f>
        <v>0</v>
      </c>
    </row>
    <row r="11" spans="1:19" ht="27" thickBot="1">
      <c r="A11" s="789"/>
      <c r="B11" s="213"/>
      <c r="C11" s="214"/>
      <c r="D11" s="215"/>
      <c r="E11" s="217"/>
      <c r="F11" s="224"/>
      <c r="G11" s="228"/>
      <c r="H11" s="229" t="s">
        <v>452</v>
      </c>
      <c r="I11" s="792"/>
      <c r="J11" s="212">
        <f>+'2'!J11</f>
        <v>0</v>
      </c>
      <c r="K11" s="234"/>
      <c r="L11" s="234"/>
      <c r="M11" s="117">
        <f>+K11+'2'!M11+L11</f>
        <v>0</v>
      </c>
    </row>
    <row r="12" spans="1:19" ht="13.8" thickBot="1">
      <c r="A12" s="789"/>
      <c r="B12" s="213"/>
      <c r="C12" s="214"/>
      <c r="D12" s="215"/>
      <c r="E12" s="217"/>
      <c r="F12" s="224"/>
      <c r="G12" s="228"/>
      <c r="H12" s="229"/>
      <c r="I12" s="792"/>
      <c r="J12" s="212">
        <f>+'2'!J12</f>
        <v>0</v>
      </c>
      <c r="K12" s="234"/>
      <c r="L12" s="234"/>
      <c r="M12" s="117">
        <f>+K12+'2'!M12+L12</f>
        <v>0</v>
      </c>
    </row>
    <row r="13" spans="1:19" ht="13.8" thickBot="1">
      <c r="A13" s="789"/>
      <c r="B13" s="213"/>
      <c r="C13" s="214"/>
      <c r="D13" s="214"/>
      <c r="E13" s="217"/>
      <c r="F13" s="224"/>
      <c r="G13" s="228"/>
      <c r="H13" s="229"/>
      <c r="I13" s="793"/>
      <c r="J13" s="212">
        <f>+'2'!J13</f>
        <v>0</v>
      </c>
      <c r="K13" s="234"/>
      <c r="L13" s="234"/>
      <c r="M13" s="117">
        <f>+K13+'2'!M13+L13</f>
        <v>0</v>
      </c>
      <c r="Q13" s="174">
        <f>SUM(Q5:Q12)</f>
        <v>1440</v>
      </c>
      <c r="R13" s="174">
        <f>SUM(R5:R12)</f>
        <v>1620000</v>
      </c>
      <c r="S13" s="174">
        <f>SUM(S5:S12)</f>
        <v>1360800</v>
      </c>
    </row>
    <row r="14" spans="1:19" ht="13.8" thickBot="1">
      <c r="A14" s="790"/>
      <c r="B14" s="165" t="s">
        <v>3</v>
      </c>
      <c r="C14" s="99">
        <f>SUM(C7:C13)</f>
        <v>16879</v>
      </c>
      <c r="D14" s="111">
        <f>SUM(D7:D13)</f>
        <v>0</v>
      </c>
      <c r="E14" s="112">
        <f>SUM(E5:E13)</f>
        <v>0</v>
      </c>
      <c r="F14" s="116">
        <f>SUM(F7:F13)</f>
        <v>8</v>
      </c>
      <c r="G14" s="159"/>
      <c r="H14" s="166"/>
      <c r="I14" s="167"/>
      <c r="J14" s="212">
        <f>+'2'!J14</f>
        <v>0</v>
      </c>
      <c r="K14" s="234"/>
      <c r="L14" s="234"/>
      <c r="M14" s="117">
        <f>+K14+'2'!M14+L14</f>
        <v>0</v>
      </c>
      <c r="Q14" s="149">
        <f>480-Q13</f>
        <v>-960</v>
      </c>
      <c r="R14" s="174">
        <f>+R13/Q13</f>
        <v>1125</v>
      </c>
      <c r="S14" s="174">
        <f>+S13/Q13</f>
        <v>945</v>
      </c>
    </row>
    <row r="15" spans="1:19" ht="13.5" customHeight="1" thickBot="1">
      <c r="A15" s="794" t="s">
        <v>429</v>
      </c>
      <c r="B15" s="513"/>
      <c r="C15" s="113">
        <f>C14/($C$23+$D$23+$E$23)</f>
        <v>0.96944460398598586</v>
      </c>
      <c r="D15" s="114">
        <f>D14/($C$23+$D$23+$E$23)</f>
        <v>0</v>
      </c>
      <c r="E15" s="115">
        <f>E14/($C$23+$D$23+$E$23)</f>
        <v>0</v>
      </c>
      <c r="F15" s="231"/>
      <c r="G15" s="553" t="s">
        <v>12</v>
      </c>
      <c r="H15" s="554" t="s">
        <v>417</v>
      </c>
      <c r="I15" s="791" t="s">
        <v>456</v>
      </c>
      <c r="J15" s="212">
        <f>+'2'!J15</f>
        <v>0</v>
      </c>
      <c r="K15" s="234"/>
      <c r="L15" s="234"/>
      <c r="M15" s="117">
        <f>+K15+'2'!M15+L15</f>
        <v>0</v>
      </c>
    </row>
    <row r="16" spans="1:19" ht="13.8" thickBot="1">
      <c r="A16" s="789"/>
      <c r="B16" s="512" t="s">
        <v>430</v>
      </c>
      <c r="C16" s="511">
        <v>17411</v>
      </c>
      <c r="D16" s="219"/>
      <c r="E16" s="220"/>
      <c r="F16" s="227"/>
      <c r="G16" s="555" t="s">
        <v>12</v>
      </c>
      <c r="H16" s="226" t="s">
        <v>419</v>
      </c>
      <c r="I16" s="792"/>
      <c r="J16" s="212">
        <f>+'2'!J16</f>
        <v>0</v>
      </c>
      <c r="K16" s="225"/>
      <c r="L16" s="225"/>
      <c r="M16" s="117">
        <f>+K16+'2'!M16+L16</f>
        <v>0</v>
      </c>
      <c r="N16" s="514"/>
    </row>
    <row r="17" spans="1:19" ht="13.8" thickBot="1">
      <c r="A17" s="789"/>
      <c r="B17" s="213"/>
      <c r="C17" s="214"/>
      <c r="D17" s="215"/>
      <c r="E17" s="221"/>
      <c r="F17" s="227">
        <v>8</v>
      </c>
      <c r="G17" s="555" t="s">
        <v>12</v>
      </c>
      <c r="H17" s="229" t="s">
        <v>418</v>
      </c>
      <c r="I17" s="792"/>
      <c r="J17" s="212">
        <f>+'2'!J17</f>
        <v>0</v>
      </c>
      <c r="K17" s="225"/>
      <c r="L17" s="225"/>
      <c r="M17" s="117">
        <f>+K17+'2'!M17+L17</f>
        <v>0</v>
      </c>
      <c r="N17" s="515"/>
    </row>
    <row r="18" spans="1:19" ht="53.4" thickBot="1">
      <c r="A18" s="789"/>
      <c r="B18" s="213"/>
      <c r="C18" s="214"/>
      <c r="D18" s="215"/>
      <c r="E18" s="221"/>
      <c r="F18" s="227"/>
      <c r="G18" s="225"/>
      <c r="H18" s="556" t="s">
        <v>440</v>
      </c>
      <c r="I18" s="792"/>
      <c r="J18" s="212">
        <f>+'2'!J18</f>
        <v>0</v>
      </c>
      <c r="K18" s="234"/>
      <c r="L18" s="234"/>
      <c r="M18" s="117">
        <f>+K18+'2'!M18+L18</f>
        <v>0</v>
      </c>
      <c r="Q18" s="174"/>
    </row>
    <row r="19" spans="1:19" ht="13.8" thickBot="1">
      <c r="A19" s="789"/>
      <c r="B19" s="213"/>
      <c r="C19" s="214"/>
      <c r="D19" s="215"/>
      <c r="E19" s="218"/>
      <c r="F19" s="230"/>
      <c r="G19" s="228"/>
      <c r="H19" s="229" t="s">
        <v>453</v>
      </c>
      <c r="I19" s="792"/>
      <c r="J19" s="212">
        <f>+'2'!J19</f>
        <v>0</v>
      </c>
      <c r="K19" s="234"/>
      <c r="L19" s="234"/>
      <c r="M19" s="117">
        <f>+K19+'2'!M19+L19</f>
        <v>0</v>
      </c>
      <c r="R19" s="174"/>
      <c r="S19" s="174"/>
    </row>
    <row r="20" spans="1:19" ht="13.8" thickBot="1">
      <c r="A20" s="789"/>
      <c r="B20" s="213"/>
      <c r="C20" s="214"/>
      <c r="D20" s="215"/>
      <c r="E20" s="221"/>
      <c r="F20" s="224"/>
      <c r="G20" s="228"/>
      <c r="H20" s="229"/>
      <c r="I20" s="792"/>
      <c r="J20" s="212">
        <f>+'2'!J20</f>
        <v>0</v>
      </c>
      <c r="K20" s="235"/>
      <c r="L20" s="235"/>
      <c r="M20" s="117">
        <f>+K20+'2'!M20+L20</f>
        <v>0</v>
      </c>
    </row>
    <row r="21" spans="1:19" ht="13.8" thickBot="1">
      <c r="A21" s="789"/>
      <c r="B21" s="213"/>
      <c r="C21" s="214"/>
      <c r="D21" s="215"/>
      <c r="E21" s="221"/>
      <c r="F21" s="227"/>
      <c r="G21" s="228"/>
      <c r="H21" s="229"/>
      <c r="I21" s="792"/>
      <c r="J21" s="212">
        <f>+'2'!J21</f>
        <v>0</v>
      </c>
      <c r="K21" s="234"/>
      <c r="L21" s="234"/>
      <c r="M21" s="117">
        <f>+K21+'2'!M21+L21</f>
        <v>0</v>
      </c>
    </row>
    <row r="22" spans="1:19" ht="13.8" thickBot="1">
      <c r="A22" s="789"/>
      <c r="B22" s="213"/>
      <c r="C22" s="214"/>
      <c r="D22" s="215"/>
      <c r="E22" s="221"/>
      <c r="F22" s="231"/>
      <c r="G22" s="228"/>
      <c r="H22" s="229"/>
      <c r="I22" s="793"/>
      <c r="J22" s="212">
        <f>+'2'!J22</f>
        <v>0</v>
      </c>
      <c r="K22" s="234"/>
      <c r="L22" s="234"/>
      <c r="M22" s="117">
        <f>+K22+'2'!M22+L22</f>
        <v>0</v>
      </c>
    </row>
    <row r="23" spans="1:19" ht="13.8" thickBot="1">
      <c r="A23" s="790"/>
      <c r="B23" s="165" t="s">
        <v>3</v>
      </c>
      <c r="C23" s="99">
        <f>SUM(C16:C22)</f>
        <v>17411</v>
      </c>
      <c r="D23" s="111">
        <f>SUM(D16:D22)</f>
        <v>0</v>
      </c>
      <c r="E23" s="112">
        <f>SUM(E18:E22)</f>
        <v>0</v>
      </c>
      <c r="F23" s="116">
        <f>SUM(F15:F22)</f>
        <v>8</v>
      </c>
      <c r="G23" s="159"/>
      <c r="H23" s="166"/>
      <c r="I23" s="168"/>
      <c r="J23" s="212">
        <f>+'2'!J23</f>
        <v>0</v>
      </c>
      <c r="K23" s="234"/>
      <c r="L23" s="234"/>
      <c r="M23" s="117">
        <f>+K23+'2'!M23+L23</f>
        <v>0</v>
      </c>
    </row>
    <row r="24" spans="1:19" ht="13.5" customHeight="1" thickBot="1">
      <c r="A24" s="794" t="s">
        <v>458</v>
      </c>
      <c r="B24" s="513"/>
      <c r="C24" s="113">
        <f>C23/($C$23+$D$23+$E$23)</f>
        <v>1</v>
      </c>
      <c r="D24" s="114">
        <f>D23/($C$23+$D$23+$E$23)</f>
        <v>0</v>
      </c>
      <c r="E24" s="115">
        <f>E23/($C$23+$D$23+$E$23)</f>
        <v>0</v>
      </c>
      <c r="F24" s="231"/>
      <c r="G24" s="553" t="s">
        <v>12</v>
      </c>
      <c r="H24" s="554" t="s">
        <v>417</v>
      </c>
      <c r="I24" s="791" t="s">
        <v>456</v>
      </c>
      <c r="J24" s="212">
        <f>+'2'!J24</f>
        <v>0</v>
      </c>
      <c r="K24" s="234"/>
      <c r="L24" s="234"/>
      <c r="M24" s="117">
        <f>+K24+'2'!M24+L24</f>
        <v>0</v>
      </c>
    </row>
    <row r="25" spans="1:19" ht="13.8" thickBot="1">
      <c r="A25" s="789"/>
      <c r="B25" s="512" t="s">
        <v>430</v>
      </c>
      <c r="C25" s="222">
        <v>15599</v>
      </c>
      <c r="D25" s="215"/>
      <c r="E25" s="221"/>
      <c r="F25" s="227"/>
      <c r="G25" s="555" t="s">
        <v>12</v>
      </c>
      <c r="H25" s="226" t="s">
        <v>419</v>
      </c>
      <c r="I25" s="792"/>
      <c r="J25" s="212">
        <f>+'2'!J25</f>
        <v>0</v>
      </c>
      <c r="K25" s="234"/>
      <c r="L25" s="234"/>
      <c r="M25" s="117">
        <f>+K25+'2'!M25+L25</f>
        <v>0</v>
      </c>
      <c r="N25" s="514"/>
    </row>
    <row r="26" spans="1:19" ht="13.8" thickBot="1">
      <c r="A26" s="789"/>
      <c r="B26" s="213"/>
      <c r="C26" s="222"/>
      <c r="D26" s="215"/>
      <c r="E26" s="223"/>
      <c r="F26" s="227">
        <v>6</v>
      </c>
      <c r="G26" s="555" t="s">
        <v>12</v>
      </c>
      <c r="H26" s="229" t="s">
        <v>418</v>
      </c>
      <c r="I26" s="792"/>
      <c r="J26" s="212">
        <f>+'2'!J26</f>
        <v>0</v>
      </c>
      <c r="K26" s="234"/>
      <c r="L26" s="234"/>
      <c r="M26" s="117">
        <f>+K26+'2'!M26+L26</f>
        <v>0</v>
      </c>
      <c r="N26" s="515"/>
    </row>
    <row r="27" spans="1:19" ht="66.599999999999994" thickBot="1">
      <c r="A27" s="789"/>
      <c r="B27" s="213"/>
      <c r="C27" s="214"/>
      <c r="D27" s="215"/>
      <c r="E27" s="221"/>
      <c r="F27" s="227"/>
      <c r="G27" s="225"/>
      <c r="H27" s="556" t="s">
        <v>454</v>
      </c>
      <c r="I27" s="792"/>
      <c r="J27" s="212">
        <f>+'2'!J27</f>
        <v>0</v>
      </c>
      <c r="K27" s="234"/>
      <c r="L27" s="234"/>
      <c r="M27" s="117">
        <f>+K27+'2'!M27+L27</f>
        <v>0</v>
      </c>
      <c r="Q27" s="174"/>
    </row>
    <row r="28" spans="1:19" ht="73.5" customHeight="1" thickBot="1">
      <c r="A28" s="789"/>
      <c r="B28" s="213"/>
      <c r="C28" s="214"/>
      <c r="D28" s="215"/>
      <c r="E28" s="221"/>
      <c r="F28" s="227"/>
      <c r="G28" s="225"/>
      <c r="H28" s="229" t="s">
        <v>455</v>
      </c>
      <c r="I28" s="792"/>
      <c r="J28" s="212">
        <f>+'2'!J28</f>
        <v>0</v>
      </c>
      <c r="K28" s="234"/>
      <c r="L28" s="234"/>
      <c r="M28" s="117">
        <f>+K28+'2'!M28+L28</f>
        <v>0</v>
      </c>
      <c r="R28" s="174"/>
      <c r="S28" s="174"/>
    </row>
    <row r="29" spans="1:19" ht="13.8" thickBot="1">
      <c r="A29" s="789"/>
      <c r="B29" s="213"/>
      <c r="C29" s="214"/>
      <c r="D29" s="215"/>
      <c r="E29" s="221"/>
      <c r="F29" s="231"/>
      <c r="G29" s="228"/>
      <c r="H29" s="229"/>
      <c r="I29" s="792"/>
      <c r="J29" s="212">
        <f>+'2'!J29</f>
        <v>0</v>
      </c>
      <c r="K29" s="234"/>
      <c r="L29" s="234"/>
      <c r="M29" s="117">
        <f>+K29+'2'!M29+L29</f>
        <v>0</v>
      </c>
    </row>
    <row r="30" spans="1:19" ht="13.8" thickBot="1">
      <c r="A30" s="789"/>
      <c r="B30" s="213"/>
      <c r="C30" s="222"/>
      <c r="D30" s="215"/>
      <c r="E30" s="221"/>
      <c r="F30" s="231"/>
      <c r="G30" s="228"/>
      <c r="H30" s="229"/>
      <c r="I30" s="792"/>
      <c r="J30" s="212">
        <f>+'2'!J30</f>
        <v>0</v>
      </c>
      <c r="K30" s="234"/>
      <c r="L30" s="234"/>
      <c r="M30" s="117">
        <f>+K30+'2'!M30+L30</f>
        <v>0</v>
      </c>
      <c r="N30" s="155"/>
    </row>
    <row r="31" spans="1:19" ht="13.8" thickBot="1">
      <c r="A31" s="789"/>
      <c r="B31" s="213"/>
      <c r="C31" s="222"/>
      <c r="D31" s="215"/>
      <c r="E31" s="221"/>
      <c r="F31" s="231"/>
      <c r="G31" s="232"/>
      <c r="H31" s="404"/>
      <c r="I31" s="793"/>
      <c r="J31" s="212">
        <f>+'2'!J31</f>
        <v>0</v>
      </c>
      <c r="K31" s="234"/>
      <c r="L31" s="234"/>
      <c r="M31" s="117">
        <f>+K31+'2'!M31+L31</f>
        <v>0</v>
      </c>
    </row>
    <row r="32" spans="1:19" ht="13.8" thickBot="1">
      <c r="A32" s="790"/>
      <c r="B32" s="165" t="s">
        <v>3</v>
      </c>
      <c r="C32" s="99">
        <f>SUM(C25:C31)</f>
        <v>15599</v>
      </c>
      <c r="D32" s="100">
        <f>SUM(D25:D31)</f>
        <v>0</v>
      </c>
      <c r="E32" s="101">
        <f>SUM(E25:E31)</f>
        <v>0</v>
      </c>
      <c r="F32" s="99">
        <f>SUM(F24:F31)</f>
        <v>6</v>
      </c>
      <c r="G32" s="169"/>
      <c r="H32" s="170"/>
      <c r="I32" s="168"/>
      <c r="J32" s="212">
        <f>+'2'!J32</f>
        <v>0</v>
      </c>
      <c r="K32" s="236"/>
      <c r="L32" s="238"/>
      <c r="M32" s="117">
        <f>+K32+'2'!M32+L32</f>
        <v>0</v>
      </c>
    </row>
    <row r="33" spans="1:14" ht="13.8" thickBot="1">
      <c r="A33" s="171"/>
      <c r="B33" s="172"/>
      <c r="C33" s="103">
        <f>C32/($C$32+$D$32+$E$32)</f>
        <v>1</v>
      </c>
      <c r="D33" s="104">
        <f>D32/($C$32+$D$32+$E$32)</f>
        <v>0</v>
      </c>
      <c r="E33" s="105">
        <f>E32/($C$32+$D$32+$E$32)</f>
        <v>0</v>
      </c>
      <c r="F33" s="106"/>
      <c r="G33" s="173"/>
      <c r="H33" s="174"/>
      <c r="I33" s="175"/>
      <c r="J33" s="121"/>
      <c r="K33" s="122"/>
      <c r="L33" s="211"/>
      <c r="M33" s="119"/>
    </row>
    <row r="34" spans="1:14" ht="13.8" thickBot="1">
      <c r="A34" s="795" t="s">
        <v>68</v>
      </c>
      <c r="B34" s="796"/>
      <c r="C34" s="107">
        <f>C14+C23+C32</f>
        <v>49889</v>
      </c>
      <c r="D34" s="107">
        <f>D14+D23+D32</f>
        <v>0</v>
      </c>
      <c r="E34" s="107">
        <f>E14+E23+E32</f>
        <v>0</v>
      </c>
      <c r="F34" s="108">
        <f>F14+F23+F32</f>
        <v>22</v>
      </c>
      <c r="H34" s="176"/>
      <c r="I34" s="176"/>
      <c r="J34" s="123" t="s">
        <v>28</v>
      </c>
      <c r="K34" s="124">
        <f>SUM(K7:K32)</f>
        <v>49889</v>
      </c>
      <c r="L34" s="210">
        <f>SUM(L7:L32)</f>
        <v>0</v>
      </c>
      <c r="M34" s="120">
        <f>SUM(M7:M32)</f>
        <v>158559</v>
      </c>
      <c r="N34" s="155"/>
    </row>
    <row r="35" spans="1:14" ht="13.8" thickBot="1">
      <c r="A35" s="177"/>
      <c r="B35" s="178"/>
      <c r="C35" s="104">
        <f>C34/($C$34+$D$34+$E$34)</f>
        <v>1</v>
      </c>
      <c r="D35" s="104">
        <f>D34/($C$34+$D$34+$E$34)</f>
        <v>0</v>
      </c>
      <c r="E35" s="109">
        <f>E34/($C$34+$D$34+$E$34)</f>
        <v>0</v>
      </c>
      <c r="K35" s="155"/>
    </row>
    <row r="36" spans="1:14" ht="13.8" thickBot="1">
      <c r="A36" s="176"/>
      <c r="B36" s="176"/>
      <c r="C36" s="155"/>
      <c r="D36" s="155"/>
      <c r="E36" s="155"/>
      <c r="G36" s="155"/>
      <c r="H36" s="179"/>
      <c r="I36" s="162" t="s">
        <v>37</v>
      </c>
      <c r="J36" s="162" t="s">
        <v>38</v>
      </c>
      <c r="K36" s="180"/>
    </row>
    <row r="37" spans="1:14" ht="17.399999999999999" customHeight="1" thickBot="1">
      <c r="A37" s="797" t="s">
        <v>69</v>
      </c>
      <c r="B37" s="798"/>
      <c r="C37" s="162" t="s">
        <v>70</v>
      </c>
      <c r="D37" s="181" t="s">
        <v>71</v>
      </c>
      <c r="E37" s="182" t="s">
        <v>72</v>
      </c>
      <c r="F37" s="304"/>
      <c r="G37" s="306"/>
      <c r="H37" s="184" t="s">
        <v>73</v>
      </c>
      <c r="I37" s="239">
        <f>(15*1440)/1440*G42*2.7*1440/1000000</f>
        <v>55.112400000000001</v>
      </c>
      <c r="J37" s="125">
        <f>+I37+'2'!J37</f>
        <v>166.24311908203126</v>
      </c>
      <c r="K37" s="126" t="s">
        <v>74</v>
      </c>
    </row>
    <row r="38" spans="1:14" ht="17.399999999999999" customHeight="1">
      <c r="A38" s="799" t="s">
        <v>12</v>
      </c>
      <c r="B38" s="800"/>
      <c r="C38" s="164">
        <f>SUMIF($G$7:$G$31,"Process",$F$7:$F$31)</f>
        <v>22</v>
      </c>
      <c r="D38" s="118">
        <f>C38+'2'!D38</f>
        <v>78</v>
      </c>
      <c r="E38" s="143">
        <f t="shared" ref="E38:E52" si="5">D38/60</f>
        <v>1.3</v>
      </c>
      <c r="F38" s="304">
        <v>1125</v>
      </c>
      <c r="G38" s="304">
        <v>945</v>
      </c>
      <c r="H38" s="185" t="s">
        <v>75</v>
      </c>
      <c r="I38" s="240">
        <f>16.967+18.585+18.122</f>
        <v>53.673999999999999</v>
      </c>
      <c r="J38" s="127">
        <f>+I38+'2'!J38</f>
        <v>155.98000000000002</v>
      </c>
      <c r="K38" s="128" t="s">
        <v>74</v>
      </c>
    </row>
    <row r="39" spans="1:14" ht="17.399999999999999" customHeight="1">
      <c r="A39" s="786" t="s">
        <v>13</v>
      </c>
      <c r="B39" s="787"/>
      <c r="C39" s="164">
        <f>SUMIF($G$7:$G$31,"Cleaning",$F$7:$F$31)</f>
        <v>0</v>
      </c>
      <c r="D39" s="118">
        <f>C39+'2'!D39</f>
        <v>0</v>
      </c>
      <c r="E39" s="143">
        <f t="shared" si="5"/>
        <v>0</v>
      </c>
      <c r="F39" s="304">
        <v>1125</v>
      </c>
      <c r="G39" s="304">
        <v>945</v>
      </c>
      <c r="H39" s="185" t="s">
        <v>76</v>
      </c>
      <c r="I39" s="142"/>
      <c r="J39" s="129">
        <f>J37/G4</f>
        <v>55.41437302734375</v>
      </c>
      <c r="K39" s="130" t="s">
        <v>74</v>
      </c>
    </row>
    <row r="40" spans="1:14" ht="17.399999999999999" customHeight="1">
      <c r="A40" s="786" t="s">
        <v>77</v>
      </c>
      <c r="B40" s="787"/>
      <c r="C40" s="164">
        <f>SUMIF($G$7:$G$31,"Mechanical",$F$7:$F$31)</f>
        <v>0</v>
      </c>
      <c r="D40" s="118">
        <f>C40+'2'!D40</f>
        <v>0</v>
      </c>
      <c r="E40" s="143">
        <f t="shared" si="5"/>
        <v>0</v>
      </c>
      <c r="F40" s="304">
        <v>1125</v>
      </c>
      <c r="G40" s="304">
        <v>945</v>
      </c>
      <c r="H40" s="185" t="s">
        <v>78</v>
      </c>
      <c r="I40" s="118">
        <f>(K34+L34)/1000</f>
        <v>49.889000000000003</v>
      </c>
      <c r="J40" s="131">
        <f>+I40+'2'!J40</f>
        <v>158.559</v>
      </c>
      <c r="K40" s="130" t="s">
        <v>74</v>
      </c>
    </row>
    <row r="41" spans="1:14" ht="17.399999999999999" customHeight="1">
      <c r="A41" s="786" t="s">
        <v>79</v>
      </c>
      <c r="B41" s="787"/>
      <c r="C41" s="164">
        <f>SUMIF($G$7:$G$31,"Electrical",$F$7:$F$31)</f>
        <v>0</v>
      </c>
      <c r="D41" s="118">
        <f>C41+'2'!D41</f>
        <v>0</v>
      </c>
      <c r="E41" s="143">
        <f t="shared" si="5"/>
        <v>0</v>
      </c>
      <c r="F41" s="304"/>
      <c r="G41" s="304"/>
      <c r="H41" s="185" t="s">
        <v>80</v>
      </c>
      <c r="I41" s="142"/>
      <c r="J41" s="129">
        <f>J40/G4</f>
        <v>52.853000000000002</v>
      </c>
      <c r="K41" s="130" t="s">
        <v>74</v>
      </c>
      <c r="M41" s="155"/>
    </row>
    <row r="42" spans="1:14" ht="17.399999999999999" customHeight="1">
      <c r="A42" s="786" t="s">
        <v>16</v>
      </c>
      <c r="B42" s="787"/>
      <c r="C42" s="164">
        <f>SUMIF($G$7:$G$31,"Instrument",$F$7:$F$31)</f>
        <v>0</v>
      </c>
      <c r="D42" s="118">
        <f>C42+'2'!D42</f>
        <v>0</v>
      </c>
      <c r="E42" s="143">
        <f t="shared" si="5"/>
        <v>0</v>
      </c>
      <c r="F42" s="183">
        <f>+(480*F38+480*F39+480*F40)/1440</f>
        <v>1125</v>
      </c>
      <c r="G42" s="183">
        <f>+(480*G38+480*G39+480*G40)/1440</f>
        <v>945</v>
      </c>
      <c r="H42" s="185" t="s">
        <v>81</v>
      </c>
      <c r="I42" s="241" t="s">
        <v>456</v>
      </c>
      <c r="J42" s="132"/>
      <c r="K42" s="130" t="s">
        <v>82</v>
      </c>
    </row>
    <row r="43" spans="1:14" ht="17.399999999999999" customHeight="1">
      <c r="A43" s="786" t="s">
        <v>83</v>
      </c>
      <c r="B43" s="787"/>
      <c r="C43" s="164">
        <f>SUMIF($G$7:$G$31,"Water",$F$7:$F$31)</f>
        <v>0</v>
      </c>
      <c r="D43" s="118">
        <f>C43+'2'!D43</f>
        <v>0</v>
      </c>
      <c r="E43" s="143">
        <f t="shared" si="5"/>
        <v>0</v>
      </c>
      <c r="F43" s="304"/>
      <c r="G43" s="305"/>
      <c r="H43" s="186" t="s">
        <v>84</v>
      </c>
      <c r="I43" s="118">
        <f>+Report1!Z11</f>
        <v>100.36</v>
      </c>
      <c r="J43" s="133">
        <f>+I43+'2'!J43</f>
        <v>300.36</v>
      </c>
      <c r="K43" s="130" t="s">
        <v>74</v>
      </c>
      <c r="L43" s="187"/>
    </row>
    <row r="44" spans="1:14" ht="17.399999999999999" customHeight="1">
      <c r="A44" s="786" t="s">
        <v>17</v>
      </c>
      <c r="B44" s="787"/>
      <c r="C44" s="164">
        <f>SUMIF($G$7:$G$31,"PLN",$F$7:$F$31)</f>
        <v>0</v>
      </c>
      <c r="D44" s="118">
        <f>C44+'2'!D44</f>
        <v>0</v>
      </c>
      <c r="E44" s="143">
        <f t="shared" si="5"/>
        <v>0</v>
      </c>
      <c r="F44" s="304"/>
      <c r="G44" s="305"/>
      <c r="H44" s="186" t="s">
        <v>85</v>
      </c>
      <c r="I44" s="118">
        <f>I43/I38</f>
        <v>1.8698066102768567</v>
      </c>
      <c r="J44" s="134">
        <f>J43/J38</f>
        <v>1.9256314912168224</v>
      </c>
      <c r="K44" s="130" t="s">
        <v>74</v>
      </c>
    </row>
    <row r="45" spans="1:14" ht="17.399999999999999" customHeight="1">
      <c r="A45" s="786" t="s">
        <v>18</v>
      </c>
      <c r="B45" s="787"/>
      <c r="C45" s="164">
        <f>SUMIF($G$7:$G$31,"Boiler",$F$7:$F$31)</f>
        <v>0</v>
      </c>
      <c r="D45" s="118">
        <f>C45+'2'!D45</f>
        <v>0</v>
      </c>
      <c r="E45" s="143">
        <f t="shared" si="5"/>
        <v>0</v>
      </c>
      <c r="F45" s="304"/>
      <c r="G45" s="307"/>
      <c r="H45" s="186" t="s">
        <v>86</v>
      </c>
      <c r="I45" s="118">
        <f>I43/I40</f>
        <v>2.0116658982942131</v>
      </c>
      <c r="J45" s="134">
        <f>J43/J40</f>
        <v>1.8943106351578909</v>
      </c>
      <c r="K45" s="130" t="s">
        <v>74</v>
      </c>
    </row>
    <row r="46" spans="1:14" ht="17.399999999999999" customHeight="1">
      <c r="A46" s="786" t="s">
        <v>87</v>
      </c>
      <c r="B46" s="787"/>
      <c r="C46" s="164">
        <f>SUMIF($G$7:$G$31,"Gas",$F$7:$F$31)</f>
        <v>0</v>
      </c>
      <c r="D46" s="118">
        <f>C46+'2'!D46</f>
        <v>0</v>
      </c>
      <c r="E46" s="143">
        <f t="shared" si="5"/>
        <v>0</v>
      </c>
      <c r="F46" s="304"/>
      <c r="G46" s="305"/>
      <c r="H46" s="186" t="s">
        <v>88</v>
      </c>
      <c r="I46" s="140">
        <f>+SUMIF(Listrik!X10,"&gt;0")</f>
        <v>35761.525498046278</v>
      </c>
      <c r="J46" s="135">
        <f>+I46+'2'!J46</f>
        <v>112038.8304620311</v>
      </c>
      <c r="K46" s="130" t="s">
        <v>89</v>
      </c>
    </row>
    <row r="47" spans="1:14" ht="17.399999999999999" customHeight="1">
      <c r="A47" s="786" t="s">
        <v>90</v>
      </c>
      <c r="B47" s="787"/>
      <c r="C47" s="164">
        <f>SUMIF($G$7:$G$31,"Gas",$F$7:$F$31)</f>
        <v>0</v>
      </c>
      <c r="D47" s="118">
        <f>C47+'2'!D47</f>
        <v>0</v>
      </c>
      <c r="E47" s="143">
        <f t="shared" si="5"/>
        <v>0</v>
      </c>
      <c r="F47" s="304"/>
      <c r="G47" s="305"/>
      <c r="H47" s="186" t="s">
        <v>91</v>
      </c>
      <c r="I47" s="118">
        <f>I46/I38</f>
        <v>666.27278566990117</v>
      </c>
      <c r="J47" s="135">
        <f>J46/J38</f>
        <v>718.28971959245473</v>
      </c>
      <c r="K47" s="130" t="s">
        <v>24</v>
      </c>
    </row>
    <row r="48" spans="1:14" ht="17.399999999999999" customHeight="1">
      <c r="A48" s="786" t="s">
        <v>14</v>
      </c>
      <c r="B48" s="787"/>
      <c r="C48" s="164">
        <f>SUMIF($G$7:$G$31,"Start Up",$F$7:$F$31)</f>
        <v>0</v>
      </c>
      <c r="D48" s="118">
        <f>C48+'2'!D48</f>
        <v>0</v>
      </c>
      <c r="E48" s="143">
        <f t="shared" si="5"/>
        <v>0</v>
      </c>
      <c r="F48" s="304"/>
      <c r="G48" s="305"/>
      <c r="H48" s="186" t="s">
        <v>92</v>
      </c>
      <c r="I48" s="118">
        <f>I46/I40</f>
        <v>716.8218544778664</v>
      </c>
      <c r="J48" s="135">
        <f>J46/J40</f>
        <v>706.60656577066641</v>
      </c>
      <c r="K48" s="130" t="s">
        <v>24</v>
      </c>
    </row>
    <row r="49" spans="1:11" ht="17.399999999999999" customHeight="1">
      <c r="A49" s="786" t="s">
        <v>20</v>
      </c>
      <c r="B49" s="787"/>
      <c r="C49" s="164">
        <f>SUMIF($G$7:$G$31,"Others",$F$7:$F$31)</f>
        <v>0</v>
      </c>
      <c r="D49" s="118">
        <f>C49+'2'!D49</f>
        <v>0</v>
      </c>
      <c r="E49" s="143">
        <f t="shared" si="5"/>
        <v>0</v>
      </c>
      <c r="F49" s="183"/>
      <c r="H49" s="186" t="s">
        <v>268</v>
      </c>
      <c r="I49" s="118">
        <f>+Report1!T11</f>
        <v>3635.0489328435806</v>
      </c>
      <c r="J49" s="135">
        <f>+I49+'2'!J49</f>
        <v>11316.769159509839</v>
      </c>
      <c r="K49" s="130" t="s">
        <v>93</v>
      </c>
    </row>
    <row r="50" spans="1:11" ht="17.399999999999999" customHeight="1">
      <c r="A50" s="786" t="s">
        <v>19</v>
      </c>
      <c r="B50" s="787"/>
      <c r="C50" s="164">
        <f>SUMIF($G$7:$G$31,"Steam",$F$7:$F$31)</f>
        <v>0</v>
      </c>
      <c r="D50" s="118">
        <f>C50+'2'!D50</f>
        <v>0</v>
      </c>
      <c r="E50" s="143">
        <f t="shared" si="5"/>
        <v>0</v>
      </c>
      <c r="F50" s="183"/>
      <c r="H50" s="186" t="s">
        <v>94</v>
      </c>
      <c r="I50" s="140">
        <f>I49/I38</f>
        <v>67.724576756783179</v>
      </c>
      <c r="J50" s="133">
        <f>J49/J38</f>
        <v>72.552693675534286</v>
      </c>
      <c r="K50" s="130" t="s">
        <v>93</v>
      </c>
    </row>
    <row r="51" spans="1:11" ht="17.399999999999999" customHeight="1">
      <c r="A51" s="803" t="s">
        <v>95</v>
      </c>
      <c r="B51" s="803"/>
      <c r="C51" s="164">
        <f>SUMIF($G$7:$G$31,"Planned shut",$F$7:$F$31)</f>
        <v>0</v>
      </c>
      <c r="D51" s="118">
        <f>C51+'2'!D51</f>
        <v>0</v>
      </c>
      <c r="E51" s="143">
        <f t="shared" si="5"/>
        <v>0</v>
      </c>
      <c r="F51" s="183"/>
      <c r="H51" s="188" t="s">
        <v>96</v>
      </c>
      <c r="I51" s="141">
        <f>I49/I40</f>
        <v>72.862733926187744</v>
      </c>
      <c r="J51" s="136">
        <f>J49/J40</f>
        <v>71.372606786810195</v>
      </c>
      <c r="K51" s="137" t="s">
        <v>93</v>
      </c>
    </row>
    <row r="52" spans="1:11" ht="13.8" thickBot="1">
      <c r="A52" s="804" t="s">
        <v>218</v>
      </c>
      <c r="B52" s="805"/>
      <c r="C52" s="164">
        <f>SUMIF($G$7:$G$31,"Change Grade",$F$7:$F$31)</f>
        <v>0</v>
      </c>
      <c r="D52" s="118">
        <f>C52+'2'!D52</f>
        <v>0</v>
      </c>
      <c r="E52" s="143">
        <f t="shared" si="5"/>
        <v>0</v>
      </c>
      <c r="F52" s="183"/>
      <c r="H52" s="189"/>
      <c r="I52" s="190"/>
      <c r="J52" s="138"/>
      <c r="K52" s="139"/>
    </row>
    <row r="53" spans="1:11">
      <c r="A53" s="799" t="s">
        <v>28</v>
      </c>
      <c r="B53" s="800"/>
      <c r="C53" s="144">
        <f>SUM(C38:C52)</f>
        <v>22</v>
      </c>
      <c r="D53" s="144">
        <f>SUM(D38:D52)</f>
        <v>78</v>
      </c>
      <c r="E53" s="145">
        <f>SUM(E38:E52)</f>
        <v>1.3</v>
      </c>
      <c r="F53" s="183"/>
    </row>
    <row r="54" spans="1:11" ht="13.8" thickBot="1">
      <c r="A54" s="801"/>
      <c r="B54" s="802"/>
      <c r="C54" s="146">
        <f>C53/(24*60)</f>
        <v>1.5277777777777777E-2</v>
      </c>
      <c r="D54" s="146">
        <f>D53/(24*60*G4)</f>
        <v>1.8055555555555554E-2</v>
      </c>
      <c r="E54" s="147">
        <f>E53/(G4*24)</f>
        <v>1.8055555555555557E-2</v>
      </c>
      <c r="F54" s="183"/>
    </row>
    <row r="55" spans="1:11">
      <c r="E55" s="191"/>
    </row>
    <row r="56" spans="1:11">
      <c r="A56" s="192" t="s">
        <v>97</v>
      </c>
      <c r="B56" s="193"/>
      <c r="C56" s="194"/>
      <c r="D56" s="194"/>
      <c r="E56" s="194"/>
      <c r="F56" s="195"/>
      <c r="G56" s="194"/>
      <c r="H56" s="196"/>
      <c r="I56" s="197" t="s">
        <v>98</v>
      </c>
      <c r="J56" s="198">
        <f>+D34+'2'!J56</f>
        <v>0</v>
      </c>
      <c r="K56" s="199">
        <f>J56/(J40+J56/1000)/1000</f>
        <v>0</v>
      </c>
    </row>
    <row r="57" spans="1:11">
      <c r="A57" s="174"/>
      <c r="I57" s="197" t="s">
        <v>99</v>
      </c>
      <c r="J57" s="198">
        <f>+E34+'2'!J57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17" right="0.16" top="0.17" bottom="0.16" header="0" footer="0"/>
  <pageSetup paperSize="9" scale="54"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B61"/>
  <sheetViews>
    <sheetView view="pageBreakPreview" topLeftCell="A16" zoomScale="80" zoomScaleNormal="75" zoomScaleSheetLayoutView="80" workbookViewId="0">
      <selection activeCell="A7" sqref="A7:A32"/>
    </sheetView>
  </sheetViews>
  <sheetFormatPr defaultColWidth="9.109375" defaultRowHeight="13.2"/>
  <cols>
    <col min="1" max="1" width="8" style="149" customWidth="1"/>
    <col min="2" max="2" width="7" style="149" bestFit="1" customWidth="1"/>
    <col min="3" max="3" width="14.88671875" style="149" bestFit="1" customWidth="1"/>
    <col min="4" max="4" width="12.5546875" style="149" bestFit="1" customWidth="1"/>
    <col min="5" max="5" width="13.88671875" style="149" bestFit="1" customWidth="1"/>
    <col min="6" max="6" width="12.109375" style="110" customWidth="1"/>
    <col min="7" max="7" width="11.44140625" style="149" customWidth="1"/>
    <col min="8" max="8" width="64.88671875" style="149" customWidth="1"/>
    <col min="9" max="9" width="14.6640625" style="149" bestFit="1" customWidth="1"/>
    <col min="10" max="10" width="14.6640625" style="149" customWidth="1"/>
    <col min="11" max="11" width="14" style="149" bestFit="1" customWidth="1"/>
    <col min="12" max="12" width="8.33203125" style="149" customWidth="1"/>
    <col min="13" max="13" width="14.5546875" style="149" customWidth="1"/>
    <col min="14" max="16384" width="9.109375" style="149"/>
  </cols>
  <sheetData>
    <row r="1" spans="1:28" ht="15.6">
      <c r="A1" s="148"/>
      <c r="U1" s="514"/>
      <c r="V1" s="532"/>
    </row>
    <row r="2" spans="1:28" ht="15.6">
      <c r="A2" s="148" t="s">
        <v>219</v>
      </c>
      <c r="U2" s="514"/>
      <c r="V2" s="532"/>
    </row>
    <row r="3" spans="1:28" ht="15">
      <c r="A3" s="150"/>
      <c r="U3" s="514"/>
      <c r="V3" s="532"/>
    </row>
    <row r="4" spans="1:28" ht="21">
      <c r="A4" s="151" t="s">
        <v>4</v>
      </c>
      <c r="B4" s="152"/>
      <c r="F4" s="153" t="s">
        <v>29</v>
      </c>
      <c r="G4" s="154">
        <v>2</v>
      </c>
      <c r="H4" s="154" t="str">
        <f>+'1'!H4</f>
        <v>.03.26</v>
      </c>
      <c r="J4" s="149">
        <f>482+441+503</f>
        <v>1426</v>
      </c>
      <c r="X4" s="174"/>
    </row>
    <row r="5" spans="1:28" ht="13.8" thickBot="1">
      <c r="C5" s="155"/>
      <c r="D5" s="155"/>
      <c r="Y5" s="174"/>
      <c r="Z5" s="174"/>
    </row>
    <row r="6" spans="1:28"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W6" s="514"/>
    </row>
    <row r="7" spans="1:28" ht="13.5" customHeight="1" thickBot="1">
      <c r="A7" s="788" t="s">
        <v>428</v>
      </c>
      <c r="B7" s="213" t="s">
        <v>430</v>
      </c>
      <c r="C7" s="214">
        <v>18450</v>
      </c>
      <c r="D7" s="215"/>
      <c r="E7" s="216"/>
      <c r="F7" s="231"/>
      <c r="G7" s="553" t="s">
        <v>12</v>
      </c>
      <c r="H7" s="554" t="s">
        <v>417</v>
      </c>
      <c r="I7" s="791" t="s">
        <v>449</v>
      </c>
      <c r="J7" s="212" t="str">
        <f>+'1'!J7</f>
        <v>T 15 RC HW</v>
      </c>
      <c r="K7" s="233">
        <f>+C34</f>
        <v>52433</v>
      </c>
      <c r="L7" s="237"/>
      <c r="M7" s="117">
        <f>+K7+'1'!M7+L7</f>
        <v>108670</v>
      </c>
      <c r="N7" s="149" t="s">
        <v>410</v>
      </c>
      <c r="O7" s="149">
        <v>1125</v>
      </c>
      <c r="P7" s="149">
        <f>+O7-(O7*0.15)</f>
        <v>956.25</v>
      </c>
      <c r="Q7" s="149">
        <f>60+25</f>
        <v>85</v>
      </c>
      <c r="R7" s="149">
        <f t="shared" ref="R7" si="0">+O7*Q7</f>
        <v>95625</v>
      </c>
      <c r="S7" s="149">
        <f t="shared" ref="S7" si="1">+P7*Q7</f>
        <v>81281.25</v>
      </c>
      <c r="Z7" s="174"/>
    </row>
    <row r="8" spans="1:28" ht="13.8" thickBot="1">
      <c r="A8" s="789"/>
      <c r="B8" s="213"/>
      <c r="C8" s="214"/>
      <c r="D8" s="215"/>
      <c r="E8" s="217"/>
      <c r="F8" s="227">
        <v>3</v>
      </c>
      <c r="G8" s="555" t="s">
        <v>12</v>
      </c>
      <c r="H8" s="226" t="s">
        <v>416</v>
      </c>
      <c r="I8" s="792"/>
      <c r="J8" s="212">
        <f>+'1'!J8</f>
        <v>0</v>
      </c>
      <c r="K8" s="234"/>
      <c r="L8" s="234"/>
      <c r="M8" s="117">
        <f>+K8+'1'!M8+L8</f>
        <v>0</v>
      </c>
      <c r="O8" s="149">
        <v>1100</v>
      </c>
      <c r="P8" s="149">
        <f>+O8-(O8*0.15)</f>
        <v>935</v>
      </c>
      <c r="Q8" s="149">
        <f>60-25+30</f>
        <v>65</v>
      </c>
      <c r="R8" s="149">
        <f t="shared" ref="R8:R9" si="2">+O8*Q8</f>
        <v>71500</v>
      </c>
      <c r="S8" s="149">
        <f t="shared" ref="S8:S9" si="3">+P8*Q8</f>
        <v>60775</v>
      </c>
      <c r="AA8" s="174"/>
      <c r="AB8" s="174"/>
    </row>
    <row r="9" spans="1:28" ht="13.8" thickBot="1">
      <c r="A9" s="789"/>
      <c r="B9" s="213"/>
      <c r="C9" s="214"/>
      <c r="D9" s="215"/>
      <c r="E9" s="218"/>
      <c r="F9" s="227">
        <v>7</v>
      </c>
      <c r="G9" s="555" t="s">
        <v>12</v>
      </c>
      <c r="H9" s="229" t="s">
        <v>418</v>
      </c>
      <c r="I9" s="792"/>
      <c r="J9" s="212">
        <f>+'1'!J9</f>
        <v>0</v>
      </c>
      <c r="K9" s="234"/>
      <c r="L9" s="234"/>
      <c r="M9" s="117">
        <f>+K9+'1'!M9+L9</f>
        <v>0</v>
      </c>
      <c r="O9" s="149">
        <v>1125</v>
      </c>
      <c r="P9" s="149">
        <f>+O9-(O9*0.15)</f>
        <v>956.25</v>
      </c>
      <c r="Q9" s="149">
        <f>60-30+300</f>
        <v>330</v>
      </c>
      <c r="R9" s="149">
        <f t="shared" si="2"/>
        <v>371250</v>
      </c>
      <c r="S9" s="149">
        <f t="shared" si="3"/>
        <v>315562.5</v>
      </c>
    </row>
    <row r="10" spans="1:28" ht="53.4" thickBot="1">
      <c r="A10" s="789"/>
      <c r="B10" s="213"/>
      <c r="C10" s="214"/>
      <c r="D10" s="215"/>
      <c r="E10" s="217"/>
      <c r="F10" s="227"/>
      <c r="G10" s="225"/>
      <c r="H10" s="556" t="s">
        <v>442</v>
      </c>
      <c r="I10" s="792"/>
      <c r="J10" s="212">
        <f>+'1'!J10</f>
        <v>0</v>
      </c>
      <c r="K10" s="234"/>
      <c r="L10" s="234"/>
      <c r="M10" s="117">
        <f>+K10+'1'!M10+L10</f>
        <v>0</v>
      </c>
    </row>
    <row r="11" spans="1:28" ht="57" customHeight="1" thickBot="1">
      <c r="A11" s="789"/>
      <c r="B11" s="213"/>
      <c r="C11" s="214"/>
      <c r="D11" s="215"/>
      <c r="E11" s="217"/>
      <c r="F11" s="224"/>
      <c r="G11" s="228"/>
      <c r="H11" s="229" t="s">
        <v>443</v>
      </c>
      <c r="I11" s="792"/>
      <c r="J11" s="212">
        <f>+'1'!J11</f>
        <v>0</v>
      </c>
      <c r="K11" s="234"/>
      <c r="L11" s="234"/>
      <c r="M11" s="117">
        <f>+K11+'1'!M11+L11</f>
        <v>0</v>
      </c>
      <c r="W11" s="515"/>
      <c r="X11" s="234"/>
    </row>
    <row r="12" spans="1:28" ht="13.8" thickBot="1">
      <c r="A12" s="789"/>
      <c r="B12" s="213"/>
      <c r="C12" s="214"/>
      <c r="D12" s="215"/>
      <c r="E12" s="217"/>
      <c r="F12" s="224"/>
      <c r="G12" s="228"/>
      <c r="H12" s="229" t="s">
        <v>444</v>
      </c>
      <c r="I12" s="792"/>
      <c r="J12" s="212">
        <f>+'1'!J12</f>
        <v>0</v>
      </c>
      <c r="K12" s="234"/>
      <c r="L12" s="234"/>
      <c r="M12" s="117">
        <f>+K12+'1'!M12+L12</f>
        <v>0</v>
      </c>
    </row>
    <row r="13" spans="1:28" ht="13.8" thickBot="1">
      <c r="A13" s="789"/>
      <c r="B13" s="213"/>
      <c r="C13" s="214"/>
      <c r="D13" s="214"/>
      <c r="E13" s="217"/>
      <c r="F13" s="224"/>
      <c r="G13" s="228"/>
      <c r="H13" s="229"/>
      <c r="I13" s="793"/>
      <c r="J13" s="212">
        <f>+'1'!J13</f>
        <v>0</v>
      </c>
      <c r="K13" s="234"/>
      <c r="L13" s="234"/>
      <c r="M13" s="117">
        <f>+K13+'1'!M13+L13</f>
        <v>0</v>
      </c>
    </row>
    <row r="14" spans="1:28" ht="13.8" thickBot="1">
      <c r="A14" s="790"/>
      <c r="B14" s="165" t="s">
        <v>3</v>
      </c>
      <c r="C14" s="99">
        <f>SUM(C7:C13)</f>
        <v>18450</v>
      </c>
      <c r="D14" s="111">
        <f>SUM(D7:D13)</f>
        <v>0</v>
      </c>
      <c r="E14" s="112">
        <f>SUM(E5:E13)</f>
        <v>0</v>
      </c>
      <c r="F14" s="116">
        <f>SUM(F7:F13)</f>
        <v>10</v>
      </c>
      <c r="G14" s="159"/>
      <c r="H14" s="166"/>
      <c r="I14" s="167"/>
      <c r="J14" s="212">
        <f>+'1'!J14</f>
        <v>0</v>
      </c>
      <c r="K14" s="234"/>
      <c r="L14" s="234"/>
      <c r="M14" s="117">
        <f>+K14+'1'!M14+L14</f>
        <v>0</v>
      </c>
      <c r="Q14" s="174">
        <f>SUM(Q6:Q13)</f>
        <v>480</v>
      </c>
      <c r="R14" s="174">
        <f>SUM(R6:R13)</f>
        <v>538375</v>
      </c>
      <c r="S14" s="174">
        <f>SUM(S6:S13)</f>
        <v>457618.75</v>
      </c>
      <c r="Z14" s="516"/>
    </row>
    <row r="15" spans="1:28" ht="13.5" customHeight="1" thickBot="1">
      <c r="A15" s="794" t="s">
        <v>429</v>
      </c>
      <c r="B15" s="513"/>
      <c r="C15" s="113">
        <f>C14/($C$23+$D$23+$E$23)</f>
        <v>1.0550694801852805</v>
      </c>
      <c r="D15" s="114">
        <f>D14/($C$23+$D$23+$E$23)</f>
        <v>0</v>
      </c>
      <c r="E15" s="115">
        <f>E14/($C$23+$D$23+$E$23)</f>
        <v>0</v>
      </c>
      <c r="F15" s="231">
        <v>5</v>
      </c>
      <c r="G15" s="553" t="s">
        <v>12</v>
      </c>
      <c r="H15" s="554" t="s">
        <v>445</v>
      </c>
      <c r="I15" s="791" t="s">
        <v>450</v>
      </c>
      <c r="J15" s="212">
        <f>+'1'!J15</f>
        <v>0</v>
      </c>
      <c r="L15" s="234"/>
      <c r="M15" s="117">
        <f>+X11+'1'!M15+L15</f>
        <v>0</v>
      </c>
      <c r="Q15" s="149">
        <f>480-Q14</f>
        <v>0</v>
      </c>
      <c r="R15" s="174">
        <f>+R14/Q14</f>
        <v>1121.6145833333333</v>
      </c>
      <c r="S15" s="174">
        <f>+S14/Q14</f>
        <v>953.37239583333337</v>
      </c>
      <c r="AA15" s="516"/>
      <c r="AB15" s="516"/>
    </row>
    <row r="16" spans="1:28" ht="13.8" thickBot="1">
      <c r="A16" s="789"/>
      <c r="B16" s="213" t="s">
        <v>430</v>
      </c>
      <c r="C16" s="511">
        <v>17487</v>
      </c>
      <c r="D16" s="219"/>
      <c r="E16" s="220"/>
      <c r="F16" s="227"/>
      <c r="G16" s="555" t="s">
        <v>12</v>
      </c>
      <c r="H16" s="226" t="s">
        <v>419</v>
      </c>
      <c r="I16" s="792"/>
      <c r="J16" s="212">
        <f>+'1'!J16</f>
        <v>0</v>
      </c>
      <c r="K16" s="225"/>
      <c r="L16" s="225"/>
      <c r="M16" s="117">
        <f>+K16+'1'!M16+L16</f>
        <v>0</v>
      </c>
      <c r="N16" s="149" t="s">
        <v>410</v>
      </c>
      <c r="O16" s="149">
        <v>1125</v>
      </c>
      <c r="P16" s="149">
        <f>+O16-(O16*0.15)</f>
        <v>956.25</v>
      </c>
      <c r="Q16" s="149">
        <v>480</v>
      </c>
      <c r="R16" s="149">
        <f t="shared" ref="R16" si="4">+O16*Q16</f>
        <v>540000</v>
      </c>
      <c r="S16" s="149">
        <f t="shared" ref="S16" si="5">+P16*Q16</f>
        <v>459000</v>
      </c>
    </row>
    <row r="17" spans="1:19" ht="13.8" thickBot="1">
      <c r="A17" s="789"/>
      <c r="B17" s="213"/>
      <c r="C17" s="214"/>
      <c r="D17" s="215"/>
      <c r="E17" s="221"/>
      <c r="F17" s="227">
        <v>7</v>
      </c>
      <c r="G17" s="555" t="s">
        <v>12</v>
      </c>
      <c r="H17" s="229" t="s">
        <v>415</v>
      </c>
      <c r="I17" s="792"/>
      <c r="J17" s="212">
        <f>+'1'!J17</f>
        <v>0</v>
      </c>
      <c r="K17" s="225"/>
      <c r="L17" s="225"/>
      <c r="M17" s="117">
        <f>+K17+'1'!M17+L17</f>
        <v>0</v>
      </c>
    </row>
    <row r="18" spans="1:19" ht="53.4" thickBot="1">
      <c r="A18" s="789"/>
      <c r="B18" s="213"/>
      <c r="C18" s="214"/>
      <c r="D18" s="215"/>
      <c r="E18" s="221"/>
      <c r="F18" s="227"/>
      <c r="G18" s="225"/>
      <c r="H18" s="556" t="s">
        <v>440</v>
      </c>
      <c r="I18" s="792"/>
      <c r="J18" s="212">
        <f>+'1'!J18</f>
        <v>0</v>
      </c>
      <c r="K18" s="234"/>
      <c r="L18" s="234"/>
      <c r="M18" s="117">
        <f>+K18+'1'!M18+L18</f>
        <v>0</v>
      </c>
    </row>
    <row r="19" spans="1:19" ht="53.25" customHeight="1" thickBot="1">
      <c r="A19" s="789"/>
      <c r="B19" s="213"/>
      <c r="C19" s="214"/>
      <c r="D19" s="215"/>
      <c r="E19" s="218"/>
      <c r="F19" s="230"/>
      <c r="G19" s="228"/>
      <c r="H19" s="229" t="s">
        <v>441</v>
      </c>
      <c r="I19" s="792"/>
      <c r="J19" s="212">
        <f>+'1'!J19</f>
        <v>0</v>
      </c>
      <c r="K19" s="234"/>
      <c r="L19" s="234"/>
      <c r="M19" s="117">
        <f>+K19+'1'!M19+L19</f>
        <v>0</v>
      </c>
    </row>
    <row r="20" spans="1:19" ht="13.8" thickBot="1">
      <c r="A20" s="789"/>
      <c r="B20" s="213"/>
      <c r="C20" s="214"/>
      <c r="D20" s="215"/>
      <c r="E20" s="221"/>
      <c r="F20" s="224"/>
      <c r="G20" s="228"/>
      <c r="H20" s="229"/>
      <c r="I20" s="792"/>
      <c r="J20" s="212">
        <f>+'1'!J20</f>
        <v>0</v>
      </c>
      <c r="K20" s="235"/>
      <c r="L20" s="235"/>
      <c r="M20" s="117">
        <f>+K20+'1'!M20+L20</f>
        <v>0</v>
      </c>
    </row>
    <row r="21" spans="1:19" ht="13.8" thickBot="1">
      <c r="A21" s="789"/>
      <c r="B21" s="213"/>
      <c r="C21" s="214"/>
      <c r="D21" s="215"/>
      <c r="E21" s="221"/>
      <c r="F21" s="227"/>
      <c r="G21" s="228"/>
      <c r="H21" s="229"/>
      <c r="I21" s="792"/>
      <c r="J21" s="212">
        <f>+'1'!J21</f>
        <v>0</v>
      </c>
      <c r="K21" s="234"/>
      <c r="L21" s="234"/>
      <c r="M21" s="117">
        <f>+K21+'1'!M21+L21</f>
        <v>0</v>
      </c>
    </row>
    <row r="22" spans="1:19" ht="13.8" thickBot="1">
      <c r="A22" s="789"/>
      <c r="B22" s="213"/>
      <c r="C22" s="214"/>
      <c r="D22" s="215"/>
      <c r="E22" s="221"/>
      <c r="F22" s="231"/>
      <c r="G22" s="228"/>
      <c r="H22" s="229"/>
      <c r="I22" s="793"/>
      <c r="J22" s="212">
        <f>+'1'!J22</f>
        <v>0</v>
      </c>
      <c r="K22" s="234"/>
      <c r="L22" s="234"/>
      <c r="M22" s="117">
        <f>+K22+'1'!M22+L22</f>
        <v>0</v>
      </c>
    </row>
    <row r="23" spans="1:19" ht="13.8" thickBot="1">
      <c r="A23" s="790"/>
      <c r="B23" s="165" t="s">
        <v>3</v>
      </c>
      <c r="C23" s="99">
        <f>SUM(C16:C22)</f>
        <v>17487</v>
      </c>
      <c r="D23" s="111">
        <f>SUM(D16:D22)</f>
        <v>0</v>
      </c>
      <c r="E23" s="112">
        <f>SUM(E18:E22)</f>
        <v>0</v>
      </c>
      <c r="F23" s="116">
        <f>SUM(F15:F22)</f>
        <v>12</v>
      </c>
      <c r="G23" s="159"/>
      <c r="H23" s="166"/>
      <c r="I23" s="168"/>
      <c r="J23" s="212">
        <f>+'1'!J23</f>
        <v>0</v>
      </c>
      <c r="K23" s="234"/>
      <c r="L23" s="234"/>
      <c r="M23" s="117">
        <f>+K23+'1'!M23+L23</f>
        <v>0</v>
      </c>
      <c r="Q23" s="174">
        <f>SUM(Q15:Q22)</f>
        <v>480</v>
      </c>
      <c r="R23" s="174">
        <f>SUM(R15:R22)</f>
        <v>541121.61458333337</v>
      </c>
      <c r="S23" s="174">
        <f>SUM(S15:S22)</f>
        <v>459953.37239583331</v>
      </c>
    </row>
    <row r="24" spans="1:19" ht="13.5" customHeight="1" thickBot="1">
      <c r="A24" s="794" t="s">
        <v>387</v>
      </c>
      <c r="B24" s="513"/>
      <c r="C24" s="113">
        <f>C23/($C$23+$D$23+$E$23)</f>
        <v>1</v>
      </c>
      <c r="D24" s="114">
        <f>D23/($C$23+$D$23+$E$23)</f>
        <v>0</v>
      </c>
      <c r="E24" s="115">
        <f>E23/($C$23+$D$23+$E$23)</f>
        <v>0</v>
      </c>
      <c r="F24" s="231"/>
      <c r="G24" s="553" t="s">
        <v>12</v>
      </c>
      <c r="H24" s="554" t="s">
        <v>417</v>
      </c>
      <c r="I24" s="791" t="s">
        <v>451</v>
      </c>
      <c r="J24" s="212">
        <f>+'1'!J24</f>
        <v>0</v>
      </c>
      <c r="K24" s="234"/>
      <c r="L24" s="234"/>
      <c r="M24" s="117">
        <f>+K24+'1'!M24+L24</f>
        <v>0</v>
      </c>
      <c r="Q24" s="149">
        <f>480-Q23</f>
        <v>0</v>
      </c>
      <c r="R24" s="174">
        <f>+R23/Q23</f>
        <v>1127.3366970486111</v>
      </c>
      <c r="S24" s="174">
        <f>+S23/Q23</f>
        <v>958.23619249131946</v>
      </c>
    </row>
    <row r="25" spans="1:19" ht="13.8" thickBot="1">
      <c r="A25" s="789"/>
      <c r="B25" s="213" t="s">
        <v>430</v>
      </c>
      <c r="C25" s="222">
        <v>16496</v>
      </c>
      <c r="D25" s="215"/>
      <c r="E25" s="221"/>
      <c r="F25" s="227"/>
      <c r="G25" s="555" t="s">
        <v>12</v>
      </c>
      <c r="H25" s="226" t="s">
        <v>419</v>
      </c>
      <c r="I25" s="792"/>
      <c r="J25" s="212">
        <f>+'1'!J25</f>
        <v>0</v>
      </c>
      <c r="K25" s="234"/>
      <c r="L25" s="234"/>
      <c r="M25" s="117">
        <f>+K25+'1'!M25+L25</f>
        <v>0</v>
      </c>
      <c r="N25" s="515"/>
      <c r="O25" s="515"/>
      <c r="P25" s="516"/>
      <c r="Q25" s="516"/>
    </row>
    <row r="26" spans="1:19" ht="13.8" thickBot="1">
      <c r="A26" s="789"/>
      <c r="B26" s="213"/>
      <c r="C26" s="222"/>
      <c r="D26" s="215"/>
      <c r="E26" s="223"/>
      <c r="F26" s="227">
        <v>7</v>
      </c>
      <c r="G26" s="555" t="s">
        <v>12</v>
      </c>
      <c r="H26" s="229" t="s">
        <v>418</v>
      </c>
      <c r="I26" s="792"/>
      <c r="J26" s="212">
        <f>+'1'!J26</f>
        <v>0</v>
      </c>
      <c r="K26" s="234"/>
      <c r="L26" s="234"/>
      <c r="M26" s="117">
        <f>+K26+'1'!M26+L26</f>
        <v>0</v>
      </c>
      <c r="N26" s="149" t="s">
        <v>410</v>
      </c>
      <c r="O26" s="149">
        <v>1125</v>
      </c>
      <c r="P26" s="149">
        <f>+O26-(O26*0.15)</f>
        <v>956.25</v>
      </c>
      <c r="Q26" s="149">
        <v>480</v>
      </c>
      <c r="R26" s="149">
        <f t="shared" ref="R26" si="6">+O26*Q26</f>
        <v>540000</v>
      </c>
      <c r="S26" s="149">
        <f t="shared" ref="S26" si="7">+P26*Q26</f>
        <v>459000</v>
      </c>
    </row>
    <row r="27" spans="1:19" ht="53.4" thickBot="1">
      <c r="A27" s="789"/>
      <c r="B27" s="213"/>
      <c r="C27" s="214"/>
      <c r="D27" s="215"/>
      <c r="E27" s="221"/>
      <c r="F27" s="227"/>
      <c r="G27" s="225"/>
      <c r="H27" s="556" t="s">
        <v>438</v>
      </c>
      <c r="I27" s="792"/>
      <c r="J27" s="212">
        <f>+'1'!J27</f>
        <v>0</v>
      </c>
      <c r="K27" s="234"/>
      <c r="L27" s="234"/>
      <c r="M27" s="117">
        <f>+K27+'1'!M27+L27</f>
        <v>0</v>
      </c>
    </row>
    <row r="28" spans="1:19" ht="27" thickBot="1">
      <c r="A28" s="789"/>
      <c r="B28" s="213"/>
      <c r="C28" s="214"/>
      <c r="D28" s="215"/>
      <c r="E28" s="221"/>
      <c r="F28" s="227"/>
      <c r="G28" s="225"/>
      <c r="H28" s="229" t="s">
        <v>439</v>
      </c>
      <c r="I28" s="792"/>
      <c r="J28" s="212">
        <f>+'1'!J28</f>
        <v>0</v>
      </c>
      <c r="K28" s="234"/>
      <c r="L28" s="234"/>
      <c r="M28" s="117">
        <f>+K28+'1'!M28+L28</f>
        <v>0</v>
      </c>
    </row>
    <row r="29" spans="1:19" ht="13.8" thickBot="1">
      <c r="A29" s="789"/>
      <c r="B29" s="213"/>
      <c r="C29" s="214"/>
      <c r="D29" s="215"/>
      <c r="E29" s="221"/>
      <c r="F29" s="231"/>
      <c r="G29" s="228"/>
      <c r="H29" s="229"/>
      <c r="I29" s="792"/>
      <c r="J29" s="212">
        <f>+'1'!J29</f>
        <v>0</v>
      </c>
      <c r="K29" s="234"/>
      <c r="L29" s="234"/>
      <c r="M29" s="117">
        <f>+K29+'1'!M29+L29</f>
        <v>0</v>
      </c>
    </row>
    <row r="30" spans="1:19" ht="13.8" thickBot="1">
      <c r="A30" s="789"/>
      <c r="B30" s="213"/>
      <c r="C30" s="222"/>
      <c r="D30" s="215"/>
      <c r="E30" s="221"/>
      <c r="F30" s="231"/>
      <c r="G30" s="228"/>
      <c r="H30" s="229"/>
      <c r="I30" s="792"/>
      <c r="J30" s="212">
        <f>+'1'!J30</f>
        <v>0</v>
      </c>
      <c r="K30" s="234"/>
      <c r="L30" s="234"/>
      <c r="M30" s="117">
        <f>+K30+'1'!M30+L30</f>
        <v>0</v>
      </c>
    </row>
    <row r="31" spans="1:19" ht="13.8" thickBot="1">
      <c r="A31" s="789"/>
      <c r="B31" s="213"/>
      <c r="C31" s="222"/>
      <c r="D31" s="215"/>
      <c r="E31" s="221"/>
      <c r="F31" s="231"/>
      <c r="G31" s="232"/>
      <c r="H31" s="404"/>
      <c r="I31" s="793"/>
      <c r="J31" s="212">
        <f>+'1'!J31</f>
        <v>0</v>
      </c>
      <c r="K31" s="234"/>
      <c r="L31" s="234"/>
      <c r="M31" s="117">
        <f>+K31+'1'!M31+L31</f>
        <v>0</v>
      </c>
    </row>
    <row r="32" spans="1:19" ht="13.8" thickBot="1">
      <c r="A32" s="790"/>
      <c r="B32" s="165" t="s">
        <v>3</v>
      </c>
      <c r="C32" s="99">
        <f>SUM(C25:C31)</f>
        <v>16496</v>
      </c>
      <c r="D32" s="100">
        <f>SUM(D25:D31)</f>
        <v>0</v>
      </c>
      <c r="E32" s="101">
        <f>SUM(E25:E31)</f>
        <v>0</v>
      </c>
      <c r="F32" s="99">
        <f>SUM(F24:F31)</f>
        <v>7</v>
      </c>
      <c r="G32" s="169"/>
      <c r="H32" s="170"/>
      <c r="I32" s="168"/>
      <c r="J32" s="212">
        <f>+'1'!J32</f>
        <v>0</v>
      </c>
      <c r="K32" s="236"/>
      <c r="L32" s="238"/>
      <c r="M32" s="117">
        <f>+K32+'1'!M32+L32</f>
        <v>0</v>
      </c>
    </row>
    <row r="33" spans="1:19" ht="13.8" thickBot="1">
      <c r="A33" s="171"/>
      <c r="B33" s="172"/>
      <c r="C33" s="103">
        <f>C32/($C$32+$D$32+$E$32)</f>
        <v>1</v>
      </c>
      <c r="D33" s="104">
        <f>D32/($C$32+$D$32+$E$32)</f>
        <v>0</v>
      </c>
      <c r="E33" s="105">
        <f>E32/($C$32+$D$32+$E$32)</f>
        <v>0</v>
      </c>
      <c r="F33" s="106"/>
      <c r="G33" s="173"/>
      <c r="H33" s="174"/>
      <c r="I33" s="175"/>
      <c r="J33" s="121"/>
      <c r="K33" s="122"/>
      <c r="L33" s="211"/>
      <c r="M33" s="119"/>
      <c r="Q33" s="174">
        <f>SUM(Q25:Q32)</f>
        <v>480</v>
      </c>
      <c r="R33" s="174">
        <f>SUM(R25:R32)</f>
        <v>540000</v>
      </c>
      <c r="S33" s="174">
        <f>SUM(S25:S32)</f>
        <v>459000</v>
      </c>
    </row>
    <row r="34" spans="1:19" ht="13.8" thickBot="1">
      <c r="A34" s="795" t="s">
        <v>68</v>
      </c>
      <c r="B34" s="796"/>
      <c r="C34" s="107">
        <f>C14+C23+C32</f>
        <v>52433</v>
      </c>
      <c r="D34" s="107">
        <f>D14+D23+D32</f>
        <v>0</v>
      </c>
      <c r="E34" s="107">
        <f>E14+E23+E32</f>
        <v>0</v>
      </c>
      <c r="F34" s="108">
        <f>F14+F23+F32</f>
        <v>29</v>
      </c>
      <c r="H34" s="176"/>
      <c r="I34" s="176"/>
      <c r="J34" s="123" t="s">
        <v>28</v>
      </c>
      <c r="K34" s="124">
        <f>SUM(K7:K32)</f>
        <v>52433</v>
      </c>
      <c r="L34" s="210">
        <f>SUM(L7:L32)</f>
        <v>0</v>
      </c>
      <c r="M34" s="120">
        <f>SUM(M7:M32)</f>
        <v>108670</v>
      </c>
      <c r="Q34" s="149">
        <f>480-Q33</f>
        <v>0</v>
      </c>
      <c r="R34" s="174">
        <f>+R33/Q33</f>
        <v>1125</v>
      </c>
      <c r="S34" s="174">
        <f>+S33/Q33</f>
        <v>956.25</v>
      </c>
    </row>
    <row r="35" spans="1:19" ht="13.8" thickBot="1">
      <c r="A35" s="177"/>
      <c r="B35" s="178"/>
      <c r="C35" s="104">
        <f>C34/($C$34+$D$34+$E$34)</f>
        <v>1</v>
      </c>
      <c r="D35" s="104">
        <f>D34/($C$34+$D$34+$E$34)</f>
        <v>0</v>
      </c>
      <c r="E35" s="109">
        <f>E34/($C$34+$D$34+$E$34)</f>
        <v>0</v>
      </c>
      <c r="K35" s="155"/>
    </row>
    <row r="36" spans="1:19" ht="13.8" thickBot="1">
      <c r="A36" s="176"/>
      <c r="B36" s="176"/>
      <c r="C36" s="155"/>
      <c r="D36" s="155"/>
      <c r="E36" s="155"/>
      <c r="G36" s="155"/>
      <c r="H36" s="179"/>
      <c r="I36" s="162" t="s">
        <v>37</v>
      </c>
      <c r="J36" s="162" t="s">
        <v>38</v>
      </c>
      <c r="K36" s="180"/>
    </row>
    <row r="37" spans="1:19" ht="17.399999999999999" customHeight="1" thickBot="1">
      <c r="A37" s="797" t="s">
        <v>69</v>
      </c>
      <c r="B37" s="798"/>
      <c r="C37" s="162" t="s">
        <v>70</v>
      </c>
      <c r="D37" s="181" t="s">
        <v>71</v>
      </c>
      <c r="E37" s="182" t="s">
        <v>72</v>
      </c>
      <c r="F37" s="304"/>
      <c r="G37" s="306"/>
      <c r="H37" s="184" t="s">
        <v>73</v>
      </c>
      <c r="I37" s="239">
        <f>(15*1440)/1440*G42*2.7*1440/1000000</f>
        <v>55.751170957031249</v>
      </c>
      <c r="J37" s="125">
        <f>+I37+'1'!J37</f>
        <v>111.13071908203125</v>
      </c>
      <c r="K37" s="126" t="s">
        <v>74</v>
      </c>
    </row>
    <row r="38" spans="1:19" ht="17.399999999999999" customHeight="1">
      <c r="A38" s="799" t="s">
        <v>12</v>
      </c>
      <c r="B38" s="800"/>
      <c r="C38" s="164">
        <f>SUMIF($G$7:$G$31,"Process",$F$7:$F$31)</f>
        <v>29</v>
      </c>
      <c r="D38" s="118">
        <f>C38+'1'!D38</f>
        <v>56</v>
      </c>
      <c r="E38" s="143">
        <f t="shared" ref="E38:E52" si="8">D38/60</f>
        <v>0.93333333333333335</v>
      </c>
      <c r="F38" s="304">
        <v>1121.6145833333333</v>
      </c>
      <c r="G38" s="304">
        <v>953.37239583333337</v>
      </c>
      <c r="H38" s="185" t="s">
        <v>75</v>
      </c>
      <c r="I38" s="240">
        <f>52173/1000</f>
        <v>52.173000000000002</v>
      </c>
      <c r="J38" s="127">
        <f>+I38+'1'!J38</f>
        <v>102.30600000000001</v>
      </c>
      <c r="K38" s="128" t="s">
        <v>74</v>
      </c>
    </row>
    <row r="39" spans="1:19" ht="17.399999999999999" customHeight="1">
      <c r="A39" s="786" t="s">
        <v>13</v>
      </c>
      <c r="B39" s="787"/>
      <c r="C39" s="164">
        <f>SUMIF($G$7:$G$31,"Cleaning",$F$7:$F$31)</f>
        <v>0</v>
      </c>
      <c r="D39" s="118">
        <f>C39+'1'!D39</f>
        <v>0</v>
      </c>
      <c r="E39" s="143">
        <f t="shared" si="8"/>
        <v>0</v>
      </c>
      <c r="F39" s="304">
        <v>1127.3366970486111</v>
      </c>
      <c r="G39" s="304">
        <v>958.23619249131946</v>
      </c>
      <c r="H39" s="185" t="s">
        <v>76</v>
      </c>
      <c r="I39" s="142"/>
      <c r="J39" s="129">
        <f>J37/G4</f>
        <v>55.565359541015624</v>
      </c>
      <c r="K39" s="130" t="s">
        <v>74</v>
      </c>
    </row>
    <row r="40" spans="1:19" ht="17.399999999999999" customHeight="1">
      <c r="A40" s="786" t="s">
        <v>77</v>
      </c>
      <c r="B40" s="787"/>
      <c r="C40" s="164">
        <f>SUMIF($G$7:$G$31,"Mechanical",$F$7:$F$31)</f>
        <v>0</v>
      </c>
      <c r="D40" s="118">
        <f>C40+'1'!D40</f>
        <v>0</v>
      </c>
      <c r="E40" s="143">
        <f t="shared" si="8"/>
        <v>0</v>
      </c>
      <c r="F40" s="304">
        <v>1125</v>
      </c>
      <c r="G40" s="304">
        <v>956.25</v>
      </c>
      <c r="H40" s="185" t="s">
        <v>78</v>
      </c>
      <c r="I40" s="118">
        <f>(K34+L34)/1000</f>
        <v>52.433</v>
      </c>
      <c r="J40" s="131">
        <f>+I40+'1'!J40</f>
        <v>108.67</v>
      </c>
      <c r="K40" s="130" t="s">
        <v>74</v>
      </c>
    </row>
    <row r="41" spans="1:19" ht="17.399999999999999" customHeight="1">
      <c r="A41" s="786" t="s">
        <v>79</v>
      </c>
      <c r="B41" s="787"/>
      <c r="C41" s="164">
        <f>SUMIF($G$7:$G$31,"Electrical",$F$7:$F$31)</f>
        <v>0</v>
      </c>
      <c r="D41" s="118">
        <f>C41+'1'!D41</f>
        <v>0</v>
      </c>
      <c r="E41" s="143">
        <f t="shared" si="8"/>
        <v>0</v>
      </c>
      <c r="F41" s="304"/>
      <c r="G41" s="304"/>
      <c r="H41" s="185" t="s">
        <v>80</v>
      </c>
      <c r="I41" s="142"/>
      <c r="J41" s="129">
        <f>J40/G4</f>
        <v>54.335000000000001</v>
      </c>
      <c r="K41" s="130" t="s">
        <v>74</v>
      </c>
    </row>
    <row r="42" spans="1:19" ht="17.399999999999999" customHeight="1">
      <c r="A42" s="786" t="s">
        <v>16</v>
      </c>
      <c r="B42" s="787"/>
      <c r="C42" s="164">
        <f>SUMIF($G$7:$G$31,"Instrument",$F$7:$F$31)</f>
        <v>0</v>
      </c>
      <c r="D42" s="118">
        <f>C42+'1'!D42</f>
        <v>0</v>
      </c>
      <c r="E42" s="143">
        <f t="shared" si="8"/>
        <v>0</v>
      </c>
      <c r="F42" s="183">
        <f>+(F38*480+F39*480+F40*480)/1440</f>
        <v>1124.6504267939815</v>
      </c>
      <c r="G42" s="183">
        <f>+(G38*480+G39*480+G40*480)/1440</f>
        <v>955.95286277488424</v>
      </c>
      <c r="H42" s="185" t="s">
        <v>81</v>
      </c>
      <c r="I42" s="241" t="s">
        <v>447</v>
      </c>
      <c r="J42" s="132"/>
      <c r="K42" s="130" t="s">
        <v>82</v>
      </c>
    </row>
    <row r="43" spans="1:19" ht="17.399999999999999" customHeight="1">
      <c r="A43" s="786" t="s">
        <v>83</v>
      </c>
      <c r="B43" s="787"/>
      <c r="C43" s="164">
        <f>SUMIF($G$7:$G$31,"Water",$F$7:$F$31)</f>
        <v>0</v>
      </c>
      <c r="D43" s="118">
        <f>C43+'1'!D43</f>
        <v>0</v>
      </c>
      <c r="E43" s="143">
        <f t="shared" si="8"/>
        <v>0</v>
      </c>
      <c r="F43" s="304"/>
      <c r="G43" s="305"/>
      <c r="H43" s="186" t="s">
        <v>84</v>
      </c>
      <c r="I43" s="118">
        <f>+Report1!Z10</f>
        <v>99.2</v>
      </c>
      <c r="J43" s="133">
        <f>+I43+'1'!J43</f>
        <v>200</v>
      </c>
      <c r="K43" s="130" t="s">
        <v>74</v>
      </c>
      <c r="L43" s="187"/>
    </row>
    <row r="44" spans="1:19" ht="17.399999999999999" customHeight="1">
      <c r="A44" s="786" t="s">
        <v>17</v>
      </c>
      <c r="B44" s="787"/>
      <c r="C44" s="164">
        <f>SUMIF($G$7:$G$31,"PLN",$F$7:$F$31)</f>
        <v>0</v>
      </c>
      <c r="D44" s="118">
        <f>C44+'1'!D44</f>
        <v>0</v>
      </c>
      <c r="E44" s="143">
        <f t="shared" si="8"/>
        <v>0</v>
      </c>
      <c r="F44" s="304"/>
      <c r="G44" s="305"/>
      <c r="H44" s="186" t="s">
        <v>85</v>
      </c>
      <c r="I44" s="118">
        <f>I43/I38</f>
        <v>1.9013666072489601</v>
      </c>
      <c r="J44" s="134">
        <f>J43/J38</f>
        <v>1.9549195550603091</v>
      </c>
      <c r="K44" s="130" t="s">
        <v>74</v>
      </c>
    </row>
    <row r="45" spans="1:19" ht="17.399999999999999" customHeight="1">
      <c r="A45" s="786" t="s">
        <v>18</v>
      </c>
      <c r="B45" s="787"/>
      <c r="C45" s="164">
        <f>SUMIF($G$7:$G$31,"Boiler",$F$7:$F$31)</f>
        <v>0</v>
      </c>
      <c r="D45" s="118">
        <f>C45+'1'!D45</f>
        <v>0</v>
      </c>
      <c r="E45" s="143">
        <f t="shared" si="8"/>
        <v>0</v>
      </c>
      <c r="F45" s="304"/>
      <c r="G45" s="307"/>
      <c r="H45" s="186" t="s">
        <v>86</v>
      </c>
      <c r="I45" s="118">
        <f>I43/I40</f>
        <v>1.891938283142296</v>
      </c>
      <c r="J45" s="134">
        <f>J43/J40</f>
        <v>1.8404343425048311</v>
      </c>
      <c r="K45" s="130" t="s">
        <v>74</v>
      </c>
    </row>
    <row r="46" spans="1:19" ht="17.399999999999999" customHeight="1">
      <c r="A46" s="786" t="s">
        <v>87</v>
      </c>
      <c r="B46" s="787"/>
      <c r="C46" s="164">
        <f>SUMIF($G$7:$G$31,"Gas",$F$7:$F$31)</f>
        <v>0</v>
      </c>
      <c r="D46" s="118">
        <f>C46+'1'!D46</f>
        <v>0</v>
      </c>
      <c r="E46" s="143">
        <f t="shared" si="8"/>
        <v>0</v>
      </c>
      <c r="F46" s="304"/>
      <c r="G46" s="305"/>
      <c r="H46" s="186" t="s">
        <v>88</v>
      </c>
      <c r="I46" s="140">
        <f>+SUMIF(Listrik!X9,"&gt;0")</f>
        <v>36966.384838608115</v>
      </c>
      <c r="J46" s="135">
        <f>+I46+'1'!J46</f>
        <v>76277.304963984818</v>
      </c>
      <c r="K46" s="130" t="s">
        <v>89</v>
      </c>
    </row>
    <row r="47" spans="1:19" ht="17.399999999999999" customHeight="1">
      <c r="A47" s="786" t="s">
        <v>90</v>
      </c>
      <c r="B47" s="787"/>
      <c r="C47" s="164">
        <f>SUMIF($G$7:$G$31,"Gas",$F$7:$F$31)</f>
        <v>0</v>
      </c>
      <c r="D47" s="118">
        <f>C47+'1'!D47</f>
        <v>0</v>
      </c>
      <c r="E47" s="143">
        <f t="shared" si="8"/>
        <v>0</v>
      </c>
      <c r="F47" s="304"/>
      <c r="G47" s="305"/>
      <c r="H47" s="186" t="s">
        <v>91</v>
      </c>
      <c r="I47" s="118">
        <f>I46/I38</f>
        <v>708.53477543189229</v>
      </c>
      <c r="J47" s="135">
        <f>J46/J38</f>
        <v>745.57997540696351</v>
      </c>
      <c r="K47" s="130" t="s">
        <v>24</v>
      </c>
    </row>
    <row r="48" spans="1:19" ht="17.399999999999999" customHeight="1">
      <c r="A48" s="786" t="s">
        <v>14</v>
      </c>
      <c r="B48" s="787"/>
      <c r="C48" s="164">
        <f>SUMIF($G$7:$G$31,"Start Up",$F$7:$F$31)</f>
        <v>0</v>
      </c>
      <c r="D48" s="118">
        <f>C48+'1'!D48</f>
        <v>0</v>
      </c>
      <c r="E48" s="143">
        <f t="shared" si="8"/>
        <v>0</v>
      </c>
      <c r="F48" s="304"/>
      <c r="G48" s="305"/>
      <c r="H48" s="186" t="s">
        <v>92</v>
      </c>
      <c r="I48" s="118">
        <f>I46/I40</f>
        <v>705.02135751546007</v>
      </c>
      <c r="J48" s="135">
        <f>J46/J40</f>
        <v>701.91685804715939</v>
      </c>
      <c r="K48" s="130" t="s">
        <v>24</v>
      </c>
    </row>
    <row r="49" spans="1:11" ht="17.399999999999999" customHeight="1">
      <c r="A49" s="786" t="s">
        <v>20</v>
      </c>
      <c r="B49" s="787"/>
      <c r="C49" s="164">
        <f>SUMIF($G$7:$G$31,"Others",$F$7:$F$31)</f>
        <v>0</v>
      </c>
      <c r="D49" s="118">
        <f>C49+'1'!D49</f>
        <v>0</v>
      </c>
      <c r="E49" s="143">
        <f t="shared" si="8"/>
        <v>0</v>
      </c>
      <c r="F49" s="183"/>
      <c r="H49" s="186" t="s">
        <v>268</v>
      </c>
      <c r="I49" s="118">
        <f>+Report1!T10</f>
        <v>3946.6675275621051</v>
      </c>
      <c r="J49" s="135">
        <f>+I49+'1'!J49</f>
        <v>7681.720226666258</v>
      </c>
      <c r="K49" s="130" t="s">
        <v>93</v>
      </c>
    </row>
    <row r="50" spans="1:11" ht="17.399999999999999" customHeight="1">
      <c r="A50" s="786" t="s">
        <v>19</v>
      </c>
      <c r="B50" s="787"/>
      <c r="C50" s="164">
        <f>SUMIF($G$7:$G$31,"Steam",$F$7:$F$31)</f>
        <v>0</v>
      </c>
      <c r="D50" s="118">
        <f>C50+'1'!D50</f>
        <v>0</v>
      </c>
      <c r="E50" s="143">
        <f t="shared" si="8"/>
        <v>0</v>
      </c>
      <c r="F50" s="183"/>
      <c r="H50" s="186" t="s">
        <v>94</v>
      </c>
      <c r="I50" s="140">
        <f>I49/I38</f>
        <v>75.645784746173405</v>
      </c>
      <c r="J50" s="133">
        <f>J49/J38</f>
        <v>75.085725438060891</v>
      </c>
      <c r="K50" s="130" t="s">
        <v>93</v>
      </c>
    </row>
    <row r="51" spans="1:11" ht="17.399999999999999" customHeight="1">
      <c r="A51" s="803" t="s">
        <v>95</v>
      </c>
      <c r="B51" s="803"/>
      <c r="C51" s="164">
        <f>SUMIF($G$7:$G$31,"Planned shut",$F$7:$F$31)</f>
        <v>0</v>
      </c>
      <c r="D51" s="118">
        <f>C51+'1'!D51</f>
        <v>0</v>
      </c>
      <c r="E51" s="143">
        <f t="shared" si="8"/>
        <v>0</v>
      </c>
      <c r="F51" s="183"/>
      <c r="H51" s="188" t="s">
        <v>96</v>
      </c>
      <c r="I51" s="141">
        <f>I49/I40</f>
        <v>75.270679296666316</v>
      </c>
      <c r="J51" s="136">
        <f>J49/J40</f>
        <v>70.688508573352877</v>
      </c>
      <c r="K51" s="137" t="s">
        <v>93</v>
      </c>
    </row>
    <row r="52" spans="1:11" ht="13.8" thickBot="1">
      <c r="A52" s="804" t="s">
        <v>218</v>
      </c>
      <c r="B52" s="805"/>
      <c r="C52" s="164">
        <f>SUMIF($G$7:$G$31,"Change Grade",$F$7:$F$31)</f>
        <v>0</v>
      </c>
      <c r="D52" s="118">
        <f>C52+'1'!D52</f>
        <v>0</v>
      </c>
      <c r="E52" s="143">
        <f t="shared" si="8"/>
        <v>0</v>
      </c>
      <c r="F52" s="183"/>
      <c r="H52" s="189"/>
      <c r="I52" s="190"/>
      <c r="J52" s="138"/>
      <c r="K52" s="139"/>
    </row>
    <row r="53" spans="1:11">
      <c r="A53" s="799" t="s">
        <v>28</v>
      </c>
      <c r="B53" s="800"/>
      <c r="C53" s="144">
        <f>SUM(C38:C52)</f>
        <v>29</v>
      </c>
      <c r="D53" s="144">
        <f>SUM(D38:D52)</f>
        <v>56</v>
      </c>
      <c r="E53" s="145">
        <f>SUM(E38:E52)</f>
        <v>0.93333333333333335</v>
      </c>
      <c r="F53" s="183"/>
    </row>
    <row r="54" spans="1:11" ht="13.8" thickBot="1">
      <c r="A54" s="801"/>
      <c r="B54" s="802"/>
      <c r="C54" s="146">
        <f>C53/(24*60)</f>
        <v>2.013888888888889E-2</v>
      </c>
      <c r="D54" s="146">
        <f>D53/(24*60*G4)</f>
        <v>1.9444444444444445E-2</v>
      </c>
      <c r="E54" s="147">
        <f>E53/(G4*24)</f>
        <v>1.9444444444444445E-2</v>
      </c>
      <c r="F54" s="183"/>
    </row>
    <row r="55" spans="1:11">
      <c r="E55" s="191"/>
    </row>
    <row r="56" spans="1:11">
      <c r="A56" s="192" t="s">
        <v>97</v>
      </c>
      <c r="B56" s="193"/>
      <c r="C56" s="194"/>
      <c r="D56" s="194"/>
      <c r="E56" s="194"/>
      <c r="F56" s="195"/>
      <c r="G56" s="194"/>
      <c r="H56" s="196"/>
      <c r="I56" s="197" t="s">
        <v>98</v>
      </c>
      <c r="J56" s="198">
        <f>+D34+'1'!J57</f>
        <v>0</v>
      </c>
      <c r="K56" s="199">
        <f>J56/(J40+J56/1000)/1000</f>
        <v>0</v>
      </c>
    </row>
    <row r="57" spans="1:11">
      <c r="A57" s="174"/>
      <c r="I57" s="197" t="s">
        <v>99</v>
      </c>
      <c r="J57" s="198">
        <f>+E34+'1'!J58</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I7:I13"/>
    <mergeCell ref="I15:I22"/>
    <mergeCell ref="A7:A14"/>
    <mergeCell ref="A15:A23"/>
    <mergeCell ref="A24:A32"/>
    <mergeCell ref="I24:I31"/>
    <mergeCell ref="A34:B34"/>
    <mergeCell ref="A37:B37"/>
    <mergeCell ref="A38:B38"/>
    <mergeCell ref="A39:B39"/>
    <mergeCell ref="A40:B40"/>
  </mergeCells>
  <phoneticPr fontId="31" type="noConversion"/>
  <printOptions horizontalCentered="1"/>
  <pageMargins left="0.17" right="0.16" top="0.17" bottom="0.16" header="0" footer="0"/>
  <pageSetup paperSize="9" scale="62" firstPageNumber="4294963191" orientation="landscape"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Z62"/>
  <sheetViews>
    <sheetView view="pageBreakPreview" zoomScale="80" zoomScaleNormal="75" zoomScaleSheetLayoutView="80" workbookViewId="0">
      <selection activeCell="D16" sqref="D16"/>
    </sheetView>
  </sheetViews>
  <sheetFormatPr defaultColWidth="9.109375" defaultRowHeight="13.2"/>
  <cols>
    <col min="1" max="1" width="8" style="149" customWidth="1"/>
    <col min="2" max="2" width="7" style="149" bestFit="1" customWidth="1"/>
    <col min="3" max="3" width="14.88671875" style="149" bestFit="1" customWidth="1"/>
    <col min="4" max="4" width="12.6640625" style="149" bestFit="1" customWidth="1"/>
    <col min="5" max="5" width="13.88671875" style="149" bestFit="1" customWidth="1"/>
    <col min="6" max="6" width="12.109375" style="110" bestFit="1" customWidth="1"/>
    <col min="7" max="7" width="11.44140625" style="149" bestFit="1" customWidth="1"/>
    <col min="8" max="8" width="64.88671875" style="149" customWidth="1"/>
    <col min="9" max="9" width="14.6640625" style="149" bestFit="1" customWidth="1"/>
    <col min="10" max="10" width="14.6640625" style="149" customWidth="1"/>
    <col min="11" max="11" width="14" style="149" bestFit="1" customWidth="1"/>
    <col min="12" max="12" width="8.33203125" style="149" customWidth="1"/>
    <col min="13" max="13" width="14.44140625" style="149" bestFit="1" customWidth="1"/>
    <col min="14" max="14" width="9.109375" style="149" bestFit="1"/>
    <col min="15" max="16384" width="9.109375" style="149"/>
  </cols>
  <sheetData>
    <row r="1" spans="1:26" ht="15.6">
      <c r="A1" s="148"/>
      <c r="U1" s="514"/>
    </row>
    <row r="2" spans="1:26" ht="15.6">
      <c r="A2" s="148" t="s">
        <v>219</v>
      </c>
      <c r="U2" s="514"/>
    </row>
    <row r="3" spans="1:26" ht="15">
      <c r="A3" s="150"/>
      <c r="X3" s="174"/>
    </row>
    <row r="4" spans="1:26" ht="21">
      <c r="A4" s="151" t="s">
        <v>4</v>
      </c>
      <c r="B4" s="152"/>
      <c r="F4" s="153" t="s">
        <v>29</v>
      </c>
      <c r="G4" s="154">
        <v>1</v>
      </c>
      <c r="H4" s="154" t="s">
        <v>404</v>
      </c>
      <c r="J4" s="149">
        <f>547+448+427</f>
        <v>1422</v>
      </c>
      <c r="Y4" s="174"/>
      <c r="Z4" s="174"/>
    </row>
    <row r="5" spans="1:26" ht="13.8" thickBot="1">
      <c r="C5" s="155"/>
      <c r="D5" s="155"/>
    </row>
    <row r="6" spans="1:26" ht="27" thickBot="1">
      <c r="A6" s="156" t="s">
        <v>58</v>
      </c>
      <c r="B6" s="157" t="s">
        <v>9</v>
      </c>
      <c r="C6" s="157" t="s">
        <v>59</v>
      </c>
      <c r="D6" s="157" t="s">
        <v>60</v>
      </c>
      <c r="E6" s="158" t="s">
        <v>61</v>
      </c>
      <c r="F6" s="102" t="s">
        <v>62</v>
      </c>
      <c r="G6" s="157" t="s">
        <v>63</v>
      </c>
      <c r="H6" s="159" t="s">
        <v>64</v>
      </c>
      <c r="I6" s="160" t="s">
        <v>65</v>
      </c>
      <c r="J6" s="161" t="s">
        <v>9</v>
      </c>
      <c r="K6" s="162" t="s">
        <v>66</v>
      </c>
      <c r="L6" s="208" t="s">
        <v>152</v>
      </c>
      <c r="M6" s="163" t="s">
        <v>67</v>
      </c>
      <c r="N6" s="149" t="s">
        <v>410</v>
      </c>
      <c r="O6" s="149">
        <v>1150</v>
      </c>
      <c r="P6" s="149">
        <f>+O6-(O6*0.18)</f>
        <v>943</v>
      </c>
      <c r="Q6" s="149">
        <f>60*5</f>
        <v>300</v>
      </c>
      <c r="R6" s="149">
        <f t="shared" ref="R6:R8" si="0">+O6*Q6</f>
        <v>345000</v>
      </c>
      <c r="S6" s="149">
        <f t="shared" ref="S6:S8" si="1">+P6*Q6</f>
        <v>282900</v>
      </c>
      <c r="U6" s="515"/>
    </row>
    <row r="7" spans="1:26" ht="13.5" customHeight="1" thickBot="1">
      <c r="A7" s="788" t="s">
        <v>428</v>
      </c>
      <c r="B7" s="213" t="s">
        <v>430</v>
      </c>
      <c r="C7" s="214">
        <v>18647</v>
      </c>
      <c r="D7" s="215"/>
      <c r="E7" s="216"/>
      <c r="F7" s="231"/>
      <c r="G7" s="553" t="s">
        <v>12</v>
      </c>
      <c r="H7" s="554" t="s">
        <v>417</v>
      </c>
      <c r="I7" s="791" t="s">
        <v>413</v>
      </c>
      <c r="J7" s="244" t="s">
        <v>430</v>
      </c>
      <c r="K7" s="233">
        <f>+C34</f>
        <v>56237</v>
      </c>
      <c r="L7" s="237"/>
      <c r="M7" s="117">
        <f>+K7+L7</f>
        <v>56237</v>
      </c>
      <c r="O7" s="149">
        <v>1100</v>
      </c>
      <c r="P7" s="149">
        <f t="shared" ref="P7:P8" si="2">+O7-(O7*0.18)</f>
        <v>902</v>
      </c>
      <c r="Q7" s="149">
        <v>60</v>
      </c>
      <c r="R7" s="149">
        <f t="shared" si="0"/>
        <v>66000</v>
      </c>
      <c r="S7" s="149">
        <f t="shared" si="1"/>
        <v>54120</v>
      </c>
    </row>
    <row r="8" spans="1:26" ht="13.8" thickBot="1">
      <c r="A8" s="789"/>
      <c r="B8" s="213"/>
      <c r="C8" s="214"/>
      <c r="D8" s="215"/>
      <c r="E8" s="217"/>
      <c r="F8" s="227">
        <v>2</v>
      </c>
      <c r="G8" s="555" t="s">
        <v>12</v>
      </c>
      <c r="H8" s="226" t="s">
        <v>416</v>
      </c>
      <c r="I8" s="792"/>
      <c r="J8" s="245"/>
      <c r="K8" s="234"/>
      <c r="L8" s="234"/>
      <c r="M8" s="117">
        <f t="shared" ref="M8:M32" si="3">+K8+L8</f>
        <v>0</v>
      </c>
      <c r="O8" s="149">
        <v>1120</v>
      </c>
      <c r="P8" s="149">
        <f t="shared" si="2"/>
        <v>918.4</v>
      </c>
      <c r="Q8" s="149">
        <v>120</v>
      </c>
      <c r="R8" s="149">
        <f t="shared" si="0"/>
        <v>134400</v>
      </c>
      <c r="S8" s="149">
        <f t="shared" si="1"/>
        <v>110208</v>
      </c>
      <c r="U8" s="517"/>
      <c r="V8" s="518"/>
      <c r="W8" s="518"/>
      <c r="X8" s="518"/>
    </row>
    <row r="9" spans="1:26" ht="13.8" thickBot="1">
      <c r="A9" s="789"/>
      <c r="B9" s="213"/>
      <c r="C9" s="214"/>
      <c r="D9" s="215"/>
      <c r="E9" s="218"/>
      <c r="F9" s="227">
        <v>8</v>
      </c>
      <c r="G9" s="555" t="s">
        <v>12</v>
      </c>
      <c r="H9" s="229" t="s">
        <v>415</v>
      </c>
      <c r="I9" s="792"/>
      <c r="J9" s="245"/>
      <c r="K9" s="234"/>
      <c r="L9" s="234"/>
      <c r="M9" s="117">
        <f t="shared" si="3"/>
        <v>0</v>
      </c>
      <c r="X9" s="516"/>
    </row>
    <row r="10" spans="1:26" ht="53.4" thickBot="1">
      <c r="A10" s="789"/>
      <c r="B10" s="213"/>
      <c r="C10" s="214"/>
      <c r="D10" s="215"/>
      <c r="E10" s="217"/>
      <c r="F10" s="227"/>
      <c r="G10" s="225"/>
      <c r="H10" s="556" t="s">
        <v>405</v>
      </c>
      <c r="I10" s="792"/>
      <c r="J10" s="244"/>
      <c r="K10" s="234"/>
      <c r="L10" s="234"/>
      <c r="M10" s="117">
        <f t="shared" si="3"/>
        <v>0</v>
      </c>
      <c r="Y10" s="516"/>
      <c r="Z10" s="516"/>
    </row>
    <row r="11" spans="1:26" ht="98.25" customHeight="1" thickBot="1">
      <c r="A11" s="789"/>
      <c r="B11" s="213"/>
      <c r="C11" s="214"/>
      <c r="D11" s="215"/>
      <c r="E11" s="217"/>
      <c r="F11" s="224"/>
      <c r="G11" s="228"/>
      <c r="H11" s="229" t="s">
        <v>406</v>
      </c>
      <c r="I11" s="792"/>
      <c r="J11" s="244"/>
      <c r="K11" s="234"/>
      <c r="L11" s="234"/>
      <c r="M11" s="117">
        <f t="shared" si="3"/>
        <v>0</v>
      </c>
    </row>
    <row r="12" spans="1:26" ht="13.8" thickBot="1">
      <c r="A12" s="789"/>
      <c r="B12" s="213"/>
      <c r="C12" s="214"/>
      <c r="D12" s="215"/>
      <c r="E12" s="217"/>
      <c r="F12" s="224"/>
      <c r="G12" s="228"/>
      <c r="H12" s="229"/>
      <c r="I12" s="792"/>
      <c r="J12" s="244"/>
      <c r="K12" s="234"/>
      <c r="L12" s="234"/>
      <c r="M12" s="117">
        <f t="shared" si="3"/>
        <v>0</v>
      </c>
    </row>
    <row r="13" spans="1:26" ht="13.8" thickBot="1">
      <c r="A13" s="789"/>
      <c r="B13" s="213"/>
      <c r="C13" s="214"/>
      <c r="D13" s="214"/>
      <c r="E13" s="217"/>
      <c r="F13" s="224"/>
      <c r="G13" s="228"/>
      <c r="H13" s="229"/>
      <c r="I13" s="793"/>
      <c r="J13" s="244"/>
      <c r="K13" s="234"/>
      <c r="L13" s="234"/>
      <c r="M13" s="117">
        <f t="shared" si="3"/>
        <v>0</v>
      </c>
      <c r="Q13" s="174">
        <f>SUM(Q5:Q12)</f>
        <v>480</v>
      </c>
      <c r="R13" s="174">
        <f>SUM(R5:R12)</f>
        <v>545400</v>
      </c>
      <c r="S13" s="174">
        <f>SUM(S5:S12)</f>
        <v>447228</v>
      </c>
    </row>
    <row r="14" spans="1:26" ht="13.8" thickBot="1">
      <c r="A14" s="790"/>
      <c r="B14" s="165" t="s">
        <v>3</v>
      </c>
      <c r="C14" s="99">
        <f>SUM(C7:C13)</f>
        <v>18647</v>
      </c>
      <c r="D14" s="111">
        <f>SUM(D7:D13)</f>
        <v>0</v>
      </c>
      <c r="E14" s="112">
        <f>SUM(E5:E13)</f>
        <v>0</v>
      </c>
      <c r="F14" s="116">
        <f>SUM(F7:F13)</f>
        <v>10</v>
      </c>
      <c r="G14" s="159"/>
      <c r="H14" s="166"/>
      <c r="I14" s="167"/>
      <c r="J14" s="244"/>
      <c r="K14" s="234"/>
      <c r="L14" s="234"/>
      <c r="M14" s="117">
        <f t="shared" si="3"/>
        <v>0</v>
      </c>
      <c r="Q14" s="149">
        <f>480-Q13</f>
        <v>0</v>
      </c>
      <c r="R14" s="174">
        <f>+R13/Q13</f>
        <v>1136.25</v>
      </c>
      <c r="S14" s="174">
        <f>+S13/Q13</f>
        <v>931.72500000000002</v>
      </c>
    </row>
    <row r="15" spans="1:26" ht="13.5" customHeight="1" thickBot="1">
      <c r="A15" s="794" t="s">
        <v>429</v>
      </c>
      <c r="B15" s="513"/>
      <c r="C15" s="113">
        <f>C14/($C$23+$D$23+$E$23)</f>
        <v>0.94654822335025379</v>
      </c>
      <c r="D15" s="114">
        <f>D14/($C$23+$D$23+$E$23)</f>
        <v>0</v>
      </c>
      <c r="E15" s="115">
        <f>E14/($C$23+$D$23+$E$23)</f>
        <v>0</v>
      </c>
      <c r="F15" s="231"/>
      <c r="G15" s="553" t="s">
        <v>12</v>
      </c>
      <c r="H15" s="554" t="s">
        <v>417</v>
      </c>
      <c r="I15" s="791" t="s">
        <v>412</v>
      </c>
      <c r="J15" s="244"/>
      <c r="K15" s="234"/>
      <c r="L15" s="234"/>
      <c r="M15" s="117">
        <f t="shared" si="3"/>
        <v>0</v>
      </c>
      <c r="N15" s="514"/>
    </row>
    <row r="16" spans="1:26" ht="13.8" thickBot="1">
      <c r="A16" s="789"/>
      <c r="B16" s="213" t="s">
        <v>430</v>
      </c>
      <c r="C16" s="511">
        <v>19700</v>
      </c>
      <c r="D16" s="219"/>
      <c r="E16" s="220"/>
      <c r="F16" s="227"/>
      <c r="G16" s="555" t="s">
        <v>12</v>
      </c>
      <c r="H16" s="226" t="s">
        <v>419</v>
      </c>
      <c r="I16" s="792"/>
      <c r="J16" s="244"/>
      <c r="K16" s="225"/>
      <c r="L16" s="225"/>
      <c r="M16" s="117">
        <f t="shared" si="3"/>
        <v>0</v>
      </c>
      <c r="N16" s="149" t="s">
        <v>410</v>
      </c>
      <c r="O16" s="149">
        <v>1125</v>
      </c>
      <c r="P16" s="149">
        <f>+O16-(O16*0.18)</f>
        <v>922.5</v>
      </c>
      <c r="Q16" s="149">
        <v>480</v>
      </c>
      <c r="R16" s="149">
        <f t="shared" ref="R16" si="4">+O16*Q16</f>
        <v>540000</v>
      </c>
      <c r="S16" s="149">
        <f t="shared" ref="S16" si="5">+P16*Q16</f>
        <v>442800</v>
      </c>
    </row>
    <row r="17" spans="1:19" ht="13.8" thickBot="1">
      <c r="A17" s="789"/>
      <c r="B17" s="213"/>
      <c r="C17" s="214"/>
      <c r="D17" s="215"/>
      <c r="E17" s="221"/>
      <c r="F17" s="227">
        <v>10</v>
      </c>
      <c r="G17" s="555" t="s">
        <v>12</v>
      </c>
      <c r="H17" s="229" t="s">
        <v>418</v>
      </c>
      <c r="I17" s="792"/>
      <c r="J17" s="244"/>
      <c r="K17" s="225"/>
      <c r="L17" s="225"/>
      <c r="M17" s="117">
        <f t="shared" si="3"/>
        <v>0</v>
      </c>
      <c r="P17" s="149">
        <f t="shared" ref="P17:P18" si="6">+O17-(O17*0.18)</f>
        <v>0</v>
      </c>
    </row>
    <row r="18" spans="1:19" ht="53.4" thickBot="1">
      <c r="A18" s="789"/>
      <c r="B18" s="213"/>
      <c r="C18" s="214"/>
      <c r="D18" s="215"/>
      <c r="E18" s="221"/>
      <c r="F18" s="227"/>
      <c r="G18" s="225"/>
      <c r="H18" s="556" t="s">
        <v>407</v>
      </c>
      <c r="I18" s="792"/>
      <c r="J18" s="244"/>
      <c r="K18" s="234"/>
      <c r="L18" s="234"/>
      <c r="M18" s="117">
        <f t="shared" si="3"/>
        <v>0</v>
      </c>
      <c r="P18" s="149">
        <f t="shared" si="6"/>
        <v>0</v>
      </c>
    </row>
    <row r="19" spans="1:19" ht="13.8" thickBot="1">
      <c r="A19" s="789"/>
      <c r="B19" s="213"/>
      <c r="C19" s="214"/>
      <c r="D19" s="215"/>
      <c r="E19" s="221"/>
      <c r="F19" s="230"/>
      <c r="G19" s="228"/>
      <c r="H19" s="229" t="s">
        <v>408</v>
      </c>
      <c r="I19" s="792"/>
      <c r="J19" s="244"/>
      <c r="K19" s="234"/>
      <c r="L19" s="234"/>
      <c r="M19" s="117">
        <f t="shared" si="3"/>
        <v>0</v>
      </c>
    </row>
    <row r="20" spans="1:19" ht="13.8" thickBot="1">
      <c r="A20" s="789"/>
      <c r="B20" s="213"/>
      <c r="C20" s="214"/>
      <c r="D20" s="215"/>
      <c r="E20" s="221"/>
      <c r="F20" s="224"/>
      <c r="G20" s="228"/>
      <c r="H20" s="229"/>
      <c r="I20" s="792"/>
      <c r="J20" s="244"/>
      <c r="K20" s="235"/>
      <c r="L20" s="235"/>
      <c r="M20" s="117">
        <f t="shared" si="3"/>
        <v>0</v>
      </c>
    </row>
    <row r="21" spans="1:19" ht="13.8" thickBot="1">
      <c r="A21" s="789"/>
      <c r="B21" s="213"/>
      <c r="C21" s="214"/>
      <c r="D21" s="215"/>
      <c r="E21" s="221"/>
      <c r="F21" s="227"/>
      <c r="G21" s="228"/>
      <c r="H21" s="229"/>
      <c r="I21" s="792"/>
      <c r="J21" s="244"/>
      <c r="K21" s="234"/>
      <c r="L21" s="234"/>
      <c r="M21" s="117">
        <f t="shared" si="3"/>
        <v>0</v>
      </c>
    </row>
    <row r="22" spans="1:19" ht="13.8" thickBot="1">
      <c r="A22" s="789"/>
      <c r="B22" s="213"/>
      <c r="C22" s="214"/>
      <c r="D22" s="215"/>
      <c r="E22" s="221"/>
      <c r="F22" s="231"/>
      <c r="G22" s="228"/>
      <c r="H22" s="229"/>
      <c r="I22" s="793"/>
      <c r="J22" s="244"/>
      <c r="K22" s="234"/>
      <c r="L22" s="234"/>
      <c r="M22" s="117">
        <f t="shared" si="3"/>
        <v>0</v>
      </c>
    </row>
    <row r="23" spans="1:19" ht="13.8" thickBot="1">
      <c r="A23" s="790"/>
      <c r="B23" s="165" t="s">
        <v>3</v>
      </c>
      <c r="C23" s="99">
        <f>SUM(C16:C22)</f>
        <v>19700</v>
      </c>
      <c r="D23" s="111">
        <f>SUM(D16:D22)</f>
        <v>0</v>
      </c>
      <c r="E23" s="112">
        <f>SUM(E18:E22)</f>
        <v>0</v>
      </c>
      <c r="F23" s="116">
        <f>SUM(F15:F22)</f>
        <v>10</v>
      </c>
      <c r="G23" s="159"/>
      <c r="H23" s="166"/>
      <c r="I23" s="168"/>
      <c r="J23" s="244"/>
      <c r="K23" s="234"/>
      <c r="L23" s="234"/>
      <c r="M23" s="117">
        <f t="shared" si="3"/>
        <v>0</v>
      </c>
      <c r="Q23" s="174">
        <f>SUM(Q15:Q22)</f>
        <v>480</v>
      </c>
      <c r="R23" s="174">
        <f>SUM(R15:R22)</f>
        <v>540000</v>
      </c>
      <c r="S23" s="174">
        <f>SUM(S15:S22)</f>
        <v>442800</v>
      </c>
    </row>
    <row r="24" spans="1:19" ht="13.5" customHeight="1" thickBot="1">
      <c r="A24" s="794" t="s">
        <v>387</v>
      </c>
      <c r="B24" s="513"/>
      <c r="C24" s="113">
        <f>C23/($C$23+$D$23+$E$23)</f>
        <v>1</v>
      </c>
      <c r="D24" s="114">
        <f>D23/($C$23+$D$23+$E$23)</f>
        <v>0</v>
      </c>
      <c r="E24" s="115">
        <f>E23/($C$23+$D$23+$E$23)</f>
        <v>0</v>
      </c>
      <c r="F24" s="231"/>
      <c r="G24" s="553" t="s">
        <v>12</v>
      </c>
      <c r="H24" s="554" t="s">
        <v>417</v>
      </c>
      <c r="I24" s="791" t="s">
        <v>411</v>
      </c>
      <c r="J24" s="244"/>
      <c r="K24" s="234"/>
      <c r="L24" s="234"/>
      <c r="M24" s="117">
        <f t="shared" si="3"/>
        <v>0</v>
      </c>
      <c r="Q24" s="149">
        <f>480-Q23</f>
        <v>0</v>
      </c>
      <c r="R24" s="174">
        <f>+R23/Q23</f>
        <v>1125</v>
      </c>
      <c r="S24" s="174">
        <f>+S23/Q23</f>
        <v>922.5</v>
      </c>
    </row>
    <row r="25" spans="1:19" ht="13.8" thickBot="1">
      <c r="A25" s="789"/>
      <c r="B25" s="213" t="s">
        <v>430</v>
      </c>
      <c r="C25" s="222">
        <v>17890</v>
      </c>
      <c r="D25" s="215"/>
      <c r="E25" s="221"/>
      <c r="F25" s="227"/>
      <c r="G25" s="555" t="s">
        <v>12</v>
      </c>
      <c r="H25" s="226" t="s">
        <v>419</v>
      </c>
      <c r="I25" s="792"/>
      <c r="J25" s="244"/>
      <c r="K25" s="234"/>
      <c r="L25" s="234"/>
      <c r="M25" s="117">
        <f t="shared" si="3"/>
        <v>0</v>
      </c>
      <c r="N25" s="149" t="s">
        <v>410</v>
      </c>
      <c r="O25" s="149">
        <v>1120</v>
      </c>
      <c r="P25" s="149">
        <f>+O25-(O25*0.16)</f>
        <v>940.8</v>
      </c>
      <c r="Q25" s="149">
        <v>480</v>
      </c>
      <c r="R25" s="149">
        <f t="shared" ref="R25" si="7">+O25*Q25</f>
        <v>537600</v>
      </c>
      <c r="S25" s="149">
        <f t="shared" ref="S25" si="8">+P25*Q25</f>
        <v>451584</v>
      </c>
    </row>
    <row r="26" spans="1:19" ht="13.8" thickBot="1">
      <c r="A26" s="789"/>
      <c r="B26" s="213"/>
      <c r="C26" s="222"/>
      <c r="D26" s="215"/>
      <c r="E26" s="223"/>
      <c r="F26" s="227">
        <v>7</v>
      </c>
      <c r="G26" s="555" t="s">
        <v>12</v>
      </c>
      <c r="H26" s="229" t="s">
        <v>415</v>
      </c>
      <c r="I26" s="792"/>
      <c r="J26" s="244"/>
      <c r="K26" s="234"/>
      <c r="L26" s="234"/>
      <c r="M26" s="117">
        <f t="shared" si="3"/>
        <v>0</v>
      </c>
      <c r="P26" s="149">
        <f t="shared" ref="P26:P27" si="9">+O26-(O26*0.18)</f>
        <v>0</v>
      </c>
    </row>
    <row r="27" spans="1:19" ht="53.4" thickBot="1">
      <c r="A27" s="789"/>
      <c r="B27" s="213"/>
      <c r="C27" s="214"/>
      <c r="D27" s="215"/>
      <c r="E27" s="221"/>
      <c r="F27" s="227"/>
      <c r="G27" s="225"/>
      <c r="H27" s="556" t="s">
        <v>409</v>
      </c>
      <c r="I27" s="792"/>
      <c r="J27" s="244"/>
      <c r="K27" s="234"/>
      <c r="L27" s="234"/>
      <c r="M27" s="117">
        <f t="shared" si="3"/>
        <v>0</v>
      </c>
      <c r="P27" s="149">
        <f t="shared" si="9"/>
        <v>0</v>
      </c>
    </row>
    <row r="28" spans="1:19" ht="13.8" thickBot="1">
      <c r="A28" s="789"/>
      <c r="B28" s="213"/>
      <c r="C28" s="214"/>
      <c r="D28" s="215"/>
      <c r="E28" s="221"/>
      <c r="F28" s="227"/>
      <c r="G28" s="225"/>
      <c r="H28" s="229"/>
      <c r="I28" s="792"/>
      <c r="J28" s="244"/>
      <c r="K28" s="234"/>
      <c r="L28" s="234"/>
      <c r="M28" s="117">
        <f t="shared" si="3"/>
        <v>0</v>
      </c>
    </row>
    <row r="29" spans="1:19" ht="13.8" thickBot="1">
      <c r="A29" s="789"/>
      <c r="B29" s="213"/>
      <c r="C29" s="214"/>
      <c r="D29" s="215"/>
      <c r="E29" s="221"/>
      <c r="F29" s="231"/>
      <c r="G29" s="228"/>
      <c r="H29" s="229"/>
      <c r="I29" s="792"/>
      <c r="J29" s="244"/>
      <c r="K29" s="234"/>
      <c r="L29" s="234"/>
      <c r="M29" s="117">
        <f t="shared" si="3"/>
        <v>0</v>
      </c>
    </row>
    <row r="30" spans="1:19" ht="13.8" thickBot="1">
      <c r="A30" s="789"/>
      <c r="B30" s="213"/>
      <c r="C30" s="222"/>
      <c r="D30" s="215"/>
      <c r="E30" s="221"/>
      <c r="F30" s="231"/>
      <c r="G30" s="228"/>
      <c r="H30" s="229"/>
      <c r="I30" s="792"/>
      <c r="J30" s="244"/>
      <c r="K30" s="234"/>
      <c r="L30" s="234"/>
      <c r="M30" s="117">
        <f t="shared" si="3"/>
        <v>0</v>
      </c>
    </row>
    <row r="31" spans="1:19" ht="13.8" thickBot="1">
      <c r="A31" s="789"/>
      <c r="B31" s="213"/>
      <c r="C31" s="222"/>
      <c r="D31" s="215"/>
      <c r="E31" s="221"/>
      <c r="F31" s="231"/>
      <c r="G31" s="232"/>
      <c r="H31" s="404"/>
      <c r="I31" s="793"/>
      <c r="J31" s="244"/>
      <c r="K31" s="234"/>
      <c r="L31" s="234"/>
      <c r="M31" s="117">
        <f t="shared" si="3"/>
        <v>0</v>
      </c>
    </row>
    <row r="32" spans="1:19" ht="13.8" thickBot="1">
      <c r="A32" s="790"/>
      <c r="B32" s="165" t="s">
        <v>3</v>
      </c>
      <c r="C32" s="99">
        <f>SUM(C25:C31)</f>
        <v>17890</v>
      </c>
      <c r="D32" s="100">
        <f>SUM(D25:D31)</f>
        <v>0</v>
      </c>
      <c r="E32" s="101">
        <f>SUM(E25:E31)</f>
        <v>0</v>
      </c>
      <c r="F32" s="99">
        <f>SUM(F24:F31)</f>
        <v>7</v>
      </c>
      <c r="G32" s="169"/>
      <c r="H32" s="170"/>
      <c r="I32" s="168"/>
      <c r="J32" s="246"/>
      <c r="K32" s="236"/>
      <c r="L32" s="238"/>
      <c r="M32" s="117">
        <f t="shared" si="3"/>
        <v>0</v>
      </c>
      <c r="Q32" s="174">
        <f>SUM(Q24:Q31)</f>
        <v>480</v>
      </c>
      <c r="R32" s="174">
        <f>SUM(R24:R31)</f>
        <v>538725</v>
      </c>
      <c r="S32" s="174">
        <f>SUM(S24:S31)</f>
        <v>452506.5</v>
      </c>
    </row>
    <row r="33" spans="1:19" ht="13.8" thickBot="1">
      <c r="A33" s="171"/>
      <c r="B33" s="172"/>
      <c r="C33" s="103">
        <f>C32/($C$32+$D$32+$E$32)</f>
        <v>1</v>
      </c>
      <c r="D33" s="104">
        <f>D32/($C$32+$D$32+$E$32)</f>
        <v>0</v>
      </c>
      <c r="E33" s="105">
        <f>E32/($C$32+$D$32+$E$32)</f>
        <v>0</v>
      </c>
      <c r="F33" s="106"/>
      <c r="G33" s="173"/>
      <c r="H33" s="174"/>
      <c r="I33" s="175"/>
      <c r="J33" s="121"/>
      <c r="K33" s="122"/>
      <c r="L33" s="211"/>
      <c r="M33" s="119"/>
      <c r="Q33" s="149">
        <f>480-Q32</f>
        <v>0</v>
      </c>
      <c r="R33" s="174">
        <f>+R32/Q32</f>
        <v>1122.34375</v>
      </c>
      <c r="S33" s="174">
        <f>+S32/Q32</f>
        <v>942.72187499999995</v>
      </c>
    </row>
    <row r="34" spans="1:19" ht="13.8" thickBot="1">
      <c r="A34" s="795" t="s">
        <v>68</v>
      </c>
      <c r="B34" s="796"/>
      <c r="C34" s="107">
        <f>C14+C23+C32</f>
        <v>56237</v>
      </c>
      <c r="D34" s="107">
        <f>D14+D23+D32</f>
        <v>0</v>
      </c>
      <c r="E34" s="107">
        <f>E14+E23+E32</f>
        <v>0</v>
      </c>
      <c r="F34" s="108">
        <f>F14+F23+F32</f>
        <v>27</v>
      </c>
      <c r="H34" s="176"/>
      <c r="I34" s="176"/>
      <c r="J34" s="123" t="s">
        <v>28</v>
      </c>
      <c r="K34" s="124">
        <f>SUM(K7:K32)</f>
        <v>56237</v>
      </c>
      <c r="L34" s="210">
        <f>SUM(L7:L32)</f>
        <v>0</v>
      </c>
      <c r="M34" s="120">
        <f>SUM(M7:M32)</f>
        <v>56237</v>
      </c>
      <c r="N34" s="155"/>
    </row>
    <row r="35" spans="1:19" ht="13.8" thickBot="1">
      <c r="A35" s="177"/>
      <c r="B35" s="178"/>
      <c r="C35" s="104">
        <f>C34/($C$34+$D$34+$E$34)</f>
        <v>1</v>
      </c>
      <c r="D35" s="104">
        <f>D34/($C$34+$D$34+$E$34)</f>
        <v>0</v>
      </c>
      <c r="E35" s="109">
        <f>E34/($C$34+$D$34+$E$34)</f>
        <v>0</v>
      </c>
      <c r="K35" s="155"/>
    </row>
    <row r="36" spans="1:19" ht="13.8" thickBot="1">
      <c r="A36" s="176"/>
      <c r="B36" s="176"/>
      <c r="C36" s="155"/>
      <c r="D36" s="155"/>
      <c r="E36" s="155"/>
      <c r="G36" s="155"/>
      <c r="H36" s="179"/>
      <c r="I36" s="162" t="s">
        <v>37</v>
      </c>
      <c r="J36" s="162" t="s">
        <v>38</v>
      </c>
      <c r="K36" s="180"/>
    </row>
    <row r="37" spans="1:19" ht="17.399999999999999" customHeight="1" thickBot="1">
      <c r="A37" s="797" t="s">
        <v>69</v>
      </c>
      <c r="B37" s="798"/>
      <c r="C37" s="162" t="s">
        <v>70</v>
      </c>
      <c r="D37" s="181" t="s">
        <v>71</v>
      </c>
      <c r="E37" s="182" t="s">
        <v>72</v>
      </c>
      <c r="F37" s="183"/>
      <c r="G37" s="155"/>
      <c r="H37" s="184" t="s">
        <v>73</v>
      </c>
      <c r="I37" s="239">
        <f>(15*1440)/1440*G42*2.75*1440/1000000</f>
        <v>55.379548124999999</v>
      </c>
      <c r="J37" s="125">
        <f>I37</f>
        <v>55.379548124999999</v>
      </c>
      <c r="K37" s="126" t="s">
        <v>74</v>
      </c>
    </row>
    <row r="38" spans="1:19" ht="17.399999999999999" customHeight="1">
      <c r="A38" s="799" t="s">
        <v>12</v>
      </c>
      <c r="B38" s="800"/>
      <c r="C38" s="164">
        <f>SUMIF($G$7:$G$31,"Process",$F$7:$F$31)</f>
        <v>27</v>
      </c>
      <c r="D38" s="118">
        <f>C38</f>
        <v>27</v>
      </c>
      <c r="E38" s="143">
        <f t="shared" ref="E38:E51" si="10">D38/60</f>
        <v>0.45</v>
      </c>
      <c r="F38" s="183">
        <v>1136.25</v>
      </c>
      <c r="G38" s="183">
        <v>931.72500000000002</v>
      </c>
      <c r="H38" s="185" t="s">
        <v>75</v>
      </c>
      <c r="I38" s="240">
        <f>15.929+18.314+15.89</f>
        <v>50.133000000000003</v>
      </c>
      <c r="J38" s="127">
        <f>I38</f>
        <v>50.133000000000003</v>
      </c>
      <c r="K38" s="128" t="s">
        <v>74</v>
      </c>
    </row>
    <row r="39" spans="1:19" ht="17.399999999999999" customHeight="1">
      <c r="A39" s="786" t="s">
        <v>13</v>
      </c>
      <c r="B39" s="787"/>
      <c r="C39" s="164">
        <f>SUMIF($G$7:$G$31,"Cleaning",$F$7:$F$31)</f>
        <v>0</v>
      </c>
      <c r="D39" s="118">
        <f>C39</f>
        <v>0</v>
      </c>
      <c r="E39" s="143">
        <f t="shared" si="10"/>
        <v>0</v>
      </c>
      <c r="F39" s="183">
        <v>1125</v>
      </c>
      <c r="G39" s="183">
        <v>922.5</v>
      </c>
      <c r="H39" s="185" t="s">
        <v>76</v>
      </c>
      <c r="I39" s="142"/>
      <c r="J39" s="129">
        <f>J37/G4</f>
        <v>55.379548124999999</v>
      </c>
      <c r="K39" s="130" t="s">
        <v>74</v>
      </c>
    </row>
    <row r="40" spans="1:19" ht="17.399999999999999" customHeight="1">
      <c r="A40" s="786" t="s">
        <v>77</v>
      </c>
      <c r="B40" s="787"/>
      <c r="C40" s="164">
        <f>SUMIF($G$7:$G$31,"Mechanical",$F$7:$F$31)</f>
        <v>0</v>
      </c>
      <c r="D40" s="118">
        <f t="shared" ref="D40:D51" si="11">C40</f>
        <v>0</v>
      </c>
      <c r="E40" s="143">
        <f t="shared" si="10"/>
        <v>0</v>
      </c>
      <c r="F40" s="183">
        <v>1122.34375</v>
      </c>
      <c r="G40" s="183">
        <v>942.72187499999995</v>
      </c>
      <c r="H40" s="185" t="s">
        <v>78</v>
      </c>
      <c r="I40" s="118">
        <f>(K34+L34)/1000</f>
        <v>56.237000000000002</v>
      </c>
      <c r="J40" s="131">
        <f>M34/1000</f>
        <v>56.237000000000002</v>
      </c>
      <c r="K40" s="130" t="s">
        <v>74</v>
      </c>
    </row>
    <row r="41" spans="1:19" ht="17.399999999999999" customHeight="1">
      <c r="A41" s="786" t="s">
        <v>79</v>
      </c>
      <c r="B41" s="787"/>
      <c r="C41" s="164">
        <f>SUMIF($G$7:$G$31,"Electrical",$F$7:$F$31)</f>
        <v>0</v>
      </c>
      <c r="D41" s="118">
        <f t="shared" si="11"/>
        <v>0</v>
      </c>
      <c r="E41" s="143">
        <f t="shared" si="10"/>
        <v>0</v>
      </c>
      <c r="F41" s="183"/>
      <c r="G41" s="183"/>
      <c r="H41" s="185" t="s">
        <v>80</v>
      </c>
      <c r="I41" s="142"/>
      <c r="J41" s="129">
        <f>J40/G4</f>
        <v>56.237000000000002</v>
      </c>
      <c r="K41" s="130" t="s">
        <v>74</v>
      </c>
    </row>
    <row r="42" spans="1:19" ht="17.399999999999999" customHeight="1">
      <c r="A42" s="786" t="s">
        <v>16</v>
      </c>
      <c r="B42" s="787"/>
      <c r="C42" s="164">
        <f>SUMIF($G$7:$G$31,"Instrument",$F$7:$F$31)</f>
        <v>0</v>
      </c>
      <c r="D42" s="118">
        <f t="shared" si="11"/>
        <v>0</v>
      </c>
      <c r="E42" s="143">
        <f t="shared" si="10"/>
        <v>0</v>
      </c>
      <c r="F42" s="183">
        <f>+(F38*480+F39*480+F40*480)/1440</f>
        <v>1127.8645833333333</v>
      </c>
      <c r="G42" s="183">
        <f>+(G38*480+G39*480+G40*480)/1440</f>
        <v>932.31562499999995</v>
      </c>
      <c r="H42" s="185" t="s">
        <v>81</v>
      </c>
      <c r="I42" s="241" t="s">
        <v>414</v>
      </c>
      <c r="J42" s="132"/>
      <c r="K42" s="130" t="s">
        <v>82</v>
      </c>
    </row>
    <row r="43" spans="1:19" ht="17.399999999999999" customHeight="1">
      <c r="A43" s="786" t="s">
        <v>83</v>
      </c>
      <c r="B43" s="787"/>
      <c r="C43" s="164">
        <f>SUMIF($G$7:$G$31,"Water",$F$7:$F$31)</f>
        <v>0</v>
      </c>
      <c r="D43" s="118">
        <f t="shared" si="11"/>
        <v>0</v>
      </c>
      <c r="E43" s="143">
        <f t="shared" si="10"/>
        <v>0</v>
      </c>
      <c r="F43" s="183"/>
      <c r="H43" s="186" t="s">
        <v>84</v>
      </c>
      <c r="I43" s="118">
        <f>+Report1!Z9</f>
        <v>100.8</v>
      </c>
      <c r="J43" s="133">
        <f>I43</f>
        <v>100.8</v>
      </c>
      <c r="K43" s="130" t="s">
        <v>74</v>
      </c>
      <c r="L43" s="187"/>
    </row>
    <row r="44" spans="1:19" ht="17.399999999999999" customHeight="1">
      <c r="A44" s="786" t="s">
        <v>17</v>
      </c>
      <c r="B44" s="787"/>
      <c r="C44" s="164">
        <f>SUMIF($G$7:$G$31,"PLN",$F$7:$F$31)</f>
        <v>0</v>
      </c>
      <c r="D44" s="118">
        <f>C44</f>
        <v>0</v>
      </c>
      <c r="E44" s="143">
        <f t="shared" si="10"/>
        <v>0</v>
      </c>
      <c r="F44" s="183"/>
      <c r="H44" s="186" t="s">
        <v>85</v>
      </c>
      <c r="I44" s="118">
        <f>I43/I38</f>
        <v>2.0106516665669316</v>
      </c>
      <c r="J44" s="134">
        <f>J43/J38</f>
        <v>2.0106516665669316</v>
      </c>
      <c r="K44" s="130" t="s">
        <v>74</v>
      </c>
    </row>
    <row r="45" spans="1:19" ht="17.399999999999999" customHeight="1">
      <c r="A45" s="786" t="s">
        <v>18</v>
      </c>
      <c r="B45" s="787"/>
      <c r="C45" s="164">
        <f>SUMIF($G$7:$G$31,"Boiler",$F$7:$F$31)</f>
        <v>0</v>
      </c>
      <c r="D45" s="118">
        <f t="shared" si="11"/>
        <v>0</v>
      </c>
      <c r="E45" s="143">
        <f t="shared" si="10"/>
        <v>0</v>
      </c>
      <c r="F45" s="183"/>
      <c r="G45" s="174"/>
      <c r="H45" s="186" t="s">
        <v>86</v>
      </c>
      <c r="I45" s="118">
        <f>I43/I40</f>
        <v>1.7924142468481603</v>
      </c>
      <c r="J45" s="134">
        <f>J43/J40</f>
        <v>1.7924142468481603</v>
      </c>
      <c r="K45" s="130" t="s">
        <v>74</v>
      </c>
    </row>
    <row r="46" spans="1:19" ht="17.399999999999999" customHeight="1">
      <c r="A46" s="786" t="s">
        <v>87</v>
      </c>
      <c r="B46" s="787"/>
      <c r="C46" s="164">
        <f>SUMIF($G$7:$G$31,"Gas",$F$7:$F$31)</f>
        <v>0</v>
      </c>
      <c r="D46" s="118">
        <f t="shared" si="11"/>
        <v>0</v>
      </c>
      <c r="E46" s="143">
        <f t="shared" si="10"/>
        <v>0</v>
      </c>
      <c r="F46" s="183"/>
      <c r="H46" s="186" t="s">
        <v>88</v>
      </c>
      <c r="I46" s="140">
        <f>+SUMIF(Listrik!X8,"&gt;0")</f>
        <v>39310.92012537671</v>
      </c>
      <c r="J46" s="135">
        <f>I46</f>
        <v>39310.92012537671</v>
      </c>
      <c r="K46" s="130" t="s">
        <v>89</v>
      </c>
    </row>
    <row r="47" spans="1:19" ht="17.399999999999999" customHeight="1">
      <c r="A47" s="786" t="s">
        <v>90</v>
      </c>
      <c r="B47" s="787"/>
      <c r="C47" s="164">
        <f>SUMIF($G$7:$G$31,"Gas",$F$7:$F$31)</f>
        <v>0</v>
      </c>
      <c r="D47" s="118">
        <f t="shared" si="11"/>
        <v>0</v>
      </c>
      <c r="E47" s="143">
        <f t="shared" si="10"/>
        <v>0</v>
      </c>
      <c r="F47" s="183"/>
      <c r="H47" s="186" t="s">
        <v>91</v>
      </c>
      <c r="I47" s="118">
        <f>I46/I38</f>
        <v>784.13260976555773</v>
      </c>
      <c r="J47" s="135">
        <f>J46/J38</f>
        <v>784.13260976555773</v>
      </c>
      <c r="K47" s="130" t="s">
        <v>24</v>
      </c>
    </row>
    <row r="48" spans="1:19" ht="17.399999999999999" customHeight="1">
      <c r="A48" s="786" t="s">
        <v>14</v>
      </c>
      <c r="B48" s="787"/>
      <c r="C48" s="164">
        <f>SUMIF($G$7:$G$31,"Start Up",$F$7:$F$31)</f>
        <v>0</v>
      </c>
      <c r="D48" s="118">
        <f t="shared" si="11"/>
        <v>0</v>
      </c>
      <c r="E48" s="143">
        <f t="shared" si="10"/>
        <v>0</v>
      </c>
      <c r="F48" s="183"/>
      <c r="H48" s="186" t="s">
        <v>92</v>
      </c>
      <c r="I48" s="118">
        <f>I46/I40</f>
        <v>699.02235406185798</v>
      </c>
      <c r="J48" s="135">
        <f>J46/J40</f>
        <v>699.02235406185798</v>
      </c>
      <c r="K48" s="130" t="s">
        <v>24</v>
      </c>
    </row>
    <row r="49" spans="1:11" ht="17.399999999999999" customHeight="1">
      <c r="A49" s="786" t="s">
        <v>20</v>
      </c>
      <c r="B49" s="787"/>
      <c r="C49" s="164">
        <f>SUMIF($G$7:$G$31,"Others",$F$7:$F$31)</f>
        <v>0</v>
      </c>
      <c r="D49" s="118">
        <f t="shared" si="11"/>
        <v>0</v>
      </c>
      <c r="E49" s="143">
        <f t="shared" si="10"/>
        <v>0</v>
      </c>
      <c r="F49" s="183"/>
      <c r="H49" s="186" t="s">
        <v>268</v>
      </c>
      <c r="I49" s="118">
        <f>+Report1!T9</f>
        <v>3735.0526991041529</v>
      </c>
      <c r="J49" s="135">
        <f>I49</f>
        <v>3735.0526991041529</v>
      </c>
      <c r="K49" s="130" t="s">
        <v>93</v>
      </c>
    </row>
    <row r="50" spans="1:11" ht="17.399999999999999" customHeight="1">
      <c r="A50" s="786" t="s">
        <v>19</v>
      </c>
      <c r="B50" s="787"/>
      <c r="C50" s="164">
        <f>SUMIF($G$7:$G$31,"Steam",$F$7:$F$31)</f>
        <v>0</v>
      </c>
      <c r="D50" s="118">
        <f t="shared" si="11"/>
        <v>0</v>
      </c>
      <c r="E50" s="143">
        <f t="shared" si="10"/>
        <v>0</v>
      </c>
      <c r="F50" s="183"/>
      <c r="H50" s="186" t="s">
        <v>94</v>
      </c>
      <c r="I50" s="140">
        <f>I49/I38</f>
        <v>74.502876331042486</v>
      </c>
      <c r="J50" s="133">
        <f>J49/J38</f>
        <v>74.502876331042486</v>
      </c>
      <c r="K50" s="130" t="s">
        <v>93</v>
      </c>
    </row>
    <row r="51" spans="1:11" ht="17.399999999999999" customHeight="1">
      <c r="A51" s="803" t="s">
        <v>95</v>
      </c>
      <c r="B51" s="803"/>
      <c r="C51" s="164">
        <f>SUMIF($G$7:$G$31,"Planned shut",$F$7:$F$31)</f>
        <v>0</v>
      </c>
      <c r="D51" s="118">
        <f t="shared" si="11"/>
        <v>0</v>
      </c>
      <c r="E51" s="143">
        <f t="shared" si="10"/>
        <v>0</v>
      </c>
      <c r="F51" s="183"/>
      <c r="H51" s="188" t="s">
        <v>96</v>
      </c>
      <c r="I51" s="141">
        <f>I49/I40</f>
        <v>66.416286414711891</v>
      </c>
      <c r="J51" s="136">
        <f>J49/J40</f>
        <v>66.416286414711891</v>
      </c>
      <c r="K51" s="137" t="s">
        <v>93</v>
      </c>
    </row>
    <row r="52" spans="1:11" ht="17.399999999999999" customHeight="1" thickBot="1">
      <c r="A52" s="804" t="s">
        <v>218</v>
      </c>
      <c r="B52" s="805"/>
      <c r="C52" s="164">
        <f>SUMIF($G$7:$G$31,"Change Grade",$F$7:$F$31)</f>
        <v>0</v>
      </c>
      <c r="D52" s="118">
        <f t="shared" ref="D52" si="12">C52</f>
        <v>0</v>
      </c>
      <c r="E52" s="143">
        <f t="shared" ref="E52" si="13">D52/60</f>
        <v>0</v>
      </c>
      <c r="F52" s="183"/>
      <c r="H52" s="188"/>
      <c r="I52" s="141"/>
      <c r="J52" s="136"/>
      <c r="K52" s="137"/>
    </row>
    <row r="53" spans="1:11" ht="13.8" thickBot="1">
      <c r="A53" s="799" t="s">
        <v>28</v>
      </c>
      <c r="B53" s="800"/>
      <c r="C53" s="144">
        <f>SUM(C38:C52)</f>
        <v>27</v>
      </c>
      <c r="D53" s="144">
        <f>SUM(D38:D52)</f>
        <v>27</v>
      </c>
      <c r="E53" s="145">
        <f>SUM(E38:E52)</f>
        <v>0.45</v>
      </c>
      <c r="F53" s="183"/>
      <c r="H53" s="189"/>
      <c r="I53" s="190"/>
      <c r="J53" s="138"/>
      <c r="K53" s="139"/>
    </row>
    <row r="54" spans="1:11" ht="13.8" thickBot="1">
      <c r="A54" s="801"/>
      <c r="B54" s="802"/>
      <c r="C54" s="146">
        <f>C53/(24*60)</f>
        <v>1.8749999999999999E-2</v>
      </c>
      <c r="D54" s="146">
        <f>D53/(24*60*G4)</f>
        <v>1.8749999999999999E-2</v>
      </c>
      <c r="E54" s="147">
        <f>E53/(G4*24)</f>
        <v>1.8749999999999999E-2</v>
      </c>
      <c r="F54" s="183"/>
    </row>
    <row r="55" spans="1:11">
      <c r="E55" s="191"/>
      <c r="F55" s="183"/>
    </row>
    <row r="56" spans="1:11">
      <c r="E56" s="191"/>
    </row>
    <row r="57" spans="1:11">
      <c r="A57" s="192" t="s">
        <v>97</v>
      </c>
      <c r="B57" s="193"/>
      <c r="C57" s="194"/>
      <c r="D57" s="194"/>
      <c r="E57" s="194"/>
      <c r="F57" s="195"/>
      <c r="G57" s="194"/>
      <c r="H57" s="196"/>
      <c r="I57" s="197" t="s">
        <v>98</v>
      </c>
      <c r="J57" s="198">
        <f>D34</f>
        <v>0</v>
      </c>
      <c r="K57" s="199">
        <f>J57/(J40+J57/1000)/1000</f>
        <v>0</v>
      </c>
    </row>
    <row r="58" spans="1:11">
      <c r="A58" s="174"/>
      <c r="I58" s="197" t="s">
        <v>99</v>
      </c>
      <c r="J58" s="198">
        <f>+E34</f>
        <v>0</v>
      </c>
      <c r="K58" s="199">
        <f>J58/(J40+J58/1000)/1000</f>
        <v>0</v>
      </c>
    </row>
    <row r="59" spans="1:11">
      <c r="A59" s="200"/>
      <c r="B59" s="201"/>
      <c r="F59" s="183"/>
      <c r="H59" s="202"/>
    </row>
    <row r="60" spans="1:11">
      <c r="A60" s="203"/>
      <c r="B60" s="174"/>
      <c r="C60" s="174"/>
      <c r="D60" s="174"/>
      <c r="E60" s="174"/>
      <c r="F60" s="187"/>
      <c r="G60" s="174"/>
      <c r="H60" s="202"/>
    </row>
    <row r="61" spans="1:11">
      <c r="H61" s="202"/>
    </row>
    <row r="62" spans="1:11">
      <c r="A62" s="204"/>
      <c r="B62" s="205"/>
      <c r="C62" s="205"/>
      <c r="D62" s="205"/>
      <c r="E62" s="205"/>
      <c r="F62" s="206"/>
      <c r="G62" s="205"/>
      <c r="H62" s="207"/>
    </row>
  </sheetData>
  <mergeCells count="25">
    <mergeCell ref="A41:B41"/>
    <mergeCell ref="A38:B38"/>
    <mergeCell ref="A39:B39"/>
    <mergeCell ref="A7:A14"/>
    <mergeCell ref="I7:I13"/>
    <mergeCell ref="A15:A23"/>
    <mergeCell ref="I15:I22"/>
    <mergeCell ref="A34:B34"/>
    <mergeCell ref="A37:B37"/>
    <mergeCell ref="A24:A32"/>
    <mergeCell ref="I24:I31"/>
    <mergeCell ref="A40:B40"/>
    <mergeCell ref="A53:B53"/>
    <mergeCell ref="A54:B54"/>
    <mergeCell ref="A42:B42"/>
    <mergeCell ref="A43:B43"/>
    <mergeCell ref="A44:B44"/>
    <mergeCell ref="A45:B45"/>
    <mergeCell ref="A46:B46"/>
    <mergeCell ref="A47:B47"/>
    <mergeCell ref="A50:B50"/>
    <mergeCell ref="A51:B51"/>
    <mergeCell ref="A48:B48"/>
    <mergeCell ref="A49:B49"/>
    <mergeCell ref="A52:B52"/>
  </mergeCells>
  <phoneticPr fontId="31" type="noConversion"/>
  <printOptions horizontalCentered="1"/>
  <pageMargins left="0.15625" right="0.15625" top="0.17" bottom="0.16" header="0" footer="0"/>
  <pageSetup paperSize="9" scale="52"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43</vt:i4>
      </vt:variant>
      <vt:variant>
        <vt:lpstr>Named Ranges</vt:lpstr>
      </vt:variant>
      <vt:variant>
        <vt:i4>36</vt:i4>
      </vt:variant>
    </vt:vector>
  </HeadingPairs>
  <TitlesOfParts>
    <vt:vector size="79" baseType="lpstr">
      <vt:lpstr>eff all value</vt:lpstr>
      <vt:lpstr>Report1</vt:lpstr>
      <vt:lpstr>GRAFIK</vt:lpstr>
      <vt:lpstr>Listrik</vt:lpstr>
      <vt:lpstr>Trim Rwd</vt:lpstr>
      <vt:lpstr>Efficiency1</vt:lpstr>
      <vt:lpstr>Efficiency2</vt:lpstr>
      <vt:lpstr>Chem</vt:lpstr>
      <vt:lpstr>BB</vt:lpstr>
      <vt:lpstr>RBP</vt:lpstr>
      <vt:lpstr>Sheet1</vt:lpstr>
      <vt:lpstr>summary</vt:lpstr>
      <vt:lpstr>31</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user</cp:lastModifiedBy>
  <cp:revision/>
  <cp:lastPrinted>2017-01-12T07:55:14Z</cp:lastPrinted>
  <dcterms:created xsi:type="dcterms:W3CDTF">2007-07-30T03:52:39Z</dcterms:created>
  <dcterms:modified xsi:type="dcterms:W3CDTF">2026-04-16T09:00:46Z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