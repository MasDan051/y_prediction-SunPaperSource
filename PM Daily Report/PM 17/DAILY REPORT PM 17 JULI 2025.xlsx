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PRODUKSI-PM\Documents Network Produksi - PM\2025\7. JULI\"/>
    </mc:Choice>
  </mc:AlternateContent>
  <bookViews>
    <workbookView xWindow="-120" yWindow="-120" windowWidth="20730" windowHeight="11160" tabRatio="941"/>
  </bookViews>
  <sheets>
    <sheet name="Report1" sheetId="48" r:id="rId1"/>
    <sheet name="GRAFIK" sheetId="50" r:id="rId2"/>
    <sheet name="Listrik" sheetId="45" r:id="rId3"/>
    <sheet name="Trim Rwd" sheetId="47" r:id="rId4"/>
    <sheet name="Efficiency1" sheetId="46" r:id="rId5"/>
    <sheet name="Efficiency2" sheetId="55" r:id="rId6"/>
    <sheet name="Chem" sheetId="1" r:id="rId7"/>
    <sheet name="BB" sheetId="2" r:id="rId8"/>
    <sheet name="RBP" sheetId="51" r:id="rId9"/>
    <sheet name="Sheet1" sheetId="53" r:id="rId10"/>
    <sheet name="summary" sheetId="54"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 r:id="rId44"/>
    <externalReference r:id="rId45"/>
  </externalReferences>
  <definedNames>
    <definedName name="_xlnm._FilterDatabase" localSheetId="4" hidden="1">Efficiency1!$A$3:$BF$10</definedName>
    <definedName name="_xlnm.Print_Area" localSheetId="41">'1'!$A$1:$M$62</definedName>
    <definedName name="_xlnm.Print_Area" localSheetId="32">'10'!$A$1:$M$61</definedName>
    <definedName name="_xlnm.Print_Area" localSheetId="31">'11'!$A$1:$M$61</definedName>
    <definedName name="_xlnm.Print_Area" localSheetId="30">'12'!$A$1:$M$61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'2'!$A$1:$M$61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'31'!$A$1:$M$63</definedName>
    <definedName name="_xlnm.Print_Area" localSheetId="38">'4'!$A$1:$M$61</definedName>
    <definedName name="_xlnm.Print_Area" localSheetId="37">'5'!$A$1:$M$61</definedName>
    <definedName name="_xlnm.Print_Area" localSheetId="36">'6'!$A$1:$M$61</definedName>
    <definedName name="_xlnm.Print_Area" localSheetId="35">'7'!$A$1:$M$61</definedName>
    <definedName name="_xlnm.Print_Area" localSheetId="34">'8'!$A$1:$M$61</definedName>
    <definedName name="_xlnm.Print_Area" localSheetId="33">'9'!$A$1:$M$62</definedName>
    <definedName name="_xlnm.Print_Area" localSheetId="6">Chem!$CE$7:$CQ$16</definedName>
    <definedName name="_xlnm.Print_Area" localSheetId="4">Efficiency1!$A$1:$AD$162</definedName>
    <definedName name="_xlnm.Print_Area" localSheetId="5">Efficiency2!$A$1:$AD$162</definedName>
    <definedName name="_xlnm.Print_Area" localSheetId="2">Listrik!$A$2:$AU$40</definedName>
    <definedName name="_xlnm.Print_Area" localSheetId="0">Report1!$A$3:$AK$41</definedName>
  </definedNames>
  <calcPr calcId="152511" iterateDelta="1E-4"/>
</workbook>
</file>

<file path=xl/calcChain.xml><?xml version="1.0" encoding="utf-8"?>
<calcChain xmlns="http://schemas.openxmlformats.org/spreadsheetml/2006/main">
  <c r="AR84" i="55" l="1"/>
  <c r="BA84" i="55" s="1"/>
  <c r="AM84" i="55"/>
  <c r="AD84" i="55" l="1"/>
  <c r="N144" i="55"/>
  <c r="J144" i="55"/>
  <c r="N143" i="55"/>
  <c r="J143" i="55"/>
  <c r="N139" i="55"/>
  <c r="J139" i="55"/>
  <c r="N135" i="55"/>
  <c r="J135" i="55"/>
  <c r="N132" i="55"/>
  <c r="J132" i="55"/>
  <c r="N131" i="55"/>
  <c r="J131" i="55"/>
  <c r="N127" i="55"/>
  <c r="J127" i="55"/>
  <c r="N123" i="55"/>
  <c r="J123" i="55"/>
  <c r="N122" i="55"/>
  <c r="J122" i="55"/>
  <c r="N119" i="55"/>
  <c r="J119" i="55"/>
  <c r="N118" i="55"/>
  <c r="J118" i="55"/>
  <c r="N117" i="55"/>
  <c r="J117" i="55"/>
  <c r="N113" i="55"/>
  <c r="J113" i="55"/>
  <c r="N112" i="55"/>
  <c r="H112" i="55" s="1"/>
  <c r="N111" i="55"/>
  <c r="H111" i="55" s="1"/>
  <c r="J111" i="55" s="1"/>
  <c r="N108" i="55"/>
  <c r="H108" i="55" s="1"/>
  <c r="N107" i="55"/>
  <c r="H107" i="55" s="1"/>
  <c r="N106" i="55"/>
  <c r="H106" i="55" s="1"/>
  <c r="N103" i="55"/>
  <c r="H103" i="55" s="1"/>
  <c r="J103" i="55" s="1"/>
  <c r="N102" i="55"/>
  <c r="H102" i="55" s="1"/>
  <c r="N98" i="55"/>
  <c r="H98" i="55" s="1"/>
  <c r="N94" i="55"/>
  <c r="H94" i="55" s="1"/>
  <c r="N90" i="55"/>
  <c r="H90" i="55" s="1"/>
  <c r="J90" i="55" s="1"/>
  <c r="N87" i="55"/>
  <c r="H87" i="55" s="1"/>
  <c r="N86" i="55"/>
  <c r="H86" i="55" s="1"/>
  <c r="N81" i="55"/>
  <c r="H81" i="55" s="1"/>
  <c r="N78" i="55"/>
  <c r="H78" i="55" s="1"/>
  <c r="J78" i="55" s="1"/>
  <c r="N77" i="55"/>
  <c r="H77" i="55" s="1"/>
  <c r="N74" i="55"/>
  <c r="H74" i="55"/>
  <c r="N73" i="55"/>
  <c r="H73" i="55" s="1"/>
  <c r="N70" i="55"/>
  <c r="H70" i="55" s="1"/>
  <c r="J70" i="55" s="1"/>
  <c r="N69" i="55"/>
  <c r="H69" i="55" s="1"/>
  <c r="N64" i="55"/>
  <c r="H64" i="55" s="1"/>
  <c r="N60" i="55"/>
  <c r="H60" i="55" s="1"/>
  <c r="N56" i="55"/>
  <c r="H56" i="55" s="1"/>
  <c r="J56" i="55" s="1"/>
  <c r="N52" i="55"/>
  <c r="H52" i="55" s="1"/>
  <c r="N49" i="55"/>
  <c r="H49" i="55" s="1"/>
  <c r="N48" i="55"/>
  <c r="H48" i="55" s="1"/>
  <c r="N45" i="55"/>
  <c r="H45" i="55" s="1"/>
  <c r="J45" i="55" s="1"/>
  <c r="N44" i="55"/>
  <c r="J44" i="55"/>
  <c r="N43" i="55"/>
  <c r="H43" i="55" s="1"/>
  <c r="N39" i="55"/>
  <c r="H39" i="55" s="1"/>
  <c r="N36" i="55"/>
  <c r="H36" i="55" s="1"/>
  <c r="N35" i="55"/>
  <c r="J35" i="55"/>
  <c r="N32" i="55"/>
  <c r="J32" i="55"/>
  <c r="N31" i="55"/>
  <c r="J31" i="55"/>
  <c r="N30" i="55"/>
  <c r="J30" i="55"/>
  <c r="N25" i="55"/>
  <c r="J25" i="55"/>
  <c r="N19" i="55"/>
  <c r="J19" i="55"/>
  <c r="N12" i="55"/>
  <c r="J12" i="55"/>
  <c r="N7" i="55"/>
  <c r="J7" i="55"/>
  <c r="N6" i="55"/>
  <c r="J6" i="55"/>
  <c r="A6" i="55"/>
  <c r="P15" i="10"/>
  <c r="P7" i="10"/>
  <c r="AR145" i="55"/>
  <c r="BA145" i="55" s="1"/>
  <c r="AM145" i="55"/>
  <c r="AR144" i="55"/>
  <c r="BA144" i="55" s="1"/>
  <c r="AM144" i="55"/>
  <c r="W144" i="55"/>
  <c r="Q144" i="55"/>
  <c r="AR143" i="55"/>
  <c r="BA143" i="55" s="1"/>
  <c r="AM143" i="55"/>
  <c r="Z143" i="55"/>
  <c r="P26" i="43"/>
  <c r="N144" i="46"/>
  <c r="AD145" i="55" l="1"/>
  <c r="AD143" i="55"/>
  <c r="AD144" i="55"/>
  <c r="J69" i="55"/>
  <c r="J94" i="55"/>
  <c r="J73" i="55"/>
  <c r="J102" i="55"/>
  <c r="J60" i="55"/>
  <c r="J112" i="55"/>
  <c r="J87" i="55"/>
  <c r="J36" i="55"/>
  <c r="J52" i="55"/>
  <c r="J81" i="55"/>
  <c r="J108" i="55"/>
  <c r="J39" i="55"/>
  <c r="J48" i="55"/>
  <c r="J77" i="55"/>
  <c r="J106" i="55"/>
  <c r="J49" i="55"/>
  <c r="J64" i="55"/>
  <c r="J74" i="55"/>
  <c r="J86" i="55"/>
  <c r="J98" i="55"/>
  <c r="J107" i="55"/>
  <c r="J43" i="55"/>
  <c r="Z135" i="55"/>
  <c r="Y135" i="55"/>
  <c r="Y131" i="55"/>
  <c r="Z127" i="55"/>
  <c r="Y127" i="55"/>
  <c r="Z122" i="55"/>
  <c r="Z117" i="55"/>
  <c r="Y117" i="55"/>
  <c r="Y111" i="55"/>
  <c r="Z106" i="55"/>
  <c r="Y106" i="55"/>
  <c r="Z103" i="55"/>
  <c r="Z102" i="55"/>
  <c r="Y102" i="55"/>
  <c r="Z98" i="55"/>
  <c r="Y98" i="55"/>
  <c r="Z94" i="55"/>
  <c r="Y94" i="55"/>
  <c r="Z90" i="55"/>
  <c r="Y90" i="55"/>
  <c r="Z78" i="55"/>
  <c r="Z69" i="55"/>
  <c r="Z48" i="55"/>
  <c r="Z43" i="55"/>
  <c r="Z39" i="55"/>
  <c r="Z35" i="55"/>
  <c r="Z30" i="55"/>
  <c r="AF4" i="51"/>
  <c r="Z135" i="46" l="1"/>
  <c r="Z143" i="46"/>
  <c r="E97" i="47"/>
  <c r="H97" i="47" s="1"/>
  <c r="O144" i="55" s="1"/>
  <c r="E96" i="47"/>
  <c r="G96" i="47" s="1"/>
  <c r="H96" i="47" s="1"/>
  <c r="O143" i="55" s="1"/>
  <c r="U143" i="55" l="1"/>
  <c r="P143" i="55"/>
  <c r="C143" i="55"/>
  <c r="T143" i="55"/>
  <c r="V143" i="55"/>
  <c r="K143" i="55"/>
  <c r="AC143" i="55" s="1"/>
  <c r="C144" i="55"/>
  <c r="P144" i="55"/>
  <c r="V144" i="55"/>
  <c r="U144" i="55"/>
  <c r="T144" i="55"/>
  <c r="K144" i="55"/>
  <c r="O144" i="46"/>
  <c r="G97" i="47"/>
  <c r="O143" i="46"/>
  <c r="BE39" i="48" l="1"/>
  <c r="AG4" i="51"/>
  <c r="AG3" i="51"/>
  <c r="Y143" i="55" s="1"/>
  <c r="Y143" i="46" l="1"/>
  <c r="Q144" i="46"/>
  <c r="J144" i="46"/>
  <c r="V144" i="46"/>
  <c r="C144" i="46"/>
  <c r="W144" i="46"/>
  <c r="AR145" i="46"/>
  <c r="BA145" i="46" s="1"/>
  <c r="AM145" i="46"/>
  <c r="AR144" i="46"/>
  <c r="BA144" i="46" s="1"/>
  <c r="AM144" i="46"/>
  <c r="AR143" i="46"/>
  <c r="BA143" i="46" s="1"/>
  <c r="AM143" i="46"/>
  <c r="P143" i="46"/>
  <c r="N143" i="46"/>
  <c r="K143" i="46" s="1"/>
  <c r="J143" i="46"/>
  <c r="T39" i="48"/>
  <c r="I38" i="43"/>
  <c r="I96" i="47" s="1"/>
  <c r="Q37" i="43"/>
  <c r="Q25" i="43"/>
  <c r="Q26" i="43" s="1"/>
  <c r="R26" i="43" s="1"/>
  <c r="R29" i="43"/>
  <c r="P29" i="43"/>
  <c r="S29" i="43" s="1"/>
  <c r="R28" i="43"/>
  <c r="P28" i="43"/>
  <c r="S28" i="43" s="1"/>
  <c r="R27" i="43"/>
  <c r="P27" i="43"/>
  <c r="S27" i="43" s="1"/>
  <c r="P25" i="43"/>
  <c r="Q21" i="43"/>
  <c r="Q22" i="43" s="1"/>
  <c r="R19" i="43"/>
  <c r="P19" i="43"/>
  <c r="S19" i="43" s="1"/>
  <c r="R18" i="43"/>
  <c r="P18" i="43"/>
  <c r="S18" i="43" s="1"/>
  <c r="R17" i="43"/>
  <c r="P17" i="43"/>
  <c r="S17" i="43" s="1"/>
  <c r="R16" i="43"/>
  <c r="P16" i="43"/>
  <c r="S16" i="43" s="1"/>
  <c r="R15" i="43"/>
  <c r="P15" i="43"/>
  <c r="S15" i="43" s="1"/>
  <c r="Q12" i="43"/>
  <c r="Q13" i="43" s="1"/>
  <c r="R10" i="43"/>
  <c r="P10" i="43"/>
  <c r="S10" i="43" s="1"/>
  <c r="R9" i="43"/>
  <c r="P9" i="43"/>
  <c r="S9" i="43" s="1"/>
  <c r="R8" i="43"/>
  <c r="P8" i="43"/>
  <c r="S8" i="43" s="1"/>
  <c r="R7" i="43"/>
  <c r="P7" i="43"/>
  <c r="S7" i="43" s="1"/>
  <c r="R6" i="43"/>
  <c r="P6" i="43"/>
  <c r="S6" i="43" s="1"/>
  <c r="AD144" i="46" l="1"/>
  <c r="R21" i="43"/>
  <c r="R22" i="43" s="1"/>
  <c r="R25" i="43"/>
  <c r="R31" i="43" s="1"/>
  <c r="Q31" i="43"/>
  <c r="Q32" i="43" s="1"/>
  <c r="S26" i="43"/>
  <c r="AD143" i="46"/>
  <c r="S25" i="43"/>
  <c r="S31" i="43" s="1"/>
  <c r="S32" i="43" s="1"/>
  <c r="AD145" i="46"/>
  <c r="U144" i="46"/>
  <c r="K144" i="46"/>
  <c r="T144" i="46"/>
  <c r="P144" i="46"/>
  <c r="T143" i="46"/>
  <c r="AC143" i="46" s="1"/>
  <c r="U143" i="46"/>
  <c r="C143" i="46"/>
  <c r="N39" i="48" s="1"/>
  <c r="V143" i="46"/>
  <c r="S21" i="43"/>
  <c r="S22" i="43" s="1"/>
  <c r="R12" i="43"/>
  <c r="R13" i="43" s="1"/>
  <c r="S12" i="43"/>
  <c r="S13" i="43" s="1"/>
  <c r="J4" i="43"/>
  <c r="R32" i="43" l="1"/>
  <c r="L39" i="48"/>
  <c r="AD4" i="51"/>
  <c r="AD3" i="51"/>
  <c r="AC4" i="51"/>
  <c r="AC3" i="51"/>
  <c r="AB4" i="51" l="1"/>
  <c r="AA4" i="51"/>
  <c r="AE4" i="51" l="1"/>
  <c r="AE3" i="51"/>
  <c r="AR141" i="55" l="1"/>
  <c r="BA141" i="55" s="1"/>
  <c r="AM141" i="55"/>
  <c r="AR140" i="55"/>
  <c r="BA140" i="55" s="1"/>
  <c r="AM140" i="55"/>
  <c r="AR139" i="55"/>
  <c r="BA139" i="55" s="1"/>
  <c r="AM139" i="55"/>
  <c r="AD139" i="55" l="1"/>
  <c r="AD141" i="55"/>
  <c r="AD140" i="55"/>
  <c r="F94" i="47"/>
  <c r="F93" i="47"/>
  <c r="E94" i="47"/>
  <c r="E93" i="47"/>
  <c r="G94" i="47" l="1"/>
  <c r="G93" i="47"/>
  <c r="H93" i="47"/>
  <c r="O139" i="55" s="1"/>
  <c r="T38" i="48"/>
  <c r="AR141" i="46"/>
  <c r="BA141" i="46" s="1"/>
  <c r="AM141" i="46"/>
  <c r="AD141" i="46" s="1"/>
  <c r="AR140" i="46"/>
  <c r="BA140" i="46" s="1"/>
  <c r="AM140" i="46"/>
  <c r="AR139" i="46"/>
  <c r="BA139" i="46" s="1"/>
  <c r="AM139" i="46"/>
  <c r="N139" i="46"/>
  <c r="J139" i="46"/>
  <c r="I38" i="4"/>
  <c r="I93" i="47" s="1"/>
  <c r="Q12" i="4"/>
  <c r="Q13" i="4" s="1"/>
  <c r="R10" i="4"/>
  <c r="P10" i="4"/>
  <c r="S10" i="4" s="1"/>
  <c r="R9" i="4"/>
  <c r="P9" i="4"/>
  <c r="S9" i="4" s="1"/>
  <c r="R8" i="4"/>
  <c r="P8" i="4"/>
  <c r="S8" i="4" s="1"/>
  <c r="R7" i="4"/>
  <c r="P7" i="4"/>
  <c r="S7" i="4" s="1"/>
  <c r="R6" i="4"/>
  <c r="P6" i="4"/>
  <c r="S6" i="4" s="1"/>
  <c r="J4" i="4"/>
  <c r="C139" i="55" l="1"/>
  <c r="K139" i="55"/>
  <c r="O139" i="46"/>
  <c r="V139" i="46" s="1"/>
  <c r="AD140" i="46"/>
  <c r="AD139" i="46"/>
  <c r="R12" i="4"/>
  <c r="R13" i="4" s="1"/>
  <c r="S12" i="4"/>
  <c r="S13" i="4" s="1"/>
  <c r="J6" i="51"/>
  <c r="K7" i="51"/>
  <c r="L7" i="51"/>
  <c r="M7" i="51"/>
  <c r="M6" i="51"/>
  <c r="Z11" i="51"/>
  <c r="P11" i="51"/>
  <c r="P139" i="46" l="1"/>
  <c r="T139" i="46"/>
  <c r="C139" i="46"/>
  <c r="N38" i="48" s="1"/>
  <c r="K139" i="46"/>
  <c r="L38" i="48" s="1"/>
  <c r="U139" i="46"/>
  <c r="BE38" i="48"/>
  <c r="P139" i="55"/>
  <c r="T139" i="55"/>
  <c r="V139" i="55"/>
  <c r="U139" i="55"/>
  <c r="AR137" i="55"/>
  <c r="BA137" i="55" s="1"/>
  <c r="AM137" i="55"/>
  <c r="AR136" i="55"/>
  <c r="BA136" i="55" s="1"/>
  <c r="AM136" i="55"/>
  <c r="AR135" i="55"/>
  <c r="BA135" i="55" s="1"/>
  <c r="AM135" i="55"/>
  <c r="F90" i="47"/>
  <c r="F91" i="47" s="1"/>
  <c r="E91" i="47"/>
  <c r="E90" i="47"/>
  <c r="G90" i="47" s="1"/>
  <c r="AD136" i="55" l="1"/>
  <c r="AC139" i="55"/>
  <c r="AD137" i="55"/>
  <c r="AD135" i="55"/>
  <c r="AC139" i="46"/>
  <c r="G91" i="47"/>
  <c r="H90" i="47"/>
  <c r="O135" i="55" s="1"/>
  <c r="K135" i="55" l="1"/>
  <c r="C135" i="55"/>
  <c r="O135" i="46"/>
  <c r="BE37" i="48" l="1"/>
  <c r="U135" i="55"/>
  <c r="V135" i="55"/>
  <c r="T135" i="55"/>
  <c r="AC135" i="55" s="1"/>
  <c r="P135" i="55"/>
  <c r="T37" i="48"/>
  <c r="AR137" i="46"/>
  <c r="BA137" i="46" s="1"/>
  <c r="AM137" i="46"/>
  <c r="AR136" i="46"/>
  <c r="BA136" i="46" s="1"/>
  <c r="AM136" i="46"/>
  <c r="AR135" i="46"/>
  <c r="BA135" i="46" s="1"/>
  <c r="AM135" i="46"/>
  <c r="Y135" i="46"/>
  <c r="N135" i="46"/>
  <c r="K135" i="46" s="1"/>
  <c r="L37" i="48" s="1"/>
  <c r="J135" i="46"/>
  <c r="I38" i="37"/>
  <c r="I90" i="47" s="1"/>
  <c r="Q30" i="37"/>
  <c r="Q31" i="37" s="1"/>
  <c r="R28" i="37"/>
  <c r="P28" i="37"/>
  <c r="S28" i="37" s="1"/>
  <c r="R27" i="37"/>
  <c r="P27" i="37"/>
  <c r="S27" i="37" s="1"/>
  <c r="R26" i="37"/>
  <c r="P26" i="37"/>
  <c r="S26" i="37" s="1"/>
  <c r="R25" i="37"/>
  <c r="P25" i="37"/>
  <c r="S25" i="37" s="1"/>
  <c r="R24" i="37"/>
  <c r="P24" i="37"/>
  <c r="S24" i="37" s="1"/>
  <c r="Q20" i="37"/>
  <c r="Q21" i="37" s="1"/>
  <c r="R18" i="37"/>
  <c r="P18" i="37"/>
  <c r="S18" i="37" s="1"/>
  <c r="R17" i="37"/>
  <c r="P17" i="37"/>
  <c r="S17" i="37" s="1"/>
  <c r="R16" i="37"/>
  <c r="P16" i="37"/>
  <c r="S16" i="37" s="1"/>
  <c r="R15" i="37"/>
  <c r="P15" i="37"/>
  <c r="S15" i="37" s="1"/>
  <c r="R14" i="37"/>
  <c r="P14" i="37"/>
  <c r="S14" i="37" s="1"/>
  <c r="R10" i="37"/>
  <c r="P10" i="37"/>
  <c r="S10" i="37" s="1"/>
  <c r="R9" i="37"/>
  <c r="P9" i="37"/>
  <c r="S9" i="37" s="1"/>
  <c r="R8" i="37"/>
  <c r="P8" i="37"/>
  <c r="S8" i="37" s="1"/>
  <c r="R7" i="37"/>
  <c r="P7" i="37"/>
  <c r="S7" i="37" s="1"/>
  <c r="R6" i="37"/>
  <c r="P6" i="37"/>
  <c r="S6" i="37" s="1"/>
  <c r="J4" i="37"/>
  <c r="R20" i="37" l="1"/>
  <c r="R21" i="37" s="1"/>
  <c r="AD135" i="46"/>
  <c r="R30" i="37"/>
  <c r="R31" i="37" s="1"/>
  <c r="AD137" i="46"/>
  <c r="AD136" i="46"/>
  <c r="P135" i="46"/>
  <c r="T135" i="46"/>
  <c r="AC135" i="46" s="1"/>
  <c r="U135" i="46"/>
  <c r="C135" i="46"/>
  <c r="N37" i="48" s="1"/>
  <c r="V135" i="46"/>
  <c r="S30" i="37"/>
  <c r="S31" i="37" s="1"/>
  <c r="S20" i="37"/>
  <c r="S21" i="37" s="1"/>
  <c r="S12" i="37"/>
  <c r="R12" i="37"/>
  <c r="Q12" i="37"/>
  <c r="Q13" i="37" s="1"/>
  <c r="R13" i="37" l="1"/>
  <c r="S13" i="37"/>
  <c r="AR133" i="55" l="1"/>
  <c r="BA133" i="55" s="1"/>
  <c r="AM133" i="55"/>
  <c r="AD133" i="55" s="1"/>
  <c r="AR132" i="55"/>
  <c r="BA132" i="55" s="1"/>
  <c r="AM132" i="55"/>
  <c r="AR131" i="55"/>
  <c r="BA131" i="55" s="1"/>
  <c r="AM131" i="55"/>
  <c r="AD131" i="55" s="1"/>
  <c r="J131" i="46"/>
  <c r="C25" i="13"/>
  <c r="Z127" i="46"/>
  <c r="K17" i="6"/>
  <c r="W132" i="55" s="1"/>
  <c r="C7" i="6"/>
  <c r="K18" i="6" s="1"/>
  <c r="W131" i="55" s="1"/>
  <c r="F88" i="47"/>
  <c r="E86" i="47"/>
  <c r="G86" i="47" s="1"/>
  <c r="H86" i="47" s="1"/>
  <c r="O132" i="55" s="1"/>
  <c r="E87" i="47"/>
  <c r="G87" i="47"/>
  <c r="E88" i="47"/>
  <c r="C132" i="55" l="1"/>
  <c r="K132" i="55"/>
  <c r="H87" i="47"/>
  <c r="O131" i="55" s="1"/>
  <c r="O132" i="46"/>
  <c r="W131" i="46"/>
  <c r="AD132" i="55"/>
  <c r="G88" i="47"/>
  <c r="W132" i="46"/>
  <c r="P132" i="55"/>
  <c r="T132" i="55"/>
  <c r="U132" i="55"/>
  <c r="O131" i="46" l="1"/>
  <c r="C131" i="46" s="1"/>
  <c r="C131" i="55"/>
  <c r="K131" i="55"/>
  <c r="X131" i="55" s="1"/>
  <c r="V131" i="55"/>
  <c r="V132" i="55"/>
  <c r="T131" i="55"/>
  <c r="U131" i="55"/>
  <c r="AA131" i="55" s="1"/>
  <c r="P131" i="55"/>
  <c r="T36" i="48"/>
  <c r="C132" i="46"/>
  <c r="N132" i="46"/>
  <c r="K132" i="46"/>
  <c r="J132" i="46"/>
  <c r="AR133" i="46"/>
  <c r="BA133" i="46" s="1"/>
  <c r="AM133" i="46"/>
  <c r="AR132" i="46"/>
  <c r="BA132" i="46" s="1"/>
  <c r="AM132" i="46"/>
  <c r="AR131" i="46"/>
  <c r="BA131" i="46" s="1"/>
  <c r="AM131" i="46"/>
  <c r="Y131" i="46"/>
  <c r="N131" i="46"/>
  <c r="K131" i="46" s="1"/>
  <c r="Q34" i="6"/>
  <c r="G42" i="6"/>
  <c r="I37" i="6" s="1"/>
  <c r="F42" i="6"/>
  <c r="AD131" i="46" l="1"/>
  <c r="X131" i="46"/>
  <c r="BE36" i="48"/>
  <c r="AC131" i="55"/>
  <c r="AB131" i="55" s="1"/>
  <c r="AD133" i="46"/>
  <c r="P132" i="46"/>
  <c r="T132" i="46"/>
  <c r="N36" i="48"/>
  <c r="L36" i="48"/>
  <c r="V132" i="46"/>
  <c r="U132" i="46"/>
  <c r="AD132" i="46"/>
  <c r="P131" i="46"/>
  <c r="T131" i="46"/>
  <c r="U131" i="46"/>
  <c r="V131" i="46"/>
  <c r="I38" i="6"/>
  <c r="I86" i="47" s="1"/>
  <c r="Q8" i="6"/>
  <c r="Q7" i="6"/>
  <c r="Q6" i="6"/>
  <c r="S6" i="6" s="1"/>
  <c r="Q22" i="6"/>
  <c r="Q23" i="6" s="1"/>
  <c r="R20" i="6"/>
  <c r="P20" i="6"/>
  <c r="S20" i="6" s="1"/>
  <c r="R19" i="6"/>
  <c r="P19" i="6"/>
  <c r="S19" i="6" s="1"/>
  <c r="R18" i="6"/>
  <c r="P18" i="6"/>
  <c r="S18" i="6" s="1"/>
  <c r="R17" i="6"/>
  <c r="P17" i="6"/>
  <c r="S17" i="6" s="1"/>
  <c r="R16" i="6"/>
  <c r="P16" i="6"/>
  <c r="S16" i="6" s="1"/>
  <c r="P8" i="6"/>
  <c r="P7" i="6"/>
  <c r="P6" i="6"/>
  <c r="R10" i="6"/>
  <c r="P10" i="6"/>
  <c r="S10" i="6" s="1"/>
  <c r="R9" i="6"/>
  <c r="P9" i="6"/>
  <c r="S9" i="6" s="1"/>
  <c r="R8" i="6"/>
  <c r="R7" i="6"/>
  <c r="J4" i="6"/>
  <c r="R22" i="6" l="1"/>
  <c r="R23" i="6" s="1"/>
  <c r="S7" i="6"/>
  <c r="AC131" i="46"/>
  <c r="AA131" i="46"/>
  <c r="AB131" i="46" s="1"/>
  <c r="S8" i="6"/>
  <c r="S12" i="6" s="1"/>
  <c r="Q12" i="6"/>
  <c r="Q13" i="6" s="1"/>
  <c r="R6" i="6"/>
  <c r="R12" i="6"/>
  <c r="S22" i="6"/>
  <c r="S23" i="6" s="1"/>
  <c r="KV11" i="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39" i="1"/>
  <c r="KV40" i="1"/>
  <c r="KV10" i="1"/>
  <c r="R13" i="6" l="1"/>
  <c r="S13" i="6"/>
  <c r="M41" i="54"/>
  <c r="D41" i="54"/>
  <c r="AR129" i="55"/>
  <c r="BA129" i="55" s="1"/>
  <c r="AM129" i="55"/>
  <c r="AD129" i="55" s="1"/>
  <c r="AR128" i="55"/>
  <c r="BA128" i="55" s="1"/>
  <c r="AM128" i="55"/>
  <c r="AR127" i="55"/>
  <c r="BA127" i="55" s="1"/>
  <c r="AM127" i="55"/>
  <c r="AR125" i="55"/>
  <c r="BA125" i="55" s="1"/>
  <c r="AM125" i="55"/>
  <c r="AD125" i="55" s="1"/>
  <c r="AR124" i="55"/>
  <c r="BA124" i="55" s="1"/>
  <c r="AM124" i="55"/>
  <c r="AR123" i="55"/>
  <c r="BA123" i="55" s="1"/>
  <c r="AM123" i="55"/>
  <c r="AR122" i="55"/>
  <c r="BA122" i="55" s="1"/>
  <c r="AM122" i="55"/>
  <c r="S122" i="55"/>
  <c r="Z122" i="46"/>
  <c r="S122" i="46"/>
  <c r="U42" i="8"/>
  <c r="R40" i="8"/>
  <c r="U40" i="8" s="1"/>
  <c r="AD123" i="55" l="1"/>
  <c r="AD128" i="55"/>
  <c r="AD127" i="55"/>
  <c r="AD124" i="55"/>
  <c r="AD122" i="55"/>
  <c r="FK35" i="2" l="1"/>
  <c r="FK36" i="2"/>
  <c r="FK37" i="2"/>
  <c r="FK39" i="2"/>
  <c r="FK34" i="2"/>
  <c r="K17" i="8" l="1"/>
  <c r="W122" i="55" s="1"/>
  <c r="C17" i="8"/>
  <c r="K18" i="8" s="1"/>
  <c r="W123" i="55" s="1"/>
  <c r="W122" i="46" l="1"/>
  <c r="W123" i="46"/>
  <c r="F84" i="47"/>
  <c r="E84" i="47"/>
  <c r="E83" i="47"/>
  <c r="G83" i="47" s="1"/>
  <c r="F81" i="47"/>
  <c r="F80" i="47"/>
  <c r="E81" i="47"/>
  <c r="E80" i="47"/>
  <c r="E79" i="47"/>
  <c r="G81" i="47" l="1"/>
  <c r="H83" i="47"/>
  <c r="O127" i="55" s="1"/>
  <c r="G84" i="47"/>
  <c r="G80" i="47"/>
  <c r="H80" i="47"/>
  <c r="O123" i="55" s="1"/>
  <c r="G79" i="47"/>
  <c r="H79" i="47" s="1"/>
  <c r="O122" i="55" s="1"/>
  <c r="C122" i="55" l="1"/>
  <c r="K122" i="55"/>
  <c r="C123" i="55"/>
  <c r="K123" i="55"/>
  <c r="C127" i="55"/>
  <c r="K127" i="55"/>
  <c r="X122" i="55"/>
  <c r="O122" i="46"/>
  <c r="T122" i="46" s="1"/>
  <c r="O123" i="46"/>
  <c r="C123" i="46" s="1"/>
  <c r="O127" i="46"/>
  <c r="C127" i="46" s="1"/>
  <c r="N35" i="48" s="1"/>
  <c r="N127" i="46"/>
  <c r="J127" i="46"/>
  <c r="AR129" i="46"/>
  <c r="BA129" i="46" s="1"/>
  <c r="AM129" i="46"/>
  <c r="AR128" i="46"/>
  <c r="BA128" i="46" s="1"/>
  <c r="AM128" i="46"/>
  <c r="AR127" i="46"/>
  <c r="BA127" i="46" s="1"/>
  <c r="AM127" i="46"/>
  <c r="Y127" i="46"/>
  <c r="AM125" i="46"/>
  <c r="AR125" i="46"/>
  <c r="BA125" i="46" s="1"/>
  <c r="J123" i="46"/>
  <c r="N123" i="46"/>
  <c r="N122" i="46"/>
  <c r="J122" i="46"/>
  <c r="AR124" i="46"/>
  <c r="BA124" i="46" s="1"/>
  <c r="AM124" i="46"/>
  <c r="AR123" i="46"/>
  <c r="BA123" i="46" s="1"/>
  <c r="AM123" i="46"/>
  <c r="AR122" i="46"/>
  <c r="BA122" i="46" s="1"/>
  <c r="AM122" i="46"/>
  <c r="I38" i="7"/>
  <c r="I83" i="47" s="1"/>
  <c r="Q12" i="7"/>
  <c r="Q13" i="7" s="1"/>
  <c r="R10" i="7"/>
  <c r="P10" i="7"/>
  <c r="S10" i="7" s="1"/>
  <c r="R9" i="7"/>
  <c r="P9" i="7"/>
  <c r="S9" i="7" s="1"/>
  <c r="R8" i="7"/>
  <c r="P8" i="7"/>
  <c r="S8" i="7" s="1"/>
  <c r="R7" i="7"/>
  <c r="P7" i="7"/>
  <c r="S7" i="7" s="1"/>
  <c r="R6" i="7"/>
  <c r="P6" i="7"/>
  <c r="S6" i="7" s="1"/>
  <c r="J4" i="7"/>
  <c r="I38" i="8"/>
  <c r="I79" i="47" s="1"/>
  <c r="Q35" i="8"/>
  <c r="G42" i="8"/>
  <c r="I37" i="8" s="1"/>
  <c r="F42" i="8"/>
  <c r="R28" i="8"/>
  <c r="P28" i="8"/>
  <c r="S28" i="8" s="1"/>
  <c r="R27" i="8"/>
  <c r="P27" i="8"/>
  <c r="S27" i="8" s="1"/>
  <c r="R26" i="8"/>
  <c r="P26" i="8"/>
  <c r="S26" i="8" s="1"/>
  <c r="Q25" i="8"/>
  <c r="Q30" i="8" s="1"/>
  <c r="Q31" i="8" s="1"/>
  <c r="P25" i="8"/>
  <c r="R24" i="8"/>
  <c r="P24" i="8"/>
  <c r="S24" i="8" s="1"/>
  <c r="P16" i="8"/>
  <c r="P15" i="8"/>
  <c r="R19" i="8"/>
  <c r="P19" i="8"/>
  <c r="S19" i="8" s="1"/>
  <c r="R18" i="8"/>
  <c r="P18" i="8"/>
  <c r="S18" i="8" s="1"/>
  <c r="R17" i="8"/>
  <c r="P17" i="8"/>
  <c r="S17" i="8" s="1"/>
  <c r="Q16" i="8"/>
  <c r="R15" i="8"/>
  <c r="S15" i="8"/>
  <c r="Q6" i="8"/>
  <c r="Q7" i="8" s="1"/>
  <c r="R7" i="8" s="1"/>
  <c r="R10" i="8"/>
  <c r="P10" i="8"/>
  <c r="S10" i="8" s="1"/>
  <c r="R9" i="8"/>
  <c r="P9" i="8"/>
  <c r="S9" i="8" s="1"/>
  <c r="R8" i="8"/>
  <c r="P8" i="8"/>
  <c r="S8" i="8" s="1"/>
  <c r="P7" i="8"/>
  <c r="P6" i="8"/>
  <c r="J4" i="8"/>
  <c r="AD123" i="46" l="1"/>
  <c r="R6" i="8"/>
  <c r="S6" i="8"/>
  <c r="S25" i="8"/>
  <c r="S30" i="8" s="1"/>
  <c r="S31" i="8" s="1"/>
  <c r="AD129" i="46"/>
  <c r="S7" i="8"/>
  <c r="R25" i="8"/>
  <c r="R30" i="8" s="1"/>
  <c r="R31" i="8" s="1"/>
  <c r="AD122" i="46"/>
  <c r="U127" i="55"/>
  <c r="V127" i="55"/>
  <c r="T127" i="55"/>
  <c r="BE35" i="48"/>
  <c r="P127" i="55"/>
  <c r="U123" i="55"/>
  <c r="T123" i="55"/>
  <c r="V123" i="55"/>
  <c r="P123" i="55"/>
  <c r="U122" i="55"/>
  <c r="T122" i="55"/>
  <c r="P122" i="55"/>
  <c r="V122" i="55"/>
  <c r="AD125" i="46"/>
  <c r="AD127" i="46"/>
  <c r="AD128" i="46"/>
  <c r="V127" i="46"/>
  <c r="C122" i="46"/>
  <c r="N34" i="48" s="1"/>
  <c r="U123" i="46"/>
  <c r="U122" i="46"/>
  <c r="T123" i="46"/>
  <c r="V122" i="46"/>
  <c r="K123" i="46"/>
  <c r="K127" i="46"/>
  <c r="T127" i="46"/>
  <c r="U127" i="46"/>
  <c r="P127" i="46"/>
  <c r="P123" i="46"/>
  <c r="V123" i="46"/>
  <c r="K122" i="46"/>
  <c r="P122" i="46"/>
  <c r="AD124" i="46"/>
  <c r="R12" i="7"/>
  <c r="R13" i="7" s="1"/>
  <c r="S12" i="7"/>
  <c r="S13" i="7" s="1"/>
  <c r="S16" i="8"/>
  <c r="S21" i="8" s="1"/>
  <c r="R16" i="8"/>
  <c r="R21" i="8" s="1"/>
  <c r="Q21" i="8"/>
  <c r="Q22" i="8" s="1"/>
  <c r="Q12" i="8"/>
  <c r="Q13" i="8" s="1"/>
  <c r="R12" i="8"/>
  <c r="S12" i="8"/>
  <c r="M40" i="54"/>
  <c r="M39" i="54"/>
  <c r="M36" i="54"/>
  <c r="M35" i="54"/>
  <c r="D35" i="54"/>
  <c r="D36" i="54"/>
  <c r="D40" i="54"/>
  <c r="D39" i="54"/>
  <c r="R13" i="8" l="1"/>
  <c r="S13" i="8"/>
  <c r="AA122" i="46"/>
  <c r="AC127" i="55"/>
  <c r="R22" i="8"/>
  <c r="BE34" i="48"/>
  <c r="AC122" i="55"/>
  <c r="AA122" i="55"/>
  <c r="L35" i="48"/>
  <c r="AC122" i="46"/>
  <c r="L34" i="48"/>
  <c r="AC127" i="46"/>
  <c r="X122" i="46"/>
  <c r="S22" i="8"/>
  <c r="AR120" i="55"/>
  <c r="BA120" i="55" s="1"/>
  <c r="AM120" i="55"/>
  <c r="AR119" i="55"/>
  <c r="BA119" i="55" s="1"/>
  <c r="AM119" i="55"/>
  <c r="AR118" i="55"/>
  <c r="BA118" i="55" s="1"/>
  <c r="AM118" i="55"/>
  <c r="AD118" i="55" s="1"/>
  <c r="S118" i="55"/>
  <c r="AR117" i="55"/>
  <c r="BA117" i="55" s="1"/>
  <c r="AM117" i="55"/>
  <c r="AD117" i="55" s="1"/>
  <c r="AB122" i="55" l="1"/>
  <c r="AD119" i="55"/>
  <c r="AD120" i="55"/>
  <c r="AB122" i="46"/>
  <c r="FG42" i="2" l="1"/>
  <c r="FI10" i="2"/>
  <c r="FI11" i="2" s="1"/>
  <c r="FC42" i="2"/>
  <c r="FE10" i="2"/>
  <c r="FE11" i="2" s="1"/>
  <c r="FE12" i="2" s="1"/>
  <c r="EY42" i="2"/>
  <c r="FA10" i="2"/>
  <c r="FA11" i="2" s="1"/>
  <c r="FI12" i="2" l="1"/>
  <c r="FE13" i="2"/>
  <c r="FA12" i="2"/>
  <c r="FI13" i="2" l="1"/>
  <c r="FE14" i="2"/>
  <c r="FA13" i="2"/>
  <c r="FI14" i="2" l="1"/>
  <c r="FE15" i="2"/>
  <c r="FA14" i="2"/>
  <c r="FI15" i="2" l="1"/>
  <c r="FE16" i="2"/>
  <c r="FA15" i="2"/>
  <c r="FI16" i="2" l="1"/>
  <c r="FE17" i="2"/>
  <c r="FA16" i="2"/>
  <c r="FI17" i="2" l="1"/>
  <c r="FE18" i="2"/>
  <c r="FA17" i="2"/>
  <c r="FI18" i="2" l="1"/>
  <c r="FE19" i="2"/>
  <c r="FA18" i="2"/>
  <c r="FI19" i="2" l="1"/>
  <c r="FE20" i="2"/>
  <c r="FA19" i="2"/>
  <c r="FI20" i="2" l="1"/>
  <c r="FE21" i="2"/>
  <c r="FA20" i="2"/>
  <c r="FI21" i="2" l="1"/>
  <c r="FE22" i="2"/>
  <c r="FA21" i="2"/>
  <c r="FI22" i="2" l="1"/>
  <c r="FE23" i="2"/>
  <c r="FA22" i="2"/>
  <c r="FI23" i="2" l="1"/>
  <c r="FE24" i="2"/>
  <c r="FA23" i="2"/>
  <c r="FI24" i="2" l="1"/>
  <c r="FE25" i="2"/>
  <c r="FA24" i="2"/>
  <c r="FI25" i="2" l="1"/>
  <c r="FE26" i="2"/>
  <c r="FA25" i="2"/>
  <c r="FI26" i="2" l="1"/>
  <c r="FE27" i="2"/>
  <c r="FA26" i="2"/>
  <c r="FI27" i="2" l="1"/>
  <c r="FE28" i="2"/>
  <c r="FA27" i="2"/>
  <c r="FI28" i="2" l="1"/>
  <c r="FE29" i="2"/>
  <c r="FA28" i="2"/>
  <c r="FI29" i="2" l="1"/>
  <c r="FE30" i="2"/>
  <c r="FA29" i="2"/>
  <c r="FI30" i="2" l="1"/>
  <c r="FE31" i="2"/>
  <c r="FA30" i="2"/>
  <c r="FI31" i="2" l="1"/>
  <c r="FE32" i="2"/>
  <c r="FA31" i="2"/>
  <c r="FI32" i="2" l="1"/>
  <c r="FE33" i="2"/>
  <c r="FA32" i="2"/>
  <c r="FI33" i="2" l="1"/>
  <c r="FE34" i="2"/>
  <c r="FA33" i="2"/>
  <c r="FI34" i="2" l="1"/>
  <c r="FE35" i="2"/>
  <c r="FA34" i="2"/>
  <c r="FI35" i="2" l="1"/>
  <c r="FE36" i="2"/>
  <c r="FA35" i="2"/>
  <c r="FI36" i="2" l="1"/>
  <c r="FE37" i="2"/>
  <c r="FA36" i="2"/>
  <c r="FI37" i="2" l="1"/>
  <c r="FE38" i="2"/>
  <c r="FA37" i="2"/>
  <c r="FI38" i="2" l="1"/>
  <c r="FE39" i="2"/>
  <c r="FA38" i="2"/>
  <c r="FI39" i="2" l="1"/>
  <c r="FE40" i="2"/>
  <c r="FA39" i="2"/>
  <c r="FI40" i="2" l="1"/>
  <c r="FA40" i="2"/>
  <c r="K17" i="9" l="1"/>
  <c r="W119" i="55" s="1"/>
  <c r="K16" i="9"/>
  <c r="W118" i="55" s="1"/>
  <c r="C16" i="9"/>
  <c r="K15" i="9" s="1"/>
  <c r="W117" i="55" s="1"/>
  <c r="F76" i="47"/>
  <c r="E77" i="47"/>
  <c r="G77" i="47" s="1"/>
  <c r="H77" i="47" s="1"/>
  <c r="O119" i="55" s="1"/>
  <c r="E75" i="47"/>
  <c r="G75" i="47" s="1"/>
  <c r="E76" i="47"/>
  <c r="E74" i="47"/>
  <c r="K119" i="55" l="1"/>
  <c r="C119" i="55"/>
  <c r="W117" i="46"/>
  <c r="W118" i="46"/>
  <c r="W119" i="46"/>
  <c r="H74" i="47"/>
  <c r="O117" i="55" s="1"/>
  <c r="O119" i="46"/>
  <c r="G74" i="47"/>
  <c r="G76" i="47"/>
  <c r="H76" i="47" s="1"/>
  <c r="O118" i="55" s="1"/>
  <c r="K117" i="55" l="1"/>
  <c r="C117" i="55"/>
  <c r="C118" i="55"/>
  <c r="K118" i="55"/>
  <c r="T117" i="55"/>
  <c r="U117" i="55"/>
  <c r="V117" i="55"/>
  <c r="U119" i="55"/>
  <c r="T119" i="55"/>
  <c r="V119" i="55"/>
  <c r="O117" i="46"/>
  <c r="O118" i="46"/>
  <c r="P117" i="55"/>
  <c r="AC117" i="55"/>
  <c r="P119" i="55"/>
  <c r="T4" i="51"/>
  <c r="Z4" i="51"/>
  <c r="Z3" i="51"/>
  <c r="V4" i="51"/>
  <c r="W4" i="51"/>
  <c r="W3" i="51"/>
  <c r="X117" i="55" l="1"/>
  <c r="U118" i="55"/>
  <c r="AA117" i="55" s="1"/>
  <c r="T118" i="55"/>
  <c r="V118" i="55"/>
  <c r="BE33" i="48"/>
  <c r="P118" i="55"/>
  <c r="S118" i="46"/>
  <c r="I38" i="9"/>
  <c r="P26" i="9"/>
  <c r="P17" i="9"/>
  <c r="AB117" i="55" l="1"/>
  <c r="J4" i="9"/>
  <c r="J14" i="9"/>
  <c r="J15" i="9"/>
  <c r="J13" i="10"/>
  <c r="J13" i="9" s="1"/>
  <c r="J118" i="46"/>
  <c r="N118" i="46"/>
  <c r="C118" i="46"/>
  <c r="J119" i="46"/>
  <c r="N119" i="46"/>
  <c r="P119" i="46"/>
  <c r="U117" i="46"/>
  <c r="N117" i="46"/>
  <c r="J117" i="46"/>
  <c r="AR120" i="46"/>
  <c r="BA120" i="46" s="1"/>
  <c r="AM120" i="46"/>
  <c r="AR119" i="46"/>
  <c r="BA119" i="46" s="1"/>
  <c r="AM119" i="46"/>
  <c r="AR118" i="46"/>
  <c r="BA118" i="46" s="1"/>
  <c r="AM118" i="46"/>
  <c r="AR117" i="46"/>
  <c r="BA117" i="46" s="1"/>
  <c r="AM117" i="46"/>
  <c r="Z117" i="46"/>
  <c r="Y117" i="46"/>
  <c r="Q37" i="9"/>
  <c r="Q36" i="9"/>
  <c r="Q25" i="9"/>
  <c r="Q26" i="9" s="1"/>
  <c r="R29" i="9"/>
  <c r="P29" i="9"/>
  <c r="S29" i="9" s="1"/>
  <c r="R28" i="9"/>
  <c r="P28" i="9"/>
  <c r="S28" i="9" s="1"/>
  <c r="R27" i="9"/>
  <c r="P27" i="9"/>
  <c r="S27" i="9" s="1"/>
  <c r="P25" i="9"/>
  <c r="Q16" i="9"/>
  <c r="Q17" i="9" s="1"/>
  <c r="R20" i="9"/>
  <c r="P20" i="9"/>
  <c r="S20" i="9" s="1"/>
  <c r="R19" i="9"/>
  <c r="P19" i="9"/>
  <c r="S19" i="9" s="1"/>
  <c r="R18" i="9"/>
  <c r="P18" i="9"/>
  <c r="S18" i="9" s="1"/>
  <c r="P16" i="9"/>
  <c r="Q12" i="9"/>
  <c r="Q13" i="9" s="1"/>
  <c r="R10" i="9"/>
  <c r="P10" i="9"/>
  <c r="S10" i="9" s="1"/>
  <c r="R9" i="9"/>
  <c r="P9" i="9"/>
  <c r="S9" i="9" s="1"/>
  <c r="R8" i="9"/>
  <c r="P8" i="9"/>
  <c r="S8" i="9" s="1"/>
  <c r="R7" i="9"/>
  <c r="P7" i="9"/>
  <c r="S7" i="9" s="1"/>
  <c r="R6" i="9"/>
  <c r="P6" i="9"/>
  <c r="S6" i="9" s="1"/>
  <c r="Q39" i="9" l="1"/>
  <c r="AD118" i="46"/>
  <c r="R12" i="9"/>
  <c r="R13" i="9" s="1"/>
  <c r="V119" i="46"/>
  <c r="T118" i="46"/>
  <c r="P118" i="46"/>
  <c r="K117" i="46"/>
  <c r="Q22" i="9"/>
  <c r="Q23" i="9" s="1"/>
  <c r="S17" i="9"/>
  <c r="R17" i="9"/>
  <c r="S16" i="9"/>
  <c r="R16" i="9"/>
  <c r="V118" i="46"/>
  <c r="S25" i="9"/>
  <c r="AD120" i="46"/>
  <c r="AD119" i="46"/>
  <c r="AD117" i="46"/>
  <c r="U119" i="46"/>
  <c r="C119" i="46"/>
  <c r="T119" i="46"/>
  <c r="K118" i="46"/>
  <c r="K119" i="46"/>
  <c r="U118" i="46"/>
  <c r="P117" i="46"/>
  <c r="T117" i="46"/>
  <c r="C117" i="46"/>
  <c r="V117" i="46"/>
  <c r="R26" i="9"/>
  <c r="S26" i="9"/>
  <c r="Q31" i="9"/>
  <c r="Q32" i="9" s="1"/>
  <c r="R25" i="9"/>
  <c r="S12" i="9"/>
  <c r="S13" i="9" s="1"/>
  <c r="Q113" i="55"/>
  <c r="S113" i="55"/>
  <c r="AV115" i="55"/>
  <c r="S113" i="46"/>
  <c r="P24" i="10"/>
  <c r="S31" i="9" l="1"/>
  <c r="S32" i="9" s="1"/>
  <c r="R22" i="9"/>
  <c r="R23" i="9" s="1"/>
  <c r="S22" i="9"/>
  <c r="S23" i="9" s="1"/>
  <c r="L33" i="48"/>
  <c r="AA117" i="46"/>
  <c r="N33" i="48"/>
  <c r="R31" i="9"/>
  <c r="R32" i="9" s="1"/>
  <c r="AA9" i="45"/>
  <c r="AA10" i="45"/>
  <c r="AA11" i="45"/>
  <c r="AA12" i="45"/>
  <c r="AA13" i="45"/>
  <c r="AA14" i="45"/>
  <c r="AA15" i="45"/>
  <c r="AA16" i="45"/>
  <c r="AA17" i="45"/>
  <c r="AA18" i="45"/>
  <c r="AA19" i="45"/>
  <c r="AA20" i="45"/>
  <c r="AA21" i="45"/>
  <c r="AA22" i="45"/>
  <c r="AA23" i="45"/>
  <c r="AA24" i="45"/>
  <c r="AA25" i="45"/>
  <c r="AA26" i="45"/>
  <c r="AA27" i="45"/>
  <c r="AA28" i="45"/>
  <c r="AA29" i="45"/>
  <c r="AA30" i="45"/>
  <c r="AA31" i="45"/>
  <c r="AA32" i="45"/>
  <c r="AA33" i="45"/>
  <c r="AA34" i="45"/>
  <c r="AA35" i="45"/>
  <c r="AA36" i="45"/>
  <c r="AA37" i="45"/>
  <c r="AA38" i="45"/>
  <c r="AA8" i="45"/>
  <c r="AC117" i="46" l="1"/>
  <c r="AB117" i="46" s="1"/>
  <c r="X117" i="46"/>
  <c r="FK11" i="2"/>
  <c r="FK12" i="2"/>
  <c r="FK13" i="2"/>
  <c r="FK14" i="2"/>
  <c r="FK15" i="2"/>
  <c r="FK16" i="2"/>
  <c r="FK17" i="2"/>
  <c r="FK18" i="2"/>
  <c r="FK19" i="2"/>
  <c r="FK20" i="2"/>
  <c r="FK21" i="2"/>
  <c r="FK22" i="2"/>
  <c r="FK23" i="2"/>
  <c r="FK24" i="2"/>
  <c r="FK25" i="2"/>
  <c r="FK26" i="2"/>
  <c r="FK27" i="2"/>
  <c r="FK28" i="2"/>
  <c r="FK29" i="2"/>
  <c r="FK30" i="2"/>
  <c r="FK31" i="2"/>
  <c r="FK32" i="2"/>
  <c r="FK33" i="2"/>
  <c r="FK10" i="2"/>
  <c r="EM42" i="2"/>
  <c r="EU42" i="2"/>
  <c r="EK10" i="2" l="1"/>
  <c r="EO10" i="2"/>
  <c r="ES10" i="2"/>
  <c r="EW10" i="2"/>
  <c r="FM10" i="2"/>
  <c r="EK11" i="2" l="1"/>
  <c r="EO11" i="2"/>
  <c r="ES11" i="2"/>
  <c r="EW11" i="2"/>
  <c r="FM11" i="2"/>
  <c r="EK12" i="2" l="1"/>
  <c r="EO12" i="2"/>
  <c r="ES12" i="2"/>
  <c r="EW12" i="2"/>
  <c r="FM12" i="2"/>
  <c r="EK13" i="2" l="1"/>
  <c r="EO13" i="2"/>
  <c r="ES13" i="2"/>
  <c r="EW13" i="2"/>
  <c r="FM13" i="2"/>
  <c r="EK14" i="2" l="1"/>
  <c r="EO14" i="2"/>
  <c r="ES14" i="2"/>
  <c r="EW14" i="2"/>
  <c r="FM14" i="2"/>
  <c r="EK15" i="2" l="1"/>
  <c r="EO15" i="2"/>
  <c r="ES15" i="2"/>
  <c r="EW15" i="2"/>
  <c r="FM15" i="2"/>
  <c r="EK16" i="2" l="1"/>
  <c r="EO16" i="2"/>
  <c r="ES16" i="2"/>
  <c r="EW16" i="2"/>
  <c r="FM16" i="2"/>
  <c r="EK17" i="2" l="1"/>
  <c r="EO17" i="2"/>
  <c r="ES17" i="2"/>
  <c r="EW17" i="2"/>
  <c r="FM17" i="2"/>
  <c r="EK18" i="2" l="1"/>
  <c r="EO18" i="2"/>
  <c r="ES18" i="2"/>
  <c r="EW18" i="2"/>
  <c r="FM18" i="2"/>
  <c r="EK19" i="2" l="1"/>
  <c r="EO19" i="2"/>
  <c r="ES19" i="2"/>
  <c r="EW19" i="2"/>
  <c r="FM19" i="2"/>
  <c r="EK20" i="2" l="1"/>
  <c r="EO20" i="2"/>
  <c r="ES20" i="2"/>
  <c r="EW20" i="2"/>
  <c r="FM20" i="2"/>
  <c r="EK21" i="2" l="1"/>
  <c r="EO21" i="2"/>
  <c r="ES21" i="2"/>
  <c r="EW21" i="2"/>
  <c r="FM21" i="2"/>
  <c r="EK22" i="2" l="1"/>
  <c r="EO22" i="2"/>
  <c r="ES22" i="2"/>
  <c r="EW22" i="2"/>
  <c r="FM22" i="2"/>
  <c r="EK23" i="2" l="1"/>
  <c r="EO23" i="2"/>
  <c r="ES23" i="2"/>
  <c r="EW23" i="2"/>
  <c r="FM23" i="2"/>
  <c r="EK24" i="2" l="1"/>
  <c r="EO24" i="2"/>
  <c r="ES24" i="2"/>
  <c r="EW24" i="2"/>
  <c r="FM24" i="2"/>
  <c r="EK25" i="2" l="1"/>
  <c r="EO25" i="2"/>
  <c r="ES25" i="2"/>
  <c r="EW25" i="2"/>
  <c r="FM25" i="2"/>
  <c r="EK26" i="2" l="1"/>
  <c r="EO26" i="2"/>
  <c r="ES26" i="2"/>
  <c r="EW26" i="2"/>
  <c r="FM26" i="2"/>
  <c r="EK27" i="2" l="1"/>
  <c r="EO27" i="2"/>
  <c r="ES27" i="2"/>
  <c r="EW27" i="2"/>
  <c r="FM27" i="2"/>
  <c r="EK28" i="2" l="1"/>
  <c r="EO28" i="2"/>
  <c r="ES28" i="2"/>
  <c r="EW28" i="2"/>
  <c r="FM28" i="2"/>
  <c r="EK29" i="2" l="1"/>
  <c r="EO29" i="2"/>
  <c r="ES29" i="2"/>
  <c r="EW29" i="2"/>
  <c r="FM29" i="2"/>
  <c r="EK30" i="2" l="1"/>
  <c r="EO30" i="2"/>
  <c r="ES30" i="2"/>
  <c r="EW30" i="2"/>
  <c r="FM30" i="2"/>
  <c r="EK31" i="2" l="1"/>
  <c r="EO31" i="2"/>
  <c r="ES31" i="2"/>
  <c r="EW31" i="2"/>
  <c r="FM31" i="2"/>
  <c r="EK32" i="2" l="1"/>
  <c r="EO32" i="2"/>
  <c r="ES32" i="2"/>
  <c r="EW32" i="2"/>
  <c r="FM32" i="2"/>
  <c r="EK33" i="2" l="1"/>
  <c r="EO33" i="2"/>
  <c r="ES33" i="2"/>
  <c r="EW33" i="2"/>
  <c r="FM33" i="2"/>
  <c r="EK34" i="2" l="1"/>
  <c r="EO34" i="2"/>
  <c r="ES34" i="2"/>
  <c r="EW34" i="2"/>
  <c r="FM34" i="2"/>
  <c r="EK35" i="2" l="1"/>
  <c r="EO35" i="2"/>
  <c r="ES35" i="2"/>
  <c r="EW35" i="2"/>
  <c r="FM35" i="2"/>
  <c r="EK36" i="2" l="1"/>
  <c r="EO36" i="2"/>
  <c r="ES36" i="2"/>
  <c r="EW36" i="2"/>
  <c r="FM36" i="2"/>
  <c r="EK37" i="2" l="1"/>
  <c r="EO37" i="2"/>
  <c r="ES37" i="2"/>
  <c r="EW37" i="2"/>
  <c r="FM37" i="2"/>
  <c r="EO38" i="2" l="1"/>
  <c r="ES38" i="2"/>
  <c r="EW38" i="2"/>
  <c r="EO39" i="2" l="1"/>
  <c r="ES39" i="2"/>
  <c r="EW39" i="2"/>
  <c r="EO40" i="2" l="1"/>
  <c r="EW40" i="2"/>
  <c r="AM115" i="55" l="1"/>
  <c r="AR115" i="55"/>
  <c r="BA115" i="55" s="1"/>
  <c r="AR114" i="55"/>
  <c r="BA114" i="55" s="1"/>
  <c r="AM114" i="55"/>
  <c r="AR113" i="55"/>
  <c r="BA113" i="55" s="1"/>
  <c r="AM113" i="55"/>
  <c r="AR112" i="55"/>
  <c r="BA112" i="55" s="1"/>
  <c r="AM112" i="55"/>
  <c r="AR111" i="55"/>
  <c r="BA111" i="55" s="1"/>
  <c r="AM111" i="55"/>
  <c r="AD111" i="55" s="1"/>
  <c r="AM115" i="46"/>
  <c r="AR115" i="46"/>
  <c r="BA115" i="46" s="1"/>
  <c r="U43" i="10"/>
  <c r="R41" i="10"/>
  <c r="U41" i="10" s="1"/>
  <c r="AD112" i="55" l="1"/>
  <c r="AD113" i="55"/>
  <c r="AD114" i="55"/>
  <c r="AD115" i="55"/>
  <c r="AD115" i="46"/>
  <c r="K15" i="10"/>
  <c r="W113" i="55" s="1"/>
  <c r="K14" i="10"/>
  <c r="W112" i="55" s="1"/>
  <c r="K13" i="10"/>
  <c r="W111" i="55" s="1"/>
  <c r="E72" i="47"/>
  <c r="G72" i="47" s="1"/>
  <c r="H72" i="47" s="1"/>
  <c r="O113" i="55" s="1"/>
  <c r="F71" i="47"/>
  <c r="G71" i="47" s="1"/>
  <c r="H71" i="47" s="1"/>
  <c r="O112" i="55" s="1"/>
  <c r="E71" i="47"/>
  <c r="E70" i="47"/>
  <c r="G70" i="47" s="1"/>
  <c r="H70" i="47" s="1"/>
  <c r="O111" i="55" s="1"/>
  <c r="C112" i="55" l="1"/>
  <c r="K112" i="55"/>
  <c r="C113" i="55"/>
  <c r="K113" i="55"/>
  <c r="C111" i="55"/>
  <c r="K111" i="55"/>
  <c r="X111" i="55" s="1"/>
  <c r="W111" i="46"/>
  <c r="W112" i="46"/>
  <c r="T112" i="55"/>
  <c r="U112" i="55"/>
  <c r="V112" i="55"/>
  <c r="T111" i="55"/>
  <c r="U111" i="55"/>
  <c r="V111" i="55"/>
  <c r="T113" i="55"/>
  <c r="U113" i="55"/>
  <c r="V113" i="55"/>
  <c r="W113" i="46"/>
  <c r="P113" i="55"/>
  <c r="O111" i="46"/>
  <c r="P112" i="55"/>
  <c r="O112" i="46"/>
  <c r="O113" i="46"/>
  <c r="AC111" i="55" l="1"/>
  <c r="P111" i="55"/>
  <c r="BE32" i="48"/>
  <c r="AR114" i="46"/>
  <c r="BA114" i="46" s="1"/>
  <c r="AM114" i="46"/>
  <c r="N112" i="46"/>
  <c r="H112" i="46" s="1"/>
  <c r="C112" i="46"/>
  <c r="C113" i="46"/>
  <c r="N113" i="46"/>
  <c r="V113" i="46" s="1"/>
  <c r="P113" i="46"/>
  <c r="U113" i="46"/>
  <c r="U111" i="46"/>
  <c r="N111" i="46"/>
  <c r="AR113" i="46"/>
  <c r="BA113" i="46" s="1"/>
  <c r="AM113" i="46"/>
  <c r="AR112" i="46"/>
  <c r="BA112" i="46" s="1"/>
  <c r="AM112" i="46"/>
  <c r="AR111" i="46"/>
  <c r="BA111" i="46" s="1"/>
  <c r="AM111" i="46"/>
  <c r="Y111" i="46"/>
  <c r="I38" i="10"/>
  <c r="I70" i="47" s="1"/>
  <c r="Q37" i="10"/>
  <c r="G42" i="10"/>
  <c r="I37" i="10" s="1"/>
  <c r="F42" i="10"/>
  <c r="R28" i="10"/>
  <c r="P28" i="10"/>
  <c r="S28" i="10" s="1"/>
  <c r="R27" i="10"/>
  <c r="P27" i="10"/>
  <c r="S27" i="10" s="1"/>
  <c r="R26" i="10"/>
  <c r="P26" i="10"/>
  <c r="S26" i="10" s="1"/>
  <c r="R25" i="10"/>
  <c r="P25" i="10"/>
  <c r="S25" i="10" s="1"/>
  <c r="R24" i="10"/>
  <c r="S24" i="10"/>
  <c r="Q16" i="10"/>
  <c r="Q15" i="10" s="1"/>
  <c r="R15" i="10" s="1"/>
  <c r="P16" i="10"/>
  <c r="R19" i="10"/>
  <c r="P19" i="10"/>
  <c r="S19" i="10" s="1"/>
  <c r="R18" i="10"/>
  <c r="P18" i="10"/>
  <c r="S18" i="10" s="1"/>
  <c r="R17" i="10"/>
  <c r="P17" i="10"/>
  <c r="S17" i="10" s="1"/>
  <c r="Q7" i="10"/>
  <c r="P6" i="10"/>
  <c r="S6" i="10" s="1"/>
  <c r="R10" i="10"/>
  <c r="P10" i="10"/>
  <c r="S10" i="10" s="1"/>
  <c r="R9" i="10"/>
  <c r="P9" i="10"/>
  <c r="S9" i="10" s="1"/>
  <c r="R8" i="10"/>
  <c r="P8" i="10"/>
  <c r="S8" i="10" s="1"/>
  <c r="J4" i="10"/>
  <c r="R30" i="10" l="1"/>
  <c r="AD113" i="46"/>
  <c r="P112" i="46"/>
  <c r="T113" i="46"/>
  <c r="T112" i="46"/>
  <c r="V111" i="46"/>
  <c r="AD114" i="46"/>
  <c r="AD112" i="46"/>
  <c r="AD111" i="46"/>
  <c r="J112" i="46"/>
  <c r="K112" i="46"/>
  <c r="V112" i="46"/>
  <c r="U112" i="46"/>
  <c r="P111" i="46"/>
  <c r="T111" i="46"/>
  <c r="C111" i="46"/>
  <c r="N32" i="48" s="1"/>
  <c r="H111" i="46"/>
  <c r="S30" i="10"/>
  <c r="Q30" i="10"/>
  <c r="Q31" i="10" s="1"/>
  <c r="S15" i="10"/>
  <c r="S16" i="10"/>
  <c r="Q21" i="10"/>
  <c r="Q22" i="10" s="1"/>
  <c r="R16" i="10"/>
  <c r="R21" i="10" s="1"/>
  <c r="R7" i="10"/>
  <c r="S7" i="10"/>
  <c r="S12" i="10"/>
  <c r="Q12" i="10"/>
  <c r="Q13" i="10" s="1"/>
  <c r="R6" i="10"/>
  <c r="EA32" i="2"/>
  <c r="AA32" i="2"/>
  <c r="S21" i="10" l="1"/>
  <c r="S22" i="10" s="1"/>
  <c r="R12" i="10"/>
  <c r="R13" i="10" s="1"/>
  <c r="J113" i="46"/>
  <c r="K113" i="46"/>
  <c r="J111" i="46"/>
  <c r="K111" i="46"/>
  <c r="R31" i="10"/>
  <c r="S31" i="10"/>
  <c r="R22" i="10"/>
  <c r="S13" i="10"/>
  <c r="AR109" i="55"/>
  <c r="BA109" i="55" s="1"/>
  <c r="AM109" i="55"/>
  <c r="AD109" i="55" s="1"/>
  <c r="AR108" i="55"/>
  <c r="BA108" i="55" s="1"/>
  <c r="AM108" i="55"/>
  <c r="AD108" i="55" s="1"/>
  <c r="AR107" i="55"/>
  <c r="BA107" i="55" s="1"/>
  <c r="AM107" i="55"/>
  <c r="AR106" i="55"/>
  <c r="BA106" i="55" s="1"/>
  <c r="AM106" i="55"/>
  <c r="AD106" i="55" s="1"/>
  <c r="Z106" i="46"/>
  <c r="K10" i="11"/>
  <c r="W106" i="55" s="1"/>
  <c r="K7" i="11"/>
  <c r="W107" i="55" s="1"/>
  <c r="K13" i="11"/>
  <c r="W108" i="55" s="1"/>
  <c r="F68" i="47"/>
  <c r="F67" i="47"/>
  <c r="F66" i="47"/>
  <c r="E68" i="47"/>
  <c r="E66" i="47"/>
  <c r="G66" i="47" s="1"/>
  <c r="E67" i="47"/>
  <c r="E65" i="47"/>
  <c r="F65" i="47"/>
  <c r="G65" i="47"/>
  <c r="AD107" i="55" l="1"/>
  <c r="H65" i="47"/>
  <c r="O106" i="55" s="1"/>
  <c r="G67" i="47"/>
  <c r="H67" i="47" s="1"/>
  <c r="O106" i="46"/>
  <c r="L32" i="48"/>
  <c r="G68" i="47"/>
  <c r="H68" i="47" s="1"/>
  <c r="O108" i="55" s="1"/>
  <c r="W107" i="46"/>
  <c r="W106" i="46"/>
  <c r="W108" i="46"/>
  <c r="X111" i="46"/>
  <c r="AC111" i="46"/>
  <c r="C108" i="55" l="1"/>
  <c r="K108" i="55"/>
  <c r="C106" i="55"/>
  <c r="K106" i="55"/>
  <c r="O107" i="55"/>
  <c r="O107" i="46"/>
  <c r="U108" i="55"/>
  <c r="T108" i="55"/>
  <c r="V108" i="55"/>
  <c r="U106" i="55"/>
  <c r="T106" i="55"/>
  <c r="V106" i="55"/>
  <c r="O108" i="46"/>
  <c r="P106" i="55"/>
  <c r="C107" i="55" l="1"/>
  <c r="K107" i="55"/>
  <c r="P107" i="55"/>
  <c r="T107" i="55"/>
  <c r="V107" i="55"/>
  <c r="U107" i="55"/>
  <c r="X106" i="55"/>
  <c r="AA106" i="55"/>
  <c r="AC106" i="55"/>
  <c r="P108" i="55"/>
  <c r="BE31" i="48"/>
  <c r="AB106" i="55" l="1"/>
  <c r="AR109" i="46"/>
  <c r="BA109" i="46" s="1"/>
  <c r="AM109" i="46"/>
  <c r="U107" i="46"/>
  <c r="N107" i="46"/>
  <c r="H107" i="46" s="1"/>
  <c r="J107" i="46" s="1"/>
  <c r="U106" i="46"/>
  <c r="N106" i="46"/>
  <c r="N108" i="46"/>
  <c r="P108" i="46"/>
  <c r="AR108" i="46"/>
  <c r="BA108" i="46" s="1"/>
  <c r="AM108" i="46"/>
  <c r="AR107" i="46"/>
  <c r="BA107" i="46" s="1"/>
  <c r="AM107" i="46"/>
  <c r="AR106" i="46"/>
  <c r="BA106" i="46" s="1"/>
  <c r="AM106" i="46"/>
  <c r="Y106" i="46"/>
  <c r="I38" i="11"/>
  <c r="I65" i="47" s="1"/>
  <c r="Q39" i="11"/>
  <c r="Q26" i="11"/>
  <c r="R26" i="11" s="1"/>
  <c r="P27" i="11"/>
  <c r="R30" i="11"/>
  <c r="P30" i="11"/>
  <c r="S30" i="11" s="1"/>
  <c r="R29" i="11"/>
  <c r="P29" i="11"/>
  <c r="S29" i="11" s="1"/>
  <c r="R28" i="11"/>
  <c r="P28" i="11"/>
  <c r="S28" i="11" s="1"/>
  <c r="P26" i="11"/>
  <c r="R20" i="11"/>
  <c r="P20" i="11"/>
  <c r="S20" i="11" s="1"/>
  <c r="R19" i="11"/>
  <c r="P19" i="11"/>
  <c r="S19" i="11" s="1"/>
  <c r="R18" i="11"/>
  <c r="P18" i="11"/>
  <c r="S18" i="11" s="1"/>
  <c r="P17" i="11"/>
  <c r="Q17" i="11"/>
  <c r="P16" i="11"/>
  <c r="S16" i="11" s="1"/>
  <c r="Q6" i="11"/>
  <c r="Q7" i="11" s="1"/>
  <c r="R10" i="11"/>
  <c r="P10" i="11"/>
  <c r="S10" i="11" s="1"/>
  <c r="R9" i="11"/>
  <c r="P9" i="11"/>
  <c r="S9" i="11" s="1"/>
  <c r="R8" i="11"/>
  <c r="P8" i="11"/>
  <c r="S8" i="11" s="1"/>
  <c r="P7" i="11"/>
  <c r="P6" i="11"/>
  <c r="J4" i="11"/>
  <c r="Q27" i="11" l="1"/>
  <c r="R27" i="11" s="1"/>
  <c r="R32" i="11" s="1"/>
  <c r="AD108" i="46"/>
  <c r="S26" i="11"/>
  <c r="T108" i="46"/>
  <c r="V108" i="46"/>
  <c r="U108" i="46"/>
  <c r="AA106" i="46" s="1"/>
  <c r="C108" i="46"/>
  <c r="V106" i="46"/>
  <c r="AD109" i="46"/>
  <c r="AD107" i="46"/>
  <c r="AD106" i="46"/>
  <c r="K107" i="46"/>
  <c r="V107" i="46"/>
  <c r="T107" i="46"/>
  <c r="P107" i="46"/>
  <c r="C107" i="46"/>
  <c r="P106" i="46"/>
  <c r="T106" i="46"/>
  <c r="C106" i="46"/>
  <c r="H106" i="46"/>
  <c r="H108" i="46"/>
  <c r="S27" i="11"/>
  <c r="Q32" i="11"/>
  <c r="Q33" i="11" s="1"/>
  <c r="R17" i="11"/>
  <c r="S17" i="11"/>
  <c r="S22" i="11" s="1"/>
  <c r="Q22" i="11"/>
  <c r="Q23" i="11" s="1"/>
  <c r="R16" i="11"/>
  <c r="S6" i="11"/>
  <c r="R6" i="11"/>
  <c r="AR104" i="55"/>
  <c r="BA104" i="55" s="1"/>
  <c r="AM104" i="55"/>
  <c r="AR103" i="55"/>
  <c r="BA103" i="55" s="1"/>
  <c r="AM103" i="55"/>
  <c r="AR102" i="55"/>
  <c r="BA102" i="55" s="1"/>
  <c r="AM102" i="55"/>
  <c r="AD102" i="55" s="1"/>
  <c r="AD104" i="55" l="1"/>
  <c r="R22" i="11"/>
  <c r="R23" i="11" s="1"/>
  <c r="S32" i="11"/>
  <c r="S33" i="11" s="1"/>
  <c r="AD103" i="55"/>
  <c r="N31" i="48"/>
  <c r="J106" i="46"/>
  <c r="K106" i="46"/>
  <c r="K108" i="46"/>
  <c r="J108" i="46"/>
  <c r="R33" i="11"/>
  <c r="S23" i="11"/>
  <c r="R7" i="11"/>
  <c r="R12" i="11" s="1"/>
  <c r="S7" i="11"/>
  <c r="S12" i="11" s="1"/>
  <c r="Q12" i="11"/>
  <c r="Q13" i="11" s="1"/>
  <c r="AC106" i="46" l="1"/>
  <c r="L31" i="48"/>
  <c r="AB106" i="46"/>
  <c r="X106" i="46"/>
  <c r="R13" i="11"/>
  <c r="S13" i="11"/>
  <c r="EA31" i="2" l="1"/>
  <c r="AA31" i="2"/>
  <c r="Z103" i="46"/>
  <c r="F63" i="47"/>
  <c r="F62" i="47"/>
  <c r="E63" i="47"/>
  <c r="E62" i="47"/>
  <c r="G62" i="47" s="1"/>
  <c r="H62" i="47" s="1"/>
  <c r="O102" i="55" s="1"/>
  <c r="W103" i="46"/>
  <c r="K10" i="12"/>
  <c r="W103" i="55" s="1"/>
  <c r="C16" i="12"/>
  <c r="K7" i="12" s="1"/>
  <c r="W102" i="55" s="1"/>
  <c r="C102" i="55" l="1"/>
  <c r="K102" i="55"/>
  <c r="U102" i="55"/>
  <c r="T102" i="55"/>
  <c r="V102" i="55"/>
  <c r="O102" i="46"/>
  <c r="W102" i="46"/>
  <c r="P102" i="55"/>
  <c r="G63" i="47"/>
  <c r="H63" i="47" s="1"/>
  <c r="O103" i="55" s="1"/>
  <c r="K103" i="55" l="1"/>
  <c r="C103" i="55"/>
  <c r="X102" i="55"/>
  <c r="AC102" i="55"/>
  <c r="U103" i="55"/>
  <c r="T103" i="55"/>
  <c r="V103" i="55"/>
  <c r="AA102" i="55"/>
  <c r="O103" i="46"/>
  <c r="P103" i="46" s="1"/>
  <c r="N103" i="46"/>
  <c r="H103" i="46" s="1"/>
  <c r="AR104" i="46"/>
  <c r="BA104" i="46" s="1"/>
  <c r="AM104" i="46"/>
  <c r="AR103" i="46"/>
  <c r="BA103" i="46" s="1"/>
  <c r="AM103" i="46"/>
  <c r="AR102" i="46"/>
  <c r="BA102" i="46" s="1"/>
  <c r="AM102" i="46"/>
  <c r="Z102" i="46"/>
  <c r="Y102" i="46"/>
  <c r="U102" i="46"/>
  <c r="N102" i="46"/>
  <c r="V102" i="46" s="1"/>
  <c r="I38" i="12"/>
  <c r="I62" i="47" s="1"/>
  <c r="Q36" i="12"/>
  <c r="Q37" i="12" s="1"/>
  <c r="G42" i="12"/>
  <c r="I37" i="12" s="1"/>
  <c r="F42" i="12"/>
  <c r="R28" i="12"/>
  <c r="P28" i="12"/>
  <c r="S28" i="12" s="1"/>
  <c r="R27" i="12"/>
  <c r="P27" i="12"/>
  <c r="S27" i="12" s="1"/>
  <c r="R26" i="12"/>
  <c r="P26" i="12"/>
  <c r="S26" i="12" s="1"/>
  <c r="Q25" i="12"/>
  <c r="Q30" i="12" s="1"/>
  <c r="Q31" i="12" s="1"/>
  <c r="P25" i="12"/>
  <c r="R24" i="12"/>
  <c r="P24" i="12"/>
  <c r="S24" i="12" s="1"/>
  <c r="R19" i="12"/>
  <c r="P19" i="12"/>
  <c r="S19" i="12" s="1"/>
  <c r="R18" i="12"/>
  <c r="P18" i="12"/>
  <c r="S18" i="12" s="1"/>
  <c r="R17" i="12"/>
  <c r="P17" i="12"/>
  <c r="S17" i="12" s="1"/>
  <c r="P16" i="12"/>
  <c r="P15" i="12"/>
  <c r="S15" i="12" s="1"/>
  <c r="Q6" i="12"/>
  <c r="R10" i="12"/>
  <c r="P10" i="12"/>
  <c r="S10" i="12" s="1"/>
  <c r="R9" i="12"/>
  <c r="P9" i="12"/>
  <c r="S9" i="12" s="1"/>
  <c r="R8" i="12"/>
  <c r="P8" i="12"/>
  <c r="S8" i="12" s="1"/>
  <c r="P7" i="12"/>
  <c r="P6" i="12"/>
  <c r="J4" i="12"/>
  <c r="AB102" i="55" l="1"/>
  <c r="S25" i="12"/>
  <c r="P103" i="55"/>
  <c r="R25" i="12"/>
  <c r="R30" i="12" s="1"/>
  <c r="R31" i="12" s="1"/>
  <c r="AD102" i="46"/>
  <c r="AD104" i="46"/>
  <c r="K103" i="46"/>
  <c r="J103" i="46"/>
  <c r="V103" i="46"/>
  <c r="U103" i="46"/>
  <c r="AA102" i="46" s="1"/>
  <c r="C103" i="46"/>
  <c r="T103" i="46"/>
  <c r="AD103" i="46"/>
  <c r="P102" i="46"/>
  <c r="T102" i="46"/>
  <c r="C102" i="46"/>
  <c r="H102" i="46"/>
  <c r="S30" i="12"/>
  <c r="S31" i="12" s="1"/>
  <c r="R15" i="12"/>
  <c r="Q16" i="12"/>
  <c r="S6" i="12"/>
  <c r="R6" i="12"/>
  <c r="Q7" i="12"/>
  <c r="EA30" i="2"/>
  <c r="AA30" i="2"/>
  <c r="N30" i="48" l="1"/>
  <c r="BE30" i="48"/>
  <c r="J102" i="46"/>
  <c r="K102" i="46"/>
  <c r="L30" i="48" s="1"/>
  <c r="R16" i="12"/>
  <c r="R21" i="12" s="1"/>
  <c r="S16" i="12"/>
  <c r="S21" i="12" s="1"/>
  <c r="Q21" i="12"/>
  <c r="Q22" i="12" s="1"/>
  <c r="R7" i="12"/>
  <c r="R12" i="12" s="1"/>
  <c r="S7" i="12"/>
  <c r="S12" i="12" s="1"/>
  <c r="Q12" i="12"/>
  <c r="Q13" i="12" s="1"/>
  <c r="AR100" i="55"/>
  <c r="BA100" i="55" s="1"/>
  <c r="AM100" i="55"/>
  <c r="AD100" i="55" s="1"/>
  <c r="AR99" i="55"/>
  <c r="BA99" i="55" s="1"/>
  <c r="AM99" i="55"/>
  <c r="AR98" i="55"/>
  <c r="BA98" i="55" s="1"/>
  <c r="AM98" i="55"/>
  <c r="AR96" i="55"/>
  <c r="BA96" i="55" s="1"/>
  <c r="AM96" i="55"/>
  <c r="AD96" i="55" s="1"/>
  <c r="AR95" i="55"/>
  <c r="BA95" i="55" s="1"/>
  <c r="AM95" i="55"/>
  <c r="AD95" i="55" s="1"/>
  <c r="AR94" i="55"/>
  <c r="BA94" i="55" s="1"/>
  <c r="AM94" i="55"/>
  <c r="Z98" i="46"/>
  <c r="E60" i="47"/>
  <c r="G60" i="47" s="1"/>
  <c r="H60" i="47" s="1"/>
  <c r="O98" i="55" s="1"/>
  <c r="C98" i="55" l="1"/>
  <c r="K98" i="55"/>
  <c r="AD98" i="55"/>
  <c r="AD99" i="55"/>
  <c r="T98" i="55"/>
  <c r="U98" i="55"/>
  <c r="V98" i="55"/>
  <c r="AD94" i="55"/>
  <c r="AC102" i="46"/>
  <c r="AB102" i="46" s="1"/>
  <c r="X102" i="46"/>
  <c r="R22" i="12"/>
  <c r="S22" i="12"/>
  <c r="R13" i="12"/>
  <c r="S13" i="12"/>
  <c r="O98" i="46"/>
  <c r="U98" i="46" s="1"/>
  <c r="P98" i="55"/>
  <c r="AR100" i="46"/>
  <c r="BA100" i="46" s="1"/>
  <c r="AM100" i="46"/>
  <c r="AR99" i="46"/>
  <c r="BA99" i="46" s="1"/>
  <c r="AM99" i="46"/>
  <c r="AD99" i="46" s="1"/>
  <c r="AR98" i="46"/>
  <c r="BA98" i="46" s="1"/>
  <c r="AM98" i="46"/>
  <c r="Y98" i="46"/>
  <c r="N98" i="46"/>
  <c r="F9" i="13"/>
  <c r="I38" i="13"/>
  <c r="I60" i="47" s="1"/>
  <c r="G42" i="13"/>
  <c r="I37" i="13" s="1"/>
  <c r="F42" i="13"/>
  <c r="J4" i="13"/>
  <c r="AC98" i="55" l="1"/>
  <c r="AD100" i="46"/>
  <c r="V98" i="46"/>
  <c r="AD98" i="46"/>
  <c r="P98" i="46"/>
  <c r="T98" i="46"/>
  <c r="C98" i="46"/>
  <c r="N29" i="48" s="1"/>
  <c r="H98" i="46"/>
  <c r="EA29" i="2"/>
  <c r="AA29" i="2"/>
  <c r="AR92" i="55"/>
  <c r="BA92" i="55" s="1"/>
  <c r="AM92" i="55"/>
  <c r="AD92" i="55" s="1"/>
  <c r="AR91" i="55"/>
  <c r="BA91" i="55" s="1"/>
  <c r="AM91" i="55"/>
  <c r="AR90" i="55"/>
  <c r="BA90" i="55" s="1"/>
  <c r="AM90" i="55"/>
  <c r="F57" i="47"/>
  <c r="E58" i="47"/>
  <c r="G58" i="47" s="1"/>
  <c r="E57" i="47"/>
  <c r="F55" i="47"/>
  <c r="E54" i="47"/>
  <c r="G54" i="47" s="1"/>
  <c r="E55" i="47"/>
  <c r="AD91" i="55" l="1"/>
  <c r="AD90" i="55"/>
  <c r="G55" i="47"/>
  <c r="BE29" i="48"/>
  <c r="K98" i="46"/>
  <c r="L29" i="48" s="1"/>
  <c r="J98" i="46"/>
  <c r="H57" i="47"/>
  <c r="O94" i="55" s="1"/>
  <c r="H54" i="47"/>
  <c r="O90" i="55" s="1"/>
  <c r="G57" i="47"/>
  <c r="C94" i="55" l="1"/>
  <c r="K94" i="55"/>
  <c r="K90" i="55"/>
  <c r="C90" i="55"/>
  <c r="T94" i="55"/>
  <c r="U94" i="55"/>
  <c r="V94" i="55"/>
  <c r="U90" i="55"/>
  <c r="T90" i="55"/>
  <c r="V90" i="55"/>
  <c r="P94" i="55"/>
  <c r="AC98" i="46"/>
  <c r="O90" i="46"/>
  <c r="O94" i="46"/>
  <c r="AC90" i="55" l="1"/>
  <c r="AC94" i="55"/>
  <c r="BE28" i="48"/>
  <c r="BE27" i="48"/>
  <c r="P90" i="55"/>
  <c r="I38" i="14" l="1"/>
  <c r="I57" i="47" s="1"/>
  <c r="AR96" i="46" l="1"/>
  <c r="BA96" i="46" s="1"/>
  <c r="AM96" i="46"/>
  <c r="AR95" i="46"/>
  <c r="BA95" i="46" s="1"/>
  <c r="AM95" i="46"/>
  <c r="AR94" i="46"/>
  <c r="BA94" i="46" s="1"/>
  <c r="AM94" i="46"/>
  <c r="Z94" i="46"/>
  <c r="Y94" i="46"/>
  <c r="U94" i="46"/>
  <c r="T94" i="46"/>
  <c r="P94" i="46"/>
  <c r="N94" i="46"/>
  <c r="V94" i="46" s="1"/>
  <c r="C94" i="46"/>
  <c r="N28" i="48" s="1"/>
  <c r="AR92" i="46"/>
  <c r="BA92" i="46" s="1"/>
  <c r="AM92" i="46"/>
  <c r="AR91" i="46"/>
  <c r="BA91" i="46" s="1"/>
  <c r="AM91" i="46"/>
  <c r="AR90" i="46"/>
  <c r="BA90" i="46" s="1"/>
  <c r="AM90" i="46"/>
  <c r="Z90" i="46"/>
  <c r="Y90" i="46"/>
  <c r="U90" i="46"/>
  <c r="N90" i="46"/>
  <c r="V90" i="46" s="1"/>
  <c r="G42" i="14"/>
  <c r="I37" i="14" s="1"/>
  <c r="F42" i="14"/>
  <c r="J4" i="14"/>
  <c r="I38" i="15"/>
  <c r="I54" i="47" s="1"/>
  <c r="G42" i="15"/>
  <c r="I37" i="15" s="1"/>
  <c r="F42" i="15"/>
  <c r="J4" i="15"/>
  <c r="AD91" i="46" l="1"/>
  <c r="H94" i="46"/>
  <c r="K94" i="46" s="1"/>
  <c r="AC94" i="46" s="1"/>
  <c r="AD92" i="46"/>
  <c r="AD90" i="46"/>
  <c r="AD96" i="46"/>
  <c r="AD95" i="46"/>
  <c r="AD94" i="46"/>
  <c r="H90" i="46"/>
  <c r="K90" i="46" s="1"/>
  <c r="T90" i="46"/>
  <c r="P90" i="46"/>
  <c r="C90" i="46"/>
  <c r="N27" i="48" s="1"/>
  <c r="S4" i="51"/>
  <c r="S3" i="51"/>
  <c r="J94" i="46" l="1"/>
  <c r="L28" i="48"/>
  <c r="J90" i="46"/>
  <c r="L27" i="48"/>
  <c r="AC90" i="46"/>
  <c r="I38" i="16"/>
  <c r="I51" i="47" s="1"/>
  <c r="AR88" i="55"/>
  <c r="BA88" i="55" s="1"/>
  <c r="AM88" i="55"/>
  <c r="AR87" i="55"/>
  <c r="BA87" i="55" s="1"/>
  <c r="AM87" i="55"/>
  <c r="S87" i="55"/>
  <c r="AR86" i="55"/>
  <c r="BA86" i="55" s="1"/>
  <c r="AM86" i="55"/>
  <c r="K7" i="16"/>
  <c r="W87" i="55" s="1"/>
  <c r="C7" i="16"/>
  <c r="K8" i="16" s="1"/>
  <c r="W86" i="55" s="1"/>
  <c r="F52" i="47"/>
  <c r="E52" i="47"/>
  <c r="E51" i="47"/>
  <c r="G51" i="47" s="1"/>
  <c r="H51" i="47" s="1"/>
  <c r="O86" i="55" s="1"/>
  <c r="R3" i="51"/>
  <c r="R4" i="51"/>
  <c r="Q4" i="51"/>
  <c r="Q3" i="51"/>
  <c r="N4" i="51"/>
  <c r="N3" i="51"/>
  <c r="M4" i="51"/>
  <c r="C86" i="55" l="1"/>
  <c r="K86" i="55"/>
  <c r="AD87" i="55"/>
  <c r="AD86" i="55"/>
  <c r="AD88" i="55"/>
  <c r="T86" i="55"/>
  <c r="U86" i="55"/>
  <c r="V86" i="55"/>
  <c r="W87" i="46"/>
  <c r="P86" i="55"/>
  <c r="O86" i="46"/>
  <c r="G52" i="47"/>
  <c r="H52" i="47" s="1"/>
  <c r="O87" i="55" s="1"/>
  <c r="C87" i="55" l="1"/>
  <c r="K87" i="55"/>
  <c r="X86" i="55"/>
  <c r="AC86" i="55"/>
  <c r="U87" i="55"/>
  <c r="T87" i="55"/>
  <c r="V87" i="55"/>
  <c r="O87" i="46"/>
  <c r="S87" i="46"/>
  <c r="P87" i="55" l="1"/>
  <c r="U87" i="46"/>
  <c r="N87" i="46"/>
  <c r="V87" i="46" s="1"/>
  <c r="U86" i="46"/>
  <c r="N86" i="46"/>
  <c r="V86" i="46" s="1"/>
  <c r="AR88" i="46"/>
  <c r="BA88" i="46" s="1"/>
  <c r="AM88" i="46"/>
  <c r="AD88" i="46" s="1"/>
  <c r="AR87" i="46"/>
  <c r="BA87" i="46" s="1"/>
  <c r="AM87" i="46"/>
  <c r="AR86" i="46"/>
  <c r="BA86" i="46" s="1"/>
  <c r="AM86" i="46"/>
  <c r="Q36" i="16"/>
  <c r="Q37" i="16" s="1"/>
  <c r="R28" i="16"/>
  <c r="P28" i="16"/>
  <c r="S28" i="16" s="1"/>
  <c r="R27" i="16"/>
  <c r="P27" i="16"/>
  <c r="S27" i="16" s="1"/>
  <c r="R26" i="16"/>
  <c r="P26" i="16"/>
  <c r="S26" i="16" s="1"/>
  <c r="Q25" i="16"/>
  <c r="R25" i="16" s="1"/>
  <c r="P25" i="16"/>
  <c r="R24" i="16"/>
  <c r="P24" i="16"/>
  <c r="S24" i="16" s="1"/>
  <c r="R20" i="16"/>
  <c r="P20" i="16"/>
  <c r="S20" i="16" s="1"/>
  <c r="R19" i="16"/>
  <c r="P19" i="16"/>
  <c r="S19" i="16" s="1"/>
  <c r="R18" i="16"/>
  <c r="P18" i="16"/>
  <c r="S18" i="16" s="1"/>
  <c r="P17" i="16"/>
  <c r="P16" i="16"/>
  <c r="S16" i="16" s="1"/>
  <c r="Q6" i="16"/>
  <c r="Q7" i="16" s="1"/>
  <c r="P7" i="16"/>
  <c r="J4" i="16"/>
  <c r="R10" i="16"/>
  <c r="P10" i="16"/>
  <c r="S10" i="16" s="1"/>
  <c r="R9" i="16"/>
  <c r="P9" i="16"/>
  <c r="S9" i="16" s="1"/>
  <c r="R8" i="16"/>
  <c r="P8" i="16"/>
  <c r="S8" i="16" s="1"/>
  <c r="P6" i="16"/>
  <c r="S25" i="16" l="1"/>
  <c r="AD86" i="46"/>
  <c r="BE26" i="48"/>
  <c r="AD87" i="46"/>
  <c r="P87" i="46"/>
  <c r="T87" i="46"/>
  <c r="C87" i="46"/>
  <c r="H87" i="46"/>
  <c r="P86" i="46"/>
  <c r="T86" i="46"/>
  <c r="C86" i="46"/>
  <c r="H86" i="46"/>
  <c r="S30" i="16"/>
  <c r="R30" i="16"/>
  <c r="Q30" i="16"/>
  <c r="Q31" i="16" s="1"/>
  <c r="R16" i="16"/>
  <c r="Q17" i="16"/>
  <c r="Q22" i="16" s="1"/>
  <c r="Q23" i="16" s="1"/>
  <c r="R7" i="16"/>
  <c r="S6" i="16"/>
  <c r="R6" i="16"/>
  <c r="R12" i="16" s="1"/>
  <c r="S7" i="16"/>
  <c r="S12" i="16"/>
  <c r="AR83" i="55"/>
  <c r="BA83" i="55" s="1"/>
  <c r="AM83" i="55"/>
  <c r="AD83" i="55" s="1"/>
  <c r="AR82" i="55"/>
  <c r="BA82" i="55" s="1"/>
  <c r="AM82" i="55"/>
  <c r="AR81" i="55"/>
  <c r="BA81" i="55" s="1"/>
  <c r="AM81" i="55"/>
  <c r="F49" i="47"/>
  <c r="E49" i="47"/>
  <c r="AD81" i="55" l="1"/>
  <c r="AD82" i="55"/>
  <c r="G49" i="47"/>
  <c r="H49" i="47" s="1"/>
  <c r="O81" i="55" s="1"/>
  <c r="S31" i="16"/>
  <c r="N26" i="48"/>
  <c r="R31" i="16"/>
  <c r="J87" i="46"/>
  <c r="K87" i="46"/>
  <c r="J86" i="46"/>
  <c r="K86" i="46"/>
  <c r="R17" i="16"/>
  <c r="R22" i="16" s="1"/>
  <c r="R23" i="16" s="1"/>
  <c r="S17" i="16"/>
  <c r="S22" i="16" s="1"/>
  <c r="S23" i="16" s="1"/>
  <c r="Q12" i="16"/>
  <c r="Q13" i="16" s="1"/>
  <c r="C81" i="55" l="1"/>
  <c r="K81" i="55"/>
  <c r="U81" i="55"/>
  <c r="T81" i="55"/>
  <c r="V81" i="55"/>
  <c r="AC81" i="55"/>
  <c r="O81" i="46"/>
  <c r="AC86" i="46"/>
  <c r="L26" i="48"/>
  <c r="S13" i="16"/>
  <c r="R13" i="16"/>
  <c r="P81" i="55"/>
  <c r="I38" i="17"/>
  <c r="I49" i="47" s="1"/>
  <c r="BE25" i="48" l="1"/>
  <c r="U81" i="46"/>
  <c r="N81" i="46"/>
  <c r="AR84" i="46"/>
  <c r="BA84" i="46" s="1"/>
  <c r="AM84" i="46"/>
  <c r="AR83" i="46"/>
  <c r="BA83" i="46" s="1"/>
  <c r="AM83" i="46"/>
  <c r="AR82" i="46"/>
  <c r="BA82" i="46" s="1"/>
  <c r="AM82" i="46"/>
  <c r="AR81" i="46"/>
  <c r="BA81" i="46" s="1"/>
  <c r="AM81" i="46"/>
  <c r="R29" i="17"/>
  <c r="P29" i="17"/>
  <c r="S29" i="17" s="1"/>
  <c r="R28" i="17"/>
  <c r="P28" i="17"/>
  <c r="S28" i="17" s="1"/>
  <c r="R27" i="17"/>
  <c r="P27" i="17"/>
  <c r="S27" i="17" s="1"/>
  <c r="Q26" i="17"/>
  <c r="Q31" i="17" s="1"/>
  <c r="Q32" i="17" s="1"/>
  <c r="P26" i="17"/>
  <c r="R25" i="17"/>
  <c r="P25" i="17"/>
  <c r="S25" i="17" s="1"/>
  <c r="R20" i="17"/>
  <c r="P20" i="17"/>
  <c r="S20" i="17" s="1"/>
  <c r="R19" i="17"/>
  <c r="P19" i="17"/>
  <c r="S19" i="17" s="1"/>
  <c r="R18" i="17"/>
  <c r="P18" i="17"/>
  <c r="S18" i="17" s="1"/>
  <c r="Q17" i="17"/>
  <c r="Q22" i="17" s="1"/>
  <c r="Q23" i="17" s="1"/>
  <c r="P17" i="17"/>
  <c r="R16" i="17"/>
  <c r="P16" i="17"/>
  <c r="S16" i="17" s="1"/>
  <c r="R10" i="17"/>
  <c r="P10" i="17"/>
  <c r="S10" i="17" s="1"/>
  <c r="R9" i="17"/>
  <c r="P9" i="17"/>
  <c r="S9" i="17" s="1"/>
  <c r="R8" i="17"/>
  <c r="P8" i="17"/>
  <c r="S8" i="17" s="1"/>
  <c r="Q7" i="17"/>
  <c r="R7" i="17" s="1"/>
  <c r="P7" i="17"/>
  <c r="S7" i="17" s="1"/>
  <c r="R6" i="17"/>
  <c r="P6" i="17"/>
  <c r="S6" i="17" s="1"/>
  <c r="S26" i="17" l="1"/>
  <c r="R12" i="17"/>
  <c r="R26" i="17"/>
  <c r="R31" i="17" s="1"/>
  <c r="R32" i="17" s="1"/>
  <c r="AD82" i="46"/>
  <c r="R17" i="17"/>
  <c r="S17" i="17"/>
  <c r="S22" i="17" s="1"/>
  <c r="S23" i="17" s="1"/>
  <c r="R22" i="17"/>
  <c r="R23" i="17" s="1"/>
  <c r="AD84" i="46"/>
  <c r="V81" i="46"/>
  <c r="AD83" i="46"/>
  <c r="AD81" i="46"/>
  <c r="P81" i="46"/>
  <c r="T81" i="46"/>
  <c r="C81" i="46"/>
  <c r="N25" i="48" s="1"/>
  <c r="H81" i="46"/>
  <c r="S31" i="17"/>
  <c r="S32" i="17" s="1"/>
  <c r="S12" i="17"/>
  <c r="Q12" i="17"/>
  <c r="Q13" i="17" s="1"/>
  <c r="AR79" i="55"/>
  <c r="BA79" i="55" s="1"/>
  <c r="AM79" i="55"/>
  <c r="AR78" i="55"/>
  <c r="BA78" i="55" s="1"/>
  <c r="AM78" i="55"/>
  <c r="AD78" i="55" s="1"/>
  <c r="AR77" i="55"/>
  <c r="BA77" i="55" s="1"/>
  <c r="AM77" i="55"/>
  <c r="E47" i="47"/>
  <c r="G47" i="47" s="1"/>
  <c r="H47" i="47" s="1"/>
  <c r="O78" i="55" s="1"/>
  <c r="E46" i="47"/>
  <c r="G46" i="47" s="1"/>
  <c r="H46" i="47" s="1"/>
  <c r="O77" i="55" s="1"/>
  <c r="Z78" i="46"/>
  <c r="C8" i="18"/>
  <c r="K8" i="18" s="1"/>
  <c r="W78" i="55" s="1"/>
  <c r="C7" i="18"/>
  <c r="K7" i="18" s="1"/>
  <c r="W77" i="55" s="1"/>
  <c r="C77" i="55" l="1"/>
  <c r="K77" i="55"/>
  <c r="C78" i="55"/>
  <c r="K78" i="55"/>
  <c r="AD79" i="55"/>
  <c r="X77" i="55"/>
  <c r="AD77" i="55"/>
  <c r="U77" i="55"/>
  <c r="T77" i="55"/>
  <c r="V77" i="55"/>
  <c r="U78" i="55"/>
  <c r="T78" i="55"/>
  <c r="V78" i="55"/>
  <c r="W78" i="46"/>
  <c r="W77" i="46"/>
  <c r="O77" i="46"/>
  <c r="J81" i="46"/>
  <c r="K81" i="46"/>
  <c r="R13" i="17"/>
  <c r="S13" i="17"/>
  <c r="O78" i="46"/>
  <c r="AC77" i="55" l="1"/>
  <c r="P77" i="55"/>
  <c r="AC81" i="46"/>
  <c r="L25" i="48"/>
  <c r="P78" i="55"/>
  <c r="BE24" i="48" l="1"/>
  <c r="P6" i="18" l="1"/>
  <c r="I38" i="18"/>
  <c r="I46" i="47" s="1"/>
  <c r="P26" i="18"/>
  <c r="P15" i="18"/>
  <c r="P77" i="46" l="1"/>
  <c r="N77" i="46"/>
  <c r="AR79" i="46"/>
  <c r="BA79" i="46" s="1"/>
  <c r="AM79" i="46"/>
  <c r="AR78" i="46"/>
  <c r="BA78" i="46" s="1"/>
  <c r="AM78" i="46"/>
  <c r="U78" i="46"/>
  <c r="N78" i="46"/>
  <c r="AR77" i="46"/>
  <c r="BA77" i="46" s="1"/>
  <c r="AM77" i="46"/>
  <c r="Q37" i="18"/>
  <c r="R30" i="18"/>
  <c r="P30" i="18"/>
  <c r="S30" i="18" s="1"/>
  <c r="R29" i="18"/>
  <c r="P29" i="18"/>
  <c r="S29" i="18" s="1"/>
  <c r="R28" i="18"/>
  <c r="P28" i="18"/>
  <c r="S28" i="18" s="1"/>
  <c r="Q27" i="18"/>
  <c r="R27" i="18" s="1"/>
  <c r="P27" i="18"/>
  <c r="S27" i="18" s="1"/>
  <c r="R26" i="18"/>
  <c r="S26" i="18"/>
  <c r="R19" i="18"/>
  <c r="P19" i="18"/>
  <c r="S19" i="18" s="1"/>
  <c r="R18" i="18"/>
  <c r="P18" i="18"/>
  <c r="S18" i="18" s="1"/>
  <c r="R17" i="18"/>
  <c r="P17" i="18"/>
  <c r="S17" i="18" s="1"/>
  <c r="P16" i="18"/>
  <c r="R15" i="18"/>
  <c r="S15" i="18"/>
  <c r="Q6" i="18"/>
  <c r="Q7" i="18" s="1"/>
  <c r="R10" i="18"/>
  <c r="P10" i="18"/>
  <c r="S10" i="18" s="1"/>
  <c r="R9" i="18"/>
  <c r="P9" i="18"/>
  <c r="S9" i="18" s="1"/>
  <c r="R8" i="18"/>
  <c r="P8" i="18"/>
  <c r="S8" i="18" s="1"/>
  <c r="P7" i="18"/>
  <c r="J4" i="18"/>
  <c r="R6" i="18" l="1"/>
  <c r="Q32" i="18"/>
  <c r="Q33" i="18" s="1"/>
  <c r="R32" i="18"/>
  <c r="R33" i="18" s="1"/>
  <c r="AD77" i="46"/>
  <c r="V78" i="46"/>
  <c r="V77" i="46"/>
  <c r="AD79" i="46"/>
  <c r="T77" i="46"/>
  <c r="C77" i="46"/>
  <c r="U77" i="46"/>
  <c r="H77" i="46"/>
  <c r="AD78" i="46"/>
  <c r="P78" i="46"/>
  <c r="T78" i="46"/>
  <c r="C78" i="46"/>
  <c r="H78" i="46"/>
  <c r="S32" i="18"/>
  <c r="Q16" i="18"/>
  <c r="S6" i="18"/>
  <c r="R7" i="18"/>
  <c r="S7" i="18"/>
  <c r="R12" i="18"/>
  <c r="Q12" i="18"/>
  <c r="Q13" i="18" s="1"/>
  <c r="S33" i="18" l="1"/>
  <c r="N24" i="48"/>
  <c r="R13" i="18"/>
  <c r="S12" i="18"/>
  <c r="S13" i="18" s="1"/>
  <c r="K77" i="46"/>
  <c r="J77" i="46"/>
  <c r="J78" i="46"/>
  <c r="K78" i="46"/>
  <c r="R16" i="18"/>
  <c r="R21" i="18" s="1"/>
  <c r="S16" i="18"/>
  <c r="S21" i="18" s="1"/>
  <c r="Q21" i="18"/>
  <c r="Q22" i="18" s="1"/>
  <c r="EA24" i="2"/>
  <c r="S22" i="18" l="1"/>
  <c r="AC77" i="46"/>
  <c r="L24" i="48"/>
  <c r="X77" i="46"/>
  <c r="R22" i="18"/>
  <c r="P4" i="51"/>
  <c r="P3" i="51"/>
  <c r="AA24" i="2"/>
  <c r="FS42" i="2" l="1"/>
  <c r="FU10" i="2"/>
  <c r="FU11" i="2" s="1"/>
  <c r="AR75" i="55"/>
  <c r="BA75" i="55" s="1"/>
  <c r="AM75" i="55"/>
  <c r="AR74" i="55"/>
  <c r="BA74" i="55" s="1"/>
  <c r="AM74" i="55"/>
  <c r="AR73" i="55"/>
  <c r="BA73" i="55" s="1"/>
  <c r="AM73" i="55"/>
  <c r="AR71" i="55"/>
  <c r="BA71" i="55" s="1"/>
  <c r="AM71" i="55"/>
  <c r="AR70" i="55"/>
  <c r="BA70" i="55" s="1"/>
  <c r="AM70" i="55"/>
  <c r="AR69" i="55"/>
  <c r="BA69" i="55" s="1"/>
  <c r="AM69" i="55"/>
  <c r="AD69" i="55" l="1"/>
  <c r="AD70" i="55"/>
  <c r="AD75" i="55"/>
  <c r="AD74" i="55"/>
  <c r="AD71" i="55"/>
  <c r="AD73" i="55"/>
  <c r="FU12" i="2"/>
  <c r="FU13" i="2" s="1"/>
  <c r="FU14" i="2" l="1"/>
  <c r="FU15" i="2" l="1"/>
  <c r="FU16" i="2" l="1"/>
  <c r="FU17" i="2" l="1"/>
  <c r="FU18" i="2" l="1"/>
  <c r="FU19" i="2" l="1"/>
  <c r="FU20" i="2" l="1"/>
  <c r="FU21" i="2" l="1"/>
  <c r="FU22" i="2" l="1"/>
  <c r="FU23" i="2" l="1"/>
  <c r="FU24" i="2" l="1"/>
  <c r="FU25" i="2" l="1"/>
  <c r="FU26" i="2" l="1"/>
  <c r="FU27" i="2" l="1"/>
  <c r="FU28" i="2" l="1"/>
  <c r="FU29" i="2" l="1"/>
  <c r="FU30" i="2" l="1"/>
  <c r="FU31" i="2" l="1"/>
  <c r="FU32" i="2" l="1"/>
  <c r="FU33" i="2" l="1"/>
  <c r="FU34" i="2" l="1"/>
  <c r="FU35" i="2" l="1"/>
  <c r="FU36" i="2" l="1"/>
  <c r="FU37" i="2" l="1"/>
  <c r="FU38" i="2" l="1"/>
  <c r="FU39" i="2" l="1"/>
  <c r="FU40" i="2" l="1"/>
  <c r="K12" i="19" l="1"/>
  <c r="W73" i="55" s="1"/>
  <c r="C8" i="19"/>
  <c r="K7" i="19" s="1"/>
  <c r="W74" i="55" s="1"/>
  <c r="F44" i="47"/>
  <c r="E44" i="47"/>
  <c r="E43" i="47"/>
  <c r="E42" i="47"/>
  <c r="G42" i="47" s="1"/>
  <c r="H42" i="47" s="1"/>
  <c r="O73" i="55" s="1"/>
  <c r="AD9" i="45"/>
  <c r="AD10" i="45"/>
  <c r="AD11" i="45"/>
  <c r="AD12" i="45"/>
  <c r="AD13" i="45"/>
  <c r="AD14" i="45"/>
  <c r="AD15" i="45"/>
  <c r="AD16" i="45"/>
  <c r="AD17" i="45"/>
  <c r="AD18" i="45"/>
  <c r="AD19" i="45"/>
  <c r="AD20" i="45"/>
  <c r="AD21" i="45"/>
  <c r="AD22" i="45"/>
  <c r="AD23" i="45"/>
  <c r="AD24" i="45"/>
  <c r="AD25" i="45"/>
  <c r="AD26" i="45"/>
  <c r="AD27" i="45"/>
  <c r="AD28" i="45"/>
  <c r="AD29" i="45"/>
  <c r="AD30" i="45"/>
  <c r="AD31" i="45"/>
  <c r="AD32" i="45"/>
  <c r="AD33" i="45"/>
  <c r="AD34" i="45"/>
  <c r="AD35" i="45"/>
  <c r="AD36" i="45"/>
  <c r="AD37" i="45"/>
  <c r="AD38" i="45"/>
  <c r="AD8" i="45"/>
  <c r="C73" i="55" l="1"/>
  <c r="K73" i="55"/>
  <c r="U73" i="55"/>
  <c r="T73" i="55"/>
  <c r="V73" i="55"/>
  <c r="AC73" i="55"/>
  <c r="H43" i="47"/>
  <c r="O74" i="55" s="1"/>
  <c r="W74" i="46"/>
  <c r="O73" i="46"/>
  <c r="P73" i="55"/>
  <c r="W73" i="46"/>
  <c r="G44" i="47"/>
  <c r="G43" i="47"/>
  <c r="AX11" i="48"/>
  <c r="AX17" i="48"/>
  <c r="AX19" i="48"/>
  <c r="AX25" i="48"/>
  <c r="AX27" i="48"/>
  <c r="AX33" i="48"/>
  <c r="AX34" i="48"/>
  <c r="AX35" i="48"/>
  <c r="AX39" i="48"/>
  <c r="AX38" i="48"/>
  <c r="AX37" i="48"/>
  <c r="AX36" i="48"/>
  <c r="AX32" i="48"/>
  <c r="AX31" i="48"/>
  <c r="AX30" i="48"/>
  <c r="AX29" i="48"/>
  <c r="AX28" i="48"/>
  <c r="AX26" i="48"/>
  <c r="AX24" i="48"/>
  <c r="AX23" i="48"/>
  <c r="AX22" i="48"/>
  <c r="AX21" i="48"/>
  <c r="AX20" i="48"/>
  <c r="AX18" i="48"/>
  <c r="AX16" i="48"/>
  <c r="AX15" i="48"/>
  <c r="AX14" i="48"/>
  <c r="AX13" i="48"/>
  <c r="AX12" i="48"/>
  <c r="AX10" i="48"/>
  <c r="AD40" i="45"/>
  <c r="AD43" i="45" s="1"/>
  <c r="C74" i="55" l="1"/>
  <c r="K74" i="55"/>
  <c r="X73" i="55"/>
  <c r="U74" i="55"/>
  <c r="T74" i="55"/>
  <c r="V74" i="55"/>
  <c r="AA73" i="55"/>
  <c r="O74" i="46"/>
  <c r="P74" i="55"/>
  <c r="AZ39" i="48"/>
  <c r="AZ37" i="48"/>
  <c r="AZ38" i="48"/>
  <c r="AZ35" i="48"/>
  <c r="AZ34" i="48"/>
  <c r="AZ33" i="48"/>
  <c r="AZ31" i="48"/>
  <c r="AZ32" i="48"/>
  <c r="AZ30" i="48"/>
  <c r="AZ36" i="48"/>
  <c r="AX9" i="48"/>
  <c r="AB73" i="55" l="1"/>
  <c r="BE23" i="48"/>
  <c r="AX41" i="48"/>
  <c r="AY9" i="48"/>
  <c r="AY10" i="48" l="1"/>
  <c r="AY11" i="48" l="1"/>
  <c r="AY12" i="48" l="1"/>
  <c r="AY13" i="48" l="1"/>
  <c r="AY14" i="48" l="1"/>
  <c r="AY15" i="48" l="1"/>
  <c r="AY16" i="48" l="1"/>
  <c r="AY17" i="48" l="1"/>
  <c r="AY18" i="48" l="1"/>
  <c r="AY19" i="48" l="1"/>
  <c r="AY20" i="48" l="1"/>
  <c r="AY21" i="48" l="1"/>
  <c r="AY22" i="48" l="1"/>
  <c r="AY23" i="48" l="1"/>
  <c r="AY24" i="48" l="1"/>
  <c r="AY25" i="48" l="1"/>
  <c r="AY26" i="48" l="1"/>
  <c r="AY27" i="48" l="1"/>
  <c r="AY28" i="48" l="1"/>
  <c r="AY29" i="48" l="1"/>
  <c r="AY30" i="48" l="1"/>
  <c r="AY31" i="48" l="1"/>
  <c r="AY32" i="48" l="1"/>
  <c r="AY33" i="48" l="1"/>
  <c r="AY34" i="48" l="1"/>
  <c r="AY35" i="48" l="1"/>
  <c r="AY36" i="48" l="1"/>
  <c r="AY37" i="48" l="1"/>
  <c r="AY38" i="48" l="1"/>
  <c r="AY39" i="48" l="1"/>
  <c r="U74" i="46" l="1"/>
  <c r="N74" i="46"/>
  <c r="U73" i="46"/>
  <c r="N73" i="46"/>
  <c r="AR75" i="46"/>
  <c r="BA75" i="46" s="1"/>
  <c r="AM75" i="46"/>
  <c r="AR74" i="46"/>
  <c r="BA74" i="46" s="1"/>
  <c r="AM74" i="46"/>
  <c r="AR73" i="46"/>
  <c r="BA73" i="46" s="1"/>
  <c r="AM73" i="46"/>
  <c r="I38" i="19"/>
  <c r="I42" i="47" s="1"/>
  <c r="Q38" i="19"/>
  <c r="P17" i="19"/>
  <c r="S17" i="19" s="1"/>
  <c r="R19" i="19"/>
  <c r="P19" i="19"/>
  <c r="S19" i="19" s="1"/>
  <c r="R18" i="19"/>
  <c r="P18" i="19"/>
  <c r="S18" i="19" s="1"/>
  <c r="R17" i="19"/>
  <c r="P16" i="19"/>
  <c r="R15" i="19"/>
  <c r="P15" i="19"/>
  <c r="S15" i="19" s="1"/>
  <c r="Q6" i="19"/>
  <c r="Q7" i="19" s="1"/>
  <c r="R7" i="19" s="1"/>
  <c r="P7" i="19"/>
  <c r="J4" i="19"/>
  <c r="R10" i="19"/>
  <c r="P10" i="19"/>
  <c r="S10" i="19" s="1"/>
  <c r="R9" i="19"/>
  <c r="P9" i="19"/>
  <c r="S9" i="19" s="1"/>
  <c r="R8" i="19"/>
  <c r="P8" i="19"/>
  <c r="S8" i="19" s="1"/>
  <c r="P6" i="19"/>
  <c r="AD75" i="46" l="1"/>
  <c r="S6" i="19"/>
  <c r="R6" i="19"/>
  <c r="AD73" i="46"/>
  <c r="AD74" i="46"/>
  <c r="V73" i="46"/>
  <c r="V74" i="46"/>
  <c r="P74" i="46"/>
  <c r="T74" i="46"/>
  <c r="C74" i="46"/>
  <c r="H74" i="46"/>
  <c r="P73" i="46"/>
  <c r="T73" i="46"/>
  <c r="C73" i="46"/>
  <c r="H73" i="46"/>
  <c r="AA73" i="46"/>
  <c r="Q16" i="19"/>
  <c r="S7" i="19"/>
  <c r="S12" i="19" s="1"/>
  <c r="Q12" i="19"/>
  <c r="Q13" i="19" s="1"/>
  <c r="R12" i="19"/>
  <c r="R13" i="19" s="1"/>
  <c r="F24" i="33"/>
  <c r="S13" i="19" l="1"/>
  <c r="N23" i="48"/>
  <c r="K74" i="46"/>
  <c r="J74" i="46"/>
  <c r="J73" i="46"/>
  <c r="K73" i="46"/>
  <c r="R16" i="19"/>
  <c r="R21" i="19" s="1"/>
  <c r="S16" i="19"/>
  <c r="S21" i="19" s="1"/>
  <c r="Q21" i="19"/>
  <c r="Q22" i="19" s="1"/>
  <c r="Q44" i="55"/>
  <c r="S44" i="55"/>
  <c r="AV46" i="55"/>
  <c r="AC73" i="46" l="1"/>
  <c r="AB73" i="46" s="1"/>
  <c r="L23" i="48"/>
  <c r="X73" i="46"/>
  <c r="S22" i="19"/>
  <c r="R22" i="19"/>
  <c r="O4" i="51" l="1"/>
  <c r="O3" i="51"/>
  <c r="EA23" i="2" l="1"/>
  <c r="AA23" i="2"/>
  <c r="Z69" i="46" l="1"/>
  <c r="K12" i="20"/>
  <c r="W70" i="55" s="1"/>
  <c r="K7" i="20"/>
  <c r="W69" i="55" s="1"/>
  <c r="E40" i="47"/>
  <c r="G40" i="47" s="1"/>
  <c r="H40" i="47" s="1"/>
  <c r="O70" i="55" s="1"/>
  <c r="F39" i="47"/>
  <c r="E39" i="47"/>
  <c r="C70" i="55" l="1"/>
  <c r="K70" i="55"/>
  <c r="U70" i="55"/>
  <c r="T70" i="55"/>
  <c r="V70" i="55"/>
  <c r="P70" i="55"/>
  <c r="W69" i="46"/>
  <c r="W70" i="46"/>
  <c r="O70" i="46"/>
  <c r="G39" i="47"/>
  <c r="H39" i="47" s="1"/>
  <c r="O69" i="55" s="1"/>
  <c r="C69" i="55" l="1"/>
  <c r="K69" i="55"/>
  <c r="X69" i="55"/>
  <c r="U69" i="55"/>
  <c r="AA69" i="55" s="1"/>
  <c r="T69" i="55"/>
  <c r="V69" i="55"/>
  <c r="P69" i="55"/>
  <c r="O69" i="46"/>
  <c r="C69" i="46" s="1"/>
  <c r="C70" i="46"/>
  <c r="N70" i="46"/>
  <c r="H70" i="46" s="1"/>
  <c r="U70" i="46"/>
  <c r="T70" i="46"/>
  <c r="AR71" i="46"/>
  <c r="BA71" i="46" s="1"/>
  <c r="AM71" i="46"/>
  <c r="AR70" i="46"/>
  <c r="BA70" i="46" s="1"/>
  <c r="AM70" i="46"/>
  <c r="AR69" i="46"/>
  <c r="BA69" i="46" s="1"/>
  <c r="AM69" i="46"/>
  <c r="N69" i="46"/>
  <c r="I38" i="20"/>
  <c r="I39" i="47" s="1"/>
  <c r="Q37" i="20"/>
  <c r="G42" i="20"/>
  <c r="I37" i="20" s="1"/>
  <c r="F42" i="20"/>
  <c r="Q30" i="20"/>
  <c r="Q31" i="20" s="1"/>
  <c r="R28" i="20"/>
  <c r="P28" i="20"/>
  <c r="S28" i="20" s="1"/>
  <c r="R27" i="20"/>
  <c r="P27" i="20"/>
  <c r="S27" i="20" s="1"/>
  <c r="R26" i="20"/>
  <c r="P26" i="20"/>
  <c r="S26" i="20" s="1"/>
  <c r="R25" i="20"/>
  <c r="P25" i="20"/>
  <c r="S25" i="20" s="1"/>
  <c r="R24" i="20"/>
  <c r="P24" i="20"/>
  <c r="S24" i="20" s="1"/>
  <c r="P15" i="20"/>
  <c r="S15" i="20" s="1"/>
  <c r="Q21" i="20"/>
  <c r="Q22" i="20" s="1"/>
  <c r="R19" i="20"/>
  <c r="P19" i="20"/>
  <c r="S19" i="20" s="1"/>
  <c r="R18" i="20"/>
  <c r="P18" i="20"/>
  <c r="S18" i="20" s="1"/>
  <c r="R17" i="20"/>
  <c r="P17" i="20"/>
  <c r="S17" i="20" s="1"/>
  <c r="R16" i="20"/>
  <c r="P16" i="20"/>
  <c r="S16" i="20" s="1"/>
  <c r="R15" i="20"/>
  <c r="P7" i="20"/>
  <c r="S7" i="20" s="1"/>
  <c r="Q6" i="20"/>
  <c r="Q12" i="20" s="1"/>
  <c r="Q13" i="20" s="1"/>
  <c r="R10" i="20"/>
  <c r="P10" i="20"/>
  <c r="S10" i="20" s="1"/>
  <c r="R9" i="20"/>
  <c r="P9" i="20"/>
  <c r="S9" i="20" s="1"/>
  <c r="R8" i="20"/>
  <c r="P8" i="20"/>
  <c r="S8" i="20" s="1"/>
  <c r="R7" i="20"/>
  <c r="P6" i="20"/>
  <c r="J4" i="20"/>
  <c r="AC69" i="55" l="1"/>
  <c r="AB69" i="55"/>
  <c r="V69" i="46"/>
  <c r="H69" i="46"/>
  <c r="K69" i="46" s="1"/>
  <c r="S6" i="20"/>
  <c r="AD69" i="46"/>
  <c r="R30" i="20"/>
  <c r="R31" i="20" s="1"/>
  <c r="AD71" i="46"/>
  <c r="N22" i="48"/>
  <c r="AD70" i="46"/>
  <c r="K70" i="46"/>
  <c r="J70" i="46"/>
  <c r="P70" i="46"/>
  <c r="V70" i="46"/>
  <c r="P69" i="46"/>
  <c r="T69" i="46"/>
  <c r="U69" i="46"/>
  <c r="AA69" i="46" s="1"/>
  <c r="S30" i="20"/>
  <c r="S31" i="20" s="1"/>
  <c r="R21" i="20"/>
  <c r="R22" i="20" s="1"/>
  <c r="S21" i="20"/>
  <c r="S22" i="20" s="1"/>
  <c r="S12" i="20"/>
  <c r="S13" i="20" s="1"/>
  <c r="R6" i="20"/>
  <c r="R12" i="20" s="1"/>
  <c r="R13" i="20" s="1"/>
  <c r="EA22" i="2"/>
  <c r="EA21" i="2"/>
  <c r="AA22" i="2"/>
  <c r="AA21" i="2"/>
  <c r="J69" i="46" l="1"/>
  <c r="AC69" i="46"/>
  <c r="X69" i="46"/>
  <c r="BE22" i="48"/>
  <c r="L22" i="48"/>
  <c r="AZ22" i="48" s="1"/>
  <c r="AB69" i="46"/>
  <c r="AR67" i="55"/>
  <c r="BA67" i="55" s="1"/>
  <c r="AM67" i="55"/>
  <c r="AR66" i="55"/>
  <c r="BA66" i="55" s="1"/>
  <c r="AM66" i="55"/>
  <c r="AD66" i="55" s="1"/>
  <c r="AR65" i="55"/>
  <c r="BA65" i="55" s="1"/>
  <c r="AM65" i="55"/>
  <c r="AD65" i="55" s="1"/>
  <c r="AR64" i="55"/>
  <c r="BA64" i="55" s="1"/>
  <c r="AM64" i="55"/>
  <c r="S64" i="55"/>
  <c r="AR62" i="55"/>
  <c r="BA62" i="55" s="1"/>
  <c r="AM62" i="55"/>
  <c r="AR61" i="55"/>
  <c r="BA61" i="55" s="1"/>
  <c r="AM61" i="55"/>
  <c r="AR60" i="55"/>
  <c r="BA60" i="55" s="1"/>
  <c r="AM60" i="55"/>
  <c r="F37" i="47"/>
  <c r="E37" i="47"/>
  <c r="E35" i="47"/>
  <c r="G35" i="47" s="1"/>
  <c r="E34" i="47"/>
  <c r="G34" i="47" s="1"/>
  <c r="AD60" i="55" l="1"/>
  <c r="AD67" i="55"/>
  <c r="AD64" i="55"/>
  <c r="AD61" i="55"/>
  <c r="AD62" i="55"/>
  <c r="G37" i="47"/>
  <c r="H37" i="47" s="1"/>
  <c r="O64" i="55" s="1"/>
  <c r="H34" i="47"/>
  <c r="O60" i="55" s="1"/>
  <c r="C60" i="55" l="1"/>
  <c r="K60" i="55"/>
  <c r="C64" i="55"/>
  <c r="K64" i="55"/>
  <c r="T60" i="55"/>
  <c r="U60" i="55"/>
  <c r="V60" i="55"/>
  <c r="U64" i="55"/>
  <c r="T64" i="55"/>
  <c r="V64" i="55"/>
  <c r="O64" i="46"/>
  <c r="P64" i="55"/>
  <c r="O60" i="46"/>
  <c r="AC64" i="55" l="1"/>
  <c r="AC60" i="55"/>
  <c r="BE21" i="48"/>
  <c r="P60" i="55"/>
  <c r="AM67" i="46"/>
  <c r="AR67" i="46"/>
  <c r="BA67" i="46" s="1"/>
  <c r="S64" i="46"/>
  <c r="AR66" i="46"/>
  <c r="BA66" i="46" s="1"/>
  <c r="AM66" i="46"/>
  <c r="AR65" i="46"/>
  <c r="BA65" i="46" s="1"/>
  <c r="AM65" i="46"/>
  <c r="AR64" i="46"/>
  <c r="BA64" i="46" s="1"/>
  <c r="AM64" i="46"/>
  <c r="N64" i="46"/>
  <c r="AR62" i="46"/>
  <c r="BA62" i="46" s="1"/>
  <c r="AM62" i="46"/>
  <c r="AR61" i="46"/>
  <c r="BA61" i="46" s="1"/>
  <c r="AM61" i="46"/>
  <c r="AR60" i="46"/>
  <c r="BA60" i="46" s="1"/>
  <c r="AM60" i="46"/>
  <c r="U60" i="46"/>
  <c r="N60" i="46"/>
  <c r="P29" i="22"/>
  <c r="R28" i="22"/>
  <c r="P28" i="22"/>
  <c r="S28" i="22" s="1"/>
  <c r="Q31" i="22"/>
  <c r="Q32" i="22" s="1"/>
  <c r="P27" i="22"/>
  <c r="R26" i="22"/>
  <c r="P26" i="22"/>
  <c r="S26" i="22" s="1"/>
  <c r="R25" i="22"/>
  <c r="P25" i="22"/>
  <c r="S25" i="22" s="1"/>
  <c r="F26" i="22"/>
  <c r="F17" i="22"/>
  <c r="Q18" i="22"/>
  <c r="R18" i="22" s="1"/>
  <c r="P18" i="22"/>
  <c r="Q17" i="22"/>
  <c r="R17" i="22" s="1"/>
  <c r="Q16" i="22"/>
  <c r="R16" i="22" s="1"/>
  <c r="P15" i="22"/>
  <c r="S15" i="22" s="1"/>
  <c r="P16" i="22"/>
  <c r="P17" i="22"/>
  <c r="R15" i="22"/>
  <c r="R14" i="22"/>
  <c r="P14" i="22"/>
  <c r="S14" i="22" s="1"/>
  <c r="F9" i="22"/>
  <c r="Q8" i="22"/>
  <c r="R8" i="22" s="1"/>
  <c r="Q7" i="22"/>
  <c r="Q6" i="22"/>
  <c r="I38" i="22"/>
  <c r="I37" i="47" s="1"/>
  <c r="R10" i="22"/>
  <c r="P10" i="22"/>
  <c r="S10" i="22" s="1"/>
  <c r="R9" i="22"/>
  <c r="P9" i="22"/>
  <c r="S9" i="22" s="1"/>
  <c r="P8" i="22"/>
  <c r="S8" i="22" s="1"/>
  <c r="P7" i="22"/>
  <c r="R6" i="22"/>
  <c r="P6" i="22"/>
  <c r="S6" i="22" s="1"/>
  <c r="J4" i="22"/>
  <c r="F9" i="21"/>
  <c r="F17" i="21"/>
  <c r="F26" i="21"/>
  <c r="I38" i="21"/>
  <c r="I34" i="47" s="1"/>
  <c r="Q12" i="21"/>
  <c r="Q13" i="21" s="1"/>
  <c r="R10" i="21"/>
  <c r="P10" i="21"/>
  <c r="S10" i="21" s="1"/>
  <c r="R9" i="21"/>
  <c r="P9" i="21"/>
  <c r="S9" i="21" s="1"/>
  <c r="R8" i="21"/>
  <c r="P8" i="21"/>
  <c r="S8" i="21" s="1"/>
  <c r="R7" i="21"/>
  <c r="P7" i="21"/>
  <c r="S7" i="21" s="1"/>
  <c r="R6" i="21"/>
  <c r="P6" i="21"/>
  <c r="S6" i="21" s="1"/>
  <c r="J4" i="21"/>
  <c r="AD61" i="46" l="1"/>
  <c r="Q12" i="22"/>
  <c r="Q13" i="22" s="1"/>
  <c r="R20" i="22"/>
  <c r="AD62" i="46"/>
  <c r="AD66" i="46"/>
  <c r="BE20" i="48"/>
  <c r="AD64" i="46"/>
  <c r="S7" i="22"/>
  <c r="S12" i="22" s="1"/>
  <c r="R7" i="22"/>
  <c r="R12" i="22" s="1"/>
  <c r="R12" i="21"/>
  <c r="R13" i="21" s="1"/>
  <c r="S17" i="22"/>
  <c r="AD65" i="46"/>
  <c r="V60" i="46"/>
  <c r="P60" i="46"/>
  <c r="AD67" i="46"/>
  <c r="V64" i="46"/>
  <c r="P64" i="46"/>
  <c r="T64" i="46"/>
  <c r="C64" i="46"/>
  <c r="N21" i="48" s="1"/>
  <c r="U64" i="46"/>
  <c r="H64" i="46"/>
  <c r="AD60" i="46"/>
  <c r="T60" i="46"/>
  <c r="C60" i="46"/>
  <c r="N20" i="48" s="1"/>
  <c r="H60" i="46"/>
  <c r="S29" i="22"/>
  <c r="S27" i="22"/>
  <c r="R27" i="22"/>
  <c r="R29" i="22"/>
  <c r="S18" i="22"/>
  <c r="S16" i="22"/>
  <c r="Q20" i="22"/>
  <c r="Q21" i="22" s="1"/>
  <c r="S12" i="21"/>
  <c r="S13" i="21" s="1"/>
  <c r="EA20" i="2"/>
  <c r="AA20" i="2"/>
  <c r="R13" i="22" l="1"/>
  <c r="S13" i="22"/>
  <c r="S20" i="22"/>
  <c r="S21" i="22" s="1"/>
  <c r="K64" i="46"/>
  <c r="L21" i="48" s="1"/>
  <c r="AZ21" i="48" s="1"/>
  <c r="J64" i="46"/>
  <c r="J60" i="46"/>
  <c r="K60" i="46"/>
  <c r="L20" i="48" s="1"/>
  <c r="AZ20" i="48" s="1"/>
  <c r="S31" i="22"/>
  <c r="S32" i="22" s="1"/>
  <c r="R31" i="22"/>
  <c r="R32" i="22" s="1"/>
  <c r="R21" i="22"/>
  <c r="AR58" i="55"/>
  <c r="BA58" i="55" s="1"/>
  <c r="AM58" i="55"/>
  <c r="AD58" i="55" s="1"/>
  <c r="AR57" i="55"/>
  <c r="BA57" i="55" s="1"/>
  <c r="AM57" i="55"/>
  <c r="AR56" i="55"/>
  <c r="BA56" i="55" s="1"/>
  <c r="AM56" i="55"/>
  <c r="AD57" i="55" l="1"/>
  <c r="AD56" i="55"/>
  <c r="AC64" i="46"/>
  <c r="AC60" i="46"/>
  <c r="F32" i="47" l="1"/>
  <c r="E32" i="47"/>
  <c r="G32" i="47" l="1"/>
  <c r="H32" i="47" s="1"/>
  <c r="O56" i="55" s="1"/>
  <c r="K56" i="55" l="1"/>
  <c r="C56" i="55"/>
  <c r="U56" i="55"/>
  <c r="T56" i="55"/>
  <c r="V56" i="55"/>
  <c r="O56" i="46"/>
  <c r="F9" i="23"/>
  <c r="I38" i="23"/>
  <c r="I32" i="47" s="1"/>
  <c r="G42" i="23"/>
  <c r="F42" i="23"/>
  <c r="AC56" i="55" l="1"/>
  <c r="BE19" i="48"/>
  <c r="P56" i="55"/>
  <c r="AR58" i="46"/>
  <c r="BA58" i="46" s="1"/>
  <c r="AM58" i="46"/>
  <c r="AR57" i="46"/>
  <c r="BA57" i="46" s="1"/>
  <c r="AM57" i="46"/>
  <c r="AR56" i="46"/>
  <c r="BA56" i="46" s="1"/>
  <c r="AM56" i="46"/>
  <c r="U56" i="46"/>
  <c r="N56" i="46"/>
  <c r="Q25" i="23"/>
  <c r="R25" i="23" s="1"/>
  <c r="Q24" i="23"/>
  <c r="Q26" i="23"/>
  <c r="R26" i="23" s="1"/>
  <c r="R28" i="23"/>
  <c r="P28" i="23"/>
  <c r="S28" i="23" s="1"/>
  <c r="R27" i="23"/>
  <c r="P27" i="23"/>
  <c r="S27" i="23" s="1"/>
  <c r="P26" i="23"/>
  <c r="P25" i="23"/>
  <c r="P24" i="23"/>
  <c r="Q12" i="23"/>
  <c r="Q13" i="23" s="1"/>
  <c r="R10" i="23"/>
  <c r="P10" i="23"/>
  <c r="S10" i="23" s="1"/>
  <c r="R9" i="23"/>
  <c r="P9" i="23"/>
  <c r="S9" i="23" s="1"/>
  <c r="R8" i="23"/>
  <c r="P8" i="23"/>
  <c r="S8" i="23" s="1"/>
  <c r="R7" i="23"/>
  <c r="P7" i="23"/>
  <c r="S7" i="23" s="1"/>
  <c r="R6" i="23"/>
  <c r="P6" i="23"/>
  <c r="S6" i="23" s="1"/>
  <c r="J4" i="23"/>
  <c r="S24" i="23" l="1"/>
  <c r="AD57" i="46"/>
  <c r="Q30" i="23"/>
  <c r="Q31" i="23" s="1"/>
  <c r="R24" i="23"/>
  <c r="S25" i="23"/>
  <c r="V56" i="46"/>
  <c r="T56" i="46"/>
  <c r="AD58" i="46"/>
  <c r="AD56" i="46"/>
  <c r="P56" i="46"/>
  <c r="C56" i="46"/>
  <c r="N19" i="48" s="1"/>
  <c r="H56" i="46"/>
  <c r="S26" i="23"/>
  <c r="S30" i="23" s="1"/>
  <c r="S31" i="23" s="1"/>
  <c r="R30" i="23"/>
  <c r="R31" i="23" s="1"/>
  <c r="R12" i="23"/>
  <c r="R13" i="23" s="1"/>
  <c r="S12" i="23"/>
  <c r="S13" i="23" s="1"/>
  <c r="S36" i="55"/>
  <c r="S35" i="55"/>
  <c r="S30" i="55"/>
  <c r="S32" i="55" s="1"/>
  <c r="S19" i="55"/>
  <c r="S7" i="55"/>
  <c r="S35" i="46"/>
  <c r="S30" i="46"/>
  <c r="S32" i="46" s="1"/>
  <c r="S19" i="46"/>
  <c r="S7" i="46"/>
  <c r="S36" i="46"/>
  <c r="AR54" i="55"/>
  <c r="BA54" i="55" s="1"/>
  <c r="AM54" i="55"/>
  <c r="AD54" i="55" s="1"/>
  <c r="AR53" i="55"/>
  <c r="BA53" i="55" s="1"/>
  <c r="AM53" i="55"/>
  <c r="AR52" i="55"/>
  <c r="BA52" i="55" s="1"/>
  <c r="AM52" i="55"/>
  <c r="AD52" i="55" s="1"/>
  <c r="K4" i="51"/>
  <c r="K3" i="51"/>
  <c r="AD53" i="55" l="1"/>
  <c r="J56" i="46"/>
  <c r="K56" i="46"/>
  <c r="L19" i="48" s="1"/>
  <c r="AZ19" i="48" s="1"/>
  <c r="AC56" i="46" l="1"/>
  <c r="E30" i="47" l="1"/>
  <c r="G30" i="47" s="1"/>
  <c r="E29" i="47"/>
  <c r="EA19" i="2"/>
  <c r="AA19" i="2"/>
  <c r="H29" i="47" l="1"/>
  <c r="O52" i="55" s="1"/>
  <c r="C52" i="55"/>
  <c r="K52" i="55"/>
  <c r="T52" i="55"/>
  <c r="U52" i="55"/>
  <c r="V52" i="55"/>
  <c r="O52" i="46"/>
  <c r="G29" i="47"/>
  <c r="AC52" i="55" l="1"/>
  <c r="P52" i="55"/>
  <c r="U52" i="46"/>
  <c r="N52" i="46"/>
  <c r="H52" i="46" s="1"/>
  <c r="AR54" i="46"/>
  <c r="BA54" i="46" s="1"/>
  <c r="AM54" i="46"/>
  <c r="AR53" i="46"/>
  <c r="BA53" i="46" s="1"/>
  <c r="AM53" i="46"/>
  <c r="AR52" i="46"/>
  <c r="BA52" i="46" s="1"/>
  <c r="AM52" i="46"/>
  <c r="F26" i="24"/>
  <c r="I38" i="24"/>
  <c r="I29" i="47" s="1"/>
  <c r="P8" i="24"/>
  <c r="R10" i="24"/>
  <c r="P10" i="24"/>
  <c r="S10" i="24" s="1"/>
  <c r="R9" i="24"/>
  <c r="P9" i="24"/>
  <c r="S9" i="24" s="1"/>
  <c r="P7" i="24"/>
  <c r="R7" i="24"/>
  <c r="P6" i="24"/>
  <c r="S6" i="24" s="1"/>
  <c r="J4" i="24"/>
  <c r="AD52" i="46" l="1"/>
  <c r="BE18" i="48"/>
  <c r="AD53" i="46"/>
  <c r="AD54" i="46"/>
  <c r="V52" i="46"/>
  <c r="K52" i="46"/>
  <c r="J52" i="46"/>
  <c r="C52" i="46"/>
  <c r="N18" i="48" s="1"/>
  <c r="T52" i="46"/>
  <c r="P52" i="46"/>
  <c r="S7" i="24"/>
  <c r="R8" i="24"/>
  <c r="R6" i="24"/>
  <c r="R12" i="24" s="1"/>
  <c r="Q12" i="24"/>
  <c r="Q13" i="24" s="1"/>
  <c r="B4" i="51"/>
  <c r="B3" i="51"/>
  <c r="D4" i="51"/>
  <c r="D3" i="51"/>
  <c r="E4" i="51"/>
  <c r="E3" i="51"/>
  <c r="F4" i="51"/>
  <c r="F3" i="51"/>
  <c r="G4" i="51"/>
  <c r="G3" i="51"/>
  <c r="I4" i="51"/>
  <c r="I3" i="51"/>
  <c r="J4" i="51"/>
  <c r="J3" i="51"/>
  <c r="L18" i="48" l="1"/>
  <c r="AZ18" i="48" s="1"/>
  <c r="AC52" i="46"/>
  <c r="R13" i="24"/>
  <c r="S8" i="24"/>
  <c r="S12" i="24" s="1"/>
  <c r="S13" i="24" s="1"/>
  <c r="AR50" i="55"/>
  <c r="BA50" i="55" s="1"/>
  <c r="AM50" i="55"/>
  <c r="AR49" i="55"/>
  <c r="BA49" i="55" s="1"/>
  <c r="AM49" i="55"/>
  <c r="S49" i="55"/>
  <c r="AR48" i="55"/>
  <c r="BA48" i="55" s="1"/>
  <c r="AM48" i="55"/>
  <c r="C7" i="25"/>
  <c r="K10" i="25" s="1"/>
  <c r="W48" i="55" s="1"/>
  <c r="F27" i="47"/>
  <c r="F26" i="47"/>
  <c r="E27" i="47"/>
  <c r="E26" i="47"/>
  <c r="AD49" i="55" l="1"/>
  <c r="AD48" i="55"/>
  <c r="AD50" i="55"/>
  <c r="C8" i="25"/>
  <c r="K7" i="25" s="1"/>
  <c r="W49" i="55" s="1"/>
  <c r="G27" i="47"/>
  <c r="H27" i="47" s="1"/>
  <c r="O49" i="55" s="1"/>
  <c r="W48" i="46"/>
  <c r="G26" i="47"/>
  <c r="H26" i="47" s="1"/>
  <c r="O48" i="55" s="1"/>
  <c r="C48" i="55" l="1"/>
  <c r="K48" i="55"/>
  <c r="C49" i="55"/>
  <c r="K49" i="55"/>
  <c r="X48" i="55" s="1"/>
  <c r="T48" i="55"/>
  <c r="U48" i="55"/>
  <c r="V48" i="55"/>
  <c r="U49" i="55"/>
  <c r="T49" i="55"/>
  <c r="V49" i="55"/>
  <c r="W49" i="46"/>
  <c r="O49" i="46"/>
  <c r="O48" i="46"/>
  <c r="AC48" i="55" l="1"/>
  <c r="P49" i="55"/>
  <c r="P48" i="55"/>
  <c r="BE17" i="48" l="1"/>
  <c r="CY18" i="2"/>
  <c r="CI18" i="2"/>
  <c r="EA18" i="2"/>
  <c r="AA18" i="2"/>
  <c r="S49" i="46" l="1"/>
  <c r="N49" i="46"/>
  <c r="H49" i="46" s="1"/>
  <c r="J49" i="46" s="1"/>
  <c r="C49" i="46"/>
  <c r="U48" i="46"/>
  <c r="N48" i="46"/>
  <c r="AR50" i="46"/>
  <c r="BA50" i="46" s="1"/>
  <c r="AM50" i="46"/>
  <c r="AR49" i="46"/>
  <c r="BA49" i="46" s="1"/>
  <c r="AM49" i="46"/>
  <c r="AR48" i="46"/>
  <c r="BA48" i="46" s="1"/>
  <c r="AM48" i="46"/>
  <c r="Z48" i="46"/>
  <c r="F26" i="25"/>
  <c r="I38" i="25"/>
  <c r="I26" i="47" s="1"/>
  <c r="Q28" i="25"/>
  <c r="P17" i="25"/>
  <c r="R19" i="25"/>
  <c r="P19" i="25"/>
  <c r="S19" i="25" s="1"/>
  <c r="R18" i="25"/>
  <c r="P18" i="25"/>
  <c r="S18" i="25" s="1"/>
  <c r="P16" i="25"/>
  <c r="P15" i="25"/>
  <c r="S15" i="25" s="1"/>
  <c r="P7" i="25"/>
  <c r="Q6" i="25"/>
  <c r="Q7" i="25" s="1"/>
  <c r="R7" i="25" s="1"/>
  <c r="P6" i="25"/>
  <c r="R10" i="25"/>
  <c r="P10" i="25"/>
  <c r="S10" i="25" s="1"/>
  <c r="R9" i="25"/>
  <c r="P9" i="25"/>
  <c r="S9" i="25" s="1"/>
  <c r="P8" i="25"/>
  <c r="J4" i="25"/>
  <c r="R6" i="25" l="1"/>
  <c r="Q8" i="25"/>
  <c r="R8" i="25" s="1"/>
  <c r="S7" i="25"/>
  <c r="T49" i="46"/>
  <c r="U49" i="46"/>
  <c r="V48" i="46"/>
  <c r="AD49" i="46"/>
  <c r="P49" i="46"/>
  <c r="V49" i="46"/>
  <c r="K49" i="46"/>
  <c r="P48" i="46"/>
  <c r="T48" i="46"/>
  <c r="C48" i="46"/>
  <c r="N17" i="48" s="1"/>
  <c r="H48" i="46"/>
  <c r="AD48" i="46"/>
  <c r="AD50" i="46"/>
  <c r="R15" i="25"/>
  <c r="R16" i="25"/>
  <c r="S6" i="25"/>
  <c r="S8" i="25"/>
  <c r="R12" i="25"/>
  <c r="Q12" i="25"/>
  <c r="Q13" i="25" s="1"/>
  <c r="S12" i="25" l="1"/>
  <c r="J48" i="46"/>
  <c r="K48" i="46"/>
  <c r="L17" i="48" s="1"/>
  <c r="AZ17" i="48" s="1"/>
  <c r="S16" i="25"/>
  <c r="R13" i="25"/>
  <c r="S13" i="25"/>
  <c r="AR46" i="55"/>
  <c r="AM46" i="55"/>
  <c r="AD46" i="55" s="1"/>
  <c r="AR45" i="55"/>
  <c r="BA45" i="55" s="1"/>
  <c r="AM45" i="55"/>
  <c r="AD45" i="55" s="1"/>
  <c r="AR44" i="55"/>
  <c r="BA44" i="55" s="1"/>
  <c r="AM44" i="55"/>
  <c r="AR43" i="55"/>
  <c r="BA43" i="55" s="1"/>
  <c r="AM43" i="55"/>
  <c r="E24" i="47"/>
  <c r="G24" i="47" s="1"/>
  <c r="H24" i="47" s="1"/>
  <c r="O45" i="55" s="1"/>
  <c r="E23" i="47"/>
  <c r="F22" i="47"/>
  <c r="K11" i="26"/>
  <c r="W44" i="55" s="1"/>
  <c r="K9" i="26"/>
  <c r="W43" i="55" s="1"/>
  <c r="C26" i="26"/>
  <c r="K10" i="26" s="1"/>
  <c r="W45" i="55" s="1"/>
  <c r="K45" i="55" l="1"/>
  <c r="C45" i="55"/>
  <c r="AD44" i="55"/>
  <c r="AD43" i="55"/>
  <c r="U45" i="55"/>
  <c r="T45" i="55"/>
  <c r="V45" i="55"/>
  <c r="W43" i="46"/>
  <c r="W44" i="46"/>
  <c r="W45" i="46"/>
  <c r="O45" i="46"/>
  <c r="AC48" i="46"/>
  <c r="X48" i="46"/>
  <c r="R17" i="25"/>
  <c r="R21" i="25" s="1"/>
  <c r="S17" i="25"/>
  <c r="S21" i="25" s="1"/>
  <c r="Q21" i="25"/>
  <c r="Q22" i="25" s="1"/>
  <c r="P45" i="55" l="1"/>
  <c r="S22" i="25"/>
  <c r="R22" i="25"/>
  <c r="G23" i="47" l="1"/>
  <c r="H23" i="47" s="1"/>
  <c r="O44" i="55" s="1"/>
  <c r="E22" i="47"/>
  <c r="G22" i="47" s="1"/>
  <c r="H22" i="47" s="1"/>
  <c r="O43" i="55" s="1"/>
  <c r="C43" i="55" l="1"/>
  <c r="K43" i="55"/>
  <c r="K44" i="55"/>
  <c r="C44" i="55"/>
  <c r="U43" i="55"/>
  <c r="T43" i="55"/>
  <c r="V43" i="55"/>
  <c r="U44" i="55"/>
  <c r="T44" i="55"/>
  <c r="V44" i="55"/>
  <c r="O43" i="46"/>
  <c r="O44" i="46"/>
  <c r="AM46" i="46"/>
  <c r="AD46" i="46" s="1"/>
  <c r="AR46" i="46"/>
  <c r="S44" i="46"/>
  <c r="I38" i="26"/>
  <c r="I22" i="47" s="1"/>
  <c r="Q36" i="26"/>
  <c r="Q34" i="26"/>
  <c r="P24" i="26"/>
  <c r="S24" i="26" s="1"/>
  <c r="R28" i="26"/>
  <c r="P28" i="26"/>
  <c r="S28" i="26" s="1"/>
  <c r="R27" i="26"/>
  <c r="P27" i="26"/>
  <c r="S27" i="26" s="1"/>
  <c r="P26" i="26"/>
  <c r="Q25" i="26"/>
  <c r="R25" i="26" s="1"/>
  <c r="P25" i="26"/>
  <c r="S25" i="26" s="1"/>
  <c r="R24" i="26"/>
  <c r="Q17" i="26"/>
  <c r="P17" i="26"/>
  <c r="Q16" i="26"/>
  <c r="Q15" i="26"/>
  <c r="P16" i="26"/>
  <c r="R19" i="26"/>
  <c r="P19" i="26"/>
  <c r="S19" i="26" s="1"/>
  <c r="R18" i="26"/>
  <c r="P18" i="26"/>
  <c r="S18" i="26" s="1"/>
  <c r="P15" i="26"/>
  <c r="R10" i="26"/>
  <c r="P10" i="26"/>
  <c r="S10" i="26" s="1"/>
  <c r="R9" i="26"/>
  <c r="P9" i="26"/>
  <c r="S9" i="26" s="1"/>
  <c r="P8" i="26"/>
  <c r="Q7" i="26"/>
  <c r="R7" i="26" s="1"/>
  <c r="P7" i="26"/>
  <c r="R6" i="26"/>
  <c r="P6" i="26"/>
  <c r="S6" i="26" s="1"/>
  <c r="R10" i="28"/>
  <c r="P10" i="28"/>
  <c r="S10" i="28" s="1"/>
  <c r="R9" i="28"/>
  <c r="P9" i="28"/>
  <c r="S9" i="28" s="1"/>
  <c r="P8" i="28"/>
  <c r="Q7" i="28"/>
  <c r="R7" i="28" s="1"/>
  <c r="P7" i="28"/>
  <c r="R6" i="28"/>
  <c r="P6" i="28"/>
  <c r="S6" i="28" s="1"/>
  <c r="X43" i="55" l="1"/>
  <c r="AC43" i="55"/>
  <c r="Q37" i="26"/>
  <c r="S7" i="26"/>
  <c r="S7" i="28"/>
  <c r="Q26" i="26"/>
  <c r="R26" i="26" s="1"/>
  <c r="R30" i="26" s="1"/>
  <c r="P44" i="55"/>
  <c r="Q8" i="26"/>
  <c r="Q12" i="26" s="1"/>
  <c r="Q13" i="26" s="1"/>
  <c r="P43" i="55"/>
  <c r="R16" i="26"/>
  <c r="S15" i="26"/>
  <c r="R15" i="26"/>
  <c r="Q21" i="26"/>
  <c r="Q22" i="26" s="1"/>
  <c r="S16" i="26"/>
  <c r="R17" i="26"/>
  <c r="Q8" i="28"/>
  <c r="Q12" i="28" s="1"/>
  <c r="Q13" i="28" s="1"/>
  <c r="AA17" i="2"/>
  <c r="Q30" i="26" l="1"/>
  <c r="Q31" i="26" s="1"/>
  <c r="R8" i="26"/>
  <c r="R12" i="26" s="1"/>
  <c r="R13" i="26" s="1"/>
  <c r="S26" i="26"/>
  <c r="S30" i="26" s="1"/>
  <c r="S8" i="26"/>
  <c r="S12" i="26" s="1"/>
  <c r="S13" i="26" s="1"/>
  <c r="BE16" i="48"/>
  <c r="R21" i="26"/>
  <c r="R22" i="26" s="1"/>
  <c r="S17" i="26"/>
  <c r="S21" i="26" s="1"/>
  <c r="S22" i="26" s="1"/>
  <c r="R8" i="28"/>
  <c r="R12" i="28" s="1"/>
  <c r="R13" i="28" s="1"/>
  <c r="S8" i="28"/>
  <c r="S12" i="28" s="1"/>
  <c r="S13" i="28" s="1"/>
  <c r="CI17" i="2"/>
  <c r="S31" i="26" l="1"/>
  <c r="R31" i="26"/>
  <c r="J4" i="26"/>
  <c r="N44" i="46" l="1"/>
  <c r="C44" i="46"/>
  <c r="N45" i="46"/>
  <c r="H45" i="46" s="1"/>
  <c r="P45" i="46"/>
  <c r="AR45" i="46"/>
  <c r="BA45" i="46" s="1"/>
  <c r="AM45" i="46"/>
  <c r="AR44" i="46"/>
  <c r="BA44" i="46" s="1"/>
  <c r="AM44" i="46"/>
  <c r="AR43" i="46"/>
  <c r="BA43" i="46" s="1"/>
  <c r="AM43" i="46"/>
  <c r="Z43" i="46"/>
  <c r="T43" i="46"/>
  <c r="N43" i="46"/>
  <c r="AD45" i="46" l="1"/>
  <c r="V43" i="46"/>
  <c r="T44" i="46"/>
  <c r="P44" i="46"/>
  <c r="K45" i="46"/>
  <c r="J45" i="46"/>
  <c r="J44" i="46"/>
  <c r="K44" i="46"/>
  <c r="V45" i="46"/>
  <c r="C45" i="46"/>
  <c r="U45" i="46"/>
  <c r="T45" i="46"/>
  <c r="V44" i="46"/>
  <c r="U44" i="46"/>
  <c r="AD44" i="46"/>
  <c r="AD43" i="46"/>
  <c r="P43" i="46"/>
  <c r="C43" i="46"/>
  <c r="N16" i="48" s="1"/>
  <c r="U43" i="46"/>
  <c r="H43" i="46"/>
  <c r="CY16" i="2"/>
  <c r="AA16" i="2"/>
  <c r="H4" i="51"/>
  <c r="H3" i="51"/>
  <c r="K43" i="46" l="1"/>
  <c r="L16" i="48" s="1"/>
  <c r="AZ16" i="48" s="1"/>
  <c r="J43" i="46"/>
  <c r="AR41" i="55"/>
  <c r="BA41" i="55" s="1"/>
  <c r="AM41" i="55"/>
  <c r="AD41" i="55" s="1"/>
  <c r="AR40" i="55"/>
  <c r="BA40" i="55" s="1"/>
  <c r="AM40" i="55"/>
  <c r="AR39" i="55"/>
  <c r="BA39" i="55" s="1"/>
  <c r="AM39" i="55"/>
  <c r="AD40" i="55" l="1"/>
  <c r="AD39" i="55"/>
  <c r="AC43" i="46"/>
  <c r="X43" i="46"/>
  <c r="F20" i="47" l="1"/>
  <c r="E20" i="47"/>
  <c r="G20" i="47" l="1"/>
  <c r="H20" i="47" s="1"/>
  <c r="O39" i="55" s="1"/>
  <c r="C39" i="55" l="1"/>
  <c r="K39" i="55"/>
  <c r="U39" i="55"/>
  <c r="T39" i="55"/>
  <c r="V39" i="55"/>
  <c r="O39" i="46"/>
  <c r="U39" i="46" s="1"/>
  <c r="N39" i="46"/>
  <c r="H39" i="46" s="1"/>
  <c r="AR41" i="46"/>
  <c r="BA41" i="46" s="1"/>
  <c r="AM41" i="46"/>
  <c r="AR40" i="46"/>
  <c r="BA40" i="46" s="1"/>
  <c r="AM40" i="46"/>
  <c r="AR39" i="46"/>
  <c r="BA39" i="46" s="1"/>
  <c r="AM39" i="46"/>
  <c r="Z39" i="46"/>
  <c r="I38" i="28"/>
  <c r="I20" i="47" s="1"/>
  <c r="J4" i="28"/>
  <c r="AC39" i="55" l="1"/>
  <c r="AD39" i="46"/>
  <c r="AD40" i="46"/>
  <c r="P39" i="55"/>
  <c r="AD41" i="46"/>
  <c r="V39" i="46"/>
  <c r="K39" i="46"/>
  <c r="J39" i="46"/>
  <c r="P39" i="46"/>
  <c r="C39" i="46"/>
  <c r="N15" i="48" s="1"/>
  <c r="T39" i="46"/>
  <c r="BE15" i="48" l="1"/>
  <c r="AC39" i="46"/>
  <c r="L15" i="48"/>
  <c r="AZ15" i="48" s="1"/>
  <c r="EA15" i="2"/>
  <c r="EA14" i="2"/>
  <c r="CY15" i="2"/>
  <c r="AA15" i="2"/>
  <c r="AA14" i="2"/>
  <c r="J35" i="46" l="1"/>
  <c r="J32" i="46"/>
  <c r="J31" i="46"/>
  <c r="J30" i="46"/>
  <c r="J25" i="46"/>
  <c r="J19" i="46"/>
  <c r="J12" i="46"/>
  <c r="J6" i="46"/>
  <c r="J7" i="46"/>
  <c r="AR37" i="55"/>
  <c r="BA37" i="55" s="1"/>
  <c r="AM37" i="55"/>
  <c r="AR36" i="55"/>
  <c r="BA36" i="55" s="1"/>
  <c r="AM36" i="55"/>
  <c r="AR35" i="55"/>
  <c r="BA35" i="55" s="1"/>
  <c r="AM35" i="55"/>
  <c r="AR33" i="55"/>
  <c r="BA33" i="55" s="1"/>
  <c r="AM33" i="55"/>
  <c r="AR32" i="55"/>
  <c r="BA32" i="55" s="1"/>
  <c r="AM32" i="55"/>
  <c r="AR31" i="55"/>
  <c r="BA31" i="55" s="1"/>
  <c r="AM31" i="55"/>
  <c r="AR30" i="55"/>
  <c r="BA30" i="55" s="1"/>
  <c r="AM30" i="55"/>
  <c r="K9" i="27"/>
  <c r="W36" i="55" s="1"/>
  <c r="C7" i="27"/>
  <c r="K10" i="27" s="1"/>
  <c r="W35" i="55" s="1"/>
  <c r="J10" i="27"/>
  <c r="K7" i="29"/>
  <c r="W31" i="55" s="1"/>
  <c r="J9" i="29"/>
  <c r="J9" i="27" s="1"/>
  <c r="C26" i="29"/>
  <c r="K10" i="29" s="1"/>
  <c r="W32" i="55" s="1"/>
  <c r="C16" i="29"/>
  <c r="K8" i="29" s="1"/>
  <c r="W30" i="55" s="1"/>
  <c r="AD35" i="55" l="1"/>
  <c r="AD30" i="55"/>
  <c r="AD37" i="55"/>
  <c r="AD31" i="55"/>
  <c r="AD36" i="55"/>
  <c r="AD32" i="55"/>
  <c r="AD33" i="55"/>
  <c r="W35" i="46"/>
  <c r="W31" i="46"/>
  <c r="W36" i="46"/>
  <c r="W30" i="46"/>
  <c r="W32" i="46"/>
  <c r="F18" i="47"/>
  <c r="E18" i="47"/>
  <c r="E17" i="47"/>
  <c r="G17" i="47" s="1"/>
  <c r="H17" i="47" s="1"/>
  <c r="O35" i="55" s="1"/>
  <c r="F15" i="47"/>
  <c r="F14" i="47"/>
  <c r="F13" i="47"/>
  <c r="E15" i="47"/>
  <c r="E14" i="47"/>
  <c r="E13" i="47"/>
  <c r="C35" i="55" l="1"/>
  <c r="K35" i="55"/>
  <c r="U35" i="55"/>
  <c r="T35" i="55"/>
  <c r="V35" i="55"/>
  <c r="G15" i="47"/>
  <c r="H15" i="47" s="1"/>
  <c r="O32" i="55" s="1"/>
  <c r="G14" i="47"/>
  <c r="H14" i="47" s="1"/>
  <c r="O31" i="55" s="1"/>
  <c r="O35" i="46"/>
  <c r="G18" i="47"/>
  <c r="H18" i="47" s="1"/>
  <c r="O36" i="55" s="1"/>
  <c r="G13" i="47"/>
  <c r="H13" i="47" s="1"/>
  <c r="O30" i="55" s="1"/>
  <c r="C32" i="55" l="1"/>
  <c r="K32" i="55"/>
  <c r="C31" i="55"/>
  <c r="K31" i="55"/>
  <c r="C30" i="55"/>
  <c r="K30" i="55"/>
  <c r="X30" i="55" s="1"/>
  <c r="C36" i="55"/>
  <c r="K36" i="55"/>
  <c r="X35" i="55" s="1"/>
  <c r="AC35" i="55"/>
  <c r="U32" i="55"/>
  <c r="T32" i="55"/>
  <c r="V32" i="55"/>
  <c r="U31" i="55"/>
  <c r="T31" i="55"/>
  <c r="V31" i="55"/>
  <c r="T30" i="55"/>
  <c r="U30" i="55"/>
  <c r="V30" i="55"/>
  <c r="U36" i="55"/>
  <c r="T36" i="55"/>
  <c r="V36" i="55"/>
  <c r="O32" i="46"/>
  <c r="O31" i="46"/>
  <c r="P35" i="55"/>
  <c r="O36" i="46"/>
  <c r="O30" i="46"/>
  <c r="P31" i="55"/>
  <c r="AC30" i="55" l="1"/>
  <c r="P32" i="55"/>
  <c r="P30" i="55"/>
  <c r="P36" i="55"/>
  <c r="AM33" i="46"/>
  <c r="AR33" i="46"/>
  <c r="BA33" i="46" s="1"/>
  <c r="N36" i="46"/>
  <c r="H36" i="46" s="1"/>
  <c r="J36" i="46" s="1"/>
  <c r="C36" i="46"/>
  <c r="N31" i="46"/>
  <c r="C31" i="46"/>
  <c r="N32" i="46"/>
  <c r="T32" i="46"/>
  <c r="AR37" i="46"/>
  <c r="BA37" i="46" s="1"/>
  <c r="AM37" i="46"/>
  <c r="AR36" i="46"/>
  <c r="BA36" i="46" s="1"/>
  <c r="AM36" i="46"/>
  <c r="AR35" i="46"/>
  <c r="BA35" i="46" s="1"/>
  <c r="AM35" i="46"/>
  <c r="Z35" i="46"/>
  <c r="N35" i="46"/>
  <c r="AR32" i="46"/>
  <c r="BA32" i="46" s="1"/>
  <c r="AM32" i="46"/>
  <c r="AR31" i="46"/>
  <c r="BA31" i="46" s="1"/>
  <c r="AM31" i="46"/>
  <c r="AR30" i="46"/>
  <c r="BA30" i="46" s="1"/>
  <c r="AM30" i="46"/>
  <c r="Z30" i="46"/>
  <c r="C30" i="46"/>
  <c r="N30" i="46"/>
  <c r="F9" i="27"/>
  <c r="I38" i="27"/>
  <c r="I17" i="47" s="1"/>
  <c r="Q35" i="27"/>
  <c r="X12" i="27"/>
  <c r="Y10" i="27"/>
  <c r="W10" i="27"/>
  <c r="Z10" i="27" s="1"/>
  <c r="Y9" i="27"/>
  <c r="W9" i="27"/>
  <c r="Z9" i="27" s="1"/>
  <c r="Z6" i="27"/>
  <c r="R27" i="27"/>
  <c r="P27" i="27"/>
  <c r="S27" i="27" s="1"/>
  <c r="R26" i="27"/>
  <c r="P26" i="27"/>
  <c r="S26" i="27" s="1"/>
  <c r="P25" i="27"/>
  <c r="Q24" i="27"/>
  <c r="R24" i="27" s="1"/>
  <c r="P24" i="27"/>
  <c r="R23" i="27"/>
  <c r="P23" i="27"/>
  <c r="S23" i="27" s="1"/>
  <c r="P15" i="27"/>
  <c r="S15" i="27" s="1"/>
  <c r="R19" i="27"/>
  <c r="P19" i="27"/>
  <c r="S19" i="27" s="1"/>
  <c r="R18" i="27"/>
  <c r="P18" i="27"/>
  <c r="S18" i="27" s="1"/>
  <c r="P17" i="27"/>
  <c r="P16" i="27"/>
  <c r="Q6" i="27"/>
  <c r="Q7" i="27" s="1"/>
  <c r="R7" i="27" s="1"/>
  <c r="P7" i="27"/>
  <c r="R10" i="27"/>
  <c r="P10" i="27"/>
  <c r="S10" i="27" s="1"/>
  <c r="R9" i="27"/>
  <c r="P9" i="27"/>
  <c r="S9" i="27" s="1"/>
  <c r="P8" i="27"/>
  <c r="P6" i="27"/>
  <c r="J4" i="27"/>
  <c r="I38" i="29"/>
  <c r="I13" i="47" s="1"/>
  <c r="Q39" i="29"/>
  <c r="R29" i="29"/>
  <c r="P29" i="29"/>
  <c r="S29" i="29" s="1"/>
  <c r="R28" i="29"/>
  <c r="P28" i="29"/>
  <c r="S28" i="29" s="1"/>
  <c r="P27" i="29"/>
  <c r="R26" i="29"/>
  <c r="P26" i="29"/>
  <c r="S26" i="29" s="1"/>
  <c r="Q27" i="29"/>
  <c r="P25" i="29"/>
  <c r="S25" i="29" s="1"/>
  <c r="Q16" i="29"/>
  <c r="R16" i="29" s="1"/>
  <c r="Q15" i="29"/>
  <c r="R19" i="29"/>
  <c r="P19" i="29"/>
  <c r="S19" i="29" s="1"/>
  <c r="R18" i="29"/>
  <c r="P18" i="29"/>
  <c r="S18" i="29" s="1"/>
  <c r="P17" i="29"/>
  <c r="P16" i="29"/>
  <c r="P15" i="29"/>
  <c r="Q12" i="29"/>
  <c r="Q13" i="29" s="1"/>
  <c r="R10" i="29"/>
  <c r="P10" i="29"/>
  <c r="S10" i="29" s="1"/>
  <c r="R9" i="29"/>
  <c r="P9" i="29"/>
  <c r="S9" i="29" s="1"/>
  <c r="R8" i="29"/>
  <c r="P8" i="29"/>
  <c r="S8" i="29" s="1"/>
  <c r="R7" i="29"/>
  <c r="P7" i="29"/>
  <c r="S7" i="29" s="1"/>
  <c r="R6" i="29"/>
  <c r="P6" i="29"/>
  <c r="S6" i="29" s="1"/>
  <c r="J4" i="29"/>
  <c r="S6" i="27" l="1"/>
  <c r="AD35" i="46"/>
  <c r="AD30" i="46"/>
  <c r="R12" i="29"/>
  <c r="R13" i="29" s="1"/>
  <c r="Q25" i="27"/>
  <c r="R25" i="27" s="1"/>
  <c r="R29" i="27" s="1"/>
  <c r="S24" i="27"/>
  <c r="BE13" i="48"/>
  <c r="R6" i="27"/>
  <c r="Q8" i="27"/>
  <c r="R8" i="27" s="1"/>
  <c r="BE14" i="48"/>
  <c r="S7" i="27"/>
  <c r="S15" i="29"/>
  <c r="AD31" i="46"/>
  <c r="R15" i="29"/>
  <c r="Q17" i="29"/>
  <c r="R17" i="29" s="1"/>
  <c r="S16" i="29"/>
  <c r="AD37" i="46"/>
  <c r="T31" i="46"/>
  <c r="P32" i="46"/>
  <c r="P31" i="46"/>
  <c r="P36" i="46"/>
  <c r="V30" i="46"/>
  <c r="V31" i="46"/>
  <c r="V35" i="46"/>
  <c r="U31" i="46"/>
  <c r="AD36" i="46"/>
  <c r="AD33" i="46"/>
  <c r="U36" i="46"/>
  <c r="V36" i="46"/>
  <c r="V32" i="46"/>
  <c r="K35" i="46"/>
  <c r="K30" i="46"/>
  <c r="T36" i="46"/>
  <c r="K36" i="46"/>
  <c r="K32" i="46"/>
  <c r="C32" i="46"/>
  <c r="N13" i="48" s="1"/>
  <c r="K31" i="46"/>
  <c r="U32" i="46"/>
  <c r="T35" i="46"/>
  <c r="P35" i="46"/>
  <c r="U35" i="46"/>
  <c r="C35" i="46"/>
  <c r="N14" i="48" s="1"/>
  <c r="AD32" i="46"/>
  <c r="P30" i="46"/>
  <c r="U30" i="46"/>
  <c r="T30" i="46"/>
  <c r="Y6" i="27"/>
  <c r="Y7" i="27"/>
  <c r="Q16" i="27"/>
  <c r="R16" i="27" s="1"/>
  <c r="R15" i="27"/>
  <c r="S27" i="29"/>
  <c r="S31" i="29" s="1"/>
  <c r="R27" i="29"/>
  <c r="Q31" i="29"/>
  <c r="Q32" i="29" s="1"/>
  <c r="R25" i="29"/>
  <c r="S12" i="29"/>
  <c r="S13" i="29" s="1"/>
  <c r="F23" i="27"/>
  <c r="F14" i="27"/>
  <c r="S25" i="27" l="1"/>
  <c r="Q29" i="27"/>
  <c r="Q30" i="27" s="1"/>
  <c r="S29" i="27"/>
  <c r="R21" i="29"/>
  <c r="R12" i="27"/>
  <c r="S17" i="29"/>
  <c r="S21" i="29" s="1"/>
  <c r="S8" i="27"/>
  <c r="S12" i="27" s="1"/>
  <c r="Q12" i="27"/>
  <c r="Q13" i="27" s="1"/>
  <c r="Q21" i="29"/>
  <c r="Q22" i="29" s="1"/>
  <c r="X35" i="46"/>
  <c r="L13" i="48"/>
  <c r="AZ13" i="48" s="1"/>
  <c r="AC35" i="46"/>
  <c r="L14" i="48"/>
  <c r="AZ14" i="48" s="1"/>
  <c r="AC30" i="46"/>
  <c r="X30" i="46"/>
  <c r="Z7" i="27"/>
  <c r="X13" i="27"/>
  <c r="R30" i="27"/>
  <c r="S30" i="27"/>
  <c r="Q17" i="27"/>
  <c r="Q21" i="27" s="1"/>
  <c r="Q22" i="27" s="1"/>
  <c r="S16" i="27"/>
  <c r="R31" i="29"/>
  <c r="R32" i="29" s="1"/>
  <c r="S32" i="29"/>
  <c r="EA13" i="2"/>
  <c r="AA13" i="2"/>
  <c r="R13" i="27" l="1"/>
  <c r="S13" i="27"/>
  <c r="R22" i="29"/>
  <c r="S22" i="29"/>
  <c r="Y8" i="27"/>
  <c r="Z8" i="27"/>
  <c r="Z12" i="27" s="1"/>
  <c r="Z13" i="27" s="1"/>
  <c r="R17" i="27"/>
  <c r="R21" i="27" s="1"/>
  <c r="R22" i="27" s="1"/>
  <c r="S17" i="27"/>
  <c r="S21" i="27" s="1"/>
  <c r="S22" i="27" s="1"/>
  <c r="AR28" i="55"/>
  <c r="BA28" i="55" s="1"/>
  <c r="AM28" i="55"/>
  <c r="AD28" i="55" s="1"/>
  <c r="AR27" i="55"/>
  <c r="BA27" i="55" s="1"/>
  <c r="AM27" i="55"/>
  <c r="AR26" i="55"/>
  <c r="BA26" i="55" s="1"/>
  <c r="AM26" i="55"/>
  <c r="AR25" i="55"/>
  <c r="BA25" i="55" s="1"/>
  <c r="AM25" i="55"/>
  <c r="F11" i="47"/>
  <c r="E11" i="47"/>
  <c r="AD25" i="55" l="1"/>
  <c r="AD27" i="55"/>
  <c r="AD26" i="55"/>
  <c r="G11" i="47"/>
  <c r="H11" i="47" s="1"/>
  <c r="O25" i="55" s="1"/>
  <c r="Y12" i="27"/>
  <c r="Y13" i="27" s="1"/>
  <c r="AM28" i="46"/>
  <c r="AR28" i="46"/>
  <c r="BA28" i="46" s="1"/>
  <c r="AR27" i="46"/>
  <c r="BA27" i="46" s="1"/>
  <c r="AM27" i="46"/>
  <c r="AR26" i="46"/>
  <c r="BA26" i="46" s="1"/>
  <c r="AM26" i="46"/>
  <c r="AR25" i="46"/>
  <c r="BA25" i="46" s="1"/>
  <c r="AM25" i="46"/>
  <c r="N25" i="46"/>
  <c r="I38" i="30"/>
  <c r="I11" i="47" s="1"/>
  <c r="F9" i="30"/>
  <c r="Q14" i="30"/>
  <c r="Q13" i="30"/>
  <c r="R13" i="30" s="1"/>
  <c r="Q12" i="30"/>
  <c r="R12" i="30" s="1"/>
  <c r="Q11" i="30"/>
  <c r="Q10" i="30"/>
  <c r="Q9" i="30"/>
  <c r="P10" i="30"/>
  <c r="P11" i="30"/>
  <c r="P12" i="30"/>
  <c r="P13" i="30"/>
  <c r="P14" i="30"/>
  <c r="P9" i="30"/>
  <c r="Q7" i="30"/>
  <c r="Q6" i="30"/>
  <c r="P7" i="30"/>
  <c r="P8" i="30"/>
  <c r="C25" i="55" l="1"/>
  <c r="K25" i="55"/>
  <c r="U25" i="55"/>
  <c r="T25" i="55"/>
  <c r="V25" i="55"/>
  <c r="S14" i="30"/>
  <c r="AD28" i="46"/>
  <c r="AD25" i="46"/>
  <c r="O25" i="46"/>
  <c r="K25" i="46" s="1"/>
  <c r="L12" i="48" s="1"/>
  <c r="AZ12" i="48" s="1"/>
  <c r="AD27" i="46"/>
  <c r="AD26" i="46"/>
  <c r="S12" i="30"/>
  <c r="Q16" i="30"/>
  <c r="R14" i="30"/>
  <c r="S13" i="30"/>
  <c r="R11" i="30"/>
  <c r="S11" i="30"/>
  <c r="R10" i="30"/>
  <c r="S10" i="30"/>
  <c r="R8" i="30"/>
  <c r="S8" i="30"/>
  <c r="R7" i="30"/>
  <c r="R6" i="30"/>
  <c r="P6" i="30"/>
  <c r="S6" i="30" s="1"/>
  <c r="J4" i="30"/>
  <c r="AC25" i="55" l="1"/>
  <c r="C25" i="46"/>
  <c r="N12" i="48" s="1"/>
  <c r="V25" i="46"/>
  <c r="U25" i="46"/>
  <c r="T25" i="46"/>
  <c r="AC25" i="46" s="1"/>
  <c r="P25" i="55"/>
  <c r="P25" i="46"/>
  <c r="R16" i="30"/>
  <c r="S7" i="30"/>
  <c r="S16" i="30" s="1"/>
  <c r="EA12" i="2"/>
  <c r="AA12" i="2"/>
  <c r="Q19" i="55"/>
  <c r="R19" i="55"/>
  <c r="AY22" i="55"/>
  <c r="Q12" i="55"/>
  <c r="S12" i="55"/>
  <c r="AV17" i="55"/>
  <c r="AM17" i="55" s="1"/>
  <c r="AD17" i="55" s="1"/>
  <c r="AR17" i="55"/>
  <c r="S12" i="46"/>
  <c r="AM17" i="46"/>
  <c r="AD17" i="46" s="1"/>
  <c r="AR17" i="46"/>
  <c r="S51" i="32"/>
  <c r="U50" i="32"/>
  <c r="V48" i="32"/>
  <c r="R48" i="32"/>
  <c r="U48" i="32" s="1"/>
  <c r="U45" i="32"/>
  <c r="R43" i="32"/>
  <c r="U43" i="32" s="1"/>
  <c r="W48" i="32" l="1"/>
  <c r="BE12" i="48"/>
  <c r="R17" i="30"/>
  <c r="S17" i="30"/>
  <c r="AR23" i="55"/>
  <c r="BA23" i="55" s="1"/>
  <c r="AM23" i="55"/>
  <c r="AR22" i="55"/>
  <c r="BA22" i="55" s="1"/>
  <c r="AM22" i="55"/>
  <c r="AR21" i="55"/>
  <c r="BA21" i="55" s="1"/>
  <c r="AM21" i="55"/>
  <c r="AR20" i="55"/>
  <c r="BA20" i="55" s="1"/>
  <c r="AM20" i="55"/>
  <c r="AR19" i="55"/>
  <c r="BA19" i="55" s="1"/>
  <c r="AM19" i="55"/>
  <c r="AR12" i="55"/>
  <c r="BA12" i="55" s="1"/>
  <c r="AM12" i="55"/>
  <c r="R12" i="55"/>
  <c r="J8" i="32"/>
  <c r="J8" i="31" s="1"/>
  <c r="J9" i="32"/>
  <c r="J9" i="31" s="1"/>
  <c r="J10" i="32"/>
  <c r="J10" i="31" s="1"/>
  <c r="J11" i="32"/>
  <c r="J11" i="31" s="1"/>
  <c r="J12" i="32"/>
  <c r="J12" i="31" s="1"/>
  <c r="J13" i="32"/>
  <c r="J13" i="31" s="1"/>
  <c r="J14" i="32"/>
  <c r="J14" i="31" s="1"/>
  <c r="J15" i="32"/>
  <c r="J15" i="31" s="1"/>
  <c r="J16" i="32"/>
  <c r="J16" i="31" s="1"/>
  <c r="J17" i="32"/>
  <c r="J17" i="31" s="1"/>
  <c r="J18" i="32"/>
  <c r="J18" i="31" s="1"/>
  <c r="J19" i="32"/>
  <c r="J19" i="31" s="1"/>
  <c r="J20" i="32"/>
  <c r="J20" i="31" s="1"/>
  <c r="J21" i="32"/>
  <c r="J21" i="31" s="1"/>
  <c r="J22" i="32"/>
  <c r="J22" i="31" s="1"/>
  <c r="J23" i="32"/>
  <c r="J23" i="31" s="1"/>
  <c r="J24" i="32"/>
  <c r="J24" i="31" s="1"/>
  <c r="J25" i="32"/>
  <c r="J25" i="31" s="1"/>
  <c r="J26" i="32"/>
  <c r="J26" i="31" s="1"/>
  <c r="J27" i="32"/>
  <c r="J27" i="31" s="1"/>
  <c r="J28" i="32"/>
  <c r="J28" i="31" s="1"/>
  <c r="J29" i="32"/>
  <c r="J29" i="31" s="1"/>
  <c r="J30" i="32"/>
  <c r="J30" i="31" s="1"/>
  <c r="J31" i="32"/>
  <c r="J31" i="31" s="1"/>
  <c r="J32" i="32"/>
  <c r="F9" i="47"/>
  <c r="E9" i="47"/>
  <c r="AD21" i="55" l="1"/>
  <c r="AD12" i="55"/>
  <c r="AD22" i="55"/>
  <c r="AD19" i="55"/>
  <c r="AD23" i="55"/>
  <c r="AD20" i="55"/>
  <c r="G9" i="47"/>
  <c r="H9" i="47" s="1"/>
  <c r="O19" i="55" s="1"/>
  <c r="K19" i="55" l="1"/>
  <c r="C19" i="55"/>
  <c r="U19" i="55"/>
  <c r="T19" i="55"/>
  <c r="V19" i="55"/>
  <c r="AC19" i="55"/>
  <c r="O19" i="46"/>
  <c r="AM23" i="46"/>
  <c r="AR23" i="46"/>
  <c r="BA23" i="46" s="1"/>
  <c r="AM22" i="46"/>
  <c r="AR22" i="46"/>
  <c r="BA22" i="46" s="1"/>
  <c r="AR21" i="46"/>
  <c r="BA21" i="46" s="1"/>
  <c r="AM21" i="46"/>
  <c r="AR20" i="46"/>
  <c r="BA20" i="46" s="1"/>
  <c r="AM20" i="46"/>
  <c r="AR19" i="46"/>
  <c r="BA19" i="46" s="1"/>
  <c r="AM19" i="46"/>
  <c r="N19" i="46"/>
  <c r="F26" i="31"/>
  <c r="I38" i="31"/>
  <c r="I9" i="47" s="1"/>
  <c r="G42" i="31"/>
  <c r="I37" i="31" s="1"/>
  <c r="F42" i="31"/>
  <c r="N39" i="31"/>
  <c r="Q25" i="31"/>
  <c r="Q30" i="31" s="1"/>
  <c r="Q31" i="31" s="1"/>
  <c r="R28" i="31"/>
  <c r="P28" i="31"/>
  <c r="S28" i="31" s="1"/>
  <c r="R27" i="31"/>
  <c r="P27" i="31"/>
  <c r="S27" i="31" s="1"/>
  <c r="R26" i="31"/>
  <c r="P26" i="31"/>
  <c r="S26" i="31" s="1"/>
  <c r="P25" i="31"/>
  <c r="R24" i="31"/>
  <c r="P24" i="31"/>
  <c r="S24" i="31" s="1"/>
  <c r="Q21" i="31"/>
  <c r="Q22" i="31" s="1"/>
  <c r="R19" i="31"/>
  <c r="P19" i="31"/>
  <c r="S19" i="31" s="1"/>
  <c r="R18" i="31"/>
  <c r="P18" i="31"/>
  <c r="S18" i="31" s="1"/>
  <c r="R17" i="31"/>
  <c r="P17" i="31"/>
  <c r="S17" i="31" s="1"/>
  <c r="R16" i="31"/>
  <c r="P16" i="31"/>
  <c r="S16" i="31" s="1"/>
  <c r="R15" i="31"/>
  <c r="P15" i="31"/>
  <c r="S15" i="31" s="1"/>
  <c r="K19" i="46" l="1"/>
  <c r="L11" i="48" s="1"/>
  <c r="AZ11" i="48" s="1"/>
  <c r="AD20" i="46"/>
  <c r="P19" i="55"/>
  <c r="BE11" i="48"/>
  <c r="S25" i="31"/>
  <c r="S30" i="31" s="1"/>
  <c r="S31" i="31" s="1"/>
  <c r="S21" i="31"/>
  <c r="S22" i="31" s="1"/>
  <c r="AD19" i="46"/>
  <c r="R21" i="31"/>
  <c r="R22" i="31" s="1"/>
  <c r="AD21" i="46"/>
  <c r="AD22" i="46"/>
  <c r="AD23" i="46"/>
  <c r="V19" i="46"/>
  <c r="P19" i="46"/>
  <c r="T19" i="46"/>
  <c r="AC19" i="46" s="1"/>
  <c r="C19" i="46"/>
  <c r="N11" i="48" s="1"/>
  <c r="U19" i="46"/>
  <c r="R25" i="31"/>
  <c r="R30" i="31" s="1"/>
  <c r="R31" i="31" s="1"/>
  <c r="Q12" i="31" l="1"/>
  <c r="Q13" i="31" s="1"/>
  <c r="R10" i="31"/>
  <c r="P10" i="31"/>
  <c r="S10" i="31" s="1"/>
  <c r="R9" i="31"/>
  <c r="P9" i="31"/>
  <c r="S9" i="31" s="1"/>
  <c r="R8" i="31"/>
  <c r="P8" i="31"/>
  <c r="S8" i="31" s="1"/>
  <c r="R7" i="31"/>
  <c r="P7" i="31"/>
  <c r="S7" i="31" s="1"/>
  <c r="R6" i="31"/>
  <c r="P6" i="31"/>
  <c r="S6" i="31" s="1"/>
  <c r="J4" i="31"/>
  <c r="R12" i="31" l="1"/>
  <c r="R13" i="31" s="1"/>
  <c r="S12" i="31"/>
  <c r="S13" i="31" s="1"/>
  <c r="C4" i="51"/>
  <c r="C3" i="51"/>
  <c r="FQ10" i="2" l="1"/>
  <c r="FO42" i="2"/>
  <c r="AA11" i="2"/>
  <c r="EA11" i="2"/>
  <c r="FQ11" i="2" l="1"/>
  <c r="U9" i="45"/>
  <c r="U10" i="45"/>
  <c r="U11" i="45"/>
  <c r="U12" i="45"/>
  <c r="U13" i="45"/>
  <c r="U14" i="45"/>
  <c r="U15" i="45"/>
  <c r="U16" i="45"/>
  <c r="U17" i="45"/>
  <c r="U18" i="45"/>
  <c r="U19" i="45"/>
  <c r="U20" i="45"/>
  <c r="U21" i="45"/>
  <c r="U22" i="45"/>
  <c r="U23" i="45"/>
  <c r="U24" i="45"/>
  <c r="U25" i="45"/>
  <c r="U26" i="45"/>
  <c r="U27" i="45"/>
  <c r="U28" i="45"/>
  <c r="U29" i="45"/>
  <c r="U30" i="45"/>
  <c r="U31" i="45"/>
  <c r="U32" i="45"/>
  <c r="U33" i="45"/>
  <c r="U34" i="45"/>
  <c r="U35" i="45"/>
  <c r="U36" i="45"/>
  <c r="U37" i="45"/>
  <c r="U38" i="45"/>
  <c r="U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FQ12" i="2" l="1"/>
  <c r="FQ13" i="2" l="1"/>
  <c r="FQ14" i="2" l="1"/>
  <c r="FQ15" i="2" l="1"/>
  <c r="FQ16" i="2" l="1"/>
  <c r="FQ17" i="2" l="1"/>
  <c r="FQ18" i="2" l="1"/>
  <c r="FQ19" i="2" l="1"/>
  <c r="FQ20" i="2" l="1"/>
  <c r="FQ21" i="2" l="1"/>
  <c r="FQ22" i="2" l="1"/>
  <c r="FQ23" i="2" l="1"/>
  <c r="FQ24" i="2" l="1"/>
  <c r="FQ25" i="2" l="1"/>
  <c r="FQ26" i="2" l="1"/>
  <c r="FQ27" i="2" l="1"/>
  <c r="FQ28" i="2" l="1"/>
  <c r="FQ29" i="2" l="1"/>
  <c r="FQ30" i="2" l="1"/>
  <c r="FQ31" i="2" l="1"/>
  <c r="FQ32" i="2" l="1"/>
  <c r="FQ33" i="2" l="1"/>
  <c r="FQ34" i="2" l="1"/>
  <c r="FQ35" i="2" l="1"/>
  <c r="FQ36" i="2" l="1"/>
  <c r="FQ37" i="2" l="1"/>
  <c r="FQ38" i="2" l="1"/>
  <c r="FQ39" i="2" l="1"/>
  <c r="FQ40" i="2" l="1"/>
  <c r="Q6" i="55" l="1"/>
  <c r="R6" i="55"/>
  <c r="AW10" i="55"/>
  <c r="AR10" i="55"/>
  <c r="BA10" i="55" s="1"/>
  <c r="AM10" i="55"/>
  <c r="AR9" i="55"/>
  <c r="BA9" i="55" s="1"/>
  <c r="AM9" i="55"/>
  <c r="AR8" i="55"/>
  <c r="BA8" i="55" s="1"/>
  <c r="AM8" i="55"/>
  <c r="AR7" i="55"/>
  <c r="BA7" i="55" s="1"/>
  <c r="AM7" i="55"/>
  <c r="AD7" i="55" s="1"/>
  <c r="Q7" i="55"/>
  <c r="AR6" i="55"/>
  <c r="BA6" i="55" s="1"/>
  <c r="AM6" i="55"/>
  <c r="AR16" i="55"/>
  <c r="BA16" i="55" s="1"/>
  <c r="AM16" i="55"/>
  <c r="AR15" i="55"/>
  <c r="BA15" i="55" s="1"/>
  <c r="AM15" i="55"/>
  <c r="AD15" i="55" s="1"/>
  <c r="AR14" i="55"/>
  <c r="BA14" i="55" s="1"/>
  <c r="AM14" i="55"/>
  <c r="AR13" i="55"/>
  <c r="BA13" i="55" s="1"/>
  <c r="AM13" i="55"/>
  <c r="F7" i="47"/>
  <c r="E7" i="47"/>
  <c r="G7" i="47" s="1"/>
  <c r="H7" i="47" s="1"/>
  <c r="O12" i="55" s="1"/>
  <c r="K12" i="55" l="1"/>
  <c r="C12" i="55"/>
  <c r="AD13" i="55"/>
  <c r="AD14" i="55"/>
  <c r="AD10" i="55"/>
  <c r="AD16" i="55"/>
  <c r="U12" i="55"/>
  <c r="T12" i="55"/>
  <c r="V12" i="55"/>
  <c r="AD6" i="55"/>
  <c r="AD9" i="55"/>
  <c r="AD8" i="55"/>
  <c r="O12" i="46"/>
  <c r="AC12" i="55" l="1"/>
  <c r="BE10" i="48"/>
  <c r="P12" i="55"/>
  <c r="R12" i="46"/>
  <c r="N12" i="46"/>
  <c r="AR16" i="46"/>
  <c r="BA16" i="46" s="1"/>
  <c r="AM16" i="46"/>
  <c r="AR15" i="46"/>
  <c r="BA15" i="46" s="1"/>
  <c r="AM15" i="46"/>
  <c r="AR14" i="46"/>
  <c r="BA14" i="46" s="1"/>
  <c r="AM14" i="46"/>
  <c r="AR13" i="46"/>
  <c r="BA13" i="46" s="1"/>
  <c r="AM13" i="46"/>
  <c r="AR12" i="46"/>
  <c r="BA12" i="46" s="1"/>
  <c r="AM12" i="46"/>
  <c r="I38" i="32"/>
  <c r="I7" i="47" s="1"/>
  <c r="G42" i="32"/>
  <c r="I37" i="32" s="1"/>
  <c r="F42" i="32"/>
  <c r="N39" i="32"/>
  <c r="Q31" i="32"/>
  <c r="Q32" i="32" s="1"/>
  <c r="R29" i="32"/>
  <c r="P29" i="32"/>
  <c r="S29" i="32" s="1"/>
  <c r="R28" i="32"/>
  <c r="P28" i="32"/>
  <c r="S28" i="32" s="1"/>
  <c r="R27" i="32"/>
  <c r="P27" i="32"/>
  <c r="S27" i="32" s="1"/>
  <c r="R26" i="32"/>
  <c r="P26" i="32"/>
  <c r="S26" i="32" s="1"/>
  <c r="R25" i="32"/>
  <c r="P25" i="32"/>
  <c r="S25" i="32" s="1"/>
  <c r="R19" i="32"/>
  <c r="P19" i="32"/>
  <c r="S19" i="32" s="1"/>
  <c r="R18" i="32"/>
  <c r="P18" i="32"/>
  <c r="S18" i="32" s="1"/>
  <c r="R17" i="32"/>
  <c r="P17" i="32"/>
  <c r="S17" i="32" s="1"/>
  <c r="R16" i="32"/>
  <c r="P16" i="32"/>
  <c r="S16" i="32" s="1"/>
  <c r="Q21" i="32"/>
  <c r="Q22" i="32" s="1"/>
  <c r="P15" i="32"/>
  <c r="S15" i="32" s="1"/>
  <c r="Q6" i="32"/>
  <c r="J4" i="32"/>
  <c r="R10" i="32"/>
  <c r="P10" i="32"/>
  <c r="S10" i="32" s="1"/>
  <c r="R9" i="32"/>
  <c r="P9" i="32"/>
  <c r="S9" i="32" s="1"/>
  <c r="P8" i="32"/>
  <c r="R7" i="32"/>
  <c r="P7" i="32"/>
  <c r="S7" i="32" s="1"/>
  <c r="P6" i="32"/>
  <c r="AD15" i="46" l="1"/>
  <c r="AD14" i="46"/>
  <c r="R31" i="32"/>
  <c r="R32" i="32" s="1"/>
  <c r="K12" i="46"/>
  <c r="L10" i="48" s="1"/>
  <c r="AZ10" i="48" s="1"/>
  <c r="AD16" i="46"/>
  <c r="AD13" i="46"/>
  <c r="AD12" i="46"/>
  <c r="U12" i="46"/>
  <c r="T12" i="46"/>
  <c r="P12" i="46"/>
  <c r="C12" i="46"/>
  <c r="N10" i="48" s="1"/>
  <c r="V12" i="46"/>
  <c r="S31" i="32"/>
  <c r="S32" i="32" s="1"/>
  <c r="S21" i="32"/>
  <c r="S22" i="32" s="1"/>
  <c r="R15" i="32"/>
  <c r="R21" i="32" s="1"/>
  <c r="R22" i="32" s="1"/>
  <c r="S8" i="32"/>
  <c r="S6" i="32"/>
  <c r="Q12" i="32"/>
  <c r="Q13" i="32" s="1"/>
  <c r="R6" i="32"/>
  <c r="R8" i="32"/>
  <c r="AC12" i="46" l="1"/>
  <c r="S12" i="32"/>
  <c r="S13" i="32" s="1"/>
  <c r="R12" i="32"/>
  <c r="R13" i="32" s="1"/>
  <c r="K8" i="33"/>
  <c r="W7" i="55" s="1"/>
  <c r="K7" i="33"/>
  <c r="W6" i="55" s="1"/>
  <c r="F5" i="47"/>
  <c r="E4" i="47"/>
  <c r="G4" i="47" s="1"/>
  <c r="H4" i="47" s="1"/>
  <c r="O6" i="55" s="1"/>
  <c r="E5" i="47"/>
  <c r="K6" i="55" l="1"/>
  <c r="C6" i="55"/>
  <c r="T6" i="55"/>
  <c r="U6" i="55"/>
  <c r="V6" i="55"/>
  <c r="G5" i="47"/>
  <c r="H5" i="47" s="1"/>
  <c r="O7" i="55" s="1"/>
  <c r="W7" i="46"/>
  <c r="W6" i="46"/>
  <c r="P6" i="55"/>
  <c r="O6" i="46"/>
  <c r="C7" i="55" l="1"/>
  <c r="K7" i="55"/>
  <c r="X6" i="55" s="1"/>
  <c r="AC6" i="55"/>
  <c r="U7" i="55"/>
  <c r="T7" i="55"/>
  <c r="V7" i="55"/>
  <c r="O7" i="46"/>
  <c r="P7" i="55"/>
  <c r="EA10" i="2"/>
  <c r="AA10" i="2"/>
  <c r="BE9" i="48" l="1"/>
  <c r="AM9" i="46"/>
  <c r="AR9" i="46"/>
  <c r="BA9" i="46" s="1"/>
  <c r="AM10" i="46"/>
  <c r="AR10" i="46"/>
  <c r="BA10" i="46" s="1"/>
  <c r="Q7" i="46"/>
  <c r="T7" i="46" s="1"/>
  <c r="Q6" i="46"/>
  <c r="N7" i="46"/>
  <c r="F26" i="33"/>
  <c r="F17" i="33"/>
  <c r="F9" i="33"/>
  <c r="I38" i="33"/>
  <c r="I4" i="47" s="1"/>
  <c r="R38" i="33"/>
  <c r="X18" i="33"/>
  <c r="Y18" i="33"/>
  <c r="X19" i="33"/>
  <c r="Y19" i="33"/>
  <c r="X20" i="33"/>
  <c r="Y20" i="33"/>
  <c r="X21" i="33"/>
  <c r="Y21" i="33"/>
  <c r="X17" i="33"/>
  <c r="V17" i="33"/>
  <c r="Y17" i="33" s="1"/>
  <c r="W16" i="33"/>
  <c r="X16" i="33" s="1"/>
  <c r="V16" i="33"/>
  <c r="W15" i="33"/>
  <c r="V15" i="33"/>
  <c r="W14" i="33"/>
  <c r="X14" i="33" s="1"/>
  <c r="V14" i="33"/>
  <c r="W13" i="33"/>
  <c r="V13" i="33"/>
  <c r="G42" i="33"/>
  <c r="I37" i="33" s="1"/>
  <c r="F42" i="33"/>
  <c r="N39" i="33"/>
  <c r="Q27" i="33"/>
  <c r="Q26" i="33"/>
  <c r="Q25" i="33"/>
  <c r="R25" i="33" s="1"/>
  <c r="Q24" i="33"/>
  <c r="R28" i="33"/>
  <c r="P28" i="33"/>
  <c r="S28" i="33" s="1"/>
  <c r="P27" i="33"/>
  <c r="P26" i="33"/>
  <c r="P25" i="33"/>
  <c r="P24" i="33"/>
  <c r="R17" i="33"/>
  <c r="P17" i="33"/>
  <c r="S17" i="33" s="1"/>
  <c r="Q16" i="33"/>
  <c r="R16" i="33" s="1"/>
  <c r="Q15" i="33"/>
  <c r="R15" i="33" s="1"/>
  <c r="Q14" i="33"/>
  <c r="Q13" i="33"/>
  <c r="R13" i="33" s="1"/>
  <c r="P14" i="33"/>
  <c r="P15" i="33"/>
  <c r="P16" i="33"/>
  <c r="P13" i="33"/>
  <c r="S13" i="33" s="1"/>
  <c r="Q8" i="33"/>
  <c r="R8" i="33" s="1"/>
  <c r="Q7" i="33"/>
  <c r="R7" i="33" s="1"/>
  <c r="Q6" i="33"/>
  <c r="R6" i="33" s="1"/>
  <c r="P8" i="33"/>
  <c r="P7" i="33"/>
  <c r="P6" i="33"/>
  <c r="R9" i="33"/>
  <c r="P9" i="33"/>
  <c r="S9" i="33" s="1"/>
  <c r="K7" i="46" l="1"/>
  <c r="S7" i="33"/>
  <c r="S8" i="33"/>
  <c r="S16" i="33"/>
  <c r="S25" i="33"/>
  <c r="Y13" i="33"/>
  <c r="S14" i="33"/>
  <c r="Y14" i="33"/>
  <c r="W22" i="33"/>
  <c r="W23" i="33" s="1"/>
  <c r="Q30" i="33"/>
  <c r="Q31" i="33" s="1"/>
  <c r="Y15" i="33"/>
  <c r="Q10" i="33"/>
  <c r="Q11" i="33" s="1"/>
  <c r="Y16" i="33"/>
  <c r="U7" i="46"/>
  <c r="C7" i="46"/>
  <c r="P7" i="46"/>
  <c r="V7" i="46"/>
  <c r="AD10" i="46"/>
  <c r="AD9" i="46"/>
  <c r="X15" i="33"/>
  <c r="X13" i="33"/>
  <c r="S27" i="33"/>
  <c r="R27" i="33"/>
  <c r="S26" i="33"/>
  <c r="R24" i="33"/>
  <c r="R26" i="33"/>
  <c r="S24" i="33"/>
  <c r="S15" i="33"/>
  <c r="Q19" i="33"/>
  <c r="Q20" i="33" s="1"/>
  <c r="R14" i="33"/>
  <c r="R19" i="33" s="1"/>
  <c r="S6" i="33"/>
  <c r="S10" i="33" s="1"/>
  <c r="R10" i="33"/>
  <c r="R20" i="33" l="1"/>
  <c r="S19" i="33"/>
  <c r="S20" i="33" s="1"/>
  <c r="S11" i="33"/>
  <c r="R11" i="33"/>
  <c r="X22" i="33"/>
  <c r="Y22" i="33"/>
  <c r="Y23" i="33" s="1"/>
  <c r="X23" i="33"/>
  <c r="S30" i="33"/>
  <c r="S31" i="33" s="1"/>
  <c r="R30" i="33"/>
  <c r="R31" i="33" s="1"/>
  <c r="J4" i="33" l="1"/>
  <c r="AR10" i="48" l="1"/>
  <c r="AR11" i="48"/>
  <c r="AR12" i="48"/>
  <c r="AR13" i="48"/>
  <c r="AR14" i="48"/>
  <c r="AR15" i="48"/>
  <c r="AR16" i="48"/>
  <c r="AR17" i="48"/>
  <c r="AR18" i="48"/>
  <c r="AR19" i="48"/>
  <c r="AR20" i="48"/>
  <c r="AR21" i="48"/>
  <c r="AR22" i="48"/>
  <c r="AR23" i="48"/>
  <c r="AR24" i="48"/>
  <c r="AR25" i="48"/>
  <c r="AR26" i="48"/>
  <c r="AR27" i="48"/>
  <c r="AR28" i="48"/>
  <c r="AR29" i="48"/>
  <c r="AR30" i="48"/>
  <c r="AR31" i="48"/>
  <c r="AR32" i="48"/>
  <c r="AR33" i="48"/>
  <c r="AR34" i="48"/>
  <c r="AR35" i="48"/>
  <c r="AR36" i="48"/>
  <c r="AR37" i="48"/>
  <c r="AR38" i="48"/>
  <c r="AR39" i="48"/>
  <c r="AR9" i="48"/>
  <c r="BF147" i="55" l="1"/>
  <c r="BE147" i="55"/>
  <c r="BD147" i="55"/>
  <c r="BF147" i="46"/>
  <c r="BE147" i="46"/>
  <c r="BD147" i="46"/>
  <c r="A10" i="1" l="1"/>
  <c r="A6" i="46"/>
  <c r="B1" i="47"/>
  <c r="A8" i="45"/>
  <c r="F32" i="27" l="1"/>
  <c r="F34" i="27" s="1"/>
  <c r="E32" i="27"/>
  <c r="D32" i="27"/>
  <c r="C32" i="27"/>
  <c r="E23" i="27"/>
  <c r="D23" i="27"/>
  <c r="D34" i="27" s="1"/>
  <c r="C23" i="27"/>
  <c r="E14" i="27"/>
  <c r="D14" i="27"/>
  <c r="C14" i="27"/>
  <c r="F32" i="29"/>
  <c r="E32" i="29"/>
  <c r="D32" i="29"/>
  <c r="C32" i="29"/>
  <c r="F23" i="29"/>
  <c r="E23" i="29"/>
  <c r="D23" i="29"/>
  <c r="C23" i="29"/>
  <c r="F14" i="29"/>
  <c r="E14" i="29"/>
  <c r="D14" i="29"/>
  <c r="C14" i="29"/>
  <c r="F32" i="30"/>
  <c r="E32" i="30"/>
  <c r="D32" i="30"/>
  <c r="C32" i="30"/>
  <c r="F23" i="30"/>
  <c r="E23" i="30"/>
  <c r="D23" i="30"/>
  <c r="C23" i="30"/>
  <c r="F14" i="30"/>
  <c r="E14" i="30"/>
  <c r="D14" i="30"/>
  <c r="C14" i="30"/>
  <c r="F32" i="31"/>
  <c r="E32" i="31"/>
  <c r="D32" i="31"/>
  <c r="C32" i="31"/>
  <c r="F23" i="31"/>
  <c r="E23" i="31"/>
  <c r="D23" i="31"/>
  <c r="C23" i="31"/>
  <c r="F14" i="31"/>
  <c r="E14" i="31"/>
  <c r="D14" i="31"/>
  <c r="C14" i="31"/>
  <c r="C24" i="27" l="1"/>
  <c r="C33" i="30"/>
  <c r="C24" i="29"/>
  <c r="E34" i="29"/>
  <c r="C34" i="30"/>
  <c r="K8" i="30" s="1"/>
  <c r="W25" i="55" s="1"/>
  <c r="X25" i="55" s="1"/>
  <c r="D24" i="30"/>
  <c r="D33" i="29"/>
  <c r="C15" i="30"/>
  <c r="E33" i="30"/>
  <c r="D15" i="30"/>
  <c r="E15" i="30"/>
  <c r="C24" i="30"/>
  <c r="E34" i="31"/>
  <c r="E24" i="27"/>
  <c r="D34" i="31"/>
  <c r="D33" i="31"/>
  <c r="D34" i="29"/>
  <c r="C15" i="27"/>
  <c r="D15" i="27"/>
  <c r="E24" i="30"/>
  <c r="E15" i="27"/>
  <c r="E34" i="27"/>
  <c r="C33" i="29"/>
  <c r="C33" i="31"/>
  <c r="F34" i="30"/>
  <c r="D34" i="30"/>
  <c r="E33" i="27"/>
  <c r="D33" i="30"/>
  <c r="D24" i="27"/>
  <c r="F34" i="31"/>
  <c r="C24" i="31"/>
  <c r="F34" i="29"/>
  <c r="C33" i="27"/>
  <c r="C34" i="29"/>
  <c r="C15" i="29"/>
  <c r="D33" i="27"/>
  <c r="C34" i="27"/>
  <c r="D24" i="29"/>
  <c r="E33" i="29"/>
  <c r="D15" i="29"/>
  <c r="E24" i="29"/>
  <c r="E15" i="29"/>
  <c r="E34" i="30"/>
  <c r="C15" i="31"/>
  <c r="D24" i="31"/>
  <c r="E33" i="31"/>
  <c r="D15" i="31"/>
  <c r="E24" i="31"/>
  <c r="C34" i="31"/>
  <c r="E15" i="31"/>
  <c r="W25" i="46" l="1"/>
  <c r="E35" i="30"/>
  <c r="C35" i="29"/>
  <c r="C35" i="27"/>
  <c r="X25" i="46"/>
  <c r="C35" i="31"/>
  <c r="K8" i="31"/>
  <c r="W19" i="55" s="1"/>
  <c r="X19" i="55" s="1"/>
  <c r="E35" i="29"/>
  <c r="C35" i="30"/>
  <c r="D35" i="29"/>
  <c r="E35" i="27"/>
  <c r="D35" i="27"/>
  <c r="D35" i="30"/>
  <c r="D35" i="31"/>
  <c r="E35" i="31"/>
  <c r="G42" i="27"/>
  <c r="I37" i="27" s="1"/>
  <c r="F42" i="27"/>
  <c r="W19" i="46" l="1"/>
  <c r="X19" i="46" l="1"/>
  <c r="F42" i="29"/>
  <c r="G42" i="29"/>
  <c r="I37" i="29" s="1"/>
  <c r="G42" i="30" l="1"/>
  <c r="I37" i="30" s="1"/>
  <c r="F42" i="30"/>
  <c r="C52" i="30" l="1"/>
  <c r="C51" i="30"/>
  <c r="C50" i="30"/>
  <c r="C49" i="30"/>
  <c r="C48" i="30"/>
  <c r="C47" i="30"/>
  <c r="C46" i="30"/>
  <c r="C45" i="30"/>
  <c r="C44" i="30"/>
  <c r="I43" i="30"/>
  <c r="C43" i="30"/>
  <c r="C42" i="30"/>
  <c r="C41" i="30"/>
  <c r="C40" i="30"/>
  <c r="C39" i="30"/>
  <c r="C38" i="30"/>
  <c r="L34" i="30"/>
  <c r="K34" i="30"/>
  <c r="H4" i="30"/>
  <c r="I40" i="30" l="1"/>
  <c r="I45" i="30" s="1"/>
  <c r="C53" i="30"/>
  <c r="C54" i="30" s="1"/>
  <c r="I44" i="30"/>
  <c r="N6" i="46" l="1"/>
  <c r="M43" i="54" l="1"/>
  <c r="D43" i="54"/>
  <c r="M42" i="54"/>
  <c r="D42" i="54"/>
  <c r="M38" i="54"/>
  <c r="D38" i="54"/>
  <c r="M37" i="54"/>
  <c r="D37"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E3" i="54"/>
  <c r="F3" i="54" s="1"/>
  <c r="G3" i="54" s="1"/>
  <c r="H3" i="54" s="1"/>
  <c r="M3" i="54" s="1"/>
  <c r="N3" i="54" s="1"/>
  <c r="O3" i="54" s="1"/>
  <c r="P3" i="54" s="1"/>
  <c r="Q3" i="54" s="1"/>
  <c r="D44" i="54" l="1"/>
  <c r="M44" i="54"/>
  <c r="F32" i="4" l="1"/>
  <c r="E32" i="4"/>
  <c r="D32" i="4"/>
  <c r="C32" i="4"/>
  <c r="F23" i="4"/>
  <c r="E23" i="4"/>
  <c r="D23" i="4"/>
  <c r="C23" i="4"/>
  <c r="F14" i="4"/>
  <c r="E14" i="4"/>
  <c r="D14" i="4"/>
  <c r="C14" i="4"/>
  <c r="F32" i="37"/>
  <c r="E32" i="37"/>
  <c r="D32" i="37"/>
  <c r="C32" i="37"/>
  <c r="F23" i="37"/>
  <c r="E23" i="37"/>
  <c r="D23" i="37"/>
  <c r="C23" i="37"/>
  <c r="F14" i="37"/>
  <c r="E14" i="37"/>
  <c r="D14" i="37"/>
  <c r="C14" i="37"/>
  <c r="F32" i="6"/>
  <c r="E32" i="6"/>
  <c r="D32" i="6"/>
  <c r="C32" i="6"/>
  <c r="F23" i="6"/>
  <c r="E23" i="6"/>
  <c r="D23" i="6"/>
  <c r="C23" i="6"/>
  <c r="F14" i="6"/>
  <c r="E14" i="6"/>
  <c r="D14" i="6"/>
  <c r="C14" i="6"/>
  <c r="F32" i="7"/>
  <c r="E32" i="7"/>
  <c r="D32" i="7"/>
  <c r="C32" i="7"/>
  <c r="F23" i="7"/>
  <c r="E23" i="7"/>
  <c r="D23" i="7"/>
  <c r="C23" i="7"/>
  <c r="F14" i="7"/>
  <c r="E14" i="7"/>
  <c r="D14" i="7"/>
  <c r="C14" i="7"/>
  <c r="F32" i="8"/>
  <c r="E32" i="8"/>
  <c r="D32" i="8"/>
  <c r="C32" i="8"/>
  <c r="F23" i="8"/>
  <c r="E23" i="8"/>
  <c r="D23" i="8"/>
  <c r="C23" i="8"/>
  <c r="F14" i="8"/>
  <c r="E14" i="8"/>
  <c r="D14" i="8"/>
  <c r="C14" i="8"/>
  <c r="F32" i="9"/>
  <c r="E32" i="9"/>
  <c r="D32" i="9"/>
  <c r="C32" i="9"/>
  <c r="F23" i="9"/>
  <c r="E23" i="9"/>
  <c r="D23" i="9"/>
  <c r="C23" i="9"/>
  <c r="F14" i="9"/>
  <c r="E14" i="9"/>
  <c r="D14" i="9"/>
  <c r="C14" i="9"/>
  <c r="F32" i="10"/>
  <c r="E32" i="10"/>
  <c r="D32" i="10"/>
  <c r="C32" i="10"/>
  <c r="F23" i="10"/>
  <c r="E23" i="10"/>
  <c r="D23" i="10"/>
  <c r="C23" i="10"/>
  <c r="F14" i="10"/>
  <c r="E14" i="10"/>
  <c r="D14" i="10"/>
  <c r="C14" i="10"/>
  <c r="F32" i="11"/>
  <c r="E32" i="11"/>
  <c r="D32" i="11"/>
  <c r="C32" i="11"/>
  <c r="F23" i="11"/>
  <c r="E23" i="11"/>
  <c r="D23" i="11"/>
  <c r="C23" i="11"/>
  <c r="F14" i="11"/>
  <c r="E14" i="11"/>
  <c r="D14" i="11"/>
  <c r="C14" i="11"/>
  <c r="F32" i="12"/>
  <c r="E32" i="12"/>
  <c r="D32" i="12"/>
  <c r="C32" i="12"/>
  <c r="F23" i="12"/>
  <c r="E23" i="12"/>
  <c r="D23" i="12"/>
  <c r="C23" i="12"/>
  <c r="F14" i="12"/>
  <c r="E14" i="12"/>
  <c r="D14" i="12"/>
  <c r="C14" i="12"/>
  <c r="F32" i="13"/>
  <c r="E32" i="13"/>
  <c r="D32" i="13"/>
  <c r="C32" i="13"/>
  <c r="F23" i="13"/>
  <c r="E23" i="13"/>
  <c r="D23" i="13"/>
  <c r="C23" i="13"/>
  <c r="F14" i="13"/>
  <c r="E14" i="13"/>
  <c r="D14" i="13"/>
  <c r="C14" i="13"/>
  <c r="F32" i="14"/>
  <c r="E32" i="14"/>
  <c r="D32" i="14"/>
  <c r="C32" i="14"/>
  <c r="F23" i="14"/>
  <c r="E23" i="14"/>
  <c r="D23" i="14"/>
  <c r="C23" i="14"/>
  <c r="F14" i="14"/>
  <c r="E14" i="14"/>
  <c r="D14" i="14"/>
  <c r="C14" i="14"/>
  <c r="F32" i="15"/>
  <c r="E32" i="15"/>
  <c r="D32" i="15"/>
  <c r="C32" i="15"/>
  <c r="F23" i="15"/>
  <c r="E23" i="15"/>
  <c r="D23" i="15"/>
  <c r="C23" i="15"/>
  <c r="F14" i="15"/>
  <c r="E14" i="15"/>
  <c r="D14" i="15"/>
  <c r="C14" i="15"/>
  <c r="F32" i="16"/>
  <c r="E32" i="16"/>
  <c r="D32" i="16"/>
  <c r="C32" i="16"/>
  <c r="F23" i="16"/>
  <c r="E23" i="16"/>
  <c r="D23" i="16"/>
  <c r="C23" i="16"/>
  <c r="F14" i="16"/>
  <c r="E14" i="16"/>
  <c r="D14" i="16"/>
  <c r="C14" i="16"/>
  <c r="F32" i="17"/>
  <c r="E32" i="17"/>
  <c r="D32" i="17"/>
  <c r="C32" i="17"/>
  <c r="F23" i="17"/>
  <c r="E23" i="17"/>
  <c r="D23" i="17"/>
  <c r="C23" i="17"/>
  <c r="F14" i="17"/>
  <c r="E14" i="17"/>
  <c r="D14" i="17"/>
  <c r="D34" i="17" s="1"/>
  <c r="C14" i="17"/>
  <c r="F32" i="18"/>
  <c r="E32" i="18"/>
  <c r="D32" i="18"/>
  <c r="C32" i="18"/>
  <c r="F23" i="18"/>
  <c r="E23" i="18"/>
  <c r="D23" i="18"/>
  <c r="C23" i="18"/>
  <c r="F14" i="18"/>
  <c r="E14" i="18"/>
  <c r="D14" i="18"/>
  <c r="C14" i="18"/>
  <c r="F32" i="19"/>
  <c r="E32" i="19"/>
  <c r="D32" i="19"/>
  <c r="C32" i="19"/>
  <c r="F23" i="19"/>
  <c r="E23" i="19"/>
  <c r="D23" i="19"/>
  <c r="C23" i="19"/>
  <c r="F14" i="19"/>
  <c r="E14" i="19"/>
  <c r="D14" i="19"/>
  <c r="C14" i="19"/>
  <c r="F32" i="20"/>
  <c r="E32" i="20"/>
  <c r="D32" i="20"/>
  <c r="C32" i="20"/>
  <c r="F23" i="20"/>
  <c r="E23" i="20"/>
  <c r="D23" i="20"/>
  <c r="C23" i="20"/>
  <c r="F14" i="20"/>
  <c r="E14" i="20"/>
  <c r="D14" i="20"/>
  <c r="C14" i="20"/>
  <c r="F32" i="22"/>
  <c r="E32" i="22"/>
  <c r="D32" i="22"/>
  <c r="C32" i="22"/>
  <c r="F23" i="22"/>
  <c r="E23" i="22"/>
  <c r="D23" i="22"/>
  <c r="C23" i="22"/>
  <c r="F14" i="22"/>
  <c r="E14" i="22"/>
  <c r="D14" i="22"/>
  <c r="C14" i="22"/>
  <c r="F32" i="21"/>
  <c r="E32" i="21"/>
  <c r="D32" i="21"/>
  <c r="C32" i="21"/>
  <c r="F23" i="21"/>
  <c r="E23" i="21"/>
  <c r="D23" i="21"/>
  <c r="C23" i="21"/>
  <c r="F14" i="21"/>
  <c r="E14" i="21"/>
  <c r="D14" i="21"/>
  <c r="C14" i="21"/>
  <c r="F32" i="23"/>
  <c r="E32" i="23"/>
  <c r="D32" i="23"/>
  <c r="C32" i="23"/>
  <c r="F23" i="23"/>
  <c r="E23" i="23"/>
  <c r="D23" i="23"/>
  <c r="C23" i="23"/>
  <c r="F14" i="23"/>
  <c r="E14" i="23"/>
  <c r="D14" i="23"/>
  <c r="C14" i="23"/>
  <c r="F32" i="24"/>
  <c r="E32" i="24"/>
  <c r="D32" i="24"/>
  <c r="C32" i="24"/>
  <c r="F23" i="24"/>
  <c r="E23" i="24"/>
  <c r="D23" i="24"/>
  <c r="C23" i="24"/>
  <c r="F14" i="24"/>
  <c r="E14" i="24"/>
  <c r="D14" i="24"/>
  <c r="C14" i="24"/>
  <c r="F32" i="25"/>
  <c r="E32" i="25"/>
  <c r="D32" i="25"/>
  <c r="C32" i="25"/>
  <c r="F23" i="25"/>
  <c r="E23" i="25"/>
  <c r="D23" i="25"/>
  <c r="C23" i="25"/>
  <c r="F14" i="25"/>
  <c r="E14" i="25"/>
  <c r="E34" i="25" s="1"/>
  <c r="D14" i="25"/>
  <c r="C14" i="25"/>
  <c r="F32" i="26"/>
  <c r="E32" i="26"/>
  <c r="D32" i="26"/>
  <c r="C32" i="26"/>
  <c r="F23" i="26"/>
  <c r="E23" i="26"/>
  <c r="D23" i="26"/>
  <c r="C23" i="26"/>
  <c r="F14" i="26"/>
  <c r="E14" i="26"/>
  <c r="D14" i="26"/>
  <c r="C14" i="26"/>
  <c r="F32" i="28"/>
  <c r="E32" i="28"/>
  <c r="D32" i="28"/>
  <c r="C32" i="28"/>
  <c r="F23" i="28"/>
  <c r="E23" i="28"/>
  <c r="D23" i="28"/>
  <c r="C23" i="28"/>
  <c r="F14" i="28"/>
  <c r="E14" i="28"/>
  <c r="D14" i="28"/>
  <c r="C14" i="28"/>
  <c r="J8" i="30"/>
  <c r="J8" i="29" s="1"/>
  <c r="J8" i="27" s="1"/>
  <c r="F32" i="32"/>
  <c r="E32" i="32"/>
  <c r="D32" i="32"/>
  <c r="C32" i="32"/>
  <c r="F23" i="32"/>
  <c r="E23" i="32"/>
  <c r="D23" i="32"/>
  <c r="C23" i="32"/>
  <c r="F14" i="32"/>
  <c r="E14" i="32"/>
  <c r="D14" i="32"/>
  <c r="C14" i="32"/>
  <c r="C34" i="9" l="1"/>
  <c r="F34" i="9"/>
  <c r="E33" i="26"/>
  <c r="F34" i="11"/>
  <c r="C34" i="13"/>
  <c r="K7" i="13" s="1"/>
  <c r="W98" i="55" s="1"/>
  <c r="X98" i="55" s="1"/>
  <c r="C34" i="15"/>
  <c r="K7" i="15" s="1"/>
  <c r="W90" i="55" s="1"/>
  <c r="X90" i="55" s="1"/>
  <c r="F34" i="15"/>
  <c r="F34" i="37"/>
  <c r="F34" i="17"/>
  <c r="D34" i="15"/>
  <c r="D34" i="9"/>
  <c r="D34" i="37"/>
  <c r="F34" i="12"/>
  <c r="E33" i="18"/>
  <c r="F34" i="18"/>
  <c r="C15" i="19"/>
  <c r="F34" i="19"/>
  <c r="F34" i="20"/>
  <c r="D34" i="22"/>
  <c r="Z64" i="55" s="1"/>
  <c r="C34" i="22"/>
  <c r="K7" i="22" s="1"/>
  <c r="W64" i="55" s="1"/>
  <c r="X64" i="55" s="1"/>
  <c r="F34" i="21"/>
  <c r="E24" i="23"/>
  <c r="C15" i="23"/>
  <c r="F34" i="23"/>
  <c r="E33" i="24"/>
  <c r="F34" i="24"/>
  <c r="C33" i="4"/>
  <c r="E34" i="26"/>
  <c r="E34" i="21"/>
  <c r="E34" i="20"/>
  <c r="E34" i="18"/>
  <c r="E34" i="14"/>
  <c r="E34" i="12"/>
  <c r="C34" i="25"/>
  <c r="E24" i="19"/>
  <c r="D33" i="26"/>
  <c r="C15" i="28"/>
  <c r="E15" i="28"/>
  <c r="D24" i="28"/>
  <c r="E33" i="8"/>
  <c r="D15" i="23"/>
  <c r="D15" i="19"/>
  <c r="D33" i="17"/>
  <c r="D24" i="14"/>
  <c r="D33" i="11"/>
  <c r="D24" i="10"/>
  <c r="E15" i="23"/>
  <c r="E34" i="22"/>
  <c r="E34" i="19"/>
  <c r="E34" i="15"/>
  <c r="E34" i="11"/>
  <c r="E34" i="9"/>
  <c r="D35" i="9" s="1"/>
  <c r="E34" i="7"/>
  <c r="E15" i="37"/>
  <c r="C33" i="24"/>
  <c r="C33" i="21"/>
  <c r="C24" i="19"/>
  <c r="C34" i="18"/>
  <c r="C33" i="14"/>
  <c r="C34" i="12"/>
  <c r="C24" i="11"/>
  <c r="C33" i="10"/>
  <c r="D24" i="25"/>
  <c r="D33" i="24"/>
  <c r="D33" i="21"/>
  <c r="D33" i="20"/>
  <c r="D24" i="19"/>
  <c r="E33" i="16"/>
  <c r="D24" i="15"/>
  <c r="D24" i="13"/>
  <c r="D24" i="11"/>
  <c r="D33" i="8"/>
  <c r="E33" i="28"/>
  <c r="E24" i="26"/>
  <c r="E33" i="25"/>
  <c r="E33" i="19"/>
  <c r="E33" i="15"/>
  <c r="E24" i="14"/>
  <c r="E33" i="13"/>
  <c r="E33" i="11"/>
  <c r="E24" i="10"/>
  <c r="D33" i="9"/>
  <c r="D24" i="6"/>
  <c r="D33" i="37"/>
  <c r="E33" i="9"/>
  <c r="C15" i="26"/>
  <c r="C15" i="24"/>
  <c r="C24" i="23"/>
  <c r="C15" i="20"/>
  <c r="C24" i="17"/>
  <c r="C15" i="14"/>
  <c r="C15" i="10"/>
  <c r="D34" i="26"/>
  <c r="D24" i="23"/>
  <c r="D34" i="20"/>
  <c r="D34" i="16"/>
  <c r="D15" i="14"/>
  <c r="D34" i="12"/>
  <c r="D34" i="10"/>
  <c r="C15" i="6"/>
  <c r="E15" i="16"/>
  <c r="E34" i="10"/>
  <c r="F34" i="10"/>
  <c r="E34" i="8"/>
  <c r="C33" i="28"/>
  <c r="C33" i="22"/>
  <c r="C24" i="20"/>
  <c r="C33" i="19"/>
  <c r="C24" i="18"/>
  <c r="C33" i="17"/>
  <c r="C33" i="15"/>
  <c r="C33" i="13"/>
  <c r="C24" i="10"/>
  <c r="D15" i="32"/>
  <c r="E34" i="24"/>
  <c r="F34" i="13"/>
  <c r="D15" i="15"/>
  <c r="D15" i="10"/>
  <c r="E15" i="15"/>
  <c r="E15" i="6"/>
  <c r="C34" i="4"/>
  <c r="K18" i="4" s="1"/>
  <c r="E15" i="26"/>
  <c r="F34" i="6"/>
  <c r="D33" i="6"/>
  <c r="D34" i="4"/>
  <c r="D33" i="4"/>
  <c r="E24" i="15"/>
  <c r="E24" i="37"/>
  <c r="E34" i="4"/>
  <c r="E33" i="4"/>
  <c r="D15" i="26"/>
  <c r="D24" i="8"/>
  <c r="C24" i="6"/>
  <c r="E34" i="37"/>
  <c r="C33" i="32"/>
  <c r="E34" i="28"/>
  <c r="C24" i="26"/>
  <c r="C24" i="21"/>
  <c r="E33" i="20"/>
  <c r="D33" i="19"/>
  <c r="C33" i="16"/>
  <c r="C15" i="15"/>
  <c r="D34" i="14"/>
  <c r="E24" i="13"/>
  <c r="C15" i="11"/>
  <c r="C24" i="8"/>
  <c r="C33" i="7"/>
  <c r="C33" i="6"/>
  <c r="D24" i="24"/>
  <c r="C34" i="23"/>
  <c r="K7" i="23" s="1"/>
  <c r="W56" i="55" s="1"/>
  <c r="X56" i="55" s="1"/>
  <c r="E15" i="17"/>
  <c r="E33" i="12"/>
  <c r="E24" i="25"/>
  <c r="D34" i="23"/>
  <c r="Z56" i="55" s="1"/>
  <c r="D33" i="22"/>
  <c r="D33" i="15"/>
  <c r="F34" i="14"/>
  <c r="E15" i="10"/>
  <c r="D33" i="10"/>
  <c r="C24" i="9"/>
  <c r="E24" i="8"/>
  <c r="E34" i="6"/>
  <c r="C15" i="37"/>
  <c r="C33" i="37"/>
  <c r="F34" i="28"/>
  <c r="F34" i="25"/>
  <c r="E34" i="23"/>
  <c r="D24" i="20"/>
  <c r="E24" i="18"/>
  <c r="F34" i="16"/>
  <c r="C24" i="15"/>
  <c r="D34" i="13"/>
  <c r="F34" i="8"/>
  <c r="F34" i="7"/>
  <c r="D15" i="37"/>
  <c r="F34" i="4"/>
  <c r="D34" i="7"/>
  <c r="D34" i="32"/>
  <c r="D33" i="28"/>
  <c r="F34" i="26"/>
  <c r="D24" i="26"/>
  <c r="F34" i="22"/>
  <c r="E24" i="20"/>
  <c r="C34" i="16"/>
  <c r="E34" i="13"/>
  <c r="D24" i="12"/>
  <c r="E15" i="9"/>
  <c r="C34" i="8"/>
  <c r="E15" i="7"/>
  <c r="D34" i="6"/>
  <c r="E33" i="6"/>
  <c r="D34" i="25"/>
  <c r="C24" i="24"/>
  <c r="C33" i="23"/>
  <c r="E15" i="22"/>
  <c r="C33" i="18"/>
  <c r="E34" i="17"/>
  <c r="E15" i="14"/>
  <c r="D33" i="14"/>
  <c r="E24" i="12"/>
  <c r="D34" i="8"/>
  <c r="C34" i="6"/>
  <c r="C24" i="37"/>
  <c r="C34" i="17"/>
  <c r="K8" i="17" s="1"/>
  <c r="W81" i="55" s="1"/>
  <c r="X81" i="55" s="1"/>
  <c r="E34" i="32"/>
  <c r="C24" i="28"/>
  <c r="C33" i="26"/>
  <c r="D33" i="23"/>
  <c r="D15" i="18"/>
  <c r="D33" i="18"/>
  <c r="E34" i="16"/>
  <c r="C24" i="14"/>
  <c r="C33" i="11"/>
  <c r="C33" i="9"/>
  <c r="E24" i="4"/>
  <c r="D33" i="32"/>
  <c r="C34" i="32"/>
  <c r="K8" i="32" s="1"/>
  <c r="W12" i="55" s="1"/>
  <c r="X12" i="55" s="1"/>
  <c r="C24" i="32"/>
  <c r="E24" i="32"/>
  <c r="C15" i="32"/>
  <c r="E15" i="32"/>
  <c r="D24" i="32"/>
  <c r="F34" i="32"/>
  <c r="C24" i="4"/>
  <c r="C15" i="4"/>
  <c r="D24" i="4"/>
  <c r="D15" i="4"/>
  <c r="E15" i="4"/>
  <c r="D24" i="37"/>
  <c r="E33" i="37"/>
  <c r="C34" i="37"/>
  <c r="K18" i="37" s="1"/>
  <c r="D15" i="6"/>
  <c r="E24" i="6"/>
  <c r="C15" i="7"/>
  <c r="D24" i="7"/>
  <c r="E33" i="7"/>
  <c r="D33" i="7"/>
  <c r="D15" i="7"/>
  <c r="E24" i="7"/>
  <c r="C34" i="7"/>
  <c r="K18" i="7" s="1"/>
  <c r="W127" i="55" s="1"/>
  <c r="X127" i="55" s="1"/>
  <c r="C24" i="7"/>
  <c r="C33" i="8"/>
  <c r="C15" i="8"/>
  <c r="D15" i="8"/>
  <c r="E15" i="8"/>
  <c r="C15" i="9"/>
  <c r="D24" i="9"/>
  <c r="D15" i="9"/>
  <c r="E24" i="9"/>
  <c r="E33" i="10"/>
  <c r="C34" i="10"/>
  <c r="D15" i="11"/>
  <c r="E24" i="11"/>
  <c r="C34" i="11"/>
  <c r="E15" i="11"/>
  <c r="D34" i="11"/>
  <c r="C33" i="12"/>
  <c r="C24" i="12"/>
  <c r="D33" i="12"/>
  <c r="C15" i="12"/>
  <c r="D15" i="12"/>
  <c r="E15" i="12"/>
  <c r="C24" i="13"/>
  <c r="D33" i="13"/>
  <c r="C15" i="13"/>
  <c r="D15" i="13"/>
  <c r="E15" i="13"/>
  <c r="E33" i="14"/>
  <c r="C34" i="14"/>
  <c r="K7" i="14" s="1"/>
  <c r="W94" i="55" s="1"/>
  <c r="X94" i="55" s="1"/>
  <c r="C24" i="16"/>
  <c r="D33" i="16"/>
  <c r="C15" i="16"/>
  <c r="D24" i="16"/>
  <c r="D15" i="16"/>
  <c r="E24" i="16"/>
  <c r="C15" i="17"/>
  <c r="D24" i="17"/>
  <c r="E33" i="17"/>
  <c r="D15" i="17"/>
  <c r="E24" i="17"/>
  <c r="C15" i="18"/>
  <c r="D24" i="18"/>
  <c r="E15" i="18"/>
  <c r="D34" i="18"/>
  <c r="C34" i="19"/>
  <c r="E15" i="19"/>
  <c r="D34" i="19"/>
  <c r="C33" i="20"/>
  <c r="D15" i="20"/>
  <c r="C34" i="20"/>
  <c r="E15" i="20"/>
  <c r="C15" i="22"/>
  <c r="D24" i="22"/>
  <c r="E33" i="22"/>
  <c r="D15" i="22"/>
  <c r="E24" i="22"/>
  <c r="C24" i="22"/>
  <c r="C15" i="21"/>
  <c r="D24" i="21"/>
  <c r="E33" i="21"/>
  <c r="D15" i="21"/>
  <c r="E24" i="21"/>
  <c r="C34" i="21"/>
  <c r="K7" i="21" s="1"/>
  <c r="W60" i="55" s="1"/>
  <c r="X60" i="55" s="1"/>
  <c r="E15" i="21"/>
  <c r="D34" i="21"/>
  <c r="Z60" i="55" s="1"/>
  <c r="E33" i="23"/>
  <c r="D15" i="24"/>
  <c r="E24" i="24"/>
  <c r="C34" i="24"/>
  <c r="K7" i="24" s="1"/>
  <c r="W52" i="55" s="1"/>
  <c r="X52" i="55" s="1"/>
  <c r="E15" i="24"/>
  <c r="D34" i="24"/>
  <c r="Z52" i="55" s="1"/>
  <c r="C33" i="25"/>
  <c r="C24" i="25"/>
  <c r="D33" i="25"/>
  <c r="C15" i="25"/>
  <c r="D15" i="25"/>
  <c r="E15" i="25"/>
  <c r="C34" i="26"/>
  <c r="D15" i="28"/>
  <c r="E24" i="28"/>
  <c r="C34" i="28"/>
  <c r="K9" i="28" s="1"/>
  <c r="W39" i="55" s="1"/>
  <c r="X39" i="55" s="1"/>
  <c r="D34" i="28"/>
  <c r="E33" i="32"/>
  <c r="W135" i="55" l="1"/>
  <c r="W135" i="46"/>
  <c r="W139" i="55"/>
  <c r="W139" i="46"/>
  <c r="W127" i="46"/>
  <c r="AA52" i="55"/>
  <c r="AB52" i="55" s="1"/>
  <c r="AA94" i="55"/>
  <c r="AB94" i="55" s="1"/>
  <c r="AA98" i="55"/>
  <c r="AB98" i="55" s="1"/>
  <c r="C35" i="10"/>
  <c r="AA90" i="55"/>
  <c r="AB90" i="55" s="1"/>
  <c r="C35" i="15"/>
  <c r="C35" i="9"/>
  <c r="W98" i="46"/>
  <c r="C35" i="22"/>
  <c r="W94" i="46"/>
  <c r="E35" i="9"/>
  <c r="W90" i="46"/>
  <c r="W81" i="46"/>
  <c r="X81" i="46" s="1"/>
  <c r="C35" i="26"/>
  <c r="W56" i="46"/>
  <c r="W60" i="46"/>
  <c r="Z52" i="46"/>
  <c r="Z60" i="46"/>
  <c r="W64" i="46"/>
  <c r="W52" i="46"/>
  <c r="Z56" i="46"/>
  <c r="Z64" i="46"/>
  <c r="D35" i="18"/>
  <c r="C35" i="7"/>
  <c r="D35" i="17"/>
  <c r="E35" i="15"/>
  <c r="D35" i="15"/>
  <c r="W39" i="46"/>
  <c r="C35" i="16"/>
  <c r="E35" i="17"/>
  <c r="D35" i="16"/>
  <c r="W12" i="46"/>
  <c r="D35" i="22"/>
  <c r="E35" i="22"/>
  <c r="D35" i="24"/>
  <c r="C35" i="17"/>
  <c r="D35" i="23"/>
  <c r="C35" i="37"/>
  <c r="D35" i="19"/>
  <c r="D35" i="6"/>
  <c r="E35" i="32"/>
  <c r="E35" i="16"/>
  <c r="C35" i="32"/>
  <c r="E35" i="6"/>
  <c r="C35" i="28"/>
  <c r="D35" i="11"/>
  <c r="D35" i="21"/>
  <c r="C35" i="23"/>
  <c r="D35" i="32"/>
  <c r="C35" i="14"/>
  <c r="C35" i="6"/>
  <c r="C35" i="24"/>
  <c r="E35" i="23"/>
  <c r="D35" i="28"/>
  <c r="E35" i="37"/>
  <c r="D35" i="37"/>
  <c r="D35" i="7"/>
  <c r="E35" i="7"/>
  <c r="D35" i="10"/>
  <c r="E35" i="10"/>
  <c r="C35" i="11"/>
  <c r="E35" i="11"/>
  <c r="E35" i="14"/>
  <c r="D35" i="14"/>
  <c r="C35" i="18"/>
  <c r="E35" i="18"/>
  <c r="C35" i="19"/>
  <c r="E35" i="19"/>
  <c r="E35" i="21"/>
  <c r="C35" i="21"/>
  <c r="E35" i="24"/>
  <c r="D35" i="26"/>
  <c r="E35" i="26"/>
  <c r="E35" i="28"/>
  <c r="X139" i="46" l="1"/>
  <c r="AA139" i="46"/>
  <c r="AB139" i="46" s="1"/>
  <c r="X139" i="55"/>
  <c r="AA139" i="55"/>
  <c r="AB139" i="55" s="1"/>
  <c r="X135" i="46"/>
  <c r="AA135" i="46"/>
  <c r="AB135" i="46" s="1"/>
  <c r="X135" i="55"/>
  <c r="AA135" i="55"/>
  <c r="AB135" i="55" s="1"/>
  <c r="X127" i="46"/>
  <c r="AA127" i="46"/>
  <c r="AB127" i="46" s="1"/>
  <c r="AA127" i="55"/>
  <c r="AB127" i="55" s="1"/>
  <c r="AA98" i="46"/>
  <c r="AB98" i="46" s="1"/>
  <c r="X98" i="46"/>
  <c r="AA90" i="46"/>
  <c r="AB90" i="46" s="1"/>
  <c r="X90" i="46"/>
  <c r="AA94" i="46"/>
  <c r="AB94" i="46" s="1"/>
  <c r="X94" i="46"/>
  <c r="AA52" i="46"/>
  <c r="AB52" i="46" s="1"/>
  <c r="X52" i="46"/>
  <c r="X60" i="46"/>
  <c r="X64" i="46"/>
  <c r="X56" i="46"/>
  <c r="X39" i="46"/>
  <c r="X12" i="46"/>
  <c r="G42" i="37"/>
  <c r="I37" i="37" s="1"/>
  <c r="F42" i="37"/>
  <c r="G42" i="7" l="1"/>
  <c r="I37" i="7" s="1"/>
  <c r="F42" i="7"/>
  <c r="BW40" i="2" l="1"/>
  <c r="DK40" i="2"/>
  <c r="FK40" i="2" s="1"/>
  <c r="DY40" i="2"/>
  <c r="EE40" i="2"/>
  <c r="EQ42" i="2" l="1"/>
  <c r="ES40" i="2"/>
  <c r="FW40" i="2" l="1"/>
  <c r="FD40" i="2" l="1"/>
  <c r="FH40" i="2"/>
  <c r="EZ40" i="2"/>
  <c r="ER40" i="2"/>
  <c r="EV40" i="2"/>
  <c r="EJ40" i="2"/>
  <c r="EN40" i="2"/>
  <c r="FT40" i="2"/>
  <c r="BX40" i="2"/>
  <c r="AR40" i="2"/>
  <c r="DD40" i="2"/>
  <c r="AF40" i="2"/>
  <c r="DX40" i="2"/>
  <c r="AJ40" i="2"/>
  <c r="CV40" i="2"/>
  <c r="AB40" i="2"/>
  <c r="CN40" i="2"/>
  <c r="CR40" i="2"/>
  <c r="EB40" i="2"/>
  <c r="EF40" i="2"/>
  <c r="AZ40" i="2"/>
  <c r="X40" i="2"/>
  <c r="FP40" i="2"/>
  <c r="DL40" i="2"/>
  <c r="DP40" i="2"/>
  <c r="P40" i="2"/>
  <c r="CB40" i="2"/>
  <c r="H40" i="2"/>
  <c r="AV40" i="2"/>
  <c r="CZ40" i="2"/>
  <c r="T40" i="2"/>
  <c r="CF40" i="2"/>
  <c r="L40" i="2"/>
  <c r="BD40" i="2"/>
  <c r="BH40" i="2"/>
  <c r="AN40" i="2"/>
  <c r="CJ40" i="2"/>
  <c r="DT40" i="2"/>
  <c r="FL40" i="2"/>
  <c r="G42" i="9"/>
  <c r="I37" i="9" s="1"/>
  <c r="F42" i="9"/>
  <c r="G42" i="11" l="1"/>
  <c r="I37" i="11" s="1"/>
  <c r="F42" i="11"/>
  <c r="G42" i="43" l="1"/>
  <c r="I37" i="43" s="1"/>
  <c r="F42" i="43"/>
  <c r="G42" i="4"/>
  <c r="I37" i="4" s="1"/>
  <c r="F42" i="4"/>
  <c r="K12" i="16" l="1"/>
  <c r="W86" i="46"/>
  <c r="X86" i="46" s="1"/>
  <c r="F42" i="16" l="1"/>
  <c r="G42" i="16"/>
  <c r="I37" i="16" s="1"/>
  <c r="G42" i="17" l="1"/>
  <c r="I37" i="17" s="1"/>
  <c r="F42" i="17"/>
  <c r="F42" i="18" l="1"/>
  <c r="G42" i="18"/>
  <c r="I37" i="18" s="1"/>
  <c r="G42" i="19"/>
  <c r="I37" i="19" s="1"/>
  <c r="F42" i="19"/>
  <c r="G42" i="22" l="1"/>
  <c r="I37" i="22" s="1"/>
  <c r="F42" i="22"/>
  <c r="F42" i="21" l="1"/>
  <c r="G42" i="21" l="1"/>
  <c r="I37" i="21" s="1"/>
  <c r="I37" i="23"/>
  <c r="F42" i="24" l="1"/>
  <c r="G42" i="24"/>
  <c r="I37" i="24" s="1"/>
  <c r="F42" i="25" l="1"/>
  <c r="G42" i="26"/>
  <c r="I37" i="26" s="1"/>
  <c r="F42" i="26"/>
  <c r="F42" i="28" l="1"/>
  <c r="G42" i="28"/>
  <c r="I37" i="28" s="1"/>
  <c r="I43" i="29" l="1"/>
  <c r="C52" i="29" l="1"/>
  <c r="C51" i="29"/>
  <c r="C50" i="29"/>
  <c r="C49" i="29"/>
  <c r="C48" i="29"/>
  <c r="C47" i="29"/>
  <c r="C46" i="29"/>
  <c r="C45" i="29"/>
  <c r="C44" i="29"/>
  <c r="C43" i="29"/>
  <c r="C42" i="29"/>
  <c r="C41" i="29"/>
  <c r="C40" i="29"/>
  <c r="C39" i="29"/>
  <c r="C38" i="29"/>
  <c r="L34" i="29"/>
  <c r="K34" i="29"/>
  <c r="I40" i="29" l="1"/>
  <c r="I44" i="29"/>
  <c r="C53" i="29"/>
  <c r="C54" i="29" s="1"/>
  <c r="I45" i="29" l="1"/>
  <c r="G42" i="25" l="1"/>
  <c r="I37" i="25" s="1"/>
  <c r="J14" i="30" l="1"/>
  <c r="J14" i="29" s="1"/>
  <c r="J14" i="27" s="1"/>
  <c r="J12" i="30"/>
  <c r="J12" i="29" s="1"/>
  <c r="J12" i="27" s="1"/>
  <c r="J13" i="30"/>
  <c r="J13" i="29" s="1"/>
  <c r="J13" i="27" s="1"/>
  <c r="J11" i="30"/>
  <c r="J11" i="29" s="1"/>
  <c r="J11" i="27" s="1"/>
  <c r="U40" i="45" l="1"/>
  <c r="M40" i="45"/>
  <c r="E40" i="45"/>
  <c r="I40" i="45"/>
  <c r="AG6" i="51"/>
  <c r="X40" i="45" l="1"/>
  <c r="AR6" i="46" l="1"/>
  <c r="BA6" i="46" s="1"/>
  <c r="AM7" i="46"/>
  <c r="AM8" i="46"/>
  <c r="AM6" i="46"/>
  <c r="BC147" i="55" l="1"/>
  <c r="BB147" i="55"/>
  <c r="AZ147" i="55"/>
  <c r="AY147" i="55"/>
  <c r="AX147" i="55"/>
  <c r="AW147" i="55"/>
  <c r="AV147" i="55"/>
  <c r="AU147" i="55"/>
  <c r="AT147" i="55"/>
  <c r="AS147" i="55"/>
  <c r="AQ147" i="55"/>
  <c r="AP147" i="55"/>
  <c r="AO147" i="55"/>
  <c r="AN147" i="55"/>
  <c r="AL147" i="55"/>
  <c r="AK147" i="55"/>
  <c r="AJ147" i="55"/>
  <c r="AI147" i="55"/>
  <c r="AH147" i="55"/>
  <c r="AG147" i="55"/>
  <c r="AF147" i="55"/>
  <c r="S147" i="55"/>
  <c r="R147" i="55"/>
  <c r="Q147" i="55"/>
  <c r="Q148" i="55" s="1"/>
  <c r="AR146" i="55"/>
  <c r="AM146" i="55"/>
  <c r="AC146" i="55"/>
  <c r="AA146" i="55"/>
  <c r="AW151" i="55" l="1"/>
  <c r="AW153" i="55" s="1"/>
  <c r="BF149" i="55"/>
  <c r="BD149" i="55"/>
  <c r="BE149" i="55"/>
  <c r="P6" i="46"/>
  <c r="U6" i="46"/>
  <c r="C6" i="46"/>
  <c r="N9" i="48" s="1"/>
  <c r="T6" i="46"/>
  <c r="V6" i="46"/>
  <c r="K6" i="46"/>
  <c r="L9" i="48" s="1"/>
  <c r="AZ9" i="48" s="1"/>
  <c r="AM147" i="55"/>
  <c r="S149" i="55"/>
  <c r="R148" i="55"/>
  <c r="BC149" i="55"/>
  <c r="S148" i="55"/>
  <c r="BB149" i="55"/>
  <c r="AR147" i="55"/>
  <c r="BA147" i="55"/>
  <c r="AD147" i="55"/>
  <c r="T9" i="53" s="1"/>
  <c r="K147" i="46" l="1"/>
  <c r="AH3" i="51" s="1"/>
  <c r="X6" i="46"/>
  <c r="AC6" i="46"/>
  <c r="R149" i="55"/>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S42" i="1"/>
  <c r="GP42" i="1"/>
  <c r="GM42" i="1"/>
  <c r="GJ42" i="1"/>
  <c r="GG42" i="1"/>
  <c r="GD42" i="1"/>
  <c r="GA42" i="1"/>
  <c r="FX42" i="1"/>
  <c r="FU42" i="1"/>
  <c r="FR42" i="1"/>
  <c r="FO42" i="1"/>
  <c r="FL42" i="1"/>
  <c r="FI42" i="1"/>
  <c r="FF42" i="1"/>
  <c r="FC42" i="1"/>
  <c r="EZ42" i="1"/>
  <c r="EW42" i="1"/>
  <c r="ET42" i="1"/>
  <c r="EQ42" i="1"/>
  <c r="EN42" i="1"/>
  <c r="EK42" i="1"/>
  <c r="EH42" i="1"/>
  <c r="EE42" i="1"/>
  <c r="DY42" i="1"/>
  <c r="DV42" i="1"/>
  <c r="DS42" i="1"/>
  <c r="DP42" i="1"/>
  <c r="DM42" i="1"/>
  <c r="DJ42" i="1"/>
  <c r="DG42" i="1"/>
  <c r="DD42" i="1"/>
  <c r="DA42" i="1"/>
  <c r="CX42" i="1"/>
  <c r="CU42" i="1"/>
  <c r="CR42" i="1"/>
  <c r="CO42" i="1"/>
  <c r="CL42" i="1"/>
  <c r="CI42" i="1"/>
  <c r="CF42" i="1"/>
  <c r="CC42" i="1"/>
  <c r="BZ42" i="1"/>
  <c r="BW42" i="1"/>
  <c r="BT42" i="1"/>
  <c r="BQ42" i="1"/>
  <c r="BN42" i="1"/>
  <c r="BK42" i="1"/>
  <c r="BH42" i="1"/>
  <c r="BE42" i="1"/>
  <c r="BB42" i="1"/>
  <c r="AY42" i="1"/>
  <c r="AS42" i="1"/>
  <c r="AP42" i="1"/>
  <c r="AM42" i="1"/>
  <c r="AJ42" i="1"/>
  <c r="AG42" i="1"/>
  <c r="AD42" i="1"/>
  <c r="AA42" i="1"/>
  <c r="X42" i="1"/>
  <c r="O42" i="1"/>
  <c r="L42" i="1"/>
  <c r="I42" i="1"/>
  <c r="F42" i="1"/>
  <c r="KR40" i="1"/>
  <c r="KO40" i="1"/>
  <c r="KL40" i="1"/>
  <c r="KI40" i="1"/>
  <c r="KF40" i="1"/>
  <c r="KC40" i="1"/>
  <c r="JZ40" i="1"/>
  <c r="JW40" i="1"/>
  <c r="JT40" i="1"/>
  <c r="JQ40" i="1"/>
  <c r="JN40" i="1"/>
  <c r="JI40" i="1"/>
  <c r="JF40" i="1"/>
  <c r="JC40" i="1"/>
  <c r="IZ40" i="1"/>
  <c r="IW40" i="1"/>
  <c r="IT40" i="1"/>
  <c r="IQ40" i="1"/>
  <c r="IN40" i="1"/>
  <c r="IK40" i="1"/>
  <c r="IH40" i="1"/>
  <c r="IE40" i="1"/>
  <c r="IB40" i="1"/>
  <c r="HY40" i="1"/>
  <c r="HV40" i="1"/>
  <c r="HS40" i="1"/>
  <c r="HP40" i="1"/>
  <c r="HM40" i="1"/>
  <c r="HJ40" i="1"/>
  <c r="HG40" i="1"/>
  <c r="HD40" i="1"/>
  <c r="HA40" i="1"/>
  <c r="GX40" i="1"/>
  <c r="GU40" i="1"/>
  <c r="GR40" i="1"/>
  <c r="GO40" i="1"/>
  <c r="GL40" i="1"/>
  <c r="GI40" i="1"/>
  <c r="GF40" i="1"/>
  <c r="GC40" i="1"/>
  <c r="FZ40" i="1"/>
  <c r="FW40" i="1"/>
  <c r="FT40" i="1"/>
  <c r="FQ40" i="1"/>
  <c r="FN40" i="1"/>
  <c r="FK40" i="1"/>
  <c r="FH40" i="1"/>
  <c r="FE40" i="1"/>
  <c r="FB40" i="1"/>
  <c r="EY40" i="1"/>
  <c r="EV40" i="1"/>
  <c r="ES40" i="1"/>
  <c r="EP40" i="1"/>
  <c r="EM40" i="1"/>
  <c r="EJ40" i="1"/>
  <c r="EG40" i="1"/>
  <c r="ED40" i="1"/>
  <c r="EA40" i="1"/>
  <c r="DX40" i="1"/>
  <c r="DU40" i="1"/>
  <c r="DR40" i="1"/>
  <c r="DO40" i="1"/>
  <c r="DL40" i="1"/>
  <c r="DI40" i="1"/>
  <c r="DF40" i="1"/>
  <c r="DC40" i="1"/>
  <c r="CZ40" i="1"/>
  <c r="CW40" i="1"/>
  <c r="CT40" i="1"/>
  <c r="CQ40" i="1"/>
  <c r="CN40" i="1"/>
  <c r="CK40" i="1"/>
  <c r="CH40" i="1"/>
  <c r="CE40" i="1"/>
  <c r="CB40" i="1"/>
  <c r="BY40" i="1"/>
  <c r="BV40" i="1"/>
  <c r="BS40" i="1"/>
  <c r="BP40" i="1"/>
  <c r="BM40" i="1"/>
  <c r="BJ40" i="1"/>
  <c r="BG40" i="1"/>
  <c r="BD40" i="1"/>
  <c r="BA40" i="1"/>
  <c r="AX40" i="1"/>
  <c r="AU40" i="1"/>
  <c r="AR40" i="1"/>
  <c r="AO40" i="1"/>
  <c r="AL40" i="1"/>
  <c r="AI40" i="1"/>
  <c r="AF40" i="1"/>
  <c r="AC40" i="1"/>
  <c r="Z40" i="1"/>
  <c r="W40" i="1"/>
  <c r="T40" i="1"/>
  <c r="Q40" i="1"/>
  <c r="N40" i="1"/>
  <c r="K40" i="1"/>
  <c r="H40" i="1"/>
  <c r="KR39" i="1"/>
  <c r="KO39" i="1"/>
  <c r="KL39" i="1"/>
  <c r="KI39" i="1"/>
  <c r="KF39" i="1"/>
  <c r="KC39" i="1"/>
  <c r="JZ39" i="1"/>
  <c r="JW39" i="1"/>
  <c r="JT39" i="1"/>
  <c r="JQ39" i="1"/>
  <c r="JN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T38" i="1"/>
  <c r="Q38" i="1"/>
  <c r="N38" i="1"/>
  <c r="K38" i="1"/>
  <c r="H38" i="1"/>
  <c r="KR37" i="1"/>
  <c r="KO37" i="1"/>
  <c r="KL37" i="1"/>
  <c r="KI37" i="1"/>
  <c r="KF37" i="1"/>
  <c r="KC37" i="1"/>
  <c r="JZ37" i="1"/>
  <c r="JW37" i="1"/>
  <c r="JT37" i="1"/>
  <c r="JQ37" i="1"/>
  <c r="JN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Q37" i="1"/>
  <c r="N37" i="1"/>
  <c r="K37" i="1"/>
  <c r="H37" i="1"/>
  <c r="KR36" i="1"/>
  <c r="KO36" i="1"/>
  <c r="KL36" i="1"/>
  <c r="KI36" i="1"/>
  <c r="KF36" i="1"/>
  <c r="KC36" i="1"/>
  <c r="JZ36" i="1"/>
  <c r="JW36" i="1"/>
  <c r="JT36" i="1"/>
  <c r="JQ36" i="1"/>
  <c r="JN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U12" i="1"/>
  <c r="AR12" i="1"/>
  <c r="AO12" i="1"/>
  <c r="AL12" i="1"/>
  <c r="AI12" i="1"/>
  <c r="AF12" i="1"/>
  <c r="AC12" i="1"/>
  <c r="Z12" i="1"/>
  <c r="W12" i="1"/>
  <c r="T12" i="1"/>
  <c r="Q12" i="1"/>
  <c r="N12" i="1"/>
  <c r="K12" i="1"/>
  <c r="H12" i="1"/>
  <c r="KR11" i="1"/>
  <c r="KO11" i="1"/>
  <c r="KL11" i="1"/>
  <c r="KI11" i="1"/>
  <c r="KF11" i="1"/>
  <c r="KC11" i="1"/>
  <c r="JZ11" i="1"/>
  <c r="JW11" i="1"/>
  <c r="JT11" i="1"/>
  <c r="JQ11" i="1"/>
  <c r="JN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38" i="1"/>
  <c r="KP36" i="1"/>
  <c r="KM34" i="1"/>
  <c r="KJ40" i="1"/>
  <c r="KG38" i="1"/>
  <c r="KD36" i="1"/>
  <c r="KA34" i="1"/>
  <c r="JU38" i="1"/>
  <c r="JR36" i="1"/>
  <c r="JO34" i="1"/>
  <c r="JL40" i="1"/>
  <c r="BC147" i="46"/>
  <c r="BB147" i="46"/>
  <c r="AZ147" i="46"/>
  <c r="AY147" i="46"/>
  <c r="AX147" i="46"/>
  <c r="AW147" i="46"/>
  <c r="AV147" i="46"/>
  <c r="AU147" i="46"/>
  <c r="AT147" i="46"/>
  <c r="AS147" i="46"/>
  <c r="AQ147" i="46"/>
  <c r="AP147" i="46"/>
  <c r="AO147" i="46"/>
  <c r="AN147" i="46"/>
  <c r="AL147" i="46"/>
  <c r="AK147" i="46"/>
  <c r="AJ147" i="46"/>
  <c r="AI147" i="46"/>
  <c r="AH147" i="46"/>
  <c r="AG147" i="46"/>
  <c r="AF147" i="46"/>
  <c r="AR146" i="46"/>
  <c r="AM146" i="46"/>
  <c r="AR8" i="46"/>
  <c r="BA8" i="46" s="1"/>
  <c r="AR7" i="46"/>
  <c r="BA7" i="46" s="1"/>
  <c r="AD7" i="46" s="1"/>
  <c r="AV151" i="55" l="1"/>
  <c r="AV153" i="55" s="1"/>
  <c r="AW154" i="55" s="1"/>
  <c r="G42" i="1"/>
  <c r="JH42" i="1"/>
  <c r="JX42" i="1"/>
  <c r="K42" i="1"/>
  <c r="P42" i="1"/>
  <c r="KT34" i="1"/>
  <c r="AR147" i="46"/>
  <c r="AU42" i="1"/>
  <c r="BS42" i="1"/>
  <c r="CQ42" i="1"/>
  <c r="DO42" i="1"/>
  <c r="EM42" i="1"/>
  <c r="FK42" i="1"/>
  <c r="GI42" i="1"/>
  <c r="HG42" i="1"/>
  <c r="IE42" i="1"/>
  <c r="JC42" i="1"/>
  <c r="JZ42" i="1"/>
  <c r="KT28" i="1"/>
  <c r="Z42" i="1"/>
  <c r="BV42" i="1"/>
  <c r="CT42" i="1"/>
  <c r="DR42" i="1"/>
  <c r="EP42" i="1"/>
  <c r="FN42" i="1"/>
  <c r="IH42" i="1"/>
  <c r="JF42" i="1"/>
  <c r="KC42" i="1"/>
  <c r="AC42" i="1"/>
  <c r="BA42" i="1"/>
  <c r="BX42" i="1"/>
  <c r="CV42" i="1"/>
  <c r="DT42" i="1"/>
  <c r="ER42" i="1"/>
  <c r="FP42" i="1"/>
  <c r="KT30" i="1"/>
  <c r="KT36" i="1"/>
  <c r="H42" i="1"/>
  <c r="BC42" i="1"/>
  <c r="CA42" i="1"/>
  <c r="CZ42" i="1"/>
  <c r="DX42" i="1"/>
  <c r="EV42" i="1"/>
  <c r="FT42" i="1"/>
  <c r="GR42" i="1"/>
  <c r="HP42" i="1"/>
  <c r="IN42" i="1"/>
  <c r="JK42" i="1"/>
  <c r="KI42" i="1"/>
  <c r="AI42" i="1"/>
  <c r="BG42" i="1"/>
  <c r="CE42" i="1"/>
  <c r="DC42" i="1"/>
  <c r="EA42" i="1"/>
  <c r="EY42" i="1"/>
  <c r="FW42" i="1"/>
  <c r="GU42" i="1"/>
  <c r="HS42" i="1"/>
  <c r="IQ42" i="1"/>
  <c r="JN42" i="1"/>
  <c r="KL42" i="1"/>
  <c r="AL42" i="1"/>
  <c r="BJ42" i="1"/>
  <c r="CH42" i="1"/>
  <c r="DF42" i="1"/>
  <c r="FB42" i="1"/>
  <c r="FZ42" i="1"/>
  <c r="GX42" i="1"/>
  <c r="HU42" i="1"/>
  <c r="JQ42" i="1"/>
  <c r="KO42" i="1"/>
  <c r="KT16" i="1"/>
  <c r="AO42" i="1"/>
  <c r="BM42" i="1"/>
  <c r="CK42" i="1"/>
  <c r="DI42" i="1"/>
  <c r="EG42" i="1"/>
  <c r="FE42" i="1"/>
  <c r="GC42" i="1"/>
  <c r="HA42" i="1"/>
  <c r="HY42" i="1"/>
  <c r="IW42" i="1"/>
  <c r="KT18" i="1"/>
  <c r="AR42" i="1"/>
  <c r="BP42" i="1"/>
  <c r="CN42" i="1"/>
  <c r="DL42" i="1"/>
  <c r="EJ42" i="1"/>
  <c r="FH42" i="1"/>
  <c r="GF42" i="1"/>
  <c r="HD42" i="1"/>
  <c r="IB42" i="1"/>
  <c r="IZ42" i="1"/>
  <c r="JW42" i="1"/>
  <c r="Q42" i="1"/>
  <c r="KT24" i="1"/>
  <c r="KT26" i="1"/>
  <c r="KT17" i="1"/>
  <c r="KT23" i="1"/>
  <c r="AD8" i="46"/>
  <c r="KT15" i="1"/>
  <c r="AM147" i="46"/>
  <c r="KT25" i="1"/>
  <c r="KT21" i="1"/>
  <c r="KT20" i="1"/>
  <c r="KT22" i="1"/>
  <c r="KT29" i="1"/>
  <c r="KT19" i="1"/>
  <c r="KT27" i="1"/>
  <c r="KT31" i="1"/>
  <c r="KT32" i="1"/>
  <c r="KT35" i="1"/>
  <c r="KT40" i="1"/>
  <c r="KT39" i="1"/>
  <c r="M42" i="1"/>
  <c r="AK42" i="1"/>
  <c r="BI42" i="1"/>
  <c r="BY42" i="1"/>
  <c r="CG42" i="1"/>
  <c r="CW42" i="1"/>
  <c r="DE42" i="1"/>
  <c r="DU42" i="1"/>
  <c r="ES42" i="1"/>
  <c r="FA42" i="1"/>
  <c r="FQ42" i="1"/>
  <c r="FY42" i="1"/>
  <c r="GO42" i="1"/>
  <c r="GW42" i="1"/>
  <c r="HM42" i="1"/>
  <c r="IK42" i="1"/>
  <c r="IS42" i="1"/>
  <c r="JI42" i="1"/>
  <c r="JT42" i="1"/>
  <c r="KF42" i="1"/>
  <c r="KR42" i="1"/>
  <c r="N42" i="1"/>
  <c r="AT42" i="1"/>
  <c r="BR42" i="1"/>
  <c r="CP42" i="1"/>
  <c r="DN42" i="1"/>
  <c r="EL42" i="1"/>
  <c r="FJ42" i="1"/>
  <c r="GH42" i="1"/>
  <c r="HF42" i="1"/>
  <c r="HV42" i="1"/>
  <c r="ID42" i="1"/>
  <c r="IT42" i="1"/>
  <c r="JB42" i="1"/>
  <c r="AE42" i="1"/>
  <c r="CY42" i="1"/>
  <c r="DW42" i="1"/>
  <c r="EU42" i="1"/>
  <c r="FS42" i="1"/>
  <c r="GQ42" i="1"/>
  <c r="HO42" i="1"/>
  <c r="IM42" i="1"/>
  <c r="AF42" i="1"/>
  <c r="AN42" i="1"/>
  <c r="BD42" i="1"/>
  <c r="BL42" i="1"/>
  <c r="CB42" i="1"/>
  <c r="CJ42" i="1"/>
  <c r="DH42" i="1"/>
  <c r="EF42" i="1"/>
  <c r="FD42" i="1"/>
  <c r="GB42" i="1"/>
  <c r="GZ42" i="1"/>
  <c r="HX42" i="1"/>
  <c r="IV42" i="1"/>
  <c r="Y42" i="1"/>
  <c r="BU42" i="1"/>
  <c r="CS42" i="1"/>
  <c r="DQ42" i="1"/>
  <c r="EO42" i="1"/>
  <c r="FM42" i="1"/>
  <c r="GK42" i="1"/>
  <c r="HI42" i="1"/>
  <c r="IG42" i="1"/>
  <c r="JE42" i="1"/>
  <c r="J42" i="1"/>
  <c r="AH42" i="1"/>
  <c r="BF42" i="1"/>
  <c r="CD42" i="1"/>
  <c r="DB42" i="1"/>
  <c r="DZ42" i="1"/>
  <c r="EX42" i="1"/>
  <c r="FV42" i="1"/>
  <c r="GL42" i="1"/>
  <c r="GT42" i="1"/>
  <c r="HJ42" i="1"/>
  <c r="HR42" i="1"/>
  <c r="IP42" i="1"/>
  <c r="AQ42" i="1"/>
  <c r="BO42" i="1"/>
  <c r="CM42" i="1"/>
  <c r="DK42" i="1"/>
  <c r="EI42" i="1"/>
  <c r="FG42" i="1"/>
  <c r="GE42" i="1"/>
  <c r="HC42" i="1"/>
  <c r="IA42" i="1"/>
  <c r="IY42" i="1"/>
  <c r="AB42" i="1"/>
  <c r="AZ42" i="1"/>
  <c r="GN42" i="1"/>
  <c r="HL42" i="1"/>
  <c r="IJ42" i="1"/>
  <c r="KT11" i="1"/>
  <c r="KT13" i="1"/>
  <c r="KJ10" i="1"/>
  <c r="JX10" i="1"/>
  <c r="KT14" i="1"/>
  <c r="JL10" i="1"/>
  <c r="KD10" i="1"/>
  <c r="JL12" i="1"/>
  <c r="KG12" i="1"/>
  <c r="KG11" i="1"/>
  <c r="KG10" i="1"/>
  <c r="KJ12" i="1"/>
  <c r="JO12" i="1"/>
  <c r="JU11" i="1"/>
  <c r="KS11" i="1"/>
  <c r="JL11" i="1"/>
  <c r="JX11" i="1"/>
  <c r="KJ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KG42" i="1"/>
  <c r="JR10" i="1"/>
  <c r="KP10" i="1"/>
  <c r="JU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JO40" i="1"/>
  <c r="KA40" i="1"/>
  <c r="KM40" i="1"/>
  <c r="JR42" i="1"/>
  <c r="KP42" i="1"/>
  <c r="KA1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KA42" i="1"/>
  <c r="JO11" i="1"/>
  <c r="JU10" i="1"/>
  <c r="KS10" i="1"/>
  <c r="JX12"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JR40" i="1"/>
  <c r="KD40" i="1"/>
  <c r="KP40" i="1"/>
  <c r="JL42" i="1"/>
  <c r="KJ42" i="1"/>
  <c r="KM11"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JO33" i="1"/>
  <c r="KA33" i="1"/>
  <c r="KM33" i="1"/>
  <c r="JR35" i="1"/>
  <c r="KD35" i="1"/>
  <c r="KP35" i="1"/>
  <c r="JU37" i="1"/>
  <c r="KG37" i="1"/>
  <c r="KS37" i="1"/>
  <c r="JL39" i="1"/>
  <c r="JX39" i="1"/>
  <c r="KJ39" i="1"/>
  <c r="JU42" i="1"/>
  <c r="KS4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JU40" i="1"/>
  <c r="KG40" i="1"/>
  <c r="KS40" i="1"/>
  <c r="KD42"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JO42" i="1"/>
  <c r="KM42" i="1"/>
  <c r="KA12" i="1"/>
  <c r="JO10" i="1"/>
  <c r="KA10" i="1"/>
  <c r="KM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X40" i="1"/>
  <c r="KU10" i="1" l="1"/>
  <c r="KU21" i="1"/>
  <c r="KU12" i="1"/>
  <c r="KU13" i="1"/>
  <c r="KU17" i="1"/>
  <c r="KU22" i="1"/>
  <c r="KU24" i="1"/>
  <c r="KU16" i="1"/>
  <c r="KU11" i="1"/>
  <c r="KU14" i="1"/>
  <c r="KU18" i="1"/>
  <c r="KU15" i="1"/>
  <c r="KU40" i="1"/>
  <c r="KU42" i="1"/>
  <c r="KU19" i="1"/>
  <c r="KU36" i="1"/>
  <c r="KU20" i="1"/>
  <c r="KU26" i="1"/>
  <c r="KU39" i="1"/>
  <c r="KU33" i="1"/>
  <c r="KU32" i="1"/>
  <c r="KU35" i="1"/>
  <c r="KU28" i="1"/>
  <c r="KU30" i="1"/>
  <c r="KU31" i="1"/>
  <c r="KU37" i="1"/>
  <c r="KU34" i="1"/>
  <c r="KU25" i="1"/>
  <c r="KU27" i="1"/>
  <c r="KU38" i="1"/>
  <c r="KU29" i="1"/>
  <c r="KU23" i="1"/>
  <c r="AD6" i="46"/>
  <c r="AD147" i="46" s="1"/>
  <c r="BA147" i="46"/>
  <c r="Q40" i="45" l="1"/>
  <c r="X38" i="45"/>
  <c r="I46" i="43" s="1"/>
  <c r="X37" i="45"/>
  <c r="I46" i="4" s="1"/>
  <c r="X36" i="45"/>
  <c r="I46" i="37" s="1"/>
  <c r="X35" i="45"/>
  <c r="I46" i="6" s="1"/>
  <c r="X34" i="45"/>
  <c r="I46" i="7" s="1"/>
  <c r="X33" i="45"/>
  <c r="I46" i="8" s="1"/>
  <c r="X32" i="45"/>
  <c r="I46" i="9" s="1"/>
  <c r="X31" i="45"/>
  <c r="I46" i="10" s="1"/>
  <c r="X30" i="45"/>
  <c r="I46" i="11" s="1"/>
  <c r="X29" i="45"/>
  <c r="I46" i="12" s="1"/>
  <c r="X28" i="45"/>
  <c r="I46" i="13" s="1"/>
  <c r="X27" i="45"/>
  <c r="I46" i="14" s="1"/>
  <c r="X24" i="45"/>
  <c r="I46" i="17" s="1"/>
  <c r="X22" i="45"/>
  <c r="I46" i="19" s="1"/>
  <c r="AI21" i="45"/>
  <c r="AH21" i="45"/>
  <c r="X21" i="45"/>
  <c r="I46" i="20" s="1"/>
  <c r="AI20" i="45"/>
  <c r="AH20" i="45"/>
  <c r="X20" i="45"/>
  <c r="I46" i="22" s="1"/>
  <c r="AI18" i="45"/>
  <c r="AH18" i="45"/>
  <c r="X18" i="45"/>
  <c r="I46" i="23" s="1"/>
  <c r="AI17" i="45"/>
  <c r="AH17" i="45"/>
  <c r="X17" i="45"/>
  <c r="I46" i="24" s="1"/>
  <c r="AI15" i="45"/>
  <c r="AH15" i="45"/>
  <c r="AI14" i="45"/>
  <c r="AH14" i="45"/>
  <c r="X14" i="45"/>
  <c r="I46" i="28" s="1"/>
  <c r="AI13" i="45"/>
  <c r="AH13" i="45"/>
  <c r="X13" i="45"/>
  <c r="I46" i="27" s="1"/>
  <c r="AI12" i="45"/>
  <c r="AH12" i="45"/>
  <c r="AI11" i="45"/>
  <c r="AH11" i="45"/>
  <c r="AI10" i="45"/>
  <c r="AI16" i="45" s="1"/>
  <c r="AH10" i="45"/>
  <c r="AH16" i="45" s="1"/>
  <c r="X10" i="45"/>
  <c r="X9" i="45"/>
  <c r="I46" i="32" s="1"/>
  <c r="AA40" i="45"/>
  <c r="P8" i="45"/>
  <c r="P9" i="45" s="1"/>
  <c r="P10" i="45" s="1"/>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X8" i="45"/>
  <c r="I46" i="33" s="1"/>
  <c r="D8" i="45"/>
  <c r="D9" i="45" s="1"/>
  <c r="D10" i="45" s="1"/>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I46" i="31" l="1"/>
  <c r="AI22" i="45"/>
  <c r="A9" i="45"/>
  <c r="A10" i="45" s="1"/>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AH19" i="45"/>
  <c r="AI19" i="45"/>
  <c r="AH22" i="45"/>
  <c r="H8" i="45"/>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L8" i="45"/>
  <c r="L9" i="45" s="1"/>
  <c r="L10" i="45" s="1"/>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T8" i="45"/>
  <c r="T9" i="45" s="1"/>
  <c r="T10" i="45" s="1"/>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X11" i="45"/>
  <c r="I46" i="30" s="1"/>
  <c r="X12" i="45"/>
  <c r="I46" i="29" s="1"/>
  <c r="X15" i="45"/>
  <c r="I46" i="26" s="1"/>
  <c r="X16" i="45"/>
  <c r="I46" i="25" s="1"/>
  <c r="X19" i="45"/>
  <c r="I46" i="21" s="1"/>
  <c r="X23" i="45"/>
  <c r="I46" i="18" s="1"/>
  <c r="X25" i="45"/>
  <c r="I46" i="16" s="1"/>
  <c r="X26" i="45"/>
  <c r="I46" i="15" s="1"/>
  <c r="I47" i="30" l="1"/>
  <c r="I48" i="30"/>
  <c r="AI24" i="45"/>
  <c r="I47" i="29"/>
  <c r="I48" i="29"/>
  <c r="AH24" i="45"/>
  <c r="AI26" i="45" l="1"/>
  <c r="P147" i="55"/>
  <c r="O147" i="55" s="1"/>
  <c r="C147" i="55"/>
  <c r="T147" i="55"/>
  <c r="V147" i="55"/>
  <c r="T10" i="53" l="1"/>
  <c r="N41" i="54" s="1"/>
  <c r="K147" i="55"/>
  <c r="T8" i="53" s="1"/>
  <c r="AC147" i="55"/>
  <c r="T5" i="53" s="1"/>
  <c r="N15" i="54" s="1"/>
  <c r="U147" i="55"/>
  <c r="BE41" i="48"/>
  <c r="BF9" i="48"/>
  <c r="BF10" i="48" s="1"/>
  <c r="BF11" i="48" s="1"/>
  <c r="BF12" i="48" s="1"/>
  <c r="BF13" i="48" s="1"/>
  <c r="BF14" i="48" s="1"/>
  <c r="BF15" i="48" s="1"/>
  <c r="BF16" i="48" s="1"/>
  <c r="BF17" i="48" s="1"/>
  <c r="BF18" i="48" s="1"/>
  <c r="BF19" i="48" s="1"/>
  <c r="BF20" i="48" s="1"/>
  <c r="BF21" i="48" s="1"/>
  <c r="BF22" i="48" s="1"/>
  <c r="BF23" i="48" s="1"/>
  <c r="BF24" i="48" s="1"/>
  <c r="BF25" i="48" s="1"/>
  <c r="BF26" i="48" s="1"/>
  <c r="BF27" i="48" s="1"/>
  <c r="BF28" i="48" s="1"/>
  <c r="BF29" i="48" s="1"/>
  <c r="BF30" i="48" s="1"/>
  <c r="BF31" i="48" s="1"/>
  <c r="BF32" i="48" s="1"/>
  <c r="BF33" i="48" s="1"/>
  <c r="BF34" i="48" s="1"/>
  <c r="BF35" i="48" s="1"/>
  <c r="BF36" i="48" s="1"/>
  <c r="BF37" i="48" s="1"/>
  <c r="BF38" i="48" s="1"/>
  <c r="BF39" i="48" s="1"/>
  <c r="S147" i="46"/>
  <c r="S149" i="46" s="1"/>
  <c r="R147" i="46"/>
  <c r="Q147" i="46"/>
  <c r="Q148" i="46" s="1"/>
  <c r="AC146" i="46"/>
  <c r="AA146" i="46"/>
  <c r="U147" i="46"/>
  <c r="T147" i="46"/>
  <c r="P147" i="46"/>
  <c r="N40" i="54" l="1"/>
  <c r="N36" i="54"/>
  <c r="N39" i="54"/>
  <c r="BE149" i="46"/>
  <c r="BD149" i="46"/>
  <c r="BF149" i="46"/>
  <c r="AC148" i="55"/>
  <c r="X157" i="55" s="1"/>
  <c r="V148" i="55"/>
  <c r="AZ148" i="55" s="1"/>
  <c r="X177" i="55" s="1"/>
  <c r="N33" i="54"/>
  <c r="N25" i="54"/>
  <c r="N17" i="54"/>
  <c r="N5" i="54"/>
  <c r="N9" i="54"/>
  <c r="N11" i="54"/>
  <c r="N21" i="54"/>
  <c r="N23" i="54"/>
  <c r="N29" i="54"/>
  <c r="N31" i="54"/>
  <c r="N38" i="54"/>
  <c r="N43" i="54"/>
  <c r="N8" i="54"/>
  <c r="N20" i="54"/>
  <c r="N28" i="54"/>
  <c r="N37" i="54"/>
  <c r="N6" i="54"/>
  <c r="N18" i="54"/>
  <c r="N26" i="54"/>
  <c r="N34" i="54"/>
  <c r="N7" i="54"/>
  <c r="N19" i="54"/>
  <c r="N27" i="54"/>
  <c r="N35" i="54"/>
  <c r="N4" i="54"/>
  <c r="N16" i="54"/>
  <c r="N24" i="54"/>
  <c r="N32" i="54"/>
  <c r="N10" i="54"/>
  <c r="N22" i="54"/>
  <c r="N30" i="54"/>
  <c r="N42" i="54"/>
  <c r="T11" i="53"/>
  <c r="O41" i="54" s="1"/>
  <c r="U5" i="53"/>
  <c r="O15" i="54" s="1"/>
  <c r="P15" i="54" s="1"/>
  <c r="BB149" i="46"/>
  <c r="BC149" i="46"/>
  <c r="C147" i="46"/>
  <c r="O147" i="46"/>
  <c r="V147" i="46"/>
  <c r="I10" i="53" s="1"/>
  <c r="R148" i="46"/>
  <c r="S148" i="46"/>
  <c r="AC147" i="46"/>
  <c r="I5" i="53" s="1"/>
  <c r="E15" i="54" s="1"/>
  <c r="I9" i="53"/>
  <c r="AH4" i="51"/>
  <c r="AI3" i="51" s="1"/>
  <c r="I8" i="53"/>
  <c r="R149" i="46"/>
  <c r="EC47" i="2"/>
  <c r="EC46" i="2"/>
  <c r="EC45" i="2"/>
  <c r="EC44" i="2"/>
  <c r="EA42" i="2"/>
  <c r="DW42" i="2"/>
  <c r="DS42" i="2"/>
  <c r="DO42" i="2"/>
  <c r="DG42" i="2"/>
  <c r="DC42" i="2"/>
  <c r="CU42" i="2"/>
  <c r="CQ42" i="2"/>
  <c r="CM42" i="2"/>
  <c r="CI42" i="2"/>
  <c r="CE42" i="2"/>
  <c r="CA42" i="2"/>
  <c r="BS42" i="2"/>
  <c r="BK42" i="2"/>
  <c r="BG42" i="2"/>
  <c r="BC42" i="2"/>
  <c r="AY42" i="2"/>
  <c r="AU42" i="2"/>
  <c r="AQ42" i="2"/>
  <c r="AM42" i="2"/>
  <c r="AI42" i="2"/>
  <c r="AE42" i="2"/>
  <c r="AA42" i="2"/>
  <c r="G42" i="2"/>
  <c r="EE39" i="2"/>
  <c r="DY39" i="2"/>
  <c r="DK39" i="2"/>
  <c r="BW39" i="2"/>
  <c r="EE38" i="2"/>
  <c r="DY38" i="2"/>
  <c r="DK38" i="2"/>
  <c r="BW38" i="2"/>
  <c r="EE37" i="2"/>
  <c r="DY37" i="2"/>
  <c r="BW37" i="2"/>
  <c r="EE36" i="2"/>
  <c r="DY36" i="2"/>
  <c r="BW36" i="2"/>
  <c r="EE35" i="2"/>
  <c r="DY35" i="2"/>
  <c r="DK35" i="2"/>
  <c r="EE34" i="2"/>
  <c r="DY34" i="2"/>
  <c r="DK34" i="2"/>
  <c r="BW34" i="2"/>
  <c r="EE33" i="2"/>
  <c r="DY33" i="2"/>
  <c r="BW33" i="2"/>
  <c r="EE32" i="2"/>
  <c r="DY32" i="2"/>
  <c r="BW32" i="2"/>
  <c r="EE31" i="2"/>
  <c r="DY31" i="2"/>
  <c r="EE30" i="2"/>
  <c r="DY30" i="2"/>
  <c r="EE29" i="2"/>
  <c r="DY29" i="2"/>
  <c r="BW29" i="2"/>
  <c r="EE28" i="2"/>
  <c r="DY28" i="2"/>
  <c r="DK28" i="2"/>
  <c r="BW28" i="2"/>
  <c r="EE27" i="2"/>
  <c r="DY27" i="2"/>
  <c r="BW27" i="2"/>
  <c r="EE26" i="2"/>
  <c r="DY26" i="2"/>
  <c r="BW26" i="2"/>
  <c r="EE25" i="2"/>
  <c r="DY25" i="2"/>
  <c r="BW25" i="2"/>
  <c r="EE24" i="2"/>
  <c r="DY24" i="2"/>
  <c r="DK24" i="2"/>
  <c r="BW24" i="2"/>
  <c r="EE23" i="2"/>
  <c r="DY23" i="2"/>
  <c r="DK23" i="2"/>
  <c r="BW23" i="2"/>
  <c r="EE22" i="2"/>
  <c r="DY22" i="2"/>
  <c r="DK22" i="2"/>
  <c r="BW22" i="2"/>
  <c r="EE21" i="2"/>
  <c r="DY21" i="2"/>
  <c r="DK21" i="2"/>
  <c r="BW21" i="2"/>
  <c r="EE20" i="2"/>
  <c r="DY20" i="2"/>
  <c r="EE19" i="2"/>
  <c r="DY19" i="2"/>
  <c r="DK19" i="2"/>
  <c r="EE18" i="2"/>
  <c r="DY18" i="2"/>
  <c r="DK18" i="2"/>
  <c r="EE17" i="2"/>
  <c r="DY17" i="2"/>
  <c r="DK17" i="2"/>
  <c r="EE16" i="2"/>
  <c r="DY16" i="2"/>
  <c r="DK16" i="2"/>
  <c r="EE15" i="2"/>
  <c r="DY15" i="2"/>
  <c r="DK15" i="2"/>
  <c r="EE14" i="2"/>
  <c r="DY14" i="2"/>
  <c r="BW14" i="2"/>
  <c r="EE13" i="2"/>
  <c r="DY13" i="2"/>
  <c r="DK13" i="2"/>
  <c r="BW13" i="2"/>
  <c r="EE12" i="2"/>
  <c r="DY12" i="2"/>
  <c r="DK12" i="2"/>
  <c r="BW12" i="2"/>
  <c r="EE11" i="2"/>
  <c r="DY11" i="2"/>
  <c r="DK11" i="2"/>
  <c r="BW11" i="2"/>
  <c r="EE10" i="2"/>
  <c r="EC10" i="2"/>
  <c r="EC11" i="2" s="1"/>
  <c r="DY10" i="2"/>
  <c r="DU10" i="2"/>
  <c r="DU11" i="2" s="1"/>
  <c r="DU12" i="2" s="1"/>
  <c r="DU13" i="2" s="1"/>
  <c r="DU14" i="2" s="1"/>
  <c r="DQ10" i="2"/>
  <c r="DQ11" i="2" s="1"/>
  <c r="DE10" i="2"/>
  <c r="DE11" i="2" s="1"/>
  <c r="CY42" i="2"/>
  <c r="CW10" i="2"/>
  <c r="CW11" i="2" s="1"/>
  <c r="CW12" i="2" s="1"/>
  <c r="CS10" i="2"/>
  <c r="CS11" i="2" s="1"/>
  <c r="CO10" i="2"/>
  <c r="CK10" i="2"/>
  <c r="CK11" i="2" s="1"/>
  <c r="CK12" i="2" s="1"/>
  <c r="CG10" i="2"/>
  <c r="CG11" i="2" s="1"/>
  <c r="CG12" i="2" s="1"/>
  <c r="BW10" i="2"/>
  <c r="BY10" i="2" s="1"/>
  <c r="BU10" i="2"/>
  <c r="BQ10" i="2"/>
  <c r="BM10" i="2"/>
  <c r="BI10" i="2"/>
  <c r="BE10" i="2"/>
  <c r="BE11" i="2" s="1"/>
  <c r="BE12" i="2" s="1"/>
  <c r="BE13" i="2" s="1"/>
  <c r="BA10" i="2"/>
  <c r="BA11" i="2" s="1"/>
  <c r="BA12" i="2" s="1"/>
  <c r="BA13" i="2" s="1"/>
  <c r="BA14" i="2" s="1"/>
  <c r="AW10" i="2"/>
  <c r="AW11" i="2" s="1"/>
  <c r="AS10" i="2"/>
  <c r="AS11" i="2" s="1"/>
  <c r="AO10" i="2"/>
  <c r="AO11" i="2" s="1"/>
  <c r="AK10" i="2"/>
  <c r="AK11" i="2" s="1"/>
  <c r="AG10" i="2"/>
  <c r="AG11" i="2" s="1"/>
  <c r="AC10" i="2"/>
  <c r="AC11" i="2" s="1"/>
  <c r="Y10" i="2"/>
  <c r="Y11" i="2" s="1"/>
  <c r="U10" i="2"/>
  <c r="U11" i="2" s="1"/>
  <c r="U12" i="2" s="1"/>
  <c r="U13" i="2" s="1"/>
  <c r="Q10" i="2"/>
  <c r="Q11" i="2" s="1"/>
  <c r="Q12" i="2" s="1"/>
  <c r="Q13" i="2" s="1"/>
  <c r="M10" i="2"/>
  <c r="M11" i="2" s="1"/>
  <c r="I10" i="2"/>
  <c r="I11" i="2" s="1"/>
  <c r="C40" i="1"/>
  <c r="C40" i="2" s="1"/>
  <c r="B40" i="1"/>
  <c r="B40" i="2" s="1"/>
  <c r="C39" i="1"/>
  <c r="C39" i="2" s="1"/>
  <c r="B39" i="1"/>
  <c r="B39" i="2" s="1"/>
  <c r="C38" i="1"/>
  <c r="C38" i="2" s="1"/>
  <c r="B38" i="1"/>
  <c r="C37" i="1"/>
  <c r="C37" i="2" s="1"/>
  <c r="B37" i="1"/>
  <c r="C36" i="1"/>
  <c r="C36" i="2" s="1"/>
  <c r="B36" i="1"/>
  <c r="C35" i="1"/>
  <c r="C35" i="2" s="1"/>
  <c r="B35" i="1"/>
  <c r="C34" i="1"/>
  <c r="C34" i="2" s="1"/>
  <c r="B34" i="1"/>
  <c r="C33" i="1"/>
  <c r="C33" i="2" s="1"/>
  <c r="B33" i="1"/>
  <c r="C32" i="1"/>
  <c r="C32" i="2" s="1"/>
  <c r="B32" i="1"/>
  <c r="C31" i="1"/>
  <c r="C31" i="2" s="1"/>
  <c r="B31" i="1"/>
  <c r="B31" i="2" s="1"/>
  <c r="C30" i="1"/>
  <c r="C30" i="2" s="1"/>
  <c r="B30" i="1"/>
  <c r="B30" i="2" s="1"/>
  <c r="C29" i="1"/>
  <c r="C29" i="2" s="1"/>
  <c r="B29" i="1"/>
  <c r="C28" i="1"/>
  <c r="C28" i="2" s="1"/>
  <c r="B28" i="1"/>
  <c r="B28" i="2" s="1"/>
  <c r="C27" i="1"/>
  <c r="C27" i="2" s="1"/>
  <c r="B27" i="1"/>
  <c r="B27" i="2" s="1"/>
  <c r="C26" i="1"/>
  <c r="C26" i="2" s="1"/>
  <c r="B26" i="1"/>
  <c r="B26" i="2" s="1"/>
  <c r="C25" i="1"/>
  <c r="C25" i="2" s="1"/>
  <c r="B25" i="1"/>
  <c r="B25" i="2" s="1"/>
  <c r="C24" i="1"/>
  <c r="C24" i="2" s="1"/>
  <c r="B24" i="1"/>
  <c r="C23" i="1"/>
  <c r="C23" i="2" s="1"/>
  <c r="B23" i="1"/>
  <c r="B23" i="2" s="1"/>
  <c r="C22" i="1"/>
  <c r="C22" i="2" s="1"/>
  <c r="B22" i="1"/>
  <c r="B22" i="2" s="1"/>
  <c r="C21" i="1"/>
  <c r="C21" i="2" s="1"/>
  <c r="B21" i="1"/>
  <c r="C20" i="1"/>
  <c r="C20" i="2" s="1"/>
  <c r="B20" i="1"/>
  <c r="C19" i="1"/>
  <c r="C19" i="2" s="1"/>
  <c r="B19" i="1"/>
  <c r="B19" i="2" s="1"/>
  <c r="C18" i="1"/>
  <c r="C18" i="2" s="1"/>
  <c r="B18" i="1"/>
  <c r="B18" i="2" s="1"/>
  <c r="C17" i="1"/>
  <c r="C17" i="2" s="1"/>
  <c r="B17" i="1"/>
  <c r="B17" i="2" s="1"/>
  <c r="C16" i="1"/>
  <c r="C16" i="2" s="1"/>
  <c r="B16" i="1"/>
  <c r="C15" i="1"/>
  <c r="C15" i="2" s="1"/>
  <c r="B15" i="1"/>
  <c r="B15" i="2" s="1"/>
  <c r="C14" i="1"/>
  <c r="C14" i="2" s="1"/>
  <c r="B14" i="1"/>
  <c r="B14" i="2" s="1"/>
  <c r="C13" i="1"/>
  <c r="C13" i="2" s="1"/>
  <c r="B13" i="1"/>
  <c r="C12" i="1"/>
  <c r="C12" i="2" s="1"/>
  <c r="B12" i="1"/>
  <c r="C11" i="1"/>
  <c r="C11" i="2" s="1"/>
  <c r="B11" i="1"/>
  <c r="B11" i="2" s="1"/>
  <c r="C10" i="1"/>
  <c r="C10" i="2" s="1"/>
  <c r="B10" i="1"/>
  <c r="B10" i="2" s="1"/>
  <c r="A11" i="1"/>
  <c r="P39" i="48"/>
  <c r="B38" i="45" s="1"/>
  <c r="P38" i="48"/>
  <c r="B37" i="45" s="1"/>
  <c r="P37" i="48"/>
  <c r="B36" i="45" s="1"/>
  <c r="P36" i="48"/>
  <c r="B35" i="45" s="1"/>
  <c r="E36" i="48"/>
  <c r="D36" i="48"/>
  <c r="P35" i="48"/>
  <c r="B34" i="45" s="1"/>
  <c r="E35" i="48"/>
  <c r="D35" i="48"/>
  <c r="P34" i="48"/>
  <c r="B33" i="45" s="1"/>
  <c r="E34" i="48"/>
  <c r="D34" i="48"/>
  <c r="P33" i="48"/>
  <c r="B32" i="45" s="1"/>
  <c r="E33" i="48"/>
  <c r="D33" i="48"/>
  <c r="P32" i="48"/>
  <c r="B31" i="45" s="1"/>
  <c r="E32" i="48"/>
  <c r="D32" i="48"/>
  <c r="AT31" i="48"/>
  <c r="P31" i="48"/>
  <c r="B30" i="45" s="1"/>
  <c r="P30" i="48"/>
  <c r="B29" i="45" s="1"/>
  <c r="AT29" i="48"/>
  <c r="P29" i="48"/>
  <c r="AT28" i="48"/>
  <c r="P28" i="48"/>
  <c r="AT27" i="48"/>
  <c r="P27" i="48"/>
  <c r="AZ27" i="48" s="1"/>
  <c r="P26" i="48"/>
  <c r="P25" i="48"/>
  <c r="E25" i="48"/>
  <c r="D25" i="48"/>
  <c r="AT24" i="48"/>
  <c r="P24" i="48"/>
  <c r="E24" i="48"/>
  <c r="D24" i="48"/>
  <c r="AT23" i="48"/>
  <c r="P23" i="48"/>
  <c r="AT22" i="48"/>
  <c r="P22" i="48"/>
  <c r="B21" i="45" s="1"/>
  <c r="P21" i="48"/>
  <c r="B20" i="45" s="1"/>
  <c r="AT20" i="48"/>
  <c r="P20" i="48"/>
  <c r="B19" i="45" s="1"/>
  <c r="P19" i="48"/>
  <c r="B18" i="45" s="1"/>
  <c r="AT18" i="48"/>
  <c r="P18" i="48"/>
  <c r="B17" i="45" s="1"/>
  <c r="P17" i="48"/>
  <c r="B16" i="45" s="1"/>
  <c r="AT16" i="48"/>
  <c r="P16" i="48"/>
  <c r="B15" i="45" s="1"/>
  <c r="AT15" i="48"/>
  <c r="P15" i="48"/>
  <c r="B14" i="45" s="1"/>
  <c r="P14" i="48"/>
  <c r="AT13" i="48"/>
  <c r="P13" i="48"/>
  <c r="B12" i="45" s="1"/>
  <c r="AT12" i="48"/>
  <c r="P12" i="48"/>
  <c r="B11" i="45" s="1"/>
  <c r="P11" i="48"/>
  <c r="B10" i="45" s="1"/>
  <c r="P10" i="48"/>
  <c r="B9" i="45" s="1"/>
  <c r="E10" i="48"/>
  <c r="D10" i="48"/>
  <c r="AS9" i="48"/>
  <c r="P9" i="48"/>
  <c r="B8" i="45" s="1"/>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AF41" i="48"/>
  <c r="Z41" i="48"/>
  <c r="AG9" i="48"/>
  <c r="AG10" i="48" s="1"/>
  <c r="AA9" i="48"/>
  <c r="AA10" i="48" s="1"/>
  <c r="AT36" i="48" l="1"/>
  <c r="AT37" i="48"/>
  <c r="AT39" i="48"/>
  <c r="AT34" i="48"/>
  <c r="E41" i="54"/>
  <c r="E40" i="54"/>
  <c r="E39" i="54"/>
  <c r="E36" i="54"/>
  <c r="O36" i="54"/>
  <c r="O39" i="54"/>
  <c r="O40" i="54"/>
  <c r="FW34" i="2"/>
  <c r="FW39" i="2"/>
  <c r="B28" i="45"/>
  <c r="AZ29" i="48"/>
  <c r="B27" i="45"/>
  <c r="J27" i="45" s="1"/>
  <c r="AZ28" i="48"/>
  <c r="B25" i="45"/>
  <c r="AZ26" i="48"/>
  <c r="B24" i="45"/>
  <c r="R24" i="45" s="1"/>
  <c r="AZ25" i="48"/>
  <c r="FW11" i="2"/>
  <c r="FW13" i="2"/>
  <c r="FW21" i="2"/>
  <c r="FW23" i="2"/>
  <c r="FW28" i="2"/>
  <c r="B22" i="45"/>
  <c r="R22" i="45" s="1"/>
  <c r="AZ23" i="48"/>
  <c r="B23" i="45"/>
  <c r="J23" i="45" s="1"/>
  <c r="AZ24" i="48"/>
  <c r="FW12" i="2"/>
  <c r="FW22" i="2"/>
  <c r="FW24" i="2"/>
  <c r="AH39" i="48"/>
  <c r="GB16" i="2"/>
  <c r="GB28" i="2"/>
  <c r="GB19" i="2"/>
  <c r="GB26" i="2"/>
  <c r="GB32" i="2"/>
  <c r="GB37" i="2"/>
  <c r="GB39" i="2"/>
  <c r="AQ148" i="55"/>
  <c r="X170" i="55" s="1"/>
  <c r="EG10" i="2"/>
  <c r="EG11" i="2" s="1"/>
  <c r="GB17" i="2"/>
  <c r="GB22" i="2"/>
  <c r="GB24" i="2"/>
  <c r="GB29" i="2"/>
  <c r="GB27" i="2"/>
  <c r="GB15" i="2"/>
  <c r="GB30" i="2"/>
  <c r="GB18" i="2"/>
  <c r="GB25" i="2"/>
  <c r="GB13" i="2"/>
  <c r="GB21" i="2"/>
  <c r="GB23" i="2"/>
  <c r="GB31" i="2"/>
  <c r="GB36" i="2"/>
  <c r="AG148" i="55"/>
  <c r="X161" i="55" s="1"/>
  <c r="AN148" i="55"/>
  <c r="X167" i="55" s="1"/>
  <c r="AF148" i="55"/>
  <c r="X160" i="55" s="1"/>
  <c r="AO148" i="55"/>
  <c r="X168" i="55" s="1"/>
  <c r="AW148" i="55"/>
  <c r="X174" i="55" s="1"/>
  <c r="AK148" i="55"/>
  <c r="X165" i="55" s="1"/>
  <c r="AS148" i="55"/>
  <c r="X171" i="55" s="1"/>
  <c r="AY148" i="55"/>
  <c r="AL148" i="55"/>
  <c r="X166" i="55" s="1"/>
  <c r="AV148" i="55"/>
  <c r="X175" i="55" s="1"/>
  <c r="AH148" i="55"/>
  <c r="X162" i="55" s="1"/>
  <c r="BA148" i="55"/>
  <c r="AU148" i="55"/>
  <c r="X173" i="55" s="1"/>
  <c r="AJ148" i="55"/>
  <c r="X164" i="55" s="1"/>
  <c r="AP148" i="55"/>
  <c r="X169" i="55" s="1"/>
  <c r="AI148" i="55"/>
  <c r="X163" i="55" s="1"/>
  <c r="AX148" i="55"/>
  <c r="AT148" i="55"/>
  <c r="X172" i="55" s="1"/>
  <c r="AR148" i="55"/>
  <c r="AM148" i="55"/>
  <c r="AC148" i="46"/>
  <c r="X157" i="46" s="1"/>
  <c r="O35" i="54"/>
  <c r="O27" i="54"/>
  <c r="O19" i="54"/>
  <c r="O7" i="54"/>
  <c r="P7" i="54" s="1"/>
  <c r="O5" i="54"/>
  <c r="P5" i="54" s="1"/>
  <c r="O6" i="54"/>
  <c r="P6" i="54" s="1"/>
  <c r="O18" i="54"/>
  <c r="P18" i="54" s="1"/>
  <c r="O26" i="54"/>
  <c r="O34" i="54"/>
  <c r="O17" i="54"/>
  <c r="O25" i="54"/>
  <c r="O33" i="54"/>
  <c r="O21" i="54"/>
  <c r="O38" i="54"/>
  <c r="O11" i="54"/>
  <c r="P11" i="54" s="1"/>
  <c r="O23" i="54"/>
  <c r="O43" i="54"/>
  <c r="O8" i="54"/>
  <c r="P8" i="54" s="1"/>
  <c r="O10" i="54"/>
  <c r="P10" i="54" s="1"/>
  <c r="O16" i="54"/>
  <c r="O20" i="54"/>
  <c r="O22" i="54"/>
  <c r="O24" i="54"/>
  <c r="O28" i="54"/>
  <c r="O30" i="54"/>
  <c r="O32" i="54"/>
  <c r="O37" i="54"/>
  <c r="O42" i="54"/>
  <c r="O9" i="54"/>
  <c r="P9" i="54" s="1"/>
  <c r="O29" i="54"/>
  <c r="O31" i="54"/>
  <c r="O4" i="54"/>
  <c r="P4" i="54" s="1"/>
  <c r="V148" i="46"/>
  <c r="AV148" i="46" s="1"/>
  <c r="X175" i="46" s="1"/>
  <c r="F15" i="54"/>
  <c r="G15" i="54" s="1"/>
  <c r="E35" i="54"/>
  <c r="E33" i="54"/>
  <c r="E27" i="54"/>
  <c r="E25" i="54"/>
  <c r="E19" i="54"/>
  <c r="E17" i="54"/>
  <c r="E7" i="54"/>
  <c r="E5" i="54"/>
  <c r="E43" i="54"/>
  <c r="E38" i="54"/>
  <c r="E31" i="54"/>
  <c r="E29" i="54"/>
  <c r="E23" i="54"/>
  <c r="E21" i="54"/>
  <c r="E11" i="54"/>
  <c r="E9" i="54"/>
  <c r="E4" i="54"/>
  <c r="E6" i="54"/>
  <c r="E18" i="54"/>
  <c r="E26" i="54"/>
  <c r="E16" i="54"/>
  <c r="E24" i="54"/>
  <c r="E32" i="54"/>
  <c r="E8" i="54"/>
  <c r="E20" i="54"/>
  <c r="E28" i="54"/>
  <c r="E37" i="54"/>
  <c r="E10" i="54"/>
  <c r="E22" i="54"/>
  <c r="E30" i="54"/>
  <c r="E42" i="54"/>
  <c r="E34" i="54"/>
  <c r="G31" i="48"/>
  <c r="AH22" i="48"/>
  <c r="V38" i="48"/>
  <c r="H33" i="48"/>
  <c r="AH13" i="48"/>
  <c r="AH17" i="48"/>
  <c r="F32" i="48"/>
  <c r="F34" i="48"/>
  <c r="F36" i="48"/>
  <c r="G17" i="48"/>
  <c r="F33" i="48"/>
  <c r="G30" i="48"/>
  <c r="AH30" i="48"/>
  <c r="H34" i="48"/>
  <c r="Q9" i="48"/>
  <c r="AI9" i="48" s="1"/>
  <c r="H36" i="48"/>
  <c r="H19" i="48"/>
  <c r="G25" i="48"/>
  <c r="G29" i="48"/>
  <c r="AH29" i="48"/>
  <c r="G32" i="48"/>
  <c r="N10" i="45"/>
  <c r="R10" i="45"/>
  <c r="J10" i="45"/>
  <c r="Y10" i="45"/>
  <c r="V10" i="45"/>
  <c r="AB10" i="45"/>
  <c r="F10" i="45"/>
  <c r="N14" i="45"/>
  <c r="AB14" i="45"/>
  <c r="F14" i="45"/>
  <c r="Y14" i="45"/>
  <c r="J14" i="45"/>
  <c r="V14" i="45"/>
  <c r="R14" i="45"/>
  <c r="N18" i="45"/>
  <c r="AB18" i="45"/>
  <c r="J18" i="45"/>
  <c r="R18" i="45"/>
  <c r="V18" i="45"/>
  <c r="Y18" i="45"/>
  <c r="F18" i="45"/>
  <c r="AB28" i="45"/>
  <c r="V28" i="45"/>
  <c r="R28" i="45"/>
  <c r="F28" i="45"/>
  <c r="Y28" i="45"/>
  <c r="J28" i="45"/>
  <c r="N28" i="45"/>
  <c r="R31" i="45"/>
  <c r="V31" i="45"/>
  <c r="J31" i="45"/>
  <c r="Y31" i="45"/>
  <c r="F31" i="45"/>
  <c r="N31" i="45"/>
  <c r="AB31" i="45"/>
  <c r="AB33" i="45"/>
  <c r="V33" i="45"/>
  <c r="R33" i="45"/>
  <c r="F33" i="45"/>
  <c r="Y33" i="45"/>
  <c r="J33" i="45"/>
  <c r="N33" i="45"/>
  <c r="R35" i="45"/>
  <c r="AB35" i="45"/>
  <c r="V35" i="45"/>
  <c r="Y35" i="45"/>
  <c r="N35" i="45"/>
  <c r="F35" i="45"/>
  <c r="J35" i="45"/>
  <c r="J8" i="45"/>
  <c r="N8" i="45"/>
  <c r="Y8" i="45"/>
  <c r="R8" i="45"/>
  <c r="AB8" i="45"/>
  <c r="F8" i="45"/>
  <c r="V8" i="45"/>
  <c r="F11" i="45"/>
  <c r="R11" i="45"/>
  <c r="N11" i="45"/>
  <c r="J11" i="45"/>
  <c r="AB11" i="45"/>
  <c r="V11" i="45"/>
  <c r="Y11" i="45"/>
  <c r="N15" i="45"/>
  <c r="J15" i="45"/>
  <c r="F15" i="45"/>
  <c r="R15" i="45"/>
  <c r="V15" i="45"/>
  <c r="AB15" i="45"/>
  <c r="Y15" i="45"/>
  <c r="J19" i="45"/>
  <c r="F19" i="45"/>
  <c r="N19" i="45"/>
  <c r="V19" i="45"/>
  <c r="AB19" i="45"/>
  <c r="R19" i="45"/>
  <c r="Y19" i="45"/>
  <c r="J25" i="45"/>
  <c r="F25" i="45"/>
  <c r="R25" i="45"/>
  <c r="N25" i="45"/>
  <c r="AB25" i="45"/>
  <c r="V25" i="45"/>
  <c r="Y25" i="45"/>
  <c r="AB29" i="45"/>
  <c r="V29" i="45"/>
  <c r="R29" i="45"/>
  <c r="F29" i="45"/>
  <c r="J29" i="45"/>
  <c r="Y29" i="45"/>
  <c r="N29" i="45"/>
  <c r="R36" i="45"/>
  <c r="V36" i="45"/>
  <c r="AB36" i="45"/>
  <c r="J36" i="45"/>
  <c r="F36" i="45"/>
  <c r="N36" i="45"/>
  <c r="Y36" i="45"/>
  <c r="F24" i="48"/>
  <c r="N12" i="45"/>
  <c r="R12" i="45"/>
  <c r="J12" i="45"/>
  <c r="F12" i="45"/>
  <c r="V12" i="45"/>
  <c r="AB12" i="45"/>
  <c r="Y12" i="45"/>
  <c r="J16" i="45"/>
  <c r="F16" i="45"/>
  <c r="N16" i="45"/>
  <c r="R16" i="45"/>
  <c r="V16" i="45"/>
  <c r="AB16" i="45"/>
  <c r="Y16" i="45"/>
  <c r="N20" i="45"/>
  <c r="J20" i="45"/>
  <c r="Y20" i="45"/>
  <c r="AB20" i="45"/>
  <c r="F20" i="45"/>
  <c r="R20" i="45"/>
  <c r="V20" i="45"/>
  <c r="N23" i="45"/>
  <c r="D28" i="1"/>
  <c r="D28" i="2" s="1"/>
  <c r="B26" i="45"/>
  <c r="R30" i="45"/>
  <c r="AB30" i="45"/>
  <c r="V30" i="45"/>
  <c r="F30" i="45"/>
  <c r="J30" i="45"/>
  <c r="Y30" i="45"/>
  <c r="N30" i="45"/>
  <c r="N32" i="45"/>
  <c r="J32" i="45"/>
  <c r="Y32" i="45"/>
  <c r="R32" i="45"/>
  <c r="F32" i="45"/>
  <c r="V32" i="45"/>
  <c r="AB32" i="45"/>
  <c r="R34" i="45"/>
  <c r="AB34" i="45"/>
  <c r="V34" i="45"/>
  <c r="F34" i="45"/>
  <c r="J34" i="45"/>
  <c r="N34" i="45"/>
  <c r="Y34" i="45"/>
  <c r="R37" i="45"/>
  <c r="AB37" i="45"/>
  <c r="V37" i="45"/>
  <c r="Y37" i="45"/>
  <c r="J37" i="45"/>
  <c r="N37" i="45"/>
  <c r="F37" i="45"/>
  <c r="D15" i="1"/>
  <c r="D15" i="2" s="1"/>
  <c r="B13" i="45"/>
  <c r="N17" i="45"/>
  <c r="AB17" i="45"/>
  <c r="J17" i="45"/>
  <c r="V17" i="45"/>
  <c r="F17" i="45"/>
  <c r="Y17" i="45"/>
  <c r="R17" i="45"/>
  <c r="N21" i="45"/>
  <c r="R21" i="45"/>
  <c r="V21" i="45"/>
  <c r="F21" i="45"/>
  <c r="AB21" i="45"/>
  <c r="J21" i="45"/>
  <c r="Y21" i="45"/>
  <c r="R38" i="45"/>
  <c r="AB38" i="45"/>
  <c r="V38" i="45"/>
  <c r="Y38" i="45"/>
  <c r="J38" i="45"/>
  <c r="N38" i="45"/>
  <c r="F38" i="45"/>
  <c r="N9" i="45"/>
  <c r="R9" i="45"/>
  <c r="Y9" i="45"/>
  <c r="F9" i="45"/>
  <c r="J9" i="45"/>
  <c r="V9" i="45"/>
  <c r="AB9" i="45"/>
  <c r="F10" i="48"/>
  <c r="A12" i="1"/>
  <c r="A11" i="2"/>
  <c r="B21" i="2"/>
  <c r="B32" i="2"/>
  <c r="D38" i="1"/>
  <c r="D38" i="2" s="1"/>
  <c r="V37" i="48"/>
  <c r="AH37" i="48"/>
  <c r="V39" i="48"/>
  <c r="D40" i="1"/>
  <c r="D40" i="2" s="1"/>
  <c r="AB39" i="48"/>
  <c r="H39" i="48"/>
  <c r="G39" i="48"/>
  <c r="B29" i="2"/>
  <c r="AH32" i="48"/>
  <c r="D33" i="1"/>
  <c r="D33" i="2" s="1"/>
  <c r="H32" i="48"/>
  <c r="B16" i="2"/>
  <c r="B37" i="2"/>
  <c r="G37" i="48"/>
  <c r="D22" i="1"/>
  <c r="D22" i="2" s="1"/>
  <c r="D24" i="1"/>
  <c r="D24" i="2" s="1"/>
  <c r="G23" i="48"/>
  <c r="B13" i="2"/>
  <c r="B24" i="2"/>
  <c r="D10" i="1"/>
  <c r="D10" i="2" s="1"/>
  <c r="D13" i="1"/>
  <c r="D13" i="2" s="1"/>
  <c r="F25" i="48"/>
  <c r="D34" i="1"/>
  <c r="D34" i="2" s="1"/>
  <c r="G33" i="48"/>
  <c r="B12" i="2"/>
  <c r="B20" i="2"/>
  <c r="B33" i="2"/>
  <c r="B36" i="2"/>
  <c r="G11" i="48"/>
  <c r="D12" i="1"/>
  <c r="D25" i="1"/>
  <c r="D25" i="2" s="1"/>
  <c r="G24" i="48"/>
  <c r="G12" i="48"/>
  <c r="G13" i="48"/>
  <c r="D14" i="1"/>
  <c r="D14" i="2" s="1"/>
  <c r="G15" i="48"/>
  <c r="D16" i="1"/>
  <c r="D16" i="2" s="1"/>
  <c r="D17" i="1"/>
  <c r="D17" i="2" s="1"/>
  <c r="H25" i="48"/>
  <c r="D26" i="1"/>
  <c r="D26" i="2" s="1"/>
  <c r="D29" i="1"/>
  <c r="D29" i="2" s="1"/>
  <c r="H28" i="48"/>
  <c r="G35" i="48"/>
  <c r="D36" i="1"/>
  <c r="D36" i="2" s="1"/>
  <c r="AH12" i="48"/>
  <c r="AH24" i="48"/>
  <c r="G28" i="48"/>
  <c r="AH33" i="48"/>
  <c r="H35" i="48"/>
  <c r="D18" i="1"/>
  <c r="D18" i="2" s="1"/>
  <c r="D20" i="1"/>
  <c r="D20" i="2" s="1"/>
  <c r="D21" i="1"/>
  <c r="D21" i="2" s="1"/>
  <c r="D30" i="1"/>
  <c r="D30" i="2" s="1"/>
  <c r="D32" i="1"/>
  <c r="D32" i="2" s="1"/>
  <c r="AH36" i="48"/>
  <c r="D37" i="1"/>
  <c r="D37" i="2" s="1"/>
  <c r="G36" i="48"/>
  <c r="B35" i="2"/>
  <c r="A10" i="2"/>
  <c r="D11" i="1"/>
  <c r="D11" i="2" s="1"/>
  <c r="D19" i="1"/>
  <c r="D19" i="2" s="1"/>
  <c r="H22" i="48"/>
  <c r="D23" i="1"/>
  <c r="D23" i="2" s="1"/>
  <c r="AH26" i="48"/>
  <c r="D27" i="1"/>
  <c r="D27" i="2" s="1"/>
  <c r="D31" i="1"/>
  <c r="D31" i="2" s="1"/>
  <c r="AH34" i="48"/>
  <c r="D35" i="1"/>
  <c r="D35" i="2" s="1"/>
  <c r="F35" i="48"/>
  <c r="G38" i="48"/>
  <c r="D39" i="1"/>
  <c r="D39" i="2" s="1"/>
  <c r="B34" i="2"/>
  <c r="B38" i="2"/>
  <c r="GB14" i="2"/>
  <c r="GB10" i="2"/>
  <c r="GC13" i="2"/>
  <c r="GC10" i="2"/>
  <c r="GB12" i="2"/>
  <c r="DX13" i="2"/>
  <c r="M12" i="2"/>
  <c r="AS12" i="2"/>
  <c r="DE12" i="2"/>
  <c r="Y12" i="2"/>
  <c r="U14" i="2"/>
  <c r="AC12" i="2"/>
  <c r="CK13" i="2"/>
  <c r="DQ12" i="2"/>
  <c r="AG12" i="2"/>
  <c r="EC12" i="2"/>
  <c r="CG13" i="2"/>
  <c r="AK12" i="2"/>
  <c r="CS12" i="2"/>
  <c r="Q14" i="2"/>
  <c r="DU15" i="2"/>
  <c r="I12" i="2"/>
  <c r="AO12" i="2"/>
  <c r="CW13" i="2"/>
  <c r="DA10" i="2"/>
  <c r="BW20" i="2"/>
  <c r="BY11" i="2"/>
  <c r="GC12" i="2"/>
  <c r="BW19" i="2"/>
  <c r="FW19" i="2" s="1"/>
  <c r="BE14" i="2"/>
  <c r="GB11" i="2"/>
  <c r="AW12" i="2"/>
  <c r="BW18" i="2"/>
  <c r="FW18" i="2" s="1"/>
  <c r="CO11" i="2"/>
  <c r="GC11" i="2"/>
  <c r="DK14" i="2"/>
  <c r="FW14" i="2" s="1"/>
  <c r="BW17" i="2"/>
  <c r="FW17" i="2" s="1"/>
  <c r="DK10" i="2"/>
  <c r="FW10" i="2" s="1"/>
  <c r="EE42" i="2"/>
  <c r="CB42" i="2" s="1"/>
  <c r="GC38" i="2"/>
  <c r="GC39" i="2"/>
  <c r="GC37" i="2"/>
  <c r="GC33" i="2"/>
  <c r="GC36" i="2"/>
  <c r="GC32" i="2"/>
  <c r="GC31" i="2"/>
  <c r="GC30" i="2"/>
  <c r="GC29" i="2"/>
  <c r="GC27" i="2"/>
  <c r="GC28" i="2"/>
  <c r="GC21" i="2"/>
  <c r="GC23" i="2"/>
  <c r="GC34" i="2"/>
  <c r="GC35" i="2"/>
  <c r="GC25" i="2"/>
  <c r="GC26" i="2"/>
  <c r="GC24" i="2"/>
  <c r="GC20" i="2"/>
  <c r="GC19" i="2"/>
  <c r="GC18" i="2"/>
  <c r="GC17" i="2"/>
  <c r="GC16" i="2"/>
  <c r="GC15" i="2"/>
  <c r="GC14" i="2"/>
  <c r="GC22" i="2"/>
  <c r="BA15" i="2"/>
  <c r="BW16" i="2"/>
  <c r="FW16" i="2" s="1"/>
  <c r="DK20" i="2"/>
  <c r="BI11" i="2"/>
  <c r="BW15" i="2"/>
  <c r="FW15" i="2" s="1"/>
  <c r="GB20" i="2"/>
  <c r="DK25" i="2"/>
  <c r="FW25" i="2" s="1"/>
  <c r="K42" i="2"/>
  <c r="BW30" i="2"/>
  <c r="BW31" i="2"/>
  <c r="DK29" i="2"/>
  <c r="FW29" i="2" s="1"/>
  <c r="GB33" i="2"/>
  <c r="DK32" i="2"/>
  <c r="GB34" i="2"/>
  <c r="BW35" i="2"/>
  <c r="DK26" i="2"/>
  <c r="FW26" i="2" s="1"/>
  <c r="DK27" i="2"/>
  <c r="FW27" i="2" s="1"/>
  <c r="DK30" i="2"/>
  <c r="DK31" i="2"/>
  <c r="GB35" i="2"/>
  <c r="DK33" i="2"/>
  <c r="GB38" i="2"/>
  <c r="DK36" i="2"/>
  <c r="FW36" i="2" s="1"/>
  <c r="DK37" i="2"/>
  <c r="BX39" i="2"/>
  <c r="H11" i="48"/>
  <c r="G21" i="48"/>
  <c r="AH38" i="48"/>
  <c r="G16" i="48"/>
  <c r="AH21" i="48"/>
  <c r="AH25" i="48"/>
  <c r="V36" i="48"/>
  <c r="H38" i="48"/>
  <c r="H24" i="48"/>
  <c r="AH11" i="48"/>
  <c r="AH16" i="48"/>
  <c r="H17" i="48"/>
  <c r="G19" i="48"/>
  <c r="AH19" i="48"/>
  <c r="H29" i="48"/>
  <c r="H20" i="48"/>
  <c r="AG11" i="48"/>
  <c r="AA11" i="48"/>
  <c r="AS10" i="48"/>
  <c r="AS11" i="48" s="1"/>
  <c r="AS12" i="48" s="1"/>
  <c r="AS13" i="48" s="1"/>
  <c r="AS14" i="48" s="1"/>
  <c r="AS15" i="48" s="1"/>
  <c r="AS16" i="48" s="1"/>
  <c r="AS17" i="48" s="1"/>
  <c r="AS18" i="48" s="1"/>
  <c r="AS19" i="48" s="1"/>
  <c r="AS20" i="48" s="1"/>
  <c r="AS21" i="48" s="1"/>
  <c r="AS22" i="48" s="1"/>
  <c r="AS23" i="48" s="1"/>
  <c r="AS24" i="48" s="1"/>
  <c r="AS25" i="48" s="1"/>
  <c r="AS26" i="48" s="1"/>
  <c r="AS27" i="48" s="1"/>
  <c r="AS28" i="48" s="1"/>
  <c r="AS29" i="48" s="1"/>
  <c r="AS30" i="48" s="1"/>
  <c r="AS31" i="48" s="1"/>
  <c r="AS32" i="48" s="1"/>
  <c r="AS33" i="48" s="1"/>
  <c r="AS34" i="48" s="1"/>
  <c r="AS35" i="48" s="1"/>
  <c r="AS36" i="48" s="1"/>
  <c r="AS37" i="48" s="1"/>
  <c r="AS38" i="48" s="1"/>
  <c r="AS39" i="48" s="1"/>
  <c r="H14" i="48"/>
  <c r="AH14" i="48"/>
  <c r="AT21" i="48"/>
  <c r="AH23" i="48"/>
  <c r="G10" i="48"/>
  <c r="H13" i="48"/>
  <c r="AT17" i="48"/>
  <c r="G18" i="48"/>
  <c r="AT19" i="48"/>
  <c r="G20" i="48"/>
  <c r="AT25" i="48"/>
  <c r="AT32" i="48"/>
  <c r="AH18" i="48"/>
  <c r="H30" i="48"/>
  <c r="AH10" i="48"/>
  <c r="H18" i="48"/>
  <c r="H15" i="48"/>
  <c r="AH15" i="48"/>
  <c r="AH20" i="48"/>
  <c r="AH27" i="48"/>
  <c r="H10" i="48"/>
  <c r="AT14" i="48"/>
  <c r="AT11" i="48"/>
  <c r="H12" i="48"/>
  <c r="H23" i="48"/>
  <c r="G27" i="48"/>
  <c r="P41" i="48"/>
  <c r="AH9" i="48"/>
  <c r="G14" i="48"/>
  <c r="G26" i="48"/>
  <c r="H27" i="48"/>
  <c r="AR41" i="48"/>
  <c r="H26" i="48"/>
  <c r="AT26" i="48"/>
  <c r="AT30" i="48"/>
  <c r="AT10" i="48"/>
  <c r="H16" i="48"/>
  <c r="G22" i="48"/>
  <c r="G34" i="48"/>
  <c r="H21" i="48"/>
  <c r="AT33" i="48"/>
  <c r="H37" i="48"/>
  <c r="H31" i="48"/>
  <c r="AH31" i="48"/>
  <c r="AT35" i="48"/>
  <c r="AH28" i="48"/>
  <c r="AT38" i="48"/>
  <c r="AH35" i="48"/>
  <c r="P37" i="54" l="1"/>
  <c r="F22" i="45"/>
  <c r="FH26" i="2"/>
  <c r="EZ26" i="2"/>
  <c r="FD26" i="2"/>
  <c r="FD18" i="2"/>
  <c r="FH18" i="2"/>
  <c r="EZ18" i="2"/>
  <c r="EZ12" i="2"/>
  <c r="FH12" i="2"/>
  <c r="FD12" i="2"/>
  <c r="EZ13" i="2"/>
  <c r="FH13" i="2"/>
  <c r="FD13" i="2"/>
  <c r="EZ21" i="2"/>
  <c r="FH21" i="2"/>
  <c r="FD21" i="2"/>
  <c r="FD25" i="2"/>
  <c r="EZ25" i="2"/>
  <c r="FH25" i="2"/>
  <c r="FH11" i="2"/>
  <c r="FD11" i="2"/>
  <c r="EZ11" i="2"/>
  <c r="FH27" i="2"/>
  <c r="FD27" i="2"/>
  <c r="EZ27" i="2"/>
  <c r="EZ22" i="2"/>
  <c r="FH22" i="2"/>
  <c r="FD22" i="2"/>
  <c r="EZ15" i="2"/>
  <c r="FH15" i="2"/>
  <c r="FD15" i="2"/>
  <c r="FH10" i="2"/>
  <c r="FD10" i="2"/>
  <c r="EZ10" i="2"/>
  <c r="FH17" i="2"/>
  <c r="FD17" i="2"/>
  <c r="EZ17" i="2"/>
  <c r="FH19" i="2"/>
  <c r="FD19" i="2"/>
  <c r="EZ19" i="2"/>
  <c r="Y27" i="45"/>
  <c r="EZ29" i="2"/>
  <c r="FH29" i="2"/>
  <c r="FD29" i="2"/>
  <c r="EZ14" i="2"/>
  <c r="FH14" i="2"/>
  <c r="FD14" i="2"/>
  <c r="EZ28" i="2"/>
  <c r="FH28" i="2"/>
  <c r="FD28" i="2"/>
  <c r="EZ16" i="2"/>
  <c r="FH16" i="2"/>
  <c r="FD16" i="2"/>
  <c r="EZ24" i="2"/>
  <c r="FH24" i="2"/>
  <c r="FD24" i="2"/>
  <c r="EZ23" i="2"/>
  <c r="FH23" i="2"/>
  <c r="FD23" i="2"/>
  <c r="FT39" i="2"/>
  <c r="FD39" i="2"/>
  <c r="FH39" i="2"/>
  <c r="EZ39" i="2"/>
  <c r="EZ36" i="2"/>
  <c r="FH36" i="2"/>
  <c r="FD36" i="2"/>
  <c r="P33" i="54"/>
  <c r="P31" i="54"/>
  <c r="P24" i="54"/>
  <c r="FT34" i="2"/>
  <c r="EZ34" i="2"/>
  <c r="FD34" i="2"/>
  <c r="FH34" i="2"/>
  <c r="Y23" i="45"/>
  <c r="V23" i="45"/>
  <c r="R23" i="45"/>
  <c r="AB23" i="45"/>
  <c r="F23" i="45"/>
  <c r="FL36" i="2"/>
  <c r="EN36" i="2"/>
  <c r="ER36" i="2"/>
  <c r="EJ36" i="2"/>
  <c r="EV36" i="2"/>
  <c r="FT27" i="2"/>
  <c r="EN27" i="2"/>
  <c r="EJ27" i="2"/>
  <c r="FL27" i="2"/>
  <c r="ER27" i="2"/>
  <c r="EV27" i="2"/>
  <c r="F27" i="45"/>
  <c r="FT13" i="2"/>
  <c r="EJ13" i="2"/>
  <c r="FL13" i="2"/>
  <c r="EN13" i="2"/>
  <c r="ER13" i="2"/>
  <c r="EV13" i="2"/>
  <c r="FT21" i="2"/>
  <c r="EJ21" i="2"/>
  <c r="EN21" i="2"/>
  <c r="EV21" i="2"/>
  <c r="FL21" i="2"/>
  <c r="ER21" i="2"/>
  <c r="FT26" i="2"/>
  <c r="EN26" i="2"/>
  <c r="ER26" i="2"/>
  <c r="EJ26" i="2"/>
  <c r="FL26" i="2"/>
  <c r="EV26" i="2"/>
  <c r="FT18" i="2"/>
  <c r="ER18" i="2"/>
  <c r="EJ18" i="2"/>
  <c r="EN18" i="2"/>
  <c r="FL18" i="2"/>
  <c r="EV18" i="2"/>
  <c r="N27" i="45"/>
  <c r="FT11" i="2"/>
  <c r="FL11" i="2"/>
  <c r="EN11" i="2"/>
  <c r="ER11" i="2"/>
  <c r="EJ11" i="2"/>
  <c r="EV11" i="2"/>
  <c r="FT36" i="2"/>
  <c r="FT25" i="2"/>
  <c r="EV25" i="2"/>
  <c r="ER25" i="2"/>
  <c r="EN25" i="2"/>
  <c r="EJ25" i="2"/>
  <c r="FL25" i="2"/>
  <c r="R27" i="45"/>
  <c r="FT16" i="2"/>
  <c r="ER16" i="2"/>
  <c r="EJ16" i="2"/>
  <c r="EN16" i="2"/>
  <c r="FL16" i="2"/>
  <c r="EV16" i="2"/>
  <c r="AB27" i="45"/>
  <c r="FW35" i="2"/>
  <c r="DX35" i="2" s="1"/>
  <c r="FT15" i="2"/>
  <c r="ER15" i="2"/>
  <c r="EJ15" i="2"/>
  <c r="EV15" i="2"/>
  <c r="FL15" i="2"/>
  <c r="EN15" i="2"/>
  <c r="FT10" i="2"/>
  <c r="EJ10" i="2"/>
  <c r="ER10" i="2"/>
  <c r="EN10" i="2"/>
  <c r="FL10" i="2"/>
  <c r="EV10" i="2"/>
  <c r="V27" i="45"/>
  <c r="FT24" i="2"/>
  <c r="ER24" i="2"/>
  <c r="EJ24" i="2"/>
  <c r="EN24" i="2"/>
  <c r="EV24" i="2"/>
  <c r="FL24" i="2"/>
  <c r="ER39" i="2"/>
  <c r="EV39" i="2"/>
  <c r="EJ39" i="2"/>
  <c r="FL39" i="2"/>
  <c r="EN39" i="2"/>
  <c r="FT17" i="2"/>
  <c r="ER17" i="2"/>
  <c r="EN17" i="2"/>
  <c r="EV17" i="2"/>
  <c r="EJ17" i="2"/>
  <c r="FL17" i="2"/>
  <c r="FT19" i="2"/>
  <c r="EN19" i="2"/>
  <c r="EV19" i="2"/>
  <c r="EJ19" i="2"/>
  <c r="ER19" i="2"/>
  <c r="FL19" i="2"/>
  <c r="FT22" i="2"/>
  <c r="FL22" i="2"/>
  <c r="EJ22" i="2"/>
  <c r="ER22" i="2"/>
  <c r="EN22" i="2"/>
  <c r="EV22" i="2"/>
  <c r="EJ28" i="2"/>
  <c r="EN28" i="2"/>
  <c r="FL28" i="2"/>
  <c r="ER28" i="2"/>
  <c r="EV28" i="2"/>
  <c r="FW37" i="2"/>
  <c r="ER34" i="2"/>
  <c r="EN34" i="2"/>
  <c r="EJ34" i="2"/>
  <c r="EV34" i="2"/>
  <c r="FL34" i="2"/>
  <c r="FT29" i="2"/>
  <c r="EJ29" i="2"/>
  <c r="EN29" i="2"/>
  <c r="FL29" i="2"/>
  <c r="EV29" i="2"/>
  <c r="ER29" i="2"/>
  <c r="FT14" i="2"/>
  <c r="EJ14" i="2"/>
  <c r="FL14" i="2"/>
  <c r="EN14" i="2"/>
  <c r="ER14" i="2"/>
  <c r="EV14" i="2"/>
  <c r="FT12" i="2"/>
  <c r="FL12" i="2"/>
  <c r="EN12" i="2"/>
  <c r="EJ12" i="2"/>
  <c r="ER12" i="2"/>
  <c r="EV12" i="2"/>
  <c r="FT23" i="2"/>
  <c r="FL23" i="2"/>
  <c r="EV23" i="2"/>
  <c r="EJ23" i="2"/>
  <c r="ER23" i="2"/>
  <c r="EN23" i="2"/>
  <c r="FW32" i="2"/>
  <c r="DL32" i="2" s="1"/>
  <c r="FW33" i="2"/>
  <c r="T33" i="2" s="1"/>
  <c r="Y22" i="45"/>
  <c r="Y24" i="45"/>
  <c r="DL12" i="2"/>
  <c r="AB24" i="45"/>
  <c r="V24" i="45"/>
  <c r="N22" i="45"/>
  <c r="J24" i="45"/>
  <c r="AB22" i="45"/>
  <c r="N24" i="45"/>
  <c r="J22" i="45"/>
  <c r="F24" i="45"/>
  <c r="V22" i="45"/>
  <c r="CZ11" i="2"/>
  <c r="FT28" i="2"/>
  <c r="AB28" i="2"/>
  <c r="H28" i="2"/>
  <c r="CZ34" i="2"/>
  <c r="FW31" i="2"/>
  <c r="FW30" i="2"/>
  <c r="FW20" i="2"/>
  <c r="BX20" i="2" s="1"/>
  <c r="FP34" i="2"/>
  <c r="EF10" i="2"/>
  <c r="FP18" i="2"/>
  <c r="FP29" i="2"/>
  <c r="FP17" i="2"/>
  <c r="FP25" i="2"/>
  <c r="FP15" i="2"/>
  <c r="FP36" i="2"/>
  <c r="FP14" i="2"/>
  <c r="FP19" i="2"/>
  <c r="FP16" i="2"/>
  <c r="FP26" i="2"/>
  <c r="FP13" i="2"/>
  <c r="FP21" i="2"/>
  <c r="FP12" i="2"/>
  <c r="FP11" i="2"/>
  <c r="FP24" i="2"/>
  <c r="FP28" i="2"/>
  <c r="FP27" i="2"/>
  <c r="BX21" i="2"/>
  <c r="FP23" i="2"/>
  <c r="FP22" i="2"/>
  <c r="FP39" i="2"/>
  <c r="P16" i="54"/>
  <c r="X176" i="55"/>
  <c r="AH148" i="46"/>
  <c r="X162" i="46" s="1"/>
  <c r="AR148" i="46"/>
  <c r="AN148" i="46"/>
  <c r="X167" i="46" s="1"/>
  <c r="AZ148" i="46"/>
  <c r="X177" i="46" s="1"/>
  <c r="AG148" i="46"/>
  <c r="X161" i="46" s="1"/>
  <c r="AQ148" i="46"/>
  <c r="X170" i="46" s="1"/>
  <c r="AL148" i="46"/>
  <c r="X166" i="46" s="1"/>
  <c r="AT148" i="46"/>
  <c r="X172" i="46" s="1"/>
  <c r="P19" i="54"/>
  <c r="Q4" i="54"/>
  <c r="AP148" i="46"/>
  <c r="X169" i="46" s="1"/>
  <c r="P42" i="54"/>
  <c r="Q42" i="54" s="1"/>
  <c r="AK148" i="46"/>
  <c r="X165" i="46" s="1"/>
  <c r="AX148" i="46"/>
  <c r="AJ148" i="46"/>
  <c r="X164" i="46" s="1"/>
  <c r="AS148" i="46"/>
  <c r="X171" i="46" s="1"/>
  <c r="AU148" i="46"/>
  <c r="X173" i="46" s="1"/>
  <c r="BA148" i="46"/>
  <c r="AI148" i="46"/>
  <c r="X163" i="46" s="1"/>
  <c r="AF148" i="46"/>
  <c r="X160" i="46" s="1"/>
  <c r="AM148" i="46"/>
  <c r="AY148" i="46"/>
  <c r="AO148" i="46"/>
  <c r="X168" i="46" s="1"/>
  <c r="AW148" i="46"/>
  <c r="X174" i="46" s="1"/>
  <c r="P11" i="2"/>
  <c r="CV11" i="2"/>
  <c r="DD11" i="2"/>
  <c r="DP11" i="2"/>
  <c r="CF11" i="2"/>
  <c r="CJ11" i="2"/>
  <c r="AB11" i="2"/>
  <c r="BX11" i="2"/>
  <c r="DX11" i="2"/>
  <c r="AN11" i="2"/>
  <c r="CB11" i="2"/>
  <c r="T11" i="2"/>
  <c r="DL11" i="2"/>
  <c r="BH11" i="2"/>
  <c r="X11" i="2"/>
  <c r="AF11" i="2"/>
  <c r="H11" i="2"/>
  <c r="CR11" i="2"/>
  <c r="EF11" i="2"/>
  <c r="AV11" i="2"/>
  <c r="DT11" i="2"/>
  <c r="CN11" i="2"/>
  <c r="BD11" i="2"/>
  <c r="AZ11" i="2"/>
  <c r="AJ11" i="2"/>
  <c r="EB11" i="2"/>
  <c r="AR11" i="2"/>
  <c r="L11" i="2"/>
  <c r="Q10" i="48"/>
  <c r="Q11" i="48" s="1"/>
  <c r="Q12" i="48" s="1"/>
  <c r="Q13" i="48" s="1"/>
  <c r="Q14" i="48" s="1"/>
  <c r="Q15" i="48" s="1"/>
  <c r="Q16" i="48" s="1"/>
  <c r="Q17" i="48" s="1"/>
  <c r="Q18" i="48" s="1"/>
  <c r="Q19" i="48" s="1"/>
  <c r="Q20" i="48" s="1"/>
  <c r="Q21" i="48" s="1"/>
  <c r="Q22" i="48" s="1"/>
  <c r="Q23" i="48" s="1"/>
  <c r="Q24" i="48" s="1"/>
  <c r="Q25" i="48" s="1"/>
  <c r="Q26" i="48" s="1"/>
  <c r="Q27" i="48" s="1"/>
  <c r="Q28" i="48" s="1"/>
  <c r="Q29" i="48" s="1"/>
  <c r="Q30" i="48" s="1"/>
  <c r="Q31" i="48" s="1"/>
  <c r="Q32" i="48" s="1"/>
  <c r="Q33" i="48" s="1"/>
  <c r="Q34" i="48" s="1"/>
  <c r="Q35" i="48" s="1"/>
  <c r="Q36" i="48" s="1"/>
  <c r="Q37" i="48" s="1"/>
  <c r="Q38" i="48" s="1"/>
  <c r="Q39" i="48" s="1"/>
  <c r="AC9" i="48"/>
  <c r="N26" i="45"/>
  <c r="J26" i="45"/>
  <c r="F26" i="45"/>
  <c r="R26" i="45"/>
  <c r="V26" i="45"/>
  <c r="AB26" i="45"/>
  <c r="Y26" i="45"/>
  <c r="F13" i="45"/>
  <c r="N13" i="45"/>
  <c r="J13" i="45"/>
  <c r="V13" i="45"/>
  <c r="Y13" i="45"/>
  <c r="R13" i="45"/>
  <c r="AB13" i="45"/>
  <c r="B40" i="45"/>
  <c r="D12" i="2"/>
  <c r="D42" i="2" s="1"/>
  <c r="D41" i="1"/>
  <c r="T13" i="2"/>
  <c r="AJ13" i="2"/>
  <c r="DL34" i="2"/>
  <c r="A13" i="1"/>
  <c r="A12" i="2"/>
  <c r="CR13" i="2"/>
  <c r="CF13" i="2"/>
  <c r="AZ13" i="2"/>
  <c r="EF34" i="2"/>
  <c r="DP13" i="2"/>
  <c r="AR13" i="2"/>
  <c r="BX13" i="2"/>
  <c r="L13" i="2"/>
  <c r="AF13" i="2"/>
  <c r="X13" i="2"/>
  <c r="BX34" i="2"/>
  <c r="BW42" i="2"/>
  <c r="CZ13" i="2"/>
  <c r="DT13" i="2"/>
  <c r="H13" i="2"/>
  <c r="DL13" i="2"/>
  <c r="BH13" i="2"/>
  <c r="DD13" i="2"/>
  <c r="BD13" i="2"/>
  <c r="EF13" i="2"/>
  <c r="CV13" i="2"/>
  <c r="AV13" i="2"/>
  <c r="CN13" i="2"/>
  <c r="AN13" i="2"/>
  <c r="EB13" i="2"/>
  <c r="CJ13" i="2"/>
  <c r="AB13" i="2"/>
  <c r="CB13" i="2"/>
  <c r="P13" i="2"/>
  <c r="CN29" i="2"/>
  <c r="CB29" i="2"/>
  <c r="AV29" i="2"/>
  <c r="P29" i="2"/>
  <c r="DP29" i="2"/>
  <c r="AF29" i="2"/>
  <c r="EB29" i="2"/>
  <c r="CJ29" i="2"/>
  <c r="H29" i="2"/>
  <c r="AZ29" i="2"/>
  <c r="X29" i="2"/>
  <c r="AR29" i="2"/>
  <c r="BH29" i="2"/>
  <c r="AB29" i="2"/>
  <c r="DD29" i="2"/>
  <c r="CF29" i="2"/>
  <c r="T29" i="2"/>
  <c r="CZ29" i="2"/>
  <c r="DX29" i="2"/>
  <c r="AN29" i="2"/>
  <c r="CV29" i="2"/>
  <c r="BX29" i="2"/>
  <c r="AJ29" i="2"/>
  <c r="DT29" i="2"/>
  <c r="L29" i="2"/>
  <c r="CR29" i="2"/>
  <c r="BD29" i="2"/>
  <c r="EF29" i="2"/>
  <c r="DX33" i="2"/>
  <c r="DT33" i="2"/>
  <c r="L33" i="2"/>
  <c r="CZ33" i="2"/>
  <c r="CN28" i="2"/>
  <c r="CB28" i="2"/>
  <c r="AV28" i="2"/>
  <c r="P28" i="2"/>
  <c r="DP28" i="2"/>
  <c r="AF28" i="2"/>
  <c r="T28" i="2"/>
  <c r="EF28" i="2"/>
  <c r="DT28" i="2"/>
  <c r="DD28" i="2"/>
  <c r="AN28" i="2"/>
  <c r="L28" i="2"/>
  <c r="AR28" i="2"/>
  <c r="X28" i="2"/>
  <c r="DX28" i="2"/>
  <c r="BH28" i="2"/>
  <c r="DL28" i="2"/>
  <c r="CJ28" i="2"/>
  <c r="AZ28" i="2"/>
  <c r="EB28" i="2"/>
  <c r="CZ28" i="2"/>
  <c r="CF28" i="2"/>
  <c r="CV28" i="2"/>
  <c r="BX28" i="2"/>
  <c r="AJ28" i="2"/>
  <c r="CR28" i="2"/>
  <c r="BD28" i="2"/>
  <c r="DL26" i="2"/>
  <c r="AW13" i="2"/>
  <c r="BE15" i="2"/>
  <c r="CG14" i="2"/>
  <c r="BX31" i="2"/>
  <c r="EC13" i="2"/>
  <c r="DX37" i="2"/>
  <c r="CF37" i="2"/>
  <c r="AN37" i="2"/>
  <c r="DT37" i="2"/>
  <c r="AJ37" i="2"/>
  <c r="DP37" i="2"/>
  <c r="AF37" i="2"/>
  <c r="CR37" i="2"/>
  <c r="AZ37" i="2"/>
  <c r="T37" i="2"/>
  <c r="DD37" i="2"/>
  <c r="CJ37" i="2"/>
  <c r="L37" i="2"/>
  <c r="AR37" i="2"/>
  <c r="P37" i="2"/>
  <c r="CB37" i="2"/>
  <c r="EB37" i="2"/>
  <c r="BH37" i="2"/>
  <c r="H37" i="2"/>
  <c r="CV37" i="2"/>
  <c r="AB37" i="2"/>
  <c r="BD37" i="2"/>
  <c r="CN37" i="2"/>
  <c r="X37" i="2"/>
  <c r="AV37" i="2"/>
  <c r="AF12" i="2"/>
  <c r="AJ12" i="2"/>
  <c r="CR12" i="2"/>
  <c r="CB12" i="2"/>
  <c r="BD12" i="2"/>
  <c r="AB12" i="2"/>
  <c r="EB12" i="2"/>
  <c r="DX12" i="2"/>
  <c r="AN12" i="2"/>
  <c r="L12" i="2"/>
  <c r="EF12" i="2"/>
  <c r="DD12" i="2"/>
  <c r="CN12" i="2"/>
  <c r="BX12" i="2"/>
  <c r="AZ12" i="2"/>
  <c r="X12" i="2"/>
  <c r="DP12" i="2"/>
  <c r="DT12" i="2"/>
  <c r="H12" i="2"/>
  <c r="CZ12" i="2"/>
  <c r="CJ12" i="2"/>
  <c r="T12" i="2"/>
  <c r="CF12" i="2"/>
  <c r="AV12" i="2"/>
  <c r="CV12" i="2"/>
  <c r="AR12" i="2"/>
  <c r="P12" i="2"/>
  <c r="BH12" i="2"/>
  <c r="BI12" i="2"/>
  <c r="BX16" i="2"/>
  <c r="BY12" i="2"/>
  <c r="AO13" i="2"/>
  <c r="CS13" i="2"/>
  <c r="Y13" i="2"/>
  <c r="BX15" i="2"/>
  <c r="BX18" i="2"/>
  <c r="CK14" i="2"/>
  <c r="CN24" i="2"/>
  <c r="CB24" i="2"/>
  <c r="AV24" i="2"/>
  <c r="P24" i="2"/>
  <c r="DP24" i="2"/>
  <c r="AF24" i="2"/>
  <c r="CR24" i="2"/>
  <c r="EB24" i="2"/>
  <c r="CJ24" i="2"/>
  <c r="H24" i="2"/>
  <c r="DT24" i="2"/>
  <c r="CZ24" i="2"/>
  <c r="CF24" i="2"/>
  <c r="BD24" i="2"/>
  <c r="AN24" i="2"/>
  <c r="X24" i="2"/>
  <c r="AB24" i="2"/>
  <c r="DX24" i="2"/>
  <c r="CV24" i="2"/>
  <c r="EF24" i="2"/>
  <c r="DL24" i="2"/>
  <c r="BH24" i="2"/>
  <c r="AJ24" i="2"/>
  <c r="DD24" i="2"/>
  <c r="AZ24" i="2"/>
  <c r="L24" i="2"/>
  <c r="AR24" i="2"/>
  <c r="BX24" i="2"/>
  <c r="T24" i="2"/>
  <c r="CR34" i="2"/>
  <c r="AZ34" i="2"/>
  <c r="T34" i="2"/>
  <c r="DX34" i="2"/>
  <c r="CF34" i="2"/>
  <c r="AN34" i="2"/>
  <c r="AR34" i="2"/>
  <c r="AB34" i="2"/>
  <c r="AJ34" i="2"/>
  <c r="H34" i="2"/>
  <c r="DT34" i="2"/>
  <c r="CJ34" i="2"/>
  <c r="BD34" i="2"/>
  <c r="CV34" i="2"/>
  <c r="AV34" i="2"/>
  <c r="AF34" i="2"/>
  <c r="EB34" i="2"/>
  <c r="CB34" i="2"/>
  <c r="DD34" i="2"/>
  <c r="X34" i="2"/>
  <c r="P34" i="2"/>
  <c r="CN34" i="2"/>
  <c r="BH34" i="2"/>
  <c r="DP34" i="2"/>
  <c r="DL37" i="2"/>
  <c r="L34" i="2"/>
  <c r="CN21" i="2"/>
  <c r="CB21" i="2"/>
  <c r="AV21" i="2"/>
  <c r="P21" i="2"/>
  <c r="DP21" i="2"/>
  <c r="AF21" i="2"/>
  <c r="T21" i="2"/>
  <c r="EF21" i="2"/>
  <c r="CZ21" i="2"/>
  <c r="EB21" i="2"/>
  <c r="DL21" i="2"/>
  <c r="CV21" i="2"/>
  <c r="CF21" i="2"/>
  <c r="BD21" i="2"/>
  <c r="AN21" i="2"/>
  <c r="X21" i="2"/>
  <c r="DT21" i="2"/>
  <c r="BH21" i="2"/>
  <c r="AJ21" i="2"/>
  <c r="L21" i="2"/>
  <c r="CR21" i="2"/>
  <c r="CJ21" i="2"/>
  <c r="AZ21" i="2"/>
  <c r="DD21" i="2"/>
  <c r="AR21" i="2"/>
  <c r="H21" i="2"/>
  <c r="DX21" i="2"/>
  <c r="AB21" i="2"/>
  <c r="BA16" i="2"/>
  <c r="BX19" i="2"/>
  <c r="I13" i="2"/>
  <c r="AK13" i="2"/>
  <c r="AS13" i="2"/>
  <c r="DT39" i="2"/>
  <c r="CV39" i="2"/>
  <c r="BD39" i="2"/>
  <c r="X39" i="2"/>
  <c r="CJ39" i="2"/>
  <c r="AR39" i="2"/>
  <c r="L39" i="2"/>
  <c r="EB39" i="2"/>
  <c r="DD39" i="2"/>
  <c r="DP39" i="2"/>
  <c r="CR39" i="2"/>
  <c r="AZ39" i="2"/>
  <c r="T39" i="2"/>
  <c r="CF39" i="2"/>
  <c r="AN39" i="2"/>
  <c r="DX39" i="2"/>
  <c r="CZ39" i="2"/>
  <c r="BH39" i="2"/>
  <c r="AB39" i="2"/>
  <c r="EF39" i="2"/>
  <c r="DL39" i="2"/>
  <c r="CN39" i="2"/>
  <c r="CB39" i="2"/>
  <c r="AV39" i="2"/>
  <c r="P39" i="2"/>
  <c r="AJ39" i="2"/>
  <c r="H39" i="2"/>
  <c r="AF39" i="2"/>
  <c r="DL29" i="2"/>
  <c r="DL25" i="2"/>
  <c r="CO12" i="2"/>
  <c r="CW14" i="2"/>
  <c r="AG13" i="2"/>
  <c r="CZ37" i="2"/>
  <c r="DL36" i="2"/>
  <c r="CN22" i="2"/>
  <c r="CB22" i="2"/>
  <c r="AV22" i="2"/>
  <c r="P22" i="2"/>
  <c r="DP22" i="2"/>
  <c r="AF22" i="2"/>
  <c r="T22" i="2"/>
  <c r="EB22" i="2"/>
  <c r="CJ22" i="2"/>
  <c r="H22" i="2"/>
  <c r="DT22" i="2"/>
  <c r="CZ22" i="2"/>
  <c r="BD22" i="2"/>
  <c r="DL22" i="2"/>
  <c r="L22" i="2"/>
  <c r="CR22" i="2"/>
  <c r="AB22" i="2"/>
  <c r="AN22" i="2"/>
  <c r="DD22" i="2"/>
  <c r="BH22" i="2"/>
  <c r="X22" i="2"/>
  <c r="CV22" i="2"/>
  <c r="AZ22" i="2"/>
  <c r="AR22" i="2"/>
  <c r="CF22" i="2"/>
  <c r="AJ22" i="2"/>
  <c r="BX22" i="2"/>
  <c r="EF22" i="2"/>
  <c r="DX22" i="2"/>
  <c r="DL27" i="2"/>
  <c r="EG12" i="2"/>
  <c r="DK42" i="2"/>
  <c r="DM10" i="2"/>
  <c r="DU16" i="2"/>
  <c r="AC13" i="2"/>
  <c r="DE13" i="2"/>
  <c r="M13" i="2"/>
  <c r="CN23" i="2"/>
  <c r="CB23" i="2"/>
  <c r="AV23" i="2"/>
  <c r="P23" i="2"/>
  <c r="DP23" i="2"/>
  <c r="AF23" i="2"/>
  <c r="CJ23" i="2"/>
  <c r="H23" i="2"/>
  <c r="EB23" i="2"/>
  <c r="DL23" i="2"/>
  <c r="CV23" i="2"/>
  <c r="BH23" i="2"/>
  <c r="DD23" i="2"/>
  <c r="AN23" i="2"/>
  <c r="DT23" i="2"/>
  <c r="AZ23" i="2"/>
  <c r="L23" i="2"/>
  <c r="X23" i="2"/>
  <c r="DX23" i="2"/>
  <c r="AR23" i="2"/>
  <c r="CF23" i="2"/>
  <c r="AJ23" i="2"/>
  <c r="AB23" i="2"/>
  <c r="EF23" i="2"/>
  <c r="CZ23" i="2"/>
  <c r="BD23" i="2"/>
  <c r="T23" i="2"/>
  <c r="CR23" i="2"/>
  <c r="BX23" i="2"/>
  <c r="DA11" i="2"/>
  <c r="Q15" i="2"/>
  <c r="DQ13" i="2"/>
  <c r="U15" i="2"/>
  <c r="AG12" i="48"/>
  <c r="AB41" i="48"/>
  <c r="AA12" i="48"/>
  <c r="EF33" i="2" l="1"/>
  <c r="BH33" i="2"/>
  <c r="X33" i="2"/>
  <c r="FT32" i="2"/>
  <c r="EZ32" i="2"/>
  <c r="FH32" i="2"/>
  <c r="FD32" i="2"/>
  <c r="FP33" i="2"/>
  <c r="FH33" i="2"/>
  <c r="FD33" i="2"/>
  <c r="EZ33" i="2"/>
  <c r="BX33" i="2"/>
  <c r="DP33" i="2"/>
  <c r="CN33" i="2"/>
  <c r="AZ33" i="2"/>
  <c r="AV33" i="2"/>
  <c r="AJ33" i="2"/>
  <c r="P33" i="2"/>
  <c r="CR33" i="2"/>
  <c r="EZ20" i="2"/>
  <c r="FH20" i="2"/>
  <c r="FD20" i="2"/>
  <c r="H33" i="2"/>
  <c r="BD33" i="2"/>
  <c r="AF33" i="2"/>
  <c r="EZ30" i="2"/>
  <c r="FH30" i="2"/>
  <c r="FD30" i="2"/>
  <c r="CB33" i="2"/>
  <c r="CJ33" i="2"/>
  <c r="CV33" i="2"/>
  <c r="EZ31" i="2"/>
  <c r="FH31" i="2"/>
  <c r="FD31" i="2"/>
  <c r="DL33" i="2"/>
  <c r="AB33" i="2"/>
  <c r="AR33" i="2"/>
  <c r="AN33" i="2"/>
  <c r="DD33" i="2"/>
  <c r="EB33" i="2"/>
  <c r="CF33" i="2"/>
  <c r="Q24" i="54"/>
  <c r="FH37" i="2"/>
  <c r="EZ37" i="2"/>
  <c r="FD37" i="2"/>
  <c r="EF37" i="2"/>
  <c r="BX37" i="2"/>
  <c r="FP37" i="2"/>
  <c r="EF35" i="2"/>
  <c r="CJ35" i="2"/>
  <c r="L35" i="2"/>
  <c r="H35" i="2"/>
  <c r="DT35" i="2"/>
  <c r="CV35" i="2"/>
  <c r="AB35" i="2"/>
  <c r="X35" i="2"/>
  <c r="AN35" i="2"/>
  <c r="BH35" i="2"/>
  <c r="BX35" i="2"/>
  <c r="AJ35" i="2"/>
  <c r="AR35" i="2"/>
  <c r="CF35" i="2"/>
  <c r="AV35" i="2"/>
  <c r="AF35" i="2"/>
  <c r="FT35" i="2"/>
  <c r="FH35" i="2"/>
  <c r="EZ35" i="2"/>
  <c r="FD35" i="2"/>
  <c r="CN35" i="2"/>
  <c r="DD35" i="2"/>
  <c r="T35" i="2"/>
  <c r="CZ35" i="2"/>
  <c r="P35" i="2"/>
  <c r="EB35" i="2"/>
  <c r="AZ35" i="2"/>
  <c r="BD35" i="2"/>
  <c r="DL35" i="2"/>
  <c r="CB35" i="2"/>
  <c r="DP35" i="2"/>
  <c r="CR35" i="2"/>
  <c r="FP32" i="2"/>
  <c r="EJ37" i="2"/>
  <c r="FL37" i="2"/>
  <c r="EN37" i="2"/>
  <c r="EV37" i="2"/>
  <c r="ER37" i="2"/>
  <c r="ER33" i="2"/>
  <c r="EV33" i="2"/>
  <c r="EJ33" i="2"/>
  <c r="EN33" i="2"/>
  <c r="FL33" i="2"/>
  <c r="FT33" i="2"/>
  <c r="ER32" i="2"/>
  <c r="EJ32" i="2"/>
  <c r="EN32" i="2"/>
  <c r="EV32" i="2"/>
  <c r="FL32" i="2"/>
  <c r="EN35" i="2"/>
  <c r="FL35" i="2"/>
  <c r="EJ35" i="2"/>
  <c r="ER35" i="2"/>
  <c r="EV35" i="2"/>
  <c r="FT20" i="2"/>
  <c r="EN20" i="2"/>
  <c r="EJ20" i="2"/>
  <c r="ER20" i="2"/>
  <c r="FL20" i="2"/>
  <c r="EV20" i="2"/>
  <c r="FT30" i="2"/>
  <c r="EJ30" i="2"/>
  <c r="ER30" i="2"/>
  <c r="EN30" i="2"/>
  <c r="FL30" i="2"/>
  <c r="EV30" i="2"/>
  <c r="FP35" i="2"/>
  <c r="FT31" i="2"/>
  <c r="FL31" i="2"/>
  <c r="EJ31" i="2"/>
  <c r="EV31" i="2"/>
  <c r="ER31" i="2"/>
  <c r="EN31" i="2"/>
  <c r="FT37" i="2"/>
  <c r="FP20" i="2"/>
  <c r="FP30" i="2"/>
  <c r="FP10" i="2"/>
  <c r="FX10" i="2"/>
  <c r="FP31" i="2"/>
  <c r="DL10" i="2"/>
  <c r="X176" i="46"/>
  <c r="DL14" i="2"/>
  <c r="BX14" i="2"/>
  <c r="AC11" i="48"/>
  <c r="AI11" i="48"/>
  <c r="F40" i="45"/>
  <c r="N40" i="45"/>
  <c r="V40" i="45"/>
  <c r="J40" i="45"/>
  <c r="Y40" i="45"/>
  <c r="AC10" i="48"/>
  <c r="AI10" i="48"/>
  <c r="AB40" i="45"/>
  <c r="R40" i="45"/>
  <c r="A14" i="1"/>
  <c r="A13" i="2"/>
  <c r="DL20" i="2"/>
  <c r="Q16" i="2"/>
  <c r="DM11" i="2"/>
  <c r="CS14" i="2"/>
  <c r="AC14" i="2"/>
  <c r="CV32" i="2"/>
  <c r="BD32" i="2"/>
  <c r="X32" i="2"/>
  <c r="DX32" i="2"/>
  <c r="CF32" i="2"/>
  <c r="AN32" i="2"/>
  <c r="AB32" i="2"/>
  <c r="CN32" i="2"/>
  <c r="AZ32" i="2"/>
  <c r="AR32" i="2"/>
  <c r="P32" i="2"/>
  <c r="EB32" i="2"/>
  <c r="DD32" i="2"/>
  <c r="CJ32" i="2"/>
  <c r="AF32" i="2"/>
  <c r="H32" i="2"/>
  <c r="DP32" i="2"/>
  <c r="CR32" i="2"/>
  <c r="L32" i="2"/>
  <c r="CB32" i="2"/>
  <c r="DT32" i="2"/>
  <c r="BH32" i="2"/>
  <c r="T32" i="2"/>
  <c r="EF32" i="2"/>
  <c r="AV32" i="2"/>
  <c r="AJ32" i="2"/>
  <c r="CZ32" i="2"/>
  <c r="BX32" i="2"/>
  <c r="CV17" i="2"/>
  <c r="BD17" i="2"/>
  <c r="X17" i="2"/>
  <c r="DX17" i="2"/>
  <c r="CF17" i="2"/>
  <c r="AN17" i="2"/>
  <c r="DP17" i="2"/>
  <c r="AJ17" i="2"/>
  <c r="H17" i="2"/>
  <c r="AR17" i="2"/>
  <c r="P17" i="2"/>
  <c r="DD17" i="2"/>
  <c r="CR17" i="2"/>
  <c r="CB17" i="2"/>
  <c r="T17" i="2"/>
  <c r="DL17" i="2"/>
  <c r="EB17" i="2"/>
  <c r="BH17" i="2"/>
  <c r="AV17" i="2"/>
  <c r="CN17" i="2"/>
  <c r="CJ17" i="2"/>
  <c r="AF17" i="2"/>
  <c r="AZ17" i="2"/>
  <c r="AB17" i="2"/>
  <c r="DT17" i="2"/>
  <c r="EF17" i="2"/>
  <c r="L17" i="2"/>
  <c r="CZ17" i="2"/>
  <c r="BX17" i="2"/>
  <c r="BI13" i="2"/>
  <c r="CV31" i="2"/>
  <c r="BD31" i="2"/>
  <c r="X31" i="2"/>
  <c r="DX31" i="2"/>
  <c r="CF31" i="2"/>
  <c r="AN31" i="2"/>
  <c r="CN31" i="2"/>
  <c r="AZ31" i="2"/>
  <c r="AR31" i="2"/>
  <c r="P31" i="2"/>
  <c r="EB31" i="2"/>
  <c r="CR31" i="2"/>
  <c r="H31" i="2"/>
  <c r="EF31" i="2"/>
  <c r="DT31" i="2"/>
  <c r="BH31" i="2"/>
  <c r="AB31" i="2"/>
  <c r="T31" i="2"/>
  <c r="DP31" i="2"/>
  <c r="AV31" i="2"/>
  <c r="CJ31" i="2"/>
  <c r="AJ31" i="2"/>
  <c r="DD31" i="2"/>
  <c r="CB31" i="2"/>
  <c r="AF31" i="2"/>
  <c r="CZ31" i="2"/>
  <c r="L31" i="2"/>
  <c r="DA12" i="2"/>
  <c r="CW15" i="2"/>
  <c r="CK15" i="2"/>
  <c r="DL31" i="2"/>
  <c r="CN26" i="2"/>
  <c r="CB26" i="2"/>
  <c r="AV26" i="2"/>
  <c r="P26" i="2"/>
  <c r="DP26" i="2"/>
  <c r="AF26" i="2"/>
  <c r="AZ26" i="2"/>
  <c r="X26" i="2"/>
  <c r="DX26" i="2"/>
  <c r="CF26" i="2"/>
  <c r="AR26" i="2"/>
  <c r="CZ26" i="2"/>
  <c r="CJ26" i="2"/>
  <c r="BD26" i="2"/>
  <c r="AJ26" i="2"/>
  <c r="DT26" i="2"/>
  <c r="CV26" i="2"/>
  <c r="AN26" i="2"/>
  <c r="L26" i="2"/>
  <c r="CR26" i="2"/>
  <c r="EF26" i="2"/>
  <c r="BH26" i="2"/>
  <c r="AB26" i="2"/>
  <c r="H26" i="2"/>
  <c r="DD26" i="2"/>
  <c r="EB26" i="2"/>
  <c r="T26" i="2"/>
  <c r="BX26" i="2"/>
  <c r="AO14" i="2"/>
  <c r="CG15" i="2"/>
  <c r="CV30" i="2"/>
  <c r="BD30" i="2"/>
  <c r="X30" i="2"/>
  <c r="DX30" i="2"/>
  <c r="CF30" i="2"/>
  <c r="AN30" i="2"/>
  <c r="CN30" i="2"/>
  <c r="AZ30" i="2"/>
  <c r="AR30" i="2"/>
  <c r="P30" i="2"/>
  <c r="EB30" i="2"/>
  <c r="CR30" i="2"/>
  <c r="H30" i="2"/>
  <c r="EF30" i="2"/>
  <c r="DT30" i="2"/>
  <c r="CB30" i="2"/>
  <c r="T30" i="2"/>
  <c r="DD30" i="2"/>
  <c r="AF30" i="2"/>
  <c r="BH30" i="2"/>
  <c r="AB30" i="2"/>
  <c r="DP30" i="2"/>
  <c r="AV30" i="2"/>
  <c r="CJ30" i="2"/>
  <c r="AJ30" i="2"/>
  <c r="L30" i="2"/>
  <c r="CZ30" i="2"/>
  <c r="CV15" i="2"/>
  <c r="BD15" i="2"/>
  <c r="X15" i="2"/>
  <c r="DX15" i="2"/>
  <c r="CF15" i="2"/>
  <c r="AN15" i="2"/>
  <c r="DP15" i="2"/>
  <c r="AJ15" i="2"/>
  <c r="H15" i="2"/>
  <c r="AR15" i="2"/>
  <c r="P15" i="2"/>
  <c r="DD15" i="2"/>
  <c r="CR15" i="2"/>
  <c r="CB15" i="2"/>
  <c r="EB15" i="2"/>
  <c r="BH15" i="2"/>
  <c r="CN15" i="2"/>
  <c r="CJ15" i="2"/>
  <c r="AF15" i="2"/>
  <c r="EF15" i="2"/>
  <c r="T15" i="2"/>
  <c r="AZ15" i="2"/>
  <c r="AB15" i="2"/>
  <c r="DT15" i="2"/>
  <c r="AV15" i="2"/>
  <c r="DL15" i="2"/>
  <c r="CZ15" i="2"/>
  <c r="L15" i="2"/>
  <c r="DL30" i="2"/>
  <c r="CV19" i="2"/>
  <c r="BD19" i="2"/>
  <c r="X19" i="2"/>
  <c r="DX19" i="2"/>
  <c r="CF19" i="2"/>
  <c r="AN19" i="2"/>
  <c r="DP19" i="2"/>
  <c r="AJ19" i="2"/>
  <c r="H19" i="2"/>
  <c r="AR19" i="2"/>
  <c r="P19" i="2"/>
  <c r="DD19" i="2"/>
  <c r="CR19" i="2"/>
  <c r="CB19" i="2"/>
  <c r="DT19" i="2"/>
  <c r="AV19" i="2"/>
  <c r="AF19" i="2"/>
  <c r="T19" i="2"/>
  <c r="DL19" i="2"/>
  <c r="EB19" i="2"/>
  <c r="BH19" i="2"/>
  <c r="CN19" i="2"/>
  <c r="CJ19" i="2"/>
  <c r="AZ19" i="2"/>
  <c r="AB19" i="2"/>
  <c r="EF19" i="2"/>
  <c r="L19" i="2"/>
  <c r="CZ19" i="2"/>
  <c r="U16" i="2"/>
  <c r="M14" i="2"/>
  <c r="CN27" i="2"/>
  <c r="CB27" i="2"/>
  <c r="AV27" i="2"/>
  <c r="P27" i="2"/>
  <c r="DP27" i="2"/>
  <c r="AF27" i="2"/>
  <c r="AJ27" i="2"/>
  <c r="CR27" i="2"/>
  <c r="BD27" i="2"/>
  <c r="AB27" i="2"/>
  <c r="DX27" i="2"/>
  <c r="CJ27" i="2"/>
  <c r="DT27" i="2"/>
  <c r="EF27" i="2"/>
  <c r="AZ27" i="2"/>
  <c r="H27" i="2"/>
  <c r="DD27" i="2"/>
  <c r="CF27" i="2"/>
  <c r="X27" i="2"/>
  <c r="EB27" i="2"/>
  <c r="T27" i="2"/>
  <c r="AR27" i="2"/>
  <c r="CV27" i="2"/>
  <c r="AN27" i="2"/>
  <c r="L27" i="2"/>
  <c r="BH27" i="2"/>
  <c r="CZ27" i="2"/>
  <c r="BX27" i="2"/>
  <c r="DT14" i="2"/>
  <c r="AJ14" i="2"/>
  <c r="CR14" i="2"/>
  <c r="AZ14" i="2"/>
  <c r="T14" i="2"/>
  <c r="X14" i="2"/>
  <c r="CJ14" i="2"/>
  <c r="AV14" i="2"/>
  <c r="DX14" i="2"/>
  <c r="CF14" i="2"/>
  <c r="AR14" i="2"/>
  <c r="P14" i="2"/>
  <c r="AF14" i="2"/>
  <c r="EF14" i="2"/>
  <c r="EB14" i="2"/>
  <c r="DD14" i="2"/>
  <c r="AB14" i="2"/>
  <c r="H14" i="2"/>
  <c r="CB14" i="2"/>
  <c r="BH14" i="2"/>
  <c r="CV14" i="2"/>
  <c r="DP14" i="2"/>
  <c r="AN14" i="2"/>
  <c r="CN14" i="2"/>
  <c r="BD14" i="2"/>
  <c r="L14" i="2"/>
  <c r="CZ14" i="2"/>
  <c r="AS14" i="2"/>
  <c r="DU17" i="2"/>
  <c r="CO13" i="2"/>
  <c r="BY13" i="2"/>
  <c r="BE16" i="2"/>
  <c r="DX10" i="2"/>
  <c r="CF10" i="2"/>
  <c r="AZ10" i="2"/>
  <c r="T10" i="2"/>
  <c r="DP10" i="2"/>
  <c r="AN10" i="2"/>
  <c r="H10" i="2"/>
  <c r="CN10" i="2"/>
  <c r="BH10" i="2"/>
  <c r="AB10" i="2"/>
  <c r="AR10" i="2"/>
  <c r="DT10" i="2"/>
  <c r="CB10" i="2"/>
  <c r="AV10" i="2"/>
  <c r="P10" i="2"/>
  <c r="CV10" i="2"/>
  <c r="BP10" i="2"/>
  <c r="AJ10" i="2"/>
  <c r="EB10" i="2"/>
  <c r="DD10" i="2"/>
  <c r="CJ10" i="2"/>
  <c r="BD10" i="2"/>
  <c r="X10" i="2"/>
  <c r="L10" i="2"/>
  <c r="CR10" i="2"/>
  <c r="BL10" i="2"/>
  <c r="AF10" i="2"/>
  <c r="BX10" i="2"/>
  <c r="CZ10" i="2"/>
  <c r="DX36" i="2"/>
  <c r="DT36" i="2"/>
  <c r="AJ36" i="2"/>
  <c r="DP36" i="2"/>
  <c r="AF36" i="2"/>
  <c r="CR36" i="2"/>
  <c r="AZ36" i="2"/>
  <c r="T36" i="2"/>
  <c r="AV36" i="2"/>
  <c r="CF36" i="2"/>
  <c r="BD36" i="2"/>
  <c r="H36" i="2"/>
  <c r="EB36" i="2"/>
  <c r="CB36" i="2"/>
  <c r="X36" i="2"/>
  <c r="CV36" i="2"/>
  <c r="AR36" i="2"/>
  <c r="BH36" i="2"/>
  <c r="P36" i="2"/>
  <c r="CN36" i="2"/>
  <c r="L36" i="2"/>
  <c r="EF36" i="2"/>
  <c r="CJ36" i="2"/>
  <c r="DD36" i="2"/>
  <c r="AB36" i="2"/>
  <c r="AN36" i="2"/>
  <c r="CZ36" i="2"/>
  <c r="BX36" i="2"/>
  <c r="CN25" i="2"/>
  <c r="CB25" i="2"/>
  <c r="AV25" i="2"/>
  <c r="P25" i="2"/>
  <c r="DP25" i="2"/>
  <c r="AF25" i="2"/>
  <c r="EF25" i="2"/>
  <c r="DT25" i="2"/>
  <c r="DD25" i="2"/>
  <c r="AN25" i="2"/>
  <c r="L25" i="2"/>
  <c r="CV25" i="2"/>
  <c r="BH25" i="2"/>
  <c r="DX25" i="2"/>
  <c r="T25" i="2"/>
  <c r="CJ25" i="2"/>
  <c r="BD25" i="2"/>
  <c r="AJ25" i="2"/>
  <c r="BX25" i="2"/>
  <c r="CR25" i="2"/>
  <c r="CF25" i="2"/>
  <c r="X25" i="2"/>
  <c r="EB25" i="2"/>
  <c r="AR25" i="2"/>
  <c r="H25" i="2"/>
  <c r="AZ25" i="2"/>
  <c r="AB25" i="2"/>
  <c r="CZ25" i="2"/>
  <c r="BA17" i="2"/>
  <c r="BX30" i="2"/>
  <c r="DQ14" i="2"/>
  <c r="AK14" i="2"/>
  <c r="Y14" i="2"/>
  <c r="EC14" i="2"/>
  <c r="DE14" i="2"/>
  <c r="CV18" i="2"/>
  <c r="BD18" i="2"/>
  <c r="X18" i="2"/>
  <c r="DX18" i="2"/>
  <c r="CF18" i="2"/>
  <c r="AN18" i="2"/>
  <c r="DP18" i="2"/>
  <c r="AJ18" i="2"/>
  <c r="H18" i="2"/>
  <c r="AR18" i="2"/>
  <c r="P18" i="2"/>
  <c r="DD18" i="2"/>
  <c r="CR18" i="2"/>
  <c r="CB18" i="2"/>
  <c r="AZ18" i="2"/>
  <c r="EF18" i="2"/>
  <c r="T18" i="2"/>
  <c r="DL18" i="2"/>
  <c r="EB18" i="2"/>
  <c r="BH18" i="2"/>
  <c r="CN18" i="2"/>
  <c r="CJ18" i="2"/>
  <c r="AF18" i="2"/>
  <c r="DT18" i="2"/>
  <c r="AV18" i="2"/>
  <c r="AB18" i="2"/>
  <c r="L18" i="2"/>
  <c r="CZ18" i="2"/>
  <c r="CV16" i="2"/>
  <c r="BD16" i="2"/>
  <c r="X16" i="2"/>
  <c r="DX16" i="2"/>
  <c r="CF16" i="2"/>
  <c r="AN16" i="2"/>
  <c r="DP16" i="2"/>
  <c r="AJ16" i="2"/>
  <c r="H16" i="2"/>
  <c r="AR16" i="2"/>
  <c r="P16" i="2"/>
  <c r="DD16" i="2"/>
  <c r="CR16" i="2"/>
  <c r="CB16" i="2"/>
  <c r="DL16" i="2"/>
  <c r="EB16" i="2"/>
  <c r="BH16" i="2"/>
  <c r="CN16" i="2"/>
  <c r="CJ16" i="2"/>
  <c r="AF16" i="2"/>
  <c r="AZ16" i="2"/>
  <c r="AB16" i="2"/>
  <c r="DT16" i="2"/>
  <c r="AV16" i="2"/>
  <c r="T16" i="2"/>
  <c r="EF16" i="2"/>
  <c r="CZ16" i="2"/>
  <c r="L16" i="2"/>
  <c r="AW14" i="2"/>
  <c r="AG14" i="2"/>
  <c r="I14" i="2"/>
  <c r="EG13" i="2"/>
  <c r="DT20" i="2"/>
  <c r="EB20" i="2"/>
  <c r="DP20" i="2"/>
  <c r="AJ20" i="2"/>
  <c r="CV20" i="2"/>
  <c r="CJ20" i="2"/>
  <c r="AZ20" i="2"/>
  <c r="T20" i="2"/>
  <c r="CF20" i="2"/>
  <c r="AN20" i="2"/>
  <c r="CR20" i="2"/>
  <c r="AF20" i="2"/>
  <c r="BD20" i="2"/>
  <c r="AB20" i="2"/>
  <c r="EF20" i="2"/>
  <c r="DD20" i="2"/>
  <c r="H20" i="2"/>
  <c r="BH20" i="2"/>
  <c r="X20" i="2"/>
  <c r="P20" i="2"/>
  <c r="DX20" i="2"/>
  <c r="CN20" i="2"/>
  <c r="AV20" i="2"/>
  <c r="AR20" i="2"/>
  <c r="CB20" i="2"/>
  <c r="CZ20" i="2"/>
  <c r="L20" i="2"/>
  <c r="AI12" i="48"/>
  <c r="AG13" i="48"/>
  <c r="AA13" i="48"/>
  <c r="AC12" i="48"/>
  <c r="FF10" i="2" l="1"/>
  <c r="FJ10" i="2"/>
  <c r="FB10" i="2"/>
  <c r="EP10" i="2"/>
  <c r="EX10" i="2"/>
  <c r="FN10" i="2"/>
  <c r="EL10" i="2"/>
  <c r="ET10" i="2"/>
  <c r="FX11" i="2"/>
  <c r="FR11" i="2"/>
  <c r="FV11" i="2"/>
  <c r="FR10" i="2"/>
  <c r="FV10" i="2"/>
  <c r="A15" i="1"/>
  <c r="A14" i="2"/>
  <c r="AG15" i="2"/>
  <c r="DU18" i="2"/>
  <c r="AW15" i="2"/>
  <c r="AS15" i="2"/>
  <c r="CK16" i="2"/>
  <c r="EG14" i="2"/>
  <c r="BA18" i="2"/>
  <c r="U17" i="2"/>
  <c r="CW16" i="2"/>
  <c r="AC15" i="2"/>
  <c r="Y15" i="2"/>
  <c r="DV10" i="2"/>
  <c r="CD10" i="2"/>
  <c r="AX10" i="2"/>
  <c r="R10" i="2"/>
  <c r="ED10" i="2"/>
  <c r="DF10" i="2"/>
  <c r="CL10" i="2"/>
  <c r="BF10" i="2"/>
  <c r="Z10" i="2"/>
  <c r="CH10" i="2"/>
  <c r="BB10" i="2"/>
  <c r="DZ10" i="2"/>
  <c r="V10" i="2"/>
  <c r="CX10" i="2"/>
  <c r="AL10" i="2"/>
  <c r="EH10" i="2"/>
  <c r="AH10" i="2"/>
  <c r="DR10" i="2"/>
  <c r="CT10" i="2"/>
  <c r="BJ10" i="2"/>
  <c r="BN10" i="2"/>
  <c r="CP10" i="2"/>
  <c r="BR10" i="2"/>
  <c r="J10" i="2"/>
  <c r="N10" i="2"/>
  <c r="AP10" i="2"/>
  <c r="AT10" i="2"/>
  <c r="BZ10" i="2"/>
  <c r="BV10" i="2"/>
  <c r="AD10" i="2"/>
  <c r="DB10" i="2"/>
  <c r="BI14" i="2"/>
  <c r="CS15" i="2"/>
  <c r="AK15" i="2"/>
  <c r="BY14" i="2"/>
  <c r="I15" i="2"/>
  <c r="CO14" i="2"/>
  <c r="DA13" i="2"/>
  <c r="CG16" i="2"/>
  <c r="DN10" i="2"/>
  <c r="DQ15" i="2"/>
  <c r="M15" i="2"/>
  <c r="DM12" i="2"/>
  <c r="AO15" i="2"/>
  <c r="Q17" i="2"/>
  <c r="DE15" i="2"/>
  <c r="EC15" i="2"/>
  <c r="BE17" i="2"/>
  <c r="AG14" i="48"/>
  <c r="AI13" i="48"/>
  <c r="AA14" i="48"/>
  <c r="AC13" i="48"/>
  <c r="FB11" i="2" l="1"/>
  <c r="FJ11" i="2"/>
  <c r="FF11" i="2"/>
  <c r="FX12" i="2"/>
  <c r="EP11" i="2"/>
  <c r="FN11" i="2"/>
  <c r="EL11" i="2"/>
  <c r="EX11" i="2"/>
  <c r="ET11" i="2"/>
  <c r="DN11" i="2"/>
  <c r="A16" i="1"/>
  <c r="A15" i="2"/>
  <c r="DE16" i="2"/>
  <c r="CS16" i="2"/>
  <c r="AC16" i="2"/>
  <c r="DU19" i="2"/>
  <c r="Q18" i="2"/>
  <c r="DQ16" i="2"/>
  <c r="CO15" i="2"/>
  <c r="CW17" i="2"/>
  <c r="BE18" i="2"/>
  <c r="BI15" i="2"/>
  <c r="CK17" i="2"/>
  <c r="AG16" i="2"/>
  <c r="I16" i="2"/>
  <c r="CL11" i="2"/>
  <c r="R11" i="2"/>
  <c r="DF11" i="2"/>
  <c r="AH11" i="2"/>
  <c r="BF11" i="2"/>
  <c r="N11" i="2"/>
  <c r="AD11" i="2"/>
  <c r="AL11" i="2"/>
  <c r="CH11" i="2"/>
  <c r="V11" i="2"/>
  <c r="DV11" i="2"/>
  <c r="AT11" i="2"/>
  <c r="J11" i="2"/>
  <c r="BB11" i="2"/>
  <c r="AX11" i="2"/>
  <c r="ED11" i="2"/>
  <c r="Z11" i="2"/>
  <c r="CD11" i="2"/>
  <c r="CT11" i="2"/>
  <c r="AP11" i="2"/>
  <c r="CX11" i="2"/>
  <c r="DR11" i="2"/>
  <c r="DZ11" i="2"/>
  <c r="BZ11" i="2"/>
  <c r="CP11" i="2"/>
  <c r="BJ11" i="2"/>
  <c r="EH11" i="2"/>
  <c r="DB11" i="2"/>
  <c r="AO16" i="2"/>
  <c r="BY15" i="2"/>
  <c r="U18" i="2"/>
  <c r="AS16" i="2"/>
  <c r="EC16" i="2"/>
  <c r="DM13" i="2"/>
  <c r="CG17" i="2"/>
  <c r="Y16" i="2"/>
  <c r="BA19" i="2"/>
  <c r="DA14" i="2"/>
  <c r="AK16" i="2"/>
  <c r="AW16" i="2"/>
  <c r="M16" i="2"/>
  <c r="EG15" i="2"/>
  <c r="AG15" i="48"/>
  <c r="AI14" i="48"/>
  <c r="AA15" i="48"/>
  <c r="AC14" i="48"/>
  <c r="FF12" i="2" l="1"/>
  <c r="FB12" i="2"/>
  <c r="FJ12" i="2"/>
  <c r="DN12" i="2"/>
  <c r="FV12" i="2"/>
  <c r="EL12" i="2"/>
  <c r="EP12" i="2"/>
  <c r="FN12" i="2"/>
  <c r="ET12" i="2"/>
  <c r="EX12" i="2"/>
  <c r="FR12" i="2"/>
  <c r="FX13" i="2"/>
  <c r="A17" i="1"/>
  <c r="A16" i="2"/>
  <c r="DZ12" i="2"/>
  <c r="CD12" i="2"/>
  <c r="CH12" i="2"/>
  <c r="DV12" i="2"/>
  <c r="BB12" i="2"/>
  <c r="CX12" i="2"/>
  <c r="CL12" i="2"/>
  <c r="BF12" i="2"/>
  <c r="R12" i="2"/>
  <c r="V12" i="2"/>
  <c r="CT12" i="2"/>
  <c r="DF12" i="2"/>
  <c r="Z12" i="2"/>
  <c r="J12" i="2"/>
  <c r="AH12" i="2"/>
  <c r="AX12" i="2"/>
  <c r="N12" i="2"/>
  <c r="ED12" i="2"/>
  <c r="AL12" i="2"/>
  <c r="DR12" i="2"/>
  <c r="AT12" i="2"/>
  <c r="AP12" i="2"/>
  <c r="AD12" i="2"/>
  <c r="CP12" i="2"/>
  <c r="EH12" i="2"/>
  <c r="BJ12" i="2"/>
  <c r="BZ12" i="2"/>
  <c r="DB12" i="2"/>
  <c r="BI16" i="2"/>
  <c r="M17" i="2"/>
  <c r="BA20" i="2"/>
  <c r="BE19" i="2"/>
  <c r="Q19" i="2"/>
  <c r="EC17" i="2"/>
  <c r="AO17" i="2"/>
  <c r="I17" i="2"/>
  <c r="DE17" i="2"/>
  <c r="AW17" i="2"/>
  <c r="Y17" i="2"/>
  <c r="AG17" i="2"/>
  <c r="AS17" i="2"/>
  <c r="CW18" i="2"/>
  <c r="DU20" i="2"/>
  <c r="AK17" i="2"/>
  <c r="CG18" i="2"/>
  <c r="U19" i="2"/>
  <c r="CK18" i="2"/>
  <c r="CO16" i="2"/>
  <c r="AC17" i="2"/>
  <c r="EG16" i="2"/>
  <c r="DA15" i="2"/>
  <c r="DM14" i="2"/>
  <c r="BY16" i="2"/>
  <c r="DQ17" i="2"/>
  <c r="CS17" i="2"/>
  <c r="AC15" i="48"/>
  <c r="AA16" i="48"/>
  <c r="AI15" i="48"/>
  <c r="AG16" i="48"/>
  <c r="FF13" i="2" l="1"/>
  <c r="FB13" i="2"/>
  <c r="FJ13" i="2"/>
  <c r="FV13" i="2"/>
  <c r="EL13" i="2"/>
  <c r="EP13" i="2"/>
  <c r="ET13" i="2"/>
  <c r="FN13" i="2"/>
  <c r="EX13" i="2"/>
  <c r="FX14" i="2"/>
  <c r="FR13" i="2"/>
  <c r="DN13" i="2"/>
  <c r="A18" i="1"/>
  <c r="A17" i="2"/>
  <c r="CK19" i="2"/>
  <c r="DU21" i="2"/>
  <c r="AO18" i="2"/>
  <c r="DQ18" i="2"/>
  <c r="EG17" i="2"/>
  <c r="AW18" i="2"/>
  <c r="M18" i="2"/>
  <c r="U20" i="2"/>
  <c r="CW19" i="2"/>
  <c r="EC18" i="2"/>
  <c r="CD13" i="2"/>
  <c r="BF13" i="2"/>
  <c r="BB13" i="2"/>
  <c r="DV13" i="2"/>
  <c r="V13" i="2"/>
  <c r="R13" i="2"/>
  <c r="DZ13" i="2"/>
  <c r="CL13" i="2"/>
  <c r="CH13" i="2"/>
  <c r="CX13" i="2"/>
  <c r="ED13" i="2"/>
  <c r="AP13" i="2"/>
  <c r="DF13" i="2"/>
  <c r="AH13" i="2"/>
  <c r="CT13" i="2"/>
  <c r="AL13" i="2"/>
  <c r="J13" i="2"/>
  <c r="AD13" i="2"/>
  <c r="AT13" i="2"/>
  <c r="Z13" i="2"/>
  <c r="N13" i="2"/>
  <c r="DR13" i="2"/>
  <c r="AX13" i="2"/>
  <c r="BZ13" i="2"/>
  <c r="BJ13" i="2"/>
  <c r="EH13" i="2"/>
  <c r="CP13" i="2"/>
  <c r="DB13" i="2"/>
  <c r="BY17" i="2"/>
  <c r="Q20" i="2"/>
  <c r="AC18" i="2"/>
  <c r="CG19" i="2"/>
  <c r="AS18" i="2"/>
  <c r="DE18" i="2"/>
  <c r="BI17" i="2"/>
  <c r="DM15" i="2"/>
  <c r="CO17" i="2"/>
  <c r="AK18" i="2"/>
  <c r="AG18" i="2"/>
  <c r="BE20" i="2"/>
  <c r="I18" i="2"/>
  <c r="CS18" i="2"/>
  <c r="DA16" i="2"/>
  <c r="Y18" i="2"/>
  <c r="BA21" i="2"/>
  <c r="AG17" i="48"/>
  <c r="AI16" i="48"/>
  <c r="AC16" i="48"/>
  <c r="AA17" i="48"/>
  <c r="FF14" i="2" l="1"/>
  <c r="FB14" i="2"/>
  <c r="FJ14" i="2"/>
  <c r="FV14" i="2"/>
  <c r="EL14" i="2"/>
  <c r="ET14" i="2"/>
  <c r="FN14" i="2"/>
  <c r="EX14" i="2"/>
  <c r="EP14" i="2"/>
  <c r="FR14" i="2"/>
  <c r="FX15" i="2"/>
  <c r="DN14" i="2"/>
  <c r="A19" i="1"/>
  <c r="A18" i="2"/>
  <c r="BA22" i="2"/>
  <c r="I19" i="2"/>
  <c r="AS19" i="2"/>
  <c r="EC19" i="2"/>
  <c r="DU22" i="2"/>
  <c r="Y19" i="2"/>
  <c r="DM16" i="2"/>
  <c r="CW20" i="2"/>
  <c r="EG18" i="2"/>
  <c r="BE21" i="2"/>
  <c r="CG20" i="2"/>
  <c r="CK20" i="2"/>
  <c r="DA17" i="2"/>
  <c r="AG19" i="2"/>
  <c r="DZ14" i="2"/>
  <c r="CD14" i="2"/>
  <c r="BB14" i="2"/>
  <c r="DV14" i="2"/>
  <c r="R14" i="2"/>
  <c r="BF14" i="2"/>
  <c r="V14" i="2"/>
  <c r="CL14" i="2"/>
  <c r="CH14" i="2"/>
  <c r="CX14" i="2"/>
  <c r="AD14" i="2"/>
  <c r="AL14" i="2"/>
  <c r="DF14" i="2"/>
  <c r="Z14" i="2"/>
  <c r="AX14" i="2"/>
  <c r="ED14" i="2"/>
  <c r="AT14" i="2"/>
  <c r="AP14" i="2"/>
  <c r="J14" i="2"/>
  <c r="DR14" i="2"/>
  <c r="AH14" i="2"/>
  <c r="CT14" i="2"/>
  <c r="N14" i="2"/>
  <c r="BJ14" i="2"/>
  <c r="CP14" i="2"/>
  <c r="EH14" i="2"/>
  <c r="BZ14" i="2"/>
  <c r="DB14" i="2"/>
  <c r="U21" i="2"/>
  <c r="DQ19" i="2"/>
  <c r="BI18" i="2"/>
  <c r="AC19" i="2"/>
  <c r="CS19" i="2"/>
  <c r="AK19" i="2"/>
  <c r="Q21" i="2"/>
  <c r="M19" i="2"/>
  <c r="DE19" i="2"/>
  <c r="AO19" i="2"/>
  <c r="CO18" i="2"/>
  <c r="BY18" i="2"/>
  <c r="AW19" i="2"/>
  <c r="AA18" i="48"/>
  <c r="AC17" i="48"/>
  <c r="AI17" i="48"/>
  <c r="AG18" i="48"/>
  <c r="FF15" i="2" l="1"/>
  <c r="FB15" i="2"/>
  <c r="FJ15" i="2"/>
  <c r="FV15" i="2"/>
  <c r="EP15" i="2"/>
  <c r="ET15" i="2"/>
  <c r="EL15" i="2"/>
  <c r="FN15" i="2"/>
  <c r="EX15" i="2"/>
  <c r="FR15" i="2"/>
  <c r="FX16" i="2"/>
  <c r="A20" i="1"/>
  <c r="A19" i="2"/>
  <c r="AK20" i="2"/>
  <c r="DZ15" i="2"/>
  <c r="CD15" i="2"/>
  <c r="BB15" i="2"/>
  <c r="DV15" i="2"/>
  <c r="V15" i="2"/>
  <c r="BF15" i="2"/>
  <c r="R15" i="2"/>
  <c r="CH15" i="2"/>
  <c r="CX15" i="2"/>
  <c r="CL15" i="2"/>
  <c r="AD15" i="2"/>
  <c r="AL15" i="2"/>
  <c r="AH15" i="2"/>
  <c r="Z15" i="2"/>
  <c r="AX15" i="2"/>
  <c r="AT15" i="2"/>
  <c r="N15" i="2"/>
  <c r="DF15" i="2"/>
  <c r="J15" i="2"/>
  <c r="AP15" i="2"/>
  <c r="ED15" i="2"/>
  <c r="CT15" i="2"/>
  <c r="DR15" i="2"/>
  <c r="CP15" i="2"/>
  <c r="BZ15" i="2"/>
  <c r="BJ15" i="2"/>
  <c r="EH15" i="2"/>
  <c r="DB15" i="2"/>
  <c r="AS20" i="2"/>
  <c r="BE22" i="2"/>
  <c r="DE20" i="2"/>
  <c r="U22" i="2"/>
  <c r="I20" i="2"/>
  <c r="M20" i="2"/>
  <c r="DA18" i="2"/>
  <c r="AC20" i="2"/>
  <c r="BA23" i="2"/>
  <c r="CO19" i="2"/>
  <c r="CK21" i="2"/>
  <c r="DQ20" i="2"/>
  <c r="DM17" i="2"/>
  <c r="AO20" i="2"/>
  <c r="CG21" i="2"/>
  <c r="DN15" i="2"/>
  <c r="AW20" i="2"/>
  <c r="CS20" i="2"/>
  <c r="AG20" i="2"/>
  <c r="Y20" i="2"/>
  <c r="BY19" i="2"/>
  <c r="EG19" i="2"/>
  <c r="DU23" i="2"/>
  <c r="Q22" i="2"/>
  <c r="BI19" i="2"/>
  <c r="CW21" i="2"/>
  <c r="EC20" i="2"/>
  <c r="AG19" i="48"/>
  <c r="AI18" i="48"/>
  <c r="AA19" i="48"/>
  <c r="AC18" i="48"/>
  <c r="DN16" i="2" l="1"/>
  <c r="FF16" i="2"/>
  <c r="FB16" i="2"/>
  <c r="FJ16" i="2"/>
  <c r="FV16" i="2"/>
  <c r="ET16" i="2"/>
  <c r="EL16" i="2"/>
  <c r="EP16" i="2"/>
  <c r="FN16" i="2"/>
  <c r="EX16" i="2"/>
  <c r="FR16" i="2"/>
  <c r="FX17" i="2"/>
  <c r="A21" i="1"/>
  <c r="A20" i="2"/>
  <c r="CW22" i="2"/>
  <c r="EG20" i="2"/>
  <c r="CS21" i="2"/>
  <c r="AO21" i="2"/>
  <c r="DM18" i="2"/>
  <c r="BY20" i="2"/>
  <c r="AW21" i="2"/>
  <c r="BA24" i="2"/>
  <c r="I21" i="2"/>
  <c r="AS21" i="2"/>
  <c r="DZ16" i="2"/>
  <c r="CD16" i="2"/>
  <c r="DV16" i="2"/>
  <c r="BB16" i="2"/>
  <c r="V16" i="2"/>
  <c r="BF16" i="2"/>
  <c r="R16" i="2"/>
  <c r="CL16" i="2"/>
  <c r="CH16" i="2"/>
  <c r="CX16" i="2"/>
  <c r="AP16" i="2"/>
  <c r="AH16" i="2"/>
  <c r="AL16" i="2"/>
  <c r="J16" i="2"/>
  <c r="CT16" i="2"/>
  <c r="DF16" i="2"/>
  <c r="AT16" i="2"/>
  <c r="AD16" i="2"/>
  <c r="N16" i="2"/>
  <c r="AX16" i="2"/>
  <c r="DR16" i="2"/>
  <c r="ED16" i="2"/>
  <c r="Z16" i="2"/>
  <c r="BJ16" i="2"/>
  <c r="EH16" i="2"/>
  <c r="BZ16" i="2"/>
  <c r="CP16" i="2"/>
  <c r="DB16" i="2"/>
  <c r="AK21" i="2"/>
  <c r="BI20" i="2"/>
  <c r="DQ21" i="2"/>
  <c r="AC21" i="2"/>
  <c r="U23" i="2"/>
  <c r="Q23" i="2"/>
  <c r="Y21" i="2"/>
  <c r="CG22" i="2"/>
  <c r="DA19" i="2"/>
  <c r="AG21" i="2"/>
  <c r="CK22" i="2"/>
  <c r="DE21" i="2"/>
  <c r="EC21" i="2"/>
  <c r="DU24" i="2"/>
  <c r="CO20" i="2"/>
  <c r="M21" i="2"/>
  <c r="BE23" i="2"/>
  <c r="AA20" i="48"/>
  <c r="AC19" i="48"/>
  <c r="AI19" i="48"/>
  <c r="AG20" i="48"/>
  <c r="FF17" i="2" l="1"/>
  <c r="FB17" i="2"/>
  <c r="FJ17" i="2"/>
  <c r="FV17" i="2"/>
  <c r="EP17" i="2"/>
  <c r="ET17" i="2"/>
  <c r="EL17" i="2"/>
  <c r="EX17" i="2"/>
  <c r="FN17" i="2"/>
  <c r="FR17" i="2"/>
  <c r="FX18" i="2"/>
  <c r="A22" i="1"/>
  <c r="A21" i="2"/>
  <c r="CO21" i="2"/>
  <c r="Y22" i="2"/>
  <c r="AO22" i="2"/>
  <c r="DU25" i="2"/>
  <c r="AG22" i="2"/>
  <c r="Q24" i="2"/>
  <c r="BI21" i="2"/>
  <c r="AW22" i="2"/>
  <c r="CS22" i="2"/>
  <c r="CK23" i="2"/>
  <c r="BE24" i="2"/>
  <c r="DA20" i="2"/>
  <c r="BY21" i="2"/>
  <c r="EG21" i="2"/>
  <c r="EC22" i="2"/>
  <c r="U24" i="2"/>
  <c r="AK22" i="2"/>
  <c r="AS22" i="2"/>
  <c r="DQ22" i="2"/>
  <c r="BA25" i="2"/>
  <c r="M22" i="2"/>
  <c r="DE22" i="2"/>
  <c r="CG23" i="2"/>
  <c r="DZ17" i="2"/>
  <c r="CD17" i="2"/>
  <c r="DV17" i="2"/>
  <c r="BB17" i="2"/>
  <c r="V17" i="2"/>
  <c r="R17" i="2"/>
  <c r="BF17" i="2"/>
  <c r="CL17" i="2"/>
  <c r="CH17" i="2"/>
  <c r="CX17" i="2"/>
  <c r="ED17" i="2"/>
  <c r="AT17" i="2"/>
  <c r="J17" i="2"/>
  <c r="N17" i="2"/>
  <c r="AL17" i="2"/>
  <c r="CT17" i="2"/>
  <c r="AP17" i="2"/>
  <c r="DF17" i="2"/>
  <c r="DR17" i="2"/>
  <c r="AH17" i="2"/>
  <c r="AD17" i="2"/>
  <c r="Z17" i="2"/>
  <c r="AX17" i="2"/>
  <c r="CP17" i="2"/>
  <c r="BJ17" i="2"/>
  <c r="EH17" i="2"/>
  <c r="BZ17" i="2"/>
  <c r="DB17" i="2"/>
  <c r="DM19" i="2"/>
  <c r="CW23" i="2"/>
  <c r="AC22" i="2"/>
  <c r="I22" i="2"/>
  <c r="DN17" i="2"/>
  <c r="AI20" i="48"/>
  <c r="AG21" i="48"/>
  <c r="AA21" i="48"/>
  <c r="AC20" i="48"/>
  <c r="FF18" i="2" l="1"/>
  <c r="FB18" i="2"/>
  <c r="FJ18" i="2"/>
  <c r="FV18" i="2"/>
  <c r="EP18" i="2"/>
  <c r="EX18" i="2"/>
  <c r="ET18" i="2"/>
  <c r="EL18" i="2"/>
  <c r="FN18" i="2"/>
  <c r="FR18" i="2"/>
  <c r="FX19" i="2"/>
  <c r="DN18" i="2"/>
  <c r="A23" i="1"/>
  <c r="A22" i="2"/>
  <c r="CW24" i="2"/>
  <c r="DA21" i="2"/>
  <c r="U25" i="2"/>
  <c r="AW23" i="2"/>
  <c r="DU26" i="2"/>
  <c r="CG24" i="2"/>
  <c r="DQ23" i="2"/>
  <c r="BE25" i="2"/>
  <c r="AO23" i="2"/>
  <c r="EC23" i="2"/>
  <c r="BI22" i="2"/>
  <c r="BA26" i="2"/>
  <c r="DM20" i="2"/>
  <c r="DE23" i="2"/>
  <c r="CK24" i="2"/>
  <c r="Q25" i="2"/>
  <c r="Y23" i="2"/>
  <c r="EG22" i="2"/>
  <c r="I23" i="2"/>
  <c r="AS23" i="2"/>
  <c r="DZ18" i="2"/>
  <c r="CD18" i="2"/>
  <c r="DV18" i="2"/>
  <c r="BB18" i="2"/>
  <c r="BF18" i="2"/>
  <c r="R18" i="2"/>
  <c r="V18" i="2"/>
  <c r="CX18" i="2"/>
  <c r="CL18" i="2"/>
  <c r="CH18" i="2"/>
  <c r="N18" i="2"/>
  <c r="AD18" i="2"/>
  <c r="Z18" i="2"/>
  <c r="CT18" i="2"/>
  <c r="AX18" i="2"/>
  <c r="AL18" i="2"/>
  <c r="AP18" i="2"/>
  <c r="ED18" i="2"/>
  <c r="AH18" i="2"/>
  <c r="J18" i="2"/>
  <c r="DF18" i="2"/>
  <c r="DR18" i="2"/>
  <c r="AT18" i="2"/>
  <c r="BZ18" i="2"/>
  <c r="BJ18" i="2"/>
  <c r="EH18" i="2"/>
  <c r="CP18" i="2"/>
  <c r="DB18" i="2"/>
  <c r="M23" i="2"/>
  <c r="BY22" i="2"/>
  <c r="CO22" i="2"/>
  <c r="AC23" i="2"/>
  <c r="AK23" i="2"/>
  <c r="CS23" i="2"/>
  <c r="AG23" i="2"/>
  <c r="AC21" i="48"/>
  <c r="AA22" i="48"/>
  <c r="AG22" i="48"/>
  <c r="AI21" i="48"/>
  <c r="FF19" i="2" l="1"/>
  <c r="FB19" i="2"/>
  <c r="FJ19" i="2"/>
  <c r="FV19" i="2"/>
  <c r="EP19" i="2"/>
  <c r="FN19" i="2"/>
  <c r="EX19" i="2"/>
  <c r="ET19" i="2"/>
  <c r="EL19" i="2"/>
  <c r="FR19" i="2"/>
  <c r="FX20" i="2"/>
  <c r="A24" i="1"/>
  <c r="A23" i="2"/>
  <c r="BE26" i="2"/>
  <c r="AW24" i="2"/>
  <c r="M24" i="2"/>
  <c r="Q26" i="2"/>
  <c r="BA27" i="2"/>
  <c r="CK25" i="2"/>
  <c r="AS24" i="2"/>
  <c r="AC24" i="2"/>
  <c r="I24" i="2"/>
  <c r="BI23" i="2"/>
  <c r="DQ24" i="2"/>
  <c r="U26" i="2"/>
  <c r="CD19" i="2"/>
  <c r="DZ19" i="2"/>
  <c r="DV19" i="2"/>
  <c r="BB19" i="2"/>
  <c r="R19" i="2"/>
  <c r="V19" i="2"/>
  <c r="BF19" i="2"/>
  <c r="CL19" i="2"/>
  <c r="CX19" i="2"/>
  <c r="CH19" i="2"/>
  <c r="AP19" i="2"/>
  <c r="AH19" i="2"/>
  <c r="ED19" i="2"/>
  <c r="DF19" i="2"/>
  <c r="AD19" i="2"/>
  <c r="DR19" i="2"/>
  <c r="Z19" i="2"/>
  <c r="AX19" i="2"/>
  <c r="AL19" i="2"/>
  <c r="AT19" i="2"/>
  <c r="J19" i="2"/>
  <c r="CT19" i="2"/>
  <c r="N19" i="2"/>
  <c r="CP19" i="2"/>
  <c r="EH19" i="2"/>
  <c r="BZ19" i="2"/>
  <c r="BJ19" i="2"/>
  <c r="DB19" i="2"/>
  <c r="DE24" i="2"/>
  <c r="CG25" i="2"/>
  <c r="CO23" i="2"/>
  <c r="EC24" i="2"/>
  <c r="AK24" i="2"/>
  <c r="AG24" i="2"/>
  <c r="EG23" i="2"/>
  <c r="BY23" i="2"/>
  <c r="Y24" i="2"/>
  <c r="DM21" i="2"/>
  <c r="AO24" i="2"/>
  <c r="CW25" i="2"/>
  <c r="DA22" i="2"/>
  <c r="CS24" i="2"/>
  <c r="DN19" i="2"/>
  <c r="DU27" i="2"/>
  <c r="AG23" i="48"/>
  <c r="AI22" i="48"/>
  <c r="AA23" i="48"/>
  <c r="AC22" i="48"/>
  <c r="DN20" i="2" l="1"/>
  <c r="FF20" i="2"/>
  <c r="FB20" i="2"/>
  <c r="FJ20" i="2"/>
  <c r="FV20" i="2"/>
  <c r="EP20" i="2"/>
  <c r="ET20" i="2"/>
  <c r="FN20" i="2"/>
  <c r="EL20" i="2"/>
  <c r="EX20" i="2"/>
  <c r="FR20" i="2"/>
  <c r="FX21" i="2"/>
  <c r="A25" i="1"/>
  <c r="A24" i="2"/>
  <c r="DA23" i="2"/>
  <c r="Y25" i="2"/>
  <c r="AC25" i="2"/>
  <c r="AK25" i="2"/>
  <c r="U27" i="2"/>
  <c r="Q27" i="2"/>
  <c r="DE25" i="2"/>
  <c r="CW26" i="2"/>
  <c r="EC25" i="2"/>
  <c r="DQ25" i="2"/>
  <c r="AS25" i="2"/>
  <c r="BY24" i="2"/>
  <c r="M25" i="2"/>
  <c r="DU28" i="2"/>
  <c r="AO25" i="2"/>
  <c r="EG24" i="2"/>
  <c r="CD20" i="2"/>
  <c r="DZ20" i="2"/>
  <c r="DV20" i="2"/>
  <c r="BB20" i="2"/>
  <c r="BF20" i="2"/>
  <c r="R20" i="2"/>
  <c r="V20" i="2"/>
  <c r="CH20" i="2"/>
  <c r="CL20" i="2"/>
  <c r="CX20" i="2"/>
  <c r="DF20" i="2"/>
  <c r="N20" i="2"/>
  <c r="AH20" i="2"/>
  <c r="J20" i="2"/>
  <c r="AD20" i="2"/>
  <c r="AT20" i="2"/>
  <c r="AL20" i="2"/>
  <c r="ED20" i="2"/>
  <c r="Z20" i="2"/>
  <c r="CT20" i="2"/>
  <c r="AX20" i="2"/>
  <c r="AP20" i="2"/>
  <c r="DR20" i="2"/>
  <c r="CP20" i="2"/>
  <c r="BZ20" i="2"/>
  <c r="EH20" i="2"/>
  <c r="BJ20" i="2"/>
  <c r="DB20" i="2"/>
  <c r="BI24" i="2"/>
  <c r="CO24" i="2"/>
  <c r="AW25" i="2"/>
  <c r="DM22" i="2"/>
  <c r="CG26" i="2"/>
  <c r="BE27" i="2"/>
  <c r="CK26" i="2"/>
  <c r="CS25" i="2"/>
  <c r="AG25" i="2"/>
  <c r="I25" i="2"/>
  <c r="BA28" i="2"/>
  <c r="AC23" i="48"/>
  <c r="AA24" i="48"/>
  <c r="AG24" i="48"/>
  <c r="AI23" i="48"/>
  <c r="DN21" i="2" l="1"/>
  <c r="FF21" i="2"/>
  <c r="FB21" i="2"/>
  <c r="FJ21" i="2"/>
  <c r="FV21" i="2"/>
  <c r="ET21" i="2"/>
  <c r="EP21" i="2"/>
  <c r="EL21" i="2"/>
  <c r="FN21" i="2"/>
  <c r="EX21" i="2"/>
  <c r="FR21" i="2"/>
  <c r="FX22" i="2"/>
  <c r="A26" i="1"/>
  <c r="A25" i="2"/>
  <c r="AG26" i="2"/>
  <c r="CG27" i="2"/>
  <c r="CW27" i="2"/>
  <c r="EG25" i="2"/>
  <c r="BY25" i="2"/>
  <c r="AK26" i="2"/>
  <c r="DM23" i="2"/>
  <c r="AO26" i="2"/>
  <c r="CS26" i="2"/>
  <c r="AS26" i="2"/>
  <c r="DE26" i="2"/>
  <c r="AC26" i="2"/>
  <c r="CD21" i="2"/>
  <c r="DZ21" i="2"/>
  <c r="BB21" i="2"/>
  <c r="DV21" i="2"/>
  <c r="R21" i="2"/>
  <c r="V21" i="2"/>
  <c r="BF21" i="2"/>
  <c r="CX21" i="2"/>
  <c r="CH21" i="2"/>
  <c r="CL21" i="2"/>
  <c r="N21" i="2"/>
  <c r="AH21" i="2"/>
  <c r="CT21" i="2"/>
  <c r="AL21" i="2"/>
  <c r="AD21" i="2"/>
  <c r="DF21" i="2"/>
  <c r="Z21" i="2"/>
  <c r="AT21" i="2"/>
  <c r="J21" i="2"/>
  <c r="AP21" i="2"/>
  <c r="DR21" i="2"/>
  <c r="ED21" i="2"/>
  <c r="AX21" i="2"/>
  <c r="BZ21" i="2"/>
  <c r="EH21" i="2"/>
  <c r="CP21" i="2"/>
  <c r="BJ21" i="2"/>
  <c r="DB21" i="2"/>
  <c r="DQ26" i="2"/>
  <c r="Q28" i="2"/>
  <c r="Y26" i="2"/>
  <c r="BA29" i="2"/>
  <c r="CK27" i="2"/>
  <c r="AW26" i="2"/>
  <c r="DU29" i="2"/>
  <c r="I26" i="2"/>
  <c r="BE28" i="2"/>
  <c r="M26" i="2"/>
  <c r="DA24" i="2"/>
  <c r="BI25" i="2"/>
  <c r="CO25" i="2"/>
  <c r="EC26" i="2"/>
  <c r="U28" i="2"/>
  <c r="AI24" i="48"/>
  <c r="AG25" i="48"/>
  <c r="AA25" i="48"/>
  <c r="AC24" i="48"/>
  <c r="DN22" i="2" l="1"/>
  <c r="FF22" i="2"/>
  <c r="FB22" i="2"/>
  <c r="FJ22" i="2"/>
  <c r="FV22" i="2"/>
  <c r="ET22" i="2"/>
  <c r="EX22" i="2"/>
  <c r="EP22" i="2"/>
  <c r="EL22" i="2"/>
  <c r="FN22" i="2"/>
  <c r="FR22" i="2"/>
  <c r="FX23" i="2"/>
  <c r="A27" i="1"/>
  <c r="A26" i="2"/>
  <c r="AO27" i="2"/>
  <c r="EG26" i="2"/>
  <c r="CO26" i="2"/>
  <c r="AC27" i="2"/>
  <c r="BE29" i="2"/>
  <c r="CW28" i="2"/>
  <c r="DE27" i="2"/>
  <c r="DM24" i="2"/>
  <c r="I27" i="2"/>
  <c r="DA25" i="2"/>
  <c r="Y27" i="2"/>
  <c r="CD22" i="2"/>
  <c r="DZ22" i="2"/>
  <c r="DV22" i="2"/>
  <c r="BB22" i="2"/>
  <c r="BF22" i="2"/>
  <c r="V22" i="2"/>
  <c r="R22" i="2"/>
  <c r="CL22" i="2"/>
  <c r="CH22" i="2"/>
  <c r="CX22" i="2"/>
  <c r="AP22" i="2"/>
  <c r="Z22" i="2"/>
  <c r="CT22" i="2"/>
  <c r="DF22" i="2"/>
  <c r="ED22" i="2"/>
  <c r="AH22" i="2"/>
  <c r="AD22" i="2"/>
  <c r="DR22" i="2"/>
  <c r="J22" i="2"/>
  <c r="AX22" i="2"/>
  <c r="AT22" i="2"/>
  <c r="N22" i="2"/>
  <c r="AL22" i="2"/>
  <c r="EH22" i="2"/>
  <c r="BJ22" i="2"/>
  <c r="CP22" i="2"/>
  <c r="BZ22" i="2"/>
  <c r="DB22" i="2"/>
  <c r="AS27" i="2"/>
  <c r="CG28" i="2"/>
  <c r="BI26" i="2"/>
  <c r="DU30" i="2"/>
  <c r="AK27" i="2"/>
  <c r="DQ27" i="2"/>
  <c r="U29" i="2"/>
  <c r="Q29" i="2"/>
  <c r="BY26" i="2"/>
  <c r="CK28" i="2"/>
  <c r="BA30" i="2"/>
  <c r="EC27" i="2"/>
  <c r="M27" i="2"/>
  <c r="AW27" i="2"/>
  <c r="CS27" i="2"/>
  <c r="AG27" i="2"/>
  <c r="AC25" i="48"/>
  <c r="AA26" i="48"/>
  <c r="AG26" i="48"/>
  <c r="AI25" i="48"/>
  <c r="FF23" i="2" l="1"/>
  <c r="FB23" i="2"/>
  <c r="FJ23" i="2"/>
  <c r="FV23" i="2"/>
  <c r="EL23" i="2"/>
  <c r="EP23" i="2"/>
  <c r="FN23" i="2"/>
  <c r="ET23" i="2"/>
  <c r="EX23" i="2"/>
  <c r="FR23" i="2"/>
  <c r="FX24" i="2"/>
  <c r="DN23" i="2"/>
  <c r="A28" i="1"/>
  <c r="A27" i="2"/>
  <c r="CG29" i="2"/>
  <c r="DM25" i="2"/>
  <c r="AC28" i="2"/>
  <c r="BY27" i="2"/>
  <c r="Y28" i="2"/>
  <c r="M28" i="2"/>
  <c r="AK28" i="2"/>
  <c r="AS28" i="2"/>
  <c r="DE28" i="2"/>
  <c r="CO27" i="2"/>
  <c r="AW28" i="2"/>
  <c r="AG28" i="2"/>
  <c r="DA26" i="2"/>
  <c r="CW29" i="2"/>
  <c r="EC28" i="2"/>
  <c r="Q30" i="2"/>
  <c r="DU31" i="2"/>
  <c r="EG27" i="2"/>
  <c r="DQ28" i="2"/>
  <c r="CD23" i="2"/>
  <c r="DZ23" i="2"/>
  <c r="DV23" i="2"/>
  <c r="BB23" i="2"/>
  <c r="R23" i="2"/>
  <c r="BF23" i="2"/>
  <c r="V23" i="2"/>
  <c r="CX23" i="2"/>
  <c r="CH23" i="2"/>
  <c r="CL23" i="2"/>
  <c r="AP23" i="2"/>
  <c r="J23" i="2"/>
  <c r="AH23" i="2"/>
  <c r="CT23" i="2"/>
  <c r="Z23" i="2"/>
  <c r="AX23" i="2"/>
  <c r="AT23" i="2"/>
  <c r="DR23" i="2"/>
  <c r="ED23" i="2"/>
  <c r="N23" i="2"/>
  <c r="AD23" i="2"/>
  <c r="DF23" i="2"/>
  <c r="AL23" i="2"/>
  <c r="CP23" i="2"/>
  <c r="BZ23" i="2"/>
  <c r="EH23" i="2"/>
  <c r="BJ23" i="2"/>
  <c r="DB23" i="2"/>
  <c r="I28" i="2"/>
  <c r="BE30" i="2"/>
  <c r="AO28" i="2"/>
  <c r="CK29" i="2"/>
  <c r="CS28" i="2"/>
  <c r="BA31" i="2"/>
  <c r="U30" i="2"/>
  <c r="BI27" i="2"/>
  <c r="AA27" i="48"/>
  <c r="AC26" i="48"/>
  <c r="AG27" i="48"/>
  <c r="AI26" i="48"/>
  <c r="DN24" i="2" l="1"/>
  <c r="FF24" i="2"/>
  <c r="FB24" i="2"/>
  <c r="FJ24" i="2"/>
  <c r="FV24" i="2"/>
  <c r="EL24" i="2"/>
  <c r="EP24" i="2"/>
  <c r="FN24" i="2"/>
  <c r="ET24" i="2"/>
  <c r="EX24" i="2"/>
  <c r="FR24" i="2"/>
  <c r="FX25" i="2"/>
  <c r="A29" i="1"/>
  <c r="A28" i="2"/>
  <c r="BE31" i="2"/>
  <c r="Q31" i="2"/>
  <c r="AG29" i="2"/>
  <c r="AS29" i="2"/>
  <c r="BY28" i="2"/>
  <c r="DQ29" i="2"/>
  <c r="CS29" i="2"/>
  <c r="I29" i="2"/>
  <c r="EC29" i="2"/>
  <c r="AW29" i="2"/>
  <c r="AK29" i="2"/>
  <c r="AC29" i="2"/>
  <c r="BA32" i="2"/>
  <c r="CW30" i="2"/>
  <c r="M29" i="2"/>
  <c r="DM26" i="2"/>
  <c r="EG28" i="2"/>
  <c r="CO28" i="2"/>
  <c r="BI28" i="2"/>
  <c r="U31" i="2"/>
  <c r="AO29" i="2"/>
  <c r="CD24" i="2"/>
  <c r="DZ24" i="2"/>
  <c r="DV24" i="2"/>
  <c r="BB24" i="2"/>
  <c r="V24" i="2"/>
  <c r="BF24" i="2"/>
  <c r="R24" i="2"/>
  <c r="CH24" i="2"/>
  <c r="CL24" i="2"/>
  <c r="CX24" i="2"/>
  <c r="N24" i="2"/>
  <c r="J24" i="2"/>
  <c r="ED24" i="2"/>
  <c r="Z24" i="2"/>
  <c r="DR24" i="2"/>
  <c r="AX24" i="2"/>
  <c r="AP24" i="2"/>
  <c r="CT24" i="2"/>
  <c r="AH24" i="2"/>
  <c r="AD24" i="2"/>
  <c r="DF24" i="2"/>
  <c r="AT24" i="2"/>
  <c r="AL24" i="2"/>
  <c r="BZ24" i="2"/>
  <c r="CP24" i="2"/>
  <c r="BJ24" i="2"/>
  <c r="EH24" i="2"/>
  <c r="DB24" i="2"/>
  <c r="DA27" i="2"/>
  <c r="Y29" i="2"/>
  <c r="CG30" i="2"/>
  <c r="CK30" i="2"/>
  <c r="DU32" i="2"/>
  <c r="DE29" i="2"/>
  <c r="AA28" i="48"/>
  <c r="AC27" i="48"/>
  <c r="AI27" i="48"/>
  <c r="AG28" i="48"/>
  <c r="FF25" i="2" l="1"/>
  <c r="FB25" i="2"/>
  <c r="FJ25" i="2"/>
  <c r="FV25" i="2"/>
  <c r="ET25" i="2"/>
  <c r="FN25" i="2"/>
  <c r="EL25" i="2"/>
  <c r="EX25" i="2"/>
  <c r="EP25" i="2"/>
  <c r="FR25" i="2"/>
  <c r="FX26" i="2"/>
  <c r="DN25" i="2"/>
  <c r="A30" i="1"/>
  <c r="A29" i="2"/>
  <c r="U32" i="2"/>
  <c r="DM27" i="2"/>
  <c r="AC30" i="2"/>
  <c r="I30" i="2"/>
  <c r="AS30" i="2"/>
  <c r="CK31" i="2"/>
  <c r="CD25" i="2"/>
  <c r="DZ25" i="2"/>
  <c r="DV25" i="2"/>
  <c r="BB25" i="2"/>
  <c r="BF25" i="2"/>
  <c r="R25" i="2"/>
  <c r="V25" i="2"/>
  <c r="CH25" i="2"/>
  <c r="CL25" i="2"/>
  <c r="CX25" i="2"/>
  <c r="AH25" i="2"/>
  <c r="CT25" i="2"/>
  <c r="AX25" i="2"/>
  <c r="N25" i="2"/>
  <c r="ED25" i="2"/>
  <c r="AT25" i="2"/>
  <c r="Z25" i="2"/>
  <c r="J25" i="2"/>
  <c r="AL25" i="2"/>
  <c r="DF25" i="2"/>
  <c r="AP25" i="2"/>
  <c r="AD25" i="2"/>
  <c r="DR25" i="2"/>
  <c r="BJ25" i="2"/>
  <c r="EH25" i="2"/>
  <c r="BZ25" i="2"/>
  <c r="CP25" i="2"/>
  <c r="DB25" i="2"/>
  <c r="CG31" i="2"/>
  <c r="BI29" i="2"/>
  <c r="M30" i="2"/>
  <c r="AK30" i="2"/>
  <c r="CS30" i="2"/>
  <c r="AG30" i="2"/>
  <c r="Y30" i="2"/>
  <c r="CW31" i="2"/>
  <c r="DQ30" i="2"/>
  <c r="Q32" i="2"/>
  <c r="DE30" i="2"/>
  <c r="CO29" i="2"/>
  <c r="AW30" i="2"/>
  <c r="DU33" i="2"/>
  <c r="DA28" i="2"/>
  <c r="AO30" i="2"/>
  <c r="BY29" i="2"/>
  <c r="BE32" i="2"/>
  <c r="EG29" i="2"/>
  <c r="BA33" i="2"/>
  <c r="EC30" i="2"/>
  <c r="AG29" i="48"/>
  <c r="AI28" i="48"/>
  <c r="AC28" i="48"/>
  <c r="AA29" i="48"/>
  <c r="FF26" i="2" l="1"/>
  <c r="FB26" i="2"/>
  <c r="FJ26" i="2"/>
  <c r="FV26" i="2"/>
  <c r="ET26" i="2"/>
  <c r="EP26" i="2"/>
  <c r="FN26" i="2"/>
  <c r="EX26" i="2"/>
  <c r="EL26" i="2"/>
  <c r="FR26" i="2"/>
  <c r="FX27" i="2"/>
  <c r="A31" i="1"/>
  <c r="A30" i="2"/>
  <c r="DA29" i="2"/>
  <c r="Y31" i="2"/>
  <c r="M31" i="2"/>
  <c r="CD26" i="2"/>
  <c r="DZ26" i="2"/>
  <c r="BB26" i="2"/>
  <c r="DV26" i="2"/>
  <c r="BF26" i="2"/>
  <c r="V26" i="2"/>
  <c r="R26" i="2"/>
  <c r="CH26" i="2"/>
  <c r="CL26" i="2"/>
  <c r="CX26" i="2"/>
  <c r="AP26" i="2"/>
  <c r="J26" i="2"/>
  <c r="CT26" i="2"/>
  <c r="AH26" i="2"/>
  <c r="ED26" i="2"/>
  <c r="Z26" i="2"/>
  <c r="DF26" i="2"/>
  <c r="AT26" i="2"/>
  <c r="AL26" i="2"/>
  <c r="N26" i="2"/>
  <c r="AD26" i="2"/>
  <c r="DR26" i="2"/>
  <c r="AX26" i="2"/>
  <c r="BJ26" i="2"/>
  <c r="CP26" i="2"/>
  <c r="EH26" i="2"/>
  <c r="BZ26" i="2"/>
  <c r="DB26" i="2"/>
  <c r="I31" i="2"/>
  <c r="EG30" i="2"/>
  <c r="DU34" i="2"/>
  <c r="AC31" i="2"/>
  <c r="Q33" i="2"/>
  <c r="BY30" i="2"/>
  <c r="AW31" i="2"/>
  <c r="DM28" i="2"/>
  <c r="AG31" i="2"/>
  <c r="DQ31" i="2"/>
  <c r="CS31" i="2"/>
  <c r="CG32" i="2"/>
  <c r="CK32" i="2"/>
  <c r="DN26" i="2"/>
  <c r="DE31" i="2"/>
  <c r="BI30" i="2"/>
  <c r="EC31" i="2"/>
  <c r="AO31" i="2"/>
  <c r="CW32" i="2"/>
  <c r="U33" i="2"/>
  <c r="BE33" i="2"/>
  <c r="BA34" i="2"/>
  <c r="CO30" i="2"/>
  <c r="AK31" i="2"/>
  <c r="AS31" i="2"/>
  <c r="AG30" i="48"/>
  <c r="AI29" i="48"/>
  <c r="AA30" i="48"/>
  <c r="AC29" i="48"/>
  <c r="FF27" i="2" l="1"/>
  <c r="FB27" i="2"/>
  <c r="FJ27" i="2"/>
  <c r="FV27" i="2"/>
  <c r="EL27" i="2"/>
  <c r="ET27" i="2"/>
  <c r="EP27" i="2"/>
  <c r="EX27" i="2"/>
  <c r="FN27" i="2"/>
  <c r="FR27" i="2"/>
  <c r="FX28" i="2"/>
  <c r="DN27" i="2"/>
  <c r="A32" i="1"/>
  <c r="A31" i="2"/>
  <c r="DE32" i="2"/>
  <c r="DQ32" i="2"/>
  <c r="BY31" i="2"/>
  <c r="EG31" i="2"/>
  <c r="M32" i="2"/>
  <c r="AO32" i="2"/>
  <c r="CK33" i="2"/>
  <c r="I32" i="2"/>
  <c r="BA35" i="2"/>
  <c r="EC32" i="2"/>
  <c r="DM29" i="2"/>
  <c r="Y32" i="2"/>
  <c r="AG32" i="2"/>
  <c r="U34" i="2"/>
  <c r="CG33" i="2"/>
  <c r="AC32" i="2"/>
  <c r="BE34" i="2"/>
  <c r="CS32" i="2"/>
  <c r="AW32" i="2"/>
  <c r="CD27" i="2"/>
  <c r="DZ27" i="2"/>
  <c r="DV27" i="2"/>
  <c r="BB27" i="2"/>
  <c r="R27" i="2"/>
  <c r="V27" i="2"/>
  <c r="BF27" i="2"/>
  <c r="CX27" i="2"/>
  <c r="CL27" i="2"/>
  <c r="CH27" i="2"/>
  <c r="Z27" i="2"/>
  <c r="AP27" i="2"/>
  <c r="DF27" i="2"/>
  <c r="N27" i="2"/>
  <c r="CT27" i="2"/>
  <c r="DR27" i="2"/>
  <c r="J27" i="2"/>
  <c r="AD27" i="2"/>
  <c r="AL27" i="2"/>
  <c r="AX27" i="2"/>
  <c r="ED27" i="2"/>
  <c r="AT27" i="2"/>
  <c r="AH27" i="2"/>
  <c r="BZ27" i="2"/>
  <c r="EH27" i="2"/>
  <c r="CP27" i="2"/>
  <c r="BJ27" i="2"/>
  <c r="DB27" i="2"/>
  <c r="DA30" i="2"/>
  <c r="Q34" i="2"/>
  <c r="AS32" i="2"/>
  <c r="AK32" i="2"/>
  <c r="BI31" i="2"/>
  <c r="CO31" i="2"/>
  <c r="CW33" i="2"/>
  <c r="DU35" i="2"/>
  <c r="AI30" i="48"/>
  <c r="AG31" i="48"/>
  <c r="AA31" i="48"/>
  <c r="AC30" i="48"/>
  <c r="FF28" i="2" l="1"/>
  <c r="FB28" i="2"/>
  <c r="FJ28" i="2"/>
  <c r="FV28" i="2"/>
  <c r="EL28" i="2"/>
  <c r="ET28" i="2"/>
  <c r="EP28" i="2"/>
  <c r="EX28" i="2"/>
  <c r="FN28" i="2"/>
  <c r="FR28" i="2"/>
  <c r="FX29" i="2"/>
  <c r="DN28" i="2"/>
  <c r="A33" i="1"/>
  <c r="A32" i="2"/>
  <c r="Y33" i="2"/>
  <c r="EG32" i="2"/>
  <c r="AC33" i="2"/>
  <c r="I33" i="2"/>
  <c r="CO32" i="2"/>
  <c r="DA31" i="2"/>
  <c r="AW33" i="2"/>
  <c r="DM30" i="2"/>
  <c r="BY32" i="2"/>
  <c r="Q35" i="2"/>
  <c r="CG34" i="2"/>
  <c r="CK34" i="2"/>
  <c r="DU36" i="2"/>
  <c r="DQ33" i="2"/>
  <c r="BI32" i="2"/>
  <c r="CS33" i="2"/>
  <c r="U35" i="2"/>
  <c r="EC33" i="2"/>
  <c r="AO33" i="2"/>
  <c r="AK33" i="2"/>
  <c r="CD28" i="2"/>
  <c r="DZ28" i="2"/>
  <c r="DV28" i="2"/>
  <c r="BB28" i="2"/>
  <c r="BF28" i="2"/>
  <c r="V28" i="2"/>
  <c r="R28" i="2"/>
  <c r="CH28" i="2"/>
  <c r="CX28" i="2"/>
  <c r="CL28" i="2"/>
  <c r="AP28" i="2"/>
  <c r="ED28" i="2"/>
  <c r="DR28" i="2"/>
  <c r="Z28" i="2"/>
  <c r="AX28" i="2"/>
  <c r="DF28" i="2"/>
  <c r="AH28" i="2"/>
  <c r="CT28" i="2"/>
  <c r="AL28" i="2"/>
  <c r="N28" i="2"/>
  <c r="AT28" i="2"/>
  <c r="J28" i="2"/>
  <c r="AD28" i="2"/>
  <c r="BZ28" i="2"/>
  <c r="CP28" i="2"/>
  <c r="EH28" i="2"/>
  <c r="BJ28" i="2"/>
  <c r="DB28" i="2"/>
  <c r="AG33" i="2"/>
  <c r="M33" i="2"/>
  <c r="CW34" i="2"/>
  <c r="AS33" i="2"/>
  <c r="BE35" i="2"/>
  <c r="BA36" i="2"/>
  <c r="DE33" i="2"/>
  <c r="AG32" i="48"/>
  <c r="AI31" i="48"/>
  <c r="AC31" i="48"/>
  <c r="AA32" i="48"/>
  <c r="FF29" i="2" l="1"/>
  <c r="FB29" i="2"/>
  <c r="FJ29" i="2"/>
  <c r="FV29" i="2"/>
  <c r="EL29" i="2"/>
  <c r="ET29" i="2"/>
  <c r="EP29" i="2"/>
  <c r="FN29" i="2"/>
  <c r="EX29" i="2"/>
  <c r="FR29" i="2"/>
  <c r="FX30" i="2"/>
  <c r="DN29" i="2"/>
  <c r="A34" i="1"/>
  <c r="A33" i="2"/>
  <c r="BE36" i="2"/>
  <c r="AG34" i="2"/>
  <c r="DM31" i="2"/>
  <c r="I34" i="2"/>
  <c r="AW34" i="2"/>
  <c r="AO34" i="2"/>
  <c r="BI33" i="2"/>
  <c r="CG35" i="2"/>
  <c r="AC34" i="2"/>
  <c r="CS34" i="2"/>
  <c r="CW35" i="2"/>
  <c r="CD29" i="2"/>
  <c r="DZ29" i="2"/>
  <c r="BB29" i="2"/>
  <c r="DV29" i="2"/>
  <c r="V29" i="2"/>
  <c r="BF29" i="2"/>
  <c r="R29" i="2"/>
  <c r="CX29" i="2"/>
  <c r="CH29" i="2"/>
  <c r="CL29" i="2"/>
  <c r="AP29" i="2"/>
  <c r="AX29" i="2"/>
  <c r="ED29" i="2"/>
  <c r="N29" i="2"/>
  <c r="AT29" i="2"/>
  <c r="AL29" i="2"/>
  <c r="CT29" i="2"/>
  <c r="DR29" i="2"/>
  <c r="AD29" i="2"/>
  <c r="AH29" i="2"/>
  <c r="Z29" i="2"/>
  <c r="J29" i="2"/>
  <c r="DF29" i="2"/>
  <c r="BJ29" i="2"/>
  <c r="CP29" i="2"/>
  <c r="EH29" i="2"/>
  <c r="BZ29" i="2"/>
  <c r="DB29" i="2"/>
  <c r="EC34" i="2"/>
  <c r="DQ34" i="2"/>
  <c r="Q36" i="2"/>
  <c r="DA32" i="2"/>
  <c r="EG33" i="2"/>
  <c r="AK34" i="2"/>
  <c r="AS34" i="2"/>
  <c r="DE34" i="2"/>
  <c r="M34" i="2"/>
  <c r="BY33" i="2"/>
  <c r="CO33" i="2"/>
  <c r="CK35" i="2"/>
  <c r="BA37" i="2"/>
  <c r="U36" i="2"/>
  <c r="DU37" i="2"/>
  <c r="Y34" i="2"/>
  <c r="AG33" i="48"/>
  <c r="AI32" i="48"/>
  <c r="AA33" i="48"/>
  <c r="AC32" i="48"/>
  <c r="FF30" i="2" l="1"/>
  <c r="FB30" i="2"/>
  <c r="FJ30" i="2"/>
  <c r="FV30" i="2"/>
  <c r="EL30" i="2"/>
  <c r="EP30" i="2"/>
  <c r="ET30" i="2"/>
  <c r="FN30" i="2"/>
  <c r="EX30" i="2"/>
  <c r="FR30" i="2"/>
  <c r="FX31" i="2"/>
  <c r="DN30" i="2"/>
  <c r="A35" i="1"/>
  <c r="A34" i="2"/>
  <c r="BY34" i="2"/>
  <c r="I35" i="2"/>
  <c r="DQ35" i="2"/>
  <c r="EG34" i="2"/>
  <c r="DM32" i="2"/>
  <c r="AK35" i="2"/>
  <c r="CG36" i="2"/>
  <c r="BA38" i="2"/>
  <c r="EC35" i="2"/>
  <c r="CW36" i="2"/>
  <c r="BI34" i="2"/>
  <c r="Y35" i="2"/>
  <c r="DE35" i="2"/>
  <c r="DA33" i="2"/>
  <c r="AG35" i="2"/>
  <c r="U37" i="2"/>
  <c r="M35" i="2"/>
  <c r="CK36" i="2"/>
  <c r="CS35" i="2"/>
  <c r="AO35" i="2"/>
  <c r="CO34" i="2"/>
  <c r="AS35" i="2"/>
  <c r="Q37" i="2"/>
  <c r="CD30" i="2"/>
  <c r="DZ30" i="2"/>
  <c r="DV30" i="2"/>
  <c r="BB30" i="2"/>
  <c r="BF30" i="2"/>
  <c r="R30" i="2"/>
  <c r="V30" i="2"/>
  <c r="CX30" i="2"/>
  <c r="CL30" i="2"/>
  <c r="CH30" i="2"/>
  <c r="AX30" i="2"/>
  <c r="CT30" i="2"/>
  <c r="DF30" i="2"/>
  <c r="Z30" i="2"/>
  <c r="AL30" i="2"/>
  <c r="AD30" i="2"/>
  <c r="N30" i="2"/>
  <c r="AH30" i="2"/>
  <c r="ED30" i="2"/>
  <c r="AT30" i="2"/>
  <c r="J30" i="2"/>
  <c r="DR30" i="2"/>
  <c r="AP30" i="2"/>
  <c r="BJ30" i="2"/>
  <c r="CP30" i="2"/>
  <c r="BZ30" i="2"/>
  <c r="EH30" i="2"/>
  <c r="DB30" i="2"/>
  <c r="AC35" i="2"/>
  <c r="AW35" i="2"/>
  <c r="DU38" i="2"/>
  <c r="BE37" i="2"/>
  <c r="AA34" i="48"/>
  <c r="AC33" i="48"/>
  <c r="AI33" i="48"/>
  <c r="AG34" i="48"/>
  <c r="FF31" i="2" l="1"/>
  <c r="FB31" i="2"/>
  <c r="FJ31" i="2"/>
  <c r="FV31" i="2"/>
  <c r="EL31" i="2"/>
  <c r="FN31" i="2"/>
  <c r="EP31" i="2"/>
  <c r="ET31" i="2"/>
  <c r="EX31" i="2"/>
  <c r="FR31" i="2"/>
  <c r="FX32" i="2"/>
  <c r="A36" i="1"/>
  <c r="A35" i="2"/>
  <c r="AW36" i="2"/>
  <c r="Y36" i="2"/>
  <c r="EG35" i="2"/>
  <c r="AO36" i="2"/>
  <c r="U38" i="2"/>
  <c r="BA39" i="2"/>
  <c r="BA40" i="2" s="1"/>
  <c r="Q38" i="2"/>
  <c r="CS36" i="2"/>
  <c r="BI35" i="2"/>
  <c r="AG36" i="2"/>
  <c r="CG37" i="2"/>
  <c r="DQ36" i="2"/>
  <c r="CK37" i="2"/>
  <c r="DA34" i="2"/>
  <c r="AK36" i="2"/>
  <c r="I36" i="2"/>
  <c r="AC36" i="2"/>
  <c r="BE38" i="2"/>
  <c r="AS36" i="2"/>
  <c r="CW37" i="2"/>
  <c r="CD31" i="2"/>
  <c r="DZ31" i="2"/>
  <c r="DV31" i="2"/>
  <c r="BB31" i="2"/>
  <c r="V31" i="2"/>
  <c r="R31" i="2"/>
  <c r="BF31" i="2"/>
  <c r="CH31" i="2"/>
  <c r="CL31" i="2"/>
  <c r="CX31" i="2"/>
  <c r="N31" i="2"/>
  <c r="AH31" i="2"/>
  <c r="AX31" i="2"/>
  <c r="DF31" i="2"/>
  <c r="AT31" i="2"/>
  <c r="DR31" i="2"/>
  <c r="AP31" i="2"/>
  <c r="ED31" i="2"/>
  <c r="CT31" i="2"/>
  <c r="AL31" i="2"/>
  <c r="Z31" i="2"/>
  <c r="J31" i="2"/>
  <c r="AD31" i="2"/>
  <c r="CP31" i="2"/>
  <c r="BZ31" i="2"/>
  <c r="EH31" i="2"/>
  <c r="BJ31" i="2"/>
  <c r="DB31" i="2"/>
  <c r="CO35" i="2"/>
  <c r="M36" i="2"/>
  <c r="DM33" i="2"/>
  <c r="BY35" i="2"/>
  <c r="DU39" i="2"/>
  <c r="DU40" i="2" s="1"/>
  <c r="DE36" i="2"/>
  <c r="EC36" i="2"/>
  <c r="DN31" i="2"/>
  <c r="AG35" i="48"/>
  <c r="AI34" i="48"/>
  <c r="AC34" i="48"/>
  <c r="AA35" i="48"/>
  <c r="FF32" i="2" l="1"/>
  <c r="FB32" i="2"/>
  <c r="FJ32" i="2"/>
  <c r="FV32" i="2"/>
  <c r="EL32" i="2"/>
  <c r="FN32" i="2"/>
  <c r="ET32" i="2"/>
  <c r="EP32" i="2"/>
  <c r="EX32" i="2"/>
  <c r="FR32" i="2"/>
  <c r="FX33" i="2"/>
  <c r="DN32" i="2"/>
  <c r="A37" i="1"/>
  <c r="A36" i="2"/>
  <c r="CO36" i="2"/>
  <c r="I37" i="2"/>
  <c r="DQ37" i="2"/>
  <c r="CW38" i="2"/>
  <c r="CS37" i="2"/>
  <c r="AO37" i="2"/>
  <c r="AK37" i="2"/>
  <c r="CG38" i="2"/>
  <c r="Q39" i="2"/>
  <c r="Q40" i="2" s="1"/>
  <c r="EG36" i="2"/>
  <c r="AS37" i="2"/>
  <c r="BY36" i="2"/>
  <c r="DM34" i="2"/>
  <c r="CD32" i="2"/>
  <c r="DZ32" i="2"/>
  <c r="BB32" i="2"/>
  <c r="DV32" i="2"/>
  <c r="V32" i="2"/>
  <c r="BF32" i="2"/>
  <c r="R32" i="2"/>
  <c r="CX32" i="2"/>
  <c r="CL32" i="2"/>
  <c r="CH32" i="2"/>
  <c r="N32" i="2"/>
  <c r="Z32" i="2"/>
  <c r="AH32" i="2"/>
  <c r="DR32" i="2"/>
  <c r="ED32" i="2"/>
  <c r="DF32" i="2"/>
  <c r="AT32" i="2"/>
  <c r="AX32" i="2"/>
  <c r="J32" i="2"/>
  <c r="AD32" i="2"/>
  <c r="AP32" i="2"/>
  <c r="CT32" i="2"/>
  <c r="AL32" i="2"/>
  <c r="CP32" i="2"/>
  <c r="BZ32" i="2"/>
  <c r="EH32" i="2"/>
  <c r="BJ32" i="2"/>
  <c r="DB32" i="2"/>
  <c r="DA35" i="2"/>
  <c r="AG37" i="2"/>
  <c r="BE39" i="2"/>
  <c r="BE40" i="2" s="1"/>
  <c r="Y37" i="2"/>
  <c r="AC37" i="2"/>
  <c r="CK38" i="2"/>
  <c r="BI36" i="2"/>
  <c r="AW37" i="2"/>
  <c r="EC37" i="2"/>
  <c r="DE37" i="2"/>
  <c r="M37" i="2"/>
  <c r="U39" i="2"/>
  <c r="U40" i="2" s="1"/>
  <c r="AA36" i="48"/>
  <c r="AC35" i="48"/>
  <c r="AI35" i="48"/>
  <c r="AG36" i="48"/>
  <c r="FF33" i="2" l="1"/>
  <c r="FB33" i="2"/>
  <c r="FJ33" i="2"/>
  <c r="FV33" i="2"/>
  <c r="FR33" i="2"/>
  <c r="FX34" i="2"/>
  <c r="DN34" i="2" s="1"/>
  <c r="FN33" i="2"/>
  <c r="ET33" i="2"/>
  <c r="EP33" i="2"/>
  <c r="EL33" i="2"/>
  <c r="EX33" i="2"/>
  <c r="A38" i="1"/>
  <c r="A37" i="2"/>
  <c r="M38" i="2"/>
  <c r="BI37" i="2"/>
  <c r="CW39" i="2"/>
  <c r="CW40" i="2" s="1"/>
  <c r="CD33" i="2"/>
  <c r="DZ33" i="2"/>
  <c r="DV33" i="2"/>
  <c r="BB33" i="2"/>
  <c r="R33" i="2"/>
  <c r="BF33" i="2"/>
  <c r="V33" i="2"/>
  <c r="CX33" i="2"/>
  <c r="CH33" i="2"/>
  <c r="CL33" i="2"/>
  <c r="AX33" i="2"/>
  <c r="AD33" i="2"/>
  <c r="AT33" i="2"/>
  <c r="J33" i="2"/>
  <c r="AH33" i="2"/>
  <c r="DF33" i="2"/>
  <c r="Z33" i="2"/>
  <c r="AP33" i="2"/>
  <c r="CT33" i="2"/>
  <c r="N33" i="2"/>
  <c r="ED33" i="2"/>
  <c r="DR33" i="2"/>
  <c r="AL33" i="2"/>
  <c r="BZ33" i="2"/>
  <c r="CP33" i="2"/>
  <c r="BJ33" i="2"/>
  <c r="EH33" i="2"/>
  <c r="DB33" i="2"/>
  <c r="AS38" i="2"/>
  <c r="AK38" i="2"/>
  <c r="DQ38" i="2"/>
  <c r="DE38" i="2"/>
  <c r="AG38" i="2"/>
  <c r="EG37" i="2"/>
  <c r="AO38" i="2"/>
  <c r="AC38" i="2"/>
  <c r="DA36" i="2"/>
  <c r="DM35" i="2"/>
  <c r="I38" i="2"/>
  <c r="DN33" i="2"/>
  <c r="CO37" i="2"/>
  <c r="CG39" i="2"/>
  <c r="CG40" i="2" s="1"/>
  <c r="CK39" i="2"/>
  <c r="CK40" i="2" s="1"/>
  <c r="EC38" i="2"/>
  <c r="AW38" i="2"/>
  <c r="Y38" i="2"/>
  <c r="BY37" i="2"/>
  <c r="CS38" i="2"/>
  <c r="AA37" i="48"/>
  <c r="AC36" i="48"/>
  <c r="AG37" i="48"/>
  <c r="AI36" i="48"/>
  <c r="FJ34" i="2" l="1"/>
  <c r="FB34" i="2"/>
  <c r="FF34" i="2"/>
  <c r="FX35" i="2"/>
  <c r="FV34" i="2"/>
  <c r="FR34" i="2"/>
  <c r="ET34" i="2"/>
  <c r="EX34" i="2"/>
  <c r="FN34" i="2"/>
  <c r="EP34" i="2"/>
  <c r="EL34" i="2"/>
  <c r="A39" i="1"/>
  <c r="A38" i="2"/>
  <c r="Y39" i="2"/>
  <c r="Y40" i="2" s="1"/>
  <c r="AK39" i="2"/>
  <c r="AK40" i="2" s="1"/>
  <c r="AW39" i="2"/>
  <c r="AW40" i="2" s="1"/>
  <c r="AG39" i="2"/>
  <c r="AG40" i="2" s="1"/>
  <c r="DE39" i="2"/>
  <c r="DE40" i="2" s="1"/>
  <c r="CS39" i="2"/>
  <c r="CS40" i="2" s="1"/>
  <c r="EC39" i="2"/>
  <c r="EC40" i="2" s="1"/>
  <c r="BY38" i="2"/>
  <c r="CD34" i="2"/>
  <c r="DZ34" i="2"/>
  <c r="DN35" i="2"/>
  <c r="DV34" i="2"/>
  <c r="BB34" i="2"/>
  <c r="V34" i="2"/>
  <c r="R34" i="2"/>
  <c r="BF34" i="2"/>
  <c r="CL34" i="2"/>
  <c r="CX34" i="2"/>
  <c r="CH34" i="2"/>
  <c r="N34" i="2"/>
  <c r="ED34" i="2"/>
  <c r="DF34" i="2"/>
  <c r="AD34" i="2"/>
  <c r="AX34" i="2"/>
  <c r="J34" i="2"/>
  <c r="AL34" i="2"/>
  <c r="AT34" i="2"/>
  <c r="CT34" i="2"/>
  <c r="DR34" i="2"/>
  <c r="AH34" i="2"/>
  <c r="Z34" i="2"/>
  <c r="AP34" i="2"/>
  <c r="BJ34" i="2"/>
  <c r="BZ34" i="2"/>
  <c r="CP34" i="2"/>
  <c r="EH34" i="2"/>
  <c r="DB34" i="2"/>
  <c r="BI38" i="2"/>
  <c r="CO38" i="2"/>
  <c r="AS39" i="2"/>
  <c r="AS40" i="2" s="1"/>
  <c r="AC39" i="2"/>
  <c r="AC40" i="2" s="1"/>
  <c r="I39" i="2"/>
  <c r="I40" i="2" s="1"/>
  <c r="AO39" i="2"/>
  <c r="AO40" i="2" s="1"/>
  <c r="DQ39" i="2"/>
  <c r="DQ40" i="2" s="1"/>
  <c r="M39" i="2"/>
  <c r="M40" i="2" s="1"/>
  <c r="DA37" i="2"/>
  <c r="DM36" i="2"/>
  <c r="EG38" i="2"/>
  <c r="AG38" i="48"/>
  <c r="AI37" i="48"/>
  <c r="AA38" i="48"/>
  <c r="AC37" i="48"/>
  <c r="FJ35" i="2" l="1"/>
  <c r="FF35" i="2"/>
  <c r="FB35" i="2"/>
  <c r="FV35" i="2"/>
  <c r="FX36" i="2"/>
  <c r="ET35" i="2"/>
  <c r="EX35" i="2"/>
  <c r="EP35" i="2"/>
  <c r="FR35" i="2"/>
  <c r="EL35" i="2"/>
  <c r="FN35" i="2"/>
  <c r="A40" i="1"/>
  <c r="A40" i="2" s="1"/>
  <c r="A39" i="2"/>
  <c r="DZ35" i="2"/>
  <c r="CD35" i="2"/>
  <c r="DV35" i="2"/>
  <c r="BB35" i="2"/>
  <c r="R35" i="2"/>
  <c r="BF35" i="2"/>
  <c r="V35" i="2"/>
  <c r="CL35" i="2"/>
  <c r="CX35" i="2"/>
  <c r="CH35" i="2"/>
  <c r="AX35" i="2"/>
  <c r="AD35" i="2"/>
  <c r="N35" i="2"/>
  <c r="DF35" i="2"/>
  <c r="AH35" i="2"/>
  <c r="Z35" i="2"/>
  <c r="ED35" i="2"/>
  <c r="AL35" i="2"/>
  <c r="AT35" i="2"/>
  <c r="DR35" i="2"/>
  <c r="J35" i="2"/>
  <c r="AP35" i="2"/>
  <c r="CT35" i="2"/>
  <c r="CP35" i="2"/>
  <c r="EH35" i="2"/>
  <c r="BJ35" i="2"/>
  <c r="BZ35" i="2"/>
  <c r="DB35" i="2"/>
  <c r="DM37" i="2"/>
  <c r="DA38" i="2"/>
  <c r="BI39" i="2"/>
  <c r="BI40" i="2" s="1"/>
  <c r="BY39" i="2"/>
  <c r="BY40" i="2" s="1"/>
  <c r="EG39" i="2"/>
  <c r="EG40" i="2" s="1"/>
  <c r="CO39" i="2"/>
  <c r="CO40" i="2" s="1"/>
  <c r="AA39" i="48"/>
  <c r="AC39" i="48" s="1"/>
  <c r="AC38" i="48"/>
  <c r="AG39" i="48"/>
  <c r="AI39" i="48" s="1"/>
  <c r="AI38" i="48"/>
  <c r="FF36" i="2" l="1"/>
  <c r="FB36" i="2"/>
  <c r="FJ36" i="2"/>
  <c r="FV36" i="2"/>
  <c r="EP36" i="2"/>
  <c r="FN36" i="2"/>
  <c r="ET36" i="2"/>
  <c r="EL36" i="2"/>
  <c r="FR36" i="2"/>
  <c r="EX36" i="2"/>
  <c r="FX37" i="2"/>
  <c r="DZ36" i="2"/>
  <c r="CD36" i="2"/>
  <c r="DV36" i="2"/>
  <c r="BB36" i="2"/>
  <c r="BF36" i="2"/>
  <c r="R36" i="2"/>
  <c r="V36" i="2"/>
  <c r="CL36" i="2"/>
  <c r="CH36" i="2"/>
  <c r="CX36" i="2"/>
  <c r="N36" i="2"/>
  <c r="CT36" i="2"/>
  <c r="Z36" i="2"/>
  <c r="AX36" i="2"/>
  <c r="AP36" i="2"/>
  <c r="ED36" i="2"/>
  <c r="J36" i="2"/>
  <c r="AD36" i="2"/>
  <c r="AL36" i="2"/>
  <c r="AT36" i="2"/>
  <c r="AH36" i="2"/>
  <c r="DF36" i="2"/>
  <c r="DR36" i="2"/>
  <c r="BZ36" i="2"/>
  <c r="CP36" i="2"/>
  <c r="BJ36" i="2"/>
  <c r="EH36" i="2"/>
  <c r="DB36" i="2"/>
  <c r="DA39" i="2"/>
  <c r="DA40" i="2" s="1"/>
  <c r="DM38" i="2"/>
  <c r="DN36" i="2"/>
  <c r="FB37" i="2" l="1"/>
  <c r="FF37" i="2"/>
  <c r="FJ37" i="2"/>
  <c r="FV37" i="2"/>
  <c r="FR37" i="2"/>
  <c r="ET37" i="2"/>
  <c r="EX37" i="2"/>
  <c r="EL37" i="2"/>
  <c r="FN37" i="2"/>
  <c r="EP37" i="2"/>
  <c r="DN37" i="2"/>
  <c r="CD37" i="2"/>
  <c r="DZ37" i="2"/>
  <c r="DV37" i="2"/>
  <c r="BB37" i="2"/>
  <c r="V37" i="2"/>
  <c r="BF37" i="2"/>
  <c r="R37" i="2"/>
  <c r="CL37" i="2"/>
  <c r="CX37" i="2"/>
  <c r="CH37" i="2"/>
  <c r="N37" i="2"/>
  <c r="AL37" i="2"/>
  <c r="Z37" i="2"/>
  <c r="AX37" i="2"/>
  <c r="AH37" i="2"/>
  <c r="DR37" i="2"/>
  <c r="AP37" i="2"/>
  <c r="J37" i="2"/>
  <c r="DF37" i="2"/>
  <c r="AD37" i="2"/>
  <c r="ED37" i="2"/>
  <c r="CT37" i="2"/>
  <c r="AT37" i="2"/>
  <c r="BZ37" i="2"/>
  <c r="BJ37" i="2"/>
  <c r="EH37" i="2"/>
  <c r="CP37" i="2"/>
  <c r="DB37" i="2"/>
  <c r="DM39" i="2"/>
  <c r="DM40" i="2" s="1"/>
  <c r="F23" i="33" l="1"/>
  <c r="AF39" i="51" l="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G37" i="51"/>
  <c r="AG36" i="51"/>
  <c r="AG35" i="51"/>
  <c r="AG34" i="51"/>
  <c r="AG33" i="51"/>
  <c r="Y43" i="55" s="1"/>
  <c r="AG32" i="51"/>
  <c r="Y81" i="55" s="1"/>
  <c r="AG31" i="51"/>
  <c r="AG30" i="51"/>
  <c r="AG29" i="51"/>
  <c r="Y39" i="55" s="1"/>
  <c r="AG28" i="51"/>
  <c r="AG27" i="51"/>
  <c r="AG26" i="51"/>
  <c r="AG25" i="51"/>
  <c r="AG24" i="51"/>
  <c r="Y35" i="55" s="1"/>
  <c r="AG23" i="51"/>
  <c r="AG22" i="51"/>
  <c r="AG21" i="51"/>
  <c r="AG20" i="51"/>
  <c r="AG19" i="51"/>
  <c r="AG18" i="51"/>
  <c r="AG17" i="51"/>
  <c r="AG16" i="51"/>
  <c r="AG15" i="51"/>
  <c r="AG14" i="51"/>
  <c r="AG13" i="51"/>
  <c r="AG12" i="51"/>
  <c r="AG11" i="51"/>
  <c r="AG10" i="51"/>
  <c r="AG9" i="51"/>
  <c r="AG8" i="51"/>
  <c r="AG7" i="51"/>
  <c r="Y25" i="55" l="1"/>
  <c r="Y64" i="55"/>
  <c r="Y30" i="55"/>
  <c r="AA77" i="55"/>
  <c r="AB77" i="55" s="1"/>
  <c r="AA56" i="55"/>
  <c r="AB56" i="55" s="1"/>
  <c r="AA86" i="55"/>
  <c r="AB86" i="55" s="1"/>
  <c r="AA43" i="55"/>
  <c r="AB43" i="55" s="1"/>
  <c r="AA64" i="55"/>
  <c r="AB64" i="55" s="1"/>
  <c r="AA35" i="55"/>
  <c r="AB35" i="55" s="1"/>
  <c r="AA60" i="55"/>
  <c r="AB60" i="55" s="1"/>
  <c r="AA39" i="55"/>
  <c r="AB39" i="55" s="1"/>
  <c r="AA30" i="55"/>
  <c r="AB30" i="55" s="1"/>
  <c r="AA86" i="46"/>
  <c r="AB86" i="46" s="1"/>
  <c r="Y81" i="46"/>
  <c r="AA77" i="46"/>
  <c r="AB77" i="46" s="1"/>
  <c r="AA56" i="46"/>
  <c r="AB56" i="46" s="1"/>
  <c r="Y64" i="46"/>
  <c r="AA64" i="46" s="1"/>
  <c r="AB64" i="46" s="1"/>
  <c r="AA60" i="46"/>
  <c r="AB60" i="46" s="1"/>
  <c r="Y39" i="46"/>
  <c r="AA39" i="46" s="1"/>
  <c r="AB39" i="46" s="1"/>
  <c r="Y43" i="46"/>
  <c r="AA43" i="46" s="1"/>
  <c r="AB43" i="46" s="1"/>
  <c r="Y35" i="46"/>
  <c r="AA35" i="46" s="1"/>
  <c r="AB35" i="46" s="1"/>
  <c r="Y25" i="46"/>
  <c r="Y30" i="46"/>
  <c r="AA30" i="46" s="1"/>
  <c r="AB30" i="46" s="1"/>
  <c r="AG39" i="51"/>
  <c r="AA48" i="55" l="1"/>
  <c r="AB48" i="55" s="1"/>
  <c r="AA48" i="46"/>
  <c r="AB48" i="46" s="1"/>
  <c r="AH20" i="51"/>
  <c r="AH38" i="51"/>
  <c r="AH8" i="51"/>
  <c r="AH6" i="51"/>
  <c r="AH28" i="51"/>
  <c r="AH35" i="51"/>
  <c r="AH31" i="51"/>
  <c r="AH27" i="51"/>
  <c r="AH23" i="51"/>
  <c r="AH19" i="51"/>
  <c r="AH15" i="51"/>
  <c r="AH11" i="51"/>
  <c r="AH7" i="51"/>
  <c r="AH37" i="51"/>
  <c r="AH33" i="51"/>
  <c r="AH29" i="51"/>
  <c r="AH25" i="51"/>
  <c r="AH21" i="51"/>
  <c r="AH17" i="51"/>
  <c r="AH13" i="51"/>
  <c r="AH9" i="51"/>
  <c r="AH18" i="51"/>
  <c r="AH10" i="51"/>
  <c r="AH34" i="51"/>
  <c r="AH30" i="51"/>
  <c r="AH26" i="51"/>
  <c r="AH22" i="51"/>
  <c r="AH32" i="51"/>
  <c r="AH14" i="51"/>
  <c r="AH24" i="51"/>
  <c r="AH12" i="51"/>
  <c r="AH16" i="51"/>
  <c r="AH36" i="51"/>
  <c r="Y147" i="55" l="1"/>
  <c r="Y149" i="55" s="1"/>
  <c r="Y147" i="46"/>
  <c r="Y148" i="46" s="1"/>
  <c r="X155" i="46" s="1"/>
  <c r="AH39" i="51"/>
  <c r="Y148" i="55" l="1"/>
  <c r="X155" i="55" s="1"/>
  <c r="Y149" i="46"/>
  <c r="J38" i="33"/>
  <c r="D39" i="48" l="1"/>
  <c r="D38" i="48"/>
  <c r="E39" i="48" l="1"/>
  <c r="E38" i="48"/>
  <c r="D37" i="48"/>
  <c r="F38" i="48" l="1"/>
  <c r="F39" i="48"/>
  <c r="E37" i="48"/>
  <c r="F37" i="48" l="1"/>
  <c r="D31" i="48"/>
  <c r="E31" i="48" l="1"/>
  <c r="F31" i="48" l="1"/>
  <c r="D29" i="48"/>
  <c r="E29" i="48" l="1"/>
  <c r="D28" i="48"/>
  <c r="F29" i="48" l="1"/>
  <c r="E28" i="48"/>
  <c r="D27" i="48"/>
  <c r="F28" i="48" l="1"/>
  <c r="E27" i="48"/>
  <c r="F27" i="48" l="1"/>
  <c r="D26" i="48"/>
  <c r="E26" i="48" l="1"/>
  <c r="F26" i="48" l="1"/>
  <c r="E23" i="48"/>
  <c r="D23" i="48"/>
  <c r="F23" i="48" l="1"/>
  <c r="D22" i="48" l="1"/>
  <c r="E22" i="48" l="1"/>
  <c r="F22" i="48" l="1"/>
  <c r="D20" i="48"/>
  <c r="E20" i="48" l="1"/>
  <c r="F20" i="48" l="1"/>
  <c r="D17" i="48"/>
  <c r="E17" i="48" l="1"/>
  <c r="D16" i="48"/>
  <c r="F17" i="48" l="1"/>
  <c r="E16" i="48"/>
  <c r="F16" i="48" l="1"/>
  <c r="D14" i="48"/>
  <c r="E14" i="48" l="1"/>
  <c r="D13" i="48"/>
  <c r="F14" i="48" l="1"/>
  <c r="E13" i="48"/>
  <c r="F13" i="48" l="1"/>
  <c r="D9" i="48"/>
  <c r="E9" i="48" l="1"/>
  <c r="I43" i="4"/>
  <c r="F9" i="48" l="1"/>
  <c r="N41" i="48"/>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M9" i="48"/>
  <c r="BA9" i="48" s="1"/>
  <c r="AT9" i="48"/>
  <c r="H9" i="48"/>
  <c r="L41" i="48"/>
  <c r="H41" i="48" s="1"/>
  <c r="M10" i="48" l="1"/>
  <c r="BA10" i="48" s="1"/>
  <c r="AU9" i="48"/>
  <c r="M11" i="48" l="1"/>
  <c r="BA11" i="48" s="1"/>
  <c r="AU10" i="48"/>
  <c r="M12" i="48" l="1"/>
  <c r="BA12" i="48" s="1"/>
  <c r="AU11" i="48"/>
  <c r="M13" i="48" l="1"/>
  <c r="BA13" i="48" s="1"/>
  <c r="AU12" i="48"/>
  <c r="AU13" i="48" l="1"/>
  <c r="M14" i="48"/>
  <c r="BA14" i="48" s="1"/>
  <c r="D21" i="48"/>
  <c r="E21" i="48" l="1"/>
  <c r="M15" i="48"/>
  <c r="BA15" i="48" s="1"/>
  <c r="AU14" i="48"/>
  <c r="D12" i="48"/>
  <c r="F21" i="48" l="1"/>
  <c r="J9" i="28"/>
  <c r="M16" i="48"/>
  <c r="BA16" i="48" s="1"/>
  <c r="AU15" i="48"/>
  <c r="E12" i="48"/>
  <c r="D11" i="48"/>
  <c r="F12" i="48" l="1"/>
  <c r="J9" i="26"/>
  <c r="J9" i="25" s="1"/>
  <c r="J9" i="24" s="1"/>
  <c r="J9" i="23" s="1"/>
  <c r="J9" i="21" s="1"/>
  <c r="J9" i="22" s="1"/>
  <c r="J9" i="20" s="1"/>
  <c r="J9" i="19" s="1"/>
  <c r="J9" i="18" s="1"/>
  <c r="E11" i="48"/>
  <c r="AU16" i="48"/>
  <c r="M17" i="48"/>
  <c r="BA17" i="48" s="1"/>
  <c r="C52" i="43"/>
  <c r="C51" i="43"/>
  <c r="C50" i="43"/>
  <c r="C49" i="43"/>
  <c r="C48" i="43"/>
  <c r="C47" i="43"/>
  <c r="C46" i="43"/>
  <c r="C45" i="43"/>
  <c r="C44" i="43"/>
  <c r="C43" i="43"/>
  <c r="C42" i="43"/>
  <c r="C41" i="43"/>
  <c r="C40" i="43"/>
  <c r="C39" i="43"/>
  <c r="C38" i="43"/>
  <c r="C52" i="4"/>
  <c r="C51" i="4"/>
  <c r="C50" i="4"/>
  <c r="C49" i="4"/>
  <c r="C48" i="4"/>
  <c r="C47" i="4"/>
  <c r="C46" i="4"/>
  <c r="C45" i="4"/>
  <c r="C44" i="4"/>
  <c r="C43" i="4"/>
  <c r="C42" i="4"/>
  <c r="C41" i="4"/>
  <c r="C40" i="4"/>
  <c r="C39" i="4"/>
  <c r="C38" i="4"/>
  <c r="C52" i="37"/>
  <c r="C51" i="37"/>
  <c r="C50" i="37"/>
  <c r="C49" i="37"/>
  <c r="C48" i="37"/>
  <c r="C47" i="37"/>
  <c r="C46" i="37"/>
  <c r="C45" i="37"/>
  <c r="C44" i="37"/>
  <c r="C43" i="37"/>
  <c r="C42" i="37"/>
  <c r="C41" i="37"/>
  <c r="C40" i="37"/>
  <c r="C39" i="37"/>
  <c r="C38" i="37"/>
  <c r="C52" i="6"/>
  <c r="C51" i="6"/>
  <c r="C50" i="6"/>
  <c r="C49" i="6"/>
  <c r="C48" i="6"/>
  <c r="C47" i="6"/>
  <c r="C46" i="6"/>
  <c r="C45" i="6"/>
  <c r="C44" i="6"/>
  <c r="C43" i="6"/>
  <c r="C42" i="6"/>
  <c r="C41" i="6"/>
  <c r="C40" i="6"/>
  <c r="C39" i="6"/>
  <c r="C38" i="6"/>
  <c r="C52" i="7"/>
  <c r="C51" i="7"/>
  <c r="C50" i="7"/>
  <c r="C49" i="7"/>
  <c r="C48" i="7"/>
  <c r="C47" i="7"/>
  <c r="C46" i="7"/>
  <c r="C45" i="7"/>
  <c r="C44" i="7"/>
  <c r="C43" i="7"/>
  <c r="C42" i="7"/>
  <c r="C41" i="7"/>
  <c r="C40" i="7"/>
  <c r="C39" i="7"/>
  <c r="C38" i="7"/>
  <c r="C52" i="8"/>
  <c r="C51" i="8"/>
  <c r="C50" i="8"/>
  <c r="C49" i="8"/>
  <c r="C48" i="8"/>
  <c r="C47" i="8"/>
  <c r="V40" i="8" s="1"/>
  <c r="W40" i="8" s="1"/>
  <c r="C46" i="8"/>
  <c r="C45" i="8"/>
  <c r="C44" i="8"/>
  <c r="C43" i="8"/>
  <c r="C42" i="8"/>
  <c r="C41" i="8"/>
  <c r="C40" i="8"/>
  <c r="C39" i="8"/>
  <c r="C38" i="8"/>
  <c r="C52" i="9"/>
  <c r="C51" i="9"/>
  <c r="C50" i="9"/>
  <c r="C49" i="9"/>
  <c r="C48" i="9"/>
  <c r="C47" i="9"/>
  <c r="C46" i="9"/>
  <c r="C45" i="9"/>
  <c r="C44" i="9"/>
  <c r="C43" i="9"/>
  <c r="C42" i="9"/>
  <c r="C41" i="9"/>
  <c r="C40" i="9"/>
  <c r="C39" i="9"/>
  <c r="C38" i="9"/>
  <c r="C52" i="10"/>
  <c r="C51" i="10"/>
  <c r="C50" i="10"/>
  <c r="C49" i="10"/>
  <c r="C48" i="10"/>
  <c r="V41" i="10" s="1"/>
  <c r="W41" i="10" s="1"/>
  <c r="C47" i="10"/>
  <c r="C46" i="10"/>
  <c r="C45" i="10"/>
  <c r="C44" i="10"/>
  <c r="C43" i="10"/>
  <c r="C42" i="10"/>
  <c r="C41" i="10"/>
  <c r="C40" i="10"/>
  <c r="C39" i="10"/>
  <c r="C38" i="10"/>
  <c r="C52" i="11"/>
  <c r="C51" i="11"/>
  <c r="C50" i="11"/>
  <c r="C49" i="11"/>
  <c r="C48" i="11"/>
  <c r="C47" i="11"/>
  <c r="C46" i="11"/>
  <c r="C45" i="11"/>
  <c r="C44" i="11"/>
  <c r="C43" i="11"/>
  <c r="C42" i="11"/>
  <c r="C41" i="11"/>
  <c r="C40" i="11"/>
  <c r="C39" i="11"/>
  <c r="C38" i="11"/>
  <c r="C52" i="12"/>
  <c r="C51" i="12"/>
  <c r="C50" i="12"/>
  <c r="C49" i="12"/>
  <c r="C48" i="12"/>
  <c r="C47" i="12"/>
  <c r="C46" i="12"/>
  <c r="C45" i="12"/>
  <c r="C44" i="12"/>
  <c r="C43" i="12"/>
  <c r="C42" i="12"/>
  <c r="C41" i="12"/>
  <c r="C40" i="12"/>
  <c r="C39" i="12"/>
  <c r="C38" i="12"/>
  <c r="C52" i="13"/>
  <c r="C51" i="13"/>
  <c r="C50" i="13"/>
  <c r="C49" i="13"/>
  <c r="C48" i="13"/>
  <c r="C47" i="13"/>
  <c r="C46" i="13"/>
  <c r="C45" i="13"/>
  <c r="C44" i="13"/>
  <c r="C43" i="13"/>
  <c r="C42" i="13"/>
  <c r="C41" i="13"/>
  <c r="C40" i="13"/>
  <c r="C39" i="13"/>
  <c r="C38" i="13"/>
  <c r="C52" i="14"/>
  <c r="C51" i="14"/>
  <c r="C50" i="14"/>
  <c r="C49" i="14"/>
  <c r="C48" i="14"/>
  <c r="C47" i="14"/>
  <c r="C46" i="14"/>
  <c r="C45" i="14"/>
  <c r="C44" i="14"/>
  <c r="C43" i="14"/>
  <c r="C42" i="14"/>
  <c r="C41" i="14"/>
  <c r="C40" i="14"/>
  <c r="C39" i="14"/>
  <c r="C38" i="14"/>
  <c r="C52" i="15"/>
  <c r="C51" i="15"/>
  <c r="C50" i="15"/>
  <c r="C49" i="15"/>
  <c r="C48" i="15"/>
  <c r="C47" i="15"/>
  <c r="C46" i="15"/>
  <c r="C45" i="15"/>
  <c r="C44" i="15"/>
  <c r="C43" i="15"/>
  <c r="C42" i="15"/>
  <c r="C41" i="15"/>
  <c r="C40" i="15"/>
  <c r="C39" i="15"/>
  <c r="C38" i="15"/>
  <c r="C52" i="16"/>
  <c r="C51" i="16"/>
  <c r="C50" i="16"/>
  <c r="C49" i="16"/>
  <c r="C48" i="16"/>
  <c r="C47" i="16"/>
  <c r="C46" i="16"/>
  <c r="C45" i="16"/>
  <c r="C44" i="16"/>
  <c r="C43" i="16"/>
  <c r="C42" i="16"/>
  <c r="C41" i="16"/>
  <c r="C40" i="16"/>
  <c r="C39" i="16"/>
  <c r="C38" i="16"/>
  <c r="C52" i="17"/>
  <c r="C51" i="17"/>
  <c r="C50" i="17"/>
  <c r="C49" i="17"/>
  <c r="C48" i="17"/>
  <c r="C47" i="17"/>
  <c r="C46" i="17"/>
  <c r="C45" i="17"/>
  <c r="C44" i="17"/>
  <c r="C43" i="17"/>
  <c r="C42" i="17"/>
  <c r="C41" i="17"/>
  <c r="C40" i="17"/>
  <c r="C39" i="17"/>
  <c r="C38" i="17"/>
  <c r="C52" i="18"/>
  <c r="C51" i="18"/>
  <c r="C50" i="18"/>
  <c r="C49" i="18"/>
  <c r="C48" i="18"/>
  <c r="C47" i="18"/>
  <c r="C46" i="18"/>
  <c r="C45" i="18"/>
  <c r="C44" i="18"/>
  <c r="C43" i="18"/>
  <c r="C42" i="18"/>
  <c r="C41" i="18"/>
  <c r="C40" i="18"/>
  <c r="C39" i="18"/>
  <c r="C38" i="18"/>
  <c r="C52" i="19"/>
  <c r="C51" i="19"/>
  <c r="C50" i="19"/>
  <c r="C49" i="19"/>
  <c r="C48" i="19"/>
  <c r="C47" i="19"/>
  <c r="C46" i="19"/>
  <c r="C45" i="19"/>
  <c r="C44" i="19"/>
  <c r="C43" i="19"/>
  <c r="C42" i="19"/>
  <c r="C41" i="19"/>
  <c r="C40" i="19"/>
  <c r="C39" i="19"/>
  <c r="C38" i="19"/>
  <c r="C52" i="20"/>
  <c r="C51" i="20"/>
  <c r="C50" i="20"/>
  <c r="C49" i="20"/>
  <c r="C48" i="20"/>
  <c r="C47" i="20"/>
  <c r="C46" i="20"/>
  <c r="C45" i="20"/>
  <c r="C44" i="20"/>
  <c r="C43" i="20"/>
  <c r="C42" i="20"/>
  <c r="C41" i="20"/>
  <c r="C40" i="20"/>
  <c r="C39" i="20"/>
  <c r="C38" i="20"/>
  <c r="C52" i="22"/>
  <c r="C51" i="22"/>
  <c r="C50" i="22"/>
  <c r="C49" i="22"/>
  <c r="C48" i="22"/>
  <c r="C47" i="22"/>
  <c r="C46" i="22"/>
  <c r="C45" i="22"/>
  <c r="C44" i="22"/>
  <c r="C43" i="22"/>
  <c r="C42" i="22"/>
  <c r="C41" i="22"/>
  <c r="C40" i="22"/>
  <c r="C39" i="22"/>
  <c r="C38" i="22"/>
  <c r="C52" i="21"/>
  <c r="C51" i="21"/>
  <c r="C50" i="21"/>
  <c r="C49" i="21"/>
  <c r="C48" i="21"/>
  <c r="C47" i="21"/>
  <c r="C46" i="21"/>
  <c r="C45" i="21"/>
  <c r="C44" i="21"/>
  <c r="C43" i="21"/>
  <c r="C42" i="21"/>
  <c r="C41" i="21"/>
  <c r="C40" i="21"/>
  <c r="C39" i="21"/>
  <c r="C38" i="21"/>
  <c r="C52" i="23"/>
  <c r="C51" i="23"/>
  <c r="C50" i="23"/>
  <c r="C49" i="23"/>
  <c r="C48" i="23"/>
  <c r="C47" i="23"/>
  <c r="C46" i="23"/>
  <c r="C45" i="23"/>
  <c r="C44" i="23"/>
  <c r="C43" i="23"/>
  <c r="C42" i="23"/>
  <c r="C41" i="23"/>
  <c r="C40" i="23"/>
  <c r="C39" i="23"/>
  <c r="C38" i="23"/>
  <c r="C52" i="24"/>
  <c r="C51" i="24"/>
  <c r="C50" i="24"/>
  <c r="C49" i="24"/>
  <c r="C48" i="24"/>
  <c r="C47" i="24"/>
  <c r="C46" i="24"/>
  <c r="C45" i="24"/>
  <c r="C44" i="24"/>
  <c r="C43" i="24"/>
  <c r="C42" i="24"/>
  <c r="C41" i="24"/>
  <c r="C40" i="24"/>
  <c r="C39" i="24"/>
  <c r="C38" i="24"/>
  <c r="C52" i="25"/>
  <c r="C51" i="25"/>
  <c r="C50" i="25"/>
  <c r="C49" i="25"/>
  <c r="C48" i="25"/>
  <c r="C47" i="25"/>
  <c r="C46" i="25"/>
  <c r="C45" i="25"/>
  <c r="C44" i="25"/>
  <c r="C43" i="25"/>
  <c r="C42" i="25"/>
  <c r="C41" i="25"/>
  <c r="C40" i="25"/>
  <c r="C39" i="25"/>
  <c r="C38" i="25"/>
  <c r="C52" i="26"/>
  <c r="C51" i="26"/>
  <c r="C50" i="26"/>
  <c r="C49" i="26"/>
  <c r="C48" i="26"/>
  <c r="C47" i="26"/>
  <c r="C46" i="26"/>
  <c r="C45" i="26"/>
  <c r="C44" i="26"/>
  <c r="C43" i="26"/>
  <c r="C42" i="26"/>
  <c r="C41" i="26"/>
  <c r="C40" i="26"/>
  <c r="C39" i="26"/>
  <c r="C38" i="26"/>
  <c r="C52" i="28"/>
  <c r="C51" i="28"/>
  <c r="C50" i="28"/>
  <c r="C49" i="28"/>
  <c r="C48" i="28"/>
  <c r="C47" i="28"/>
  <c r="C46" i="28"/>
  <c r="C45" i="28"/>
  <c r="C44" i="28"/>
  <c r="C43" i="28"/>
  <c r="C42" i="28"/>
  <c r="C41" i="28"/>
  <c r="C40" i="28"/>
  <c r="C39" i="28"/>
  <c r="C38" i="28"/>
  <c r="C52" i="27"/>
  <c r="C51" i="27"/>
  <c r="C50" i="27"/>
  <c r="C49" i="27"/>
  <c r="C48" i="27"/>
  <c r="C47" i="27"/>
  <c r="C46" i="27"/>
  <c r="C45" i="27"/>
  <c r="C44" i="27"/>
  <c r="C43" i="27"/>
  <c r="C42" i="27"/>
  <c r="C41" i="27"/>
  <c r="C40" i="27"/>
  <c r="C39" i="27"/>
  <c r="C38" i="27"/>
  <c r="C52" i="31"/>
  <c r="C51" i="31"/>
  <c r="C50" i="31"/>
  <c r="C49" i="31"/>
  <c r="C48" i="31"/>
  <c r="C47" i="31"/>
  <c r="C46" i="31"/>
  <c r="C45" i="31"/>
  <c r="C44" i="31"/>
  <c r="C43" i="31"/>
  <c r="C42" i="31"/>
  <c r="C41" i="31"/>
  <c r="C40" i="31"/>
  <c r="C39" i="31"/>
  <c r="C38" i="31"/>
  <c r="C52" i="32"/>
  <c r="C51" i="32"/>
  <c r="C50" i="32"/>
  <c r="V43" i="32" s="1"/>
  <c r="W43" i="32" s="1"/>
  <c r="C49" i="32"/>
  <c r="C48" i="32"/>
  <c r="C47" i="32"/>
  <c r="C46" i="32"/>
  <c r="C45" i="32"/>
  <c r="C44" i="32"/>
  <c r="C43" i="32"/>
  <c r="C42" i="32"/>
  <c r="C41" i="32"/>
  <c r="C40" i="32"/>
  <c r="C39" i="32"/>
  <c r="C38" i="32"/>
  <c r="C52" i="33"/>
  <c r="D52" i="33" s="1"/>
  <c r="Z25" i="55" s="1"/>
  <c r="AA25" i="55" l="1"/>
  <c r="AB25" i="55" s="1"/>
  <c r="J9" i="17"/>
  <c r="J9" i="16" s="1"/>
  <c r="J9" i="15" s="1"/>
  <c r="J9" i="14" s="1"/>
  <c r="J9" i="13" s="1"/>
  <c r="J9" i="12" s="1"/>
  <c r="J9" i="11" s="1"/>
  <c r="J9" i="10" s="1"/>
  <c r="J9" i="9" s="1"/>
  <c r="F11" i="48"/>
  <c r="Z25" i="46"/>
  <c r="AA25" i="46" s="1"/>
  <c r="AB25" i="46" s="1"/>
  <c r="M18" i="48"/>
  <c r="BA18" i="48" s="1"/>
  <c r="AU17" i="48"/>
  <c r="C53" i="8"/>
  <c r="C54" i="8" s="1"/>
  <c r="C53" i="17"/>
  <c r="C54" i="17" s="1"/>
  <c r="C53" i="23"/>
  <c r="C54" i="23" s="1"/>
  <c r="C53" i="4"/>
  <c r="C54" i="4" s="1"/>
  <c r="C53" i="37"/>
  <c r="C54" i="37" s="1"/>
  <c r="C53" i="6"/>
  <c r="C54" i="6" s="1"/>
  <c r="C53" i="7"/>
  <c r="C54" i="7" s="1"/>
  <c r="C53" i="9"/>
  <c r="C54" i="9" s="1"/>
  <c r="C53" i="10"/>
  <c r="C54" i="10" s="1"/>
  <c r="C53" i="13"/>
  <c r="C54" i="13" s="1"/>
  <c r="C53" i="14"/>
  <c r="C54" i="14" s="1"/>
  <c r="C53" i="15"/>
  <c r="C54" i="15" s="1"/>
  <c r="C53" i="16"/>
  <c r="C54" i="16" s="1"/>
  <c r="C53" i="20"/>
  <c r="C54" i="20" s="1"/>
  <c r="C53" i="24"/>
  <c r="C54" i="24" s="1"/>
  <c r="C53" i="25"/>
  <c r="C54" i="25" s="1"/>
  <c r="C53" i="28"/>
  <c r="C54" i="28" s="1"/>
  <c r="C53" i="27"/>
  <c r="C54" i="27" s="1"/>
  <c r="E52" i="33"/>
  <c r="D52" i="32"/>
  <c r="C53" i="43"/>
  <c r="C54" i="43" s="1"/>
  <c r="C53" i="11"/>
  <c r="C54" i="11" s="1"/>
  <c r="C53" i="12"/>
  <c r="C54" i="12" s="1"/>
  <c r="C53" i="18"/>
  <c r="C54" i="18" s="1"/>
  <c r="C53" i="19"/>
  <c r="C54" i="19" s="1"/>
  <c r="C53" i="22"/>
  <c r="C54" i="22" s="1"/>
  <c r="C53" i="21"/>
  <c r="C54" i="21" s="1"/>
  <c r="C53" i="26"/>
  <c r="C54" i="26" s="1"/>
  <c r="C53" i="31"/>
  <c r="C54" i="31" s="1"/>
  <c r="C53" i="32"/>
  <c r="C54" i="32" s="1"/>
  <c r="J9" i="8" l="1"/>
  <c r="J9" i="7" s="1"/>
  <c r="AU18" i="48"/>
  <c r="M19" i="48"/>
  <c r="BA19" i="48" s="1"/>
  <c r="D52" i="31"/>
  <c r="D52" i="30" s="1"/>
  <c r="E52" i="30" s="1"/>
  <c r="E52" i="32"/>
  <c r="D52" i="29" l="1"/>
  <c r="E52" i="29" s="1"/>
  <c r="AU19" i="48"/>
  <c r="M20" i="48"/>
  <c r="BA20" i="48" s="1"/>
  <c r="E52" i="31"/>
  <c r="M21" i="48" l="1"/>
  <c r="BA21" i="48" s="1"/>
  <c r="AU20" i="48"/>
  <c r="D30" i="48"/>
  <c r="K34" i="14"/>
  <c r="I43" i="43"/>
  <c r="I44" i="43" s="1"/>
  <c r="I44" i="4"/>
  <c r="I43" i="37"/>
  <c r="I44" i="37" s="1"/>
  <c r="I43" i="6"/>
  <c r="I44" i="6" s="1"/>
  <c r="I43" i="7"/>
  <c r="I44" i="7" s="1"/>
  <c r="I43" i="8"/>
  <c r="I44" i="8" s="1"/>
  <c r="I43" i="9"/>
  <c r="I44" i="9" s="1"/>
  <c r="I43" i="10"/>
  <c r="I44" i="10" s="1"/>
  <c r="I43" i="11"/>
  <c r="I44" i="11" s="1"/>
  <c r="I43" i="12"/>
  <c r="I44" i="12" s="1"/>
  <c r="I43" i="13"/>
  <c r="I44" i="13" s="1"/>
  <c r="I43" i="14"/>
  <c r="I44" i="14" s="1"/>
  <c r="I43" i="15"/>
  <c r="I44" i="15" s="1"/>
  <c r="I43" i="16"/>
  <c r="I44" i="16" s="1"/>
  <c r="I43" i="17"/>
  <c r="I44" i="17" s="1"/>
  <c r="I43" i="18"/>
  <c r="I44" i="18" s="1"/>
  <c r="I43" i="19"/>
  <c r="I44" i="19" s="1"/>
  <c r="I43" i="20"/>
  <c r="I44" i="20" s="1"/>
  <c r="I43" i="22"/>
  <c r="I44" i="22" s="1"/>
  <c r="I43" i="21"/>
  <c r="I44" i="21" s="1"/>
  <c r="I43" i="23"/>
  <c r="I44" i="23" s="1"/>
  <c r="I43" i="24"/>
  <c r="I44" i="24" s="1"/>
  <c r="I43" i="25"/>
  <c r="I44" i="25" s="1"/>
  <c r="I43" i="26"/>
  <c r="I44" i="26" s="1"/>
  <c r="I43" i="28"/>
  <c r="I44" i="28" s="1"/>
  <c r="I43" i="27"/>
  <c r="I44" i="27" s="1"/>
  <c r="I43" i="31"/>
  <c r="I43" i="32"/>
  <c r="I44" i="32" s="1"/>
  <c r="I43" i="33"/>
  <c r="J43" i="33" s="1"/>
  <c r="D19" i="48"/>
  <c r="D18" i="48"/>
  <c r="D15" i="48"/>
  <c r="L34" i="26"/>
  <c r="K34" i="26"/>
  <c r="H4" i="43"/>
  <c r="C14" i="43"/>
  <c r="D14" i="43"/>
  <c r="E14" i="43"/>
  <c r="F14" i="43"/>
  <c r="C23" i="43"/>
  <c r="D23" i="43"/>
  <c r="E23" i="43"/>
  <c r="F23" i="43"/>
  <c r="C32" i="43"/>
  <c r="D32" i="43"/>
  <c r="E32" i="43"/>
  <c r="F32" i="43"/>
  <c r="L34" i="43"/>
  <c r="H4" i="4"/>
  <c r="K34" i="4"/>
  <c r="L34" i="4"/>
  <c r="H4" i="37"/>
  <c r="K34" i="37"/>
  <c r="L34" i="37"/>
  <c r="H4" i="6"/>
  <c r="L34" i="6"/>
  <c r="H4" i="7"/>
  <c r="L34" i="7"/>
  <c r="H4" i="8"/>
  <c r="K34" i="8"/>
  <c r="I40" i="8" s="1"/>
  <c r="L34" i="8"/>
  <c r="H4" i="9"/>
  <c r="L34" i="9"/>
  <c r="H4" i="10"/>
  <c r="K34" i="10"/>
  <c r="L34" i="10"/>
  <c r="H4" i="11"/>
  <c r="L34" i="11"/>
  <c r="H4" i="12"/>
  <c r="K34" i="12"/>
  <c r="L34" i="12"/>
  <c r="H4" i="13"/>
  <c r="K34" i="13"/>
  <c r="L34" i="13"/>
  <c r="H4" i="14"/>
  <c r="L34" i="14"/>
  <c r="H4" i="15"/>
  <c r="L34" i="15"/>
  <c r="H4" i="16"/>
  <c r="K34" i="16"/>
  <c r="L34" i="16"/>
  <c r="H4" i="17"/>
  <c r="L34" i="17"/>
  <c r="H4" i="18"/>
  <c r="L34" i="18"/>
  <c r="H4" i="19"/>
  <c r="L34" i="19"/>
  <c r="H4" i="20"/>
  <c r="L34" i="20"/>
  <c r="H4" i="22"/>
  <c r="L34" i="22"/>
  <c r="H4" i="21"/>
  <c r="J32" i="21"/>
  <c r="J32" i="22" s="1"/>
  <c r="J32" i="20" s="1"/>
  <c r="J32" i="19" s="1"/>
  <c r="J32" i="18" s="1"/>
  <c r="L34" i="21"/>
  <c r="H4" i="23"/>
  <c r="L34" i="23"/>
  <c r="H4" i="24"/>
  <c r="L34" i="24"/>
  <c r="H4" i="25"/>
  <c r="L34" i="25"/>
  <c r="H4" i="26"/>
  <c r="H4" i="28"/>
  <c r="L34" i="28"/>
  <c r="H4" i="27"/>
  <c r="L34" i="27"/>
  <c r="H4" i="31"/>
  <c r="L34" i="31"/>
  <c r="H4" i="32"/>
  <c r="J7" i="32"/>
  <c r="J15" i="30"/>
  <c r="J15" i="29" s="1"/>
  <c r="J15" i="27" s="1"/>
  <c r="J16" i="30"/>
  <c r="J16" i="29" s="1"/>
  <c r="J16" i="27" s="1"/>
  <c r="J17" i="30"/>
  <c r="J17" i="29" s="1"/>
  <c r="J17" i="27" s="1"/>
  <c r="J18" i="30"/>
  <c r="J18" i="29" s="1"/>
  <c r="J18" i="27" s="1"/>
  <c r="J20" i="30"/>
  <c r="J20" i="29" s="1"/>
  <c r="J20" i="27" s="1"/>
  <c r="J21" i="30"/>
  <c r="J21" i="29" s="1"/>
  <c r="J21" i="27" s="1"/>
  <c r="J24" i="30"/>
  <c r="J24" i="29" s="1"/>
  <c r="J24" i="27" s="1"/>
  <c r="J25" i="30"/>
  <c r="J25" i="29" s="1"/>
  <c r="J25" i="27" s="1"/>
  <c r="J26" i="30"/>
  <c r="J26" i="29" s="1"/>
  <c r="J26" i="27" s="1"/>
  <c r="L34" i="32"/>
  <c r="M8" i="33"/>
  <c r="M9" i="33"/>
  <c r="M10" i="33"/>
  <c r="M10" i="32" s="1"/>
  <c r="M11" i="33"/>
  <c r="M11" i="32" s="1"/>
  <c r="M12" i="33"/>
  <c r="M12" i="32" s="1"/>
  <c r="M13" i="33"/>
  <c r="M13" i="32" s="1"/>
  <c r="C14" i="33"/>
  <c r="D14" i="33"/>
  <c r="E14" i="33"/>
  <c r="F14" i="33"/>
  <c r="M14" i="33"/>
  <c r="M14" i="32" s="1"/>
  <c r="M15" i="33"/>
  <c r="M15" i="32" s="1"/>
  <c r="M16" i="33"/>
  <c r="M16" i="32" s="1"/>
  <c r="M17" i="33"/>
  <c r="M17" i="32" s="1"/>
  <c r="M18" i="33"/>
  <c r="M18" i="32" s="1"/>
  <c r="M19" i="33"/>
  <c r="M19" i="32" s="1"/>
  <c r="M20" i="33"/>
  <c r="M20" i="32" s="1"/>
  <c r="M21" i="33"/>
  <c r="M21" i="32" s="1"/>
  <c r="M22" i="33"/>
  <c r="M22" i="32" s="1"/>
  <c r="C23" i="33"/>
  <c r="D23" i="33"/>
  <c r="E23" i="33"/>
  <c r="M23" i="33"/>
  <c r="M23" i="32" s="1"/>
  <c r="M24" i="33"/>
  <c r="M24" i="32" s="1"/>
  <c r="M25" i="33"/>
  <c r="M25" i="32" s="1"/>
  <c r="M26" i="33"/>
  <c r="M26" i="32" s="1"/>
  <c r="M27" i="33"/>
  <c r="M27" i="32" s="1"/>
  <c r="M28" i="33"/>
  <c r="M28" i="32" s="1"/>
  <c r="M29" i="33"/>
  <c r="M29" i="32" s="1"/>
  <c r="M30" i="33"/>
  <c r="M30" i="32" s="1"/>
  <c r="M31" i="33"/>
  <c r="M31" i="32" s="1"/>
  <c r="C32" i="33"/>
  <c r="D32" i="33"/>
  <c r="E32" i="33"/>
  <c r="F32" i="33"/>
  <c r="M32" i="33"/>
  <c r="M32" i="32" s="1"/>
  <c r="L34" i="33"/>
  <c r="C38" i="33"/>
  <c r="C39" i="33"/>
  <c r="D39" i="33" s="1"/>
  <c r="C40" i="33"/>
  <c r="D40" i="33" s="1"/>
  <c r="Z12" i="55" s="1"/>
  <c r="C41" i="33"/>
  <c r="D41" i="33" s="1"/>
  <c r="C42" i="33"/>
  <c r="D42" i="33" s="1"/>
  <c r="C43" i="33"/>
  <c r="D43" i="33" s="1"/>
  <c r="C44" i="33"/>
  <c r="D44" i="33" s="1"/>
  <c r="C45" i="33"/>
  <c r="D45" i="33" s="1"/>
  <c r="C46" i="33"/>
  <c r="D46" i="33" s="1"/>
  <c r="Z19" i="55" s="1"/>
  <c r="C47" i="33"/>
  <c r="D47" i="33" s="1"/>
  <c r="C48" i="33"/>
  <c r="D48" i="33" s="1"/>
  <c r="C49" i="33"/>
  <c r="D49" i="33" s="1"/>
  <c r="C50" i="33"/>
  <c r="D50" i="33" s="1"/>
  <c r="C51" i="33"/>
  <c r="D51" i="33" s="1"/>
  <c r="D51" i="32" s="1"/>
  <c r="AL9" i="48"/>
  <c r="AL10" i="48"/>
  <c r="AL14" i="48"/>
  <c r="AL16" i="48"/>
  <c r="AL20" i="48"/>
  <c r="AL21" i="48"/>
  <c r="AL22" i="48"/>
  <c r="AL23" i="48"/>
  <c r="AL24" i="48"/>
  <c r="AL26" i="48"/>
  <c r="AL27" i="48"/>
  <c r="AL30" i="48"/>
  <c r="AL31" i="48"/>
  <c r="AL33" i="48"/>
  <c r="AL34" i="48"/>
  <c r="AL35" i="48"/>
  <c r="AL36" i="48"/>
  <c r="AL37" i="48"/>
  <c r="AL38" i="48"/>
  <c r="AL15" i="48"/>
  <c r="J38" i="32"/>
  <c r="J38" i="31" s="1"/>
  <c r="J38" i="30" s="1"/>
  <c r="K34" i="24"/>
  <c r="AL18" i="48"/>
  <c r="K34" i="23"/>
  <c r="AL11" i="48"/>
  <c r="I47" i="7"/>
  <c r="I47" i="9"/>
  <c r="I47" i="37"/>
  <c r="K34" i="32"/>
  <c r="M9" i="32"/>
  <c r="AN26" i="48" l="1"/>
  <c r="AA12" i="55"/>
  <c r="AB12" i="55" s="1"/>
  <c r="AA19" i="55"/>
  <c r="AB19" i="55" s="1"/>
  <c r="J32" i="17"/>
  <c r="J32" i="16" s="1"/>
  <c r="J32" i="15" s="1"/>
  <c r="J32" i="14" s="1"/>
  <c r="J32" i="13" s="1"/>
  <c r="J32" i="12" s="1"/>
  <c r="J32" i="11" s="1"/>
  <c r="J32" i="10" s="1"/>
  <c r="J32" i="9" s="1"/>
  <c r="Z19" i="46"/>
  <c r="AA19" i="46" s="1"/>
  <c r="AB19" i="46" s="1"/>
  <c r="D40" i="32"/>
  <c r="E40" i="32" s="1"/>
  <c r="Z12" i="46"/>
  <c r="AA12" i="46" s="1"/>
  <c r="AB12" i="46" s="1"/>
  <c r="J22" i="30"/>
  <c r="J19" i="30"/>
  <c r="J23" i="30"/>
  <c r="M12" i="31"/>
  <c r="M12" i="30" s="1"/>
  <c r="M28" i="31"/>
  <c r="M28" i="30" s="1"/>
  <c r="M27" i="31"/>
  <c r="M27" i="30" s="1"/>
  <c r="M22" i="31"/>
  <c r="M22" i="30" s="1"/>
  <c r="M14" i="31"/>
  <c r="M14" i="30" s="1"/>
  <c r="J28" i="30"/>
  <c r="J28" i="29" s="1"/>
  <c r="J28" i="27" s="1"/>
  <c r="D24" i="43"/>
  <c r="M15" i="31"/>
  <c r="M15" i="30" s="1"/>
  <c r="M26" i="31"/>
  <c r="M26" i="30" s="1"/>
  <c r="M21" i="31"/>
  <c r="M21" i="30" s="1"/>
  <c r="J27" i="30"/>
  <c r="J27" i="29" s="1"/>
  <c r="J27" i="27" s="1"/>
  <c r="J7" i="31"/>
  <c r="J7" i="30" s="1"/>
  <c r="M29" i="3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J30" i="30"/>
  <c r="J30" i="29" s="1"/>
  <c r="J30" i="27" s="1"/>
  <c r="M11" i="31"/>
  <c r="M11" i="30" s="1"/>
  <c r="M25" i="31"/>
  <c r="M25" i="30" s="1"/>
  <c r="M20" i="31"/>
  <c r="M20" i="30" s="1"/>
  <c r="M24" i="31"/>
  <c r="M24" i="30" s="1"/>
  <c r="M19" i="31"/>
  <c r="M19" i="30" s="1"/>
  <c r="M16" i="31"/>
  <c r="M16" i="30" s="1"/>
  <c r="M31" i="31"/>
  <c r="M31" i="30" s="1"/>
  <c r="M23" i="31"/>
  <c r="M18" i="31"/>
  <c r="M18" i="30" s="1"/>
  <c r="J32" i="31"/>
  <c r="J32" i="30" s="1"/>
  <c r="J32" i="29" s="1"/>
  <c r="J32" i="27" s="1"/>
  <c r="M32" i="31"/>
  <c r="M9" i="31"/>
  <c r="M9" i="30" s="1"/>
  <c r="M30" i="31"/>
  <c r="M30" i="30" s="1"/>
  <c r="M17" i="31"/>
  <c r="M17" i="30" s="1"/>
  <c r="M13" i="31"/>
  <c r="M13" i="30" s="1"/>
  <c r="J31" i="30"/>
  <c r="J31" i="29" s="1"/>
  <c r="J31" i="27" s="1"/>
  <c r="J14" i="28"/>
  <c r="J12" i="28"/>
  <c r="J13" i="28"/>
  <c r="I40" i="24"/>
  <c r="R18" i="48" s="1"/>
  <c r="I40" i="10"/>
  <c r="R32" i="48" s="1"/>
  <c r="C34" i="43"/>
  <c r="K18" i="43" s="1"/>
  <c r="W143" i="55" s="1"/>
  <c r="J57" i="23"/>
  <c r="M8" i="32"/>
  <c r="E33" i="43"/>
  <c r="I40" i="26"/>
  <c r="R16" i="48" s="1"/>
  <c r="BB16" i="48" s="1"/>
  <c r="K34" i="21"/>
  <c r="J38" i="29"/>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I40" i="23"/>
  <c r="R19" i="48" s="1"/>
  <c r="BB19" i="48" s="1"/>
  <c r="E15" i="33"/>
  <c r="K34" i="27"/>
  <c r="E15" i="43"/>
  <c r="F34" i="43"/>
  <c r="D24" i="33"/>
  <c r="K34" i="11"/>
  <c r="C17" i="45"/>
  <c r="AC17" i="45" s="1"/>
  <c r="E34" i="33"/>
  <c r="J58" i="33" s="1"/>
  <c r="E24" i="43"/>
  <c r="E33" i="33"/>
  <c r="C24" i="33"/>
  <c r="K34" i="7"/>
  <c r="I40" i="32"/>
  <c r="R10" i="48" s="1"/>
  <c r="BB10" i="48" s="1"/>
  <c r="D15" i="33"/>
  <c r="AD18" i="48"/>
  <c r="E19" i="1"/>
  <c r="JK19" i="1" s="1"/>
  <c r="I18" i="48"/>
  <c r="J18" i="48"/>
  <c r="E30" i="48"/>
  <c r="I47" i="6"/>
  <c r="D15" i="43"/>
  <c r="D34" i="33"/>
  <c r="Z6" i="55" s="1"/>
  <c r="C33" i="33"/>
  <c r="R34" i="48"/>
  <c r="BB34" i="48" s="1"/>
  <c r="E24" i="33"/>
  <c r="I40" i="12"/>
  <c r="R30" i="48" s="1"/>
  <c r="BB30" i="48" s="1"/>
  <c r="E18" i="48"/>
  <c r="I47" i="11"/>
  <c r="C24" i="43"/>
  <c r="E15" i="48"/>
  <c r="E19" i="48"/>
  <c r="AU21" i="48"/>
  <c r="M22" i="48"/>
  <c r="BA22" i="48" s="1"/>
  <c r="AN30" i="48"/>
  <c r="AN10" i="48"/>
  <c r="AL13" i="48"/>
  <c r="AN22" i="48"/>
  <c r="AN37" i="48"/>
  <c r="I47" i="13"/>
  <c r="AL29" i="48"/>
  <c r="AN21" i="48"/>
  <c r="AN9" i="48"/>
  <c r="AM9" i="48"/>
  <c r="AN38" i="48"/>
  <c r="AN36" i="48"/>
  <c r="I47" i="14"/>
  <c r="AL28" i="48"/>
  <c r="AN20" i="48"/>
  <c r="AN35" i="48"/>
  <c r="AN27" i="48"/>
  <c r="I47" i="23"/>
  <c r="AL19" i="48"/>
  <c r="AN34" i="48"/>
  <c r="I47" i="25"/>
  <c r="AL17" i="48"/>
  <c r="AN11" i="48"/>
  <c r="AN33" i="48"/>
  <c r="I47" i="17"/>
  <c r="AL25" i="48"/>
  <c r="AN16" i="48"/>
  <c r="AP18" i="48"/>
  <c r="AN18" i="48"/>
  <c r="I47" i="10"/>
  <c r="AL32" i="48"/>
  <c r="AN24" i="48"/>
  <c r="AN14" i="48"/>
  <c r="AN15" i="48"/>
  <c r="AN31" i="48"/>
  <c r="AN23" i="48"/>
  <c r="AL12" i="48"/>
  <c r="K34" i="9"/>
  <c r="C33" i="43"/>
  <c r="E34" i="43"/>
  <c r="I47" i="4"/>
  <c r="I40" i="4"/>
  <c r="R38" i="48" s="1"/>
  <c r="BB38" i="48" s="1"/>
  <c r="I47" i="16"/>
  <c r="I47" i="8"/>
  <c r="I40" i="37"/>
  <c r="R37" i="48" s="1"/>
  <c r="BB37" i="48" s="1"/>
  <c r="I47" i="12"/>
  <c r="K34" i="17"/>
  <c r="K34" i="20"/>
  <c r="I47" i="21"/>
  <c r="AL39" i="48"/>
  <c r="I40" i="13"/>
  <c r="R29" i="48" s="1"/>
  <c r="BB29" i="48" s="1"/>
  <c r="D33" i="43"/>
  <c r="D34" i="43"/>
  <c r="C15" i="43"/>
  <c r="J9" i="6"/>
  <c r="J9" i="37" s="1"/>
  <c r="J8" i="28"/>
  <c r="D33" i="33"/>
  <c r="C15" i="33"/>
  <c r="C34" i="33"/>
  <c r="K34" i="31"/>
  <c r="I48" i="8"/>
  <c r="I45" i="8"/>
  <c r="I47" i="15"/>
  <c r="I47" i="18"/>
  <c r="I40" i="16"/>
  <c r="I47" i="20"/>
  <c r="I47" i="19"/>
  <c r="I47" i="22"/>
  <c r="K34" i="19"/>
  <c r="I47" i="27"/>
  <c r="I48" i="24"/>
  <c r="I47" i="24"/>
  <c r="I47" i="28"/>
  <c r="K34" i="28"/>
  <c r="D44" i="32"/>
  <c r="E44" i="32" s="1"/>
  <c r="D39" i="32"/>
  <c r="E39" i="32" s="1"/>
  <c r="I47" i="31"/>
  <c r="I44" i="33"/>
  <c r="D51" i="31"/>
  <c r="D51" i="30" s="1"/>
  <c r="E51" i="30" s="1"/>
  <c r="E51" i="32"/>
  <c r="E50" i="33"/>
  <c r="D50" i="32"/>
  <c r="E49" i="33"/>
  <c r="D49" i="32"/>
  <c r="E47" i="33"/>
  <c r="D47" i="32"/>
  <c r="E45" i="33"/>
  <c r="D45" i="32"/>
  <c r="E43" i="33"/>
  <c r="D43" i="32"/>
  <c r="E41" i="33"/>
  <c r="D41" i="32"/>
  <c r="D38" i="33"/>
  <c r="E38" i="33" s="1"/>
  <c r="C53" i="33"/>
  <c r="C54" i="33" s="1"/>
  <c r="E48" i="33"/>
  <c r="D48" i="32"/>
  <c r="E46" i="33"/>
  <c r="D46" i="32"/>
  <c r="E42" i="33"/>
  <c r="D42" i="32"/>
  <c r="D52" i="27"/>
  <c r="F34" i="33"/>
  <c r="M10" i="31"/>
  <c r="M10" i="30" s="1"/>
  <c r="J44" i="33"/>
  <c r="E39" i="33"/>
  <c r="E51" i="33"/>
  <c r="E40" i="33"/>
  <c r="E44" i="33"/>
  <c r="I40" i="14"/>
  <c r="R28" i="48" s="1"/>
  <c r="BB28" i="48" s="1"/>
  <c r="J37" i="33"/>
  <c r="I45" i="24"/>
  <c r="I47" i="26"/>
  <c r="I47" i="32"/>
  <c r="J46" i="33"/>
  <c r="J46" i="32" s="1"/>
  <c r="I47" i="33"/>
  <c r="I44" i="31"/>
  <c r="J43" i="32"/>
  <c r="X143" i="55" l="1"/>
  <c r="AA143" i="55"/>
  <c r="AB143" i="55" s="1"/>
  <c r="W143" i="46"/>
  <c r="K34" i="43"/>
  <c r="I40" i="43" s="1"/>
  <c r="R39" i="48" s="1"/>
  <c r="BB39" i="48" s="1"/>
  <c r="AA6" i="55"/>
  <c r="AB6" i="55" s="1"/>
  <c r="D40" i="31"/>
  <c r="D40" i="30" s="1"/>
  <c r="E40" i="30" s="1"/>
  <c r="J32" i="8"/>
  <c r="J32" i="7" s="1"/>
  <c r="J32" i="6" s="1"/>
  <c r="J32" i="37" s="1"/>
  <c r="J32" i="4" s="1"/>
  <c r="J32" i="43" s="1"/>
  <c r="X39" i="48"/>
  <c r="J32" i="48"/>
  <c r="BB32" i="48"/>
  <c r="BG18" i="48"/>
  <c r="BB18" i="48"/>
  <c r="F18" i="48"/>
  <c r="F30" i="48"/>
  <c r="F19" i="48"/>
  <c r="F15" i="48"/>
  <c r="C38" i="45"/>
  <c r="Z38" i="45" s="1"/>
  <c r="J39" i="48"/>
  <c r="J12" i="26"/>
  <c r="J12" i="25" s="1"/>
  <c r="J12" i="24" s="1"/>
  <c r="J12" i="23" s="1"/>
  <c r="J12" i="21" s="1"/>
  <c r="J12" i="22" s="1"/>
  <c r="J12" i="19" s="1"/>
  <c r="J14" i="26"/>
  <c r="J14" i="25" s="1"/>
  <c r="J14" i="24" s="1"/>
  <c r="J14" i="23" s="1"/>
  <c r="J14" i="21" s="1"/>
  <c r="J14" i="22" s="1"/>
  <c r="J14" i="20" s="1"/>
  <c r="J14" i="19" s="1"/>
  <c r="J8" i="26"/>
  <c r="J8" i="25" s="1"/>
  <c r="J8" i="24" s="1"/>
  <c r="J8" i="23" s="1"/>
  <c r="J8" i="21" s="1"/>
  <c r="J8" i="22" s="1"/>
  <c r="J8" i="20" s="1"/>
  <c r="J8" i="19" s="1"/>
  <c r="J8" i="18" s="1"/>
  <c r="J8" i="17" s="1"/>
  <c r="J13" i="26"/>
  <c r="J13" i="25" s="1"/>
  <c r="J13" i="24" s="1"/>
  <c r="J13" i="23" s="1"/>
  <c r="J13" i="21" s="1"/>
  <c r="J13" i="22" s="1"/>
  <c r="J13" i="20" s="1"/>
  <c r="J13" i="19" s="1"/>
  <c r="J23" i="29"/>
  <c r="J23" i="27" s="1"/>
  <c r="J23" i="28" s="1"/>
  <c r="J19" i="29"/>
  <c r="J19" i="27" s="1"/>
  <c r="J19" i="28" s="1"/>
  <c r="J22" i="29"/>
  <c r="J22" i="27" s="1"/>
  <c r="J22" i="28" s="1"/>
  <c r="M19" i="29"/>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19" i="37" s="1"/>
  <c r="M19" i="4" s="1"/>
  <c r="M19" i="43" s="1"/>
  <c r="M16" i="29"/>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J27" i="28" s="1"/>
  <c r="AJ39" i="48"/>
  <c r="J30" i="28"/>
  <c r="AJ18" i="48"/>
  <c r="M31" i="29"/>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J17" i="28" s="1"/>
  <c r="AV18" i="48"/>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K17" i="45"/>
  <c r="M32" i="27"/>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M32" i="30"/>
  <c r="J29" i="30"/>
  <c r="J57" i="33"/>
  <c r="J56" i="32" s="1"/>
  <c r="J56" i="31" s="1"/>
  <c r="J56" i="30" s="1"/>
  <c r="J56" i="29" s="1"/>
  <c r="Z6" i="46"/>
  <c r="C31" i="45"/>
  <c r="O31" i="45" s="1"/>
  <c r="M18" i="29"/>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J32" i="28" s="1"/>
  <c r="J10" i="28"/>
  <c r="J11" i="28"/>
  <c r="J11" i="25" s="1"/>
  <c r="I45" i="10"/>
  <c r="AD32" i="48"/>
  <c r="BG32" i="48"/>
  <c r="I32" i="48"/>
  <c r="I48" i="10"/>
  <c r="E33" i="1"/>
  <c r="AJ32" i="48"/>
  <c r="AV32" i="48"/>
  <c r="I40" i="9"/>
  <c r="R33" i="48" s="1"/>
  <c r="BB33" i="48" s="1"/>
  <c r="I40" i="7"/>
  <c r="R35" i="48" s="1"/>
  <c r="I40" i="11"/>
  <c r="R31" i="48" s="1"/>
  <c r="BB31" i="48" s="1"/>
  <c r="I40" i="17"/>
  <c r="R25" i="48" s="1"/>
  <c r="I40" i="27"/>
  <c r="R14" i="48" s="1"/>
  <c r="I40" i="21"/>
  <c r="R20" i="48" s="1"/>
  <c r="BB20" i="48" s="1"/>
  <c r="J9" i="4"/>
  <c r="J9" i="43" s="1"/>
  <c r="E35" i="33"/>
  <c r="AV19" i="48"/>
  <c r="BG16" i="48"/>
  <c r="I48" i="23"/>
  <c r="I45" i="23"/>
  <c r="I19" i="48"/>
  <c r="D35" i="8"/>
  <c r="AD19" i="48"/>
  <c r="Z17" i="45"/>
  <c r="I16" i="48"/>
  <c r="C15" i="45"/>
  <c r="O15" i="45" s="1"/>
  <c r="O38" i="45"/>
  <c r="AJ19" i="48"/>
  <c r="BG19" i="48"/>
  <c r="E35" i="25"/>
  <c r="E35" i="8"/>
  <c r="AP16" i="48"/>
  <c r="AJ16" i="48"/>
  <c r="AV16" i="48"/>
  <c r="I48" i="26"/>
  <c r="I48" i="13"/>
  <c r="E35" i="12"/>
  <c r="E17" i="1"/>
  <c r="J16" i="48"/>
  <c r="I45" i="26"/>
  <c r="AD16" i="48"/>
  <c r="G17" i="45"/>
  <c r="M8" i="31"/>
  <c r="E20" i="1"/>
  <c r="D51" i="29"/>
  <c r="E51" i="29" s="1"/>
  <c r="D40" i="29"/>
  <c r="E40" i="29" s="1"/>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J19" i="48"/>
  <c r="C18" i="45"/>
  <c r="K18" i="45" s="1"/>
  <c r="S17" i="45"/>
  <c r="O17" i="45"/>
  <c r="C35" i="8"/>
  <c r="I45" i="32"/>
  <c r="I48" i="32"/>
  <c r="C36" i="45"/>
  <c r="W36" i="45" s="1"/>
  <c r="BG37" i="48"/>
  <c r="C33" i="45"/>
  <c r="O33" i="45" s="1"/>
  <c r="BG34" i="48"/>
  <c r="C29" i="45"/>
  <c r="O29" i="45" s="1"/>
  <c r="BG30" i="48"/>
  <c r="D35" i="12"/>
  <c r="JE19" i="1"/>
  <c r="IS19" i="1"/>
  <c r="IG19" i="1"/>
  <c r="HU19" i="1"/>
  <c r="HI19" i="1"/>
  <c r="GW19" i="1"/>
  <c r="GK19" i="1"/>
  <c r="FY19" i="1"/>
  <c r="FM19" i="1"/>
  <c r="FA19" i="1"/>
  <c r="EO19" i="1"/>
  <c r="EC19" i="1"/>
  <c r="DQ19" i="1"/>
  <c r="DE19" i="1"/>
  <c r="CS19" i="1"/>
  <c r="CG19" i="1"/>
  <c r="BU19" i="1"/>
  <c r="BI19" i="1"/>
  <c r="AW19" i="1"/>
  <c r="AK19" i="1"/>
  <c r="Y19" i="1"/>
  <c r="M19" i="1"/>
  <c r="JB19" i="1"/>
  <c r="IP19" i="1"/>
  <c r="ID19" i="1"/>
  <c r="HR19" i="1"/>
  <c r="HF19" i="1"/>
  <c r="GT19" i="1"/>
  <c r="GH19" i="1"/>
  <c r="FV19" i="1"/>
  <c r="FJ19" i="1"/>
  <c r="EX19" i="1"/>
  <c r="EL19" i="1"/>
  <c r="DZ19" i="1"/>
  <c r="DN19" i="1"/>
  <c r="DB19" i="1"/>
  <c r="CP19" i="1"/>
  <c r="CD19" i="1"/>
  <c r="BR19" i="1"/>
  <c r="BF19" i="1"/>
  <c r="AT19" i="1"/>
  <c r="AH19" i="1"/>
  <c r="V19" i="1"/>
  <c r="J19"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C27" i="45"/>
  <c r="S27" i="45" s="1"/>
  <c r="BG28" i="48"/>
  <c r="C28" i="45"/>
  <c r="O28" i="45" s="1"/>
  <c r="BG29" i="48"/>
  <c r="E11" i="1"/>
  <c r="JK11" i="1" s="1"/>
  <c r="BG10" i="48"/>
  <c r="C35" i="13"/>
  <c r="I48" i="12"/>
  <c r="W17" i="45"/>
  <c r="I45" i="12"/>
  <c r="C37" i="45"/>
  <c r="AC37" i="45" s="1"/>
  <c r="BG38" i="48"/>
  <c r="AP34" i="48"/>
  <c r="J57" i="21"/>
  <c r="J57" i="22" s="1"/>
  <c r="J57" i="20" s="1"/>
  <c r="AP10" i="48"/>
  <c r="AD10" i="48"/>
  <c r="AJ10" i="48"/>
  <c r="AP37" i="48"/>
  <c r="I10" i="48"/>
  <c r="J10" i="48"/>
  <c r="C9" i="45"/>
  <c r="Z9" i="45" s="1"/>
  <c r="AV10" i="48"/>
  <c r="I48" i="16"/>
  <c r="R26" i="48"/>
  <c r="BB26" i="48" s="1"/>
  <c r="I38" i="48"/>
  <c r="AV38" i="48"/>
  <c r="E39" i="1"/>
  <c r="JK39" i="1" s="1"/>
  <c r="X38" i="48"/>
  <c r="J38" i="48"/>
  <c r="AD38" i="48"/>
  <c r="AJ38" i="48"/>
  <c r="AU22" i="48"/>
  <c r="M23" i="48"/>
  <c r="BA23" i="48" s="1"/>
  <c r="I30" i="48"/>
  <c r="E31" i="1"/>
  <c r="JK31" i="1" s="1"/>
  <c r="AD30" i="48"/>
  <c r="AV30" i="48"/>
  <c r="AJ30" i="48"/>
  <c r="J30" i="48"/>
  <c r="E19" i="2"/>
  <c r="FY19" i="2" s="1"/>
  <c r="AJ37" i="48"/>
  <c r="X37" i="48"/>
  <c r="AV37" i="48"/>
  <c r="J37" i="48"/>
  <c r="I37" i="48"/>
  <c r="E38" i="1"/>
  <c r="JK38" i="1" s="1"/>
  <c r="AD37" i="48"/>
  <c r="J57" i="32"/>
  <c r="J57" i="31" s="1"/>
  <c r="AJ34" i="48"/>
  <c r="AD34" i="48"/>
  <c r="E35" i="1"/>
  <c r="JK35" i="1" s="1"/>
  <c r="AV34" i="48"/>
  <c r="J34" i="48"/>
  <c r="I34" i="48"/>
  <c r="R13" i="48"/>
  <c r="BB13" i="48" s="1"/>
  <c r="E30" i="1"/>
  <c r="JK30" i="1" s="1"/>
  <c r="AD29" i="48"/>
  <c r="AV29" i="48"/>
  <c r="AJ29" i="48"/>
  <c r="I29" i="48"/>
  <c r="J29" i="48"/>
  <c r="J28" i="48"/>
  <c r="E29" i="1"/>
  <c r="JK29" i="1" s="1"/>
  <c r="AJ28" i="48"/>
  <c r="AD28" i="48"/>
  <c r="I28" i="48"/>
  <c r="AV28" i="48"/>
  <c r="AP38" i="48"/>
  <c r="AP30" i="48"/>
  <c r="AN19" i="48"/>
  <c r="AP19" i="48"/>
  <c r="AP28" i="48"/>
  <c r="AN28" i="48"/>
  <c r="AM10" i="48"/>
  <c r="AO9" i="48"/>
  <c r="AN12" i="48"/>
  <c r="AN17" i="48"/>
  <c r="AN13" i="48"/>
  <c r="AN25" i="48"/>
  <c r="AN29" i="48"/>
  <c r="AP29" i="48"/>
  <c r="AN32" i="48"/>
  <c r="AP32" i="48"/>
  <c r="AN39" i="48"/>
  <c r="AP39" i="48"/>
  <c r="AL41" i="48"/>
  <c r="K34" i="18"/>
  <c r="C35" i="12"/>
  <c r="I45" i="4"/>
  <c r="I48" i="4"/>
  <c r="I48" i="37"/>
  <c r="I45" i="37"/>
  <c r="I40" i="19"/>
  <c r="E35" i="20"/>
  <c r="C35" i="20"/>
  <c r="I40" i="20"/>
  <c r="R22" i="48" s="1"/>
  <c r="BB22" i="48" s="1"/>
  <c r="D35" i="20"/>
  <c r="I40" i="28"/>
  <c r="R15" i="48" s="1"/>
  <c r="BB15" i="48" s="1"/>
  <c r="D35" i="4"/>
  <c r="E35" i="4"/>
  <c r="I45" i="13"/>
  <c r="I48" i="43"/>
  <c r="I47" i="43"/>
  <c r="R12" i="48"/>
  <c r="BB12" i="48" s="1"/>
  <c r="I40" i="31"/>
  <c r="I48" i="31" s="1"/>
  <c r="E35" i="43"/>
  <c r="D35" i="43"/>
  <c r="D35" i="13"/>
  <c r="E35" i="13"/>
  <c r="C35" i="43"/>
  <c r="C35" i="4"/>
  <c r="C35" i="33"/>
  <c r="D35" i="33"/>
  <c r="D39" i="31"/>
  <c r="D39" i="30" s="1"/>
  <c r="E39" i="30" s="1"/>
  <c r="C35" i="25"/>
  <c r="I45" i="16"/>
  <c r="D35" i="25"/>
  <c r="D44" i="31"/>
  <c r="D44" i="30" s="1"/>
  <c r="E44" i="30" s="1"/>
  <c r="D42" i="31"/>
  <c r="D42" i="30" s="1"/>
  <c r="E42" i="30" s="1"/>
  <c r="E42" i="32"/>
  <c r="D46" i="31"/>
  <c r="D46" i="30" s="1"/>
  <c r="E46" i="30" s="1"/>
  <c r="E46" i="32"/>
  <c r="D48" i="31"/>
  <c r="D48" i="30" s="1"/>
  <c r="E48" i="30" s="1"/>
  <c r="E48" i="32"/>
  <c r="D41" i="31"/>
  <c r="D41" i="30" s="1"/>
  <c r="E41" i="30" s="1"/>
  <c r="E41" i="32"/>
  <c r="D43" i="31"/>
  <c r="D43" i="30" s="1"/>
  <c r="E43" i="30" s="1"/>
  <c r="E43" i="32"/>
  <c r="D45" i="31"/>
  <c r="D45" i="30" s="1"/>
  <c r="E45" i="30" s="1"/>
  <c r="E45" i="32"/>
  <c r="D47" i="31"/>
  <c r="D47" i="30" s="1"/>
  <c r="E47" i="30" s="1"/>
  <c r="E47" i="32"/>
  <c r="D49" i="31"/>
  <c r="D49" i="30" s="1"/>
  <c r="E49" i="30" s="1"/>
  <c r="E49" i="32"/>
  <c r="D50" i="31"/>
  <c r="D50" i="30" s="1"/>
  <c r="E50" i="30" s="1"/>
  <c r="E50" i="32"/>
  <c r="E53" i="33"/>
  <c r="E54" i="33" s="1"/>
  <c r="D52" i="28"/>
  <c r="E52" i="27"/>
  <c r="E40" i="31"/>
  <c r="D38" i="32"/>
  <c r="D53" i="33"/>
  <c r="E51" i="31"/>
  <c r="J39" i="33"/>
  <c r="J37" i="32"/>
  <c r="I45" i="14"/>
  <c r="I48" i="14"/>
  <c r="J44" i="32"/>
  <c r="J43" i="31"/>
  <c r="J43" i="30" s="1"/>
  <c r="J44" i="30" s="1"/>
  <c r="J46" i="31"/>
  <c r="J46" i="30" s="1"/>
  <c r="J47" i="32"/>
  <c r="J47" i="33"/>
  <c r="J38" i="27"/>
  <c r="BG39" i="48" l="1"/>
  <c r="E40" i="1"/>
  <c r="I45" i="43"/>
  <c r="AV39" i="48"/>
  <c r="I39" i="48"/>
  <c r="AD39" i="48"/>
  <c r="IV20" i="1"/>
  <c r="JK20" i="1"/>
  <c r="JH17" i="1"/>
  <c r="JK17" i="1"/>
  <c r="HR33" i="1"/>
  <c r="JK33" i="1"/>
  <c r="W147" i="55"/>
  <c r="X143" i="46"/>
  <c r="AA143" i="46"/>
  <c r="AB143" i="46" s="1"/>
  <c r="E40" i="2"/>
  <c r="FY40" i="2" s="1"/>
  <c r="JK40" i="1"/>
  <c r="I48" i="9"/>
  <c r="AB40" i="1"/>
  <c r="G40" i="1"/>
  <c r="IM40" i="1"/>
  <c r="JB40" i="1"/>
  <c r="IS40" i="1"/>
  <c r="AN40" i="1"/>
  <c r="AQ40" i="1"/>
  <c r="AH40" i="1"/>
  <c r="M40" i="1"/>
  <c r="EF40" i="1"/>
  <c r="EI40" i="1"/>
  <c r="DE40" i="1"/>
  <c r="DZ40" i="1"/>
  <c r="GB40" i="1"/>
  <c r="EU40" i="1"/>
  <c r="FJ40" i="1"/>
  <c r="FA40" i="1"/>
  <c r="HL40" i="1"/>
  <c r="GQ40" i="1"/>
  <c r="FV40" i="1"/>
  <c r="GK40" i="1"/>
  <c r="BL40" i="1"/>
  <c r="FD40" i="1"/>
  <c r="IV40" i="1"/>
  <c r="CA40" i="1"/>
  <c r="FS40" i="1"/>
  <c r="J40" i="1"/>
  <c r="DB40" i="1"/>
  <c r="GT40" i="1"/>
  <c r="AK40" i="1"/>
  <c r="EC40" i="1"/>
  <c r="HU40" i="1"/>
  <c r="BX40" i="1"/>
  <c r="FP40" i="1"/>
  <c r="JH40" i="1"/>
  <c r="CM40" i="1"/>
  <c r="GE40" i="1"/>
  <c r="V40" i="1"/>
  <c r="DN40" i="1"/>
  <c r="HF40" i="1"/>
  <c r="AW40" i="1"/>
  <c r="EO40" i="1"/>
  <c r="IG40" i="1"/>
  <c r="CV40" i="1"/>
  <c r="GN40" i="1"/>
  <c r="S40" i="1"/>
  <c r="DK40" i="1"/>
  <c r="HC40" i="1"/>
  <c r="AT40" i="1"/>
  <c r="EL40" i="1"/>
  <c r="ID40" i="1"/>
  <c r="BU40" i="1"/>
  <c r="FM40" i="1"/>
  <c r="JE40" i="1"/>
  <c r="P40" i="1"/>
  <c r="DH40" i="1"/>
  <c r="GZ40" i="1"/>
  <c r="AE40" i="1"/>
  <c r="DW40" i="1"/>
  <c r="HO40" i="1"/>
  <c r="BF40" i="1"/>
  <c r="EX40" i="1"/>
  <c r="IP40" i="1"/>
  <c r="CG40" i="1"/>
  <c r="FY40" i="1"/>
  <c r="AZ40" i="1"/>
  <c r="ER40" i="1"/>
  <c r="IJ40" i="1"/>
  <c r="BO40" i="1"/>
  <c r="FG40" i="1"/>
  <c r="IY40" i="1"/>
  <c r="CP40" i="1"/>
  <c r="GH40" i="1"/>
  <c r="Y40" i="1"/>
  <c r="DQ40" i="1"/>
  <c r="HI40" i="1"/>
  <c r="BG25" i="48"/>
  <c r="BB25" i="48"/>
  <c r="C34" i="45"/>
  <c r="O34" i="45" s="1"/>
  <c r="BB35" i="48"/>
  <c r="E15" i="1"/>
  <c r="JK15" i="1" s="1"/>
  <c r="BB14" i="48"/>
  <c r="AJ20" i="48"/>
  <c r="G38" i="45"/>
  <c r="W38" i="45"/>
  <c r="DH33" i="1"/>
  <c r="S38" i="45"/>
  <c r="K38" i="45"/>
  <c r="AC38" i="45"/>
  <c r="EX33" i="1"/>
  <c r="AD25" i="48"/>
  <c r="J10" i="26"/>
  <c r="J10" i="25" s="1"/>
  <c r="J10" i="24" s="1"/>
  <c r="J10" i="23" s="1"/>
  <c r="J10" i="21" s="1"/>
  <c r="J10" i="22" s="1"/>
  <c r="J10" i="20" s="1"/>
  <c r="J10" i="19" s="1"/>
  <c r="J10" i="18" s="1"/>
  <c r="J18" i="28"/>
  <c r="J30" i="26"/>
  <c r="J15" i="28"/>
  <c r="J27" i="26"/>
  <c r="J27" i="24" s="1"/>
  <c r="J27" i="23" s="1"/>
  <c r="J27" i="21" s="1"/>
  <c r="J27" i="22" s="1"/>
  <c r="J27" i="20" s="1"/>
  <c r="J27" i="19" s="1"/>
  <c r="J27" i="18" s="1"/>
  <c r="J28" i="28"/>
  <c r="J32" i="26"/>
  <c r="J32" i="24" s="1"/>
  <c r="J32" i="23" s="1"/>
  <c r="J22" i="26"/>
  <c r="J22" i="25" s="1"/>
  <c r="J22" i="24" s="1"/>
  <c r="J22" i="23" s="1"/>
  <c r="J22" i="21" s="1"/>
  <c r="J22" i="22" s="1"/>
  <c r="J22" i="20" s="1"/>
  <c r="J22" i="19" s="1"/>
  <c r="J22" i="18" s="1"/>
  <c r="J19" i="26"/>
  <c r="J19" i="25" s="1"/>
  <c r="J19" i="24" s="1"/>
  <c r="J19" i="23" s="1"/>
  <c r="J19" i="21" s="1"/>
  <c r="J19" i="22" s="1"/>
  <c r="J19" i="20" s="1"/>
  <c r="J19" i="19" s="1"/>
  <c r="J19" i="18" s="1"/>
  <c r="J17" i="26"/>
  <c r="J17" i="25" s="1"/>
  <c r="J17" i="24" s="1"/>
  <c r="J17" i="23" s="1"/>
  <c r="J17" i="21" s="1"/>
  <c r="J17" i="22" s="1"/>
  <c r="J17" i="20" s="1"/>
  <c r="J17" i="19" s="1"/>
  <c r="J17" i="18" s="1"/>
  <c r="J23" i="26"/>
  <c r="J23" i="25" s="1"/>
  <c r="J23" i="24" s="1"/>
  <c r="J23" i="23" s="1"/>
  <c r="J23" i="21" s="1"/>
  <c r="J23" i="22" s="1"/>
  <c r="J23" i="20" s="1"/>
  <c r="J23" i="19" s="1"/>
  <c r="J23" i="18" s="1"/>
  <c r="DE17" i="1"/>
  <c r="AJ25" i="48"/>
  <c r="J25" i="48"/>
  <c r="IM17" i="1"/>
  <c r="I48" i="17"/>
  <c r="AV25" i="48"/>
  <c r="I25" i="48"/>
  <c r="C24" i="45"/>
  <c r="O24" i="45" s="1"/>
  <c r="S31" i="45"/>
  <c r="I45" i="17"/>
  <c r="AP25" i="48"/>
  <c r="E26" i="1"/>
  <c r="I45" i="9"/>
  <c r="K31" i="45"/>
  <c r="J29" i="29"/>
  <c r="J29" i="27" s="1"/>
  <c r="J29" i="28" s="1"/>
  <c r="J29" i="26" s="1"/>
  <c r="AC31" i="45"/>
  <c r="Z31" i="45"/>
  <c r="CG33" i="1"/>
  <c r="P33" i="1"/>
  <c r="DW33" i="1"/>
  <c r="BG35" i="48"/>
  <c r="HO33" i="1"/>
  <c r="E33" i="2"/>
  <c r="FY33" i="2" s="1"/>
  <c r="AV35" i="48"/>
  <c r="I35" i="48"/>
  <c r="BF33" i="1"/>
  <c r="I20" i="48"/>
  <c r="I45" i="7"/>
  <c r="G31" i="45"/>
  <c r="W31" i="45"/>
  <c r="AE33" i="1"/>
  <c r="AW11" i="1"/>
  <c r="M11" i="1"/>
  <c r="FY33" i="1"/>
  <c r="IP33" i="1"/>
  <c r="M15" i="1"/>
  <c r="GZ33" i="1"/>
  <c r="M8" i="30"/>
  <c r="M8" i="29" s="1"/>
  <c r="M8" i="27" s="1"/>
  <c r="M8" i="28" s="1"/>
  <c r="M8" i="26" s="1"/>
  <c r="M8" i="25" s="1"/>
  <c r="M8" i="24" s="1"/>
  <c r="M8" i="23" s="1"/>
  <c r="M8" i="21" s="1"/>
  <c r="M8" i="22" s="1"/>
  <c r="M8" i="20" s="1"/>
  <c r="M8" i="19" s="1"/>
  <c r="M8" i="18" s="1"/>
  <c r="M8" i="17" s="1"/>
  <c r="M8" i="16" s="1"/>
  <c r="M8" i="15" s="1"/>
  <c r="M8" i="14" s="1"/>
  <c r="M8" i="13" s="1"/>
  <c r="M8" i="12" s="1"/>
  <c r="M8" i="11" s="1"/>
  <c r="M8" i="10" s="1"/>
  <c r="M8" i="9" s="1"/>
  <c r="M8" i="8" s="1"/>
  <c r="M8" i="7" s="1"/>
  <c r="M8" i="6" s="1"/>
  <c r="M8" i="37" s="1"/>
  <c r="M8" i="4" s="1"/>
  <c r="M8" i="43" s="1"/>
  <c r="EO20" i="1"/>
  <c r="M28" i="29"/>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J26" i="28" s="1"/>
  <c r="J57" i="27"/>
  <c r="J57" i="28" s="1"/>
  <c r="J57" i="26" s="1"/>
  <c r="J57" i="25" s="1"/>
  <c r="J57" i="30"/>
  <c r="J47" i="30"/>
  <c r="J11" i="24"/>
  <c r="J11" i="23" s="1"/>
  <c r="J11" i="21" s="1"/>
  <c r="J11" i="22" s="1"/>
  <c r="J11" i="20" s="1"/>
  <c r="J11" i="19" s="1"/>
  <c r="J11" i="18" s="1"/>
  <c r="J14" i="18"/>
  <c r="J13" i="18"/>
  <c r="J12" i="18"/>
  <c r="D54" i="33"/>
  <c r="I45" i="11"/>
  <c r="I48" i="11"/>
  <c r="AC29" i="45"/>
  <c r="K29" i="45"/>
  <c r="J14" i="48"/>
  <c r="AP14" i="48"/>
  <c r="BG14" i="48"/>
  <c r="AV14" i="48"/>
  <c r="C13" i="45"/>
  <c r="AC13" i="45" s="1"/>
  <c r="I48" i="27"/>
  <c r="I14" i="48"/>
  <c r="AJ14" i="48"/>
  <c r="AD14" i="48"/>
  <c r="I45" i="27"/>
  <c r="G18" i="45"/>
  <c r="BU33" i="1"/>
  <c r="FM33" i="1"/>
  <c r="JE33" i="1"/>
  <c r="CV33" i="1"/>
  <c r="GN33" i="1"/>
  <c r="S33" i="1"/>
  <c r="DK33" i="1"/>
  <c r="HC33" i="1"/>
  <c r="AT33" i="1"/>
  <c r="EL33" i="1"/>
  <c r="ID33" i="1"/>
  <c r="CS33" i="1"/>
  <c r="GK33" i="1"/>
  <c r="AB33" i="1"/>
  <c r="DT33" i="1"/>
  <c r="HL33" i="1"/>
  <c r="AQ33" i="1"/>
  <c r="EI33" i="1"/>
  <c r="IA33" i="1"/>
  <c r="BR33" i="1"/>
  <c r="FJ33" i="1"/>
  <c r="JB33" i="1"/>
  <c r="M33" i="1"/>
  <c r="DE33" i="1"/>
  <c r="GW33" i="1"/>
  <c r="AN33" i="1"/>
  <c r="EF33" i="1"/>
  <c r="HX33" i="1"/>
  <c r="BC33" i="1"/>
  <c r="EU33" i="1"/>
  <c r="IM33" i="1"/>
  <c r="CD33" i="1"/>
  <c r="FV33" i="1"/>
  <c r="Y33" i="1"/>
  <c r="DQ33" i="1"/>
  <c r="HI33" i="1"/>
  <c r="AZ33" i="1"/>
  <c r="ER33" i="1"/>
  <c r="IJ33" i="1"/>
  <c r="BO33" i="1"/>
  <c r="FG33" i="1"/>
  <c r="IY33" i="1"/>
  <c r="CP33" i="1"/>
  <c r="GH33" i="1"/>
  <c r="AK33" i="1"/>
  <c r="HU33" i="1"/>
  <c r="BL33" i="1"/>
  <c r="FD33" i="1"/>
  <c r="IV33" i="1"/>
  <c r="CA33" i="1"/>
  <c r="FS33" i="1"/>
  <c r="J33" i="1"/>
  <c r="DB33" i="1"/>
  <c r="GT33" i="1"/>
  <c r="AW33" i="1"/>
  <c r="EO33" i="1"/>
  <c r="IG33" i="1"/>
  <c r="BX33" i="1"/>
  <c r="FP33" i="1"/>
  <c r="JH33" i="1"/>
  <c r="CM33" i="1"/>
  <c r="GE33" i="1"/>
  <c r="V33" i="1"/>
  <c r="DN33" i="1"/>
  <c r="HF33" i="1"/>
  <c r="BI33" i="1"/>
  <c r="FA33" i="1"/>
  <c r="IS33" i="1"/>
  <c r="CJ33" i="1"/>
  <c r="GB33" i="1"/>
  <c r="G33" i="1"/>
  <c r="CY33" i="1"/>
  <c r="GQ33" i="1"/>
  <c r="AH33" i="1"/>
  <c r="DZ33" i="1"/>
  <c r="J35" i="48"/>
  <c r="AP35" i="48"/>
  <c r="E36" i="1"/>
  <c r="I48" i="7"/>
  <c r="AD35" i="48"/>
  <c r="AJ35" i="48"/>
  <c r="J20" i="48"/>
  <c r="AP20" i="48"/>
  <c r="I48" i="21"/>
  <c r="E21" i="1"/>
  <c r="BG20" i="48"/>
  <c r="AV20" i="48"/>
  <c r="C19" i="45"/>
  <c r="G19" i="45" s="1"/>
  <c r="I45" i="21"/>
  <c r="AD20" i="48"/>
  <c r="G29" i="45"/>
  <c r="S29" i="45"/>
  <c r="I40" i="18"/>
  <c r="R24" i="48" s="1"/>
  <c r="BC17" i="1"/>
  <c r="S36" i="45"/>
  <c r="FV17" i="1"/>
  <c r="AN17" i="1"/>
  <c r="HX17" i="1"/>
  <c r="AC15" i="45"/>
  <c r="J8" i="16"/>
  <c r="J8" i="15" s="1"/>
  <c r="J8" i="14" s="1"/>
  <c r="K36" i="45"/>
  <c r="G15" i="45"/>
  <c r="G27" i="45"/>
  <c r="AC27" i="45"/>
  <c r="Z27" i="45"/>
  <c r="K27" i="45"/>
  <c r="O27" i="45"/>
  <c r="E17" i="2"/>
  <c r="FY17" i="2" s="1"/>
  <c r="CA17" i="1"/>
  <c r="J17" i="1"/>
  <c r="GT17" i="1"/>
  <c r="EC17" i="1"/>
  <c r="BL17" i="1"/>
  <c r="IV17" i="1"/>
  <c r="IG20" i="1"/>
  <c r="E20" i="2"/>
  <c r="FY20" i="2" s="1"/>
  <c r="CY17" i="1"/>
  <c r="AH17" i="1"/>
  <c r="HR17" i="1"/>
  <c r="FA17" i="1"/>
  <c r="CJ17" i="1"/>
  <c r="BX20" i="1"/>
  <c r="DW17" i="1"/>
  <c r="BF17" i="1"/>
  <c r="IP17" i="1"/>
  <c r="FY17" i="1"/>
  <c r="DH17" i="1"/>
  <c r="AE20" i="1"/>
  <c r="FP20" i="1"/>
  <c r="EU17" i="1"/>
  <c r="CD17" i="1"/>
  <c r="M17" i="1"/>
  <c r="GW17" i="1"/>
  <c r="EF17" i="1"/>
  <c r="IM20" i="1"/>
  <c r="JH20" i="1"/>
  <c r="FS17" i="1"/>
  <c r="DB17" i="1"/>
  <c r="AK17" i="1"/>
  <c r="HU17" i="1"/>
  <c r="FD17" i="1"/>
  <c r="V20" i="1"/>
  <c r="G17" i="1"/>
  <c r="GQ17" i="1"/>
  <c r="DZ17" i="1"/>
  <c r="BI17" i="1"/>
  <c r="IS17" i="1"/>
  <c r="GB17" i="1"/>
  <c r="HF20" i="1"/>
  <c r="AE17" i="1"/>
  <c r="HO17" i="1"/>
  <c r="EX17" i="1"/>
  <c r="CG17" i="1"/>
  <c r="P17" i="1"/>
  <c r="GZ17" i="1"/>
  <c r="AW20" i="1"/>
  <c r="DN20" i="1"/>
  <c r="E32" i="1"/>
  <c r="IA20" i="1"/>
  <c r="GE20" i="1"/>
  <c r="HC20" i="1"/>
  <c r="BR20" i="1"/>
  <c r="FJ20" i="1"/>
  <c r="JB20" i="1"/>
  <c r="CS20" i="1"/>
  <c r="GK20" i="1"/>
  <c r="AB20" i="1"/>
  <c r="DT20" i="1"/>
  <c r="HL20" i="1"/>
  <c r="CY20" i="1"/>
  <c r="FG20" i="1"/>
  <c r="HO20" i="1"/>
  <c r="BC20" i="1"/>
  <c r="S20" i="1"/>
  <c r="FS20" i="1"/>
  <c r="AT20" i="1"/>
  <c r="CP20" i="1"/>
  <c r="EL20" i="1"/>
  <c r="GH20" i="1"/>
  <c r="ID20" i="1"/>
  <c r="Y20" i="1"/>
  <c r="BU20" i="1"/>
  <c r="DQ20" i="1"/>
  <c r="FM20" i="1"/>
  <c r="HI20" i="1"/>
  <c r="JE20" i="1"/>
  <c r="AZ20" i="1"/>
  <c r="CV20" i="1"/>
  <c r="ER20" i="1"/>
  <c r="GN20" i="1"/>
  <c r="IJ20" i="1"/>
  <c r="G20" i="1"/>
  <c r="GQ20" i="1"/>
  <c r="BO20" i="1"/>
  <c r="IY20" i="1"/>
  <c r="DW20" i="1"/>
  <c r="CM20" i="1"/>
  <c r="AQ20" i="1"/>
  <c r="EU20" i="1"/>
  <c r="EI20" i="1"/>
  <c r="DK20" i="1"/>
  <c r="CA20" i="1"/>
  <c r="J20" i="1"/>
  <c r="AH20" i="1"/>
  <c r="BF20" i="1"/>
  <c r="CD20" i="1"/>
  <c r="DB20" i="1"/>
  <c r="DZ20" i="1"/>
  <c r="EX20" i="1"/>
  <c r="FV20" i="1"/>
  <c r="GT20" i="1"/>
  <c r="HR20" i="1"/>
  <c r="IP20" i="1"/>
  <c r="M20" i="1"/>
  <c r="AK20" i="1"/>
  <c r="BI20" i="1"/>
  <c r="CG20" i="1"/>
  <c r="DE20" i="1"/>
  <c r="EC20" i="1"/>
  <c r="FA20" i="1"/>
  <c r="FY20" i="1"/>
  <c r="GW20" i="1"/>
  <c r="HU20" i="1"/>
  <c r="IS20" i="1"/>
  <c r="P20" i="1"/>
  <c r="AN20" i="1"/>
  <c r="BL20" i="1"/>
  <c r="CJ20" i="1"/>
  <c r="DH20" i="1"/>
  <c r="EF20" i="1"/>
  <c r="FD20" i="1"/>
  <c r="GB20" i="1"/>
  <c r="GZ20" i="1"/>
  <c r="HX20" i="1"/>
  <c r="Z15" i="45"/>
  <c r="W15" i="45"/>
  <c r="S17" i="1"/>
  <c r="AQ17" i="1"/>
  <c r="BO17" i="1"/>
  <c r="CM17" i="1"/>
  <c r="DK17" i="1"/>
  <c r="EI17" i="1"/>
  <c r="FG17" i="1"/>
  <c r="GE17" i="1"/>
  <c r="HC17" i="1"/>
  <c r="IA17" i="1"/>
  <c r="IY17" i="1"/>
  <c r="V17" i="1"/>
  <c r="AT17" i="1"/>
  <c r="BR17" i="1"/>
  <c r="CP17" i="1"/>
  <c r="DN17" i="1"/>
  <c r="EL17" i="1"/>
  <c r="FJ17" i="1"/>
  <c r="GH17" i="1"/>
  <c r="HF17" i="1"/>
  <c r="ID17" i="1"/>
  <c r="JB17" i="1"/>
  <c r="Y17" i="1"/>
  <c r="AW17" i="1"/>
  <c r="BU17" i="1"/>
  <c r="CS17" i="1"/>
  <c r="DQ17" i="1"/>
  <c r="EO17" i="1"/>
  <c r="FM17" i="1"/>
  <c r="GK17" i="1"/>
  <c r="HI17" i="1"/>
  <c r="IG17" i="1"/>
  <c r="JE17" i="1"/>
  <c r="AB17" i="1"/>
  <c r="AZ17" i="1"/>
  <c r="BX17" i="1"/>
  <c r="CV17" i="1"/>
  <c r="DT17" i="1"/>
  <c r="ER17" i="1"/>
  <c r="FP17" i="1"/>
  <c r="GN17" i="1"/>
  <c r="HL17" i="1"/>
  <c r="IJ17" i="1"/>
  <c r="S15" i="45"/>
  <c r="K15" i="45"/>
  <c r="W27" i="45"/>
  <c r="W29" i="45"/>
  <c r="AJ31" i="48"/>
  <c r="Z29" i="45"/>
  <c r="W37" i="45"/>
  <c r="Z37" i="45"/>
  <c r="AC28" i="45"/>
  <c r="G28" i="45"/>
  <c r="Z28" i="45"/>
  <c r="K28" i="45"/>
  <c r="S28" i="45"/>
  <c r="W28" i="45"/>
  <c r="D41" i="29"/>
  <c r="E41" i="29" s="1"/>
  <c r="AP31" i="48"/>
  <c r="O18" i="45"/>
  <c r="W18" i="45"/>
  <c r="S18" i="45"/>
  <c r="AC18" i="45"/>
  <c r="Z18" i="45"/>
  <c r="D47" i="29"/>
  <c r="E47" i="29" s="1"/>
  <c r="D48" i="29"/>
  <c r="E48" i="29" s="1"/>
  <c r="D39" i="29"/>
  <c r="E39" i="29" s="1"/>
  <c r="J31" i="48"/>
  <c r="D49" i="29"/>
  <c r="E49" i="29" s="1"/>
  <c r="D45" i="29"/>
  <c r="E45" i="29" s="1"/>
  <c r="D46" i="29"/>
  <c r="E46" i="29" s="1"/>
  <c r="I31" i="48"/>
  <c r="AV31" i="48"/>
  <c r="J46" i="29"/>
  <c r="D50" i="29"/>
  <c r="E50" i="29" s="1"/>
  <c r="D42" i="29"/>
  <c r="E42" i="29" s="1"/>
  <c r="AD31" i="48"/>
  <c r="D43" i="29"/>
  <c r="E43" i="29" s="1"/>
  <c r="J43" i="29"/>
  <c r="E44" i="31"/>
  <c r="Z33" i="45"/>
  <c r="O36" i="45"/>
  <c r="W33" i="45"/>
  <c r="G37" i="45"/>
  <c r="C25" i="45"/>
  <c r="G25" i="45" s="1"/>
  <c r="BG26" i="48"/>
  <c r="G33" i="45"/>
  <c r="O37" i="45"/>
  <c r="IY38" i="1"/>
  <c r="IM38" i="1"/>
  <c r="IA38" i="1"/>
  <c r="HO38" i="1"/>
  <c r="HC38" i="1"/>
  <c r="GQ38" i="1"/>
  <c r="GE38" i="1"/>
  <c r="FS38" i="1"/>
  <c r="FG38" i="1"/>
  <c r="EU38" i="1"/>
  <c r="EI38" i="1"/>
  <c r="DW38" i="1"/>
  <c r="DK38" i="1"/>
  <c r="CY38" i="1"/>
  <c r="CM38" i="1"/>
  <c r="CA38" i="1"/>
  <c r="BO38" i="1"/>
  <c r="JH38" i="1"/>
  <c r="IV38" i="1"/>
  <c r="IJ38" i="1"/>
  <c r="HX38" i="1"/>
  <c r="HL38" i="1"/>
  <c r="GZ38" i="1"/>
  <c r="GN38" i="1"/>
  <c r="GB38" i="1"/>
  <c r="FP38" i="1"/>
  <c r="FD38" i="1"/>
  <c r="ER38" i="1"/>
  <c r="EF38" i="1"/>
  <c r="DT38" i="1"/>
  <c r="DH38" i="1"/>
  <c r="CV38" i="1"/>
  <c r="CJ38" i="1"/>
  <c r="BX38" i="1"/>
  <c r="JE38" i="1"/>
  <c r="IS38" i="1"/>
  <c r="IG38" i="1"/>
  <c r="HU38" i="1"/>
  <c r="HI38" i="1"/>
  <c r="GW38" i="1"/>
  <c r="GK38" i="1"/>
  <c r="FY38" i="1"/>
  <c r="FM38" i="1"/>
  <c r="FA38" i="1"/>
  <c r="EO38" i="1"/>
  <c r="EC38" i="1"/>
  <c r="DQ38" i="1"/>
  <c r="DE38" i="1"/>
  <c r="CS38" i="1"/>
  <c r="CG38" i="1"/>
  <c r="BU38" i="1"/>
  <c r="BI38" i="1"/>
  <c r="JB38" i="1"/>
  <c r="IP38" i="1"/>
  <c r="ID38" i="1"/>
  <c r="HR38" i="1"/>
  <c r="HF38" i="1"/>
  <c r="GT38" i="1"/>
  <c r="GH38" i="1"/>
  <c r="FV38" i="1"/>
  <c r="FJ38" i="1"/>
  <c r="EX38" i="1"/>
  <c r="DB38" i="1"/>
  <c r="EL38" i="1"/>
  <c r="AZ38" i="1"/>
  <c r="AN38" i="1"/>
  <c r="AB38" i="1"/>
  <c r="P38" i="1"/>
  <c r="CD38" i="1"/>
  <c r="BL38" i="1"/>
  <c r="DN38" i="1"/>
  <c r="AW38" i="1"/>
  <c r="AK38" i="1"/>
  <c r="Y38" i="1"/>
  <c r="M38" i="1"/>
  <c r="CP38" i="1"/>
  <c r="BF38" i="1"/>
  <c r="AT38" i="1"/>
  <c r="AH38" i="1"/>
  <c r="J38" i="1"/>
  <c r="DZ38" i="1"/>
  <c r="BR38" i="1"/>
  <c r="AE38" i="1"/>
  <c r="G38" i="1"/>
  <c r="AQ38" i="1"/>
  <c r="S38" i="1"/>
  <c r="BC38" i="1"/>
  <c r="Z36" i="45"/>
  <c r="S33" i="45"/>
  <c r="S37" i="45"/>
  <c r="JB39" i="1"/>
  <c r="IP39" i="1"/>
  <c r="ID39" i="1"/>
  <c r="HR39" i="1"/>
  <c r="HF39" i="1"/>
  <c r="GT39" i="1"/>
  <c r="GH39" i="1"/>
  <c r="FV39" i="1"/>
  <c r="FJ39" i="1"/>
  <c r="EX39" i="1"/>
  <c r="EL39" i="1"/>
  <c r="DZ39" i="1"/>
  <c r="DN39" i="1"/>
  <c r="DB39" i="1"/>
  <c r="CP39" i="1"/>
  <c r="CD39" i="1"/>
  <c r="BR39" i="1"/>
  <c r="BF39" i="1"/>
  <c r="AT39" i="1"/>
  <c r="AH39" i="1"/>
  <c r="V39" i="1"/>
  <c r="J39" i="1"/>
  <c r="IY39" i="1"/>
  <c r="IM39" i="1"/>
  <c r="IA39" i="1"/>
  <c r="HO39" i="1"/>
  <c r="HC39" i="1"/>
  <c r="GQ39" i="1"/>
  <c r="GE39" i="1"/>
  <c r="FS39" i="1"/>
  <c r="FG39" i="1"/>
  <c r="EU39" i="1"/>
  <c r="EI39" i="1"/>
  <c r="DW39" i="1"/>
  <c r="DK39" i="1"/>
  <c r="CY39" i="1"/>
  <c r="CM39" i="1"/>
  <c r="CA39" i="1"/>
  <c r="BO39" i="1"/>
  <c r="BC39" i="1"/>
  <c r="AQ39" i="1"/>
  <c r="AE39" i="1"/>
  <c r="S39" i="1"/>
  <c r="G39"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CG39" i="1"/>
  <c r="BU39" i="1"/>
  <c r="BI39" i="1"/>
  <c r="AW39" i="1"/>
  <c r="AK39" i="1"/>
  <c r="Y39" i="1"/>
  <c r="M39" i="1"/>
  <c r="AJ33" i="48"/>
  <c r="BG33" i="48"/>
  <c r="C21" i="45"/>
  <c r="O21" i="45" s="1"/>
  <c r="BG22" i="48"/>
  <c r="AC33" i="45"/>
  <c r="C11" i="45"/>
  <c r="G11" i="45" s="1"/>
  <c r="BG12" i="48"/>
  <c r="AC36" i="45"/>
  <c r="K33" i="45"/>
  <c r="K37" i="45"/>
  <c r="C12" i="45"/>
  <c r="AC12" i="45" s="1"/>
  <c r="BG13" i="48"/>
  <c r="E34" i="1"/>
  <c r="C14" i="45"/>
  <c r="G14" i="45" s="1"/>
  <c r="BG15" i="48"/>
  <c r="JH15" i="1"/>
  <c r="IV15" i="1"/>
  <c r="IJ15" i="1"/>
  <c r="HX15" i="1"/>
  <c r="HL15" i="1"/>
  <c r="GZ15" i="1"/>
  <c r="GN15" i="1"/>
  <c r="GB15" i="1"/>
  <c r="FP15" i="1"/>
  <c r="FD15" i="1"/>
  <c r="ER15" i="1"/>
  <c r="EF15" i="1"/>
  <c r="JB15" i="1"/>
  <c r="IP15" i="1"/>
  <c r="ID15" i="1"/>
  <c r="HR15" i="1"/>
  <c r="HF15" i="1"/>
  <c r="GT15" i="1"/>
  <c r="GH15" i="1"/>
  <c r="FV15" i="1"/>
  <c r="FJ15" i="1"/>
  <c r="EX15" i="1"/>
  <c r="EL15" i="1"/>
  <c r="DZ15" i="1"/>
  <c r="JE15" i="1"/>
  <c r="HI15" i="1"/>
  <c r="FM15" i="1"/>
  <c r="GE15" i="1"/>
  <c r="CJ15" i="1"/>
  <c r="IM15" i="1"/>
  <c r="GQ15" i="1"/>
  <c r="EU15" i="1"/>
  <c r="DQ15" i="1"/>
  <c r="DE15" i="1"/>
  <c r="CS15" i="1"/>
  <c r="CG15" i="1"/>
  <c r="BU15" i="1"/>
  <c r="BI15" i="1"/>
  <c r="AK15" i="1"/>
  <c r="Y15" i="1"/>
  <c r="DH15" i="1"/>
  <c r="AN15" i="1"/>
  <c r="HU15" i="1"/>
  <c r="FY15" i="1"/>
  <c r="EC15" i="1"/>
  <c r="IA15" i="1"/>
  <c r="EI15" i="1"/>
  <c r="BL15" i="1"/>
  <c r="IY15" i="1"/>
  <c r="HC15" i="1"/>
  <c r="FG15" i="1"/>
  <c r="DN15" i="1"/>
  <c r="DB15" i="1"/>
  <c r="CP15" i="1"/>
  <c r="CD15" i="1"/>
  <c r="BR15" i="1"/>
  <c r="BF15" i="1"/>
  <c r="AT15" i="1"/>
  <c r="AH15" i="1"/>
  <c r="V15" i="1"/>
  <c r="J15" i="1"/>
  <c r="AB15" i="1"/>
  <c r="IG15" i="1"/>
  <c r="GK15" i="1"/>
  <c r="EO15" i="1"/>
  <c r="CV15" i="1"/>
  <c r="HO15" i="1"/>
  <c r="FS15" i="1"/>
  <c r="DW15" i="1"/>
  <c r="DK15" i="1"/>
  <c r="CY15" i="1"/>
  <c r="CM15" i="1"/>
  <c r="CA15" i="1"/>
  <c r="BO15" i="1"/>
  <c r="BC15" i="1"/>
  <c r="AQ15" i="1"/>
  <c r="AE15" i="1"/>
  <c r="S15" i="1"/>
  <c r="G15" i="1"/>
  <c r="DT15" i="1"/>
  <c r="AZ15" i="1"/>
  <c r="IS15" i="1"/>
  <c r="GW15" i="1"/>
  <c r="FA15" i="1"/>
  <c r="BX15" i="1"/>
  <c r="P15" i="1"/>
  <c r="JH35" i="1"/>
  <c r="IV35" i="1"/>
  <c r="IJ35" i="1"/>
  <c r="HX35" i="1"/>
  <c r="HL35" i="1"/>
  <c r="GZ35" i="1"/>
  <c r="GN35" i="1"/>
  <c r="GB35" i="1"/>
  <c r="FP35" i="1"/>
  <c r="FD35" i="1"/>
  <c r="ER35" i="1"/>
  <c r="EF35" i="1"/>
  <c r="DT35" i="1"/>
  <c r="JE35" i="1"/>
  <c r="IS35" i="1"/>
  <c r="IG35" i="1"/>
  <c r="HU35" i="1"/>
  <c r="HI35" i="1"/>
  <c r="GW35" i="1"/>
  <c r="GK35" i="1"/>
  <c r="FY35" i="1"/>
  <c r="FM35" i="1"/>
  <c r="FA35" i="1"/>
  <c r="EO35" i="1"/>
  <c r="EC35" i="1"/>
  <c r="DQ35" i="1"/>
  <c r="DE35" i="1"/>
  <c r="CS35" i="1"/>
  <c r="CG35" i="1"/>
  <c r="BU35" i="1"/>
  <c r="BI35" i="1"/>
  <c r="AW35" i="1"/>
  <c r="AK35" i="1"/>
  <c r="Y35" i="1"/>
  <c r="M35" i="1"/>
  <c r="DB35" i="1"/>
  <c r="CA35" i="1"/>
  <c r="AZ35" i="1"/>
  <c r="J35" i="1"/>
  <c r="JB35" i="1"/>
  <c r="IM35" i="1"/>
  <c r="HF35" i="1"/>
  <c r="GQ35" i="1"/>
  <c r="FJ35" i="1"/>
  <c r="EU35" i="1"/>
  <c r="DN35" i="1"/>
  <c r="CM35" i="1"/>
  <c r="BL35" i="1"/>
  <c r="V35" i="1"/>
  <c r="CY35" i="1"/>
  <c r="BX35" i="1"/>
  <c r="AH35" i="1"/>
  <c r="G35" i="1"/>
  <c r="IY35" i="1"/>
  <c r="HR35" i="1"/>
  <c r="HC35" i="1"/>
  <c r="FV35" i="1"/>
  <c r="FG35" i="1"/>
  <c r="DZ35" i="1"/>
  <c r="DK35" i="1"/>
  <c r="CJ35" i="1"/>
  <c r="AT35" i="1"/>
  <c r="S35" i="1"/>
  <c r="CV35" i="1"/>
  <c r="BF35" i="1"/>
  <c r="AE35" i="1"/>
  <c r="ID35" i="1"/>
  <c r="HO35" i="1"/>
  <c r="GH35" i="1"/>
  <c r="FS35" i="1"/>
  <c r="EL35" i="1"/>
  <c r="DW35" i="1"/>
  <c r="DH35" i="1"/>
  <c r="BR35" i="1"/>
  <c r="AQ35" i="1"/>
  <c r="P35" i="1"/>
  <c r="CD35" i="1"/>
  <c r="BC35" i="1"/>
  <c r="AB35" i="1"/>
  <c r="IP35" i="1"/>
  <c r="IA35" i="1"/>
  <c r="GT35" i="1"/>
  <c r="GE35" i="1"/>
  <c r="EX35" i="1"/>
  <c r="EI35" i="1"/>
  <c r="CP35" i="1"/>
  <c r="BO35" i="1"/>
  <c r="AN35" i="1"/>
  <c r="G36" i="45"/>
  <c r="HX36" i="1"/>
  <c r="GK36" i="1"/>
  <c r="HR11" i="1"/>
  <c r="DZ11" i="1"/>
  <c r="AT11" i="1"/>
  <c r="IY11" i="1"/>
  <c r="IM11" i="1"/>
  <c r="IA11" i="1"/>
  <c r="HO11" i="1"/>
  <c r="HC11" i="1"/>
  <c r="GQ11" i="1"/>
  <c r="GE11" i="1"/>
  <c r="FS11" i="1"/>
  <c r="FG11" i="1"/>
  <c r="EU11" i="1"/>
  <c r="EI11" i="1"/>
  <c r="DW11" i="1"/>
  <c r="DK11" i="1"/>
  <c r="CY11" i="1"/>
  <c r="CM11" i="1"/>
  <c r="CA11" i="1"/>
  <c r="BO11" i="1"/>
  <c r="BC11" i="1"/>
  <c r="AQ11" i="1"/>
  <c r="AE11" i="1"/>
  <c r="S11" i="1"/>
  <c r="G11" i="1"/>
  <c r="JB11" i="1"/>
  <c r="GT11" i="1"/>
  <c r="FJ11" i="1"/>
  <c r="DB11" i="1"/>
  <c r="V11" i="1"/>
  <c r="HF11" i="1"/>
  <c r="FV11" i="1"/>
  <c r="DN11" i="1"/>
  <c r="BF11" i="1"/>
  <c r="JH11" i="1"/>
  <c r="IV11" i="1"/>
  <c r="IJ11" i="1"/>
  <c r="HX11" i="1"/>
  <c r="HL11" i="1"/>
  <c r="GZ11" i="1"/>
  <c r="GN11" i="1"/>
  <c r="GB11" i="1"/>
  <c r="FP11" i="1"/>
  <c r="FD11" i="1"/>
  <c r="ER11" i="1"/>
  <c r="EF11" i="1"/>
  <c r="DT11" i="1"/>
  <c r="DH11" i="1"/>
  <c r="CV11" i="1"/>
  <c r="CJ11" i="1"/>
  <c r="BX11" i="1"/>
  <c r="BL11" i="1"/>
  <c r="AZ11" i="1"/>
  <c r="AN11" i="1"/>
  <c r="AB11" i="1"/>
  <c r="P11" i="1"/>
  <c r="ID11" i="1"/>
  <c r="EX11" i="1"/>
  <c r="BR11" i="1"/>
  <c r="IP11" i="1"/>
  <c r="EL11" i="1"/>
  <c r="AH11" i="1"/>
  <c r="JE11" i="1"/>
  <c r="IS11" i="1"/>
  <c r="IG11" i="1"/>
  <c r="HU11" i="1"/>
  <c r="HI11" i="1"/>
  <c r="GW11" i="1"/>
  <c r="GK11" i="1"/>
  <c r="FY11" i="1"/>
  <c r="FM11" i="1"/>
  <c r="FA11" i="1"/>
  <c r="EO11" i="1"/>
  <c r="EC11" i="1"/>
  <c r="DQ11" i="1"/>
  <c r="DE11" i="1"/>
  <c r="CS11" i="1"/>
  <c r="CG11" i="1"/>
  <c r="BU11" i="1"/>
  <c r="BI11" i="1"/>
  <c r="AK11" i="1"/>
  <c r="Y11" i="1"/>
  <c r="CD11" i="1"/>
  <c r="GH11" i="1"/>
  <c r="CP11" i="1"/>
  <c r="J11" i="1"/>
  <c r="ID21" i="1"/>
  <c r="EL21" i="1"/>
  <c r="AT21" i="1"/>
  <c r="HC21" i="1"/>
  <c r="DK21" i="1"/>
  <c r="S21" i="1"/>
  <c r="GN21" i="1"/>
  <c r="CV21" i="1"/>
  <c r="JE21" i="1"/>
  <c r="FM21" i="1"/>
  <c r="BU21" i="1"/>
  <c r="JE29" i="1"/>
  <c r="IS29" i="1"/>
  <c r="IG29" i="1"/>
  <c r="HU29" i="1"/>
  <c r="HI29" i="1"/>
  <c r="GW29" i="1"/>
  <c r="GK29" i="1"/>
  <c r="FY29" i="1"/>
  <c r="FM29" i="1"/>
  <c r="FA29" i="1"/>
  <c r="EO29" i="1"/>
  <c r="EC29" i="1"/>
  <c r="DQ29" i="1"/>
  <c r="DE29" i="1"/>
  <c r="CS29" i="1"/>
  <c r="CG29" i="1"/>
  <c r="BU29" i="1"/>
  <c r="BI29" i="1"/>
  <c r="AW29" i="1"/>
  <c r="AK29" i="1"/>
  <c r="Y29" i="1"/>
  <c r="M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IV29" i="1"/>
  <c r="IJ29" i="1"/>
  <c r="HX29" i="1"/>
  <c r="HL29" i="1"/>
  <c r="GZ29" i="1"/>
  <c r="GN29" i="1"/>
  <c r="GB29" i="1"/>
  <c r="FP29" i="1"/>
  <c r="FD29" i="1"/>
  <c r="ER29" i="1"/>
  <c r="EF29" i="1"/>
  <c r="DT29" i="1"/>
  <c r="DH29" i="1"/>
  <c r="CV29" i="1"/>
  <c r="CJ29" i="1"/>
  <c r="BX29" i="1"/>
  <c r="BL29" i="1"/>
  <c r="AZ29" i="1"/>
  <c r="AN29" i="1"/>
  <c r="AB29" i="1"/>
  <c r="P29" i="1"/>
  <c r="JH30" i="1"/>
  <c r="IV30" i="1"/>
  <c r="IJ30" i="1"/>
  <c r="HX30" i="1"/>
  <c r="HL30" i="1"/>
  <c r="GZ30" i="1"/>
  <c r="GN30" i="1"/>
  <c r="GB30" i="1"/>
  <c r="FP30" i="1"/>
  <c r="FD30" i="1"/>
  <c r="ER30" i="1"/>
  <c r="EF30" i="1"/>
  <c r="DT30" i="1"/>
  <c r="DH30" i="1"/>
  <c r="CV30" i="1"/>
  <c r="CJ30" i="1"/>
  <c r="BX30" i="1"/>
  <c r="BL30" i="1"/>
  <c r="AZ30" i="1"/>
  <c r="AN30" i="1"/>
  <c r="AB30" i="1"/>
  <c r="P30" i="1"/>
  <c r="JE30" i="1"/>
  <c r="IS30" i="1"/>
  <c r="IG30" i="1"/>
  <c r="HU30" i="1"/>
  <c r="HI30" i="1"/>
  <c r="GW30" i="1"/>
  <c r="GK30" i="1"/>
  <c r="FY30" i="1"/>
  <c r="FM30" i="1"/>
  <c r="FA30" i="1"/>
  <c r="EO30" i="1"/>
  <c r="EC30" i="1"/>
  <c r="DQ30" i="1"/>
  <c r="DE30" i="1"/>
  <c r="CS30" i="1"/>
  <c r="CG30" i="1"/>
  <c r="BU30" i="1"/>
  <c r="BI30" i="1"/>
  <c r="AW30" i="1"/>
  <c r="AK30" i="1"/>
  <c r="Y30" i="1"/>
  <c r="M30" i="1"/>
  <c r="JB30" i="1"/>
  <c r="IP30" i="1"/>
  <c r="ID30" i="1"/>
  <c r="HR30" i="1"/>
  <c r="HF30" i="1"/>
  <c r="GT30" i="1"/>
  <c r="GH30" i="1"/>
  <c r="FV30" i="1"/>
  <c r="FJ30" i="1"/>
  <c r="EX30" i="1"/>
  <c r="EL30" i="1"/>
  <c r="DZ30" i="1"/>
  <c r="DN30" i="1"/>
  <c r="DB30" i="1"/>
  <c r="CP30" i="1"/>
  <c r="CD30" i="1"/>
  <c r="BR30" i="1"/>
  <c r="BF30" i="1"/>
  <c r="AT30" i="1"/>
  <c r="AH30" i="1"/>
  <c r="V30" i="1"/>
  <c r="J30" i="1"/>
  <c r="IY30" i="1"/>
  <c r="IM30" i="1"/>
  <c r="IA30" i="1"/>
  <c r="HO30" i="1"/>
  <c r="HC30" i="1"/>
  <c r="GQ30" i="1"/>
  <c r="GE30" i="1"/>
  <c r="FS30" i="1"/>
  <c r="FG30" i="1"/>
  <c r="EU30" i="1"/>
  <c r="EI30" i="1"/>
  <c r="DW30" i="1"/>
  <c r="DK30" i="1"/>
  <c r="CY30" i="1"/>
  <c r="CM30" i="1"/>
  <c r="CA30" i="1"/>
  <c r="BO30" i="1"/>
  <c r="BC30" i="1"/>
  <c r="AQ30" i="1"/>
  <c r="AE30" i="1"/>
  <c r="S30" i="1"/>
  <c r="G30" i="1"/>
  <c r="E11" i="2"/>
  <c r="FY11" i="2" s="1"/>
  <c r="JH31" i="1"/>
  <c r="IV31" i="1"/>
  <c r="IJ31" i="1"/>
  <c r="HX31" i="1"/>
  <c r="HL31" i="1"/>
  <c r="GZ31" i="1"/>
  <c r="GN31" i="1"/>
  <c r="GB31" i="1"/>
  <c r="FP31" i="1"/>
  <c r="FD31" i="1"/>
  <c r="ER31" i="1"/>
  <c r="EF31" i="1"/>
  <c r="DT31" i="1"/>
  <c r="DH31" i="1"/>
  <c r="CV31" i="1"/>
  <c r="CJ31" i="1"/>
  <c r="BX31" i="1"/>
  <c r="BL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IA31" i="1"/>
  <c r="EI31" i="1"/>
  <c r="AH31" i="1"/>
  <c r="G31" i="1"/>
  <c r="FS31" i="1"/>
  <c r="CA31" i="1"/>
  <c r="AT31" i="1"/>
  <c r="S31" i="1"/>
  <c r="HC31" i="1"/>
  <c r="DK31" i="1"/>
  <c r="BF31" i="1"/>
  <c r="AE31" i="1"/>
  <c r="IM31" i="1"/>
  <c r="EU31" i="1"/>
  <c r="AQ31" i="1"/>
  <c r="P31" i="1"/>
  <c r="GE31" i="1"/>
  <c r="CM31" i="1"/>
  <c r="BC31" i="1"/>
  <c r="AB31" i="1"/>
  <c r="HO31" i="1"/>
  <c r="DW31" i="1"/>
  <c r="AN31" i="1"/>
  <c r="IY31" i="1"/>
  <c r="FG31" i="1"/>
  <c r="BO31" i="1"/>
  <c r="AZ31" i="1"/>
  <c r="J31" i="1"/>
  <c r="GQ31" i="1"/>
  <c r="CY31" i="1"/>
  <c r="V31" i="1"/>
  <c r="C30" i="45"/>
  <c r="BG31" i="48"/>
  <c r="AD33" i="48"/>
  <c r="J33" i="48"/>
  <c r="I33" i="48"/>
  <c r="AV33" i="48"/>
  <c r="O9" i="45"/>
  <c r="I48" i="28"/>
  <c r="I45" i="28"/>
  <c r="C32" i="45"/>
  <c r="AP33" i="48"/>
  <c r="S9" i="45"/>
  <c r="G9" i="45"/>
  <c r="K9" i="45"/>
  <c r="AC9" i="45"/>
  <c r="W9" i="45"/>
  <c r="E35" i="2"/>
  <c r="FY35" i="2" s="1"/>
  <c r="E39" i="2"/>
  <c r="FY39" i="2" s="1"/>
  <c r="I45" i="19"/>
  <c r="R23" i="48"/>
  <c r="BB23" i="48" s="1"/>
  <c r="I45" i="31"/>
  <c r="R11" i="48"/>
  <c r="BB11" i="48" s="1"/>
  <c r="E15" i="2"/>
  <c r="FY15" i="2" s="1"/>
  <c r="AV13" i="48"/>
  <c r="AD13" i="48"/>
  <c r="E14" i="1"/>
  <c r="JK14" i="1" s="1"/>
  <c r="I13" i="48"/>
  <c r="J13" i="48"/>
  <c r="AJ13" i="48"/>
  <c r="E38" i="2"/>
  <c r="AU23" i="48"/>
  <c r="M24" i="48"/>
  <c r="BA24" i="48" s="1"/>
  <c r="AV22" i="48"/>
  <c r="E23" i="1"/>
  <c r="JK23" i="1" s="1"/>
  <c r="AJ22" i="48"/>
  <c r="I22" i="48"/>
  <c r="J22" i="48"/>
  <c r="AD22" i="48"/>
  <c r="AP22" i="48"/>
  <c r="E30" i="2"/>
  <c r="FY30" i="2" s="1"/>
  <c r="I12" i="48"/>
  <c r="E13" i="1"/>
  <c r="JK13" i="1" s="1"/>
  <c r="AJ12" i="48"/>
  <c r="AD12" i="48"/>
  <c r="J12" i="48"/>
  <c r="AV12" i="48"/>
  <c r="AD15" i="48"/>
  <c r="E16" i="1"/>
  <c r="AJ15" i="48"/>
  <c r="AV15" i="48"/>
  <c r="J15" i="48"/>
  <c r="I15" i="48"/>
  <c r="AP15" i="48"/>
  <c r="K34" i="6"/>
  <c r="AP13" i="48"/>
  <c r="AP12" i="48"/>
  <c r="E21" i="2"/>
  <c r="FY21" i="2" s="1"/>
  <c r="E29" i="2"/>
  <c r="FY29" i="2" s="1"/>
  <c r="E31" i="2"/>
  <c r="FY31" i="2" s="1"/>
  <c r="E27" i="1"/>
  <c r="JK27" i="1" s="1"/>
  <c r="AJ26" i="48"/>
  <c r="I26" i="48"/>
  <c r="AD26" i="48"/>
  <c r="AV26" i="48"/>
  <c r="J26" i="48"/>
  <c r="AP26" i="48"/>
  <c r="AN41" i="48"/>
  <c r="AO10" i="48"/>
  <c r="AM11" i="48"/>
  <c r="I48" i="19"/>
  <c r="I45" i="20"/>
  <c r="I48" i="20"/>
  <c r="K34" i="33"/>
  <c r="M7" i="33"/>
  <c r="M7" i="32" s="1"/>
  <c r="E39" i="31"/>
  <c r="K34" i="25"/>
  <c r="K34" i="22"/>
  <c r="K34" i="15"/>
  <c r="D38" i="31"/>
  <c r="D38" i="30" s="1"/>
  <c r="D53" i="32"/>
  <c r="E38" i="32"/>
  <c r="E53" i="32" s="1"/>
  <c r="E54" i="32" s="1"/>
  <c r="D52" i="26"/>
  <c r="E52" i="28"/>
  <c r="E50" i="31"/>
  <c r="E49" i="31"/>
  <c r="E47" i="31"/>
  <c r="E45" i="31"/>
  <c r="E43" i="31"/>
  <c r="E41" i="31"/>
  <c r="E48" i="31"/>
  <c r="E46" i="31"/>
  <c r="E42" i="31"/>
  <c r="J39" i="32"/>
  <c r="J37" i="31"/>
  <c r="J37" i="30" s="1"/>
  <c r="J39" i="30" s="1"/>
  <c r="J38" i="28"/>
  <c r="J57" i="19"/>
  <c r="J44" i="31"/>
  <c r="J47" i="31"/>
  <c r="BI40" i="1" l="1"/>
  <c r="DT40" i="1"/>
  <c r="HR40" i="1"/>
  <c r="CJ40" i="1"/>
  <c r="CD40" i="1"/>
  <c r="IA40" i="1"/>
  <c r="CY40" i="1"/>
  <c r="GW40" i="1"/>
  <c r="BC40" i="1"/>
  <c r="BR40" i="1"/>
  <c r="CS40" i="1"/>
  <c r="HX40" i="1"/>
  <c r="HL26" i="1"/>
  <c r="JK26" i="1"/>
  <c r="E34" i="2"/>
  <c r="FY34" i="2" s="1"/>
  <c r="JK34" i="1"/>
  <c r="M16" i="1"/>
  <c r="JK16" i="1"/>
  <c r="GE32" i="1"/>
  <c r="JK32" i="1"/>
  <c r="E36" i="2"/>
  <c r="FY36" i="2" s="1"/>
  <c r="JK36" i="1"/>
  <c r="HR21" i="1"/>
  <c r="JK21" i="1"/>
  <c r="AW15" i="1"/>
  <c r="X147" i="55"/>
  <c r="O45" i="54" s="1"/>
  <c r="P45" i="54" s="1"/>
  <c r="Q45" i="54" s="1"/>
  <c r="X150" i="55"/>
  <c r="X152" i="55"/>
  <c r="W34" i="45"/>
  <c r="IS36" i="1"/>
  <c r="EF36" i="1"/>
  <c r="IM36" i="1"/>
  <c r="FV36" i="1"/>
  <c r="HL36" i="1"/>
  <c r="DQ36" i="1"/>
  <c r="DN36" i="1"/>
  <c r="AQ36" i="1"/>
  <c r="EX36" i="1"/>
  <c r="EC36" i="1"/>
  <c r="BC36" i="1"/>
  <c r="AT36" i="1"/>
  <c r="AB36" i="1"/>
  <c r="EI36" i="1"/>
  <c r="BI36" i="1"/>
  <c r="AN36" i="1"/>
  <c r="EU36" i="1"/>
  <c r="ID36" i="1"/>
  <c r="DT36" i="1"/>
  <c r="IA36" i="1"/>
  <c r="FM36" i="1"/>
  <c r="CP36" i="1"/>
  <c r="AH36" i="1"/>
  <c r="HR36" i="1"/>
  <c r="FJ36" i="1"/>
  <c r="AZ36" i="1"/>
  <c r="ER36" i="1"/>
  <c r="IJ36" i="1"/>
  <c r="BO36" i="1"/>
  <c r="FG36" i="1"/>
  <c r="IY36" i="1"/>
  <c r="Z34" i="45"/>
  <c r="J36" i="1"/>
  <c r="GT36" i="1"/>
  <c r="DE36" i="1"/>
  <c r="AW36" i="1"/>
  <c r="IG36" i="1"/>
  <c r="FY36" i="1"/>
  <c r="BL36" i="1"/>
  <c r="FD36" i="1"/>
  <c r="IV36" i="1"/>
  <c r="CA36" i="1"/>
  <c r="FS36" i="1"/>
  <c r="Y36" i="1"/>
  <c r="HI36" i="1"/>
  <c r="EL36" i="1"/>
  <c r="CD36" i="1"/>
  <c r="V36" i="1"/>
  <c r="HF36" i="1"/>
  <c r="BX36" i="1"/>
  <c r="FP36" i="1"/>
  <c r="JH36" i="1"/>
  <c r="CM36" i="1"/>
  <c r="GE36" i="1"/>
  <c r="AC34" i="45"/>
  <c r="CJ36" i="1"/>
  <c r="GB36" i="1"/>
  <c r="G36" i="1"/>
  <c r="CY36" i="1"/>
  <c r="GQ36" i="1"/>
  <c r="K34" i="45"/>
  <c r="BF36" i="1"/>
  <c r="IP36" i="1"/>
  <c r="FA36" i="1"/>
  <c r="CS36" i="1"/>
  <c r="AK36" i="1"/>
  <c r="HU36" i="1"/>
  <c r="BU36" i="1"/>
  <c r="JE36" i="1"/>
  <c r="GH36" i="1"/>
  <c r="DZ36" i="1"/>
  <c r="BR36" i="1"/>
  <c r="JB36" i="1"/>
  <c r="CV36" i="1"/>
  <c r="GN36" i="1"/>
  <c r="S36" i="1"/>
  <c r="DK36" i="1"/>
  <c r="HC36" i="1"/>
  <c r="S34" i="45"/>
  <c r="G34" i="45"/>
  <c r="DB36" i="1"/>
  <c r="M36" i="1"/>
  <c r="GW36" i="1"/>
  <c r="EO36" i="1"/>
  <c r="CG36" i="1"/>
  <c r="P36" i="1"/>
  <c r="DH36" i="1"/>
  <c r="GZ36" i="1"/>
  <c r="AE36" i="1"/>
  <c r="DW36" i="1"/>
  <c r="HO36" i="1"/>
  <c r="CG21" i="1"/>
  <c r="FY21" i="1"/>
  <c r="P21" i="1"/>
  <c r="DH21" i="1"/>
  <c r="GZ21" i="1"/>
  <c r="AE21" i="1"/>
  <c r="DW21" i="1"/>
  <c r="HO21" i="1"/>
  <c r="BF21" i="1"/>
  <c r="EX21" i="1"/>
  <c r="IP21" i="1"/>
  <c r="CS21" i="1"/>
  <c r="GK21" i="1"/>
  <c r="AB21" i="1"/>
  <c r="DT21" i="1"/>
  <c r="HL21" i="1"/>
  <c r="AQ21" i="1"/>
  <c r="EI21" i="1"/>
  <c r="IA21" i="1"/>
  <c r="BR21" i="1"/>
  <c r="FJ21" i="1"/>
  <c r="JB21" i="1"/>
  <c r="M21" i="1"/>
  <c r="DE21" i="1"/>
  <c r="GW21" i="1"/>
  <c r="AN21" i="1"/>
  <c r="EF21" i="1"/>
  <c r="HX21" i="1"/>
  <c r="BC21" i="1"/>
  <c r="EU21" i="1"/>
  <c r="IM21" i="1"/>
  <c r="CD21" i="1"/>
  <c r="FV21" i="1"/>
  <c r="Y21" i="1"/>
  <c r="DQ21" i="1"/>
  <c r="HI21" i="1"/>
  <c r="AZ21" i="1"/>
  <c r="ER21" i="1"/>
  <c r="IJ21" i="1"/>
  <c r="BO21" i="1"/>
  <c r="FG21" i="1"/>
  <c r="IY21" i="1"/>
  <c r="CP21" i="1"/>
  <c r="GH21" i="1"/>
  <c r="AK21" i="1"/>
  <c r="EC21" i="1"/>
  <c r="HU21" i="1"/>
  <c r="BL21" i="1"/>
  <c r="FD21" i="1"/>
  <c r="IV21" i="1"/>
  <c r="CA21" i="1"/>
  <c r="FS21" i="1"/>
  <c r="J21" i="1"/>
  <c r="DB21" i="1"/>
  <c r="GT21" i="1"/>
  <c r="AW21" i="1"/>
  <c r="EO21" i="1"/>
  <c r="IG21" i="1"/>
  <c r="BX21" i="1"/>
  <c r="FP21" i="1"/>
  <c r="JH21" i="1"/>
  <c r="CM21" i="1"/>
  <c r="GE21" i="1"/>
  <c r="V21" i="1"/>
  <c r="DN21" i="1"/>
  <c r="HF21" i="1"/>
  <c r="BI21" i="1"/>
  <c r="FA21" i="1"/>
  <c r="IS21" i="1"/>
  <c r="CJ21" i="1"/>
  <c r="GB21" i="1"/>
  <c r="G21" i="1"/>
  <c r="CY21" i="1"/>
  <c r="GQ21" i="1"/>
  <c r="AH21" i="1"/>
  <c r="DZ21" i="1"/>
  <c r="J11" i="17"/>
  <c r="J11" i="16" s="1"/>
  <c r="J11" i="15" s="1"/>
  <c r="J11" i="14" s="1"/>
  <c r="J11" i="13" s="1"/>
  <c r="J11" i="12" s="1"/>
  <c r="J11" i="11" s="1"/>
  <c r="J11" i="10" s="1"/>
  <c r="J11" i="9" s="1"/>
  <c r="J17" i="17"/>
  <c r="J17" i="16" s="1"/>
  <c r="J17" i="15" s="1"/>
  <c r="J17" i="14" s="1"/>
  <c r="J17" i="13" s="1"/>
  <c r="J19" i="17"/>
  <c r="J19" i="16" s="1"/>
  <c r="J19" i="15" s="1"/>
  <c r="J19" i="14" s="1"/>
  <c r="J19" i="13" s="1"/>
  <c r="J19" i="12" s="1"/>
  <c r="J19" i="11" s="1"/>
  <c r="J19" i="10" s="1"/>
  <c r="J19" i="9" s="1"/>
  <c r="J10" i="17"/>
  <c r="J10" i="16" s="1"/>
  <c r="J10" i="15" s="1"/>
  <c r="J10" i="14" s="1"/>
  <c r="J10" i="13" s="1"/>
  <c r="J10" i="12" s="1"/>
  <c r="J10" i="11" s="1"/>
  <c r="J10" i="10" s="1"/>
  <c r="J10" i="9" s="1"/>
  <c r="J22" i="17"/>
  <c r="J22" i="16" s="1"/>
  <c r="J22" i="15" s="1"/>
  <c r="J22" i="14" s="1"/>
  <c r="J22" i="13" s="1"/>
  <c r="J22" i="12" s="1"/>
  <c r="J22" i="11" s="1"/>
  <c r="J22" i="10" s="1"/>
  <c r="J22" i="9" s="1"/>
  <c r="J12" i="17"/>
  <c r="J12" i="16" s="1"/>
  <c r="J12" i="15" s="1"/>
  <c r="J12" i="14" s="1"/>
  <c r="J12" i="13" s="1"/>
  <c r="J12" i="12" s="1"/>
  <c r="J12" i="11" s="1"/>
  <c r="J12" i="10" s="1"/>
  <c r="J12" i="9" s="1"/>
  <c r="J27" i="17"/>
  <c r="J27" i="16" s="1"/>
  <c r="J27" i="15" s="1"/>
  <c r="J27" i="14" s="1"/>
  <c r="J27" i="13" s="1"/>
  <c r="J27" i="12" s="1"/>
  <c r="J27" i="11" s="1"/>
  <c r="J27" i="10" s="1"/>
  <c r="J27" i="9" s="1"/>
  <c r="J13" i="17"/>
  <c r="J13" i="16" s="1"/>
  <c r="J13" i="15" s="1"/>
  <c r="J13" i="14" s="1"/>
  <c r="J13" i="13" s="1"/>
  <c r="J13" i="12" s="1"/>
  <c r="J13" i="8" s="1"/>
  <c r="J13" i="7" s="1"/>
  <c r="J13" i="6" s="1"/>
  <c r="J14" i="17"/>
  <c r="J14" i="16" s="1"/>
  <c r="J14" i="15" s="1"/>
  <c r="J14" i="14" s="1"/>
  <c r="J14" i="13" s="1"/>
  <c r="J14" i="12" s="1"/>
  <c r="J14" i="11" s="1"/>
  <c r="J14" i="8" s="1"/>
  <c r="J14" i="7" s="1"/>
  <c r="J14" i="6" s="1"/>
  <c r="J23" i="17"/>
  <c r="J23" i="16" s="1"/>
  <c r="J23" i="15" s="1"/>
  <c r="J23" i="14" s="1"/>
  <c r="J23" i="13" s="1"/>
  <c r="J23" i="12" s="1"/>
  <c r="J23" i="11" s="1"/>
  <c r="J23" i="10" s="1"/>
  <c r="J23" i="9" s="1"/>
  <c r="EC26" i="1"/>
  <c r="E26" i="2"/>
  <c r="FY26" i="2" s="1"/>
  <c r="HU26" i="1"/>
  <c r="CA26" i="1"/>
  <c r="FS26" i="1"/>
  <c r="FD26" i="1"/>
  <c r="J26" i="1"/>
  <c r="IV26" i="1"/>
  <c r="BL26" i="1"/>
  <c r="DB26" i="1"/>
  <c r="GT26" i="1"/>
  <c r="AK26" i="1"/>
  <c r="BC26" i="1"/>
  <c r="EU26" i="1"/>
  <c r="IM26" i="1"/>
  <c r="CD26" i="1"/>
  <c r="FV26" i="1"/>
  <c r="M26" i="1"/>
  <c r="DE26" i="1"/>
  <c r="GW26" i="1"/>
  <c r="AN26" i="1"/>
  <c r="EF26" i="1"/>
  <c r="HX26" i="1"/>
  <c r="BO26" i="1"/>
  <c r="FG26" i="1"/>
  <c r="IY26" i="1"/>
  <c r="CP26" i="1"/>
  <c r="GH26" i="1"/>
  <c r="Y26" i="1"/>
  <c r="DQ26" i="1"/>
  <c r="HI26" i="1"/>
  <c r="AZ26" i="1"/>
  <c r="ER26" i="1"/>
  <c r="IJ26" i="1"/>
  <c r="CM26" i="1"/>
  <c r="GE26" i="1"/>
  <c r="V26" i="1"/>
  <c r="DN26" i="1"/>
  <c r="HF26" i="1"/>
  <c r="AW26" i="1"/>
  <c r="EO26" i="1"/>
  <c r="IG26" i="1"/>
  <c r="BX26" i="1"/>
  <c r="FP26" i="1"/>
  <c r="JH26" i="1"/>
  <c r="J32" i="25"/>
  <c r="G26" i="1"/>
  <c r="CY26" i="1"/>
  <c r="GQ26" i="1"/>
  <c r="AH26" i="1"/>
  <c r="DZ26" i="1"/>
  <c r="HR26" i="1"/>
  <c r="BI26" i="1"/>
  <c r="FA26" i="1"/>
  <c r="IS26" i="1"/>
  <c r="CJ26" i="1"/>
  <c r="GB26" i="1"/>
  <c r="S26" i="1"/>
  <c r="DK26" i="1"/>
  <c r="HC26" i="1"/>
  <c r="AT26" i="1"/>
  <c r="EL26" i="1"/>
  <c r="ID26" i="1"/>
  <c r="BU26" i="1"/>
  <c r="FM26" i="1"/>
  <c r="JE26" i="1"/>
  <c r="CV26" i="1"/>
  <c r="GN26" i="1"/>
  <c r="AE26" i="1"/>
  <c r="DW26" i="1"/>
  <c r="HO26" i="1"/>
  <c r="BF26" i="1"/>
  <c r="EX26" i="1"/>
  <c r="IP26" i="1"/>
  <c r="CG26" i="1"/>
  <c r="FY26" i="1"/>
  <c r="P26" i="1"/>
  <c r="DH26" i="1"/>
  <c r="GZ26" i="1"/>
  <c r="AQ26" i="1"/>
  <c r="EI26" i="1"/>
  <c r="IA26" i="1"/>
  <c r="BR26" i="1"/>
  <c r="FJ26" i="1"/>
  <c r="JB26" i="1"/>
  <c r="CS26" i="1"/>
  <c r="GK26" i="1"/>
  <c r="AB26" i="1"/>
  <c r="DT26" i="1"/>
  <c r="BG24" i="48"/>
  <c r="BB24" i="48"/>
  <c r="S13" i="45"/>
  <c r="Z13" i="45"/>
  <c r="J27" i="25"/>
  <c r="K24" i="45"/>
  <c r="J16" i="28"/>
  <c r="J28" i="26"/>
  <c r="J15" i="26"/>
  <c r="J15" i="25" s="1"/>
  <c r="J15" i="24" s="1"/>
  <c r="J15" i="23" s="1"/>
  <c r="J15" i="21" s="1"/>
  <c r="J30" i="25"/>
  <c r="J30" i="24"/>
  <c r="J30" i="23" s="1"/>
  <c r="J30" i="21" s="1"/>
  <c r="J30" i="22" s="1"/>
  <c r="J30" i="20" s="1"/>
  <c r="J30" i="19" s="1"/>
  <c r="J30" i="18" s="1"/>
  <c r="J18" i="26"/>
  <c r="J18" i="25" s="1"/>
  <c r="J18" i="24" s="1"/>
  <c r="J18" i="23" s="1"/>
  <c r="J18" i="21" s="1"/>
  <c r="J18" i="22" s="1"/>
  <c r="J18" i="20" s="1"/>
  <c r="J18" i="19" s="1"/>
  <c r="J18" i="18" s="1"/>
  <c r="J26" i="26"/>
  <c r="J26" i="25" s="1"/>
  <c r="J29" i="24"/>
  <c r="J29" i="23" s="1"/>
  <c r="J29" i="21" s="1"/>
  <c r="J29" i="22" s="1"/>
  <c r="J29" i="20" s="1"/>
  <c r="J29" i="19" s="1"/>
  <c r="J29" i="18" s="1"/>
  <c r="J29" i="25"/>
  <c r="Z24" i="45"/>
  <c r="G24" i="45"/>
  <c r="EO32" i="1"/>
  <c r="W24" i="45"/>
  <c r="AC24" i="45"/>
  <c r="K19" i="45"/>
  <c r="S24" i="45"/>
  <c r="Z12" i="45"/>
  <c r="IS32" i="1"/>
  <c r="GB32" i="1"/>
  <c r="BF32" i="1"/>
  <c r="J32" i="1"/>
  <c r="BR32" i="1"/>
  <c r="E32" i="2"/>
  <c r="FY32" i="2" s="1"/>
  <c r="EX32" i="1"/>
  <c r="BI32" i="1"/>
  <c r="CP32" i="1"/>
  <c r="CJ32" i="1"/>
  <c r="GH32" i="1"/>
  <c r="CY32" i="1"/>
  <c r="HF32" i="1"/>
  <c r="GQ32" i="1"/>
  <c r="Y32" i="1"/>
  <c r="V32" i="1"/>
  <c r="DN32" i="1"/>
  <c r="HR32" i="1"/>
  <c r="FA32" i="1"/>
  <c r="HL32" i="1"/>
  <c r="M13" i="1"/>
  <c r="AW13" i="1"/>
  <c r="CD32" i="1"/>
  <c r="DZ32" i="1"/>
  <c r="ID32" i="1"/>
  <c r="GK32" i="1"/>
  <c r="G32" i="1"/>
  <c r="AT32" i="1"/>
  <c r="EL32" i="1"/>
  <c r="JB32" i="1"/>
  <c r="IG32" i="1"/>
  <c r="AQ32" i="1"/>
  <c r="M14" i="1"/>
  <c r="AW14" i="1"/>
  <c r="DB32" i="1"/>
  <c r="FJ32" i="1"/>
  <c r="AW32" i="1"/>
  <c r="AB32" i="1"/>
  <c r="EI32" i="1"/>
  <c r="AH32" i="1"/>
  <c r="GT32" i="1"/>
  <c r="CS32" i="1"/>
  <c r="DT32" i="1"/>
  <c r="IA32" i="1"/>
  <c r="BU32" i="1"/>
  <c r="FM32" i="1"/>
  <c r="JE32" i="1"/>
  <c r="CV32" i="1"/>
  <c r="GN32" i="1"/>
  <c r="S32" i="1"/>
  <c r="DK32" i="1"/>
  <c r="HC32" i="1"/>
  <c r="K13" i="45"/>
  <c r="I48" i="18"/>
  <c r="IP32" i="1"/>
  <c r="CG32" i="1"/>
  <c r="FY32" i="1"/>
  <c r="P32" i="1"/>
  <c r="DH32" i="1"/>
  <c r="GZ32" i="1"/>
  <c r="AE32" i="1"/>
  <c r="DW32" i="1"/>
  <c r="HO32" i="1"/>
  <c r="AV24" i="48"/>
  <c r="AJ24" i="48"/>
  <c r="FV32" i="1"/>
  <c r="M32" i="1"/>
  <c r="DE32" i="1"/>
  <c r="GW32" i="1"/>
  <c r="AN32" i="1"/>
  <c r="EF32" i="1"/>
  <c r="HX32" i="1"/>
  <c r="BC32" i="1"/>
  <c r="EU32" i="1"/>
  <c r="IM32" i="1"/>
  <c r="O13" i="45"/>
  <c r="DQ32" i="1"/>
  <c r="HI32" i="1"/>
  <c r="AZ32" i="1"/>
  <c r="ER32" i="1"/>
  <c r="IJ32" i="1"/>
  <c r="BO32" i="1"/>
  <c r="FG32" i="1"/>
  <c r="IY32" i="1"/>
  <c r="G13" i="45"/>
  <c r="AK32" i="1"/>
  <c r="EC32" i="1"/>
  <c r="HU32" i="1"/>
  <c r="BL32" i="1"/>
  <c r="FD32" i="1"/>
  <c r="IV32" i="1"/>
  <c r="CA32" i="1"/>
  <c r="FS32" i="1"/>
  <c r="BX32" i="1"/>
  <c r="FP32" i="1"/>
  <c r="JH32" i="1"/>
  <c r="CM32" i="1"/>
  <c r="W13" i="45"/>
  <c r="M27" i="29"/>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29" s="1"/>
  <c r="M14" i="27" s="1"/>
  <c r="M14" i="28" s="1"/>
  <c r="M14" i="26" s="1"/>
  <c r="M14" i="25" s="1"/>
  <c r="M14" i="24" s="1"/>
  <c r="M14" i="23" s="1"/>
  <c r="M14" i="21" s="1"/>
  <c r="M14" i="22" s="1"/>
  <c r="M14" i="20" s="1"/>
  <c r="M14" i="19" s="1"/>
  <c r="M14" i="18" s="1"/>
  <c r="M34" i="32"/>
  <c r="D53" i="30"/>
  <c r="E38" i="30"/>
  <c r="E53" i="30" s="1"/>
  <c r="E54" i="30" s="1"/>
  <c r="I40" i="6"/>
  <c r="R36" i="48" s="1"/>
  <c r="AC19" i="45"/>
  <c r="O19" i="45"/>
  <c r="S19" i="45"/>
  <c r="C23" i="45"/>
  <c r="O23" i="45" s="1"/>
  <c r="AD24" i="48"/>
  <c r="S14" i="45"/>
  <c r="I24" i="48"/>
  <c r="I45" i="18"/>
  <c r="E25" i="1"/>
  <c r="AP24" i="48"/>
  <c r="Z19" i="45"/>
  <c r="W19" i="45"/>
  <c r="J24" i="48"/>
  <c r="I40" i="15"/>
  <c r="R27" i="48" s="1"/>
  <c r="BG27" i="48" s="1"/>
  <c r="J8" i="13"/>
  <c r="J8" i="12" s="1"/>
  <c r="J8" i="11" s="1"/>
  <c r="J8" i="10" s="1"/>
  <c r="J8" i="9" s="1"/>
  <c r="S12" i="45"/>
  <c r="O12" i="45"/>
  <c r="K12" i="45"/>
  <c r="G12" i="45"/>
  <c r="W12" i="45"/>
  <c r="AC21" i="45"/>
  <c r="Z21" i="45"/>
  <c r="K21" i="45"/>
  <c r="G21" i="45"/>
  <c r="W21" i="45"/>
  <c r="S21" i="45"/>
  <c r="W25" i="45"/>
  <c r="O14" i="45"/>
  <c r="K11" i="45"/>
  <c r="W11" i="45"/>
  <c r="K14" i="45"/>
  <c r="AC11" i="45"/>
  <c r="W14" i="45"/>
  <c r="S11" i="45"/>
  <c r="AC14" i="45"/>
  <c r="Z11" i="45"/>
  <c r="Z14" i="45"/>
  <c r="O11" i="45"/>
  <c r="D44" i="29"/>
  <c r="E44" i="29" s="1"/>
  <c r="J44" i="29"/>
  <c r="J37" i="29"/>
  <c r="J39" i="29" s="1"/>
  <c r="J47" i="29"/>
  <c r="D38" i="29"/>
  <c r="C22" i="45"/>
  <c r="O22" i="45" s="1"/>
  <c r="BG23" i="48"/>
  <c r="IY16" i="1"/>
  <c r="IM16" i="1"/>
  <c r="IA16" i="1"/>
  <c r="HO16" i="1"/>
  <c r="HC16" i="1"/>
  <c r="GQ16" i="1"/>
  <c r="GE16" i="1"/>
  <c r="FS16" i="1"/>
  <c r="FG16" i="1"/>
  <c r="EU16" i="1"/>
  <c r="EI16" i="1"/>
  <c r="DW16" i="1"/>
  <c r="DK16" i="1"/>
  <c r="CY16" i="1"/>
  <c r="CM16" i="1"/>
  <c r="CA16" i="1"/>
  <c r="BO16" i="1"/>
  <c r="BC16" i="1"/>
  <c r="AQ16" i="1"/>
  <c r="AE16" i="1"/>
  <c r="S16" i="1"/>
  <c r="G16" i="1"/>
  <c r="JH16" i="1"/>
  <c r="IV16" i="1"/>
  <c r="IJ16" i="1"/>
  <c r="HX16" i="1"/>
  <c r="HL16" i="1"/>
  <c r="GZ16" i="1"/>
  <c r="GN16" i="1"/>
  <c r="GB16" i="1"/>
  <c r="FP16" i="1"/>
  <c r="FD16" i="1"/>
  <c r="ER16" i="1"/>
  <c r="EF16" i="1"/>
  <c r="DT16" i="1"/>
  <c r="DH16" i="1"/>
  <c r="CV16" i="1"/>
  <c r="CJ16" i="1"/>
  <c r="BX16" i="1"/>
  <c r="BL16" i="1"/>
  <c r="AZ16" i="1"/>
  <c r="AN16" i="1"/>
  <c r="AB16" i="1"/>
  <c r="P16" i="1"/>
  <c r="JE16" i="1"/>
  <c r="IS16" i="1"/>
  <c r="IG16" i="1"/>
  <c r="HU16" i="1"/>
  <c r="HI16" i="1"/>
  <c r="GW16" i="1"/>
  <c r="GK16" i="1"/>
  <c r="FY16" i="1"/>
  <c r="FM16" i="1"/>
  <c r="FA16" i="1"/>
  <c r="EO16" i="1"/>
  <c r="EC16" i="1"/>
  <c r="DQ16" i="1"/>
  <c r="DE16" i="1"/>
  <c r="CS16" i="1"/>
  <c r="CG16" i="1"/>
  <c r="BU16" i="1"/>
  <c r="BI16" i="1"/>
  <c r="AW16" i="1"/>
  <c r="AK16" i="1"/>
  <c r="Y16" i="1"/>
  <c r="JB16" i="1"/>
  <c r="IP16" i="1"/>
  <c r="ID16" i="1"/>
  <c r="HR16" i="1"/>
  <c r="HF16" i="1"/>
  <c r="GT16" i="1"/>
  <c r="GH16" i="1"/>
  <c r="FV16" i="1"/>
  <c r="FJ16" i="1"/>
  <c r="EX16" i="1"/>
  <c r="EL16" i="1"/>
  <c r="DZ16" i="1"/>
  <c r="DN16" i="1"/>
  <c r="DB16" i="1"/>
  <c r="CP16" i="1"/>
  <c r="CD16" i="1"/>
  <c r="BR16" i="1"/>
  <c r="BF16" i="1"/>
  <c r="AT16" i="1"/>
  <c r="AH16" i="1"/>
  <c r="V16" i="1"/>
  <c r="J16" i="1"/>
  <c r="K25" i="45"/>
  <c r="IY23" i="1"/>
  <c r="IM23" i="1"/>
  <c r="IA23" i="1"/>
  <c r="HO23" i="1"/>
  <c r="HC23" i="1"/>
  <c r="GQ23" i="1"/>
  <c r="GE23" i="1"/>
  <c r="FS23" i="1"/>
  <c r="FG23" i="1"/>
  <c r="EU23" i="1"/>
  <c r="EI23" i="1"/>
  <c r="DW23" i="1"/>
  <c r="DK23" i="1"/>
  <c r="CY23" i="1"/>
  <c r="CM23" i="1"/>
  <c r="CA23" i="1"/>
  <c r="BO23" i="1"/>
  <c r="BC23" i="1"/>
  <c r="AQ23" i="1"/>
  <c r="AE23" i="1"/>
  <c r="S23" i="1"/>
  <c r="G23"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AC25" i="45"/>
  <c r="JB14" i="1"/>
  <c r="IP14" i="1"/>
  <c r="ID14" i="1"/>
  <c r="HR14" i="1"/>
  <c r="HF14" i="1"/>
  <c r="GT14" i="1"/>
  <c r="GH14" i="1"/>
  <c r="FV14" i="1"/>
  <c r="FJ14" i="1"/>
  <c r="EX14" i="1"/>
  <c r="EL14" i="1"/>
  <c r="DZ14" i="1"/>
  <c r="DN14" i="1"/>
  <c r="DB14" i="1"/>
  <c r="CP14" i="1"/>
  <c r="CD14" i="1"/>
  <c r="BR14" i="1"/>
  <c r="BF14" i="1"/>
  <c r="AT14" i="1"/>
  <c r="AH14" i="1"/>
  <c r="V14" i="1"/>
  <c r="J14" i="1"/>
  <c r="IY14" i="1"/>
  <c r="IM14" i="1"/>
  <c r="IA14" i="1"/>
  <c r="HO14" i="1"/>
  <c r="HC14" i="1"/>
  <c r="GQ14" i="1"/>
  <c r="GE14" i="1"/>
  <c r="FS14" i="1"/>
  <c r="FG14" i="1"/>
  <c r="EU14" i="1"/>
  <c r="EI14" i="1"/>
  <c r="DW14" i="1"/>
  <c r="DK14" i="1"/>
  <c r="CY14" i="1"/>
  <c r="CM14" i="1"/>
  <c r="CA14" i="1"/>
  <c r="BO14" i="1"/>
  <c r="BC14" i="1"/>
  <c r="AQ14" i="1"/>
  <c r="AE14" i="1"/>
  <c r="S14" i="1"/>
  <c r="G14"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K14" i="1"/>
  <c r="Y14" i="1"/>
  <c r="S25" i="45"/>
  <c r="W30" i="45"/>
  <c r="O30" i="45"/>
  <c r="AC30" i="45"/>
  <c r="G30" i="45"/>
  <c r="Z30" i="45"/>
  <c r="K30" i="45"/>
  <c r="S30" i="45"/>
  <c r="IY27" i="1"/>
  <c r="IM27" i="1"/>
  <c r="IA27" i="1"/>
  <c r="HO27" i="1"/>
  <c r="HC27" i="1"/>
  <c r="GQ27" i="1"/>
  <c r="GE27" i="1"/>
  <c r="FS27" i="1"/>
  <c r="FG27" i="1"/>
  <c r="EU27" i="1"/>
  <c r="EI27" i="1"/>
  <c r="DW27" i="1"/>
  <c r="DK27" i="1"/>
  <c r="CY27" i="1"/>
  <c r="CM27" i="1"/>
  <c r="CA27" i="1"/>
  <c r="BO27" i="1"/>
  <c r="BC27" i="1"/>
  <c r="AQ27" i="1"/>
  <c r="AE27" i="1"/>
  <c r="S27" i="1"/>
  <c r="G27" i="1"/>
  <c r="JH27" i="1"/>
  <c r="IV27" i="1"/>
  <c r="IJ27" i="1"/>
  <c r="HX27" i="1"/>
  <c r="HL27" i="1"/>
  <c r="GZ27" i="1"/>
  <c r="GN27" i="1"/>
  <c r="GB27" i="1"/>
  <c r="FP27" i="1"/>
  <c r="FD27" i="1"/>
  <c r="ER27" i="1"/>
  <c r="EF27" i="1"/>
  <c r="DT27"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CJ27" i="1"/>
  <c r="AN27" i="1"/>
  <c r="DN27" i="1"/>
  <c r="BR27" i="1"/>
  <c r="V27" i="1"/>
  <c r="CV27" i="1"/>
  <c r="AZ27" i="1"/>
  <c r="CD27" i="1"/>
  <c r="AH27" i="1"/>
  <c r="DZ27" i="1"/>
  <c r="DH27" i="1"/>
  <c r="BL27" i="1"/>
  <c r="P27" i="1"/>
  <c r="CP27" i="1"/>
  <c r="AT27" i="1"/>
  <c r="BX27" i="1"/>
  <c r="AB27" i="1"/>
  <c r="DB27" i="1"/>
  <c r="BF27" i="1"/>
  <c r="J27" i="1"/>
  <c r="Z25" i="45"/>
  <c r="O25" i="45"/>
  <c r="EI13" i="1"/>
  <c r="JH13" i="1"/>
  <c r="IV13" i="1"/>
  <c r="IJ13" i="1"/>
  <c r="HX13" i="1"/>
  <c r="HL13" i="1"/>
  <c r="GZ13" i="1"/>
  <c r="GN13" i="1"/>
  <c r="GB13" i="1"/>
  <c r="FP13" i="1"/>
  <c r="FD13" i="1"/>
  <c r="ER13" i="1"/>
  <c r="EF13" i="1"/>
  <c r="DT13" i="1"/>
  <c r="DH13" i="1"/>
  <c r="CV13" i="1"/>
  <c r="CJ13" i="1"/>
  <c r="BX13" i="1"/>
  <c r="BL13" i="1"/>
  <c r="AZ13" i="1"/>
  <c r="AN13" i="1"/>
  <c r="AB13" i="1"/>
  <c r="P13" i="1"/>
  <c r="IM13" i="1"/>
  <c r="GQ13" i="1"/>
  <c r="FS13" i="1"/>
  <c r="DK13" i="1"/>
  <c r="BC13" i="1"/>
  <c r="G13" i="1"/>
  <c r="CY13" i="1"/>
  <c r="S13" i="1"/>
  <c r="JE13" i="1"/>
  <c r="IS13" i="1"/>
  <c r="IG13" i="1"/>
  <c r="HU13" i="1"/>
  <c r="HI13" i="1"/>
  <c r="GW13" i="1"/>
  <c r="GK13" i="1"/>
  <c r="FY13" i="1"/>
  <c r="FM13" i="1"/>
  <c r="FA13" i="1"/>
  <c r="EO13" i="1"/>
  <c r="EC13" i="1"/>
  <c r="DQ13" i="1"/>
  <c r="DE13" i="1"/>
  <c r="CS13" i="1"/>
  <c r="CG13" i="1"/>
  <c r="BU13" i="1"/>
  <c r="BI13" i="1"/>
  <c r="AK13" i="1"/>
  <c r="Y13" i="1"/>
  <c r="HO13" i="1"/>
  <c r="CA13" i="1"/>
  <c r="HC13" i="1"/>
  <c r="DW13" i="1"/>
  <c r="AQ13" i="1"/>
  <c r="JB13" i="1"/>
  <c r="IP13" i="1"/>
  <c r="ID13" i="1"/>
  <c r="HR13" i="1"/>
  <c r="HF13" i="1"/>
  <c r="GT13" i="1"/>
  <c r="GH13" i="1"/>
  <c r="FV13" i="1"/>
  <c r="FJ13" i="1"/>
  <c r="EX13" i="1"/>
  <c r="EL13" i="1"/>
  <c r="DZ13" i="1"/>
  <c r="DN13" i="1"/>
  <c r="DB13" i="1"/>
  <c r="CP13" i="1"/>
  <c r="CD13" i="1"/>
  <c r="BR13" i="1"/>
  <c r="BF13" i="1"/>
  <c r="AT13" i="1"/>
  <c r="AH13" i="1"/>
  <c r="V13" i="1"/>
  <c r="J13" i="1"/>
  <c r="IA13" i="1"/>
  <c r="GE13" i="1"/>
  <c r="EU13" i="1"/>
  <c r="CM13" i="1"/>
  <c r="AE13" i="1"/>
  <c r="IY13" i="1"/>
  <c r="FG13" i="1"/>
  <c r="BO13" i="1"/>
  <c r="C10" i="45"/>
  <c r="Z10" i="45" s="1"/>
  <c r="BG11" i="48"/>
  <c r="JB34" i="1"/>
  <c r="IP34" i="1"/>
  <c r="ID34" i="1"/>
  <c r="HR34" i="1"/>
  <c r="HF34" i="1"/>
  <c r="GT34" i="1"/>
  <c r="GH34" i="1"/>
  <c r="FV34" i="1"/>
  <c r="FJ34" i="1"/>
  <c r="EX34" i="1"/>
  <c r="EL34" i="1"/>
  <c r="DZ34" i="1"/>
  <c r="IJ34" i="1"/>
  <c r="HI34" i="1"/>
  <c r="FS34" i="1"/>
  <c r="ER34" i="1"/>
  <c r="DQ34" i="1"/>
  <c r="DE34" i="1"/>
  <c r="CS34" i="1"/>
  <c r="CG34" i="1"/>
  <c r="BU34" i="1"/>
  <c r="BI34" i="1"/>
  <c r="AW34" i="1"/>
  <c r="AK34" i="1"/>
  <c r="Y34" i="1"/>
  <c r="M34" i="1"/>
  <c r="IV34" i="1"/>
  <c r="HU34" i="1"/>
  <c r="GE34" i="1"/>
  <c r="FD34" i="1"/>
  <c r="EC34" i="1"/>
  <c r="JH34" i="1"/>
  <c r="IG34" i="1"/>
  <c r="GQ34" i="1"/>
  <c r="FP34" i="1"/>
  <c r="EO34" i="1"/>
  <c r="DN34" i="1"/>
  <c r="DB34" i="1"/>
  <c r="CP34" i="1"/>
  <c r="CD34" i="1"/>
  <c r="BR34" i="1"/>
  <c r="BF34" i="1"/>
  <c r="AT34" i="1"/>
  <c r="AH34" i="1"/>
  <c r="V34" i="1"/>
  <c r="J34" i="1"/>
  <c r="IS34" i="1"/>
  <c r="HC34" i="1"/>
  <c r="GB34" i="1"/>
  <c r="FA34" i="1"/>
  <c r="JE34" i="1"/>
  <c r="HO34" i="1"/>
  <c r="GN34" i="1"/>
  <c r="FM34" i="1"/>
  <c r="DW34" i="1"/>
  <c r="DK34" i="1"/>
  <c r="CY34" i="1"/>
  <c r="CM34" i="1"/>
  <c r="CA34" i="1"/>
  <c r="BO34" i="1"/>
  <c r="BC34" i="1"/>
  <c r="AQ34" i="1"/>
  <c r="AE34" i="1"/>
  <c r="S34" i="1"/>
  <c r="G34" i="1"/>
  <c r="IA34" i="1"/>
  <c r="GZ34" i="1"/>
  <c r="FY34" i="1"/>
  <c r="EI34" i="1"/>
  <c r="IM34" i="1"/>
  <c r="HL34" i="1"/>
  <c r="GK34" i="1"/>
  <c r="EU34" i="1"/>
  <c r="DT34" i="1"/>
  <c r="DH34" i="1"/>
  <c r="CV34" i="1"/>
  <c r="CJ34" i="1"/>
  <c r="BX34" i="1"/>
  <c r="BL34" i="1"/>
  <c r="AZ34" i="1"/>
  <c r="AN34" i="1"/>
  <c r="AB34" i="1"/>
  <c r="P34" i="1"/>
  <c r="IY34" i="1"/>
  <c r="HX34" i="1"/>
  <c r="GW34" i="1"/>
  <c r="FG34" i="1"/>
  <c r="EF34" i="1"/>
  <c r="D54" i="32"/>
  <c r="O32" i="45"/>
  <c r="K32" i="45"/>
  <c r="S32" i="45"/>
  <c r="Z32" i="45"/>
  <c r="W32" i="45"/>
  <c r="AC32" i="45"/>
  <c r="G32" i="45"/>
  <c r="AA6" i="46"/>
  <c r="W147" i="46"/>
  <c r="E13" i="2"/>
  <c r="FY13" i="2" s="1"/>
  <c r="E12" i="1"/>
  <c r="JK12" i="1" s="1"/>
  <c r="AV11" i="48"/>
  <c r="I11" i="48"/>
  <c r="AD11" i="48"/>
  <c r="J11" i="48"/>
  <c r="AJ11" i="48"/>
  <c r="AP11" i="48"/>
  <c r="E16" i="2"/>
  <c r="FY16" i="2" s="1"/>
  <c r="AU24" i="48"/>
  <c r="M25" i="48"/>
  <c r="BA25" i="48" s="1"/>
  <c r="E27" i="2"/>
  <c r="FY27" i="2" s="1"/>
  <c r="E14" i="2"/>
  <c r="FY14" i="2" s="1"/>
  <c r="E23" i="2"/>
  <c r="FY23" i="2" s="1"/>
  <c r="AJ23" i="48"/>
  <c r="E24" i="1"/>
  <c r="JK24" i="1" s="1"/>
  <c r="I23" i="48"/>
  <c r="AV23" i="48"/>
  <c r="AD23" i="48"/>
  <c r="J23" i="48"/>
  <c r="AP23" i="48"/>
  <c r="AM12" i="48"/>
  <c r="AO11" i="48"/>
  <c r="I40" i="22"/>
  <c r="R21" i="48" s="1"/>
  <c r="BB21" i="48" s="1"/>
  <c r="I40" i="25"/>
  <c r="R17" i="48" s="1"/>
  <c r="BB17" i="48" s="1"/>
  <c r="M34" i="33"/>
  <c r="J40" i="33" s="1"/>
  <c r="I40" i="33"/>
  <c r="R9" i="48" s="1"/>
  <c r="BB9" i="48" s="1"/>
  <c r="D39" i="27"/>
  <c r="D52" i="25"/>
  <c r="E52" i="26"/>
  <c r="D40" i="27"/>
  <c r="D53" i="31"/>
  <c r="D54" i="31" s="1"/>
  <c r="E38" i="31"/>
  <c r="E53" i="31" s="1"/>
  <c r="E54" i="31" s="1"/>
  <c r="D51" i="27"/>
  <c r="J39" i="31"/>
  <c r="J56" i="27"/>
  <c r="J57" i="18"/>
  <c r="J38" i="26"/>
  <c r="IS25" i="1" l="1"/>
  <c r="JK25" i="1"/>
  <c r="J10" i="8"/>
  <c r="J10" i="7" s="1"/>
  <c r="J10" i="6" s="1"/>
  <c r="J10" i="37" s="1"/>
  <c r="J19" i="8"/>
  <c r="J19" i="7" s="1"/>
  <c r="J19" i="6" s="1"/>
  <c r="J19" i="37" s="1"/>
  <c r="J19" i="4" s="1"/>
  <c r="J19" i="43" s="1"/>
  <c r="J23" i="8"/>
  <c r="J23" i="7" s="1"/>
  <c r="J23" i="6" s="1"/>
  <c r="J23" i="37" s="1"/>
  <c r="J23" i="4" s="1"/>
  <c r="J23" i="43" s="1"/>
  <c r="J22" i="8"/>
  <c r="J22" i="7" s="1"/>
  <c r="J22" i="6" s="1"/>
  <c r="J22" i="37" s="1"/>
  <c r="J22" i="4" s="1"/>
  <c r="J22" i="43" s="1"/>
  <c r="J11" i="8"/>
  <c r="J11" i="7" s="1"/>
  <c r="J11" i="6" s="1"/>
  <c r="J11" i="37" s="1"/>
  <c r="W22" i="45"/>
  <c r="J8" i="8"/>
  <c r="J27" i="8"/>
  <c r="J27" i="7" s="1"/>
  <c r="J27" i="6" s="1"/>
  <c r="J27" i="37" s="1"/>
  <c r="J27" i="4" s="1"/>
  <c r="J27" i="43" s="1"/>
  <c r="J12" i="8"/>
  <c r="J12" i="7" s="1"/>
  <c r="J12" i="6" s="1"/>
  <c r="J12" i="37" s="1"/>
  <c r="J12" i="4" s="1"/>
  <c r="J12" i="43" s="1"/>
  <c r="AC23" i="45"/>
  <c r="W23" i="45"/>
  <c r="S23" i="45"/>
  <c r="Z23" i="45"/>
  <c r="AV27" i="48"/>
  <c r="J30" i="17"/>
  <c r="J30" i="16" s="1"/>
  <c r="J30" i="15" s="1"/>
  <c r="J30" i="14" s="1"/>
  <c r="J30" i="13" s="1"/>
  <c r="J30" i="12" s="1"/>
  <c r="J30" i="11" s="1"/>
  <c r="J30" i="10" s="1"/>
  <c r="J30" i="9" s="1"/>
  <c r="J29" i="17"/>
  <c r="J29" i="16" s="1"/>
  <c r="J29" i="15" s="1"/>
  <c r="J29" i="14" s="1"/>
  <c r="J29" i="13" s="1"/>
  <c r="J29" i="12" s="1"/>
  <c r="J29" i="11" s="1"/>
  <c r="J29" i="10" s="1"/>
  <c r="J29" i="9" s="1"/>
  <c r="J18" i="17"/>
  <c r="J18" i="16" s="1"/>
  <c r="J18" i="15" s="1"/>
  <c r="J18" i="14" s="1"/>
  <c r="J18" i="13" s="1"/>
  <c r="J18" i="12" s="1"/>
  <c r="J18" i="11" s="1"/>
  <c r="J18" i="10" s="1"/>
  <c r="J18" i="9" s="1"/>
  <c r="AP27" i="48"/>
  <c r="BB27" i="48"/>
  <c r="C35" i="45"/>
  <c r="O35" i="45" s="1"/>
  <c r="BB36" i="48"/>
  <c r="IM25" i="1"/>
  <c r="BU25" i="1"/>
  <c r="AT25" i="1"/>
  <c r="DE25" i="1"/>
  <c r="CV25" i="1"/>
  <c r="FM25" i="1"/>
  <c r="EF25" i="1"/>
  <c r="GN25" i="1"/>
  <c r="HC25" i="1"/>
  <c r="CD25" i="1"/>
  <c r="GW25" i="1"/>
  <c r="S25" i="1"/>
  <c r="EL25" i="1"/>
  <c r="JE25" i="1"/>
  <c r="J26" i="24"/>
  <c r="J26" i="23" s="1"/>
  <c r="J26" i="21" s="1"/>
  <c r="J26" i="22" s="1"/>
  <c r="J26" i="20" s="1"/>
  <c r="J26" i="19" s="1"/>
  <c r="J26" i="18" s="1"/>
  <c r="HX25" i="1"/>
  <c r="BC25" i="1"/>
  <c r="FV25" i="1"/>
  <c r="DK25" i="1"/>
  <c r="ID25" i="1"/>
  <c r="AN25" i="1"/>
  <c r="EU25" i="1"/>
  <c r="M25" i="1"/>
  <c r="M9" i="29"/>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J15" i="22"/>
  <c r="J15" i="20" s="1"/>
  <c r="J15" i="19" s="1"/>
  <c r="J15" i="18" s="1"/>
  <c r="J28" i="25"/>
  <c r="J28" i="24"/>
  <c r="J28" i="23" s="1"/>
  <c r="J28" i="21" s="1"/>
  <c r="J28" i="22" s="1"/>
  <c r="J28" i="20" s="1"/>
  <c r="J28" i="19" s="1"/>
  <c r="J28" i="18" s="1"/>
  <c r="J16" i="26"/>
  <c r="J16" i="25" s="1"/>
  <c r="J16" i="24" s="1"/>
  <c r="J16" i="23" s="1"/>
  <c r="J16" i="21" s="1"/>
  <c r="P25" i="1"/>
  <c r="DH25" i="1"/>
  <c r="GZ25" i="1"/>
  <c r="AE25" i="1"/>
  <c r="DW25" i="1"/>
  <c r="HO25" i="1"/>
  <c r="BF25" i="1"/>
  <c r="EX25" i="1"/>
  <c r="IP25" i="1"/>
  <c r="CG25" i="1"/>
  <c r="FY25" i="1"/>
  <c r="AB25" i="1"/>
  <c r="DT25" i="1"/>
  <c r="HL25" i="1"/>
  <c r="AQ25" i="1"/>
  <c r="EI25" i="1"/>
  <c r="IA25" i="1"/>
  <c r="BR25" i="1"/>
  <c r="FJ25" i="1"/>
  <c r="JB25" i="1"/>
  <c r="CS25" i="1"/>
  <c r="GK25" i="1"/>
  <c r="AZ25" i="1"/>
  <c r="ER25" i="1"/>
  <c r="IJ25" i="1"/>
  <c r="BO25" i="1"/>
  <c r="FG25" i="1"/>
  <c r="IY25" i="1"/>
  <c r="CP25" i="1"/>
  <c r="GH25" i="1"/>
  <c r="Y25" i="1"/>
  <c r="DQ25" i="1"/>
  <c r="HI25" i="1"/>
  <c r="BL25" i="1"/>
  <c r="FD25" i="1"/>
  <c r="IV25" i="1"/>
  <c r="CA25" i="1"/>
  <c r="FS25" i="1"/>
  <c r="J25" i="1"/>
  <c r="DB25" i="1"/>
  <c r="GT25" i="1"/>
  <c r="AK25" i="1"/>
  <c r="EC25" i="1"/>
  <c r="HU25" i="1"/>
  <c r="BX25" i="1"/>
  <c r="FP25" i="1"/>
  <c r="JH25" i="1"/>
  <c r="CM25" i="1"/>
  <c r="GE25" i="1"/>
  <c r="V25" i="1"/>
  <c r="DN25" i="1"/>
  <c r="HF25" i="1"/>
  <c r="AW25" i="1"/>
  <c r="EO25" i="1"/>
  <c r="IG25" i="1"/>
  <c r="E25" i="2"/>
  <c r="FY25" i="2" s="1"/>
  <c r="CJ25" i="1"/>
  <c r="GB25" i="1"/>
  <c r="G25" i="1"/>
  <c r="CY25" i="1"/>
  <c r="GQ25" i="1"/>
  <c r="AH25" i="1"/>
  <c r="DZ25" i="1"/>
  <c r="HR25" i="1"/>
  <c r="BI25" i="1"/>
  <c r="FA25" i="1"/>
  <c r="J36" i="48"/>
  <c r="I36" i="48"/>
  <c r="AJ27" i="48"/>
  <c r="I48" i="6"/>
  <c r="I45" i="6"/>
  <c r="M12" i="1"/>
  <c r="O10" i="45"/>
  <c r="D54" i="30"/>
  <c r="J25" i="28"/>
  <c r="J25" i="26" s="1"/>
  <c r="M14" i="17"/>
  <c r="M14" i="16" s="1"/>
  <c r="M14" i="15" s="1"/>
  <c r="M14" i="14" s="1"/>
  <c r="M14" i="13" s="1"/>
  <c r="M14" i="12" s="1"/>
  <c r="M14" i="11" s="1"/>
  <c r="M14" i="10" s="1"/>
  <c r="M14" i="9" s="1"/>
  <c r="M14" i="8" s="1"/>
  <c r="M14" i="7" s="1"/>
  <c r="M14" i="6" s="1"/>
  <c r="M14" i="37" s="1"/>
  <c r="M14" i="4" s="1"/>
  <c r="M14" i="43" s="1"/>
  <c r="J17" i="12"/>
  <c r="J17" i="11" s="1"/>
  <c r="J17" i="10" s="1"/>
  <c r="AV36" i="48"/>
  <c r="AJ36" i="48"/>
  <c r="BG36" i="48"/>
  <c r="AP36" i="48"/>
  <c r="X36" i="48"/>
  <c r="AD36" i="48"/>
  <c r="E37" i="1"/>
  <c r="J27" i="48"/>
  <c r="C26" i="45"/>
  <c r="G26" i="45" s="1"/>
  <c r="I48" i="15"/>
  <c r="I27" i="48"/>
  <c r="I45" i="15"/>
  <c r="AD27" i="48"/>
  <c r="E28" i="1"/>
  <c r="G23" i="45"/>
  <c r="K23" i="45"/>
  <c r="J14" i="37"/>
  <c r="J14" i="4" s="1"/>
  <c r="J14" i="43" s="1"/>
  <c r="J8" i="7"/>
  <c r="J8" i="6" s="1"/>
  <c r="J13" i="37"/>
  <c r="J13" i="4" s="1"/>
  <c r="J13" i="43" s="1"/>
  <c r="AC10" i="45"/>
  <c r="S10" i="45"/>
  <c r="K10" i="45"/>
  <c r="G10" i="45"/>
  <c r="W10" i="45"/>
  <c r="D53" i="29"/>
  <c r="E38" i="29"/>
  <c r="E53" i="29" s="1"/>
  <c r="E54" i="29" s="1"/>
  <c r="S22" i="45"/>
  <c r="K22" i="45"/>
  <c r="Z22" i="45"/>
  <c r="G22" i="45"/>
  <c r="AC22" i="45"/>
  <c r="C16" i="45"/>
  <c r="O16" i="45" s="1"/>
  <c r="BG17" i="48"/>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W24" i="1"/>
  <c r="AK24" i="1"/>
  <c r="Y24" i="1"/>
  <c r="M24" i="1"/>
  <c r="JE12" i="1"/>
  <c r="IS12" i="1"/>
  <c r="IG12" i="1"/>
  <c r="HU12" i="1"/>
  <c r="HI12" i="1"/>
  <c r="GW12" i="1"/>
  <c r="GK12" i="1"/>
  <c r="FY12" i="1"/>
  <c r="FM12" i="1"/>
  <c r="FA12" i="1"/>
  <c r="EO12" i="1"/>
  <c r="EC12" i="1"/>
  <c r="DQ12" i="1"/>
  <c r="DE12" i="1"/>
  <c r="CS12" i="1"/>
  <c r="CG12" i="1"/>
  <c r="BU12" i="1"/>
  <c r="BI12" i="1"/>
  <c r="AK12" i="1"/>
  <c r="Y12" i="1"/>
  <c r="JB12" i="1"/>
  <c r="IP12" i="1"/>
  <c r="ID12" i="1"/>
  <c r="HR12" i="1"/>
  <c r="HF12" i="1"/>
  <c r="GT12" i="1"/>
  <c r="GH12" i="1"/>
  <c r="FV12" i="1"/>
  <c r="FJ12" i="1"/>
  <c r="EX12" i="1"/>
  <c r="EL12" i="1"/>
  <c r="DZ12" i="1"/>
  <c r="DN12" i="1"/>
  <c r="DB12" i="1"/>
  <c r="CP12" i="1"/>
  <c r="CD12" i="1"/>
  <c r="BR12" i="1"/>
  <c r="BF12" i="1"/>
  <c r="AT12" i="1"/>
  <c r="AH12" i="1"/>
  <c r="V12" i="1"/>
  <c r="J12"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C20" i="45"/>
  <c r="K20" i="45" s="1"/>
  <c r="BG21" i="48"/>
  <c r="C8" i="45"/>
  <c r="W8" i="45" s="1"/>
  <c r="BG9" i="48"/>
  <c r="I48" i="22"/>
  <c r="I45" i="22"/>
  <c r="I48" i="25"/>
  <c r="AB6" i="46"/>
  <c r="X150" i="46"/>
  <c r="X152" i="46"/>
  <c r="X147" i="46"/>
  <c r="F45" i="54" s="1"/>
  <c r="G45" i="54" s="1"/>
  <c r="H45" i="54" s="1"/>
  <c r="D44" i="27"/>
  <c r="D44" i="28" s="1"/>
  <c r="AD9" i="48"/>
  <c r="E10" i="1"/>
  <c r="JK10" i="1" s="1"/>
  <c r="I9" i="48"/>
  <c r="AJ9" i="48"/>
  <c r="J9" i="48"/>
  <c r="AV9" i="48"/>
  <c r="S9" i="48"/>
  <c r="BC9" i="48" s="1"/>
  <c r="R41" i="48"/>
  <c r="BG41" i="48" s="1"/>
  <c r="AP9" i="48"/>
  <c r="AU25" i="48"/>
  <c r="M26" i="48"/>
  <c r="BA26" i="48" s="1"/>
  <c r="I45" i="25"/>
  <c r="E12" i="2"/>
  <c r="FY12" i="2" s="1"/>
  <c r="E24" i="2"/>
  <c r="FY24" i="2" s="1"/>
  <c r="AJ17" i="48"/>
  <c r="E18" i="1"/>
  <c r="JK18" i="1" s="1"/>
  <c r="AD17" i="48"/>
  <c r="AV17" i="48"/>
  <c r="I17" i="48"/>
  <c r="J17" i="48"/>
  <c r="AP17" i="48"/>
  <c r="J21" i="48"/>
  <c r="E22" i="1"/>
  <c r="JK22" i="1" s="1"/>
  <c r="I21" i="48"/>
  <c r="AV21" i="48"/>
  <c r="AJ21" i="48"/>
  <c r="AD21" i="48"/>
  <c r="AP21" i="48"/>
  <c r="AM13" i="48"/>
  <c r="AO12" i="48"/>
  <c r="J5" i="53"/>
  <c r="I11" i="53"/>
  <c r="F41" i="54" s="1"/>
  <c r="J41" i="33"/>
  <c r="K58" i="33"/>
  <c r="K57" i="33"/>
  <c r="J40" i="32"/>
  <c r="J45" i="33"/>
  <c r="J48" i="33"/>
  <c r="I45" i="33"/>
  <c r="I48" i="33"/>
  <c r="M7" i="31"/>
  <c r="M7" i="30" s="1"/>
  <c r="M34" i="30" s="1"/>
  <c r="D51" i="28"/>
  <c r="E51" i="27"/>
  <c r="D40" i="28"/>
  <c r="E40" i="27"/>
  <c r="D52" i="24"/>
  <c r="E52" i="25"/>
  <c r="D50" i="27"/>
  <c r="D49" i="27"/>
  <c r="D47" i="27"/>
  <c r="D45" i="27"/>
  <c r="D43" i="27"/>
  <c r="D41" i="27"/>
  <c r="D48" i="27"/>
  <c r="D46" i="27"/>
  <c r="D42" i="27"/>
  <c r="D39" i="28"/>
  <c r="E39" i="27"/>
  <c r="J57" i="17"/>
  <c r="J43" i="27"/>
  <c r="J38" i="25"/>
  <c r="J56" i="28"/>
  <c r="J46" i="27"/>
  <c r="Z35" i="45" l="1"/>
  <c r="AC35" i="45"/>
  <c r="S35" i="45"/>
  <c r="W35" i="45"/>
  <c r="K35" i="45"/>
  <c r="G35" i="45"/>
  <c r="HU37" i="1"/>
  <c r="JK37" i="1"/>
  <c r="HR28" i="1"/>
  <c r="JK28" i="1"/>
  <c r="E37" i="2"/>
  <c r="FY37" i="2" s="1"/>
  <c r="IG37" i="1"/>
  <c r="DN37" i="1"/>
  <c r="F36" i="54"/>
  <c r="F40" i="54"/>
  <c r="F39" i="54"/>
  <c r="GZ37" i="1"/>
  <c r="J30" i="8"/>
  <c r="J30" i="7" s="1"/>
  <c r="J30" i="6" s="1"/>
  <c r="J30" i="37" s="1"/>
  <c r="J30" i="4" s="1"/>
  <c r="J30" i="43" s="1"/>
  <c r="V37" i="1"/>
  <c r="J17" i="8"/>
  <c r="J17" i="7" s="1"/>
  <c r="J17" i="6" s="1"/>
  <c r="J29" i="8"/>
  <c r="J29" i="7" s="1"/>
  <c r="J29" i="6" s="1"/>
  <c r="J29" i="37" s="1"/>
  <c r="J29" i="4" s="1"/>
  <c r="J29" i="43" s="1"/>
  <c r="J18" i="7"/>
  <c r="J18" i="6" s="1"/>
  <c r="J18" i="37" s="1"/>
  <c r="J18" i="4" s="1"/>
  <c r="J18" i="43" s="1"/>
  <c r="EL37" i="1"/>
  <c r="JE37" i="1"/>
  <c r="EO37" i="1"/>
  <c r="GN37" i="1"/>
  <c r="GB37" i="1"/>
  <c r="HC37" i="1"/>
  <c r="BU37" i="1"/>
  <c r="FP37" i="1"/>
  <c r="AT37" i="1"/>
  <c r="FM37" i="1"/>
  <c r="CM37" i="1"/>
  <c r="HF37" i="1"/>
  <c r="DK37" i="1"/>
  <c r="ID37" i="1"/>
  <c r="HL37" i="1"/>
  <c r="GE37" i="1"/>
  <c r="AW37" i="1"/>
  <c r="J15" i="17"/>
  <c r="J15" i="16" s="1"/>
  <c r="J15" i="15" s="1"/>
  <c r="J15" i="14" s="1"/>
  <c r="J15" i="13" s="1"/>
  <c r="J15" i="12" s="1"/>
  <c r="J15" i="11" s="1"/>
  <c r="J15" i="8" s="1"/>
  <c r="J15" i="7" s="1"/>
  <c r="J15" i="6" s="1"/>
  <c r="J15" i="37" s="1"/>
  <c r="J15" i="4" s="1"/>
  <c r="J15" i="43" s="1"/>
  <c r="J28" i="17"/>
  <c r="J28" i="16" s="1"/>
  <c r="J28" i="15" s="1"/>
  <c r="J28" i="14" s="1"/>
  <c r="J28" i="13" s="1"/>
  <c r="J28" i="12" s="1"/>
  <c r="J28" i="11" s="1"/>
  <c r="J28" i="10" s="1"/>
  <c r="J28" i="9" s="1"/>
  <c r="J26" i="17"/>
  <c r="J26" i="16" s="1"/>
  <c r="J26" i="15" s="1"/>
  <c r="J26" i="14" s="1"/>
  <c r="J26" i="13" s="1"/>
  <c r="J26" i="12" s="1"/>
  <c r="J26" i="11" s="1"/>
  <c r="J26" i="10" s="1"/>
  <c r="J26" i="9" s="1"/>
  <c r="CJ37" i="1"/>
  <c r="BX37" i="1"/>
  <c r="G37" i="1"/>
  <c r="CY37" i="1"/>
  <c r="GQ37" i="1"/>
  <c r="AH37" i="1"/>
  <c r="DZ37" i="1"/>
  <c r="HR37" i="1"/>
  <c r="BI37" i="1"/>
  <c r="FA37" i="1"/>
  <c r="IS37" i="1"/>
  <c r="JH37" i="1"/>
  <c r="DW37" i="1"/>
  <c r="IP37" i="1"/>
  <c r="FY37" i="1"/>
  <c r="FD37" i="1"/>
  <c r="ER37" i="1"/>
  <c r="AN37" i="1"/>
  <c r="AQ37" i="1"/>
  <c r="EI37" i="1"/>
  <c r="IA37" i="1"/>
  <c r="BR37" i="1"/>
  <c r="FJ37" i="1"/>
  <c r="JB37" i="1"/>
  <c r="CS37" i="1"/>
  <c r="GK37" i="1"/>
  <c r="HO37" i="1"/>
  <c r="IV37" i="1"/>
  <c r="IJ37" i="1"/>
  <c r="EF37" i="1"/>
  <c r="BC37" i="1"/>
  <c r="EU37" i="1"/>
  <c r="IM37" i="1"/>
  <c r="CD37" i="1"/>
  <c r="FV37" i="1"/>
  <c r="M37" i="1"/>
  <c r="DE37" i="1"/>
  <c r="GW37" i="1"/>
  <c r="BL37" i="1"/>
  <c r="AE37" i="1"/>
  <c r="EX37" i="1"/>
  <c r="CG37" i="1"/>
  <c r="AB37" i="1"/>
  <c r="P37" i="1"/>
  <c r="HX37" i="1"/>
  <c r="BO37" i="1"/>
  <c r="FG37" i="1"/>
  <c r="IY37" i="1"/>
  <c r="CP37" i="1"/>
  <c r="GH37" i="1"/>
  <c r="Y37" i="1"/>
  <c r="DQ37" i="1"/>
  <c r="HI37" i="1"/>
  <c r="AZ37" i="1"/>
  <c r="BF37" i="1"/>
  <c r="DT37" i="1"/>
  <c r="DH37" i="1"/>
  <c r="CV37" i="1"/>
  <c r="CA37" i="1"/>
  <c r="FS37" i="1"/>
  <c r="J37" i="1"/>
  <c r="DB37" i="1"/>
  <c r="GT37" i="1"/>
  <c r="AK37" i="1"/>
  <c r="EC37" i="1"/>
  <c r="J7" i="29"/>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16" i="22"/>
  <c r="J16" i="20" s="1"/>
  <c r="J16" i="19" s="1"/>
  <c r="J16" i="18" s="1"/>
  <c r="O26" i="45"/>
  <c r="W26" i="45"/>
  <c r="S26" i="45"/>
  <c r="Z26" i="45"/>
  <c r="K26" i="45"/>
  <c r="AC26" i="45"/>
  <c r="HO28" i="1"/>
  <c r="CG28" i="1"/>
  <c r="FY28" i="1"/>
  <c r="EX28" i="1"/>
  <c r="BF28" i="1"/>
  <c r="P28" i="1"/>
  <c r="IP28" i="1"/>
  <c r="DH28" i="1"/>
  <c r="AW10" i="1"/>
  <c r="M10" i="1"/>
  <c r="GZ28" i="1"/>
  <c r="AE28" i="1"/>
  <c r="DW28" i="1"/>
  <c r="J21" i="28"/>
  <c r="J25" i="25"/>
  <c r="J25" i="24"/>
  <c r="J25" i="23" s="1"/>
  <c r="J25" i="21" s="1"/>
  <c r="J25" i="22" s="1"/>
  <c r="J25" i="20" s="1"/>
  <c r="J25" i="19" s="1"/>
  <c r="J25" i="18" s="1"/>
  <c r="F43" i="54"/>
  <c r="F38" i="54"/>
  <c r="F31" i="54"/>
  <c r="F29" i="54"/>
  <c r="F23" i="54"/>
  <c r="F21" i="54"/>
  <c r="F11" i="54"/>
  <c r="G11" i="54" s="1"/>
  <c r="F9" i="54"/>
  <c r="G9" i="54" s="1"/>
  <c r="F35" i="54"/>
  <c r="F33" i="54"/>
  <c r="F27" i="54"/>
  <c r="F25" i="54"/>
  <c r="F19" i="54"/>
  <c r="F17" i="54"/>
  <c r="F7" i="54"/>
  <c r="G7" i="54" s="1"/>
  <c r="F5" i="54"/>
  <c r="G5" i="54" s="1"/>
  <c r="F18" i="54"/>
  <c r="G18" i="54" s="1"/>
  <c r="F26" i="54"/>
  <c r="F34" i="54"/>
  <c r="F10" i="54"/>
  <c r="G10" i="54" s="1"/>
  <c r="F22" i="54"/>
  <c r="F30" i="54"/>
  <c r="F42" i="54"/>
  <c r="F8" i="54"/>
  <c r="G8" i="54" s="1"/>
  <c r="F20" i="54"/>
  <c r="F28" i="54"/>
  <c r="F37" i="54"/>
  <c r="F6" i="54"/>
  <c r="G6" i="54" s="1"/>
  <c r="F4" i="54"/>
  <c r="G4" i="54" s="1"/>
  <c r="F16" i="54"/>
  <c r="F24" i="54"/>
  <c r="F32" i="54"/>
  <c r="CS28" i="1"/>
  <c r="AB28" i="1"/>
  <c r="EI28" i="1"/>
  <c r="JB28" i="1"/>
  <c r="BU28" i="1"/>
  <c r="FM28" i="1"/>
  <c r="JE28" i="1"/>
  <c r="CV28" i="1"/>
  <c r="GN28" i="1"/>
  <c r="S28" i="1"/>
  <c r="DK28" i="1"/>
  <c r="HC28" i="1"/>
  <c r="AT28" i="1"/>
  <c r="EL28" i="1"/>
  <c r="ID28" i="1"/>
  <c r="HL28" i="1"/>
  <c r="FJ28" i="1"/>
  <c r="M28" i="1"/>
  <c r="DE28" i="1"/>
  <c r="GW28" i="1"/>
  <c r="AN28" i="1"/>
  <c r="EF28" i="1"/>
  <c r="HX28" i="1"/>
  <c r="BC28" i="1"/>
  <c r="EU28" i="1"/>
  <c r="IM28" i="1"/>
  <c r="CD28" i="1"/>
  <c r="FV28" i="1"/>
  <c r="Y28" i="1"/>
  <c r="DQ28" i="1"/>
  <c r="HI28" i="1"/>
  <c r="AZ28" i="1"/>
  <c r="ER28" i="1"/>
  <c r="IJ28" i="1"/>
  <c r="BO28" i="1"/>
  <c r="FG28" i="1"/>
  <c r="IY28" i="1"/>
  <c r="CP28" i="1"/>
  <c r="GH28" i="1"/>
  <c r="E28" i="2"/>
  <c r="FY28" i="2" s="1"/>
  <c r="AK28" i="1"/>
  <c r="EC28" i="1"/>
  <c r="HU28" i="1"/>
  <c r="BL28" i="1"/>
  <c r="FD28" i="1"/>
  <c r="IV28" i="1"/>
  <c r="CA28" i="1"/>
  <c r="FS28" i="1"/>
  <c r="J28" i="1"/>
  <c r="DB28" i="1"/>
  <c r="GT28" i="1"/>
  <c r="GK28" i="1"/>
  <c r="AQ28" i="1"/>
  <c r="IA28" i="1"/>
  <c r="AW28" i="1"/>
  <c r="EO28" i="1"/>
  <c r="IG28" i="1"/>
  <c r="BX28" i="1"/>
  <c r="FP28" i="1"/>
  <c r="JH28" i="1"/>
  <c r="CM28" i="1"/>
  <c r="GE28" i="1"/>
  <c r="V28" i="1"/>
  <c r="DN28" i="1"/>
  <c r="HF28" i="1"/>
  <c r="DT28" i="1"/>
  <c r="BR28" i="1"/>
  <c r="BI28" i="1"/>
  <c r="FA28" i="1"/>
  <c r="IS28" i="1"/>
  <c r="CJ28" i="1"/>
  <c r="GB28" i="1"/>
  <c r="G28" i="1"/>
  <c r="CY28" i="1"/>
  <c r="GQ28" i="1"/>
  <c r="AH28" i="1"/>
  <c r="DZ28" i="1"/>
  <c r="J8" i="37"/>
  <c r="J8" i="4" s="1"/>
  <c r="J8" i="43" s="1"/>
  <c r="J11" i="4"/>
  <c r="J11" i="43" s="1"/>
  <c r="J17" i="37"/>
  <c r="J17" i="4" s="1"/>
  <c r="J17" i="43" s="1"/>
  <c r="J10" i="4"/>
  <c r="J10" i="43" s="1"/>
  <c r="G8" i="45"/>
  <c r="O8" i="45"/>
  <c r="Z16" i="45"/>
  <c r="S16" i="45"/>
  <c r="BH9" i="48"/>
  <c r="K16" i="45"/>
  <c r="W16" i="45"/>
  <c r="O20" i="45"/>
  <c r="M7" i="29"/>
  <c r="M7" i="27" s="1"/>
  <c r="D54" i="29"/>
  <c r="W20" i="45"/>
  <c r="G20" i="45"/>
  <c r="Z20" i="45"/>
  <c r="AC20" i="45"/>
  <c r="S20" i="45"/>
  <c r="G16" i="45"/>
  <c r="AC16" i="45"/>
  <c r="AC8" i="45"/>
  <c r="K8" i="45"/>
  <c r="Z8" i="45"/>
  <c r="C40" i="45"/>
  <c r="AC40" i="45" s="1"/>
  <c r="S8" i="45"/>
  <c r="E44" i="27"/>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HF18" i="1"/>
  <c r="DN18" i="1"/>
  <c r="V18" i="1"/>
  <c r="IP18" i="1"/>
  <c r="EX18" i="1"/>
  <c r="BF18" i="1"/>
  <c r="GH18" i="1"/>
  <c r="CP18" i="1"/>
  <c r="CD18" i="1"/>
  <c r="HR18" i="1"/>
  <c r="DZ18" i="1"/>
  <c r="AH18" i="1"/>
  <c r="JB18" i="1"/>
  <c r="FJ18" i="1"/>
  <c r="BR18" i="1"/>
  <c r="GT18" i="1"/>
  <c r="DB18" i="1"/>
  <c r="J18" i="1"/>
  <c r="ID18" i="1"/>
  <c r="EL18" i="1"/>
  <c r="AT18" i="1"/>
  <c r="FV18"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V22" i="1"/>
  <c r="J22" i="1"/>
  <c r="IY22" i="1"/>
  <c r="IM22" i="1"/>
  <c r="IA22" i="1"/>
  <c r="HO22" i="1"/>
  <c r="HC22" i="1"/>
  <c r="GQ22" i="1"/>
  <c r="GE22" i="1"/>
  <c r="FS22" i="1"/>
  <c r="FG22" i="1"/>
  <c r="EU22" i="1"/>
  <c r="EI22" i="1"/>
  <c r="DW22" i="1"/>
  <c r="DK22" i="1"/>
  <c r="CY22" i="1"/>
  <c r="CM22" i="1"/>
  <c r="CA22" i="1"/>
  <c r="BO22" i="1"/>
  <c r="BC22" i="1"/>
  <c r="AQ22" i="1"/>
  <c r="AE22" i="1"/>
  <c r="S22" i="1"/>
  <c r="G22" i="1"/>
  <c r="GN22" i="1"/>
  <c r="CV22" i="1"/>
  <c r="HX22" i="1"/>
  <c r="EF22" i="1"/>
  <c r="AN22" i="1"/>
  <c r="JH22" i="1"/>
  <c r="FP22" i="1"/>
  <c r="BX22" i="1"/>
  <c r="GZ22" i="1"/>
  <c r="DH22" i="1"/>
  <c r="P22" i="1"/>
  <c r="BL22" i="1"/>
  <c r="IJ22" i="1"/>
  <c r="ER22" i="1"/>
  <c r="AZ22" i="1"/>
  <c r="IV22" i="1"/>
  <c r="GB22" i="1"/>
  <c r="CJ22" i="1"/>
  <c r="FD22" i="1"/>
  <c r="HL22" i="1"/>
  <c r="DT22" i="1"/>
  <c r="AB22" i="1"/>
  <c r="JH10" i="1"/>
  <c r="IV10" i="1"/>
  <c r="IJ10" i="1"/>
  <c r="HX10" i="1"/>
  <c r="HL10" i="1"/>
  <c r="GZ10" i="1"/>
  <c r="GN10" i="1"/>
  <c r="GB10" i="1"/>
  <c r="FP10" i="1"/>
  <c r="FD10" i="1"/>
  <c r="ER10" i="1"/>
  <c r="EF10" i="1"/>
  <c r="DT10" i="1"/>
  <c r="DH10" i="1"/>
  <c r="CV10" i="1"/>
  <c r="CJ10" i="1"/>
  <c r="BX10" i="1"/>
  <c r="BL10" i="1"/>
  <c r="AZ10" i="1"/>
  <c r="AN10" i="1"/>
  <c r="AB10" i="1"/>
  <c r="P10" i="1"/>
  <c r="JE10" i="1"/>
  <c r="IS10" i="1"/>
  <c r="IG10" i="1"/>
  <c r="HU10" i="1"/>
  <c r="HI10" i="1"/>
  <c r="GW10" i="1"/>
  <c r="GK10" i="1"/>
  <c r="FY10" i="1"/>
  <c r="FM10" i="1"/>
  <c r="FA10" i="1"/>
  <c r="EO10" i="1"/>
  <c r="DQ10" i="1"/>
  <c r="DE10" i="1"/>
  <c r="CS10" i="1"/>
  <c r="CG10" i="1"/>
  <c r="BU10" i="1"/>
  <c r="BI10" i="1"/>
  <c r="AK10" i="1"/>
  <c r="Y10" i="1"/>
  <c r="JB10" i="1"/>
  <c r="IP10" i="1"/>
  <c r="ID10" i="1"/>
  <c r="HR10" i="1"/>
  <c r="HF10" i="1"/>
  <c r="GT10" i="1"/>
  <c r="GH10" i="1"/>
  <c r="FV10" i="1"/>
  <c r="FJ10" i="1"/>
  <c r="EX10" i="1"/>
  <c r="EL10" i="1"/>
  <c r="DZ10" i="1"/>
  <c r="DN10" i="1"/>
  <c r="DB10" i="1"/>
  <c r="CP10" i="1"/>
  <c r="CD10" i="1"/>
  <c r="BR10" i="1"/>
  <c r="BF10" i="1"/>
  <c r="AT10" i="1"/>
  <c r="AH10" i="1"/>
  <c r="V10" i="1"/>
  <c r="J10" i="1"/>
  <c r="IY10" i="1"/>
  <c r="IM10" i="1"/>
  <c r="IA10" i="1"/>
  <c r="HO10" i="1"/>
  <c r="HC10" i="1"/>
  <c r="GQ10" i="1"/>
  <c r="GE10" i="1"/>
  <c r="FS10" i="1"/>
  <c r="FG10" i="1"/>
  <c r="EU10" i="1"/>
  <c r="EI10" i="1"/>
  <c r="DW10" i="1"/>
  <c r="DK10" i="1"/>
  <c r="CY10" i="1"/>
  <c r="CM10" i="1"/>
  <c r="CA10" i="1"/>
  <c r="BO10" i="1"/>
  <c r="BC10" i="1"/>
  <c r="AQ10" i="1"/>
  <c r="AE10" i="1"/>
  <c r="S10" i="1"/>
  <c r="G10" i="1"/>
  <c r="AW9" i="48"/>
  <c r="AE9" i="48"/>
  <c r="S10" i="48"/>
  <c r="AK9" i="48"/>
  <c r="K9" i="48"/>
  <c r="AQ9" i="48"/>
  <c r="E22" i="2"/>
  <c r="FY22" i="2" s="1"/>
  <c r="M27" i="48"/>
  <c r="BA27" i="48" s="1"/>
  <c r="AU26" i="48"/>
  <c r="E18" i="2"/>
  <c r="FY18" i="2" s="1"/>
  <c r="E10" i="2"/>
  <c r="F10" i="2" s="1"/>
  <c r="E41" i="1"/>
  <c r="I41" i="48"/>
  <c r="AV41" i="48"/>
  <c r="AD41" i="48"/>
  <c r="AJ41" i="48"/>
  <c r="BB41" i="48" s="1"/>
  <c r="J41" i="48"/>
  <c r="AP41" i="48"/>
  <c r="AM14" i="48"/>
  <c r="AO14" i="48" s="1"/>
  <c r="AO13" i="48"/>
  <c r="M34" i="31"/>
  <c r="J40" i="31"/>
  <c r="J40" i="30" s="1"/>
  <c r="J40" i="29" s="1"/>
  <c r="K56" i="32"/>
  <c r="K57" i="32"/>
  <c r="J41" i="32"/>
  <c r="J45" i="32"/>
  <c r="J48" i="32"/>
  <c r="D39" i="26"/>
  <c r="D39" i="25" s="1"/>
  <c r="E39" i="28"/>
  <c r="D42" i="28"/>
  <c r="D42" i="26" s="1"/>
  <c r="E42" i="27"/>
  <c r="D46" i="28"/>
  <c r="D46" i="26" s="1"/>
  <c r="E46" i="27"/>
  <c r="D48" i="28"/>
  <c r="D48" i="26" s="1"/>
  <c r="E48" i="27"/>
  <c r="D41" i="28"/>
  <c r="D41" i="26" s="1"/>
  <c r="E41" i="27"/>
  <c r="D43" i="28"/>
  <c r="D43" i="26" s="1"/>
  <c r="E43" i="27"/>
  <c r="D45" i="28"/>
  <c r="D45" i="26" s="1"/>
  <c r="E45" i="27"/>
  <c r="D47" i="28"/>
  <c r="D47" i="26" s="1"/>
  <c r="E47" i="27"/>
  <c r="D49" i="28"/>
  <c r="D49" i="26" s="1"/>
  <c r="E49" i="27"/>
  <c r="D50" i="28"/>
  <c r="D50" i="26" s="1"/>
  <c r="E50" i="27"/>
  <c r="D52" i="23"/>
  <c r="D52" i="21" s="1"/>
  <c r="E52" i="24"/>
  <c r="D40" i="26"/>
  <c r="D40" i="25" s="1"/>
  <c r="E40" i="28"/>
  <c r="D44" i="26"/>
  <c r="D44" i="25" s="1"/>
  <c r="E44" i="28"/>
  <c r="D38" i="27"/>
  <c r="E38" i="27" s="1"/>
  <c r="D51" i="26"/>
  <c r="D51" i="25" s="1"/>
  <c r="D51" i="24" s="1"/>
  <c r="E51" i="28"/>
  <c r="J37" i="27"/>
  <c r="J37" i="28" s="1"/>
  <c r="J57" i="16"/>
  <c r="J57" i="15" s="1"/>
  <c r="J57" i="14" s="1"/>
  <c r="J47" i="27"/>
  <c r="J46" i="28"/>
  <c r="J47" i="28" s="1"/>
  <c r="J56" i="26"/>
  <c r="J56" i="25" s="1"/>
  <c r="J56" i="24" s="1"/>
  <c r="J38" i="24"/>
  <c r="J38" i="23" s="1"/>
  <c r="J38" i="21" s="1"/>
  <c r="J43" i="28"/>
  <c r="J44" i="28" s="1"/>
  <c r="J44" i="27"/>
  <c r="G37" i="54" l="1"/>
  <c r="G33" i="54"/>
  <c r="J26" i="8"/>
  <c r="J26" i="7" s="1"/>
  <c r="J26" i="6" s="1"/>
  <c r="J26" i="37" s="1"/>
  <c r="J26" i="4" s="1"/>
  <c r="J26" i="43" s="1"/>
  <c r="J28" i="8"/>
  <c r="J28" i="7" s="1"/>
  <c r="J28" i="6" s="1"/>
  <c r="J28" i="37" s="1"/>
  <c r="J28" i="4" s="1"/>
  <c r="J28" i="43" s="1"/>
  <c r="J25" i="17"/>
  <c r="J25" i="16" s="1"/>
  <c r="J25" i="15" s="1"/>
  <c r="J25" i="14" s="1"/>
  <c r="J25" i="13" s="1"/>
  <c r="J25" i="12" s="1"/>
  <c r="J25" i="11" s="1"/>
  <c r="J25" i="10" s="1"/>
  <c r="J25" i="9" s="1"/>
  <c r="J16" i="17"/>
  <c r="J16" i="16" s="1"/>
  <c r="J16" i="15" s="1"/>
  <c r="J16" i="14" s="1"/>
  <c r="J16" i="13" s="1"/>
  <c r="J16" i="12" s="1"/>
  <c r="J16" i="11" s="1"/>
  <c r="J16" i="10" s="1"/>
  <c r="AK10" i="48"/>
  <c r="BC10" i="48"/>
  <c r="AU27" i="48"/>
  <c r="J21" i="26"/>
  <c r="J21" i="25" s="1"/>
  <c r="J21" i="24" s="1"/>
  <c r="J21" i="23" s="1"/>
  <c r="J21" i="21" s="1"/>
  <c r="J21" i="22" s="1"/>
  <c r="J21" i="20" s="1"/>
  <c r="J21" i="19" s="1"/>
  <c r="J21" i="18" s="1"/>
  <c r="BH10" i="48"/>
  <c r="G42" i="54"/>
  <c r="H42" i="54" s="1"/>
  <c r="F11" i="2"/>
  <c r="FZ11" i="2" s="1"/>
  <c r="FZ10" i="2"/>
  <c r="E42" i="2"/>
  <c r="FY10" i="2"/>
  <c r="G16" i="54"/>
  <c r="K56" i="31"/>
  <c r="J43" i="26"/>
  <c r="J45" i="31"/>
  <c r="K10" i="48"/>
  <c r="K57" i="31"/>
  <c r="S11" i="48"/>
  <c r="AW10" i="48"/>
  <c r="K57" i="29"/>
  <c r="J48" i="29"/>
  <c r="J48" i="31"/>
  <c r="J41" i="31"/>
  <c r="AQ10" i="48"/>
  <c r="AE10" i="48"/>
  <c r="J39" i="27"/>
  <c r="M26" i="29"/>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J24" i="28" s="1"/>
  <c r="E51" i="26"/>
  <c r="D38" i="28"/>
  <c r="E38" i="28" s="1"/>
  <c r="E53" i="27"/>
  <c r="E54" i="27" s="1"/>
  <c r="J41" i="29"/>
  <c r="E48" i="28"/>
  <c r="E43" i="28"/>
  <c r="E47" i="28"/>
  <c r="E50" i="28"/>
  <c r="E42" i="28"/>
  <c r="J46" i="26"/>
  <c r="J47" i="26" s="1"/>
  <c r="K56" i="29"/>
  <c r="J41" i="30"/>
  <c r="K56" i="30"/>
  <c r="J45" i="30"/>
  <c r="K57" i="30"/>
  <c r="J48" i="30"/>
  <c r="E39" i="26"/>
  <c r="E46" i="28"/>
  <c r="E41" i="28"/>
  <c r="E45" i="28"/>
  <c r="E49" i="28"/>
  <c r="E52" i="23"/>
  <c r="E44" i="26"/>
  <c r="E51" i="25"/>
  <c r="E40" i="26"/>
  <c r="D53" i="27"/>
  <c r="E44" i="25"/>
  <c r="D44" i="24"/>
  <c r="D44" i="23" s="1"/>
  <c r="E40" i="25"/>
  <c r="D40" i="24"/>
  <c r="D40" i="23" s="1"/>
  <c r="E52" i="21"/>
  <c r="D52" i="22"/>
  <c r="D52" i="20" s="1"/>
  <c r="E50" i="26"/>
  <c r="D50" i="25"/>
  <c r="D50" i="24" s="1"/>
  <c r="E49" i="26"/>
  <c r="D49" i="25"/>
  <c r="D49" i="24" s="1"/>
  <c r="E47" i="26"/>
  <c r="D47" i="25"/>
  <c r="D47" i="24" s="1"/>
  <c r="E45" i="26"/>
  <c r="D45" i="25"/>
  <c r="D45" i="24" s="1"/>
  <c r="E43" i="26"/>
  <c r="D43" i="25"/>
  <c r="D43" i="24" s="1"/>
  <c r="E41" i="26"/>
  <c r="D41" i="25"/>
  <c r="D41" i="24" s="1"/>
  <c r="E48" i="26"/>
  <c r="D48" i="25"/>
  <c r="D48" i="24" s="1"/>
  <c r="E46" i="26"/>
  <c r="D46" i="25"/>
  <c r="D46" i="24" s="1"/>
  <c r="E42" i="26"/>
  <c r="D42" i="25"/>
  <c r="D42" i="24" s="1"/>
  <c r="E39" i="25"/>
  <c r="D39" i="24"/>
  <c r="D39" i="23" s="1"/>
  <c r="AM15" i="48"/>
  <c r="J45" i="29"/>
  <c r="J39" i="28"/>
  <c r="J37" i="26"/>
  <c r="J37" i="25" s="1"/>
  <c r="G40" i="45"/>
  <c r="Z40" i="45"/>
  <c r="K40" i="45"/>
  <c r="M28" i="48"/>
  <c r="BA28" i="48" s="1"/>
  <c r="G24" i="54"/>
  <c r="H4" i="54"/>
  <c r="G19" i="54"/>
  <c r="G31" i="54"/>
  <c r="O40" i="45"/>
  <c r="W40" i="45"/>
  <c r="S40" i="45"/>
  <c r="M7" i="28"/>
  <c r="J40" i="27"/>
  <c r="D51" i="23"/>
  <c r="E51" i="24"/>
  <c r="J57" i="13"/>
  <c r="J56" i="23"/>
  <c r="J38" i="22"/>
  <c r="H24" i="54" l="1"/>
  <c r="J16" i="8"/>
  <c r="J16" i="7" s="1"/>
  <c r="J16" i="6" s="1"/>
  <c r="J16" i="37" s="1"/>
  <c r="J16" i="4" s="1"/>
  <c r="J16" i="43" s="1"/>
  <c r="J25" i="8"/>
  <c r="J25" i="7" s="1"/>
  <c r="J25" i="6" s="1"/>
  <c r="J25" i="37" s="1"/>
  <c r="J25" i="4" s="1"/>
  <c r="J25" i="43" s="1"/>
  <c r="J21" i="17"/>
  <c r="J21" i="16" s="1"/>
  <c r="J21" i="15" s="1"/>
  <c r="J21" i="14" s="1"/>
  <c r="J21" i="13" s="1"/>
  <c r="J21" i="12" s="1"/>
  <c r="J21" i="11" s="1"/>
  <c r="J21" i="10" s="1"/>
  <c r="J21" i="9" s="1"/>
  <c r="S12" i="48"/>
  <c r="BC12" i="48" s="1"/>
  <c r="BC11" i="48"/>
  <c r="F12" i="2"/>
  <c r="FZ12" i="2" s="1"/>
  <c r="J24" i="26"/>
  <c r="J24" i="25" s="1"/>
  <c r="J24" i="24" s="1"/>
  <c r="J24" i="23" s="1"/>
  <c r="J24" i="21" s="1"/>
  <c r="J24" i="22" s="1"/>
  <c r="J24" i="20" s="1"/>
  <c r="J24" i="19" s="1"/>
  <c r="J24" i="18" s="1"/>
  <c r="D54" i="27"/>
  <c r="AQ11" i="48"/>
  <c r="AE11" i="48"/>
  <c r="J46" i="25"/>
  <c r="J47" i="25" s="1"/>
  <c r="K12" i="48"/>
  <c r="AQ12" i="48"/>
  <c r="BH11" i="48"/>
  <c r="J43" i="25"/>
  <c r="J44" i="26"/>
  <c r="K11" i="48"/>
  <c r="AK11" i="48"/>
  <c r="S13" i="48"/>
  <c r="AW11" i="48"/>
  <c r="J39" i="26"/>
  <c r="J20" i="28"/>
  <c r="D38" i="26"/>
  <c r="D38" i="25" s="1"/>
  <c r="D38" i="24" s="1"/>
  <c r="E40" i="24"/>
  <c r="D53" i="28"/>
  <c r="D54" i="28" s="1"/>
  <c r="E43" i="25"/>
  <c r="E53" i="28"/>
  <c r="E54" i="28" s="1"/>
  <c r="E42" i="25"/>
  <c r="E50" i="25"/>
  <c r="E44" i="24"/>
  <c r="E48" i="25"/>
  <c r="E47" i="25"/>
  <c r="E52" i="22"/>
  <c r="E39" i="24"/>
  <c r="E46" i="25"/>
  <c r="E41" i="25"/>
  <c r="E45" i="25"/>
  <c r="E49" i="25"/>
  <c r="AM16" i="48"/>
  <c r="AO15" i="48"/>
  <c r="AU28" i="48"/>
  <c r="M29" i="48"/>
  <c r="BA29" i="48" s="1"/>
  <c r="J41" i="27"/>
  <c r="K57" i="27"/>
  <c r="J40" i="28"/>
  <c r="K56" i="27"/>
  <c r="J48" i="27"/>
  <c r="J45" i="27"/>
  <c r="M7" i="26"/>
  <c r="D39" i="21"/>
  <c r="E39" i="23"/>
  <c r="D42" i="23"/>
  <c r="E42" i="24"/>
  <c r="D46" i="23"/>
  <c r="E46" i="24"/>
  <c r="D48" i="23"/>
  <c r="E48" i="24"/>
  <c r="D41" i="23"/>
  <c r="E41" i="24"/>
  <c r="D43" i="23"/>
  <c r="E43" i="24"/>
  <c r="D45" i="23"/>
  <c r="E45" i="24"/>
  <c r="D47" i="23"/>
  <c r="E47" i="24"/>
  <c r="D49" i="23"/>
  <c r="E49" i="24"/>
  <c r="D50" i="23"/>
  <c r="E50" i="24"/>
  <c r="D52" i="19"/>
  <c r="E52" i="20"/>
  <c r="D40" i="21"/>
  <c r="E40" i="23"/>
  <c r="D44" i="21"/>
  <c r="E44" i="23"/>
  <c r="D51" i="21"/>
  <c r="E51" i="23"/>
  <c r="J39" i="25"/>
  <c r="J37" i="24"/>
  <c r="J56" i="21"/>
  <c r="J57" i="12"/>
  <c r="J38" i="20"/>
  <c r="J21" i="8" l="1"/>
  <c r="J21" i="7" s="1"/>
  <c r="J21" i="6" s="1"/>
  <c r="J21" i="37" s="1"/>
  <c r="J21" i="4" s="1"/>
  <c r="J21" i="43" s="1"/>
  <c r="AK12" i="48"/>
  <c r="AW12" i="48"/>
  <c r="AE12" i="48"/>
  <c r="BH12" i="48"/>
  <c r="J24" i="17"/>
  <c r="J24" i="16" s="1"/>
  <c r="J24" i="15" s="1"/>
  <c r="J24" i="14" s="1"/>
  <c r="J24" i="13" s="1"/>
  <c r="J24" i="12" s="1"/>
  <c r="J24" i="11" s="1"/>
  <c r="J24" i="10" s="1"/>
  <c r="J24" i="9" s="1"/>
  <c r="F13" i="2"/>
  <c r="FZ13" i="2" s="1"/>
  <c r="BH13" i="48"/>
  <c r="BC13" i="48"/>
  <c r="J20" i="26"/>
  <c r="J20" i="25" s="1"/>
  <c r="J20" i="24" s="1"/>
  <c r="J20" i="23" s="1"/>
  <c r="J20" i="21" s="1"/>
  <c r="J20" i="22" s="1"/>
  <c r="J20" i="20" s="1"/>
  <c r="J20" i="19" s="1"/>
  <c r="J20" i="18" s="1"/>
  <c r="K13" i="48"/>
  <c r="J46" i="24"/>
  <c r="J46" i="23" s="1"/>
  <c r="J47" i="23" s="1"/>
  <c r="S14" i="48"/>
  <c r="AK13" i="48"/>
  <c r="J43" i="24"/>
  <c r="J44" i="25"/>
  <c r="AQ13" i="48"/>
  <c r="AE13" i="48"/>
  <c r="AW13" i="48"/>
  <c r="E38" i="25"/>
  <c r="E53" i="25" s="1"/>
  <c r="E54" i="25" s="1"/>
  <c r="M25" i="29"/>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29" s="1"/>
  <c r="D53" i="26"/>
  <c r="D54" i="26" s="1"/>
  <c r="E38" i="26"/>
  <c r="E53" i="26" s="1"/>
  <c r="E54" i="26" s="1"/>
  <c r="D53" i="25"/>
  <c r="D54" i="25" s="1"/>
  <c r="AO16" i="48"/>
  <c r="AM17" i="48"/>
  <c r="AU29" i="48"/>
  <c r="M30" i="48"/>
  <c r="BA30" i="48" s="1"/>
  <c r="M7" i="25"/>
  <c r="J40" i="26"/>
  <c r="K56" i="28"/>
  <c r="J41" i="28"/>
  <c r="K57" i="28"/>
  <c r="J48" i="28"/>
  <c r="J45" i="28"/>
  <c r="D51" i="22"/>
  <c r="E51" i="21"/>
  <c r="D38" i="23"/>
  <c r="D53" i="24"/>
  <c r="E38" i="24"/>
  <c r="E53" i="24" s="1"/>
  <c r="E54" i="24" s="1"/>
  <c r="D44" i="22"/>
  <c r="E44" i="21"/>
  <c r="D40" i="22"/>
  <c r="E40" i="21"/>
  <c r="D52" i="18"/>
  <c r="E52" i="19"/>
  <c r="D50" i="21"/>
  <c r="E50" i="23"/>
  <c r="D49" i="21"/>
  <c r="E49" i="23"/>
  <c r="D47" i="21"/>
  <c r="E47" i="23"/>
  <c r="D45" i="21"/>
  <c r="E45" i="23"/>
  <c r="D43" i="21"/>
  <c r="E43" i="23"/>
  <c r="D41" i="21"/>
  <c r="E41" i="23"/>
  <c r="D48" i="21"/>
  <c r="E48" i="23"/>
  <c r="D46" i="21"/>
  <c r="E46" i="23"/>
  <c r="D42" i="21"/>
  <c r="E42" i="23"/>
  <c r="D39" i="22"/>
  <c r="E39" i="21"/>
  <c r="J37" i="23"/>
  <c r="J39" i="24"/>
  <c r="J56" i="22"/>
  <c r="J38" i="19"/>
  <c r="J57" i="11"/>
  <c r="AA81" i="55" l="1"/>
  <c r="AB81" i="55" s="1"/>
  <c r="J24" i="8"/>
  <c r="J24" i="7" s="1"/>
  <c r="J24" i="6" s="1"/>
  <c r="J24" i="37" s="1"/>
  <c r="J24" i="4" s="1"/>
  <c r="J24" i="43" s="1"/>
  <c r="F14" i="2"/>
  <c r="FZ14" i="2" s="1"/>
  <c r="J20" i="17"/>
  <c r="J20" i="16" s="1"/>
  <c r="J20" i="15" s="1"/>
  <c r="J20" i="14" s="1"/>
  <c r="J20" i="13" s="1"/>
  <c r="J20" i="12" s="1"/>
  <c r="J20" i="11" s="1"/>
  <c r="J20" i="10" s="1"/>
  <c r="J20" i="9" s="1"/>
  <c r="J46" i="21"/>
  <c r="J46" i="22" s="1"/>
  <c r="BH14" i="48"/>
  <c r="BC14" i="48"/>
  <c r="J47" i="24"/>
  <c r="AW14" i="48"/>
  <c r="AE14" i="48"/>
  <c r="S15" i="48"/>
  <c r="AQ14" i="48"/>
  <c r="AK14" i="48"/>
  <c r="K14" i="48"/>
  <c r="J43" i="23"/>
  <c r="J44" i="24"/>
  <c r="M20" i="27"/>
  <c r="M34" i="29"/>
  <c r="AO17" i="48"/>
  <c r="AM18" i="48"/>
  <c r="M31" i="48"/>
  <c r="BA31" i="48" s="1"/>
  <c r="AU30" i="48"/>
  <c r="D54" i="24"/>
  <c r="J40" i="25"/>
  <c r="K57" i="26"/>
  <c r="K56" i="26"/>
  <c r="J41" i="26"/>
  <c r="J48" i="26"/>
  <c r="J45" i="26"/>
  <c r="M7" i="24"/>
  <c r="D39" i="20"/>
  <c r="E39" i="22"/>
  <c r="D42" i="22"/>
  <c r="E42" i="21"/>
  <c r="D46" i="22"/>
  <c r="E46" i="21"/>
  <c r="D48" i="22"/>
  <c r="E48" i="21"/>
  <c r="D41" i="22"/>
  <c r="E41" i="21"/>
  <c r="D43" i="22"/>
  <c r="E43" i="21"/>
  <c r="D45" i="22"/>
  <c r="E45" i="21"/>
  <c r="D47" i="22"/>
  <c r="E47" i="21"/>
  <c r="D49" i="22"/>
  <c r="E49" i="21"/>
  <c r="D50" i="22"/>
  <c r="E50" i="21"/>
  <c r="D52" i="17"/>
  <c r="E52" i="18"/>
  <c r="D40" i="20"/>
  <c r="E40" i="22"/>
  <c r="D44" i="20"/>
  <c r="E44" i="22"/>
  <c r="D38" i="21"/>
  <c r="E38" i="23"/>
  <c r="E53" i="23" s="1"/>
  <c r="E54" i="23" s="1"/>
  <c r="D53" i="23"/>
  <c r="D54" i="23" s="1"/>
  <c r="D51" i="20"/>
  <c r="E51" i="22"/>
  <c r="J37" i="21"/>
  <c r="J39" i="23"/>
  <c r="J38" i="18"/>
  <c r="J57" i="10"/>
  <c r="J56" i="20"/>
  <c r="F15" i="2" l="1"/>
  <c r="FZ15" i="2" s="1"/>
  <c r="J20" i="8"/>
  <c r="J20" i="7" s="1"/>
  <c r="J20" i="6" s="1"/>
  <c r="J20" i="37" s="1"/>
  <c r="J20" i="4" s="1"/>
  <c r="J20" i="43" s="1"/>
  <c r="J47" i="21"/>
  <c r="AA81" i="46"/>
  <c r="AE15" i="48"/>
  <c r="BC15" i="48"/>
  <c r="BH15" i="48"/>
  <c r="K15" i="48"/>
  <c r="S16" i="48"/>
  <c r="AW15" i="48"/>
  <c r="AQ15" i="48"/>
  <c r="AK15" i="48"/>
  <c r="J44" i="23"/>
  <c r="J43" i="21"/>
  <c r="M20" i="28"/>
  <c r="M34" i="27"/>
  <c r="AO18" i="48"/>
  <c r="AM19" i="48"/>
  <c r="M32" i="48"/>
  <c r="BA32" i="48" s="1"/>
  <c r="AU31" i="48"/>
  <c r="F16" i="2"/>
  <c r="FZ16" i="2" s="1"/>
  <c r="M7" i="23"/>
  <c r="J40" i="24"/>
  <c r="K57" i="25"/>
  <c r="K56" i="25"/>
  <c r="J41" i="25"/>
  <c r="J45" i="25"/>
  <c r="J48" i="25"/>
  <c r="D51" i="19"/>
  <c r="E51" i="20"/>
  <c r="D38" i="22"/>
  <c r="D53" i="21"/>
  <c r="E38" i="21"/>
  <c r="E53" i="21" s="1"/>
  <c r="E54" i="21" s="1"/>
  <c r="D44" i="19"/>
  <c r="E44" i="20"/>
  <c r="D40" i="19"/>
  <c r="E40" i="20"/>
  <c r="D52" i="16"/>
  <c r="E52" i="17"/>
  <c r="D50" i="20"/>
  <c r="E50" i="22"/>
  <c r="D49" i="20"/>
  <c r="E49" i="22"/>
  <c r="D47" i="20"/>
  <c r="E47" i="22"/>
  <c r="D45" i="20"/>
  <c r="E45" i="22"/>
  <c r="D43" i="20"/>
  <c r="E43" i="22"/>
  <c r="D41" i="20"/>
  <c r="E41" i="22"/>
  <c r="D48" i="20"/>
  <c r="E48" i="22"/>
  <c r="D46" i="20"/>
  <c r="E46" i="22"/>
  <c r="D42" i="20"/>
  <c r="E42" i="22"/>
  <c r="D39" i="19"/>
  <c r="E39" i="20"/>
  <c r="J39" i="21"/>
  <c r="J37" i="22"/>
  <c r="J56" i="19"/>
  <c r="J57" i="9"/>
  <c r="J46" i="20"/>
  <c r="J47" i="22"/>
  <c r="J38" i="17"/>
  <c r="AB81" i="46" l="1"/>
  <c r="AE16" i="48"/>
  <c r="BC16" i="48"/>
  <c r="BH16" i="48"/>
  <c r="S17" i="48"/>
  <c r="AQ16" i="48"/>
  <c r="K16" i="48"/>
  <c r="AK16" i="48"/>
  <c r="AW16" i="48"/>
  <c r="J43" i="22"/>
  <c r="J44" i="21"/>
  <c r="M20" i="26"/>
  <c r="M34" i="28"/>
  <c r="AO19" i="48"/>
  <c r="AM20" i="48"/>
  <c r="AU32" i="48"/>
  <c r="M33" i="48"/>
  <c r="BA33" i="48" s="1"/>
  <c r="D54" i="21"/>
  <c r="F17" i="2"/>
  <c r="FZ17" i="2" s="1"/>
  <c r="K56" i="24"/>
  <c r="J40" i="23"/>
  <c r="K57" i="24"/>
  <c r="J41" i="24"/>
  <c r="J48" i="24"/>
  <c r="J45" i="24"/>
  <c r="M7" i="21"/>
  <c r="D39" i="18"/>
  <c r="E39" i="19"/>
  <c r="D42" i="19"/>
  <c r="E42" i="20"/>
  <c r="D46" i="19"/>
  <c r="E46" i="20"/>
  <c r="D48" i="19"/>
  <c r="E48" i="20"/>
  <c r="D41" i="19"/>
  <c r="E41" i="20"/>
  <c r="D43" i="19"/>
  <c r="E43" i="20"/>
  <c r="D45" i="19"/>
  <c r="E45" i="20"/>
  <c r="D47" i="19"/>
  <c r="E47" i="20"/>
  <c r="D49" i="19"/>
  <c r="E49" i="20"/>
  <c r="D50" i="19"/>
  <c r="E50" i="20"/>
  <c r="D52" i="15"/>
  <c r="E52" i="16"/>
  <c r="D40" i="18"/>
  <c r="E40" i="19"/>
  <c r="D44" i="18"/>
  <c r="E44" i="19"/>
  <c r="D38" i="20"/>
  <c r="D53" i="22"/>
  <c r="E38" i="22"/>
  <c r="E53" i="22" s="1"/>
  <c r="E54" i="22" s="1"/>
  <c r="D51" i="18"/>
  <c r="E51" i="19"/>
  <c r="J39" i="22"/>
  <c r="J37" i="20"/>
  <c r="J46" i="19"/>
  <c r="J47" i="20"/>
  <c r="J57" i="8"/>
  <c r="J38" i="16"/>
  <c r="J56" i="18"/>
  <c r="AK17" i="48" l="1"/>
  <c r="BC17" i="48"/>
  <c r="AQ17" i="48"/>
  <c r="AW17" i="48"/>
  <c r="BH17" i="48"/>
  <c r="AE17" i="48"/>
  <c r="K17" i="48"/>
  <c r="S18" i="48"/>
  <c r="J43" i="20"/>
  <c r="J44" i="22"/>
  <c r="M20" i="25"/>
  <c r="M34" i="26"/>
  <c r="AM21" i="48"/>
  <c r="AO20" i="48"/>
  <c r="M34" i="48"/>
  <c r="BA34" i="48" s="1"/>
  <c r="AU33" i="48"/>
  <c r="D54" i="22"/>
  <c r="F18" i="2"/>
  <c r="FZ18" i="2" s="1"/>
  <c r="J41" i="23"/>
  <c r="J40" i="21"/>
  <c r="K57" i="23"/>
  <c r="K56" i="23"/>
  <c r="J45" i="23"/>
  <c r="J48" i="23"/>
  <c r="M7" i="22"/>
  <c r="D51" i="17"/>
  <c r="E51" i="18"/>
  <c r="D38" i="19"/>
  <c r="E38" i="20"/>
  <c r="E53" i="20" s="1"/>
  <c r="E54" i="20" s="1"/>
  <c r="D53" i="20"/>
  <c r="D44" i="17"/>
  <c r="E44" i="18"/>
  <c r="D40" i="17"/>
  <c r="E40" i="18"/>
  <c r="D52" i="14"/>
  <c r="E52" i="15"/>
  <c r="D50" i="18"/>
  <c r="E50" i="19"/>
  <c r="D49" i="18"/>
  <c r="E49" i="19"/>
  <c r="D47" i="18"/>
  <c r="E47" i="19"/>
  <c r="D45" i="18"/>
  <c r="E45" i="19"/>
  <c r="D43" i="18"/>
  <c r="E43" i="19"/>
  <c r="D41" i="18"/>
  <c r="E41" i="19"/>
  <c r="D48" i="18"/>
  <c r="E48" i="19"/>
  <c r="D46" i="18"/>
  <c r="E46" i="19"/>
  <c r="D42" i="18"/>
  <c r="E42" i="19"/>
  <c r="D39" i="17"/>
  <c r="E39" i="18"/>
  <c r="J37" i="19"/>
  <c r="J39" i="20"/>
  <c r="J46" i="18"/>
  <c r="J47" i="19"/>
  <c r="J56" i="17"/>
  <c r="J38" i="15"/>
  <c r="J57" i="7"/>
  <c r="K18" i="48" l="1"/>
  <c r="BC18" i="48"/>
  <c r="BH18" i="48"/>
  <c r="AQ18" i="48"/>
  <c r="S19" i="48"/>
  <c r="AW19" i="48" s="1"/>
  <c r="AE18" i="48"/>
  <c r="AW18" i="48"/>
  <c r="AK18" i="48"/>
  <c r="J43" i="19"/>
  <c r="J44" i="20"/>
  <c r="M20" i="24"/>
  <c r="M34" i="25"/>
  <c r="AO21" i="48"/>
  <c r="AM22" i="48"/>
  <c r="M35" i="48"/>
  <c r="BA35" i="48" s="1"/>
  <c r="AU34" i="48"/>
  <c r="D54" i="20"/>
  <c r="F19" i="2"/>
  <c r="FZ19" i="2" s="1"/>
  <c r="J40" i="22"/>
  <c r="K56" i="21"/>
  <c r="J41" i="21"/>
  <c r="K57" i="21"/>
  <c r="J45" i="21"/>
  <c r="J48" i="21"/>
  <c r="M7" i="20"/>
  <c r="D39" i="16"/>
  <c r="E39" i="17"/>
  <c r="D42" i="17"/>
  <c r="E42" i="18"/>
  <c r="D46" i="17"/>
  <c r="E46" i="18"/>
  <c r="D48" i="17"/>
  <c r="E48" i="18"/>
  <c r="D41" i="17"/>
  <c r="E41" i="18"/>
  <c r="D43" i="17"/>
  <c r="E43" i="18"/>
  <c r="D45" i="17"/>
  <c r="E45" i="18"/>
  <c r="D47" i="17"/>
  <c r="E47" i="18"/>
  <c r="D49" i="17"/>
  <c r="E49" i="18"/>
  <c r="D50" i="17"/>
  <c r="E50" i="18"/>
  <c r="D52" i="13"/>
  <c r="E52" i="14"/>
  <c r="D40" i="16"/>
  <c r="E40" i="17"/>
  <c r="D44" i="16"/>
  <c r="E44" i="17"/>
  <c r="D38" i="18"/>
  <c r="D53" i="19"/>
  <c r="E38" i="19"/>
  <c r="E53" i="19" s="1"/>
  <c r="E54" i="19" s="1"/>
  <c r="D51" i="16"/>
  <c r="E51" i="17"/>
  <c r="J39" i="19"/>
  <c r="J37" i="18"/>
  <c r="J47" i="18"/>
  <c r="J46" i="17"/>
  <c r="J57" i="6"/>
  <c r="J38" i="14"/>
  <c r="J56" i="16"/>
  <c r="AQ19" i="48" l="1"/>
  <c r="K19" i="48"/>
  <c r="BC19" i="48"/>
  <c r="S20" i="48"/>
  <c r="BC20" i="48" s="1"/>
  <c r="BH19" i="48"/>
  <c r="AK19" i="48"/>
  <c r="AE19" i="48"/>
  <c r="J43" i="18"/>
  <c r="J44" i="19"/>
  <c r="M20" i="23"/>
  <c r="M34" i="24"/>
  <c r="AO22" i="48"/>
  <c r="AM23" i="48"/>
  <c r="AU35" i="48"/>
  <c r="M36" i="48"/>
  <c r="BA36" i="48" s="1"/>
  <c r="D54" i="19"/>
  <c r="F20" i="2"/>
  <c r="FZ20" i="2" s="1"/>
  <c r="M7" i="19"/>
  <c r="J41" i="22"/>
  <c r="K57" i="22"/>
  <c r="J40" i="20"/>
  <c r="K56" i="22"/>
  <c r="J48" i="22"/>
  <c r="J45" i="22"/>
  <c r="D38" i="17"/>
  <c r="D53" i="18"/>
  <c r="E38" i="18"/>
  <c r="E53" i="18" s="1"/>
  <c r="E54" i="18" s="1"/>
  <c r="D44" i="15"/>
  <c r="E44" i="16"/>
  <c r="D40" i="15"/>
  <c r="E40" i="16"/>
  <c r="D52" i="12"/>
  <c r="E52" i="13"/>
  <c r="D50" i="16"/>
  <c r="E50" i="17"/>
  <c r="D49" i="16"/>
  <c r="E49" i="17"/>
  <c r="D47" i="16"/>
  <c r="E47" i="17"/>
  <c r="D45" i="16"/>
  <c r="E45" i="17"/>
  <c r="D43" i="16"/>
  <c r="E43" i="17"/>
  <c r="D41" i="16"/>
  <c r="E41" i="17"/>
  <c r="D48" i="16"/>
  <c r="E48" i="17"/>
  <c r="D46" i="16"/>
  <c r="E46" i="17"/>
  <c r="D42" i="16"/>
  <c r="E42" i="17"/>
  <c r="D39" i="15"/>
  <c r="E39" i="16"/>
  <c r="D51" i="15"/>
  <c r="E51" i="16"/>
  <c r="J37" i="17"/>
  <c r="J39" i="18"/>
  <c r="J47" i="17"/>
  <c r="J46" i="16"/>
  <c r="J56" i="15"/>
  <c r="J38" i="13"/>
  <c r="J57" i="37"/>
  <c r="AK20" i="48" l="1"/>
  <c r="K20" i="48"/>
  <c r="BH20" i="48"/>
  <c r="S21" i="48"/>
  <c r="BC21" i="48" s="1"/>
  <c r="AQ20" i="48"/>
  <c r="AE20" i="48"/>
  <c r="AW20" i="48"/>
  <c r="J44" i="18"/>
  <c r="J43" i="17"/>
  <c r="M20" i="21"/>
  <c r="M34" i="23"/>
  <c r="AO23" i="48"/>
  <c r="AM24" i="48"/>
  <c r="M37" i="48"/>
  <c r="BA37" i="48" s="1"/>
  <c r="AU36" i="48"/>
  <c r="D54" i="18"/>
  <c r="F21" i="2"/>
  <c r="FZ21" i="2" s="1"/>
  <c r="M7" i="18"/>
  <c r="J41" i="20"/>
  <c r="K56" i="20"/>
  <c r="J40" i="19"/>
  <c r="K57" i="20"/>
  <c r="J48" i="20"/>
  <c r="J45" i="20"/>
  <c r="D38" i="16"/>
  <c r="E38" i="17"/>
  <c r="E53" i="17" s="1"/>
  <c r="E54" i="17" s="1"/>
  <c r="D53" i="17"/>
  <c r="D51" i="14"/>
  <c r="E51" i="15"/>
  <c r="D39" i="14"/>
  <c r="E39" i="15"/>
  <c r="D42" i="15"/>
  <c r="E42" i="16"/>
  <c r="D46" i="15"/>
  <c r="E46" i="16"/>
  <c r="D48" i="15"/>
  <c r="E48" i="16"/>
  <c r="D41" i="15"/>
  <c r="E41" i="16"/>
  <c r="D43" i="15"/>
  <c r="E43" i="16"/>
  <c r="D45" i="15"/>
  <c r="E45" i="16"/>
  <c r="D47" i="15"/>
  <c r="E47" i="16"/>
  <c r="D49" i="15"/>
  <c r="E49" i="16"/>
  <c r="D50" i="15"/>
  <c r="E50" i="16"/>
  <c r="D52" i="11"/>
  <c r="E52" i="12"/>
  <c r="D40" i="14"/>
  <c r="E40" i="15"/>
  <c r="D44" i="14"/>
  <c r="E44" i="15"/>
  <c r="J39" i="17"/>
  <c r="J37" i="16"/>
  <c r="J57" i="4"/>
  <c r="J38" i="12"/>
  <c r="J47" i="16"/>
  <c r="J46" i="15"/>
  <c r="J56" i="14"/>
  <c r="AE21" i="48" l="1"/>
  <c r="AK21" i="48"/>
  <c r="AW21" i="48"/>
  <c r="S22" i="48"/>
  <c r="BC22" i="48" s="1"/>
  <c r="BH21" i="48"/>
  <c r="AQ21" i="48"/>
  <c r="K21" i="48"/>
  <c r="J43" i="16"/>
  <c r="J44" i="17"/>
  <c r="M20" i="22"/>
  <c r="M34" i="21"/>
  <c r="AO24" i="48"/>
  <c r="AM25" i="48"/>
  <c r="AU37" i="48"/>
  <c r="M38" i="48"/>
  <c r="BA38" i="48" s="1"/>
  <c r="D54" i="17"/>
  <c r="F22" i="2"/>
  <c r="FZ22" i="2" s="1"/>
  <c r="J41" i="19"/>
  <c r="K57" i="19"/>
  <c r="K56" i="19"/>
  <c r="J40" i="18"/>
  <c r="J48" i="19"/>
  <c r="J45" i="19"/>
  <c r="M7" i="17"/>
  <c r="D38" i="15"/>
  <c r="E38" i="16"/>
  <c r="E53" i="16" s="1"/>
  <c r="E54" i="16" s="1"/>
  <c r="D53" i="16"/>
  <c r="D54" i="16" s="1"/>
  <c r="D44" i="13"/>
  <c r="E44" i="14"/>
  <c r="D40" i="13"/>
  <c r="E40" i="14"/>
  <c r="D52" i="10"/>
  <c r="E52" i="11"/>
  <c r="D50" i="14"/>
  <c r="E50" i="15"/>
  <c r="D49" i="14"/>
  <c r="E49" i="15"/>
  <c r="D47" i="14"/>
  <c r="E47" i="15"/>
  <c r="D45" i="14"/>
  <c r="E45" i="15"/>
  <c r="D43" i="14"/>
  <c r="E43" i="15"/>
  <c r="D41" i="14"/>
  <c r="E41" i="15"/>
  <c r="D48" i="14"/>
  <c r="E48" i="15"/>
  <c r="D46" i="14"/>
  <c r="E46" i="15"/>
  <c r="D42" i="14"/>
  <c r="E42" i="15"/>
  <c r="D39" i="13"/>
  <c r="E39" i="14"/>
  <c r="D51" i="13"/>
  <c r="E51" i="14"/>
  <c r="J37" i="15"/>
  <c r="J39" i="16"/>
  <c r="J57" i="43"/>
  <c r="J56" i="13"/>
  <c r="J47" i="15"/>
  <c r="J46" i="14"/>
  <c r="J38" i="11"/>
  <c r="AQ22" i="48" l="1"/>
  <c r="S23" i="48"/>
  <c r="BC23" i="48" s="1"/>
  <c r="AW22" i="48"/>
  <c r="K22" i="48"/>
  <c r="AE22" i="48"/>
  <c r="AK22" i="48"/>
  <c r="BH22" i="48"/>
  <c r="J44" i="16"/>
  <c r="J43" i="15"/>
  <c r="M20" i="20"/>
  <c r="M34" i="22"/>
  <c r="AO25" i="48"/>
  <c r="AM26" i="48"/>
  <c r="AU38" i="48"/>
  <c r="M39" i="48"/>
  <c r="BA39" i="48" s="1"/>
  <c r="BH23" i="48"/>
  <c r="F23" i="2"/>
  <c r="FZ23" i="2" s="1"/>
  <c r="S24" i="48"/>
  <c r="BC24" i="48" s="1"/>
  <c r="AK23" i="48"/>
  <c r="AE23" i="48"/>
  <c r="AW23" i="48"/>
  <c r="K23" i="48"/>
  <c r="AQ23" i="48"/>
  <c r="M7" i="16"/>
  <c r="K56" i="18"/>
  <c r="J41" i="18"/>
  <c r="K57" i="18"/>
  <c r="J40" i="17"/>
  <c r="J48" i="18"/>
  <c r="J45" i="18"/>
  <c r="D38" i="14"/>
  <c r="E38" i="15"/>
  <c r="E53" i="15" s="1"/>
  <c r="E54" i="15" s="1"/>
  <c r="D53" i="15"/>
  <c r="D51" i="12"/>
  <c r="E51" i="13"/>
  <c r="D39" i="12"/>
  <c r="E39" i="13"/>
  <c r="D42" i="13"/>
  <c r="E42" i="14"/>
  <c r="D46" i="13"/>
  <c r="E46" i="14"/>
  <c r="D48" i="13"/>
  <c r="E48" i="14"/>
  <c r="D41" i="13"/>
  <c r="E41" i="14"/>
  <c r="D43" i="13"/>
  <c r="E43" i="14"/>
  <c r="D45" i="13"/>
  <c r="E45" i="14"/>
  <c r="D47" i="13"/>
  <c r="E47" i="14"/>
  <c r="D49" i="13"/>
  <c r="E49" i="14"/>
  <c r="D50" i="13"/>
  <c r="E50" i="14"/>
  <c r="D52" i="9"/>
  <c r="E52" i="10"/>
  <c r="D40" i="12"/>
  <c r="E40" i="13"/>
  <c r="D44" i="12"/>
  <c r="E44" i="13"/>
  <c r="J39" i="15"/>
  <c r="J37" i="14"/>
  <c r="J38" i="10"/>
  <c r="J47" i="14"/>
  <c r="J46" i="13"/>
  <c r="J56" i="12"/>
  <c r="AU39" i="48" l="1"/>
  <c r="J44" i="15"/>
  <c r="J43" i="14"/>
  <c r="M20" i="19"/>
  <c r="M34" i="20"/>
  <c r="AO26" i="48"/>
  <c r="AM27" i="48"/>
  <c r="D54" i="15"/>
  <c r="BH24" i="48"/>
  <c r="AK24" i="48"/>
  <c r="K24" i="48"/>
  <c r="AW24" i="48"/>
  <c r="AE24" i="48"/>
  <c r="S25" i="48"/>
  <c r="BC25" i="48" s="1"/>
  <c r="AQ24" i="48"/>
  <c r="F24" i="2"/>
  <c r="FZ24" i="2" s="1"/>
  <c r="J40" i="16"/>
  <c r="K56" i="17"/>
  <c r="J41" i="17"/>
  <c r="K57" i="17"/>
  <c r="J48" i="17"/>
  <c r="J45" i="17"/>
  <c r="M7" i="15"/>
  <c r="D44" i="11"/>
  <c r="E44" i="12"/>
  <c r="D40" i="11"/>
  <c r="E40" i="12"/>
  <c r="D52" i="8"/>
  <c r="E52" i="9"/>
  <c r="D50" i="12"/>
  <c r="E50" i="13"/>
  <c r="D49" i="12"/>
  <c r="E49" i="13"/>
  <c r="D47" i="12"/>
  <c r="E47" i="13"/>
  <c r="D45" i="12"/>
  <c r="E45" i="13"/>
  <c r="D43" i="12"/>
  <c r="E43" i="13"/>
  <c r="D41" i="12"/>
  <c r="E41" i="13"/>
  <c r="D48" i="12"/>
  <c r="E48" i="13"/>
  <c r="D46" i="12"/>
  <c r="E46" i="13"/>
  <c r="D42" i="12"/>
  <c r="E42" i="13"/>
  <c r="D39" i="11"/>
  <c r="E39" i="12"/>
  <c r="D51" i="11"/>
  <c r="E51" i="12"/>
  <c r="D38" i="13"/>
  <c r="E38" i="14"/>
  <c r="E53" i="14" s="1"/>
  <c r="E54" i="14" s="1"/>
  <c r="D53" i="14"/>
  <c r="J39" i="14"/>
  <c r="J37" i="13"/>
  <c r="J47" i="13"/>
  <c r="J46" i="12"/>
  <c r="J38" i="9"/>
  <c r="J56" i="11"/>
  <c r="AA111" i="55" l="1"/>
  <c r="AB111" i="55" s="1"/>
  <c r="J44" i="14"/>
  <c r="J43" i="13"/>
  <c r="M20" i="18"/>
  <c r="M34" i="19"/>
  <c r="N41" i="19" s="1"/>
  <c r="AM28" i="48"/>
  <c r="AO27" i="48"/>
  <c r="D54" i="14"/>
  <c r="BH25" i="48"/>
  <c r="F25" i="2"/>
  <c r="FZ25" i="2" s="1"/>
  <c r="AK25" i="48"/>
  <c r="AW25" i="48"/>
  <c r="K25" i="48"/>
  <c r="S26" i="48"/>
  <c r="BC26" i="48" s="1"/>
  <c r="AE25" i="48"/>
  <c r="AQ25" i="48"/>
  <c r="M7" i="14"/>
  <c r="J40" i="15"/>
  <c r="K57" i="16"/>
  <c r="K56" i="16"/>
  <c r="J41" i="16"/>
  <c r="J48" i="16"/>
  <c r="J45" i="16"/>
  <c r="D38" i="12"/>
  <c r="E38" i="13"/>
  <c r="E53" i="13" s="1"/>
  <c r="E54" i="13" s="1"/>
  <c r="D53" i="13"/>
  <c r="D51" i="10"/>
  <c r="E51" i="11"/>
  <c r="D39" i="10"/>
  <c r="E39" i="11"/>
  <c r="D42" i="11"/>
  <c r="E42" i="12"/>
  <c r="D46" i="11"/>
  <c r="E46" i="12"/>
  <c r="D48" i="11"/>
  <c r="E48" i="12"/>
  <c r="D41" i="11"/>
  <c r="E41" i="12"/>
  <c r="D43" i="11"/>
  <c r="E43" i="12"/>
  <c r="D45" i="11"/>
  <c r="E45" i="12"/>
  <c r="D47" i="11"/>
  <c r="E47" i="12"/>
  <c r="D49" i="11"/>
  <c r="E49" i="12"/>
  <c r="D50" i="11"/>
  <c r="E50" i="12"/>
  <c r="D52" i="7"/>
  <c r="E52" i="8"/>
  <c r="D40" i="10"/>
  <c r="E40" i="11"/>
  <c r="D44" i="10"/>
  <c r="E44" i="11"/>
  <c r="J37" i="12"/>
  <c r="J39" i="13"/>
  <c r="J56" i="10"/>
  <c r="J38" i="8"/>
  <c r="J47" i="12"/>
  <c r="J46" i="11"/>
  <c r="AA111" i="46" l="1"/>
  <c r="Z147" i="46"/>
  <c r="Z147" i="55"/>
  <c r="J44" i="13"/>
  <c r="J43" i="12"/>
  <c r="M20" i="17"/>
  <c r="M34" i="18"/>
  <c r="AO28" i="48"/>
  <c r="AM29" i="48"/>
  <c r="D54" i="13"/>
  <c r="BH26" i="48"/>
  <c r="AW26" i="48"/>
  <c r="AE26" i="48"/>
  <c r="S27" i="48"/>
  <c r="BC27" i="48" s="1"/>
  <c r="AK26" i="48"/>
  <c r="K26" i="48"/>
  <c r="AQ26" i="48"/>
  <c r="F26" i="2"/>
  <c r="FZ26" i="2" s="1"/>
  <c r="J40" i="14"/>
  <c r="J41" i="15"/>
  <c r="K57" i="15"/>
  <c r="K56" i="15"/>
  <c r="J45" i="15"/>
  <c r="J48" i="15"/>
  <c r="M7" i="13"/>
  <c r="D44" i="9"/>
  <c r="E44" i="10"/>
  <c r="D40" i="9"/>
  <c r="E40" i="10"/>
  <c r="D52" i="6"/>
  <c r="E52" i="7"/>
  <c r="D50" i="10"/>
  <c r="E50" i="11"/>
  <c r="D49" i="10"/>
  <c r="E49" i="11"/>
  <c r="D47" i="10"/>
  <c r="E47" i="11"/>
  <c r="D45" i="10"/>
  <c r="E45" i="11"/>
  <c r="D43" i="10"/>
  <c r="E43" i="11"/>
  <c r="D41" i="10"/>
  <c r="E41" i="11"/>
  <c r="D48" i="10"/>
  <c r="E48" i="11"/>
  <c r="D46" i="10"/>
  <c r="E46" i="11"/>
  <c r="D42" i="10"/>
  <c r="E42" i="11"/>
  <c r="D39" i="9"/>
  <c r="E39" i="10"/>
  <c r="D51" i="9"/>
  <c r="E51" i="10"/>
  <c r="D38" i="11"/>
  <c r="D53" i="12"/>
  <c r="D54" i="12" s="1"/>
  <c r="E38" i="12"/>
  <c r="E53" i="12" s="1"/>
  <c r="E54" i="12" s="1"/>
  <c r="J37" i="11"/>
  <c r="J39" i="12"/>
  <c r="J47" i="11"/>
  <c r="J46" i="10"/>
  <c r="J38" i="7"/>
  <c r="J56" i="9"/>
  <c r="AB147" i="55" l="1"/>
  <c r="AA147" i="55"/>
  <c r="T2" i="53"/>
  <c r="Z148" i="55"/>
  <c r="X156" i="55" s="1"/>
  <c r="I2" i="53"/>
  <c r="Z148" i="46"/>
  <c r="X156" i="46" s="1"/>
  <c r="AB111" i="46"/>
  <c r="AB147" i="46" s="1"/>
  <c r="AA147" i="46"/>
  <c r="J44" i="12"/>
  <c r="J43" i="11"/>
  <c r="M20" i="16"/>
  <c r="M34" i="17"/>
  <c r="AO29" i="48"/>
  <c r="AM30" i="48"/>
  <c r="BH27" i="48"/>
  <c r="F27" i="2"/>
  <c r="FZ27" i="2" s="1"/>
  <c r="K27" i="48"/>
  <c r="S28" i="48"/>
  <c r="BC28" i="48" s="1"/>
  <c r="AK27" i="48"/>
  <c r="AE27" i="48"/>
  <c r="AW27" i="48"/>
  <c r="AQ27" i="48"/>
  <c r="K56" i="14"/>
  <c r="J40" i="13"/>
  <c r="K57" i="14"/>
  <c r="J41" i="14"/>
  <c r="J48" i="14"/>
  <c r="J45" i="14"/>
  <c r="M7" i="12"/>
  <c r="D51" i="8"/>
  <c r="E51" i="9"/>
  <c r="D38" i="10"/>
  <c r="D53" i="11"/>
  <c r="D54" i="11" s="1"/>
  <c r="E38" i="11"/>
  <c r="E53" i="11" s="1"/>
  <c r="E54" i="11" s="1"/>
  <c r="D39" i="8"/>
  <c r="E39" i="9"/>
  <c r="D42" i="9"/>
  <c r="E42" i="10"/>
  <c r="D46" i="9"/>
  <c r="E46" i="10"/>
  <c r="D48" i="9"/>
  <c r="E48" i="10"/>
  <c r="D41" i="9"/>
  <c r="E41" i="10"/>
  <c r="D43" i="9"/>
  <c r="E43" i="10"/>
  <c r="D45" i="9"/>
  <c r="E45" i="10"/>
  <c r="D47" i="9"/>
  <c r="E47" i="10"/>
  <c r="D49" i="9"/>
  <c r="E49" i="10"/>
  <c r="D50" i="9"/>
  <c r="E50" i="10"/>
  <c r="D52" i="37"/>
  <c r="E52" i="6"/>
  <c r="D40" i="8"/>
  <c r="E40" i="9"/>
  <c r="D44" i="8"/>
  <c r="E44" i="9"/>
  <c r="J37" i="10"/>
  <c r="J39" i="11"/>
  <c r="J46" i="9"/>
  <c r="J47" i="10"/>
  <c r="J56" i="8"/>
  <c r="J38" i="6"/>
  <c r="AB148" i="46" l="1"/>
  <c r="X159" i="46" s="1"/>
  <c r="I4" i="53"/>
  <c r="J2" i="53"/>
  <c r="E12" i="54"/>
  <c r="AA148" i="46"/>
  <c r="X158" i="46" s="1"/>
  <c r="I3" i="53"/>
  <c r="U2" i="53"/>
  <c r="O12" i="54" s="1"/>
  <c r="N12" i="54"/>
  <c r="T3" i="53"/>
  <c r="AA148" i="55"/>
  <c r="X158" i="55" s="1"/>
  <c r="AB148" i="55"/>
  <c r="X159" i="55" s="1"/>
  <c r="T4" i="53"/>
  <c r="J43" i="10"/>
  <c r="J44" i="11"/>
  <c r="M20" i="15"/>
  <c r="M34" i="16"/>
  <c r="AO30" i="48"/>
  <c r="AM31" i="48"/>
  <c r="BH28" i="48"/>
  <c r="S29" i="48"/>
  <c r="BC29" i="48" s="1"/>
  <c r="AE28" i="48"/>
  <c r="AW28" i="48"/>
  <c r="K28" i="48"/>
  <c r="AK28" i="48"/>
  <c r="AQ28" i="48"/>
  <c r="F28" i="2"/>
  <c r="FZ28" i="2" s="1"/>
  <c r="M7" i="11"/>
  <c r="J41" i="13"/>
  <c r="K56" i="13"/>
  <c r="J40" i="12"/>
  <c r="K57" i="13"/>
  <c r="J48" i="13"/>
  <c r="J45" i="13"/>
  <c r="D44" i="7"/>
  <c r="E44" i="8"/>
  <c r="D40" i="7"/>
  <c r="E40" i="8"/>
  <c r="D52" i="4"/>
  <c r="E52" i="37"/>
  <c r="D50" i="8"/>
  <c r="E50" i="9"/>
  <c r="D49" i="8"/>
  <c r="E49" i="9"/>
  <c r="D47" i="8"/>
  <c r="E47" i="9"/>
  <c r="D45" i="8"/>
  <c r="E45" i="9"/>
  <c r="D43" i="8"/>
  <c r="E43" i="9"/>
  <c r="D41" i="8"/>
  <c r="E41" i="9"/>
  <c r="D48" i="8"/>
  <c r="E48" i="9"/>
  <c r="D46" i="8"/>
  <c r="E46" i="9"/>
  <c r="D42" i="8"/>
  <c r="E42" i="9"/>
  <c r="D39" i="7"/>
  <c r="E39" i="8"/>
  <c r="D38" i="9"/>
  <c r="E38" i="10"/>
  <c r="E53" i="10" s="1"/>
  <c r="E54" i="10" s="1"/>
  <c r="D53" i="10"/>
  <c r="D51" i="7"/>
  <c r="E51" i="8"/>
  <c r="J37" i="9"/>
  <c r="J39" i="10"/>
  <c r="J56" i="7"/>
  <c r="J38" i="37"/>
  <c r="J47" i="9"/>
  <c r="J46" i="8"/>
  <c r="X178" i="46" l="1"/>
  <c r="X180" i="46" s="1"/>
  <c r="X178" i="55"/>
  <c r="X180" i="55" s="1"/>
  <c r="P12" i="54"/>
  <c r="J3" i="53"/>
  <c r="E13" i="54"/>
  <c r="F13" i="54" s="1"/>
  <c r="G13" i="54" s="1"/>
  <c r="N14" i="54"/>
  <c r="U4" i="53"/>
  <c r="O14" i="54" s="1"/>
  <c r="P14" i="54" s="1"/>
  <c r="Q14" i="54" s="1"/>
  <c r="F12" i="54"/>
  <c r="U3" i="53"/>
  <c r="O13" i="54" s="1"/>
  <c r="P13" i="54" s="1"/>
  <c r="N13" i="54"/>
  <c r="J4" i="53"/>
  <c r="E14" i="54"/>
  <c r="F14" i="54" s="1"/>
  <c r="G14" i="54" s="1"/>
  <c r="H14" i="54" s="1"/>
  <c r="J44" i="10"/>
  <c r="J43" i="9"/>
  <c r="M20" i="14"/>
  <c r="M34" i="15"/>
  <c r="AM32" i="48"/>
  <c r="AO31" i="48"/>
  <c r="D54" i="10"/>
  <c r="BH29" i="48"/>
  <c r="F29" i="2"/>
  <c r="FZ29" i="2" s="1"/>
  <c r="AW29" i="48"/>
  <c r="AE29" i="48"/>
  <c r="AK29" i="48"/>
  <c r="S30" i="48"/>
  <c r="BC30" i="48" s="1"/>
  <c r="K29" i="48"/>
  <c r="AQ29" i="48"/>
  <c r="J40" i="11"/>
  <c r="J41" i="12"/>
  <c r="K57" i="12"/>
  <c r="K56" i="12"/>
  <c r="J45" i="12"/>
  <c r="J48" i="12"/>
  <c r="M7" i="10"/>
  <c r="D51" i="6"/>
  <c r="E51" i="7"/>
  <c r="D38" i="8"/>
  <c r="E38" i="9"/>
  <c r="E53" i="9" s="1"/>
  <c r="E54" i="9" s="1"/>
  <c r="D53" i="9"/>
  <c r="D54" i="9" s="1"/>
  <c r="D39" i="6"/>
  <c r="E39" i="7"/>
  <c r="D42" i="7"/>
  <c r="E42" i="8"/>
  <c r="D46" i="7"/>
  <c r="E46" i="8"/>
  <c r="D48" i="7"/>
  <c r="E48" i="8"/>
  <c r="D41" i="7"/>
  <c r="E41" i="8"/>
  <c r="D43" i="7"/>
  <c r="E43" i="8"/>
  <c r="D45" i="7"/>
  <c r="E45" i="8"/>
  <c r="D47" i="7"/>
  <c r="E47" i="8"/>
  <c r="D49" i="7"/>
  <c r="E49" i="8"/>
  <c r="D50" i="7"/>
  <c r="E50" i="8"/>
  <c r="D52" i="43"/>
  <c r="E52" i="43" s="1"/>
  <c r="E52" i="4"/>
  <c r="D40" i="6"/>
  <c r="E40" i="7"/>
  <c r="D44" i="6"/>
  <c r="E44" i="7"/>
  <c r="J37" i="8"/>
  <c r="J39" i="9"/>
  <c r="J47" i="8"/>
  <c r="J46" i="7"/>
  <c r="J38" i="4"/>
  <c r="J56" i="6"/>
  <c r="E44" i="54" l="1"/>
  <c r="G12" i="54"/>
  <c r="F44" i="54"/>
  <c r="F46" i="54" s="1"/>
  <c r="N44" i="54"/>
  <c r="O44" i="54"/>
  <c r="O46" i="54" s="1"/>
  <c r="P44" i="54"/>
  <c r="P46" i="54" s="1"/>
  <c r="Q12" i="54"/>
  <c r="Q44" i="54" s="1"/>
  <c r="Q46" i="54" s="1"/>
  <c r="R11" i="53" s="1"/>
  <c r="J44" i="9"/>
  <c r="J43" i="8"/>
  <c r="M20" i="13"/>
  <c r="M34" i="14"/>
  <c r="AM33" i="48"/>
  <c r="AO32" i="48"/>
  <c r="BH30" i="48"/>
  <c r="S31" i="48"/>
  <c r="BC31" i="48" s="1"/>
  <c r="K30" i="48"/>
  <c r="AW30" i="48"/>
  <c r="AE30" i="48"/>
  <c r="AK30" i="48"/>
  <c r="AQ30" i="48"/>
  <c r="F30" i="2"/>
  <c r="FZ30" i="2" s="1"/>
  <c r="M7" i="9"/>
  <c r="K56" i="11"/>
  <c r="J41" i="11"/>
  <c r="J40" i="10"/>
  <c r="K57" i="11"/>
  <c r="J48" i="11"/>
  <c r="J45" i="11"/>
  <c r="D44" i="37"/>
  <c r="E44" i="6"/>
  <c r="D40" i="37"/>
  <c r="E40" i="6"/>
  <c r="D50" i="6"/>
  <c r="E50" i="7"/>
  <c r="D49" i="6"/>
  <c r="E49" i="7"/>
  <c r="D47" i="6"/>
  <c r="E47" i="7"/>
  <c r="D45" i="6"/>
  <c r="E45" i="7"/>
  <c r="D43" i="6"/>
  <c r="E43" i="7"/>
  <c r="D41" i="6"/>
  <c r="E41" i="7"/>
  <c r="D48" i="6"/>
  <c r="E48" i="7"/>
  <c r="D46" i="6"/>
  <c r="E46" i="7"/>
  <c r="D42" i="6"/>
  <c r="E42" i="7"/>
  <c r="D39" i="37"/>
  <c r="E39" i="6"/>
  <c r="D38" i="7"/>
  <c r="E38" i="8"/>
  <c r="E53" i="8" s="1"/>
  <c r="E54" i="8" s="1"/>
  <c r="D53" i="8"/>
  <c r="D54" i="8" s="1"/>
  <c r="D51" i="37"/>
  <c r="E51" i="6"/>
  <c r="J37" i="7"/>
  <c r="J39" i="8"/>
  <c r="J56" i="37"/>
  <c r="J38" i="43"/>
  <c r="J47" i="7"/>
  <c r="J46" i="6"/>
  <c r="G44" i="54" l="1"/>
  <c r="G46" i="54" s="1"/>
  <c r="H12" i="54"/>
  <c r="H44" i="54" s="1"/>
  <c r="H46" i="54" s="1"/>
  <c r="G11" i="53" s="1"/>
  <c r="J44" i="8"/>
  <c r="J43" i="7"/>
  <c r="M20" i="12"/>
  <c r="M34" i="13"/>
  <c r="N35" i="13" s="1"/>
  <c r="AO33" i="48"/>
  <c r="AM34" i="48"/>
  <c r="BH31" i="48"/>
  <c r="F31" i="2"/>
  <c r="FZ31" i="2" s="1"/>
  <c r="K31" i="48"/>
  <c r="AW31" i="48"/>
  <c r="AE31" i="48"/>
  <c r="S32" i="48"/>
  <c r="BC32" i="48" s="1"/>
  <c r="AK31" i="48"/>
  <c r="AQ31" i="48"/>
  <c r="J41" i="10"/>
  <c r="K56" i="10"/>
  <c r="J40" i="9"/>
  <c r="K57" i="10"/>
  <c r="J48" i="10"/>
  <c r="J45" i="10"/>
  <c r="M7" i="8"/>
  <c r="D51" i="4"/>
  <c r="E51" i="37"/>
  <c r="D38" i="6"/>
  <c r="E38" i="7"/>
  <c r="E53" i="7" s="1"/>
  <c r="E54" i="7" s="1"/>
  <c r="D53" i="7"/>
  <c r="D39" i="4"/>
  <c r="E39" i="37"/>
  <c r="D42" i="37"/>
  <c r="E42" i="6"/>
  <c r="D46" i="37"/>
  <c r="E46" i="6"/>
  <c r="D48" i="37"/>
  <c r="E48" i="6"/>
  <c r="D41" i="37"/>
  <c r="E41" i="6"/>
  <c r="D43" i="37"/>
  <c r="E43" i="6"/>
  <c r="D45" i="37"/>
  <c r="E45" i="6"/>
  <c r="D47" i="37"/>
  <c r="E47" i="6"/>
  <c r="D49" i="37"/>
  <c r="E49" i="6"/>
  <c r="D50" i="37"/>
  <c r="E50" i="6"/>
  <c r="D40" i="4"/>
  <c r="E40" i="37"/>
  <c r="D44" i="4"/>
  <c r="E44" i="37"/>
  <c r="J39" i="7"/>
  <c r="J37" i="6"/>
  <c r="J47" i="6"/>
  <c r="J46" i="37"/>
  <c r="J56" i="4"/>
  <c r="J43" i="6" l="1"/>
  <c r="J44" i="7"/>
  <c r="M20" i="11"/>
  <c r="M34" i="12"/>
  <c r="AM35" i="48"/>
  <c r="AO34" i="48"/>
  <c r="D54" i="7"/>
  <c r="BH32" i="48"/>
  <c r="S33" i="48"/>
  <c r="BC33" i="48" s="1"/>
  <c r="K32" i="48"/>
  <c r="AW32" i="48"/>
  <c r="AK32" i="48"/>
  <c r="AE32" i="48"/>
  <c r="AQ32" i="48"/>
  <c r="F32" i="2"/>
  <c r="FZ32" i="2" s="1"/>
  <c r="J41" i="9"/>
  <c r="K57" i="9"/>
  <c r="K56" i="9"/>
  <c r="J40" i="8"/>
  <c r="J45" i="9"/>
  <c r="J48" i="9"/>
  <c r="M7" i="7"/>
  <c r="D44" i="43"/>
  <c r="E44" i="43" s="1"/>
  <c r="E44" i="4"/>
  <c r="D40" i="43"/>
  <c r="E40" i="43" s="1"/>
  <c r="E40" i="4"/>
  <c r="D50" i="4"/>
  <c r="E50" i="37"/>
  <c r="D49" i="4"/>
  <c r="E49" i="37"/>
  <c r="D47" i="4"/>
  <c r="E47" i="37"/>
  <c r="D45" i="4"/>
  <c r="E45" i="37"/>
  <c r="D43" i="4"/>
  <c r="E43" i="37"/>
  <c r="D41" i="4"/>
  <c r="E41" i="37"/>
  <c r="D48" i="4"/>
  <c r="E48" i="37"/>
  <c r="D46" i="4"/>
  <c r="E46" i="37"/>
  <c r="D42" i="4"/>
  <c r="E42" i="37"/>
  <c r="D39" i="43"/>
  <c r="E39" i="43" s="1"/>
  <c r="E39" i="4"/>
  <c r="D38" i="37"/>
  <c r="D53" i="6"/>
  <c r="E38" i="6"/>
  <c r="E53" i="6" s="1"/>
  <c r="E54" i="6" s="1"/>
  <c r="D51" i="43"/>
  <c r="E51" i="43" s="1"/>
  <c r="E51" i="4"/>
  <c r="J39" i="6"/>
  <c r="J37" i="37"/>
  <c r="J47" i="37"/>
  <c r="J46" i="4"/>
  <c r="J56" i="43"/>
  <c r="J43" i="37" l="1"/>
  <c r="J44" i="6"/>
  <c r="M20" i="10"/>
  <c r="M34" i="11"/>
  <c r="AM36" i="48"/>
  <c r="AO35" i="48"/>
  <c r="D54" i="6"/>
  <c r="BH33" i="48"/>
  <c r="F33" i="2"/>
  <c r="FZ33" i="2" s="1"/>
  <c r="S34" i="48"/>
  <c r="BC34" i="48" s="1"/>
  <c r="AK33" i="48"/>
  <c r="AW33" i="48"/>
  <c r="K33" i="48"/>
  <c r="AE33" i="48"/>
  <c r="AQ33" i="48"/>
  <c r="M7" i="6"/>
  <c r="K56" i="8"/>
  <c r="J41" i="8"/>
  <c r="K57" i="8"/>
  <c r="J40" i="7"/>
  <c r="J48" i="8"/>
  <c r="J45" i="8"/>
  <c r="D38" i="4"/>
  <c r="D53" i="37"/>
  <c r="E38" i="37"/>
  <c r="E53" i="37" s="1"/>
  <c r="E54" i="37" s="1"/>
  <c r="D42" i="43"/>
  <c r="E42" i="43" s="1"/>
  <c r="E42" i="4"/>
  <c r="D46" i="43"/>
  <c r="E46" i="43" s="1"/>
  <c r="E46" i="4"/>
  <c r="D48" i="43"/>
  <c r="E48" i="43" s="1"/>
  <c r="E48" i="4"/>
  <c r="D41" i="43"/>
  <c r="E41" i="43" s="1"/>
  <c r="E41" i="4"/>
  <c r="D43" i="43"/>
  <c r="E43" i="43" s="1"/>
  <c r="E43" i="4"/>
  <c r="D45" i="43"/>
  <c r="E45" i="43" s="1"/>
  <c r="E45" i="4"/>
  <c r="D47" i="43"/>
  <c r="E47" i="43" s="1"/>
  <c r="E47" i="4"/>
  <c r="D49" i="43"/>
  <c r="E49" i="43" s="1"/>
  <c r="E49" i="4"/>
  <c r="D50" i="43"/>
  <c r="E50" i="43" s="1"/>
  <c r="E50" i="4"/>
  <c r="J39" i="37"/>
  <c r="J37" i="4"/>
  <c r="J46" i="43"/>
  <c r="J47" i="4"/>
  <c r="J43" i="4" l="1"/>
  <c r="J44" i="37"/>
  <c r="M20" i="9"/>
  <c r="M34" i="10"/>
  <c r="AO36" i="48"/>
  <c r="AM37" i="48"/>
  <c r="D54" i="37"/>
  <c r="BH34" i="48"/>
  <c r="AK34" i="48"/>
  <c r="AW34" i="48"/>
  <c r="S35" i="48"/>
  <c r="BC35" i="48" s="1"/>
  <c r="K34" i="48"/>
  <c r="AE34" i="48"/>
  <c r="AQ34" i="48"/>
  <c r="F34" i="2"/>
  <c r="FZ34" i="2" s="1"/>
  <c r="J41" i="7"/>
  <c r="K57" i="7"/>
  <c r="K56" i="7"/>
  <c r="J40" i="6"/>
  <c r="J48" i="7"/>
  <c r="J45" i="7"/>
  <c r="M7" i="37"/>
  <c r="D38" i="43"/>
  <c r="E38" i="4"/>
  <c r="E53" i="4" s="1"/>
  <c r="E54" i="4" s="1"/>
  <c r="D53" i="4"/>
  <c r="D54" i="4" s="1"/>
  <c r="J39" i="4"/>
  <c r="J37" i="43"/>
  <c r="J39" i="43" s="1"/>
  <c r="J47" i="43"/>
  <c r="J44" i="4" l="1"/>
  <c r="J43" i="43"/>
  <c r="J44" i="43" s="1"/>
  <c r="M20" i="8"/>
  <c r="M34" i="9"/>
  <c r="N41" i="9" s="1"/>
  <c r="AO37" i="48"/>
  <c r="AM38" i="48"/>
  <c r="BH35" i="48"/>
  <c r="F35" i="2"/>
  <c r="FZ35" i="2" s="1"/>
  <c r="AK35" i="48"/>
  <c r="K35" i="48"/>
  <c r="AE35" i="48"/>
  <c r="S36" i="48"/>
  <c r="BC36" i="48" s="1"/>
  <c r="AW35" i="48"/>
  <c r="AQ35" i="48"/>
  <c r="M7" i="4"/>
  <c r="K56" i="6"/>
  <c r="J40" i="37"/>
  <c r="J41" i="6"/>
  <c r="K57" i="6"/>
  <c r="J45" i="6"/>
  <c r="J48" i="6"/>
  <c r="D53" i="43"/>
  <c r="AD152" i="46" s="1"/>
  <c r="E38" i="43"/>
  <c r="E53" i="43" s="1"/>
  <c r="E54" i="43" s="1"/>
  <c r="M20" i="7" l="1"/>
  <c r="M34" i="8"/>
  <c r="AO38" i="48"/>
  <c r="AM39" i="48"/>
  <c r="AO39" i="48" s="1"/>
  <c r="BH36" i="48"/>
  <c r="D54" i="43"/>
  <c r="AK36" i="48"/>
  <c r="S37" i="48"/>
  <c r="BC37" i="48" s="1"/>
  <c r="AE36" i="48"/>
  <c r="AW36" i="48"/>
  <c r="K36" i="48"/>
  <c r="AQ36" i="48"/>
  <c r="F36" i="2"/>
  <c r="FZ36" i="2" s="1"/>
  <c r="J40" i="4"/>
  <c r="K57" i="37"/>
  <c r="J41" i="37"/>
  <c r="K56" i="37"/>
  <c r="J48" i="37"/>
  <c r="J45" i="37"/>
  <c r="M7" i="43"/>
  <c r="M20" i="6" l="1"/>
  <c r="M34" i="7"/>
  <c r="BH37" i="48"/>
  <c r="F37" i="2"/>
  <c r="FZ37" i="2" s="1"/>
  <c r="AW37" i="48"/>
  <c r="AK37" i="48"/>
  <c r="S38" i="48"/>
  <c r="BC38" i="48" s="1"/>
  <c r="K37" i="48"/>
  <c r="AE37" i="48"/>
  <c r="AQ37" i="48"/>
  <c r="J41" i="4"/>
  <c r="J40" i="43"/>
  <c r="K57" i="4"/>
  <c r="K56" i="4"/>
  <c r="J45" i="4"/>
  <c r="J48" i="4"/>
  <c r="M20" i="37" l="1"/>
  <c r="M34" i="6"/>
  <c r="N38" i="6" s="1"/>
  <c r="BH38" i="48"/>
  <c r="AW38" i="48"/>
  <c r="AK38" i="48"/>
  <c r="S39" i="48"/>
  <c r="BC39" i="48" s="1"/>
  <c r="AE38" i="48"/>
  <c r="K38" i="48"/>
  <c r="AQ38" i="48"/>
  <c r="F38" i="2"/>
  <c r="K56" i="43"/>
  <c r="J41" i="43"/>
  <c r="K57" i="43"/>
  <c r="J48" i="43"/>
  <c r="J45" i="43"/>
  <c r="M20" i="4" l="1"/>
  <c r="M34" i="37"/>
  <c r="BH39" i="48"/>
  <c r="F39" i="2"/>
  <c r="AK39" i="48"/>
  <c r="K39" i="48"/>
  <c r="AE39" i="48"/>
  <c r="AW39" i="48"/>
  <c r="AQ39" i="48"/>
  <c r="M20" i="43" l="1"/>
  <c r="M34" i="4"/>
  <c r="F40" i="2"/>
  <c r="J31" i="28" l="1"/>
  <c r="J31" i="26" s="1"/>
  <c r="M34" i="43"/>
  <c r="J31" i="24" l="1"/>
  <c r="J31" i="23" s="1"/>
  <c r="J31" i="21" s="1"/>
  <c r="J31" i="22" s="1"/>
  <c r="J31" i="20" s="1"/>
  <c r="J31" i="19" s="1"/>
  <c r="J31" i="18" s="1"/>
  <c r="J31" i="25"/>
  <c r="I49" i="4"/>
  <c r="J31" i="17" l="1"/>
  <c r="J31" i="16" s="1"/>
  <c r="J31" i="15" s="1"/>
  <c r="J31" i="14" s="1"/>
  <c r="J31" i="13" s="1"/>
  <c r="J31" i="12" s="1"/>
  <c r="J31" i="11" s="1"/>
  <c r="J31" i="10" s="1"/>
  <c r="J31" i="9" s="1"/>
  <c r="I50" i="4"/>
  <c r="I51" i="4"/>
  <c r="I49" i="43"/>
  <c r="I49" i="6"/>
  <c r="J31" i="8" l="1"/>
  <c r="J31" i="7" s="1"/>
  <c r="J31" i="6" s="1"/>
  <c r="J31" i="37" s="1"/>
  <c r="J31" i="4" s="1"/>
  <c r="J31" i="43" s="1"/>
  <c r="I50" i="6"/>
  <c r="I51" i="6"/>
  <c r="I50" i="43"/>
  <c r="I51" i="43"/>
  <c r="I49" i="37" l="1"/>
  <c r="I50" i="37" l="1"/>
  <c r="I51" i="37"/>
  <c r="ED10" i="1" l="1"/>
  <c r="KT10" i="1" s="1"/>
  <c r="EC10" i="1"/>
  <c r="AV42" i="1" l="1"/>
  <c r="AX12" i="1"/>
  <c r="KT12" i="1" s="1"/>
  <c r="AW12" i="1"/>
  <c r="AX42" i="1" l="1"/>
  <c r="AW42" i="1"/>
  <c r="ED33" i="1" l="1"/>
  <c r="KT33" i="1"/>
  <c r="EB42" i="1"/>
  <c r="EC33" i="1"/>
  <c r="ED42" i="1" l="1"/>
  <c r="EC42" i="1"/>
  <c r="T9" i="48" l="1"/>
  <c r="U9" i="48" l="1"/>
  <c r="X9" i="48"/>
  <c r="I49" i="33"/>
  <c r="V9" i="48"/>
  <c r="T12" i="48"/>
  <c r="T13" i="48"/>
  <c r="T11" i="48"/>
  <c r="T10" i="48"/>
  <c r="X12" i="48" l="1"/>
  <c r="V12" i="48"/>
  <c r="U10" i="48"/>
  <c r="I49" i="32"/>
  <c r="V10" i="48"/>
  <c r="X10" i="48"/>
  <c r="I50" i="33"/>
  <c r="I51" i="33"/>
  <c r="J49" i="33"/>
  <c r="I49" i="31"/>
  <c r="I49" i="30"/>
  <c r="V11" i="48"/>
  <c r="X11" i="48"/>
  <c r="V13" i="48"/>
  <c r="X13" i="48"/>
  <c r="I49" i="29"/>
  <c r="W9" i="48"/>
  <c r="Y9" i="48"/>
  <c r="T29" i="48"/>
  <c r="T23" i="48"/>
  <c r="T27" i="48"/>
  <c r="T25" i="48"/>
  <c r="T20" i="48"/>
  <c r="T21" i="48"/>
  <c r="T26" i="48"/>
  <c r="T30" i="48"/>
  <c r="T28" i="48"/>
  <c r="T31" i="48"/>
  <c r="T32" i="48"/>
  <c r="T15" i="48"/>
  <c r="T16" i="48"/>
  <c r="T18" i="48"/>
  <c r="T24" i="48"/>
  <c r="T34" i="48"/>
  <c r="T33" i="48"/>
  <c r="T17" i="48"/>
  <c r="T22" i="48"/>
  <c r="T19" i="48"/>
  <c r="T14" i="48"/>
  <c r="T35" i="48"/>
  <c r="I49" i="16" l="1"/>
  <c r="V26" i="48"/>
  <c r="X26" i="48"/>
  <c r="I50" i="31"/>
  <c r="I51" i="31"/>
  <c r="X18" i="48"/>
  <c r="I49" i="24"/>
  <c r="V18" i="48"/>
  <c r="V21" i="48"/>
  <c r="X21" i="48"/>
  <c r="I49" i="22"/>
  <c r="J50" i="33"/>
  <c r="J51" i="33"/>
  <c r="I49" i="26"/>
  <c r="X16" i="48"/>
  <c r="V16" i="48"/>
  <c r="X20" i="48"/>
  <c r="I49" i="21"/>
  <c r="V20" i="48"/>
  <c r="I51" i="32"/>
  <c r="I50" i="32"/>
  <c r="J49" i="32"/>
  <c r="X19" i="48"/>
  <c r="I49" i="23"/>
  <c r="V19" i="48"/>
  <c r="X25" i="48"/>
  <c r="I49" i="17"/>
  <c r="V25" i="48"/>
  <c r="W10" i="48"/>
  <c r="Y10" i="48"/>
  <c r="V27" i="48"/>
  <c r="X27" i="48"/>
  <c r="I49" i="15"/>
  <c r="I51" i="29"/>
  <c r="I50" i="29"/>
  <c r="V24" i="48"/>
  <c r="X24" i="48"/>
  <c r="I49" i="18"/>
  <c r="I49" i="28"/>
  <c r="X15" i="48"/>
  <c r="V15" i="48"/>
  <c r="V31" i="48"/>
  <c r="X31" i="48"/>
  <c r="I49" i="11"/>
  <c r="V23" i="48"/>
  <c r="X23" i="48"/>
  <c r="I49" i="19"/>
  <c r="I49" i="27"/>
  <c r="X14" i="48"/>
  <c r="V14" i="48"/>
  <c r="I49" i="20"/>
  <c r="V22" i="48"/>
  <c r="X22" i="48"/>
  <c r="V33" i="48"/>
  <c r="X33" i="48"/>
  <c r="I49" i="9"/>
  <c r="V28" i="48"/>
  <c r="X28" i="48"/>
  <c r="I49" i="14"/>
  <c r="I49" i="13"/>
  <c r="V29" i="48"/>
  <c r="X29" i="48"/>
  <c r="I51" i="30"/>
  <c r="I50" i="30"/>
  <c r="V35" i="48"/>
  <c r="X35" i="48"/>
  <c r="I49" i="7"/>
  <c r="V32" i="48"/>
  <c r="X32" i="48"/>
  <c r="I49" i="10"/>
  <c r="I49" i="25"/>
  <c r="X17" i="48"/>
  <c r="V17" i="48"/>
  <c r="V34" i="48"/>
  <c r="X34" i="48"/>
  <c r="I49" i="8"/>
  <c r="V30" i="48"/>
  <c r="X30" i="48"/>
  <c r="I49" i="12"/>
  <c r="U11" i="48"/>
  <c r="T41" i="48"/>
  <c r="I50" i="11" l="1"/>
  <c r="I51" i="11"/>
  <c r="I50" i="18"/>
  <c r="I51" i="18"/>
  <c r="I50" i="17"/>
  <c r="I51" i="17"/>
  <c r="I50" i="25"/>
  <c r="I51" i="25"/>
  <c r="I50" i="14"/>
  <c r="I51" i="14"/>
  <c r="J49" i="31"/>
  <c r="J50" i="32"/>
  <c r="J51" i="32"/>
  <c r="I51" i="22"/>
  <c r="I50" i="22"/>
  <c r="I50" i="10"/>
  <c r="I51" i="10"/>
  <c r="I51" i="20"/>
  <c r="I50" i="20"/>
  <c r="I51" i="26"/>
  <c r="I50" i="26"/>
  <c r="I50" i="19"/>
  <c r="I51" i="19"/>
  <c r="I50" i="15"/>
  <c r="I51" i="15"/>
  <c r="I51" i="23"/>
  <c r="I50" i="23"/>
  <c r="I50" i="8"/>
  <c r="I51" i="8"/>
  <c r="U12" i="48"/>
  <c r="W11" i="48"/>
  <c r="Y11" i="48"/>
  <c r="I50" i="9"/>
  <c r="I51" i="9"/>
  <c r="I51" i="28"/>
  <c r="I50" i="28"/>
  <c r="I50" i="21"/>
  <c r="I51" i="21"/>
  <c r="V41" i="48"/>
  <c r="X41" i="48"/>
  <c r="I51" i="12"/>
  <c r="I50" i="12"/>
  <c r="I74" i="47" s="1"/>
  <c r="I50" i="7"/>
  <c r="I51" i="7"/>
  <c r="I50" i="13"/>
  <c r="I51" i="13"/>
  <c r="I50" i="27"/>
  <c r="I51" i="27"/>
  <c r="I50" i="24"/>
  <c r="I51" i="24"/>
  <c r="I50" i="16"/>
  <c r="I51" i="16"/>
  <c r="W12" i="48" l="1"/>
  <c r="Y12" i="48"/>
  <c r="U13" i="48"/>
  <c r="AH41" i="48"/>
  <c r="AZ41" i="48" s="1"/>
  <c r="AT41" i="48"/>
  <c r="J49" i="30"/>
  <c r="J50" i="31"/>
  <c r="J51" i="31"/>
  <c r="Y13" i="48" l="1"/>
  <c r="W13" i="48"/>
  <c r="U14" i="48"/>
  <c r="J51" i="30"/>
  <c r="J50" i="30"/>
  <c r="J49" i="29"/>
  <c r="W14" i="48" l="1"/>
  <c r="Y14" i="48"/>
  <c r="U15" i="48"/>
  <c r="J50" i="29"/>
  <c r="J51" i="29"/>
  <c r="J49" i="27"/>
  <c r="J51" i="27" l="1"/>
  <c r="J50" i="27"/>
  <c r="J49" i="28"/>
  <c r="W15" i="48"/>
  <c r="Y15" i="48"/>
  <c r="U16" i="48"/>
  <c r="J51" i="28" l="1"/>
  <c r="J50" i="28"/>
  <c r="J49" i="26"/>
  <c r="Y16" i="48"/>
  <c r="W16" i="48"/>
  <c r="U17" i="48"/>
  <c r="Y17" i="48" l="1"/>
  <c r="W17" i="48"/>
  <c r="U18" i="48"/>
  <c r="J51" i="26"/>
  <c r="J50" i="26"/>
  <c r="J49" i="25"/>
  <c r="W18" i="48" l="1"/>
  <c r="Y18" i="48"/>
  <c r="U19" i="48"/>
  <c r="J50" i="25"/>
  <c r="J51" i="25"/>
  <c r="J49" i="24"/>
  <c r="Y19" i="48" l="1"/>
  <c r="W19" i="48"/>
  <c r="U20" i="48"/>
  <c r="J50" i="24"/>
  <c r="J51" i="24"/>
  <c r="J49" i="23"/>
  <c r="W20" i="48" l="1"/>
  <c r="Y20" i="48"/>
  <c r="U21" i="48"/>
  <c r="J50" i="23"/>
  <c r="J51" i="23"/>
  <c r="J49" i="21"/>
  <c r="J51" i="21" l="1"/>
  <c r="J50" i="21"/>
  <c r="J49" i="22"/>
  <c r="W21" i="48"/>
  <c r="Y21" i="48"/>
  <c r="U22" i="48"/>
  <c r="J50" i="22" l="1"/>
  <c r="J51" i="22"/>
  <c r="J49" i="20"/>
  <c r="Y22" i="48"/>
  <c r="W22" i="48"/>
  <c r="U23" i="48"/>
  <c r="J51" i="20" l="1"/>
  <c r="J50" i="20"/>
  <c r="J49" i="19"/>
  <c r="Y23" i="48"/>
  <c r="W23" i="48"/>
  <c r="U24" i="48"/>
  <c r="J50" i="19" l="1"/>
  <c r="J51" i="19"/>
  <c r="J49" i="18"/>
  <c r="W24" i="48"/>
  <c r="Y24" i="48"/>
  <c r="U25" i="48"/>
  <c r="J50" i="18" l="1"/>
  <c r="J51" i="18"/>
  <c r="J49" i="17"/>
  <c r="W25" i="48"/>
  <c r="Y25" i="48"/>
  <c r="U26" i="48"/>
  <c r="J51" i="17" l="1"/>
  <c r="J50" i="17"/>
  <c r="J49" i="16"/>
  <c r="W26" i="48"/>
  <c r="Y26" i="48"/>
  <c r="U27" i="48"/>
  <c r="Y27" i="48" l="1"/>
  <c r="W27" i="48"/>
  <c r="U28" i="48"/>
  <c r="J50" i="16"/>
  <c r="J51" i="16"/>
  <c r="J49" i="15"/>
  <c r="J50" i="15" l="1"/>
  <c r="J51" i="15"/>
  <c r="J49" i="14"/>
  <c r="Y28" i="48"/>
  <c r="W28" i="48"/>
  <c r="U29" i="48"/>
  <c r="Y29" i="48" l="1"/>
  <c r="W29" i="48"/>
  <c r="U30" i="48"/>
  <c r="J50" i="14"/>
  <c r="J51" i="14"/>
  <c r="J49" i="13"/>
  <c r="J50" i="13" l="1"/>
  <c r="J51" i="13"/>
  <c r="J49" i="12"/>
  <c r="Y30" i="48"/>
  <c r="W30" i="48"/>
  <c r="U31" i="48"/>
  <c r="W31" i="48" l="1"/>
  <c r="Y31" i="48"/>
  <c r="U32" i="48"/>
  <c r="J51" i="12"/>
  <c r="J50" i="12"/>
  <c r="J49" i="11"/>
  <c r="J50" i="11" l="1"/>
  <c r="J51" i="11"/>
  <c r="J49" i="10"/>
  <c r="Y32" i="48"/>
  <c r="W32" i="48"/>
  <c r="U33" i="48"/>
  <c r="W33" i="48" l="1"/>
  <c r="Y33" i="48"/>
  <c r="U34" i="48"/>
  <c r="J50" i="10"/>
  <c r="J51" i="10"/>
  <c r="J49" i="9"/>
  <c r="J50" i="9" l="1"/>
  <c r="J51" i="9"/>
  <c r="J49" i="8"/>
  <c r="Y34" i="48"/>
  <c r="W34" i="48"/>
  <c r="U35" i="48"/>
  <c r="U36" i="48" l="1"/>
  <c r="W35" i="48"/>
  <c r="Y35" i="48"/>
  <c r="J51" i="8"/>
  <c r="J50" i="8"/>
  <c r="J49" i="7"/>
  <c r="U37" i="48" l="1"/>
  <c r="W36" i="48"/>
  <c r="Y36" i="48"/>
  <c r="J49" i="6"/>
  <c r="J51" i="7"/>
  <c r="J50" i="7"/>
  <c r="W37" i="48" l="1"/>
  <c r="U38" i="48"/>
  <c r="Y37" i="48"/>
  <c r="J50" i="6"/>
  <c r="J51" i="6"/>
  <c r="J49" i="37"/>
  <c r="Y38" i="48" l="1"/>
  <c r="U39" i="48"/>
  <c r="W38" i="48"/>
  <c r="J51" i="37"/>
  <c r="J49" i="4"/>
  <c r="J50" i="37"/>
  <c r="J51" i="4" l="1"/>
  <c r="J49" i="43"/>
  <c r="J50" i="4"/>
  <c r="Y39" i="48"/>
  <c r="W39" i="48"/>
  <c r="J50" i="43" l="1"/>
  <c r="J51" i="43"/>
  <c r="T37" i="1" l="1"/>
  <c r="KT37" i="1" s="1"/>
  <c r="KV37" i="1"/>
  <c r="S37" i="1"/>
  <c r="R42" i="1"/>
  <c r="S42" i="1" l="1"/>
  <c r="T42" i="1"/>
  <c r="FK42" i="2"/>
  <c r="FK38" i="2"/>
  <c r="EK38" i="2"/>
  <c r="EI42" i="2"/>
  <c r="EK39" i="2" l="1"/>
  <c r="FM38" i="2"/>
  <c r="FW38" i="2"/>
  <c r="FM39" i="2" l="1"/>
  <c r="EV38" i="2"/>
  <c r="AB38" i="2"/>
  <c r="BH38" i="2"/>
  <c r="P38" i="2"/>
  <c r="CN38" i="2"/>
  <c r="EF38" i="2"/>
  <c r="FY38" i="2"/>
  <c r="EB38" i="2"/>
  <c r="CV38" i="2"/>
  <c r="FW42" i="2"/>
  <c r="EJ38" i="2"/>
  <c r="CR38" i="2"/>
  <c r="AV38" i="2"/>
  <c r="ER38" i="2"/>
  <c r="X38" i="2"/>
  <c r="FD38" i="2"/>
  <c r="L38" i="2"/>
  <c r="DP38" i="2"/>
  <c r="CF38" i="2"/>
  <c r="AF38" i="2"/>
  <c r="AJ38" i="2"/>
  <c r="BD38" i="2"/>
  <c r="AN38" i="2"/>
  <c r="H38" i="2"/>
  <c r="EN38" i="2"/>
  <c r="FX38" i="2"/>
  <c r="DL38" i="2"/>
  <c r="EZ38" i="2"/>
  <c r="T38" i="2"/>
  <c r="BX38" i="2"/>
  <c r="CZ38" i="2"/>
  <c r="AZ38" i="2"/>
  <c r="FT38" i="2"/>
  <c r="DX38" i="2"/>
  <c r="DT38" i="2"/>
  <c r="CB38" i="2"/>
  <c r="DD38" i="2"/>
  <c r="AR38" i="2"/>
  <c r="CJ38" i="2"/>
  <c r="FH38" i="2"/>
  <c r="FP38" i="2"/>
  <c r="EK40" i="2"/>
  <c r="FL38" i="2"/>
  <c r="N38" i="2" l="1"/>
  <c r="CT38" i="2"/>
  <c r="FJ38" i="2"/>
  <c r="AP38" i="2"/>
  <c r="EX38" i="2"/>
  <c r="DN38" i="2"/>
  <c r="BF38" i="2"/>
  <c r="AD38" i="2"/>
  <c r="DF38" i="2"/>
  <c r="FR38" i="2"/>
  <c r="DV38" i="2"/>
  <c r="AT38" i="2"/>
  <c r="CD38" i="2"/>
  <c r="Z38" i="2"/>
  <c r="FB38" i="2"/>
  <c r="EP38" i="2"/>
  <c r="CL38" i="2"/>
  <c r="CX38" i="2"/>
  <c r="FV38" i="2"/>
  <c r="AL38" i="2"/>
  <c r="BB38" i="2"/>
  <c r="AX38" i="2"/>
  <c r="EH38" i="2"/>
  <c r="R38" i="2"/>
  <c r="DR38" i="2"/>
  <c r="V38" i="2"/>
  <c r="DZ38" i="2"/>
  <c r="FZ38" i="2"/>
  <c r="CP38" i="2"/>
  <c r="AH38" i="2"/>
  <c r="ET38" i="2"/>
  <c r="BJ38" i="2"/>
  <c r="J38" i="2"/>
  <c r="FX39" i="2"/>
  <c r="DB38" i="2"/>
  <c r="BZ38" i="2"/>
  <c r="ED38" i="2"/>
  <c r="CH38" i="2"/>
  <c r="FF38" i="2"/>
  <c r="EL38" i="2"/>
  <c r="FM40" i="2"/>
  <c r="ER42" i="2"/>
  <c r="FD42" i="2"/>
  <c r="EZ42" i="2"/>
  <c r="AR42" i="2"/>
  <c r="CV42" i="2"/>
  <c r="FH42" i="2"/>
  <c r="CR42" i="2"/>
  <c r="AB42" i="2"/>
  <c r="DX42" i="2"/>
  <c r="EV42" i="2"/>
  <c r="AZ42" i="2"/>
  <c r="EF42" i="2"/>
  <c r="FT42" i="2"/>
  <c r="FX42" i="2"/>
  <c r="BD42" i="2"/>
  <c r="AN42" i="2"/>
  <c r="BX42" i="2"/>
  <c r="CJ42" i="2"/>
  <c r="BH42" i="2"/>
  <c r="DT42" i="2"/>
  <c r="EB42" i="2"/>
  <c r="H42" i="2"/>
  <c r="EN42" i="2"/>
  <c r="FY42" i="2"/>
  <c r="BL42" i="2"/>
  <c r="CZ42" i="2"/>
  <c r="BT42" i="2"/>
  <c r="DP42" i="2"/>
  <c r="CF42" i="2"/>
  <c r="CN42" i="2"/>
  <c r="DD42" i="2"/>
  <c r="AV42" i="2"/>
  <c r="FP42" i="2"/>
  <c r="EJ42" i="2"/>
  <c r="FL42" i="2"/>
  <c r="FN38" i="2"/>
  <c r="FV39" i="2" l="1"/>
  <c r="DN39" i="2"/>
  <c r="EH39" i="2"/>
  <c r="BB39" i="2"/>
  <c r="DF39" i="2"/>
  <c r="ED39" i="2"/>
  <c r="BF39" i="2"/>
  <c r="CT39" i="2"/>
  <c r="EX39" i="2"/>
  <c r="DV39" i="2"/>
  <c r="J39" i="2"/>
  <c r="EP39" i="2"/>
  <c r="DB39" i="2"/>
  <c r="CL39" i="2"/>
  <c r="R39" i="2"/>
  <c r="CH39" i="2"/>
  <c r="DZ39" i="2"/>
  <c r="FB39" i="2"/>
  <c r="AH39" i="2"/>
  <c r="BZ39" i="2"/>
  <c r="V39" i="2"/>
  <c r="FF39" i="2"/>
  <c r="FJ39" i="2"/>
  <c r="CP39" i="2"/>
  <c r="ET39" i="2"/>
  <c r="Z39" i="2"/>
  <c r="AL39" i="2"/>
  <c r="BJ39" i="2"/>
  <c r="FR39" i="2"/>
  <c r="CX39" i="2"/>
  <c r="DR39" i="2"/>
  <c r="FZ39" i="2"/>
  <c r="CD39" i="2"/>
  <c r="AP39" i="2"/>
  <c r="AD39" i="2"/>
  <c r="AX39" i="2"/>
  <c r="N39" i="2"/>
  <c r="AT39" i="2"/>
  <c r="FX40" i="2"/>
  <c r="EL39" i="2"/>
  <c r="FN39" i="2"/>
  <c r="J40" i="2" l="1"/>
  <c r="BZ40" i="2"/>
  <c r="EP40" i="2"/>
  <c r="EX40" i="2"/>
  <c r="CL40" i="2"/>
  <c r="DN40" i="2"/>
  <c r="N40" i="2"/>
  <c r="AH40" i="2"/>
  <c r="AD40" i="2"/>
  <c r="FR40" i="2"/>
  <c r="FZ40" i="2"/>
  <c r="DZ40" i="2"/>
  <c r="AX40" i="2"/>
  <c r="DV40" i="2"/>
  <c r="Z40" i="2"/>
  <c r="DR40" i="2"/>
  <c r="AL40" i="2"/>
  <c r="CX40" i="2"/>
  <c r="FB40" i="2"/>
  <c r="EH40" i="2"/>
  <c r="DB40" i="2"/>
  <c r="FV40" i="2"/>
  <c r="FJ40" i="2"/>
  <c r="BJ40" i="2"/>
  <c r="R40" i="2"/>
  <c r="CH40" i="2"/>
  <c r="ED40" i="2"/>
  <c r="CT40" i="2"/>
  <c r="CD40" i="2"/>
  <c r="V40" i="2"/>
  <c r="BB40" i="2"/>
  <c r="ET40" i="2"/>
  <c r="AP40" i="2"/>
  <c r="CP40" i="2"/>
  <c r="AT40" i="2"/>
  <c r="DF40" i="2"/>
  <c r="BF40" i="2"/>
  <c r="FF40" i="2"/>
  <c r="EL40" i="2"/>
  <c r="FN40" i="2"/>
  <c r="W38" i="1" l="1"/>
  <c r="KT38" i="1" s="1"/>
  <c r="KV38" i="1"/>
  <c r="KV41" i="1" s="1"/>
  <c r="U42" i="1"/>
  <c r="W42" i="1" s="1"/>
  <c r="KT42" i="1" s="1"/>
  <c r="V38" i="1"/>
  <c r="KV42" i="1" l="1"/>
  <c r="V42" i="1"/>
</calcChain>
</file>

<file path=xl/comments1.xml><?xml version="1.0" encoding="utf-8"?>
<comments xmlns="http://schemas.openxmlformats.org/spreadsheetml/2006/main">
  <authors>
    <author>win10</author>
  </authors>
  <commentList>
    <comment ref="H6" authorId="0" shapeId="0">
      <text>
        <r>
          <rPr>
            <b/>
            <sz val="9"/>
            <color indexed="81"/>
            <rFont val="Tahoma"/>
            <family val="2"/>
          </rPr>
          <t>win10:</t>
        </r>
        <r>
          <rPr>
            <sz val="9"/>
            <color indexed="81"/>
            <rFont val="Tahoma"/>
            <family val="2"/>
          </rPr>
          <t xml:space="preserve">
CVT HB</t>
        </r>
      </text>
    </comment>
  </commentList>
</comments>
</file>

<file path=xl/comments2.xml><?xml version="1.0" encoding="utf-8"?>
<comments xmlns="http://schemas.openxmlformats.org/spreadsheetml/2006/main">
  <authors>
    <author>win10</author>
  </authors>
  <commentList>
    <comment ref="H6" authorId="0" shapeId="0">
      <text>
        <r>
          <rPr>
            <b/>
            <sz val="9"/>
            <color indexed="81"/>
            <rFont val="Tahoma"/>
            <family val="2"/>
          </rPr>
          <t>win10:</t>
        </r>
        <r>
          <rPr>
            <sz val="9"/>
            <color indexed="81"/>
            <rFont val="Tahoma"/>
            <family val="2"/>
          </rPr>
          <t xml:space="preserve">
CVT HB</t>
        </r>
      </text>
    </comment>
  </commentList>
</comments>
</file>

<file path=xl/sharedStrings.xml><?xml version="1.0" encoding="utf-8"?>
<sst xmlns="http://schemas.openxmlformats.org/spreadsheetml/2006/main" count="6328" uniqueCount="818">
  <si>
    <t xml:space="preserve"> </t>
  </si>
  <si>
    <t xml:space="preserve">  </t>
  </si>
  <si>
    <t>Efficiency</t>
  </si>
  <si>
    <t>Total</t>
  </si>
  <si>
    <t>PRODUCTION DAILY REPORT</t>
  </si>
  <si>
    <t>GRADE</t>
  </si>
  <si>
    <t>GSM</t>
  </si>
  <si>
    <t>LOSS</t>
  </si>
  <si>
    <t>Facial</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</si>
  <si>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</si>
  <si>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</si>
  <si>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</si>
  <si>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</si>
  <si>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</si>
  <si>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</si>
  <si>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</si>
  <si>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</si>
  <si>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</si>
  <si>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</si>
  <si>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</si>
  <si>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</si>
  <si>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</si>
  <si>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</si>
  <si>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</si>
  <si>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</si>
  <si>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</si>
  <si>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</si>
  <si>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</si>
  <si>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</si>
  <si>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</si>
  <si>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PM</t>
  </si>
  <si>
    <t>DATE</t>
  </si>
  <si>
    <t>PM PROD  Timbangan                       (TON)</t>
  </si>
  <si>
    <t>GAS HOOD</t>
  </si>
  <si>
    <t>STEAM (TON)</t>
  </si>
  <si>
    <t>POWER (kWh)</t>
  </si>
  <si>
    <t>/TON PM.</t>
  </si>
  <si>
    <t>/TON FG.</t>
  </si>
  <si>
    <t>CONSUMPTION</t>
  </si>
  <si>
    <t>TODAY</t>
  </si>
  <si>
    <t>TODATE</t>
  </si>
  <si>
    <t>REW PROD (TON)</t>
  </si>
  <si>
    <t>Kg/ton</t>
  </si>
  <si>
    <t>REEL PROD (TON)</t>
  </si>
  <si>
    <t>NBKP ASPA</t>
  </si>
  <si>
    <t>BOISE</t>
  </si>
  <si>
    <t>HARMAC</t>
  </si>
  <si>
    <t>ENOPINE</t>
  </si>
  <si>
    <t>NBKP STENDAL</t>
  </si>
  <si>
    <t>NBKP SODRA BLUE</t>
  </si>
  <si>
    <t>NBKP CLEAR WATER</t>
  </si>
  <si>
    <t>NBKP BILLERUD</t>
  </si>
  <si>
    <t>NBKP OREGON</t>
  </si>
  <si>
    <t>NBKP OULUPIN</t>
  </si>
  <si>
    <t>TOTAL NBKP</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</si>
  <si>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</si>
  <si>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</si>
  <si>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</si>
  <si>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</si>
  <si>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</si>
  <si>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</si>
  <si>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</si>
  <si>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</si>
  <si>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</si>
  <si>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</si>
  <si>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</si>
  <si>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</si>
  <si>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</si>
  <si>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</si>
  <si>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</si>
  <si>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</si>
  <si>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</si>
  <si>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</si>
  <si>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</si>
  <si>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</si>
  <si>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</si>
  <si>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</si>
  <si>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</si>
  <si>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</si>
  <si>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</si>
  <si>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</si>
  <si>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</si>
  <si>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</si>
  <si>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</si>
  <si>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</si>
  <si>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</si>
  <si>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</si>
  <si>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</si>
  <si>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</si>
  <si>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</si>
  <si>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</si>
  <si>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</si>
  <si>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</si>
  <si>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</si>
  <si>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</si>
  <si>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</si>
  <si>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</si>
  <si>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</si>
  <si>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</si>
  <si>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</si>
  <si>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</si>
  <si>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TOTAL LBKP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</si>
  <si>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</si>
  <si>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</si>
  <si>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</si>
  <si>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</si>
  <si>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</si>
  <si>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</si>
  <si>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</si>
  <si>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</si>
  <si>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</si>
  <si>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</si>
  <si>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</si>
  <si>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</si>
  <si>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</si>
  <si>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</si>
  <si>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</si>
  <si>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</si>
  <si>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</si>
  <si>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</si>
  <si>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</si>
  <si>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</si>
  <si>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</si>
  <si>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</si>
  <si>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</si>
  <si>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</si>
  <si>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</si>
  <si>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</si>
  <si>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</si>
  <si>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</si>
  <si>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</si>
  <si>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</si>
  <si>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</si>
  <si>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</si>
  <si>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</si>
  <si>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</si>
  <si>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</si>
  <si>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</si>
  <si>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</si>
  <si>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</si>
  <si>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</si>
  <si>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</si>
  <si>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</si>
  <si>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</si>
  <si>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</si>
  <si>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</si>
  <si>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</si>
  <si>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</si>
  <si>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</si>
  <si>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</si>
  <si>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</si>
  <si>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</si>
  <si>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</si>
  <si>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</si>
  <si>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</si>
  <si>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</si>
  <si>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</si>
  <si>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</si>
  <si>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</si>
  <si>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</si>
  <si>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</si>
  <si>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</si>
  <si>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</si>
  <si>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</si>
  <si>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</si>
  <si>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</si>
  <si>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</si>
  <si>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</si>
  <si>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</si>
  <si>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</si>
  <si>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</si>
  <si>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</si>
  <si>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</si>
  <si>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</si>
  <si>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</si>
  <si>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</si>
  <si>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</si>
  <si>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</si>
  <si>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</si>
  <si>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</si>
  <si>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</si>
  <si>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</si>
  <si>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</si>
  <si>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</si>
  <si>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</si>
  <si>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</si>
  <si>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</si>
  <si>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</si>
  <si>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</si>
  <si>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</si>
  <si>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</si>
  <si>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</si>
  <si>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</si>
  <si>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</si>
  <si>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</si>
  <si>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</si>
  <si>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</si>
  <si>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</si>
  <si>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</si>
  <si>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</si>
  <si>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</si>
  <si>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</si>
  <si>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</si>
  <si>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</si>
  <si>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</si>
  <si>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</si>
  <si>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</si>
  <si>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</si>
  <si>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</si>
  <si>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</si>
  <si>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</si>
  <si>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</si>
  <si>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</si>
  <si>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</si>
  <si>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</si>
  <si>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</si>
  <si>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Formasi jelek</t>
  </si>
  <si>
    <t>Lembab</t>
  </si>
  <si>
    <t>Diameter &lt; std</t>
  </si>
  <si>
    <t>Lebar kertas kurang</t>
  </si>
  <si>
    <t>White spot</t>
  </si>
  <si>
    <t>Thickness &lt; std</t>
  </si>
  <si>
    <t>Bulky &lt; std</t>
  </si>
  <si>
    <t>sheet break</t>
  </si>
  <si>
    <t>change blade</t>
  </si>
  <si>
    <t>change spool</t>
  </si>
  <si>
    <t>Loss time sheet break</t>
  </si>
  <si>
    <t>Loss time change blade</t>
  </si>
  <si>
    <t>Loss time change spool</t>
  </si>
  <si>
    <t>Loss time change grade</t>
  </si>
  <si>
    <t>Change Grade</t>
  </si>
  <si>
    <t>TISSUE MACHINE 17</t>
  </si>
  <si>
    <t>PAPER MACHINE 17 DAILY REPORT 1</t>
  </si>
  <si>
    <t>Total PM17</t>
  </si>
  <si>
    <t>PM 17</t>
  </si>
  <si>
    <t xml:space="preserve">PM17 Efficiency Report </t>
  </si>
  <si>
    <t>CAKRAWALA</t>
  </si>
  <si>
    <t>PULP AND BROKE DAILY REPORT PM 17</t>
  </si>
  <si>
    <t>Marketing</t>
  </si>
  <si>
    <t>LBKP CAKRAWALA</t>
  </si>
  <si>
    <t>LBKP ACASIA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</si>
  <si>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</si>
  <si>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</si>
  <si>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</si>
  <si>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</si>
  <si>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</si>
  <si>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</si>
  <si>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</si>
  <si>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</si>
  <si>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</si>
  <si>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</si>
  <si>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</si>
  <si>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</si>
  <si>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Change Grade</t>
  </si>
  <si>
    <t>Loss Speed</t>
  </si>
  <si>
    <t>Theory with Available Time (ton)</t>
  </si>
  <si>
    <t>Total LT/DT (mins)</t>
  </si>
  <si>
    <t>Total LT/DT (ton)</t>
  </si>
  <si>
    <t>LT/DT Percentage</t>
  </si>
  <si>
    <t>Down Time Mekanik</t>
  </si>
  <si>
    <t>Down Time EID</t>
  </si>
  <si>
    <t>Loss Time EID</t>
  </si>
  <si>
    <t>Down Time Process</t>
  </si>
  <si>
    <t>Scheduled Shut Down</t>
  </si>
  <si>
    <t>Down Time Marketing</t>
  </si>
  <si>
    <t>Category</t>
  </si>
  <si>
    <t>Problem Category</t>
  </si>
  <si>
    <t>Detailed Problem</t>
  </si>
  <si>
    <t>LT/DT in Mins</t>
  </si>
  <si>
    <t>LT/DT in Ton</t>
  </si>
  <si>
    <t>Percentage LT/DT</t>
  </si>
  <si>
    <t>Total Percentage</t>
  </si>
  <si>
    <t>Actual Percentage</t>
  </si>
  <si>
    <t>X-Factor</t>
  </si>
  <si>
    <t>Reject Broke Plant</t>
  </si>
  <si>
    <t>Basic Weight Estimation</t>
  </si>
  <si>
    <t>Maintenance</t>
  </si>
  <si>
    <t>Loss Time Mekanik</t>
  </si>
  <si>
    <t>PM 17 Summary</t>
  </si>
  <si>
    <t>Gas ConsumptionHood PM 17</t>
  </si>
  <si>
    <t>Gas ConsumptionHood PM17</t>
  </si>
  <si>
    <t>Tonase</t>
  </si>
  <si>
    <t>Prosentase</t>
  </si>
  <si>
    <t>Total Prosentase</t>
  </si>
  <si>
    <t>Gripis</t>
  </si>
  <si>
    <t>Dirt</t>
  </si>
  <si>
    <t>Cap garis doctor</t>
  </si>
  <si>
    <t>TOTALIZER</t>
  </si>
  <si>
    <t>PHP Recycle</t>
  </si>
  <si>
    <t>Yield BB Recycle</t>
  </si>
  <si>
    <t>PRODUKSI</t>
  </si>
  <si>
    <t>STEAM DEINKING (TON)</t>
  </si>
  <si>
    <t>POWER DEINKING (kWh)</t>
  </si>
  <si>
    <t>Deinking</t>
  </si>
  <si>
    <t>CHEMICAL DAILY REPORT PM 17</t>
  </si>
  <si>
    <t>ELTEXIN</t>
  </si>
  <si>
    <t>CHROMACLEAR</t>
  </si>
  <si>
    <t>NGR 200</t>
  </si>
  <si>
    <t>NGR 900</t>
  </si>
  <si>
    <t>AMISOFT 6538</t>
  </si>
  <si>
    <t>Loss time</t>
  </si>
  <si>
    <t>Down Time</t>
  </si>
  <si>
    <t>SINERGY</t>
  </si>
  <si>
    <t>Backlog</t>
  </si>
  <si>
    <t>awal bulan produksi MG mengikuti real speed karea usia felt sudah 7minggu</t>
  </si>
  <si>
    <t>NB : info pak hartono untuk napkin + towel speed 1600mpm, gsm tinggi 92ton(&gt;17)</t>
  </si>
  <si>
    <t>Loss Time Marketing</t>
  </si>
  <si>
    <t>VP OW</t>
  </si>
  <si>
    <t>Drive Panel</t>
  </si>
  <si>
    <t>Pulper</t>
  </si>
  <si>
    <t>Kehilangan Effisiensi PM 17 terdiri dari:</t>
  </si>
  <si>
    <t>Down Time Sinergy</t>
  </si>
  <si>
    <t>Loss Time Sinergy</t>
  </si>
  <si>
    <t>MANAGEMENT</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</si>
  <si>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</si>
  <si>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</si>
  <si>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</si>
  <si>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</si>
  <si>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</si>
  <si>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</si>
  <si>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</si>
  <si>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</si>
  <si>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</si>
  <si>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</si>
  <si>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</si>
  <si>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</si>
  <si>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</si>
  <si>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</si>
  <si>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</si>
  <si>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</si>
  <si>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</si>
  <si>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</si>
  <si>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</si>
  <si>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</si>
  <si>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</si>
  <si>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</si>
  <si>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</si>
  <si>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</si>
  <si>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</si>
  <si>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</si>
  <si>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</si>
  <si>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</si>
  <si>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</si>
  <si>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</si>
  <si>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</si>
  <si>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</si>
  <si>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</si>
  <si>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</si>
  <si>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</si>
  <si>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</si>
  <si>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</si>
  <si>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</si>
  <si>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</si>
  <si>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</si>
  <si>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</si>
  <si>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</si>
  <si>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</si>
  <si>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</si>
  <si>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</si>
  <si>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</si>
  <si>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</si>
  <si>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</si>
  <si>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</si>
  <si>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</si>
  <si>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</si>
  <si>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</si>
  <si>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</si>
  <si>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</si>
  <si>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</si>
  <si>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DI N40</t>
  </si>
  <si>
    <t>Price</t>
  </si>
  <si>
    <t>Down Time PLN</t>
  </si>
  <si>
    <t>Running</t>
  </si>
  <si>
    <t xml:space="preserve">Kapasitas Running (ton) </t>
  </si>
  <si>
    <t>Eff FG vs Target  Running(%)</t>
  </si>
  <si>
    <t>PM 17 Running Time</t>
  </si>
  <si>
    <t xml:space="preserve">Sisa spool seset </t>
  </si>
  <si>
    <t>Sisa spool rewinder</t>
  </si>
  <si>
    <t>Potongan serabut</t>
  </si>
  <si>
    <t>Setting potongan</t>
  </si>
  <si>
    <t>Jumbo geser, gandeng</t>
  </si>
  <si>
    <t>Setting slitter</t>
  </si>
  <si>
    <t>Seset cek QC</t>
  </si>
  <si>
    <t>Gelombang</t>
  </si>
  <si>
    <t>Soping</t>
  </si>
  <si>
    <t>Change grade</t>
  </si>
  <si>
    <t>Potongan lari-lari</t>
  </si>
  <si>
    <t>BW tidak stabil</t>
  </si>
  <si>
    <t>Kertas putus-putus</t>
  </si>
  <si>
    <t>Warna kehijauan</t>
  </si>
  <si>
    <t>DETAC DC779F</t>
  </si>
  <si>
    <t>SODRA</t>
  </si>
  <si>
    <t>NBKP KORAB/SCA</t>
  </si>
  <si>
    <t>NBKP HOWE/HSPP</t>
  </si>
  <si>
    <t>NBKP Crestbrook</t>
  </si>
  <si>
    <t>Chest Akhir</t>
  </si>
  <si>
    <t>Putra Radian RAP</t>
  </si>
  <si>
    <t>0</t>
  </si>
  <si>
    <t>F 12 VP OW</t>
  </si>
  <si>
    <t>- Change Blade (3x)</t>
  </si>
  <si>
    <t>- Change Spool (8x)</t>
  </si>
  <si>
    <t>- Sheet Breaks (3x)</t>
  </si>
  <si>
    <t>- Sheet Breaks (6x)</t>
  </si>
  <si>
    <t>- Change Blade (12x)</t>
  </si>
  <si>
    <t>- Change Spool (27x)</t>
  </si>
  <si>
    <t>NBKP Catalyst/Crafton</t>
  </si>
  <si>
    <t>LBKP TEL PELITA/TEL PRIME</t>
  </si>
  <si>
    <t>LBKP SUZANO</t>
  </si>
  <si>
    <t>LBKP ASTRA CELL</t>
  </si>
  <si>
    <t>F 12</t>
  </si>
  <si>
    <t>T 13 VP OW</t>
  </si>
  <si>
    <t>SS</t>
  </si>
  <si>
    <t>PHP PM</t>
  </si>
  <si>
    <t xml:space="preserve">PM17 Efficiency Running Report </t>
  </si>
  <si>
    <t>Steam, &amp; gangguan sinergy (X)</t>
  </si>
  <si>
    <t>Freq, Trip PLN (X)</t>
  </si>
  <si>
    <t>Cleaning Holes (X)</t>
  </si>
  <si>
    <t>Per hari</t>
  </si>
  <si>
    <t>.07.25</t>
  </si>
  <si>
    <t>- Awal Shift PM Produksi 1. Facial 12 Gsm (Fg Morcon) deckle 266 cm
speed pm
Awal    : 1350 mpm /-24,5%</t>
  </si>
  <si>
    <t>07:16 sisi Fs ada hole, cek coating release &amp; shower
08:38 sheet breaks, kertas putus 2,change blade
- turun speed 1320 mpm
09:35 steam drop, hole makin banyak
09:48 turun speed 1200 mpm, cob cleaning felt dengan amiclean
11:00 pm 17 stop, ganti wire
13:00 selesai ganti wire, tunggu steam stabil
- cleaning area felt &amp; wire
13:40 steam sudah 16.7 bar, persiapan jalan
14:00 steam drop lagi, pm 17 gagal start up</t>
  </si>
  <si>
    <t>- Awal Shift PM Produksi F11,5 gsm (cvt)
Deckle           : 2625 mm
Speed Awal   : -
Speed Akhir  : 1200 mpm / 23%</t>
  </si>
  <si>
    <t xml:space="preserve">23.04 Tisu putus dari DS, Ganti blade, Cleaning
- Tisu sisi DS ada pin hole. 
- Karcer wire
00.25 speed turun 1150 mpm
00.55 Tisu putus dari sisi DS
- Coba tambah tension wire. 
01.45 Nyelilit DS, Tisu putus, ganti blade, Cleaning 
02.00 Speed naik 1170 mpm
02.23 Tisu putus dari sisi DS, sambung
04.37 Tisu putus, Ganti blade, Cleaning
05.45 Speed turun 1150 mpm
06.20 Ganti blade
Note : Kertas sisi DS rawan gripis, indikasi dari wire di bagian sel trim ada yg cacat, trim mudah lengket ke kertas menyebabkan kertas sobek dan putus. </t>
  </si>
  <si>
    <t>Awal shift PM 17 produksi : 
1. Facial 11.5 ( Cvt  )
- Deckle :  2625 mm
- Speed Awal : 1200 mpm / -23 %</t>
  </si>
  <si>
    <t>STOP</t>
  </si>
  <si>
    <t>F 11,5</t>
  </si>
  <si>
    <r>
      <t xml:space="preserve">* Loader arm sering kali macet
* 15:00 pm stop ganti wire + tunggu boiler 
* Sikat felt dgn xilin
* Ganti scraper roll
* Bilas felt
* 15:53 persiapan jalan
</t>
    </r>
    <r>
      <rPr>
        <b/>
        <sz val="10"/>
        <color rgb="FFFF0000"/>
        <rFont val="Arial"/>
        <family val="2"/>
      </rPr>
      <t>* 16:58 on rell</t>
    </r>
    <r>
      <rPr>
        <b/>
        <sz val="10"/>
        <color indexed="8"/>
        <rFont val="Arial"/>
        <family val="2"/>
      </rPr>
      <t xml:space="preserve">
* 17:08 SU pin jole ds gripis (wire trim cacat)
* 17:17 grepis ds
* 17:37 sheetbreak ds gripis 
</t>
    </r>
    <r>
      <rPr>
        <b/>
        <sz val="10"/>
        <color rgb="FFFF0000"/>
        <rFont val="Arial"/>
        <family val="2"/>
      </rPr>
      <t>* 17:52 turun soeed 1200 mpm</t>
    </r>
    <r>
      <rPr>
        <b/>
        <sz val="10"/>
        <color indexed="8"/>
        <rFont val="Arial"/>
        <family val="2"/>
      </rPr>
      <t xml:space="preserve">
* 17:57 ds gripis
</t>
    </r>
    <r>
      <rPr>
        <b/>
        <sz val="10"/>
        <color rgb="FFFF0000"/>
        <rFont val="Arial"/>
        <family val="2"/>
      </rPr>
      <t>* 18:20 naik speed 1250 mpm</t>
    </r>
    <r>
      <rPr>
        <b/>
        <sz val="10"/>
        <color indexed="8"/>
        <rFont val="Arial"/>
        <family val="2"/>
      </rPr>
      <t xml:space="preserve"> 
* 18:37 sheetbreak ds gripis
* 18:59 sheetbreak da gripis
* 19:09- 19:16 ds gripis
* 19:23 shetbreak ds gripis
* 19:32-19:55 shetbreak ds gripis
* 20:12 naik speed 1250 mpm
* 21:08 sheetbreak kertas gripis ds
* 21:23-21:42 sheetbreak gripis ds 
* 21:49 shetbreak gripis ds 
</t>
    </r>
    <r>
      <rPr>
        <b/>
        <sz val="10"/>
        <color rgb="FFFF0000"/>
        <rFont val="Arial"/>
        <family val="2"/>
      </rPr>
      <t xml:space="preserve">* 21:39 tirun speed 1220 mpm </t>
    </r>
    <r>
      <rPr>
        <b/>
        <sz val="10"/>
        <color indexed="8"/>
        <rFont val="Arial"/>
        <family val="2"/>
      </rPr>
      <t xml:space="preserve">
* 22:22 sheetbreak kertas ds gripis
</t>
    </r>
    <r>
      <rPr>
        <b/>
        <sz val="10"/>
        <color rgb="FFFF0000"/>
        <rFont val="Arial"/>
        <family val="2"/>
      </rPr>
      <t>* 22:30 turun speed 1200 mpm</t>
    </r>
    <r>
      <rPr>
        <b/>
        <sz val="10"/>
        <color indexed="8"/>
        <rFont val="Arial"/>
        <family val="2"/>
      </rPr>
      <t xml:space="preserve">
* 22:36 gripis ds 
* 22:46 gripis ds
Note : kertas putus2 dan gripis indikasi dari wire di bagian sel trim ada yg cacat, trim kelet ke kertas, menyebabkan kertas sobek dan putus. </t>
    </r>
  </si>
  <si>
    <t>1296,25/978,669</t>
  </si>
  <si>
    <t>1138,31/876,502</t>
  </si>
  <si>
    <t>1168,23/899,536</t>
  </si>
  <si>
    <t>1186,62/909,38</t>
  </si>
  <si>
    <t>- Change Spool (6x)</t>
  </si>
  <si>
    <t>- Sheet Breaks (4x)</t>
  </si>
  <si>
    <t>- Change Blade (0x)</t>
  </si>
  <si>
    <t>12/11,5</t>
  </si>
  <si>
    <t>- 11:00 pm 17 stop, ganti wire</t>
  </si>
  <si>
    <t>- 14:00 steam drop lagi, pm 17 gagal start up</t>
  </si>
  <si>
    <t>CANFOR</t>
  </si>
  <si>
    <t>TOTAL EBKP</t>
  </si>
  <si>
    <t>EBKP Cakrawala/ GHN</t>
  </si>
  <si>
    <t>140+122,5</t>
  </si>
  <si>
    <t>133*2</t>
  </si>
  <si>
    <t>Abd Syuhud</t>
  </si>
  <si>
    <t>Dimas S</t>
  </si>
  <si>
    <t>Putra RAP</t>
  </si>
  <si>
    <t>F 11,5 VP OW</t>
  </si>
  <si>
    <t>Keluar</t>
  </si>
  <si>
    <t>Sisa</t>
  </si>
  <si>
    <t>SODIUM HYPOCHLORID</t>
  </si>
  <si>
    <t>CHEMZYME CL</t>
  </si>
  <si>
    <t>Awal shift PM 17 1. Facial 11,5 Gsm (Cvt) deckle 2625  mm
speed pm
Awal    : 1150 mpm /-23%</t>
  </si>
  <si>
    <t>07:00 kertas gampang putus, indikasi wire defect (bagian tepi trim rawan tidak terpotong)
09:20 pm 17 stop, ganti wire + cuci felt
11:30 pm 17 selesai ganti wire, tunggu steam stabil
13:45 pm 17 on reel</t>
  </si>
  <si>
    <t>- 15:10Ganti blade &amp; Cleaning Hood
- 18:30Ganti blade &amp; Cleaning
-20:40Ganti blade &amp; Cleaning
-00:00Ganti blade &amp; Cleaning
-18:45 Steam drop dari 15:40sampai 14.28 bar dan langsung naik kembali 
-19:17 steam drop kembali dari 15:70 bar sampai 13:92 bar dan naik kembali
-19:28-19:45 steam tidak stabil.
-Motor Tail cutter trip, pakai manual
-penahan pipa treading lepas,perlu di las.</t>
  </si>
  <si>
    <t>Awal shift PM 17 produksi : 
1. Facial 11.5 ( Cvt  )
- Deckle :  2625 mm
- Speed Awal : 1350 mpm / -23 %</t>
  </si>
  <si>
    <t>02.15 Ganti blade, Cleaning 
03.39 Tisu putus, Cleaning, sambung
05.45 Ganti blade, Cleaning</t>
  </si>
  <si>
    <t>Awal shift PM 17 produksi : 
.F11.5(CVT)
- Deckle : 2.625cm
Speed Awal : 1300mpm /-23%
Speed Akhir :1250mpm /-23%</t>
  </si>
  <si>
    <t>1272,55/979,87</t>
  </si>
  <si>
    <t>1150/885,5</t>
  </si>
  <si>
    <t>1250/962,5</t>
  </si>
  <si>
    <t>1350/1039,5</t>
  </si>
  <si>
    <t>- Change Spool (4x)</t>
  </si>
  <si>
    <t>- Sheet Breaks (0x)</t>
  </si>
  <si>
    <t>- Change Blade (2x)</t>
  </si>
  <si>
    <t>- Change Spool (10x)</t>
  </si>
  <si>
    <t>- Sheet Breaks (2x)</t>
  </si>
  <si>
    <t>11,5</t>
  </si>
  <si>
    <t>- 09:20 pm 17 stop, ganti wire + cuci felt</t>
  </si>
  <si>
    <t>- 11:30 pm 17 selesai ganti wire, tunggu steam stabil</t>
  </si>
  <si>
    <t>- Change Blade (4x)</t>
  </si>
  <si>
    <t>- Change Spool (22x)</t>
  </si>
  <si>
    <t>Nyoman M</t>
  </si>
  <si>
    <t>Broke</t>
  </si>
  <si>
    <t>Awal shift PM 17 produksi : 
Awal shift PM 17 produksi : 
1. Facial 11.5 ( Cvt  )
- Deckle :  2625 mm
- Speed Awal : 1340 mpm / -23 %</t>
  </si>
  <si>
    <t>Awal shift PM 17 produksi 1. Facial 11,5 Gsm (Cvt) deckle 2625  mm speed pm
Awal    : 1350 mpm /-23%</t>
  </si>
  <si>
    <t>Awal shift PM 17 produksi : 
1.F11.5(CVT)
- Deckle : 2.625cm
Speed Awal : 1350mpm /-23%</t>
  </si>
  <si>
    <t xml:space="preserve">- 16:15 Ganti blade &amp; Cleaning Hood
- 19:30 Ganti blade &amp; Cleaning
-22:35 Ganti blade &amp; Cleaning
-16:00 PM 17 stop (TRIP FLICKER)
-16:30 PM 17 On reel </t>
  </si>
  <si>
    <t>07:34 formasi kertas jeek &amp; hand feels kasar, test tension wire 5 N/mm -&gt; naikkan ke 6,5 N/mm
08:36 kertas sudah bagus
09:33 change blade cleaning
12:57 sheet breaks, change blade cleaning</t>
  </si>
  <si>
    <t>1349,38/1039,02</t>
  </si>
  <si>
    <t xml:space="preserve">* Loader arm sering macet. 
23.30 Speed naik 1350 mpm
00.55 Ganti blade, Cleaning 
01.16 Tisu putus, sambung
03.44 Ganti blade. 
04.09 Ganti blade, Cleaning
05.35 Rantai conveyor pulper baru putus, ganti gunakan pulper lama. MED perbaikan. 
06.00 Loader arm macet. EID perbaikan
06.12 Sirkulai UTM, pasang spool dari reel
06.22 Sambung
06.50 Ganti blade. </t>
  </si>
  <si>
    <t>1349,79/1039,34</t>
  </si>
  <si>
    <t>- Change Spool (7x)</t>
  </si>
  <si>
    <t>- Change Blade (8x)</t>
  </si>
  <si>
    <t>-16:00 PM 17 stop (TRIP FLICKER)</t>
  </si>
  <si>
    <t>- 06.12 Sirkulai UTM, pasang spool dari reel</t>
  </si>
  <si>
    <t>Reject SU</t>
  </si>
  <si>
    <t>speed real</t>
  </si>
  <si>
    <t>speed target</t>
  </si>
  <si>
    <t>reel</t>
  </si>
  <si>
    <t>creeping</t>
  </si>
  <si>
    <t>time</t>
  </si>
  <si>
    <t>trim</t>
  </si>
  <si>
    <t>Teori</t>
  </si>
  <si>
    <t>Accept</t>
  </si>
  <si>
    <t>Eff</t>
  </si>
  <si>
    <t xml:space="preserve"> - Seset steam drop 1920 kg </t>
  </si>
  <si>
    <t>Awal shift PM 17 produksi : 
Awal shift PM 17 produksi : 
1. Facial 11.5 ( Cvt  )
- Deckle :  2625 mm
- Speed Awal : 1350 mpm / -23 %</t>
  </si>
  <si>
    <t>* Loader arm sering macet. 
00.30 Jalur NBKP tidak bisa transfer, indikasi buntu, ganti jalur LBKP. 
- Buka control valve ke NBKP storage. 
01.15 Control valve NBKP selesai bongkar. 
01.45 Ganti jalur NBKP. 
04.00 Ganti blade, Cleaning</t>
  </si>
  <si>
    <t>Awal shift PM 17 produksi : 
1.F11.5(CVT)
- Deckle : 2.625cm
Speed Awal : 1350mpm /-23%</t>
  </si>
  <si>
    <t>-Loader sering macet setiap kali pengambilan spool.
-16:35 Ganti blade &amp; Cleaning Hood
-19:46 Ganti blade &amp; Cleaning
-22:35 Ganti blade &amp; Cleaning</t>
  </si>
  <si>
    <r>
      <t xml:space="preserve">* Loader arm selalu sering macet
* 08:08 kertas putus2 susah trading indikasi mdt rendah consistensy error
* 08:48 eid setting consistensi yg eror ( mdt kurang stabil )
</t>
    </r>
    <r>
      <rPr>
        <b/>
        <sz val="10"/>
        <color rgb="FFFF0000"/>
        <rFont val="Arial"/>
        <family val="2"/>
      </rPr>
      <t>* 08:52 turun speed 1050 mpm
* 09:00 naik speed 1100 mpm
* 09:47 naik speed 1150 mpm
* 10:26 naik speed 1200 mpm
* 10:51 naik speed 1250 mpm
* 11:59 naik speed 1300 mpm</t>
    </r>
    <r>
      <rPr>
        <b/>
        <sz val="10"/>
        <color indexed="8"/>
        <rFont val="Arial"/>
        <family val="2"/>
      </rPr>
      <t xml:space="preserve">
* 12:03 sheetbreak fs nylilit + cb+cleaning
* 12:32 sheetbreak ds nabrk stabilizer
</t>
    </r>
    <r>
      <rPr>
        <b/>
        <sz val="10"/>
        <color rgb="FFFF0000"/>
        <rFont val="Arial"/>
        <family val="2"/>
      </rPr>
      <t>* 14:39 naik speed 1330 mpm
* 14:45 naik speed 1350 mpm</t>
    </r>
  </si>
  <si>
    <t>1169,6/900,595</t>
  </si>
  <si>
    <t>- Change Blade (1x)</t>
  </si>
  <si>
    <t>1289,87/993,2</t>
  </si>
  <si>
    <t>- Change Blade (6x)</t>
  </si>
  <si>
    <t>- Change Spool (23x)</t>
  </si>
  <si>
    <t>- 08:48 eid setting consistensi yg eror ( mdt kurang stabil )</t>
  </si>
  <si>
    <t>Dimas S R</t>
  </si>
  <si>
    <t>Awal shift PM 17 produksi : 
F13 gsm (Hkm+TTnk)
                        T 13 gsm ( Allied )
Deckle           : 2660 mm &amp; 2570 mm
Speed Awal   : 1350 mpm / 23%</t>
  </si>
  <si>
    <t>* Loader arm selalu sering macet dan bocor
* 08:25 MED ukur piston loader arm yg bocor + cb+ cleaning
* 09:30 CG T13 (Allied )
* 11:35 cb+cleaning
* 12:53 sheetbreak + keliru pasang spoll</t>
  </si>
  <si>
    <t>Awal shift PM 17 produksi : 
1.T13(Allied west)
- Deckle : 2.57cm
Speed Awal : 1300mpm /-18%</t>
  </si>
  <si>
    <t>-Loader sering macet setiap kali pengambilan spool.
-15:35 Ganti blade &amp; Cleaning Hood
-17:50 Ganti blade &amp; Cleaning
-20:10 Ganti blade &amp; Cleaning
-22:15 Ganti blade &amp; Cleaning</t>
  </si>
  <si>
    <t>Awal shift PM 17 produksi : 
1. Toilet 13 Gsm (Allied West) deckle 257  cm
speed pm
Awal    : 1300 mpm /-18%</t>
  </si>
  <si>
    <t>00:20 change blade cleaning
03:35 change blade cleaning
05:48 change blade cleaning</t>
  </si>
  <si>
    <t>Awal shift PM 17 produksi : 
1. Facial 13( HKM &amp; TTNK )
- Deckle :  2660 mm
- Speed Awal : 1350 mpm / -23 %</t>
  </si>
  <si>
    <t>* Loader arm sering macet. 
00.05 Ganti blade, Cleaning
02.15 Ganti blade, Cleaning
03.05 Loader arm tidak bisa. Join tubing oli ada yang lepas. 
- EID perbaikan join
03.16 Sirkulasi UTM, pasang spool dari depan. 
03.23 Tisu sisi DS mudah soping indikasi stabilizer sisi DS kasar. Saat tisu geser kena  dudukan stabilizer bagian DS. 
03.35 Ganti blade, Cleaning
03.55 Tisu mulai stabil
04.00 Join tubing oli sudah selesai. 
05.30 Ganti blade, Cleaning</t>
  </si>
  <si>
    <t>Awal shift PM 17 produksi : 
1.F11.5(CVT)
- Deckle : 2.625cm
2.F12(FG Morcon)
-Deckle: 2.66 cm
3.F13(HKM+TINK)
-Deckle:2.66cm
Speed Awal : 1350mpm /-23%</t>
  </si>
  <si>
    <t>Awal shift PM 17 produksi : 
F11,5 gsm (cvt)
Deckle           : 2625 mm
Speed Awal   : 1350 mpm / 23%</t>
  </si>
  <si>
    <t>* Loader arm selalu sering macet
* 08:17 sheetbreak kertas geser ke fs +/- 2cm 
* 11:58 oli hidrolic loader arm bocor 
* 12:41 cb +cleaning
- hidrolik loader arm masih bocor sementara di tutup dengan tisu dan rawan masuk ke gulungan kertas</t>
  </si>
  <si>
    <t>-Loader sering macet setiap kali pengambilan spool.
-15:12 Ganti blade &amp; Cleaning Hood
-18:28 Ganti blade &amp; Cleaning
-20:55 Ganti blade &amp; Cleaning
-20:00 Pm 17 change grade dari F11.5 ke F12.
-22:20 Pm 17 change grade dari F12 ke F13</t>
  </si>
  <si>
    <t>F 13</t>
  </si>
  <si>
    <t>- Change Spool (9x)</t>
  </si>
  <si>
    <t>T 13</t>
  </si>
  <si>
    <t>1350/1095,19</t>
  </si>
  <si>
    <t>1300/1066</t>
  </si>
  <si>
    <t>1316,67/1075,73</t>
  </si>
  <si>
    <t>11,5/12/13</t>
  </si>
  <si>
    <t>Facial/Toilet</t>
  </si>
  <si>
    <t>13/13</t>
  </si>
  <si>
    <t>Toilet</t>
  </si>
  <si>
    <t>- Loader arm selalu sering macet</t>
  </si>
  <si>
    <t>- Change Blade (9x)</t>
  </si>
  <si>
    <t>- Change Spool (25x)</t>
  </si>
  <si>
    <t>- Change Blade (10x)</t>
  </si>
  <si>
    <t>140+126</t>
  </si>
  <si>
    <t>257*1</t>
  </si>
  <si>
    <t>.07.23</t>
  </si>
  <si>
    <t>F 13 VP OW</t>
  </si>
  <si>
    <t>Ariko P</t>
  </si>
  <si>
    <t>* Loader arm selalu sering macet dan bocor
* 08:06 cb+cleaning
* 10:12 cb+cleaning
* 10:22 cb+indikasi marking fs
* 12:25 cb+cleaning
* 14:30 cb+cleaning</t>
  </si>
  <si>
    <t>Awal shift PM 17 produksi : 
 T 13 gsm ( Allied )
Deckle           : 2570 mm
Speed Awal   : 1300 mpm / 18%</t>
  </si>
  <si>
    <t>Awal shift PM 17 produksi :
1. Toilet 13 Gsm (Allied West) deckle 257  cm
speed pm
Awal    : 1300 mpm /-18%</t>
  </si>
  <si>
    <t>16:46 change blade
19:02 change blade cleaning
21:05 change blade</t>
  </si>
  <si>
    <t>23:18 change blade cleaning
01:26 change blade
03:27 pressure steam hunting hingga 17,9 bar
03:39 change blade
05:36 sheet breaks, pompa booster coating release trip (tercium bau gosong) -&gt; nyalakan pompa spare
05:42 kertas muncul marking imbas pompa booster trip -&gt; drain mix chamber &amp; kurangi dosing release
05:49 kertas sudah bagus</t>
  </si>
  <si>
    <t>13</t>
  </si>
  <si>
    <t>- Change Blade (11x)</t>
  </si>
  <si>
    <t xml:space="preserve">Awal shift PM 17 produksi :  
1. Toilet 13 LB ( Allied West )
- Deckle :  2570 mm
2. Toilet 13 HB ( FG Better Plastic )
- Deckle :  2640 mm
3. Facial 13 HB ( TTNK + HKM ) 
- Deckle : 2660 mm
- Speed Awal : 1300 mpm / -18  %
- Speed akhir : 1350 mpm / -23 %
</t>
  </si>
  <si>
    <t>* Loader arm sering macet. 
16.17 Ganti blade, Cleaning
17.20 Produksi T13 HB speed 1350 mpm
20.15 Ganti blade Cleaning
22.25 Ganti grade F13 HB speed 1350 mpm
22.30 Ganti blade, Cleaning</t>
  </si>
  <si>
    <t>Awal shift PM 17 produksi : 
T 13 gsm ( Allied )
Deckle           : 2570 mm
Speed Awal   : 1300 mpm / 18%</t>
  </si>
  <si>
    <t>* Loader arm selalu sering macet dan bocor
* 07:51 cb+cleaning
* 08:22 steam drop to 13, 4 bar kertas keriput ct 
* 10:03 steam up to 17,2 bar kertas gripis ds dan fs +cb
* 11:26 steam up to 18 bar kertas gripis dan putus2 
* 11:36 compresor drop 5,4 bar
* 12:06 compresor drop lagi to 5,5 bar
* 14:12 cb+cleanin</t>
  </si>
  <si>
    <t>Toilet/Facial</t>
  </si>
  <si>
    <t>Awal shift PM 17 produksi : 
1. Facial 13 Gsm (Hkm) deckle 266 cm
speed pm
Awal    : 1350 mpm /-23%</t>
  </si>
  <si>
    <t>02:09 change blade cleaning
05:11 change blade cleaning
00:10 ~ 04:20 pressure steam hunting (13,4 bar ~ 17 bar)</t>
  </si>
  <si>
    <t>1335,42/1047,23</t>
  </si>
  <si>
    <t>1328,47/1050,91</t>
  </si>
  <si>
    <t>- Change Spool (11x)</t>
  </si>
  <si>
    <t>- Steam drop</t>
  </si>
  <si>
    <t>T 13 VP OW LB</t>
  </si>
  <si>
    <t>T 13 VP OW HB</t>
  </si>
  <si>
    <t xml:space="preserve">T 13 VP OW HB </t>
  </si>
  <si>
    <t>132*2</t>
  </si>
  <si>
    <t>Awal shift PM 17 produksi : 
F13 gsm ( Hkm &amp; TT )
                        F12 gsm ( Ahs )
Deckle           : 2660 mm &amp; 2640 mm
Speed Awal   : 1350 mpm / 23%</t>
  </si>
  <si>
    <t>* Loader arm selalu sering macet dan bocor
* 08:58 Change Grade F12 gsm + cb+cleaning
* 13:08 cb+cleaning
* 13:37 sheetbreak kertas nyantol pangkon stabilizer DS</t>
  </si>
  <si>
    <t>Awal shift PM 17 produksi : 
1. Facial 12 ( AHS )
- Deckle :  2600 mm
- Speed Awal : 1350 mpm / -23 %</t>
  </si>
  <si>
    <t>* Loader arm sering macet*
17.32 Ganti blade, Cleaning 
21.00 Gagal sambung, Cleaning
22.03 Ganti blade, Cleaning</t>
  </si>
  <si>
    <t>Awal shift PM 17 produksi : 
1. Facial 12 Gsm (Ahs) deckle 260 cm
speed pm
Awal    : 1350 mpm /-23%</t>
  </si>
  <si>
    <t>00:14 change blade cleaning
01:52 sheet breaks, change blade
02:15 sheet breaks, sambung
03:58 ~ 05:50 kertas putus2 &amp; susah sambung, indikasi mdt rendah
-&gt; coba tambah bw &amp; setting load tickling refiner, cleaning roll2, atur dosing coating release, setting temperature
06:36 sheet breaks, change spool
Nb :
- loader arm sering macet
- secondary arm ada jarak dengan spool</t>
  </si>
  <si>
    <t>- Change Blade (5x)</t>
  </si>
  <si>
    <t>- Sheet Breaks (30x)</t>
  </si>
  <si>
    <t>13/12</t>
  </si>
  <si>
    <t>- Change Spool (24x)</t>
  </si>
  <si>
    <t>140+120</t>
  </si>
  <si>
    <t>-Loader sering macet setiap kali pengambilan spool.
-07:37 Ganti blade &amp; Cleaning Hood
-11:52 Ganti blade &amp; Cleaning</t>
  </si>
  <si>
    <t>* Loader arm sering macet*
15.10 Ganti blade, Cleaning
17.00 Tisu putus. Stock flow tiba2 turun 850l/menit. Sirkulasi utm. 
17.04 Sambung
20.27 Ganti blade, Cleaning</t>
  </si>
  <si>
    <t>Awal shift PM 17 produksi 1. Facial 12 Gsm (Ahs) deckle 260cm &amp; 262,5cm
speed pm
Awal    : 1350 mpm /-23%</t>
  </si>
  <si>
    <t>Awal shift PM 17 produksi : 
1.F12(AHS)
- Deckle : 2.60cm
Speed Awal : 1330mpm /-23%</t>
  </si>
  <si>
    <t>1350/1024,1</t>
  </si>
  <si>
    <t>1343,33/1034,37</t>
  </si>
  <si>
    <t>- Change Blade (7x)</t>
  </si>
  <si>
    <t>12</t>
  </si>
  <si>
    <t>- Change Spool (26x)</t>
  </si>
  <si>
    <t>122,5*2</t>
  </si>
  <si>
    <t>Awal shift PM 17 produksi 1. Facial 12 Gsm (Ahs + Cvt) deckle 262,5cm
speed pm
Awal    : 1350 mpm /-23%</t>
  </si>
  <si>
    <t>23:06 sheet breaks, cleaning
23:41 sheet breaks, mdt drop, kertas putus2
00:13 turun speed 1300 mpm
00:35 pm mulai lancar
01:40 naik speed perlahan ke 1350 mpm
02:56 sheet breaks, shower coating buntu, tidak bisa dibersihkan dengan sikat (ganti baru) 
05:57 sheet breaks, change blade
06:50 sheet breaks, change blade
Nb :
- loader arm sering macet
- secondary arm ada jarak dengan spool
- display speed popereel &amp; actual speed ada selisih ±40mpm</t>
  </si>
  <si>
    <t>Awal shift PM 17 produksi 1. Facial 12 ( AHS+ CVT )
- Deckle :  2625 mm
- Speed Awal : 1350 mpm / -23 %</t>
  </si>
  <si>
    <t>* Loader arm sering macet*
15.46 Ganti blade, Cleaning
16.20 Tisu putus dari DS, indikasi stabilizer kasar, amplas stabilizer. 
16.31 Nyelilit DS, Ganti blade
17.37 Tisu putus, Ganti blade, Cleaning
18.25 Nyelilit FS, Ganti blade, Cleaning
19.08 Tisu putus, indikasi kotoran. buburan rawan menumpuk di breast rol. Cleaning
20.47 Nyelilit FS, ganti blade, tisu sulit sambung
21.06 Tisu putus, Ganti blade
- Tisu sulit sambung
22.25 Ganti blade, Cleaning</t>
  </si>
  <si>
    <t>Awal shift PM 17 produksi 1.F12(AHS+CVT)
- Deckle : 2.625cm
Speed Awal : 1350mpm /-23%</t>
  </si>
  <si>
    <t>-Loader sering macet setiap kali pengambilan spool.
-08:38 Ganti blade &amp; Cleaning Hood
-08:43-10:15 kertas sulit sambung. Putus2. Indikasi MDT Drop. Sheetbreak 14x -&gt; Setting load refiner
-10:45 Ganti blade &amp; Cleaning
-11:05 Pm mulai lancar
-11:50 Ganti Blade &amp; Cleaning
-13:00 Ganti Blade &amp; Cleaning 
-11:36 motor agitator dan pompa transfer pulper trip.</t>
  </si>
  <si>
    <t>1340,94/1032,52</t>
  </si>
  <si>
    <t>1346,98/1037,17</t>
  </si>
  <si>
    <t>- Sheet Breaks (15x)</t>
  </si>
  <si>
    <t>- Sheet Breaks (10x)</t>
  </si>
  <si>
    <t>- Sheet Breaks (29x)</t>
  </si>
  <si>
    <t>Awal shift PM 17 produksi F12(AHS+CVT)
- Deckle : 2.625cm
Speed Awal : 1350mpm /-23%
Speed Akhir :1350mpm /-23%</t>
  </si>
  <si>
    <t xml:space="preserve">-Loader sering macet setiap kali pengambilan spool.
-09:00 Ganti blade &amp; Cleaning Hood
-11:02 Ganti blade &amp; Cleaning
-12:07 Ganti Blade &amp; Cleaning
-12:55 Ganti Blade &amp; Cleaning </t>
  </si>
  <si>
    <t>* Loader arm sering macet*
16.04 Ganti blade, Cleaning
16.44 Tisu putus, cleaning -&gt; sambung
19.04 Nyelilit FS, Ganti blade, Cleaning 
19.15 Nyelilit FS -&gt; Setting temperatur
20.37 Tisu putus, Cleaning -&gt; sambung</t>
  </si>
  <si>
    <t>Awal shift PM 17 produksi 1. Facial 12 ( AHS+ CVT )
- Deckle :  2625 mm
2. Facial 12 ( Al Muqaram ) 
- Deckle : 2640 mm
- Speed Awal : 1350 mpm / -23 %</t>
  </si>
  <si>
    <t>* Loader arm sering macet*
23.10 Produksi F12 Al Muqaram
- Ganti blade, Cleaning
03.11 Tisu putus, cleaning -&gt; sambung
03.32 Tisu putus, indikasi kotoran di breast rol -&gt; Cleaning. Ganti blade
04.12 Ganti blade, Cleaning
05.40 Tisu putus, ganti blade, cleaning
06.50 Nyelilit DS, Ganti blade</t>
  </si>
  <si>
    <t>Awal shift PM 17 produksi 1.F12(Al-Muqaram)
- Deckle : 2.64cm
Speed Awal : 1350mpm /-23%</t>
  </si>
  <si>
    <t>-Loader sering macet setiap kali pengambilan spool.
-07:20 Ganti blade &amp; Cleaning Hood
-10:07 Ganti blade &amp; Cleaning
-11:56Ganti Blade &amp; Cleaning
-12:28 Ganti Blade &amp; Cleaning 
10:05 muncul alarm sirkulasi oli Drive pm 17,(ada selang bocor dari pump purifier)
10:20 speed turun ke 1000 mpm flow oli tidak stabil,MED proses penambahan oli.
-11:50 Penambahan OLI sudah selesai dan speed mulai naik kembali secara bertahap.</t>
  </si>
  <si>
    <t>Awal shift PM 17 produksi 1. Facial 12 ( Al Muqaram ) 
- Deckle : 2640 mm
- Speed Awal : 1335 mpm / -23 %</t>
  </si>
  <si>
    <t>* Loader arm sering macet*
15.55 Tisu putus, sambung lagi
16.00 Speed naik 1340 mpm
16.43 Speed naik 1350 mpm
17.25 Speed turun 1330 mpm
- Ganti blade, Cleaning
19.10 Ganti blade, Cleaning -&gt; sambung
19.25 speed naik bertahap 1350 mpm
21.30 Ganti blade, Cleaning -&gt; sambung</t>
  </si>
  <si>
    <t xml:space="preserve">* Loader arm sering macet*
23.51 Ganti blade, Cleaning - &gt; sambung
01.51 Nyrlilit FS, Ganti blade, Cleaning
03.30 Nyelilit sisi FS, ganti blade
04.45 Tisu putus,  Cleaning sulit. 
( Jr 24 pending, Mdt drop 303 ) 
- Ganti blade
05.00 Tisu beberapa kali putus karena mdt rendah. 
05.05 Mulai pulpinh NBKP 
05.45 Tisu mulai stabil. </t>
  </si>
  <si>
    <t>- Sheet Breaks (5x)</t>
  </si>
  <si>
    <t>1268,13/976,456</t>
  </si>
  <si>
    <t>1341,6/1033,04</t>
  </si>
  <si>
    <t>1335/1027,95</t>
  </si>
  <si>
    <t>1314,91/1012,48</t>
  </si>
  <si>
    <t>- Sheet Breaks (11x)</t>
  </si>
  <si>
    <t>- 10:20 speed turun ke 1000 mpm flow oli tidak stabil,MED proses penambahan oli.</t>
  </si>
  <si>
    <t>Nyoman M dan Putra RAP</t>
  </si>
  <si>
    <t>- Awal shift PM17 :
1.F12 (Al-Muqaram)
2.Tw 15(Al-Muqaram)
- Deckle : 2.64cm
Speed Awal : 1350mpm /-23%</t>
  </si>
  <si>
    <t>-Loader sering macet setiap kali pengambilan spool.
-09:20 Ganti blade &amp; Cleaning Hood
-11:00 Change grade dari F12 ke TW15
-11:50 Ganti blade &amp; Cleaning
-13:57 Deflaker Broke trip</t>
  </si>
  <si>
    <t>Awal shift PM 17 produksi 1. Towel 15 Gsm (Al-muqaram) deckle 264cm
speed pm
Awal    : 1180 mpm /-21%</t>
  </si>
  <si>
    <t>16:23 change blade cleaning
19:55 change blade cleaning
Nb :
- loader arm sering macet
- secondary arm ada jarak dengan spool</t>
  </si>
  <si>
    <t>00:11 sheet breaks, change blade cleaning
03:41 change blade cleaning
Nb :
- loader arm sering macet
- secondary arm ada jarak dengan spool</t>
  </si>
  <si>
    <t>TW 15</t>
  </si>
  <si>
    <t>1265/985,85</t>
  </si>
  <si>
    <t>1180/932,2</t>
  </si>
  <si>
    <t>1208,33/950,08</t>
  </si>
  <si>
    <t>Facial/Towel</t>
  </si>
  <si>
    <t>12/15</t>
  </si>
  <si>
    <t>Towel</t>
  </si>
  <si>
    <t>- Change Spool (21x)</t>
  </si>
  <si>
    <t>Nyoman M dan Abd Syuhud</t>
  </si>
  <si>
    <t>TW 15 VP OW</t>
  </si>
  <si>
    <t>Ganti wire</t>
  </si>
  <si>
    <t>Steam drop</t>
  </si>
  <si>
    <t>Seset steam drop</t>
  </si>
  <si>
    <t>PLN Flicker</t>
  </si>
  <si>
    <t>Sirkulasi UTM macet</t>
  </si>
  <si>
    <t>EID setting consistensi</t>
  </si>
  <si>
    <t>Loader arm macet</t>
  </si>
  <si>
    <t>Flow oli tidak stabil</t>
  </si>
  <si>
    <t>- Sheet Breaks (1x)</t>
  </si>
  <si>
    <t>Awal shift PM 17 produksi 1.TW(Al-Muqaram)
2.F 12(CVT)
- Deckle : 2.64cm &amp;2.63cm
Speed Awal : 1180mpm /-21%</t>
  </si>
  <si>
    <t>-Loader sering macet setiap kali pengambilan spool.
-08:15 Ganti blade &amp; Cleaning Hood
-10:15 Change grade dari TW15 ke F12
-13:29 Ganti blade &amp; Cleaning</t>
  </si>
  <si>
    <t>Awal shift PM 17 produksi 1. Facial 12 Gsm (Cvt) deckle 263 cm
speed pm
Awal    : 1350 mpm /-23%</t>
  </si>
  <si>
    <t>15:32 change blade cleaning
18:25 level mixing chest eror, perbaikan EiD
- kontrol level manual dilanpangan
19:08 sheet breaks, osilasi shower coating macet -&gt; coba cleaning pipa &amp; teflon penyangga
19:44 perbaikan sensor level mixing chest selesai
21:18 pressure steam hunting
Nb :
- loader arm sering macet
- secondary arm ada jarak dengan spool</t>
  </si>
  <si>
    <t>23:19 sheet breaks, change blade
01:20 flushing line pulper to Nbkp Dump
02:06 change blade cleaning
03:17 flow Wpl dari DiP kecil, indikasi bubur terlalu kental, operator DiP flushing line
04:10 flow Wpl sudah lancar
04:55 change blade cleaning
Nb :
- loader arm sering macet
- secondary arm ada jarak dengan spool
- cover popereel sisi ds lepas</t>
  </si>
  <si>
    <t>1280,94/995,909</t>
  </si>
  <si>
    <t>1293,33/1003,73</t>
  </si>
  <si>
    <t>Towel/Facial</t>
  </si>
  <si>
    <t>15/12</t>
  </si>
  <si>
    <t>POWER WPL (kWh)</t>
  </si>
  <si>
    <t>WPL</t>
  </si>
  <si>
    <t>133+130</t>
  </si>
  <si>
    <t xml:space="preserve"> Awal shift PM 17 produksi : 
1. Facial 12 ( CVT grade B) 
- Deckle : 2630 mm
2. Facial 11.5 ( CVT grade B) 
- Deckle : 2625 mm
- Speed Awal : 1350 mpm / -23 %</t>
  </si>
  <si>
    <t xml:space="preserve">* Loader arm sering macet*
07.34 Tisu putus, Ganti blade, Cleaning
08.19 Ganti blade
12.05 Produksi F11.5
13.15 Ganti blade, Cleaning </t>
  </si>
  <si>
    <t>15:45 sheet breaks, change blade cleaning
16:51 kertas putus 2x, indikasi terkena dudukan stabilizer
21:50 sheet breaks, change blade cleaning
Nb :
- loader arm sering macet
- secondary arm ada jarak dengan spool</t>
  </si>
  <si>
    <t>Awal shift PM 17 produksi 1. Facial 11,5 Gsm (Cvt) deckle 262,5 cm, speed pm
Awal    : 1350 mpm /-23%</t>
  </si>
  <si>
    <t>00:10 sheet breaks, cleaning breast roll, change blade
03:42 change blade cleaning
05:45 sheet breaks, cleaning breast roll
06:53 sheet breaks, change blade
Nb :
- loader arm sering macet
- secondary arm ada jarak dengan spool</t>
  </si>
  <si>
    <t>- Change Spool (28x)</t>
  </si>
  <si>
    <t>Putra RAP dan Abd Syuhud</t>
  </si>
  <si>
    <t>* Loader arm sering macet* 
07.10 Tisu putus, Ganti blade, Cleaning
09.38 Ganti blade, Cleaning
- buburan sering menumpuk di breast rol 
11.35 Ganti blade, Cleaning
14.01 Tisu Putus, Cleaning breast rol, sambung</t>
  </si>
  <si>
    <t>16:22 sheet breaks, osilasi shower coating trip, check EiD
20:10 crane 8 T trip, osilasi shower coating juga trip
-&gt; Eid fokus perbaikan crane terlebih dahulu
-&gt; osilasi shower coating off, permukaan kertas bergelombang
20:31 change blade cleaning
23:00 osilasi shower coating masih off
Nb :
- loader arm sering macet
- secondary arm ada jarak dengan spool</t>
  </si>
  <si>
    <t>354+331+311+</t>
  </si>
  <si>
    <t>- 23:00 osilasi shower coating masih belum bisa jalan, perbaikan EiD
- 23:30 sheet breaks, reposisi shower coating karena ada bagian yang kurang rata
- 00:05 perbaikan selesai, osilasi coating mulai jalan
- 01:23 change blade cleaning
- 02:06 ~ 02:57 pressure steam hunting, sempat drop hingga 11 bar, kertas keriput
- 04:37 change blade cleaning + MeD kencangkan baut cover popereel sisi Ds yang lepas
- 04:37 valve inlet pompa mixing chest alarm, flow ke tickling refiner turun &amp; interlock nyala
-&gt; force open valve inlet pompa, EiD perbaikan kabel selenoid
- 06:15 sheet breaks, nyelilit Ds, change blade cleaning, kertas susah sambung indikasi mdt drop
Nb :
- loader arm sering macet
- secondary arm ada jarak dengan spool</t>
  </si>
  <si>
    <t>(Eid/osilasi shower coating, steam drop/sinergy)</t>
  </si>
  <si>
    <t>- Eid/osilasi shower coating</t>
  </si>
  <si>
    <t>Awal shift PM 17 produksi 1.F12(CVT)
- Deckle : 2.66
Speed Awal : 1350mpm /-23%</t>
  </si>
  <si>
    <t>-Loader sering macet setiap kali pengambilan spool.
-00:25 Ganti blade &amp; Cleaning Hood
-04:50 Ganti blade &amp; Cleaning</t>
  </si>
  <si>
    <t>Awal shift PM 17 produksi 1. Facial 11.5 ( CVT grade B) 
- Deckle : 2625 mm
2. Facial 12 ( CVT grade B) 
- Deckle : 2660 mm
- Speed Awal : 1350 mpm / -23 %</t>
  </si>
  <si>
    <t>* Loader arm sering macet* 
08.30 Ganti Produksi F12, Ganti blade, Cleaning
11.35 Ganti blade, Cleaning
14.38 Ganti blade, Cleaning</t>
  </si>
  <si>
    <t>11,5/12</t>
  </si>
  <si>
    <t>Putra RAP dan Nyoman M</t>
  </si>
  <si>
    <t>Awal shift PM 17 produksi 1.F12(CVT)
2.F12(AHS)
- Deckle : 2.66cm &amp; 2.60cm
Speed Awal : 1350mpm /-23%</t>
  </si>
  <si>
    <t>-Loader sering macet setiap kali pengambilan spool.
-00:23 Ganti blade &amp; Cleaning Hood
-01:58 Change Blade &amp; cleaning 
-02:30 Ganti blade &amp; Cleaning,change grade dari F12 CVT ke F12 AHS
-03:30 Ganti Blade &amp; Cleaning</t>
  </si>
  <si>
    <t>-Loader sering macet setiap kali pengambilan spool.
-16:40 Ganti blade &amp; Cleaning Hood
-18:40 Change Blade &amp; cleaning 
-20:54 Ganti blade &amp; Cleaning
-22:36 Ganti Blade &amp; Cleaning</t>
  </si>
  <si>
    <t>Awal shift PM 17 produksi 1. Facial 12 Gsm (Cvt) deckle 266 cm
speed pm
Awal    : 1350 mpm /-23%</t>
  </si>
  <si>
    <t>08:35 change blade cleaning
12:29 sheet breaks, cleaning, change blade
Nb :
- loader arm sering macet
- secondary arm ada jarak dengan spool</t>
  </si>
  <si>
    <t>-Loader sering macet setiap kali pengambilan spool.
-01:40 Ganti blade &amp; Cleaning Hood
-03:25 Change Blade &amp; cleaning 
-05:40 Ganti blade &amp; Cleaning</t>
  </si>
  <si>
    <t>-Loader sering macet setiap kali pengambilan spool.
-15:52 Ganti blade &amp; Cleaning Hood
-18:40 Ganti Blade &amp; Cleaning
-21:50 Ganti blade &amp; Cleaning</t>
  </si>
  <si>
    <t>* Loader arm sering macet* 
07.30 Ganti blade, Cleaning
11.05 Ganti blade, Cleaning
14.45 Ganti blade, Cleaning</t>
  </si>
  <si>
    <t>Awal shift PM 17 produksi 1.F12(CVT)
- Deckle : 2.66
Speed Awal : 1350mpm /-23%</t>
  </si>
  <si>
    <t>Abd Syuhu dan Nyoman M</t>
  </si>
  <si>
    <t>266*1</t>
  </si>
  <si>
    <t>Awal shift PM 17 produksi 1. Facial 12 Gsm (Ahs) deckle 260 cm
speed pm
Awal    : 1350 mpm /-23%</t>
  </si>
  <si>
    <t>08:58 sheet breaks, indikasi mdt drop, change blade cleaning
09:34 sheet breaks
10:41 sheet breaks, change blade cleaning hood &amp; breast roll
11:32 sheet breaks, mdt drop
12:47 sheet breaks, kertas lolos popereel, setting temperature
13:49 change blade cleaning
Nb :
- loader arm sering macet
- secondary arm ada jarak dengan spool</t>
  </si>
  <si>
    <t>Awal shift PM 17 produksi 1..F12(AHS)
- Deckle : 2.60cm
Speed Awal : 1350mpm /-23%</t>
  </si>
  <si>
    <t xml:space="preserve">-Loader sering macet setiap kali pengambilan spool.
-00:45 Ganti blade &amp; Cleaning Hood
-04:43 Change Blade &amp; cleaning </t>
  </si>
  <si>
    <t xml:space="preserve">-Loader sering macet setiap kali pengambilan spool.
-15:52 Ganti blade &amp; Cleaning Hood
-19:07 Change Blade &amp; cleaning </t>
  </si>
  <si>
    <t>Awal shift PM 17 produksi 1. Facial 13 ( Ssanggi ) 
- Deckle : 2580 mm
- Speed Awal : 1350 mpm / -23 %</t>
  </si>
  <si>
    <t xml:space="preserve">* Loader arm sering macet* 
 23.15 Nyelilit FS, Ganti blade -&gt; sambung
00.08 Tisu Putus, ganti blade, Cleaning - &gt; sambung
00.30 Tisu mulai stabil
01.52 Ganti blade, Cleaning
03.51 Ganti blade, Cleaning
05.12 Steam drop, turun speed. 
- Tisu keriput
05.33 Tisu putus, Sirkulasi UTM. 
05.45 Ganti blade, Cleaning
05.48 Steam sudah naik. 
05.48. Sambung </t>
  </si>
  <si>
    <t xml:space="preserve">* Loader arm sering macet* 
17.03 Ganti blade, Cleaning
19.15 Ganti blade, Cleaning
19.30 Tisu gripis, ganti blade. 
21.14 Nyelilit FS, Ganti blade,  Cleaning
22.45 Ganti blade. </t>
  </si>
  <si>
    <t>08:35 change blade cleaning
14:18 sheet breaks, change blade cleaning
14:45 change grade F13
Nb :
- loader arm sering macet
- secondary arm ada jarak dengan spool</t>
  </si>
  <si>
    <t>12/13</t>
  </si>
  <si>
    <t>- Change Blade (13x)</t>
  </si>
  <si>
    <t>Putra R</t>
  </si>
  <si>
    <t>Abd Syuhud dan Putra R</t>
  </si>
  <si>
    <t>129*2</t>
  </si>
  <si>
    <t>Awal shift PM 17 produksi 1. Facial 12 ( FG Morcon ) 
- Deckle : 2660 mm
2. Facial 12.5 ( FG Champion  ) 
- Deckle : 2660 mm
- Speed Awal : 1350 mpm / -23 %</t>
  </si>
  <si>
    <t xml:space="preserve">- Loader arm tidak kuat ambil spool - Dibantu dengan crane. 
23.41 Ganti blade, Cleaning
02.00 Ganti Blade, Cleaning
- Produksi F12.5
02.20 Jalan 1 Pulper
02.30 Mulai transfer buburan HW dari DIP. 
03.51 Ganti blade, Cleaning
05.48 Ganti blade, Cleaning
06.00 Nyelilit DS, Ganti blade </t>
  </si>
  <si>
    <t>Awal shift PM 17 produksi 1. Facial 12 ( FG Morcon ) 
- Deckle : 266 mm
- Speed Awal : 1350 mpm / -23 %</t>
  </si>
  <si>
    <t xml:space="preserve">* Loader arm sering macet* 
15.44 Tisu Putus, Nyelilit DS
16.28 Sisi FS muncul hole blade, cek MAP dilapangan naik 12 ml/ min. turunkan jadi 5 ml/ min. 
17.21 Pompa MAP masuk angin,  thickner jadi rendah. 
18.30 Loader arm macet, pasang spool manual
19.37 Loader bisa naik, tapi tidak kuat angkat spool -&gt; angkat spool dibantu crane. 
20.38 Ganti blade, Cleaning
21.55 Nyelilit DS, Ganti blade. </t>
  </si>
  <si>
    <t>Awal shift PM 17 produksi 1. Facial 13 Gsm (Ssanggi) deckle 258 cm
2. Facial 13 Gsm (KAI) deckle 266 cm
3. Facial 12 Gsm (Fg Morcon) deckle 266 cm
speed pm
Awal    : 1350 mpm /-23%</t>
  </si>
  <si>
    <t>07:47 change blade cleaning
09:55 sheet breaks, pressure blade no.2 turun, kompresor drop, cek eid
10:06 kertas mulai bisa sambung
11:03 change blade cleaning
13:09 sheet breaks, nyelilit Ds
13:30 change grade F12 FG Morcon
14:27 change blade cleaning, tail cutter buntu
Nb :
- Loder arm sering macet
- secondary arm ada jarak dengan spool Manual</t>
  </si>
  <si>
    <t>F 12,5</t>
  </si>
  <si>
    <t>13/12/12,5</t>
  </si>
  <si>
    <t>- Change Blade (14x)</t>
  </si>
  <si>
    <t>- 09:55 sheet breaks, pressure blade no.2 turun, kompresor drop, cek eid</t>
  </si>
  <si>
    <t>F 12,5 VP OW</t>
  </si>
  <si>
    <t>Awal shift PM 17 1. Toilet 14.5 ( Pals ) 
- Deckle : 2565 mm
2. Toilet 17 ( Pals ) 
- Deckle : 2565 mm
- Speed Awal : 1180 mpm / -17 %</t>
  </si>
  <si>
    <t>- Loader arm dalam perbaikan, pasang spool gunakan crane langsung ke primary. 
15.10 MED selesai lepas piston loader arm. 
17.21 Ganti blade, Cleaning
19.32 Ganti blade, Cleaning
22.05 Change grade T17 Speed 1050 mpm</t>
  </si>
  <si>
    <t>Awal shift PM 17 produksi 1. Toilet 17 ( Pals ) 
- Deckle : 2565 mm
- Speed Awal : 1050 mpm / -20%</t>
  </si>
  <si>
    <t>- Loader arm dalam perbaikan, pasang spool gunakan crane langsung ke primery. 
- Awal ganti spool tisu rawan keriput. 
23.58 Ganti blade, Cleaning
02.02 Flushing pulper ke jalur LBKP
02.05 Steam drop.
03.10 Flushinh shower. 
04.30 Ganti blade, Cleaning</t>
  </si>
  <si>
    <t>Awal shift PM 17 produksi 1.T14.5(PALS)
- Deckle : 2.565cm
Speed Awal : 1180mpm /-17%</t>
  </si>
  <si>
    <t>-Loader sering macet setiap kali pengambilan spool.
-08:00 Ganti blade &amp; Cleaning Hood
-11:28 Change Blade &amp; cleaning
-12:28Change Blade &amp; cleaning 
-14:00 Change Blade &amp; cleaning 
-14:40 Change Blade &amp; cleaning 
-14:40 sirkulasi UTM, karna MED perbaikan Loader pm 17.
-15:10 MED selesai pelepasan piston hidrolik loader spool.</t>
  </si>
  <si>
    <t>T 14,5</t>
  </si>
  <si>
    <t>- 07:15 masuk Recycle HW</t>
  </si>
  <si>
    <t>T 17</t>
  </si>
  <si>
    <t>Reject PM : 300 kg/ 1.8 % ( keriput saat steam drop )</t>
  </si>
  <si>
    <t>1050/808,5</t>
  </si>
  <si>
    <t>1133,47/916,53</t>
  </si>
  <si>
    <t>12,5/14,5/17</t>
  </si>
  <si>
    <t>- 15:10 MED selesai pelepasan piston hidrolik loader spool.</t>
  </si>
  <si>
    <t>256,5*1</t>
  </si>
  <si>
    <t xml:space="preserve">T 17 </t>
  </si>
  <si>
    <t>Nyoman M dan Putra R</t>
  </si>
  <si>
    <t>T 14,5 RC HW</t>
  </si>
  <si>
    <t>T 17 RC HW</t>
  </si>
  <si>
    <t>- Reject PM : 300 kg/ 1.8 % ( keriput saat steam drop )</t>
  </si>
  <si>
    <t>TOTAL BBR RECY</t>
  </si>
  <si>
    <t>SWL</t>
  </si>
  <si>
    <t>SWL Buku</t>
  </si>
  <si>
    <t>TWS + Core</t>
  </si>
  <si>
    <t>CVT Broke</t>
  </si>
  <si>
    <t>VP OW/RC HW</t>
  </si>
  <si>
    <t>DFR 810S</t>
  </si>
  <si>
    <t>Awal shift PM 17 produksi 1.T17(PALS)
2.T17(FG Crystalware)
- Deckle : 2.565cm &amp; 2.62cm
Speed Awal : 1050mpm /-20%</t>
  </si>
  <si>
    <t xml:space="preserve">-Loader sering macet setiap kali pengambilan spool.
-09:05 Ganti blade &amp; Cleaning Hood
-12:30 Change Blade &amp; cleaning
</t>
  </si>
  <si>
    <t>Awal shift PM 17 produksi 1. T 17 ( FG Crystalware ) 
- Deckle : 2620 mm
2. T 19 ( Pals ) 
- Deckle : 2565 mm
- Speed Awal : 1050 mpm / -20%</t>
  </si>
  <si>
    <t>15.05 Sirkulasi UTM, Mekanik pasang piston loader arm. 
- Ganti blade, Cleaning
15.17 Perbaikan selesai, sambung tisu. 
18.05 Change grade T19 speed 980 mpm. 
- Ganti blade, Cleaning
19.20 Flushing shower
21.15 Steam turun 14.8 bar
21.50 Flushing shower 
22.40 Ganti blade, Cleaning</t>
  </si>
  <si>
    <t>Awal shift PM 17 produksi 1. Toilet 19 ( Pals ) 
- Deckle : 2620 mm
2. Toilet 20 ( Dongbang ) 
- Deckle : 2700 mm
- Speed Awal : 980 mpm / -20%</t>
  </si>
  <si>
    <t>01.00 Change grade T20 speed 950 mpm
04.25 Flushing Pulper
04.50 Ganti blade, Cleaning</t>
  </si>
  <si>
    <t>T 19</t>
  </si>
  <si>
    <t>T 20</t>
  </si>
  <si>
    <t>17/19/20</t>
  </si>
  <si>
    <t>RC HW</t>
  </si>
  <si>
    <t>1050/840</t>
  </si>
  <si>
    <t>1006,98/805,583</t>
  </si>
  <si>
    <t>957,5/765</t>
  </si>
  <si>
    <t>1004,83/803,86</t>
  </si>
  <si>
    <t>- Change Spool (20x)</t>
  </si>
  <si>
    <t xml:space="preserve">- 15.05 Sirkulasi UTM, Mekanik pasang piston loader arm. </t>
  </si>
  <si>
    <t>262*1</t>
  </si>
  <si>
    <t>270*1</t>
  </si>
  <si>
    <t>T 19 RC HW</t>
  </si>
  <si>
    <t>T 20 RC HW</t>
  </si>
  <si>
    <t>Broke Sun 2</t>
  </si>
  <si>
    <t>RR PPIC</t>
  </si>
  <si>
    <t>TWS Putih</t>
  </si>
  <si>
    <t>Osilasi shower coating</t>
  </si>
  <si>
    <t>Kompressor drop</t>
  </si>
  <si>
    <t>MED perbaikan piston hidrolik</t>
  </si>
  <si>
    <t>MED pasang piston loader arm</t>
  </si>
  <si>
    <t>Awal shift PM 17 produksi 1. Toilet 15,5 Gsm (Dong Bang) deckle 270 cm
speed pm
Awal    : 1200 mpm /-23%</t>
  </si>
  <si>
    <t>-01:36 change blade cleaning</t>
  </si>
  <si>
    <t>19:01 change blade cleaning</t>
  </si>
  <si>
    <t>-07:05 Ganti blade &amp; Cleaning Hood
-12:50 Change Blade &amp; cleaning</t>
  </si>
  <si>
    <t>Awal shift PM 17 produksi 1. Toilet 15,5 Gsm (Dong Bang) deckle 270 cm
speed pm
Awal    : 1200 mpm /-23%</t>
  </si>
  <si>
    <t>01:34 change blade cleaning</t>
  </si>
  <si>
    <t>Awal shift PM 17 produksi 1. Toilet 15,5 Gsm (Dong Bang) deckle 270 cm
2. Toilet 15,5 Gsm (All Year) deckle 261 cm
speed pm
Awal    : 1200 mpm /-23%</t>
  </si>
  <si>
    <t>16:00 tepi kertas lari2, coba cek osilasi wire &amp; dosing chemical (semua normal) 
16:10 coba ganti spool (kertas masih lari2)
- coba setting pressure secondary arm sisi Ds &amp; Fs
17:00 ganti spool, kertas sudah bagus &amp; tidak lari2
20:03 change blade cleaning</t>
  </si>
  <si>
    <t>Awal shift PM 17 produksi 1.T20(Dongbang)
2.T15.5(Dongbang)
- Deckle : 2.70cm 
Speed Awal : 950mpm /-20%</t>
  </si>
  <si>
    <t>Seset PM :863kg/4.2%(MED perbaikan Secondary arm.</t>
  </si>
  <si>
    <t>-09:05 Ganti blade &amp; Cleaning Hood
-10:07 Change Blade &amp; cleaning
-12:30 Change Blade &amp; Cleaning+ change grade dari T20 ke T15.5</t>
  </si>
  <si>
    <t>T 15,5</t>
  </si>
  <si>
    <t>1208,13/811,25</t>
  </si>
  <si>
    <t>1200/924</t>
  </si>
  <si>
    <t>1142,71/886,42</t>
  </si>
  <si>
    <t>Awal shift PM 17 produksi 1.T15.5(Dongbang)
2.T15.5( All year)
- Deckle : 2.70cm &amp; 2.61 cm
Speed Awal : 1200mpm /-23%</t>
  </si>
  <si>
    <t>20/15,5</t>
  </si>
  <si>
    <t>15,5</t>
  </si>
  <si>
    <t>261*1</t>
  </si>
  <si>
    <t>Nyoman M &amp; Abd Syuhud</t>
  </si>
  <si>
    <t>T 15,5 RC HW</t>
  </si>
  <si>
    <t>- Seset PM :863kg/4.2%(MED perbaikan Secondary arm.</t>
  </si>
  <si>
    <t>Perbaikan secondary arm</t>
  </si>
  <si>
    <t>00:25 sheet breaks, gagal sambung
04:23 change blade, cleaning</t>
  </si>
  <si>
    <t>17:13 change blade cleaning
19:50 sisi Fs gripis, cek shower, ganti blade cleaning scraper
20:10 sheet breaks, change blade
22:03 sisi Fs gripis lagi, indikasi yankee sisi Fs ada cutting mark -&gt; setting temperature, tambah dosing release &amp; nyalakan cooling shower</t>
  </si>
  <si>
    <t>- Drive yankee alarm, keterangan EID life time cooling fan. 
07.10 Ganti blade, Cleaning
10.55 Flushing pulper
11.15 Ganti grade T20 speed 950 mpm
11.38 Ganti blade, Cleaning
- Ganti grade T15.5 speed 1200 mpm</t>
  </si>
  <si>
    <t>Awal shift PM 17 produksi 1. Toilet 15,5 Gsm (Dong Bang) deckle 270 cm
speed pm
Awal    : 1200 mpm /-22%</t>
  </si>
  <si>
    <t>Awal shift PM 17 produksi 1. Toilet 15,5 Gsm (Dong Bang) deckle 270 cm
2. Toilet 15,5 Gsm (All year) deckle 261 cm
speed pm
Awal    : 1200 mpm /-22%</t>
  </si>
  <si>
    <t>1200/936</t>
  </si>
  <si>
    <t>Awal shift PM 17 produksi 1. Toilet 15.5 ( Dongbang ) 
- Deckle : 2620 mm
2. Toilet 20 ( Dongbang ) 
- Deckle : 2700 mm
3. Toilet 15.5 ( All Year) 
- Deckle : 2610 mm
- Speed Awal : 1200 mpm / -22 %</t>
  </si>
  <si>
    <t>T 15</t>
  </si>
  <si>
    <t>1188,02/926,656</t>
  </si>
  <si>
    <t>1196,01/932,89</t>
  </si>
  <si>
    <t>15,5/20</t>
  </si>
  <si>
    <t>Putra Radian RAP &amp; Abd Syuhud</t>
  </si>
  <si>
    <t>T 15,5  RC HW</t>
  </si>
  <si>
    <t>Awal shift PM PM 17 produksi :
1. Toilet 15,5 Gsm (Dong Bang) deckle 270 cm
2. Toilet 15,5 Gsm (All year) deckle 261 cm</t>
  </si>
  <si>
    <t>23:40 change blade cleaning
00:55 change blade</t>
  </si>
  <si>
    <t xml:space="preserve">Awal shift PM 17 produksi 1. Toilet 15,5 Gsm (Dong Bang) deckle 270 cm
2. Toilet 15,5 Gsm (All year) deckle 261 cm
</t>
  </si>
  <si>
    <t>17:37 change blade cleaning</t>
  </si>
  <si>
    <t>Awal shift PM 17 produksi 1. Toilet 15.5 ( Dongbang ) 
- Deckle : 2700 mm
- Speed Awal : 1200 mpm / -22 %</t>
  </si>
  <si>
    <t>- Drive yankee alarm, keterangan EID life time cooling fan. 
08.40 Flushinh shower
09.31 Ganti blade, Cleaning
12.15 Flushing pulper</t>
  </si>
  <si>
    <t>Awal shift PM PM 17 produksi :
1.T15.5(Dongbang)
2.T15.5( All year)
- Deckle : 2.70cm &amp; 2.61 cm
Speed Awal : 1200mpm /-22%</t>
  </si>
  <si>
    <t>-Drive yankee alarm,keterangan EID life time cooling fan.
-06:04 Ganti blade &amp; Cleaning Hood</t>
  </si>
  <si>
    <t>Awal shift PM 17  1.T15.5(Dongbang)
2.T15.5( All year)
- Deckle : 2.70cm &amp; 2.61 cm
Speed Awal : 1200mpm /-22%</t>
  </si>
  <si>
    <t>-Drive yankee alarm,keterangan EID life time cooling fan.
-16:400 Ganti blade &amp; Cleaning Hood
-21:35 Change Blade &amp; cleaning</t>
  </si>
  <si>
    <t>Awal shift PM PM 17 produksi :
1. Toilet 15.5 ( Dongbang ) 
- Deckle : 2700 mm
- Speed Awal : 1200 mpm / -22%</t>
  </si>
  <si>
    <t>- Drive yankee alarm, keterangan EID life time cooling fan. 
07.04 Flushing pulper. 
07.40 Ganti blade, Cleaning
08.40 Flushing shower. 
10.50 Cleaning, sambung</t>
  </si>
  <si>
    <t xml:space="preserve">Putra Radian </t>
  </si>
  <si>
    <t>Putra Radian &amp; Nyoman M</t>
  </si>
  <si>
    <t>Awal shift PM PM 17 produksi :
1.T15.5( All year)
2.T13.5(Morcon)
- Deckle : 2.61 cm &amp; 2.565 cm
Speed Awal : 1180mpm /-22%</t>
  </si>
  <si>
    <t>-Drive yankee alarm,keterangan EID life time cooling fan.
-05:00 Ganti blade &amp; Cleaning Hood +
-04.45 Change Grade dari T15.5 ke 13.5</t>
  </si>
  <si>
    <t>Awal shift PM PM 17 produksi :
1.T15.5( All year)
- Deckle : 2.61 cm
Speed Awal : 1180mpm /-22%</t>
  </si>
  <si>
    <t>-Drive yankee alarm,keterangan EID life time cooling fan.
-17:35 Ganti blade &amp; Cleaning Hood
-21:55 Ganti blade &amp; Cleaning Hood</t>
  </si>
  <si>
    <t>Awal shift PM PM 1. Toilet 15.5 ( All Year) 
- Deckle : 2610 mm
- Speed Awal : 1180 mpm / -22%</t>
  </si>
  <si>
    <t xml:space="preserve">- Drive yankee alarm, keterangan EID life time cooling fan. 
09.28 Ganti blade, Cleaning
11.36 Flushing Pulper </t>
  </si>
  <si>
    <t>T 13,5</t>
  </si>
  <si>
    <t>1180/920,4</t>
  </si>
  <si>
    <t>15,5/13,5</t>
  </si>
  <si>
    <t>1202,5/952,125</t>
  </si>
  <si>
    <t>1185/981</t>
  </si>
  <si>
    <t>1165/959</t>
  </si>
  <si>
    <t>JULI</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</si>
</sst>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_(* #,##0.0_);_(* \(#,##0.0\);_(* &quot;-&quot;_);_(@_)"/>
    <numFmt numFmtId="181" formatCode="[$-409]mmm\-yy;@"/>
    <numFmt numFmtId="182" formatCode="_(* #,##0.000_);_(* \(#,##0.000\);_(* &quot;-&quot;_);_(@_)"/>
  </numFmts>
  <fonts count="65">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b/>
      <sz val="10"/>
      <color theme="6" tint="-0.499984740745262"/>
      <name val="Arial"/>
      <family val="2"/>
    </font>
    <font>
      <b/>
      <sz val="10"/>
      <color theme="5" tint="-0.499984740745262"/>
      <name val="Arial"/>
      <family val="2"/>
    </font>
    <font>
      <b/>
      <sz val="10"/>
      <color theme="3" tint="-0.499984740745262"/>
      <name val="Arial"/>
      <family val="2"/>
    </font>
    <font>
      <b/>
      <sz val="10"/>
      <color theme="9" tint="-0.499984740745262"/>
      <name val="Arial"/>
      <family val="2"/>
    </font>
    <font>
      <b/>
      <sz val="10"/>
      <color rgb="FFFF0000"/>
      <name val="Arial"/>
      <family val="2"/>
    </font>
  </fonts>
  <fills count="4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FFFF66"/>
        <bgColor indexed="64"/>
      </patternFill>
    </fill>
    <fill>
      <patternFill patternType="solid">
        <fgColor theme="6" tint="0.59999389629810485"/>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164" fontId="44" fillId="0" borderId="0" applyFont="0" applyFill="0" applyBorder="0" applyAlignment="0" applyProtection="0"/>
  </cellStyleXfs>
  <cellXfs count="813">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0" xfId="0" applyNumberFormat="1" applyFont="1"/>
    <xf numFmtId="165" fontId="27" fillId="0" borderId="18" xfId="28" applyFont="1" applyFill="1" applyBorder="1"/>
    <xf numFmtId="0" fontId="27" fillId="0" borderId="0" xfId="0" applyFont="1"/>
    <xf numFmtId="0" fontId="27" fillId="0" borderId="18" xfId="28" applyNumberFormat="1" applyFont="1" applyBorder="1"/>
    <xf numFmtId="0" fontId="26" fillId="24" borderId="11"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9" fontId="42" fillId="0" borderId="11" xfId="29" applyNumberFormat="1" applyFont="1" applyFill="1" applyBorder="1" applyAlignment="1">
      <alignment vertical="center"/>
    </xf>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68" fontId="38" fillId="0" borderId="11" xfId="0" applyNumberFormat="1" applyFont="1" applyBorder="1" applyAlignment="1">
      <alignment horizontal="center"/>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0" fontId="27" fillId="0" borderId="11" xfId="0" applyFont="1" applyBorder="1"/>
    <xf numFmtId="172" fontId="27" fillId="0" borderId="11" xfId="28" applyNumberFormat="1" applyFont="1" applyBorder="1" applyProtection="1"/>
    <xf numFmtId="1" fontId="27" fillId="0" borderId="17" xfId="0" applyNumberFormat="1" applyFont="1" applyBorder="1" applyAlignment="1">
      <alignment horizontal="center"/>
    </xf>
    <xf numFmtId="165" fontId="27" fillId="0" borderId="17" xfId="28" applyFont="1" applyBorder="1" applyProtection="1"/>
    <xf numFmtId="174" fontId="30" fillId="0" borderId="0" xfId="28" applyNumberFormat="1" applyFont="1" applyBorder="1" applyProtection="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64" fontId="41" fillId="0" borderId="11" xfId="29" applyFont="1" applyFill="1" applyBorder="1"/>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0" fillId="0" borderId="68" xfId="0"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7" fontId="32" fillId="34"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0" fontId="44" fillId="0" borderId="0" xfId="0" applyFont="1"/>
    <xf numFmtId="179" fontId="51" fillId="0" borderId="0" xfId="29" applyNumberFormat="1" applyFont="1" applyProtection="1"/>
    <xf numFmtId="9" fontId="0" fillId="0" borderId="0" xfId="50" applyFont="1" applyProtection="1"/>
    <xf numFmtId="0" fontId="44" fillId="0" borderId="36" xfId="0" applyFont="1" applyBorder="1"/>
    <xf numFmtId="10" fontId="41" fillId="0" borderId="11" xfId="50" applyNumberFormat="1" applyFont="1" applyFill="1" applyBorder="1" applyAlignment="1">
      <alignment vertical="center"/>
    </xf>
    <xf numFmtId="2" fontId="38" fillId="0" borderId="11" xfId="45" applyNumberFormat="1" applyFont="1" applyBorder="1" applyAlignment="1">
      <alignment horizontal="center"/>
    </xf>
    <xf numFmtId="2" fontId="41" fillId="0" borderId="0" xfId="0" applyNumberFormat="1" applyFont="1"/>
    <xf numFmtId="0" fontId="44" fillId="0" borderId="11" xfId="0" applyFont="1" applyBorder="1" applyAlignment="1">
      <alignment horizontal="center"/>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7" fillId="0" borderId="66" xfId="50" applyFont="1" applyFill="1" applyBorder="1" applyAlignment="1" applyProtection="1">
      <alignment horizontal="center" vertical="center"/>
    </xf>
    <xf numFmtId="2" fontId="0" fillId="0" borderId="17" xfId="28" applyNumberFormat="1" applyFont="1" applyBorder="1" applyProtection="1"/>
    <xf numFmtId="10" fontId="44" fillId="0" borderId="11" xfId="50" applyNumberFormat="1" applyFont="1" applyFill="1" applyBorder="1" applyAlignment="1" applyProtection="1">
      <alignment horizontal="center" vertical="center"/>
      <protection locked="0"/>
    </xf>
    <xf numFmtId="10" fontId="44" fillId="27"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65" fontId="42" fillId="30"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8" fillId="0" borderId="19" xfId="55" applyFont="1" applyBorder="1" applyAlignment="1">
      <alignment horizontal="left"/>
    </xf>
    <xf numFmtId="0" fontId="30" fillId="0" borderId="11" xfId="55" applyFont="1" applyBorder="1" applyAlignment="1">
      <alignment horizontal="left"/>
    </xf>
    <xf numFmtId="0" fontId="52" fillId="0" borderId="0" xfId="0" applyFont="1"/>
    <xf numFmtId="0" fontId="26" fillId="24" borderId="14" xfId="0" quotePrefix="1" applyFont="1" applyFill="1" applyBorder="1" applyAlignment="1" applyProtection="1">
      <alignment wrapText="1"/>
      <protection locked="0"/>
    </xf>
    <xf numFmtId="179" fontId="42" fillId="0" borderId="17" xfId="29" applyNumberFormat="1" applyFont="1" applyFill="1" applyBorder="1" applyAlignment="1">
      <alignment vertical="center" wrapText="1"/>
    </xf>
    <xf numFmtId="178" fontId="41" fillId="0" borderId="11" xfId="0" applyNumberFormat="1" applyFont="1" applyBorder="1" applyAlignment="1">
      <alignment horizontal="center" vertical="center" wrapText="1"/>
    </xf>
    <xf numFmtId="0" fontId="53" fillId="36" borderId="0" xfId="0" applyFont="1" applyFill="1"/>
    <xf numFmtId="16" fontId="44" fillId="0" borderId="11" xfId="0" quotePrefix="1" applyNumberFormat="1" applyFont="1" applyBorder="1" applyAlignment="1" applyProtection="1">
      <alignment horizontal="center" vertical="center"/>
      <protection locked="0"/>
    </xf>
    <xf numFmtId="182" fontId="42" fillId="25" borderId="11" xfId="29" applyNumberFormat="1" applyFont="1" applyFill="1" applyBorder="1" applyAlignment="1">
      <alignment vertical="center"/>
    </xf>
    <xf numFmtId="165" fontId="26" fillId="0" borderId="10" xfId="0" applyNumberFormat="1" applyFont="1" applyBorder="1" applyAlignment="1">
      <alignment horizontal="left"/>
    </xf>
    <xf numFmtId="165" fontId="26" fillId="0" borderId="21" xfId="0" applyNumberFormat="1" applyFont="1" applyBorder="1" applyAlignment="1" applyProtection="1">
      <alignment horizontal="left"/>
      <protection locked="0"/>
    </xf>
    <xf numFmtId="165" fontId="26" fillId="0" borderId="63" xfId="0" applyNumberFormat="1" applyFont="1" applyBorder="1" applyAlignment="1" applyProtection="1">
      <alignment horizontal="left"/>
      <protection locked="0"/>
    </xf>
    <xf numFmtId="165" fontId="26" fillId="0" borderId="42" xfId="28" applyFont="1" applyFill="1" applyBorder="1" applyAlignment="1" applyProtection="1">
      <alignment horizontal="center"/>
    </xf>
    <xf numFmtId="165" fontId="26" fillId="0" borderId="11" xfId="0" applyNumberFormat="1" applyFont="1" applyBorder="1" applyAlignment="1" applyProtection="1">
      <alignment horizontal="left"/>
      <protection locked="0"/>
    </xf>
    <xf numFmtId="165" fontId="26" fillId="0" borderId="11" xfId="0" applyNumberFormat="1" applyFont="1" applyBorder="1" applyAlignment="1" applyProtection="1">
      <alignment horizontal="center"/>
      <protection locked="0"/>
    </xf>
    <xf numFmtId="14" fontId="52" fillId="27" borderId="0" xfId="0" applyNumberFormat="1" applyFont="1" applyFill="1" applyAlignment="1">
      <alignment horizontal="center" vertical="center"/>
    </xf>
    <xf numFmtId="2" fontId="52" fillId="27" borderId="0" xfId="0" applyNumberFormat="1" applyFont="1" applyFill="1" applyAlignment="1">
      <alignment horizontal="center" vertical="center" wrapText="1"/>
    </xf>
    <xf numFmtId="0" fontId="52" fillId="27" borderId="0" xfId="0" applyFont="1" applyFill="1" applyAlignment="1">
      <alignment horizontal="center" vertical="center"/>
    </xf>
    <xf numFmtId="0" fontId="52" fillId="27" borderId="11" xfId="0" applyFont="1" applyFill="1" applyBorder="1" applyAlignment="1">
      <alignment horizontal="center" vertical="center"/>
    </xf>
    <xf numFmtId="0" fontId="52" fillId="27" borderId="11" xfId="0" applyFont="1" applyFill="1" applyBorder="1" applyAlignment="1">
      <alignment horizontal="center" vertical="center" wrapText="1"/>
    </xf>
    <xf numFmtId="10" fontId="0" fillId="0" borderId="11" xfId="50" applyNumberFormat="1" applyFont="1" applyBorder="1" applyAlignment="1">
      <alignment horizont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10" fontId="0" fillId="0" borderId="11" xfId="50" applyNumberFormat="1" applyFont="1" applyBorder="1"/>
    <xf numFmtId="0" fontId="0" fillId="0" borderId="0" xfId="0" quotePrefix="1"/>
    <xf numFmtId="14" fontId="0" fillId="0" borderId="0" xfId="0" applyNumberFormat="1" applyAlignment="1">
      <alignment horizontal="center"/>
    </xf>
    <xf numFmtId="0" fontId="0" fillId="0" borderId="0" xfId="0" applyAlignment="1">
      <alignment horizontal="right"/>
    </xf>
    <xf numFmtId="2" fontId="52" fillId="27" borderId="11" xfId="0" applyNumberFormat="1" applyFont="1" applyFill="1" applyBorder="1" applyAlignment="1">
      <alignment horizontal="center" vertical="center" wrapText="1"/>
    </xf>
    <xf numFmtId="9" fontId="52" fillId="27" borderId="11" xfId="50" applyFont="1" applyFill="1" applyBorder="1" applyAlignment="1">
      <alignment horizontal="center" vertical="center" wrapText="1"/>
    </xf>
    <xf numFmtId="10" fontId="0" fillId="0" borderId="11" xfId="0" applyNumberFormat="1" applyBorder="1" applyAlignment="1">
      <alignment horizontal="right"/>
    </xf>
    <xf numFmtId="10" fontId="0" fillId="0" borderId="11" xfId="0" applyNumberFormat="1" applyBorder="1" applyAlignment="1">
      <alignment horizontal="center"/>
    </xf>
    <xf numFmtId="2" fontId="52" fillId="35" borderId="11" xfId="0" applyNumberFormat="1" applyFont="1" applyFill="1" applyBorder="1" applyAlignment="1">
      <alignment horizontal="center"/>
    </xf>
    <xf numFmtId="10" fontId="52" fillId="35" borderId="11" xfId="50" applyNumberFormat="1" applyFont="1" applyFill="1" applyBorder="1" applyAlignment="1">
      <alignment horizontal="center"/>
    </xf>
    <xf numFmtId="0" fontId="27" fillId="35" borderId="11" xfId="0" applyFont="1" applyFill="1" applyBorder="1"/>
    <xf numFmtId="0" fontId="38" fillId="37" borderId="11" xfId="55" applyFont="1" applyFill="1" applyBorder="1" applyAlignment="1">
      <alignment horizontal="left"/>
    </xf>
    <xf numFmtId="0" fontId="0" fillId="38" borderId="11" xfId="0" applyFill="1" applyBorder="1"/>
    <xf numFmtId="0" fontId="44" fillId="38" borderId="11" xfId="0" applyFont="1" applyFill="1" applyBorder="1"/>
    <xf numFmtId="10" fontId="0" fillId="37" borderId="17" xfId="50" applyNumberFormat="1" applyFont="1" applyFill="1" applyBorder="1"/>
    <xf numFmtId="10" fontId="0" fillId="0" borderId="17" xfId="50" applyNumberFormat="1" applyFont="1" applyBorder="1"/>
    <xf numFmtId="0" fontId="57" fillId="0" borderId="11" xfId="55" applyFont="1" applyBorder="1" applyAlignment="1">
      <alignment horizontal="left"/>
    </xf>
    <xf numFmtId="10" fontId="56" fillId="27" borderId="11" xfId="50" applyNumberFormat="1" applyFont="1" applyFill="1" applyBorder="1"/>
    <xf numFmtId="10" fontId="27" fillId="0" borderId="11" xfId="0" applyNumberFormat="1" applyFont="1" applyBorder="1"/>
    <xf numFmtId="0" fontId="0" fillId="0" borderId="11" xfId="0" applyBorder="1" applyAlignment="1">
      <alignment horizontal="center" vertical="center"/>
    </xf>
    <xf numFmtId="169" fontId="34" fillId="0" borderId="0" xfId="0" applyNumberFormat="1" applyFont="1" applyAlignment="1">
      <alignment horizontal="center" vertical="center"/>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0" fontId="0" fillId="0" borderId="11" xfId="0" applyBorder="1" applyAlignment="1">
      <alignment horizontal="center" vertical="center" wrapText="1"/>
    </xf>
    <xf numFmtId="9" fontId="27" fillId="0" borderId="17" xfId="0" applyNumberFormat="1" applyFont="1" applyBorder="1" applyAlignment="1">
      <alignment horizontal="center" vertical="center" wrapText="1"/>
    </xf>
    <xf numFmtId="0" fontId="0" fillId="0" borderId="11" xfId="28" applyNumberFormat="1" applyFont="1" applyBorder="1"/>
    <xf numFmtId="9" fontId="0" fillId="0" borderId="11" xfId="0" applyNumberFormat="1" applyBorder="1"/>
    <xf numFmtId="0" fontId="0" fillId="0" borderId="11" xfId="28" applyNumberFormat="1" applyFont="1" applyFill="1" applyBorder="1"/>
    <xf numFmtId="165" fontId="44" fillId="0" borderId="11" xfId="28" applyFont="1" applyFill="1" applyBorder="1" applyProtection="1">
      <protection locked="0"/>
    </xf>
    <xf numFmtId="167" fontId="32" fillId="37" borderId="17" xfId="28" applyNumberFormat="1" applyFont="1" applyFill="1" applyBorder="1" applyAlignment="1" applyProtection="1">
      <alignment horizontal="center"/>
    </xf>
    <xf numFmtId="0" fontId="27" fillId="37" borderId="11" xfId="0" applyFont="1" applyFill="1" applyBorder="1"/>
    <xf numFmtId="0" fontId="19" fillId="0" borderId="0" xfId="41" applyFont="1"/>
    <xf numFmtId="0" fontId="44" fillId="0" borderId="0" xfId="41" applyFont="1"/>
    <xf numFmtId="0" fontId="44" fillId="0" borderId="0" xfId="41" applyFont="1" applyAlignment="1">
      <alignment horizontal="center"/>
    </xf>
    <xf numFmtId="2" fontId="44" fillId="0" borderId="0" xfId="41" applyNumberFormat="1" applyFont="1" applyAlignment="1">
      <alignment horizontal="center"/>
    </xf>
    <xf numFmtId="0" fontId="20" fillId="0" borderId="0" xfId="41" applyFont="1"/>
    <xf numFmtId="0" fontId="21" fillId="0" borderId="0" xfId="41" applyFont="1"/>
    <xf numFmtId="16" fontId="44" fillId="0" borderId="10" xfId="41" applyNumberFormat="1" applyFont="1" applyBorder="1"/>
    <xf numFmtId="0" fontId="44" fillId="0" borderId="11" xfId="41" applyFont="1" applyBorder="1"/>
    <xf numFmtId="16" fontId="44" fillId="0" borderId="11" xfId="41" applyNumberFormat="1" applyFont="1" applyBorder="1"/>
    <xf numFmtId="2" fontId="44" fillId="0" borderId="11" xfId="41" applyNumberFormat="1" applyFont="1" applyBorder="1" applyAlignment="1">
      <alignment horizontal="center"/>
    </xf>
    <xf numFmtId="165" fontId="44" fillId="11" borderId="11" xfId="28" applyFont="1" applyFill="1" applyBorder="1" applyAlignment="1" applyProtection="1">
      <alignment horizontal="center"/>
    </xf>
    <xf numFmtId="0" fontId="27" fillId="0" borderId="0" xfId="41" applyFont="1"/>
    <xf numFmtId="165" fontId="27" fillId="0" borderId="23" xfId="28" applyFont="1" applyBorder="1" applyProtection="1"/>
    <xf numFmtId="0" fontId="44" fillId="0" borderId="0" xfId="42" applyFont="1" applyAlignment="1">
      <alignment horizontal="center"/>
    </xf>
    <xf numFmtId="39" fontId="44" fillId="0" borderId="0" xfId="42" quotePrefix="1" applyNumberFormat="1" applyFont="1" applyAlignment="1">
      <alignment horizontal="left"/>
    </xf>
    <xf numFmtId="0" fontId="44" fillId="0" borderId="0" xfId="41" quotePrefix="1" applyFont="1"/>
    <xf numFmtId="39" fontId="44" fillId="0" borderId="0" xfId="42" applyNumberFormat="1" applyFont="1"/>
    <xf numFmtId="39" fontId="44" fillId="0" borderId="0" xfId="42" quotePrefix="1" applyNumberFormat="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9" fontId="41" fillId="0" borderId="19" xfId="29" applyNumberFormat="1" applyFont="1" applyFill="1" applyBorder="1" applyAlignment="1">
      <alignment vertical="center"/>
    </xf>
    <xf numFmtId="2" fontId="35" fillId="0" borderId="11" xfId="46" applyNumberFormat="1" applyFont="1" applyBorder="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80"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67" fontId="32" fillId="30" borderId="13"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0" fontId="44" fillId="0" borderId="69" xfId="0" applyFont="1" applyBorder="1"/>
    <xf numFmtId="2" fontId="0" fillId="0" borderId="70" xfId="0" applyNumberFormat="1" applyBorder="1" applyAlignment="1">
      <alignment vertical="center"/>
    </xf>
    <xf numFmtId="2" fontId="0" fillId="0" borderId="17" xfId="28" applyNumberFormat="1" applyFont="1" applyBorder="1" applyAlignment="1" applyProtection="1">
      <alignment horizontal="center"/>
    </xf>
    <xf numFmtId="2" fontId="27" fillId="0" borderId="11" xfId="28" applyNumberFormat="1" applyFont="1" applyBorder="1" applyProtection="1"/>
    <xf numFmtId="0" fontId="44" fillId="0" borderId="0" xfId="0" quotePrefix="1" applyFont="1"/>
    <xf numFmtId="10" fontId="0" fillId="0" borderId="0" xfId="0" applyNumberFormat="1"/>
    <xf numFmtId="179" fontId="42" fillId="39" borderId="11" xfId="57" applyNumberFormat="1" applyFont="1" applyFill="1" applyBorder="1" applyAlignment="1">
      <alignment horizontal="center" vertical="center" wrapText="1"/>
    </xf>
    <xf numFmtId="179" fontId="42" fillId="26" borderId="14" xfId="57" applyNumberFormat="1" applyFont="1" applyFill="1" applyBorder="1" applyAlignment="1">
      <alignment horizontal="center" vertical="center" wrapText="1"/>
    </xf>
    <xf numFmtId="179" fontId="42" fillId="26" borderId="11" xfId="57" applyNumberFormat="1" applyFont="1" applyFill="1" applyBorder="1" applyAlignment="1">
      <alignment horizontal="center" vertical="center" wrapText="1"/>
    </xf>
    <xf numFmtId="179" fontId="42" fillId="39" borderId="14" xfId="57"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52" fillId="0" borderId="11" xfId="0" applyFont="1" applyBorder="1" applyAlignment="1">
      <alignment horizontal="left" vertical="center"/>
    </xf>
    <xf numFmtId="10" fontId="0" fillId="0" borderId="11" xfId="0" applyNumberFormat="1" applyBorder="1" applyAlignment="1">
      <alignment horizontal="center" vertical="center"/>
    </xf>
    <xf numFmtId="0" fontId="44" fillId="0" borderId="11" xfId="0" applyFont="1" applyBorder="1" applyAlignment="1">
      <alignment wrapText="1"/>
    </xf>
    <xf numFmtId="165" fontId="26" fillId="24" borderId="45" xfId="50"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0" fontId="26" fillId="24" borderId="39" xfId="0" applyFont="1" applyFill="1" applyBorder="1" applyAlignment="1">
      <alignment horizontal="left" vertical="center"/>
    </xf>
    <xf numFmtId="0" fontId="26" fillId="24" borderId="0" xfId="0" applyFont="1" applyFill="1" applyAlignment="1">
      <alignment horizontal="right"/>
    </xf>
    <xf numFmtId="0" fontId="60" fillId="24" borderId="0" xfId="0" applyFont="1" applyFill="1" applyAlignment="1">
      <alignment horizontal="right"/>
    </xf>
    <xf numFmtId="0" fontId="60" fillId="24" borderId="0" xfId="0" applyFont="1" applyFill="1"/>
    <xf numFmtId="0" fontId="44" fillId="24" borderId="0" xfId="0" applyFont="1" applyFill="1" applyAlignment="1">
      <alignment horizontal="right"/>
    </xf>
    <xf numFmtId="0" fontId="44" fillId="24" borderId="0" xfId="0" applyFont="1" applyFill="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7" fillId="0" borderId="39" xfId="0" applyNumberFormat="1" applyFont="1" applyBorder="1" applyAlignment="1">
      <alignment horizontal="center" vertical="center"/>
    </xf>
    <xf numFmtId="16" fontId="44" fillId="0" borderId="25" xfId="41" applyNumberFormat="1" applyFont="1" applyBorder="1"/>
    <xf numFmtId="0" fontId="44" fillId="0" borderId="17" xfId="41" applyFont="1" applyBorder="1"/>
    <xf numFmtId="16" fontId="44" fillId="0" borderId="17" xfId="41" applyNumberFormat="1" applyFont="1" applyBorder="1"/>
    <xf numFmtId="2" fontId="44" fillId="0" borderId="17" xfId="41" applyNumberFormat="1" applyFont="1" applyBorder="1" applyAlignment="1">
      <alignment horizontal="center"/>
    </xf>
    <xf numFmtId="2" fontId="27" fillId="0" borderId="31" xfId="28" applyNumberFormat="1" applyFont="1" applyBorder="1" applyAlignment="1">
      <alignment horizontal="center" vertical="center"/>
    </xf>
    <xf numFmtId="165" fontId="44" fillId="11" borderId="17" xfId="28" applyFont="1" applyFill="1" applyBorder="1" applyAlignment="1" applyProtection="1">
      <alignment horizontal="center"/>
    </xf>
    <xf numFmtId="2" fontId="27" fillId="27" borderId="0" xfId="41" applyNumberFormat="1" applyFont="1" applyFill="1"/>
    <xf numFmtId="0" fontId="27" fillId="0" borderId="11" xfId="28" applyNumberFormat="1" applyFont="1" applyBorder="1" applyProtection="1"/>
    <xf numFmtId="173" fontId="27" fillId="27" borderId="0" xfId="0" applyNumberFormat="1" applyFont="1" applyFill="1" applyAlignment="1">
      <alignment vertical="center"/>
    </xf>
    <xf numFmtId="181" fontId="27" fillId="27" borderId="0" xfId="0" applyNumberFormat="1" applyFont="1" applyFill="1" applyAlignment="1">
      <alignment horizontal="right" vertical="center"/>
    </xf>
    <xf numFmtId="0" fontId="22" fillId="24" borderId="0" xfId="0" applyFont="1" applyFill="1" applyAlignment="1">
      <alignment horizontal="right"/>
    </xf>
    <xf numFmtId="0" fontId="61" fillId="24" borderId="0" xfId="0" applyFont="1" applyFill="1" applyAlignment="1">
      <alignment horizontal="right"/>
    </xf>
    <xf numFmtId="0" fontId="61" fillId="24" borderId="0" xfId="0" applyFont="1" applyFill="1"/>
    <xf numFmtId="2" fontId="22" fillId="24" borderId="0" xfId="28" applyNumberFormat="1" applyFont="1" applyFill="1" applyBorder="1" applyProtection="1">
      <protection locked="0"/>
    </xf>
    <xf numFmtId="2" fontId="22" fillId="24" borderId="0" xfId="28" applyNumberFormat="1" applyFont="1" applyFill="1" applyBorder="1" applyProtection="1"/>
    <xf numFmtId="0" fontId="0" fillId="0" borderId="62" xfId="0" applyBorder="1"/>
    <xf numFmtId="0" fontId="27" fillId="24" borderId="0" xfId="0" applyFont="1" applyFill="1"/>
    <xf numFmtId="0" fontId="62" fillId="24" borderId="0" xfId="0" applyFont="1" applyFill="1" applyAlignment="1">
      <alignment horizontal="right"/>
    </xf>
    <xf numFmtId="0" fontId="62" fillId="42" borderId="0" xfId="0" applyFont="1" applyFill="1"/>
    <xf numFmtId="0" fontId="27" fillId="24" borderId="0" xfId="0" applyFont="1" applyFill="1" applyAlignment="1">
      <alignment horizontal="right"/>
    </xf>
    <xf numFmtId="14" fontId="0" fillId="0" borderId="11" xfId="0" applyNumberFormat="1" applyBorder="1" applyAlignment="1">
      <alignment horizontal="center"/>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2" fillId="0" borderId="60" xfId="0" applyFont="1" applyBorder="1" applyAlignment="1">
      <alignment vertical="center"/>
    </xf>
    <xf numFmtId="10" fontId="52" fillId="0" borderId="11" xfId="50" applyNumberFormat="1" applyFont="1" applyBorder="1" applyAlignment="1">
      <alignment horizontal="center"/>
    </xf>
    <xf numFmtId="165" fontId="26" fillId="24" borderId="17" xfId="0" applyNumberFormat="1" applyFont="1" applyFill="1" applyBorder="1" applyAlignment="1" applyProtection="1">
      <alignment horizontal="center"/>
      <protection locked="0"/>
    </xf>
    <xf numFmtId="0" fontId="26" fillId="24" borderId="17" xfId="0" quotePrefix="1" applyFont="1" applyFill="1" applyBorder="1" applyAlignment="1" applyProtection="1">
      <alignment wrapText="1"/>
      <protection locked="0"/>
    </xf>
    <xf numFmtId="0" fontId="26" fillId="24" borderId="87"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63" fillId="24" borderId="0" xfId="0" applyFont="1" applyFill="1" applyAlignment="1">
      <alignment horizontal="right"/>
    </xf>
    <xf numFmtId="0" fontId="63" fillId="24" borderId="0" xfId="0" applyFont="1" applyFill="1"/>
    <xf numFmtId="0" fontId="63" fillId="0" borderId="0" xfId="0" applyFont="1"/>
    <xf numFmtId="165" fontId="26" fillId="24" borderId="63" xfId="28" applyFont="1" applyFill="1" applyBorder="1" applyAlignment="1" applyProtection="1">
      <alignment horizontal="center"/>
    </xf>
    <xf numFmtId="165" fontId="26" fillId="24" borderId="28" xfId="28" applyFont="1" applyFill="1" applyBorder="1" applyAlignment="1" applyProtection="1">
      <alignment horizontal="center"/>
    </xf>
    <xf numFmtId="165" fontId="26" fillId="24" borderId="52" xfId="28" applyFont="1" applyFill="1" applyBorder="1" applyAlignment="1" applyProtection="1">
      <alignment horizontal="center"/>
    </xf>
    <xf numFmtId="0" fontId="22" fillId="24" borderId="0" xfId="0" applyFont="1" applyFill="1" applyAlignment="1">
      <alignment horizontal="center" wrapText="1"/>
    </xf>
    <xf numFmtId="174" fontId="22" fillId="0" borderId="0" xfId="29" applyNumberFormat="1" applyFont="1" applyFill="1" applyBorder="1" applyAlignment="1">
      <alignment vertical="center"/>
    </xf>
    <xf numFmtId="177" fontId="22" fillId="24" borderId="0" xfId="0" applyNumberFormat="1" applyFont="1" applyFill="1"/>
    <xf numFmtId="1" fontId="44" fillId="27" borderId="39" xfId="0" applyNumberFormat="1" applyFont="1" applyFill="1" applyBorder="1" applyAlignment="1">
      <alignment horizontal="center" vertical="center"/>
    </xf>
    <xf numFmtId="173" fontId="44" fillId="0" borderId="67" xfId="0" applyNumberFormat="1" applyFont="1" applyBorder="1"/>
    <xf numFmtId="173" fontId="44" fillId="0" borderId="85" xfId="0" applyNumberFormat="1" applyFont="1" applyBorder="1"/>
    <xf numFmtId="2" fontId="0" fillId="0" borderId="0" xfId="0" applyNumberFormat="1" applyAlignment="1">
      <alignment vertical="center"/>
    </xf>
    <xf numFmtId="2" fontId="0" fillId="0" borderId="85" xfId="0" applyNumberFormat="1" applyBorder="1" applyAlignment="1">
      <alignment vertical="center"/>
    </xf>
    <xf numFmtId="2" fontId="0" fillId="0" borderId="26" xfId="0" applyNumberFormat="1" applyBorder="1" applyAlignment="1">
      <alignment vertical="center"/>
    </xf>
    <xf numFmtId="2" fontId="0" fillId="0" borderId="68" xfId="0" applyNumberFormat="1" applyBorder="1" applyAlignment="1">
      <alignment vertical="center"/>
    </xf>
    <xf numFmtId="1" fontId="42" fillId="0" borderId="0" xfId="50" applyNumberFormat="1" applyFont="1" applyFill="1" applyBorder="1" applyAlignment="1">
      <alignment vertical="center"/>
    </xf>
    <xf numFmtId="1" fontId="41" fillId="0" borderId="0" xfId="29" applyNumberFormat="1" applyFont="1" applyFill="1" applyBorder="1" applyAlignment="1">
      <alignment vertical="center"/>
    </xf>
    <xf numFmtId="2" fontId="0" fillId="0" borderId="40" xfId="0" applyNumberFormat="1" applyBorder="1" applyAlignment="1">
      <alignment vertical="center"/>
    </xf>
    <xf numFmtId="0" fontId="44" fillId="0" borderId="55" xfId="0" applyFont="1" applyBorder="1"/>
    <xf numFmtId="0" fontId="0" fillId="0" borderId="45" xfId="0" applyBorder="1"/>
    <xf numFmtId="0" fontId="44" fillId="0" borderId="45" xfId="0" applyFont="1" applyBorder="1"/>
    <xf numFmtId="2" fontId="0" fillId="0" borderId="64" xfId="0" applyNumberFormat="1" applyBorder="1" applyAlignment="1">
      <alignment vertical="center"/>
    </xf>
    <xf numFmtId="0" fontId="22" fillId="24" borderId="15" xfId="0" applyFont="1" applyFill="1" applyBorder="1"/>
    <xf numFmtId="0" fontId="56"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0" applyFont="1" applyFill="1" applyBorder="1" applyAlignment="1">
      <alignment vertical="center"/>
    </xf>
    <xf numFmtId="0" fontId="56"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0" applyNumberFormat="1" applyFont="1" applyFill="1" applyBorder="1" applyAlignment="1">
      <alignment vertical="center"/>
    </xf>
    <xf numFmtId="0" fontId="22" fillId="24" borderId="21" xfId="0" applyFont="1" applyFill="1" applyBorder="1"/>
    <xf numFmtId="10" fontId="41" fillId="0" borderId="30" xfId="50" applyNumberFormat="1" applyFont="1" applyFill="1" applyBorder="1" applyAlignment="1">
      <alignment vertical="center"/>
    </xf>
    <xf numFmtId="165" fontId="22" fillId="24" borderId="0" xfId="28" applyFont="1" applyFill="1" applyBorder="1" applyAlignment="1" applyProtection="1">
      <alignment horizontal="right"/>
      <protection locked="0"/>
    </xf>
    <xf numFmtId="182" fontId="41" fillId="0" borderId="0" xfId="0" applyNumberFormat="1" applyFont="1"/>
    <xf numFmtId="0" fontId="27" fillId="0" borderId="17" xfId="0" applyFont="1" applyBorder="1" applyAlignment="1">
      <alignment horizontal="center" vertical="center" wrapText="1"/>
    </xf>
    <xf numFmtId="0" fontId="52" fillId="0" borderId="11" xfId="0" applyFont="1" applyBorder="1" applyAlignment="1">
      <alignment horizontal="left" vertical="center"/>
    </xf>
    <xf numFmtId="43" fontId="22" fillId="24" borderId="0" xfId="0" applyNumberFormat="1" applyFont="1" applyFill="1"/>
    <xf numFmtId="16" fontId="0" fillId="0" borderId="68" xfId="0" applyNumberFormat="1" applyBorder="1"/>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168" fontId="37" fillId="0" borderId="11" xfId="0" applyNumberFormat="1" applyFont="1" applyBorder="1" applyAlignment="1">
      <alignment horizontal="center" vertical="center" wrapText="1"/>
    </xf>
    <xf numFmtId="2" fontId="37" fillId="0" borderId="11" xfId="0" applyNumberFormat="1" applyFont="1" applyBorder="1" applyAlignment="1">
      <alignment horizontal="center" vertical="center" wrapText="1"/>
    </xf>
    <xf numFmtId="4" fontId="37" fillId="0" borderId="11" xfId="0" applyNumberFormat="1" applyFont="1" applyBorder="1" applyAlignment="1">
      <alignment horizontal="center" vertical="center" wrapText="1"/>
    </xf>
    <xf numFmtId="0" fontId="37" fillId="0" borderId="11" xfId="0" applyFont="1" applyBorder="1" applyAlignment="1">
      <alignment horizontal="center" vertical="center" wrapText="1"/>
    </xf>
    <xf numFmtId="169" fontId="34" fillId="0" borderId="0" xfId="0" applyNumberFormat="1" applyFont="1" applyAlignment="1">
      <alignment horizontal="center" vertical="center"/>
    </xf>
    <xf numFmtId="0" fontId="27" fillId="0" borderId="14" xfId="0" applyFont="1" applyBorder="1" applyAlignment="1">
      <alignment horizontal="center" vertical="center"/>
    </xf>
    <xf numFmtId="0" fontId="27" fillId="0" borderId="17" xfId="0" applyFont="1" applyBorder="1" applyAlignment="1">
      <alignment horizontal="center" vertical="center"/>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0" fontId="27" fillId="27" borderId="87" xfId="0" applyFont="1" applyFill="1" applyBorder="1" applyAlignment="1">
      <alignment horizontal="center"/>
    </xf>
    <xf numFmtId="0" fontId="27" fillId="27" borderId="17" xfId="0" applyFont="1" applyFill="1" applyBorder="1" applyAlignment="1">
      <alignment horizontal="center"/>
    </xf>
    <xf numFmtId="169" fontId="34" fillId="0" borderId="0" xfId="0" applyNumberFormat="1" applyFont="1" applyAlignment="1">
      <alignment horizontal="center" vertical="justify" wrapText="1"/>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7" borderId="58" xfId="28" applyNumberFormat="1" applyFont="1" applyFill="1" applyBorder="1" applyAlignment="1" applyProtection="1">
      <alignment horizontal="center"/>
    </xf>
    <xf numFmtId="167" fontId="32" fillId="37" borderId="59" xfId="28" applyNumberFormat="1" applyFont="1" applyFill="1" applyBorder="1" applyAlignment="1" applyProtection="1">
      <alignment horizontal="center"/>
    </xf>
    <xf numFmtId="167" fontId="32" fillId="37" borderId="31" xfId="28" applyNumberFormat="1" applyFont="1" applyFill="1" applyBorder="1" applyAlignment="1" applyProtection="1">
      <alignment horizontal="center"/>
    </xf>
    <xf numFmtId="167" fontId="32" fillId="37" borderId="30" xfId="28" applyNumberFormat="1" applyFont="1" applyFill="1" applyBorder="1" applyAlignment="1" applyProtection="1">
      <alignment horizontal="center"/>
    </xf>
    <xf numFmtId="167" fontId="32" fillId="37" borderId="61" xfId="28" applyNumberFormat="1" applyFont="1" applyFill="1" applyBorder="1" applyAlignment="1" applyProtection="1">
      <alignment horizontal="center"/>
    </xf>
    <xf numFmtId="167" fontId="32" fillId="3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179" fontId="42" fillId="39" borderId="87" xfId="57" applyNumberFormat="1" applyFont="1" applyFill="1" applyBorder="1" applyAlignment="1">
      <alignment horizontal="center" vertical="center" wrapText="1"/>
    </xf>
    <xf numFmtId="179" fontId="42" fillId="39" borderId="62" xfId="57" applyNumberFormat="1" applyFont="1" applyFill="1" applyBorder="1" applyAlignment="1">
      <alignment horizontal="center" vertical="center" wrapText="1"/>
    </xf>
    <xf numFmtId="179" fontId="42" fillId="39" borderId="17" xfId="57" applyNumberFormat="1" applyFont="1" applyFill="1" applyBorder="1" applyAlignment="1">
      <alignment horizontal="center" vertical="center" wrapText="1"/>
    </xf>
    <xf numFmtId="179" fontId="42" fillId="26" borderId="87" xfId="57" applyNumberFormat="1" applyFont="1" applyFill="1" applyBorder="1" applyAlignment="1">
      <alignment horizontal="center" vertical="center" wrapText="1"/>
    </xf>
    <xf numFmtId="179" fontId="42" fillId="26" borderId="62" xfId="57" applyNumberFormat="1" applyFont="1" applyFill="1" applyBorder="1" applyAlignment="1">
      <alignment horizontal="center" vertical="center" wrapText="1"/>
    </xf>
    <xf numFmtId="179" fontId="42" fillId="26" borderId="17" xfId="57"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7" xfId="0" applyFont="1" applyBorder="1" applyAlignment="1">
      <alignment horizontal="center" vertical="center" wrapText="1"/>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0" fontId="42" fillId="0" borderId="14" xfId="0" applyFont="1" applyBorder="1" applyAlignment="1">
      <alignment horizontal="center" vertical="center" wrapText="1"/>
    </xf>
    <xf numFmtId="0" fontId="42" fillId="0" borderId="62" xfId="0" applyFont="1" applyBorder="1" applyAlignment="1">
      <alignment horizontal="center" vertical="center" wrapText="1"/>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0" fontId="42" fillId="0" borderId="17" xfId="0" applyFont="1" applyBorder="1" applyAlignment="1">
      <alignment horizontal="center" vertical="center" wrapText="1"/>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2" fillId="25" borderId="62" xfId="29" applyNumberFormat="1" applyFont="1" applyFill="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0" fontId="49" fillId="22" borderId="11" xfId="0" applyFont="1" applyFill="1" applyBorder="1" applyAlignment="1">
      <alignment horizontal="center"/>
    </xf>
    <xf numFmtId="179" fontId="42" fillId="0" borderId="11"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9" borderId="58" xfId="57" applyNumberFormat="1" applyFont="1" applyFill="1" applyBorder="1" applyAlignment="1">
      <alignment horizontal="center" vertical="center" wrapText="1"/>
    </xf>
    <xf numFmtId="179" fontId="42" fillId="39" borderId="31" xfId="57" applyNumberFormat="1" applyFont="1" applyFill="1" applyBorder="1" applyAlignment="1">
      <alignment horizontal="center" vertical="center" wrapText="1"/>
    </xf>
    <xf numFmtId="179" fontId="42" fillId="26" borderId="13" xfId="57" applyNumberFormat="1" applyFont="1" applyFill="1" applyBorder="1" applyAlignment="1">
      <alignment horizontal="center" vertical="center" wrapText="1"/>
    </xf>
    <xf numFmtId="179" fontId="42" fillId="26" borderId="19" xfId="57"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27" fillId="0" borderId="11" xfId="28" applyNumberFormat="1" applyFont="1" applyBorder="1" applyAlignment="1">
      <alignment horizontal="center" vertic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0" fillId="30" borderId="13" xfId="28" applyNumberFormat="1" applyFont="1" applyFill="1" applyBorder="1" applyAlignment="1">
      <alignment horizontal="center"/>
    </xf>
    <xf numFmtId="2" fontId="0" fillId="30" borderId="20" xfId="28" applyNumberFormat="1" applyFont="1" applyFill="1" applyBorder="1" applyAlignment="1">
      <alignment horizontal="center"/>
    </xf>
    <xf numFmtId="2" fontId="0" fillId="30"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0" fontId="27" fillId="0" borderId="76" xfId="41" applyFont="1" applyBorder="1" applyAlignment="1">
      <alignment horizontal="center"/>
    </xf>
    <xf numFmtId="0" fontId="27" fillId="0" borderId="77" xfId="41" applyFont="1" applyBorder="1" applyAlignment="1">
      <alignment horizontal="center"/>
    </xf>
    <xf numFmtId="0" fontId="27" fillId="0" borderId="22" xfId="41" applyFont="1" applyBorder="1" applyAlignment="1">
      <alignment horizont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0" fontId="27" fillId="0" borderId="67" xfId="41" applyFont="1" applyBorder="1" applyAlignment="1">
      <alignment horizontal="center" vertical="center"/>
    </xf>
    <xf numFmtId="0" fontId="27" fillId="0" borderId="85" xfId="41" applyFont="1" applyBorder="1" applyAlignment="1">
      <alignment horizontal="center" vertical="center"/>
    </xf>
    <xf numFmtId="0" fontId="27"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27" fillId="11" borderId="67" xfId="41" applyFont="1" applyFill="1" applyBorder="1" applyAlignment="1">
      <alignment horizontal="center" vertical="center" wrapText="1"/>
    </xf>
    <xf numFmtId="0" fontId="27" fillId="11" borderId="85" xfId="41" applyFont="1" applyFill="1" applyBorder="1" applyAlignment="1">
      <alignment horizontal="center" vertical="center" wrapText="1"/>
    </xf>
    <xf numFmtId="0" fontId="27" fillId="11" borderId="68" xfId="41"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44" borderId="79" xfId="0" applyFont="1" applyFill="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1" borderId="80" xfId="0" applyFont="1" applyFill="1" applyBorder="1" applyAlignment="1">
      <alignment horizontal="center" vertical="center" wrapText="1"/>
    </xf>
    <xf numFmtId="0" fontId="27" fillId="41" borderId="81" xfId="0" applyFont="1" applyFill="1" applyBorder="1" applyAlignment="1">
      <alignment horizontal="center" vertical="center" wrapText="1"/>
    </xf>
    <xf numFmtId="0" fontId="27" fillId="30" borderId="79" xfId="0" applyFont="1" applyFill="1" applyBorder="1" applyAlignment="1">
      <alignment horizontal="center" vertical="center" wrapText="1"/>
    </xf>
    <xf numFmtId="0" fontId="27" fillId="30" borderId="80" xfId="0" applyFont="1" applyFill="1" applyBorder="1" applyAlignment="1">
      <alignment horizontal="center" vertical="center" wrapText="1"/>
    </xf>
    <xf numFmtId="0" fontId="27" fillId="30" borderId="81" xfId="0" applyFont="1" applyFill="1" applyBorder="1" applyAlignment="1">
      <alignment horizontal="center" vertical="center" wrapText="1"/>
    </xf>
    <xf numFmtId="0" fontId="27" fillId="40" borderId="79" xfId="0" applyFont="1" applyFill="1" applyBorder="1" applyAlignment="1">
      <alignment horizontal="center" vertical="center" wrapText="1"/>
    </xf>
    <xf numFmtId="0" fontId="27" fillId="40" borderId="80" xfId="0" applyFont="1" applyFill="1" applyBorder="1" applyAlignment="1">
      <alignment horizontal="center" vertical="center" wrapText="1"/>
    </xf>
    <xf numFmtId="0" fontId="27" fillId="40" borderId="81" xfId="0" applyFont="1" applyFill="1" applyBorder="1" applyAlignment="1">
      <alignment horizontal="center" vertical="center" wrapText="1"/>
    </xf>
    <xf numFmtId="0" fontId="27" fillId="0" borderId="82" xfId="0" applyFont="1" applyBorder="1" applyAlignment="1">
      <alignment horizontal="center" vertical="center"/>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10" fontId="56" fillId="27" borderId="11" xfId="0" applyNumberFormat="1" applyFont="1" applyFill="1" applyBorder="1" applyAlignment="1">
      <alignment horizontal="center" vertical="center"/>
    </xf>
    <xf numFmtId="0" fontId="56" fillId="27" borderId="11" xfId="0" applyFont="1" applyFill="1" applyBorder="1" applyAlignment="1">
      <alignment horizontal="center" vertical="center"/>
    </xf>
    <xf numFmtId="10" fontId="1" fillId="0" borderId="87" xfId="50" applyNumberFormat="1" applyFont="1" applyFill="1" applyBorder="1" applyAlignment="1">
      <alignment horizontal="center" vertical="center"/>
    </xf>
    <xf numFmtId="10" fontId="1" fillId="0" borderId="62"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10" fontId="55" fillId="0" borderId="87" xfId="0" applyNumberFormat="1" applyFont="1" applyBorder="1" applyAlignment="1">
      <alignment horizontal="center" vertical="center"/>
    </xf>
    <xf numFmtId="10" fontId="55" fillId="0" borderId="62" xfId="0" applyNumberFormat="1" applyFont="1" applyBorder="1" applyAlignment="1">
      <alignment horizontal="center" vertical="center"/>
    </xf>
    <xf numFmtId="10" fontId="55" fillId="0" borderId="17" xfId="0" applyNumberFormat="1" applyFont="1" applyBorder="1" applyAlignment="1">
      <alignment horizontal="center" vertical="center"/>
    </xf>
    <xf numFmtId="0" fontId="52" fillId="0" borderId="87" xfId="0" applyFont="1" applyBorder="1" applyAlignment="1">
      <alignment horizontal="left" vertical="center"/>
    </xf>
    <xf numFmtId="0" fontId="52" fillId="0" borderId="17" xfId="0" applyFont="1" applyBorder="1" applyAlignment="1">
      <alignment horizontal="left" vertical="center"/>
    </xf>
    <xf numFmtId="0" fontId="52" fillId="0" borderId="87" xfId="0" applyFont="1" applyBorder="1" applyAlignment="1">
      <alignment horizontal="center" vertical="center"/>
    </xf>
    <xf numFmtId="0" fontId="52" fillId="0" borderId="62" xfId="0" applyFont="1" applyBorder="1" applyAlignment="1">
      <alignment horizontal="center" vertical="center"/>
    </xf>
    <xf numFmtId="0" fontId="52" fillId="0" borderId="17" xfId="0" applyFont="1" applyBorder="1" applyAlignment="1">
      <alignment horizontal="center" vertical="center"/>
    </xf>
    <xf numFmtId="0" fontId="52" fillId="0" borderId="62" xfId="0" applyFont="1" applyBorder="1" applyAlignment="1">
      <alignment horizontal="left" vertical="center"/>
    </xf>
    <xf numFmtId="0" fontId="52" fillId="27" borderId="11" xfId="0" applyFont="1" applyFill="1" applyBorder="1" applyAlignment="1">
      <alignment horizontal="center" vertical="top" wrapText="1"/>
    </xf>
    <xf numFmtId="0" fontId="52" fillId="27" borderId="11" xfId="0" applyFont="1" applyFill="1" applyBorder="1" applyAlignment="1">
      <alignment horizontal="center" vertical="center"/>
    </xf>
    <xf numFmtId="0" fontId="52" fillId="27" borderId="87" xfId="0" applyFont="1" applyFill="1" applyBorder="1" applyAlignment="1">
      <alignment horizontal="center" vertical="center" wrapText="1"/>
    </xf>
    <xf numFmtId="0" fontId="52" fillId="27" borderId="17" xfId="0" applyFont="1" applyFill="1" applyBorder="1" applyAlignment="1">
      <alignment horizontal="center" vertical="center" wrapText="1"/>
    </xf>
    <xf numFmtId="0" fontId="52" fillId="0" borderId="11" xfId="0" applyFont="1" applyBorder="1" applyAlignment="1">
      <alignment horizontal="center" vertical="center"/>
    </xf>
    <xf numFmtId="10" fontId="52" fillId="0" borderId="11" xfId="0" applyNumberFormat="1" applyFont="1" applyBorder="1" applyAlignment="1">
      <alignment horizontal="center" vertical="center"/>
    </xf>
    <xf numFmtId="10" fontId="54" fillId="0" borderId="11" xfId="0" applyNumberFormat="1" applyFont="1" applyBorder="1" applyAlignment="1">
      <alignment horizontal="center" vertical="center"/>
    </xf>
    <xf numFmtId="0" fontId="54" fillId="0" borderId="11" xfId="0" applyFont="1" applyBorder="1" applyAlignment="1">
      <alignment horizontal="center" vertical="center"/>
    </xf>
    <xf numFmtId="10" fontId="55" fillId="0" borderId="11" xfId="0" applyNumberFormat="1" applyFont="1" applyBorder="1" applyAlignment="1">
      <alignment horizontal="center" vertical="center"/>
    </xf>
    <xf numFmtId="0" fontId="52" fillId="0" borderId="11" xfId="0" applyFont="1" applyBorder="1" applyAlignment="1">
      <alignment horizontal="left" vertical="center"/>
    </xf>
    <xf numFmtId="10" fontId="1" fillId="0" borderId="11" xfId="50" applyNumberFormat="1" applyFont="1" applyFill="1" applyBorder="1" applyAlignment="1">
      <alignment horizontal="center" vertical="center"/>
    </xf>
    <xf numFmtId="0" fontId="52" fillId="27" borderId="11" xfId="0" applyFont="1" applyFill="1" applyBorder="1" applyAlignment="1">
      <alignment horizontal="center"/>
    </xf>
    <xf numFmtId="10" fontId="52" fillId="0" borderId="87" xfId="50" applyNumberFormat="1" applyFont="1" applyFill="1" applyBorder="1" applyAlignment="1">
      <alignment horizontal="center" vertical="center"/>
    </xf>
    <xf numFmtId="10" fontId="52" fillId="0" borderId="17" xfId="50" applyNumberFormat="1" applyFont="1" applyFill="1" applyBorder="1" applyAlignment="1">
      <alignment horizontal="center" vertic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11" xfId="0" applyFont="1" applyFill="1" applyBorder="1" applyAlignment="1">
      <alignment horizontal="center"/>
    </xf>
    <xf numFmtId="0" fontId="26" fillId="24" borderId="36" xfId="0" applyFont="1" applyFill="1" applyBorder="1" applyAlignment="1">
      <alignment horizontal="center"/>
    </xf>
    <xf numFmtId="0" fontId="26" fillId="24" borderId="38" xfId="0" applyFont="1" applyFill="1" applyBorder="1" applyAlignment="1">
      <alignment horizont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86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cat>
          <c:val>
            <c:numRef>
              <c:f>Report1!$R$9:$R$39</c:f>
              <c:numCache>
                <c:formatCode>#,##0.00</c:formatCode>
                <c:ptCount val="31"/>
                <c:pt idx="0">
                  <c:v>20.062000000000001</c:v>
                </c:pt>
                <c:pt idx="1">
                  <c:v>35.039000000000001</c:v>
                </c:pt>
                <c:pt idx="2">
                  <c:v>38.435000000000002</c:v>
                </c:pt>
                <c:pt idx="3">
                  <c:v>42.110999999999997</c:v>
                </c:pt>
                <c:pt idx="4">
                  <c:v>41.948999999999998</c:v>
                </c:pt>
                <c:pt idx="5">
                  <c:v>45.878999999999998</c:v>
                </c:pt>
                <c:pt idx="6">
                  <c:v>48.341000000000001</c:v>
                </c:pt>
                <c:pt idx="7">
                  <c:v>50.698999999999998</c:v>
                </c:pt>
                <c:pt idx="8">
                  <c:v>42.956000000000003</c:v>
                </c:pt>
                <c:pt idx="9">
                  <c:v>40.225999999999999</c:v>
                </c:pt>
                <c:pt idx="10">
                  <c:v>31.271999999999998</c:v>
                </c:pt>
                <c:pt idx="11">
                  <c:v>39.923000000000002</c:v>
                </c:pt>
                <c:pt idx="12">
                  <c:v>37.549999999999997</c:v>
                </c:pt>
                <c:pt idx="13">
                  <c:v>49.134</c:v>
                </c:pt>
                <c:pt idx="14">
                  <c:v>51.405999999999999</c:v>
                </c:pt>
                <c:pt idx="15">
                  <c:v>41.244999999999997</c:v>
                </c:pt>
                <c:pt idx="16">
                  <c:v>40.045000000000002</c:v>
                </c:pt>
                <c:pt idx="17">
                  <c:v>48.408000000000001</c:v>
                </c:pt>
                <c:pt idx="18">
                  <c:v>40.988</c:v>
                </c:pt>
                <c:pt idx="19">
                  <c:v>46.920999999999999</c:v>
                </c:pt>
                <c:pt idx="20">
                  <c:v>45.506999999999998</c:v>
                </c:pt>
                <c:pt idx="21">
                  <c:v>44.314</c:v>
                </c:pt>
                <c:pt idx="22">
                  <c:v>44.328000000000003</c:v>
                </c:pt>
                <c:pt idx="23">
                  <c:v>47.076999999999998</c:v>
                </c:pt>
                <c:pt idx="24">
                  <c:v>47.622999999999998</c:v>
                </c:pt>
                <c:pt idx="25">
                  <c:v>56.981999999999999</c:v>
                </c:pt>
                <c:pt idx="26">
                  <c:v>53.844000000000001</c:v>
                </c:pt>
                <c:pt idx="27">
                  <c:v>57.405999999999999</c:v>
                </c:pt>
                <c:pt idx="28">
                  <c:v>51.796999999999997</c:v>
                </c:pt>
                <c:pt idx="29">
                  <c:v>50.341999999999999</c:v>
                </c:pt>
                <c:pt idx="30">
                  <c:v>53.884999999999998</c:v>
                </c:pt>
              </c:numCache>
            </c:numRef>
          </c:val>
          <c:smooth val="0"/>
          <c:extLst xmlns:c16r2="http://schemas.microsoft.com/office/drawing/2015/06/chart">
            <c:ext xmlns:c16="http://schemas.microsoft.com/office/drawing/2014/chart" uri="{C3380CC4-5D6E-409C-BE32-E72D297353CC}">
              <c16:uniqueId val="{00000000-496C-4CEB-A732-423BBE7B243C}"/>
            </c:ext>
          </c:extLst>
        </c:ser>
        <c:dLbls>
          <c:showLegendKey val="0"/>
          <c:showVal val="0"/>
          <c:showCatName val="0"/>
          <c:showSerName val="0"/>
          <c:showPercent val="0"/>
          <c:showBubbleSize val="0"/>
        </c:dLbls>
        <c:marker val="1"/>
        <c:smooth val="0"/>
        <c:axId val="678636320"/>
        <c:axId val="678635536"/>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496C-4CEB-A732-423BBE7B243C}"/>
              </c:ext>
            </c:extLst>
          </c:dPt>
          <c:cat>
            <c:numRef>
              <c:f>Report1!$A$9:$A$39</c:f>
              <c:numCache>
                <c:formatCode>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cat>
          <c:val>
            <c:numRef>
              <c:f>Report1!$J$9:$J$39</c:f>
              <c:numCache>
                <c:formatCode>0.00%</c:formatCode>
                <c:ptCount val="31"/>
                <c:pt idx="0">
                  <c:v>0.43564257949291446</c:v>
                </c:pt>
                <c:pt idx="1">
                  <c:v>0.7754210192673503</c:v>
                </c:pt>
                <c:pt idx="2">
                  <c:v>0.85057526971490638</c:v>
                </c:pt>
                <c:pt idx="3">
                  <c:v>0.93192598368581825</c:v>
                </c:pt>
                <c:pt idx="4">
                  <c:v>0.8773460318301084</c:v>
                </c:pt>
                <c:pt idx="5">
                  <c:v>0.88337241470207706</c:v>
                </c:pt>
                <c:pt idx="6">
                  <c:v>0.93538739754147915</c:v>
                </c:pt>
                <c:pt idx="7">
                  <c:v>0.98169390383299371</c:v>
                </c:pt>
                <c:pt idx="8">
                  <c:v>0.91168308498261352</c:v>
                </c:pt>
                <c:pt idx="9">
                  <c:v>0.86613779940727553</c:v>
                </c:pt>
                <c:pt idx="10">
                  <c:v>0.66322076904087501</c:v>
                </c:pt>
                <c:pt idx="11">
                  <c:v>0.84570103907090532</c:v>
                </c:pt>
                <c:pt idx="12">
                  <c:v>0.79184063120651216</c:v>
                </c:pt>
                <c:pt idx="13">
                  <c:v>0.94123424832014579</c:v>
                </c:pt>
                <c:pt idx="14">
                  <c:v>1.0699438045932397</c:v>
                </c:pt>
                <c:pt idx="15">
                  <c:v>0.90405523022013223</c:v>
                </c:pt>
                <c:pt idx="16">
                  <c:v>0.88620493497420127</c:v>
                </c:pt>
                <c:pt idx="17">
                  <c:v>1.0274843016587667</c:v>
                </c:pt>
                <c:pt idx="18">
                  <c:v>0.85784111821427333</c:v>
                </c:pt>
                <c:pt idx="19">
                  <c:v>0.98357573665069853</c:v>
                </c:pt>
                <c:pt idx="20">
                  <c:v>0.9743985438429883</c:v>
                </c:pt>
                <c:pt idx="21">
                  <c:v>0.90299856236796894</c:v>
                </c:pt>
                <c:pt idx="22">
                  <c:v>0.90309485779785093</c:v>
                </c:pt>
                <c:pt idx="23">
                  <c:v>0.89612483548558453</c:v>
                </c:pt>
                <c:pt idx="24">
                  <c:v>0.86232968739696869</c:v>
                </c:pt>
                <c:pt idx="25">
                  <c:v>1.0128001753572269</c:v>
                </c:pt>
                <c:pt idx="26">
                  <c:v>0.96923806833693893</c:v>
                </c:pt>
                <c:pt idx="27">
                  <c:v>1.0199730951027712</c:v>
                </c:pt>
                <c:pt idx="28">
                  <c:v>0.92936201336934898</c:v>
                </c:pt>
                <c:pt idx="29">
                  <c:v>0.89900748944563569</c:v>
                </c:pt>
                <c:pt idx="30">
                  <c:v>0.99336552476772166</c:v>
                </c:pt>
              </c:numCache>
            </c:numRef>
          </c:val>
          <c:smooth val="0"/>
          <c:extLst xmlns:c16r2="http://schemas.microsoft.com/office/drawing/2015/06/chart">
            <c:ext xmlns:c16="http://schemas.microsoft.com/office/drawing/2014/chart" uri="{C3380CC4-5D6E-409C-BE32-E72D297353CC}">
              <c16:uniqueId val="{00000002-496C-4CEB-A732-423BBE7B243C}"/>
            </c:ext>
          </c:extLst>
        </c:ser>
        <c:ser>
          <c:idx val="1"/>
          <c:order val="2"/>
          <c:tx>
            <c:v>EFF TARGET TODATE</c:v>
          </c:tx>
          <c:marker>
            <c:symbol val="square"/>
            <c:size val="5"/>
          </c:marker>
          <c:cat>
            <c:numRef>
              <c:f>Report1!$A$9:$A$39</c:f>
              <c:numCache>
                <c:formatCode>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cat>
          <c:val>
            <c:numRef>
              <c:f>Report1!$K$9:$K$39</c:f>
              <c:numCache>
                <c:formatCode>0.00%</c:formatCode>
                <c:ptCount val="31"/>
                <c:pt idx="0">
                  <c:v>0.43564257949291446</c:v>
                </c:pt>
                <c:pt idx="1">
                  <c:v>0.60392216852848768</c:v>
                </c:pt>
                <c:pt idx="2">
                  <c:v>0.68561890423251459</c:v>
                </c:pt>
                <c:pt idx="3">
                  <c:v>0.74690257826351825</c:v>
                </c:pt>
                <c:pt idx="4">
                  <c:v>0.77408761497371692</c:v>
                </c:pt>
                <c:pt idx="5">
                  <c:v>0.79426030346237397</c:v>
                </c:pt>
                <c:pt idx="6">
                  <c:v>0.8161598293715967</c:v>
                </c:pt>
                <c:pt idx="7">
                  <c:v>0.83838285432306558</c:v>
                </c:pt>
                <c:pt idx="8">
                  <c:v>0.84638116643432426</c:v>
                </c:pt>
                <c:pt idx="9">
                  <c:v>0.84829974828047117</c:v>
                </c:pt>
                <c:pt idx="10">
                  <c:v>0.83168990865010606</c:v>
                </c:pt>
                <c:pt idx="11">
                  <c:v>0.83284501942789035</c:v>
                </c:pt>
                <c:pt idx="12">
                  <c:v>0.82970890551669307</c:v>
                </c:pt>
                <c:pt idx="13">
                  <c:v>0.83836936384695182</c:v>
                </c:pt>
                <c:pt idx="14">
                  <c:v>0.85381641421213916</c:v>
                </c:pt>
                <c:pt idx="15">
                  <c:v>0.85680899347288009</c:v>
                </c:pt>
                <c:pt idx="16">
                  <c:v>0.85844669936952711</c:v>
                </c:pt>
                <c:pt idx="17">
                  <c:v>0.8677264955382632</c:v>
                </c:pt>
                <c:pt idx="18">
                  <c:v>0.86720514971000517</c:v>
                </c:pt>
                <c:pt idx="19">
                  <c:v>0.87302617213099221</c:v>
                </c:pt>
                <c:pt idx="20">
                  <c:v>0.87775871260988891</c:v>
                </c:pt>
                <c:pt idx="21">
                  <c:v>0.87893896632447122</c:v>
                </c:pt>
                <c:pt idx="22">
                  <c:v>0.88001828761718581</c:v>
                </c:pt>
                <c:pt idx="23">
                  <c:v>0.88075337393010034</c:v>
                </c:pt>
                <c:pt idx="24">
                  <c:v>0.87990991580047384</c:v>
                </c:pt>
                <c:pt idx="25">
                  <c:v>0.88583171079429812</c:v>
                </c:pt>
                <c:pt idx="26">
                  <c:v>0.88934692494044554</c:v>
                </c:pt>
                <c:pt idx="27">
                  <c:v>0.89469608661697964</c:v>
                </c:pt>
                <c:pt idx="28">
                  <c:v>0.89604705720996503</c:v>
                </c:pt>
                <c:pt idx="29">
                  <c:v>0.89615860609005427</c:v>
                </c:pt>
                <c:pt idx="30">
                  <c:v>0.89958178262093658</c:v>
                </c:pt>
              </c:numCache>
            </c:numRef>
          </c:val>
          <c:smooth val="0"/>
          <c:extLst xmlns:c16r2="http://schemas.microsoft.com/office/drawing/2015/06/chart">
            <c:ext xmlns:c16="http://schemas.microsoft.com/office/drawing/2014/chart" uri="{C3380CC4-5D6E-409C-BE32-E72D297353CC}">
              <c16:uniqueId val="{00000003-496C-4CEB-A732-423BBE7B243C}"/>
            </c:ext>
          </c:extLst>
        </c:ser>
        <c:dLbls>
          <c:showLegendKey val="0"/>
          <c:showVal val="0"/>
          <c:showCatName val="0"/>
          <c:showSerName val="0"/>
          <c:showPercent val="0"/>
          <c:showBubbleSize val="0"/>
        </c:dLbls>
        <c:marker val="1"/>
        <c:smooth val="0"/>
        <c:axId val="677065112"/>
        <c:axId val="677065504"/>
      </c:lineChart>
      <c:dateAx>
        <c:axId val="678636320"/>
        <c:scaling>
          <c:orientation val="minMax"/>
        </c:scaling>
        <c:delete val="0"/>
        <c:axPos val="b"/>
        <c:numFmt formatCode="d\-mmm" sourceLinked="1"/>
        <c:majorTickMark val="out"/>
        <c:minorTickMark val="none"/>
        <c:tickLblPos val="nextTo"/>
        <c:crossAx val="678635536"/>
        <c:crosses val="autoZero"/>
        <c:auto val="1"/>
        <c:lblOffset val="100"/>
        <c:baseTimeUnit val="days"/>
      </c:dateAx>
      <c:valAx>
        <c:axId val="678635536"/>
        <c:scaling>
          <c:orientation val="minMax"/>
        </c:scaling>
        <c:delete val="0"/>
        <c:axPos val="l"/>
        <c:majorGridlines/>
        <c:numFmt formatCode="#,##0.00" sourceLinked="1"/>
        <c:majorTickMark val="out"/>
        <c:minorTickMark val="none"/>
        <c:tickLblPos val="nextTo"/>
        <c:crossAx val="678636320"/>
        <c:crosses val="autoZero"/>
        <c:crossBetween val="between"/>
      </c:valAx>
      <c:valAx>
        <c:axId val="677065504"/>
        <c:scaling>
          <c:orientation val="minMax"/>
        </c:scaling>
        <c:delete val="0"/>
        <c:axPos val="r"/>
        <c:numFmt formatCode="0.00%" sourceLinked="1"/>
        <c:majorTickMark val="out"/>
        <c:minorTickMark val="none"/>
        <c:tickLblPos val="nextTo"/>
        <c:crossAx val="677065112"/>
        <c:crosses val="max"/>
        <c:crossBetween val="between"/>
      </c:valAx>
      <c:dateAx>
        <c:axId val="677065112"/>
        <c:scaling>
          <c:orientation val="minMax"/>
        </c:scaling>
        <c:delete val="1"/>
        <c:axPos val="b"/>
        <c:numFmt formatCode="d\-mmm" sourceLinked="1"/>
        <c:majorTickMark val="out"/>
        <c:minorTickMark val="none"/>
        <c:tickLblPos val="none"/>
        <c:crossAx val="677065504"/>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JULI%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RODUKSI-PM\2025\1.%20JANUARI\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AZ9">
            <v>2660.3262411347514</v>
          </cell>
        </row>
        <row r="10">
          <cell r="AZ10">
            <v>2510.791975243334</v>
          </cell>
        </row>
        <row r="11">
          <cell r="AZ11">
            <v>3197.2643498361881</v>
          </cell>
        </row>
        <row r="12">
          <cell r="AZ12">
            <v>3571.9444792941395</v>
          </cell>
        </row>
        <row r="13">
          <cell r="AZ13">
            <v>3510.7815441831635</v>
          </cell>
        </row>
        <row r="14">
          <cell r="AZ14">
            <v>3665.4814158579311</v>
          </cell>
        </row>
        <row r="15">
          <cell r="AZ15">
            <v>3795.8919970672837</v>
          </cell>
        </row>
        <row r="16">
          <cell r="AZ16">
            <v>3734.6585709257306</v>
          </cell>
        </row>
        <row r="17">
          <cell r="AZ17">
            <v>3585.9666150312487</v>
          </cell>
        </row>
        <row r="18">
          <cell r="AZ18">
            <v>3746.3635317976809</v>
          </cell>
        </row>
        <row r="19">
          <cell r="AZ19">
            <v>3789.1460104872667</v>
          </cell>
        </row>
        <row r="20">
          <cell r="AZ20">
            <v>3793.5072553257182</v>
          </cell>
        </row>
        <row r="21">
          <cell r="AZ21">
            <v>3941.5255092733355</v>
          </cell>
        </row>
        <row r="22">
          <cell r="AZ22">
            <v>3897.9890222399181</v>
          </cell>
        </row>
        <row r="23">
          <cell r="AZ23">
            <v>3756.5645329160448</v>
          </cell>
        </row>
        <row r="24">
          <cell r="AZ24">
            <v>3749.8233094199959</v>
          </cell>
        </row>
        <row r="25">
          <cell r="AZ25">
            <v>3692.4808910936013</v>
          </cell>
        </row>
        <row r="26">
          <cell r="AZ26">
            <v>3780.6824635087773</v>
          </cell>
        </row>
        <row r="27">
          <cell r="AZ27">
            <v>3788.8914295765358</v>
          </cell>
        </row>
        <row r="28">
          <cell r="AZ28">
            <v>3848.9560032894742</v>
          </cell>
        </row>
        <row r="29">
          <cell r="AZ29">
            <v>3772.4843602302994</v>
          </cell>
        </row>
        <row r="30">
          <cell r="AZ30">
            <v>3729.7432262619127</v>
          </cell>
        </row>
        <row r="31">
          <cell r="AZ31">
            <v>3622.0686401389185</v>
          </cell>
        </row>
        <row r="32">
          <cell r="AZ32">
            <v>3759.7835223631778</v>
          </cell>
        </row>
        <row r="33">
          <cell r="AZ33">
            <v>3718.3625044542728</v>
          </cell>
        </row>
        <row r="34">
          <cell r="AZ34">
            <v>3865.9014514553505</v>
          </cell>
        </row>
        <row r="35">
          <cell r="AZ35">
            <v>3979.504052984415</v>
          </cell>
        </row>
        <row r="36">
          <cell r="AZ36">
            <v>3982.8700531008913</v>
          </cell>
        </row>
        <row r="37">
          <cell r="AZ37">
            <v>4004.5529454801062</v>
          </cell>
        </row>
        <row r="38">
          <cell r="AZ38">
            <v>4150.1940619798897</v>
          </cell>
        </row>
        <row r="39">
          <cell r="AZ39">
            <v>4138.0038759689924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D7">
            <v>285.95999999903142</v>
          </cell>
          <cell r="AZ7">
            <v>7719.2000000000089</v>
          </cell>
          <cell r="BA7">
            <v>12254.199999999637</v>
          </cell>
          <cell r="BB7">
            <v>9898.3650000000016</v>
          </cell>
          <cell r="BC7">
            <v>899.99999999986358</v>
          </cell>
          <cell r="BS7"/>
        </row>
        <row r="8">
          <cell r="AZ8">
            <v>8723.5300000000152</v>
          </cell>
          <cell r="BA8">
            <v>14803.53</v>
          </cell>
          <cell r="BB8">
            <v>10956.865000000002</v>
          </cell>
          <cell r="BC8">
            <v>299.99999999995453</v>
          </cell>
          <cell r="BS8"/>
        </row>
        <row r="9">
          <cell r="AZ9">
            <v>9256.1399999999958</v>
          </cell>
          <cell r="BA9">
            <v>18076.139999998908</v>
          </cell>
          <cell r="BB9">
            <v>12806.14</v>
          </cell>
          <cell r="BC9">
            <v>100.00000000013642</v>
          </cell>
          <cell r="BS9"/>
        </row>
        <row r="10">
          <cell r="AZ10">
            <v>10348.280000000024</v>
          </cell>
          <cell r="BA10">
            <v>17698.28000000073</v>
          </cell>
          <cell r="BB10">
            <v>12506.615000000002</v>
          </cell>
          <cell r="BC10">
            <v>2299.9999999999545</v>
          </cell>
          <cell r="BS10"/>
        </row>
        <row r="11">
          <cell r="AZ11">
            <v>9156.4099999999908</v>
          </cell>
          <cell r="BA11">
            <v>18271.41</v>
          </cell>
          <cell r="BB11">
            <v>12918.91</v>
          </cell>
          <cell r="BC11">
            <v>1799.9999999999545</v>
          </cell>
          <cell r="BS11"/>
        </row>
        <row r="12">
          <cell r="AZ12">
            <v>8728.6599999999617</v>
          </cell>
          <cell r="BA12">
            <v>16873.660000000003</v>
          </cell>
          <cell r="BB12">
            <v>11349.494999999999</v>
          </cell>
          <cell r="BC12">
            <v>1600.0000000001364</v>
          </cell>
          <cell r="BS12"/>
        </row>
        <row r="13">
          <cell r="AZ13">
            <v>10110.310000000047</v>
          </cell>
          <cell r="BA13">
            <v>17925.310000000729</v>
          </cell>
          <cell r="BB13">
            <v>9322.8099999999977</v>
          </cell>
          <cell r="BC13">
            <v>1699.9999999998181</v>
          </cell>
          <cell r="BS13"/>
        </row>
        <row r="14">
          <cell r="AZ14">
            <v>8955.9799999999523</v>
          </cell>
          <cell r="BA14">
            <v>18590.98</v>
          </cell>
          <cell r="BB14">
            <v>11485.145</v>
          </cell>
          <cell r="BC14">
            <v>1500</v>
          </cell>
          <cell r="BS14"/>
        </row>
        <row r="15">
          <cell r="AZ15">
            <v>8661.7300000000141</v>
          </cell>
          <cell r="BA15">
            <v>18001.729999998908</v>
          </cell>
          <cell r="BB15">
            <v>10811.73</v>
          </cell>
          <cell r="BC15">
            <v>1500</v>
          </cell>
          <cell r="BS15"/>
        </row>
        <row r="16">
          <cell r="AZ16">
            <v>9541.5799999999872</v>
          </cell>
          <cell r="BA16">
            <v>18851.580000000726</v>
          </cell>
          <cell r="BB16">
            <v>11333.244999999999</v>
          </cell>
          <cell r="BC16">
            <v>1400.0000000000909</v>
          </cell>
          <cell r="BS16"/>
        </row>
        <row r="17">
          <cell r="AZ17">
            <v>10001.720000000008</v>
          </cell>
          <cell r="BA17">
            <v>19836.719999998906</v>
          </cell>
          <cell r="BB17">
            <v>11730.884999999998</v>
          </cell>
          <cell r="BC17">
            <v>599.99999999990905</v>
          </cell>
          <cell r="BS17"/>
        </row>
        <row r="18">
          <cell r="AZ18">
            <v>10206.20999999999</v>
          </cell>
          <cell r="BA18">
            <v>19121.210000001091</v>
          </cell>
          <cell r="BB18">
            <v>13768.71</v>
          </cell>
          <cell r="BC18">
            <v>0</v>
          </cell>
          <cell r="BS18"/>
        </row>
        <row r="19">
          <cell r="AZ19">
            <v>9796.8000000000466</v>
          </cell>
          <cell r="BA19">
            <v>19111.799999998908</v>
          </cell>
          <cell r="BB19">
            <v>11925.965</v>
          </cell>
          <cell r="BC19">
            <v>100.00000000013642</v>
          </cell>
          <cell r="BS19"/>
        </row>
        <row r="20">
          <cell r="AZ20">
            <v>9729.8199999999906</v>
          </cell>
          <cell r="BA20">
            <v>16944.820000000364</v>
          </cell>
          <cell r="BB20">
            <v>13342.32</v>
          </cell>
          <cell r="BC20">
            <v>1799.9999999999545</v>
          </cell>
          <cell r="BS20"/>
        </row>
        <row r="21">
          <cell r="AZ21">
            <v>9019.06</v>
          </cell>
          <cell r="BA21">
            <v>18944.060000001093</v>
          </cell>
          <cell r="BB21">
            <v>12089.895</v>
          </cell>
          <cell r="BC21">
            <v>599.99999999990905</v>
          </cell>
          <cell r="BS21">
            <v>2300</v>
          </cell>
        </row>
        <row r="22">
          <cell r="AZ22">
            <v>9726.6299999999937</v>
          </cell>
          <cell r="BA22">
            <v>19046.62999999891</v>
          </cell>
          <cell r="BB22">
            <v>12526.629999999997</v>
          </cell>
          <cell r="BC22">
            <v>0</v>
          </cell>
          <cell r="BS22">
            <v>3830</v>
          </cell>
        </row>
        <row r="23">
          <cell r="AZ23">
            <v>9142.7499999999909</v>
          </cell>
          <cell r="BA23">
            <v>19057.750000001091</v>
          </cell>
          <cell r="BB23">
            <v>12205.25</v>
          </cell>
          <cell r="BC23">
            <v>0</v>
          </cell>
          <cell r="BS23">
            <v>3650</v>
          </cell>
        </row>
        <row r="24">
          <cell r="AZ24">
            <v>9325.6999999999862</v>
          </cell>
          <cell r="BA24">
            <v>18435.7</v>
          </cell>
          <cell r="BB24">
            <v>11584.035</v>
          </cell>
          <cell r="BC24">
            <v>0</v>
          </cell>
          <cell r="BS24">
            <v>4050</v>
          </cell>
        </row>
        <row r="25">
          <cell r="AZ25">
            <v>9255.8899999999849</v>
          </cell>
          <cell r="BA25">
            <v>19865.890000000003</v>
          </cell>
          <cell r="BB25">
            <v>11764.224999999999</v>
          </cell>
          <cell r="BC25">
            <v>0</v>
          </cell>
          <cell r="BS25">
            <v>3890</v>
          </cell>
        </row>
        <row r="26">
          <cell r="AZ26">
            <v>8735.6100000000479</v>
          </cell>
          <cell r="BA26">
            <v>20250.609999999637</v>
          </cell>
          <cell r="BB26">
            <v>10398.11</v>
          </cell>
          <cell r="BC26">
            <v>1150.0000000000909</v>
          </cell>
          <cell r="BS26">
            <v>2720</v>
          </cell>
        </row>
        <row r="27">
          <cell r="AZ27">
            <v>10961.909999999996</v>
          </cell>
          <cell r="BA27">
            <v>18381.909999999272</v>
          </cell>
          <cell r="BB27">
            <v>12778.575000000001</v>
          </cell>
          <cell r="BC27">
            <v>1600.0000000001364</v>
          </cell>
          <cell r="BS27"/>
        </row>
        <row r="28">
          <cell r="AZ28">
            <v>9992.489999999987</v>
          </cell>
          <cell r="BA28">
            <v>21102.49</v>
          </cell>
          <cell r="BB28">
            <v>13417.489999999998</v>
          </cell>
          <cell r="BC28">
            <v>1399.9999999998636</v>
          </cell>
          <cell r="BS28"/>
        </row>
        <row r="29">
          <cell r="AZ29">
            <v>9130.059999999994</v>
          </cell>
          <cell r="BA29">
            <v>18550.060000001093</v>
          </cell>
          <cell r="BB29">
            <v>11613.395</v>
          </cell>
          <cell r="BC29">
            <v>1100.0000000001364</v>
          </cell>
          <cell r="BS29"/>
        </row>
        <row r="30">
          <cell r="AZ30">
            <v>10171.179999999997</v>
          </cell>
          <cell r="BA30">
            <v>15491.179999998909</v>
          </cell>
          <cell r="BB30">
            <v>10804.514999999999</v>
          </cell>
          <cell r="BC30">
            <v>0</v>
          </cell>
          <cell r="BO30">
            <v>20531.000000000044</v>
          </cell>
          <cell r="BS30"/>
        </row>
        <row r="31">
          <cell r="AZ31">
            <v>8251.0800000000181</v>
          </cell>
          <cell r="BA31">
            <v>13971.080000000728</v>
          </cell>
          <cell r="BB31">
            <v>11217.744999999999</v>
          </cell>
          <cell r="BC31">
            <v>0</v>
          </cell>
          <cell r="BO31">
            <v>27049.999999999913</v>
          </cell>
          <cell r="BS31"/>
        </row>
        <row r="32">
          <cell r="AZ32">
            <v>10415.669999999993</v>
          </cell>
          <cell r="BA32">
            <v>16470.669999999998</v>
          </cell>
          <cell r="BB32">
            <v>11628.169999999998</v>
          </cell>
          <cell r="BC32">
            <v>0</v>
          </cell>
          <cell r="BO32">
            <v>27081.000000000047</v>
          </cell>
          <cell r="BS32"/>
        </row>
        <row r="33">
          <cell r="AZ33">
            <v>9322.3399999999929</v>
          </cell>
          <cell r="BA33">
            <v>17277.339999999633</v>
          </cell>
          <cell r="BB33">
            <v>11351.505000000001</v>
          </cell>
          <cell r="BC33">
            <v>220</v>
          </cell>
          <cell r="BO33">
            <v>25729.900000000136</v>
          </cell>
          <cell r="BS33"/>
        </row>
        <row r="34">
          <cell r="AZ34">
            <v>8969.2499999999927</v>
          </cell>
          <cell r="BA34">
            <v>17374.250000000364</v>
          </cell>
          <cell r="BB34">
            <v>11406.75</v>
          </cell>
          <cell r="BC34">
            <v>225</v>
          </cell>
          <cell r="BO34">
            <v>28508.999999999814</v>
          </cell>
          <cell r="BS34"/>
        </row>
        <row r="35">
          <cell r="AZ35">
            <v>10568.449999999999</v>
          </cell>
          <cell r="BA35">
            <v>17903.449999999637</v>
          </cell>
          <cell r="BB35">
            <v>11580.95</v>
          </cell>
          <cell r="BC35">
            <v>220</v>
          </cell>
          <cell r="BO35">
            <v>28200.654000000046</v>
          </cell>
          <cell r="BS35"/>
        </row>
        <row r="36">
          <cell r="AZ36">
            <v>8881.3200000007109</v>
          </cell>
          <cell r="BA36">
            <v>16526.319999999272</v>
          </cell>
          <cell r="BB36">
            <v>10803.819999999418</v>
          </cell>
          <cell r="BC36">
            <v>18.699999999949796</v>
          </cell>
          <cell r="BO36">
            <v>24750.907999999854</v>
          </cell>
          <cell r="BS36"/>
        </row>
        <row r="37">
          <cell r="AZ37">
            <v>9302.0099999985905</v>
          </cell>
          <cell r="BA37">
            <v>16852.010000000362</v>
          </cell>
          <cell r="BB37">
            <v>10997.010000001199</v>
          </cell>
          <cell r="BC37">
            <v>415.14999999997599</v>
          </cell>
          <cell r="BO37">
            <v>26332.436000000176</v>
          </cell>
          <cell r="BS37"/>
        </row>
      </sheetData>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s>
    <sheetDataSet>
      <sheetData sheetId="0" refreshError="1"/>
      <sheetData sheetId="1" refreshError="1">
        <row r="38">
          <cell r="BO38">
            <v>7955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65536"/>
  <sheetViews>
    <sheetView tabSelected="1" zoomScaleNormal="100" workbookViewId="0">
      <pane xSplit="3" ySplit="8" topLeftCell="AO9" activePane="bottomRight" state="frozen"/>
      <selection pane="topRight" activeCell="E1" sqref="E1"/>
      <selection pane="bottomLeft" activeCell="A9" sqref="A9"/>
      <selection pane="bottomRight" activeCell="AT18" sqref="AT18"/>
    </sheetView>
  </sheetViews>
  <sheetFormatPr defaultColWidth="9.140625" defaultRowHeight="12.75"/>
  <cols>
    <col min="1" max="1" width="7.5703125" style="264" customWidth="1"/>
    <col min="2" max="2" width="12" style="263" customWidth="1"/>
    <col min="3" max="3" width="12.28515625" style="263" bestFit="1" customWidth="1"/>
    <col min="4" max="4" width="8.28515625" style="263" customWidth="1"/>
    <col min="5" max="5" width="8" style="263" customWidth="1"/>
    <col min="6" max="6" width="6.85546875" style="263" customWidth="1"/>
    <col min="7" max="11" width="8.7109375" style="263" customWidth="1"/>
    <col min="12" max="12" width="8.7109375" style="265" customWidth="1"/>
    <col min="13" max="15" width="8.7109375" style="266" customWidth="1"/>
    <col min="16" max="16" width="8.7109375" style="265" customWidth="1"/>
    <col min="17" max="17" width="8.7109375" style="266" customWidth="1"/>
    <col min="18" max="18" width="8.7109375" style="265" customWidth="1"/>
    <col min="19" max="19" width="8.7109375" style="267" customWidth="1"/>
    <col min="20" max="21" width="10.140625" style="267" bestFit="1" customWidth="1"/>
    <col min="22" max="25" width="8.7109375" style="267" customWidth="1"/>
    <col min="26" max="27" width="7.7109375" style="267" customWidth="1"/>
    <col min="28" max="29" width="7.7109375" style="268" customWidth="1"/>
    <col min="30" max="30" width="7.7109375" style="267" customWidth="1"/>
    <col min="31" max="31" width="7.7109375" style="268" customWidth="1"/>
    <col min="32" max="33" width="7.7109375" style="267" customWidth="1"/>
    <col min="34" max="35" width="7.7109375" style="268" customWidth="1"/>
    <col min="36" max="36" width="7.7109375" style="267" customWidth="1"/>
    <col min="37" max="37" width="7.7109375" style="268" customWidth="1"/>
    <col min="38" max="38" width="12" style="267" customWidth="1"/>
    <col min="39" max="39" width="11.140625" style="267" customWidth="1"/>
    <col min="40" max="43" width="7.5703125" style="268" customWidth="1"/>
    <col min="44" max="44" width="8.85546875" style="267" customWidth="1"/>
    <col min="45" max="45" width="11.140625" style="267" customWidth="1"/>
    <col min="46" max="49" width="7.5703125" style="268" customWidth="1"/>
    <col min="50" max="50" width="8.85546875" style="267" customWidth="1"/>
    <col min="51" max="51" width="11.140625" style="267" customWidth="1"/>
    <col min="52" max="53" width="7.5703125" style="268" customWidth="1"/>
    <col min="54" max="54" width="8.42578125" style="268" bestFit="1" customWidth="1"/>
    <col min="55" max="55" width="7.5703125" style="268" customWidth="1"/>
    <col min="56" max="56" width="11.140625" style="94" hidden="1" customWidth="1"/>
    <col min="57" max="57" width="8.7109375" style="265" customWidth="1"/>
    <col min="58" max="58" width="8.7109375" style="266" customWidth="1"/>
    <col min="59" max="60" width="8.7109375" style="263" customWidth="1"/>
  </cols>
  <sheetData>
    <row r="1" spans="1:60" ht="12.75" customHeight="1">
      <c r="A1" s="262"/>
    </row>
    <row r="2" spans="1:60">
      <c r="A2" s="262"/>
    </row>
    <row r="3" spans="1:60" ht="12.75" customHeight="1">
      <c r="A3" s="609" t="s">
        <v>232</v>
      </c>
      <c r="B3" s="609"/>
      <c r="C3" s="609"/>
      <c r="D3" s="609"/>
      <c r="E3" s="609"/>
      <c r="F3" s="609"/>
      <c r="G3" s="609"/>
      <c r="H3" s="609"/>
      <c r="I3" s="609"/>
      <c r="J3" s="609"/>
      <c r="K3" s="609"/>
      <c r="L3" s="609"/>
      <c r="M3" s="609"/>
      <c r="N3" s="609"/>
      <c r="O3" s="609"/>
      <c r="P3" s="609"/>
      <c r="Q3" s="609"/>
      <c r="R3" s="609"/>
      <c r="S3" s="609"/>
      <c r="T3" s="609"/>
      <c r="U3" s="609"/>
      <c r="V3" s="609"/>
      <c r="W3" s="609"/>
      <c r="X3" s="609"/>
      <c r="Y3" s="609"/>
      <c r="Z3" s="609"/>
      <c r="AA3" s="609"/>
      <c r="AB3" s="609"/>
      <c r="AC3" s="609"/>
      <c r="AD3" s="609"/>
      <c r="AE3" s="609"/>
      <c r="AF3" s="609"/>
      <c r="AG3" s="609"/>
      <c r="AH3" s="609"/>
      <c r="AI3" s="609"/>
      <c r="AJ3" s="609"/>
      <c r="AK3" s="609"/>
      <c r="AL3" s="609"/>
      <c r="AM3" s="609"/>
      <c r="AN3" s="609"/>
      <c r="AO3" s="609"/>
      <c r="AP3" s="609"/>
      <c r="AQ3" s="609"/>
      <c r="AR3" s="450"/>
      <c r="AS3" s="450"/>
      <c r="AT3" s="450"/>
      <c r="AU3" s="450"/>
      <c r="AV3" s="450"/>
      <c r="AW3" s="450"/>
      <c r="AX3" s="450"/>
      <c r="AY3" s="450"/>
      <c r="AZ3" s="450"/>
      <c r="BA3" s="450"/>
      <c r="BB3" s="450"/>
      <c r="BC3" s="450"/>
      <c r="BE3"/>
      <c r="BF3"/>
      <c r="BG3"/>
      <c r="BH3"/>
    </row>
    <row r="4" spans="1:60" ht="12.75" customHeight="1">
      <c r="A4" s="609"/>
      <c r="B4" s="609"/>
      <c r="C4" s="609"/>
      <c r="D4" s="609"/>
      <c r="E4" s="609"/>
      <c r="F4" s="609"/>
      <c r="G4" s="609"/>
      <c r="H4" s="609"/>
      <c r="I4" s="609"/>
      <c r="J4" s="609"/>
      <c r="K4" s="609"/>
      <c r="L4" s="609"/>
      <c r="M4" s="609"/>
      <c r="N4" s="609"/>
      <c r="O4" s="609"/>
      <c r="P4" s="609"/>
      <c r="Q4" s="609"/>
      <c r="R4" s="609"/>
      <c r="S4" s="609"/>
      <c r="T4" s="609"/>
      <c r="U4" s="609"/>
      <c r="V4" s="609"/>
      <c r="W4" s="609"/>
      <c r="X4" s="609"/>
      <c r="Y4" s="609"/>
      <c r="Z4" s="609"/>
      <c r="AA4" s="609"/>
      <c r="AB4" s="609"/>
      <c r="AC4" s="609"/>
      <c r="AD4" s="609"/>
      <c r="AE4" s="609"/>
      <c r="AF4" s="609"/>
      <c r="AG4" s="609"/>
      <c r="AH4" s="609"/>
      <c r="AI4" s="609"/>
      <c r="AJ4" s="609"/>
      <c r="AK4" s="609"/>
      <c r="AL4" s="609"/>
      <c r="AM4" s="609"/>
      <c r="AN4" s="609"/>
      <c r="AO4" s="609"/>
      <c r="AP4" s="609"/>
      <c r="AQ4" s="609"/>
      <c r="AR4" s="450"/>
      <c r="AS4" s="450"/>
      <c r="AT4" s="450"/>
      <c r="AU4" s="450"/>
      <c r="AV4" s="450"/>
      <c r="AW4" s="450"/>
      <c r="AX4" s="450"/>
      <c r="AY4" s="450"/>
      <c r="AZ4" s="450"/>
      <c r="BA4" s="450"/>
      <c r="BB4" s="450"/>
      <c r="BC4" s="450"/>
      <c r="BE4"/>
      <c r="BF4"/>
      <c r="BG4"/>
      <c r="BH4"/>
    </row>
    <row r="5" spans="1:60">
      <c r="H5" s="265"/>
      <c r="I5" s="266"/>
      <c r="J5" s="266"/>
      <c r="K5" s="266"/>
      <c r="BG5" s="266"/>
      <c r="BH5" s="266"/>
    </row>
    <row r="6" spans="1:60" ht="22.7" customHeight="1">
      <c r="A6" s="612" t="s">
        <v>9</v>
      </c>
      <c r="B6" s="608" t="s">
        <v>10</v>
      </c>
      <c r="C6" s="608" t="s">
        <v>6</v>
      </c>
      <c r="D6" s="608" t="s">
        <v>201</v>
      </c>
      <c r="E6" s="608" t="s">
        <v>202</v>
      </c>
      <c r="F6" s="608" t="s">
        <v>198</v>
      </c>
      <c r="G6" s="608" t="s">
        <v>197</v>
      </c>
      <c r="H6" s="608" t="s">
        <v>199</v>
      </c>
      <c r="I6" s="608" t="s">
        <v>200</v>
      </c>
      <c r="J6" s="601" t="s">
        <v>204</v>
      </c>
      <c r="K6" s="602"/>
      <c r="L6" s="600" t="s">
        <v>203</v>
      </c>
      <c r="M6" s="600"/>
      <c r="N6" s="600" t="s">
        <v>205</v>
      </c>
      <c r="O6" s="600"/>
      <c r="P6" s="607" t="s">
        <v>32</v>
      </c>
      <c r="Q6" s="607"/>
      <c r="R6" s="605" t="s">
        <v>24</v>
      </c>
      <c r="S6" s="605"/>
      <c r="T6" s="605" t="s">
        <v>33</v>
      </c>
      <c r="U6" s="605"/>
      <c r="V6" s="605"/>
      <c r="W6" s="605"/>
      <c r="X6" s="605"/>
      <c r="Y6" s="605"/>
      <c r="Z6" s="605" t="s">
        <v>34</v>
      </c>
      <c r="AA6" s="605"/>
      <c r="AB6" s="605"/>
      <c r="AC6" s="605"/>
      <c r="AD6" s="605"/>
      <c r="AE6" s="605"/>
      <c r="AF6" s="605" t="s">
        <v>291</v>
      </c>
      <c r="AG6" s="605"/>
      <c r="AH6" s="605"/>
      <c r="AI6" s="605"/>
      <c r="AJ6" s="605"/>
      <c r="AK6" s="605"/>
      <c r="AL6" s="605" t="s">
        <v>35</v>
      </c>
      <c r="AM6" s="605"/>
      <c r="AN6" s="605"/>
      <c r="AO6" s="605"/>
      <c r="AP6" s="605"/>
      <c r="AQ6" s="605"/>
      <c r="AR6" s="605" t="s">
        <v>292</v>
      </c>
      <c r="AS6" s="605"/>
      <c r="AT6" s="605"/>
      <c r="AU6" s="605"/>
      <c r="AV6" s="605"/>
      <c r="AW6" s="605"/>
      <c r="AX6" s="605" t="s">
        <v>643</v>
      </c>
      <c r="AY6" s="605"/>
      <c r="AZ6" s="605"/>
      <c r="BA6" s="605"/>
      <c r="BB6" s="605"/>
      <c r="BC6" s="605"/>
      <c r="BD6" s="610" t="s">
        <v>287</v>
      </c>
      <c r="BE6" s="600" t="s">
        <v>373</v>
      </c>
      <c r="BF6" s="600"/>
      <c r="BG6" s="601" t="s">
        <v>374</v>
      </c>
      <c r="BH6" s="602"/>
    </row>
    <row r="7" spans="1:60" ht="22.7" customHeight="1">
      <c r="A7" s="613"/>
      <c r="B7" s="608"/>
      <c r="C7" s="608"/>
      <c r="D7" s="608"/>
      <c r="E7" s="608"/>
      <c r="F7" s="608"/>
      <c r="G7" s="608"/>
      <c r="H7" s="608"/>
      <c r="I7" s="608"/>
      <c r="J7" s="603"/>
      <c r="K7" s="604"/>
      <c r="L7" s="600"/>
      <c r="M7" s="600"/>
      <c r="N7" s="600"/>
      <c r="O7" s="600"/>
      <c r="P7" s="607"/>
      <c r="Q7" s="607"/>
      <c r="R7" s="605"/>
      <c r="S7" s="605"/>
      <c r="T7" s="605" t="s">
        <v>38</v>
      </c>
      <c r="U7" s="605"/>
      <c r="V7" s="605" t="s">
        <v>36</v>
      </c>
      <c r="W7" s="605"/>
      <c r="X7" s="605" t="s">
        <v>37</v>
      </c>
      <c r="Y7" s="605"/>
      <c r="Z7" s="605" t="s">
        <v>38</v>
      </c>
      <c r="AA7" s="605"/>
      <c r="AB7" s="606" t="s">
        <v>36</v>
      </c>
      <c r="AC7" s="606"/>
      <c r="AD7" s="605" t="s">
        <v>37</v>
      </c>
      <c r="AE7" s="605"/>
      <c r="AF7" s="605" t="s">
        <v>38</v>
      </c>
      <c r="AG7" s="605"/>
      <c r="AH7" s="606" t="s">
        <v>36</v>
      </c>
      <c r="AI7" s="606"/>
      <c r="AJ7" s="605" t="s">
        <v>37</v>
      </c>
      <c r="AK7" s="605"/>
      <c r="AL7" s="605" t="s">
        <v>38</v>
      </c>
      <c r="AM7" s="605"/>
      <c r="AN7" s="605" t="s">
        <v>27</v>
      </c>
      <c r="AO7" s="605"/>
      <c r="AP7" s="605" t="s">
        <v>28</v>
      </c>
      <c r="AQ7" s="605"/>
      <c r="AR7" s="605" t="s">
        <v>38</v>
      </c>
      <c r="AS7" s="605"/>
      <c r="AT7" s="605" t="s">
        <v>27</v>
      </c>
      <c r="AU7" s="605"/>
      <c r="AV7" s="605" t="s">
        <v>28</v>
      </c>
      <c r="AW7" s="605"/>
      <c r="AX7" s="605" t="s">
        <v>38</v>
      </c>
      <c r="AY7" s="605"/>
      <c r="AZ7" s="605" t="s">
        <v>27</v>
      </c>
      <c r="BA7" s="605"/>
      <c r="BB7" s="605" t="s">
        <v>28</v>
      </c>
      <c r="BC7" s="605"/>
      <c r="BD7" s="611"/>
      <c r="BE7" s="600"/>
      <c r="BF7" s="600"/>
      <c r="BG7" s="603"/>
      <c r="BH7" s="604"/>
    </row>
    <row r="8" spans="1:60" s="1" customFormat="1">
      <c r="A8" s="614"/>
      <c r="B8" s="608"/>
      <c r="C8" s="608"/>
      <c r="D8" s="608"/>
      <c r="E8" s="608"/>
      <c r="F8" s="608"/>
      <c r="G8" s="608"/>
      <c r="H8" s="608"/>
      <c r="I8" s="608"/>
      <c r="J8" s="403" t="s">
        <v>39</v>
      </c>
      <c r="K8" s="401" t="s">
        <v>40</v>
      </c>
      <c r="L8" s="269" t="s">
        <v>39</v>
      </c>
      <c r="M8" s="270" t="s">
        <v>40</v>
      </c>
      <c r="N8" s="269" t="s">
        <v>39</v>
      </c>
      <c r="O8" s="270" t="s">
        <v>40</v>
      </c>
      <c r="P8" s="269" t="s">
        <v>39</v>
      </c>
      <c r="Q8" s="270" t="s">
        <v>40</v>
      </c>
      <c r="R8" s="269" t="s">
        <v>39</v>
      </c>
      <c r="S8" s="271" t="s">
        <v>40</v>
      </c>
      <c r="T8" s="274" t="s">
        <v>39</v>
      </c>
      <c r="U8" s="270" t="s">
        <v>40</v>
      </c>
      <c r="V8" s="275" t="s">
        <v>39</v>
      </c>
      <c r="W8" s="270" t="s">
        <v>40</v>
      </c>
      <c r="X8" s="275" t="s">
        <v>39</v>
      </c>
      <c r="Y8" s="270" t="s">
        <v>40</v>
      </c>
      <c r="Z8" s="272" t="s">
        <v>39</v>
      </c>
      <c r="AA8" s="271" t="s">
        <v>40</v>
      </c>
      <c r="AB8" s="273" t="s">
        <v>39</v>
      </c>
      <c r="AC8" s="276" t="s">
        <v>40</v>
      </c>
      <c r="AD8" s="272" t="s">
        <v>39</v>
      </c>
      <c r="AE8" s="276" t="s">
        <v>40</v>
      </c>
      <c r="AF8" s="272" t="s">
        <v>39</v>
      </c>
      <c r="AG8" s="271" t="s">
        <v>40</v>
      </c>
      <c r="AH8" s="273" t="s">
        <v>39</v>
      </c>
      <c r="AI8" s="276" t="s">
        <v>40</v>
      </c>
      <c r="AJ8" s="272" t="s">
        <v>39</v>
      </c>
      <c r="AK8" s="276" t="s">
        <v>40</v>
      </c>
      <c r="AL8" s="272" t="s">
        <v>39</v>
      </c>
      <c r="AM8" s="271" t="s">
        <v>40</v>
      </c>
      <c r="AN8" s="273" t="s">
        <v>39</v>
      </c>
      <c r="AO8" s="276" t="s">
        <v>40</v>
      </c>
      <c r="AP8" s="273" t="s">
        <v>39</v>
      </c>
      <c r="AQ8" s="276" t="s">
        <v>40</v>
      </c>
      <c r="AR8" s="272" t="s">
        <v>39</v>
      </c>
      <c r="AS8" s="271" t="s">
        <v>40</v>
      </c>
      <c r="AT8" s="273" t="s">
        <v>39</v>
      </c>
      <c r="AU8" s="276" t="s">
        <v>40</v>
      </c>
      <c r="AV8" s="273" t="s">
        <v>39</v>
      </c>
      <c r="AW8" s="276" t="s">
        <v>40</v>
      </c>
      <c r="AX8" s="272" t="s">
        <v>39</v>
      </c>
      <c r="AY8" s="271" t="s">
        <v>40</v>
      </c>
      <c r="AZ8" s="273" t="s">
        <v>39</v>
      </c>
      <c r="BA8" s="276" t="s">
        <v>40</v>
      </c>
      <c r="BB8" s="273" t="s">
        <v>39</v>
      </c>
      <c r="BC8" s="276" t="s">
        <v>40</v>
      </c>
      <c r="BD8" s="449"/>
      <c r="BE8" s="269" t="s">
        <v>39</v>
      </c>
      <c r="BF8" s="270" t="s">
        <v>40</v>
      </c>
      <c r="BG8" s="403" t="s">
        <v>39</v>
      </c>
      <c r="BH8" s="401" t="s">
        <v>40</v>
      </c>
    </row>
    <row r="9" spans="1:60" s="377" customFormat="1" ht="12.75" customHeight="1">
      <c r="A9" s="391">
        <v>45839</v>
      </c>
      <c r="B9" s="400" t="s">
        <v>8</v>
      </c>
      <c r="C9" s="413" t="s">
        <v>434</v>
      </c>
      <c r="D9" s="370">
        <f>+'1'!F42</f>
        <v>1186.6173752310535</v>
      </c>
      <c r="E9" s="370">
        <f>+'1'!G42</f>
        <v>909.38253234750459</v>
      </c>
      <c r="F9" s="48">
        <f t="shared" ref="F9:F39" si="0">1-(E9/D9)</f>
        <v>0.23363457224749207</v>
      </c>
      <c r="G9" s="396">
        <f>+P9/N9</f>
        <v>0.62843846726098229</v>
      </c>
      <c r="H9" s="392">
        <f>+P9/L9</f>
        <v>0.56947097234581201</v>
      </c>
      <c r="I9" s="392">
        <f>+R9/P9</f>
        <v>0.76499523355576748</v>
      </c>
      <c r="J9" s="397">
        <f>+R9/L9</f>
        <v>0.43564257949291446</v>
      </c>
      <c r="K9" s="397">
        <f>+S9/M9</f>
        <v>0.43564257949291446</v>
      </c>
      <c r="L9" s="371">
        <f>+SUM(Efficiency1!K6:K7)</f>
        <v>46.051513200000002</v>
      </c>
      <c r="M9" s="372">
        <f>L9</f>
        <v>46.051513200000002</v>
      </c>
      <c r="N9" s="371">
        <f>+SUM(Efficiency1!C6:C7)</f>
        <v>41.730418117624708</v>
      </c>
      <c r="O9" s="372">
        <f>N9</f>
        <v>41.730418117624708</v>
      </c>
      <c r="P9" s="372">
        <f>'1'!I38</f>
        <v>26.224999999999998</v>
      </c>
      <c r="Q9" s="372">
        <f>P9</f>
        <v>26.224999999999998</v>
      </c>
      <c r="R9" s="372">
        <f>'1'!I40</f>
        <v>20.062000000000001</v>
      </c>
      <c r="S9" s="372">
        <f>R9</f>
        <v>20.062000000000001</v>
      </c>
      <c r="T9" s="97">
        <f>+[1]Report1!AZ9</f>
        <v>2660.3262411347514</v>
      </c>
      <c r="U9" s="277">
        <f>T9</f>
        <v>2660.3262411347514</v>
      </c>
      <c r="V9" s="277">
        <f>T9/P9</f>
        <v>101.44237335118214</v>
      </c>
      <c r="W9" s="277">
        <f>U9/Q9</f>
        <v>101.44237335118214</v>
      </c>
      <c r="X9" s="278">
        <f>IF(AND(R9&gt;0,T9&gt;0),(T9/(R9*1000))*1000,0)</f>
        <v>132.60523582567797</v>
      </c>
      <c r="Y9" s="277">
        <f>IF(AND(S9&gt;0,U9&gt;0),U9/S9,0)</f>
        <v>132.60523582567797</v>
      </c>
      <c r="Z9" s="97">
        <v>63.4</v>
      </c>
      <c r="AA9" s="375">
        <f>Z9</f>
        <v>63.4</v>
      </c>
      <c r="AB9" s="376">
        <v>63.4</v>
      </c>
      <c r="AC9" s="376">
        <f t="shared" ref="AB9:AC39" si="1">AA9/(Q9)</f>
        <v>2.4175405147759772</v>
      </c>
      <c r="AD9" s="371">
        <f>IF(AND(R9&gt;0,Z9&gt;0),Z9/(R9),0)</f>
        <v>3.160203369554381</v>
      </c>
      <c r="AE9" s="376">
        <f>IF(AND(S9&gt;0,AA9&gt;0),AA9/(S9),0)</f>
        <v>3.160203369554381</v>
      </c>
      <c r="AF9" s="97">
        <v>0</v>
      </c>
      <c r="AG9" s="375">
        <f>AF9</f>
        <v>0</v>
      </c>
      <c r="AH9" s="376">
        <f>AF9/(P9)</f>
        <v>0</v>
      </c>
      <c r="AI9" s="376">
        <f>AG9/(Q9)</f>
        <v>0</v>
      </c>
      <c r="AJ9" s="371">
        <f>IF(AND(R9&gt;0,AF9&gt;0),AF9/(R9),0)</f>
        <v>0</v>
      </c>
      <c r="AK9" s="376">
        <f>IF(AND(S9&gt;0,AG9&gt;0),AG9/(S9),0)</f>
        <v>0</v>
      </c>
      <c r="AL9" s="375">
        <f>'1'!I46</f>
        <v>30771.764999999512</v>
      </c>
      <c r="AM9" s="375">
        <f>AL9</f>
        <v>30771.764999999512</v>
      </c>
      <c r="AN9" s="376">
        <f>IF(AND(L9&gt;0,AL9&gt;0),(AL9/(P9*1000)*1000),0)</f>
        <v>1173.375214489972</v>
      </c>
      <c r="AO9" s="376">
        <f>IF(AND(M9&gt;0,AM9&gt;0),(AM9/(Q9*1000)*1000),0)</f>
        <v>1173.375214489972</v>
      </c>
      <c r="AP9" s="376">
        <f>IF(AND(R9&gt;0,AL9&gt;0),(AL9/(R9*1000)*1000),0)</f>
        <v>1533.8333665636283</v>
      </c>
      <c r="AQ9" s="376">
        <f>IF(AND(S9&gt;0,AM9&gt;0),(AM9/(S9*1000)*1000),0)</f>
        <v>1533.8333665636283</v>
      </c>
      <c r="AR9" s="375">
        <f>+Listrik!AA8</f>
        <v>0</v>
      </c>
      <c r="AS9" s="375">
        <f>AR9</f>
        <v>0</v>
      </c>
      <c r="AT9" s="376">
        <f>IF(AND(L9&gt;0,AR9&gt;0),(AR9/(P9*1000)*1000),0)</f>
        <v>0</v>
      </c>
      <c r="AU9" s="376">
        <f>IF(AND(M9&gt;0,AS9&gt;0),(AS9/(Q9*1000)*1000),0)</f>
        <v>0</v>
      </c>
      <c r="AV9" s="376">
        <f>IF(AND(R9&gt;0,AR9&gt;0),(AR9/(R9*1000)*1000),0)</f>
        <v>0</v>
      </c>
      <c r="AW9" s="376">
        <f>IF(AND(S9&gt;0,AS9&gt;0),(AS9/(S9*1000)*1000),0)</f>
        <v>0</v>
      </c>
      <c r="AX9" s="375">
        <f>+Listrik!AD8</f>
        <v>0</v>
      </c>
      <c r="AY9" s="375">
        <f>AX9</f>
        <v>0</v>
      </c>
      <c r="AZ9" s="376">
        <f>IF(AND(L9&gt;0,AX9&gt;0),(AX9/(P9*1000)*1000),0)</f>
        <v>0</v>
      </c>
      <c r="BA9" s="376">
        <f>IF(AND(M9&gt;0,AY9&gt;0),(AY9/(Q9*1000)*1000),0)</f>
        <v>0</v>
      </c>
      <c r="BB9" s="376">
        <f>IF(AND(R9&gt;0,AX9&gt;0),(AX9/(R9*1000)*1000),0)</f>
        <v>0</v>
      </c>
      <c r="BC9" s="376">
        <f>IF(AND(S9&gt;0,AY9&gt;0),(AY9/(S9*1000)*1000),0)</f>
        <v>0</v>
      </c>
      <c r="BD9" s="449"/>
      <c r="BE9" s="371">
        <f>+SUM(Efficiency2!K6:K7)</f>
        <v>41.074387200000004</v>
      </c>
      <c r="BF9" s="372">
        <f>BE9</f>
        <v>41.074387200000004</v>
      </c>
      <c r="BG9" s="397">
        <f>+R9/BE9</f>
        <v>0.48843090226310182</v>
      </c>
      <c r="BH9" s="397">
        <f>+S9/BF9</f>
        <v>0.48843090226310182</v>
      </c>
    </row>
    <row r="10" spans="1:60" s="377" customFormat="1" ht="12.75" customHeight="1">
      <c r="A10" s="391">
        <f t="shared" ref="A10:A38" si="2">A9+1</f>
        <v>45840</v>
      </c>
      <c r="B10" s="400" t="s">
        <v>8</v>
      </c>
      <c r="C10" s="413" t="s">
        <v>465</v>
      </c>
      <c r="D10" s="370">
        <f>+'2'!F42</f>
        <v>1272.5531914893618</v>
      </c>
      <c r="E10" s="370">
        <f>+'2'!G42</f>
        <v>979.86595744680847</v>
      </c>
      <c r="F10" s="48">
        <f t="shared" si="0"/>
        <v>0.23000000000000009</v>
      </c>
      <c r="G10" s="396">
        <f t="shared" ref="G10:G41" si="3">+P10/N10</f>
        <v>0.80509878202571739</v>
      </c>
      <c r="H10" s="392">
        <f t="shared" ref="H10:H41" si="4">+P10/L10</f>
        <v>0.75891187002298133</v>
      </c>
      <c r="I10" s="392">
        <f t="shared" ref="I10:I41" si="5">+R10/P10</f>
        <v>1.021753710669816</v>
      </c>
      <c r="J10" s="397">
        <f t="shared" ref="J10:K41" si="6">+R10/L10</f>
        <v>0.7754210192673503</v>
      </c>
      <c r="K10" s="397">
        <f t="shared" si="6"/>
        <v>0.60392216852848768</v>
      </c>
      <c r="L10" s="371">
        <f>+Efficiency1!K12</f>
        <v>45.18706499999999</v>
      </c>
      <c r="M10" s="372">
        <f t="shared" ref="M10:O25" si="7">M9+L10</f>
        <v>91.238578199999992</v>
      </c>
      <c r="N10" s="371">
        <f>+Efficiency1!C12</f>
        <v>42.594773170212761</v>
      </c>
      <c r="O10" s="372">
        <f t="shared" si="7"/>
        <v>84.32519128783747</v>
      </c>
      <c r="P10" s="372">
        <f>'2'!I38</f>
        <v>34.292999999999999</v>
      </c>
      <c r="Q10" s="372">
        <f t="shared" ref="Q10:Q38" si="8">Q9+P10</f>
        <v>60.518000000000001</v>
      </c>
      <c r="R10" s="372">
        <f>'2'!I40</f>
        <v>35.039000000000001</v>
      </c>
      <c r="S10" s="372">
        <f t="shared" ref="S10:S38" si="9">S9+R10</f>
        <v>55.100999999999999</v>
      </c>
      <c r="T10" s="97">
        <f>+[1]Report1!AZ10</f>
        <v>2510.791975243334</v>
      </c>
      <c r="U10" s="13">
        <f t="shared" ref="U10:U38" si="10">T10+U9</f>
        <v>5171.118216378085</v>
      </c>
      <c r="V10" s="277">
        <f t="shared" ref="V10:W39" si="11">T10/P10</f>
        <v>73.215874237988345</v>
      </c>
      <c r="W10" s="277">
        <f t="shared" si="11"/>
        <v>85.447605941671654</v>
      </c>
      <c r="X10" s="278">
        <f t="shared" ref="X10:X39" si="12">IF(AND(R10&gt;0,T10&gt;0),(T10/(R10*1000))*1000,0)</f>
        <v>71.657067132148001</v>
      </c>
      <c r="Y10" s="277">
        <f t="shared" ref="Y10:Y39" si="13">IF(AND(S10&gt;0,U10&gt;0),U10/S10,0)</f>
        <v>93.847992166713581</v>
      </c>
      <c r="Z10" s="97">
        <v>70.5</v>
      </c>
      <c r="AA10" s="373">
        <f t="shared" ref="AA10:AA38" si="14">Z10+AA9</f>
        <v>133.9</v>
      </c>
      <c r="AB10" s="376">
        <v>70.5</v>
      </c>
      <c r="AC10" s="376">
        <f t="shared" si="1"/>
        <v>2.2125648567368388</v>
      </c>
      <c r="AD10" s="371">
        <f t="shared" ref="AD10:AE39" si="15">IF(AND(R10&gt;0,Z10&gt;0),Z10/(R10),0)</f>
        <v>2.0120437227089814</v>
      </c>
      <c r="AE10" s="376">
        <f t="shared" si="15"/>
        <v>2.4300829386036553</v>
      </c>
      <c r="AF10" s="97">
        <v>0</v>
      </c>
      <c r="AG10" s="375">
        <f>+AF10+AG9</f>
        <v>0</v>
      </c>
      <c r="AH10" s="376">
        <f t="shared" ref="AH10:AI39" si="16">AF10/(P10)</f>
        <v>0</v>
      </c>
      <c r="AI10" s="376">
        <f t="shared" si="16"/>
        <v>0</v>
      </c>
      <c r="AJ10" s="371">
        <f t="shared" ref="AJ10:AK39" si="17">IF(AND(R10&gt;0,AF10&gt;0),AF10/(R10),0)</f>
        <v>0</v>
      </c>
      <c r="AK10" s="376">
        <f t="shared" si="17"/>
        <v>0</v>
      </c>
      <c r="AL10" s="375">
        <f>'2'!I46</f>
        <v>34783.924999999974</v>
      </c>
      <c r="AM10" s="373">
        <f t="shared" ref="AM10:AM38" si="18">AL10+AM9</f>
        <v>65555.689999999478</v>
      </c>
      <c r="AN10" s="376">
        <f t="shared" ref="AN10:AO39" si="19">IF(AND(L10&gt;0,AL10&gt;0),(AL10/(P10*1000)*1000),0)</f>
        <v>1014.315603767532</v>
      </c>
      <c r="AO10" s="376">
        <f t="shared" si="19"/>
        <v>1083.2428368419228</v>
      </c>
      <c r="AP10" s="376">
        <f t="shared" ref="AP10:AQ39" si="20">IF(AND(R10&gt;0,AL10&gt;0),(AL10/(R10*1000)*1000),0)</f>
        <v>992.72025457347456</v>
      </c>
      <c r="AQ10" s="376">
        <f t="shared" si="20"/>
        <v>1189.7368468811724</v>
      </c>
      <c r="AR10" s="375">
        <f>+Listrik!AA9</f>
        <v>0</v>
      </c>
      <c r="AS10" s="373">
        <f t="shared" ref="AS10:AS38" si="21">AR10+AS9</f>
        <v>0</v>
      </c>
      <c r="AT10" s="376">
        <f t="shared" ref="AT10:AU39" si="22">IF(AND(L10&gt;0,AR10&gt;0),(AR10/(P10*1000)*1000),0)</f>
        <v>0</v>
      </c>
      <c r="AU10" s="376">
        <f t="shared" si="22"/>
        <v>0</v>
      </c>
      <c r="AV10" s="376">
        <f t="shared" ref="AV10:AW39" si="23">IF(AND(R10&gt;0,AR10&gt;0),(AR10/(R10*1000)*1000),0)</f>
        <v>0</v>
      </c>
      <c r="AW10" s="376">
        <f t="shared" si="23"/>
        <v>0</v>
      </c>
      <c r="AX10" s="375">
        <f>+Listrik!AD9</f>
        <v>0</v>
      </c>
      <c r="AY10" s="373">
        <f t="shared" ref="AY10:AY39" si="24">AX10+AY9</f>
        <v>0</v>
      </c>
      <c r="AZ10" s="376">
        <f t="shared" ref="AZ10:AZ39" si="25">IF(AND(L10&gt;0,AX10&gt;0),(AX10/(P10*1000)*1000),0)</f>
        <v>0</v>
      </c>
      <c r="BA10" s="376">
        <f t="shared" ref="BA10:BA39" si="26">IF(AND(M10&gt;0,AY10&gt;0),(AY10/(Q10*1000)*1000),0)</f>
        <v>0</v>
      </c>
      <c r="BB10" s="376">
        <f t="shared" ref="BB10:BB39" si="27">IF(AND(R10&gt;0,AX10&gt;0),(AX10/(R10*1000)*1000),0)</f>
        <v>0</v>
      </c>
      <c r="BC10" s="376">
        <f t="shared" ref="BC10:BC39" si="28">IF(AND(S10&gt;0,AY10&gt;0),(AY10/(S10*1000)*1000),0)</f>
        <v>0</v>
      </c>
      <c r="BD10" s="449"/>
      <c r="BE10" s="371">
        <f>+Efficiency2!K12</f>
        <v>43.053231374999989</v>
      </c>
      <c r="BF10" s="372">
        <f t="shared" ref="BF10:BF38" si="29">BF9+BE10</f>
        <v>84.127618574999985</v>
      </c>
      <c r="BG10" s="397">
        <f t="shared" ref="BG10:BG41" si="30">+R10/BE10</f>
        <v>0.81385296482870584</v>
      </c>
      <c r="BH10" s="397">
        <f t="shared" ref="BH10:BH39" si="31">+S10/BF10</f>
        <v>0.65496921145910381</v>
      </c>
    </row>
    <row r="11" spans="1:60" s="377" customFormat="1" ht="12.75" customHeight="1">
      <c r="A11" s="391">
        <f t="shared" si="2"/>
        <v>45841</v>
      </c>
      <c r="B11" s="400" t="s">
        <v>8</v>
      </c>
      <c r="C11" s="413" t="s">
        <v>465</v>
      </c>
      <c r="D11" s="370">
        <f>+'3'!F42</f>
        <v>1349.7872340425531</v>
      </c>
      <c r="E11" s="370">
        <f>+'3'!G42</f>
        <v>1039.3361702127659</v>
      </c>
      <c r="F11" s="48">
        <f t="shared" si="0"/>
        <v>0.22999999999999998</v>
      </c>
      <c r="G11" s="396">
        <f t="shared" si="3"/>
        <v>0.9057116276340389</v>
      </c>
      <c r="H11" s="392">
        <f>+P11/L11</f>
        <v>0.90556888348468756</v>
      </c>
      <c r="I11" s="392">
        <f t="shared" si="5"/>
        <v>0.93927174975562078</v>
      </c>
      <c r="J11" s="397">
        <f t="shared" si="6"/>
        <v>0.85057526971490638</v>
      </c>
      <c r="K11" s="397">
        <f t="shared" si="6"/>
        <v>0.68561890423251459</v>
      </c>
      <c r="L11" s="371">
        <f>+Efficiency1!K19</f>
        <v>45.187064999999997</v>
      </c>
      <c r="M11" s="372">
        <f t="shared" si="7"/>
        <v>136.4256432</v>
      </c>
      <c r="N11" s="371">
        <f>+Efficiency1!C19</f>
        <v>45.179943319148933</v>
      </c>
      <c r="O11" s="372">
        <f t="shared" si="7"/>
        <v>129.50513460698642</v>
      </c>
      <c r="P11" s="372">
        <f>'3'!I38</f>
        <v>40.92</v>
      </c>
      <c r="Q11" s="372">
        <f t="shared" si="8"/>
        <v>101.438</v>
      </c>
      <c r="R11" s="372">
        <f>'3'!I40</f>
        <v>38.435000000000002</v>
      </c>
      <c r="S11" s="372">
        <f t="shared" si="9"/>
        <v>93.536000000000001</v>
      </c>
      <c r="T11" s="97">
        <f>+[1]Report1!AZ11</f>
        <v>3197.2643498361881</v>
      </c>
      <c r="U11" s="13">
        <f t="shared" si="10"/>
        <v>8368.3825662142735</v>
      </c>
      <c r="V11" s="277">
        <f t="shared" si="11"/>
        <v>78.134514903132654</v>
      </c>
      <c r="W11" s="277">
        <f t="shared" si="11"/>
        <v>82.497511447527287</v>
      </c>
      <c r="X11" s="278">
        <f t="shared" si="12"/>
        <v>83.186271623160877</v>
      </c>
      <c r="Y11" s="277">
        <f t="shared" si="13"/>
        <v>89.466970644610342</v>
      </c>
      <c r="Z11" s="97">
        <v>85.7</v>
      </c>
      <c r="AA11" s="373">
        <f t="shared" si="14"/>
        <v>219.60000000000002</v>
      </c>
      <c r="AB11" s="376">
        <v>85.7</v>
      </c>
      <c r="AC11" s="376">
        <f t="shared" si="1"/>
        <v>2.1648691811747081</v>
      </c>
      <c r="AD11" s="371">
        <f t="shared" si="15"/>
        <v>2.2297385195785093</v>
      </c>
      <c r="AE11" s="376">
        <f t="shared" si="15"/>
        <v>2.3477591515566201</v>
      </c>
      <c r="AF11" s="97">
        <v>0</v>
      </c>
      <c r="AG11" s="375">
        <f t="shared" ref="AG11:AG39" si="32">+AF11+AG10</f>
        <v>0</v>
      </c>
      <c r="AH11" s="376">
        <f t="shared" si="16"/>
        <v>0</v>
      </c>
      <c r="AI11" s="376">
        <f t="shared" si="16"/>
        <v>0</v>
      </c>
      <c r="AJ11" s="371">
        <f t="shared" si="17"/>
        <v>0</v>
      </c>
      <c r="AK11" s="376">
        <f t="shared" si="17"/>
        <v>0</v>
      </c>
      <c r="AL11" s="375">
        <f>'3'!I46</f>
        <v>40238.419999999045</v>
      </c>
      <c r="AM11" s="373">
        <f t="shared" si="18"/>
        <v>105794.10999999853</v>
      </c>
      <c r="AN11" s="376">
        <f t="shared" si="19"/>
        <v>983.34359726292871</v>
      </c>
      <c r="AO11" s="376">
        <f t="shared" si="19"/>
        <v>1042.9435714426399</v>
      </c>
      <c r="AP11" s="376">
        <f t="shared" si="20"/>
        <v>1046.9212956940039</v>
      </c>
      <c r="AQ11" s="376">
        <f t="shared" si="20"/>
        <v>1131.052322100566</v>
      </c>
      <c r="AR11" s="375">
        <f>+Listrik!AA10</f>
        <v>0</v>
      </c>
      <c r="AS11" s="373">
        <f t="shared" si="21"/>
        <v>0</v>
      </c>
      <c r="AT11" s="376">
        <f t="shared" si="22"/>
        <v>0</v>
      </c>
      <c r="AU11" s="376">
        <f t="shared" si="22"/>
        <v>0</v>
      </c>
      <c r="AV11" s="376">
        <f t="shared" si="23"/>
        <v>0</v>
      </c>
      <c r="AW11" s="376">
        <f t="shared" si="23"/>
        <v>0</v>
      </c>
      <c r="AX11" s="375">
        <f>+Listrik!AD10</f>
        <v>0</v>
      </c>
      <c r="AY11" s="373">
        <f t="shared" si="24"/>
        <v>0</v>
      </c>
      <c r="AZ11" s="376">
        <f t="shared" si="25"/>
        <v>0</v>
      </c>
      <c r="BA11" s="376">
        <f t="shared" si="26"/>
        <v>0</v>
      </c>
      <c r="BB11" s="376">
        <f t="shared" si="27"/>
        <v>0</v>
      </c>
      <c r="BC11" s="376">
        <f t="shared" si="28"/>
        <v>0</v>
      </c>
      <c r="BD11" s="449"/>
      <c r="BE11" s="371">
        <f>+Efficiency2!K19</f>
        <v>44.245667812500002</v>
      </c>
      <c r="BF11" s="372">
        <f t="shared" si="29"/>
        <v>128.3732863875</v>
      </c>
      <c r="BG11" s="397">
        <f t="shared" si="30"/>
        <v>0.8686726158790532</v>
      </c>
      <c r="BH11" s="397">
        <f t="shared" si="31"/>
        <v>0.72862511066093427</v>
      </c>
    </row>
    <row r="12" spans="1:60" s="377" customFormat="1" ht="12.75" customHeight="1">
      <c r="A12" s="391">
        <f t="shared" si="2"/>
        <v>45842</v>
      </c>
      <c r="B12" s="400" t="s">
        <v>8</v>
      </c>
      <c r="C12" s="413" t="s">
        <v>465</v>
      </c>
      <c r="D12" s="370">
        <f>+'4'!F42</f>
        <v>1289.8680555555557</v>
      </c>
      <c r="E12" s="370">
        <f>+'4'!G42</f>
        <v>993.1984027777778</v>
      </c>
      <c r="F12" s="48">
        <f t="shared" si="0"/>
        <v>0.23000000000000009</v>
      </c>
      <c r="G12" s="396">
        <f t="shared" si="3"/>
        <v>0.97645975140319519</v>
      </c>
      <c r="H12" s="392">
        <f t="shared" si="4"/>
        <v>0.93296610434866722</v>
      </c>
      <c r="I12" s="392">
        <f t="shared" si="5"/>
        <v>0.99888514635419123</v>
      </c>
      <c r="J12" s="397">
        <f t="shared" si="6"/>
        <v>0.93192598368581825</v>
      </c>
      <c r="K12" s="397">
        <f t="shared" si="6"/>
        <v>0.74690257826351825</v>
      </c>
      <c r="L12" s="371">
        <f>+Efficiency1!K25</f>
        <v>45.18706499999999</v>
      </c>
      <c r="M12" s="372">
        <f t="shared" si="7"/>
        <v>181.61270819999999</v>
      </c>
      <c r="N12" s="371">
        <f>+Efficiency1!C25</f>
        <v>43.174334568749998</v>
      </c>
      <c r="O12" s="372">
        <f t="shared" si="7"/>
        <v>172.67946917573641</v>
      </c>
      <c r="P12" s="372">
        <f>'4'!I38</f>
        <v>42.158000000000001</v>
      </c>
      <c r="Q12" s="372">
        <f t="shared" si="8"/>
        <v>143.596</v>
      </c>
      <c r="R12" s="372">
        <f>'4'!I40</f>
        <v>42.110999999999997</v>
      </c>
      <c r="S12" s="372">
        <f t="shared" si="9"/>
        <v>135.64699999999999</v>
      </c>
      <c r="T12" s="97">
        <f>+[1]Report1!AZ12</f>
        <v>3571.9444792941395</v>
      </c>
      <c r="U12" s="13">
        <f t="shared" si="10"/>
        <v>11940.327045508413</v>
      </c>
      <c r="V12" s="277">
        <f t="shared" si="11"/>
        <v>84.727560114192784</v>
      </c>
      <c r="W12" s="277">
        <f t="shared" si="11"/>
        <v>83.152226005657624</v>
      </c>
      <c r="X12" s="278">
        <f t="shared" si="12"/>
        <v>84.822124368790568</v>
      </c>
      <c r="Y12" s="277">
        <f t="shared" si="13"/>
        <v>88.024999045378181</v>
      </c>
      <c r="Z12" s="374">
        <v>84.3</v>
      </c>
      <c r="AA12" s="373">
        <f t="shared" si="14"/>
        <v>303.90000000000003</v>
      </c>
      <c r="AB12" s="376">
        <v>84.3</v>
      </c>
      <c r="AC12" s="376">
        <f t="shared" si="1"/>
        <v>2.1163542159948747</v>
      </c>
      <c r="AD12" s="371">
        <f t="shared" si="15"/>
        <v>2.0018522476312604</v>
      </c>
      <c r="AE12" s="376">
        <f t="shared" si="15"/>
        <v>2.2403739116972736</v>
      </c>
      <c r="AF12" s="97">
        <v>0</v>
      </c>
      <c r="AG12" s="375">
        <f t="shared" si="32"/>
        <v>0</v>
      </c>
      <c r="AH12" s="376">
        <f t="shared" si="16"/>
        <v>0</v>
      </c>
      <c r="AI12" s="376">
        <f t="shared" si="16"/>
        <v>0</v>
      </c>
      <c r="AJ12" s="371">
        <f t="shared" si="17"/>
        <v>0</v>
      </c>
      <c r="AK12" s="376">
        <f t="shared" si="17"/>
        <v>0</v>
      </c>
      <c r="AL12" s="375">
        <f>'4'!I46</f>
        <v>42853.175000000716</v>
      </c>
      <c r="AM12" s="373">
        <f t="shared" si="18"/>
        <v>148647.28499999925</v>
      </c>
      <c r="AN12" s="376">
        <f t="shared" si="19"/>
        <v>1016.4897528345917</v>
      </c>
      <c r="AO12" s="376">
        <f t="shared" si="19"/>
        <v>1035.1770592495559</v>
      </c>
      <c r="AP12" s="376">
        <f t="shared" si="20"/>
        <v>1017.6242549452808</v>
      </c>
      <c r="AQ12" s="376">
        <f t="shared" si="20"/>
        <v>1095.8390896960436</v>
      </c>
      <c r="AR12" s="375">
        <f>+Listrik!AA11</f>
        <v>0</v>
      </c>
      <c r="AS12" s="373">
        <f t="shared" si="21"/>
        <v>0</v>
      </c>
      <c r="AT12" s="376">
        <f t="shared" si="22"/>
        <v>0</v>
      </c>
      <c r="AU12" s="376">
        <f t="shared" si="22"/>
        <v>0</v>
      </c>
      <c r="AV12" s="376">
        <f t="shared" si="23"/>
        <v>0</v>
      </c>
      <c r="AW12" s="376">
        <f t="shared" si="23"/>
        <v>0</v>
      </c>
      <c r="AX12" s="375">
        <f>+Listrik!AD11</f>
        <v>0</v>
      </c>
      <c r="AY12" s="373">
        <f t="shared" si="24"/>
        <v>0</v>
      </c>
      <c r="AZ12" s="376">
        <f t="shared" si="25"/>
        <v>0</v>
      </c>
      <c r="BA12" s="376">
        <f t="shared" si="26"/>
        <v>0</v>
      </c>
      <c r="BB12" s="376">
        <f t="shared" si="27"/>
        <v>0</v>
      </c>
      <c r="BC12" s="376">
        <f t="shared" si="28"/>
        <v>0</v>
      </c>
      <c r="BD12" s="449"/>
      <c r="BE12" s="371">
        <f>+Efficiency2!K25</f>
        <v>45.18706499999999</v>
      </c>
      <c r="BF12" s="372">
        <f t="shared" si="29"/>
        <v>173.56035138749999</v>
      </c>
      <c r="BG12" s="397">
        <f t="shared" si="30"/>
        <v>0.93192598368581825</v>
      </c>
      <c r="BH12" s="397">
        <f t="shared" si="31"/>
        <v>0.78155522799759347</v>
      </c>
    </row>
    <row r="13" spans="1:60" s="377" customFormat="1" ht="12.75" customHeight="1">
      <c r="A13" s="391">
        <f t="shared" si="2"/>
        <v>45843</v>
      </c>
      <c r="B13" s="400" t="s">
        <v>8</v>
      </c>
      <c r="C13" s="378" t="s">
        <v>525</v>
      </c>
      <c r="D13" s="370">
        <f>+'5'!F42</f>
        <v>1350</v>
      </c>
      <c r="E13" s="370">
        <f>+'5'!G42</f>
        <v>1039.5</v>
      </c>
      <c r="F13" s="48">
        <f t="shared" si="0"/>
        <v>0.22999999999999998</v>
      </c>
      <c r="G13" s="396">
        <f t="shared" si="3"/>
        <v>0.92406922034731898</v>
      </c>
      <c r="H13" s="392">
        <f t="shared" si="4"/>
        <v>0.92406922034731898</v>
      </c>
      <c r="I13" s="392">
        <f t="shared" si="5"/>
        <v>0.9494375664848469</v>
      </c>
      <c r="J13" s="397">
        <f t="shared" si="6"/>
        <v>0.8773460318301084</v>
      </c>
      <c r="K13" s="397">
        <f t="shared" si="6"/>
        <v>0.77408761497371692</v>
      </c>
      <c r="L13" s="371">
        <f>+SUM(Efficiency1!K30:K32)</f>
        <v>47.813517675</v>
      </c>
      <c r="M13" s="372">
        <f t="shared" si="7"/>
        <v>229.426225875</v>
      </c>
      <c r="N13" s="371">
        <f>+SUM(Efficiency1!C30:C32)</f>
        <v>47.813517675</v>
      </c>
      <c r="O13" s="372">
        <f t="shared" si="7"/>
        <v>220.49298685073643</v>
      </c>
      <c r="P13" s="372">
        <f>'5'!I38</f>
        <v>44.183000000000007</v>
      </c>
      <c r="Q13" s="372">
        <f t="shared" si="8"/>
        <v>187.779</v>
      </c>
      <c r="R13" s="372">
        <f>'5'!I40</f>
        <v>41.948999999999998</v>
      </c>
      <c r="S13" s="372">
        <f t="shared" si="9"/>
        <v>177.596</v>
      </c>
      <c r="T13" s="97">
        <f>+[1]Report1!AZ13</f>
        <v>3510.7815441831635</v>
      </c>
      <c r="U13" s="13">
        <f t="shared" si="10"/>
        <v>15451.108589691576</v>
      </c>
      <c r="V13" s="277">
        <f t="shared" si="11"/>
        <v>79.460008242608311</v>
      </c>
      <c r="W13" s="277">
        <f t="shared" si="11"/>
        <v>82.28347466804901</v>
      </c>
      <c r="X13" s="278">
        <f t="shared" si="12"/>
        <v>83.691662356269845</v>
      </c>
      <c r="Y13" s="277">
        <f t="shared" si="13"/>
        <v>87.001444794317294</v>
      </c>
      <c r="Z13" s="374">
        <v>87.1</v>
      </c>
      <c r="AA13" s="373">
        <f t="shared" si="14"/>
        <v>391</v>
      </c>
      <c r="AB13" s="376">
        <v>87.1</v>
      </c>
      <c r="AC13" s="376">
        <f t="shared" si="1"/>
        <v>2.0822349677013938</v>
      </c>
      <c r="AD13" s="371">
        <f t="shared" si="15"/>
        <v>2.0763307826169872</v>
      </c>
      <c r="AE13" s="376">
        <f t="shared" si="15"/>
        <v>2.2016261627514133</v>
      </c>
      <c r="AF13" s="97">
        <v>0</v>
      </c>
      <c r="AG13" s="375">
        <f t="shared" si="32"/>
        <v>0</v>
      </c>
      <c r="AH13" s="376">
        <f t="shared" si="16"/>
        <v>0</v>
      </c>
      <c r="AI13" s="376">
        <f t="shared" si="16"/>
        <v>0</v>
      </c>
      <c r="AJ13" s="371">
        <f t="shared" si="17"/>
        <v>0</v>
      </c>
      <c r="AK13" s="376">
        <f t="shared" si="17"/>
        <v>0</v>
      </c>
      <c r="AL13" s="375">
        <f>'5'!I46</f>
        <v>42146.729999999952</v>
      </c>
      <c r="AM13" s="373">
        <f t="shared" si="18"/>
        <v>190794.0149999992</v>
      </c>
      <c r="AN13" s="376">
        <f t="shared" si="19"/>
        <v>953.91281714686511</v>
      </c>
      <c r="AO13" s="376">
        <f t="shared" si="19"/>
        <v>1016.056188391669</v>
      </c>
      <c r="AP13" s="376">
        <f t="shared" si="20"/>
        <v>1004.7135807766563</v>
      </c>
      <c r="AQ13" s="376">
        <f t="shared" si="20"/>
        <v>1074.3148212797539</v>
      </c>
      <c r="AR13" s="375">
        <f>+Listrik!AA12</f>
        <v>0</v>
      </c>
      <c r="AS13" s="373">
        <f t="shared" si="21"/>
        <v>0</v>
      </c>
      <c r="AT13" s="376">
        <f t="shared" si="22"/>
        <v>0</v>
      </c>
      <c r="AU13" s="376">
        <f t="shared" si="22"/>
        <v>0</v>
      </c>
      <c r="AV13" s="376">
        <f t="shared" si="23"/>
        <v>0</v>
      </c>
      <c r="AW13" s="376">
        <f t="shared" si="23"/>
        <v>0</v>
      </c>
      <c r="AX13" s="375">
        <f>+Listrik!AD12</f>
        <v>0</v>
      </c>
      <c r="AY13" s="373">
        <f t="shared" si="24"/>
        <v>0</v>
      </c>
      <c r="AZ13" s="376">
        <f t="shared" si="25"/>
        <v>0</v>
      </c>
      <c r="BA13" s="376">
        <f t="shared" si="26"/>
        <v>0</v>
      </c>
      <c r="BB13" s="376">
        <f t="shared" si="27"/>
        <v>0</v>
      </c>
      <c r="BC13" s="376">
        <f t="shared" si="28"/>
        <v>0</v>
      </c>
      <c r="BD13" s="449"/>
      <c r="BE13" s="371">
        <f>+SUM(Efficiency2!K30:K32)</f>
        <v>47.813517675</v>
      </c>
      <c r="BF13" s="372">
        <f t="shared" si="29"/>
        <v>221.37386906249998</v>
      </c>
      <c r="BG13" s="397">
        <f t="shared" si="30"/>
        <v>0.8773460318301084</v>
      </c>
      <c r="BH13" s="397">
        <f t="shared" si="31"/>
        <v>0.80224464049033595</v>
      </c>
    </row>
    <row r="14" spans="1:60" s="377" customFormat="1" ht="12.75" customHeight="1">
      <c r="A14" s="391">
        <f t="shared" si="2"/>
        <v>45844</v>
      </c>
      <c r="B14" s="400" t="s">
        <v>526</v>
      </c>
      <c r="C14" s="378" t="s">
        <v>527</v>
      </c>
      <c r="D14" s="370">
        <f>+'6'!F42</f>
        <v>1316.6666666666667</v>
      </c>
      <c r="E14" s="370">
        <f>+'6'!G42</f>
        <v>1075.7291666666667</v>
      </c>
      <c r="F14" s="48">
        <f t="shared" si="0"/>
        <v>0.18299050632911396</v>
      </c>
      <c r="G14" s="396">
        <f t="shared" si="3"/>
        <v>0.92193896904389483</v>
      </c>
      <c r="H14" s="392">
        <f t="shared" si="4"/>
        <v>0.92193896904389483</v>
      </c>
      <c r="I14" s="392">
        <f t="shared" si="5"/>
        <v>0.95816799632429728</v>
      </c>
      <c r="J14" s="397">
        <f t="shared" si="6"/>
        <v>0.88337241470207706</v>
      </c>
      <c r="K14" s="397">
        <f t="shared" si="6"/>
        <v>0.79426030346237397</v>
      </c>
      <c r="L14" s="371">
        <f>+SUM(Efficiency1!K35:K36)</f>
        <v>51.936192749999989</v>
      </c>
      <c r="M14" s="372">
        <f t="shared" si="7"/>
        <v>281.36241862499998</v>
      </c>
      <c r="N14" s="371">
        <f>+SUM(Efficiency1!C35:C36)</f>
        <v>51.936192749999989</v>
      </c>
      <c r="O14" s="372">
        <f t="shared" si="7"/>
        <v>272.4291796007364</v>
      </c>
      <c r="P14" s="372">
        <f>'6'!I38</f>
        <v>47.881999999999998</v>
      </c>
      <c r="Q14" s="372">
        <f t="shared" si="8"/>
        <v>235.661</v>
      </c>
      <c r="R14" s="372">
        <f>'6'!I40</f>
        <v>45.878999999999998</v>
      </c>
      <c r="S14" s="372">
        <f t="shared" si="9"/>
        <v>223.47499999999999</v>
      </c>
      <c r="T14" s="97">
        <f>+[1]Report1!AZ14</f>
        <v>3665.4814158579311</v>
      </c>
      <c r="U14" s="13">
        <f t="shared" si="10"/>
        <v>19116.590005549508</v>
      </c>
      <c r="V14" s="277">
        <f t="shared" si="11"/>
        <v>76.55238744952031</v>
      </c>
      <c r="W14" s="277">
        <f t="shared" si="11"/>
        <v>81.119022687459989</v>
      </c>
      <c r="X14" s="278">
        <f t="shared" si="12"/>
        <v>79.894535971968239</v>
      </c>
      <c r="Y14" s="277">
        <f t="shared" si="13"/>
        <v>85.542409690343476</v>
      </c>
      <c r="Z14" s="374">
        <v>95.3</v>
      </c>
      <c r="AA14" s="373">
        <f t="shared" si="14"/>
        <v>486.3</v>
      </c>
      <c r="AB14" s="376">
        <v>95.3</v>
      </c>
      <c r="AC14" s="376">
        <f t="shared" si="1"/>
        <v>2.0635573981269704</v>
      </c>
      <c r="AD14" s="371">
        <f t="shared" si="15"/>
        <v>2.0772030776608035</v>
      </c>
      <c r="AE14" s="376">
        <f t="shared" si="15"/>
        <v>2.1760823358317487</v>
      </c>
      <c r="AF14" s="97">
        <v>0</v>
      </c>
      <c r="AG14" s="375">
        <f t="shared" si="32"/>
        <v>0</v>
      </c>
      <c r="AH14" s="376">
        <f t="shared" si="16"/>
        <v>0</v>
      </c>
      <c r="AI14" s="376">
        <f t="shared" si="16"/>
        <v>0</v>
      </c>
      <c r="AJ14" s="371">
        <f t="shared" si="17"/>
        <v>0</v>
      </c>
      <c r="AK14" s="376">
        <f t="shared" si="17"/>
        <v>0</v>
      </c>
      <c r="AL14" s="375">
        <f>'6'!I46</f>
        <v>38551.815000000097</v>
      </c>
      <c r="AM14" s="373">
        <f t="shared" si="18"/>
        <v>229345.82999999929</v>
      </c>
      <c r="AN14" s="376">
        <f t="shared" si="19"/>
        <v>805.14212021219032</v>
      </c>
      <c r="AO14" s="376">
        <f t="shared" si="19"/>
        <v>973.20231179533016</v>
      </c>
      <c r="AP14" s="376">
        <f t="shared" si="20"/>
        <v>840.29327143137596</v>
      </c>
      <c r="AQ14" s="376">
        <f t="shared" si="20"/>
        <v>1026.2706342991355</v>
      </c>
      <c r="AR14" s="375">
        <f>+Listrik!AA13</f>
        <v>0</v>
      </c>
      <c r="AS14" s="373">
        <f t="shared" si="21"/>
        <v>0</v>
      </c>
      <c r="AT14" s="376">
        <f t="shared" si="22"/>
        <v>0</v>
      </c>
      <c r="AU14" s="376">
        <f t="shared" si="22"/>
        <v>0</v>
      </c>
      <c r="AV14" s="376">
        <f t="shared" si="23"/>
        <v>0</v>
      </c>
      <c r="AW14" s="376">
        <f t="shared" si="23"/>
        <v>0</v>
      </c>
      <c r="AX14" s="375">
        <f>+Listrik!AD13</f>
        <v>0</v>
      </c>
      <c r="AY14" s="373">
        <f t="shared" si="24"/>
        <v>0</v>
      </c>
      <c r="AZ14" s="376">
        <f t="shared" si="25"/>
        <v>0</v>
      </c>
      <c r="BA14" s="376">
        <f t="shared" si="26"/>
        <v>0</v>
      </c>
      <c r="BB14" s="376">
        <f t="shared" si="27"/>
        <v>0</v>
      </c>
      <c r="BC14" s="376">
        <f t="shared" si="28"/>
        <v>0</v>
      </c>
      <c r="BD14" s="449"/>
      <c r="BE14" s="371">
        <f>+SUM(Efficiency2!K35:K36)</f>
        <v>51.936192749999989</v>
      </c>
      <c r="BF14" s="372">
        <f t="shared" si="29"/>
        <v>273.31006181249995</v>
      </c>
      <c r="BG14" s="397">
        <f t="shared" si="30"/>
        <v>0.88337241470207706</v>
      </c>
      <c r="BH14" s="397">
        <f t="shared" si="31"/>
        <v>0.81766107884206429</v>
      </c>
    </row>
    <row r="15" spans="1:60" s="377" customFormat="1" ht="12.75" customHeight="1">
      <c r="A15" s="391">
        <f t="shared" si="2"/>
        <v>45845</v>
      </c>
      <c r="B15" s="400" t="s">
        <v>528</v>
      </c>
      <c r="C15" s="378" t="s">
        <v>543</v>
      </c>
      <c r="D15" s="370">
        <f>+'7'!F42</f>
        <v>1300</v>
      </c>
      <c r="E15" s="370">
        <f>+'7'!G42</f>
        <v>1066</v>
      </c>
      <c r="F15" s="48">
        <f t="shared" si="0"/>
        <v>0.18000000000000005</v>
      </c>
      <c r="G15" s="396">
        <f t="shared" si="3"/>
        <v>1.0044128023993844</v>
      </c>
      <c r="H15" s="392">
        <f t="shared" si="4"/>
        <v>0.99674552909862579</v>
      </c>
      <c r="I15" s="392">
        <f t="shared" si="5"/>
        <v>0.93844152818760673</v>
      </c>
      <c r="J15" s="397">
        <f t="shared" si="6"/>
        <v>0.93538739754147915</v>
      </c>
      <c r="K15" s="397">
        <f t="shared" si="6"/>
        <v>0.8161598293715967</v>
      </c>
      <c r="L15" s="371">
        <f>+Efficiency1!K39</f>
        <v>51.68019168</v>
      </c>
      <c r="M15" s="372">
        <f t="shared" si="7"/>
        <v>333.04261030499998</v>
      </c>
      <c r="N15" s="371">
        <f>+Efficiency1!C39</f>
        <v>51.285686400000003</v>
      </c>
      <c r="O15" s="372">
        <f t="shared" si="7"/>
        <v>323.71486600073638</v>
      </c>
      <c r="P15" s="372">
        <f>'7'!I38</f>
        <v>51.512</v>
      </c>
      <c r="Q15" s="372">
        <f t="shared" si="8"/>
        <v>287.173</v>
      </c>
      <c r="R15" s="372">
        <f>'7'!I40</f>
        <v>48.341000000000001</v>
      </c>
      <c r="S15" s="372">
        <f t="shared" si="9"/>
        <v>271.81599999999997</v>
      </c>
      <c r="T15" s="97">
        <f>+[1]Report1!AZ15</f>
        <v>3795.8919970672837</v>
      </c>
      <c r="U15" s="13">
        <f t="shared" si="10"/>
        <v>22912.482002616791</v>
      </c>
      <c r="V15" s="277">
        <f t="shared" si="11"/>
        <v>73.689470357727984</v>
      </c>
      <c r="W15" s="277">
        <f t="shared" si="11"/>
        <v>79.786337861208366</v>
      </c>
      <c r="X15" s="278">
        <f t="shared" si="12"/>
        <v>78.52324108039312</v>
      </c>
      <c r="Y15" s="277">
        <f t="shared" si="13"/>
        <v>84.294088657830272</v>
      </c>
      <c r="Z15" s="374">
        <v>95.8</v>
      </c>
      <c r="AA15" s="373">
        <f t="shared" si="14"/>
        <v>582.1</v>
      </c>
      <c r="AB15" s="376">
        <v>95.8</v>
      </c>
      <c r="AC15" s="376">
        <f t="shared" si="1"/>
        <v>2.0270011456508796</v>
      </c>
      <c r="AD15" s="371">
        <f t="shared" si="15"/>
        <v>1.9817546182329699</v>
      </c>
      <c r="AE15" s="376">
        <f t="shared" si="15"/>
        <v>2.141522206198311</v>
      </c>
      <c r="AF15" s="97">
        <v>0</v>
      </c>
      <c r="AG15" s="375">
        <f t="shared" si="32"/>
        <v>0</v>
      </c>
      <c r="AH15" s="376">
        <f t="shared" si="16"/>
        <v>0</v>
      </c>
      <c r="AI15" s="376">
        <f t="shared" si="16"/>
        <v>0</v>
      </c>
      <c r="AJ15" s="371">
        <f t="shared" si="17"/>
        <v>0</v>
      </c>
      <c r="AK15" s="376">
        <f t="shared" si="17"/>
        <v>0</v>
      </c>
      <c r="AL15" s="375">
        <f>'7'!I46</f>
        <v>39058.43000000059</v>
      </c>
      <c r="AM15" s="373">
        <f t="shared" si="18"/>
        <v>268404.25999999989</v>
      </c>
      <c r="AN15" s="376">
        <f t="shared" si="19"/>
        <v>758.23943935394846</v>
      </c>
      <c r="AO15" s="376">
        <f t="shared" si="19"/>
        <v>934.64308970550815</v>
      </c>
      <c r="AP15" s="376">
        <f t="shared" si="20"/>
        <v>807.97728636148588</v>
      </c>
      <c r="AQ15" s="376">
        <f t="shared" si="20"/>
        <v>987.44834741148384</v>
      </c>
      <c r="AR15" s="375">
        <f>+Listrik!AA14</f>
        <v>0</v>
      </c>
      <c r="AS15" s="373">
        <f t="shared" si="21"/>
        <v>0</v>
      </c>
      <c r="AT15" s="376">
        <f t="shared" si="22"/>
        <v>0</v>
      </c>
      <c r="AU15" s="376">
        <f t="shared" si="22"/>
        <v>0</v>
      </c>
      <c r="AV15" s="376">
        <f t="shared" si="23"/>
        <v>0</v>
      </c>
      <c r="AW15" s="376">
        <f t="shared" si="23"/>
        <v>0</v>
      </c>
      <c r="AX15" s="375">
        <f>+Listrik!AD14</f>
        <v>0</v>
      </c>
      <c r="AY15" s="373">
        <f t="shared" si="24"/>
        <v>0</v>
      </c>
      <c r="AZ15" s="376">
        <f t="shared" si="25"/>
        <v>0</v>
      </c>
      <c r="BA15" s="376">
        <f t="shared" si="26"/>
        <v>0</v>
      </c>
      <c r="BB15" s="376">
        <f t="shared" si="27"/>
        <v>0</v>
      </c>
      <c r="BC15" s="376">
        <f t="shared" si="28"/>
        <v>0</v>
      </c>
      <c r="BD15" s="449"/>
      <c r="BE15" s="371">
        <f>+Efficiency2!K39</f>
        <v>51.68019168</v>
      </c>
      <c r="BF15" s="372">
        <f t="shared" si="29"/>
        <v>324.99025349249996</v>
      </c>
      <c r="BG15" s="397">
        <f t="shared" si="30"/>
        <v>0.93538739754147915</v>
      </c>
      <c r="BH15" s="397">
        <f t="shared" si="31"/>
        <v>0.83638200554919984</v>
      </c>
    </row>
    <row r="16" spans="1:60" s="377" customFormat="1" ht="12.75" customHeight="1">
      <c r="A16" s="391">
        <f t="shared" si="2"/>
        <v>45846</v>
      </c>
      <c r="B16" s="400" t="s">
        <v>549</v>
      </c>
      <c r="C16" s="378" t="s">
        <v>527</v>
      </c>
      <c r="D16" s="370">
        <f>+'8'!F42</f>
        <v>1328.4722222222222</v>
      </c>
      <c r="E16" s="370">
        <f>+'8'!G42</f>
        <v>1050.9097222222222</v>
      </c>
      <c r="F16" s="48">
        <f t="shared" si="0"/>
        <v>0.20893361212754835</v>
      </c>
      <c r="G16" s="396">
        <f t="shared" si="3"/>
        <v>0.95060566827420634</v>
      </c>
      <c r="H16" s="392">
        <f t="shared" si="4"/>
        <v>0.94747916334357785</v>
      </c>
      <c r="I16" s="392">
        <f t="shared" si="5"/>
        <v>1.0361113381836016</v>
      </c>
      <c r="J16" s="397">
        <f t="shared" si="6"/>
        <v>0.98169390383299371</v>
      </c>
      <c r="K16" s="397">
        <f t="shared" si="6"/>
        <v>0.83838285432306558</v>
      </c>
      <c r="L16" s="371">
        <f>+SUM(Efficiency1!K43:K45)</f>
        <v>51.644407489999999</v>
      </c>
      <c r="M16" s="372">
        <f t="shared" si="7"/>
        <v>384.68701779499997</v>
      </c>
      <c r="N16" s="371">
        <f>+SUM(Efficiency1!C43:C45)</f>
        <v>51.474551050000002</v>
      </c>
      <c r="O16" s="372">
        <f t="shared" si="7"/>
        <v>375.18941705073638</v>
      </c>
      <c r="P16" s="372">
        <f>'8'!I38</f>
        <v>48.932000000000002</v>
      </c>
      <c r="Q16" s="372">
        <f t="shared" si="8"/>
        <v>336.10500000000002</v>
      </c>
      <c r="R16" s="372">
        <f>'8'!I40</f>
        <v>50.698999999999998</v>
      </c>
      <c r="S16" s="372">
        <f t="shared" si="9"/>
        <v>322.51499999999999</v>
      </c>
      <c r="T16" s="97">
        <f>+[1]Report1!AZ16</f>
        <v>3734.6585709257306</v>
      </c>
      <c r="U16" s="13">
        <f t="shared" si="10"/>
        <v>26647.140573542521</v>
      </c>
      <c r="V16" s="277">
        <f t="shared" si="11"/>
        <v>76.323440099029881</v>
      </c>
      <c r="W16" s="277">
        <f t="shared" si="11"/>
        <v>79.282190308214751</v>
      </c>
      <c r="X16" s="278">
        <f t="shared" si="12"/>
        <v>73.663357678173739</v>
      </c>
      <c r="Y16" s="277">
        <f t="shared" si="13"/>
        <v>82.622949548214876</v>
      </c>
      <c r="Z16" s="374">
        <v>93.4</v>
      </c>
      <c r="AA16" s="373">
        <f t="shared" si="14"/>
        <v>675.5</v>
      </c>
      <c r="AB16" s="376">
        <v>93.4</v>
      </c>
      <c r="AC16" s="376">
        <f t="shared" si="1"/>
        <v>2.0097886077267519</v>
      </c>
      <c r="AD16" s="371">
        <f t="shared" si="15"/>
        <v>1.8422454091796685</v>
      </c>
      <c r="AE16" s="376">
        <f t="shared" si="15"/>
        <v>2.0944762259119734</v>
      </c>
      <c r="AF16" s="97">
        <v>0</v>
      </c>
      <c r="AG16" s="375">
        <f t="shared" si="32"/>
        <v>0</v>
      </c>
      <c r="AH16" s="376">
        <f t="shared" si="16"/>
        <v>0</v>
      </c>
      <c r="AI16" s="376">
        <f t="shared" si="16"/>
        <v>0</v>
      </c>
      <c r="AJ16" s="371">
        <f t="shared" si="17"/>
        <v>0</v>
      </c>
      <c r="AK16" s="376">
        <f t="shared" si="17"/>
        <v>0</v>
      </c>
      <c r="AL16" s="375">
        <f>'8'!I46</f>
        <v>40532.104999999952</v>
      </c>
      <c r="AM16" s="373">
        <f t="shared" si="18"/>
        <v>308936.36499999987</v>
      </c>
      <c r="AN16" s="376">
        <f t="shared" si="19"/>
        <v>828.33534292487434</v>
      </c>
      <c r="AO16" s="376">
        <f t="shared" si="19"/>
        <v>919.16622781571198</v>
      </c>
      <c r="AP16" s="376">
        <f t="shared" si="20"/>
        <v>799.4655713130428</v>
      </c>
      <c r="AQ16" s="376">
        <f t="shared" si="20"/>
        <v>957.89766367455741</v>
      </c>
      <c r="AR16" s="375">
        <f>+Listrik!AA15</f>
        <v>0</v>
      </c>
      <c r="AS16" s="373">
        <f t="shared" si="21"/>
        <v>0</v>
      </c>
      <c r="AT16" s="376">
        <f t="shared" si="22"/>
        <v>0</v>
      </c>
      <c r="AU16" s="376">
        <f t="shared" si="22"/>
        <v>0</v>
      </c>
      <c r="AV16" s="376">
        <f t="shared" si="23"/>
        <v>0</v>
      </c>
      <c r="AW16" s="376">
        <f t="shared" si="23"/>
        <v>0</v>
      </c>
      <c r="AX16" s="375">
        <f>+Listrik!AD15</f>
        <v>0</v>
      </c>
      <c r="AY16" s="373">
        <f t="shared" si="24"/>
        <v>0</v>
      </c>
      <c r="AZ16" s="376">
        <f t="shared" si="25"/>
        <v>0</v>
      </c>
      <c r="BA16" s="376">
        <f t="shared" si="26"/>
        <v>0</v>
      </c>
      <c r="BB16" s="376">
        <f t="shared" si="27"/>
        <v>0</v>
      </c>
      <c r="BC16" s="376">
        <f t="shared" si="28"/>
        <v>0</v>
      </c>
      <c r="BD16" s="449"/>
      <c r="BE16" s="371">
        <f>+SUM(Efficiency2!K43:K45)</f>
        <v>51.466029290000002</v>
      </c>
      <c r="BF16" s="372">
        <f t="shared" si="29"/>
        <v>376.45628278249995</v>
      </c>
      <c r="BG16" s="397">
        <f t="shared" si="30"/>
        <v>0.9850963965827253</v>
      </c>
      <c r="BH16" s="397">
        <f t="shared" si="31"/>
        <v>0.85671302286734607</v>
      </c>
    </row>
    <row r="17" spans="1:60" s="377" customFormat="1" ht="12.75" customHeight="1">
      <c r="A17" s="391">
        <f t="shared" si="2"/>
        <v>45847</v>
      </c>
      <c r="B17" s="400" t="s">
        <v>8</v>
      </c>
      <c r="C17" s="413" t="s">
        <v>568</v>
      </c>
      <c r="D17" s="370">
        <f>+'9'!F42</f>
        <v>1350</v>
      </c>
      <c r="E17" s="370">
        <f>+'9'!G42</f>
        <v>1039.5</v>
      </c>
      <c r="F17" s="48">
        <f t="shared" si="0"/>
        <v>0.22999999999999998</v>
      </c>
      <c r="G17" s="396">
        <f t="shared" si="3"/>
        <v>0.88687263879710565</v>
      </c>
      <c r="H17" s="392">
        <f t="shared" si="4"/>
        <v>0.88687263879710565</v>
      </c>
      <c r="I17" s="392">
        <f t="shared" si="5"/>
        <v>1.02797520760045</v>
      </c>
      <c r="J17" s="397">
        <f t="shared" si="6"/>
        <v>0.91168308498261352</v>
      </c>
      <c r="K17" s="397">
        <f t="shared" si="6"/>
        <v>0.84638116643432426</v>
      </c>
      <c r="L17" s="371">
        <f>+SUM(Efficiency1!K48:K49)</f>
        <v>47.117250179999999</v>
      </c>
      <c r="M17" s="372">
        <f t="shared" si="7"/>
        <v>431.80426797499996</v>
      </c>
      <c r="N17" s="371">
        <f>+SUM(Efficiency1!C48:C49)</f>
        <v>47.117250179999999</v>
      </c>
      <c r="O17" s="372">
        <f t="shared" si="7"/>
        <v>422.30666723073637</v>
      </c>
      <c r="P17" s="372">
        <f>'9'!I38</f>
        <v>41.786999999999999</v>
      </c>
      <c r="Q17" s="372">
        <f t="shared" si="8"/>
        <v>377.892</v>
      </c>
      <c r="R17" s="372">
        <f>'9'!I40</f>
        <v>42.956000000000003</v>
      </c>
      <c r="S17" s="372">
        <f t="shared" si="9"/>
        <v>365.471</v>
      </c>
      <c r="T17" s="97">
        <f>+[1]Report1!AZ17</f>
        <v>3585.9666150312487</v>
      </c>
      <c r="U17" s="13">
        <f t="shared" si="10"/>
        <v>30233.107188573769</v>
      </c>
      <c r="V17" s="277">
        <f t="shared" si="11"/>
        <v>85.81536398954816</v>
      </c>
      <c r="W17" s="277">
        <f t="shared" si="11"/>
        <v>80.00462351299781</v>
      </c>
      <c r="X17" s="278">
        <f t="shared" si="12"/>
        <v>83.479993831624185</v>
      </c>
      <c r="Y17" s="277">
        <f t="shared" si="13"/>
        <v>82.72368310638538</v>
      </c>
      <c r="Z17" s="374">
        <v>86.6</v>
      </c>
      <c r="AA17" s="373">
        <f t="shared" si="14"/>
        <v>762.1</v>
      </c>
      <c r="AB17" s="376">
        <v>86.6</v>
      </c>
      <c r="AC17" s="376">
        <f t="shared" si="1"/>
        <v>2.0167137700718722</v>
      </c>
      <c r="AD17" s="371">
        <f t="shared" si="15"/>
        <v>2.0160163888630223</v>
      </c>
      <c r="AE17" s="376">
        <f t="shared" si="15"/>
        <v>2.0852543703878008</v>
      </c>
      <c r="AF17" s="97">
        <v>0</v>
      </c>
      <c r="AG17" s="375">
        <f t="shared" si="32"/>
        <v>0</v>
      </c>
      <c r="AH17" s="376">
        <f t="shared" si="16"/>
        <v>0</v>
      </c>
      <c r="AI17" s="376">
        <f t="shared" si="16"/>
        <v>0</v>
      </c>
      <c r="AJ17" s="371">
        <f t="shared" si="17"/>
        <v>0</v>
      </c>
      <c r="AK17" s="376">
        <f t="shared" si="17"/>
        <v>0</v>
      </c>
      <c r="AL17" s="375">
        <f>'9'!I46</f>
        <v>38975.189999998925</v>
      </c>
      <c r="AM17" s="373">
        <f t="shared" si="18"/>
        <v>347911.55499999877</v>
      </c>
      <c r="AN17" s="376">
        <f t="shared" si="19"/>
        <v>932.71089094691945</v>
      </c>
      <c r="AO17" s="376">
        <f t="shared" si="19"/>
        <v>920.66398600658067</v>
      </c>
      <c r="AP17" s="376">
        <f t="shared" si="20"/>
        <v>907.3281962938571</v>
      </c>
      <c r="AQ17" s="376">
        <f t="shared" si="20"/>
        <v>951.95393068122712</v>
      </c>
      <c r="AR17" s="375">
        <f>+Listrik!AA16</f>
        <v>0</v>
      </c>
      <c r="AS17" s="373">
        <f t="shared" si="21"/>
        <v>0</v>
      </c>
      <c r="AT17" s="376">
        <f t="shared" si="22"/>
        <v>0</v>
      </c>
      <c r="AU17" s="376">
        <f t="shared" si="22"/>
        <v>0</v>
      </c>
      <c r="AV17" s="376">
        <f t="shared" si="23"/>
        <v>0</v>
      </c>
      <c r="AW17" s="376">
        <f t="shared" si="23"/>
        <v>0</v>
      </c>
      <c r="AX17" s="375">
        <f>+Listrik!AD16</f>
        <v>0</v>
      </c>
      <c r="AY17" s="373">
        <f t="shared" si="24"/>
        <v>0</v>
      </c>
      <c r="AZ17" s="376">
        <f t="shared" si="25"/>
        <v>0</v>
      </c>
      <c r="BA17" s="376">
        <f t="shared" si="26"/>
        <v>0</v>
      </c>
      <c r="BB17" s="376">
        <f t="shared" si="27"/>
        <v>0</v>
      </c>
      <c r="BC17" s="376">
        <f t="shared" si="28"/>
        <v>0</v>
      </c>
      <c r="BD17" s="449"/>
      <c r="BE17" s="371">
        <f>+SUM(Efficiency2!K48:K49)</f>
        <v>47.117250179999999</v>
      </c>
      <c r="BF17" s="372">
        <f t="shared" si="29"/>
        <v>423.57353296249994</v>
      </c>
      <c r="BG17" s="397">
        <f t="shared" si="30"/>
        <v>0.91168308498261352</v>
      </c>
      <c r="BH17" s="397">
        <f t="shared" si="31"/>
        <v>0.86282775376419962</v>
      </c>
    </row>
    <row r="18" spans="1:60" s="377" customFormat="1" ht="12.75" customHeight="1">
      <c r="A18" s="391">
        <f t="shared" si="2"/>
        <v>45848</v>
      </c>
      <c r="B18" s="400" t="s">
        <v>8</v>
      </c>
      <c r="C18" s="378" t="s">
        <v>578</v>
      </c>
      <c r="D18" s="370">
        <f>+'10'!F42</f>
        <v>1343.3333333333333</v>
      </c>
      <c r="E18" s="370">
        <f>+'10'!G42</f>
        <v>1034.3666666666666</v>
      </c>
      <c r="F18" s="48">
        <f t="shared" si="0"/>
        <v>0.22999999999999998</v>
      </c>
      <c r="G18" s="396">
        <f t="shared" si="3"/>
        <v>0.9269996756092419</v>
      </c>
      <c r="H18" s="392">
        <f t="shared" si="4"/>
        <v>0.92242189943339337</v>
      </c>
      <c r="I18" s="392">
        <f>+R18/P18</f>
        <v>0.93898225957049497</v>
      </c>
      <c r="J18" s="397">
        <f t="shared" si="6"/>
        <v>0.86613779940727553</v>
      </c>
      <c r="K18" s="397">
        <f t="shared" si="6"/>
        <v>0.84829974828047117</v>
      </c>
      <c r="L18" s="371">
        <f>+Efficiency1!K52</f>
        <v>46.442956337349408</v>
      </c>
      <c r="M18" s="372">
        <f t="shared" si="7"/>
        <v>478.24722431234937</v>
      </c>
      <c r="N18" s="371">
        <f>+Efficiency1!C52</f>
        <v>46.213608404819269</v>
      </c>
      <c r="O18" s="372">
        <f t="shared" si="7"/>
        <v>468.52027563555566</v>
      </c>
      <c r="P18" s="372">
        <f>'10'!I38</f>
        <v>42.839999999999996</v>
      </c>
      <c r="Q18" s="372">
        <f t="shared" si="8"/>
        <v>420.73199999999997</v>
      </c>
      <c r="R18" s="372">
        <f>'10'!I40</f>
        <v>40.225999999999999</v>
      </c>
      <c r="S18" s="372">
        <f t="shared" si="9"/>
        <v>405.697</v>
      </c>
      <c r="T18" s="97">
        <f>+[1]Report1!AZ18</f>
        <v>3746.3635317976809</v>
      </c>
      <c r="U18" s="13">
        <f t="shared" si="10"/>
        <v>33979.47072037145</v>
      </c>
      <c r="V18" s="277">
        <f t="shared" si="11"/>
        <v>87.450129126930008</v>
      </c>
      <c r="W18" s="277">
        <f t="shared" si="11"/>
        <v>80.762743790278492</v>
      </c>
      <c r="X18" s="278">
        <f t="shared" si="12"/>
        <v>93.132887480676203</v>
      </c>
      <c r="Y18" s="277">
        <f t="shared" si="13"/>
        <v>83.755785032601793</v>
      </c>
      <c r="Z18" s="374">
        <v>85.6</v>
      </c>
      <c r="AA18" s="373">
        <f t="shared" si="14"/>
        <v>847.7</v>
      </c>
      <c r="AB18" s="376">
        <v>85.6</v>
      </c>
      <c r="AC18" s="376">
        <f t="shared" si="1"/>
        <v>2.0148217867906415</v>
      </c>
      <c r="AD18" s="371">
        <f t="shared" si="15"/>
        <v>2.1279769303435589</v>
      </c>
      <c r="AE18" s="376">
        <f t="shared" si="15"/>
        <v>2.0894904325149066</v>
      </c>
      <c r="AF18" s="97">
        <v>0</v>
      </c>
      <c r="AG18" s="375">
        <f t="shared" si="32"/>
        <v>0</v>
      </c>
      <c r="AH18" s="376">
        <f t="shared" si="16"/>
        <v>0</v>
      </c>
      <c r="AI18" s="376">
        <f t="shared" si="16"/>
        <v>0</v>
      </c>
      <c r="AJ18" s="371">
        <f t="shared" si="17"/>
        <v>0</v>
      </c>
      <c r="AK18" s="376">
        <f t="shared" si="17"/>
        <v>0</v>
      </c>
      <c r="AL18" s="375">
        <f>'10'!I46</f>
        <v>41126.405000000799</v>
      </c>
      <c r="AM18" s="373">
        <f t="shared" si="18"/>
        <v>389037.95999999956</v>
      </c>
      <c r="AN18" s="376">
        <f t="shared" si="19"/>
        <v>960.00011671337086</v>
      </c>
      <c r="AO18" s="376">
        <f t="shared" si="19"/>
        <v>924.66929066484022</v>
      </c>
      <c r="AP18" s="376">
        <f t="shared" si="20"/>
        <v>1022.3836573360712</v>
      </c>
      <c r="AQ18" s="376">
        <f t="shared" si="20"/>
        <v>958.93723641042334</v>
      </c>
      <c r="AR18" s="375">
        <f>+Listrik!AA17</f>
        <v>0</v>
      </c>
      <c r="AS18" s="373">
        <f t="shared" si="21"/>
        <v>0</v>
      </c>
      <c r="AT18" s="376">
        <f t="shared" si="22"/>
        <v>0</v>
      </c>
      <c r="AU18" s="376">
        <f t="shared" si="22"/>
        <v>0</v>
      </c>
      <c r="AV18" s="376">
        <f t="shared" si="23"/>
        <v>0</v>
      </c>
      <c r="AW18" s="376">
        <f t="shared" si="23"/>
        <v>0</v>
      </c>
      <c r="AX18" s="375">
        <f>+Listrik!AD17</f>
        <v>0</v>
      </c>
      <c r="AY18" s="373">
        <f t="shared" si="24"/>
        <v>0</v>
      </c>
      <c r="AZ18" s="376">
        <f t="shared" si="25"/>
        <v>0</v>
      </c>
      <c r="BA18" s="376">
        <f t="shared" si="26"/>
        <v>0</v>
      </c>
      <c r="BB18" s="376">
        <f t="shared" si="27"/>
        <v>0</v>
      </c>
      <c r="BC18" s="376">
        <f t="shared" si="28"/>
        <v>0</v>
      </c>
      <c r="BD18" s="449"/>
      <c r="BE18" s="371">
        <f>+Efficiency2!K52</f>
        <v>46.442956337349408</v>
      </c>
      <c r="BF18" s="372">
        <f t="shared" si="29"/>
        <v>470.01648929984935</v>
      </c>
      <c r="BG18" s="397">
        <f t="shared" si="30"/>
        <v>0.86613779940727553</v>
      </c>
      <c r="BH18" s="397">
        <f t="shared" si="31"/>
        <v>0.86315482378998742</v>
      </c>
    </row>
    <row r="19" spans="1:60" s="377" customFormat="1" ht="12.75" customHeight="1">
      <c r="A19" s="391">
        <f t="shared" si="2"/>
        <v>45849</v>
      </c>
      <c r="B19" s="400" t="s">
        <v>8</v>
      </c>
      <c r="C19" s="378" t="s">
        <v>578</v>
      </c>
      <c r="D19" s="370">
        <f>+'11'!F42</f>
        <v>1346.9791666666667</v>
      </c>
      <c r="E19" s="370">
        <f>+'11'!G42</f>
        <v>1037.1739583333333</v>
      </c>
      <c r="F19" s="48">
        <f t="shared" si="0"/>
        <v>0.23000000000000009</v>
      </c>
      <c r="G19" s="396">
        <f t="shared" si="3"/>
        <v>0.83439238515080627</v>
      </c>
      <c r="H19" s="392">
        <f t="shared" si="4"/>
        <v>0.8325253034247746</v>
      </c>
      <c r="I19" s="392">
        <f t="shared" si="5"/>
        <v>0.79663737103553678</v>
      </c>
      <c r="J19" s="397">
        <f t="shared" si="6"/>
        <v>0.66322076904087501</v>
      </c>
      <c r="K19" s="397">
        <f t="shared" si="6"/>
        <v>0.83168990865010606</v>
      </c>
      <c r="L19" s="371">
        <f>+Efficiency1!K56</f>
        <v>47.15171999999999</v>
      </c>
      <c r="M19" s="372">
        <f t="shared" si="7"/>
        <v>525.39894431234939</v>
      </c>
      <c r="N19" s="371">
        <f>+Efficiency1!C56</f>
        <v>47.04621075</v>
      </c>
      <c r="O19" s="372">
        <f t="shared" si="7"/>
        <v>515.56648638555566</v>
      </c>
      <c r="P19" s="372">
        <f>'11'!I38</f>
        <v>39.255000000000003</v>
      </c>
      <c r="Q19" s="372">
        <f t="shared" si="8"/>
        <v>459.98699999999997</v>
      </c>
      <c r="R19" s="372">
        <f>'11'!I40</f>
        <v>31.271999999999998</v>
      </c>
      <c r="S19" s="372">
        <f t="shared" si="9"/>
        <v>436.96899999999999</v>
      </c>
      <c r="T19" s="97">
        <f>+[1]Report1!AZ19</f>
        <v>3789.1460104872667</v>
      </c>
      <c r="U19" s="13">
        <f t="shared" si="10"/>
        <v>37768.616730858717</v>
      </c>
      <c r="V19" s="277">
        <f t="shared" si="11"/>
        <v>96.526455495790771</v>
      </c>
      <c r="W19" s="277">
        <f t="shared" si="11"/>
        <v>82.108008989077348</v>
      </c>
      <c r="X19" s="278">
        <f t="shared" si="12"/>
        <v>121.16737050675577</v>
      </c>
      <c r="Y19" s="277">
        <f t="shared" si="13"/>
        <v>86.43317198899399</v>
      </c>
      <c r="Z19" s="374">
        <v>84.9</v>
      </c>
      <c r="AA19" s="373">
        <f t="shared" si="14"/>
        <v>932.6</v>
      </c>
      <c r="AB19" s="376">
        <v>84.9</v>
      </c>
      <c r="AC19" s="376">
        <f t="shared" si="1"/>
        <v>2.0274486018083122</v>
      </c>
      <c r="AD19" s="371">
        <f t="shared" si="15"/>
        <v>2.7148887183422872</v>
      </c>
      <c r="AE19" s="376">
        <f t="shared" si="15"/>
        <v>2.1342475095487323</v>
      </c>
      <c r="AF19" s="97">
        <v>0</v>
      </c>
      <c r="AG19" s="375">
        <f t="shared" si="32"/>
        <v>0</v>
      </c>
      <c r="AH19" s="376">
        <f t="shared" si="16"/>
        <v>0</v>
      </c>
      <c r="AI19" s="376">
        <f t="shared" si="16"/>
        <v>0</v>
      </c>
      <c r="AJ19" s="371">
        <f t="shared" si="17"/>
        <v>0</v>
      </c>
      <c r="AK19" s="376">
        <f t="shared" si="17"/>
        <v>0</v>
      </c>
      <c r="AL19" s="375">
        <f>'11'!I46</f>
        <v>42169.324999998818</v>
      </c>
      <c r="AM19" s="373">
        <f t="shared" si="18"/>
        <v>431207.2849999984</v>
      </c>
      <c r="AN19" s="376">
        <f t="shared" si="19"/>
        <v>1074.2408610367804</v>
      </c>
      <c r="AO19" s="376">
        <f t="shared" si="19"/>
        <v>937.43363399400084</v>
      </c>
      <c r="AP19" s="376">
        <f t="shared" si="20"/>
        <v>1348.4690777692128</v>
      </c>
      <c r="AQ19" s="376">
        <f t="shared" si="20"/>
        <v>986.81436211721757</v>
      </c>
      <c r="AR19" s="375">
        <f>+Listrik!AA18</f>
        <v>0</v>
      </c>
      <c r="AS19" s="373">
        <f t="shared" si="21"/>
        <v>0</v>
      </c>
      <c r="AT19" s="376">
        <f t="shared" si="22"/>
        <v>0</v>
      </c>
      <c r="AU19" s="376">
        <f t="shared" si="22"/>
        <v>0</v>
      </c>
      <c r="AV19" s="376">
        <f t="shared" si="23"/>
        <v>0</v>
      </c>
      <c r="AW19" s="376">
        <f t="shared" si="23"/>
        <v>0</v>
      </c>
      <c r="AX19" s="375">
        <f>+Listrik!AD18</f>
        <v>0</v>
      </c>
      <c r="AY19" s="373">
        <f t="shared" si="24"/>
        <v>0</v>
      </c>
      <c r="AZ19" s="376">
        <f t="shared" si="25"/>
        <v>0</v>
      </c>
      <c r="BA19" s="376">
        <f t="shared" si="26"/>
        <v>0</v>
      </c>
      <c r="BB19" s="376">
        <f t="shared" si="27"/>
        <v>0</v>
      </c>
      <c r="BC19" s="376">
        <f t="shared" si="28"/>
        <v>0</v>
      </c>
      <c r="BD19" s="449"/>
      <c r="BE19" s="371">
        <f>+Efficiency2!K56</f>
        <v>47.15171999999999</v>
      </c>
      <c r="BF19" s="372">
        <f t="shared" si="29"/>
        <v>517.16820929984931</v>
      </c>
      <c r="BG19" s="397">
        <f t="shared" si="30"/>
        <v>0.66322076904087501</v>
      </c>
      <c r="BH19" s="397">
        <f t="shared" si="31"/>
        <v>0.84492625830883084</v>
      </c>
    </row>
    <row r="20" spans="1:60" s="377" customFormat="1" ht="12.75" customHeight="1">
      <c r="A20" s="391">
        <f t="shared" si="2"/>
        <v>45850</v>
      </c>
      <c r="B20" s="400" t="s">
        <v>8</v>
      </c>
      <c r="C20" s="378" t="s">
        <v>578</v>
      </c>
      <c r="D20" s="370">
        <f>+'12'!F42</f>
        <v>1350</v>
      </c>
      <c r="E20" s="370">
        <f>+'12'!G42</f>
        <v>1039.5</v>
      </c>
      <c r="F20" s="48">
        <f t="shared" si="0"/>
        <v>0.22999999999999998</v>
      </c>
      <c r="G20" s="396">
        <f t="shared" si="3"/>
        <v>0.90658185429746085</v>
      </c>
      <c r="H20" s="392">
        <f t="shared" si="4"/>
        <v>0.90658185429746085</v>
      </c>
      <c r="I20" s="392">
        <f t="shared" si="5"/>
        <v>0.93284576021683774</v>
      </c>
      <c r="J20" s="397">
        <f t="shared" si="6"/>
        <v>0.84570103907090532</v>
      </c>
      <c r="K20" s="397">
        <f t="shared" si="6"/>
        <v>0.83284501942789035</v>
      </c>
      <c r="L20" s="371">
        <f>+Efficiency1!K60</f>
        <v>47.206989415384619</v>
      </c>
      <c r="M20" s="372">
        <f t="shared" si="7"/>
        <v>572.60593372773405</v>
      </c>
      <c r="N20" s="371">
        <f>+Efficiency1!C60</f>
        <v>47.206989415384619</v>
      </c>
      <c r="O20" s="372">
        <f t="shared" si="7"/>
        <v>562.77347580094033</v>
      </c>
      <c r="P20" s="372">
        <f>'12'!I38</f>
        <v>42.796999999999997</v>
      </c>
      <c r="Q20" s="372">
        <f t="shared" si="8"/>
        <v>502.78399999999999</v>
      </c>
      <c r="R20" s="372">
        <f>'12'!I40</f>
        <v>39.923000000000002</v>
      </c>
      <c r="S20" s="372">
        <f t="shared" si="9"/>
        <v>476.892</v>
      </c>
      <c r="T20" s="97">
        <f>+[1]Report1!AZ20</f>
        <v>3793.5072553257182</v>
      </c>
      <c r="U20" s="13">
        <f t="shared" si="10"/>
        <v>41562.123986184437</v>
      </c>
      <c r="V20" s="277">
        <f t="shared" si="11"/>
        <v>88.63956014033036</v>
      </c>
      <c r="W20" s="277">
        <f t="shared" si="11"/>
        <v>82.663974959792753</v>
      </c>
      <c r="X20" s="278">
        <f t="shared" si="12"/>
        <v>95.020596030501665</v>
      </c>
      <c r="Y20" s="277">
        <f t="shared" si="13"/>
        <v>87.152067944491492</v>
      </c>
      <c r="Z20" s="374">
        <v>85.2</v>
      </c>
      <c r="AA20" s="373">
        <f t="shared" si="14"/>
        <v>1017.8000000000001</v>
      </c>
      <c r="AB20" s="376">
        <v>85.2</v>
      </c>
      <c r="AC20" s="376">
        <f t="shared" si="1"/>
        <v>2.0243285386965377</v>
      </c>
      <c r="AD20" s="371">
        <f t="shared" si="15"/>
        <v>2.1341081582045436</v>
      </c>
      <c r="AE20" s="376">
        <f t="shared" si="15"/>
        <v>2.1342358437549804</v>
      </c>
      <c r="AF20" s="97">
        <v>0</v>
      </c>
      <c r="AG20" s="375">
        <f t="shared" si="32"/>
        <v>0</v>
      </c>
      <c r="AH20" s="376">
        <f t="shared" si="16"/>
        <v>0</v>
      </c>
      <c r="AI20" s="376">
        <f t="shared" si="16"/>
        <v>0</v>
      </c>
      <c r="AJ20" s="371">
        <f t="shared" si="17"/>
        <v>0</v>
      </c>
      <c r="AK20" s="376">
        <f t="shared" si="17"/>
        <v>0</v>
      </c>
      <c r="AL20" s="375">
        <f>'12'!I46</f>
        <v>43096.130000001081</v>
      </c>
      <c r="AM20" s="373">
        <f t="shared" si="18"/>
        <v>474303.41499999946</v>
      </c>
      <c r="AN20" s="376">
        <f t="shared" si="19"/>
        <v>1006.9895086104419</v>
      </c>
      <c r="AO20" s="376">
        <f t="shared" si="19"/>
        <v>943.3542336271629</v>
      </c>
      <c r="AP20" s="376">
        <f t="shared" si="20"/>
        <v>1079.4812514089892</v>
      </c>
      <c r="AQ20" s="376">
        <f t="shared" si="20"/>
        <v>994.57196807662842</v>
      </c>
      <c r="AR20" s="375">
        <f>+Listrik!AA19</f>
        <v>0</v>
      </c>
      <c r="AS20" s="373">
        <f t="shared" si="21"/>
        <v>0</v>
      </c>
      <c r="AT20" s="376">
        <f t="shared" si="22"/>
        <v>0</v>
      </c>
      <c r="AU20" s="376">
        <f t="shared" si="22"/>
        <v>0</v>
      </c>
      <c r="AV20" s="376">
        <f t="shared" si="23"/>
        <v>0</v>
      </c>
      <c r="AW20" s="376">
        <f t="shared" si="23"/>
        <v>0</v>
      </c>
      <c r="AX20" s="375">
        <f>+Listrik!AD19</f>
        <v>0</v>
      </c>
      <c r="AY20" s="373">
        <f t="shared" si="24"/>
        <v>0</v>
      </c>
      <c r="AZ20" s="376">
        <f t="shared" si="25"/>
        <v>0</v>
      </c>
      <c r="BA20" s="376">
        <f t="shared" si="26"/>
        <v>0</v>
      </c>
      <c r="BB20" s="376">
        <f t="shared" si="27"/>
        <v>0</v>
      </c>
      <c r="BC20" s="376">
        <f t="shared" si="28"/>
        <v>0</v>
      </c>
      <c r="BD20" s="449"/>
      <c r="BE20" s="371">
        <f>+Efficiency2!K60</f>
        <v>47.206989415384619</v>
      </c>
      <c r="BF20" s="372">
        <f t="shared" si="29"/>
        <v>564.37519871523398</v>
      </c>
      <c r="BG20" s="397">
        <f t="shared" si="30"/>
        <v>0.84570103907090532</v>
      </c>
      <c r="BH20" s="397">
        <f t="shared" si="31"/>
        <v>0.84499106460669393</v>
      </c>
    </row>
    <row r="21" spans="1:60" s="377" customFormat="1" ht="12.75" customHeight="1">
      <c r="A21" s="391">
        <f t="shared" si="2"/>
        <v>45851</v>
      </c>
      <c r="B21" s="400" t="s">
        <v>8</v>
      </c>
      <c r="C21" s="378" t="s">
        <v>578</v>
      </c>
      <c r="D21" s="370">
        <f>+'13'!F42</f>
        <v>1314.9097222222222</v>
      </c>
      <c r="E21" s="370">
        <f>+'13'!G42</f>
        <v>1012.4804861111111</v>
      </c>
      <c r="F21" s="48">
        <f t="shared" si="0"/>
        <v>0.22999999999999998</v>
      </c>
      <c r="G21" s="396">
        <f t="shared" si="3"/>
        <v>0.90202009345649903</v>
      </c>
      <c r="H21" s="392">
        <f t="shared" si="4"/>
        <v>0.87857406705610963</v>
      </c>
      <c r="I21" s="392">
        <f t="shared" si="5"/>
        <v>0.901279312579507</v>
      </c>
      <c r="J21" s="397">
        <f t="shared" si="6"/>
        <v>0.79184063120651216</v>
      </c>
      <c r="K21" s="397">
        <f t="shared" si="6"/>
        <v>0.82970890551669307</v>
      </c>
      <c r="L21" s="371">
        <f>+Efficiency1!K64</f>
        <v>47.421158400000003</v>
      </c>
      <c r="M21" s="372">
        <f t="shared" si="7"/>
        <v>620.02709212773402</v>
      </c>
      <c r="N21" s="371">
        <f>+Efficiency1!C64</f>
        <v>46.188549791999996</v>
      </c>
      <c r="O21" s="372">
        <f t="shared" si="7"/>
        <v>608.96202559294034</v>
      </c>
      <c r="P21" s="372">
        <f>'13'!I38</f>
        <v>41.662999999999997</v>
      </c>
      <c r="Q21" s="372">
        <f t="shared" si="8"/>
        <v>544.447</v>
      </c>
      <c r="R21" s="372">
        <f>'13'!I40</f>
        <v>37.549999999999997</v>
      </c>
      <c r="S21" s="372">
        <f t="shared" si="9"/>
        <v>514.44200000000001</v>
      </c>
      <c r="T21" s="97">
        <f>+[1]Report1!AZ21</f>
        <v>3941.5255092733355</v>
      </c>
      <c r="U21" s="13">
        <f t="shared" si="10"/>
        <v>45503.649495457772</v>
      </c>
      <c r="V21" s="277">
        <f t="shared" si="11"/>
        <v>94.60493745705628</v>
      </c>
      <c r="W21" s="277">
        <f t="shared" si="11"/>
        <v>83.577739422676174</v>
      </c>
      <c r="X21" s="278">
        <f t="shared" si="12"/>
        <v>104.96739039343105</v>
      </c>
      <c r="Y21" s="277">
        <f t="shared" si="13"/>
        <v>88.452438750058846</v>
      </c>
      <c r="Z21" s="374">
        <v>83.1</v>
      </c>
      <c r="AA21" s="373">
        <f t="shared" si="14"/>
        <v>1100.9000000000001</v>
      </c>
      <c r="AB21" s="376">
        <v>83.1</v>
      </c>
      <c r="AC21" s="376">
        <f t="shared" si="1"/>
        <v>2.0220517332265584</v>
      </c>
      <c r="AD21" s="371">
        <f t="shared" si="15"/>
        <v>2.2130492676431426</v>
      </c>
      <c r="AE21" s="376">
        <f t="shared" si="15"/>
        <v>2.139988570140074</v>
      </c>
      <c r="AF21" s="97">
        <v>0</v>
      </c>
      <c r="AG21" s="375">
        <f t="shared" si="32"/>
        <v>0</v>
      </c>
      <c r="AH21" s="376">
        <f t="shared" si="16"/>
        <v>0</v>
      </c>
      <c r="AI21" s="376">
        <f t="shared" si="16"/>
        <v>0</v>
      </c>
      <c r="AJ21" s="371">
        <f t="shared" si="17"/>
        <v>0</v>
      </c>
      <c r="AK21" s="376">
        <f t="shared" si="17"/>
        <v>0</v>
      </c>
      <c r="AL21" s="375">
        <f>'13'!I46</f>
        <v>40934.564999999093</v>
      </c>
      <c r="AM21" s="373">
        <f t="shared" si="18"/>
        <v>515237.97999999853</v>
      </c>
      <c r="AN21" s="376">
        <f t="shared" si="19"/>
        <v>982.51602140986222</v>
      </c>
      <c r="AO21" s="376">
        <f t="shared" si="19"/>
        <v>946.35103141352329</v>
      </c>
      <c r="AP21" s="376">
        <f t="shared" si="20"/>
        <v>1090.1348868175523</v>
      </c>
      <c r="AQ21" s="376">
        <f t="shared" si="20"/>
        <v>1001.5472686911227</v>
      </c>
      <c r="AR21" s="375">
        <f>+Listrik!AA20</f>
        <v>0</v>
      </c>
      <c r="AS21" s="373">
        <f t="shared" si="21"/>
        <v>0</v>
      </c>
      <c r="AT21" s="376">
        <f t="shared" si="22"/>
        <v>0</v>
      </c>
      <c r="AU21" s="376">
        <f t="shared" si="22"/>
        <v>0</v>
      </c>
      <c r="AV21" s="376">
        <f t="shared" si="23"/>
        <v>0</v>
      </c>
      <c r="AW21" s="376">
        <f t="shared" si="23"/>
        <v>0</v>
      </c>
      <c r="AX21" s="375">
        <f>+Listrik!AD20</f>
        <v>0</v>
      </c>
      <c r="AY21" s="373">
        <f t="shared" si="24"/>
        <v>0</v>
      </c>
      <c r="AZ21" s="376">
        <f t="shared" si="25"/>
        <v>0</v>
      </c>
      <c r="BA21" s="376">
        <f t="shared" si="26"/>
        <v>0</v>
      </c>
      <c r="BB21" s="376">
        <f t="shared" si="27"/>
        <v>0</v>
      </c>
      <c r="BC21" s="376">
        <f t="shared" si="28"/>
        <v>0</v>
      </c>
      <c r="BD21" s="449"/>
      <c r="BE21" s="371">
        <f>+Efficiency2!K64</f>
        <v>47.421158400000003</v>
      </c>
      <c r="BF21" s="372">
        <f t="shared" si="29"/>
        <v>611.79635711523395</v>
      </c>
      <c r="BG21" s="397">
        <f t="shared" si="30"/>
        <v>0.79184063120651216</v>
      </c>
      <c r="BH21" s="397">
        <f t="shared" si="31"/>
        <v>0.84087130303573066</v>
      </c>
    </row>
    <row r="22" spans="1:60" s="377" customFormat="1" ht="12.75" customHeight="1">
      <c r="A22" s="391">
        <f t="shared" si="2"/>
        <v>45852</v>
      </c>
      <c r="B22" s="400" t="s">
        <v>619</v>
      </c>
      <c r="C22" s="378" t="s">
        <v>620</v>
      </c>
      <c r="D22" s="370">
        <f>+'14'!F42</f>
        <v>1208.3333333333333</v>
      </c>
      <c r="E22" s="370">
        <f>+'14'!G42</f>
        <v>950.08333333333337</v>
      </c>
      <c r="F22" s="48">
        <f t="shared" si="0"/>
        <v>0.2137241379310344</v>
      </c>
      <c r="G22" s="396">
        <f t="shared" si="3"/>
        <v>0.95067839055203873</v>
      </c>
      <c r="H22" s="392">
        <f t="shared" si="4"/>
        <v>0.95067839055203873</v>
      </c>
      <c r="I22" s="392">
        <f t="shared" si="5"/>
        <v>0.99006589155097036</v>
      </c>
      <c r="J22" s="397">
        <f t="shared" si="6"/>
        <v>0.94123424832014579</v>
      </c>
      <c r="K22" s="397">
        <f t="shared" si="6"/>
        <v>0.83836936384695182</v>
      </c>
      <c r="L22" s="371">
        <f>+SUM(Efficiency1!K69:K70)</f>
        <v>52.201670399999998</v>
      </c>
      <c r="M22" s="372">
        <f t="shared" si="7"/>
        <v>672.22876252773403</v>
      </c>
      <c r="N22" s="371">
        <f>+SUM(Efficiency1!C69:C70)</f>
        <v>52.201670399999998</v>
      </c>
      <c r="O22" s="372">
        <f t="shared" si="7"/>
        <v>661.16369599294035</v>
      </c>
      <c r="P22" s="372">
        <f>'14'!I38</f>
        <v>49.626999999999995</v>
      </c>
      <c r="Q22" s="372">
        <f t="shared" si="8"/>
        <v>594.07399999999996</v>
      </c>
      <c r="R22" s="372">
        <f>'14'!I40</f>
        <v>49.134</v>
      </c>
      <c r="S22" s="372">
        <f t="shared" si="9"/>
        <v>563.57600000000002</v>
      </c>
      <c r="T22" s="97">
        <f>+[1]Report1!AZ22</f>
        <v>3897.9890222399181</v>
      </c>
      <c r="U22" s="13">
        <f t="shared" si="10"/>
        <v>49401.638517697691</v>
      </c>
      <c r="V22" s="277">
        <f t="shared" si="11"/>
        <v>78.545731602553417</v>
      </c>
      <c r="W22" s="277">
        <f t="shared" si="11"/>
        <v>83.157381938441503</v>
      </c>
      <c r="X22" s="278">
        <f t="shared" si="12"/>
        <v>79.333842598606225</v>
      </c>
      <c r="Y22" s="277">
        <f t="shared" si="13"/>
        <v>87.657456168640408</v>
      </c>
      <c r="Z22" s="374">
        <v>90.8</v>
      </c>
      <c r="AA22" s="373">
        <f t="shared" si="14"/>
        <v>1191.7</v>
      </c>
      <c r="AB22" s="376">
        <v>90.8</v>
      </c>
      <c r="AC22" s="376">
        <f t="shared" si="1"/>
        <v>2.0059790531145953</v>
      </c>
      <c r="AD22" s="371">
        <f t="shared" si="15"/>
        <v>1.8480074897219847</v>
      </c>
      <c r="AE22" s="376">
        <f t="shared" si="15"/>
        <v>2.1145329112666258</v>
      </c>
      <c r="AF22" s="97">
        <v>0</v>
      </c>
      <c r="AG22" s="375">
        <f t="shared" si="32"/>
        <v>0</v>
      </c>
      <c r="AH22" s="376">
        <f t="shared" si="16"/>
        <v>0</v>
      </c>
      <c r="AI22" s="376">
        <f t="shared" si="16"/>
        <v>0</v>
      </c>
      <c r="AJ22" s="371">
        <f t="shared" si="17"/>
        <v>0</v>
      </c>
      <c r="AK22" s="376">
        <f t="shared" si="17"/>
        <v>0</v>
      </c>
      <c r="AL22" s="375">
        <f>'14'!I46</f>
        <v>41816.960000000312</v>
      </c>
      <c r="AM22" s="373">
        <f t="shared" si="18"/>
        <v>557054.93999999878</v>
      </c>
      <c r="AN22" s="376">
        <f t="shared" si="19"/>
        <v>842.62518387168916</v>
      </c>
      <c r="AO22" s="376">
        <f t="shared" si="19"/>
        <v>937.68611317781756</v>
      </c>
      <c r="AP22" s="376">
        <f t="shared" si="20"/>
        <v>851.07990393618093</v>
      </c>
      <c r="AQ22" s="376">
        <f t="shared" si="20"/>
        <v>988.42913821738114</v>
      </c>
      <c r="AR22" s="375">
        <f>+Listrik!AA21</f>
        <v>0</v>
      </c>
      <c r="AS22" s="373">
        <f t="shared" si="21"/>
        <v>0</v>
      </c>
      <c r="AT22" s="376">
        <f t="shared" si="22"/>
        <v>0</v>
      </c>
      <c r="AU22" s="376">
        <f t="shared" si="22"/>
        <v>0</v>
      </c>
      <c r="AV22" s="376">
        <f t="shared" si="23"/>
        <v>0</v>
      </c>
      <c r="AW22" s="376">
        <f t="shared" si="23"/>
        <v>0</v>
      </c>
      <c r="AX22" s="375">
        <f>+Listrik!AD21</f>
        <v>0</v>
      </c>
      <c r="AY22" s="373">
        <f t="shared" si="24"/>
        <v>0</v>
      </c>
      <c r="AZ22" s="376">
        <f t="shared" si="25"/>
        <v>0</v>
      </c>
      <c r="BA22" s="376">
        <f t="shared" si="26"/>
        <v>0</v>
      </c>
      <c r="BB22" s="376">
        <f t="shared" si="27"/>
        <v>0</v>
      </c>
      <c r="BC22" s="376">
        <f t="shared" si="28"/>
        <v>0</v>
      </c>
      <c r="BD22" s="449"/>
      <c r="BE22" s="371">
        <f>+SUM(Efficiency2!K69:K70)</f>
        <v>52.201670399999998</v>
      </c>
      <c r="BF22" s="372">
        <f t="shared" si="29"/>
        <v>663.99802751523396</v>
      </c>
      <c r="BG22" s="397">
        <f t="shared" si="30"/>
        <v>0.94123424832014579</v>
      </c>
      <c r="BH22" s="397">
        <f t="shared" si="31"/>
        <v>0.84876155748379845</v>
      </c>
    </row>
    <row r="23" spans="1:60" s="377" customFormat="1" ht="12.75" customHeight="1">
      <c r="A23" s="391">
        <f t="shared" si="2"/>
        <v>45853</v>
      </c>
      <c r="B23" s="400" t="s">
        <v>641</v>
      </c>
      <c r="C23" s="378" t="s">
        <v>642</v>
      </c>
      <c r="D23" s="370">
        <f>+'15'!F42</f>
        <v>1293.3333333333333</v>
      </c>
      <c r="E23" s="370">
        <f>+'15'!G42</f>
        <v>1003.7333333333333</v>
      </c>
      <c r="F23" s="48">
        <f t="shared" si="0"/>
        <v>0.22391752577319579</v>
      </c>
      <c r="G23" s="396">
        <f t="shared" si="3"/>
        <v>1.0155786873384922</v>
      </c>
      <c r="H23" s="392">
        <f t="shared" si="4"/>
        <v>1.0155786873384922</v>
      </c>
      <c r="I23" s="392">
        <f t="shared" si="5"/>
        <v>1.0535311718653932</v>
      </c>
      <c r="J23" s="397">
        <f t="shared" si="6"/>
        <v>1.0699438045932397</v>
      </c>
      <c r="K23" s="397">
        <f t="shared" si="6"/>
        <v>0.85381641421213916</v>
      </c>
      <c r="L23" s="371">
        <f>+SUM(Efficiency1!K73:K74)</f>
        <v>48.045513959999994</v>
      </c>
      <c r="M23" s="372">
        <f t="shared" si="7"/>
        <v>720.27427648773403</v>
      </c>
      <c r="N23" s="371">
        <f>+SUM(Efficiency1!C73:C74)</f>
        <v>48.045513959999994</v>
      </c>
      <c r="O23" s="372">
        <f t="shared" si="7"/>
        <v>709.20920995294034</v>
      </c>
      <c r="P23" s="372">
        <f>'15'!I38</f>
        <v>48.793999999999997</v>
      </c>
      <c r="Q23" s="372">
        <f t="shared" si="8"/>
        <v>642.86799999999994</v>
      </c>
      <c r="R23" s="372">
        <f>'15'!I40</f>
        <v>51.405999999999999</v>
      </c>
      <c r="S23" s="372">
        <f t="shared" si="9"/>
        <v>614.98199999999997</v>
      </c>
      <c r="T23" s="97">
        <f>+[1]Report1!AZ23</f>
        <v>3756.5645329160448</v>
      </c>
      <c r="U23" s="13">
        <f t="shared" si="10"/>
        <v>53158.203050613738</v>
      </c>
      <c r="V23" s="277">
        <f t="shared" si="11"/>
        <v>76.988247180309983</v>
      </c>
      <c r="W23" s="277">
        <f t="shared" si="11"/>
        <v>82.689141551008518</v>
      </c>
      <c r="X23" s="278">
        <f t="shared" si="12"/>
        <v>73.076382774696427</v>
      </c>
      <c r="Y23" s="277">
        <f t="shared" si="13"/>
        <v>86.4386324325163</v>
      </c>
      <c r="Z23" s="374">
        <v>89</v>
      </c>
      <c r="AA23" s="373">
        <f t="shared" si="14"/>
        <v>1280.7</v>
      </c>
      <c r="AB23" s="376">
        <v>89</v>
      </c>
      <c r="AC23" s="376">
        <f t="shared" si="1"/>
        <v>1.9921663545237904</v>
      </c>
      <c r="AD23" s="371">
        <f t="shared" si="15"/>
        <v>1.7313154106524531</v>
      </c>
      <c r="AE23" s="376">
        <f t="shared" si="15"/>
        <v>2.0824999756090423</v>
      </c>
      <c r="AF23" s="97">
        <v>0</v>
      </c>
      <c r="AG23" s="375">
        <f t="shared" si="32"/>
        <v>0</v>
      </c>
      <c r="AH23" s="376">
        <f t="shared" si="16"/>
        <v>0</v>
      </c>
      <c r="AI23" s="376">
        <f t="shared" si="16"/>
        <v>0</v>
      </c>
      <c r="AJ23" s="371">
        <f t="shared" si="17"/>
        <v>0</v>
      </c>
      <c r="AK23" s="376">
        <f t="shared" si="17"/>
        <v>0</v>
      </c>
      <c r="AL23" s="375">
        <f>'15'!I46</f>
        <v>40653.015000001004</v>
      </c>
      <c r="AM23" s="373">
        <f t="shared" si="18"/>
        <v>597707.95499999984</v>
      </c>
      <c r="AN23" s="376">
        <f t="shared" si="19"/>
        <v>833.15602328157161</v>
      </c>
      <c r="AO23" s="376">
        <f t="shared" si="19"/>
        <v>929.75222751793513</v>
      </c>
      <c r="AP23" s="376">
        <f t="shared" si="20"/>
        <v>790.8223748200794</v>
      </c>
      <c r="AQ23" s="376">
        <f t="shared" si="20"/>
        <v>971.91129984292206</v>
      </c>
      <c r="AR23" s="375">
        <f>+Listrik!AA22</f>
        <v>0</v>
      </c>
      <c r="AS23" s="373">
        <f t="shared" si="21"/>
        <v>0</v>
      </c>
      <c r="AT23" s="376">
        <f t="shared" si="22"/>
        <v>0</v>
      </c>
      <c r="AU23" s="376">
        <f t="shared" si="22"/>
        <v>0</v>
      </c>
      <c r="AV23" s="376">
        <f t="shared" si="23"/>
        <v>0</v>
      </c>
      <c r="AW23" s="376">
        <f t="shared" si="23"/>
        <v>0</v>
      </c>
      <c r="AX23" s="375">
        <f>+Listrik!AD22</f>
        <v>2300</v>
      </c>
      <c r="AY23" s="373">
        <f t="shared" si="24"/>
        <v>2300</v>
      </c>
      <c r="AZ23" s="376">
        <f t="shared" si="25"/>
        <v>47.136943066770506</v>
      </c>
      <c r="BA23" s="376">
        <f t="shared" si="26"/>
        <v>3.5777173541069089</v>
      </c>
      <c r="BB23" s="376">
        <f t="shared" si="27"/>
        <v>44.741858926973507</v>
      </c>
      <c r="BC23" s="376">
        <f t="shared" si="28"/>
        <v>3.7399468602333079</v>
      </c>
      <c r="BD23" s="449"/>
      <c r="BE23" s="371">
        <f>+SUM(Efficiency2!K73:K74)</f>
        <v>48.045513959999994</v>
      </c>
      <c r="BF23" s="372">
        <f t="shared" si="29"/>
        <v>712.04354147523395</v>
      </c>
      <c r="BG23" s="397">
        <f t="shared" si="30"/>
        <v>1.0699438045932397</v>
      </c>
      <c r="BH23" s="397">
        <f t="shared" si="31"/>
        <v>0.86368594640414986</v>
      </c>
    </row>
    <row r="24" spans="1:60" s="377" customFormat="1" ht="12.75" customHeight="1">
      <c r="A24" s="391">
        <f t="shared" si="2"/>
        <v>45854</v>
      </c>
      <c r="B24" s="400" t="s">
        <v>8</v>
      </c>
      <c r="C24" s="378" t="s">
        <v>434</v>
      </c>
      <c r="D24" s="370">
        <f>+'16'!F42</f>
        <v>1350</v>
      </c>
      <c r="E24" s="370">
        <f>+'16'!G42</f>
        <v>1039.5</v>
      </c>
      <c r="F24" s="48">
        <f t="shared" si="0"/>
        <v>0.22999999999999998</v>
      </c>
      <c r="G24" s="396">
        <f t="shared" si="3"/>
        <v>0.97939133947620205</v>
      </c>
      <c r="H24" s="392">
        <f t="shared" si="4"/>
        <v>0.97939133947620205</v>
      </c>
      <c r="I24" s="392">
        <f t="shared" si="5"/>
        <v>0.92307864464437572</v>
      </c>
      <c r="J24" s="397">
        <f t="shared" si="6"/>
        <v>0.90405523022013223</v>
      </c>
      <c r="K24" s="397">
        <f t="shared" si="6"/>
        <v>0.85680899347288009</v>
      </c>
      <c r="L24" s="371">
        <f>+SUM(Efficiency1!K77:K78)</f>
        <v>45.622212693750001</v>
      </c>
      <c r="M24" s="372">
        <f t="shared" si="7"/>
        <v>765.89648918148407</v>
      </c>
      <c r="N24" s="371">
        <f>+SUM(Efficiency1!C77:C78)</f>
        <v>45.622212693750001</v>
      </c>
      <c r="O24" s="372">
        <f t="shared" si="7"/>
        <v>754.83142264669038</v>
      </c>
      <c r="P24" s="372">
        <f>'16'!I38</f>
        <v>44.682000000000002</v>
      </c>
      <c r="Q24" s="372">
        <f t="shared" si="8"/>
        <v>687.55</v>
      </c>
      <c r="R24" s="372">
        <f>'16'!I40</f>
        <v>41.244999999999997</v>
      </c>
      <c r="S24" s="372">
        <f t="shared" si="9"/>
        <v>656.22699999999998</v>
      </c>
      <c r="T24" s="97">
        <f>+[1]Report1!AZ24</f>
        <v>3749.8233094199959</v>
      </c>
      <c r="U24" s="13">
        <f t="shared" si="10"/>
        <v>56908.026360033735</v>
      </c>
      <c r="V24" s="277">
        <f t="shared" si="11"/>
        <v>83.922458919027704</v>
      </c>
      <c r="W24" s="277">
        <f t="shared" si="11"/>
        <v>82.769291484304759</v>
      </c>
      <c r="X24" s="278">
        <f t="shared" si="12"/>
        <v>90.915827601406136</v>
      </c>
      <c r="Y24" s="277">
        <f t="shared" si="13"/>
        <v>86.720031879263942</v>
      </c>
      <c r="Z24" s="374">
        <v>84.93</v>
      </c>
      <c r="AA24" s="373">
        <f t="shared" si="14"/>
        <v>1365.63</v>
      </c>
      <c r="AB24" s="376">
        <v>84.93</v>
      </c>
      <c r="AC24" s="376">
        <f t="shared" si="1"/>
        <v>1.986226456257727</v>
      </c>
      <c r="AD24" s="371">
        <f t="shared" si="15"/>
        <v>2.0591586859013216</v>
      </c>
      <c r="AE24" s="376">
        <f t="shared" si="15"/>
        <v>2.0810329352495405</v>
      </c>
      <c r="AF24" s="97">
        <v>0</v>
      </c>
      <c r="AG24" s="375">
        <f t="shared" si="32"/>
        <v>0</v>
      </c>
      <c r="AH24" s="376">
        <f t="shared" si="16"/>
        <v>0</v>
      </c>
      <c r="AI24" s="376">
        <f t="shared" si="16"/>
        <v>0</v>
      </c>
      <c r="AJ24" s="371">
        <f t="shared" si="17"/>
        <v>0</v>
      </c>
      <c r="AK24" s="376">
        <f t="shared" si="17"/>
        <v>0</v>
      </c>
      <c r="AL24" s="375">
        <f>'16'!I46</f>
        <v>41299.889999998901</v>
      </c>
      <c r="AM24" s="373">
        <f t="shared" si="18"/>
        <v>639007.84499999869</v>
      </c>
      <c r="AN24" s="376">
        <f t="shared" si="19"/>
        <v>924.30710353159884</v>
      </c>
      <c r="AO24" s="376">
        <f t="shared" si="19"/>
        <v>929.39836375536129</v>
      </c>
      <c r="AP24" s="376">
        <f t="shared" si="20"/>
        <v>1001.3308279791224</v>
      </c>
      <c r="AQ24" s="376">
        <f t="shared" si="20"/>
        <v>973.76036798241876</v>
      </c>
      <c r="AR24" s="375">
        <f>+Listrik!AA23</f>
        <v>0</v>
      </c>
      <c r="AS24" s="373">
        <f t="shared" si="21"/>
        <v>0</v>
      </c>
      <c r="AT24" s="376">
        <f t="shared" si="22"/>
        <v>0</v>
      </c>
      <c r="AU24" s="376">
        <f t="shared" si="22"/>
        <v>0</v>
      </c>
      <c r="AV24" s="376">
        <f t="shared" si="23"/>
        <v>0</v>
      </c>
      <c r="AW24" s="376">
        <f t="shared" si="23"/>
        <v>0</v>
      </c>
      <c r="AX24" s="375">
        <f>+Listrik!AD23</f>
        <v>3830</v>
      </c>
      <c r="AY24" s="373">
        <f t="shared" si="24"/>
        <v>6130</v>
      </c>
      <c r="AZ24" s="376">
        <f t="shared" si="25"/>
        <v>85.716843471644054</v>
      </c>
      <c r="BA24" s="376">
        <f t="shared" si="26"/>
        <v>8.9157152207112205</v>
      </c>
      <c r="BB24" s="376">
        <f t="shared" si="27"/>
        <v>92.859740574615103</v>
      </c>
      <c r="BC24" s="376">
        <f t="shared" si="28"/>
        <v>9.3412797705671977</v>
      </c>
      <c r="BD24" s="449"/>
      <c r="BE24" s="371">
        <f>+SUM(Efficiency2!K77:K78)</f>
        <v>45.622212693750001</v>
      </c>
      <c r="BF24" s="372">
        <f t="shared" si="29"/>
        <v>757.66575416898399</v>
      </c>
      <c r="BG24" s="397">
        <f t="shared" si="30"/>
        <v>0.90405523022013223</v>
      </c>
      <c r="BH24" s="397">
        <f t="shared" si="31"/>
        <v>0.86611674922506809</v>
      </c>
    </row>
    <row r="25" spans="1:60" s="377" customFormat="1" ht="12.75" customHeight="1">
      <c r="A25" s="391">
        <f t="shared" si="2"/>
        <v>45855</v>
      </c>
      <c r="B25" s="400" t="s">
        <v>8</v>
      </c>
      <c r="C25" s="378" t="s">
        <v>465</v>
      </c>
      <c r="D25" s="370">
        <f>+'17'!F42</f>
        <v>1350</v>
      </c>
      <c r="E25" s="370">
        <f>+'17'!G42</f>
        <v>1039.5</v>
      </c>
      <c r="F25" s="48">
        <f t="shared" si="0"/>
        <v>0.22999999999999998</v>
      </c>
      <c r="G25" s="396">
        <f t="shared" si="3"/>
        <v>0.93387344365030123</v>
      </c>
      <c r="H25" s="392">
        <f t="shared" si="4"/>
        <v>0.93387344365030123</v>
      </c>
      <c r="I25" s="392">
        <f t="shared" si="5"/>
        <v>0.94895613640133658</v>
      </c>
      <c r="J25" s="397">
        <f t="shared" si="6"/>
        <v>0.88620493497420127</v>
      </c>
      <c r="K25" s="397">
        <f t="shared" si="6"/>
        <v>0.85844669936952711</v>
      </c>
      <c r="L25" s="371">
        <f>+Efficiency1!K81</f>
        <v>45.187064999999997</v>
      </c>
      <c r="M25" s="372">
        <f t="shared" si="7"/>
        <v>811.08355418148403</v>
      </c>
      <c r="N25" s="371">
        <f>+Efficiency1!C81</f>
        <v>45.187064999999997</v>
      </c>
      <c r="O25" s="372">
        <f t="shared" si="7"/>
        <v>800.01848764669035</v>
      </c>
      <c r="P25" s="372">
        <f>'17'!I38</f>
        <v>42.198999999999998</v>
      </c>
      <c r="Q25" s="372">
        <f t="shared" si="8"/>
        <v>729.74899999999991</v>
      </c>
      <c r="R25" s="372">
        <f>'17'!I40</f>
        <v>40.045000000000002</v>
      </c>
      <c r="S25" s="372">
        <f t="shared" si="9"/>
        <v>696.27199999999993</v>
      </c>
      <c r="T25" s="97">
        <f>+[1]Report1!AZ25</f>
        <v>3692.4808910936013</v>
      </c>
      <c r="U25" s="13">
        <f t="shared" si="10"/>
        <v>60600.507251127339</v>
      </c>
      <c r="V25" s="277">
        <f t="shared" si="11"/>
        <v>87.50162068043322</v>
      </c>
      <c r="W25" s="277">
        <f t="shared" si="11"/>
        <v>83.042946617436058</v>
      </c>
      <c r="X25" s="278">
        <f t="shared" si="12"/>
        <v>92.208287953392457</v>
      </c>
      <c r="Y25" s="277">
        <f t="shared" si="13"/>
        <v>87.035680382274947</v>
      </c>
      <c r="Z25" s="374">
        <v>84.6</v>
      </c>
      <c r="AA25" s="373">
        <f t="shared" si="14"/>
        <v>1450.23</v>
      </c>
      <c r="AB25" s="376">
        <v>84.6</v>
      </c>
      <c r="AC25" s="376">
        <f t="shared" si="1"/>
        <v>1.9872997427882741</v>
      </c>
      <c r="AD25" s="371">
        <f t="shared" si="15"/>
        <v>2.1126232987888622</v>
      </c>
      <c r="AE25" s="376">
        <f t="shared" si="15"/>
        <v>2.0828498058230118</v>
      </c>
      <c r="AF25" s="97">
        <v>0</v>
      </c>
      <c r="AG25" s="375">
        <f t="shared" si="32"/>
        <v>0</v>
      </c>
      <c r="AH25" s="376">
        <f t="shared" si="16"/>
        <v>0</v>
      </c>
      <c r="AI25" s="376">
        <f t="shared" si="16"/>
        <v>0</v>
      </c>
      <c r="AJ25" s="371">
        <f t="shared" si="17"/>
        <v>0</v>
      </c>
      <c r="AK25" s="376">
        <f t="shared" si="17"/>
        <v>0</v>
      </c>
      <c r="AL25" s="375">
        <f>'17'!I46</f>
        <v>40405.750000001084</v>
      </c>
      <c r="AM25" s="373">
        <f t="shared" si="18"/>
        <v>679413.59499999974</v>
      </c>
      <c r="AN25" s="376">
        <f t="shared" si="19"/>
        <v>957.50491717815794</v>
      </c>
      <c r="AO25" s="376">
        <f t="shared" si="19"/>
        <v>931.02367389335211</v>
      </c>
      <c r="AP25" s="376">
        <f t="shared" si="20"/>
        <v>1009.0086153078057</v>
      </c>
      <c r="AQ25" s="376">
        <f t="shared" si="20"/>
        <v>975.78761604660224</v>
      </c>
      <c r="AR25" s="375">
        <f>+Listrik!AA24</f>
        <v>0</v>
      </c>
      <c r="AS25" s="373">
        <f t="shared" si="21"/>
        <v>0</v>
      </c>
      <c r="AT25" s="376">
        <f t="shared" si="22"/>
        <v>0</v>
      </c>
      <c r="AU25" s="376">
        <f t="shared" si="22"/>
        <v>0</v>
      </c>
      <c r="AV25" s="376">
        <f t="shared" si="23"/>
        <v>0</v>
      </c>
      <c r="AW25" s="376">
        <f t="shared" si="23"/>
        <v>0</v>
      </c>
      <c r="AX25" s="375">
        <f>+Listrik!AD24</f>
        <v>3650</v>
      </c>
      <c r="AY25" s="373">
        <f t="shared" si="24"/>
        <v>9780</v>
      </c>
      <c r="AZ25" s="376">
        <f t="shared" si="25"/>
        <v>86.494940638403747</v>
      </c>
      <c r="BA25" s="376">
        <f t="shared" si="26"/>
        <v>13.401868313625645</v>
      </c>
      <c r="BB25" s="376">
        <f t="shared" si="27"/>
        <v>91.147459108502929</v>
      </c>
      <c r="BC25" s="376">
        <f t="shared" si="28"/>
        <v>14.046234804788934</v>
      </c>
      <c r="BD25" s="449"/>
      <c r="BE25" s="371">
        <f>+Efficiency2!K81</f>
        <v>45.187064999999997</v>
      </c>
      <c r="BF25" s="372">
        <f t="shared" si="29"/>
        <v>802.85281916898396</v>
      </c>
      <c r="BG25" s="397">
        <f t="shared" si="30"/>
        <v>0.88620493497420127</v>
      </c>
      <c r="BH25" s="397">
        <f t="shared" si="31"/>
        <v>0.86724737508015037</v>
      </c>
    </row>
    <row r="26" spans="1:60" s="377" customFormat="1" ht="12.75" customHeight="1">
      <c r="A26" s="391">
        <f t="shared" si="2"/>
        <v>45856</v>
      </c>
      <c r="B26" s="400" t="s">
        <v>8</v>
      </c>
      <c r="C26" s="378" t="s">
        <v>663</v>
      </c>
      <c r="D26" s="370">
        <f>+'18'!F42</f>
        <v>1350</v>
      </c>
      <c r="E26" s="370">
        <f>+'18'!G42</f>
        <v>1039.5</v>
      </c>
      <c r="F26" s="48">
        <f t="shared" si="0"/>
        <v>0.22999999999999998</v>
      </c>
      <c r="G26" s="396">
        <f t="shared" si="3"/>
        <v>1.0010797720094626</v>
      </c>
      <c r="H26" s="392">
        <f t="shared" si="4"/>
        <v>1.0010797720094626</v>
      </c>
      <c r="I26" s="392">
        <f t="shared" si="5"/>
        <v>1.0263760495293019</v>
      </c>
      <c r="J26" s="397">
        <f t="shared" si="6"/>
        <v>1.0274843016587667</v>
      </c>
      <c r="K26" s="397">
        <f t="shared" si="6"/>
        <v>0.8677264955382632</v>
      </c>
      <c r="L26" s="371">
        <f>+SUM(Efficiency1!K86:K87)</f>
        <v>47.113128562499995</v>
      </c>
      <c r="M26" s="372">
        <f t="shared" ref="M26:O38" si="33">M25+L26</f>
        <v>858.19668274398407</v>
      </c>
      <c r="N26" s="371">
        <f>+SUM(Efficiency1!C86:C87)</f>
        <v>47.113128562499995</v>
      </c>
      <c r="O26" s="372">
        <f t="shared" si="33"/>
        <v>847.13161620919038</v>
      </c>
      <c r="P26" s="372">
        <f>'18'!I38</f>
        <v>47.164000000000001</v>
      </c>
      <c r="Q26" s="372">
        <f t="shared" si="8"/>
        <v>776.9129999999999</v>
      </c>
      <c r="R26" s="372">
        <f>'18'!I40</f>
        <v>48.408000000000001</v>
      </c>
      <c r="S26" s="372">
        <f t="shared" si="9"/>
        <v>744.68</v>
      </c>
      <c r="T26" s="97">
        <f>+[1]Report1!AZ26</f>
        <v>3780.6824635087773</v>
      </c>
      <c r="U26" s="13">
        <f t="shared" si="10"/>
        <v>64381.189714636115</v>
      </c>
      <c r="V26" s="277">
        <f t="shared" si="11"/>
        <v>80.160343980764509</v>
      </c>
      <c r="W26" s="277">
        <f t="shared" si="11"/>
        <v>82.867952672482147</v>
      </c>
      <c r="X26" s="278">
        <f t="shared" si="12"/>
        <v>78.100364888216347</v>
      </c>
      <c r="Y26" s="277">
        <f t="shared" si="13"/>
        <v>86.454839279470534</v>
      </c>
      <c r="Z26" s="374">
        <v>85.9</v>
      </c>
      <c r="AA26" s="373">
        <f t="shared" si="14"/>
        <v>1536.13</v>
      </c>
      <c r="AB26" s="376">
        <v>85.9</v>
      </c>
      <c r="AC26" s="376">
        <f t="shared" si="1"/>
        <v>1.9772226748683577</v>
      </c>
      <c r="AD26" s="371">
        <f t="shared" si="15"/>
        <v>1.7745000826309703</v>
      </c>
      <c r="AE26" s="376">
        <f t="shared" si="15"/>
        <v>2.0628055003491435</v>
      </c>
      <c r="AF26" s="97">
        <v>0</v>
      </c>
      <c r="AG26" s="375">
        <f t="shared" si="32"/>
        <v>0</v>
      </c>
      <c r="AH26" s="376">
        <f t="shared" si="16"/>
        <v>0</v>
      </c>
      <c r="AI26" s="376">
        <f t="shared" si="16"/>
        <v>0</v>
      </c>
      <c r="AJ26" s="371">
        <f t="shared" si="17"/>
        <v>0</v>
      </c>
      <c r="AK26" s="376">
        <f t="shared" si="17"/>
        <v>0</v>
      </c>
      <c r="AL26" s="375">
        <f>'18'!I46</f>
        <v>39345.434999999983</v>
      </c>
      <c r="AM26" s="373">
        <f t="shared" si="18"/>
        <v>718759.02999999968</v>
      </c>
      <c r="AN26" s="376">
        <f>IF(AND(L26&gt;0,AL26&gt;0),(AL26/(P26*1000)*1000),0)</f>
        <v>834.22599864303254</v>
      </c>
      <c r="AO26" s="376">
        <f t="shared" si="19"/>
        <v>925.14738458488887</v>
      </c>
      <c r="AP26" s="376">
        <f t="shared" si="20"/>
        <v>812.78786564204233</v>
      </c>
      <c r="AQ26" s="376">
        <f t="shared" si="20"/>
        <v>965.19180050491434</v>
      </c>
      <c r="AR26" s="375">
        <f>+Listrik!AA25</f>
        <v>0</v>
      </c>
      <c r="AS26" s="373">
        <f t="shared" si="21"/>
        <v>0</v>
      </c>
      <c r="AT26" s="376">
        <f t="shared" si="22"/>
        <v>0</v>
      </c>
      <c r="AU26" s="376">
        <f t="shared" si="22"/>
        <v>0</v>
      </c>
      <c r="AV26" s="376">
        <f t="shared" si="23"/>
        <v>0</v>
      </c>
      <c r="AW26" s="376">
        <f t="shared" si="23"/>
        <v>0</v>
      </c>
      <c r="AX26" s="375">
        <f>+Listrik!AD25</f>
        <v>4050</v>
      </c>
      <c r="AY26" s="373">
        <f t="shared" si="24"/>
        <v>13830</v>
      </c>
      <c r="AZ26" s="376">
        <f t="shared" si="25"/>
        <v>85.870579255364262</v>
      </c>
      <c r="BA26" s="376">
        <f t="shared" si="26"/>
        <v>17.801220986133583</v>
      </c>
      <c r="BB26" s="376">
        <f t="shared" si="27"/>
        <v>83.663857213683684</v>
      </c>
      <c r="BC26" s="376">
        <f t="shared" si="28"/>
        <v>18.57173551055487</v>
      </c>
      <c r="BD26" s="449"/>
      <c r="BE26" s="371">
        <f>+SUM(Efficiency2!K86:K87)</f>
        <v>47.113128562499995</v>
      </c>
      <c r="BF26" s="372">
        <f t="shared" si="29"/>
        <v>849.96594773148399</v>
      </c>
      <c r="BG26" s="397">
        <f t="shared" si="30"/>
        <v>1.0274843016587667</v>
      </c>
      <c r="BH26" s="397">
        <f t="shared" si="31"/>
        <v>0.87612921669098986</v>
      </c>
    </row>
    <row r="27" spans="1:60" s="377" customFormat="1" ht="12.75" customHeight="1">
      <c r="A27" s="391">
        <f t="shared" si="2"/>
        <v>45857</v>
      </c>
      <c r="B27" s="400" t="s">
        <v>8</v>
      </c>
      <c r="C27" s="378" t="s">
        <v>578</v>
      </c>
      <c r="D27" s="370">
        <f>+'19'!F42</f>
        <v>1350</v>
      </c>
      <c r="E27" s="370">
        <f>+'19'!G42</f>
        <v>1039.5</v>
      </c>
      <c r="F27" s="48">
        <f t="shared" si="0"/>
        <v>0.22999999999999998</v>
      </c>
      <c r="G27" s="396">
        <f t="shared" si="3"/>
        <v>0.96734206313710636</v>
      </c>
      <c r="H27" s="392">
        <f t="shared" si="4"/>
        <v>0.96734206313710636</v>
      </c>
      <c r="I27" s="392">
        <f t="shared" si="5"/>
        <v>0.88680225010817826</v>
      </c>
      <c r="J27" s="397">
        <f t="shared" si="6"/>
        <v>0.85784111821427333</v>
      </c>
      <c r="K27" s="397">
        <f t="shared" si="6"/>
        <v>0.86720514971000517</v>
      </c>
      <c r="L27" s="371">
        <f>+Efficiency1!K90</f>
        <v>47.780409599999999</v>
      </c>
      <c r="M27" s="372">
        <f t="shared" si="33"/>
        <v>905.97709234398405</v>
      </c>
      <c r="N27" s="371">
        <f>+Efficiency1!C90</f>
        <v>47.780409599999999</v>
      </c>
      <c r="O27" s="372">
        <f t="shared" si="33"/>
        <v>894.91202580919037</v>
      </c>
      <c r="P27" s="372">
        <f>'19'!I38</f>
        <v>46.22</v>
      </c>
      <c r="Q27" s="372">
        <f t="shared" si="8"/>
        <v>823.13299999999992</v>
      </c>
      <c r="R27" s="372">
        <f>'19'!I40</f>
        <v>40.988</v>
      </c>
      <c r="S27" s="372">
        <f t="shared" si="9"/>
        <v>785.66799999999989</v>
      </c>
      <c r="T27" s="97">
        <f>+[1]Report1!AZ27</f>
        <v>3788.8914295765358</v>
      </c>
      <c r="U27" s="13">
        <f t="shared" si="10"/>
        <v>68170.081144212658</v>
      </c>
      <c r="V27" s="277">
        <f t="shared" si="11"/>
        <v>81.975149925931106</v>
      </c>
      <c r="W27" s="277">
        <f t="shared" si="11"/>
        <v>82.817820624628908</v>
      </c>
      <c r="X27" s="278">
        <f t="shared" si="12"/>
        <v>92.439041416427628</v>
      </c>
      <c r="Y27" s="277">
        <f t="shared" si="13"/>
        <v>86.767032823295168</v>
      </c>
      <c r="Z27" s="374">
        <v>87.1</v>
      </c>
      <c r="AA27" s="373">
        <f t="shared" si="14"/>
        <v>1623.23</v>
      </c>
      <c r="AB27" s="376">
        <v>87.1</v>
      </c>
      <c r="AC27" s="376">
        <f t="shared" si="1"/>
        <v>1.9720142431417524</v>
      </c>
      <c r="AD27" s="371">
        <f t="shared" si="15"/>
        <v>2.1250121986923003</v>
      </c>
      <c r="AE27" s="376">
        <f t="shared" si="15"/>
        <v>2.0660508000834961</v>
      </c>
      <c r="AF27" s="97">
        <v>0</v>
      </c>
      <c r="AG27" s="375">
        <f t="shared" si="32"/>
        <v>0</v>
      </c>
      <c r="AH27" s="376">
        <f t="shared" si="16"/>
        <v>0</v>
      </c>
      <c r="AI27" s="376">
        <f t="shared" si="16"/>
        <v>0</v>
      </c>
      <c r="AJ27" s="371">
        <f t="shared" si="17"/>
        <v>0</v>
      </c>
      <c r="AK27" s="376">
        <f t="shared" si="17"/>
        <v>0</v>
      </c>
      <c r="AL27" s="375">
        <f>'19'!I46</f>
        <v>40886.00499999999</v>
      </c>
      <c r="AM27" s="373">
        <f t="shared" si="18"/>
        <v>759645.03499999968</v>
      </c>
      <c r="AN27" s="376">
        <f t="shared" si="19"/>
        <v>884.59552141929873</v>
      </c>
      <c r="AO27" s="376">
        <f t="shared" si="19"/>
        <v>922.87034416066399</v>
      </c>
      <c r="AP27" s="376">
        <f t="shared" si="20"/>
        <v>997.51158875768499</v>
      </c>
      <c r="AQ27" s="376">
        <f t="shared" si="20"/>
        <v>966.87791153515207</v>
      </c>
      <c r="AR27" s="375">
        <f>+Listrik!AA26</f>
        <v>0</v>
      </c>
      <c r="AS27" s="373">
        <f t="shared" si="21"/>
        <v>0</v>
      </c>
      <c r="AT27" s="376">
        <f t="shared" si="22"/>
        <v>0</v>
      </c>
      <c r="AU27" s="376">
        <f t="shared" si="22"/>
        <v>0</v>
      </c>
      <c r="AV27" s="376">
        <f t="shared" si="23"/>
        <v>0</v>
      </c>
      <c r="AW27" s="376">
        <f t="shared" si="23"/>
        <v>0</v>
      </c>
      <c r="AX27" s="375">
        <f>+Listrik!AD26</f>
        <v>3890</v>
      </c>
      <c r="AY27" s="373">
        <f t="shared" si="24"/>
        <v>17720</v>
      </c>
      <c r="AZ27" s="376">
        <f t="shared" si="25"/>
        <v>84.162700129813928</v>
      </c>
      <c r="BA27" s="376">
        <f t="shared" si="26"/>
        <v>21.527505275575152</v>
      </c>
      <c r="BB27" s="376">
        <f t="shared" si="27"/>
        <v>94.905826095442563</v>
      </c>
      <c r="BC27" s="376">
        <f t="shared" si="28"/>
        <v>22.554055911657343</v>
      </c>
      <c r="BD27" s="449"/>
      <c r="BE27" s="371">
        <f>+Efficiency2!K90</f>
        <v>47.780409599999999</v>
      </c>
      <c r="BF27" s="372">
        <f t="shared" si="29"/>
        <v>897.74635733148398</v>
      </c>
      <c r="BG27" s="397">
        <f t="shared" si="30"/>
        <v>0.85784111821427333</v>
      </c>
      <c r="BH27" s="397">
        <f t="shared" si="31"/>
        <v>0.87515587624924185</v>
      </c>
    </row>
    <row r="28" spans="1:60" s="377" customFormat="1" ht="12.75" customHeight="1">
      <c r="A28" s="391">
        <f t="shared" si="2"/>
        <v>45858</v>
      </c>
      <c r="B28" s="400" t="s">
        <v>8</v>
      </c>
      <c r="C28" s="378" t="s">
        <v>578</v>
      </c>
      <c r="D28" s="370">
        <f>+'20'!F42</f>
        <v>1350</v>
      </c>
      <c r="E28" s="370">
        <f>+'20'!G42</f>
        <v>1039.5</v>
      </c>
      <c r="F28" s="48">
        <f t="shared" si="0"/>
        <v>0.22999999999999998</v>
      </c>
      <c r="G28" s="396">
        <f t="shared" si="3"/>
        <v>0.93716503182887789</v>
      </c>
      <c r="H28" s="392">
        <f t="shared" si="4"/>
        <v>0.93716503182887789</v>
      </c>
      <c r="I28" s="392">
        <f t="shared" si="5"/>
        <v>1.0495224461493726</v>
      </c>
      <c r="J28" s="397">
        <f t="shared" si="6"/>
        <v>0.98357573665069853</v>
      </c>
      <c r="K28" s="397">
        <f t="shared" si="6"/>
        <v>0.87302617213099221</v>
      </c>
      <c r="L28" s="371">
        <f>+Efficiency1!K94</f>
        <v>47.704511459154929</v>
      </c>
      <c r="M28" s="372">
        <f t="shared" si="33"/>
        <v>953.68160380313896</v>
      </c>
      <c r="N28" s="371">
        <f>+Efficiency1!C94</f>
        <v>47.704511459154929</v>
      </c>
      <c r="O28" s="372">
        <f t="shared" si="33"/>
        <v>942.61653726834527</v>
      </c>
      <c r="P28" s="372">
        <f>'20'!I38</f>
        <v>44.707000000000001</v>
      </c>
      <c r="Q28" s="372">
        <f t="shared" si="8"/>
        <v>867.83999999999992</v>
      </c>
      <c r="R28" s="372">
        <f>'20'!I40</f>
        <v>46.920999999999999</v>
      </c>
      <c r="S28" s="372">
        <f t="shared" si="9"/>
        <v>832.58899999999994</v>
      </c>
      <c r="T28" s="97">
        <f>+[1]Report1!AZ28</f>
        <v>3848.9560032894742</v>
      </c>
      <c r="U28" s="13">
        <f t="shared" si="10"/>
        <v>72019.037147502138</v>
      </c>
      <c r="V28" s="277">
        <f t="shared" si="11"/>
        <v>86.092916171728675</v>
      </c>
      <c r="W28" s="277">
        <f t="shared" si="11"/>
        <v>82.986538011041375</v>
      </c>
      <c r="X28" s="278">
        <f t="shared" si="12"/>
        <v>82.030562078589</v>
      </c>
      <c r="Y28" s="277">
        <f t="shared" si="13"/>
        <v>86.500106472103454</v>
      </c>
      <c r="Z28" s="374">
        <v>87.2</v>
      </c>
      <c r="AA28" s="373">
        <f t="shared" si="14"/>
        <v>1710.43</v>
      </c>
      <c r="AB28" s="376">
        <v>87.2</v>
      </c>
      <c r="AC28" s="376">
        <f t="shared" si="1"/>
        <v>1.9709047750737465</v>
      </c>
      <c r="AD28" s="371">
        <f t="shared" si="15"/>
        <v>1.8584429146863879</v>
      </c>
      <c r="AE28" s="376">
        <f t="shared" si="15"/>
        <v>2.0543509462652043</v>
      </c>
      <c r="AF28" s="97">
        <v>0</v>
      </c>
      <c r="AG28" s="375">
        <f t="shared" si="32"/>
        <v>0</v>
      </c>
      <c r="AH28" s="376">
        <f t="shared" si="16"/>
        <v>0</v>
      </c>
      <c r="AI28" s="376">
        <f t="shared" si="16"/>
        <v>0</v>
      </c>
      <c r="AJ28" s="371">
        <f t="shared" si="17"/>
        <v>0</v>
      </c>
      <c r="AK28" s="376">
        <f t="shared" si="17"/>
        <v>0</v>
      </c>
      <c r="AL28" s="375">
        <f>'20'!I46</f>
        <v>40534.329999999769</v>
      </c>
      <c r="AM28" s="373">
        <f t="shared" si="18"/>
        <v>800179.36499999941</v>
      </c>
      <c r="AN28" s="376">
        <f t="shared" si="19"/>
        <v>906.66629386896386</v>
      </c>
      <c r="AO28" s="376">
        <f t="shared" si="19"/>
        <v>922.03558835730041</v>
      </c>
      <c r="AP28" s="376">
        <f t="shared" si="20"/>
        <v>863.88461456490211</v>
      </c>
      <c r="AQ28" s="376">
        <f t="shared" si="20"/>
        <v>961.07366900115107</v>
      </c>
      <c r="AR28" s="375">
        <f>+Listrik!AA27</f>
        <v>0</v>
      </c>
      <c r="AS28" s="373">
        <f t="shared" si="21"/>
        <v>0</v>
      </c>
      <c r="AT28" s="376">
        <f t="shared" si="22"/>
        <v>0</v>
      </c>
      <c r="AU28" s="376">
        <f t="shared" si="22"/>
        <v>0</v>
      </c>
      <c r="AV28" s="376">
        <f t="shared" si="23"/>
        <v>0</v>
      </c>
      <c r="AW28" s="376">
        <f t="shared" si="23"/>
        <v>0</v>
      </c>
      <c r="AX28" s="375">
        <f>+Listrik!AD27</f>
        <v>2720</v>
      </c>
      <c r="AY28" s="373">
        <f t="shared" si="24"/>
        <v>20440</v>
      </c>
      <c r="AZ28" s="376">
        <f t="shared" si="25"/>
        <v>60.840584248551686</v>
      </c>
      <c r="BA28" s="376">
        <f t="shared" si="26"/>
        <v>23.552728613569325</v>
      </c>
      <c r="BB28" s="376">
        <f t="shared" si="27"/>
        <v>57.969778990217605</v>
      </c>
      <c r="BC28" s="376">
        <f t="shared" si="28"/>
        <v>24.549927995685746</v>
      </c>
      <c r="BD28" s="449"/>
      <c r="BE28" s="371">
        <f>+Efficiency2!K94</f>
        <v>47.704511459154929</v>
      </c>
      <c r="BF28" s="372">
        <f t="shared" si="29"/>
        <v>945.45086879063888</v>
      </c>
      <c r="BG28" s="397">
        <f t="shared" si="30"/>
        <v>0.98357573665069853</v>
      </c>
      <c r="BH28" s="397">
        <f t="shared" si="31"/>
        <v>0.88062640533081882</v>
      </c>
    </row>
    <row r="29" spans="1:60" s="377" customFormat="1" ht="12.75" customHeight="1">
      <c r="A29" s="391">
        <f t="shared" si="2"/>
        <v>45859</v>
      </c>
      <c r="B29" s="400" t="s">
        <v>8</v>
      </c>
      <c r="C29" s="378" t="s">
        <v>578</v>
      </c>
      <c r="D29" s="370">
        <f>+'21'!F42</f>
        <v>1350</v>
      </c>
      <c r="E29" s="370">
        <f>+'21'!G42</f>
        <v>1039.5</v>
      </c>
      <c r="F29" s="48">
        <f t="shared" si="0"/>
        <v>0.22999999999999998</v>
      </c>
      <c r="G29" s="396">
        <f t="shared" si="3"/>
        <v>0.98585399511325444</v>
      </c>
      <c r="H29" s="392">
        <f t="shared" si="4"/>
        <v>0.98585399511325444</v>
      </c>
      <c r="I29" s="392">
        <f t="shared" si="5"/>
        <v>0.98838017462317007</v>
      </c>
      <c r="J29" s="397">
        <f t="shared" si="6"/>
        <v>0.9743985438429883</v>
      </c>
      <c r="K29" s="397">
        <f t="shared" si="6"/>
        <v>0.87775871260988891</v>
      </c>
      <c r="L29" s="371">
        <f>+Efficiency1!K98</f>
        <v>46.702655999999998</v>
      </c>
      <c r="M29" s="372">
        <f t="shared" si="33"/>
        <v>1000.384259803139</v>
      </c>
      <c r="N29" s="371">
        <f>+Efficiency1!C98</f>
        <v>46.702655999999998</v>
      </c>
      <c r="O29" s="372">
        <f t="shared" si="33"/>
        <v>989.31919326834532</v>
      </c>
      <c r="P29" s="372">
        <f>'21'!I38</f>
        <v>46.042000000000002</v>
      </c>
      <c r="Q29" s="372">
        <f t="shared" si="8"/>
        <v>913.88199999999995</v>
      </c>
      <c r="R29" s="372">
        <f>'21'!I40</f>
        <v>45.506999999999998</v>
      </c>
      <c r="S29" s="372">
        <f t="shared" si="9"/>
        <v>878.09599999999989</v>
      </c>
      <c r="T29" s="97">
        <f>+[1]Report1!AZ29</f>
        <v>3772.4843602302994</v>
      </c>
      <c r="U29" s="13">
        <f>T29+U28</f>
        <v>75791.521507732439</v>
      </c>
      <c r="V29" s="277">
        <f t="shared" si="11"/>
        <v>81.935718696631326</v>
      </c>
      <c r="W29" s="277">
        <f t="shared" si="11"/>
        <v>82.933597015514522</v>
      </c>
      <c r="X29" s="278">
        <f t="shared" si="12"/>
        <v>82.898990490041086</v>
      </c>
      <c r="Y29" s="277">
        <f t="shared" si="13"/>
        <v>86.313479969994674</v>
      </c>
      <c r="Z29" s="374">
        <v>87.2</v>
      </c>
      <c r="AA29" s="373">
        <f t="shared" si="14"/>
        <v>1797.63</v>
      </c>
      <c r="AB29" s="376">
        <v>87.2</v>
      </c>
      <c r="AC29" s="376">
        <f t="shared" si="1"/>
        <v>1.9670263775848524</v>
      </c>
      <c r="AD29" s="371">
        <f t="shared" si="15"/>
        <v>1.9161887182191752</v>
      </c>
      <c r="AE29" s="376">
        <f t="shared" si="15"/>
        <v>2.047190739964651</v>
      </c>
      <c r="AF29" s="97">
        <v>0</v>
      </c>
      <c r="AG29" s="375">
        <f t="shared" si="32"/>
        <v>0</v>
      </c>
      <c r="AH29" s="376">
        <f t="shared" si="16"/>
        <v>0</v>
      </c>
      <c r="AI29" s="376">
        <f t="shared" si="16"/>
        <v>0</v>
      </c>
      <c r="AJ29" s="371">
        <f t="shared" si="17"/>
        <v>0</v>
      </c>
      <c r="AK29" s="376">
        <f t="shared" si="17"/>
        <v>0</v>
      </c>
      <c r="AL29" s="375">
        <f>'21'!I46</f>
        <v>43722.394999999407</v>
      </c>
      <c r="AM29" s="373">
        <f t="shared" si="18"/>
        <v>843901.75999999885</v>
      </c>
      <c r="AN29" s="376">
        <f t="shared" si="19"/>
        <v>949.6198036575172</v>
      </c>
      <c r="AO29" s="376">
        <f t="shared" si="19"/>
        <v>923.4252999840229</v>
      </c>
      <c r="AP29" s="376">
        <f t="shared" si="20"/>
        <v>960.78394532707955</v>
      </c>
      <c r="AQ29" s="376">
        <f t="shared" si="20"/>
        <v>961.05865417904079</v>
      </c>
      <c r="AR29" s="375">
        <f>+Listrik!AA28</f>
        <v>0</v>
      </c>
      <c r="AS29" s="373">
        <f t="shared" si="21"/>
        <v>0</v>
      </c>
      <c r="AT29" s="376">
        <f t="shared" si="22"/>
        <v>0</v>
      </c>
      <c r="AU29" s="376">
        <f t="shared" si="22"/>
        <v>0</v>
      </c>
      <c r="AV29" s="376">
        <f t="shared" si="23"/>
        <v>0</v>
      </c>
      <c r="AW29" s="376">
        <f t="shared" si="23"/>
        <v>0</v>
      </c>
      <c r="AX29" s="375">
        <f>+Listrik!AD28</f>
        <v>0</v>
      </c>
      <c r="AY29" s="373">
        <f t="shared" si="24"/>
        <v>20440</v>
      </c>
      <c r="AZ29" s="376">
        <f t="shared" si="25"/>
        <v>0</v>
      </c>
      <c r="BA29" s="376">
        <f t="shared" si="26"/>
        <v>22.366126042530656</v>
      </c>
      <c r="BB29" s="376">
        <f t="shared" si="27"/>
        <v>0</v>
      </c>
      <c r="BC29" s="376">
        <f t="shared" si="28"/>
        <v>23.277637069295388</v>
      </c>
      <c r="BD29" s="449"/>
      <c r="BE29" s="371">
        <f>+Efficiency2!K98</f>
        <v>46.702655999999998</v>
      </c>
      <c r="BF29" s="372">
        <f t="shared" si="29"/>
        <v>992.15352479063893</v>
      </c>
      <c r="BG29" s="397">
        <f t="shared" si="30"/>
        <v>0.9743985438429883</v>
      </c>
      <c r="BH29" s="397">
        <f t="shared" si="31"/>
        <v>0.88504044793399583</v>
      </c>
    </row>
    <row r="30" spans="1:60" s="377" customFormat="1" ht="12.75" customHeight="1">
      <c r="A30" s="391">
        <f t="shared" si="2"/>
        <v>45860</v>
      </c>
      <c r="B30" s="400" t="s">
        <v>8</v>
      </c>
      <c r="C30" s="378" t="s">
        <v>685</v>
      </c>
      <c r="D30" s="370">
        <f>+'22'!F42</f>
        <v>1350</v>
      </c>
      <c r="E30" s="370">
        <f>+'22'!G42</f>
        <v>1039.5</v>
      </c>
      <c r="F30" s="48">
        <f t="shared" si="0"/>
        <v>0.22999999999999998</v>
      </c>
      <c r="G30" s="396">
        <f t="shared" si="3"/>
        <v>0.95194477681053469</v>
      </c>
      <c r="H30" s="392">
        <f t="shared" si="4"/>
        <v>0.95194477681053469</v>
      </c>
      <c r="I30" s="392">
        <f t="shared" si="5"/>
        <v>0.94858292662042998</v>
      </c>
      <c r="J30" s="397">
        <f t="shared" si="6"/>
        <v>0.90299856236796894</v>
      </c>
      <c r="K30" s="397">
        <f t="shared" si="6"/>
        <v>0.87893896632447122</v>
      </c>
      <c r="L30" s="371">
        <f>+SUM(Efficiency1!K102:K103)</f>
        <v>49.074275249999999</v>
      </c>
      <c r="M30" s="372">
        <f t="shared" si="33"/>
        <v>1049.458535053139</v>
      </c>
      <c r="N30" s="371">
        <f>+SUM(Efficiency1!C102:C103)</f>
        <v>49.074275249999999</v>
      </c>
      <c r="O30" s="372">
        <f t="shared" si="33"/>
        <v>1038.3934685183453</v>
      </c>
      <c r="P30" s="372">
        <f>'22'!I38</f>
        <v>46.715999999999994</v>
      </c>
      <c r="Q30" s="372">
        <f t="shared" si="8"/>
        <v>960.59799999999996</v>
      </c>
      <c r="R30" s="372">
        <f>'22'!I40</f>
        <v>44.314</v>
      </c>
      <c r="S30" s="372">
        <f t="shared" si="9"/>
        <v>922.40999999999985</v>
      </c>
      <c r="T30" s="97">
        <f>+[1]Report1!AZ30</f>
        <v>3729.7432262619127</v>
      </c>
      <c r="U30" s="13">
        <f t="shared" si="10"/>
        <v>79521.264733994351</v>
      </c>
      <c r="V30" s="277">
        <f t="shared" si="11"/>
        <v>79.8386682563129</v>
      </c>
      <c r="W30" s="277">
        <f t="shared" si="11"/>
        <v>82.783083801959151</v>
      </c>
      <c r="X30" s="278">
        <f t="shared" si="12"/>
        <v>84.166250536216836</v>
      </c>
      <c r="Y30" s="277">
        <f t="shared" si="13"/>
        <v>86.210323754072874</v>
      </c>
      <c r="Z30" s="374">
        <v>90</v>
      </c>
      <c r="AA30" s="373">
        <f t="shared" si="14"/>
        <v>1887.63</v>
      </c>
      <c r="AB30" s="376">
        <v>90</v>
      </c>
      <c r="AC30" s="376">
        <f t="shared" si="1"/>
        <v>1.9650571831296757</v>
      </c>
      <c r="AD30" s="371">
        <f t="shared" si="15"/>
        <v>2.0309608701539017</v>
      </c>
      <c r="AE30" s="376">
        <f t="shared" si="15"/>
        <v>2.046411031970599</v>
      </c>
      <c r="AF30" s="97">
        <v>0</v>
      </c>
      <c r="AG30" s="375">
        <f t="shared" si="32"/>
        <v>0</v>
      </c>
      <c r="AH30" s="376">
        <f t="shared" si="16"/>
        <v>0</v>
      </c>
      <c r="AI30" s="376">
        <f t="shared" si="16"/>
        <v>0</v>
      </c>
      <c r="AJ30" s="371">
        <f t="shared" si="17"/>
        <v>0</v>
      </c>
      <c r="AK30" s="376">
        <f t="shared" si="17"/>
        <v>0</v>
      </c>
      <c r="AL30" s="375">
        <f>'22'!I46</f>
        <v>45912.469999999848</v>
      </c>
      <c r="AM30" s="373">
        <f t="shared" si="18"/>
        <v>889814.2299999987</v>
      </c>
      <c r="AN30" s="376">
        <f t="shared" si="19"/>
        <v>982.79968319205102</v>
      </c>
      <c r="AO30" s="376">
        <f t="shared" si="19"/>
        <v>926.31280723049474</v>
      </c>
      <c r="AP30" s="376">
        <f t="shared" si="20"/>
        <v>1036.0714446901623</v>
      </c>
      <c r="AQ30" s="376">
        <f t="shared" si="20"/>
        <v>964.66238440606548</v>
      </c>
      <c r="AR30" s="375">
        <f>+Listrik!AA29</f>
        <v>0</v>
      </c>
      <c r="AS30" s="373">
        <f t="shared" si="21"/>
        <v>0</v>
      </c>
      <c r="AT30" s="376">
        <f t="shared" si="22"/>
        <v>0</v>
      </c>
      <c r="AU30" s="376">
        <f t="shared" si="22"/>
        <v>0</v>
      </c>
      <c r="AV30" s="376">
        <f t="shared" si="23"/>
        <v>0</v>
      </c>
      <c r="AW30" s="376">
        <f t="shared" si="23"/>
        <v>0</v>
      </c>
      <c r="AX30" s="375">
        <f>+Listrik!AD29</f>
        <v>0</v>
      </c>
      <c r="AY30" s="373">
        <f t="shared" si="24"/>
        <v>20440</v>
      </c>
      <c r="AZ30" s="376">
        <f t="shared" si="25"/>
        <v>0</v>
      </c>
      <c r="BA30" s="376">
        <f t="shared" si="26"/>
        <v>21.278411989198393</v>
      </c>
      <c r="BB30" s="376">
        <f t="shared" si="27"/>
        <v>0</v>
      </c>
      <c r="BC30" s="376">
        <f t="shared" si="28"/>
        <v>22.159343458982452</v>
      </c>
      <c r="BD30" s="449"/>
      <c r="BE30" s="371">
        <f>+SUM(Efficiency2!K102:K103)</f>
        <v>49.074275249999999</v>
      </c>
      <c r="BF30" s="372">
        <f t="shared" si="29"/>
        <v>1041.2278000406388</v>
      </c>
      <c r="BG30" s="397">
        <f t="shared" si="30"/>
        <v>0.90299856236796894</v>
      </c>
      <c r="BH30" s="397">
        <f t="shared" si="31"/>
        <v>0.88588683471954788</v>
      </c>
    </row>
    <row r="31" spans="1:60" s="377" customFormat="1" ht="12.75" customHeight="1">
      <c r="A31" s="391">
        <f t="shared" si="2"/>
        <v>45861</v>
      </c>
      <c r="B31" s="400" t="s">
        <v>8</v>
      </c>
      <c r="C31" s="378" t="s">
        <v>697</v>
      </c>
      <c r="D31" s="370">
        <f>+'23'!F42</f>
        <v>1350</v>
      </c>
      <c r="E31" s="370">
        <f>+'23'!G42</f>
        <v>1039.5</v>
      </c>
      <c r="F31" s="48">
        <f t="shared" si="0"/>
        <v>0.22999999999999998</v>
      </c>
      <c r="G31" s="396">
        <f t="shared" si="3"/>
        <v>0.92770545579956099</v>
      </c>
      <c r="H31" s="392">
        <f t="shared" si="4"/>
        <v>0.92770545579956099</v>
      </c>
      <c r="I31" s="392">
        <f t="shared" si="5"/>
        <v>0.97347153900210825</v>
      </c>
      <c r="J31" s="397">
        <f t="shared" si="6"/>
        <v>0.90309485779785093</v>
      </c>
      <c r="K31" s="397">
        <f t="shared" si="6"/>
        <v>0.88001828761718581</v>
      </c>
      <c r="L31" s="371">
        <f>+SUM(Efficiency1!K106:K108)</f>
        <v>49.084544793103447</v>
      </c>
      <c r="M31" s="372">
        <f t="shared" si="33"/>
        <v>1098.5430798462426</v>
      </c>
      <c r="N31" s="371">
        <f>+SUM(Efficiency1!C106:C108)</f>
        <v>49.084544793103447</v>
      </c>
      <c r="O31" s="372">
        <f t="shared" si="33"/>
        <v>1087.4780133114489</v>
      </c>
      <c r="P31" s="372">
        <f>'23'!I38</f>
        <v>45.536000000000001</v>
      </c>
      <c r="Q31" s="372">
        <f t="shared" si="8"/>
        <v>1006.134</v>
      </c>
      <c r="R31" s="372">
        <f>'23'!I40</f>
        <v>44.328000000000003</v>
      </c>
      <c r="S31" s="372">
        <f t="shared" si="9"/>
        <v>966.73799999999983</v>
      </c>
      <c r="T31" s="97">
        <f>+[1]Report1!AZ31</f>
        <v>3622.0686401389185</v>
      </c>
      <c r="U31" s="13">
        <f t="shared" si="10"/>
        <v>83143.333374133275</v>
      </c>
      <c r="V31" s="277">
        <f t="shared" si="11"/>
        <v>79.542969082460431</v>
      </c>
      <c r="W31" s="277">
        <f t="shared" si="11"/>
        <v>82.636441442326046</v>
      </c>
      <c r="X31" s="278">
        <f t="shared" si="12"/>
        <v>81.710626243884647</v>
      </c>
      <c r="Y31" s="277">
        <f t="shared" si="13"/>
        <v>86.003998367844531</v>
      </c>
      <c r="Z31" s="374">
        <v>89</v>
      </c>
      <c r="AA31" s="373">
        <f t="shared" si="14"/>
        <v>1976.63</v>
      </c>
      <c r="AB31" s="376">
        <v>89</v>
      </c>
      <c r="AC31" s="376">
        <f t="shared" si="1"/>
        <v>1.9645792707531999</v>
      </c>
      <c r="AD31" s="371">
        <f t="shared" si="15"/>
        <v>2.0077603320700232</v>
      </c>
      <c r="AE31" s="376">
        <f t="shared" si="15"/>
        <v>2.0446387749317814</v>
      </c>
      <c r="AF31" s="97">
        <v>0</v>
      </c>
      <c r="AG31" s="375">
        <f t="shared" si="32"/>
        <v>0</v>
      </c>
      <c r="AH31" s="376">
        <f t="shared" si="16"/>
        <v>0</v>
      </c>
      <c r="AI31" s="376">
        <f t="shared" si="16"/>
        <v>0</v>
      </c>
      <c r="AJ31" s="371">
        <f t="shared" si="17"/>
        <v>0</v>
      </c>
      <c r="AK31" s="376">
        <f t="shared" si="17"/>
        <v>0</v>
      </c>
      <c r="AL31" s="375">
        <f>'23'!I46</f>
        <v>40393.515000001229</v>
      </c>
      <c r="AM31" s="373">
        <f t="shared" si="18"/>
        <v>930207.74499999988</v>
      </c>
      <c r="AN31" s="376">
        <f t="shared" si="19"/>
        <v>887.06770467325259</v>
      </c>
      <c r="AO31" s="376">
        <f t="shared" si="19"/>
        <v>924.53663726700404</v>
      </c>
      <c r="AP31" s="376">
        <f t="shared" si="20"/>
        <v>911.24154033570721</v>
      </c>
      <c r="AQ31" s="376">
        <f t="shared" si="20"/>
        <v>962.21286946411544</v>
      </c>
      <c r="AR31" s="375">
        <f>+Listrik!AA30</f>
        <v>0</v>
      </c>
      <c r="AS31" s="373">
        <f t="shared" si="21"/>
        <v>0</v>
      </c>
      <c r="AT31" s="376">
        <f t="shared" si="22"/>
        <v>0</v>
      </c>
      <c r="AU31" s="376">
        <f t="shared" si="22"/>
        <v>0</v>
      </c>
      <c r="AV31" s="376">
        <f t="shared" si="23"/>
        <v>0</v>
      </c>
      <c r="AW31" s="376">
        <f t="shared" si="23"/>
        <v>0</v>
      </c>
      <c r="AX31" s="375">
        <f>+Listrik!AD30</f>
        <v>0</v>
      </c>
      <c r="AY31" s="373">
        <f t="shared" si="24"/>
        <v>20440</v>
      </c>
      <c r="AZ31" s="376">
        <f t="shared" si="25"/>
        <v>0</v>
      </c>
      <c r="BA31" s="376">
        <f t="shared" si="26"/>
        <v>20.315385425798155</v>
      </c>
      <c r="BB31" s="376">
        <f t="shared" si="27"/>
        <v>0</v>
      </c>
      <c r="BC31" s="376">
        <f t="shared" si="28"/>
        <v>21.143267358891453</v>
      </c>
      <c r="BD31" s="449"/>
      <c r="BE31" s="371">
        <f>+SUM(Efficiency2!K106:K108)</f>
        <v>49.084544793103447</v>
      </c>
      <c r="BF31" s="372">
        <f t="shared" si="29"/>
        <v>1090.3123448337424</v>
      </c>
      <c r="BG31" s="397">
        <f t="shared" si="30"/>
        <v>0.90309485779785093</v>
      </c>
      <c r="BH31" s="397">
        <f t="shared" si="31"/>
        <v>0.88666151913322977</v>
      </c>
    </row>
    <row r="32" spans="1:60" s="377" customFormat="1" ht="12.75" customHeight="1">
      <c r="A32" s="391">
        <f t="shared" si="2"/>
        <v>45862</v>
      </c>
      <c r="B32" s="400" t="s">
        <v>526</v>
      </c>
      <c r="C32" s="378" t="s">
        <v>713</v>
      </c>
      <c r="D32" s="370">
        <f>+'24'!F42</f>
        <v>1133.4722222222222</v>
      </c>
      <c r="E32" s="370">
        <f>+'24'!G42</f>
        <v>927.03194444444443</v>
      </c>
      <c r="F32" s="48">
        <f t="shared" si="0"/>
        <v>0.18213086631540254</v>
      </c>
      <c r="G32" s="396">
        <f t="shared" si="3"/>
        <v>0.95187923026726728</v>
      </c>
      <c r="H32" s="392">
        <f t="shared" si="4"/>
        <v>0.95187923026726728</v>
      </c>
      <c r="I32" s="392">
        <f t="shared" si="5"/>
        <v>0.94142702875654916</v>
      </c>
      <c r="J32" s="397">
        <f t="shared" si="6"/>
        <v>0.89612483548558453</v>
      </c>
      <c r="K32" s="397">
        <f t="shared" si="6"/>
        <v>0.88075337393010034</v>
      </c>
      <c r="L32" s="371">
        <f>+SUM(Efficiency1!K111:K113)</f>
        <v>52.53397532999999</v>
      </c>
      <c r="M32" s="372">
        <f t="shared" si="33"/>
        <v>1151.0770551762425</v>
      </c>
      <c r="N32" s="371">
        <f>+SUM(Efficiency1!C111:C113)</f>
        <v>52.53397532999999</v>
      </c>
      <c r="O32" s="372">
        <f t="shared" si="33"/>
        <v>1140.0119886414489</v>
      </c>
      <c r="P32" s="372">
        <f>'24'!I38</f>
        <v>50.006</v>
      </c>
      <c r="Q32" s="372">
        <f t="shared" si="8"/>
        <v>1056.1400000000001</v>
      </c>
      <c r="R32" s="372">
        <f>'24'!I40</f>
        <v>47.076999999999998</v>
      </c>
      <c r="S32" s="372">
        <f t="shared" si="9"/>
        <v>1013.8149999999998</v>
      </c>
      <c r="T32" s="97">
        <f>+[1]Report1!AZ32</f>
        <v>3759.7835223631778</v>
      </c>
      <c r="U32" s="13">
        <f t="shared" si="10"/>
        <v>86903.11689649646</v>
      </c>
      <c r="V32" s="277">
        <f t="shared" si="11"/>
        <v>75.18664804949762</v>
      </c>
      <c r="W32" s="277">
        <f t="shared" si="11"/>
        <v>82.283709448081169</v>
      </c>
      <c r="X32" s="278">
        <f t="shared" si="12"/>
        <v>79.864552166943042</v>
      </c>
      <c r="Y32" s="277">
        <f t="shared" si="13"/>
        <v>85.718910152736427</v>
      </c>
      <c r="Z32" s="374">
        <v>91.05</v>
      </c>
      <c r="AA32" s="373">
        <f t="shared" si="14"/>
        <v>2067.6800000000003</v>
      </c>
      <c r="AB32" s="376">
        <v>91.05</v>
      </c>
      <c r="AC32" s="376">
        <f t="shared" si="1"/>
        <v>1.9577707500899504</v>
      </c>
      <c r="AD32" s="371">
        <f t="shared" si="15"/>
        <v>1.9340654672132889</v>
      </c>
      <c r="AE32" s="376">
        <f t="shared" si="15"/>
        <v>2.0395042488027899</v>
      </c>
      <c r="AF32" s="97">
        <v>7.9</v>
      </c>
      <c r="AG32" s="375">
        <f t="shared" si="32"/>
        <v>7.9</v>
      </c>
      <c r="AH32" s="376">
        <f t="shared" si="16"/>
        <v>0.15798104227492701</v>
      </c>
      <c r="AI32" s="376">
        <f t="shared" si="16"/>
        <v>7.480068930255458E-3</v>
      </c>
      <c r="AJ32" s="371">
        <f t="shared" si="17"/>
        <v>0.16781018331669395</v>
      </c>
      <c r="AK32" s="376">
        <f t="shared" si="17"/>
        <v>7.79234870267258E-3</v>
      </c>
      <c r="AL32" s="375">
        <f>+'24'!I46</f>
        <v>36466.874999998909</v>
      </c>
      <c r="AM32" s="373">
        <f t="shared" si="18"/>
        <v>966674.61999999883</v>
      </c>
      <c r="AN32" s="376">
        <f t="shared" si="19"/>
        <v>729.24999000117805</v>
      </c>
      <c r="AO32" s="376">
        <f t="shared" si="19"/>
        <v>915.29022667449283</v>
      </c>
      <c r="AP32" s="376">
        <f t="shared" si="20"/>
        <v>774.62189604263028</v>
      </c>
      <c r="AQ32" s="376">
        <f t="shared" si="20"/>
        <v>953.50199000803798</v>
      </c>
      <c r="AR32" s="375">
        <f>+Listrik!AA31</f>
        <v>20531.000000000044</v>
      </c>
      <c r="AS32" s="373">
        <f t="shared" si="21"/>
        <v>20531.000000000044</v>
      </c>
      <c r="AT32" s="376">
        <f t="shared" si="22"/>
        <v>410.57073151221942</v>
      </c>
      <c r="AU32" s="376">
        <f t="shared" si="22"/>
        <v>19.439657621148754</v>
      </c>
      <c r="AV32" s="376">
        <f t="shared" si="23"/>
        <v>436.11530046519624</v>
      </c>
      <c r="AW32" s="376">
        <f t="shared" si="23"/>
        <v>20.251229267667224</v>
      </c>
      <c r="AX32" s="375">
        <f>+Listrik!AD31</f>
        <v>0</v>
      </c>
      <c r="AY32" s="373">
        <f t="shared" si="24"/>
        <v>20440</v>
      </c>
      <c r="AZ32" s="376">
        <f t="shared" si="25"/>
        <v>0</v>
      </c>
      <c r="BA32" s="376">
        <f t="shared" si="26"/>
        <v>19.353494801825516</v>
      </c>
      <c r="BB32" s="376">
        <f t="shared" si="27"/>
        <v>0</v>
      </c>
      <c r="BC32" s="376">
        <f t="shared" si="28"/>
        <v>20.161469301598419</v>
      </c>
      <c r="BD32" s="449"/>
      <c r="BE32" s="371">
        <f>+Efficiency2!K111+Efficiency2!K112+Efficiency2!K113</f>
        <v>52.240949729999997</v>
      </c>
      <c r="BF32" s="372">
        <f t="shared" si="29"/>
        <v>1142.5532945637424</v>
      </c>
      <c r="BG32" s="397">
        <f t="shared" si="30"/>
        <v>0.90115130454769399</v>
      </c>
      <c r="BH32" s="397">
        <f t="shared" si="31"/>
        <v>0.88732403540712002</v>
      </c>
    </row>
    <row r="33" spans="1:60" s="377" customFormat="1" ht="12.75" customHeight="1">
      <c r="A33" s="391">
        <f t="shared" si="2"/>
        <v>45863</v>
      </c>
      <c r="B33" s="400" t="s">
        <v>528</v>
      </c>
      <c r="C33" s="378" t="s">
        <v>736</v>
      </c>
      <c r="D33" s="370">
        <f>+'25'!F42</f>
        <v>1004.8263888888889</v>
      </c>
      <c r="E33" s="370">
        <f>+'25'!G42</f>
        <v>803.86111111111109</v>
      </c>
      <c r="F33" s="48">
        <f t="shared" si="0"/>
        <v>0.20000000000000007</v>
      </c>
      <c r="G33" s="396">
        <f t="shared" si="3"/>
        <v>0.98957053138702611</v>
      </c>
      <c r="H33" s="392">
        <f t="shared" si="4"/>
        <v>0.98957053138702611</v>
      </c>
      <c r="I33" s="392">
        <f t="shared" si="5"/>
        <v>0.87141811527904844</v>
      </c>
      <c r="J33" s="397">
        <f t="shared" si="6"/>
        <v>0.86232968739696869</v>
      </c>
      <c r="K33" s="397">
        <f t="shared" si="6"/>
        <v>0.87990991580047384</v>
      </c>
      <c r="L33" s="371">
        <f>+SUM(Efficiency1!K117:K119)</f>
        <v>55.2259776</v>
      </c>
      <c r="M33" s="372">
        <f t="shared" si="33"/>
        <v>1206.3030327762426</v>
      </c>
      <c r="N33" s="371">
        <f>+SUM(Efficiency1!C117:C119)</f>
        <v>55.2259776</v>
      </c>
      <c r="O33" s="372">
        <f t="shared" si="33"/>
        <v>1195.2379662414489</v>
      </c>
      <c r="P33" s="372">
        <f>'25'!I38</f>
        <v>54.65</v>
      </c>
      <c r="Q33" s="372">
        <f t="shared" si="8"/>
        <v>1110.7900000000002</v>
      </c>
      <c r="R33" s="372">
        <f>'25'!I40</f>
        <v>47.622999999999998</v>
      </c>
      <c r="S33" s="372">
        <f t="shared" si="9"/>
        <v>1061.4379999999999</v>
      </c>
      <c r="T33" s="97">
        <f>+[1]Report1!AZ33</f>
        <v>3718.3625044542728</v>
      </c>
      <c r="U33" s="13">
        <f t="shared" si="10"/>
        <v>90621.479400950731</v>
      </c>
      <c r="V33" s="277">
        <f t="shared" si="11"/>
        <v>68.039570072356327</v>
      </c>
      <c r="W33" s="277">
        <f t="shared" si="11"/>
        <v>81.582908921533971</v>
      </c>
      <c r="X33" s="278">
        <f t="shared" si="12"/>
        <v>78.0791320255816</v>
      </c>
      <c r="Y33" s="277">
        <f t="shared" si="13"/>
        <v>85.376140105169341</v>
      </c>
      <c r="Z33" s="374">
        <v>89.8</v>
      </c>
      <c r="AA33" s="373">
        <f t="shared" si="14"/>
        <v>2157.4800000000005</v>
      </c>
      <c r="AB33" s="376">
        <v>89.8</v>
      </c>
      <c r="AC33" s="376">
        <f t="shared" si="1"/>
        <v>1.9422933227702808</v>
      </c>
      <c r="AD33" s="371">
        <f t="shared" si="15"/>
        <v>1.8856434915901981</v>
      </c>
      <c r="AE33" s="376">
        <f t="shared" si="15"/>
        <v>2.0326010563028651</v>
      </c>
      <c r="AF33" s="97">
        <v>9.3000000000000007</v>
      </c>
      <c r="AG33" s="375">
        <f t="shared" si="32"/>
        <v>17.200000000000003</v>
      </c>
      <c r="AH33" s="376">
        <f t="shared" si="16"/>
        <v>0.17017383348581885</v>
      </c>
      <c r="AI33" s="376">
        <f t="shared" si="16"/>
        <v>1.5484475013278837E-2</v>
      </c>
      <c r="AJ33" s="371">
        <f t="shared" si="17"/>
        <v>0.19528379144531005</v>
      </c>
      <c r="AK33" s="376">
        <f t="shared" si="17"/>
        <v>1.6204432100603149E-2</v>
      </c>
      <c r="AL33" s="375">
        <f>+'25'!I46</f>
        <v>33439.905000000741</v>
      </c>
      <c r="AM33" s="373">
        <f t="shared" si="18"/>
        <v>1000114.5249999996</v>
      </c>
      <c r="AN33" s="376">
        <f t="shared" si="19"/>
        <v>611.89213174749761</v>
      </c>
      <c r="AO33" s="376">
        <f t="shared" si="19"/>
        <v>900.36327748719327</v>
      </c>
      <c r="AP33" s="376">
        <f t="shared" si="20"/>
        <v>702.17972408291666</v>
      </c>
      <c r="AQ33" s="376">
        <f t="shared" si="20"/>
        <v>942.22604146450362</v>
      </c>
      <c r="AR33" s="375">
        <f>+Listrik!AA32</f>
        <v>27049.999999999913</v>
      </c>
      <c r="AS33" s="373">
        <f t="shared" si="21"/>
        <v>47580.999999999956</v>
      </c>
      <c r="AT33" s="376">
        <f t="shared" si="22"/>
        <v>494.96797804208444</v>
      </c>
      <c r="AU33" s="376">
        <f t="shared" si="22"/>
        <v>42.835279395745324</v>
      </c>
      <c r="AV33" s="376">
        <f t="shared" si="23"/>
        <v>568.00285576296983</v>
      </c>
      <c r="AW33" s="376">
        <f t="shared" si="23"/>
        <v>44.826923475511492</v>
      </c>
      <c r="AX33" s="375">
        <f>+Listrik!AD32</f>
        <v>0</v>
      </c>
      <c r="AY33" s="373">
        <f t="shared" si="24"/>
        <v>20440</v>
      </c>
      <c r="AZ33" s="376">
        <f t="shared" si="25"/>
        <v>0</v>
      </c>
      <c r="BA33" s="376">
        <f t="shared" si="26"/>
        <v>18.401317980896476</v>
      </c>
      <c r="BB33" s="376">
        <f t="shared" si="27"/>
        <v>0</v>
      </c>
      <c r="BC33" s="376">
        <f t="shared" si="28"/>
        <v>19.256894891646997</v>
      </c>
      <c r="BD33" s="449"/>
      <c r="BE33" s="371">
        <f>+SUM(Efficiency2!K117:K119)</f>
        <v>55.2259776</v>
      </c>
      <c r="BF33" s="372">
        <f t="shared" si="29"/>
        <v>1197.7792721637425</v>
      </c>
      <c r="BG33" s="397">
        <f t="shared" si="30"/>
        <v>0.86232968739696869</v>
      </c>
      <c r="BH33" s="397">
        <f t="shared" si="31"/>
        <v>0.88617162165659513</v>
      </c>
    </row>
    <row r="34" spans="1:60" s="377" customFormat="1" ht="12.75" customHeight="1">
      <c r="A34" s="391">
        <f t="shared" si="2"/>
        <v>45864</v>
      </c>
      <c r="B34" s="400" t="s">
        <v>528</v>
      </c>
      <c r="C34" s="378" t="s">
        <v>771</v>
      </c>
      <c r="D34" s="370">
        <f>+'26'!F42</f>
        <v>1142.7083333333333</v>
      </c>
      <c r="E34" s="370">
        <f>+'26'!G42</f>
        <v>886.41666666666663</v>
      </c>
      <c r="F34" s="48">
        <f t="shared" si="0"/>
        <v>0.22428441203281679</v>
      </c>
      <c r="G34" s="396">
        <f t="shared" si="3"/>
        <v>0.99735453721912315</v>
      </c>
      <c r="H34" s="392">
        <f t="shared" si="4"/>
        <v>0.99735453721912315</v>
      </c>
      <c r="I34" s="392">
        <f t="shared" si="5"/>
        <v>1.0154866073815336</v>
      </c>
      <c r="J34" s="397">
        <f t="shared" si="6"/>
        <v>1.0128001753572269</v>
      </c>
      <c r="K34" s="397">
        <f t="shared" si="6"/>
        <v>0.88583171079429812</v>
      </c>
      <c r="L34" s="371">
        <f>+SUM(Efficiency1!K122:K123)</f>
        <v>56.261838599999997</v>
      </c>
      <c r="M34" s="372">
        <f t="shared" si="33"/>
        <v>1262.5648713762425</v>
      </c>
      <c r="N34" s="371">
        <f>+SUM(Efficiency1!C122:C123)</f>
        <v>56.261838599999997</v>
      </c>
      <c r="O34" s="372">
        <f t="shared" si="33"/>
        <v>1251.4998048414488</v>
      </c>
      <c r="P34" s="372">
        <f>'26'!I38</f>
        <v>56.113</v>
      </c>
      <c r="Q34" s="372">
        <f t="shared" si="8"/>
        <v>1166.9030000000002</v>
      </c>
      <c r="R34" s="372">
        <f>'26'!I40</f>
        <v>56.981999999999999</v>
      </c>
      <c r="S34" s="372">
        <f t="shared" si="9"/>
        <v>1118.4199999999998</v>
      </c>
      <c r="T34" s="97">
        <f>+[1]Report1!AZ34</f>
        <v>3865.9014514553505</v>
      </c>
      <c r="U34" s="13">
        <f t="shared" si="10"/>
        <v>94487.380852406088</v>
      </c>
      <c r="V34" s="277">
        <f t="shared" si="11"/>
        <v>68.894934354879453</v>
      </c>
      <c r="W34" s="277">
        <f t="shared" si="11"/>
        <v>80.972780815891355</v>
      </c>
      <c r="X34" s="278">
        <f t="shared" si="12"/>
        <v>67.844256983878253</v>
      </c>
      <c r="Y34" s="277">
        <f t="shared" si="13"/>
        <v>84.482914157835253</v>
      </c>
      <c r="Z34" s="374">
        <v>93.9</v>
      </c>
      <c r="AA34" s="373">
        <f t="shared" si="14"/>
        <v>2251.3800000000006</v>
      </c>
      <c r="AB34" s="376">
        <v>93.9</v>
      </c>
      <c r="AC34" s="376">
        <f t="shared" si="1"/>
        <v>1.9293634518036205</v>
      </c>
      <c r="AD34" s="371">
        <f t="shared" si="15"/>
        <v>1.6478888069916817</v>
      </c>
      <c r="AE34" s="376">
        <f t="shared" si="15"/>
        <v>2.0130004828239847</v>
      </c>
      <c r="AF34" s="97">
        <v>10.4</v>
      </c>
      <c r="AG34" s="375">
        <f t="shared" si="32"/>
        <v>27.6</v>
      </c>
      <c r="AH34" s="376">
        <f t="shared" si="16"/>
        <v>0.18534029547520184</v>
      </c>
      <c r="AI34" s="376">
        <f t="shared" si="16"/>
        <v>2.3652351566496956E-2</v>
      </c>
      <c r="AJ34" s="371">
        <f t="shared" si="17"/>
        <v>0.18251377628022886</v>
      </c>
      <c r="AK34" s="376">
        <f t="shared" si="17"/>
        <v>2.4677670284866154E-2</v>
      </c>
      <c r="AL34" s="375">
        <f>'26'!I46</f>
        <v>38514.509999999987</v>
      </c>
      <c r="AM34" s="373">
        <f t="shared" si="18"/>
        <v>1038629.0349999996</v>
      </c>
      <c r="AN34" s="376">
        <f t="shared" si="19"/>
        <v>686.3741022579436</v>
      </c>
      <c r="AO34" s="376">
        <f t="shared" si="19"/>
        <v>890.07315518084999</v>
      </c>
      <c r="AP34" s="376">
        <f t="shared" si="20"/>
        <v>675.90660208486861</v>
      </c>
      <c r="AQ34" s="376">
        <f t="shared" si="20"/>
        <v>928.65742297169197</v>
      </c>
      <c r="AR34" s="375">
        <f>+Listrik!AA33</f>
        <v>27081.000000000047</v>
      </c>
      <c r="AS34" s="373">
        <f t="shared" si="21"/>
        <v>74662</v>
      </c>
      <c r="AT34" s="376">
        <f t="shared" si="22"/>
        <v>482.61543670807208</v>
      </c>
      <c r="AU34" s="376">
        <f t="shared" si="22"/>
        <v>63.983038864412883</v>
      </c>
      <c r="AV34" s="376">
        <f t="shared" si="23"/>
        <v>475.25534379277752</v>
      </c>
      <c r="AW34" s="376">
        <f t="shared" si="23"/>
        <v>66.756674594517278</v>
      </c>
      <c r="AX34" s="375">
        <f>+Listrik!AD33</f>
        <v>0</v>
      </c>
      <c r="AY34" s="373">
        <f t="shared" si="24"/>
        <v>20440</v>
      </c>
      <c r="AZ34" s="376">
        <f t="shared" si="25"/>
        <v>0</v>
      </c>
      <c r="BA34" s="376">
        <f t="shared" si="26"/>
        <v>17.516451667362237</v>
      </c>
      <c r="BB34" s="376">
        <f t="shared" si="27"/>
        <v>0</v>
      </c>
      <c r="BC34" s="376">
        <f t="shared" si="28"/>
        <v>18.275781906618267</v>
      </c>
      <c r="BD34" s="449"/>
      <c r="BE34" s="371">
        <f>+SUM(Efficiency2!K122:K123)</f>
        <v>56.261838599999997</v>
      </c>
      <c r="BF34" s="372">
        <f t="shared" si="29"/>
        <v>1254.0411107637424</v>
      </c>
      <c r="BG34" s="397">
        <f t="shared" si="30"/>
        <v>1.0128001753572269</v>
      </c>
      <c r="BH34" s="397">
        <f t="shared" si="31"/>
        <v>0.89185273943599352</v>
      </c>
    </row>
    <row r="35" spans="1:60" s="377" customFormat="1" ht="12.75" customHeight="1">
      <c r="A35" s="391">
        <f t="shared" si="2"/>
        <v>45865</v>
      </c>
      <c r="B35" s="400" t="s">
        <v>528</v>
      </c>
      <c r="C35" s="378" t="s">
        <v>772</v>
      </c>
      <c r="D35" s="370">
        <f>+'27'!F42</f>
        <v>1200</v>
      </c>
      <c r="E35" s="370">
        <f>+'27'!G42</f>
        <v>924</v>
      </c>
      <c r="F35" s="48">
        <f t="shared" si="0"/>
        <v>0.22999999999999998</v>
      </c>
      <c r="G35" s="396">
        <f t="shared" si="3"/>
        <v>1.0049517658256191</v>
      </c>
      <c r="H35" s="392">
        <f t="shared" si="4"/>
        <v>1.0049517658256191</v>
      </c>
      <c r="I35" s="392">
        <f t="shared" si="5"/>
        <v>0.96446227699362319</v>
      </c>
      <c r="J35" s="397">
        <f t="shared" si="6"/>
        <v>0.96923806833693893</v>
      </c>
      <c r="K35" s="397">
        <f t="shared" si="6"/>
        <v>0.88934692494044554</v>
      </c>
      <c r="L35" s="371">
        <f>+Efficiency1!K127</f>
        <v>55.552914974117648</v>
      </c>
      <c r="M35" s="372">
        <f t="shared" si="33"/>
        <v>1318.1177863503601</v>
      </c>
      <c r="N35" s="371">
        <f>+Efficiency1!C127</f>
        <v>55.552914974117648</v>
      </c>
      <c r="O35" s="372">
        <f t="shared" si="33"/>
        <v>1307.0527198155664</v>
      </c>
      <c r="P35" s="372">
        <f>'27'!I38</f>
        <v>55.828000000000003</v>
      </c>
      <c r="Q35" s="372">
        <f t="shared" si="8"/>
        <v>1222.7310000000002</v>
      </c>
      <c r="R35" s="372">
        <f>'27'!I40</f>
        <v>53.844000000000001</v>
      </c>
      <c r="S35" s="372">
        <f t="shared" si="9"/>
        <v>1172.2639999999999</v>
      </c>
      <c r="T35" s="97">
        <f>+[1]Report1!AZ35</f>
        <v>3979.504052984415</v>
      </c>
      <c r="U35" s="13">
        <f t="shared" si="10"/>
        <v>98466.8849053905</v>
      </c>
      <c r="V35" s="277">
        <f t="shared" si="11"/>
        <v>71.281508436347622</v>
      </c>
      <c r="W35" s="277">
        <f t="shared" si="11"/>
        <v>80.530292358164203</v>
      </c>
      <c r="X35" s="278">
        <f t="shared" si="12"/>
        <v>73.908031590974204</v>
      </c>
      <c r="Y35" s="277">
        <f t="shared" si="13"/>
        <v>83.997192531196475</v>
      </c>
      <c r="Z35" s="374">
        <v>95.1</v>
      </c>
      <c r="AA35" s="373">
        <f t="shared" si="14"/>
        <v>2346.4800000000005</v>
      </c>
      <c r="AB35" s="376">
        <v>95.1</v>
      </c>
      <c r="AC35" s="376">
        <f t="shared" si="1"/>
        <v>1.919048425205544</v>
      </c>
      <c r="AD35" s="371">
        <f t="shared" si="15"/>
        <v>1.7662135056830843</v>
      </c>
      <c r="AE35" s="376">
        <f t="shared" si="15"/>
        <v>2.0016651539243724</v>
      </c>
      <c r="AF35" s="97">
        <v>10.1</v>
      </c>
      <c r="AG35" s="375">
        <f t="shared" si="32"/>
        <v>37.700000000000003</v>
      </c>
      <c r="AH35" s="376">
        <f t="shared" si="16"/>
        <v>0.18091280361109119</v>
      </c>
      <c r="AI35" s="376">
        <f t="shared" si="16"/>
        <v>3.0832619766735282E-2</v>
      </c>
      <c r="AJ35" s="371">
        <f t="shared" si="17"/>
        <v>0.18757893172869772</v>
      </c>
      <c r="AK35" s="376">
        <f t="shared" si="17"/>
        <v>3.2159991264766305E-2</v>
      </c>
      <c r="AL35" s="375">
        <f>'27'!I46</f>
        <v>38171.184999999627</v>
      </c>
      <c r="AM35" s="373">
        <f t="shared" si="18"/>
        <v>1076800.2199999993</v>
      </c>
      <c r="AN35" s="376">
        <f t="shared" si="19"/>
        <v>683.72832628787751</v>
      </c>
      <c r="AO35" s="376">
        <f t="shared" si="19"/>
        <v>880.65177050389582</v>
      </c>
      <c r="AP35" s="376">
        <f t="shared" si="20"/>
        <v>708.92179258598219</v>
      </c>
      <c r="AQ35" s="376">
        <f t="shared" si="20"/>
        <v>918.56460660738469</v>
      </c>
      <c r="AR35" s="375">
        <f>+Listrik!AA34</f>
        <v>25729.900000000136</v>
      </c>
      <c r="AS35" s="373">
        <f t="shared" si="21"/>
        <v>100391.90000000014</v>
      </c>
      <c r="AT35" s="376">
        <f t="shared" si="22"/>
        <v>460.87805402307328</v>
      </c>
      <c r="AU35" s="376">
        <f t="shared" si="22"/>
        <v>82.104649346422164</v>
      </c>
      <c r="AV35" s="376">
        <f t="shared" si="23"/>
        <v>477.86011440457872</v>
      </c>
      <c r="AW35" s="376">
        <f t="shared" si="23"/>
        <v>85.639326977541003</v>
      </c>
      <c r="AX35" s="375">
        <f>+Listrik!AD34</f>
        <v>0</v>
      </c>
      <c r="AY35" s="373">
        <f t="shared" si="24"/>
        <v>20440</v>
      </c>
      <c r="AZ35" s="376">
        <f t="shared" si="25"/>
        <v>0</v>
      </c>
      <c r="BA35" s="376">
        <f t="shared" si="26"/>
        <v>16.716677666633132</v>
      </c>
      <c r="BB35" s="376">
        <f t="shared" si="27"/>
        <v>0</v>
      </c>
      <c r="BC35" s="376">
        <f t="shared" si="28"/>
        <v>17.436345396600082</v>
      </c>
      <c r="BD35" s="449"/>
      <c r="BE35" s="371">
        <f>+Efficiency2!K127</f>
        <v>55.552914974117648</v>
      </c>
      <c r="BF35" s="372">
        <f t="shared" si="29"/>
        <v>1309.59402573786</v>
      </c>
      <c r="BG35" s="397">
        <f t="shared" si="30"/>
        <v>0.96923806833693893</v>
      </c>
      <c r="BH35" s="397">
        <f t="shared" si="31"/>
        <v>0.89513542132991586</v>
      </c>
    </row>
    <row r="36" spans="1:60" s="377" customFormat="1" ht="12.75" customHeight="1">
      <c r="A36" s="391">
        <f t="shared" si="2"/>
        <v>45866</v>
      </c>
      <c r="B36" s="400" t="s">
        <v>528</v>
      </c>
      <c r="C36" s="378" t="s">
        <v>788</v>
      </c>
      <c r="D36" s="370">
        <f>+'28'!F42</f>
        <v>1196.0069444444443</v>
      </c>
      <c r="E36" s="370">
        <f>+'28'!G42</f>
        <v>932.88541666666663</v>
      </c>
      <c r="F36" s="48">
        <f t="shared" si="0"/>
        <v>0.21999999999999997</v>
      </c>
      <c r="G36" s="396">
        <f t="shared" si="3"/>
        <v>0.99279610516298822</v>
      </c>
      <c r="H36" s="392">
        <f t="shared" si="4"/>
        <v>0.99237984323546446</v>
      </c>
      <c r="I36" s="392">
        <f t="shared" si="5"/>
        <v>1.0278051313268759</v>
      </c>
      <c r="J36" s="397">
        <f t="shared" si="6"/>
        <v>1.0199730951027712</v>
      </c>
      <c r="K36" s="397">
        <f t="shared" si="6"/>
        <v>0.89469608661697964</v>
      </c>
      <c r="L36" s="371">
        <f>+SUM(Efficiency1!K131:K132)</f>
        <v>56.281876723636366</v>
      </c>
      <c r="M36" s="372">
        <f t="shared" si="33"/>
        <v>1374.3996630739964</v>
      </c>
      <c r="N36" s="371">
        <f>+SUM(Efficiency1!C131:C132)</f>
        <v>56.258278723636366</v>
      </c>
      <c r="O36" s="372">
        <f t="shared" si="33"/>
        <v>1363.3109985392027</v>
      </c>
      <c r="P36" s="372">
        <f>'28'!I38</f>
        <v>55.852999999999994</v>
      </c>
      <c r="Q36" s="372">
        <f t="shared" si="8"/>
        <v>1278.5840000000003</v>
      </c>
      <c r="R36" s="372">
        <f>'28'!I40</f>
        <v>57.405999999999999</v>
      </c>
      <c r="S36" s="372">
        <f t="shared" si="9"/>
        <v>1229.6699999999998</v>
      </c>
      <c r="T36" s="97">
        <f>+[1]Report1!AZ36</f>
        <v>3982.8700531008913</v>
      </c>
      <c r="U36" s="13">
        <f t="shared" si="10"/>
        <v>102449.75495849139</v>
      </c>
      <c r="V36" s="277">
        <f t="shared" si="11"/>
        <v>71.309867922956542</v>
      </c>
      <c r="W36" s="277">
        <f t="shared" si="11"/>
        <v>80.127512121605903</v>
      </c>
      <c r="X36" s="278">
        <f t="shared" si="12"/>
        <v>69.380727678306997</v>
      </c>
      <c r="Y36" s="277">
        <f t="shared" si="13"/>
        <v>83.31483646709394</v>
      </c>
      <c r="Z36" s="374">
        <v>95.6</v>
      </c>
      <c r="AA36" s="373">
        <f t="shared" si="14"/>
        <v>2442.0800000000004</v>
      </c>
      <c r="AB36" s="376">
        <v>95.6</v>
      </c>
      <c r="AC36" s="376">
        <f t="shared" si="1"/>
        <v>1.9099879241410809</v>
      </c>
      <c r="AD36" s="371">
        <f t="shared" si="15"/>
        <v>1.6653311500540013</v>
      </c>
      <c r="AE36" s="376">
        <f t="shared" si="15"/>
        <v>1.9859637138419257</v>
      </c>
      <c r="AF36" s="97">
        <v>11</v>
      </c>
      <c r="AG36" s="375">
        <f t="shared" si="32"/>
        <v>48.7</v>
      </c>
      <c r="AH36" s="376">
        <f t="shared" si="16"/>
        <v>0.19694555350652607</v>
      </c>
      <c r="AI36" s="376">
        <f t="shared" si="16"/>
        <v>3.8089010968383769E-2</v>
      </c>
      <c r="AJ36" s="371">
        <f t="shared" si="17"/>
        <v>0.19161760094763614</v>
      </c>
      <c r="AK36" s="376">
        <f t="shared" si="17"/>
        <v>3.9604121430953029E-2</v>
      </c>
      <c r="AL36" s="375">
        <f>'28'!I46</f>
        <v>37975.250000000357</v>
      </c>
      <c r="AM36" s="373">
        <f t="shared" si="18"/>
        <v>1114775.4699999997</v>
      </c>
      <c r="AN36" s="376">
        <f t="shared" si="19"/>
        <v>679.91423916352505</v>
      </c>
      <c r="AO36" s="376">
        <f t="shared" si="19"/>
        <v>871.88285634733381</v>
      </c>
      <c r="AP36" s="376">
        <f t="shared" si="20"/>
        <v>661.52057276243522</v>
      </c>
      <c r="AQ36" s="376">
        <f t="shared" si="20"/>
        <v>906.5647450128896</v>
      </c>
      <c r="AR36" s="375">
        <f>+Listrik!AA35</f>
        <v>28508.999999999814</v>
      </c>
      <c r="AS36" s="373">
        <f t="shared" si="21"/>
        <v>128900.89999999995</v>
      </c>
      <c r="AT36" s="376">
        <f t="shared" si="22"/>
        <v>510.42916226522874</v>
      </c>
      <c r="AU36" s="376">
        <f t="shared" si="22"/>
        <v>100.81535511159215</v>
      </c>
      <c r="AV36" s="376">
        <f t="shared" si="23"/>
        <v>496.62056231055664</v>
      </c>
      <c r="AW36" s="376">
        <f t="shared" si="23"/>
        <v>104.82560361723061</v>
      </c>
      <c r="AX36" s="375">
        <f>+Listrik!AD35</f>
        <v>0</v>
      </c>
      <c r="AY36" s="373">
        <f t="shared" si="24"/>
        <v>20440</v>
      </c>
      <c r="AZ36" s="376">
        <f t="shared" si="25"/>
        <v>0</v>
      </c>
      <c r="BA36" s="376">
        <f t="shared" si="26"/>
        <v>15.986434993711791</v>
      </c>
      <c r="BB36" s="376">
        <f t="shared" si="27"/>
        <v>0</v>
      </c>
      <c r="BC36" s="376">
        <f t="shared" si="28"/>
        <v>16.622345832621765</v>
      </c>
      <c r="BD36" s="449"/>
      <c r="BE36" s="371">
        <f>+SUM(Efficiency2!K131:K132)</f>
        <v>56.281876723636366</v>
      </c>
      <c r="BF36" s="372">
        <f t="shared" si="29"/>
        <v>1365.8759024614963</v>
      </c>
      <c r="BG36" s="397">
        <f t="shared" si="30"/>
        <v>1.0199730951027712</v>
      </c>
      <c r="BH36" s="397">
        <f t="shared" si="31"/>
        <v>0.90027944543421945</v>
      </c>
    </row>
    <row r="37" spans="1:60" s="377" customFormat="1" ht="12.75" customHeight="1">
      <c r="A37" s="391">
        <f t="shared" si="2"/>
        <v>45867</v>
      </c>
      <c r="B37" s="400" t="s">
        <v>528</v>
      </c>
      <c r="C37" s="378" t="s">
        <v>772</v>
      </c>
      <c r="D37" s="370">
        <f>+'29'!F42</f>
        <v>1200</v>
      </c>
      <c r="E37" s="370">
        <f>+'29'!G42</f>
        <v>936</v>
      </c>
      <c r="F37" s="48">
        <f t="shared" si="0"/>
        <v>0.21999999999999997</v>
      </c>
      <c r="G37" s="396">
        <f t="shared" si="3"/>
        <v>0.9986555264228546</v>
      </c>
      <c r="H37" s="392">
        <f t="shared" si="4"/>
        <v>0.9986555264228546</v>
      </c>
      <c r="I37" s="392">
        <f t="shared" si="5"/>
        <v>0.93061319822490518</v>
      </c>
      <c r="J37" s="397">
        <f t="shared" si="6"/>
        <v>0.92936201336934898</v>
      </c>
      <c r="K37" s="397">
        <f t="shared" si="6"/>
        <v>0.89604705720996503</v>
      </c>
      <c r="L37" s="371">
        <f>+Efficiency1!K135</f>
        <v>55.733932799999998</v>
      </c>
      <c r="M37" s="372">
        <f t="shared" si="33"/>
        <v>1430.1335958739965</v>
      </c>
      <c r="N37" s="371">
        <f>+Efficiency1!C135</f>
        <v>55.733932799999998</v>
      </c>
      <c r="O37" s="372">
        <f t="shared" si="33"/>
        <v>1419.0449313392028</v>
      </c>
      <c r="P37" s="372">
        <f>'29'!I38</f>
        <v>55.658999999999999</v>
      </c>
      <c r="Q37" s="372">
        <f t="shared" si="8"/>
        <v>1334.2430000000004</v>
      </c>
      <c r="R37" s="372">
        <f>'29'!I40</f>
        <v>51.796999999999997</v>
      </c>
      <c r="S37" s="372">
        <f t="shared" si="9"/>
        <v>1281.4669999999999</v>
      </c>
      <c r="T37" s="97">
        <f>+[1]Report1!AZ37</f>
        <v>4004.5529454801062</v>
      </c>
      <c r="U37" s="13">
        <f t="shared" si="10"/>
        <v>106454.30790397149</v>
      </c>
      <c r="V37" s="277">
        <f t="shared" si="11"/>
        <v>71.947985868953921</v>
      </c>
      <c r="W37" s="277">
        <f t="shared" si="11"/>
        <v>79.786296727036571</v>
      </c>
      <c r="X37" s="278">
        <f t="shared" si="12"/>
        <v>77.312449475454287</v>
      </c>
      <c r="Y37" s="277">
        <f t="shared" si="13"/>
        <v>83.072219498411982</v>
      </c>
      <c r="Z37" s="374">
        <v>97.1</v>
      </c>
      <c r="AA37" s="373">
        <f t="shared" si="14"/>
        <v>2539.1800000000003</v>
      </c>
      <c r="AB37" s="376">
        <v>97.1</v>
      </c>
      <c r="AC37" s="376">
        <f t="shared" si="1"/>
        <v>1.9030866191540818</v>
      </c>
      <c r="AD37" s="371">
        <f t="shared" si="15"/>
        <v>1.8746259435874664</v>
      </c>
      <c r="AE37" s="376">
        <f t="shared" si="15"/>
        <v>1.9814634321445659</v>
      </c>
      <c r="AF37" s="97">
        <v>10.3</v>
      </c>
      <c r="AG37" s="375">
        <f t="shared" si="32"/>
        <v>59</v>
      </c>
      <c r="AH37" s="376">
        <f t="shared" si="16"/>
        <v>0.18505542679530715</v>
      </c>
      <c r="AI37" s="376">
        <f t="shared" si="16"/>
        <v>4.4219831020286399E-2</v>
      </c>
      <c r="AJ37" s="371">
        <f t="shared" si="17"/>
        <v>0.19885321543718751</v>
      </c>
      <c r="AK37" s="376">
        <f t="shared" si="17"/>
        <v>4.6040982717463659E-2</v>
      </c>
      <c r="AL37" s="375">
        <f>'29'!I46</f>
        <v>40272.849999999642</v>
      </c>
      <c r="AM37" s="373">
        <f t="shared" si="18"/>
        <v>1155048.3199999994</v>
      </c>
      <c r="AN37" s="376">
        <f t="shared" si="19"/>
        <v>723.56402378770088</v>
      </c>
      <c r="AO37" s="376">
        <f t="shared" si="19"/>
        <v>865.69561916382463</v>
      </c>
      <c r="AP37" s="376">
        <f t="shared" si="20"/>
        <v>777.51317643878292</v>
      </c>
      <c r="AQ37" s="376">
        <f t="shared" si="20"/>
        <v>901.34847015178661</v>
      </c>
      <c r="AR37" s="375">
        <f>+Listrik!AA36</f>
        <v>28200.654000000046</v>
      </c>
      <c r="AS37" s="373">
        <f t="shared" si="21"/>
        <v>157101.554</v>
      </c>
      <c r="AT37" s="376">
        <f t="shared" si="22"/>
        <v>506.66835552201883</v>
      </c>
      <c r="AU37" s="376">
        <f t="shared" si="22"/>
        <v>117.74583340515929</v>
      </c>
      <c r="AV37" s="376">
        <f t="shared" si="23"/>
        <v>544.44570148850414</v>
      </c>
      <c r="AW37" s="376">
        <f t="shared" si="23"/>
        <v>122.59508360340143</v>
      </c>
      <c r="AX37" s="375">
        <f>+Listrik!AD36</f>
        <v>0</v>
      </c>
      <c r="AY37" s="373">
        <f t="shared" si="24"/>
        <v>20440</v>
      </c>
      <c r="AZ37" s="376">
        <f t="shared" si="25"/>
        <v>0</v>
      </c>
      <c r="BA37" s="376">
        <f t="shared" si="26"/>
        <v>15.319548238214473</v>
      </c>
      <c r="BB37" s="376">
        <f t="shared" si="27"/>
        <v>0</v>
      </c>
      <c r="BC37" s="376">
        <f t="shared" si="28"/>
        <v>15.950469266863683</v>
      </c>
      <c r="BD37" s="449"/>
      <c r="BE37" s="371">
        <f>+Efficiency2!K135</f>
        <v>55.733932799999998</v>
      </c>
      <c r="BF37" s="372">
        <f t="shared" si="29"/>
        <v>1421.6098352614963</v>
      </c>
      <c r="BG37" s="397">
        <f t="shared" si="30"/>
        <v>0.92936201336934898</v>
      </c>
      <c r="BH37" s="397">
        <f t="shared" si="31"/>
        <v>0.90141962176582857</v>
      </c>
    </row>
    <row r="38" spans="1:60" s="377" customFormat="1" ht="12.75" customHeight="1">
      <c r="A38" s="391">
        <f t="shared" si="2"/>
        <v>45868</v>
      </c>
      <c r="B38" s="400" t="s">
        <v>528</v>
      </c>
      <c r="C38" s="378" t="s">
        <v>772</v>
      </c>
      <c r="D38" s="370">
        <f>+'30'!F42</f>
        <v>1200</v>
      </c>
      <c r="E38" s="370">
        <f>+'30'!G42</f>
        <v>936</v>
      </c>
      <c r="F38" s="48">
        <f t="shared" si="0"/>
        <v>0.21999999999999997</v>
      </c>
      <c r="G38" s="396">
        <f t="shared" si="3"/>
        <v>0.98463660453625235</v>
      </c>
      <c r="H38" s="392">
        <f t="shared" si="4"/>
        <v>0.98463660453625235</v>
      </c>
      <c r="I38" s="392">
        <f t="shared" si="5"/>
        <v>0.91303480421495542</v>
      </c>
      <c r="J38" s="397">
        <f t="shared" si="6"/>
        <v>0.89900748944563569</v>
      </c>
      <c r="K38" s="397">
        <f t="shared" si="6"/>
        <v>0.89615860609005427</v>
      </c>
      <c r="L38" s="371">
        <f>+Efficiency1!K139</f>
        <v>55.997308799999999</v>
      </c>
      <c r="M38" s="372">
        <f t="shared" si="33"/>
        <v>1486.1309046739964</v>
      </c>
      <c r="N38" s="371">
        <f>+Efficiency1!C139</f>
        <v>55.997308799999999</v>
      </c>
      <c r="O38" s="372">
        <f t="shared" si="33"/>
        <v>1475.0422401392027</v>
      </c>
      <c r="P38" s="372">
        <f>'30'!I38</f>
        <v>55.137</v>
      </c>
      <c r="Q38" s="372">
        <f t="shared" si="8"/>
        <v>1389.3800000000003</v>
      </c>
      <c r="R38" s="372">
        <f>'30'!I40</f>
        <v>50.341999999999999</v>
      </c>
      <c r="S38" s="372">
        <f t="shared" si="9"/>
        <v>1331.809</v>
      </c>
      <c r="T38" s="97">
        <f>+[1]Report1!AZ38</f>
        <v>4150.1940619798897</v>
      </c>
      <c r="U38" s="13">
        <f t="shared" si="10"/>
        <v>110604.50196595138</v>
      </c>
      <c r="V38" s="277">
        <f t="shared" si="11"/>
        <v>75.27058167800007</v>
      </c>
      <c r="W38" s="277">
        <f t="shared" si="11"/>
        <v>79.607092347630854</v>
      </c>
      <c r="X38" s="278">
        <f t="shared" si="12"/>
        <v>82.439991696394458</v>
      </c>
      <c r="Y38" s="277">
        <f t="shared" si="13"/>
        <v>83.048321467981808</v>
      </c>
      <c r="Z38" s="374">
        <v>99.2</v>
      </c>
      <c r="AA38" s="373">
        <f t="shared" si="14"/>
        <v>2638.38</v>
      </c>
      <c r="AB38" s="376">
        <v>99.2</v>
      </c>
      <c r="AC38" s="376">
        <f t="shared" si="1"/>
        <v>1.8989621269918953</v>
      </c>
      <c r="AD38" s="371">
        <f t="shared" si="15"/>
        <v>1.9705216320368679</v>
      </c>
      <c r="AE38" s="376">
        <f t="shared" si="15"/>
        <v>1.9810498352241201</v>
      </c>
      <c r="AF38" s="97">
        <v>9.6</v>
      </c>
      <c r="AG38" s="375">
        <f t="shared" si="32"/>
        <v>68.599999999999994</v>
      </c>
      <c r="AH38" s="376">
        <f t="shared" si="16"/>
        <v>0.17411175798465639</v>
      </c>
      <c r="AI38" s="376">
        <f t="shared" si="16"/>
        <v>4.9374541162245017E-2</v>
      </c>
      <c r="AJ38" s="371">
        <f t="shared" si="17"/>
        <v>0.19069564181001947</v>
      </c>
      <c r="AK38" s="376">
        <f t="shared" si="17"/>
        <v>5.150888753567516E-2</v>
      </c>
      <c r="AL38" s="375">
        <f>'30'!I46</f>
        <v>36230.159999999349</v>
      </c>
      <c r="AM38" s="373">
        <f t="shared" si="18"/>
        <v>1191278.4799999988</v>
      </c>
      <c r="AN38" s="376">
        <f t="shared" si="19"/>
        <v>657.0934218401319</v>
      </c>
      <c r="AO38" s="376">
        <f t="shared" si="19"/>
        <v>857.41732283464466</v>
      </c>
      <c r="AP38" s="376">
        <f t="shared" si="20"/>
        <v>719.68058479995523</v>
      </c>
      <c r="AQ38" s="376">
        <f t="shared" si="20"/>
        <v>894.48147594737588</v>
      </c>
      <c r="AR38" s="375">
        <f>+Listrik!AA37</f>
        <v>24750.907999999854</v>
      </c>
      <c r="AS38" s="373">
        <f t="shared" si="21"/>
        <v>181852.46199999985</v>
      </c>
      <c r="AT38" s="376">
        <f t="shared" si="22"/>
        <v>448.89834412463239</v>
      </c>
      <c r="AU38" s="376">
        <f t="shared" si="22"/>
        <v>130.88749082324478</v>
      </c>
      <c r="AV38" s="376">
        <f t="shared" si="23"/>
        <v>491.65523817090804</v>
      </c>
      <c r="AW38" s="376">
        <f t="shared" si="23"/>
        <v>136.54545208809961</v>
      </c>
      <c r="AX38" s="375">
        <f>+Listrik!AD37</f>
        <v>0</v>
      </c>
      <c r="AY38" s="373">
        <f t="shared" si="24"/>
        <v>20440</v>
      </c>
      <c r="AZ38" s="376">
        <f t="shared" si="25"/>
        <v>0</v>
      </c>
      <c r="BA38" s="376">
        <f t="shared" si="26"/>
        <v>14.711597978954639</v>
      </c>
      <c r="BB38" s="376">
        <f t="shared" si="27"/>
        <v>0</v>
      </c>
      <c r="BC38" s="376">
        <f t="shared" si="28"/>
        <v>15.347546082058313</v>
      </c>
      <c r="BD38" s="449"/>
      <c r="BE38" s="371">
        <f>+Efficiency2!K139</f>
        <v>55.997308799999999</v>
      </c>
      <c r="BF38" s="372">
        <f t="shared" si="29"/>
        <v>1477.6071440614962</v>
      </c>
      <c r="BG38" s="397">
        <f t="shared" si="30"/>
        <v>0.89900748944563569</v>
      </c>
      <c r="BH38" s="397">
        <f t="shared" si="31"/>
        <v>0.90132820848392681</v>
      </c>
    </row>
    <row r="39" spans="1:60" s="377" customFormat="1" ht="12.75" customHeight="1">
      <c r="A39" s="391">
        <f>A38+1</f>
        <v>45869</v>
      </c>
      <c r="B39" s="400" t="s">
        <v>528</v>
      </c>
      <c r="C39" s="378" t="s">
        <v>813</v>
      </c>
      <c r="D39" s="370">
        <f>+'31'!F42</f>
        <v>1187.5</v>
      </c>
      <c r="E39" s="370">
        <f>+'31'!G42</f>
        <v>930.97500000000002</v>
      </c>
      <c r="F39" s="48">
        <f t="shared" si="0"/>
        <v>0.21602105263157889</v>
      </c>
      <c r="G39" s="396">
        <f t="shared" si="3"/>
        <v>0.99227786464038936</v>
      </c>
      <c r="H39" s="392">
        <f t="shared" si="4"/>
        <v>0.99227786464038936</v>
      </c>
      <c r="I39" s="392">
        <f t="shared" si="5"/>
        <v>1.0010961245494743</v>
      </c>
      <c r="J39" s="397">
        <f t="shared" si="6"/>
        <v>0.99336552476772166</v>
      </c>
      <c r="K39" s="397">
        <f t="shared" si="6"/>
        <v>0.89958178262093658</v>
      </c>
      <c r="L39" s="371">
        <f>+SUM(Efficiency1!K143:K144)</f>
        <v>54.244886354999998</v>
      </c>
      <c r="M39" s="372">
        <f>M38+L39</f>
        <v>1540.3757910289964</v>
      </c>
      <c r="N39" s="371">
        <f>+SUM(Efficiency1!C143:C144)</f>
        <v>54.244886354999998</v>
      </c>
      <c r="O39" s="372">
        <f>O38+N39</f>
        <v>1529.2871264942028</v>
      </c>
      <c r="P39" s="372">
        <f>'31'!I38</f>
        <v>53.825999999999993</v>
      </c>
      <c r="Q39" s="372">
        <f>Q38+P39</f>
        <v>1443.2060000000004</v>
      </c>
      <c r="R39" s="372">
        <f>'31'!I40</f>
        <v>53.884999999999998</v>
      </c>
      <c r="S39" s="372">
        <f>S38+R39</f>
        <v>1385.694</v>
      </c>
      <c r="T39" s="97">
        <f>+[1]Report1!AZ39</f>
        <v>4138.0038759689924</v>
      </c>
      <c r="U39" s="13">
        <f>T39+U38</f>
        <v>114742.50584192037</v>
      </c>
      <c r="V39" s="277">
        <f t="shared" si="11"/>
        <v>76.877417529985379</v>
      </c>
      <c r="W39" s="277">
        <f t="shared" si="11"/>
        <v>79.505286038112601</v>
      </c>
      <c r="X39" s="278">
        <f t="shared" si="12"/>
        <v>76.793242571568939</v>
      </c>
      <c r="Y39" s="277">
        <f t="shared" si="13"/>
        <v>82.805082393313654</v>
      </c>
      <c r="Z39" s="374">
        <v>98.5</v>
      </c>
      <c r="AA39" s="373">
        <f>Z39+AA38</f>
        <v>2736.88</v>
      </c>
      <c r="AB39" s="376">
        <f t="shared" si="1"/>
        <v>1.8299706461561329</v>
      </c>
      <c r="AC39" s="376">
        <f t="shared" si="1"/>
        <v>1.896389011686481</v>
      </c>
      <c r="AD39" s="371">
        <f t="shared" si="15"/>
        <v>1.8279669666883178</v>
      </c>
      <c r="AE39" s="376">
        <f t="shared" si="15"/>
        <v>1.9750969550275892</v>
      </c>
      <c r="AF39" s="97">
        <v>9.6999999999999993</v>
      </c>
      <c r="AG39" s="375">
        <f t="shared" si="32"/>
        <v>78.3</v>
      </c>
      <c r="AH39" s="376">
        <f t="shared" si="16"/>
        <v>0.1802103072864415</v>
      </c>
      <c r="AI39" s="376">
        <f t="shared" si="16"/>
        <v>5.4254209031836052E-2</v>
      </c>
      <c r="AJ39" s="371">
        <f t="shared" si="17"/>
        <v>0.18001299062818965</v>
      </c>
      <c r="AK39" s="376">
        <f t="shared" si="17"/>
        <v>5.6505981840146526E-2</v>
      </c>
      <c r="AL39" s="375">
        <f>'31'!I46</f>
        <v>37566.180000000124</v>
      </c>
      <c r="AM39" s="373">
        <f>AL39+AM38</f>
        <v>1228844.659999999</v>
      </c>
      <c r="AN39" s="376">
        <f t="shared" si="19"/>
        <v>697.91884962657696</v>
      </c>
      <c r="AO39" s="376">
        <f t="shared" si="19"/>
        <v>851.46864688755352</v>
      </c>
      <c r="AP39" s="376">
        <f t="shared" si="20"/>
        <v>697.15468126566066</v>
      </c>
      <c r="AQ39" s="376">
        <f t="shared" si="20"/>
        <v>886.8080976030775</v>
      </c>
      <c r="AR39" s="375">
        <f>+Listrik!AA38</f>
        <v>26332.436000000176</v>
      </c>
      <c r="AS39" s="373">
        <f>AR39+AS38</f>
        <v>208184.89800000004</v>
      </c>
      <c r="AT39" s="376">
        <f t="shared" si="22"/>
        <v>489.21406011964814</v>
      </c>
      <c r="AU39" s="376">
        <f t="shared" si="22"/>
        <v>144.25168548356919</v>
      </c>
      <c r="AV39" s="376">
        <f t="shared" si="23"/>
        <v>488.67840772014802</v>
      </c>
      <c r="AW39" s="376">
        <f t="shared" si="23"/>
        <v>150.23872370090368</v>
      </c>
      <c r="AX39" s="375">
        <f>+Listrik!AD38</f>
        <v>0</v>
      </c>
      <c r="AY39" s="373">
        <f t="shared" si="24"/>
        <v>20440</v>
      </c>
      <c r="AZ39" s="376">
        <f t="shared" si="25"/>
        <v>0</v>
      </c>
      <c r="BA39" s="376">
        <f t="shared" si="26"/>
        <v>14.162912293879039</v>
      </c>
      <c r="BB39" s="376">
        <f t="shared" si="27"/>
        <v>0</v>
      </c>
      <c r="BC39" s="376">
        <f t="shared" si="28"/>
        <v>14.750731402459706</v>
      </c>
      <c r="BD39" s="449"/>
      <c r="BE39" s="371">
        <f>+SUM(Efficiency2!K143:K144)</f>
        <v>54.244886354999998</v>
      </c>
      <c r="BF39" s="372">
        <f>BF38+BE39</f>
        <v>1531.8520304164963</v>
      </c>
      <c r="BG39" s="397">
        <f t="shared" si="30"/>
        <v>0.99336552476772166</v>
      </c>
      <c r="BH39" s="397">
        <f t="shared" si="31"/>
        <v>0.90458737037626458</v>
      </c>
    </row>
    <row r="40" spans="1:60" s="377" customFormat="1" ht="12.75" customHeight="1" thickBot="1">
      <c r="A40" s="391"/>
      <c r="B40" s="379"/>
      <c r="C40" s="379"/>
      <c r="D40" s="379"/>
      <c r="E40" s="379"/>
      <c r="F40" s="393"/>
      <c r="G40" s="396"/>
      <c r="H40" s="392"/>
      <c r="I40" s="392"/>
      <c r="J40" s="397"/>
      <c r="K40" s="402"/>
      <c r="L40" s="380"/>
      <c r="M40" s="381"/>
      <c r="N40" s="381"/>
      <c r="O40" s="381"/>
      <c r="P40" s="381"/>
      <c r="Q40" s="381"/>
      <c r="R40" s="381"/>
      <c r="S40" s="381"/>
      <c r="T40" s="280"/>
      <c r="U40" s="279"/>
      <c r="V40" s="281"/>
      <c r="W40" s="281"/>
      <c r="X40" s="278"/>
      <c r="Y40" s="281"/>
      <c r="Z40" s="382"/>
      <c r="AA40" s="382"/>
      <c r="AB40" s="383"/>
      <c r="AC40" s="383"/>
      <c r="AD40" s="380"/>
      <c r="AE40" s="383"/>
      <c r="AF40" s="382"/>
      <c r="AG40" s="382"/>
      <c r="AH40" s="383"/>
      <c r="AI40" s="383"/>
      <c r="AJ40" s="380"/>
      <c r="AK40" s="383"/>
      <c r="AL40" s="382"/>
      <c r="AM40" s="382"/>
      <c r="AN40" s="383"/>
      <c r="AO40" s="383"/>
      <c r="AP40" s="383"/>
      <c r="AQ40" s="383"/>
      <c r="AR40" s="382"/>
      <c r="AS40" s="382"/>
      <c r="AT40" s="383"/>
      <c r="AU40" s="383"/>
      <c r="AV40" s="383"/>
      <c r="AW40" s="383"/>
      <c r="AX40" s="382"/>
      <c r="AY40" s="382"/>
      <c r="AZ40" s="383"/>
      <c r="BA40" s="383"/>
      <c r="BB40" s="383"/>
      <c r="BC40" s="383"/>
      <c r="BD40" s="449"/>
      <c r="BE40" s="380"/>
      <c r="BF40" s="381"/>
      <c r="BG40" s="397"/>
      <c r="BH40" s="402"/>
    </row>
    <row r="41" spans="1:60" s="377" customFormat="1" ht="12.75" customHeight="1" thickTop="1" thickBot="1">
      <c r="A41" s="384"/>
      <c r="B41" s="385"/>
      <c r="C41" s="385"/>
      <c r="D41" s="385"/>
      <c r="E41" s="385"/>
      <c r="F41" s="394"/>
      <c r="G41" s="396">
        <f t="shared" si="3"/>
        <v>0.94371159934397797</v>
      </c>
      <c r="H41" s="392">
        <f t="shared" si="4"/>
        <v>0.93691812634624372</v>
      </c>
      <c r="I41" s="392">
        <f t="shared" si="5"/>
        <v>0.96014983307996193</v>
      </c>
      <c r="J41" s="397">
        <f t="shared" si="6"/>
        <v>0.89958178262093658</v>
      </c>
      <c r="K41" s="397"/>
      <c r="L41" s="386">
        <f>SUM(L9:L39)</f>
        <v>1540.3757910289964</v>
      </c>
      <c r="M41" s="387"/>
      <c r="N41" s="386">
        <f>SUM(N9:N39)</f>
        <v>1529.2871264942028</v>
      </c>
      <c r="O41" s="387"/>
      <c r="P41" s="386">
        <f>SUM(P9:P39)</f>
        <v>1443.2060000000004</v>
      </c>
      <c r="Q41" s="387"/>
      <c r="R41" s="386">
        <f>SUM(R9:R39)</f>
        <v>1385.694</v>
      </c>
      <c r="S41" s="387"/>
      <c r="T41" s="282">
        <f>SUM(T9:T39)</f>
        <v>114742.50584192037</v>
      </c>
      <c r="U41" s="282"/>
      <c r="V41" s="283">
        <f>T41/P41</f>
        <v>79.505286038112601</v>
      </c>
      <c r="W41" s="283"/>
      <c r="X41" s="278">
        <f>IF(AND(R41&gt;0,T41&gt;0),(T41/(R41*1000))*1000,0)</f>
        <v>82.805082393313654</v>
      </c>
      <c r="Y41" s="283"/>
      <c r="Z41" s="388">
        <f>SUM(Z9:Z40)</f>
        <v>2736.88</v>
      </c>
      <c r="AA41" s="388"/>
      <c r="AB41" s="389">
        <f>Z41/P41</f>
        <v>1.896389011686481</v>
      </c>
      <c r="AC41" s="389"/>
      <c r="AD41" s="390">
        <f>Z41/R41</f>
        <v>1.9750969550275892</v>
      </c>
      <c r="AE41" s="389"/>
      <c r="AF41" s="388">
        <f>SUM(AF9:AF40)</f>
        <v>78.3</v>
      </c>
      <c r="AG41" s="388"/>
      <c r="AH41" s="389">
        <f>AF41/V41</f>
        <v>0.98484017732437534</v>
      </c>
      <c r="AI41" s="389"/>
      <c r="AJ41" s="390">
        <f>AF41/R41</f>
        <v>5.6505981840146526E-2</v>
      </c>
      <c r="AK41" s="389"/>
      <c r="AL41" s="388">
        <f>SUM(AL9:AL39)</f>
        <v>1228844.659999999</v>
      </c>
      <c r="AM41" s="388"/>
      <c r="AN41" s="389">
        <f>AL41/P41</f>
        <v>851.46864688755363</v>
      </c>
      <c r="AO41" s="389"/>
      <c r="AP41" s="389">
        <f>AL41/R41</f>
        <v>886.80809760307761</v>
      </c>
      <c r="AQ41" s="389"/>
      <c r="AR41" s="388">
        <f>SUM(AR9:AR39)</f>
        <v>208184.89800000004</v>
      </c>
      <c r="AS41" s="388"/>
      <c r="AT41" s="389">
        <f>AR41/V41</f>
        <v>2618.5038552053261</v>
      </c>
      <c r="AU41" s="389"/>
      <c r="AV41" s="389">
        <f>AR41/R41</f>
        <v>150.23872370090371</v>
      </c>
      <c r="AW41" s="389"/>
      <c r="AX41" s="388">
        <f>SUM(AX9:AX39)</f>
        <v>20440</v>
      </c>
      <c r="AY41" s="388"/>
      <c r="AZ41" s="389">
        <f>AX41/AH41</f>
        <v>20754.636610715475</v>
      </c>
      <c r="BA41" s="389"/>
      <c r="BB41" s="389">
        <f>AX41/AJ41</f>
        <v>361731.61379310343</v>
      </c>
      <c r="BC41" s="389"/>
      <c r="BD41" s="449"/>
      <c r="BE41" s="386">
        <f>SUM(BE9:BE39)</f>
        <v>1531.8520304164963</v>
      </c>
      <c r="BF41" s="387"/>
      <c r="BG41" s="397">
        <f t="shared" si="30"/>
        <v>0.90458737037626458</v>
      </c>
      <c r="BH41" s="397"/>
    </row>
    <row r="42" spans="1:60" ht="12.75" customHeight="1" thickTop="1">
      <c r="S42" s="266"/>
      <c r="T42" s="266"/>
      <c r="U42" s="266"/>
      <c r="V42" s="266"/>
      <c r="W42" s="266"/>
      <c r="X42" s="266"/>
      <c r="Y42" s="266"/>
      <c r="Z42" s="266"/>
      <c r="AA42" s="266"/>
      <c r="AD42" s="266"/>
      <c r="AF42" s="266"/>
      <c r="AG42" s="266"/>
      <c r="AJ42" s="266"/>
      <c r="AL42" s="266"/>
      <c r="AM42" s="266"/>
      <c r="AR42" s="266"/>
      <c r="AS42" s="266"/>
      <c r="AX42" s="266"/>
      <c r="AY42" s="266"/>
    </row>
    <row r="43" spans="1:60" ht="12.75" customHeight="1">
      <c r="S43" s="266"/>
      <c r="T43" s="266"/>
      <c r="U43" s="266"/>
      <c r="V43" s="266"/>
      <c r="W43" s="266"/>
      <c r="X43" s="266"/>
      <c r="Y43" s="266"/>
      <c r="Z43" s="266"/>
      <c r="AA43" s="266"/>
      <c r="AD43" s="266"/>
      <c r="AF43" s="266"/>
      <c r="AG43" s="266"/>
      <c r="AJ43" s="266"/>
      <c r="AL43" s="266"/>
      <c r="AM43" s="266"/>
      <c r="AR43" s="266"/>
      <c r="AS43" s="266"/>
      <c r="AX43" s="266"/>
      <c r="AY43" s="266"/>
    </row>
    <row r="44" spans="1:60">
      <c r="S44" s="266"/>
      <c r="T44" s="266"/>
      <c r="U44" s="266"/>
      <c r="V44" s="266"/>
      <c r="W44" s="266"/>
      <c r="X44" s="266"/>
      <c r="Y44" s="266"/>
      <c r="Z44" s="266"/>
      <c r="AA44" s="266"/>
      <c r="AD44" s="266"/>
      <c r="AF44" s="266"/>
      <c r="AG44" s="266"/>
      <c r="AJ44" s="266"/>
      <c r="AL44" s="266"/>
      <c r="AM44" s="266"/>
      <c r="AR44" s="266"/>
      <c r="AS44" s="266"/>
      <c r="AX44" s="266"/>
      <c r="AY44" s="266"/>
    </row>
    <row r="45" spans="1:60">
      <c r="R45" s="284"/>
      <c r="S45" s="285"/>
      <c r="T45" s="285"/>
      <c r="U45" s="285"/>
      <c r="V45" s="285"/>
      <c r="W45" s="285"/>
      <c r="X45" s="285"/>
      <c r="Y45" s="285"/>
    </row>
    <row r="46" spans="1:60">
      <c r="R46" s="286"/>
    </row>
    <row r="47" spans="1:60">
      <c r="R47" s="286"/>
    </row>
    <row r="48" spans="1:60">
      <c r="R48" s="286"/>
    </row>
    <row r="49" spans="12:58" customFormat="1">
      <c r="L49" s="265"/>
      <c r="M49" s="266"/>
      <c r="N49" s="266"/>
      <c r="O49" s="266"/>
      <c r="P49" s="265"/>
      <c r="Q49" s="266"/>
      <c r="R49" s="286"/>
      <c r="S49" s="267"/>
      <c r="T49" s="267"/>
      <c r="U49" s="267"/>
      <c r="V49" s="267"/>
      <c r="W49" s="267"/>
      <c r="X49" s="267"/>
      <c r="Y49" s="267"/>
      <c r="AX49" s="267"/>
      <c r="AY49" s="267"/>
      <c r="AZ49" s="268"/>
      <c r="BA49" s="268"/>
      <c r="BB49" s="268"/>
      <c r="BC49" s="268"/>
      <c r="BE49" s="265"/>
      <c r="BF49" s="266"/>
    </row>
    <row r="50" spans="12:58" customFormat="1">
      <c r="L50" s="265"/>
      <c r="M50" s="266"/>
      <c r="N50" s="266"/>
      <c r="O50" s="266"/>
      <c r="P50" s="265"/>
      <c r="Q50" s="266"/>
      <c r="R50" s="286"/>
      <c r="S50" s="267"/>
      <c r="T50" s="267"/>
      <c r="U50" s="267"/>
      <c r="V50" s="267"/>
      <c r="W50" s="267"/>
      <c r="X50" s="267"/>
      <c r="Y50" s="267"/>
      <c r="AX50" s="267"/>
      <c r="AY50" s="267"/>
      <c r="AZ50" s="268"/>
      <c r="BA50" s="268"/>
      <c r="BB50" s="268"/>
      <c r="BC50" s="268"/>
      <c r="BE50" s="265"/>
      <c r="BF50" s="266"/>
    </row>
    <row r="51" spans="12:58" customFormat="1">
      <c r="L51" s="265"/>
      <c r="M51" s="266"/>
      <c r="N51" s="266"/>
      <c r="O51" s="266"/>
      <c r="P51" s="265"/>
      <c r="Q51" s="266"/>
      <c r="R51" s="286"/>
      <c r="S51" s="267"/>
      <c r="T51" s="267"/>
      <c r="U51" s="267"/>
      <c r="V51" s="267"/>
      <c r="W51" s="267"/>
      <c r="X51" s="267"/>
      <c r="Y51" s="267"/>
      <c r="AX51" s="267"/>
      <c r="AY51" s="267"/>
      <c r="AZ51" s="268"/>
      <c r="BA51" s="268"/>
      <c r="BB51" s="268"/>
      <c r="BC51" s="268"/>
      <c r="BE51" s="265"/>
      <c r="BF51" s="266"/>
    </row>
    <row r="52" spans="12:58" customFormat="1">
      <c r="L52" s="265"/>
      <c r="M52" s="266"/>
      <c r="N52" s="266"/>
      <c r="O52" s="266"/>
      <c r="P52" s="265"/>
      <c r="Q52" s="266"/>
      <c r="R52" s="286"/>
      <c r="S52" s="267"/>
      <c r="T52" s="267"/>
      <c r="U52" s="267"/>
      <c r="V52" s="267"/>
      <c r="W52" s="267"/>
      <c r="X52" s="267"/>
      <c r="Y52" s="267"/>
      <c r="AX52" s="267"/>
      <c r="AY52" s="267"/>
      <c r="AZ52" s="268"/>
      <c r="BA52" s="268"/>
      <c r="BB52" s="268"/>
      <c r="BC52" s="268"/>
      <c r="BE52" s="265"/>
      <c r="BF52" s="266"/>
    </row>
    <row r="53" spans="12:58" customFormat="1">
      <c r="L53" s="265"/>
      <c r="M53" s="266"/>
      <c r="N53" s="266"/>
      <c r="O53" s="266"/>
      <c r="P53" s="265"/>
      <c r="Q53" s="266"/>
      <c r="R53" s="286"/>
      <c r="S53" s="267"/>
      <c r="T53" s="267"/>
      <c r="U53" s="267"/>
      <c r="V53" s="267"/>
      <c r="W53" s="267"/>
      <c r="X53" s="267"/>
      <c r="Y53" s="267"/>
      <c r="AX53" s="267"/>
      <c r="AY53" s="267"/>
      <c r="AZ53" s="268"/>
      <c r="BA53" s="268"/>
      <c r="BB53" s="268"/>
      <c r="BC53" s="268"/>
      <c r="BE53" s="265"/>
      <c r="BF53" s="266"/>
    </row>
    <row r="54" spans="12:58" customFormat="1">
      <c r="L54" s="265"/>
      <c r="M54" s="266"/>
      <c r="N54" s="266"/>
      <c r="O54" s="266"/>
      <c r="P54" s="265"/>
      <c r="Q54" s="266"/>
      <c r="R54" s="286"/>
      <c r="S54" s="267"/>
      <c r="T54" s="267"/>
      <c r="U54" s="267"/>
      <c r="V54" s="267"/>
      <c r="W54" s="267"/>
      <c r="X54" s="267"/>
      <c r="Y54" s="267"/>
      <c r="AX54" s="267"/>
      <c r="AY54" s="267"/>
      <c r="AZ54" s="268"/>
      <c r="BA54" s="268"/>
      <c r="BB54" s="268"/>
      <c r="BC54" s="268"/>
      <c r="BE54" s="265"/>
      <c r="BF54" s="266"/>
    </row>
    <row r="55" spans="12:58" customFormat="1">
      <c r="L55" s="265"/>
      <c r="M55" s="266"/>
      <c r="N55" s="266"/>
      <c r="O55" s="266"/>
      <c r="P55" s="265"/>
      <c r="Q55" s="266"/>
      <c r="R55" s="286"/>
      <c r="S55" s="267"/>
      <c r="T55" s="267"/>
      <c r="U55" s="267"/>
      <c r="V55" s="267"/>
      <c r="W55" s="267"/>
      <c r="X55" s="267"/>
      <c r="Y55" s="267"/>
      <c r="AX55" s="267"/>
      <c r="AY55" s="267"/>
      <c r="AZ55" s="268"/>
      <c r="BA55" s="268"/>
      <c r="BB55" s="268"/>
      <c r="BC55" s="268"/>
      <c r="BE55" s="265"/>
      <c r="BF55" s="266"/>
    </row>
    <row r="56" spans="12:58" customFormat="1">
      <c r="L56" s="265"/>
      <c r="M56" s="266"/>
      <c r="N56" s="266"/>
      <c r="O56" s="266"/>
      <c r="P56" s="265"/>
      <c r="Q56" s="266"/>
      <c r="R56" s="286"/>
      <c r="S56" s="267"/>
      <c r="T56" s="267"/>
      <c r="U56" s="267"/>
      <c r="V56" s="267"/>
      <c r="W56" s="267"/>
      <c r="X56" s="267"/>
      <c r="Y56" s="267"/>
      <c r="AX56" s="267"/>
      <c r="AY56" s="267"/>
      <c r="AZ56" s="268"/>
      <c r="BA56" s="268"/>
      <c r="BB56" s="268"/>
      <c r="BC56" s="268"/>
      <c r="BE56" s="265"/>
      <c r="BF56" s="266"/>
    </row>
    <row r="57" spans="12:58" customFormat="1">
      <c r="L57" s="265"/>
      <c r="M57" s="266"/>
      <c r="N57" s="266"/>
      <c r="O57" s="266"/>
      <c r="P57" s="265"/>
      <c r="Q57" s="266"/>
      <c r="R57" s="286"/>
      <c r="S57" s="267"/>
      <c r="T57" s="267"/>
      <c r="U57" s="267"/>
      <c r="V57" s="267"/>
      <c r="W57" s="267"/>
      <c r="X57" s="267"/>
      <c r="Y57" s="267"/>
      <c r="AX57" s="267"/>
      <c r="AY57" s="267"/>
      <c r="AZ57" s="268"/>
      <c r="BA57" s="268"/>
      <c r="BB57" s="268"/>
      <c r="BC57" s="268"/>
      <c r="BE57" s="265"/>
      <c r="BF57" s="266"/>
    </row>
    <row r="58" spans="12:58" customFormat="1">
      <c r="L58" s="265"/>
      <c r="M58" s="266"/>
      <c r="N58" s="266"/>
      <c r="O58" s="266"/>
      <c r="P58" s="265"/>
      <c r="Q58" s="266"/>
      <c r="R58" s="286"/>
      <c r="S58" s="267"/>
      <c r="T58" s="267"/>
      <c r="U58" s="267"/>
      <c r="V58" s="267"/>
      <c r="W58" s="267"/>
      <c r="X58" s="267"/>
      <c r="Y58" s="267"/>
      <c r="AX58" s="267"/>
      <c r="AY58" s="267"/>
      <c r="AZ58" s="268"/>
      <c r="BA58" s="268"/>
      <c r="BB58" s="268"/>
      <c r="BC58" s="268"/>
      <c r="BE58" s="265"/>
      <c r="BF58" s="266"/>
    </row>
    <row r="59" spans="12:58" customFormat="1">
      <c r="L59" s="265"/>
      <c r="M59" s="266"/>
      <c r="N59" s="266"/>
      <c r="O59" s="266"/>
      <c r="P59" s="265"/>
      <c r="Q59" s="266"/>
      <c r="R59" s="286"/>
      <c r="S59" s="267"/>
      <c r="T59" s="267"/>
      <c r="U59" s="267"/>
      <c r="V59" s="267"/>
      <c r="W59" s="267"/>
      <c r="X59" s="267"/>
      <c r="Y59" s="267"/>
      <c r="AX59" s="267"/>
      <c r="AY59" s="267"/>
      <c r="AZ59" s="268"/>
      <c r="BA59" s="268"/>
      <c r="BB59" s="268"/>
      <c r="BC59" s="268"/>
      <c r="BE59" s="265"/>
      <c r="BF59" s="266"/>
    </row>
    <row r="60" spans="12:58" customFormat="1">
      <c r="L60" s="265"/>
      <c r="M60" s="266"/>
      <c r="N60" s="266"/>
      <c r="O60" s="266"/>
      <c r="P60" s="265"/>
      <c r="Q60" s="266"/>
      <c r="R60" s="265"/>
      <c r="S60" s="267"/>
      <c r="T60" s="267"/>
      <c r="U60" s="267"/>
      <c r="V60" s="267"/>
      <c r="W60" s="267"/>
      <c r="X60" s="267"/>
      <c r="Y60" s="267"/>
      <c r="AX60" s="267"/>
      <c r="AY60" s="267"/>
      <c r="AZ60" s="268"/>
      <c r="BA60" s="268"/>
      <c r="BB60" s="268"/>
      <c r="BC60" s="268"/>
      <c r="BE60" s="265"/>
      <c r="BF60" s="266"/>
    </row>
    <row r="65536" spans="3:60" customFormat="1">
      <c r="C65536" s="287"/>
      <c r="D65536" s="263"/>
      <c r="E65536" s="263"/>
      <c r="F65536" s="263"/>
      <c r="G65536" s="263"/>
      <c r="H65536" s="263"/>
      <c r="I65536" s="263"/>
      <c r="J65536" s="263"/>
      <c r="K65536" s="263"/>
      <c r="AX65536" s="267"/>
      <c r="AY65536" s="267"/>
      <c r="AZ65536" s="268"/>
      <c r="BA65536" s="268"/>
      <c r="BB65536" s="268"/>
      <c r="BC65536" s="268"/>
      <c r="BG65536" s="263"/>
      <c r="BH65536" s="263"/>
    </row>
  </sheetData>
  <mergeCells count="42">
    <mergeCell ref="BB7:BC7"/>
    <mergeCell ref="A3:AQ4"/>
    <mergeCell ref="AL6:AQ6"/>
    <mergeCell ref="AR6:AW6"/>
    <mergeCell ref="BD6:BD7"/>
    <mergeCell ref="AL7:AM7"/>
    <mergeCell ref="AN7:AO7"/>
    <mergeCell ref="AP7:AQ7"/>
    <mergeCell ref="AR7:AS7"/>
    <mergeCell ref="AT7:AU7"/>
    <mergeCell ref="AV7:AW7"/>
    <mergeCell ref="AF7:AG7"/>
    <mergeCell ref="AH7:AI7"/>
    <mergeCell ref="AJ7:AK7"/>
    <mergeCell ref="D6:D8"/>
    <mergeCell ref="A6:A8"/>
    <mergeCell ref="B6:B8"/>
    <mergeCell ref="C6:C8"/>
    <mergeCell ref="L6:M7"/>
    <mergeCell ref="V7:W7"/>
    <mergeCell ref="H6:H8"/>
    <mergeCell ref="I6:I8"/>
    <mergeCell ref="E6:E8"/>
    <mergeCell ref="F6:F8"/>
    <mergeCell ref="G6:G8"/>
    <mergeCell ref="N6:O7"/>
    <mergeCell ref="BE6:BF7"/>
    <mergeCell ref="BG6:BH7"/>
    <mergeCell ref="Z7:AA7"/>
    <mergeCell ref="AB7:AC7"/>
    <mergeCell ref="J6:K7"/>
    <mergeCell ref="AF6:AK6"/>
    <mergeCell ref="AD7:AE7"/>
    <mergeCell ref="Z6:AE6"/>
    <mergeCell ref="P6:Q7"/>
    <mergeCell ref="R6:S7"/>
    <mergeCell ref="T6:Y6"/>
    <mergeCell ref="T7:U7"/>
    <mergeCell ref="X7:Y7"/>
    <mergeCell ref="AX6:BC6"/>
    <mergeCell ref="AX7:AY7"/>
    <mergeCell ref="AZ7:BA7"/>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Q44"/>
  <sheetViews>
    <sheetView zoomScaleNormal="100" workbookViewId="0">
      <pane xSplit="3" ySplit="6" topLeftCell="V7" activePane="bottomRight" state="frozen"/>
      <selection pane="topRight" activeCell="D1" sqref="D1"/>
      <selection pane="bottomLeft" activeCell="A7" sqref="A7"/>
      <selection pane="bottomRight" activeCell="Z13" sqref="Z13"/>
    </sheetView>
  </sheetViews>
  <sheetFormatPr defaultColWidth="9.140625" defaultRowHeight="12.75"/>
  <cols>
    <col min="1" max="3" width="10.85546875" customWidth="1"/>
    <col min="4" max="4" width="12.28515625" customWidth="1"/>
    <col min="5" max="5" width="13" customWidth="1"/>
    <col min="6" max="7" width="11" customWidth="1"/>
    <col min="8" max="8" width="13.5703125" customWidth="1"/>
    <col min="9" max="9" width="12.42578125" customWidth="1"/>
    <col min="10" max="11" width="13.140625" customWidth="1"/>
    <col min="12" max="23" width="13.5703125" customWidth="1"/>
    <col min="24" max="24" width="13.85546875" bestFit="1" customWidth="1"/>
    <col min="25" max="26" width="11.5703125" bestFit="1" customWidth="1"/>
    <col min="27" max="27" width="13.85546875" bestFit="1" customWidth="1"/>
    <col min="28" max="29" width="10.85546875" bestFit="1" customWidth="1"/>
    <col min="30" max="30" width="12.85546875" bestFit="1" customWidth="1"/>
    <col min="32" max="32" width="10.140625" bestFit="1" customWidth="1"/>
    <col min="33" max="33" width="39" bestFit="1" customWidth="1"/>
  </cols>
  <sheetData>
    <row r="2" spans="1:35" ht="24.75" customHeight="1">
      <c r="A2" s="617" t="s">
        <v>22</v>
      </c>
      <c r="B2" s="617"/>
      <c r="C2" s="617"/>
      <c r="D2" s="617"/>
      <c r="E2" s="617"/>
      <c r="F2" s="617"/>
      <c r="G2" s="617"/>
      <c r="H2" s="617"/>
      <c r="I2" s="617"/>
      <c r="J2" s="617"/>
      <c r="K2" s="617"/>
      <c r="L2" s="617"/>
      <c r="M2" s="617"/>
      <c r="N2" s="617"/>
      <c r="O2" s="617"/>
      <c r="P2" s="617"/>
      <c r="Q2" s="617"/>
      <c r="R2" s="617"/>
      <c r="S2" s="617"/>
      <c r="T2" s="617"/>
      <c r="U2" s="617"/>
      <c r="V2" s="617"/>
      <c r="W2" s="617"/>
      <c r="X2" s="617"/>
      <c r="Y2" s="288"/>
      <c r="Z2" s="288"/>
      <c r="AA2" s="288"/>
      <c r="AB2" s="288"/>
      <c r="AC2" s="288"/>
      <c r="AD2" s="288"/>
      <c r="AE2" s="288"/>
      <c r="AF2" s="288"/>
      <c r="AG2" s="288"/>
    </row>
    <row r="3" spans="1:35" ht="12.75" customHeight="1">
      <c r="A3" s="288"/>
      <c r="B3" s="288"/>
      <c r="C3" s="288"/>
      <c r="D3" s="290"/>
      <c r="E3" s="289"/>
      <c r="F3" s="289"/>
      <c r="G3" s="289"/>
      <c r="H3" s="291"/>
      <c r="I3" s="289"/>
      <c r="J3" s="289"/>
      <c r="K3" s="289"/>
      <c r="L3" s="289"/>
      <c r="M3" s="289"/>
      <c r="N3" s="289"/>
      <c r="O3" s="289"/>
      <c r="P3" s="289"/>
      <c r="Q3" s="289"/>
      <c r="R3" s="289"/>
      <c r="S3" s="289"/>
      <c r="T3" s="289"/>
      <c r="U3" s="289"/>
      <c r="V3" s="289"/>
      <c r="W3" s="289"/>
      <c r="X3" s="289"/>
      <c r="Y3" s="6"/>
      <c r="Z3" s="6"/>
      <c r="AA3" s="289"/>
      <c r="AB3" s="6"/>
      <c r="AC3" s="6"/>
      <c r="AD3" s="289"/>
      <c r="AE3" s="288"/>
      <c r="AF3" s="288"/>
      <c r="AG3" s="288"/>
    </row>
    <row r="4" spans="1:35" ht="12.75" customHeight="1">
      <c r="A4" s="631" t="s">
        <v>9</v>
      </c>
      <c r="B4" s="634" t="s">
        <v>23</v>
      </c>
      <c r="C4" s="634" t="s">
        <v>24</v>
      </c>
      <c r="D4" s="618"/>
      <c r="E4" s="618"/>
      <c r="F4" s="618"/>
      <c r="G4" s="618"/>
      <c r="H4" s="618"/>
      <c r="I4" s="618"/>
      <c r="J4" s="618"/>
      <c r="K4" s="618"/>
      <c r="L4" s="618"/>
      <c r="M4" s="618"/>
      <c r="N4" s="618"/>
      <c r="O4" s="618"/>
      <c r="P4" s="618"/>
      <c r="Q4" s="618"/>
      <c r="R4" s="618"/>
      <c r="S4" s="618"/>
      <c r="T4" s="618"/>
      <c r="U4" s="618"/>
      <c r="V4" s="618"/>
      <c r="W4" s="618"/>
      <c r="X4" s="619" t="s">
        <v>233</v>
      </c>
      <c r="Y4" s="620"/>
      <c r="Z4" s="621"/>
      <c r="AA4" s="625" t="s">
        <v>293</v>
      </c>
      <c r="AB4" s="626"/>
      <c r="AC4" s="627"/>
      <c r="AD4" s="615" t="s">
        <v>644</v>
      </c>
    </row>
    <row r="5" spans="1:35" ht="14.25" customHeight="1">
      <c r="A5" s="632"/>
      <c r="B5" s="635"/>
      <c r="C5" s="635"/>
      <c r="D5" s="637" t="s">
        <v>182</v>
      </c>
      <c r="E5" s="638"/>
      <c r="F5" s="638"/>
      <c r="G5" s="639"/>
      <c r="H5" s="640" t="s">
        <v>308</v>
      </c>
      <c r="I5" s="641"/>
      <c r="J5" s="641"/>
      <c r="K5" s="642"/>
      <c r="L5" s="643" t="s">
        <v>186</v>
      </c>
      <c r="M5" s="644"/>
      <c r="N5" s="644"/>
      <c r="O5" s="645"/>
      <c r="P5" s="646" t="s">
        <v>187</v>
      </c>
      <c r="Q5" s="647"/>
      <c r="R5" s="647"/>
      <c r="S5" s="648"/>
      <c r="T5" s="649" t="s">
        <v>309</v>
      </c>
      <c r="U5" s="650"/>
      <c r="V5" s="650"/>
      <c r="W5" s="651"/>
      <c r="X5" s="622"/>
      <c r="Y5" s="623"/>
      <c r="Z5" s="624"/>
      <c r="AA5" s="628"/>
      <c r="AB5" s="629"/>
      <c r="AC5" s="630"/>
      <c r="AD5" s="616"/>
    </row>
    <row r="6" spans="1:35" ht="14.25" customHeight="1">
      <c r="A6" s="633"/>
      <c r="B6" s="636"/>
      <c r="C6" s="636"/>
      <c r="D6" s="488" t="s">
        <v>25</v>
      </c>
      <c r="E6" s="352" t="s">
        <v>26</v>
      </c>
      <c r="F6" s="353" t="s">
        <v>27</v>
      </c>
      <c r="G6" s="353" t="s">
        <v>28</v>
      </c>
      <c r="H6" s="489" t="s">
        <v>25</v>
      </c>
      <c r="I6" s="355" t="s">
        <v>26</v>
      </c>
      <c r="J6" s="356" t="s">
        <v>27</v>
      </c>
      <c r="K6" s="356" t="s">
        <v>28</v>
      </c>
      <c r="L6" s="354" t="s">
        <v>25</v>
      </c>
      <c r="M6" s="354" t="s">
        <v>26</v>
      </c>
      <c r="N6" s="354" t="s">
        <v>27</v>
      </c>
      <c r="O6" s="354" t="s">
        <v>28</v>
      </c>
      <c r="P6" s="357" t="s">
        <v>25</v>
      </c>
      <c r="Q6" s="357" t="s">
        <v>26</v>
      </c>
      <c r="R6" s="357" t="s">
        <v>27</v>
      </c>
      <c r="S6" s="357" t="s">
        <v>28</v>
      </c>
      <c r="T6" s="358" t="s">
        <v>25</v>
      </c>
      <c r="U6" s="358" t="s">
        <v>26</v>
      </c>
      <c r="V6" s="358" t="s">
        <v>27</v>
      </c>
      <c r="W6" s="358" t="s">
        <v>28</v>
      </c>
      <c r="X6" s="359" t="s">
        <v>26</v>
      </c>
      <c r="Y6" s="360" t="s">
        <v>27</v>
      </c>
      <c r="Z6" s="360" t="s">
        <v>28</v>
      </c>
      <c r="AA6" s="459" t="s">
        <v>26</v>
      </c>
      <c r="AB6" s="460" t="s">
        <v>27</v>
      </c>
      <c r="AC6" s="460" t="s">
        <v>28</v>
      </c>
      <c r="AD6" s="359" t="s">
        <v>26</v>
      </c>
      <c r="AF6" s="362"/>
    </row>
    <row r="7" spans="1:35">
      <c r="A7" s="292"/>
      <c r="B7" s="293"/>
      <c r="C7" s="293"/>
      <c r="D7" s="100"/>
      <c r="E7" s="100"/>
      <c r="F7" s="100"/>
      <c r="G7" s="100"/>
      <c r="H7" s="100"/>
      <c r="I7" s="100"/>
      <c r="J7" s="100"/>
      <c r="K7" s="100"/>
      <c r="L7" s="100"/>
      <c r="M7" s="100"/>
      <c r="N7" s="100"/>
      <c r="O7" s="100"/>
      <c r="P7" s="100"/>
      <c r="Q7" s="100"/>
      <c r="R7" s="100"/>
      <c r="S7" s="100"/>
      <c r="T7" s="100"/>
      <c r="U7" s="100"/>
      <c r="V7" s="100"/>
      <c r="W7" s="100"/>
      <c r="X7" s="296"/>
      <c r="Y7" s="100"/>
      <c r="Z7" s="100"/>
      <c r="AA7" s="296"/>
      <c r="AB7" s="100"/>
      <c r="AC7" s="100"/>
      <c r="AD7" s="296"/>
    </row>
    <row r="8" spans="1:35" ht="15">
      <c r="A8" s="292">
        <f>+Report1!A9</f>
        <v>45839</v>
      </c>
      <c r="B8" s="299">
        <f>+Report1!P9</f>
        <v>26.224999999999998</v>
      </c>
      <c r="C8" s="299">
        <f>+Report1!R9</f>
        <v>20.062000000000001</v>
      </c>
      <c r="D8" s="300">
        <f>+D7+E8</f>
        <v>7719.2000000000089</v>
      </c>
      <c r="E8" s="300">
        <f>+[2]DailyJul!AZ7</f>
        <v>7719.2000000000089</v>
      </c>
      <c r="F8" s="300">
        <f t="shared" ref="F8:F38" si="0">E8/B8</f>
        <v>294.34509056244076</v>
      </c>
      <c r="G8" s="300">
        <f t="shared" ref="G8:G38" si="1">E8/C8</f>
        <v>384.76722161300012</v>
      </c>
      <c r="H8" s="300">
        <f>+H7+I8</f>
        <v>12254.199999999637</v>
      </c>
      <c r="I8" s="300">
        <f>+[2]DailyJul!BA7</f>
        <v>12254.199999999637</v>
      </c>
      <c r="J8" s="300">
        <f t="shared" ref="J8:J38" si="2">I8/B8</f>
        <v>467.27168732124454</v>
      </c>
      <c r="K8" s="300">
        <f t="shared" ref="K8:K38" si="3">I8/C8</f>
        <v>610.81646894624839</v>
      </c>
      <c r="L8" s="300">
        <f>+L7+M8</f>
        <v>9898.3650000000016</v>
      </c>
      <c r="M8" s="300">
        <f>+[2]DailyJul!BB7</f>
        <v>9898.3650000000016</v>
      </c>
      <c r="N8" s="300">
        <f t="shared" ref="N8:N38" si="4">M8/B8</f>
        <v>377.44003813155393</v>
      </c>
      <c r="O8" s="492">
        <f t="shared" ref="O8:O38" si="5">M8/C8</f>
        <v>493.38874489083844</v>
      </c>
      <c r="P8" s="300">
        <f>+P7+Q8</f>
        <v>0</v>
      </c>
      <c r="Q8" s="300"/>
      <c r="R8" s="300">
        <f t="shared" ref="R8:R38" si="6">Q8/B8</f>
        <v>0</v>
      </c>
      <c r="S8" s="395">
        <f t="shared" ref="S8:S38" si="7">Q8/C8</f>
        <v>0</v>
      </c>
      <c r="T8" s="300">
        <f>+T7+U8</f>
        <v>899.99999999986358</v>
      </c>
      <c r="U8" s="300">
        <f>+[2]DailyJul!BC7</f>
        <v>899.99999999986358</v>
      </c>
      <c r="V8" s="300">
        <f t="shared" ref="V8:V38" si="8">U8/B8</f>
        <v>34.318398474732646</v>
      </c>
      <c r="W8" s="395">
        <f t="shared" ref="W8:W38" si="9">U8/C8</f>
        <v>44.860931113541199</v>
      </c>
      <c r="X8" s="300">
        <f>+E8+I8+M8+U8</f>
        <v>30771.764999999512</v>
      </c>
      <c r="Y8" s="7">
        <f t="shared" ref="Y8:Y38" si="10">X8/B8</f>
        <v>1173.375214489972</v>
      </c>
      <c r="Z8" s="298">
        <f t="shared" ref="Z8:Z38" si="11">X8/C8</f>
        <v>1533.8333665636283</v>
      </c>
      <c r="AA8" s="300">
        <f>+[2]DailyJul!BO7</f>
        <v>0</v>
      </c>
      <c r="AB8" s="7">
        <f>AA8/B8</f>
        <v>0</v>
      </c>
      <c r="AC8" s="6">
        <f>AA8/C8</f>
        <v>0</v>
      </c>
      <c r="AD8" s="300">
        <f>+[2]DailyJul!BS7</f>
        <v>0</v>
      </c>
      <c r="AH8" s="363" t="s">
        <v>190</v>
      </c>
      <c r="AI8" s="363" t="s">
        <v>191</v>
      </c>
    </row>
    <row r="9" spans="1:35" ht="15">
      <c r="A9" s="292">
        <f t="shared" ref="A9:A38" si="12">A8+1</f>
        <v>45840</v>
      </c>
      <c r="B9" s="299">
        <f>+Report1!P10</f>
        <v>34.292999999999999</v>
      </c>
      <c r="C9" s="299">
        <f>+Report1!R10</f>
        <v>35.039000000000001</v>
      </c>
      <c r="D9" s="300">
        <f t="shared" ref="D9:D38" si="13">+D8+E9</f>
        <v>16442.730000000025</v>
      </c>
      <c r="E9" s="300">
        <f>+[2]DailyJul!AZ8</f>
        <v>8723.5300000000152</v>
      </c>
      <c r="F9" s="300">
        <f t="shared" si="0"/>
        <v>254.38223544163577</v>
      </c>
      <c r="G9" s="300">
        <f t="shared" si="1"/>
        <v>248.96629470019164</v>
      </c>
      <c r="H9" s="300">
        <f t="shared" ref="H9:H38" si="14">+H8+I9</f>
        <v>27057.729999999639</v>
      </c>
      <c r="I9" s="300">
        <f>+[2]DailyJul!BA8</f>
        <v>14803.53</v>
      </c>
      <c r="J9" s="300">
        <f t="shared" si="2"/>
        <v>431.67789344764242</v>
      </c>
      <c r="K9" s="300">
        <f t="shared" si="3"/>
        <v>422.4872285167956</v>
      </c>
      <c r="L9" s="300">
        <f t="shared" ref="L9:L38" si="15">+L8+M9</f>
        <v>20855.230000000003</v>
      </c>
      <c r="M9" s="300">
        <f>+[2]DailyJul!BB8</f>
        <v>10956.865000000002</v>
      </c>
      <c r="N9" s="300">
        <f t="shared" si="4"/>
        <v>319.50733385822184</v>
      </c>
      <c r="O9" s="492">
        <f t="shared" si="5"/>
        <v>312.70484317474819</v>
      </c>
      <c r="P9" s="300">
        <f t="shared" ref="P9:P38" si="16">+P8+Q9</f>
        <v>0</v>
      </c>
      <c r="Q9" s="300"/>
      <c r="R9" s="300">
        <f t="shared" si="6"/>
        <v>0</v>
      </c>
      <c r="S9" s="395">
        <f t="shared" si="7"/>
        <v>0</v>
      </c>
      <c r="T9" s="300">
        <f t="shared" ref="T9:T38" si="17">+T8+U9</f>
        <v>1199.9999999998181</v>
      </c>
      <c r="U9" s="300">
        <f>+[2]DailyJul!BC8</f>
        <v>299.99999999995453</v>
      </c>
      <c r="V9" s="300">
        <f t="shared" si="8"/>
        <v>8.7481410200319178</v>
      </c>
      <c r="W9" s="395">
        <f t="shared" si="9"/>
        <v>8.5618881817390484</v>
      </c>
      <c r="X9" s="300">
        <f t="shared" ref="X9:X38" si="18">+E9+I9+M9+U9</f>
        <v>34783.924999999974</v>
      </c>
      <c r="Y9" s="297">
        <f t="shared" si="10"/>
        <v>1014.315603767532</v>
      </c>
      <c r="Z9" s="298">
        <f t="shared" si="11"/>
        <v>992.72025457347445</v>
      </c>
      <c r="AA9" s="300">
        <f>+[2]DailyJul!BO8</f>
        <v>0</v>
      </c>
      <c r="AB9" s="7">
        <f t="shared" ref="AB9:AB38" si="19">AA9/B9</f>
        <v>0</v>
      </c>
      <c r="AC9" s="6">
        <f t="shared" ref="AC9:AC38" si="20">AA9/C9</f>
        <v>0</v>
      </c>
      <c r="AD9" s="300">
        <f>+[2]DailyJul!BS8</f>
        <v>0</v>
      </c>
      <c r="AH9" s="363" t="s">
        <v>192</v>
      </c>
      <c r="AI9" s="363" t="s">
        <v>192</v>
      </c>
    </row>
    <row r="10" spans="1:35">
      <c r="A10" s="292">
        <f t="shared" si="12"/>
        <v>45841</v>
      </c>
      <c r="B10" s="299">
        <f>+Report1!P11</f>
        <v>40.92</v>
      </c>
      <c r="C10" s="299">
        <f>+Report1!R11</f>
        <v>38.435000000000002</v>
      </c>
      <c r="D10" s="300">
        <f t="shared" si="13"/>
        <v>25698.870000000021</v>
      </c>
      <c r="E10" s="300">
        <f>+[2]DailyJul!AZ9</f>
        <v>9256.1399999999958</v>
      </c>
      <c r="F10" s="300">
        <f t="shared" si="0"/>
        <v>226.20087976539577</v>
      </c>
      <c r="G10" s="300">
        <f t="shared" si="1"/>
        <v>240.82580980876793</v>
      </c>
      <c r="H10" s="300">
        <f t="shared" si="14"/>
        <v>45133.869999998547</v>
      </c>
      <c r="I10" s="300">
        <f>+[2]DailyJul!BA9</f>
        <v>18076.139999998908</v>
      </c>
      <c r="J10" s="300">
        <f t="shared" si="2"/>
        <v>441.74340175950408</v>
      </c>
      <c r="K10" s="300">
        <f t="shared" si="3"/>
        <v>470.30414986337729</v>
      </c>
      <c r="L10" s="300">
        <f t="shared" si="15"/>
        <v>33661.370000000003</v>
      </c>
      <c r="M10" s="300">
        <f>+[2]DailyJul!BB9</f>
        <v>12806.14</v>
      </c>
      <c r="N10" s="300">
        <f t="shared" si="4"/>
        <v>312.95552297165199</v>
      </c>
      <c r="O10" s="492">
        <f t="shared" si="5"/>
        <v>333.18954078314033</v>
      </c>
      <c r="P10" s="300">
        <f t="shared" si="16"/>
        <v>0</v>
      </c>
      <c r="Q10" s="300"/>
      <c r="R10" s="300">
        <f t="shared" si="6"/>
        <v>0</v>
      </c>
      <c r="S10" s="395">
        <f t="shared" si="7"/>
        <v>0</v>
      </c>
      <c r="T10" s="300">
        <f t="shared" si="17"/>
        <v>1299.9999999999545</v>
      </c>
      <c r="U10" s="300">
        <f>+[2]DailyJul!BC9</f>
        <v>100.00000000013642</v>
      </c>
      <c r="V10" s="300">
        <f t="shared" si="8"/>
        <v>2.4437927663767454</v>
      </c>
      <c r="W10" s="395">
        <f t="shared" si="9"/>
        <v>2.6017952387182626</v>
      </c>
      <c r="X10" s="300">
        <f t="shared" si="18"/>
        <v>40238.419999999045</v>
      </c>
      <c r="Y10" s="297">
        <f t="shared" si="10"/>
        <v>983.34359726292871</v>
      </c>
      <c r="Z10" s="298">
        <f t="shared" si="11"/>
        <v>1046.9212956940039</v>
      </c>
      <c r="AA10" s="300">
        <f>+[2]DailyJul!BO9</f>
        <v>0</v>
      </c>
      <c r="AB10" s="7">
        <f t="shared" si="19"/>
        <v>0</v>
      </c>
      <c r="AC10" s="6">
        <f t="shared" si="20"/>
        <v>0</v>
      </c>
      <c r="AD10" s="300">
        <f>+[2]DailyJul!BS9</f>
        <v>0</v>
      </c>
      <c r="AF10" s="20" t="s">
        <v>30</v>
      </c>
      <c r="AG10" t="s">
        <v>180</v>
      </c>
      <c r="AH10" s="14" t="e">
        <f>+#REF!</f>
        <v>#REF!</v>
      </c>
      <c r="AI10" s="14" t="e">
        <f>+#REF!</f>
        <v>#REF!</v>
      </c>
    </row>
    <row r="11" spans="1:35">
      <c r="A11" s="292">
        <f t="shared" si="12"/>
        <v>45842</v>
      </c>
      <c r="B11" s="299">
        <f>+Report1!P12</f>
        <v>42.158000000000001</v>
      </c>
      <c r="C11" s="299">
        <f>+Report1!R12</f>
        <v>42.110999999999997</v>
      </c>
      <c r="D11" s="300">
        <f t="shared" si="13"/>
        <v>36047.150000000045</v>
      </c>
      <c r="E11" s="300">
        <f>+[2]DailyJul!AZ10</f>
        <v>10348.280000000024</v>
      </c>
      <c r="F11" s="300">
        <f t="shared" si="0"/>
        <v>245.46420608188302</v>
      </c>
      <c r="G11" s="300">
        <f t="shared" si="1"/>
        <v>245.7381681745868</v>
      </c>
      <c r="H11" s="300">
        <f t="shared" si="14"/>
        <v>62832.149999999281</v>
      </c>
      <c r="I11" s="300">
        <f>+[2]DailyJul!BA10</f>
        <v>17698.28000000073</v>
      </c>
      <c r="J11" s="300">
        <f t="shared" si="2"/>
        <v>419.80834005409957</v>
      </c>
      <c r="K11" s="300">
        <f t="shared" si="3"/>
        <v>420.2768872741263</v>
      </c>
      <c r="L11" s="300">
        <f t="shared" si="15"/>
        <v>46167.985000000001</v>
      </c>
      <c r="M11" s="300">
        <f>+[2]DailyJul!BB10</f>
        <v>12506.615000000002</v>
      </c>
      <c r="N11" s="300">
        <f t="shared" si="4"/>
        <v>296.66053892499644</v>
      </c>
      <c r="O11" s="492">
        <f t="shared" si="5"/>
        <v>296.99164113889486</v>
      </c>
      <c r="P11" s="300">
        <f t="shared" si="16"/>
        <v>0</v>
      </c>
      <c r="Q11" s="300"/>
      <c r="R11" s="300">
        <f t="shared" si="6"/>
        <v>0</v>
      </c>
      <c r="S11" s="395">
        <f t="shared" si="7"/>
        <v>0</v>
      </c>
      <c r="T11" s="300">
        <f t="shared" si="17"/>
        <v>3599.9999999999091</v>
      </c>
      <c r="U11" s="300">
        <f>+[2]DailyJul!BC10</f>
        <v>2299.9999999999545</v>
      </c>
      <c r="V11" s="300">
        <f t="shared" si="8"/>
        <v>54.556667773612467</v>
      </c>
      <c r="W11" s="395">
        <f t="shared" si="9"/>
        <v>54.617558357672692</v>
      </c>
      <c r="X11" s="300">
        <f t="shared" si="18"/>
        <v>42853.175000000716</v>
      </c>
      <c r="Y11" s="297">
        <f t="shared" si="10"/>
        <v>1016.4897528345916</v>
      </c>
      <c r="Z11" s="298">
        <f t="shared" si="11"/>
        <v>1017.6242549452808</v>
      </c>
      <c r="AA11" s="300">
        <f>+[2]DailyJul!BO10</f>
        <v>0</v>
      </c>
      <c r="AB11" s="7">
        <f t="shared" si="19"/>
        <v>0</v>
      </c>
      <c r="AC11" s="6">
        <f t="shared" si="20"/>
        <v>0</v>
      </c>
      <c r="AD11" s="300">
        <f>+[2]DailyJul!BS10</f>
        <v>0</v>
      </c>
      <c r="AF11" s="20"/>
      <c r="AG11" t="s">
        <v>181</v>
      </c>
      <c r="AH11" s="14" t="e">
        <f>+#REF!</f>
        <v>#REF!</v>
      </c>
      <c r="AI11" s="14" t="e">
        <f>+#REF!</f>
        <v>#REF!</v>
      </c>
    </row>
    <row r="12" spans="1:35">
      <c r="A12" s="292">
        <f t="shared" si="12"/>
        <v>45843</v>
      </c>
      <c r="B12" s="299">
        <f>+Report1!P13</f>
        <v>44.183000000000007</v>
      </c>
      <c r="C12" s="299">
        <f>+Report1!R13</f>
        <v>41.948999999999998</v>
      </c>
      <c r="D12" s="300">
        <f t="shared" si="13"/>
        <v>45203.560000000034</v>
      </c>
      <c r="E12" s="300">
        <f>+[2]DailyJul!AZ11</f>
        <v>9156.4099999999908</v>
      </c>
      <c r="F12" s="300">
        <f t="shared" si="0"/>
        <v>207.2383043251927</v>
      </c>
      <c r="G12" s="300">
        <f t="shared" si="1"/>
        <v>218.27480988819735</v>
      </c>
      <c r="H12" s="300">
        <f t="shared" si="14"/>
        <v>81103.559999999285</v>
      </c>
      <c r="I12" s="300">
        <f>+[2]DailyJul!BA11</f>
        <v>18271.41</v>
      </c>
      <c r="J12" s="300">
        <f t="shared" si="2"/>
        <v>413.53937034606065</v>
      </c>
      <c r="K12" s="300">
        <f t="shared" si="3"/>
        <v>435.56246871200744</v>
      </c>
      <c r="L12" s="300">
        <f t="shared" si="15"/>
        <v>59086.895000000004</v>
      </c>
      <c r="M12" s="300">
        <f>+[2]DailyJul!BB11</f>
        <v>12918.91</v>
      </c>
      <c r="N12" s="300">
        <f t="shared" si="4"/>
        <v>292.39549147862294</v>
      </c>
      <c r="O12" s="492">
        <f t="shared" si="5"/>
        <v>307.96705523373623</v>
      </c>
      <c r="P12" s="300">
        <f t="shared" si="16"/>
        <v>0</v>
      </c>
      <c r="Q12" s="300"/>
      <c r="R12" s="300">
        <f t="shared" si="6"/>
        <v>0</v>
      </c>
      <c r="S12" s="395">
        <f t="shared" si="7"/>
        <v>0</v>
      </c>
      <c r="T12" s="300">
        <f t="shared" si="17"/>
        <v>5399.9999999998636</v>
      </c>
      <c r="U12" s="300">
        <f>+[2]DailyJul!BC11</f>
        <v>1799.9999999999545</v>
      </c>
      <c r="V12" s="300">
        <f t="shared" si="8"/>
        <v>40.739650996988757</v>
      </c>
      <c r="W12" s="395">
        <f t="shared" si="9"/>
        <v>42.909246942715072</v>
      </c>
      <c r="X12" s="300">
        <f t="shared" si="18"/>
        <v>42146.729999999952</v>
      </c>
      <c r="Y12" s="297">
        <f t="shared" si="10"/>
        <v>953.91281714686522</v>
      </c>
      <c r="Z12" s="298">
        <f t="shared" si="11"/>
        <v>1004.7135807766563</v>
      </c>
      <c r="AA12" s="300">
        <f>+[2]DailyJul!BO11</f>
        <v>0</v>
      </c>
      <c r="AB12" s="7">
        <f t="shared" si="19"/>
        <v>0</v>
      </c>
      <c r="AC12" s="6">
        <f t="shared" si="20"/>
        <v>0</v>
      </c>
      <c r="AD12" s="300">
        <f>+[2]DailyJul!BS11</f>
        <v>0</v>
      </c>
      <c r="AF12" s="20"/>
      <c r="AG12" t="s">
        <v>182</v>
      </c>
      <c r="AH12" s="14">
        <f>+F39</f>
        <v>0</v>
      </c>
      <c r="AI12" s="14">
        <f>+G39</f>
        <v>0</v>
      </c>
    </row>
    <row r="13" spans="1:35">
      <c r="A13" s="292">
        <f t="shared" si="12"/>
        <v>45844</v>
      </c>
      <c r="B13" s="299">
        <f>+Report1!P14</f>
        <v>47.881999999999998</v>
      </c>
      <c r="C13" s="299">
        <f>+Report1!R14</f>
        <v>45.878999999999998</v>
      </c>
      <c r="D13" s="300">
        <f t="shared" si="13"/>
        <v>53932.219999999994</v>
      </c>
      <c r="E13" s="300">
        <f>+[2]DailyJul!AZ12</f>
        <v>8728.6599999999617</v>
      </c>
      <c r="F13" s="300">
        <f t="shared" si="0"/>
        <v>182.29522576333406</v>
      </c>
      <c r="G13" s="300">
        <f t="shared" si="1"/>
        <v>190.25392881274576</v>
      </c>
      <c r="H13" s="300">
        <f t="shared" si="14"/>
        <v>97977.219999999288</v>
      </c>
      <c r="I13" s="300">
        <f>+[2]DailyJul!BA12</f>
        <v>16873.660000000003</v>
      </c>
      <c r="J13" s="300">
        <f t="shared" si="2"/>
        <v>352.40090221795253</v>
      </c>
      <c r="K13" s="300">
        <f t="shared" si="3"/>
        <v>367.78613308921302</v>
      </c>
      <c r="L13" s="300">
        <f t="shared" si="15"/>
        <v>70436.39</v>
      </c>
      <c r="M13" s="300">
        <f>+[2]DailyJul!BB12</f>
        <v>11349.494999999999</v>
      </c>
      <c r="N13" s="300">
        <f t="shared" si="4"/>
        <v>237.03051250992021</v>
      </c>
      <c r="O13" s="492">
        <f t="shared" si="5"/>
        <v>247.3788661479108</v>
      </c>
      <c r="P13" s="300">
        <f t="shared" si="16"/>
        <v>0</v>
      </c>
      <c r="Q13" s="300"/>
      <c r="R13" s="300">
        <f t="shared" si="6"/>
        <v>0</v>
      </c>
      <c r="S13" s="395">
        <f t="shared" si="7"/>
        <v>0</v>
      </c>
      <c r="T13" s="300">
        <f t="shared" si="17"/>
        <v>7000</v>
      </c>
      <c r="U13" s="300">
        <f>+[2]DailyJul!BC12</f>
        <v>1600.0000000001364</v>
      </c>
      <c r="V13" s="300">
        <f t="shared" si="8"/>
        <v>33.415479720983598</v>
      </c>
      <c r="W13" s="395">
        <f t="shared" si="9"/>
        <v>34.874343381506499</v>
      </c>
      <c r="X13" s="300">
        <f t="shared" si="18"/>
        <v>38551.815000000097</v>
      </c>
      <c r="Y13" s="297">
        <f t="shared" si="10"/>
        <v>805.14212021219032</v>
      </c>
      <c r="Z13" s="298">
        <f t="shared" si="11"/>
        <v>840.29327143137596</v>
      </c>
      <c r="AA13" s="300">
        <f>+[2]DailyJul!BO12</f>
        <v>0</v>
      </c>
      <c r="AB13" s="7">
        <f t="shared" si="19"/>
        <v>0</v>
      </c>
      <c r="AC13" s="6">
        <f t="shared" si="20"/>
        <v>0</v>
      </c>
      <c r="AD13" s="300">
        <f>+[2]DailyJul!BS12</f>
        <v>0</v>
      </c>
      <c r="AF13" s="20"/>
      <c r="AG13" t="s">
        <v>183</v>
      </c>
      <c r="AH13" s="14">
        <f>+J39</f>
        <v>0</v>
      </c>
      <c r="AI13" s="14">
        <f>+K39</f>
        <v>0</v>
      </c>
    </row>
    <row r="14" spans="1:35">
      <c r="A14" s="292">
        <f t="shared" si="12"/>
        <v>45845</v>
      </c>
      <c r="B14" s="299">
        <f>+Report1!P15</f>
        <v>51.512</v>
      </c>
      <c r="C14" s="299">
        <f>+Report1!R15</f>
        <v>48.341000000000001</v>
      </c>
      <c r="D14" s="300">
        <f t="shared" si="13"/>
        <v>64042.530000000042</v>
      </c>
      <c r="E14" s="300">
        <f>+[2]DailyJul!AZ13</f>
        <v>10110.310000000047</v>
      </c>
      <c r="F14" s="300">
        <f t="shared" si="0"/>
        <v>196.27096598850844</v>
      </c>
      <c r="G14" s="300">
        <f t="shared" si="1"/>
        <v>209.14565275852891</v>
      </c>
      <c r="H14" s="300">
        <f t="shared" si="14"/>
        <v>115902.53000000001</v>
      </c>
      <c r="I14" s="300">
        <f>+[2]DailyJul!BA13</f>
        <v>17925.310000000729</v>
      </c>
      <c r="J14" s="300">
        <f t="shared" si="2"/>
        <v>347.98318838330346</v>
      </c>
      <c r="K14" s="300">
        <f t="shared" si="3"/>
        <v>370.80966467389436</v>
      </c>
      <c r="L14" s="300">
        <f t="shared" si="15"/>
        <v>79759.199999999997</v>
      </c>
      <c r="M14" s="300">
        <f>+[2]DailyJul!BB13</f>
        <v>9322.8099999999977</v>
      </c>
      <c r="N14" s="300">
        <f t="shared" si="4"/>
        <v>180.98326603509858</v>
      </c>
      <c r="O14" s="492">
        <f t="shared" si="5"/>
        <v>192.85513332367964</v>
      </c>
      <c r="P14" s="300">
        <f t="shared" si="16"/>
        <v>0</v>
      </c>
      <c r="Q14" s="300"/>
      <c r="R14" s="300">
        <f t="shared" si="6"/>
        <v>0</v>
      </c>
      <c r="S14" s="395">
        <f t="shared" si="7"/>
        <v>0</v>
      </c>
      <c r="T14" s="300">
        <f t="shared" si="17"/>
        <v>8699.9999999998181</v>
      </c>
      <c r="U14" s="300">
        <f>+[2]DailyJul!BC13</f>
        <v>1699.9999999998181</v>
      </c>
      <c r="V14" s="300">
        <f t="shared" si="8"/>
        <v>33.002018947037932</v>
      </c>
      <c r="W14" s="395">
        <f t="shared" si="9"/>
        <v>35.166835605382971</v>
      </c>
      <c r="X14" s="300">
        <f t="shared" si="18"/>
        <v>39058.43000000059</v>
      </c>
      <c r="Y14" s="297">
        <f t="shared" si="10"/>
        <v>758.23943935394834</v>
      </c>
      <c r="Z14" s="298">
        <f t="shared" si="11"/>
        <v>807.97728636148588</v>
      </c>
      <c r="AA14" s="300">
        <f>+[2]DailyJul!BO13</f>
        <v>0</v>
      </c>
      <c r="AB14" s="7">
        <f t="shared" si="19"/>
        <v>0</v>
      </c>
      <c r="AC14" s="6">
        <f t="shared" si="20"/>
        <v>0</v>
      </c>
      <c r="AD14" s="300">
        <f>+[2]DailyJul!BS13</f>
        <v>0</v>
      </c>
      <c r="AF14" s="20"/>
      <c r="AG14" t="s">
        <v>184</v>
      </c>
      <c r="AH14" s="14" t="e">
        <f>+#REF!</f>
        <v>#REF!</v>
      </c>
      <c r="AI14" s="14" t="e">
        <f>+#REF!</f>
        <v>#REF!</v>
      </c>
    </row>
    <row r="15" spans="1:35">
      <c r="A15" s="292">
        <f t="shared" si="12"/>
        <v>45846</v>
      </c>
      <c r="B15" s="299">
        <f>+Report1!P16</f>
        <v>48.932000000000002</v>
      </c>
      <c r="C15" s="299">
        <f>+Report1!R16</f>
        <v>50.698999999999998</v>
      </c>
      <c r="D15" s="300">
        <f t="shared" si="13"/>
        <v>72998.509999999995</v>
      </c>
      <c r="E15" s="300">
        <f>+[2]DailyJul!AZ14</f>
        <v>8955.9799999999523</v>
      </c>
      <c r="F15" s="300">
        <f t="shared" si="0"/>
        <v>183.02910161039711</v>
      </c>
      <c r="G15" s="300">
        <f t="shared" si="1"/>
        <v>176.65003254501968</v>
      </c>
      <c r="H15" s="300">
        <f t="shared" si="14"/>
        <v>134493.51</v>
      </c>
      <c r="I15" s="300">
        <f>+[2]DailyJul!BA14</f>
        <v>18590.98</v>
      </c>
      <c r="J15" s="300">
        <f t="shared" si="2"/>
        <v>379.93501185318399</v>
      </c>
      <c r="K15" s="300">
        <f t="shared" si="3"/>
        <v>366.69322866328724</v>
      </c>
      <c r="L15" s="300">
        <f t="shared" si="15"/>
        <v>91244.345000000001</v>
      </c>
      <c r="M15" s="300">
        <f>+[2]DailyJul!BB14</f>
        <v>11485.145</v>
      </c>
      <c r="N15" s="300">
        <f t="shared" si="4"/>
        <v>234.7164432273359</v>
      </c>
      <c r="O15" s="492">
        <f t="shared" si="5"/>
        <v>226.53592773033</v>
      </c>
      <c r="P15" s="300">
        <f t="shared" si="16"/>
        <v>0</v>
      </c>
      <c r="Q15" s="300"/>
      <c r="R15" s="300">
        <f t="shared" si="6"/>
        <v>0</v>
      </c>
      <c r="S15" s="395">
        <f t="shared" si="7"/>
        <v>0</v>
      </c>
      <c r="T15" s="300">
        <f t="shared" si="17"/>
        <v>10199.999999999818</v>
      </c>
      <c r="U15" s="300">
        <f>+[2]DailyJul!BC14</f>
        <v>1500</v>
      </c>
      <c r="V15" s="300">
        <f t="shared" si="8"/>
        <v>30.654786233957328</v>
      </c>
      <c r="W15" s="395">
        <f t="shared" si="9"/>
        <v>29.586382374405808</v>
      </c>
      <c r="X15" s="300">
        <f t="shared" si="18"/>
        <v>40532.104999999952</v>
      </c>
      <c r="Y15" s="297">
        <f t="shared" si="10"/>
        <v>828.33534292487434</v>
      </c>
      <c r="Z15" s="298">
        <f t="shared" si="11"/>
        <v>799.46557131304269</v>
      </c>
      <c r="AA15" s="300">
        <f>+[2]DailyJul!BO14</f>
        <v>0</v>
      </c>
      <c r="AB15" s="7">
        <f t="shared" si="19"/>
        <v>0</v>
      </c>
      <c r="AC15" s="6">
        <f t="shared" si="20"/>
        <v>0</v>
      </c>
      <c r="AD15" s="300">
        <f>+[2]DailyJul!BS14</f>
        <v>0</v>
      </c>
      <c r="AF15" s="20"/>
      <c r="AG15" t="s">
        <v>185</v>
      </c>
      <c r="AH15" s="14" t="e">
        <f>+#REF!</f>
        <v>#REF!</v>
      </c>
      <c r="AI15" s="14" t="e">
        <f>+#REF!</f>
        <v>#REF!</v>
      </c>
    </row>
    <row r="16" spans="1:35">
      <c r="A16" s="292">
        <f t="shared" si="12"/>
        <v>45847</v>
      </c>
      <c r="B16" s="299">
        <f>+Report1!P17</f>
        <v>41.786999999999999</v>
      </c>
      <c r="C16" s="299">
        <f>+Report1!R17</f>
        <v>42.956000000000003</v>
      </c>
      <c r="D16" s="300">
        <f t="shared" si="13"/>
        <v>81660.240000000005</v>
      </c>
      <c r="E16" s="300">
        <f>+[2]DailyJul!AZ15</f>
        <v>8661.7300000000141</v>
      </c>
      <c r="F16" s="300">
        <f t="shared" si="0"/>
        <v>207.28288702227999</v>
      </c>
      <c r="G16" s="300">
        <f t="shared" si="1"/>
        <v>201.64191265480989</v>
      </c>
      <c r="H16" s="300">
        <f t="shared" si="14"/>
        <v>152495.23999999891</v>
      </c>
      <c r="I16" s="300">
        <f>+[2]DailyJul!BA15</f>
        <v>18001.729999998908</v>
      </c>
      <c r="J16" s="300">
        <f t="shared" si="2"/>
        <v>430.79737717469328</v>
      </c>
      <c r="K16" s="300">
        <f t="shared" si="3"/>
        <v>419.07370332430645</v>
      </c>
      <c r="L16" s="300">
        <f t="shared" si="15"/>
        <v>102056.075</v>
      </c>
      <c r="M16" s="300">
        <f>+[2]DailyJul!BB15</f>
        <v>10811.73</v>
      </c>
      <c r="N16" s="300">
        <f t="shared" si="4"/>
        <v>258.73429535501469</v>
      </c>
      <c r="O16" s="492">
        <f t="shared" si="5"/>
        <v>251.69312785175526</v>
      </c>
      <c r="P16" s="300">
        <f t="shared" si="16"/>
        <v>0</v>
      </c>
      <c r="Q16" s="300"/>
      <c r="R16" s="300">
        <f t="shared" si="6"/>
        <v>0</v>
      </c>
      <c r="S16" s="395">
        <f t="shared" si="7"/>
        <v>0</v>
      </c>
      <c r="T16" s="300">
        <f t="shared" si="17"/>
        <v>11699.999999999818</v>
      </c>
      <c r="U16" s="300">
        <f>+[2]DailyJul!BC15</f>
        <v>1500</v>
      </c>
      <c r="V16" s="300">
        <f t="shared" si="8"/>
        <v>35.896331394931437</v>
      </c>
      <c r="W16" s="395">
        <f t="shared" si="9"/>
        <v>34.919452462985376</v>
      </c>
      <c r="X16" s="300">
        <f t="shared" si="18"/>
        <v>38975.189999998925</v>
      </c>
      <c r="Y16" s="297">
        <f t="shared" si="10"/>
        <v>932.71089094691956</v>
      </c>
      <c r="Z16" s="298">
        <f t="shared" si="11"/>
        <v>907.32819629385699</v>
      </c>
      <c r="AA16" s="300">
        <f>+[2]DailyJul!BO15</f>
        <v>0</v>
      </c>
      <c r="AB16" s="7">
        <f t="shared" si="19"/>
        <v>0</v>
      </c>
      <c r="AC16" s="6">
        <f t="shared" si="20"/>
        <v>0</v>
      </c>
      <c r="AD16" s="300">
        <f>+[2]DailyJul!BS15</f>
        <v>0</v>
      </c>
      <c r="AF16" s="20"/>
      <c r="AH16" s="18" t="e">
        <f>SUM(AH10:AH15)</f>
        <v>#REF!</v>
      </c>
      <c r="AI16" s="18" t="e">
        <f>SUM(AI10:AI15)</f>
        <v>#REF!</v>
      </c>
    </row>
    <row r="17" spans="1:43">
      <c r="A17" s="292">
        <f t="shared" si="12"/>
        <v>45848</v>
      </c>
      <c r="B17" s="299">
        <f>+Report1!P18</f>
        <v>42.839999999999996</v>
      </c>
      <c r="C17" s="299">
        <f>+Report1!R18</f>
        <v>40.225999999999999</v>
      </c>
      <c r="D17" s="300">
        <f t="shared" si="13"/>
        <v>91201.819999999992</v>
      </c>
      <c r="E17" s="300">
        <f>+[2]DailyJul!AZ16</f>
        <v>9541.5799999999872</v>
      </c>
      <c r="F17" s="300">
        <f t="shared" si="0"/>
        <v>222.72595704948617</v>
      </c>
      <c r="G17" s="300">
        <f t="shared" si="1"/>
        <v>237.19932382041435</v>
      </c>
      <c r="H17" s="300">
        <f t="shared" si="14"/>
        <v>171346.81999999963</v>
      </c>
      <c r="I17" s="300">
        <f>+[2]DailyJul!BA16</f>
        <v>18851.580000000726</v>
      </c>
      <c r="J17" s="300">
        <f t="shared" si="2"/>
        <v>440.04621848741192</v>
      </c>
      <c r="K17" s="300">
        <f t="shared" si="3"/>
        <v>468.64167453887353</v>
      </c>
      <c r="L17" s="300">
        <f t="shared" si="15"/>
        <v>113389.31999999999</v>
      </c>
      <c r="M17" s="300">
        <f>+[2]DailyJul!BB16</f>
        <v>11333.244999999999</v>
      </c>
      <c r="N17" s="300">
        <f t="shared" si="4"/>
        <v>264.54820261437908</v>
      </c>
      <c r="O17" s="492">
        <f t="shared" si="5"/>
        <v>281.73929796648929</v>
      </c>
      <c r="P17" s="300">
        <f t="shared" si="16"/>
        <v>0</v>
      </c>
      <c r="Q17" s="300"/>
      <c r="R17" s="300">
        <f t="shared" si="6"/>
        <v>0</v>
      </c>
      <c r="S17" s="395">
        <f t="shared" si="7"/>
        <v>0</v>
      </c>
      <c r="T17" s="300">
        <f t="shared" si="17"/>
        <v>13099.999999999909</v>
      </c>
      <c r="U17" s="300">
        <f>+[2]DailyJul!BC16</f>
        <v>1400.0000000000909</v>
      </c>
      <c r="V17" s="300">
        <f t="shared" si="8"/>
        <v>32.679738562093632</v>
      </c>
      <c r="W17" s="395">
        <f t="shared" si="9"/>
        <v>34.803361010294111</v>
      </c>
      <c r="X17" s="300">
        <f t="shared" si="18"/>
        <v>41126.405000000799</v>
      </c>
      <c r="Y17" s="297">
        <f t="shared" si="10"/>
        <v>960.00011671337074</v>
      </c>
      <c r="Z17" s="298">
        <f t="shared" si="11"/>
        <v>1022.3836573360712</v>
      </c>
      <c r="AA17" s="300">
        <f>+[2]DailyJul!BO16</f>
        <v>0</v>
      </c>
      <c r="AB17" s="7">
        <f t="shared" si="19"/>
        <v>0</v>
      </c>
      <c r="AC17" s="6">
        <f t="shared" si="20"/>
        <v>0</v>
      </c>
      <c r="AD17" s="300">
        <f>+[2]DailyJul!BS16</f>
        <v>0</v>
      </c>
      <c r="AF17" s="20" t="s">
        <v>193</v>
      </c>
      <c r="AG17" t="s">
        <v>186</v>
      </c>
      <c r="AH17" s="14">
        <f>+N39</f>
        <v>0</v>
      </c>
      <c r="AI17" s="14">
        <f>+O39</f>
        <v>0</v>
      </c>
      <c r="AJ17" t="s">
        <v>0</v>
      </c>
      <c r="AQ17" t="s">
        <v>0</v>
      </c>
    </row>
    <row r="18" spans="1:43">
      <c r="A18" s="292">
        <f t="shared" si="12"/>
        <v>45849</v>
      </c>
      <c r="B18" s="299">
        <f>+Report1!P19</f>
        <v>39.255000000000003</v>
      </c>
      <c r="C18" s="299">
        <f>+Report1!R19</f>
        <v>31.271999999999998</v>
      </c>
      <c r="D18" s="300">
        <f t="shared" si="13"/>
        <v>101203.54000000001</v>
      </c>
      <c r="E18" s="300">
        <f>+[2]DailyJul!AZ17</f>
        <v>10001.720000000008</v>
      </c>
      <c r="F18" s="294">
        <f t="shared" si="0"/>
        <v>254.7884345943194</v>
      </c>
      <c r="G18" s="294">
        <f t="shared" si="1"/>
        <v>319.82987976464597</v>
      </c>
      <c r="H18" s="300">
        <f t="shared" si="14"/>
        <v>191183.53999999852</v>
      </c>
      <c r="I18" s="300">
        <f>+[2]DailyJul!BA17</f>
        <v>19836.719999998906</v>
      </c>
      <c r="J18" s="294">
        <f t="shared" si="2"/>
        <v>505.32976690864615</v>
      </c>
      <c r="K18" s="294">
        <f t="shared" si="3"/>
        <v>634.32847275514541</v>
      </c>
      <c r="L18" s="300">
        <f t="shared" si="15"/>
        <v>125120.20499999999</v>
      </c>
      <c r="M18" s="300">
        <f>+[2]DailyJul!BB17</f>
        <v>11730.884999999998</v>
      </c>
      <c r="N18" s="300">
        <f t="shared" si="4"/>
        <v>298.83798242262128</v>
      </c>
      <c r="O18" s="492">
        <f t="shared" si="5"/>
        <v>375.12423254029159</v>
      </c>
      <c r="P18" s="300">
        <f t="shared" si="16"/>
        <v>0</v>
      </c>
      <c r="Q18" s="300"/>
      <c r="R18" s="300">
        <f t="shared" si="6"/>
        <v>0</v>
      </c>
      <c r="S18" s="395">
        <f t="shared" si="7"/>
        <v>0</v>
      </c>
      <c r="T18" s="300">
        <f t="shared" si="17"/>
        <v>13699.999999999818</v>
      </c>
      <c r="U18" s="300">
        <f>+[2]DailyJul!BC17</f>
        <v>599.99999999990905</v>
      </c>
      <c r="V18" s="300">
        <f t="shared" si="8"/>
        <v>15.284677111193709</v>
      </c>
      <c r="W18" s="395">
        <f t="shared" si="9"/>
        <v>19.186492709129862</v>
      </c>
      <c r="X18" s="300">
        <f t="shared" si="18"/>
        <v>42169.324999998818</v>
      </c>
      <c r="Y18" s="297">
        <f t="shared" si="10"/>
        <v>1074.2408610367804</v>
      </c>
      <c r="Z18" s="298">
        <f t="shared" si="11"/>
        <v>1348.4690777692126</v>
      </c>
      <c r="AA18" s="300">
        <f>+[2]DailyJul!BO17</f>
        <v>0</v>
      </c>
      <c r="AB18" s="7">
        <f t="shared" si="19"/>
        <v>0</v>
      </c>
      <c r="AC18" s="6">
        <f t="shared" si="20"/>
        <v>0</v>
      </c>
      <c r="AD18" s="300">
        <f>+[2]DailyJul!BS17</f>
        <v>0</v>
      </c>
      <c r="AF18" s="20"/>
      <c r="AG18" t="s">
        <v>187</v>
      </c>
      <c r="AH18" s="14">
        <f>+R39</f>
        <v>0</v>
      </c>
      <c r="AI18" s="14">
        <f>+S39</f>
        <v>0</v>
      </c>
    </row>
    <row r="19" spans="1:43">
      <c r="A19" s="292">
        <f t="shared" si="12"/>
        <v>45850</v>
      </c>
      <c r="B19" s="299">
        <f>+Report1!P20</f>
        <v>42.796999999999997</v>
      </c>
      <c r="C19" s="299">
        <f>+Report1!R20</f>
        <v>39.923000000000002</v>
      </c>
      <c r="D19" s="300">
        <f t="shared" si="13"/>
        <v>111409.75</v>
      </c>
      <c r="E19" s="300">
        <f>+[2]DailyJul!AZ18</f>
        <v>10206.20999999999</v>
      </c>
      <c r="F19" s="294">
        <f t="shared" si="0"/>
        <v>238.47956632474217</v>
      </c>
      <c r="G19" s="294">
        <f t="shared" si="1"/>
        <v>255.6473711895396</v>
      </c>
      <c r="H19" s="300">
        <f t="shared" si="14"/>
        <v>210304.74999999962</v>
      </c>
      <c r="I19" s="300">
        <f>+[2]DailyJul!BA18</f>
        <v>19121.210000001091</v>
      </c>
      <c r="J19" s="294">
        <f t="shared" si="2"/>
        <v>446.78855994581613</v>
      </c>
      <c r="K19" s="294">
        <f t="shared" si="3"/>
        <v>478.95223304864589</v>
      </c>
      <c r="L19" s="300">
        <f t="shared" si="15"/>
        <v>138888.91499999998</v>
      </c>
      <c r="M19" s="300">
        <f>+[2]DailyJul!BB18</f>
        <v>13768.71</v>
      </c>
      <c r="N19" s="300">
        <f t="shared" si="4"/>
        <v>321.72138233988363</v>
      </c>
      <c r="O19" s="492">
        <f t="shared" si="5"/>
        <v>344.88164717080377</v>
      </c>
      <c r="P19" s="300">
        <f t="shared" si="16"/>
        <v>0</v>
      </c>
      <c r="Q19" s="300"/>
      <c r="R19" s="300">
        <f t="shared" si="6"/>
        <v>0</v>
      </c>
      <c r="S19" s="395">
        <f t="shared" si="7"/>
        <v>0</v>
      </c>
      <c r="T19" s="300">
        <f t="shared" si="17"/>
        <v>13699.999999999818</v>
      </c>
      <c r="U19" s="300">
        <f>+[2]DailyJul!BC18</f>
        <v>0</v>
      </c>
      <c r="V19" s="300">
        <f t="shared" si="8"/>
        <v>0</v>
      </c>
      <c r="W19" s="395">
        <f t="shared" si="9"/>
        <v>0</v>
      </c>
      <c r="X19" s="300">
        <f t="shared" si="18"/>
        <v>43096.130000001081</v>
      </c>
      <c r="Y19" s="297">
        <f t="shared" si="10"/>
        <v>1006.9895086104419</v>
      </c>
      <c r="Z19" s="298">
        <f t="shared" si="11"/>
        <v>1079.4812514089892</v>
      </c>
      <c r="AA19" s="300">
        <f>+[2]DailyJul!BO18</f>
        <v>0</v>
      </c>
      <c r="AB19" s="7">
        <f t="shared" si="19"/>
        <v>0</v>
      </c>
      <c r="AC19" s="6">
        <f t="shared" si="20"/>
        <v>0</v>
      </c>
      <c r="AD19" s="300">
        <f>+[2]DailyJul!BS18</f>
        <v>0</v>
      </c>
      <c r="AF19" s="20"/>
      <c r="AH19" s="18">
        <f>SUM(AH17:AH18)</f>
        <v>0</v>
      </c>
      <c r="AI19" s="18">
        <f>SUM(AI17:AI18)</f>
        <v>0</v>
      </c>
    </row>
    <row r="20" spans="1:43">
      <c r="A20" s="292">
        <f t="shared" si="12"/>
        <v>45851</v>
      </c>
      <c r="B20" s="299">
        <f>+Report1!P21</f>
        <v>41.662999999999997</v>
      </c>
      <c r="C20" s="299">
        <f>+Report1!R21</f>
        <v>37.549999999999997</v>
      </c>
      <c r="D20" s="300">
        <f t="shared" si="13"/>
        <v>121206.55000000005</v>
      </c>
      <c r="E20" s="300">
        <f>+[2]DailyJul!AZ19</f>
        <v>9796.8000000000466</v>
      </c>
      <c r="F20" s="294">
        <f t="shared" si="0"/>
        <v>235.14389266255543</v>
      </c>
      <c r="G20" s="294">
        <f t="shared" si="1"/>
        <v>260.90013315579353</v>
      </c>
      <c r="H20" s="300">
        <f t="shared" si="14"/>
        <v>229416.54999999853</v>
      </c>
      <c r="I20" s="300">
        <f>+[2]DailyJul!BA19</f>
        <v>19111.799999998908</v>
      </c>
      <c r="J20" s="294">
        <f t="shared" si="2"/>
        <v>458.72356767392915</v>
      </c>
      <c r="K20" s="294">
        <f t="shared" si="3"/>
        <v>508.96937416774728</v>
      </c>
      <c r="L20" s="300">
        <f t="shared" si="15"/>
        <v>150814.87999999998</v>
      </c>
      <c r="M20" s="300">
        <f>+[2]DailyJul!BB19</f>
        <v>11925.965</v>
      </c>
      <c r="N20" s="300">
        <f t="shared" si="4"/>
        <v>286.24834985478725</v>
      </c>
      <c r="O20" s="492">
        <f t="shared" si="5"/>
        <v>317.60226364846875</v>
      </c>
      <c r="P20" s="300">
        <f t="shared" si="16"/>
        <v>0</v>
      </c>
      <c r="Q20" s="300"/>
      <c r="R20" s="300">
        <f t="shared" si="6"/>
        <v>0</v>
      </c>
      <c r="S20" s="395">
        <f t="shared" si="7"/>
        <v>0</v>
      </c>
      <c r="T20" s="300">
        <f t="shared" si="17"/>
        <v>13799.999999999955</v>
      </c>
      <c r="U20" s="300">
        <f>+[2]DailyJul!BC19</f>
        <v>100.00000000013642</v>
      </c>
      <c r="V20" s="300">
        <f t="shared" si="8"/>
        <v>2.4002112185905102</v>
      </c>
      <c r="W20" s="395">
        <f t="shared" si="9"/>
        <v>2.6631158455429143</v>
      </c>
      <c r="X20" s="300">
        <f t="shared" si="18"/>
        <v>40934.564999999093</v>
      </c>
      <c r="Y20" s="297">
        <f t="shared" si="10"/>
        <v>982.51602140986233</v>
      </c>
      <c r="Z20" s="298">
        <f t="shared" si="11"/>
        <v>1090.1348868175526</v>
      </c>
      <c r="AA20" s="300">
        <f>+[2]DailyJul!BO19</f>
        <v>0</v>
      </c>
      <c r="AB20" s="7">
        <f t="shared" si="19"/>
        <v>0</v>
      </c>
      <c r="AC20" s="6">
        <f t="shared" si="20"/>
        <v>0</v>
      </c>
      <c r="AD20" s="300">
        <f>+[2]DailyJul!BS19</f>
        <v>0</v>
      </c>
      <c r="AF20" s="20" t="s">
        <v>194</v>
      </c>
      <c r="AG20" t="s">
        <v>188</v>
      </c>
      <c r="AH20" s="14">
        <f>+V39</f>
        <v>0</v>
      </c>
      <c r="AI20" s="14">
        <f>+W39</f>
        <v>0</v>
      </c>
    </row>
    <row r="21" spans="1:43">
      <c r="A21" s="292">
        <f t="shared" si="12"/>
        <v>45852</v>
      </c>
      <c r="B21" s="299">
        <f>+Report1!P22</f>
        <v>49.626999999999995</v>
      </c>
      <c r="C21" s="299">
        <f>+Report1!R22</f>
        <v>49.134</v>
      </c>
      <c r="D21" s="300">
        <f t="shared" si="13"/>
        <v>130936.37000000004</v>
      </c>
      <c r="E21" s="300">
        <f>+[2]DailyJul!AZ20</f>
        <v>9729.8199999999906</v>
      </c>
      <c r="F21" s="294">
        <f t="shared" si="0"/>
        <v>196.05900014105208</v>
      </c>
      <c r="G21" s="294">
        <f t="shared" si="1"/>
        <v>198.02621402694652</v>
      </c>
      <c r="H21" s="300">
        <f t="shared" si="14"/>
        <v>246361.36999999889</v>
      </c>
      <c r="I21" s="300">
        <f>+[2]DailyJul!BA20</f>
        <v>16944.820000000364</v>
      </c>
      <c r="J21" s="294">
        <f t="shared" si="2"/>
        <v>341.44356902493331</v>
      </c>
      <c r="K21" s="294">
        <f t="shared" si="3"/>
        <v>344.86954044043563</v>
      </c>
      <c r="L21" s="300">
        <f t="shared" si="15"/>
        <v>164157.19999999998</v>
      </c>
      <c r="M21" s="300">
        <f>+[2]DailyJul!BB20</f>
        <v>13342.32</v>
      </c>
      <c r="N21" s="300">
        <f t="shared" si="4"/>
        <v>268.85203618997724</v>
      </c>
      <c r="O21" s="492">
        <f t="shared" si="5"/>
        <v>271.54963976065454</v>
      </c>
      <c r="P21" s="300">
        <f t="shared" si="16"/>
        <v>0</v>
      </c>
      <c r="Q21" s="300"/>
      <c r="R21" s="300">
        <f t="shared" si="6"/>
        <v>0</v>
      </c>
      <c r="S21" s="395">
        <f t="shared" si="7"/>
        <v>0</v>
      </c>
      <c r="T21" s="300">
        <f t="shared" si="17"/>
        <v>15599.999999999909</v>
      </c>
      <c r="U21" s="300">
        <f>+[2]DailyJul!BC20</f>
        <v>1799.9999999999545</v>
      </c>
      <c r="V21" s="300">
        <f t="shared" si="8"/>
        <v>36.270578515726413</v>
      </c>
      <c r="W21" s="395">
        <f t="shared" si="9"/>
        <v>36.634509708144144</v>
      </c>
      <c r="X21" s="300">
        <f t="shared" si="18"/>
        <v>41816.960000000312</v>
      </c>
      <c r="Y21" s="297">
        <f t="shared" si="10"/>
        <v>842.62518387168916</v>
      </c>
      <c r="Z21" s="298">
        <f t="shared" si="11"/>
        <v>851.07990393618093</v>
      </c>
      <c r="AA21" s="300">
        <f>+[2]DailyJul!BO20</f>
        <v>0</v>
      </c>
      <c r="AB21" s="7">
        <f t="shared" si="19"/>
        <v>0</v>
      </c>
      <c r="AC21" s="6">
        <f t="shared" si="20"/>
        <v>0</v>
      </c>
      <c r="AD21" s="300">
        <f>+[2]DailyJul!BS20</f>
        <v>0</v>
      </c>
      <c r="AG21" t="s">
        <v>189</v>
      </c>
      <c r="AH21" s="14" t="e">
        <f>+#REF!</f>
        <v>#REF!</v>
      </c>
      <c r="AI21" s="14" t="e">
        <f>+#REF!</f>
        <v>#REF!</v>
      </c>
    </row>
    <row r="22" spans="1:43">
      <c r="A22" s="292">
        <f t="shared" si="12"/>
        <v>45853</v>
      </c>
      <c r="B22" s="299">
        <f>+Report1!P23</f>
        <v>48.793999999999997</v>
      </c>
      <c r="C22" s="299">
        <f>+Report1!R23</f>
        <v>51.405999999999999</v>
      </c>
      <c r="D22" s="300">
        <f t="shared" si="13"/>
        <v>139955.43000000005</v>
      </c>
      <c r="E22" s="300">
        <f>+[2]DailyJul!AZ21</f>
        <v>9019.06</v>
      </c>
      <c r="F22" s="294">
        <f t="shared" si="0"/>
        <v>184.83952945034227</v>
      </c>
      <c r="G22" s="294">
        <f t="shared" si="1"/>
        <v>175.44761311909116</v>
      </c>
      <c r="H22" s="300">
        <f t="shared" si="14"/>
        <v>265305.43</v>
      </c>
      <c r="I22" s="300">
        <f>+[2]DailyJul!BA21</f>
        <v>18944.060000001093</v>
      </c>
      <c r="J22" s="294">
        <f t="shared" si="2"/>
        <v>388.24568594501568</v>
      </c>
      <c r="K22" s="294">
        <f t="shared" si="3"/>
        <v>368.5184608800742</v>
      </c>
      <c r="L22" s="300">
        <f t="shared" si="15"/>
        <v>176247.09499999997</v>
      </c>
      <c r="M22" s="300">
        <f>+[2]DailyJul!BB21</f>
        <v>12089.895</v>
      </c>
      <c r="N22" s="300">
        <f t="shared" si="4"/>
        <v>247.77421404271018</v>
      </c>
      <c r="O22" s="492">
        <f t="shared" si="5"/>
        <v>235.18451153561841</v>
      </c>
      <c r="P22" s="300">
        <f t="shared" si="16"/>
        <v>0</v>
      </c>
      <c r="Q22" s="300"/>
      <c r="R22" s="300">
        <f t="shared" si="6"/>
        <v>0</v>
      </c>
      <c r="S22" s="395">
        <f t="shared" si="7"/>
        <v>0</v>
      </c>
      <c r="T22" s="300">
        <f t="shared" si="17"/>
        <v>16199.999999999818</v>
      </c>
      <c r="U22" s="300">
        <f>+[2]DailyJul!BC21</f>
        <v>599.99999999990905</v>
      </c>
      <c r="V22" s="300">
        <f t="shared" si="8"/>
        <v>12.296593843503485</v>
      </c>
      <c r="W22" s="395">
        <f t="shared" si="9"/>
        <v>11.671789285295667</v>
      </c>
      <c r="X22" s="300">
        <f t="shared" si="18"/>
        <v>40653.015000001004</v>
      </c>
      <c r="Y22" s="297">
        <f t="shared" si="10"/>
        <v>833.15602328157161</v>
      </c>
      <c r="Z22" s="298">
        <f t="shared" si="11"/>
        <v>790.8223748200794</v>
      </c>
      <c r="AA22" s="300">
        <f>+[2]DailyJul!BO21</f>
        <v>0</v>
      </c>
      <c r="AB22" s="7">
        <f t="shared" si="19"/>
        <v>0</v>
      </c>
      <c r="AC22" s="6">
        <f t="shared" si="20"/>
        <v>0</v>
      </c>
      <c r="AD22" s="300">
        <f>+[2]DailyJul!BS21</f>
        <v>2300</v>
      </c>
      <c r="AH22" s="18" t="e">
        <f>SUM(AH20:AH21)</f>
        <v>#REF!</v>
      </c>
      <c r="AI22" s="18" t="e">
        <f>SUM(AI20:AI21)</f>
        <v>#REF!</v>
      </c>
    </row>
    <row r="23" spans="1:43">
      <c r="A23" s="292">
        <f t="shared" si="12"/>
        <v>45854</v>
      </c>
      <c r="B23" s="299">
        <f>+Report1!P24</f>
        <v>44.682000000000002</v>
      </c>
      <c r="C23" s="299">
        <f>+Report1!R24</f>
        <v>41.244999999999997</v>
      </c>
      <c r="D23" s="300">
        <f t="shared" si="13"/>
        <v>149682.06000000006</v>
      </c>
      <c r="E23" s="300">
        <f>+[2]DailyJul!AZ22</f>
        <v>9726.6299999999937</v>
      </c>
      <c r="F23" s="294">
        <f t="shared" si="0"/>
        <v>217.68564522626545</v>
      </c>
      <c r="G23" s="294">
        <f t="shared" si="1"/>
        <v>235.82567583949555</v>
      </c>
      <c r="H23" s="300">
        <f t="shared" si="14"/>
        <v>284352.05999999889</v>
      </c>
      <c r="I23" s="300">
        <f>+[2]DailyJul!BA22</f>
        <v>19046.62999999891</v>
      </c>
      <c r="J23" s="294">
        <f t="shared" si="2"/>
        <v>426.27075779953691</v>
      </c>
      <c r="K23" s="294">
        <f t="shared" si="3"/>
        <v>461.79245969205749</v>
      </c>
      <c r="L23" s="300">
        <f t="shared" si="15"/>
        <v>188773.72499999998</v>
      </c>
      <c r="M23" s="300">
        <f>+[2]DailyJul!BB22</f>
        <v>12526.629999999997</v>
      </c>
      <c r="N23" s="300">
        <f t="shared" si="4"/>
        <v>280.35070050579645</v>
      </c>
      <c r="O23" s="492">
        <f t="shared" si="5"/>
        <v>303.71269244756934</v>
      </c>
      <c r="P23" s="300">
        <f t="shared" si="16"/>
        <v>0</v>
      </c>
      <c r="Q23" s="300"/>
      <c r="R23" s="300">
        <f t="shared" si="6"/>
        <v>0</v>
      </c>
      <c r="S23" s="395">
        <f t="shared" si="7"/>
        <v>0</v>
      </c>
      <c r="T23" s="300">
        <f t="shared" si="17"/>
        <v>16199.999999999818</v>
      </c>
      <c r="U23" s="300">
        <f>+[2]DailyJul!BC22</f>
        <v>0</v>
      </c>
      <c r="V23" s="300">
        <f t="shared" si="8"/>
        <v>0</v>
      </c>
      <c r="W23" s="395">
        <f t="shared" si="9"/>
        <v>0</v>
      </c>
      <c r="X23" s="300">
        <f t="shared" si="18"/>
        <v>41299.889999998901</v>
      </c>
      <c r="Y23" s="297">
        <f t="shared" si="10"/>
        <v>924.30710353159884</v>
      </c>
      <c r="Z23" s="298">
        <f t="shared" si="11"/>
        <v>1001.3308279791224</v>
      </c>
      <c r="AA23" s="300">
        <f>+[2]DailyJul!BO22</f>
        <v>0</v>
      </c>
      <c r="AB23" s="7">
        <f t="shared" si="19"/>
        <v>0</v>
      </c>
      <c r="AC23" s="6">
        <f t="shared" si="20"/>
        <v>0</v>
      </c>
      <c r="AD23" s="300">
        <f>+[2]DailyJul!BS22</f>
        <v>3830</v>
      </c>
    </row>
    <row r="24" spans="1:43">
      <c r="A24" s="292">
        <f t="shared" si="12"/>
        <v>45855</v>
      </c>
      <c r="B24" s="299">
        <f>+Report1!P25</f>
        <v>42.198999999999998</v>
      </c>
      <c r="C24" s="299">
        <f>+Report1!R25</f>
        <v>40.045000000000002</v>
      </c>
      <c r="D24" s="300">
        <f t="shared" si="13"/>
        <v>158824.81000000006</v>
      </c>
      <c r="E24" s="300">
        <f>+[2]DailyJul!AZ23</f>
        <v>9142.7499999999909</v>
      </c>
      <c r="F24" s="294">
        <f t="shared" si="0"/>
        <v>216.65797767719593</v>
      </c>
      <c r="G24" s="294">
        <f t="shared" si="1"/>
        <v>228.31189911349708</v>
      </c>
      <c r="H24" s="300">
        <f t="shared" si="14"/>
        <v>303409.81</v>
      </c>
      <c r="I24" s="300">
        <f>+[2]DailyJul!BA23</f>
        <v>19057.750000001091</v>
      </c>
      <c r="J24" s="294">
        <f t="shared" si="2"/>
        <v>451.61615204154344</v>
      </c>
      <c r="K24" s="294">
        <f t="shared" si="3"/>
        <v>475.90835310278663</v>
      </c>
      <c r="L24" s="300">
        <f t="shared" si="15"/>
        <v>200978.97499999998</v>
      </c>
      <c r="M24" s="300">
        <f>+[2]DailyJul!BB23</f>
        <v>12205.25</v>
      </c>
      <c r="N24" s="300">
        <f t="shared" si="4"/>
        <v>289.23078745941848</v>
      </c>
      <c r="O24" s="492">
        <f t="shared" si="5"/>
        <v>304.788363091522</v>
      </c>
      <c r="P24" s="300">
        <f t="shared" si="16"/>
        <v>0</v>
      </c>
      <c r="Q24" s="300"/>
      <c r="R24" s="300">
        <f t="shared" si="6"/>
        <v>0</v>
      </c>
      <c r="S24" s="395">
        <f t="shared" si="7"/>
        <v>0</v>
      </c>
      <c r="T24" s="300">
        <f t="shared" si="17"/>
        <v>16199.999999999818</v>
      </c>
      <c r="U24" s="300">
        <f>+[2]DailyJul!BC23</f>
        <v>0</v>
      </c>
      <c r="V24" s="300">
        <f t="shared" si="8"/>
        <v>0</v>
      </c>
      <c r="W24" s="395">
        <f t="shared" si="9"/>
        <v>0</v>
      </c>
      <c r="X24" s="300">
        <f t="shared" si="18"/>
        <v>40405.750000001084</v>
      </c>
      <c r="Y24" s="297">
        <f t="shared" si="10"/>
        <v>957.50491717815794</v>
      </c>
      <c r="Z24" s="298">
        <f t="shared" si="11"/>
        <v>1009.0086153078058</v>
      </c>
      <c r="AA24" s="300">
        <f>+[2]DailyJul!BO23</f>
        <v>0</v>
      </c>
      <c r="AB24" s="7">
        <f t="shared" si="19"/>
        <v>0</v>
      </c>
      <c r="AC24" s="6">
        <f t="shared" si="20"/>
        <v>0</v>
      </c>
      <c r="AD24" s="300">
        <f>+[2]DailyJul!BS23</f>
        <v>3650</v>
      </c>
      <c r="AG24" s="20" t="s">
        <v>3</v>
      </c>
      <c r="AH24" s="18" t="e">
        <f>+AH16+AH19+AH22</f>
        <v>#REF!</v>
      </c>
      <c r="AI24" s="18" t="e">
        <f>+AI16+AI19+AI22</f>
        <v>#REF!</v>
      </c>
    </row>
    <row r="25" spans="1:43">
      <c r="A25" s="292">
        <f t="shared" si="12"/>
        <v>45856</v>
      </c>
      <c r="B25" s="299">
        <f>+Report1!P26</f>
        <v>47.164000000000001</v>
      </c>
      <c r="C25" s="299">
        <f>+Report1!R26</f>
        <v>48.408000000000001</v>
      </c>
      <c r="D25" s="300">
        <f t="shared" si="13"/>
        <v>168150.51000000004</v>
      </c>
      <c r="E25" s="300">
        <f>+[2]DailyJul!AZ24</f>
        <v>9325.6999999999862</v>
      </c>
      <c r="F25" s="294">
        <f t="shared" si="0"/>
        <v>197.72920023746894</v>
      </c>
      <c r="G25" s="294">
        <f t="shared" si="1"/>
        <v>192.6479094364565</v>
      </c>
      <c r="H25" s="300">
        <f t="shared" si="14"/>
        <v>321845.51</v>
      </c>
      <c r="I25" s="300">
        <f>+[2]DailyJul!BA24</f>
        <v>18435.7</v>
      </c>
      <c r="J25" s="294">
        <f t="shared" si="2"/>
        <v>390.88499703163433</v>
      </c>
      <c r="K25" s="294">
        <f t="shared" si="3"/>
        <v>380.83994381094033</v>
      </c>
      <c r="L25" s="300">
        <f t="shared" si="15"/>
        <v>212563.00999999998</v>
      </c>
      <c r="M25" s="300">
        <f>+[2]DailyJul!BB24</f>
        <v>11584.035</v>
      </c>
      <c r="N25" s="300">
        <f t="shared" si="4"/>
        <v>245.61180137392927</v>
      </c>
      <c r="O25" s="492">
        <f t="shared" si="5"/>
        <v>239.30001239464551</v>
      </c>
      <c r="P25" s="300">
        <f t="shared" si="16"/>
        <v>0</v>
      </c>
      <c r="Q25" s="300"/>
      <c r="R25" s="300">
        <f t="shared" si="6"/>
        <v>0</v>
      </c>
      <c r="S25" s="395">
        <f t="shared" si="7"/>
        <v>0</v>
      </c>
      <c r="T25" s="300">
        <f t="shared" si="17"/>
        <v>16199.999999999818</v>
      </c>
      <c r="U25" s="300">
        <f>+[2]DailyJul!BC24</f>
        <v>0</v>
      </c>
      <c r="V25" s="300">
        <f t="shared" si="8"/>
        <v>0</v>
      </c>
      <c r="W25" s="395">
        <f t="shared" si="9"/>
        <v>0</v>
      </c>
      <c r="X25" s="300">
        <f t="shared" si="18"/>
        <v>39345.434999999983</v>
      </c>
      <c r="Y25" s="297">
        <f t="shared" si="10"/>
        <v>834.22599864303243</v>
      </c>
      <c r="Z25" s="298">
        <f t="shared" si="11"/>
        <v>812.78786564204222</v>
      </c>
      <c r="AA25" s="300">
        <f>+[2]DailyJul!BO24</f>
        <v>0</v>
      </c>
      <c r="AB25" s="7">
        <f t="shared" si="19"/>
        <v>0</v>
      </c>
      <c r="AC25" s="6">
        <f t="shared" si="20"/>
        <v>0</v>
      </c>
      <c r="AD25" s="300">
        <f>+[2]DailyJul!BS24</f>
        <v>4050</v>
      </c>
    </row>
    <row r="26" spans="1:43">
      <c r="A26" s="292">
        <f t="shared" si="12"/>
        <v>45857</v>
      </c>
      <c r="B26" s="299">
        <f>+Report1!P27</f>
        <v>46.22</v>
      </c>
      <c r="C26" s="299">
        <f>+Report1!R27</f>
        <v>40.988</v>
      </c>
      <c r="D26" s="300">
        <f t="shared" si="13"/>
        <v>177406.40000000002</v>
      </c>
      <c r="E26" s="300">
        <f>+[2]DailyJul!AZ25</f>
        <v>9255.8899999999849</v>
      </c>
      <c r="F26" s="294">
        <f t="shared" si="0"/>
        <v>200.2572479446124</v>
      </c>
      <c r="G26" s="294">
        <f t="shared" si="1"/>
        <v>225.8195081487261</v>
      </c>
      <c r="H26" s="300">
        <f t="shared" si="14"/>
        <v>341711.4</v>
      </c>
      <c r="I26" s="300">
        <f>+[2]DailyJul!BA25</f>
        <v>19865.890000000003</v>
      </c>
      <c r="J26" s="294">
        <f t="shared" si="2"/>
        <v>429.8115534400693</v>
      </c>
      <c r="K26" s="294">
        <f t="shared" si="3"/>
        <v>484.67575875866117</v>
      </c>
      <c r="L26" s="300">
        <f t="shared" si="15"/>
        <v>224327.23499999999</v>
      </c>
      <c r="M26" s="300">
        <f>+[2]DailyJul!BB25</f>
        <v>11764.224999999999</v>
      </c>
      <c r="N26" s="300">
        <f t="shared" si="4"/>
        <v>254.52672003461703</v>
      </c>
      <c r="O26" s="492">
        <f t="shared" si="5"/>
        <v>287.01632185029763</v>
      </c>
      <c r="P26" s="300">
        <f t="shared" si="16"/>
        <v>0</v>
      </c>
      <c r="Q26" s="300"/>
      <c r="R26" s="300">
        <f t="shared" si="6"/>
        <v>0</v>
      </c>
      <c r="S26" s="395">
        <f t="shared" si="7"/>
        <v>0</v>
      </c>
      <c r="T26" s="300">
        <f t="shared" si="17"/>
        <v>16199.999999999818</v>
      </c>
      <c r="U26" s="300">
        <f>+[2]DailyJul!BC25</f>
        <v>0</v>
      </c>
      <c r="V26" s="300">
        <f t="shared" si="8"/>
        <v>0</v>
      </c>
      <c r="W26" s="395">
        <f t="shared" si="9"/>
        <v>0</v>
      </c>
      <c r="X26" s="300">
        <f t="shared" si="18"/>
        <v>40886.00499999999</v>
      </c>
      <c r="Y26" s="297">
        <f t="shared" si="10"/>
        <v>884.59552141929885</v>
      </c>
      <c r="Z26" s="298">
        <f t="shared" si="11"/>
        <v>997.51158875768499</v>
      </c>
      <c r="AA26" s="300">
        <f>+[2]DailyJul!BO25</f>
        <v>0</v>
      </c>
      <c r="AB26" s="7">
        <f t="shared" si="19"/>
        <v>0</v>
      </c>
      <c r="AC26" s="6">
        <f t="shared" si="20"/>
        <v>0</v>
      </c>
      <c r="AD26" s="300">
        <f>+[2]DailyJul!BS25</f>
        <v>3890</v>
      </c>
      <c r="AG26" s="20" t="s">
        <v>195</v>
      </c>
      <c r="AI26" s="364" t="e">
        <f>+AI24/AH24-1</f>
        <v>#REF!</v>
      </c>
    </row>
    <row r="27" spans="1:43">
      <c r="A27" s="292">
        <f t="shared" si="12"/>
        <v>45858</v>
      </c>
      <c r="B27" s="299">
        <f>+Report1!P28</f>
        <v>44.707000000000001</v>
      </c>
      <c r="C27" s="299">
        <f>+Report1!R28</f>
        <v>46.920999999999999</v>
      </c>
      <c r="D27" s="300">
        <f t="shared" si="13"/>
        <v>186142.01000000007</v>
      </c>
      <c r="E27" s="300">
        <f>+[2]DailyJul!AZ26</f>
        <v>8735.6100000000479</v>
      </c>
      <c r="F27" s="294">
        <f t="shared" si="0"/>
        <v>195.39691770863729</v>
      </c>
      <c r="G27" s="294">
        <f t="shared" si="1"/>
        <v>186.17697832527116</v>
      </c>
      <c r="H27" s="300">
        <f t="shared" si="14"/>
        <v>361962.00999999966</v>
      </c>
      <c r="I27" s="300">
        <f>+[2]DailyJul!BA26</f>
        <v>20250.609999999637</v>
      </c>
      <c r="J27" s="294">
        <f t="shared" si="2"/>
        <v>452.96284698144893</v>
      </c>
      <c r="K27" s="294">
        <f t="shared" si="3"/>
        <v>431.58948019009904</v>
      </c>
      <c r="L27" s="300">
        <f t="shared" si="15"/>
        <v>234725.34499999997</v>
      </c>
      <c r="M27" s="300">
        <f>+[2]DailyJul!BB26</f>
        <v>10398.11</v>
      </c>
      <c r="N27" s="300">
        <f t="shared" si="4"/>
        <v>232.58348804437784</v>
      </c>
      <c r="O27" s="492">
        <f t="shared" si="5"/>
        <v>221.60887449116601</v>
      </c>
      <c r="P27" s="300">
        <f t="shared" si="16"/>
        <v>0</v>
      </c>
      <c r="Q27" s="300"/>
      <c r="R27" s="300">
        <f t="shared" si="6"/>
        <v>0</v>
      </c>
      <c r="S27" s="395">
        <f t="shared" si="7"/>
        <v>0</v>
      </c>
      <c r="T27" s="300">
        <f t="shared" si="17"/>
        <v>17349.999999999909</v>
      </c>
      <c r="U27" s="300">
        <f>+[2]DailyJul!BC26</f>
        <v>1150.0000000000909</v>
      </c>
      <c r="V27" s="300">
        <f t="shared" si="8"/>
        <v>25.723041134499987</v>
      </c>
      <c r="W27" s="395">
        <f t="shared" si="9"/>
        <v>24.509281558365998</v>
      </c>
      <c r="X27" s="300">
        <f t="shared" si="18"/>
        <v>40534.329999999769</v>
      </c>
      <c r="Y27" s="297">
        <f t="shared" si="10"/>
        <v>906.66629386896386</v>
      </c>
      <c r="Z27" s="298">
        <f t="shared" si="11"/>
        <v>863.88461456490211</v>
      </c>
      <c r="AA27" s="300">
        <f>+[2]DailyJul!BO26</f>
        <v>0</v>
      </c>
      <c r="AB27" s="7">
        <f t="shared" si="19"/>
        <v>0</v>
      </c>
      <c r="AC27" s="6">
        <f t="shared" si="20"/>
        <v>0</v>
      </c>
      <c r="AD27" s="300">
        <f>+[2]DailyJul!BS26</f>
        <v>2720</v>
      </c>
    </row>
    <row r="28" spans="1:43">
      <c r="A28" s="292">
        <f t="shared" si="12"/>
        <v>45859</v>
      </c>
      <c r="B28" s="299">
        <f>+Report1!P29</f>
        <v>46.042000000000002</v>
      </c>
      <c r="C28" s="299">
        <f>+Report1!R29</f>
        <v>45.506999999999998</v>
      </c>
      <c r="D28" s="300">
        <f t="shared" si="13"/>
        <v>197103.92000000007</v>
      </c>
      <c r="E28" s="300">
        <f>+[2]DailyJul!AZ27</f>
        <v>10961.909999999996</v>
      </c>
      <c r="F28" s="294">
        <f t="shared" si="0"/>
        <v>238.08500933929881</v>
      </c>
      <c r="G28" s="294">
        <f t="shared" si="1"/>
        <v>240.8840398180499</v>
      </c>
      <c r="H28" s="300">
        <f t="shared" si="14"/>
        <v>380343.91999999894</v>
      </c>
      <c r="I28" s="300">
        <f>+[2]DailyJul!BA27</f>
        <v>18381.909999999272</v>
      </c>
      <c r="J28" s="294">
        <f t="shared" si="2"/>
        <v>399.24221363101674</v>
      </c>
      <c r="K28" s="294">
        <f t="shared" si="3"/>
        <v>403.93587799677573</v>
      </c>
      <c r="L28" s="300">
        <f t="shared" si="15"/>
        <v>247503.91999999998</v>
      </c>
      <c r="M28" s="300">
        <f>+[2]DailyJul!BB27</f>
        <v>12778.575000000001</v>
      </c>
      <c r="N28" s="300">
        <f t="shared" si="4"/>
        <v>277.54170105555795</v>
      </c>
      <c r="O28" s="492">
        <f t="shared" si="5"/>
        <v>280.80460148988072</v>
      </c>
      <c r="P28" s="300">
        <f t="shared" si="16"/>
        <v>0</v>
      </c>
      <c r="Q28" s="300"/>
      <c r="R28" s="300">
        <f t="shared" si="6"/>
        <v>0</v>
      </c>
      <c r="S28" s="395">
        <f t="shared" si="7"/>
        <v>0</v>
      </c>
      <c r="T28" s="300">
        <f t="shared" si="17"/>
        <v>18950.000000000044</v>
      </c>
      <c r="U28" s="300">
        <f>+[2]DailyJul!BC27</f>
        <v>1600.0000000001364</v>
      </c>
      <c r="V28" s="300">
        <f t="shared" si="8"/>
        <v>34.750879631643635</v>
      </c>
      <c r="W28" s="395">
        <f t="shared" si="9"/>
        <v>35.159426022373182</v>
      </c>
      <c r="X28" s="300">
        <f t="shared" si="18"/>
        <v>43722.394999999407</v>
      </c>
      <c r="Y28" s="297">
        <f t="shared" si="10"/>
        <v>949.6198036575172</v>
      </c>
      <c r="Z28" s="298">
        <f t="shared" si="11"/>
        <v>960.78394532707955</v>
      </c>
      <c r="AA28" s="300">
        <f>+[2]DailyJul!BO27</f>
        <v>0</v>
      </c>
      <c r="AB28" s="7">
        <f t="shared" si="19"/>
        <v>0</v>
      </c>
      <c r="AC28" s="6">
        <f t="shared" si="20"/>
        <v>0</v>
      </c>
      <c r="AD28" s="300">
        <f>+[2]DailyJul!BS27</f>
        <v>0</v>
      </c>
    </row>
    <row r="29" spans="1:43">
      <c r="A29" s="292">
        <f t="shared" si="12"/>
        <v>45860</v>
      </c>
      <c r="B29" s="299">
        <f>+Report1!P30</f>
        <v>46.715999999999994</v>
      </c>
      <c r="C29" s="299">
        <f>+Report1!R30</f>
        <v>44.314</v>
      </c>
      <c r="D29" s="300">
        <f t="shared" si="13"/>
        <v>207096.41000000006</v>
      </c>
      <c r="E29" s="300">
        <f>+[2]DailyJul!AZ28</f>
        <v>9992.489999999987</v>
      </c>
      <c r="F29" s="294">
        <f t="shared" si="0"/>
        <v>213.89866426920088</v>
      </c>
      <c r="G29" s="294">
        <f t="shared" si="1"/>
        <v>225.49284650449039</v>
      </c>
      <c r="H29" s="300">
        <f t="shared" si="14"/>
        <v>401446.40999999893</v>
      </c>
      <c r="I29" s="300">
        <f>+[2]DailyJul!BA28</f>
        <v>21102.49</v>
      </c>
      <c r="J29" s="294">
        <f t="shared" si="2"/>
        <v>451.71868310643043</v>
      </c>
      <c r="K29" s="294">
        <f t="shared" si="3"/>
        <v>476.20368280904461</v>
      </c>
      <c r="L29" s="300">
        <f t="shared" si="15"/>
        <v>260921.40999999997</v>
      </c>
      <c r="M29" s="300">
        <f>+[2]DailyJul!BB28</f>
        <v>13417.489999999998</v>
      </c>
      <c r="N29" s="300">
        <f t="shared" si="4"/>
        <v>287.21401661101123</v>
      </c>
      <c r="O29" s="492">
        <f t="shared" si="5"/>
        <v>302.78219072979192</v>
      </c>
      <c r="P29" s="300">
        <f t="shared" si="16"/>
        <v>0</v>
      </c>
      <c r="Q29" s="300"/>
      <c r="R29" s="300">
        <f t="shared" si="6"/>
        <v>0</v>
      </c>
      <c r="S29" s="395">
        <f t="shared" si="7"/>
        <v>0</v>
      </c>
      <c r="T29" s="300">
        <f t="shared" si="17"/>
        <v>20349.999999999905</v>
      </c>
      <c r="U29" s="300">
        <f>+[2]DailyJul!BC28</f>
        <v>1399.9999999998636</v>
      </c>
      <c r="V29" s="300">
        <f t="shared" si="8"/>
        <v>29.968319205408505</v>
      </c>
      <c r="W29" s="395">
        <f t="shared" si="9"/>
        <v>31.592724646835393</v>
      </c>
      <c r="X29" s="300">
        <f t="shared" si="18"/>
        <v>45912.469999999848</v>
      </c>
      <c r="Y29" s="297">
        <f t="shared" si="10"/>
        <v>982.79968319205102</v>
      </c>
      <c r="Z29" s="298">
        <f t="shared" si="11"/>
        <v>1036.0714446901623</v>
      </c>
      <c r="AA29" s="300">
        <f>+[2]DailyJul!BO28</f>
        <v>0</v>
      </c>
      <c r="AB29" s="7">
        <f t="shared" si="19"/>
        <v>0</v>
      </c>
      <c r="AC29" s="6">
        <f t="shared" si="20"/>
        <v>0</v>
      </c>
      <c r="AD29" s="300">
        <f>+[2]DailyJul!BS28</f>
        <v>0</v>
      </c>
    </row>
    <row r="30" spans="1:43">
      <c r="A30" s="292">
        <f t="shared" si="12"/>
        <v>45861</v>
      </c>
      <c r="B30" s="299">
        <f>+Report1!P31</f>
        <v>45.536000000000001</v>
      </c>
      <c r="C30" s="299">
        <f>+Report1!R31</f>
        <v>44.328000000000003</v>
      </c>
      <c r="D30" s="300">
        <f t="shared" si="13"/>
        <v>216226.47000000006</v>
      </c>
      <c r="E30" s="300">
        <f>+[2]DailyJul!AZ29</f>
        <v>9130.059999999994</v>
      </c>
      <c r="F30" s="294">
        <f t="shared" si="0"/>
        <v>200.50202037947983</v>
      </c>
      <c r="G30" s="294">
        <f t="shared" si="1"/>
        <v>205.96598086987893</v>
      </c>
      <c r="H30" s="300">
        <f t="shared" si="14"/>
        <v>419996.47000000003</v>
      </c>
      <c r="I30" s="300">
        <f>+[2]DailyJul!BA29</f>
        <v>18550.060000001093</v>
      </c>
      <c r="J30" s="294">
        <f t="shared" si="2"/>
        <v>407.37131061140838</v>
      </c>
      <c r="K30" s="294">
        <f t="shared" si="3"/>
        <v>418.47274860136014</v>
      </c>
      <c r="L30" s="300">
        <f t="shared" si="15"/>
        <v>272534.80499999999</v>
      </c>
      <c r="M30" s="300">
        <f>+[2]DailyJul!BB29</f>
        <v>11613.395</v>
      </c>
      <c r="N30" s="300">
        <f t="shared" si="4"/>
        <v>255.03766250878425</v>
      </c>
      <c r="O30" s="492">
        <f t="shared" si="5"/>
        <v>261.98779552427357</v>
      </c>
      <c r="P30" s="300">
        <f t="shared" si="16"/>
        <v>0</v>
      </c>
      <c r="Q30" s="300"/>
      <c r="R30" s="300">
        <f t="shared" si="6"/>
        <v>0</v>
      </c>
      <c r="S30" s="395">
        <f t="shared" si="7"/>
        <v>0</v>
      </c>
      <c r="T30" s="300">
        <f t="shared" si="17"/>
        <v>21450.000000000044</v>
      </c>
      <c r="U30" s="300">
        <f>+[2]DailyJul!BC29</f>
        <v>1100.0000000001364</v>
      </c>
      <c r="V30" s="300">
        <f t="shared" si="8"/>
        <v>24.156711173579946</v>
      </c>
      <c r="W30" s="395">
        <f t="shared" si="9"/>
        <v>24.815015340194378</v>
      </c>
      <c r="X30" s="300">
        <f t="shared" si="18"/>
        <v>40393.515000001229</v>
      </c>
      <c r="Y30" s="297">
        <f t="shared" si="10"/>
        <v>887.06770467325259</v>
      </c>
      <c r="Z30" s="298">
        <f t="shared" si="11"/>
        <v>911.2415403357071</v>
      </c>
      <c r="AA30" s="300">
        <f>+[2]DailyJul!BO29</f>
        <v>0</v>
      </c>
      <c r="AB30" s="7">
        <f t="shared" si="19"/>
        <v>0</v>
      </c>
      <c r="AC30" s="6">
        <f t="shared" si="20"/>
        <v>0</v>
      </c>
      <c r="AD30" s="300">
        <f>+[2]DailyJul!BS29</f>
        <v>0</v>
      </c>
    </row>
    <row r="31" spans="1:43">
      <c r="A31" s="292">
        <f t="shared" si="12"/>
        <v>45862</v>
      </c>
      <c r="B31" s="299">
        <f>+Report1!P32</f>
        <v>50.006</v>
      </c>
      <c r="C31" s="299">
        <f>+Report1!R32</f>
        <v>47.076999999999998</v>
      </c>
      <c r="D31" s="300">
        <f t="shared" si="13"/>
        <v>226397.65000000005</v>
      </c>
      <c r="E31" s="300">
        <f>+[2]DailyJul!AZ30</f>
        <v>10171.179999999997</v>
      </c>
      <c r="F31" s="294">
        <f t="shared" si="0"/>
        <v>203.3991920969483</v>
      </c>
      <c r="G31" s="294">
        <f t="shared" si="1"/>
        <v>216.05412409456841</v>
      </c>
      <c r="H31" s="300">
        <f t="shared" si="14"/>
        <v>435487.64999999892</v>
      </c>
      <c r="I31" s="300">
        <f>+[2]DailyJul!BA30</f>
        <v>15491.179999998909</v>
      </c>
      <c r="J31" s="294">
        <f t="shared" si="2"/>
        <v>309.78642562890269</v>
      </c>
      <c r="K31" s="294">
        <f t="shared" si="3"/>
        <v>329.06047539135693</v>
      </c>
      <c r="L31" s="300">
        <f t="shared" si="15"/>
        <v>283339.32</v>
      </c>
      <c r="M31" s="300">
        <f>+[2]DailyJul!BB30</f>
        <v>10804.514999999999</v>
      </c>
      <c r="N31" s="300">
        <f t="shared" si="4"/>
        <v>216.06437227532695</v>
      </c>
      <c r="O31" s="492">
        <f t="shared" si="5"/>
        <v>229.50729655670497</v>
      </c>
      <c r="P31" s="300">
        <f t="shared" si="16"/>
        <v>0</v>
      </c>
      <c r="Q31" s="300"/>
      <c r="R31" s="300">
        <f t="shared" si="6"/>
        <v>0</v>
      </c>
      <c r="S31" s="395">
        <f t="shared" si="7"/>
        <v>0</v>
      </c>
      <c r="T31" s="300">
        <f t="shared" si="17"/>
        <v>21450.000000000044</v>
      </c>
      <c r="U31" s="300">
        <f>+[2]DailyJul!BC30</f>
        <v>0</v>
      </c>
      <c r="V31" s="300">
        <f t="shared" si="8"/>
        <v>0</v>
      </c>
      <c r="W31" s="395">
        <f t="shared" si="9"/>
        <v>0</v>
      </c>
      <c r="X31" s="300">
        <f t="shared" si="18"/>
        <v>36466.874999998909</v>
      </c>
      <c r="Y31" s="297">
        <f t="shared" si="10"/>
        <v>729.24999000117805</v>
      </c>
      <c r="Z31" s="298">
        <f t="shared" si="11"/>
        <v>774.6218960426304</v>
      </c>
      <c r="AA31" s="300">
        <f>+[2]DailyJul!BO30</f>
        <v>20531.000000000044</v>
      </c>
      <c r="AB31" s="7">
        <f t="shared" si="19"/>
        <v>410.57073151221942</v>
      </c>
      <c r="AC31" s="6">
        <f t="shared" si="20"/>
        <v>436.11530046519624</v>
      </c>
      <c r="AD31" s="300">
        <f>+[2]DailyJul!BS30</f>
        <v>0</v>
      </c>
    </row>
    <row r="32" spans="1:43">
      <c r="A32" s="292">
        <f t="shared" si="12"/>
        <v>45863</v>
      </c>
      <c r="B32" s="299">
        <f>+Report1!P33</f>
        <v>54.65</v>
      </c>
      <c r="C32" s="299">
        <f>+Report1!R33</f>
        <v>47.622999999999998</v>
      </c>
      <c r="D32" s="300">
        <f t="shared" si="13"/>
        <v>234648.73000000007</v>
      </c>
      <c r="E32" s="300">
        <f>+[2]DailyJul!AZ31</f>
        <v>8251.0800000000181</v>
      </c>
      <c r="F32" s="294">
        <f t="shared" si="0"/>
        <v>150.98042086001863</v>
      </c>
      <c r="G32" s="294">
        <f t="shared" si="1"/>
        <v>173.25829956113682</v>
      </c>
      <c r="H32" s="300">
        <f t="shared" si="14"/>
        <v>449458.72999999963</v>
      </c>
      <c r="I32" s="300">
        <f>+[2]DailyJul!BA31</f>
        <v>13971.080000000728</v>
      </c>
      <c r="J32" s="294">
        <f t="shared" si="2"/>
        <v>255.64647758464278</v>
      </c>
      <c r="K32" s="294">
        <f t="shared" si="3"/>
        <v>293.36833042858973</v>
      </c>
      <c r="L32" s="300">
        <f t="shared" si="15"/>
        <v>294557.065</v>
      </c>
      <c r="M32" s="300">
        <f>+[2]DailyJul!BB31</f>
        <v>11217.744999999999</v>
      </c>
      <c r="N32" s="300">
        <f t="shared" si="4"/>
        <v>205.26523330283621</v>
      </c>
      <c r="O32" s="492">
        <f t="shared" si="5"/>
        <v>235.55309409319025</v>
      </c>
      <c r="P32" s="300">
        <f t="shared" si="16"/>
        <v>0</v>
      </c>
      <c r="Q32" s="300"/>
      <c r="R32" s="300">
        <f t="shared" si="6"/>
        <v>0</v>
      </c>
      <c r="S32" s="395">
        <f t="shared" si="7"/>
        <v>0</v>
      </c>
      <c r="T32" s="300">
        <f t="shared" si="17"/>
        <v>21450.000000000044</v>
      </c>
      <c r="U32" s="300">
        <f>+[2]DailyJul!BC31</f>
        <v>0</v>
      </c>
      <c r="V32" s="300">
        <f t="shared" si="8"/>
        <v>0</v>
      </c>
      <c r="W32" s="395">
        <f t="shared" si="9"/>
        <v>0</v>
      </c>
      <c r="X32" s="300">
        <f t="shared" si="18"/>
        <v>33439.905000000741</v>
      </c>
      <c r="Y32" s="297">
        <f t="shared" si="10"/>
        <v>611.89213174749761</v>
      </c>
      <c r="Z32" s="298">
        <f t="shared" si="11"/>
        <v>702.17972408291666</v>
      </c>
      <c r="AA32" s="300">
        <f>+[2]DailyJul!BO31</f>
        <v>27049.999999999913</v>
      </c>
      <c r="AB32" s="7">
        <f t="shared" si="19"/>
        <v>494.96797804208444</v>
      </c>
      <c r="AC32" s="6">
        <f t="shared" si="20"/>
        <v>568.00285576296983</v>
      </c>
      <c r="AD32" s="300">
        <f>+[2]DailyJul!BS31</f>
        <v>0</v>
      </c>
    </row>
    <row r="33" spans="1:30">
      <c r="A33" s="292">
        <f t="shared" si="12"/>
        <v>45864</v>
      </c>
      <c r="B33" s="299">
        <f>+Report1!P34</f>
        <v>56.113</v>
      </c>
      <c r="C33" s="299">
        <f>+Report1!R34</f>
        <v>56.981999999999999</v>
      </c>
      <c r="D33" s="300">
        <f t="shared" si="13"/>
        <v>245064.40000000005</v>
      </c>
      <c r="E33" s="300">
        <f>+[2]DailyJul!AZ32</f>
        <v>10415.669999999993</v>
      </c>
      <c r="F33" s="294">
        <f t="shared" si="0"/>
        <v>185.61955340117251</v>
      </c>
      <c r="G33" s="294">
        <f t="shared" si="1"/>
        <v>182.78877540275863</v>
      </c>
      <c r="H33" s="300">
        <f t="shared" si="14"/>
        <v>465929.39999999962</v>
      </c>
      <c r="I33" s="300">
        <f>+[2]DailyJul!BA32</f>
        <v>16470.669999999998</v>
      </c>
      <c r="J33" s="294">
        <f t="shared" si="2"/>
        <v>293.526811968706</v>
      </c>
      <c r="K33" s="294">
        <f t="shared" si="3"/>
        <v>289.05040188129584</v>
      </c>
      <c r="L33" s="300">
        <f t="shared" si="15"/>
        <v>306185.23499999999</v>
      </c>
      <c r="M33" s="300">
        <f>+[2]DailyJul!BB32</f>
        <v>11628.169999999998</v>
      </c>
      <c r="N33" s="300">
        <f t="shared" si="4"/>
        <v>207.22773688806512</v>
      </c>
      <c r="O33" s="492">
        <f t="shared" si="5"/>
        <v>204.06742480081425</v>
      </c>
      <c r="P33" s="300">
        <f t="shared" si="16"/>
        <v>0</v>
      </c>
      <c r="Q33" s="300"/>
      <c r="R33" s="300">
        <f t="shared" si="6"/>
        <v>0</v>
      </c>
      <c r="S33" s="395">
        <f t="shared" si="7"/>
        <v>0</v>
      </c>
      <c r="T33" s="300">
        <f t="shared" si="17"/>
        <v>21450.000000000044</v>
      </c>
      <c r="U33" s="300">
        <f>+[2]DailyJul!BC32</f>
        <v>0</v>
      </c>
      <c r="V33" s="300">
        <f t="shared" si="8"/>
        <v>0</v>
      </c>
      <c r="W33" s="395">
        <f t="shared" si="9"/>
        <v>0</v>
      </c>
      <c r="X33" s="300">
        <f t="shared" si="18"/>
        <v>38514.509999999987</v>
      </c>
      <c r="Y33" s="297">
        <f t="shared" si="10"/>
        <v>686.3741022579436</v>
      </c>
      <c r="Z33" s="298">
        <f t="shared" si="11"/>
        <v>675.90660208486872</v>
      </c>
      <c r="AA33" s="300">
        <f>+[2]DailyJul!BO32</f>
        <v>27081.000000000047</v>
      </c>
      <c r="AB33" s="7">
        <f t="shared" si="19"/>
        <v>482.61543670807208</v>
      </c>
      <c r="AC33" s="6">
        <f t="shared" si="20"/>
        <v>475.25534379277752</v>
      </c>
      <c r="AD33" s="300">
        <f>+[2]DailyJul!BS32</f>
        <v>0</v>
      </c>
    </row>
    <row r="34" spans="1:30">
      <c r="A34" s="292">
        <f t="shared" si="12"/>
        <v>45865</v>
      </c>
      <c r="B34" s="299">
        <f>+Report1!P35</f>
        <v>55.828000000000003</v>
      </c>
      <c r="C34" s="299">
        <f>+Report1!R35</f>
        <v>53.844000000000001</v>
      </c>
      <c r="D34" s="300">
        <f t="shared" si="13"/>
        <v>254386.74000000005</v>
      </c>
      <c r="E34" s="300">
        <f>+[2]DailyJul!AZ33</f>
        <v>9322.3399999999929</v>
      </c>
      <c r="F34" s="294">
        <f t="shared" si="0"/>
        <v>166.98323421938798</v>
      </c>
      <c r="G34" s="294">
        <f t="shared" si="1"/>
        <v>173.13609687244619</v>
      </c>
      <c r="H34" s="300">
        <f t="shared" si="14"/>
        <v>483206.73999999923</v>
      </c>
      <c r="I34" s="300">
        <f>+[2]DailyJul!BA33</f>
        <v>17277.339999999633</v>
      </c>
      <c r="J34" s="294">
        <f t="shared" si="2"/>
        <v>309.47445726158259</v>
      </c>
      <c r="K34" s="294">
        <f t="shared" si="3"/>
        <v>320.87772082311182</v>
      </c>
      <c r="L34" s="300">
        <f t="shared" si="15"/>
        <v>317536.74</v>
      </c>
      <c r="M34" s="300">
        <f>+[2]DailyJul!BB33</f>
        <v>11351.505000000001</v>
      </c>
      <c r="N34" s="300">
        <f t="shared" si="4"/>
        <v>203.32995987676435</v>
      </c>
      <c r="O34" s="492">
        <f t="shared" si="5"/>
        <v>210.82209716960108</v>
      </c>
      <c r="P34" s="300">
        <f t="shared" si="16"/>
        <v>0</v>
      </c>
      <c r="Q34" s="300"/>
      <c r="R34" s="300">
        <f t="shared" si="6"/>
        <v>0</v>
      </c>
      <c r="S34" s="395">
        <f t="shared" si="7"/>
        <v>0</v>
      </c>
      <c r="T34" s="300">
        <f t="shared" si="17"/>
        <v>21670.000000000044</v>
      </c>
      <c r="U34" s="300">
        <f>+[2]DailyJul!BC33</f>
        <v>220</v>
      </c>
      <c r="V34" s="300">
        <f t="shared" si="8"/>
        <v>3.9406749301425807</v>
      </c>
      <c r="W34" s="395">
        <f t="shared" si="9"/>
        <v>4.0858777208231185</v>
      </c>
      <c r="X34" s="300">
        <f t="shared" si="18"/>
        <v>38171.184999999627</v>
      </c>
      <c r="Y34" s="297">
        <f t="shared" si="10"/>
        <v>683.72832628787751</v>
      </c>
      <c r="Z34" s="298">
        <f t="shared" si="11"/>
        <v>708.92179258598219</v>
      </c>
      <c r="AA34" s="300">
        <f>+[2]DailyJul!BO33</f>
        <v>25729.900000000136</v>
      </c>
      <c r="AB34" s="7">
        <f t="shared" si="19"/>
        <v>460.87805402307328</v>
      </c>
      <c r="AC34" s="6">
        <f t="shared" si="20"/>
        <v>477.86011440457872</v>
      </c>
      <c r="AD34" s="300">
        <f>+[2]DailyJul!BS33</f>
        <v>0</v>
      </c>
    </row>
    <row r="35" spans="1:30">
      <c r="A35" s="292">
        <f t="shared" si="12"/>
        <v>45866</v>
      </c>
      <c r="B35" s="299">
        <f>+Report1!P36</f>
        <v>55.852999999999994</v>
      </c>
      <c r="C35" s="299">
        <f>+Report1!R36</f>
        <v>57.405999999999999</v>
      </c>
      <c r="D35" s="300">
        <f t="shared" si="13"/>
        <v>263355.99000000005</v>
      </c>
      <c r="E35" s="300">
        <f>+[2]DailyJul!AZ34</f>
        <v>8969.2499999999927</v>
      </c>
      <c r="F35" s="294">
        <f t="shared" si="0"/>
        <v>160.58671870803707</v>
      </c>
      <c r="G35" s="294">
        <f t="shared" si="1"/>
        <v>156.24237884541674</v>
      </c>
      <c r="H35" s="300">
        <f t="shared" si="14"/>
        <v>500580.98999999958</v>
      </c>
      <c r="I35" s="300">
        <f>+[2]DailyJul!BA34</f>
        <v>17374.250000000364</v>
      </c>
      <c r="J35" s="294">
        <f t="shared" si="2"/>
        <v>311.0710257282575</v>
      </c>
      <c r="K35" s="294">
        <f t="shared" si="3"/>
        <v>302.65564575132152</v>
      </c>
      <c r="L35" s="300">
        <f t="shared" si="15"/>
        <v>328943.49</v>
      </c>
      <c r="M35" s="300">
        <f>+[2]DailyJul!BB34</f>
        <v>11406.75</v>
      </c>
      <c r="N35" s="300">
        <f t="shared" si="4"/>
        <v>204.22806295096058</v>
      </c>
      <c r="O35" s="492">
        <f t="shared" si="5"/>
        <v>198.70309723722261</v>
      </c>
      <c r="P35" s="300">
        <f t="shared" si="16"/>
        <v>0</v>
      </c>
      <c r="Q35" s="300"/>
      <c r="R35" s="300">
        <f t="shared" si="6"/>
        <v>0</v>
      </c>
      <c r="S35" s="395">
        <f t="shared" si="7"/>
        <v>0</v>
      </c>
      <c r="T35" s="300">
        <f t="shared" si="17"/>
        <v>21895.000000000044</v>
      </c>
      <c r="U35" s="300">
        <f>+[2]DailyJul!BC34</f>
        <v>225</v>
      </c>
      <c r="V35" s="300">
        <f t="shared" si="8"/>
        <v>4.0284317762698514</v>
      </c>
      <c r="W35" s="395">
        <f t="shared" si="9"/>
        <v>3.9194509284743755</v>
      </c>
      <c r="X35" s="300">
        <f t="shared" si="18"/>
        <v>37975.250000000357</v>
      </c>
      <c r="Y35" s="297">
        <f t="shared" si="10"/>
        <v>679.91423916352494</v>
      </c>
      <c r="Z35" s="298">
        <f t="shared" si="11"/>
        <v>661.52057276243522</v>
      </c>
      <c r="AA35" s="300">
        <f>+[2]DailyJul!BO34</f>
        <v>28508.999999999814</v>
      </c>
      <c r="AB35" s="7">
        <f t="shared" si="19"/>
        <v>510.42916226522868</v>
      </c>
      <c r="AC35" s="6">
        <f t="shared" si="20"/>
        <v>496.62056231055664</v>
      </c>
      <c r="AD35" s="300">
        <f>+[2]DailyJul!BS34</f>
        <v>0</v>
      </c>
    </row>
    <row r="36" spans="1:30">
      <c r="A36" s="292">
        <f t="shared" si="12"/>
        <v>45867</v>
      </c>
      <c r="B36" s="299">
        <f>+Report1!P37</f>
        <v>55.658999999999999</v>
      </c>
      <c r="C36" s="299">
        <f>+Report1!R37</f>
        <v>51.796999999999997</v>
      </c>
      <c r="D36" s="300">
        <f t="shared" si="13"/>
        <v>273924.44000000006</v>
      </c>
      <c r="E36" s="300">
        <f>+[2]DailyJul!AZ35</f>
        <v>10568.449999999999</v>
      </c>
      <c r="F36" s="294">
        <f t="shared" si="0"/>
        <v>189.87854614707413</v>
      </c>
      <c r="G36" s="294">
        <f t="shared" si="1"/>
        <v>204.03594802787805</v>
      </c>
      <c r="H36" s="300">
        <f t="shared" si="14"/>
        <v>518484.43999999925</v>
      </c>
      <c r="I36" s="300">
        <f>+[2]DailyJul!BA35</f>
        <v>17903.449999999637</v>
      </c>
      <c r="J36" s="294">
        <f t="shared" si="2"/>
        <v>321.66316319013345</v>
      </c>
      <c r="K36" s="294">
        <f t="shared" si="3"/>
        <v>345.64646601153805</v>
      </c>
      <c r="L36" s="300">
        <f t="shared" si="15"/>
        <v>340524.44</v>
      </c>
      <c r="M36" s="300">
        <f>+[2]DailyJul!BB35</f>
        <v>11580.95</v>
      </c>
      <c r="N36" s="300">
        <f t="shared" si="4"/>
        <v>208.06967426651576</v>
      </c>
      <c r="O36" s="492">
        <f t="shared" si="5"/>
        <v>223.58341216672784</v>
      </c>
      <c r="P36" s="300">
        <f t="shared" si="16"/>
        <v>0</v>
      </c>
      <c r="Q36" s="300"/>
      <c r="R36" s="300">
        <f t="shared" si="6"/>
        <v>0</v>
      </c>
      <c r="S36" s="395">
        <f t="shared" si="7"/>
        <v>0</v>
      </c>
      <c r="T36" s="300">
        <f t="shared" si="17"/>
        <v>22115.000000000044</v>
      </c>
      <c r="U36" s="300">
        <f>+[2]DailyJul!BC35</f>
        <v>220</v>
      </c>
      <c r="V36" s="300">
        <f t="shared" si="8"/>
        <v>3.9526401839774339</v>
      </c>
      <c r="W36" s="395">
        <f t="shared" si="9"/>
        <v>4.2473502326389561</v>
      </c>
      <c r="X36" s="300">
        <f t="shared" si="18"/>
        <v>40272.849999999642</v>
      </c>
      <c r="Y36" s="297">
        <f t="shared" si="10"/>
        <v>723.56402378770088</v>
      </c>
      <c r="Z36" s="298">
        <f t="shared" si="11"/>
        <v>777.51317643878303</v>
      </c>
      <c r="AA36" s="300">
        <f>+[2]DailyJul!BO35</f>
        <v>28200.654000000046</v>
      </c>
      <c r="AB36" s="7">
        <f t="shared" si="19"/>
        <v>506.66835552201883</v>
      </c>
      <c r="AC36" s="6">
        <f t="shared" si="20"/>
        <v>544.44570148850414</v>
      </c>
      <c r="AD36" s="300">
        <f>+[2]DailyJul!BS35</f>
        <v>0</v>
      </c>
    </row>
    <row r="37" spans="1:30">
      <c r="A37" s="292">
        <f t="shared" si="12"/>
        <v>45868</v>
      </c>
      <c r="B37" s="299">
        <f>+Report1!P38</f>
        <v>55.137</v>
      </c>
      <c r="C37" s="299">
        <f>+Report1!R38</f>
        <v>50.341999999999999</v>
      </c>
      <c r="D37" s="300">
        <f t="shared" si="13"/>
        <v>282805.76000000077</v>
      </c>
      <c r="E37" s="300">
        <f>+[2]DailyJul!AZ36</f>
        <v>8881.3200000007109</v>
      </c>
      <c r="F37" s="294">
        <f t="shared" si="0"/>
        <v>161.07731650254294</v>
      </c>
      <c r="G37" s="294">
        <f t="shared" si="1"/>
        <v>176.41968932503102</v>
      </c>
      <c r="H37" s="300">
        <f t="shared" si="14"/>
        <v>535010.7599999985</v>
      </c>
      <c r="I37" s="300">
        <f>+[2]DailyJul!BA36</f>
        <v>16526.319999999272</v>
      </c>
      <c r="J37" s="294">
        <f t="shared" si="2"/>
        <v>299.73194043925628</v>
      </c>
      <c r="K37" s="294">
        <f t="shared" si="3"/>
        <v>328.28095824558562</v>
      </c>
      <c r="L37" s="300">
        <f t="shared" si="15"/>
        <v>351328.25999999943</v>
      </c>
      <c r="M37" s="300">
        <f>+[2]DailyJul!BB36</f>
        <v>10803.819999999418</v>
      </c>
      <c r="N37" s="300">
        <f t="shared" si="4"/>
        <v>195.94500970309261</v>
      </c>
      <c r="O37" s="492">
        <f t="shared" si="5"/>
        <v>214.60847801039725</v>
      </c>
      <c r="P37" s="300">
        <f t="shared" si="16"/>
        <v>0</v>
      </c>
      <c r="Q37" s="300"/>
      <c r="R37" s="300">
        <f t="shared" si="6"/>
        <v>0</v>
      </c>
      <c r="S37" s="395">
        <f t="shared" si="7"/>
        <v>0</v>
      </c>
      <c r="T37" s="300">
        <f t="shared" si="17"/>
        <v>22133.699999999993</v>
      </c>
      <c r="U37" s="300">
        <f>+[2]DailyJul!BC36</f>
        <v>18.699999999949796</v>
      </c>
      <c r="V37" s="300">
        <f t="shared" si="8"/>
        <v>0.33915519524003473</v>
      </c>
      <c r="W37" s="395">
        <f t="shared" si="9"/>
        <v>0.37145921894143652</v>
      </c>
      <c r="X37" s="300">
        <f t="shared" si="18"/>
        <v>36230.159999999349</v>
      </c>
      <c r="Y37" s="297">
        <f t="shared" si="10"/>
        <v>657.09342184013178</v>
      </c>
      <c r="Z37" s="298">
        <f t="shared" si="11"/>
        <v>719.68058479995534</v>
      </c>
      <c r="AA37" s="300">
        <f>+[2]DailyJul!BO36</f>
        <v>24750.907999999854</v>
      </c>
      <c r="AB37" s="7">
        <f t="shared" si="19"/>
        <v>448.89834412463233</v>
      </c>
      <c r="AC37" s="6">
        <f t="shared" si="20"/>
        <v>491.65523817090809</v>
      </c>
      <c r="AD37" s="300">
        <f>+[2]DailyJul!BS36</f>
        <v>0</v>
      </c>
    </row>
    <row r="38" spans="1:30">
      <c r="A38" s="292">
        <f t="shared" si="12"/>
        <v>45869</v>
      </c>
      <c r="B38" s="299">
        <f>+Report1!P39</f>
        <v>53.825999999999993</v>
      </c>
      <c r="C38" s="299">
        <f>+Report1!R39</f>
        <v>53.884999999999998</v>
      </c>
      <c r="D38" s="300">
        <f t="shared" si="13"/>
        <v>292107.76999999938</v>
      </c>
      <c r="E38" s="300">
        <f>+[2]DailyJul!AZ37</f>
        <v>9302.0099999985905</v>
      </c>
      <c r="F38" s="294">
        <f t="shared" si="0"/>
        <v>172.81629695683483</v>
      </c>
      <c r="G38" s="294">
        <f t="shared" si="1"/>
        <v>172.62707618072915</v>
      </c>
      <c r="H38" s="300">
        <f t="shared" si="14"/>
        <v>551862.76999999885</v>
      </c>
      <c r="I38" s="300">
        <f>+[2]DailyJul!BA37</f>
        <v>16852.010000000362</v>
      </c>
      <c r="J38" s="295">
        <f t="shared" si="2"/>
        <v>313.08308252518049</v>
      </c>
      <c r="K38" s="295">
        <f t="shared" si="3"/>
        <v>312.74028022641482</v>
      </c>
      <c r="L38" s="300">
        <f t="shared" si="15"/>
        <v>362325.2700000006</v>
      </c>
      <c r="M38" s="300">
        <f>+[2]DailyJul!BB37</f>
        <v>10997.010000001199</v>
      </c>
      <c r="N38" s="300">
        <f t="shared" si="4"/>
        <v>204.30665477652437</v>
      </c>
      <c r="O38" s="492">
        <f t="shared" si="5"/>
        <v>204.0829544400334</v>
      </c>
      <c r="P38" s="300">
        <f t="shared" si="16"/>
        <v>0</v>
      </c>
      <c r="Q38" s="300"/>
      <c r="R38" s="300">
        <f t="shared" si="6"/>
        <v>0</v>
      </c>
      <c r="S38" s="395">
        <f t="shared" si="7"/>
        <v>0</v>
      </c>
      <c r="T38" s="300">
        <f t="shared" si="17"/>
        <v>22548.849999999969</v>
      </c>
      <c r="U38" s="300">
        <f>+[2]DailyJul!BC37</f>
        <v>415.14999999997599</v>
      </c>
      <c r="V38" s="300">
        <f t="shared" si="8"/>
        <v>7.7128153680373064</v>
      </c>
      <c r="W38" s="395">
        <f t="shared" si="9"/>
        <v>7.7043704184833626</v>
      </c>
      <c r="X38" s="300">
        <f t="shared" si="18"/>
        <v>37566.180000000124</v>
      </c>
      <c r="Y38" s="297">
        <f t="shared" si="10"/>
        <v>697.91884962657696</v>
      </c>
      <c r="Z38" s="298">
        <f t="shared" si="11"/>
        <v>697.15468126566066</v>
      </c>
      <c r="AA38" s="300">
        <f>+[2]DailyJul!BO37</f>
        <v>26332.436000000176</v>
      </c>
      <c r="AB38" s="7">
        <f t="shared" si="19"/>
        <v>489.21406011964814</v>
      </c>
      <c r="AC38" s="6">
        <f t="shared" si="20"/>
        <v>488.67840772014802</v>
      </c>
      <c r="AD38" s="300">
        <f>+[2]DailyJul!BS37</f>
        <v>0</v>
      </c>
    </row>
    <row r="39" spans="1:30">
      <c r="A39" s="292"/>
      <c r="B39" s="299"/>
      <c r="C39" s="299"/>
      <c r="D39" s="290"/>
      <c r="E39" s="300"/>
      <c r="F39" s="294"/>
      <c r="G39" s="294"/>
      <c r="H39" s="291"/>
      <c r="I39" s="300"/>
      <c r="J39" s="295"/>
      <c r="K39" s="295"/>
      <c r="L39" s="300"/>
      <c r="M39" s="300"/>
      <c r="N39" s="300"/>
      <c r="O39" s="300"/>
      <c r="P39" s="300"/>
      <c r="Q39" s="300"/>
      <c r="R39" s="300"/>
      <c r="S39" s="300"/>
      <c r="T39" s="300"/>
      <c r="U39" s="300"/>
      <c r="V39" s="300"/>
      <c r="W39" s="300"/>
      <c r="X39" s="300"/>
      <c r="Y39" s="297"/>
      <c r="Z39" s="298"/>
      <c r="AA39" s="296"/>
      <c r="AB39" s="297"/>
      <c r="AC39" s="298"/>
      <c r="AD39" s="296"/>
    </row>
    <row r="40" spans="1:30">
      <c r="A40" s="301" t="s">
        <v>29</v>
      </c>
      <c r="B40" s="302">
        <f>SUM(B8:B38)</f>
        <v>1443.2060000000004</v>
      </c>
      <c r="C40" s="302">
        <f>SUM(C8:C38)</f>
        <v>1385.694</v>
      </c>
      <c r="D40" s="304"/>
      <c r="E40" s="300">
        <f>SUM(E8:E39)</f>
        <v>292107.76999999938</v>
      </c>
      <c r="F40" s="303">
        <f>E40/B40</f>
        <v>202.40199250834553</v>
      </c>
      <c r="G40" s="534">
        <f>E40/C40</f>
        <v>210.80250762433798</v>
      </c>
      <c r="H40" s="305"/>
      <c r="I40" s="300">
        <f>SUM(I8:I39)</f>
        <v>551862.76999999885</v>
      </c>
      <c r="J40" s="303">
        <f>I40/B40</f>
        <v>382.38669323713918</v>
      </c>
      <c r="K40" s="534">
        <f>I40/C40</f>
        <v>398.25731366376624</v>
      </c>
      <c r="L40" s="307"/>
      <c r="M40" s="300">
        <f>SUM(M8:M39)</f>
        <v>362325.2700000006</v>
      </c>
      <c r="N40" s="493">
        <f>M40/B40</f>
        <v>251.05582293865223</v>
      </c>
      <c r="O40" s="534">
        <f>M40/C40</f>
        <v>261.47567211808712</v>
      </c>
      <c r="P40" s="307"/>
      <c r="Q40" s="306">
        <f>SUM(Q8:Q38)</f>
        <v>0</v>
      </c>
      <c r="R40" s="303">
        <f>Q40/B40</f>
        <v>0</v>
      </c>
      <c r="S40" s="303">
        <f>Q40/C40</f>
        <v>0</v>
      </c>
      <c r="T40" s="307"/>
      <c r="U40" s="300">
        <f>SUM(U8:U39)</f>
        <v>22548.849999999969</v>
      </c>
      <c r="V40" s="303">
        <f>U40/B40</f>
        <v>15.624138203416535</v>
      </c>
      <c r="W40" s="534">
        <f>U40/C40</f>
        <v>16.27260419688616</v>
      </c>
      <c r="X40" s="300">
        <f>+E40+I40+M40+U40</f>
        <v>1228844.6599999985</v>
      </c>
      <c r="Y40" s="493">
        <f>X40/B40</f>
        <v>851.46864688755329</v>
      </c>
      <c r="Z40" s="304">
        <f>X40/C40</f>
        <v>886.80809760307727</v>
      </c>
      <c r="AA40" s="296">
        <f>SUM(AA8:AA38)</f>
        <v>208184.89800000004</v>
      </c>
      <c r="AB40" s="7">
        <f>AA40/B40</f>
        <v>144.25168548356922</v>
      </c>
      <c r="AC40" s="7">
        <f>AA40/C40</f>
        <v>150.23872370090371</v>
      </c>
      <c r="AD40" s="300">
        <f>SUM(AD8:AD38)</f>
        <v>20440</v>
      </c>
    </row>
    <row r="42" spans="1:30">
      <c r="X42" s="5">
        <v>0</v>
      </c>
      <c r="AA42" s="5">
        <v>0</v>
      </c>
      <c r="AD42" s="5"/>
    </row>
    <row r="43" spans="1:30">
      <c r="AD43" s="5">
        <f>+AD40-[3]DailyJan!$BO$38</f>
        <v>12485</v>
      </c>
    </row>
    <row r="44" spans="1:30">
      <c r="D44" s="308"/>
    </row>
  </sheetData>
  <mergeCells count="13">
    <mergeCell ref="AD4:AD5"/>
    <mergeCell ref="A2:X2"/>
    <mergeCell ref="D4:W4"/>
    <mergeCell ref="X4:Z5"/>
    <mergeCell ref="AA4:AC5"/>
    <mergeCell ref="A4:A6"/>
    <mergeCell ref="B4:B6"/>
    <mergeCell ref="C4:C6"/>
    <mergeCell ref="D5:G5"/>
    <mergeCell ref="H5:K5"/>
    <mergeCell ref="L5:O5"/>
    <mergeCell ref="P5:S5"/>
    <mergeCell ref="T5:W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8"/>
  <sheetViews>
    <sheetView topLeftCell="A66" workbookViewId="0">
      <selection activeCell="H98" sqref="H98"/>
    </sheetView>
  </sheetViews>
  <sheetFormatPr defaultRowHeight="12.75"/>
  <cols>
    <col min="1" max="1" width="10.140625" bestFit="1" customWidth="1"/>
    <col min="2" max="2" width="12.85546875" customWidth="1"/>
    <col min="4" max="4" width="22.28515625" customWidth="1"/>
  </cols>
  <sheetData>
    <row r="1" spans="1:9">
      <c r="A1" s="535" t="s">
        <v>234</v>
      </c>
      <c r="B1" s="536">
        <f>+Report1!A9</f>
        <v>45839</v>
      </c>
      <c r="C1" s="94"/>
      <c r="G1" s="95"/>
      <c r="H1" s="96"/>
    </row>
    <row r="2" spans="1:9" ht="13.5" thickBot="1">
      <c r="A2" s="93"/>
      <c r="B2" s="94"/>
      <c r="C2" s="94"/>
      <c r="G2" s="95"/>
      <c r="H2" s="96"/>
    </row>
    <row r="3" spans="1:9" ht="26.25" thickBot="1">
      <c r="A3" s="361" t="s">
        <v>132</v>
      </c>
      <c r="B3" s="524" t="s">
        <v>10</v>
      </c>
      <c r="C3" s="524" t="s">
        <v>105</v>
      </c>
      <c r="D3" s="524" t="s">
        <v>133</v>
      </c>
      <c r="E3" s="524" t="s">
        <v>134</v>
      </c>
      <c r="F3" s="524" t="s">
        <v>135</v>
      </c>
      <c r="G3" s="525" t="s">
        <v>136</v>
      </c>
      <c r="H3" s="526" t="s">
        <v>137</v>
      </c>
      <c r="I3" s="568" t="s">
        <v>412</v>
      </c>
    </row>
    <row r="4" spans="1:9">
      <c r="A4" s="569">
        <v>45839</v>
      </c>
      <c r="B4" s="490" t="s">
        <v>409</v>
      </c>
      <c r="C4">
        <v>1</v>
      </c>
      <c r="D4" s="362" t="s">
        <v>441</v>
      </c>
      <c r="E4" s="362">
        <f>133*2</f>
        <v>266</v>
      </c>
      <c r="F4" s="362">
        <v>16</v>
      </c>
      <c r="G4">
        <f>+E4*F4</f>
        <v>4256</v>
      </c>
      <c r="H4" s="491">
        <f>+G4/F4</f>
        <v>266</v>
      </c>
      <c r="I4" s="491">
        <f>+'1'!I38</f>
        <v>26.224999999999998</v>
      </c>
    </row>
    <row r="5" spans="1:9">
      <c r="A5" s="570"/>
      <c r="B5" s="490" t="s">
        <v>425</v>
      </c>
      <c r="C5">
        <v>1</v>
      </c>
      <c r="D5" s="362" t="s">
        <v>440</v>
      </c>
      <c r="E5" s="362">
        <f>140+122.5</f>
        <v>262.5</v>
      </c>
      <c r="F5" s="362">
        <f>4+11</f>
        <v>15</v>
      </c>
      <c r="G5">
        <f>+E5*F5</f>
        <v>3937.5</v>
      </c>
      <c r="H5" s="571">
        <f>+G5/F5</f>
        <v>262.5</v>
      </c>
      <c r="I5" s="572"/>
    </row>
    <row r="6" spans="1:9" ht="13.5" thickBot="1">
      <c r="A6" s="349"/>
      <c r="B6" s="365"/>
      <c r="C6" s="350"/>
      <c r="D6" s="351"/>
      <c r="E6" s="350"/>
      <c r="F6" s="350"/>
      <c r="G6" s="350"/>
      <c r="H6" s="573"/>
      <c r="I6" s="574"/>
    </row>
    <row r="7" spans="1:9">
      <c r="A7" s="569">
        <v>45840</v>
      </c>
      <c r="B7" s="578" t="s">
        <v>425</v>
      </c>
      <c r="C7" s="579">
        <v>1</v>
      </c>
      <c r="D7" s="580" t="s">
        <v>440</v>
      </c>
      <c r="E7" s="580">
        <f>140+122.5</f>
        <v>262.5</v>
      </c>
      <c r="F7" s="580">
        <f>112/2</f>
        <v>56</v>
      </c>
      <c r="G7" s="579">
        <f>+E7*F7</f>
        <v>14700</v>
      </c>
      <c r="H7" s="581">
        <f>+G7/F7</f>
        <v>262.5</v>
      </c>
      <c r="I7" s="491">
        <f>+'2'!I38</f>
        <v>34.292999999999999</v>
      </c>
    </row>
    <row r="8" spans="1:9" ht="13.5" thickBot="1">
      <c r="A8" s="349"/>
      <c r="B8" s="365"/>
      <c r="C8" s="350"/>
      <c r="D8" s="351"/>
      <c r="E8" s="350"/>
      <c r="F8" s="350"/>
      <c r="G8" s="350"/>
      <c r="H8" s="577"/>
      <c r="I8" s="577"/>
    </row>
    <row r="9" spans="1:9">
      <c r="A9" s="569">
        <v>45841</v>
      </c>
      <c r="B9" s="578" t="s">
        <v>425</v>
      </c>
      <c r="C9" s="579">
        <v>1</v>
      </c>
      <c r="D9" s="580" t="s">
        <v>440</v>
      </c>
      <c r="E9" s="580">
        <f>140+122.5</f>
        <v>262.5</v>
      </c>
      <c r="F9" s="580">
        <f>122/2</f>
        <v>61</v>
      </c>
      <c r="G9" s="579">
        <f>+E9*F9</f>
        <v>16012.5</v>
      </c>
      <c r="H9" s="581">
        <f>+G9/F9</f>
        <v>262.5</v>
      </c>
      <c r="I9" s="491">
        <f>+'3'!I38</f>
        <v>40.92</v>
      </c>
    </row>
    <row r="10" spans="1:9" ht="13.5" thickBot="1">
      <c r="A10" s="349"/>
      <c r="B10" s="365"/>
      <c r="C10" s="350"/>
      <c r="D10" s="351"/>
      <c r="E10" s="350"/>
      <c r="F10" s="350"/>
      <c r="G10" s="350"/>
      <c r="H10" s="577"/>
      <c r="I10" s="577"/>
    </row>
    <row r="11" spans="1:9">
      <c r="A11" s="569">
        <v>45842</v>
      </c>
      <c r="B11" s="578" t="s">
        <v>425</v>
      </c>
      <c r="C11" s="579">
        <v>1</v>
      </c>
      <c r="D11" s="580" t="s">
        <v>440</v>
      </c>
      <c r="E11" s="580">
        <f>140+122.5</f>
        <v>262.5</v>
      </c>
      <c r="F11" s="580">
        <f>130/2</f>
        <v>65</v>
      </c>
      <c r="G11" s="579">
        <f>+E11*F11</f>
        <v>17062.5</v>
      </c>
      <c r="H11" s="581">
        <f>+G11/F11</f>
        <v>262.5</v>
      </c>
      <c r="I11" s="491">
        <f>+'4'!I38</f>
        <v>42.158000000000001</v>
      </c>
    </row>
    <row r="12" spans="1:9" ht="13.5" thickBot="1">
      <c r="A12" s="349"/>
      <c r="B12" s="365"/>
      <c r="C12" s="350"/>
      <c r="D12" s="351"/>
      <c r="E12" s="350"/>
      <c r="F12" s="350"/>
      <c r="G12" s="350"/>
      <c r="H12" s="577"/>
      <c r="I12" s="577"/>
    </row>
    <row r="13" spans="1:9">
      <c r="A13" s="569">
        <v>45843</v>
      </c>
      <c r="B13" s="578" t="s">
        <v>425</v>
      </c>
      <c r="C13" s="579">
        <v>1</v>
      </c>
      <c r="D13" s="580" t="s">
        <v>440</v>
      </c>
      <c r="E13" s="580">
        <f>140+122.5</f>
        <v>262.5</v>
      </c>
      <c r="F13" s="580">
        <f>13+7+13+5+2</f>
        <v>40</v>
      </c>
      <c r="G13" s="579">
        <f>+E13*F13</f>
        <v>10500</v>
      </c>
      <c r="H13" s="581">
        <f>+G13/F13</f>
        <v>262.5</v>
      </c>
      <c r="I13" s="491">
        <f>+'5'!I38</f>
        <v>44.183000000000007</v>
      </c>
    </row>
    <row r="14" spans="1:9">
      <c r="A14" s="570"/>
      <c r="B14" s="490" t="s">
        <v>409</v>
      </c>
      <c r="C14">
        <v>1</v>
      </c>
      <c r="D14" s="362" t="s">
        <v>441</v>
      </c>
      <c r="E14" s="362">
        <f>133*2</f>
        <v>266</v>
      </c>
      <c r="F14" s="362">
        <f>4+3</f>
        <v>7</v>
      </c>
      <c r="G14">
        <f t="shared" ref="G14:G15" si="0">+E14*F14</f>
        <v>1862</v>
      </c>
      <c r="H14" s="491">
        <f t="shared" ref="H14:H15" si="1">+G14/F14</f>
        <v>266</v>
      </c>
      <c r="I14" s="491"/>
    </row>
    <row r="15" spans="1:9">
      <c r="A15" s="570"/>
      <c r="B15" s="490" t="s">
        <v>519</v>
      </c>
      <c r="C15">
        <v>1</v>
      </c>
      <c r="D15" s="362" t="s">
        <v>533</v>
      </c>
      <c r="E15" s="362">
        <f>140+126</f>
        <v>266</v>
      </c>
      <c r="F15" s="362">
        <f>3+13+5</f>
        <v>21</v>
      </c>
      <c r="G15">
        <f t="shared" si="0"/>
        <v>5586</v>
      </c>
      <c r="H15" s="491">
        <f t="shared" si="1"/>
        <v>266</v>
      </c>
      <c r="I15" s="491"/>
    </row>
    <row r="16" spans="1:9" ht="13.5" thickBot="1">
      <c r="A16" s="349"/>
      <c r="B16" s="365"/>
      <c r="C16" s="350"/>
      <c r="D16" s="351"/>
      <c r="E16" s="350"/>
      <c r="F16" s="350"/>
      <c r="G16" s="350"/>
      <c r="H16" s="577"/>
      <c r="I16" s="577"/>
    </row>
    <row r="17" spans="1:9">
      <c r="A17" s="569">
        <v>45844</v>
      </c>
      <c r="B17" s="490" t="s">
        <v>519</v>
      </c>
      <c r="C17">
        <v>1</v>
      </c>
      <c r="D17" s="362" t="s">
        <v>533</v>
      </c>
      <c r="E17" s="362">
        <f>140+126</f>
        <v>266</v>
      </c>
      <c r="F17" s="362">
        <v>17</v>
      </c>
      <c r="G17">
        <f t="shared" ref="G17" si="2">+E17*F17</f>
        <v>4522</v>
      </c>
      <c r="H17" s="491">
        <f t="shared" ref="H17" si="3">+G17/F17</f>
        <v>266</v>
      </c>
      <c r="I17" s="491">
        <f>+'6'!I38</f>
        <v>47.881999999999998</v>
      </c>
    </row>
    <row r="18" spans="1:9">
      <c r="A18" s="570"/>
      <c r="B18" s="490" t="s">
        <v>521</v>
      </c>
      <c r="C18">
        <v>1</v>
      </c>
      <c r="D18" s="362" t="s">
        <v>534</v>
      </c>
      <c r="E18" s="362">
        <f>257*1</f>
        <v>257</v>
      </c>
      <c r="F18" s="362">
        <f>5+20+19+1</f>
        <v>45</v>
      </c>
      <c r="G18">
        <f>+E18*F18</f>
        <v>11565</v>
      </c>
      <c r="H18" s="491">
        <f>+G18/F18</f>
        <v>257</v>
      </c>
      <c r="I18" s="491"/>
    </row>
    <row r="19" spans="1:9" ht="13.5" thickBot="1">
      <c r="A19" s="349"/>
      <c r="B19" s="365"/>
      <c r="C19" s="350"/>
      <c r="D19" s="351"/>
      <c r="E19" s="350"/>
      <c r="F19" s="350"/>
      <c r="G19" s="350"/>
      <c r="H19" s="577"/>
      <c r="I19" s="577"/>
    </row>
    <row r="20" spans="1:9">
      <c r="A20" s="569">
        <v>45845</v>
      </c>
      <c r="B20" s="490" t="s">
        <v>521</v>
      </c>
      <c r="C20">
        <v>1</v>
      </c>
      <c r="D20" s="362" t="s">
        <v>534</v>
      </c>
      <c r="E20" s="362">
        <f>257*1</f>
        <v>257</v>
      </c>
      <c r="F20" s="362">
        <f>17+5+20+3+17</f>
        <v>62</v>
      </c>
      <c r="G20">
        <f>+E20*F20</f>
        <v>15934</v>
      </c>
      <c r="H20" s="581">
        <f>+G20/F20</f>
        <v>257</v>
      </c>
      <c r="I20" s="491">
        <f>+'7'!I38</f>
        <v>51.512</v>
      </c>
    </row>
    <row r="21" spans="1:9" ht="13.5" thickBot="1">
      <c r="A21" s="349"/>
      <c r="B21" s="365"/>
      <c r="C21" s="350"/>
      <c r="D21" s="351"/>
      <c r="E21" s="350"/>
      <c r="F21" s="350"/>
      <c r="G21" s="350"/>
      <c r="H21" s="577"/>
      <c r="I21" s="577"/>
    </row>
    <row r="22" spans="1:9">
      <c r="A22" s="569">
        <v>45846</v>
      </c>
      <c r="B22" s="490" t="s">
        <v>521</v>
      </c>
      <c r="C22">
        <v>1</v>
      </c>
      <c r="D22" s="362" t="s">
        <v>534</v>
      </c>
      <c r="E22" s="362">
        <f>257*1</f>
        <v>257</v>
      </c>
      <c r="F22" s="362">
        <f>25+12</f>
        <v>37</v>
      </c>
      <c r="G22">
        <f>+E22*F22</f>
        <v>9509</v>
      </c>
      <c r="H22" s="581">
        <f>+G22/F22</f>
        <v>257</v>
      </c>
      <c r="I22" s="491">
        <f>+'8'!I38</f>
        <v>48.932000000000002</v>
      </c>
    </row>
    <row r="23" spans="1:9">
      <c r="A23" s="570"/>
      <c r="B23" s="490" t="s">
        <v>521</v>
      </c>
      <c r="C23">
        <v>1</v>
      </c>
      <c r="D23" s="362" t="s">
        <v>559</v>
      </c>
      <c r="E23" s="362">
        <f>132*2</f>
        <v>264</v>
      </c>
      <c r="F23" s="362">
        <v>15</v>
      </c>
      <c r="G23">
        <f t="shared" ref="G23:G24" si="4">+E23*F23</f>
        <v>3960</v>
      </c>
      <c r="H23" s="491">
        <f t="shared" ref="H23:H24" si="5">+G23/F23</f>
        <v>264</v>
      </c>
      <c r="I23" s="491"/>
    </row>
    <row r="24" spans="1:9">
      <c r="A24" s="570"/>
      <c r="B24" s="490" t="s">
        <v>519</v>
      </c>
      <c r="C24">
        <v>1</v>
      </c>
      <c r="D24" s="362" t="s">
        <v>533</v>
      </c>
      <c r="E24" s="362">
        <f>140+126</f>
        <v>266</v>
      </c>
      <c r="F24" s="362">
        <v>21</v>
      </c>
      <c r="G24">
        <f t="shared" si="4"/>
        <v>5586</v>
      </c>
      <c r="H24" s="491">
        <f t="shared" si="5"/>
        <v>266</v>
      </c>
      <c r="I24" s="491"/>
    </row>
    <row r="25" spans="1:9" ht="13.5" thickBot="1">
      <c r="A25" s="349"/>
      <c r="B25" s="365"/>
      <c r="C25" s="350"/>
      <c r="D25" s="351"/>
      <c r="E25" s="350"/>
      <c r="F25" s="350"/>
      <c r="G25" s="350"/>
      <c r="H25" s="577"/>
      <c r="I25" s="577"/>
    </row>
    <row r="26" spans="1:9">
      <c r="A26" s="569">
        <v>45847</v>
      </c>
      <c r="B26" s="490" t="s">
        <v>519</v>
      </c>
      <c r="C26">
        <v>1</v>
      </c>
      <c r="D26" s="362" t="s">
        <v>533</v>
      </c>
      <c r="E26" s="362">
        <f>140+126</f>
        <v>266</v>
      </c>
      <c r="F26" s="362">
        <f>13+3+3</f>
        <v>19</v>
      </c>
      <c r="G26">
        <f t="shared" ref="G26" si="6">+E26*F26</f>
        <v>5054</v>
      </c>
      <c r="H26" s="491">
        <f t="shared" ref="H26" si="7">+G26/F26</f>
        <v>266</v>
      </c>
      <c r="I26" s="491">
        <f>+'9'!I38</f>
        <v>41.786999999999999</v>
      </c>
    </row>
    <row r="27" spans="1:9">
      <c r="A27" s="570"/>
      <c r="B27" s="490" t="s">
        <v>409</v>
      </c>
      <c r="C27">
        <v>1</v>
      </c>
      <c r="D27" s="362" t="s">
        <v>570</v>
      </c>
      <c r="E27" s="362">
        <f>140+120</f>
        <v>260</v>
      </c>
      <c r="F27" s="362">
        <f>2+8+5+13+12+13+11</f>
        <v>64</v>
      </c>
      <c r="G27">
        <f t="shared" ref="G27" si="8">+E27*F27</f>
        <v>16640</v>
      </c>
      <c r="H27" s="491">
        <f t="shared" ref="H27" si="9">+G27/F27</f>
        <v>260</v>
      </c>
      <c r="I27" s="491"/>
    </row>
    <row r="28" spans="1:9" ht="13.5" thickBot="1">
      <c r="A28" s="349"/>
      <c r="B28" s="365"/>
      <c r="C28" s="350"/>
      <c r="D28" s="351"/>
      <c r="E28" s="350"/>
      <c r="F28" s="350"/>
      <c r="G28" s="350"/>
      <c r="H28" s="577"/>
      <c r="I28" s="577"/>
    </row>
    <row r="29" spans="1:9">
      <c r="A29" s="569">
        <v>45848</v>
      </c>
      <c r="B29" s="490" t="s">
        <v>409</v>
      </c>
      <c r="C29">
        <v>1</v>
      </c>
      <c r="D29" s="362" t="s">
        <v>570</v>
      </c>
      <c r="E29" s="362">
        <f>140+120</f>
        <v>260</v>
      </c>
      <c r="F29" s="362">
        <v>75</v>
      </c>
      <c r="G29">
        <f t="shared" ref="G29" si="10">+E29*F29</f>
        <v>19500</v>
      </c>
      <c r="H29" s="491">
        <f>+SUM(F29*E29+F30*E30+F31*E31)/SUM(F29:F31)</f>
        <v>258.5542168674699</v>
      </c>
      <c r="I29" s="491">
        <f>+'10'!I38</f>
        <v>42.839999999999996</v>
      </c>
    </row>
    <row r="30" spans="1:9">
      <c r="A30" s="570"/>
      <c r="B30" s="490" t="s">
        <v>409</v>
      </c>
      <c r="C30">
        <v>1</v>
      </c>
      <c r="D30" s="362" t="s">
        <v>580</v>
      </c>
      <c r="E30" s="362">
        <f>122.5*2</f>
        <v>245</v>
      </c>
      <c r="F30" s="362">
        <v>8</v>
      </c>
      <c r="G30">
        <f t="shared" ref="G30" si="11">+E30*F30</f>
        <v>1960</v>
      </c>
      <c r="H30" s="491"/>
      <c r="I30" s="491"/>
    </row>
    <row r="31" spans="1:9" ht="13.5" thickBot="1">
      <c r="A31" s="349"/>
      <c r="B31" s="365"/>
      <c r="C31" s="350"/>
      <c r="D31" s="351"/>
      <c r="E31" s="350"/>
      <c r="F31" s="350"/>
      <c r="G31" s="350"/>
      <c r="H31" s="577"/>
      <c r="I31" s="577"/>
    </row>
    <row r="32" spans="1:9">
      <c r="A32" s="569">
        <v>45849</v>
      </c>
      <c r="B32" s="490" t="s">
        <v>409</v>
      </c>
      <c r="C32">
        <v>1</v>
      </c>
      <c r="D32" s="362" t="s">
        <v>440</v>
      </c>
      <c r="E32" s="362">
        <f>140+122.5</f>
        <v>262.5</v>
      </c>
      <c r="F32" s="362">
        <f>124/1</f>
        <v>124</v>
      </c>
      <c r="G32">
        <f t="shared" ref="G32" si="12">+E32*F32</f>
        <v>32550</v>
      </c>
      <c r="H32" s="491">
        <f t="shared" ref="H32" si="13">+G32/F32</f>
        <v>262.5</v>
      </c>
      <c r="I32" s="491">
        <f>+'11'!I38</f>
        <v>39.255000000000003</v>
      </c>
    </row>
    <row r="33" spans="1:9" ht="13.5" thickBot="1">
      <c r="A33" s="349"/>
      <c r="B33" s="365"/>
      <c r="C33" s="350"/>
      <c r="D33" s="351"/>
      <c r="E33" s="350"/>
      <c r="F33" s="350"/>
      <c r="G33" s="350"/>
      <c r="H33" s="577"/>
      <c r="I33" s="577"/>
    </row>
    <row r="34" spans="1:9">
      <c r="A34" s="569">
        <v>45850</v>
      </c>
      <c r="B34" s="490" t="s">
        <v>409</v>
      </c>
      <c r="C34">
        <v>1</v>
      </c>
      <c r="D34" s="362" t="s">
        <v>440</v>
      </c>
      <c r="E34" s="362">
        <f>140+122.5</f>
        <v>262.5</v>
      </c>
      <c r="F34" s="362">
        <v>62</v>
      </c>
      <c r="G34">
        <f t="shared" ref="G34:G35" si="14">+E34*F34</f>
        <v>16275</v>
      </c>
      <c r="H34" s="491">
        <f>+SUM(F34*E34+F35*E35+F36*E36)/SUM(F34:F36)</f>
        <v>262.80769230769232</v>
      </c>
      <c r="I34" s="491">
        <f>+'12'!I38</f>
        <v>42.796999999999997</v>
      </c>
    </row>
    <row r="35" spans="1:9">
      <c r="A35" s="570"/>
      <c r="B35" s="490" t="s">
        <v>409</v>
      </c>
      <c r="C35">
        <v>1</v>
      </c>
      <c r="D35" s="362" t="s">
        <v>559</v>
      </c>
      <c r="E35" s="362">
        <f>132*2</f>
        <v>264</v>
      </c>
      <c r="F35" s="362">
        <v>16</v>
      </c>
      <c r="G35">
        <f t="shared" si="14"/>
        <v>4224</v>
      </c>
      <c r="H35" s="491"/>
      <c r="I35" s="491"/>
    </row>
    <row r="36" spans="1:9" ht="13.5" thickBot="1">
      <c r="A36" s="349"/>
      <c r="B36" s="365"/>
      <c r="C36" s="350"/>
      <c r="D36" s="351"/>
      <c r="E36" s="350"/>
      <c r="F36" s="350"/>
      <c r="G36" s="350"/>
      <c r="H36" s="577"/>
      <c r="I36" s="577"/>
    </row>
    <row r="37" spans="1:9">
      <c r="A37" s="569">
        <v>45851</v>
      </c>
      <c r="B37" s="490" t="s">
        <v>409</v>
      </c>
      <c r="C37">
        <v>1</v>
      </c>
      <c r="D37" s="362" t="s">
        <v>559</v>
      </c>
      <c r="E37" s="362">
        <f>132*2</f>
        <v>264</v>
      </c>
      <c r="F37" s="362">
        <f>146/2</f>
        <v>73</v>
      </c>
      <c r="G37">
        <f t="shared" ref="G37" si="15">+E37*F37</f>
        <v>19272</v>
      </c>
      <c r="H37" s="491">
        <f t="shared" ref="H37" si="16">+G37/F37</f>
        <v>264</v>
      </c>
      <c r="I37" s="491">
        <f>+'13'!I38</f>
        <v>41.662999999999997</v>
      </c>
    </row>
    <row r="38" spans="1:9" ht="13.5" thickBot="1">
      <c r="A38" s="349"/>
      <c r="B38" s="365"/>
      <c r="C38" s="350"/>
      <c r="D38" s="351"/>
      <c r="E38" s="350"/>
      <c r="F38" s="350"/>
      <c r="G38" s="350"/>
      <c r="H38" s="577"/>
      <c r="I38" s="577"/>
    </row>
    <row r="39" spans="1:9">
      <c r="A39" s="569">
        <v>45852</v>
      </c>
      <c r="B39" s="490" t="s">
        <v>409</v>
      </c>
      <c r="C39">
        <v>1</v>
      </c>
      <c r="D39" s="362" t="s">
        <v>559</v>
      </c>
      <c r="E39" s="362">
        <f>132*2</f>
        <v>264</v>
      </c>
      <c r="F39" s="362">
        <f>52/2</f>
        <v>26</v>
      </c>
      <c r="G39">
        <f t="shared" ref="G39" si="17">+E39*F39</f>
        <v>6864</v>
      </c>
      <c r="H39" s="491">
        <f t="shared" ref="H39" si="18">+G39/F39</f>
        <v>264</v>
      </c>
      <c r="I39" s="491">
        <f>+'14'!I38</f>
        <v>49.626999999999995</v>
      </c>
    </row>
    <row r="40" spans="1:9">
      <c r="A40" s="570"/>
      <c r="B40" s="490" t="s">
        <v>615</v>
      </c>
      <c r="C40">
        <v>1</v>
      </c>
      <c r="D40" s="362" t="s">
        <v>559</v>
      </c>
      <c r="E40" s="362">
        <f>132*2</f>
        <v>264</v>
      </c>
      <c r="F40" s="362">
        <v>56</v>
      </c>
      <c r="G40">
        <f t="shared" ref="G40" si="19">+E40*F40</f>
        <v>14784</v>
      </c>
      <c r="H40" s="491">
        <f t="shared" ref="H40" si="20">+G40/F40</f>
        <v>264</v>
      </c>
      <c r="I40" s="491"/>
    </row>
    <row r="41" spans="1:9" ht="13.5" thickBot="1">
      <c r="A41" s="349"/>
      <c r="B41" s="365"/>
      <c r="C41" s="350"/>
      <c r="D41" s="351"/>
      <c r="E41" s="350"/>
      <c r="F41" s="350"/>
      <c r="G41" s="350"/>
      <c r="H41" s="577"/>
      <c r="I41" s="577"/>
    </row>
    <row r="42" spans="1:9">
      <c r="A42" s="569">
        <v>45853</v>
      </c>
      <c r="B42" s="490" t="s">
        <v>615</v>
      </c>
      <c r="C42">
        <v>1</v>
      </c>
      <c r="D42" s="362" t="s">
        <v>559</v>
      </c>
      <c r="E42" s="362">
        <f>132*2</f>
        <v>264</v>
      </c>
      <c r="F42" s="362">
        <v>24</v>
      </c>
      <c r="G42">
        <f t="shared" ref="G42:G44" si="21">+E42*F42</f>
        <v>6336</v>
      </c>
      <c r="H42" s="491">
        <f t="shared" ref="H42" si="22">+G42/F42</f>
        <v>264</v>
      </c>
      <c r="I42" s="491">
        <f>+'15'!I38</f>
        <v>48.793999999999997</v>
      </c>
    </row>
    <row r="43" spans="1:9">
      <c r="A43" s="570"/>
      <c r="B43" s="490" t="s">
        <v>409</v>
      </c>
      <c r="C43">
        <v>1</v>
      </c>
      <c r="D43" s="362" t="s">
        <v>559</v>
      </c>
      <c r="E43" s="362">
        <f>132*2</f>
        <v>264</v>
      </c>
      <c r="F43" s="362">
        <v>1</v>
      </c>
      <c r="G43">
        <f t="shared" si="21"/>
        <v>264</v>
      </c>
      <c r="H43" s="491">
        <f>+SUM(F43*E43+F44*E44+F45*E45)/SUM(F43:F45)</f>
        <v>263.0181818181818</v>
      </c>
      <c r="I43" s="491"/>
    </row>
    <row r="44" spans="1:9">
      <c r="A44" s="570"/>
      <c r="B44" s="490" t="s">
        <v>409</v>
      </c>
      <c r="C44">
        <v>1</v>
      </c>
      <c r="D44" s="362" t="s">
        <v>645</v>
      </c>
      <c r="E44" s="362">
        <f>133+130</f>
        <v>263</v>
      </c>
      <c r="F44" s="362">
        <f>4+3+12+12+13+10</f>
        <v>54</v>
      </c>
      <c r="G44">
        <f t="shared" si="21"/>
        <v>14202</v>
      </c>
      <c r="H44" s="491"/>
      <c r="I44" s="491"/>
    </row>
    <row r="45" spans="1:9" ht="13.5" thickBot="1">
      <c r="A45" s="349"/>
      <c r="B45" s="365"/>
      <c r="C45" s="350"/>
      <c r="D45" s="351"/>
      <c r="E45" s="350"/>
      <c r="F45" s="350"/>
      <c r="G45" s="350"/>
      <c r="H45" s="577"/>
      <c r="I45" s="577"/>
    </row>
    <row r="46" spans="1:9">
      <c r="A46" s="569">
        <v>45854</v>
      </c>
      <c r="B46" s="490" t="s">
        <v>409</v>
      </c>
      <c r="C46">
        <v>1</v>
      </c>
      <c r="D46" s="362" t="s">
        <v>645</v>
      </c>
      <c r="E46" s="362">
        <f>133+130</f>
        <v>263</v>
      </c>
      <c r="F46" s="362">
        <v>21</v>
      </c>
      <c r="G46">
        <f t="shared" ref="G46" si="23">+E46*F46</f>
        <v>5523</v>
      </c>
      <c r="H46" s="491">
        <f t="shared" ref="H46:H47" si="24">+G46/F46</f>
        <v>263</v>
      </c>
      <c r="I46" s="491">
        <f>+'16'!I38</f>
        <v>44.682000000000002</v>
      </c>
    </row>
    <row r="47" spans="1:9">
      <c r="A47" s="570"/>
      <c r="B47" s="490" t="s">
        <v>425</v>
      </c>
      <c r="C47">
        <v>1</v>
      </c>
      <c r="D47" s="362" t="s">
        <v>440</v>
      </c>
      <c r="E47" s="362">
        <f>140+122.5</f>
        <v>262.5</v>
      </c>
      <c r="F47" s="362">
        <v>45</v>
      </c>
      <c r="G47">
        <f t="shared" ref="G47" si="25">+E47*F47</f>
        <v>11812.5</v>
      </c>
      <c r="H47" s="491">
        <f t="shared" si="24"/>
        <v>262.5</v>
      </c>
      <c r="I47" s="491"/>
    </row>
    <row r="48" spans="1:9" ht="13.5" thickBot="1">
      <c r="A48" s="349"/>
      <c r="B48" s="365"/>
      <c r="C48" s="350"/>
      <c r="D48" s="351"/>
      <c r="E48" s="350"/>
      <c r="F48" s="350"/>
      <c r="G48" s="350"/>
      <c r="H48" s="577"/>
      <c r="I48" s="577"/>
    </row>
    <row r="49" spans="1:9">
      <c r="A49" s="569">
        <v>45855</v>
      </c>
      <c r="B49" s="490" t="s">
        <v>425</v>
      </c>
      <c r="C49">
        <v>1</v>
      </c>
      <c r="D49" s="362" t="s">
        <v>440</v>
      </c>
      <c r="E49" s="362">
        <f>140+122.5</f>
        <v>262.5</v>
      </c>
      <c r="F49" s="362">
        <f>128/2</f>
        <v>64</v>
      </c>
      <c r="G49">
        <f t="shared" ref="G49" si="26">+E49*F49</f>
        <v>16800</v>
      </c>
      <c r="H49" s="491">
        <f t="shared" ref="H49" si="27">+G49/F49</f>
        <v>262.5</v>
      </c>
      <c r="I49" s="491">
        <f>+'17'!I38</f>
        <v>42.198999999999998</v>
      </c>
    </row>
    <row r="50" spans="1:9" ht="13.5" thickBot="1">
      <c r="A50" s="349"/>
      <c r="B50" s="365"/>
      <c r="C50" s="350"/>
      <c r="D50" s="351"/>
      <c r="E50" s="350"/>
      <c r="F50" s="350"/>
      <c r="G50" s="350"/>
      <c r="H50" s="577"/>
      <c r="I50" s="577"/>
    </row>
    <row r="51" spans="1:9">
      <c r="A51" s="569">
        <v>45856</v>
      </c>
      <c r="B51" s="490" t="s">
        <v>425</v>
      </c>
      <c r="C51">
        <v>1</v>
      </c>
      <c r="D51" s="362" t="s">
        <v>440</v>
      </c>
      <c r="E51" s="362">
        <f>140+122.5</f>
        <v>262.5</v>
      </c>
      <c r="F51" s="362">
        <v>12</v>
      </c>
      <c r="G51">
        <f t="shared" ref="G51:G52" si="28">+E51*F51</f>
        <v>3150</v>
      </c>
      <c r="H51" s="491">
        <f t="shared" ref="H51:H52" si="29">+G51/F51</f>
        <v>262.5</v>
      </c>
      <c r="I51" s="491">
        <f>+'18'!I38</f>
        <v>47.164000000000001</v>
      </c>
    </row>
    <row r="52" spans="1:9">
      <c r="A52" s="570"/>
      <c r="B52" s="490" t="s">
        <v>409</v>
      </c>
      <c r="C52">
        <v>1</v>
      </c>
      <c r="D52" s="362" t="s">
        <v>645</v>
      </c>
      <c r="E52" s="362">
        <f>133+130</f>
        <v>263</v>
      </c>
      <c r="F52" s="362">
        <f>124/2</f>
        <v>62</v>
      </c>
      <c r="G52">
        <f t="shared" si="28"/>
        <v>16306</v>
      </c>
      <c r="H52" s="491">
        <f t="shared" si="29"/>
        <v>263</v>
      </c>
      <c r="I52" s="491"/>
    </row>
    <row r="53" spans="1:9" ht="13.5" thickBot="1">
      <c r="A53" s="349"/>
      <c r="B53" s="365"/>
      <c r="C53" s="350"/>
      <c r="D53" s="351"/>
      <c r="E53" s="350"/>
      <c r="F53" s="350"/>
      <c r="G53" s="350"/>
      <c r="H53" s="577"/>
      <c r="I53" s="577"/>
    </row>
    <row r="54" spans="1:9">
      <c r="A54" s="569">
        <v>45857</v>
      </c>
      <c r="B54" s="490" t="s">
        <v>409</v>
      </c>
      <c r="C54">
        <v>1</v>
      </c>
      <c r="D54" s="362" t="s">
        <v>441</v>
      </c>
      <c r="E54" s="362">
        <f>133*2</f>
        <v>266</v>
      </c>
      <c r="F54" s="362">
        <v>30</v>
      </c>
      <c r="G54">
        <f t="shared" ref="G54" si="30">+E54*F54</f>
        <v>7980</v>
      </c>
      <c r="H54" s="491">
        <f>+SUM(F54*E54+F55*E55+F56*E56)/SUM(F54:F56)</f>
        <v>266</v>
      </c>
      <c r="I54" s="491">
        <f>+'19'!I38</f>
        <v>46.22</v>
      </c>
    </row>
    <row r="55" spans="1:9">
      <c r="A55" s="570"/>
      <c r="B55" s="490" t="s">
        <v>409</v>
      </c>
      <c r="C55">
        <v>1</v>
      </c>
      <c r="D55" s="362" t="s">
        <v>675</v>
      </c>
      <c r="E55" s="362">
        <f>266*1</f>
        <v>266</v>
      </c>
      <c r="F55" s="362">
        <f>19+12</f>
        <v>31</v>
      </c>
      <c r="G55">
        <f t="shared" ref="G55" si="31">+E55*F55</f>
        <v>8246</v>
      </c>
      <c r="H55" s="491"/>
      <c r="I55" s="491"/>
    </row>
    <row r="56" spans="1:9" ht="13.5" thickBot="1">
      <c r="A56" s="349"/>
      <c r="B56" s="365"/>
      <c r="C56" s="350"/>
      <c r="D56" s="351"/>
      <c r="E56" s="350"/>
      <c r="F56" s="350"/>
      <c r="G56" s="350"/>
      <c r="H56" s="577"/>
      <c r="I56" s="577"/>
    </row>
    <row r="57" spans="1:9">
      <c r="A57" s="569">
        <v>45858</v>
      </c>
      <c r="B57" s="490" t="s">
        <v>409</v>
      </c>
      <c r="C57">
        <v>1</v>
      </c>
      <c r="D57" s="362" t="s">
        <v>675</v>
      </c>
      <c r="E57" s="362">
        <f>266*1</f>
        <v>266</v>
      </c>
      <c r="F57" s="362">
        <f>20+24+22</f>
        <v>66</v>
      </c>
      <c r="G57">
        <f t="shared" ref="G57" si="32">+E57*F57</f>
        <v>17556</v>
      </c>
      <c r="H57" s="491">
        <f>+SUM(F57*E57+F58*E58+F59*E59)/SUM(F57:F59)</f>
        <v>265.57746478873241</v>
      </c>
      <c r="I57" s="491">
        <f>+'20'!I38</f>
        <v>44.707000000000001</v>
      </c>
    </row>
    <row r="58" spans="1:9">
      <c r="A58" s="570"/>
      <c r="B58" s="490" t="s">
        <v>409</v>
      </c>
      <c r="C58">
        <v>1</v>
      </c>
      <c r="D58" s="362" t="s">
        <v>570</v>
      </c>
      <c r="E58" s="362">
        <f>140+120</f>
        <v>260</v>
      </c>
      <c r="F58" s="362">
        <v>5</v>
      </c>
      <c r="G58">
        <f t="shared" ref="G58" si="33">+E58*F58</f>
        <v>1300</v>
      </c>
      <c r="H58" s="491"/>
      <c r="I58" s="491"/>
    </row>
    <row r="59" spans="1:9" ht="13.5" thickBot="1">
      <c r="A59" s="349"/>
      <c r="B59" s="365"/>
      <c r="C59" s="350"/>
      <c r="D59" s="351"/>
      <c r="E59" s="350"/>
      <c r="F59" s="350"/>
      <c r="G59" s="350"/>
      <c r="H59" s="577"/>
      <c r="I59" s="577"/>
    </row>
    <row r="60" spans="1:9">
      <c r="A60" s="569">
        <v>45859</v>
      </c>
      <c r="B60" s="490" t="s">
        <v>409</v>
      </c>
      <c r="C60">
        <v>1</v>
      </c>
      <c r="D60" s="362" t="s">
        <v>570</v>
      </c>
      <c r="E60" s="362">
        <f>140+120</f>
        <v>260</v>
      </c>
      <c r="F60" s="362">
        <v>89</v>
      </c>
      <c r="G60">
        <f t="shared" ref="G60" si="34">+E60*F60</f>
        <v>23140</v>
      </c>
      <c r="H60" s="491">
        <f t="shared" ref="H60" si="35">+G60/F60</f>
        <v>260</v>
      </c>
      <c r="I60" s="491">
        <f>+'21'!I38</f>
        <v>46.042000000000002</v>
      </c>
    </row>
    <row r="61" spans="1:9" ht="13.5" thickBot="1">
      <c r="A61" s="349"/>
      <c r="B61" s="365"/>
      <c r="C61" s="350"/>
      <c r="D61" s="351"/>
      <c r="E61" s="350"/>
      <c r="F61" s="350"/>
      <c r="G61" s="350"/>
      <c r="H61" s="577"/>
      <c r="I61" s="577"/>
    </row>
    <row r="62" spans="1:9">
      <c r="A62" s="569">
        <v>45860</v>
      </c>
      <c r="B62" s="490" t="s">
        <v>409</v>
      </c>
      <c r="C62">
        <v>1</v>
      </c>
      <c r="D62" s="362" t="s">
        <v>570</v>
      </c>
      <c r="E62" s="362">
        <f>140+120</f>
        <v>260</v>
      </c>
      <c r="F62" s="362">
        <f>26+9</f>
        <v>35</v>
      </c>
      <c r="G62">
        <f t="shared" ref="G62" si="36">+E62*F62</f>
        <v>9100</v>
      </c>
      <c r="H62" s="491">
        <f t="shared" ref="H62" si="37">+G62/F62</f>
        <v>260</v>
      </c>
      <c r="I62" s="491">
        <f>+'22'!I38</f>
        <v>46.715999999999994</v>
      </c>
    </row>
    <row r="63" spans="1:9">
      <c r="A63" s="570"/>
      <c r="B63" s="490" t="s">
        <v>519</v>
      </c>
      <c r="C63">
        <v>1</v>
      </c>
      <c r="D63" s="362" t="s">
        <v>689</v>
      </c>
      <c r="E63" s="362">
        <f>129*2</f>
        <v>258</v>
      </c>
      <c r="F63" s="362">
        <f>96/2</f>
        <v>48</v>
      </c>
      <c r="G63">
        <f t="shared" ref="G63" si="38">+E63*F63</f>
        <v>12384</v>
      </c>
      <c r="H63" s="491">
        <f t="shared" ref="H63" si="39">+G63/F63</f>
        <v>258</v>
      </c>
      <c r="I63" s="491"/>
    </row>
    <row r="64" spans="1:9" ht="13.5" thickBot="1">
      <c r="A64" s="349"/>
      <c r="B64" s="365"/>
      <c r="C64" s="350"/>
      <c r="D64" s="351"/>
      <c r="E64" s="350"/>
      <c r="F64" s="350"/>
      <c r="G64" s="350"/>
      <c r="H64" s="577"/>
      <c r="I64" s="577"/>
    </row>
    <row r="65" spans="1:9">
      <c r="A65" s="569">
        <v>45861</v>
      </c>
      <c r="B65" s="490" t="s">
        <v>519</v>
      </c>
      <c r="C65">
        <v>1</v>
      </c>
      <c r="D65" s="362" t="s">
        <v>441</v>
      </c>
      <c r="E65" s="362">
        <f>133*2</f>
        <v>266</v>
      </c>
      <c r="F65" s="362">
        <f>13+3</f>
        <v>16</v>
      </c>
      <c r="G65">
        <f t="shared" ref="G65" si="40">+E65*F65</f>
        <v>4256</v>
      </c>
      <c r="H65" s="491">
        <f>+SUM(F65*E65+F66*E66)/SUM(F65:F66)</f>
        <v>262.41379310344826</v>
      </c>
      <c r="I65" s="491">
        <f>+'23'!I38</f>
        <v>45.536000000000001</v>
      </c>
    </row>
    <row r="66" spans="1:9">
      <c r="A66" s="570"/>
      <c r="B66" s="490" t="s">
        <v>519</v>
      </c>
      <c r="C66">
        <v>1</v>
      </c>
      <c r="D66" s="362" t="s">
        <v>689</v>
      </c>
      <c r="E66" s="362">
        <f>129*2</f>
        <v>258</v>
      </c>
      <c r="F66" s="362">
        <f>9+4</f>
        <v>13</v>
      </c>
      <c r="G66">
        <f t="shared" ref="G66" si="41">+E66*F66</f>
        <v>3354</v>
      </c>
      <c r="H66" s="491"/>
      <c r="I66" s="491"/>
    </row>
    <row r="67" spans="1:9">
      <c r="A67" s="570"/>
      <c r="B67" s="490" t="s">
        <v>409</v>
      </c>
      <c r="C67">
        <v>1</v>
      </c>
      <c r="D67" s="362" t="s">
        <v>441</v>
      </c>
      <c r="E67" s="362">
        <f>133*2</f>
        <v>266</v>
      </c>
      <c r="F67" s="362">
        <f>9+8+13+1</f>
        <v>31</v>
      </c>
      <c r="G67">
        <f t="shared" ref="G67:G68" si="42">+E67*F67</f>
        <v>8246</v>
      </c>
      <c r="H67" s="491">
        <f t="shared" ref="H67:H68" si="43">+G67/F67</f>
        <v>266</v>
      </c>
      <c r="I67" s="491"/>
    </row>
    <row r="68" spans="1:9">
      <c r="A68" s="570"/>
      <c r="B68" s="490" t="s">
        <v>696</v>
      </c>
      <c r="C68">
        <v>1</v>
      </c>
      <c r="D68" s="362" t="s">
        <v>441</v>
      </c>
      <c r="E68" s="362">
        <f>133*2</f>
        <v>266</v>
      </c>
      <c r="F68" s="362">
        <f>6+5</f>
        <v>11</v>
      </c>
      <c r="G68">
        <f t="shared" si="42"/>
        <v>2926</v>
      </c>
      <c r="H68" s="491">
        <f t="shared" si="43"/>
        <v>266</v>
      </c>
      <c r="I68" s="491"/>
    </row>
    <row r="69" spans="1:9" ht="13.5" thickBot="1">
      <c r="A69" s="349"/>
      <c r="B69" s="365"/>
      <c r="C69" s="350"/>
      <c r="D69" s="351"/>
      <c r="E69" s="350"/>
      <c r="F69" s="350"/>
      <c r="G69" s="350"/>
      <c r="H69" s="577"/>
      <c r="I69" s="577"/>
    </row>
    <row r="70" spans="1:9">
      <c r="A70" s="569">
        <v>45862</v>
      </c>
      <c r="B70" s="490" t="s">
        <v>696</v>
      </c>
      <c r="C70">
        <v>1</v>
      </c>
      <c r="D70" s="362" t="s">
        <v>441</v>
      </c>
      <c r="E70" s="362">
        <f>133*2</f>
        <v>266</v>
      </c>
      <c r="F70" s="362">
        <v>5</v>
      </c>
      <c r="G70">
        <f t="shared" ref="G70" si="44">+E70*F70</f>
        <v>1330</v>
      </c>
      <c r="H70" s="491">
        <f t="shared" ref="H70" si="45">+G70/F70</f>
        <v>266</v>
      </c>
      <c r="I70" s="491">
        <f>+'24'!I38</f>
        <v>50.006</v>
      </c>
    </row>
    <row r="71" spans="1:9">
      <c r="A71" s="570"/>
      <c r="B71" s="490" t="s">
        <v>707</v>
      </c>
      <c r="C71">
        <v>1</v>
      </c>
      <c r="D71" s="362" t="s">
        <v>715</v>
      </c>
      <c r="E71" s="362">
        <f>256.5*1</f>
        <v>256.5</v>
      </c>
      <c r="F71" s="362">
        <f>21+22+3</f>
        <v>46</v>
      </c>
      <c r="G71">
        <f t="shared" ref="G71" si="46">+E71*F71</f>
        <v>11799</v>
      </c>
      <c r="H71" s="491">
        <f t="shared" ref="H71" si="47">+G71/F71</f>
        <v>256.5</v>
      </c>
      <c r="I71" s="491"/>
    </row>
    <row r="72" spans="1:9">
      <c r="A72" s="570"/>
      <c r="B72" s="490" t="s">
        <v>716</v>
      </c>
      <c r="C72">
        <v>1</v>
      </c>
      <c r="D72" s="362" t="s">
        <v>715</v>
      </c>
      <c r="E72" s="362">
        <f>256.5*1</f>
        <v>256.5</v>
      </c>
      <c r="F72" s="362">
        <v>17</v>
      </c>
      <c r="G72">
        <f t="shared" ref="G72" si="48">+E72*F72</f>
        <v>4360.5</v>
      </c>
      <c r="H72" s="491">
        <f t="shared" ref="H72" si="49">+G72/F72</f>
        <v>256.5</v>
      </c>
      <c r="I72" s="491"/>
    </row>
    <row r="73" spans="1:9" ht="13.5" thickBot="1">
      <c r="A73" s="349"/>
      <c r="B73" s="365"/>
      <c r="C73" s="350"/>
      <c r="D73" s="351"/>
      <c r="E73" s="350"/>
      <c r="F73" s="350"/>
      <c r="G73" s="350"/>
      <c r="H73" s="577"/>
      <c r="I73" s="577"/>
    </row>
    <row r="74" spans="1:9">
      <c r="A74" s="569">
        <v>45863</v>
      </c>
      <c r="B74" s="490" t="s">
        <v>716</v>
      </c>
      <c r="C74">
        <v>1</v>
      </c>
      <c r="D74" s="362" t="s">
        <v>715</v>
      </c>
      <c r="E74" s="362">
        <f>256.5*1</f>
        <v>256.5</v>
      </c>
      <c r="F74" s="362">
        <v>18</v>
      </c>
      <c r="G74">
        <f t="shared" ref="G74:G75" si="50">+E74*F74</f>
        <v>4617</v>
      </c>
      <c r="H74" s="491">
        <f>+SUM(F74*E74+F75*E75)/SUM(F74:F75)</f>
        <v>259</v>
      </c>
      <c r="I74" s="491">
        <f>+'22'!I50</f>
        <v>79.8386682563129</v>
      </c>
    </row>
    <row r="75" spans="1:9">
      <c r="A75" s="570"/>
      <c r="B75" s="490" t="s">
        <v>716</v>
      </c>
      <c r="C75">
        <v>1</v>
      </c>
      <c r="D75" s="362" t="s">
        <v>744</v>
      </c>
      <c r="E75" s="362">
        <f>262*1</f>
        <v>262</v>
      </c>
      <c r="F75" s="362">
        <v>15</v>
      </c>
      <c r="G75">
        <f t="shared" si="50"/>
        <v>3930</v>
      </c>
      <c r="H75" s="491"/>
      <c r="I75" s="491"/>
    </row>
    <row r="76" spans="1:9">
      <c r="A76" s="570"/>
      <c r="B76" s="490" t="s">
        <v>734</v>
      </c>
      <c r="C76">
        <v>1</v>
      </c>
      <c r="D76" s="362" t="s">
        <v>715</v>
      </c>
      <c r="E76" s="362">
        <f>256.5*1</f>
        <v>256.5</v>
      </c>
      <c r="F76" s="362">
        <f>1+17</f>
        <v>18</v>
      </c>
      <c r="G76">
        <f t="shared" ref="G76:G77" si="51">+E76*F76</f>
        <v>4617</v>
      </c>
      <c r="H76" s="491">
        <f>+G76/F76</f>
        <v>256.5</v>
      </c>
      <c r="I76" s="491"/>
    </row>
    <row r="77" spans="1:9">
      <c r="A77" s="570"/>
      <c r="B77" s="490" t="s">
        <v>735</v>
      </c>
      <c r="C77">
        <v>1</v>
      </c>
      <c r="D77" s="362" t="s">
        <v>745</v>
      </c>
      <c r="E77" s="362">
        <f>270*1</f>
        <v>270</v>
      </c>
      <c r="F77" s="362">
        <v>4</v>
      </c>
      <c r="G77">
        <f t="shared" si="51"/>
        <v>1080</v>
      </c>
      <c r="H77" s="491">
        <f t="shared" ref="H77:H79" si="52">+G77/F77</f>
        <v>270</v>
      </c>
      <c r="I77" s="491"/>
    </row>
    <row r="78" spans="1:9" ht="13.5" thickBot="1">
      <c r="A78" s="349"/>
      <c r="B78" s="365"/>
      <c r="C78" s="350"/>
      <c r="D78" s="351"/>
      <c r="E78" s="350"/>
      <c r="F78" s="350"/>
      <c r="G78" s="350"/>
      <c r="H78" s="577"/>
      <c r="I78" s="577"/>
    </row>
    <row r="79" spans="1:9">
      <c r="A79" s="569">
        <v>45864</v>
      </c>
      <c r="B79" s="490" t="s">
        <v>735</v>
      </c>
      <c r="C79">
        <v>1</v>
      </c>
      <c r="D79" s="362" t="s">
        <v>745</v>
      </c>
      <c r="E79" s="362">
        <f>270*1</f>
        <v>270</v>
      </c>
      <c r="F79" s="362">
        <v>27</v>
      </c>
      <c r="G79">
        <f t="shared" ref="G79:G81" si="53">+E79*F79</f>
        <v>7290</v>
      </c>
      <c r="H79" s="491">
        <f t="shared" si="52"/>
        <v>270</v>
      </c>
      <c r="I79" s="491">
        <f>+'26'!I38</f>
        <v>56.113</v>
      </c>
    </row>
    <row r="80" spans="1:9">
      <c r="A80" s="570"/>
      <c r="B80" s="490" t="s">
        <v>766</v>
      </c>
      <c r="C80">
        <v>1</v>
      </c>
      <c r="D80" s="362" t="s">
        <v>773</v>
      </c>
      <c r="E80" s="362">
        <f>261*1</f>
        <v>261</v>
      </c>
      <c r="F80" s="362">
        <f>4+4</f>
        <v>8</v>
      </c>
      <c r="G80">
        <f t="shared" si="53"/>
        <v>2088</v>
      </c>
      <c r="H80" s="491">
        <f>+SUM(F80*E80+F81*E81)/SUM(F80:F81)</f>
        <v>268.71428571428572</v>
      </c>
      <c r="I80" s="491"/>
    </row>
    <row r="81" spans="1:9">
      <c r="A81" s="570"/>
      <c r="B81" s="490" t="s">
        <v>766</v>
      </c>
      <c r="C81">
        <v>1</v>
      </c>
      <c r="D81" s="362" t="s">
        <v>745</v>
      </c>
      <c r="E81" s="362">
        <f>270*1</f>
        <v>270</v>
      </c>
      <c r="F81" s="362">
        <f>24+24</f>
        <v>48</v>
      </c>
      <c r="G81">
        <f t="shared" si="53"/>
        <v>12960</v>
      </c>
      <c r="H81" s="491"/>
      <c r="I81" s="491"/>
    </row>
    <row r="82" spans="1:9" ht="13.5" thickBot="1">
      <c r="A82" s="349"/>
      <c r="B82" s="365"/>
      <c r="C82" s="350"/>
      <c r="D82" s="351"/>
      <c r="E82" s="350"/>
      <c r="F82" s="350"/>
      <c r="G82" s="350"/>
      <c r="H82" s="577"/>
      <c r="I82" s="577"/>
    </row>
    <row r="83" spans="1:9">
      <c r="A83" s="569">
        <v>45865</v>
      </c>
      <c r="B83" s="490" t="s">
        <v>766</v>
      </c>
      <c r="C83">
        <v>1</v>
      </c>
      <c r="D83" s="362" t="s">
        <v>773</v>
      </c>
      <c r="E83" s="362">
        <f>261*1</f>
        <v>261</v>
      </c>
      <c r="F83" s="362">
        <v>6</v>
      </c>
      <c r="G83">
        <f t="shared" ref="G83:G84" si="54">+E83*F83</f>
        <v>1566</v>
      </c>
      <c r="H83" s="491">
        <f>+SUM(F83*E83+F84*E84)/SUM(F83:F84)</f>
        <v>269.36470588235295</v>
      </c>
      <c r="I83" s="491">
        <f>+'27'!I38</f>
        <v>55.828000000000003</v>
      </c>
    </row>
    <row r="84" spans="1:9">
      <c r="A84" s="570"/>
      <c r="B84" s="490" t="s">
        <v>766</v>
      </c>
      <c r="C84">
        <v>1</v>
      </c>
      <c r="D84" s="362" t="s">
        <v>745</v>
      </c>
      <c r="E84" s="362">
        <f>270*1</f>
        <v>270</v>
      </c>
      <c r="F84" s="362">
        <f>85-6</f>
        <v>79</v>
      </c>
      <c r="G84">
        <f t="shared" si="54"/>
        <v>21330</v>
      </c>
      <c r="H84" s="491"/>
      <c r="I84" s="491"/>
    </row>
    <row r="85" spans="1:9" ht="13.5" thickBot="1">
      <c r="A85" s="349"/>
      <c r="B85" s="365"/>
      <c r="C85" s="350"/>
      <c r="D85" s="351"/>
      <c r="E85" s="350"/>
      <c r="F85" s="350"/>
      <c r="G85" s="350"/>
      <c r="H85" s="577"/>
      <c r="I85" s="577"/>
    </row>
    <row r="86" spans="1:9">
      <c r="A86" s="569">
        <v>45866</v>
      </c>
      <c r="B86" s="490" t="s">
        <v>735</v>
      </c>
      <c r="C86">
        <v>1</v>
      </c>
      <c r="D86" s="362" t="s">
        <v>745</v>
      </c>
      <c r="E86" s="362">
        <f>270*1</f>
        <v>270</v>
      </c>
      <c r="F86" s="362">
        <v>1</v>
      </c>
      <c r="G86">
        <f t="shared" ref="G86" si="55">+E86*F86</f>
        <v>270</v>
      </c>
      <c r="H86" s="491">
        <f>+G86/F86</f>
        <v>270</v>
      </c>
      <c r="I86" s="491">
        <f>+'28'!I38</f>
        <v>55.852999999999994</v>
      </c>
    </row>
    <row r="87" spans="1:9">
      <c r="A87" s="570"/>
      <c r="B87" s="490" t="s">
        <v>766</v>
      </c>
      <c r="C87">
        <v>1</v>
      </c>
      <c r="D87" s="362" t="s">
        <v>773</v>
      </c>
      <c r="E87" s="362">
        <f>261*1</f>
        <v>261</v>
      </c>
      <c r="F87" s="362">
        <v>8</v>
      </c>
      <c r="G87">
        <f t="shared" ref="G87:G88" si="56">+E87*F87</f>
        <v>2088</v>
      </c>
      <c r="H87" s="491">
        <f>+SUM(F87*E87+F88*E88)/SUM(F87:F88)</f>
        <v>269.18181818181819</v>
      </c>
      <c r="I87" s="491"/>
    </row>
    <row r="88" spans="1:9">
      <c r="A88" s="570"/>
      <c r="B88" s="490" t="s">
        <v>766</v>
      </c>
      <c r="C88">
        <v>1</v>
      </c>
      <c r="D88" s="362" t="s">
        <v>745</v>
      </c>
      <c r="E88" s="362">
        <f>270*1</f>
        <v>270</v>
      </c>
      <c r="F88" s="362">
        <f>89-F86-F87</f>
        <v>80</v>
      </c>
      <c r="G88">
        <f t="shared" si="56"/>
        <v>21600</v>
      </c>
      <c r="H88" s="491"/>
      <c r="I88" s="491"/>
    </row>
    <row r="89" spans="1:9" ht="13.5" thickBot="1">
      <c r="A89" s="599"/>
      <c r="B89" s="365"/>
      <c r="C89" s="350"/>
      <c r="D89" s="351"/>
      <c r="E89" s="350"/>
      <c r="F89" s="350"/>
      <c r="G89" s="350"/>
      <c r="H89" s="577"/>
      <c r="I89" s="577"/>
    </row>
    <row r="90" spans="1:9">
      <c r="A90" s="570">
        <v>45867</v>
      </c>
      <c r="B90" s="490" t="s">
        <v>766</v>
      </c>
      <c r="C90">
        <v>1</v>
      </c>
      <c r="D90" s="362" t="s">
        <v>773</v>
      </c>
      <c r="E90" s="362">
        <f>261*1</f>
        <v>261</v>
      </c>
      <c r="F90" s="362">
        <f>7+22</f>
        <v>29</v>
      </c>
      <c r="G90">
        <f t="shared" ref="G90:G91" si="57">+E90*F90</f>
        <v>7569</v>
      </c>
      <c r="H90" s="491">
        <f>+SUM(F90*E90+F91*E91)/SUM(F90:F91)</f>
        <v>266.77777777777777</v>
      </c>
      <c r="I90" s="491">
        <f>+'29'!I38</f>
        <v>55.658999999999999</v>
      </c>
    </row>
    <row r="91" spans="1:9">
      <c r="A91" s="570"/>
      <c r="B91" s="490" t="s">
        <v>766</v>
      </c>
      <c r="C91">
        <v>1</v>
      </c>
      <c r="D91" s="362" t="s">
        <v>745</v>
      </c>
      <c r="E91" s="362">
        <f>270*1</f>
        <v>270</v>
      </c>
      <c r="F91" s="362">
        <f>81-F90</f>
        <v>52</v>
      </c>
      <c r="G91">
        <f t="shared" si="57"/>
        <v>14040</v>
      </c>
      <c r="H91" s="491"/>
      <c r="I91" s="491"/>
    </row>
    <row r="92" spans="1:9" ht="13.5" thickBot="1">
      <c r="A92" s="349"/>
      <c r="B92" s="365"/>
      <c r="C92" s="350"/>
      <c r="D92" s="351"/>
      <c r="E92" s="350"/>
      <c r="F92" s="350"/>
      <c r="G92" s="350"/>
      <c r="H92" s="577"/>
      <c r="I92" s="577"/>
    </row>
    <row r="93" spans="1:9">
      <c r="A93" s="570">
        <v>45868</v>
      </c>
      <c r="B93" s="490" t="s">
        <v>766</v>
      </c>
      <c r="C93">
        <v>1</v>
      </c>
      <c r="D93" s="362" t="s">
        <v>773</v>
      </c>
      <c r="E93" s="362">
        <f>261*1</f>
        <v>261</v>
      </c>
      <c r="F93" s="362">
        <f>1+8+8</f>
        <v>17</v>
      </c>
      <c r="G93">
        <f t="shared" ref="G93:G94" si="58">+E93*F93</f>
        <v>4437</v>
      </c>
      <c r="H93" s="491">
        <f>+SUM(F93*E93+F94*E94)/SUM(F93:F94)</f>
        <v>268.03846153846155</v>
      </c>
      <c r="I93" s="491">
        <f>+'30'!I38</f>
        <v>55.137</v>
      </c>
    </row>
    <row r="94" spans="1:9">
      <c r="A94" s="570"/>
      <c r="B94" s="490" t="s">
        <v>766</v>
      </c>
      <c r="C94">
        <v>1</v>
      </c>
      <c r="D94" s="362" t="s">
        <v>745</v>
      </c>
      <c r="E94" s="362">
        <f>270*1</f>
        <v>270</v>
      </c>
      <c r="F94" s="362">
        <f>20+3+20+10+8</f>
        <v>61</v>
      </c>
      <c r="G94">
        <f t="shared" si="58"/>
        <v>16470</v>
      </c>
      <c r="H94" s="491"/>
      <c r="I94" s="491"/>
    </row>
    <row r="95" spans="1:9" ht="13.5" thickBot="1">
      <c r="A95" s="349"/>
      <c r="B95" s="365"/>
      <c r="C95" s="350"/>
      <c r="D95" s="351"/>
      <c r="E95" s="350"/>
      <c r="F95" s="350"/>
      <c r="G95" s="350"/>
      <c r="H95" s="577"/>
      <c r="I95" s="577"/>
    </row>
    <row r="96" spans="1:9">
      <c r="A96" s="569">
        <v>45869</v>
      </c>
      <c r="B96" s="490" t="s">
        <v>766</v>
      </c>
      <c r="C96">
        <v>1</v>
      </c>
      <c r="D96" s="362" t="s">
        <v>773</v>
      </c>
      <c r="E96" s="362">
        <f>261*1</f>
        <v>261</v>
      </c>
      <c r="F96" s="362">
        <v>84</v>
      </c>
      <c r="G96">
        <f t="shared" ref="G96" si="59">+E96*F96</f>
        <v>21924</v>
      </c>
      <c r="H96" s="491">
        <f t="shared" ref="H96" si="60">+G96/F96</f>
        <v>261</v>
      </c>
      <c r="I96" s="491">
        <f>+'31'!I38</f>
        <v>53.825999999999993</v>
      </c>
    </row>
    <row r="97" spans="1:9">
      <c r="A97" s="570"/>
      <c r="B97" s="490" t="s">
        <v>811</v>
      </c>
      <c r="C97">
        <v>1</v>
      </c>
      <c r="D97" s="362" t="s">
        <v>715</v>
      </c>
      <c r="E97" s="362">
        <f>256.5*1</f>
        <v>256.5</v>
      </c>
      <c r="F97" s="362">
        <v>0</v>
      </c>
      <c r="G97">
        <f>+E97</f>
        <v>256.5</v>
      </c>
      <c r="H97" s="491">
        <f>+E97</f>
        <v>256.5</v>
      </c>
      <c r="I97" s="491"/>
    </row>
    <row r="98" spans="1:9" ht="13.5" thickBot="1">
      <c r="A98" s="349"/>
      <c r="B98" s="365"/>
      <c r="C98" s="350"/>
      <c r="D98" s="351"/>
      <c r="E98" s="350"/>
      <c r="F98" s="350"/>
      <c r="G98" s="350"/>
      <c r="H98" s="577"/>
      <c r="I98" s="577"/>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S190"/>
  <sheetViews>
    <sheetView zoomScale="90" zoomScaleNormal="90" workbookViewId="0">
      <pane xSplit="6" ySplit="6" topLeftCell="R142" activePane="bottomRight" state="frozen"/>
      <selection pane="topRight" activeCell="F1" sqref="F1"/>
      <selection pane="bottomLeft" activeCell="A7" sqref="A7"/>
      <selection pane="bottomRight" activeCell="B177" sqref="B177"/>
    </sheetView>
  </sheetViews>
  <sheetFormatPr defaultColWidth="10.28515625" defaultRowHeight="12"/>
  <cols>
    <col min="1" max="1" width="12.28515625" style="31" customWidth="1"/>
    <col min="2" max="3" width="14.140625" style="31" customWidth="1"/>
    <col min="4" max="4" width="10.28515625" style="31" customWidth="1"/>
    <col min="5" max="5" width="7.5703125" style="31" bestFit="1" customWidth="1"/>
    <col min="6" max="6" width="7" style="56" customWidth="1"/>
    <col min="7" max="9" width="10.28515625" style="31" customWidth="1"/>
    <col min="10" max="11" width="10.28515625" style="85" customWidth="1"/>
    <col min="12" max="13" width="12.7109375" style="57" customWidth="1"/>
    <col min="14" max="15" width="10.28515625" style="31" customWidth="1"/>
    <col min="16" max="16" width="16.85546875" style="31" bestFit="1" customWidth="1"/>
    <col min="17" max="17" width="12.7109375" style="317"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7" width="10.28515625" style="31" customWidth="1"/>
    <col min="28" max="28" width="19.7109375" style="31" bestFit="1" customWidth="1"/>
    <col min="29" max="29" width="12" style="31" customWidth="1"/>
    <col min="30" max="30" width="11.42578125" style="31" bestFit="1" customWidth="1"/>
    <col min="31" max="31" width="52.5703125" style="31" customWidth="1"/>
    <col min="32" max="36" width="10.28515625" style="31" customWidth="1"/>
    <col min="37" max="37" width="11.85546875" style="31" customWidth="1"/>
    <col min="38" max="39" width="11.7109375" style="31" customWidth="1"/>
    <col min="40" max="41" width="10.28515625" style="31" customWidth="1"/>
    <col min="42" max="42" width="12.42578125" style="31" customWidth="1"/>
    <col min="43" max="43" width="12.5703125" style="31" customWidth="1"/>
    <col min="44" max="44" width="29.7109375" style="31" customWidth="1"/>
    <col min="45" max="51" width="10.28515625" style="31" customWidth="1"/>
    <col min="52" max="52" width="13.85546875" style="31" customWidth="1"/>
    <col min="53" max="53" width="10.28515625" style="31" customWidth="1"/>
    <col min="54" max="16384" width="10.28515625" style="31"/>
  </cols>
  <sheetData>
    <row r="1" spans="1:58" s="24" customFormat="1" ht="15.75">
      <c r="A1" s="23" t="s">
        <v>235</v>
      </c>
      <c r="G1" s="25"/>
      <c r="H1" s="25"/>
      <c r="I1" s="25"/>
      <c r="J1" s="82"/>
      <c r="K1" s="82"/>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2"/>
      <c r="G2" s="25"/>
      <c r="H2" s="25"/>
      <c r="I2" s="25"/>
      <c r="J2" s="82"/>
      <c r="K2" s="82"/>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62" t="s">
        <v>9</v>
      </c>
      <c r="B3" s="662" t="s">
        <v>10</v>
      </c>
      <c r="C3" s="662" t="s">
        <v>206</v>
      </c>
      <c r="D3" s="662" t="s">
        <v>103</v>
      </c>
      <c r="E3" s="662" t="s">
        <v>104</v>
      </c>
      <c r="F3" s="662" t="s">
        <v>105</v>
      </c>
      <c r="G3" s="688" t="s">
        <v>106</v>
      </c>
      <c r="H3" s="689"/>
      <c r="I3" s="689"/>
      <c r="J3" s="689"/>
      <c r="K3" s="690"/>
      <c r="L3" s="668" t="s">
        <v>107</v>
      </c>
      <c r="M3" s="669"/>
      <c r="N3" s="670"/>
      <c r="O3" s="674" t="s">
        <v>108</v>
      </c>
      <c r="P3" s="678" t="s">
        <v>120</v>
      </c>
      <c r="Q3" s="674" t="s">
        <v>109</v>
      </c>
      <c r="R3" s="676" t="s">
        <v>110</v>
      </c>
      <c r="S3" s="676" t="s">
        <v>111</v>
      </c>
      <c r="T3" s="662" t="s">
        <v>164</v>
      </c>
      <c r="U3" s="662" t="s">
        <v>163</v>
      </c>
      <c r="V3" s="662" t="s">
        <v>165</v>
      </c>
      <c r="W3" s="676" t="s">
        <v>155</v>
      </c>
      <c r="X3" s="664" t="s">
        <v>113</v>
      </c>
      <c r="Y3" s="664" t="s">
        <v>303</v>
      </c>
      <c r="Z3" s="676" t="s">
        <v>114</v>
      </c>
      <c r="AA3" s="662" t="s">
        <v>166</v>
      </c>
      <c r="AB3" s="662" t="s">
        <v>177</v>
      </c>
      <c r="AC3" s="662" t="s">
        <v>175</v>
      </c>
      <c r="AD3" s="662" t="s">
        <v>138</v>
      </c>
      <c r="AE3" s="662" t="s">
        <v>139</v>
      </c>
      <c r="AF3" s="698" t="s">
        <v>140</v>
      </c>
      <c r="AG3" s="698"/>
      <c r="AH3" s="698"/>
      <c r="AI3" s="698"/>
      <c r="AJ3" s="698"/>
      <c r="AK3" s="698"/>
      <c r="AL3" s="698"/>
      <c r="AM3" s="681" t="s">
        <v>141</v>
      </c>
      <c r="AN3" s="700" t="s">
        <v>115</v>
      </c>
      <c r="AO3" s="700"/>
      <c r="AP3" s="700"/>
      <c r="AQ3" s="700"/>
      <c r="AR3" s="700"/>
      <c r="AS3" s="701" t="s">
        <v>116</v>
      </c>
      <c r="AT3" s="694" t="s">
        <v>238</v>
      </c>
      <c r="AU3" s="695"/>
      <c r="AV3" s="703" t="s">
        <v>142</v>
      </c>
      <c r="AW3" s="704"/>
      <c r="AX3" s="705" t="s">
        <v>142</v>
      </c>
      <c r="AY3" s="706"/>
      <c r="AZ3" s="707" t="s">
        <v>313</v>
      </c>
      <c r="BA3" s="684" t="s">
        <v>117</v>
      </c>
      <c r="BB3" s="658" t="s">
        <v>118</v>
      </c>
      <c r="BC3" s="658" t="s">
        <v>119</v>
      </c>
      <c r="BD3" s="652" t="s">
        <v>414</v>
      </c>
      <c r="BE3" s="655" t="s">
        <v>415</v>
      </c>
      <c r="BF3" s="658" t="s">
        <v>416</v>
      </c>
    </row>
    <row r="4" spans="1:58" ht="12" customHeight="1">
      <c r="A4" s="663"/>
      <c r="B4" s="663"/>
      <c r="C4" s="663"/>
      <c r="D4" s="663"/>
      <c r="E4" s="663"/>
      <c r="F4" s="663"/>
      <c r="G4" s="691"/>
      <c r="H4" s="692"/>
      <c r="I4" s="692"/>
      <c r="J4" s="692"/>
      <c r="K4" s="693"/>
      <c r="L4" s="671"/>
      <c r="M4" s="672"/>
      <c r="N4" s="673"/>
      <c r="O4" s="675"/>
      <c r="P4" s="679"/>
      <c r="Q4" s="675"/>
      <c r="R4" s="677"/>
      <c r="S4" s="677"/>
      <c r="T4" s="663"/>
      <c r="U4" s="663"/>
      <c r="V4" s="663"/>
      <c r="W4" s="677"/>
      <c r="X4" s="665"/>
      <c r="Y4" s="665"/>
      <c r="Z4" s="677"/>
      <c r="AA4" s="663"/>
      <c r="AB4" s="663"/>
      <c r="AC4" s="663"/>
      <c r="AD4" s="663"/>
      <c r="AE4" s="663"/>
      <c r="AF4" s="685" t="s">
        <v>143</v>
      </c>
      <c r="AG4" s="686"/>
      <c r="AH4" s="687"/>
      <c r="AI4" s="679" t="s">
        <v>230</v>
      </c>
      <c r="AJ4" s="679" t="s">
        <v>16</v>
      </c>
      <c r="AK4" s="679" t="s">
        <v>144</v>
      </c>
      <c r="AL4" s="679" t="s">
        <v>19</v>
      </c>
      <c r="AM4" s="682"/>
      <c r="AN4" s="699" t="s">
        <v>121</v>
      </c>
      <c r="AO4" s="699" t="s">
        <v>16</v>
      </c>
      <c r="AP4" s="699" t="s">
        <v>122</v>
      </c>
      <c r="AQ4" s="699" t="s">
        <v>19</v>
      </c>
      <c r="AR4" s="684" t="s">
        <v>123</v>
      </c>
      <c r="AS4" s="701"/>
      <c r="AT4" s="696"/>
      <c r="AU4" s="697"/>
      <c r="AV4" s="496" t="s">
        <v>7</v>
      </c>
      <c r="AW4" s="496" t="s">
        <v>145</v>
      </c>
      <c r="AX4" s="497" t="s">
        <v>7</v>
      </c>
      <c r="AY4" s="498" t="s">
        <v>145</v>
      </c>
      <c r="AZ4" s="708"/>
      <c r="BA4" s="684"/>
      <c r="BB4" s="658"/>
      <c r="BC4" s="658"/>
      <c r="BD4" s="653"/>
      <c r="BE4" s="656"/>
      <c r="BF4" s="658"/>
    </row>
    <row r="5" spans="1:58" s="34" customFormat="1" ht="48">
      <c r="A5" s="663"/>
      <c r="B5" s="663"/>
      <c r="C5" s="667"/>
      <c r="D5" s="663"/>
      <c r="E5" s="663"/>
      <c r="F5" s="663"/>
      <c r="G5" s="480" t="s">
        <v>124</v>
      </c>
      <c r="H5" s="479" t="s">
        <v>125</v>
      </c>
      <c r="I5" s="32" t="s">
        <v>126</v>
      </c>
      <c r="J5" s="83" t="s">
        <v>127</v>
      </c>
      <c r="K5" s="83" t="s">
        <v>112</v>
      </c>
      <c r="L5" s="33" t="s">
        <v>128</v>
      </c>
      <c r="M5" s="33" t="s">
        <v>129</v>
      </c>
      <c r="N5" s="479" t="s">
        <v>130</v>
      </c>
      <c r="O5" s="675"/>
      <c r="P5" s="680"/>
      <c r="Q5" s="675"/>
      <c r="R5" s="677"/>
      <c r="S5" s="677"/>
      <c r="T5" s="663"/>
      <c r="U5" s="663"/>
      <c r="V5" s="663"/>
      <c r="W5" s="677"/>
      <c r="X5" s="665"/>
      <c r="Y5" s="666"/>
      <c r="Z5" s="677"/>
      <c r="AA5" s="663"/>
      <c r="AB5" s="667"/>
      <c r="AC5" s="663"/>
      <c r="AD5" s="667"/>
      <c r="AE5" s="663"/>
      <c r="AF5" s="410" t="s">
        <v>223</v>
      </c>
      <c r="AG5" s="500" t="s">
        <v>224</v>
      </c>
      <c r="AH5" s="500" t="s">
        <v>225</v>
      </c>
      <c r="AI5" s="680"/>
      <c r="AJ5" s="680"/>
      <c r="AK5" s="680"/>
      <c r="AL5" s="680"/>
      <c r="AM5" s="683"/>
      <c r="AN5" s="678"/>
      <c r="AO5" s="678"/>
      <c r="AP5" s="678"/>
      <c r="AQ5" s="678"/>
      <c r="AR5" s="676"/>
      <c r="AS5" s="702"/>
      <c r="AT5" s="501" t="s">
        <v>300</v>
      </c>
      <c r="AU5" s="501" t="s">
        <v>301</v>
      </c>
      <c r="AV5" s="499" t="s">
        <v>302</v>
      </c>
      <c r="AW5" s="499" t="s">
        <v>302</v>
      </c>
      <c r="AX5" s="497" t="s">
        <v>18</v>
      </c>
      <c r="AY5" s="497" t="s">
        <v>18</v>
      </c>
      <c r="AZ5" s="709"/>
      <c r="BA5" s="676"/>
      <c r="BB5" s="662"/>
      <c r="BC5" s="662"/>
      <c r="BD5" s="654"/>
      <c r="BE5" s="657"/>
      <c r="BF5" s="659"/>
    </row>
    <row r="6" spans="1:58" ht="12.95" customHeight="1">
      <c r="A6" s="42">
        <f>+Report1!A9</f>
        <v>45839</v>
      </c>
      <c r="B6" s="43" t="s">
        <v>8</v>
      </c>
      <c r="C6" s="398">
        <f>(M6*E6*O6*Q6)/100000000</f>
        <v>14.994771120000003</v>
      </c>
      <c r="D6" s="43" t="s">
        <v>307</v>
      </c>
      <c r="E6" s="44">
        <v>12</v>
      </c>
      <c r="F6" s="44">
        <v>1</v>
      </c>
      <c r="G6" s="411">
        <v>1350</v>
      </c>
      <c r="H6" s="46">
        <v>0.23</v>
      </c>
      <c r="I6" s="47">
        <v>0.88</v>
      </c>
      <c r="J6" s="84">
        <f>E6*G6*(1-H6)*1440/1000000*2.74</f>
        <v>49.217414400000003</v>
      </c>
      <c r="K6" s="84">
        <f>(IF(G6&lt;L6,L6,G6)*(1-IF(H6&lt;N6,H6,N6))*E6*O6*Q6)/100000000</f>
        <v>15.9268032</v>
      </c>
      <c r="L6" s="37">
        <v>1296.25</v>
      </c>
      <c r="M6" s="37">
        <v>978.66875000000005</v>
      </c>
      <c r="N6" s="48">
        <f>1-(M6/L6)</f>
        <v>0.245</v>
      </c>
      <c r="O6" s="49">
        <f>+'Trim Rwd'!H4</f>
        <v>266</v>
      </c>
      <c r="P6" s="50">
        <f>O6*(Q6-R6-S6)</f>
        <v>54530</v>
      </c>
      <c r="Q6" s="49">
        <f>240+240</f>
        <v>480</v>
      </c>
      <c r="R6" s="367">
        <v>240</v>
      </c>
      <c r="S6" s="367">
        <v>35</v>
      </c>
      <c r="T6" s="39">
        <f>E6*M6*O6*Q6/100000000</f>
        <v>14.994771120000003</v>
      </c>
      <c r="U6" s="39">
        <f>E6*M6*O6*(Q6-R6-S6)/100000000</f>
        <v>6.4040168325000009</v>
      </c>
      <c r="V6" s="39">
        <f>E6*G6*(1-N6)*O6/100*(R6+S6)/1000000</f>
        <v>8.9469764999999999</v>
      </c>
      <c r="W6" s="39">
        <f>+'1'!K7/1000</f>
        <v>10.598000000000001</v>
      </c>
      <c r="X6" s="366">
        <f>SUM(W6:W9)/SUM(K6:K9)</f>
        <v>0.43564257949291446</v>
      </c>
      <c r="Y6" s="39">
        <v>0</v>
      </c>
      <c r="Z6" s="39">
        <f>+'1'!D34/1000</f>
        <v>0</v>
      </c>
      <c r="AA6" s="51">
        <f>SUM(U6:U9)-SUM(W6:W9)-SUM(Z6:Z9)-SUM(Y6:Y9)</f>
        <v>6.9228950942131817</v>
      </c>
      <c r="AB6" s="51">
        <f>(SUM(K6:K9)-SUM(W6:W9)-SUM(Y6:Y9)-SUM(Z6:Z9)-SUM(AC6:AC9)-SUM(V6:V9))-AA6</f>
        <v>2.2526502445368237</v>
      </c>
      <c r="AC6" s="39">
        <f>K6-T6</f>
        <v>0.93203207999999726</v>
      </c>
      <c r="AD6" s="39">
        <f>+AM6+BA6</f>
        <v>80</v>
      </c>
      <c r="AE6" s="228" t="s">
        <v>589</v>
      </c>
      <c r="AF6" s="39">
        <v>80</v>
      </c>
      <c r="AG6" s="39"/>
      <c r="AH6" s="39"/>
      <c r="AI6" s="39"/>
      <c r="AJ6" s="39"/>
      <c r="AK6" s="39"/>
      <c r="AL6" s="39"/>
      <c r="AM6" s="39">
        <f>SUM(AF6:AL6)+AT6+AV6+AX6</f>
        <v>80</v>
      </c>
      <c r="AN6" s="39"/>
      <c r="AO6" s="39"/>
      <c r="AP6" s="39"/>
      <c r="AQ6" s="39"/>
      <c r="AR6" s="39">
        <f>SUM(AN6:AQ6)</f>
        <v>0</v>
      </c>
      <c r="AS6" s="39"/>
      <c r="AT6" s="39"/>
      <c r="AU6" s="39"/>
      <c r="AV6" s="39"/>
      <c r="AW6" s="39"/>
      <c r="AX6" s="39"/>
      <c r="AY6" s="39"/>
      <c r="AZ6" s="39"/>
      <c r="BA6" s="39">
        <f>+AR6+AS6+AU6+AW6+AY6+AZ6</f>
        <v>0</v>
      </c>
      <c r="BB6" s="35">
        <v>15</v>
      </c>
      <c r="BC6" s="53"/>
      <c r="BD6" s="53">
        <v>1</v>
      </c>
      <c r="BE6" s="35"/>
      <c r="BF6" s="53"/>
    </row>
    <row r="7" spans="1:58" ht="12.95" customHeight="1">
      <c r="A7" s="42"/>
      <c r="B7" s="43" t="s">
        <v>8</v>
      </c>
      <c r="C7" s="398">
        <f>(M7*E7*O7*Q7)/100000000</f>
        <v>26.735646997624702</v>
      </c>
      <c r="D7" s="43" t="s">
        <v>307</v>
      </c>
      <c r="E7" s="44">
        <v>11.5</v>
      </c>
      <c r="F7" s="44">
        <v>1</v>
      </c>
      <c r="G7" s="411">
        <v>1350</v>
      </c>
      <c r="H7" s="46">
        <v>0.23</v>
      </c>
      <c r="I7" s="47">
        <v>0.88</v>
      </c>
      <c r="J7" s="84">
        <f>E7*G7*(1-H7)*1440/1000000*2.74</f>
        <v>47.16668880000001</v>
      </c>
      <c r="K7" s="84">
        <f>(IF(G7&lt;L7,L7,G7)*(1-IF(H7&lt;N7,H7,N7))*E7*O7*Q7)/100000000</f>
        <v>30.12471</v>
      </c>
      <c r="L7" s="37">
        <v>1198.1235154394299</v>
      </c>
      <c r="M7" s="37">
        <v>922.55510688836102</v>
      </c>
      <c r="N7" s="48">
        <f>1-(M7/L7)</f>
        <v>0.22999999999999998</v>
      </c>
      <c r="O7" s="49">
        <f>+'Trim Rwd'!H5</f>
        <v>262.5</v>
      </c>
      <c r="P7" s="50">
        <f>O7*(Q7-R7-S7)</f>
        <v>193987.5</v>
      </c>
      <c r="Q7" s="49">
        <f>842+118</f>
        <v>960</v>
      </c>
      <c r="R7" s="367">
        <v>118</v>
      </c>
      <c r="S7" s="367">
        <f>50+23+30</f>
        <v>103</v>
      </c>
      <c r="T7" s="39">
        <f>E7*M7*O7*Q7/100000000</f>
        <v>26.735646997624702</v>
      </c>
      <c r="U7" s="39">
        <f>E7*M7*O7*(Q7-R7-S7)/100000000</f>
        <v>20.580878261713181</v>
      </c>
      <c r="V7" s="39">
        <f>E7*G7*(1-N7)*O7/100*(R7+S7)/1000000</f>
        <v>6.9349592812500003</v>
      </c>
      <c r="W7" s="39">
        <f>+'1'!K8/1000</f>
        <v>9.4640000000000004</v>
      </c>
      <c r="X7" s="40"/>
      <c r="Y7" s="211"/>
      <c r="Z7" s="39"/>
      <c r="AA7" s="39"/>
      <c r="AB7" s="39"/>
      <c r="AC7" s="39"/>
      <c r="AD7" s="39">
        <f t="shared" ref="AD7:AD8" si="0">+AM7+BA7</f>
        <v>15</v>
      </c>
      <c r="AE7" s="228" t="s">
        <v>403</v>
      </c>
      <c r="AF7" s="39"/>
      <c r="AG7" s="39">
        <v>15</v>
      </c>
      <c r="AH7" s="39"/>
      <c r="AI7" s="39"/>
      <c r="AJ7" s="39"/>
      <c r="AK7" s="39"/>
      <c r="AL7" s="39"/>
      <c r="AM7" s="39">
        <f t="shared" ref="AM7:AM8" si="1">SUM(AF7:AL7)+AT7+AV7+AX7</f>
        <v>15</v>
      </c>
      <c r="AN7" s="85"/>
      <c r="AO7" s="39"/>
      <c r="AP7" s="39"/>
      <c r="AQ7" s="39"/>
      <c r="AR7" s="39">
        <f t="shared" ref="AR7:AR8" si="2">SUM(AN7:AQ7)</f>
        <v>0</v>
      </c>
      <c r="AS7" s="39"/>
      <c r="AT7" s="39"/>
      <c r="AU7" s="39"/>
      <c r="AV7" s="39"/>
      <c r="AW7" s="39"/>
      <c r="AX7" s="39"/>
      <c r="AY7" s="39"/>
      <c r="AZ7" s="39"/>
      <c r="BA7" s="39">
        <f t="shared" ref="BA7:BA8" si="3">+AR7+AS7+AU7+AW7+AY7+AZ7</f>
        <v>0</v>
      </c>
      <c r="BB7" s="52"/>
      <c r="BC7" s="53">
        <v>12</v>
      </c>
      <c r="BD7" s="53"/>
      <c r="BE7" s="52"/>
      <c r="BF7" s="53"/>
    </row>
    <row r="8" spans="1:58" ht="12.95" customHeight="1">
      <c r="A8" s="42"/>
      <c r="B8" s="43"/>
      <c r="C8" s="398"/>
      <c r="D8" s="43"/>
      <c r="E8" s="44"/>
      <c r="F8" s="44"/>
      <c r="G8" s="45"/>
      <c r="H8" s="46"/>
      <c r="I8" s="47"/>
      <c r="J8" s="84"/>
      <c r="K8" s="84"/>
      <c r="L8" s="37"/>
      <c r="M8" s="37"/>
      <c r="N8" s="48"/>
      <c r="O8" s="49"/>
      <c r="P8" s="50"/>
      <c r="Q8" s="49"/>
      <c r="R8" s="367"/>
      <c r="S8" s="367"/>
      <c r="T8" s="39"/>
      <c r="U8" s="39"/>
      <c r="V8" s="39"/>
      <c r="W8" s="39"/>
      <c r="X8" s="40"/>
      <c r="Y8" s="211"/>
      <c r="Z8" s="39"/>
      <c r="AA8" s="39"/>
      <c r="AB8" s="39"/>
      <c r="AC8" s="39"/>
      <c r="AD8" s="39">
        <f t="shared" si="0"/>
        <v>43</v>
      </c>
      <c r="AE8" s="228" t="s">
        <v>404</v>
      </c>
      <c r="AF8" s="35"/>
      <c r="AG8" s="35"/>
      <c r="AH8" s="35">
        <v>43</v>
      </c>
      <c r="AI8" s="35"/>
      <c r="AJ8" s="39"/>
      <c r="AK8" s="39"/>
      <c r="AL8" s="39"/>
      <c r="AM8" s="39">
        <f t="shared" si="1"/>
        <v>43</v>
      </c>
      <c r="AN8" s="39"/>
      <c r="AO8" s="39"/>
      <c r="AP8" s="39"/>
      <c r="AQ8" s="39"/>
      <c r="AR8" s="39">
        <f t="shared" si="2"/>
        <v>0</v>
      </c>
      <c r="AS8" s="39"/>
      <c r="AT8" s="39"/>
      <c r="AU8" s="39"/>
      <c r="AV8" s="39"/>
      <c r="AW8" s="39"/>
      <c r="AX8" s="39"/>
      <c r="AY8" s="39"/>
      <c r="AZ8" s="39"/>
      <c r="BA8" s="39">
        <f t="shared" si="3"/>
        <v>0</v>
      </c>
      <c r="BB8" s="35"/>
      <c r="BC8" s="482"/>
      <c r="BD8" s="482"/>
      <c r="BE8" s="35"/>
      <c r="BF8" s="482"/>
    </row>
    <row r="9" spans="1:58" ht="12.95" customHeight="1">
      <c r="A9" s="42"/>
      <c r="B9" s="43"/>
      <c r="C9" s="398"/>
      <c r="D9" s="43"/>
      <c r="E9" s="44"/>
      <c r="F9" s="44"/>
      <c r="G9" s="45"/>
      <c r="H9" s="46"/>
      <c r="I9" s="47"/>
      <c r="J9" s="84"/>
      <c r="K9" s="84"/>
      <c r="L9" s="37"/>
      <c r="M9" s="37"/>
      <c r="N9" s="48"/>
      <c r="O9" s="49"/>
      <c r="P9" s="50"/>
      <c r="Q9" s="49"/>
      <c r="R9" s="367"/>
      <c r="S9" s="367"/>
      <c r="T9" s="39"/>
      <c r="U9" s="39"/>
      <c r="V9" s="39"/>
      <c r="W9" s="39"/>
      <c r="X9" s="40"/>
      <c r="Y9" s="211"/>
      <c r="Z9" s="39"/>
      <c r="AA9" s="39"/>
      <c r="AB9" s="39"/>
      <c r="AC9" s="39"/>
      <c r="AD9" s="39">
        <f t="shared" ref="AD9:AD10" si="4">+AM9+BA9</f>
        <v>120</v>
      </c>
      <c r="AE9" s="228" t="s">
        <v>435</v>
      </c>
      <c r="AF9" s="35"/>
      <c r="AG9" s="35"/>
      <c r="AH9" s="35"/>
      <c r="AI9" s="35"/>
      <c r="AJ9" s="39"/>
      <c r="AK9" s="39"/>
      <c r="AL9" s="39"/>
      <c r="AM9" s="39">
        <f t="shared" ref="AM9:AM10" si="5">SUM(AF9:AL9)+AT9+AV9+AX9</f>
        <v>0</v>
      </c>
      <c r="AN9" s="39">
        <v>120</v>
      </c>
      <c r="AO9" s="39"/>
      <c r="AP9" s="39"/>
      <c r="AQ9" s="39"/>
      <c r="AR9" s="39">
        <f t="shared" ref="AR9:AR10" si="6">SUM(AN9:AQ9)</f>
        <v>120</v>
      </c>
      <c r="AS9" s="39"/>
      <c r="AT9" s="39"/>
      <c r="AU9" s="39"/>
      <c r="AV9" s="39"/>
      <c r="AW9" s="39"/>
      <c r="AX9" s="39"/>
      <c r="AY9" s="39"/>
      <c r="AZ9" s="39"/>
      <c r="BA9" s="39">
        <f t="shared" ref="BA9:BA10" si="7">+AR9+AS9+AU9+AW9+AY9+AZ9</f>
        <v>120</v>
      </c>
      <c r="BB9" s="35"/>
      <c r="BC9" s="482"/>
      <c r="BD9" s="482"/>
      <c r="BE9" s="35"/>
      <c r="BF9" s="482"/>
    </row>
    <row r="10" spans="1:58" ht="12.95" customHeight="1">
      <c r="A10" s="42"/>
      <c r="B10" s="43"/>
      <c r="C10" s="398"/>
      <c r="D10" s="43"/>
      <c r="E10" s="44"/>
      <c r="F10" s="44"/>
      <c r="G10" s="45"/>
      <c r="H10" s="46"/>
      <c r="I10" s="47"/>
      <c r="J10" s="84"/>
      <c r="K10" s="84"/>
      <c r="L10" s="37"/>
      <c r="M10" s="37"/>
      <c r="N10" s="48"/>
      <c r="O10" s="49"/>
      <c r="P10" s="50"/>
      <c r="Q10" s="49"/>
      <c r="R10" s="367"/>
      <c r="S10" s="367"/>
      <c r="T10" s="39"/>
      <c r="U10" s="39"/>
      <c r="V10" s="39"/>
      <c r="W10" s="39"/>
      <c r="X10" s="40"/>
      <c r="Y10" s="211"/>
      <c r="Z10" s="39"/>
      <c r="AA10" s="39"/>
      <c r="AB10" s="39"/>
      <c r="AC10" s="39"/>
      <c r="AD10" s="39">
        <f t="shared" si="4"/>
        <v>238</v>
      </c>
      <c r="AE10" s="228" t="s">
        <v>436</v>
      </c>
      <c r="AF10" s="35"/>
      <c r="AG10" s="35"/>
      <c r="AH10" s="35"/>
      <c r="AI10" s="35"/>
      <c r="AJ10" s="39"/>
      <c r="AK10" s="39"/>
      <c r="AL10" s="39"/>
      <c r="AM10" s="39">
        <f t="shared" si="5"/>
        <v>0</v>
      </c>
      <c r="AN10" s="39"/>
      <c r="AO10" s="39"/>
      <c r="AP10" s="39"/>
      <c r="AQ10" s="39"/>
      <c r="AR10" s="39">
        <f t="shared" si="6"/>
        <v>0</v>
      </c>
      <c r="AS10" s="39"/>
      <c r="AT10" s="39"/>
      <c r="AU10" s="39"/>
      <c r="AV10" s="39"/>
      <c r="AW10" s="39">
        <v>238</v>
      </c>
      <c r="AX10" s="39"/>
      <c r="AY10" s="39"/>
      <c r="AZ10" s="39"/>
      <c r="BA10" s="39">
        <f t="shared" si="7"/>
        <v>238</v>
      </c>
      <c r="BB10" s="35"/>
      <c r="BC10" s="482"/>
      <c r="BD10" s="482"/>
      <c r="BE10" s="35"/>
      <c r="BF10" s="482"/>
    </row>
    <row r="11" spans="1:58" ht="12.95" customHeight="1">
      <c r="A11" s="42"/>
      <c r="B11" s="43"/>
      <c r="C11" s="398"/>
      <c r="D11" s="43"/>
      <c r="E11" s="44"/>
      <c r="F11" s="44"/>
      <c r="G11" s="411"/>
      <c r="H11" s="46"/>
      <c r="I11" s="47"/>
      <c r="J11" s="84"/>
      <c r="K11" s="84"/>
      <c r="L11" s="37"/>
      <c r="M11" s="37"/>
      <c r="N11" s="48"/>
      <c r="O11" s="49"/>
      <c r="P11" s="50"/>
      <c r="Q11" s="49"/>
      <c r="R11" s="367"/>
      <c r="S11" s="367"/>
      <c r="T11" s="39"/>
      <c r="U11" s="39"/>
      <c r="V11" s="39"/>
      <c r="W11" s="39"/>
      <c r="X11" s="40"/>
      <c r="Y11" s="211"/>
      <c r="Z11" s="39"/>
      <c r="AA11" s="39"/>
      <c r="AB11" s="39"/>
      <c r="AC11" s="39"/>
      <c r="AD11" s="39"/>
      <c r="AE11" s="228"/>
      <c r="AF11" s="39"/>
      <c r="AG11" s="39"/>
      <c r="AH11" s="39"/>
      <c r="AI11" s="39"/>
      <c r="AJ11" s="39"/>
      <c r="AK11" s="39"/>
      <c r="AL11" s="39"/>
      <c r="AM11" s="39"/>
      <c r="AN11" s="85"/>
      <c r="AO11" s="39"/>
      <c r="AP11" s="39"/>
      <c r="AQ11" s="39"/>
      <c r="AR11" s="39"/>
      <c r="AS11" s="39"/>
      <c r="AT11" s="39"/>
      <c r="AU11" s="39"/>
      <c r="AV11" s="39"/>
      <c r="AW11" s="39"/>
      <c r="AX11" s="39"/>
      <c r="AY11" s="39"/>
      <c r="AZ11" s="39"/>
      <c r="BA11" s="39"/>
      <c r="BB11" s="52"/>
      <c r="BC11" s="53"/>
      <c r="BD11" s="53"/>
      <c r="BE11" s="52"/>
      <c r="BF11" s="53"/>
    </row>
    <row r="12" spans="1:58" ht="12.75" customHeight="1">
      <c r="A12" s="42">
        <v>45840</v>
      </c>
      <c r="B12" s="43" t="s">
        <v>8</v>
      </c>
      <c r="C12" s="398">
        <f>(M12*E12*O12*Q12)/100000000</f>
        <v>42.594773170212761</v>
      </c>
      <c r="D12" s="43" t="s">
        <v>307</v>
      </c>
      <c r="E12" s="44">
        <v>11.5</v>
      </c>
      <c r="F12" s="44">
        <v>1</v>
      </c>
      <c r="G12" s="411">
        <v>1350</v>
      </c>
      <c r="H12" s="46">
        <v>0.23</v>
      </c>
      <c r="I12" s="47">
        <v>0.88</v>
      </c>
      <c r="J12" s="84">
        <f>E12*G12*(1-H12)*1440/1000000*2.74</f>
        <v>47.16668880000001</v>
      </c>
      <c r="K12" s="84">
        <f>(IF(G12&lt;L12,L12,G12)*(1-IF(H12&lt;N12,H12,N12))*E12*O12*Q12)/100000000</f>
        <v>45.18706499999999</v>
      </c>
      <c r="L12" s="37">
        <v>1272.5531914893618</v>
      </c>
      <c r="M12" s="37">
        <v>979.86595744680847</v>
      </c>
      <c r="N12" s="48">
        <f>1-(M12/L12)</f>
        <v>0.23000000000000009</v>
      </c>
      <c r="O12" s="49">
        <f>+'Trim Rwd'!H7</f>
        <v>262.5</v>
      </c>
      <c r="P12" s="50">
        <f>O12*(Q12-R12-S12)</f>
        <v>282450</v>
      </c>
      <c r="Q12" s="49">
        <v>1440</v>
      </c>
      <c r="R12" s="367">
        <f>130+135</f>
        <v>265</v>
      </c>
      <c r="S12" s="367">
        <f>31+68</f>
        <v>99</v>
      </c>
      <c r="T12" s="39">
        <f>E12*M12*O12*Q12/100000000</f>
        <v>42.594773170212761</v>
      </c>
      <c r="U12" s="39">
        <f>E12*M12*O12*(Q12-R12-S12)/100000000</f>
        <v>31.827761063297867</v>
      </c>
      <c r="V12" s="39">
        <f>E12*G12*(1-N12)*O12/100*(R12+S12)/1000000</f>
        <v>11.422285874999998</v>
      </c>
      <c r="W12" s="39">
        <f>+'2'!K8/1000</f>
        <v>35.039000000000001</v>
      </c>
      <c r="X12" s="366">
        <f>SUM(W12:W15)/SUM(K12:K15)</f>
        <v>0.7754210192673503</v>
      </c>
      <c r="Y12" s="39">
        <v>0</v>
      </c>
      <c r="Z12" s="39">
        <f>+'1'!D40/1000</f>
        <v>0</v>
      </c>
      <c r="AA12" s="51">
        <f>SUM(U12:U15)-SUM(W12:W15)-SUM(Z12:Z15)-SUM(Y12:Y15)</f>
        <v>-3.2112389367021343</v>
      </c>
      <c r="AB12" s="51">
        <f>(SUM(K12:K15)-SUM(W12:W15)-SUM(Y12:Y15)-SUM(Z12:Z15)-SUM(AC12:AC15)-SUM(V12:V15))-AA12</f>
        <v>-0.65527376808510418</v>
      </c>
      <c r="AC12" s="39">
        <f>K12-T12</f>
        <v>2.5922918297872286</v>
      </c>
      <c r="AD12" s="39">
        <f>+AM12+BA12</f>
        <v>4</v>
      </c>
      <c r="AE12" s="228" t="s">
        <v>464</v>
      </c>
      <c r="AF12" s="39">
        <v>4</v>
      </c>
      <c r="AG12" s="39"/>
      <c r="AH12" s="39"/>
      <c r="AI12" s="39"/>
      <c r="AJ12" s="39"/>
      <c r="AK12" s="39"/>
      <c r="AL12" s="39"/>
      <c r="AM12" s="39">
        <f>SUM(AF12:AL12)+AT12+AV12+AX12</f>
        <v>4</v>
      </c>
      <c r="AN12" s="39"/>
      <c r="AO12" s="39"/>
      <c r="AP12" s="39"/>
      <c r="AQ12" s="39"/>
      <c r="AR12" s="39">
        <f>SUM(AN12:AQ12)</f>
        <v>0</v>
      </c>
      <c r="AS12" s="39"/>
      <c r="AT12" s="39"/>
      <c r="AU12" s="39"/>
      <c r="AV12" s="39"/>
      <c r="AW12" s="39"/>
      <c r="AX12" s="39"/>
      <c r="AY12" s="39"/>
      <c r="AZ12" s="39"/>
      <c r="BA12" s="39">
        <f>+AR12+AS12+AU12+AW12+AY12+AZ12</f>
        <v>0</v>
      </c>
      <c r="BB12" s="35">
        <v>2</v>
      </c>
      <c r="BC12" s="53"/>
      <c r="BD12" s="53">
        <v>2</v>
      </c>
      <c r="BE12" s="35"/>
      <c r="BF12" s="53"/>
    </row>
    <row r="13" spans="1:58" ht="12.95" customHeight="1">
      <c r="A13" s="42"/>
      <c r="B13" s="43"/>
      <c r="C13" s="398"/>
      <c r="D13" s="43"/>
      <c r="E13" s="44"/>
      <c r="F13" s="44"/>
      <c r="G13" s="411"/>
      <c r="H13" s="46"/>
      <c r="I13" s="47"/>
      <c r="J13" s="84"/>
      <c r="K13" s="84"/>
      <c r="L13" s="37"/>
      <c r="M13" s="37"/>
      <c r="N13" s="48"/>
      <c r="O13" s="49"/>
      <c r="P13" s="50"/>
      <c r="Q13" s="49"/>
      <c r="R13" s="367"/>
      <c r="S13" s="367"/>
      <c r="T13" s="39"/>
      <c r="U13" s="39"/>
      <c r="V13" s="39"/>
      <c r="W13" s="39"/>
      <c r="X13" s="40"/>
      <c r="Y13" s="211"/>
      <c r="Z13" s="39"/>
      <c r="AA13" s="39"/>
      <c r="AB13" s="39"/>
      <c r="AC13" s="39"/>
      <c r="AD13" s="39">
        <f t="shared" ref="AD13:AD17" si="8">+AM13+BA13</f>
        <v>10</v>
      </c>
      <c r="AE13" s="228" t="s">
        <v>468</v>
      </c>
      <c r="AF13" s="39"/>
      <c r="AG13" s="39">
        <v>10</v>
      </c>
      <c r="AH13" s="39"/>
      <c r="AI13" s="39"/>
      <c r="AJ13" s="39"/>
      <c r="AK13" s="39"/>
      <c r="AL13" s="39"/>
      <c r="AM13" s="39">
        <f t="shared" ref="AM13:AM14" si="9">SUM(AF13:AL13)+AT13+AV13+AX13</f>
        <v>10</v>
      </c>
      <c r="AN13" s="85"/>
      <c r="AO13" s="39"/>
      <c r="AP13" s="39"/>
      <c r="AQ13" s="39"/>
      <c r="AR13" s="39">
        <f t="shared" ref="AR13:AR17" si="10">SUM(AN13:AQ13)</f>
        <v>0</v>
      </c>
      <c r="AS13" s="39"/>
      <c r="AT13" s="39"/>
      <c r="AU13" s="39"/>
      <c r="AV13" s="39"/>
      <c r="AW13" s="39"/>
      <c r="AX13" s="39"/>
      <c r="AY13" s="39"/>
      <c r="AZ13" s="39"/>
      <c r="BA13" s="39">
        <f t="shared" ref="BA13:BA16" si="11">+AR13+AS13+AU13+AW13+AY13+AZ13</f>
        <v>0</v>
      </c>
      <c r="BB13" s="52"/>
      <c r="BC13" s="53">
        <v>4</v>
      </c>
      <c r="BD13" s="53"/>
      <c r="BE13" s="52"/>
      <c r="BF13" s="53"/>
    </row>
    <row r="14" spans="1:58" ht="12.95" customHeight="1">
      <c r="A14" s="42"/>
      <c r="B14" s="43"/>
      <c r="C14" s="398"/>
      <c r="D14" s="43"/>
      <c r="E14" s="44"/>
      <c r="F14" s="44"/>
      <c r="G14" s="45"/>
      <c r="H14" s="46"/>
      <c r="I14" s="47"/>
      <c r="J14" s="84"/>
      <c r="K14" s="84"/>
      <c r="L14" s="37"/>
      <c r="M14" s="37"/>
      <c r="N14" s="48"/>
      <c r="O14" s="49"/>
      <c r="P14" s="50"/>
      <c r="Q14" s="49"/>
      <c r="R14" s="367"/>
      <c r="S14" s="367"/>
      <c r="T14" s="39"/>
      <c r="U14" s="39"/>
      <c r="V14" s="39"/>
      <c r="W14" s="39"/>
      <c r="X14" s="40"/>
      <c r="Y14" s="211"/>
      <c r="Z14" s="39"/>
      <c r="AA14" s="39"/>
      <c r="AB14" s="39"/>
      <c r="AC14" s="39"/>
      <c r="AD14" s="39">
        <f t="shared" si="8"/>
        <v>17</v>
      </c>
      <c r="AE14" s="228" t="s">
        <v>469</v>
      </c>
      <c r="AF14" s="35"/>
      <c r="AG14" s="35"/>
      <c r="AH14" s="35">
        <v>17</v>
      </c>
      <c r="AI14" s="35"/>
      <c r="AJ14" s="39"/>
      <c r="AK14" s="39"/>
      <c r="AL14" s="39"/>
      <c r="AM14" s="39">
        <f t="shared" si="9"/>
        <v>17</v>
      </c>
      <c r="AN14" s="39"/>
      <c r="AO14" s="39"/>
      <c r="AP14" s="39"/>
      <c r="AQ14" s="39"/>
      <c r="AR14" s="39">
        <f t="shared" si="10"/>
        <v>0</v>
      </c>
      <c r="AS14" s="39"/>
      <c r="AT14" s="39"/>
      <c r="AU14" s="39"/>
      <c r="AV14" s="39"/>
      <c r="AW14" s="39"/>
      <c r="AX14" s="39"/>
      <c r="AY14" s="39"/>
      <c r="AZ14" s="39"/>
      <c r="BA14" s="39">
        <f t="shared" si="11"/>
        <v>0</v>
      </c>
      <c r="BB14" s="35"/>
      <c r="BC14" s="482"/>
      <c r="BD14" s="482"/>
      <c r="BE14" s="35"/>
      <c r="BF14" s="482"/>
    </row>
    <row r="15" spans="1:58" ht="12.95" customHeight="1">
      <c r="A15" s="42"/>
      <c r="B15" s="43"/>
      <c r="C15" s="398"/>
      <c r="D15" s="43"/>
      <c r="E15" s="44"/>
      <c r="F15" s="44"/>
      <c r="G15" s="45"/>
      <c r="H15" s="46"/>
      <c r="I15" s="47"/>
      <c r="J15" s="84"/>
      <c r="K15" s="84"/>
      <c r="L15" s="37"/>
      <c r="M15" s="37"/>
      <c r="N15" s="48"/>
      <c r="O15" s="49"/>
      <c r="P15" s="50"/>
      <c r="Q15" s="49"/>
      <c r="R15" s="367"/>
      <c r="S15" s="367"/>
      <c r="T15" s="39"/>
      <c r="U15" s="39"/>
      <c r="V15" s="39"/>
      <c r="W15" s="39"/>
      <c r="X15" s="40"/>
      <c r="Y15" s="211"/>
      <c r="Z15" s="39"/>
      <c r="AA15" s="39"/>
      <c r="AB15" s="39"/>
      <c r="AC15" s="39"/>
      <c r="AD15" s="39">
        <f t="shared" si="8"/>
        <v>130</v>
      </c>
      <c r="AE15" s="228" t="s">
        <v>466</v>
      </c>
      <c r="AF15" s="35"/>
      <c r="AG15" s="35"/>
      <c r="AH15" s="35"/>
      <c r="AI15" s="35"/>
      <c r="AJ15" s="39"/>
      <c r="AK15" s="39"/>
      <c r="AL15" s="39"/>
      <c r="AM15" s="39">
        <f t="shared" ref="AM15:AM17" si="12">SUM(AF15:AL15)+AT15+AV15+AX15</f>
        <v>0</v>
      </c>
      <c r="AN15" s="39">
        <v>130</v>
      </c>
      <c r="AO15" s="39"/>
      <c r="AP15" s="39"/>
      <c r="AQ15" s="39"/>
      <c r="AR15" s="39">
        <f t="shared" si="10"/>
        <v>130</v>
      </c>
      <c r="AS15" s="39"/>
      <c r="AT15" s="39"/>
      <c r="AU15" s="39"/>
      <c r="AV15" s="39"/>
      <c r="AW15" s="39"/>
      <c r="AX15" s="39"/>
      <c r="AY15" s="39"/>
      <c r="AZ15" s="39"/>
      <c r="BA15" s="39">
        <f t="shared" si="11"/>
        <v>130</v>
      </c>
      <c r="BB15" s="35"/>
      <c r="BC15" s="482"/>
      <c r="BD15" s="482"/>
      <c r="BE15" s="35"/>
      <c r="BF15" s="482"/>
    </row>
    <row r="16" spans="1:58" ht="12.95" customHeight="1">
      <c r="A16" s="42"/>
      <c r="B16" s="43"/>
      <c r="C16" s="398"/>
      <c r="D16" s="43"/>
      <c r="E16" s="44"/>
      <c r="F16" s="44"/>
      <c r="G16" s="45"/>
      <c r="H16" s="46"/>
      <c r="I16" s="47"/>
      <c r="J16" s="84"/>
      <c r="K16" s="84"/>
      <c r="L16" s="37"/>
      <c r="M16" s="37"/>
      <c r="N16" s="48"/>
      <c r="O16" s="49"/>
      <c r="P16" s="50"/>
      <c r="Q16" s="49"/>
      <c r="R16" s="367"/>
      <c r="S16" s="367"/>
      <c r="T16" s="39"/>
      <c r="U16" s="39"/>
      <c r="V16" s="39"/>
      <c r="W16" s="39"/>
      <c r="X16" s="40"/>
      <c r="Y16" s="211"/>
      <c r="Z16" s="39"/>
      <c r="AA16" s="39"/>
      <c r="AB16" s="39"/>
      <c r="AC16" s="39"/>
      <c r="AD16" s="39">
        <f t="shared" si="8"/>
        <v>135</v>
      </c>
      <c r="AE16" s="228" t="s">
        <v>467</v>
      </c>
      <c r="AF16" s="35"/>
      <c r="AG16" s="35"/>
      <c r="AH16" s="35"/>
      <c r="AI16" s="35"/>
      <c r="AJ16" s="39"/>
      <c r="AK16" s="39"/>
      <c r="AL16" s="39"/>
      <c r="AM16" s="39">
        <f t="shared" si="12"/>
        <v>0</v>
      </c>
      <c r="AN16" s="39"/>
      <c r="AO16" s="39"/>
      <c r="AP16" s="39"/>
      <c r="AQ16" s="39"/>
      <c r="AR16" s="39">
        <f t="shared" si="10"/>
        <v>0</v>
      </c>
      <c r="AS16" s="39"/>
      <c r="AT16" s="39"/>
      <c r="AU16" s="39"/>
      <c r="AV16" s="39"/>
      <c r="AW16" s="39">
        <v>135</v>
      </c>
      <c r="AX16" s="39"/>
      <c r="AY16" s="39"/>
      <c r="AZ16" s="39"/>
      <c r="BA16" s="39">
        <f t="shared" si="11"/>
        <v>135</v>
      </c>
      <c r="BB16" s="35"/>
      <c r="BC16" s="482"/>
      <c r="BD16" s="482"/>
      <c r="BE16" s="35"/>
      <c r="BF16" s="482"/>
    </row>
    <row r="17" spans="1:58" ht="12.95" customHeight="1">
      <c r="A17" s="42"/>
      <c r="B17" s="43"/>
      <c r="C17" s="398"/>
      <c r="D17" s="43"/>
      <c r="E17" s="44"/>
      <c r="F17" s="44"/>
      <c r="G17" s="45"/>
      <c r="H17" s="46"/>
      <c r="I17" s="47"/>
      <c r="J17" s="84"/>
      <c r="K17" s="84"/>
      <c r="L17" s="37"/>
      <c r="M17" s="37"/>
      <c r="N17" s="48"/>
      <c r="O17" s="49"/>
      <c r="P17" s="50"/>
      <c r="Q17" s="49"/>
      <c r="R17" s="367"/>
      <c r="S17" s="367"/>
      <c r="T17" s="39"/>
      <c r="U17" s="39"/>
      <c r="V17" s="39"/>
      <c r="W17" s="39"/>
      <c r="X17" s="40"/>
      <c r="Y17" s="211"/>
      <c r="Z17" s="39"/>
      <c r="AA17" s="39"/>
      <c r="AB17" s="39"/>
      <c r="AC17" s="39"/>
      <c r="AD17" s="39">
        <f t="shared" si="8"/>
        <v>68</v>
      </c>
      <c r="AE17" s="228" t="s">
        <v>494</v>
      </c>
      <c r="AF17" s="35"/>
      <c r="AG17" s="35"/>
      <c r="AH17" s="35"/>
      <c r="AI17" s="35"/>
      <c r="AJ17" s="39"/>
      <c r="AK17" s="39"/>
      <c r="AL17" s="39"/>
      <c r="AM17" s="39">
        <f t="shared" si="12"/>
        <v>68</v>
      </c>
      <c r="AN17" s="39"/>
      <c r="AO17" s="39"/>
      <c r="AP17" s="39"/>
      <c r="AQ17" s="39"/>
      <c r="AR17" s="39">
        <f t="shared" si="10"/>
        <v>0</v>
      </c>
      <c r="AS17" s="39"/>
      <c r="AT17" s="39"/>
      <c r="AU17" s="39"/>
      <c r="AV17" s="39">
        <v>68</v>
      </c>
      <c r="AW17" s="39"/>
      <c r="AX17" s="39"/>
      <c r="AY17" s="39"/>
      <c r="AZ17" s="39"/>
      <c r="BA17" s="39"/>
      <c r="BB17" s="35"/>
      <c r="BC17" s="482"/>
      <c r="BD17" s="482"/>
      <c r="BE17" s="35"/>
      <c r="BF17" s="482"/>
    </row>
    <row r="18" spans="1:58" ht="12.95" customHeight="1">
      <c r="A18" s="42"/>
      <c r="B18" s="43"/>
      <c r="C18" s="398"/>
      <c r="D18" s="43"/>
      <c r="E18" s="44"/>
      <c r="F18" s="44"/>
      <c r="G18" s="45"/>
      <c r="H18" s="46"/>
      <c r="I18" s="47"/>
      <c r="J18" s="84"/>
      <c r="K18" s="84"/>
      <c r="L18" s="37"/>
      <c r="M18" s="37"/>
      <c r="N18" s="48"/>
      <c r="O18" s="49"/>
      <c r="P18" s="50"/>
      <c r="Q18" s="49"/>
      <c r="R18" s="367"/>
      <c r="S18" s="367"/>
      <c r="T18" s="39"/>
      <c r="U18" s="39"/>
      <c r="V18" s="39"/>
      <c r="W18" s="39"/>
      <c r="X18" s="40"/>
      <c r="Y18" s="211"/>
      <c r="Z18" s="39"/>
      <c r="AA18" s="39"/>
      <c r="AB18" s="39"/>
      <c r="AC18" s="39"/>
      <c r="AD18" s="39"/>
      <c r="AE18" s="228"/>
      <c r="AF18" s="35"/>
      <c r="AG18" s="35"/>
      <c r="AH18" s="35"/>
      <c r="AI18" s="35"/>
      <c r="AJ18" s="39"/>
      <c r="AK18" s="39"/>
      <c r="AL18" s="39"/>
      <c r="AM18" s="39"/>
      <c r="AN18" s="39"/>
      <c r="AO18" s="39"/>
      <c r="AP18" s="39"/>
      <c r="AQ18" s="39"/>
      <c r="AR18" s="39"/>
      <c r="AS18" s="39"/>
      <c r="AT18" s="39"/>
      <c r="AU18" s="39"/>
      <c r="AV18" s="39"/>
      <c r="AW18" s="39"/>
      <c r="AX18" s="39"/>
      <c r="AY18" s="39"/>
      <c r="AZ18" s="39"/>
      <c r="BA18" s="39"/>
      <c r="BB18" s="35"/>
      <c r="BC18" s="482"/>
      <c r="BD18" s="53"/>
      <c r="BE18" s="52"/>
      <c r="BF18" s="53"/>
    </row>
    <row r="19" spans="1:58" ht="12.75" customHeight="1">
      <c r="A19" s="42">
        <v>45841</v>
      </c>
      <c r="B19" s="43" t="s">
        <v>8</v>
      </c>
      <c r="C19" s="398">
        <f>(M19*E19*O19*Q19)/100000000</f>
        <v>45.179943319148933</v>
      </c>
      <c r="D19" s="43" t="s">
        <v>307</v>
      </c>
      <c r="E19" s="44">
        <v>11.5</v>
      </c>
      <c r="F19" s="44">
        <v>1</v>
      </c>
      <c r="G19" s="411">
        <v>1350</v>
      </c>
      <c r="H19" s="46">
        <v>0.23</v>
      </c>
      <c r="I19" s="47">
        <v>0.88</v>
      </c>
      <c r="J19" s="84">
        <f>E19*G19*(1-H19)*1440/1000000*2.74</f>
        <v>47.16668880000001</v>
      </c>
      <c r="K19" s="84">
        <f>(IF(G19&lt;L19,L19,G19)*(1-IF(H19&lt;N19,H19,N19))*E19*O19*Q19)/100000000</f>
        <v>45.187064999999997</v>
      </c>
      <c r="L19" s="37">
        <v>1349.7872340425531</v>
      </c>
      <c r="M19" s="37">
        <v>1039.3361702127659</v>
      </c>
      <c r="N19" s="48">
        <f>1-(M19/L19)</f>
        <v>0.22999999999999998</v>
      </c>
      <c r="O19" s="49">
        <f>+'Trim Rwd'!H9</f>
        <v>262.5</v>
      </c>
      <c r="P19" s="50">
        <f>O19*(Q19-R19-S19)</f>
        <v>351750</v>
      </c>
      <c r="Q19" s="49">
        <v>1440</v>
      </c>
      <c r="R19" s="367">
        <v>30</v>
      </c>
      <c r="S19" s="367">
        <f>62+3+5</f>
        <v>70</v>
      </c>
      <c r="T19" s="39">
        <f>E19*M19*O19*Q19/100000000</f>
        <v>45.179943319148933</v>
      </c>
      <c r="U19" s="39">
        <f>E19*M19*O19*(Q19-R19-S19)/100000000</f>
        <v>42.042447255319146</v>
      </c>
      <c r="V19" s="39">
        <f>E19*G19*(1-N19)*O19/100*(R19+S19)/1000000</f>
        <v>3.137990625</v>
      </c>
      <c r="W19" s="39">
        <f>+'3'!K8/1000</f>
        <v>38.435000000000002</v>
      </c>
      <c r="X19" s="366">
        <f>SUM(W19:W22)/SUM(K19:K22)</f>
        <v>0.85057526971490638</v>
      </c>
      <c r="Y19" s="39">
        <v>0</v>
      </c>
      <c r="Z19" s="39">
        <f>+'1'!D46/1000</f>
        <v>0</v>
      </c>
      <c r="AA19" s="51">
        <f>SUM(U19:U22)-SUM(W19:W22)-SUM(Z19:Z22)-SUM(Y19:Y22)</f>
        <v>3.6074472553191441</v>
      </c>
      <c r="AB19" s="51">
        <f>(SUM(K19:K22)-SUM(W19:W22)-SUM(Y19:Y22)-SUM(Z19:Z22)-SUM(AC19:AC22)-SUM(V19:V22))-AA19</f>
        <v>-4.9456117021362545E-4</v>
      </c>
      <c r="AC19" s="39">
        <f>K19-T19</f>
        <v>7.1216808510641272E-3</v>
      </c>
      <c r="AD19" s="39">
        <f>+AM19+BA19</f>
        <v>20</v>
      </c>
      <c r="AE19" s="228" t="s">
        <v>432</v>
      </c>
      <c r="AF19" s="39">
        <v>20</v>
      </c>
      <c r="AG19" s="39"/>
      <c r="AH19" s="39"/>
      <c r="AI19" s="39"/>
      <c r="AJ19" s="39"/>
      <c r="AK19" s="39"/>
      <c r="AL19" s="39"/>
      <c r="AM19" s="39">
        <f>SUM(AF19:AL19)+AT19+AV19+AX19</f>
        <v>20</v>
      </c>
      <c r="AN19" s="39"/>
      <c r="AO19" s="39"/>
      <c r="AP19" s="39"/>
      <c r="AQ19" s="39"/>
      <c r="AR19" s="39">
        <f>SUM(AN19:AQ19)</f>
        <v>0</v>
      </c>
      <c r="AS19" s="39"/>
      <c r="AT19" s="39"/>
      <c r="AU19" s="39"/>
      <c r="AV19" s="39"/>
      <c r="AW19" s="39"/>
      <c r="AX19" s="39"/>
      <c r="AY19" s="39"/>
      <c r="AZ19" s="39"/>
      <c r="BA19" s="39">
        <f>+AR19+AS19+AU19+AW19+AY19+AZ19</f>
        <v>0</v>
      </c>
      <c r="BB19" s="35">
        <v>4</v>
      </c>
      <c r="BC19" s="53"/>
      <c r="BD19" s="53"/>
      <c r="BE19" s="35"/>
      <c r="BF19" s="53"/>
    </row>
    <row r="20" spans="1:58" ht="12.95" customHeight="1">
      <c r="A20" s="42"/>
      <c r="B20" s="43"/>
      <c r="C20" s="398"/>
      <c r="D20" s="43"/>
      <c r="E20" s="44"/>
      <c r="F20" s="44"/>
      <c r="G20" s="411"/>
      <c r="H20" s="46"/>
      <c r="I20" s="47"/>
      <c r="J20" s="84"/>
      <c r="K20" s="84"/>
      <c r="L20" s="37"/>
      <c r="M20" s="37"/>
      <c r="N20" s="48"/>
      <c r="O20" s="49"/>
      <c r="P20" s="50"/>
      <c r="Q20" s="49"/>
      <c r="R20" s="367"/>
      <c r="S20" s="367"/>
      <c r="T20" s="39"/>
      <c r="U20" s="39"/>
      <c r="V20" s="39"/>
      <c r="W20" s="39"/>
      <c r="X20" s="40"/>
      <c r="Y20" s="211"/>
      <c r="Z20" s="39"/>
      <c r="AA20" s="39"/>
      <c r="AB20" s="39"/>
      <c r="AC20" s="39"/>
      <c r="AD20" s="39">
        <f t="shared" ref="AD20:AD21" si="13">+AM20+BA20</f>
        <v>10</v>
      </c>
      <c r="AE20" s="228" t="s">
        <v>481</v>
      </c>
      <c r="AF20" s="39"/>
      <c r="AG20" s="39">
        <v>10</v>
      </c>
      <c r="AH20" s="39"/>
      <c r="AI20" s="39"/>
      <c r="AJ20" s="39"/>
      <c r="AK20" s="39"/>
      <c r="AL20" s="39"/>
      <c r="AM20" s="39">
        <f t="shared" ref="AM20:AM21" si="14">SUM(AF20:AL20)+AT20+AV20+AX20</f>
        <v>10</v>
      </c>
      <c r="AN20" s="85"/>
      <c r="AO20" s="39"/>
      <c r="AP20" s="39"/>
      <c r="AQ20" s="39"/>
      <c r="AR20" s="39">
        <f t="shared" ref="AR20:AR21" si="15">SUM(AN20:AQ20)</f>
        <v>0</v>
      </c>
      <c r="AS20" s="39"/>
      <c r="AT20" s="39"/>
      <c r="AU20" s="39"/>
      <c r="AV20" s="39"/>
      <c r="AW20" s="39"/>
      <c r="AX20" s="39"/>
      <c r="AY20" s="39"/>
      <c r="AZ20" s="39"/>
      <c r="BA20" s="39">
        <f t="shared" ref="BA20:BA21" si="16">+AR20+AS20+AU20+AW20+AY20+AZ20</f>
        <v>0</v>
      </c>
      <c r="BB20" s="52"/>
      <c r="BC20" s="53">
        <v>8</v>
      </c>
      <c r="BD20" s="53"/>
      <c r="BE20" s="52"/>
      <c r="BF20" s="53"/>
    </row>
    <row r="21" spans="1:58" ht="12.95" customHeight="1">
      <c r="A21" s="42"/>
      <c r="B21" s="43"/>
      <c r="C21" s="398"/>
      <c r="D21" s="43"/>
      <c r="E21" s="44"/>
      <c r="F21" s="44"/>
      <c r="G21" s="45"/>
      <c r="H21" s="46"/>
      <c r="I21" s="47"/>
      <c r="J21" s="84"/>
      <c r="K21" s="84"/>
      <c r="L21" s="37"/>
      <c r="M21" s="37"/>
      <c r="N21" s="48"/>
      <c r="O21" s="49"/>
      <c r="P21" s="50"/>
      <c r="Q21" s="49"/>
      <c r="R21" s="367"/>
      <c r="S21" s="367"/>
      <c r="T21" s="39"/>
      <c r="U21" s="39"/>
      <c r="V21" s="39"/>
      <c r="W21" s="39"/>
      <c r="X21" s="40"/>
      <c r="Y21" s="211"/>
      <c r="Z21" s="39"/>
      <c r="AA21" s="39"/>
      <c r="AB21" s="39"/>
      <c r="AC21" s="39"/>
      <c r="AD21" s="39">
        <f t="shared" si="13"/>
        <v>29</v>
      </c>
      <c r="AE21" s="228" t="s">
        <v>469</v>
      </c>
      <c r="AF21" s="35"/>
      <c r="AG21" s="35"/>
      <c r="AH21" s="35">
        <v>29</v>
      </c>
      <c r="AI21" s="35"/>
      <c r="AJ21" s="39"/>
      <c r="AK21" s="39"/>
      <c r="AL21" s="39"/>
      <c r="AM21" s="39">
        <f t="shared" si="14"/>
        <v>29</v>
      </c>
      <c r="AN21" s="39"/>
      <c r="AO21" s="39"/>
      <c r="AP21" s="39"/>
      <c r="AQ21" s="39"/>
      <c r="AR21" s="39">
        <f t="shared" si="15"/>
        <v>0</v>
      </c>
      <c r="AS21" s="39"/>
      <c r="AT21" s="39"/>
      <c r="AU21" s="39"/>
      <c r="AV21" s="39"/>
      <c r="AW21" s="39"/>
      <c r="AX21" s="39"/>
      <c r="AY21" s="39"/>
      <c r="AZ21" s="39"/>
      <c r="BA21" s="39">
        <f t="shared" si="16"/>
        <v>0</v>
      </c>
      <c r="BB21" s="35"/>
      <c r="BC21" s="482"/>
      <c r="BD21" s="482"/>
      <c r="BE21" s="35"/>
      <c r="BF21" s="482"/>
    </row>
    <row r="22" spans="1:58" ht="12.95" customHeight="1">
      <c r="A22" s="42"/>
      <c r="B22" s="43"/>
      <c r="C22" s="398"/>
      <c r="D22" s="43"/>
      <c r="E22" s="44"/>
      <c r="F22" s="44"/>
      <c r="G22" s="45"/>
      <c r="H22" s="46"/>
      <c r="I22" s="47"/>
      <c r="J22" s="84"/>
      <c r="K22" s="84"/>
      <c r="L22" s="37"/>
      <c r="M22" s="37"/>
      <c r="N22" s="48"/>
      <c r="O22" s="49"/>
      <c r="P22" s="50"/>
      <c r="Q22" s="49"/>
      <c r="R22" s="367"/>
      <c r="S22" s="367"/>
      <c r="T22" s="39"/>
      <c r="U22" s="39"/>
      <c r="V22" s="39"/>
      <c r="W22" s="39"/>
      <c r="X22" s="40"/>
      <c r="Y22" s="211"/>
      <c r="Z22" s="39"/>
      <c r="AA22" s="39"/>
      <c r="AB22" s="39"/>
      <c r="AC22" s="39"/>
      <c r="AD22" s="39">
        <f t="shared" ref="AD22" si="17">+AM22+BA22</f>
        <v>30</v>
      </c>
      <c r="AE22" s="228" t="s">
        <v>482</v>
      </c>
      <c r="AF22" s="35"/>
      <c r="AG22" s="35"/>
      <c r="AH22" s="35"/>
      <c r="AI22" s="35"/>
      <c r="AJ22" s="39"/>
      <c r="AK22" s="39"/>
      <c r="AL22" s="39"/>
      <c r="AM22" s="39">
        <f t="shared" ref="AM22" si="18">SUM(AF22:AL22)+AT22+AV22+AX22</f>
        <v>0</v>
      </c>
      <c r="AN22" s="39"/>
      <c r="AO22" s="39"/>
      <c r="AP22" s="39"/>
      <c r="AQ22" s="39"/>
      <c r="AR22" s="39">
        <f t="shared" ref="AR22" si="19">SUM(AN22:AQ22)</f>
        <v>0</v>
      </c>
      <c r="AS22" s="39"/>
      <c r="AT22" s="39"/>
      <c r="AU22" s="39"/>
      <c r="AV22" s="39"/>
      <c r="AW22" s="39"/>
      <c r="AX22" s="39"/>
      <c r="AY22" s="39">
        <v>30</v>
      </c>
      <c r="AZ22" s="39"/>
      <c r="BA22" s="39">
        <f t="shared" ref="BA22" si="20">+AR22+AS22+AU22+AW22+AY22+AZ22</f>
        <v>30</v>
      </c>
      <c r="BB22" s="35"/>
      <c r="BC22" s="482"/>
      <c r="BD22" s="482"/>
      <c r="BE22" s="35"/>
      <c r="BF22" s="482"/>
    </row>
    <row r="23" spans="1:58" ht="12.95" customHeight="1">
      <c r="A23" s="42"/>
      <c r="B23" s="43"/>
      <c r="C23" s="398"/>
      <c r="D23" s="43"/>
      <c r="E23" s="44"/>
      <c r="F23" s="44"/>
      <c r="G23" s="45"/>
      <c r="H23" s="46"/>
      <c r="I23" s="47"/>
      <c r="J23" s="84"/>
      <c r="K23" s="84"/>
      <c r="L23" s="37"/>
      <c r="M23" s="37"/>
      <c r="N23" s="48"/>
      <c r="O23" s="49"/>
      <c r="P23" s="50"/>
      <c r="Q23" s="49"/>
      <c r="R23" s="367"/>
      <c r="S23" s="367"/>
      <c r="T23" s="39"/>
      <c r="U23" s="39"/>
      <c r="V23" s="39"/>
      <c r="W23" s="39"/>
      <c r="X23" s="40"/>
      <c r="Y23" s="211"/>
      <c r="Z23" s="39"/>
      <c r="AA23" s="39"/>
      <c r="AB23" s="39"/>
      <c r="AC23" s="39"/>
      <c r="AD23" s="39">
        <f t="shared" ref="AD23" si="21">+AM23+BA23</f>
        <v>11</v>
      </c>
      <c r="AE23" s="228" t="s">
        <v>483</v>
      </c>
      <c r="AF23" s="35"/>
      <c r="AG23" s="35"/>
      <c r="AH23" s="35"/>
      <c r="AI23" s="35"/>
      <c r="AJ23" s="39"/>
      <c r="AK23" s="39">
        <v>11</v>
      </c>
      <c r="AL23" s="39"/>
      <c r="AM23" s="39">
        <f t="shared" ref="AM23" si="22">SUM(AF23:AL23)+AT23+AV23+AX23</f>
        <v>11</v>
      </c>
      <c r="AN23" s="39"/>
      <c r="AO23" s="39"/>
      <c r="AP23" s="39"/>
      <c r="AQ23" s="39"/>
      <c r="AR23" s="39">
        <f t="shared" ref="AR23" si="23">SUM(AN23:AQ23)</f>
        <v>0</v>
      </c>
      <c r="AS23" s="39"/>
      <c r="AT23" s="39"/>
      <c r="AU23" s="39"/>
      <c r="AV23" s="39"/>
      <c r="AW23" s="39"/>
      <c r="AX23" s="39"/>
      <c r="AY23" s="39"/>
      <c r="AZ23" s="39"/>
      <c r="BA23" s="39">
        <f t="shared" ref="BA23" si="24">+AR23+AS23+AU23+AW23+AY23+AZ23</f>
        <v>0</v>
      </c>
      <c r="BB23" s="35"/>
      <c r="BC23" s="482"/>
      <c r="BD23" s="482"/>
      <c r="BE23" s="35"/>
      <c r="BF23" s="482"/>
    </row>
    <row r="24" spans="1:58" ht="12.95" customHeight="1">
      <c r="A24" s="42"/>
      <c r="B24" s="43"/>
      <c r="C24" s="398"/>
      <c r="D24" s="43"/>
      <c r="E24" s="44"/>
      <c r="F24" s="44"/>
      <c r="G24" s="411"/>
      <c r="H24" s="46"/>
      <c r="I24" s="47"/>
      <c r="J24" s="84"/>
      <c r="K24" s="84"/>
      <c r="L24" s="37"/>
      <c r="M24" s="37"/>
      <c r="N24" s="48"/>
      <c r="O24" s="49"/>
      <c r="P24" s="50"/>
      <c r="Q24" s="49"/>
      <c r="R24" s="367"/>
      <c r="S24" s="367"/>
      <c r="T24" s="39"/>
      <c r="U24" s="39"/>
      <c r="V24" s="39"/>
      <c r="W24" s="39"/>
      <c r="X24" s="366"/>
      <c r="Y24" s="39"/>
      <c r="Z24" s="39"/>
      <c r="AA24" s="51"/>
      <c r="AB24" s="51"/>
      <c r="AC24" s="39"/>
      <c r="AD24" s="39"/>
      <c r="AE24" s="228"/>
      <c r="AF24" s="39"/>
      <c r="AG24" s="39"/>
      <c r="AH24" s="39"/>
      <c r="AI24" s="39"/>
      <c r="AJ24" s="39"/>
      <c r="AK24" s="39"/>
      <c r="AL24" s="39"/>
      <c r="AM24" s="39"/>
      <c r="AN24" s="39"/>
      <c r="AO24" s="39"/>
      <c r="AP24" s="39"/>
      <c r="AQ24" s="39"/>
      <c r="AR24" s="39"/>
      <c r="AS24" s="39"/>
      <c r="AT24" s="39"/>
      <c r="AU24" s="39"/>
      <c r="AV24" s="39"/>
      <c r="AW24" s="39"/>
      <c r="AX24" s="39"/>
      <c r="AY24" s="39"/>
      <c r="AZ24" s="39"/>
      <c r="BA24" s="39"/>
      <c r="BB24" s="35"/>
      <c r="BC24" s="53"/>
      <c r="BD24" s="53"/>
      <c r="BE24" s="52"/>
      <c r="BF24" s="53"/>
    </row>
    <row r="25" spans="1:58" ht="12.75" customHeight="1">
      <c r="A25" s="42">
        <v>45842</v>
      </c>
      <c r="B25" s="43" t="s">
        <v>8</v>
      </c>
      <c r="C25" s="398">
        <f>(M25*E25*O25*Q25)/100000000</f>
        <v>43.174334568749998</v>
      </c>
      <c r="D25" s="43" t="s">
        <v>307</v>
      </c>
      <c r="E25" s="44">
        <v>11.5</v>
      </c>
      <c r="F25" s="44">
        <v>1</v>
      </c>
      <c r="G25" s="411">
        <v>1350</v>
      </c>
      <c r="H25" s="46">
        <v>0.23</v>
      </c>
      <c r="I25" s="47">
        <v>0.88</v>
      </c>
      <c r="J25" s="84">
        <f>E25*G25*(1-H25)*1440/1000000*2.74</f>
        <v>47.16668880000001</v>
      </c>
      <c r="K25" s="84">
        <f>(IF(G25&lt;L25,L25,G25)*(1-IF(H25&lt;N25,H25,N25))*E25*O25*Q25)/100000000</f>
        <v>45.18706499999999</v>
      </c>
      <c r="L25" s="37">
        <v>1289.8680555555557</v>
      </c>
      <c r="M25" s="37">
        <v>993.1984027777778</v>
      </c>
      <c r="N25" s="48">
        <f>1-(M25/L25)</f>
        <v>0.23000000000000009</v>
      </c>
      <c r="O25" s="49">
        <f>+'Trim Rwd'!H11</f>
        <v>262.5</v>
      </c>
      <c r="P25" s="50">
        <f>O25*(Q25-R25-S25)</f>
        <v>359625</v>
      </c>
      <c r="Q25" s="49">
        <v>1440</v>
      </c>
      <c r="R25" s="367">
        <v>0</v>
      </c>
      <c r="S25" s="367">
        <v>70</v>
      </c>
      <c r="T25" s="39">
        <f>E25*M25*O25*Q25/100000000</f>
        <v>43.174334568749998</v>
      </c>
      <c r="U25" s="39">
        <f>E25*M25*O25*(Q25-R25-S25)/100000000</f>
        <v>41.075582193880209</v>
      </c>
      <c r="V25" s="39">
        <f>E25*G25*(1-N25)*O25/100*(R25+S25)/1000000</f>
        <v>2.1965934374999994</v>
      </c>
      <c r="W25" s="39">
        <f>+'4'!K8/1000</f>
        <v>42.110999999999997</v>
      </c>
      <c r="X25" s="366">
        <f>SUM(W25:W28)/SUM(K25:K28)</f>
        <v>0.93192598368581825</v>
      </c>
      <c r="Y25" s="39">
        <f>+SUM(RBP!AG15:AG16)</f>
        <v>0</v>
      </c>
      <c r="Z25" s="39">
        <f>+'1'!D52/1000</f>
        <v>0</v>
      </c>
      <c r="AA25" s="51">
        <f>SUM(U25:U28)-SUM(W25:W28)-SUM(Z25:Z28)-SUM(Y25:Y28)</f>
        <v>-1.0354178061197885</v>
      </c>
      <c r="AB25" s="51">
        <f>(SUM(K25:K28)-SUM(W25:W28)-SUM(Y25:Y28)-SUM(Z25:Z28)-SUM(AC25:AC28)-SUM(V25:V28))-AA25</f>
        <v>-9.7841062630209752E-2</v>
      </c>
      <c r="AC25" s="39">
        <f>K25-T25</f>
        <v>2.0127304312499916</v>
      </c>
      <c r="AD25" s="39">
        <f>+AM25+BA25</f>
        <v>12</v>
      </c>
      <c r="AE25" s="228" t="s">
        <v>401</v>
      </c>
      <c r="AF25" s="39">
        <v>12</v>
      </c>
      <c r="AG25" s="39"/>
      <c r="AH25" s="39"/>
      <c r="AI25" s="39"/>
      <c r="AJ25" s="39"/>
      <c r="AK25" s="39"/>
      <c r="AL25" s="39"/>
      <c r="AM25" s="39">
        <f>SUM(AF25:AL25)+AT25+AV25+AX25</f>
        <v>12</v>
      </c>
      <c r="AN25" s="39"/>
      <c r="AO25" s="39"/>
      <c r="AP25" s="39"/>
      <c r="AQ25" s="39"/>
      <c r="AR25" s="39">
        <f>SUM(AN25:AQ25)</f>
        <v>0</v>
      </c>
      <c r="AS25" s="39"/>
      <c r="AT25" s="39"/>
      <c r="AU25" s="39"/>
      <c r="AV25" s="39"/>
      <c r="AW25" s="39"/>
      <c r="AX25" s="39"/>
      <c r="AY25" s="39"/>
      <c r="AZ25" s="39"/>
      <c r="BA25" s="39">
        <f>+AR25+AS25+AU25+AW25+AY25+AZ25</f>
        <v>0</v>
      </c>
      <c r="BB25" s="35">
        <v>3</v>
      </c>
      <c r="BC25" s="53"/>
      <c r="BD25" s="53"/>
      <c r="BE25" s="35"/>
      <c r="BF25" s="53"/>
    </row>
    <row r="26" spans="1:58" ht="12.95" customHeight="1">
      <c r="A26" s="42"/>
      <c r="B26" s="43"/>
      <c r="C26" s="398"/>
      <c r="D26" s="43"/>
      <c r="E26" s="44"/>
      <c r="F26" s="44"/>
      <c r="G26" s="411"/>
      <c r="H26" s="46"/>
      <c r="I26" s="47"/>
      <c r="J26" s="84"/>
      <c r="K26" s="84"/>
      <c r="L26" s="37"/>
      <c r="M26" s="37"/>
      <c r="N26" s="48"/>
      <c r="O26" s="49"/>
      <c r="P26" s="50"/>
      <c r="Q26" s="49"/>
      <c r="R26" s="367"/>
      <c r="S26" s="367"/>
      <c r="T26" s="39"/>
      <c r="U26" s="39"/>
      <c r="V26" s="39"/>
      <c r="W26" s="39"/>
      <c r="X26" s="40"/>
      <c r="Y26" s="211"/>
      <c r="Z26" s="39"/>
      <c r="AA26" s="39"/>
      <c r="AB26" s="39"/>
      <c r="AC26" s="39"/>
      <c r="AD26" s="39">
        <f t="shared" ref="AD26:AD27" si="25">+AM26+BA26</f>
        <v>16</v>
      </c>
      <c r="AE26" s="228" t="s">
        <v>503</v>
      </c>
      <c r="AF26" s="39"/>
      <c r="AG26" s="39">
        <v>16</v>
      </c>
      <c r="AH26" s="39"/>
      <c r="AI26" s="39"/>
      <c r="AJ26" s="39"/>
      <c r="AK26" s="39"/>
      <c r="AL26" s="39"/>
      <c r="AM26" s="39">
        <f t="shared" ref="AM26:AM27" si="26">SUM(AF26:AL26)+AT26+AV26+AX26</f>
        <v>16</v>
      </c>
      <c r="AN26" s="85"/>
      <c r="AO26" s="39"/>
      <c r="AP26" s="39"/>
      <c r="AQ26" s="39"/>
      <c r="AR26" s="39">
        <f t="shared" ref="AR26:AR27" si="27">SUM(AN26:AQ26)</f>
        <v>0</v>
      </c>
      <c r="AS26" s="39"/>
      <c r="AT26" s="39"/>
      <c r="AU26" s="39"/>
      <c r="AV26" s="39"/>
      <c r="AW26" s="39"/>
      <c r="AX26" s="39"/>
      <c r="AY26" s="39"/>
      <c r="AZ26" s="39"/>
      <c r="BA26" s="39">
        <f t="shared" ref="BA26:BA27" si="28">+AR26+AS26+AU26+AW26+AY26+AZ26</f>
        <v>0</v>
      </c>
      <c r="BB26" s="52"/>
      <c r="BC26" s="53">
        <v>6</v>
      </c>
      <c r="BD26" s="53"/>
      <c r="BE26" s="52"/>
      <c r="BF26" s="53"/>
    </row>
    <row r="27" spans="1:58" ht="12.95" customHeight="1">
      <c r="A27" s="42"/>
      <c r="B27" s="43"/>
      <c r="C27" s="398"/>
      <c r="D27" s="43"/>
      <c r="E27" s="44"/>
      <c r="F27" s="44"/>
      <c r="G27" s="45"/>
      <c r="H27" s="46"/>
      <c r="I27" s="47"/>
      <c r="J27" s="84"/>
      <c r="K27" s="84"/>
      <c r="L27" s="37"/>
      <c r="M27" s="37"/>
      <c r="N27" s="48"/>
      <c r="O27" s="49"/>
      <c r="P27" s="50"/>
      <c r="Q27" s="49"/>
      <c r="R27" s="367"/>
      <c r="S27" s="367"/>
      <c r="T27" s="39"/>
      <c r="U27" s="39"/>
      <c r="V27" s="39"/>
      <c r="W27" s="39"/>
      <c r="X27" s="40"/>
      <c r="Y27" s="211"/>
      <c r="Z27" s="39"/>
      <c r="AA27" s="39"/>
      <c r="AB27" s="39"/>
      <c r="AC27" s="39"/>
      <c r="AD27" s="39">
        <f t="shared" si="25"/>
        <v>17</v>
      </c>
      <c r="AE27" s="228" t="s">
        <v>504</v>
      </c>
      <c r="AF27" s="35"/>
      <c r="AG27" s="35"/>
      <c r="AH27" s="35">
        <v>17</v>
      </c>
      <c r="AI27" s="35"/>
      <c r="AJ27" s="39"/>
      <c r="AK27" s="39"/>
      <c r="AL27" s="39"/>
      <c r="AM27" s="39">
        <f t="shared" si="26"/>
        <v>17</v>
      </c>
      <c r="AN27" s="39"/>
      <c r="AO27" s="39"/>
      <c r="AP27" s="39"/>
      <c r="AQ27" s="39"/>
      <c r="AR27" s="39">
        <f t="shared" si="27"/>
        <v>0</v>
      </c>
      <c r="AS27" s="39"/>
      <c r="AT27" s="39"/>
      <c r="AU27" s="39"/>
      <c r="AV27" s="39"/>
      <c r="AW27" s="39"/>
      <c r="AX27" s="39"/>
      <c r="AY27" s="39"/>
      <c r="AZ27" s="39"/>
      <c r="BA27" s="39">
        <f t="shared" si="28"/>
        <v>0</v>
      </c>
      <c r="BB27" s="35"/>
      <c r="BC27" s="482"/>
      <c r="BD27" s="482"/>
      <c r="BE27" s="35"/>
      <c r="BF27" s="482"/>
    </row>
    <row r="28" spans="1:58" ht="12.95" customHeight="1">
      <c r="A28" s="42"/>
      <c r="B28" s="43"/>
      <c r="C28" s="398"/>
      <c r="D28" s="43"/>
      <c r="E28" s="44"/>
      <c r="F28" s="44"/>
      <c r="G28" s="45"/>
      <c r="H28" s="46"/>
      <c r="I28" s="47"/>
      <c r="J28" s="84"/>
      <c r="K28" s="84"/>
      <c r="L28" s="37"/>
      <c r="M28" s="37"/>
      <c r="N28" s="48"/>
      <c r="O28" s="49"/>
      <c r="P28" s="50"/>
      <c r="Q28" s="49"/>
      <c r="R28" s="367"/>
      <c r="S28" s="367"/>
      <c r="T28" s="39"/>
      <c r="U28" s="39"/>
      <c r="V28" s="39"/>
      <c r="W28" s="39"/>
      <c r="X28" s="40"/>
      <c r="Y28" s="211"/>
      <c r="Z28" s="39"/>
      <c r="AA28" s="39"/>
      <c r="AB28" s="39"/>
      <c r="AC28" s="39"/>
      <c r="AD28" s="39">
        <f t="shared" ref="AD28" si="29">+AM28+BA28</f>
        <v>25</v>
      </c>
      <c r="AE28" s="228" t="s">
        <v>505</v>
      </c>
      <c r="AF28" s="35"/>
      <c r="AG28" s="35"/>
      <c r="AH28" s="35"/>
      <c r="AI28" s="35"/>
      <c r="AJ28" s="39"/>
      <c r="AK28" s="39">
        <v>25</v>
      </c>
      <c r="AL28" s="39"/>
      <c r="AM28" s="39">
        <f t="shared" ref="AM28" si="30">SUM(AF28:AL28)+AT28+AV28+AX28</f>
        <v>25</v>
      </c>
      <c r="AN28" s="39"/>
      <c r="AO28" s="39"/>
      <c r="AP28" s="39"/>
      <c r="AQ28" s="39"/>
      <c r="AR28" s="39">
        <f t="shared" ref="AR28" si="31">SUM(AN28:AQ28)</f>
        <v>0</v>
      </c>
      <c r="AS28" s="39"/>
      <c r="AT28" s="39"/>
      <c r="AU28" s="39"/>
      <c r="AV28" s="39"/>
      <c r="AW28" s="39"/>
      <c r="AX28" s="39"/>
      <c r="AY28" s="39"/>
      <c r="AZ28" s="39"/>
      <c r="BA28" s="39">
        <f t="shared" ref="BA28" si="32">+AR28+AS28+AU28+AW28+AY28+AZ28</f>
        <v>0</v>
      </c>
      <c r="BB28" s="35"/>
      <c r="BC28" s="482"/>
      <c r="BD28" s="482"/>
      <c r="BE28" s="35"/>
      <c r="BF28" s="482"/>
    </row>
    <row r="29" spans="1:58" ht="12.95" customHeight="1">
      <c r="A29" s="42"/>
      <c r="B29" s="43"/>
      <c r="C29" s="398"/>
      <c r="D29" s="43"/>
      <c r="E29" s="44"/>
      <c r="F29" s="44"/>
      <c r="G29" s="411"/>
      <c r="H29" s="46"/>
      <c r="I29" s="47"/>
      <c r="J29" s="84"/>
      <c r="K29" s="84"/>
      <c r="L29" s="37"/>
      <c r="M29" s="37"/>
      <c r="N29" s="48"/>
      <c r="O29" s="49"/>
      <c r="P29" s="50"/>
      <c r="Q29" s="49"/>
      <c r="R29" s="367"/>
      <c r="S29" s="367"/>
      <c r="T29" s="39"/>
      <c r="U29" s="39"/>
      <c r="V29" s="39"/>
      <c r="W29" s="39"/>
      <c r="X29" s="40"/>
      <c r="Y29" s="211"/>
      <c r="Z29" s="39"/>
      <c r="AA29" s="39"/>
      <c r="AB29" s="39"/>
      <c r="AC29" s="39"/>
      <c r="AD29" s="39"/>
      <c r="AE29" s="228"/>
      <c r="AF29" s="39"/>
      <c r="AG29" s="39"/>
      <c r="AH29" s="39"/>
      <c r="AI29" s="481"/>
      <c r="AJ29" s="39"/>
      <c r="AK29" s="39"/>
      <c r="AL29" s="39"/>
      <c r="AM29" s="39"/>
      <c r="AN29" s="85"/>
      <c r="AO29" s="39"/>
      <c r="AP29" s="39"/>
      <c r="AQ29" s="39"/>
      <c r="AR29" s="39"/>
      <c r="AS29" s="39"/>
      <c r="AT29" s="39"/>
      <c r="AU29" s="39"/>
      <c r="AV29" s="39"/>
      <c r="AW29" s="39"/>
      <c r="AX29" s="39"/>
      <c r="AY29" s="39"/>
      <c r="AZ29" s="39"/>
      <c r="BA29" s="39"/>
      <c r="BB29" s="52"/>
      <c r="BC29" s="53"/>
      <c r="BD29" s="482"/>
      <c r="BE29" s="35"/>
      <c r="BF29" s="482"/>
    </row>
    <row r="30" spans="1:58" ht="12.75" customHeight="1">
      <c r="A30" s="42">
        <v>45843</v>
      </c>
      <c r="B30" s="43" t="s">
        <v>8</v>
      </c>
      <c r="C30" s="398">
        <f>(M30*E30*O30*Q30)/100000000</f>
        <v>24.476326875000002</v>
      </c>
      <c r="D30" s="43" t="s">
        <v>307</v>
      </c>
      <c r="E30" s="44">
        <v>11.5</v>
      </c>
      <c r="F30" s="44">
        <v>1</v>
      </c>
      <c r="G30" s="411">
        <v>1350</v>
      </c>
      <c r="H30" s="46">
        <v>0.23</v>
      </c>
      <c r="I30" s="47">
        <v>0.88</v>
      </c>
      <c r="J30" s="84">
        <f>E30*G30*(1-H30)*1440/1000000*2.74</f>
        <v>47.16668880000001</v>
      </c>
      <c r="K30" s="84">
        <f>(IF(G30&lt;L30,L30,G30)*(1-IF(H30&lt;N30,H30,N30))*E30*O30*Q30)/100000000</f>
        <v>24.476326875000002</v>
      </c>
      <c r="L30" s="37">
        <v>1350</v>
      </c>
      <c r="M30" s="37">
        <v>1039.5</v>
      </c>
      <c r="N30" s="48">
        <f>1-(M30/L30)</f>
        <v>0.22999999999999998</v>
      </c>
      <c r="O30" s="49">
        <f>+'Trim Rwd'!H13</f>
        <v>262.5</v>
      </c>
      <c r="P30" s="50">
        <f>O30*(Q30-R30-S30)</f>
        <v>193987.5</v>
      </c>
      <c r="Q30" s="49">
        <v>780</v>
      </c>
      <c r="R30" s="367">
        <v>0</v>
      </c>
      <c r="S30" s="367">
        <f>26+5+10</f>
        <v>41</v>
      </c>
      <c r="T30" s="39">
        <f>E30*M30*O30*Q30/100000000</f>
        <v>24.476326875000002</v>
      </c>
      <c r="U30" s="39">
        <f>E30*M30*O30*(Q30-R30-S30)/100000000</f>
        <v>23.189750718749998</v>
      </c>
      <c r="V30" s="39">
        <f>E30*G30*(1-N30)*O30/100*(R30+S30)/1000000</f>
        <v>1.28657615625</v>
      </c>
      <c r="W30" s="39">
        <f>+'5'!K8/1000</f>
        <v>25.81</v>
      </c>
      <c r="X30" s="366">
        <f>SUM(W30:W34)/SUM(K30:K34)</f>
        <v>0.8773460318301084</v>
      </c>
      <c r="Y30" s="39">
        <f>+SUM(RBP!AG20:AG21)</f>
        <v>0</v>
      </c>
      <c r="Z30" s="39">
        <f>+'1'!D57/1000</f>
        <v>0</v>
      </c>
      <c r="AA30" s="51">
        <f>SUM(U30:U34)-SUM(W30:W34)-SUM(Z30:Z34)-SUM(Y30:Y34)</f>
        <v>3.8756137387499976</v>
      </c>
      <c r="AB30" s="51">
        <f>(SUM(K30:K34)-SUM(W30:W34)-SUM(Y30:Y34)-SUM(Z30:Z34)-SUM(AC30:AC34)-SUM(V30:V34))-AA30</f>
        <v>4.4408920985006262E-15</v>
      </c>
      <c r="AC30" s="39">
        <f>K30-T30</f>
        <v>0</v>
      </c>
      <c r="AD30" s="39">
        <f>+AM30+BA30</f>
        <v>15</v>
      </c>
      <c r="AE30" s="228" t="s">
        <v>402</v>
      </c>
      <c r="AF30" s="39">
        <v>15</v>
      </c>
      <c r="AG30" s="39"/>
      <c r="AH30" s="39"/>
      <c r="AI30" s="39"/>
      <c r="AJ30" s="39"/>
      <c r="AK30" s="39"/>
      <c r="AL30" s="39"/>
      <c r="AM30" s="39">
        <f>SUM(AF30:AL30)+AT30+AV30+AX30</f>
        <v>15</v>
      </c>
      <c r="AN30" s="39"/>
      <c r="AO30" s="39"/>
      <c r="AP30" s="39"/>
      <c r="AQ30" s="39"/>
      <c r="AR30" s="39">
        <f>SUM(AN30:AQ30)</f>
        <v>0</v>
      </c>
      <c r="AS30" s="39"/>
      <c r="AT30" s="39"/>
      <c r="AU30" s="39"/>
      <c r="AV30" s="39"/>
      <c r="AW30" s="39"/>
      <c r="AX30" s="39"/>
      <c r="AY30" s="39"/>
      <c r="AZ30" s="39"/>
      <c r="BA30" s="39">
        <f>+AR30+AS30+AU30+AW30+AY30+AZ30</f>
        <v>0</v>
      </c>
      <c r="BB30" s="35">
        <v>6</v>
      </c>
      <c r="BC30" s="53"/>
      <c r="BD30" s="53"/>
      <c r="BE30" s="35"/>
      <c r="BF30" s="53"/>
    </row>
    <row r="31" spans="1:58" ht="12.95" customHeight="1">
      <c r="A31" s="42"/>
      <c r="B31" s="43" t="s">
        <v>8</v>
      </c>
      <c r="C31" s="398">
        <f t="shared" ref="C31:C32" si="33">(M31*E31*O31*Q31)/100000000</f>
        <v>4.6453176000000003</v>
      </c>
      <c r="D31" s="43" t="s">
        <v>307</v>
      </c>
      <c r="E31" s="44">
        <v>12</v>
      </c>
      <c r="F31" s="44">
        <v>1</v>
      </c>
      <c r="G31" s="411">
        <v>1350</v>
      </c>
      <c r="H31" s="46">
        <v>0.23</v>
      </c>
      <c r="I31" s="47">
        <v>0.88</v>
      </c>
      <c r="J31" s="84">
        <f>E31*G31*(1-H31)*1440/1000000*2.74</f>
        <v>49.217414400000003</v>
      </c>
      <c r="K31" s="84">
        <f t="shared" ref="K31:K32" si="34">(IF(G31&lt;L31,L31,G31)*(1-IF(H31&lt;N31,H31,N31))*E31*O31*Q31)/100000000</f>
        <v>4.6453176000000003</v>
      </c>
      <c r="L31" s="37">
        <v>1350</v>
      </c>
      <c r="M31" s="37">
        <v>1039.5</v>
      </c>
      <c r="N31" s="48">
        <f t="shared" ref="N31:N32" si="35">1-(M31/L31)</f>
        <v>0.22999999999999998</v>
      </c>
      <c r="O31" s="49">
        <f>+'Trim Rwd'!H14</f>
        <v>266</v>
      </c>
      <c r="P31" s="50">
        <f t="shared" ref="P31:P32" si="36">O31*(Q31-R31-S31)</f>
        <v>35644</v>
      </c>
      <c r="Q31" s="49">
        <v>140</v>
      </c>
      <c r="R31" s="367">
        <v>0</v>
      </c>
      <c r="S31" s="367">
        <v>6</v>
      </c>
      <c r="T31" s="39">
        <f t="shared" ref="T31:T32" si="37">E31*M31*O31*Q31/100000000</f>
        <v>4.6453176000000003</v>
      </c>
      <c r="U31" s="39">
        <f t="shared" ref="U31:U32" si="38">E31*M31*O31*(Q31-R31-S31)/100000000</f>
        <v>4.4462325600000003</v>
      </c>
      <c r="V31" s="39">
        <f t="shared" ref="V31:V32" si="39">E31*G31*(1-N31)*O31/100*(R31+S31)/1000000</f>
        <v>0.19908503999999999</v>
      </c>
      <c r="W31" s="39">
        <f>+'5'!K7/1000</f>
        <v>4.5960000000000001</v>
      </c>
      <c r="X31" s="40"/>
      <c r="Y31" s="211"/>
      <c r="Z31" s="39"/>
      <c r="AA31" s="39"/>
      <c r="AB31" s="39"/>
      <c r="AC31" s="39"/>
      <c r="AD31" s="39">
        <f t="shared" ref="AD31:AD32" si="40">+AM31+BA31</f>
        <v>16</v>
      </c>
      <c r="AE31" s="228" t="s">
        <v>530</v>
      </c>
      <c r="AF31" s="39"/>
      <c r="AG31" s="39">
        <v>16</v>
      </c>
      <c r="AH31" s="39"/>
      <c r="AI31" s="39"/>
      <c r="AJ31" s="39"/>
      <c r="AK31" s="39"/>
      <c r="AL31" s="39"/>
      <c r="AM31" s="39">
        <f t="shared" ref="AM31:AM32" si="41">SUM(AF31:AL31)+AT31+AV31+AX31</f>
        <v>16</v>
      </c>
      <c r="AN31" s="85"/>
      <c r="AO31" s="39"/>
      <c r="AP31" s="39"/>
      <c r="AQ31" s="39"/>
      <c r="AR31" s="39">
        <f t="shared" ref="AR31:AR32" si="42">SUM(AN31:AQ31)</f>
        <v>0</v>
      </c>
      <c r="AS31" s="39"/>
      <c r="AT31" s="39"/>
      <c r="AU31" s="39"/>
      <c r="AV31" s="39"/>
      <c r="AW31" s="39"/>
      <c r="AX31" s="39"/>
      <c r="AY31" s="39"/>
      <c r="AZ31" s="39"/>
      <c r="BA31" s="39">
        <f t="shared" ref="BA31:BA32" si="43">+AR31+AS31+AU31+AW31+AY31+AZ31</f>
        <v>0</v>
      </c>
      <c r="BB31" s="52"/>
      <c r="BC31" s="53">
        <v>9</v>
      </c>
      <c r="BD31" s="53"/>
      <c r="BE31" s="52"/>
      <c r="BF31" s="53"/>
    </row>
    <row r="32" spans="1:58" ht="12.95" customHeight="1">
      <c r="A32" s="42"/>
      <c r="B32" s="43" t="s">
        <v>8</v>
      </c>
      <c r="C32" s="398">
        <f t="shared" si="33"/>
        <v>18.6918732</v>
      </c>
      <c r="D32" s="43" t="s">
        <v>307</v>
      </c>
      <c r="E32" s="44">
        <v>13</v>
      </c>
      <c r="F32" s="44">
        <v>1</v>
      </c>
      <c r="G32" s="411">
        <v>1350</v>
      </c>
      <c r="H32" s="46">
        <v>0.23</v>
      </c>
      <c r="I32" s="47">
        <v>0.88</v>
      </c>
      <c r="J32" s="84">
        <f>E32*G32*(1-H32)*1440/1000000*2.74</f>
        <v>53.318865600000009</v>
      </c>
      <c r="K32" s="84">
        <f t="shared" si="34"/>
        <v>18.6918732</v>
      </c>
      <c r="L32" s="37">
        <v>1350</v>
      </c>
      <c r="M32" s="37">
        <v>1039.5</v>
      </c>
      <c r="N32" s="48">
        <f t="shared" si="35"/>
        <v>0.22999999999999998</v>
      </c>
      <c r="O32" s="49">
        <f>+'Trim Rwd'!H15</f>
        <v>266</v>
      </c>
      <c r="P32" s="50">
        <f t="shared" si="36"/>
        <v>134596</v>
      </c>
      <c r="Q32" s="49">
        <v>520</v>
      </c>
      <c r="R32" s="367">
        <v>0</v>
      </c>
      <c r="S32" s="367">
        <f>61-S30-S31</f>
        <v>14</v>
      </c>
      <c r="T32" s="39">
        <f t="shared" si="37"/>
        <v>18.6918732</v>
      </c>
      <c r="U32" s="39">
        <f t="shared" si="38"/>
        <v>18.188630459999999</v>
      </c>
      <c r="V32" s="39">
        <f t="shared" si="39"/>
        <v>0.50324274000000002</v>
      </c>
      <c r="W32" s="39">
        <f>+'5'!K10/1000</f>
        <v>11.542999999999999</v>
      </c>
      <c r="X32" s="40"/>
      <c r="Y32" s="211"/>
      <c r="Z32" s="39"/>
      <c r="AA32" s="39"/>
      <c r="AB32" s="39"/>
      <c r="AC32" s="39"/>
      <c r="AD32" s="39">
        <f t="shared" si="40"/>
        <v>25</v>
      </c>
      <c r="AE32" s="228" t="s">
        <v>531</v>
      </c>
      <c r="AF32" s="35"/>
      <c r="AG32" s="35"/>
      <c r="AH32" s="35">
        <v>25</v>
      </c>
      <c r="AI32" s="35"/>
      <c r="AJ32" s="39"/>
      <c r="AK32" s="39"/>
      <c r="AL32" s="39"/>
      <c r="AM32" s="39">
        <f t="shared" si="41"/>
        <v>25</v>
      </c>
      <c r="AN32" s="39"/>
      <c r="AO32" s="39"/>
      <c r="AP32" s="39"/>
      <c r="AQ32" s="39"/>
      <c r="AR32" s="39">
        <f t="shared" si="42"/>
        <v>0</v>
      </c>
      <c r="AS32" s="39"/>
      <c r="AT32" s="39"/>
      <c r="AU32" s="39"/>
      <c r="AV32" s="39"/>
      <c r="AW32" s="39"/>
      <c r="AX32" s="39"/>
      <c r="AY32" s="39"/>
      <c r="AZ32" s="39"/>
      <c r="BA32" s="39">
        <f t="shared" si="43"/>
        <v>0</v>
      </c>
      <c r="BB32" s="35"/>
      <c r="BC32" s="482"/>
      <c r="BD32" s="482"/>
      <c r="BE32" s="35"/>
      <c r="BF32" s="482"/>
    </row>
    <row r="33" spans="1:58" ht="12.95" customHeight="1">
      <c r="A33" s="42"/>
      <c r="B33" s="43"/>
      <c r="C33" s="398"/>
      <c r="D33" s="43"/>
      <c r="E33" s="44"/>
      <c r="F33" s="44"/>
      <c r="G33" s="411"/>
      <c r="H33" s="46"/>
      <c r="I33" s="47"/>
      <c r="J33" s="84"/>
      <c r="K33" s="84"/>
      <c r="L33" s="37"/>
      <c r="M33" s="37"/>
      <c r="N33" s="48"/>
      <c r="O33" s="49"/>
      <c r="P33" s="50"/>
      <c r="Q33" s="49"/>
      <c r="R33" s="367"/>
      <c r="S33" s="367"/>
      <c r="T33" s="39"/>
      <c r="U33" s="39"/>
      <c r="V33" s="39"/>
      <c r="W33" s="39"/>
      <c r="X33" s="40"/>
      <c r="Y33" s="211"/>
      <c r="Z33" s="39"/>
      <c r="AA33" s="39"/>
      <c r="AB33" s="39"/>
      <c r="AC33" s="39"/>
      <c r="AD33" s="39">
        <f t="shared" ref="AD33" si="44">+AM33+BA33</f>
        <v>5</v>
      </c>
      <c r="AE33" s="228" t="s">
        <v>529</v>
      </c>
      <c r="AF33" s="35"/>
      <c r="AG33" s="35"/>
      <c r="AH33" s="35"/>
      <c r="AI33" s="35"/>
      <c r="AJ33" s="39">
        <v>5</v>
      </c>
      <c r="AK33" s="39"/>
      <c r="AL33" s="39"/>
      <c r="AM33" s="39">
        <f t="shared" ref="AM33" si="45">SUM(AF33:AL33)+AT33+AV33+AX33</f>
        <v>5</v>
      </c>
      <c r="AN33" s="39"/>
      <c r="AO33" s="39"/>
      <c r="AP33" s="39"/>
      <c r="AQ33" s="39"/>
      <c r="AR33" s="39">
        <f t="shared" ref="AR33" si="46">SUM(AN33:AQ33)</f>
        <v>0</v>
      </c>
      <c r="AS33" s="39"/>
      <c r="AT33" s="39"/>
      <c r="AU33" s="39"/>
      <c r="AV33" s="39"/>
      <c r="AW33" s="39"/>
      <c r="AX33" s="39"/>
      <c r="AY33" s="39"/>
      <c r="AZ33" s="39"/>
      <c r="BA33" s="39">
        <f t="shared" ref="BA33" si="47">+AR33+AS33+AU33+AW33+AY33+AZ33</f>
        <v>0</v>
      </c>
      <c r="BB33" s="35"/>
      <c r="BC33" s="482"/>
      <c r="BD33" s="482"/>
      <c r="BE33" s="35"/>
      <c r="BF33" s="482"/>
    </row>
    <row r="34" spans="1:58" ht="12.95" customHeight="1">
      <c r="A34" s="42"/>
      <c r="B34" s="43"/>
      <c r="C34" s="398"/>
      <c r="D34" s="43"/>
      <c r="E34" s="44"/>
      <c r="F34" s="44"/>
      <c r="G34" s="411"/>
      <c r="H34" s="46"/>
      <c r="I34" s="47"/>
      <c r="J34" s="84"/>
      <c r="K34" s="84"/>
      <c r="L34" s="37"/>
      <c r="M34" s="37"/>
      <c r="N34" s="48"/>
      <c r="O34" s="49"/>
      <c r="P34" s="50"/>
      <c r="Q34" s="49"/>
      <c r="R34" s="367"/>
      <c r="S34" s="367"/>
      <c r="T34" s="39"/>
      <c r="U34" s="39"/>
      <c r="V34" s="39"/>
      <c r="W34" s="39"/>
      <c r="X34" s="40"/>
      <c r="Y34" s="211"/>
      <c r="Z34" s="39"/>
      <c r="AA34" s="39"/>
      <c r="AB34" s="39"/>
      <c r="AC34" s="39"/>
      <c r="AD34" s="39"/>
      <c r="AE34" s="228"/>
      <c r="AF34" s="39"/>
      <c r="AG34" s="39"/>
      <c r="AH34" s="39"/>
      <c r="AI34" s="39"/>
      <c r="AJ34" s="39"/>
      <c r="AK34" s="39"/>
      <c r="AL34" s="39"/>
      <c r="AM34" s="39"/>
      <c r="AN34" s="39"/>
      <c r="AO34" s="39"/>
      <c r="AP34" s="39"/>
      <c r="AQ34" s="39"/>
      <c r="AR34" s="39"/>
      <c r="AS34" s="39"/>
      <c r="AT34" s="39"/>
      <c r="AU34" s="39"/>
      <c r="AV34" s="39"/>
      <c r="AW34" s="39"/>
      <c r="AX34" s="39"/>
      <c r="AY34" s="39"/>
      <c r="AZ34" s="39"/>
      <c r="BA34" s="39"/>
      <c r="BB34" s="35"/>
      <c r="BC34" s="53"/>
      <c r="BD34" s="53"/>
      <c r="BE34" s="53"/>
      <c r="BF34" s="53"/>
    </row>
    <row r="35" spans="1:58" ht="12.75" customHeight="1">
      <c r="A35" s="42">
        <v>45844</v>
      </c>
      <c r="B35" s="43" t="s">
        <v>8</v>
      </c>
      <c r="C35" s="398">
        <f>(M35*E35*O35*Q35)/100000000</f>
        <v>5.3918865</v>
      </c>
      <c r="D35" s="43" t="s">
        <v>307</v>
      </c>
      <c r="E35" s="44">
        <v>13</v>
      </c>
      <c r="F35" s="44">
        <v>1</v>
      </c>
      <c r="G35" s="411">
        <v>1350</v>
      </c>
      <c r="H35" s="46">
        <v>0.23</v>
      </c>
      <c r="I35" s="47">
        <v>0.88</v>
      </c>
      <c r="J35" s="84">
        <f>E35*G35*(1-H35)*1440/1000000*2.74</f>
        <v>53.318865600000009</v>
      </c>
      <c r="K35" s="84">
        <f>(IF(G35&lt;L35,L35,G35)*(1-IF(H35&lt;N35,H35,N35))*E35*O35*Q35)/100000000</f>
        <v>5.3918865</v>
      </c>
      <c r="L35" s="37">
        <v>1350</v>
      </c>
      <c r="M35" s="37">
        <v>1039.5</v>
      </c>
      <c r="N35" s="48">
        <f>1-(M35/L35)</f>
        <v>0.22999999999999998</v>
      </c>
      <c r="O35" s="49">
        <f>+'Trim Rwd'!H17</f>
        <v>266</v>
      </c>
      <c r="P35" s="50">
        <f>O35*(Q35-R35-S35)</f>
        <v>34580</v>
      </c>
      <c r="Q35" s="49">
        <v>150</v>
      </c>
      <c r="R35" s="367">
        <v>0</v>
      </c>
      <c r="S35" s="367">
        <f>10+5+5</f>
        <v>20</v>
      </c>
      <c r="T35" s="39">
        <f>E35*M35*O35*Q35/100000000</f>
        <v>5.3918865</v>
      </c>
      <c r="U35" s="39">
        <f>E35*M35*O35*(Q35-R35-S35)/100000000</f>
        <v>4.6729683</v>
      </c>
      <c r="V35" s="39">
        <f>E35*G35*(1-N35)*O35/100*(R35+S35)/1000000</f>
        <v>0.71891820000000006</v>
      </c>
      <c r="W35" s="39">
        <f>+'6'!K10/1000</f>
        <v>9.7140000000000004</v>
      </c>
      <c r="X35" s="366">
        <f>SUM(W35:W38)/SUM(K35:K38)</f>
        <v>0.88337241470207706</v>
      </c>
      <c r="Y35" s="39">
        <f>+SUM(RBP!AG24:AG25)</f>
        <v>0</v>
      </c>
      <c r="Z35" s="39">
        <f>+'1'!D61/1000</f>
        <v>0</v>
      </c>
      <c r="AA35" s="51">
        <f>SUM(U35:U38)-SUM(W35:W38)-SUM(Z35:Z38)-SUM(Y35:Y38)</f>
        <v>4.1836871081395302</v>
      </c>
      <c r="AB35" s="51">
        <f>(SUM(K35:K38)-SUM(W35:W38)-SUM(Y35:Y38)-SUM(Z35:Z38)-SUM(AC35:AC38)-SUM(V35:V38))-AA35</f>
        <v>6.8518475291945435E-3</v>
      </c>
      <c r="AC35" s="39">
        <f>K35-T35</f>
        <v>0</v>
      </c>
      <c r="AD35" s="39">
        <f>+AM35+BA35</f>
        <v>15</v>
      </c>
      <c r="AE35" s="228" t="s">
        <v>402</v>
      </c>
      <c r="AF35" s="39">
        <v>15</v>
      </c>
      <c r="AG35" s="39"/>
      <c r="AH35" s="39"/>
      <c r="AI35" s="39"/>
      <c r="AJ35" s="39"/>
      <c r="AK35" s="39"/>
      <c r="AL35" s="39"/>
      <c r="AM35" s="39">
        <f>SUM(AF35:AL35)+AT35+AV35+AX35</f>
        <v>15</v>
      </c>
      <c r="AN35" s="39"/>
      <c r="AO35" s="39"/>
      <c r="AP35" s="39"/>
      <c r="AQ35" s="39"/>
      <c r="AR35" s="39">
        <f>SUM(AN35:AQ35)</f>
        <v>0</v>
      </c>
      <c r="AS35" s="39"/>
      <c r="AT35" s="39"/>
      <c r="AU35" s="39"/>
      <c r="AV35" s="39"/>
      <c r="AW35" s="39"/>
      <c r="AX35" s="39"/>
      <c r="AY35" s="39"/>
      <c r="AZ35" s="39"/>
      <c r="BA35" s="39">
        <f>+AR35+AS35+AU35+AW35+AY35+AZ35</f>
        <v>0</v>
      </c>
      <c r="BB35" s="35">
        <v>6</v>
      </c>
      <c r="BC35" s="53"/>
      <c r="BD35" s="53"/>
      <c r="BE35" s="35"/>
      <c r="BF35" s="53"/>
    </row>
    <row r="36" spans="1:58" ht="12.95" customHeight="1">
      <c r="A36" s="42"/>
      <c r="B36" s="43" t="s">
        <v>528</v>
      </c>
      <c r="C36" s="398">
        <f>(M36*E36*O36*Q36)/100000000</f>
        <v>46.544306249999991</v>
      </c>
      <c r="D36" s="43" t="s">
        <v>307</v>
      </c>
      <c r="E36" s="44">
        <v>13</v>
      </c>
      <c r="F36" s="44">
        <v>1</v>
      </c>
      <c r="G36" s="411">
        <v>1305</v>
      </c>
      <c r="H36" s="46">
        <f>+N36</f>
        <v>0.17736935341009752</v>
      </c>
      <c r="I36" s="47">
        <v>0.88</v>
      </c>
      <c r="J36" s="84">
        <f>E36*G36*(1-H36)*1440/1000000*2.74</f>
        <v>55.064513144375553</v>
      </c>
      <c r="K36" s="84">
        <f>(IF(G36&lt;L36,L36,G36)*(1-IF(H36&lt;N36,H36,N36))*E36*O36*Q36)/100000000</f>
        <v>46.544306249999991</v>
      </c>
      <c r="L36" s="37">
        <v>1312.7906976744187</v>
      </c>
      <c r="M36" s="37">
        <v>1079.9418604651162</v>
      </c>
      <c r="N36" s="48">
        <f>1-(M36/L36)</f>
        <v>0.17736935341009752</v>
      </c>
      <c r="O36" s="49">
        <f>+'Trim Rwd'!H18</f>
        <v>257</v>
      </c>
      <c r="P36" s="50">
        <f>O36*(Q36-R36-S36)</f>
        <v>323306</v>
      </c>
      <c r="Q36" s="49">
        <v>1290</v>
      </c>
      <c r="R36" s="367">
        <v>0</v>
      </c>
      <c r="S36" s="367">
        <f>27+5</f>
        <v>32</v>
      </c>
      <c r="T36" s="39">
        <f>E36*M36*O36*Q36/100000000</f>
        <v>46.544306249999991</v>
      </c>
      <c r="U36" s="39">
        <f>E36*M36*O36*(Q36-R36-S36)/100000000</f>
        <v>45.389718808139527</v>
      </c>
      <c r="V36" s="39">
        <f>E36*G36*(1-N36)*O36/100*(R36+S36)/1000000</f>
        <v>1.1477355943312664</v>
      </c>
      <c r="W36" s="39">
        <f>+'6'!K9/1000</f>
        <v>36.164999999999999</v>
      </c>
      <c r="X36" s="40"/>
      <c r="Y36" s="211"/>
      <c r="Z36" s="39"/>
      <c r="AA36" s="39"/>
      <c r="AB36" s="39"/>
      <c r="AC36" s="39"/>
      <c r="AD36" s="39">
        <f t="shared" ref="AD36:AD37" si="48">+AM36+BA36</f>
        <v>13</v>
      </c>
      <c r="AE36" s="228" t="s">
        <v>532</v>
      </c>
      <c r="AF36" s="39"/>
      <c r="AG36" s="39">
        <v>13</v>
      </c>
      <c r="AH36" s="39"/>
      <c r="AI36" s="39"/>
      <c r="AJ36" s="39"/>
      <c r="AK36" s="39"/>
      <c r="AL36" s="39"/>
      <c r="AM36" s="39">
        <f t="shared" ref="AM36:AM37" si="49">SUM(AF36:AL36)+AT36+AV36+AX36</f>
        <v>13</v>
      </c>
      <c r="AN36" s="85"/>
      <c r="AO36" s="39"/>
      <c r="AP36" s="39"/>
      <c r="AQ36" s="39"/>
      <c r="AR36" s="39">
        <f t="shared" ref="AR36:AR37" si="50">SUM(AN36:AQ36)</f>
        <v>0</v>
      </c>
      <c r="AS36" s="39"/>
      <c r="AT36" s="39"/>
      <c r="AU36" s="39"/>
      <c r="AV36" s="39"/>
      <c r="AW36" s="39"/>
      <c r="AX36" s="39"/>
      <c r="AY36" s="39"/>
      <c r="AZ36" s="39"/>
      <c r="BA36" s="39">
        <f t="shared" ref="BA36:BA37" si="51">+AR36+AS36+AU36+AW36+AY36+AZ36</f>
        <v>0</v>
      </c>
      <c r="BB36" s="52"/>
      <c r="BC36" s="53">
        <v>10</v>
      </c>
      <c r="BD36" s="53"/>
      <c r="BE36" s="52"/>
      <c r="BF36" s="53"/>
    </row>
    <row r="37" spans="1:58" ht="12.95" customHeight="1">
      <c r="A37" s="42"/>
      <c r="B37" s="43"/>
      <c r="C37" s="398"/>
      <c r="D37" s="43"/>
      <c r="E37" s="44"/>
      <c r="F37" s="44"/>
      <c r="G37" s="45"/>
      <c r="H37" s="46"/>
      <c r="I37" s="47"/>
      <c r="J37" s="84"/>
      <c r="K37" s="84"/>
      <c r="L37" s="37"/>
      <c r="M37" s="37"/>
      <c r="N37" s="48"/>
      <c r="O37" s="49"/>
      <c r="P37" s="50"/>
      <c r="Q37" s="49"/>
      <c r="R37" s="367"/>
      <c r="S37" s="367"/>
      <c r="T37" s="39"/>
      <c r="U37" s="39"/>
      <c r="V37" s="39"/>
      <c r="W37" s="39"/>
      <c r="X37" s="40"/>
      <c r="Y37" s="211"/>
      <c r="Z37" s="39"/>
      <c r="AA37" s="39"/>
      <c r="AB37" s="39"/>
      <c r="AC37" s="39"/>
      <c r="AD37" s="39">
        <f t="shared" si="48"/>
        <v>24</v>
      </c>
      <c r="AE37" s="228" t="s">
        <v>469</v>
      </c>
      <c r="AF37" s="35"/>
      <c r="AG37" s="35"/>
      <c r="AH37" s="35">
        <v>24</v>
      </c>
      <c r="AI37" s="35"/>
      <c r="AJ37" s="39"/>
      <c r="AK37" s="39"/>
      <c r="AL37" s="39"/>
      <c r="AM37" s="39">
        <f t="shared" si="49"/>
        <v>24</v>
      </c>
      <c r="AN37" s="39"/>
      <c r="AO37" s="39"/>
      <c r="AP37" s="39"/>
      <c r="AQ37" s="39"/>
      <c r="AR37" s="39">
        <f t="shared" si="50"/>
        <v>0</v>
      </c>
      <c r="AS37" s="39"/>
      <c r="AT37" s="39"/>
      <c r="AU37" s="39"/>
      <c r="AV37" s="39"/>
      <c r="AW37" s="39"/>
      <c r="AX37" s="39"/>
      <c r="AY37" s="39"/>
      <c r="AZ37" s="39"/>
      <c r="BA37" s="39">
        <f t="shared" si="51"/>
        <v>0</v>
      </c>
      <c r="BB37" s="35"/>
      <c r="BC37" s="482"/>
      <c r="BD37" s="482"/>
      <c r="BE37" s="35"/>
      <c r="BF37" s="482"/>
    </row>
    <row r="38" spans="1:58" ht="12.95" customHeight="1">
      <c r="A38" s="42"/>
      <c r="B38" s="43"/>
      <c r="C38" s="398"/>
      <c r="D38" s="43"/>
      <c r="E38" s="44"/>
      <c r="F38" s="44"/>
      <c r="G38" s="411"/>
      <c r="H38" s="46"/>
      <c r="I38" s="47"/>
      <c r="J38" s="84"/>
      <c r="K38" s="84"/>
      <c r="L38" s="37"/>
      <c r="M38" s="37"/>
      <c r="N38" s="48"/>
      <c r="O38" s="49"/>
      <c r="P38" s="50"/>
      <c r="Q38" s="49"/>
      <c r="R38" s="367"/>
      <c r="S38" s="367"/>
      <c r="T38" s="39"/>
      <c r="U38" s="39"/>
      <c r="V38" s="39"/>
      <c r="W38" s="39"/>
      <c r="X38" s="40"/>
      <c r="Y38" s="211"/>
      <c r="Z38" s="39"/>
      <c r="AA38" s="39"/>
      <c r="AB38" s="39"/>
      <c r="AC38" s="39"/>
      <c r="AD38" s="39"/>
      <c r="AE38" s="228"/>
      <c r="AF38" s="39"/>
      <c r="AG38" s="39"/>
      <c r="AH38" s="39"/>
      <c r="AI38" s="39"/>
      <c r="AJ38" s="39"/>
      <c r="AK38" s="39"/>
      <c r="AL38" s="39"/>
      <c r="AM38" s="39"/>
      <c r="AN38" s="39"/>
      <c r="AO38" s="39"/>
      <c r="AP38" s="39"/>
      <c r="AQ38" s="39"/>
      <c r="AR38" s="39"/>
      <c r="AS38" s="39"/>
      <c r="AT38" s="39"/>
      <c r="AU38" s="39"/>
      <c r="AV38" s="39"/>
      <c r="AW38" s="39"/>
      <c r="AX38" s="39"/>
      <c r="AY38" s="39"/>
      <c r="AZ38" s="39"/>
      <c r="BA38" s="39"/>
      <c r="BB38" s="35"/>
      <c r="BC38" s="53"/>
      <c r="BD38" s="482"/>
      <c r="BE38" s="35"/>
      <c r="BF38" s="482"/>
    </row>
    <row r="39" spans="1:58" ht="12.75" customHeight="1">
      <c r="A39" s="42">
        <v>45845</v>
      </c>
      <c r="B39" s="43" t="s">
        <v>528</v>
      </c>
      <c r="C39" s="398">
        <f>(M39*E39*O39*Q39)/100000000</f>
        <v>51.285686400000003</v>
      </c>
      <c r="D39" s="43" t="s">
        <v>307</v>
      </c>
      <c r="E39" s="44">
        <v>13</v>
      </c>
      <c r="F39" s="44">
        <v>1</v>
      </c>
      <c r="G39" s="411">
        <v>1310</v>
      </c>
      <c r="H39" s="46">
        <f>+N39</f>
        <v>0.18000000000000005</v>
      </c>
      <c r="I39" s="47">
        <v>0.88</v>
      </c>
      <c r="J39" s="84">
        <f>E39*G39*(1-H39)*1440/1000000*2.74</f>
        <v>55.098725760000001</v>
      </c>
      <c r="K39" s="84">
        <f>(IF(G39&lt;L39,L39,G39)*(1-IF(H39&lt;N39,H39,N39))*E39*O39*Q39)/100000000</f>
        <v>51.68019168</v>
      </c>
      <c r="L39" s="37">
        <v>1300</v>
      </c>
      <c r="M39" s="37">
        <v>1066</v>
      </c>
      <c r="N39" s="48">
        <f>1-(M39/L39)</f>
        <v>0.18000000000000005</v>
      </c>
      <c r="O39" s="49">
        <f>+'Trim Rwd'!H20</f>
        <v>257</v>
      </c>
      <c r="P39" s="50">
        <f>O39*(Q39-R39-S39)</f>
        <v>363912</v>
      </c>
      <c r="Q39" s="49">
        <v>1440</v>
      </c>
      <c r="R39" s="367">
        <v>0</v>
      </c>
      <c r="S39" s="367">
        <v>24</v>
      </c>
      <c r="T39" s="39">
        <f>E39*M39*O39*Q39/100000000</f>
        <v>51.285686400000003</v>
      </c>
      <c r="U39" s="39">
        <f>E39*M39*O39*(Q39-R39-S39)/100000000</f>
        <v>50.430924959999999</v>
      </c>
      <c r="V39" s="39">
        <f>E39*G39*(1-N39)*O39/100*(R39+S39)/1000000</f>
        <v>0.86133652799999993</v>
      </c>
      <c r="W39" s="39">
        <f>+'7'!K9/1000</f>
        <v>48.341000000000001</v>
      </c>
      <c r="X39" s="366">
        <f>SUM(W39:W42)/SUM(K39:K42)</f>
        <v>0.93538739754147915</v>
      </c>
      <c r="Y39" s="39">
        <f>+SUM(RBP!AG29:AG30)</f>
        <v>0</v>
      </c>
      <c r="Z39" s="39">
        <f>+'1'!D66/1000</f>
        <v>0</v>
      </c>
      <c r="AA39" s="51">
        <f>SUM(U39:U42)-SUM(W39:W42)-SUM(Z39:Z42)-SUM(Y39:Y42)</f>
        <v>2.0899249599999976</v>
      </c>
      <c r="AB39" s="51">
        <f>(SUM(K39:K42)-SUM(W39:W42)-SUM(Y39:Y42)-SUM(Z39:Z42)-SUM(AC39:AC42)-SUM(V39:V42))-AA39</f>
        <v>-6.5750879999955103E-3</v>
      </c>
      <c r="AC39" s="39">
        <f>K39-T39</f>
        <v>0.39450527999999707</v>
      </c>
      <c r="AD39" s="39">
        <f>+AM39+BA39</f>
        <v>0</v>
      </c>
      <c r="AE39" s="228" t="s">
        <v>461</v>
      </c>
      <c r="AF39" s="39">
        <v>0</v>
      </c>
      <c r="AG39" s="39"/>
      <c r="AH39" s="39"/>
      <c r="AI39" s="39"/>
      <c r="AJ39" s="39"/>
      <c r="AK39" s="39"/>
      <c r="AL39" s="39"/>
      <c r="AM39" s="39">
        <f>SUM(AF39:AL39)+AT39+AV39+AX39</f>
        <v>0</v>
      </c>
      <c r="AN39" s="39"/>
      <c r="AO39" s="39"/>
      <c r="AP39" s="39"/>
      <c r="AQ39" s="39"/>
      <c r="AR39" s="39">
        <f>SUM(AN39:AQ39)</f>
        <v>0</v>
      </c>
      <c r="AS39" s="39"/>
      <c r="AT39" s="39"/>
      <c r="AU39" s="39"/>
      <c r="AV39" s="39"/>
      <c r="AW39" s="39"/>
      <c r="AX39" s="39"/>
      <c r="AY39" s="39"/>
      <c r="AZ39" s="39"/>
      <c r="BA39" s="39">
        <f>+AR39+AS39+AU39+AW39+AY39+AZ39</f>
        <v>0</v>
      </c>
      <c r="BB39" s="35">
        <v>0</v>
      </c>
      <c r="BC39" s="53"/>
      <c r="BD39" s="53"/>
      <c r="BE39" s="35"/>
      <c r="BF39" s="53"/>
    </row>
    <row r="40" spans="1:58" ht="12.95" customHeight="1">
      <c r="A40" s="42"/>
      <c r="B40" s="43"/>
      <c r="C40" s="398"/>
      <c r="D40" s="43"/>
      <c r="E40" s="44"/>
      <c r="F40" s="44"/>
      <c r="G40" s="411"/>
      <c r="H40" s="46"/>
      <c r="I40" s="47"/>
      <c r="J40" s="84"/>
      <c r="K40" s="84"/>
      <c r="L40" s="37"/>
      <c r="M40" s="37"/>
      <c r="N40" s="48"/>
      <c r="O40" s="49"/>
      <c r="P40" s="50"/>
      <c r="Q40" s="49"/>
      <c r="R40" s="367"/>
      <c r="S40" s="367"/>
      <c r="T40" s="39"/>
      <c r="U40" s="39"/>
      <c r="V40" s="39"/>
      <c r="W40" s="39"/>
      <c r="X40" s="40"/>
      <c r="Y40" s="211"/>
      <c r="Z40" s="39"/>
      <c r="AA40" s="39"/>
      <c r="AB40" s="39"/>
      <c r="AC40" s="39"/>
      <c r="AD40" s="39">
        <f t="shared" ref="AD40:AD41" si="52">+AM40+BA40</f>
        <v>12</v>
      </c>
      <c r="AE40" s="228" t="s">
        <v>544</v>
      </c>
      <c r="AF40" s="39"/>
      <c r="AG40" s="39">
        <v>12</v>
      </c>
      <c r="AH40" s="39"/>
      <c r="AI40" s="39"/>
      <c r="AJ40" s="39"/>
      <c r="AK40" s="39"/>
      <c r="AL40" s="39"/>
      <c r="AM40" s="39">
        <f t="shared" ref="AM40:AM41" si="53">SUM(AF40:AL40)+AT40+AV40+AX40</f>
        <v>12</v>
      </c>
      <c r="AN40" s="85"/>
      <c r="AO40" s="39"/>
      <c r="AP40" s="39"/>
      <c r="AQ40" s="39"/>
      <c r="AR40" s="39">
        <f t="shared" ref="AR40:AR41" si="54">SUM(AN40:AQ40)</f>
        <v>0</v>
      </c>
      <c r="AS40" s="39"/>
      <c r="AT40" s="39"/>
      <c r="AU40" s="39"/>
      <c r="AV40" s="39"/>
      <c r="AW40" s="39"/>
      <c r="AX40" s="39"/>
      <c r="AY40" s="39"/>
      <c r="AZ40" s="39"/>
      <c r="BA40" s="39">
        <f t="shared" ref="BA40:BA41" si="55">+AR40+AS40+AU40+AW40+AY40+AZ40</f>
        <v>0</v>
      </c>
      <c r="BB40" s="52"/>
      <c r="BC40" s="53">
        <v>11</v>
      </c>
      <c r="BD40" s="53"/>
      <c r="BE40" s="52"/>
      <c r="BF40" s="53"/>
    </row>
    <row r="41" spans="1:58" ht="12.95" customHeight="1">
      <c r="A41" s="42"/>
      <c r="B41" s="43"/>
      <c r="C41" s="398"/>
      <c r="D41" s="43"/>
      <c r="E41" s="44"/>
      <c r="F41" s="44"/>
      <c r="G41" s="45"/>
      <c r="H41" s="46"/>
      <c r="I41" s="47"/>
      <c r="J41" s="84"/>
      <c r="K41" s="84"/>
      <c r="L41" s="37"/>
      <c r="M41" s="37"/>
      <c r="N41" s="48"/>
      <c r="O41" s="49"/>
      <c r="P41" s="50"/>
      <c r="Q41" s="49"/>
      <c r="R41" s="367"/>
      <c r="S41" s="367"/>
      <c r="T41" s="39"/>
      <c r="U41" s="39"/>
      <c r="V41" s="39"/>
      <c r="W41" s="39"/>
      <c r="X41" s="40"/>
      <c r="Y41" s="211"/>
      <c r="Z41" s="39"/>
      <c r="AA41" s="39"/>
      <c r="AB41" s="39"/>
      <c r="AC41" s="39"/>
      <c r="AD41" s="39">
        <f t="shared" si="52"/>
        <v>12</v>
      </c>
      <c r="AE41" s="228" t="s">
        <v>504</v>
      </c>
      <c r="AF41" s="35"/>
      <c r="AG41" s="35"/>
      <c r="AH41" s="35">
        <v>12</v>
      </c>
      <c r="AI41" s="35"/>
      <c r="AJ41" s="39"/>
      <c r="AK41" s="39"/>
      <c r="AL41" s="39"/>
      <c r="AM41" s="39">
        <f t="shared" si="53"/>
        <v>12</v>
      </c>
      <c r="AN41" s="39"/>
      <c r="AO41" s="39"/>
      <c r="AP41" s="39"/>
      <c r="AQ41" s="39"/>
      <c r="AR41" s="39">
        <f t="shared" si="54"/>
        <v>0</v>
      </c>
      <c r="AS41" s="39"/>
      <c r="AT41" s="39"/>
      <c r="AU41" s="39"/>
      <c r="AV41" s="39"/>
      <c r="AW41" s="39"/>
      <c r="AX41" s="39"/>
      <c r="AY41" s="39"/>
      <c r="AZ41" s="39"/>
      <c r="BA41" s="39">
        <f t="shared" si="55"/>
        <v>0</v>
      </c>
      <c r="BB41" s="35"/>
      <c r="BC41" s="482"/>
      <c r="BD41" s="482"/>
      <c r="BE41" s="35"/>
      <c r="BF41" s="482"/>
    </row>
    <row r="42" spans="1:58" ht="12.95" customHeight="1">
      <c r="A42" s="42"/>
      <c r="B42" s="43"/>
      <c r="C42" s="398"/>
      <c r="D42" s="43"/>
      <c r="E42" s="44"/>
      <c r="F42" s="44"/>
      <c r="G42" s="411"/>
      <c r="H42" s="46"/>
      <c r="I42" s="47"/>
      <c r="J42" s="84"/>
      <c r="K42" s="84"/>
      <c r="L42" s="37"/>
      <c r="M42" s="37"/>
      <c r="N42" s="48"/>
      <c r="O42" s="49"/>
      <c r="P42" s="50"/>
      <c r="Q42" s="49"/>
      <c r="R42" s="367"/>
      <c r="S42" s="367"/>
      <c r="T42" s="39"/>
      <c r="U42" s="39"/>
      <c r="V42" s="39"/>
      <c r="W42" s="39"/>
      <c r="X42" s="366"/>
      <c r="Y42" s="211"/>
      <c r="Z42" s="39"/>
      <c r="AA42" s="51"/>
      <c r="AB42" s="51"/>
      <c r="AC42" s="39"/>
      <c r="AD42" s="39"/>
      <c r="AE42" s="228"/>
      <c r="AF42" s="39"/>
      <c r="AG42" s="39"/>
      <c r="AH42" s="39"/>
      <c r="AI42" s="39"/>
      <c r="AJ42" s="39"/>
      <c r="AK42" s="39"/>
      <c r="AL42" s="39"/>
      <c r="AM42" s="39"/>
      <c r="AN42" s="39"/>
      <c r="AO42" s="39"/>
      <c r="AP42" s="39"/>
      <c r="AQ42" s="39"/>
      <c r="AR42" s="39"/>
      <c r="AS42" s="39"/>
      <c r="AT42" s="39"/>
      <c r="AU42" s="39"/>
      <c r="AV42" s="39"/>
      <c r="AW42" s="39"/>
      <c r="AX42" s="39"/>
      <c r="AY42" s="39"/>
      <c r="AZ42" s="39"/>
      <c r="BA42" s="39"/>
      <c r="BB42" s="52"/>
      <c r="BC42" s="53"/>
      <c r="BD42" s="482"/>
      <c r="BE42" s="35"/>
      <c r="BF42" s="482"/>
    </row>
    <row r="43" spans="1:58" ht="12.75" customHeight="1">
      <c r="A43" s="42">
        <v>45846</v>
      </c>
      <c r="B43" s="43" t="s">
        <v>528</v>
      </c>
      <c r="C43" s="398">
        <f>(M43*E43*O43*Q43)/100000000</f>
        <v>22.0813372</v>
      </c>
      <c r="D43" s="43" t="s">
        <v>307</v>
      </c>
      <c r="E43" s="44">
        <v>13</v>
      </c>
      <c r="F43" s="44">
        <v>1</v>
      </c>
      <c r="G43" s="411">
        <v>1310</v>
      </c>
      <c r="H43" s="46">
        <f>+N43</f>
        <v>0.18000000000000005</v>
      </c>
      <c r="I43" s="47">
        <v>0.88</v>
      </c>
      <c r="J43" s="84">
        <f>E43*G43*(1-H43)*1440/1000000*2.74</f>
        <v>55.098725760000001</v>
      </c>
      <c r="K43" s="84">
        <f>(IF(G43&lt;L43,L43,G43)*(1-IF(H43&lt;N43,H43,N43))*E43*O43*Q43)/100000000</f>
        <v>22.25119364</v>
      </c>
      <c r="L43" s="37">
        <v>1300</v>
      </c>
      <c r="M43" s="37">
        <v>1066</v>
      </c>
      <c r="N43" s="48">
        <f>1-(M43/L43)</f>
        <v>0.18000000000000005</v>
      </c>
      <c r="O43" s="49">
        <f>+'Trim Rwd'!H22</f>
        <v>257</v>
      </c>
      <c r="P43" s="50">
        <f>O43*(Q43-R43-S43)</f>
        <v>155742</v>
      </c>
      <c r="Q43" s="49">
        <v>620</v>
      </c>
      <c r="R43" s="367">
        <v>0</v>
      </c>
      <c r="S43" s="367">
        <v>14</v>
      </c>
      <c r="T43" s="39">
        <f>E43*M43*O43*Q43/100000000</f>
        <v>22.0813372</v>
      </c>
      <c r="U43" s="39">
        <f>E43*M43*O43*(Q43-R43-S43)/100000000</f>
        <v>21.582726359999999</v>
      </c>
      <c r="V43" s="39">
        <f>E43*G43*(1-N43)*O43/100*(R43+S43)/1000000</f>
        <v>0.50244630800000001</v>
      </c>
      <c r="W43" s="39">
        <f>+'8'!K9/1000</f>
        <v>28.852</v>
      </c>
      <c r="X43" s="366">
        <f>SUM(W43:W46)/SUM(K43:K46)</f>
        <v>0.98169390383299382</v>
      </c>
      <c r="Y43" s="39">
        <f>+SUM(RBP!AG33:AG34)</f>
        <v>0</v>
      </c>
      <c r="Z43" s="39">
        <f>+'1'!D70/1000</f>
        <v>0</v>
      </c>
      <c r="AA43" s="51">
        <f>SUM(U43:U46)-SUM(W43:W46)-SUM(Z43:Z46)-SUM(Y43:Y46)</f>
        <v>-0.43981583000000768</v>
      </c>
      <c r="AB43" s="51">
        <f>(SUM(K43:K46)-SUM(W43:W46)-SUM(Y43:Y46)-SUM(Z43:Z46)-SUM(AC43:AC46)-SUM(V43:V46))-AA43</f>
        <v>-3.8354679999987873E-3</v>
      </c>
      <c r="AC43" s="39">
        <f>K43-T43</f>
        <v>0.16985644000000022</v>
      </c>
      <c r="AD43" s="39">
        <f>+AM43+BA43</f>
        <v>0</v>
      </c>
      <c r="AE43" s="228" t="s">
        <v>461</v>
      </c>
      <c r="AF43" s="39">
        <v>0</v>
      </c>
      <c r="AG43" s="39"/>
      <c r="AH43" s="39"/>
      <c r="AI43" s="39"/>
      <c r="AJ43" s="39"/>
      <c r="AK43" s="39"/>
      <c r="AL43" s="39"/>
      <c r="AM43" s="39">
        <f>SUM(AF43:AL43)+AT43+AV43+AX43</f>
        <v>0</v>
      </c>
      <c r="AN43" s="39"/>
      <c r="AO43" s="39"/>
      <c r="AP43" s="39"/>
      <c r="AQ43" s="39"/>
      <c r="AR43" s="39">
        <f>SUM(AN43:AQ43)</f>
        <v>0</v>
      </c>
      <c r="AS43" s="39"/>
      <c r="AT43" s="39"/>
      <c r="AU43" s="39"/>
      <c r="AV43" s="39"/>
      <c r="AW43" s="39"/>
      <c r="AX43" s="39"/>
      <c r="AY43" s="39"/>
      <c r="AZ43" s="39"/>
      <c r="BA43" s="39">
        <f>+AR43+AS43+AU43+AW43+AY43+AZ43</f>
        <v>0</v>
      </c>
      <c r="BB43" s="35">
        <v>0</v>
      </c>
      <c r="BC43" s="53"/>
      <c r="BD43" s="53">
        <v>3</v>
      </c>
      <c r="BE43" s="35"/>
      <c r="BF43" s="53"/>
    </row>
    <row r="44" spans="1:58" ht="12.95" customHeight="1">
      <c r="A44" s="42"/>
      <c r="B44" s="43" t="s">
        <v>528</v>
      </c>
      <c r="C44" s="398">
        <f t="shared" ref="C44:C45" si="56">(M44*E44*O44*Q44)/100000000</f>
        <v>10.8810702</v>
      </c>
      <c r="D44" s="43" t="s">
        <v>307</v>
      </c>
      <c r="E44" s="44">
        <v>13</v>
      </c>
      <c r="F44" s="44">
        <v>1</v>
      </c>
      <c r="G44" s="411">
        <v>1350</v>
      </c>
      <c r="H44" s="46">
        <v>0.23</v>
      </c>
      <c r="I44" s="47">
        <v>0.88</v>
      </c>
      <c r="J44" s="84">
        <f t="shared" ref="J44:J45" si="57">E44*G44*(1-H44)*1440/1000000*2.74</f>
        <v>53.318865600000009</v>
      </c>
      <c r="K44" s="84">
        <f t="shared" ref="K44:K45" si="58">(IF(G44&lt;L44,L44,G44)*(1-IF(H44&lt;N44,H44,N44))*E44*O44*Q44)/100000000</f>
        <v>10.8810702</v>
      </c>
      <c r="L44" s="37">
        <v>1350</v>
      </c>
      <c r="M44" s="37">
        <v>1039.5</v>
      </c>
      <c r="N44" s="48">
        <f t="shared" ref="N44:N45" si="59">1-(M44/L44)</f>
        <v>0.22999999999999998</v>
      </c>
      <c r="O44" s="49">
        <f>+'Trim Rwd'!H23</f>
        <v>264</v>
      </c>
      <c r="P44" s="50">
        <f t="shared" ref="P44:P45" si="60">O44*(Q44-R44-S44)</f>
        <v>78408</v>
      </c>
      <c r="Q44" s="49">
        <v>305</v>
      </c>
      <c r="R44" s="367">
        <v>0</v>
      </c>
      <c r="S44" s="367">
        <f>34-S43-S45</f>
        <v>8</v>
      </c>
      <c r="T44" s="39">
        <f t="shared" ref="T44:T45" si="61">E44*M44*O44*Q44/100000000</f>
        <v>10.8810702</v>
      </c>
      <c r="U44" s="39">
        <f t="shared" ref="U44:U45" si="62">E44*M44*O44*(Q44-R44-S44)/100000000</f>
        <v>10.59566508</v>
      </c>
      <c r="V44" s="39">
        <f t="shared" ref="V44:V45" si="63">E44*G44*(1-N44)*O44/100*(R44+S44)/1000000</f>
        <v>0.28540512000000001</v>
      </c>
      <c r="W44" s="39">
        <f>+'8'!K11/1000</f>
        <v>10.128</v>
      </c>
      <c r="X44" s="40"/>
      <c r="Y44" s="211"/>
      <c r="Z44" s="39"/>
      <c r="AA44" s="39"/>
      <c r="AB44" s="39"/>
      <c r="AC44" s="39"/>
      <c r="AD44" s="39">
        <f t="shared" ref="AD44:AD46" si="64">+AM44+BA44</f>
        <v>13</v>
      </c>
      <c r="AE44" s="228" t="s">
        <v>532</v>
      </c>
      <c r="AF44" s="39"/>
      <c r="AG44" s="39">
        <v>13</v>
      </c>
      <c r="AH44" s="39"/>
      <c r="AI44" s="39"/>
      <c r="AJ44" s="39"/>
      <c r="AK44" s="39"/>
      <c r="AL44" s="39"/>
      <c r="AM44" s="39">
        <f t="shared" ref="AM44:AM46" si="65">SUM(AF44:AL44)+AT44+AV44+AX44</f>
        <v>13</v>
      </c>
      <c r="AN44" s="85"/>
      <c r="AO44" s="39"/>
      <c r="AP44" s="39"/>
      <c r="AQ44" s="39"/>
      <c r="AR44" s="39">
        <f t="shared" ref="AR44:AR46" si="66">SUM(AN44:AQ44)</f>
        <v>0</v>
      </c>
      <c r="AS44" s="39"/>
      <c r="AT44" s="39"/>
      <c r="AU44" s="39"/>
      <c r="AV44" s="39"/>
      <c r="AW44" s="39"/>
      <c r="AX44" s="39"/>
      <c r="AY44" s="39"/>
      <c r="AZ44" s="39"/>
      <c r="BA44" s="39">
        <f t="shared" ref="BA44:BA45" si="67">+AR44+AS44+AU44+AW44+AY44+AZ44</f>
        <v>0</v>
      </c>
      <c r="BB44" s="52"/>
      <c r="BC44" s="53">
        <v>10</v>
      </c>
      <c r="BD44" s="53"/>
      <c r="BE44" s="52"/>
      <c r="BF44" s="53"/>
    </row>
    <row r="45" spans="1:58" ht="12.95" customHeight="1">
      <c r="A45" s="42"/>
      <c r="B45" s="43" t="s">
        <v>8</v>
      </c>
      <c r="C45" s="398">
        <f t="shared" si="56"/>
        <v>18.512143649999999</v>
      </c>
      <c r="D45" s="43" t="s">
        <v>307</v>
      </c>
      <c r="E45" s="44">
        <v>13</v>
      </c>
      <c r="F45" s="44">
        <v>1</v>
      </c>
      <c r="G45" s="411">
        <v>1350</v>
      </c>
      <c r="H45" s="46">
        <f t="shared" ref="H45" si="68">+N45</f>
        <v>0.22999999999999998</v>
      </c>
      <c r="I45" s="47">
        <v>0.88</v>
      </c>
      <c r="J45" s="84">
        <f t="shared" si="57"/>
        <v>53.318865600000009</v>
      </c>
      <c r="K45" s="84">
        <f t="shared" si="58"/>
        <v>18.512143649999999</v>
      </c>
      <c r="L45" s="37">
        <v>1350</v>
      </c>
      <c r="M45" s="37">
        <v>1039.5</v>
      </c>
      <c r="N45" s="48">
        <f t="shared" si="59"/>
        <v>0.22999999999999998</v>
      </c>
      <c r="O45" s="49">
        <f>+'Trim Rwd'!H24</f>
        <v>266</v>
      </c>
      <c r="P45" s="50">
        <f t="shared" si="60"/>
        <v>133798</v>
      </c>
      <c r="Q45" s="49">
        <v>515</v>
      </c>
      <c r="R45" s="367">
        <v>0</v>
      </c>
      <c r="S45" s="367">
        <v>12</v>
      </c>
      <c r="T45" s="39">
        <f t="shared" si="61"/>
        <v>18.512143649999999</v>
      </c>
      <c r="U45" s="39">
        <f t="shared" si="62"/>
        <v>18.080792729999999</v>
      </c>
      <c r="V45" s="39">
        <f t="shared" si="63"/>
        <v>0.43135092000000003</v>
      </c>
      <c r="W45" s="39">
        <f>+'8'!K10/1000</f>
        <v>11.718999999999999</v>
      </c>
      <c r="X45" s="40"/>
      <c r="Y45" s="211"/>
      <c r="Z45" s="39"/>
      <c r="AA45" s="39"/>
      <c r="AB45" s="39"/>
      <c r="AC45" s="39"/>
      <c r="AD45" s="39">
        <f t="shared" si="64"/>
        <v>16</v>
      </c>
      <c r="AE45" s="228" t="s">
        <v>404</v>
      </c>
      <c r="AF45" s="35"/>
      <c r="AG45" s="35"/>
      <c r="AH45" s="35">
        <v>16</v>
      </c>
      <c r="AI45" s="35"/>
      <c r="AJ45" s="39"/>
      <c r="AK45" s="39"/>
      <c r="AL45" s="39"/>
      <c r="AM45" s="39">
        <f t="shared" si="65"/>
        <v>16</v>
      </c>
      <c r="AN45" s="39"/>
      <c r="AO45" s="39"/>
      <c r="AP45" s="39"/>
      <c r="AQ45" s="39"/>
      <c r="AR45" s="39">
        <f t="shared" si="66"/>
        <v>0</v>
      </c>
      <c r="AS45" s="39"/>
      <c r="AT45" s="39"/>
      <c r="AU45" s="39"/>
      <c r="AV45" s="39"/>
      <c r="AW45" s="39"/>
      <c r="AX45" s="39"/>
      <c r="AY45" s="39"/>
      <c r="AZ45" s="39"/>
      <c r="BA45" s="39">
        <f t="shared" si="67"/>
        <v>0</v>
      </c>
      <c r="BB45" s="35"/>
      <c r="BC45" s="482"/>
      <c r="BD45" s="482"/>
      <c r="BE45" s="35"/>
      <c r="BF45" s="482"/>
    </row>
    <row r="46" spans="1:58" ht="12.95" customHeight="1">
      <c r="A46" s="42"/>
      <c r="B46" s="43"/>
      <c r="C46" s="398"/>
      <c r="D46" s="43"/>
      <c r="E46" s="44"/>
      <c r="F46" s="44"/>
      <c r="G46" s="411"/>
      <c r="H46" s="46"/>
      <c r="I46" s="47"/>
      <c r="J46" s="84"/>
      <c r="K46" s="84"/>
      <c r="L46" s="37"/>
      <c r="M46" s="37"/>
      <c r="N46" s="48"/>
      <c r="O46" s="49"/>
      <c r="P46" s="50"/>
      <c r="Q46" s="49"/>
      <c r="R46" s="367"/>
      <c r="S46" s="367"/>
      <c r="T46" s="39"/>
      <c r="U46" s="39"/>
      <c r="V46" s="39"/>
      <c r="W46" s="39"/>
      <c r="X46" s="366"/>
      <c r="Y46" s="211"/>
      <c r="Z46" s="39"/>
      <c r="AA46" s="51"/>
      <c r="AB46" s="51"/>
      <c r="AC46" s="39"/>
      <c r="AD46" s="39">
        <f t="shared" si="64"/>
        <v>5</v>
      </c>
      <c r="AE46" s="228" t="s">
        <v>555</v>
      </c>
      <c r="AF46" s="39"/>
      <c r="AG46" s="39"/>
      <c r="AH46" s="39"/>
      <c r="AI46" s="39"/>
      <c r="AJ46" s="39"/>
      <c r="AK46" s="39"/>
      <c r="AL46" s="39"/>
      <c r="AM46" s="39">
        <f t="shared" si="65"/>
        <v>5</v>
      </c>
      <c r="AN46" s="39"/>
      <c r="AO46" s="39"/>
      <c r="AP46" s="39"/>
      <c r="AQ46" s="39"/>
      <c r="AR46" s="39">
        <f t="shared" si="66"/>
        <v>0</v>
      </c>
      <c r="AS46" s="39"/>
      <c r="AT46" s="39"/>
      <c r="AU46" s="39"/>
      <c r="AV46" s="39">
        <v>5</v>
      </c>
      <c r="AW46" s="39"/>
      <c r="AX46" s="39"/>
      <c r="AY46" s="39"/>
      <c r="AZ46" s="39"/>
      <c r="BA46" s="39"/>
      <c r="BB46" s="52"/>
      <c r="BC46" s="53"/>
      <c r="BD46" s="482"/>
      <c r="BE46" s="35"/>
      <c r="BF46" s="482"/>
    </row>
    <row r="47" spans="1:58" ht="12.95" customHeight="1">
      <c r="A47" s="42"/>
      <c r="B47" s="43"/>
      <c r="C47" s="398"/>
      <c r="D47" s="43"/>
      <c r="E47" s="44"/>
      <c r="F47" s="44"/>
      <c r="G47" s="411"/>
      <c r="H47" s="46"/>
      <c r="I47" s="47"/>
      <c r="J47" s="84"/>
      <c r="K47" s="84"/>
      <c r="L47" s="37"/>
      <c r="M47" s="37"/>
      <c r="N47" s="48"/>
      <c r="O47" s="49"/>
      <c r="P47" s="50"/>
      <c r="Q47" s="49"/>
      <c r="R47" s="367"/>
      <c r="S47" s="367"/>
      <c r="T47" s="39"/>
      <c r="U47" s="39"/>
      <c r="V47" s="39"/>
      <c r="W47" s="39"/>
      <c r="X47" s="366"/>
      <c r="Y47" s="39"/>
      <c r="Z47" s="39"/>
      <c r="AA47" s="51"/>
      <c r="AB47" s="51"/>
      <c r="AC47" s="39"/>
      <c r="AD47" s="39"/>
      <c r="AE47" s="228"/>
      <c r="AF47" s="39"/>
      <c r="AG47" s="39"/>
      <c r="AH47" s="39"/>
      <c r="AI47" s="481"/>
      <c r="AJ47" s="39"/>
      <c r="AK47" s="39"/>
      <c r="AL47" s="39"/>
      <c r="AM47" s="39"/>
      <c r="AN47" s="39"/>
      <c r="AO47" s="39"/>
      <c r="AP47" s="39"/>
      <c r="AQ47" s="39"/>
      <c r="AR47" s="39"/>
      <c r="AS47" s="39"/>
      <c r="AT47" s="39"/>
      <c r="AU47" s="39"/>
      <c r="AV47" s="39"/>
      <c r="AW47" s="39"/>
      <c r="AX47" s="39"/>
      <c r="AY47" s="39"/>
      <c r="AZ47" s="39"/>
      <c r="BA47" s="39"/>
      <c r="BB47" s="35"/>
      <c r="BC47" s="53"/>
      <c r="BD47" s="53"/>
      <c r="BE47" s="52"/>
      <c r="BF47" s="53"/>
    </row>
    <row r="48" spans="1:58" ht="12.75" customHeight="1">
      <c r="A48" s="42">
        <v>45847</v>
      </c>
      <c r="B48" s="43" t="s">
        <v>8</v>
      </c>
      <c r="C48" s="398">
        <f t="shared" ref="C48" si="69">(M48*E48*O48*Q48)/100000000</f>
        <v>4.2416173800000001</v>
      </c>
      <c r="D48" s="43" t="s">
        <v>307</v>
      </c>
      <c r="E48" s="44">
        <v>13</v>
      </c>
      <c r="F48" s="44">
        <v>1</v>
      </c>
      <c r="G48" s="411">
        <v>1350</v>
      </c>
      <c r="H48" s="46">
        <f t="shared" ref="H48" si="70">+N48</f>
        <v>0.22999999999999998</v>
      </c>
      <c r="I48" s="47">
        <v>0.88</v>
      </c>
      <c r="J48" s="84">
        <f t="shared" ref="J48" si="71">E48*G48*(1-H48)*1440/1000000*2.74</f>
        <v>53.318865600000009</v>
      </c>
      <c r="K48" s="84">
        <f t="shared" ref="K48" si="72">(IF(G48&lt;L48,L48,G48)*(1-IF(H48&lt;N48,H48,N48))*E48*O48*Q48)/100000000</f>
        <v>4.2416173800000001</v>
      </c>
      <c r="L48" s="37">
        <v>1350</v>
      </c>
      <c r="M48" s="37">
        <v>1039.5</v>
      </c>
      <c r="N48" s="48">
        <f t="shared" ref="N48" si="73">1-(M48/L48)</f>
        <v>0.22999999999999998</v>
      </c>
      <c r="O48" s="49">
        <f>+'Trim Rwd'!H26</f>
        <v>266</v>
      </c>
      <c r="P48" s="50">
        <f t="shared" ref="P48" si="74">O48*(Q48-R48-S48)</f>
        <v>24738</v>
      </c>
      <c r="Q48" s="49">
        <v>118</v>
      </c>
      <c r="R48" s="367">
        <v>0</v>
      </c>
      <c r="S48" s="367">
        <v>25</v>
      </c>
      <c r="T48" s="39">
        <f t="shared" ref="T48" si="75">E48*M48*O48*Q48/100000000</f>
        <v>4.2416173800000001</v>
      </c>
      <c r="U48" s="39">
        <f t="shared" ref="U48" si="76">E48*M48*O48*(Q48-R48-S48)/100000000</f>
        <v>3.3429696299999998</v>
      </c>
      <c r="V48" s="39">
        <f t="shared" ref="V48" si="77">E48*G48*(1-N48)*O48/100*(R48+S48)/1000000</f>
        <v>0.89864775000000008</v>
      </c>
      <c r="W48" s="39">
        <f>+'9'!K10/1000</f>
        <v>10.231</v>
      </c>
      <c r="X48" s="366">
        <f>SUM(W48:W51)/SUM(K48:K51)</f>
        <v>0.91168308498261352</v>
      </c>
      <c r="Y48" s="39">
        <v>0</v>
      </c>
      <c r="Z48" s="39">
        <f>+'1'!D75/1000</f>
        <v>0</v>
      </c>
      <c r="AA48" s="51">
        <f>SUM(U48:U51)-SUM(W48:W51)-SUM(Z48:Z51)-SUM(Y48:Y51)</f>
        <v>-0.62928557000000751</v>
      </c>
      <c r="AB48" s="51">
        <f>(SUM(K48:K51)-SUM(W48:W51)-SUM(Y48:Y51)-SUM(Z48:Z51)-SUM(AC48:AC51)-SUM(V48:V51))-AA48</f>
        <v>3.5527136788005009E-15</v>
      </c>
      <c r="AC48" s="39">
        <f>K48-T48</f>
        <v>0</v>
      </c>
      <c r="AD48" s="39">
        <f>+AM48+BA48</f>
        <v>80</v>
      </c>
      <c r="AE48" s="228" t="s">
        <v>567</v>
      </c>
      <c r="AF48" s="39">
        <v>80</v>
      </c>
      <c r="AG48" s="39"/>
      <c r="AH48" s="39"/>
      <c r="AI48" s="39"/>
      <c r="AJ48" s="39"/>
      <c r="AK48" s="39"/>
      <c r="AL48" s="39"/>
      <c r="AM48" s="39">
        <f>SUM(AF48:AL48)+AT48+AV48+AX48</f>
        <v>80</v>
      </c>
      <c r="AN48" s="39"/>
      <c r="AO48" s="39"/>
      <c r="AP48" s="39"/>
      <c r="AQ48" s="39"/>
      <c r="AR48" s="39">
        <f>SUM(AN48:AQ48)</f>
        <v>0</v>
      </c>
      <c r="AS48" s="39"/>
      <c r="AT48" s="39"/>
      <c r="AU48" s="39"/>
      <c r="AV48" s="39"/>
      <c r="AW48" s="39"/>
      <c r="AX48" s="39"/>
      <c r="AY48" s="39"/>
      <c r="AZ48" s="39"/>
      <c r="BA48" s="39">
        <f>+AR48+AS48+AU48+AW48+AY48+AZ48</f>
        <v>0</v>
      </c>
      <c r="BB48" s="35">
        <v>30</v>
      </c>
      <c r="BC48" s="53"/>
      <c r="BD48" s="53"/>
      <c r="BE48" s="35"/>
      <c r="BF48" s="53"/>
    </row>
    <row r="49" spans="1:58" ht="12.95" customHeight="1">
      <c r="A49" s="42"/>
      <c r="B49" s="43" t="s">
        <v>8</v>
      </c>
      <c r="C49" s="398">
        <f t="shared" ref="C49" si="78">(M49*E49*O49*Q49)/100000000</f>
        <v>42.875632799999998</v>
      </c>
      <c r="D49" s="43" t="s">
        <v>307</v>
      </c>
      <c r="E49" s="44">
        <v>12</v>
      </c>
      <c r="F49" s="44">
        <v>1</v>
      </c>
      <c r="G49" s="411">
        <v>1350</v>
      </c>
      <c r="H49" s="46">
        <f t="shared" ref="H49" si="79">+N49</f>
        <v>0.22999999999999998</v>
      </c>
      <c r="I49" s="47">
        <v>0.88</v>
      </c>
      <c r="J49" s="84">
        <f t="shared" ref="J49" si="80">E49*G49*(1-H49)*1440/1000000*2.74</f>
        <v>49.217414400000003</v>
      </c>
      <c r="K49" s="84">
        <f t="shared" ref="K49" si="81">(IF(G49&lt;L49,L49,G49)*(1-IF(H49&lt;N49,H49,N49))*E49*O49*Q49)/100000000</f>
        <v>42.875632799999998</v>
      </c>
      <c r="L49" s="37">
        <v>1350</v>
      </c>
      <c r="M49" s="37">
        <v>1039.5</v>
      </c>
      <c r="N49" s="48">
        <f t="shared" ref="N49" si="82">1-(M49/L49)</f>
        <v>0.22999999999999998</v>
      </c>
      <c r="O49" s="49">
        <f>+'Trim Rwd'!H27</f>
        <v>260</v>
      </c>
      <c r="P49" s="50">
        <f t="shared" ref="P49" si="83">O49*(Q49-R49-S49)</f>
        <v>312520</v>
      </c>
      <c r="Q49" s="49">
        <v>1322</v>
      </c>
      <c r="R49" s="367">
        <v>0</v>
      </c>
      <c r="S49" s="367">
        <f>145-S48</f>
        <v>120</v>
      </c>
      <c r="T49" s="39">
        <f t="shared" ref="T49" si="84">E49*M49*O49*Q49/100000000</f>
        <v>42.875632799999998</v>
      </c>
      <c r="U49" s="39">
        <f t="shared" ref="U49" si="85">E49*M49*O49*(Q49-R49-S49)/100000000</f>
        <v>38.983744799999997</v>
      </c>
      <c r="V49" s="39">
        <f t="shared" ref="V49" si="86">E49*G49*(1-N49)*O49/100*(R49+S49)/1000000</f>
        <v>3.8918879999999998</v>
      </c>
      <c r="W49" s="39">
        <f>+'9'!K7/1000</f>
        <v>32.725000000000001</v>
      </c>
      <c r="X49" s="40"/>
      <c r="Y49" s="211"/>
      <c r="Z49" s="39"/>
      <c r="AA49" s="39"/>
      <c r="AB49" s="39"/>
      <c r="AC49" s="39"/>
      <c r="AD49" s="39">
        <f t="shared" ref="AD49:AD50" si="87">+AM49+BA49</f>
        <v>21</v>
      </c>
      <c r="AE49" s="228" t="s">
        <v>530</v>
      </c>
      <c r="AF49" s="39"/>
      <c r="AG49" s="39">
        <v>21</v>
      </c>
      <c r="AH49" s="39"/>
      <c r="AI49" s="39"/>
      <c r="AJ49" s="39"/>
      <c r="AK49" s="39"/>
      <c r="AL49" s="39"/>
      <c r="AM49" s="39">
        <f t="shared" ref="AM49:AM50" si="88">SUM(AF49:AL49)+AT49+AV49+AX49</f>
        <v>21</v>
      </c>
      <c r="AN49" s="85"/>
      <c r="AO49" s="39"/>
      <c r="AP49" s="39"/>
      <c r="AQ49" s="39"/>
      <c r="AR49" s="39">
        <f t="shared" ref="AR49:AR50" si="89">SUM(AN49:AQ49)</f>
        <v>0</v>
      </c>
      <c r="AS49" s="39"/>
      <c r="AT49" s="39"/>
      <c r="AU49" s="39"/>
      <c r="AV49" s="39"/>
      <c r="AW49" s="39"/>
      <c r="AX49" s="39"/>
      <c r="AY49" s="39"/>
      <c r="AZ49" s="39"/>
      <c r="BA49" s="39">
        <f t="shared" ref="BA49:BA50" si="90">+AR49+AS49+AU49+AW49+AY49+AZ49</f>
        <v>0</v>
      </c>
      <c r="BB49" s="52"/>
      <c r="BC49" s="53">
        <v>9</v>
      </c>
      <c r="BD49" s="53"/>
      <c r="BE49" s="52"/>
      <c r="BF49" s="53"/>
    </row>
    <row r="50" spans="1:58" ht="12.95" customHeight="1">
      <c r="A50" s="42"/>
      <c r="B50" s="43"/>
      <c r="C50" s="398"/>
      <c r="D50" s="43"/>
      <c r="E50" s="44"/>
      <c r="F50" s="44"/>
      <c r="G50" s="45"/>
      <c r="H50" s="46"/>
      <c r="I50" s="47"/>
      <c r="J50" s="84"/>
      <c r="K50" s="84"/>
      <c r="L50" s="37"/>
      <c r="M50" s="37"/>
      <c r="N50" s="48"/>
      <c r="O50" s="49"/>
      <c r="P50" s="50"/>
      <c r="Q50" s="49"/>
      <c r="R50" s="367"/>
      <c r="S50" s="367"/>
      <c r="T50" s="39"/>
      <c r="U50" s="39"/>
      <c r="V50" s="39"/>
      <c r="W50" s="39"/>
      <c r="X50" s="40"/>
      <c r="Y50" s="211"/>
      <c r="Z50" s="39"/>
      <c r="AA50" s="39"/>
      <c r="AB50" s="39"/>
      <c r="AC50" s="39"/>
      <c r="AD50" s="39">
        <f t="shared" si="87"/>
        <v>44</v>
      </c>
      <c r="AE50" s="228" t="s">
        <v>569</v>
      </c>
      <c r="AF50" s="35"/>
      <c r="AG50" s="35"/>
      <c r="AH50" s="35">
        <v>44</v>
      </c>
      <c r="AI50" s="35"/>
      <c r="AJ50" s="39"/>
      <c r="AK50" s="39"/>
      <c r="AL50" s="39"/>
      <c r="AM50" s="39">
        <f t="shared" si="88"/>
        <v>44</v>
      </c>
      <c r="AN50" s="39"/>
      <c r="AO50" s="39"/>
      <c r="AP50" s="39"/>
      <c r="AQ50" s="39"/>
      <c r="AR50" s="39">
        <f t="shared" si="89"/>
        <v>0</v>
      </c>
      <c r="AS50" s="39"/>
      <c r="AT50" s="39"/>
      <c r="AU50" s="39"/>
      <c r="AV50" s="39"/>
      <c r="AW50" s="39"/>
      <c r="AX50" s="39"/>
      <c r="AY50" s="39"/>
      <c r="AZ50" s="39"/>
      <c r="BA50" s="39">
        <f t="shared" si="90"/>
        <v>0</v>
      </c>
      <c r="BB50" s="35"/>
      <c r="BC50" s="482"/>
      <c r="BD50" s="482"/>
      <c r="BE50" s="35"/>
      <c r="BF50" s="482"/>
    </row>
    <row r="51" spans="1:58" ht="12.95" customHeight="1">
      <c r="A51" s="42"/>
      <c r="B51" s="43"/>
      <c r="C51" s="398"/>
      <c r="D51" s="43"/>
      <c r="E51" s="44"/>
      <c r="F51" s="44"/>
      <c r="G51" s="411"/>
      <c r="H51" s="46"/>
      <c r="I51" s="47"/>
      <c r="J51" s="84"/>
      <c r="K51" s="84"/>
      <c r="L51" s="37"/>
      <c r="M51" s="37"/>
      <c r="N51" s="48"/>
      <c r="O51" s="49"/>
      <c r="P51" s="50"/>
      <c r="Q51" s="49"/>
      <c r="R51" s="367"/>
      <c r="S51" s="367"/>
      <c r="T51" s="39"/>
      <c r="U51" s="39"/>
      <c r="V51" s="39"/>
      <c r="W51" s="39"/>
      <c r="X51" s="366"/>
      <c r="Y51" s="211"/>
      <c r="Z51" s="39"/>
      <c r="AA51" s="51"/>
      <c r="AB51" s="51"/>
      <c r="AC51" s="39"/>
      <c r="AD51" s="39"/>
      <c r="AE51" s="228"/>
      <c r="AF51" s="39"/>
      <c r="AG51" s="39"/>
      <c r="AH51" s="39"/>
      <c r="AI51" s="39"/>
      <c r="AJ51" s="39"/>
      <c r="AK51" s="39"/>
      <c r="AL51" s="39"/>
      <c r="AM51" s="39"/>
      <c r="AN51" s="39"/>
      <c r="AO51" s="39"/>
      <c r="AP51" s="39"/>
      <c r="AQ51" s="39"/>
      <c r="AR51" s="39"/>
      <c r="AS51" s="39"/>
      <c r="AT51" s="39"/>
      <c r="AU51" s="39"/>
      <c r="AV51" s="39"/>
      <c r="AW51" s="39"/>
      <c r="AX51" s="39"/>
      <c r="AY51" s="39"/>
      <c r="AZ51" s="39"/>
      <c r="BA51" s="39"/>
      <c r="BB51" s="52"/>
      <c r="BC51" s="53"/>
      <c r="BD51" s="482"/>
      <c r="BE51" s="35"/>
      <c r="BF51" s="482"/>
    </row>
    <row r="52" spans="1:58" ht="12.75" customHeight="1">
      <c r="A52" s="42">
        <v>45848</v>
      </c>
      <c r="B52" s="43" t="s">
        <v>8</v>
      </c>
      <c r="C52" s="398">
        <f t="shared" ref="C52" si="91">(M52*E52*O52*Q52)/100000000</f>
        <v>46.213608404819269</v>
      </c>
      <c r="D52" s="43" t="s">
        <v>307</v>
      </c>
      <c r="E52" s="44">
        <v>12</v>
      </c>
      <c r="F52" s="44">
        <v>1</v>
      </c>
      <c r="G52" s="411">
        <v>1350</v>
      </c>
      <c r="H52" s="46">
        <f t="shared" ref="H52" si="92">+N52</f>
        <v>0.22999999999999998</v>
      </c>
      <c r="I52" s="47">
        <v>0.88</v>
      </c>
      <c r="J52" s="84">
        <f t="shared" ref="J52" si="93">E52*G52*(1-H52)*1440/1000000*2.74</f>
        <v>49.217414400000003</v>
      </c>
      <c r="K52" s="84">
        <f t="shared" ref="K52" si="94">(IF(G52&lt;L52,L52,G52)*(1-IF(H52&lt;N52,H52,N52))*E52*O52*Q52)/100000000</f>
        <v>46.442956337349408</v>
      </c>
      <c r="L52" s="37">
        <v>1343.3333333333333</v>
      </c>
      <c r="M52" s="37">
        <v>1034.3666666666666</v>
      </c>
      <c r="N52" s="48">
        <f t="shared" ref="N52" si="95">1-(M52/L52)</f>
        <v>0.22999999999999998</v>
      </c>
      <c r="O52" s="49">
        <f>+'Trim Rwd'!H29</f>
        <v>258.5542168674699</v>
      </c>
      <c r="P52" s="50">
        <f t="shared" ref="P52" si="96">O52*(Q52-R52-S52)</f>
        <v>354477.83132530126</v>
      </c>
      <c r="Q52" s="49">
        <v>1440</v>
      </c>
      <c r="R52" s="367">
        <v>0</v>
      </c>
      <c r="S52" s="367">
        <v>69</v>
      </c>
      <c r="T52" s="39">
        <f t="shared" ref="T52" si="97">E52*M52*O52*Q52/100000000</f>
        <v>46.213608404819269</v>
      </c>
      <c r="U52" s="39">
        <f t="shared" ref="U52" si="98">E52*M52*O52*(Q52-R52-S52)/100000000</f>
        <v>43.999206335421675</v>
      </c>
      <c r="V52" s="39">
        <f t="shared" ref="V52" si="99">E52*G52*(1-N52)*O52/100*(R52+S52)/1000000</f>
        <v>2.2253916578313255</v>
      </c>
      <c r="W52" s="39">
        <f>+'10'!K7/1000</f>
        <v>40.225999999999999</v>
      </c>
      <c r="X52" s="366">
        <f>SUM(W52:W55)/SUM(K52:K55)</f>
        <v>0.86613779940727553</v>
      </c>
      <c r="Y52" s="39">
        <v>0</v>
      </c>
      <c r="Z52" s="39">
        <f>+'10'!D34/1000</f>
        <v>0.996</v>
      </c>
      <c r="AA52" s="51">
        <f>SUM(U52:U55)-SUM(W52:W55)-SUM(Z52:Z55)-SUM(Y52:Y55)</f>
        <v>2.7772063354216763</v>
      </c>
      <c r="AB52" s="51">
        <f>(SUM(K52:K55)-SUM(W52:W55)-SUM(Y52:Y55)-SUM(Z52:Z55)-SUM(AC52:AC55)-SUM(V52:V55))-AA52</f>
        <v>-1.0989588433732767E-2</v>
      </c>
      <c r="AC52" s="39">
        <f>K52-T52</f>
        <v>0.22934793253013908</v>
      </c>
      <c r="AD52" s="39">
        <f>+AM52+BA52</f>
        <v>8</v>
      </c>
      <c r="AE52" s="228" t="s">
        <v>432</v>
      </c>
      <c r="AF52" s="39">
        <v>8</v>
      </c>
      <c r="AG52" s="39"/>
      <c r="AH52" s="39"/>
      <c r="AI52" s="39"/>
      <c r="AJ52" s="39"/>
      <c r="AK52" s="39"/>
      <c r="AL52" s="39"/>
      <c r="AM52" s="39">
        <f>SUM(AF52:AL52)+AT52+AV52+AX52</f>
        <v>8</v>
      </c>
      <c r="AN52" s="39"/>
      <c r="AO52" s="39"/>
      <c r="AP52" s="39"/>
      <c r="AQ52" s="39"/>
      <c r="AR52" s="39">
        <f>SUM(AN52:AQ52)</f>
        <v>0</v>
      </c>
      <c r="AS52" s="39"/>
      <c r="AT52" s="39"/>
      <c r="AU52" s="39"/>
      <c r="AV52" s="39"/>
      <c r="AW52" s="39"/>
      <c r="AX52" s="39"/>
      <c r="AY52" s="39"/>
      <c r="AZ52" s="39"/>
      <c r="BA52" s="39">
        <f>+AR52+AS52+AU52+AW52+AY52+AZ52</f>
        <v>0</v>
      </c>
      <c r="BB52" s="35">
        <v>4</v>
      </c>
      <c r="BC52" s="53"/>
      <c r="BD52" s="53"/>
      <c r="BE52" s="35"/>
      <c r="BF52" s="53"/>
    </row>
    <row r="53" spans="1:58" ht="12.95" customHeight="1">
      <c r="A53" s="42"/>
      <c r="B53" s="43"/>
      <c r="C53" s="398"/>
      <c r="D53" s="43"/>
      <c r="E53" s="44"/>
      <c r="F53" s="44"/>
      <c r="G53" s="411"/>
      <c r="H53" s="46"/>
      <c r="I53" s="47"/>
      <c r="J53" s="84"/>
      <c r="K53" s="84"/>
      <c r="L53" s="37"/>
      <c r="M53" s="37"/>
      <c r="N53" s="48"/>
      <c r="O53" s="49"/>
      <c r="P53" s="50"/>
      <c r="Q53" s="49"/>
      <c r="R53" s="367"/>
      <c r="S53" s="367"/>
      <c r="T53" s="39"/>
      <c r="U53" s="39"/>
      <c r="V53" s="39"/>
      <c r="W53" s="39"/>
      <c r="X53" s="40"/>
      <c r="Y53" s="211"/>
      <c r="Z53" s="39"/>
      <c r="AA53" s="39"/>
      <c r="AB53" s="39"/>
      <c r="AC53" s="39"/>
      <c r="AD53" s="39">
        <f t="shared" ref="AD53:AD54" si="100">+AM53+BA53</f>
        <v>14</v>
      </c>
      <c r="AE53" s="228" t="s">
        <v>577</v>
      </c>
      <c r="AF53" s="39"/>
      <c r="AG53" s="39">
        <v>14</v>
      </c>
      <c r="AH53" s="39"/>
      <c r="AI53" s="39"/>
      <c r="AJ53" s="39"/>
      <c r="AK53" s="39"/>
      <c r="AL53" s="39"/>
      <c r="AM53" s="39">
        <f t="shared" ref="AM53:AM54" si="101">SUM(AF53:AL53)+AT53+AV53+AX53</f>
        <v>14</v>
      </c>
      <c r="AN53" s="85"/>
      <c r="AO53" s="39"/>
      <c r="AP53" s="39"/>
      <c r="AQ53" s="39"/>
      <c r="AR53" s="39">
        <f t="shared" ref="AR53:AR54" si="102">SUM(AN53:AQ53)</f>
        <v>0</v>
      </c>
      <c r="AS53" s="39"/>
      <c r="AT53" s="39"/>
      <c r="AU53" s="39"/>
      <c r="AV53" s="39"/>
      <c r="AW53" s="39"/>
      <c r="AX53" s="39"/>
      <c r="AY53" s="39"/>
      <c r="AZ53" s="39"/>
      <c r="BA53" s="39">
        <f t="shared" ref="BA53:BA54" si="103">+AR53+AS53+AU53+AW53+AY53+AZ53</f>
        <v>0</v>
      </c>
      <c r="BB53" s="52"/>
      <c r="BC53" s="53">
        <v>7</v>
      </c>
      <c r="BD53" s="53"/>
      <c r="BE53" s="52"/>
      <c r="BF53" s="53"/>
    </row>
    <row r="54" spans="1:58" ht="12.95" customHeight="1">
      <c r="A54" s="42"/>
      <c r="B54" s="43"/>
      <c r="C54" s="398"/>
      <c r="D54" s="43"/>
      <c r="E54" s="44"/>
      <c r="F54" s="44"/>
      <c r="G54" s="45"/>
      <c r="H54" s="46"/>
      <c r="I54" s="47"/>
      <c r="J54" s="84"/>
      <c r="K54" s="84"/>
      <c r="L54" s="37"/>
      <c r="M54" s="37"/>
      <c r="N54" s="48"/>
      <c r="O54" s="49"/>
      <c r="P54" s="50"/>
      <c r="Q54" s="49"/>
      <c r="R54" s="367"/>
      <c r="S54" s="367"/>
      <c r="T54" s="39"/>
      <c r="U54" s="39"/>
      <c r="V54" s="39"/>
      <c r="W54" s="39"/>
      <c r="X54" s="40"/>
      <c r="Y54" s="211"/>
      <c r="Z54" s="39"/>
      <c r="AA54" s="39"/>
      <c r="AB54" s="39"/>
      <c r="AC54" s="39"/>
      <c r="AD54" s="39">
        <f t="shared" si="100"/>
        <v>47</v>
      </c>
      <c r="AE54" s="228" t="s">
        <v>579</v>
      </c>
      <c r="AF54" s="35"/>
      <c r="AG54" s="35"/>
      <c r="AH54" s="35">
        <v>47</v>
      </c>
      <c r="AI54" s="35"/>
      <c r="AJ54" s="39"/>
      <c r="AK54" s="39"/>
      <c r="AL54" s="39"/>
      <c r="AM54" s="39">
        <f t="shared" si="101"/>
        <v>47</v>
      </c>
      <c r="AN54" s="39"/>
      <c r="AO54" s="39"/>
      <c r="AP54" s="39"/>
      <c r="AQ54" s="39"/>
      <c r="AR54" s="39">
        <f t="shared" si="102"/>
        <v>0</v>
      </c>
      <c r="AS54" s="39"/>
      <c r="AT54" s="39"/>
      <c r="AU54" s="39"/>
      <c r="AV54" s="39"/>
      <c r="AW54" s="39"/>
      <c r="AX54" s="39"/>
      <c r="AY54" s="39"/>
      <c r="AZ54" s="39"/>
      <c r="BA54" s="39">
        <f t="shared" si="103"/>
        <v>0</v>
      </c>
      <c r="BB54" s="35"/>
      <c r="BC54" s="482"/>
      <c r="BD54" s="482"/>
      <c r="BE54" s="35"/>
      <c r="BF54" s="482"/>
    </row>
    <row r="55" spans="1:58" ht="12.95" customHeight="1">
      <c r="A55" s="42"/>
      <c r="B55" s="43"/>
      <c r="C55" s="398"/>
      <c r="D55" s="43"/>
      <c r="E55" s="44"/>
      <c r="F55" s="44"/>
      <c r="G55" s="45"/>
      <c r="H55" s="46"/>
      <c r="I55" s="47"/>
      <c r="J55" s="84"/>
      <c r="K55" s="84"/>
      <c r="L55" s="37"/>
      <c r="M55" s="37"/>
      <c r="N55" s="48"/>
      <c r="O55" s="49"/>
      <c r="P55" s="50"/>
      <c r="Q55" s="49"/>
      <c r="R55" s="367"/>
      <c r="S55" s="367"/>
      <c r="T55" s="39"/>
      <c r="U55" s="39"/>
      <c r="V55" s="39"/>
      <c r="W55" s="39"/>
      <c r="X55" s="40"/>
      <c r="Y55" s="211"/>
      <c r="Z55" s="39"/>
      <c r="AA55" s="39"/>
      <c r="AB55" s="39"/>
      <c r="AC55" s="39"/>
      <c r="AD55" s="39"/>
      <c r="AE55" s="228"/>
      <c r="AF55" s="39"/>
      <c r="AG55" s="39"/>
      <c r="AH55" s="39"/>
      <c r="AI55" s="39"/>
      <c r="AJ55" s="39"/>
      <c r="AK55" s="39"/>
      <c r="AL55" s="39"/>
      <c r="AM55" s="39"/>
      <c r="AN55" s="39"/>
      <c r="AO55" s="39"/>
      <c r="AP55" s="39"/>
      <c r="AQ55" s="39"/>
      <c r="AR55" s="39"/>
      <c r="AS55" s="39"/>
      <c r="AT55" s="39"/>
      <c r="AU55" s="39"/>
      <c r="AV55" s="39"/>
      <c r="AW55" s="39"/>
      <c r="AX55" s="39"/>
      <c r="AY55" s="39"/>
      <c r="AZ55" s="39"/>
      <c r="BA55" s="39"/>
      <c r="BB55" s="35"/>
      <c r="BC55" s="53"/>
      <c r="BD55" s="482"/>
      <c r="BE55" s="35"/>
      <c r="BF55" s="482"/>
    </row>
    <row r="56" spans="1:58" ht="12.75" customHeight="1">
      <c r="A56" s="42">
        <v>45849</v>
      </c>
      <c r="B56" s="43" t="s">
        <v>8</v>
      </c>
      <c r="C56" s="398">
        <f t="shared" ref="C56" si="104">(M56*E56*O56*Q56)/100000000</f>
        <v>47.04621075</v>
      </c>
      <c r="D56" s="43" t="s">
        <v>307</v>
      </c>
      <c r="E56" s="44">
        <v>12</v>
      </c>
      <c r="F56" s="44">
        <v>1</v>
      </c>
      <c r="G56" s="411">
        <v>1350</v>
      </c>
      <c r="H56" s="46">
        <f t="shared" ref="H56" si="105">+N56</f>
        <v>0.23000000000000009</v>
      </c>
      <c r="I56" s="47">
        <v>0.88</v>
      </c>
      <c r="J56" s="84">
        <f t="shared" ref="J56" si="106">E56*G56*(1-H56)*1440/1000000*2.74</f>
        <v>49.217414399999996</v>
      </c>
      <c r="K56" s="84">
        <f t="shared" ref="K56" si="107">(IF(G56&lt;L56,L56,G56)*(1-IF(H56&lt;N56,H56,N56))*E56*O56*Q56)/100000000</f>
        <v>47.15171999999999</v>
      </c>
      <c r="L56" s="37">
        <v>1346.9791666666667</v>
      </c>
      <c r="M56" s="37">
        <v>1037.1739583333333</v>
      </c>
      <c r="N56" s="48">
        <f t="shared" ref="N56" si="108">1-(M56/L56)</f>
        <v>0.23000000000000009</v>
      </c>
      <c r="O56" s="49">
        <f>+'Trim Rwd'!H32</f>
        <v>262.5</v>
      </c>
      <c r="P56" s="50">
        <f t="shared" ref="P56" si="109">O56*(Q56-R56-S56)</f>
        <v>341250</v>
      </c>
      <c r="Q56" s="49">
        <v>1440</v>
      </c>
      <c r="R56" s="367">
        <v>0</v>
      </c>
      <c r="S56" s="367">
        <v>140</v>
      </c>
      <c r="T56" s="39">
        <f t="shared" ref="T56" si="110">E56*M56*O56*Q56/100000000</f>
        <v>47.04621075</v>
      </c>
      <c r="U56" s="39">
        <f t="shared" ref="U56" si="111">E56*M56*O56*(Q56-R56-S56)/100000000</f>
        <v>42.472273593750003</v>
      </c>
      <c r="V56" s="39">
        <f t="shared" ref="V56" si="112">E56*G56*(1-N56)*O56/100*(R56+S56)/1000000</f>
        <v>4.5841949999999994</v>
      </c>
      <c r="W56" s="39">
        <f>+'11'!K7/1000</f>
        <v>31.271999999999998</v>
      </c>
      <c r="X56" s="366">
        <f>SUM(W56:W59)/SUM(K56:K59)</f>
        <v>0.66322076904087501</v>
      </c>
      <c r="Y56" s="39">
        <v>0</v>
      </c>
      <c r="Z56" s="39">
        <f>+'11'!D34/1000</f>
        <v>1.032</v>
      </c>
      <c r="AA56" s="51">
        <f>SUM(U56:U59)-SUM(W56:W59)-SUM(Z56:Z59)-SUM(Y56:Y59)</f>
        <v>10.168273593750005</v>
      </c>
      <c r="AB56" s="51">
        <f>(SUM(K56:K59)-SUM(W56:W59)-SUM(Y56:Y59)-SUM(Z56:Z59)-SUM(AC56:AC59)-SUM(V56:V59))-AA56</f>
        <v>-1.0257843750002493E-2</v>
      </c>
      <c r="AC56" s="39">
        <f>K56-T56</f>
        <v>0.10550924999999012</v>
      </c>
      <c r="AD56" s="39">
        <f>+AM56+BA56</f>
        <v>85</v>
      </c>
      <c r="AE56" s="228" t="s">
        <v>591</v>
      </c>
      <c r="AF56" s="39">
        <v>85</v>
      </c>
      <c r="AG56" s="39"/>
      <c r="AH56" s="39"/>
      <c r="AI56" s="39"/>
      <c r="AJ56" s="39"/>
      <c r="AK56" s="39"/>
      <c r="AL56" s="39"/>
      <c r="AM56" s="39">
        <f>SUM(AF56:AL56)+AT56+AV56+AX56</f>
        <v>85</v>
      </c>
      <c r="AN56" s="39"/>
      <c r="AO56" s="39"/>
      <c r="AP56" s="39"/>
      <c r="AQ56" s="39"/>
      <c r="AR56" s="39">
        <f>SUM(AN56:AQ56)</f>
        <v>0</v>
      </c>
      <c r="AS56" s="39"/>
      <c r="AT56" s="39"/>
      <c r="AU56" s="39"/>
      <c r="AV56" s="39"/>
      <c r="AW56" s="39"/>
      <c r="AX56" s="39"/>
      <c r="AY56" s="39"/>
      <c r="AZ56" s="39"/>
      <c r="BA56" s="39">
        <f>+AR56+AS56+AU56+AW56+AY56+AZ56</f>
        <v>0</v>
      </c>
      <c r="BB56" s="35">
        <v>29</v>
      </c>
      <c r="BC56" s="53"/>
      <c r="BD56" s="53"/>
      <c r="BE56" s="35"/>
      <c r="BF56" s="53"/>
    </row>
    <row r="57" spans="1:58" ht="12.95" customHeight="1">
      <c r="A57" s="42"/>
      <c r="B57" s="43"/>
      <c r="C57" s="398"/>
      <c r="D57" s="43"/>
      <c r="E57" s="44"/>
      <c r="F57" s="44"/>
      <c r="G57" s="411"/>
      <c r="H57" s="46"/>
      <c r="I57" s="47"/>
      <c r="J57" s="84"/>
      <c r="K57" s="84"/>
      <c r="L57" s="37"/>
      <c r="M57" s="37"/>
      <c r="N57" s="48"/>
      <c r="O57" s="49"/>
      <c r="P57" s="50"/>
      <c r="Q57" s="49"/>
      <c r="R57" s="367"/>
      <c r="S57" s="367"/>
      <c r="T57" s="39"/>
      <c r="U57" s="39"/>
      <c r="V57" s="39"/>
      <c r="W57" s="39"/>
      <c r="X57" s="40"/>
      <c r="Y57" s="211"/>
      <c r="Z57" s="39"/>
      <c r="AA57" s="39"/>
      <c r="AB57" s="39"/>
      <c r="AC57" s="39"/>
      <c r="AD57" s="39">
        <f t="shared" ref="AD57:AD58" si="113">+AM57+BA57</f>
        <v>14</v>
      </c>
      <c r="AE57" s="228" t="s">
        <v>532</v>
      </c>
      <c r="AF57" s="39"/>
      <c r="AG57" s="39">
        <v>14</v>
      </c>
      <c r="AH57" s="39"/>
      <c r="AI57" s="39"/>
      <c r="AJ57" s="39"/>
      <c r="AK57" s="39"/>
      <c r="AL57" s="39"/>
      <c r="AM57" s="39">
        <f t="shared" ref="AM57:AM58" si="114">SUM(AF57:AL57)+AT57+AV57+AX57</f>
        <v>14</v>
      </c>
      <c r="AN57" s="85"/>
      <c r="AO57" s="39"/>
      <c r="AP57" s="39"/>
      <c r="AQ57" s="39"/>
      <c r="AR57" s="39">
        <f t="shared" ref="AR57:AR58" si="115">SUM(AN57:AQ57)</f>
        <v>0</v>
      </c>
      <c r="AS57" s="39"/>
      <c r="AT57" s="39"/>
      <c r="AU57" s="39"/>
      <c r="AV57" s="39"/>
      <c r="AW57" s="39"/>
      <c r="AX57" s="39"/>
      <c r="AY57" s="39"/>
      <c r="AZ57" s="39"/>
      <c r="BA57" s="39">
        <f t="shared" ref="BA57:BA58" si="116">+AR57+AS57+AU57+AW57+AY57+AZ57</f>
        <v>0</v>
      </c>
      <c r="BB57" s="52"/>
      <c r="BC57" s="53">
        <v>10</v>
      </c>
      <c r="BD57" s="53"/>
      <c r="BE57" s="52"/>
      <c r="BF57" s="53"/>
    </row>
    <row r="58" spans="1:58" ht="12.95" customHeight="1">
      <c r="A58" s="42"/>
      <c r="B58" s="43"/>
      <c r="C58" s="398"/>
      <c r="D58" s="43"/>
      <c r="E58" s="44"/>
      <c r="F58" s="44"/>
      <c r="G58" s="45"/>
      <c r="H58" s="46"/>
      <c r="I58" s="47"/>
      <c r="J58" s="84"/>
      <c r="K58" s="84"/>
      <c r="L58" s="37"/>
      <c r="M58" s="37"/>
      <c r="N58" s="48"/>
      <c r="O58" s="49"/>
      <c r="P58" s="50"/>
      <c r="Q58" s="49"/>
      <c r="R58" s="367"/>
      <c r="S58" s="367"/>
      <c r="T58" s="39"/>
      <c r="U58" s="39"/>
      <c r="V58" s="39"/>
      <c r="W58" s="39"/>
      <c r="X58" s="40"/>
      <c r="Y58" s="211"/>
      <c r="Z58" s="39"/>
      <c r="AA58" s="39"/>
      <c r="AB58" s="39"/>
      <c r="AC58" s="39"/>
      <c r="AD58" s="39">
        <f t="shared" si="113"/>
        <v>41</v>
      </c>
      <c r="AE58" s="228" t="s">
        <v>531</v>
      </c>
      <c r="AF58" s="35"/>
      <c r="AG58" s="35"/>
      <c r="AH58" s="35">
        <v>41</v>
      </c>
      <c r="AI58" s="35"/>
      <c r="AJ58" s="39"/>
      <c r="AK58" s="39"/>
      <c r="AL58" s="39"/>
      <c r="AM58" s="39">
        <f t="shared" si="114"/>
        <v>41</v>
      </c>
      <c r="AN58" s="39"/>
      <c r="AO58" s="39"/>
      <c r="AP58" s="39"/>
      <c r="AQ58" s="39"/>
      <c r="AR58" s="39">
        <f t="shared" si="115"/>
        <v>0</v>
      </c>
      <c r="AS58" s="39"/>
      <c r="AT58" s="39"/>
      <c r="AU58" s="39"/>
      <c r="AV58" s="39"/>
      <c r="AW58" s="39"/>
      <c r="AX58" s="39"/>
      <c r="AY58" s="39"/>
      <c r="AZ58" s="39"/>
      <c r="BA58" s="39">
        <f t="shared" si="116"/>
        <v>0</v>
      </c>
      <c r="BB58" s="35"/>
      <c r="BC58" s="482"/>
      <c r="BD58" s="482"/>
      <c r="BE58" s="35"/>
      <c r="BF58" s="482"/>
    </row>
    <row r="59" spans="1:58" ht="12.95" customHeight="1">
      <c r="A59" s="42"/>
      <c r="B59" s="43"/>
      <c r="C59" s="398"/>
      <c r="D59" s="43"/>
      <c r="E59" s="44"/>
      <c r="F59" s="44"/>
      <c r="G59" s="45"/>
      <c r="H59" s="46"/>
      <c r="I59" s="47"/>
      <c r="J59" s="84"/>
      <c r="K59" s="84"/>
      <c r="L59" s="37"/>
      <c r="M59" s="37"/>
      <c r="N59" s="48"/>
      <c r="O59" s="49"/>
      <c r="P59" s="50"/>
      <c r="Q59" s="49"/>
      <c r="R59" s="367"/>
      <c r="S59" s="367"/>
      <c r="T59" s="39"/>
      <c r="U59" s="39"/>
      <c r="V59" s="39"/>
      <c r="W59" s="39"/>
      <c r="X59" s="40"/>
      <c r="Y59" s="211"/>
      <c r="Z59" s="39"/>
      <c r="AA59" s="39"/>
      <c r="AB59" s="39"/>
      <c r="AC59" s="39"/>
      <c r="AD59" s="39"/>
      <c r="AE59" s="228"/>
      <c r="AF59" s="39"/>
      <c r="AG59" s="39"/>
      <c r="AH59" s="39"/>
      <c r="AI59" s="39"/>
      <c r="AJ59" s="39"/>
      <c r="AK59" s="39"/>
      <c r="AL59" s="39"/>
      <c r="AM59" s="39"/>
      <c r="AN59" s="39"/>
      <c r="AO59" s="39"/>
      <c r="AP59" s="39"/>
      <c r="AQ59" s="39"/>
      <c r="AR59" s="39"/>
      <c r="AS59" s="39"/>
      <c r="AT59" s="39"/>
      <c r="AU59" s="39"/>
      <c r="AV59" s="39"/>
      <c r="AW59" s="39"/>
      <c r="AX59" s="39"/>
      <c r="AY59" s="39"/>
      <c r="AZ59" s="39"/>
      <c r="BA59" s="39"/>
      <c r="BB59" s="35"/>
      <c r="BC59" s="53"/>
      <c r="BD59" s="482"/>
      <c r="BE59" s="35"/>
      <c r="BF59" s="482"/>
    </row>
    <row r="60" spans="1:58" ht="12.75" customHeight="1">
      <c r="A60" s="42">
        <v>45850</v>
      </c>
      <c r="B60" s="43" t="s">
        <v>8</v>
      </c>
      <c r="C60" s="398">
        <f t="shared" ref="C60" si="117">(M60*E60*O60*Q60)/100000000</f>
        <v>47.206989415384619</v>
      </c>
      <c r="D60" s="43" t="s">
        <v>307</v>
      </c>
      <c r="E60" s="44">
        <v>12</v>
      </c>
      <c r="F60" s="44">
        <v>1</v>
      </c>
      <c r="G60" s="411">
        <v>1350</v>
      </c>
      <c r="H60" s="46">
        <f t="shared" ref="H60" si="118">+N60</f>
        <v>0.22999999999999998</v>
      </c>
      <c r="I60" s="47">
        <v>0.88</v>
      </c>
      <c r="J60" s="84">
        <f t="shared" ref="J60" si="119">E60*G60*(1-H60)*1440/1000000*2.74</f>
        <v>49.217414400000003</v>
      </c>
      <c r="K60" s="84">
        <f t="shared" ref="K60" si="120">(IF(G60&lt;L60,L60,G60)*(1-IF(H60&lt;N60,H60,N60))*E60*O60*Q60)/100000000</f>
        <v>47.206989415384619</v>
      </c>
      <c r="L60" s="37">
        <v>1350</v>
      </c>
      <c r="M60" s="37">
        <v>1039.5</v>
      </c>
      <c r="N60" s="48">
        <f t="shared" ref="N60" si="121">1-(M60/L60)</f>
        <v>0.22999999999999998</v>
      </c>
      <c r="O60" s="49">
        <f>+'Trim Rwd'!H34</f>
        <v>262.80769230769232</v>
      </c>
      <c r="P60" s="50">
        <f t="shared" ref="P60" si="122">O60*(Q60-R60-S60)</f>
        <v>352687.92307692312</v>
      </c>
      <c r="Q60" s="49">
        <v>1440</v>
      </c>
      <c r="R60" s="367">
        <v>0</v>
      </c>
      <c r="S60" s="367">
        <v>98</v>
      </c>
      <c r="T60" s="39">
        <f t="shared" ref="T60" si="123">E60*M60*O60*Q60/100000000</f>
        <v>47.206989415384619</v>
      </c>
      <c r="U60" s="39">
        <f t="shared" ref="U60" si="124">E60*M60*O60*(Q60-R60-S60)/100000000</f>
        <v>43.994291524615385</v>
      </c>
      <c r="V60" s="39">
        <f t="shared" ref="V60" si="125">E60*G60*(1-N60)*O60/100*(R60+S60)/1000000</f>
        <v>3.2126978907692307</v>
      </c>
      <c r="W60" s="39">
        <f>+'12'!K7/1000</f>
        <v>39.923000000000002</v>
      </c>
      <c r="X60" s="366">
        <f>SUM(W60:W63)/SUM(K60:K63)</f>
        <v>0.84570103907090532</v>
      </c>
      <c r="Y60" s="39">
        <v>0</v>
      </c>
      <c r="Z60" s="39">
        <f>+'12'!D34/1000</f>
        <v>0.52</v>
      </c>
      <c r="AA60" s="51">
        <f>SUM(U60:U63)-SUM(W60:W63)-SUM(Z60:Z63)-SUM(Y60:Y63)</f>
        <v>3.5512915246153827</v>
      </c>
      <c r="AB60" s="51">
        <f>(SUM(K60:K63)-SUM(W60:W63)-SUM(Y60:Y63)-SUM(Z60:Z63)-SUM(AC60:AC63)-SUM(V60:V63))-AA60</f>
        <v>4.4408920985006262E-15</v>
      </c>
      <c r="AC60" s="39">
        <f>K60-T60</f>
        <v>0</v>
      </c>
      <c r="AD60" s="39">
        <f>+AM60+BA60</f>
        <v>43</v>
      </c>
      <c r="AE60" s="228" t="s">
        <v>607</v>
      </c>
      <c r="AF60" s="39">
        <v>43</v>
      </c>
      <c r="AG60" s="39"/>
      <c r="AH60" s="39"/>
      <c r="AI60" s="39"/>
      <c r="AJ60" s="39"/>
      <c r="AK60" s="39"/>
      <c r="AL60" s="39"/>
      <c r="AM60" s="39">
        <f>SUM(AF60:AL60)+AT60+AV60+AX60</f>
        <v>43</v>
      </c>
      <c r="AN60" s="39"/>
      <c r="AO60" s="39"/>
      <c r="AP60" s="39"/>
      <c r="AQ60" s="39"/>
      <c r="AR60" s="39">
        <f>SUM(AN60:AQ60)</f>
        <v>0</v>
      </c>
      <c r="AS60" s="39"/>
      <c r="AT60" s="39"/>
      <c r="AU60" s="39"/>
      <c r="AV60" s="39"/>
      <c r="AW60" s="39"/>
      <c r="AX60" s="39"/>
      <c r="AY60" s="39"/>
      <c r="AZ60" s="39"/>
      <c r="BA60" s="39">
        <f>+AR60+AS60+AU60+AW60+AY60+AZ60</f>
        <v>0</v>
      </c>
      <c r="BB60" s="35">
        <v>11</v>
      </c>
      <c r="BC60" s="53"/>
      <c r="BD60" s="53"/>
      <c r="BE60" s="35"/>
      <c r="BF60" s="53"/>
    </row>
    <row r="61" spans="1:58" ht="12.95" customHeight="1">
      <c r="A61" s="42"/>
      <c r="B61" s="43"/>
      <c r="C61" s="398"/>
      <c r="D61" s="43"/>
      <c r="E61" s="44"/>
      <c r="F61" s="44"/>
      <c r="G61" s="411"/>
      <c r="H61" s="46"/>
      <c r="I61" s="47"/>
      <c r="J61" s="84"/>
      <c r="K61" s="84"/>
      <c r="L61" s="37"/>
      <c r="M61" s="37"/>
      <c r="N61" s="48"/>
      <c r="O61" s="49"/>
      <c r="P61" s="50"/>
      <c r="Q61" s="49"/>
      <c r="R61" s="367"/>
      <c r="S61" s="367"/>
      <c r="T61" s="39"/>
      <c r="U61" s="39"/>
      <c r="V61" s="39"/>
      <c r="W61" s="39"/>
      <c r="X61" s="40"/>
      <c r="Y61" s="211"/>
      <c r="Z61" s="39"/>
      <c r="AA61" s="39"/>
      <c r="AB61" s="39"/>
      <c r="AC61" s="39"/>
      <c r="AD61" s="39">
        <f t="shared" ref="AD61:AD62" si="126">+AM61+BA61</f>
        <v>19</v>
      </c>
      <c r="AE61" s="228" t="s">
        <v>544</v>
      </c>
      <c r="AF61" s="39"/>
      <c r="AG61" s="39">
        <v>19</v>
      </c>
      <c r="AH61" s="39"/>
      <c r="AI61" s="39"/>
      <c r="AJ61" s="39"/>
      <c r="AK61" s="39"/>
      <c r="AL61" s="39"/>
      <c r="AM61" s="39">
        <f t="shared" ref="AM61:AM62" si="127">SUM(AF61:AL61)+AT61+AV61+AX61</f>
        <v>19</v>
      </c>
      <c r="AN61" s="85"/>
      <c r="AO61" s="39"/>
      <c r="AP61" s="39"/>
      <c r="AQ61" s="39"/>
      <c r="AR61" s="39">
        <f t="shared" ref="AR61:AR62" si="128">SUM(AN61:AQ61)</f>
        <v>0</v>
      </c>
      <c r="AS61" s="39"/>
      <c r="AT61" s="39"/>
      <c r="AU61" s="39"/>
      <c r="AV61" s="39"/>
      <c r="AW61" s="39"/>
      <c r="AX61" s="39"/>
      <c r="AY61" s="39"/>
      <c r="AZ61" s="39"/>
      <c r="BA61" s="39">
        <f t="shared" ref="BA61:BA62" si="129">+AR61+AS61+AU61+AW61+AY61+AZ61</f>
        <v>0</v>
      </c>
      <c r="BB61" s="52"/>
      <c r="BC61" s="53">
        <v>11</v>
      </c>
      <c r="BD61" s="53"/>
      <c r="BE61" s="52"/>
      <c r="BF61" s="53"/>
    </row>
    <row r="62" spans="1:58" ht="12.95" customHeight="1">
      <c r="A62" s="42"/>
      <c r="B62" s="43"/>
      <c r="C62" s="398"/>
      <c r="D62" s="43"/>
      <c r="E62" s="44"/>
      <c r="F62" s="44"/>
      <c r="G62" s="45"/>
      <c r="H62" s="46"/>
      <c r="I62" s="47"/>
      <c r="J62" s="84"/>
      <c r="K62" s="84"/>
      <c r="L62" s="37"/>
      <c r="M62" s="37"/>
      <c r="N62" s="48"/>
      <c r="O62" s="49"/>
      <c r="P62" s="50"/>
      <c r="Q62" s="49"/>
      <c r="R62" s="367"/>
      <c r="S62" s="367"/>
      <c r="T62" s="39"/>
      <c r="U62" s="39"/>
      <c r="V62" s="39"/>
      <c r="W62" s="39"/>
      <c r="X62" s="40"/>
      <c r="Y62" s="211"/>
      <c r="Z62" s="39"/>
      <c r="AA62" s="39"/>
      <c r="AB62" s="39"/>
      <c r="AC62" s="39"/>
      <c r="AD62" s="39">
        <f t="shared" si="126"/>
        <v>36</v>
      </c>
      <c r="AE62" s="228" t="s">
        <v>504</v>
      </c>
      <c r="AF62" s="35"/>
      <c r="AG62" s="35"/>
      <c r="AH62" s="35">
        <v>36</v>
      </c>
      <c r="AI62" s="35"/>
      <c r="AJ62" s="39"/>
      <c r="AK62" s="39"/>
      <c r="AL62" s="39"/>
      <c r="AM62" s="39">
        <f t="shared" si="127"/>
        <v>36</v>
      </c>
      <c r="AN62" s="39"/>
      <c r="AO62" s="39"/>
      <c r="AP62" s="39"/>
      <c r="AQ62" s="39"/>
      <c r="AR62" s="39">
        <f t="shared" si="128"/>
        <v>0</v>
      </c>
      <c r="AS62" s="39"/>
      <c r="AT62" s="39"/>
      <c r="AU62" s="39"/>
      <c r="AV62" s="39"/>
      <c r="AW62" s="39"/>
      <c r="AX62" s="39"/>
      <c r="AY62" s="39"/>
      <c r="AZ62" s="39"/>
      <c r="BA62" s="39">
        <f t="shared" si="129"/>
        <v>0</v>
      </c>
      <c r="BB62" s="35"/>
      <c r="BC62" s="482"/>
      <c r="BD62" s="482"/>
      <c r="BE62" s="35"/>
      <c r="BF62" s="482"/>
    </row>
    <row r="63" spans="1:58" ht="12.95" customHeight="1">
      <c r="A63" s="42"/>
      <c r="B63" s="43"/>
      <c r="C63" s="398"/>
      <c r="D63" s="43"/>
      <c r="E63" s="44"/>
      <c r="F63" s="44"/>
      <c r="G63" s="411"/>
      <c r="H63" s="46"/>
      <c r="I63" s="47"/>
      <c r="J63" s="84"/>
      <c r="K63" s="84"/>
      <c r="L63" s="37"/>
      <c r="M63" s="37"/>
      <c r="N63" s="48"/>
      <c r="O63" s="49"/>
      <c r="P63" s="50"/>
      <c r="Q63" s="49"/>
      <c r="R63" s="367"/>
      <c r="S63" s="367"/>
      <c r="T63" s="39"/>
      <c r="U63" s="39"/>
      <c r="V63" s="39"/>
      <c r="W63" s="39"/>
      <c r="X63" s="366"/>
      <c r="Y63" s="39"/>
      <c r="Z63" s="39"/>
      <c r="AA63" s="51"/>
      <c r="AB63" s="51"/>
      <c r="AC63" s="39"/>
      <c r="AD63" s="39"/>
      <c r="AE63" s="228"/>
      <c r="AF63" s="39"/>
      <c r="AG63" s="39"/>
      <c r="AH63" s="39"/>
      <c r="AI63" s="481"/>
      <c r="AJ63" s="39"/>
      <c r="AK63" s="39"/>
      <c r="AL63" s="39"/>
      <c r="AM63" s="39"/>
      <c r="AN63" s="39"/>
      <c r="AO63" s="39"/>
      <c r="AP63" s="39"/>
      <c r="AQ63" s="39"/>
      <c r="AR63" s="39"/>
      <c r="AS63" s="39"/>
      <c r="AT63" s="39"/>
      <c r="AU63" s="39"/>
      <c r="AV63" s="39"/>
      <c r="AW63" s="39"/>
      <c r="AX63" s="39"/>
      <c r="AY63" s="39"/>
      <c r="AZ63" s="39"/>
      <c r="BA63" s="39"/>
      <c r="BB63" s="35"/>
      <c r="BC63" s="53"/>
      <c r="BD63" s="53"/>
      <c r="BE63" s="53"/>
      <c r="BF63" s="53"/>
    </row>
    <row r="64" spans="1:58" ht="12.75" customHeight="1">
      <c r="A64" s="42">
        <v>45851</v>
      </c>
      <c r="B64" s="43" t="s">
        <v>8</v>
      </c>
      <c r="C64" s="398">
        <f t="shared" ref="C64" si="130">(M64*E64*O64*Q64)/100000000</f>
        <v>46.188549791999996</v>
      </c>
      <c r="D64" s="43" t="s">
        <v>307</v>
      </c>
      <c r="E64" s="44">
        <v>12</v>
      </c>
      <c r="F64" s="44">
        <v>1</v>
      </c>
      <c r="G64" s="411">
        <v>1350</v>
      </c>
      <c r="H64" s="46">
        <f t="shared" ref="H64" si="131">+N64</f>
        <v>0.22999999999999998</v>
      </c>
      <c r="I64" s="47">
        <v>0.88</v>
      </c>
      <c r="J64" s="84">
        <f t="shared" ref="J64" si="132">E64*G64*(1-H64)*1440/1000000*2.74</f>
        <v>49.217414400000003</v>
      </c>
      <c r="K64" s="84">
        <f t="shared" ref="K64" si="133">(IF(G64&lt;L64,L64,G64)*(1-IF(H64&lt;N64,H64,N64))*E64*O64*Q64)/100000000</f>
        <v>47.421158400000003</v>
      </c>
      <c r="L64" s="37">
        <v>1314.9097222222222</v>
      </c>
      <c r="M64" s="37">
        <v>1012.4804861111111</v>
      </c>
      <c r="N64" s="48">
        <f t="shared" ref="N64" si="134">1-(M64/L64)</f>
        <v>0.22999999999999998</v>
      </c>
      <c r="O64" s="49">
        <f>+'Trim Rwd'!H37</f>
        <v>264</v>
      </c>
      <c r="P64" s="50">
        <f t="shared" ref="P64" si="135">O64*(Q64-R64-S64)</f>
        <v>352440</v>
      </c>
      <c r="Q64" s="49">
        <v>1440</v>
      </c>
      <c r="R64" s="367">
        <v>0</v>
      </c>
      <c r="S64" s="367">
        <f>82+23</f>
        <v>105</v>
      </c>
      <c r="T64" s="39">
        <f t="shared" ref="T64" si="136">E64*M64*O64*Q64/100000000</f>
        <v>46.188549791999996</v>
      </c>
      <c r="U64" s="39">
        <f t="shared" ref="U64" si="137">E64*M64*O64*(Q64-R64-S64)/100000000</f>
        <v>42.820634702999996</v>
      </c>
      <c r="V64" s="39">
        <f t="shared" ref="V64" si="138">E64*G64*(1-N64)*O64/100*(R64+S64)/1000000</f>
        <v>3.4577928000000004</v>
      </c>
      <c r="W64" s="39">
        <f>+'13'!K7/1000</f>
        <v>37.549999999999997</v>
      </c>
      <c r="X64" s="366">
        <f>SUM(W64:W67)/SUM(K64:K67)</f>
        <v>0.79184063120651216</v>
      </c>
      <c r="Y64" s="39">
        <f>+SUM(RBP!AG15:AG16)</f>
        <v>0</v>
      </c>
      <c r="Z64" s="39">
        <f>+'13'!D34/1000</f>
        <v>0.505</v>
      </c>
      <c r="AA64" s="51">
        <f>SUM(U64:U67)-SUM(W64:W67)-SUM(Z64:Z67)-SUM(Y64:Y67)</f>
        <v>4.765634702999999</v>
      </c>
      <c r="AB64" s="51">
        <f>(SUM(K64:K67)-SUM(W64:W67)-SUM(Y64:Y67)-SUM(Z64:Z67)-SUM(AC64:AC67)-SUM(V64:V67))-AA64</f>
        <v>-8.9877711000000637E-2</v>
      </c>
      <c r="AC64" s="39">
        <f>K64-T64</f>
        <v>1.2326086080000067</v>
      </c>
      <c r="AD64" s="39">
        <f>+AM64+BA64</f>
        <v>18</v>
      </c>
      <c r="AE64" s="228" t="s">
        <v>402</v>
      </c>
      <c r="AF64" s="39">
        <v>18</v>
      </c>
      <c r="AG64" s="39"/>
      <c r="AH64" s="39"/>
      <c r="AI64" s="39"/>
      <c r="AJ64" s="39"/>
      <c r="AK64" s="39"/>
      <c r="AL64" s="39"/>
      <c r="AM64" s="39">
        <f>SUM(AF64:AL64)+AT64+AV64+AX64</f>
        <v>18</v>
      </c>
      <c r="AN64" s="39"/>
      <c r="AO64" s="39"/>
      <c r="AP64" s="39"/>
      <c r="AQ64" s="39"/>
      <c r="AR64" s="39">
        <f>SUM(AN64:AQ64)</f>
        <v>0</v>
      </c>
      <c r="AS64" s="39"/>
      <c r="AT64" s="39"/>
      <c r="AU64" s="39"/>
      <c r="AV64" s="39"/>
      <c r="AW64" s="39"/>
      <c r="AX64" s="39"/>
      <c r="AY64" s="39"/>
      <c r="AZ64" s="39"/>
      <c r="BA64" s="39">
        <f>+AR64+AS64+AU64+AW64+AY64+AZ64</f>
        <v>0</v>
      </c>
      <c r="BB64" s="35">
        <v>6</v>
      </c>
      <c r="BC64" s="53"/>
      <c r="BD64" s="53"/>
      <c r="BE64" s="35"/>
      <c r="BF64" s="53"/>
    </row>
    <row r="65" spans="1:58" ht="12.95" customHeight="1">
      <c r="A65" s="42"/>
      <c r="B65" s="43"/>
      <c r="C65" s="398"/>
      <c r="D65" s="43"/>
      <c r="E65" s="44"/>
      <c r="F65" s="44"/>
      <c r="G65" s="411"/>
      <c r="H65" s="46"/>
      <c r="I65" s="47"/>
      <c r="J65" s="84"/>
      <c r="K65" s="84"/>
      <c r="L65" s="37"/>
      <c r="M65" s="37"/>
      <c r="N65" s="48"/>
      <c r="O65" s="49"/>
      <c r="P65" s="50"/>
      <c r="Q65" s="49"/>
      <c r="R65" s="367"/>
      <c r="S65" s="367"/>
      <c r="T65" s="39"/>
      <c r="U65" s="39"/>
      <c r="V65" s="39"/>
      <c r="W65" s="39"/>
      <c r="X65" s="40"/>
      <c r="Y65" s="211"/>
      <c r="Z65" s="39"/>
      <c r="AA65" s="39"/>
      <c r="AB65" s="39"/>
      <c r="AC65" s="39"/>
      <c r="AD65" s="39">
        <f t="shared" ref="AD65:AD66" si="139">+AM65+BA65</f>
        <v>25</v>
      </c>
      <c r="AE65" s="228" t="s">
        <v>544</v>
      </c>
      <c r="AF65" s="39"/>
      <c r="AG65" s="39">
        <v>25</v>
      </c>
      <c r="AH65" s="39"/>
      <c r="AI65" s="39"/>
      <c r="AJ65" s="39"/>
      <c r="AK65" s="39"/>
      <c r="AL65" s="39"/>
      <c r="AM65" s="39">
        <f t="shared" ref="AM65:AM66" si="140">SUM(AF65:AL65)+AT65+AV65+AX65</f>
        <v>25</v>
      </c>
      <c r="AN65" s="85"/>
      <c r="AO65" s="39"/>
      <c r="AP65" s="39"/>
      <c r="AQ65" s="39"/>
      <c r="AR65" s="39">
        <f t="shared" ref="AR65:AR66" si="141">SUM(AN65:AQ65)</f>
        <v>0</v>
      </c>
      <c r="AS65" s="39"/>
      <c r="AT65" s="39"/>
      <c r="AU65" s="39"/>
      <c r="AV65" s="39"/>
      <c r="AW65" s="39"/>
      <c r="AX65" s="39"/>
      <c r="AY65" s="39"/>
      <c r="AZ65" s="39"/>
      <c r="BA65" s="39">
        <f t="shared" ref="BA65:BA66" si="142">+AR65+AS65+AU65+AW65+AY65+AZ65</f>
        <v>0</v>
      </c>
      <c r="BB65" s="52"/>
      <c r="BC65" s="53">
        <v>11</v>
      </c>
      <c r="BD65" s="53"/>
      <c r="BE65" s="52"/>
      <c r="BF65" s="53"/>
    </row>
    <row r="66" spans="1:58" ht="12.95" customHeight="1">
      <c r="A66" s="42"/>
      <c r="B66" s="43"/>
      <c r="C66" s="398"/>
      <c r="D66" s="43"/>
      <c r="E66" s="44"/>
      <c r="F66" s="44"/>
      <c r="G66" s="45"/>
      <c r="H66" s="46"/>
      <c r="I66" s="47"/>
      <c r="J66" s="84"/>
      <c r="K66" s="84"/>
      <c r="L66" s="37"/>
      <c r="M66" s="37"/>
      <c r="N66" s="48"/>
      <c r="O66" s="49"/>
      <c r="P66" s="50"/>
      <c r="Q66" s="49"/>
      <c r="R66" s="367"/>
      <c r="S66" s="367"/>
      <c r="T66" s="39"/>
      <c r="U66" s="39"/>
      <c r="V66" s="39"/>
      <c r="W66" s="39"/>
      <c r="X66" s="40"/>
      <c r="Y66" s="211"/>
      <c r="Z66" s="39"/>
      <c r="AA66" s="39"/>
      <c r="AB66" s="39"/>
      <c r="AC66" s="39"/>
      <c r="AD66" s="39">
        <f t="shared" si="139"/>
        <v>39</v>
      </c>
      <c r="AE66" s="228" t="s">
        <v>569</v>
      </c>
      <c r="AF66" s="35"/>
      <c r="AG66" s="35"/>
      <c r="AH66" s="35">
        <v>39</v>
      </c>
      <c r="AI66" s="35"/>
      <c r="AJ66" s="39"/>
      <c r="AK66" s="39"/>
      <c r="AL66" s="39"/>
      <c r="AM66" s="39">
        <f t="shared" si="140"/>
        <v>39</v>
      </c>
      <c r="AN66" s="39"/>
      <c r="AO66" s="39"/>
      <c r="AP66" s="39"/>
      <c r="AQ66" s="39"/>
      <c r="AR66" s="39">
        <f t="shared" si="141"/>
        <v>0</v>
      </c>
      <c r="AS66" s="39"/>
      <c r="AT66" s="39"/>
      <c r="AU66" s="39"/>
      <c r="AV66" s="39"/>
      <c r="AW66" s="39"/>
      <c r="AX66" s="39"/>
      <c r="AY66" s="39"/>
      <c r="AZ66" s="39"/>
      <c r="BA66" s="39">
        <f t="shared" si="142"/>
        <v>0</v>
      </c>
      <c r="BB66" s="35"/>
      <c r="BC66" s="482"/>
      <c r="BD66" s="482"/>
      <c r="BE66" s="35"/>
      <c r="BF66" s="482"/>
    </row>
    <row r="67" spans="1:58" ht="12.95" customHeight="1">
      <c r="A67" s="42"/>
      <c r="B67" s="43"/>
      <c r="C67" s="398"/>
      <c r="D67" s="43"/>
      <c r="E67" s="44"/>
      <c r="F67" s="44"/>
      <c r="G67" s="45"/>
      <c r="H67" s="46"/>
      <c r="I67" s="47"/>
      <c r="J67" s="84"/>
      <c r="K67" s="84"/>
      <c r="L67" s="37"/>
      <c r="M67" s="37"/>
      <c r="N67" s="48"/>
      <c r="O67" s="49"/>
      <c r="P67" s="50"/>
      <c r="Q67" s="49"/>
      <c r="R67" s="367"/>
      <c r="S67" s="367"/>
      <c r="T67" s="39"/>
      <c r="U67" s="39"/>
      <c r="V67" s="39"/>
      <c r="W67" s="39"/>
      <c r="X67" s="40"/>
      <c r="Y67" s="211"/>
      <c r="Z67" s="39"/>
      <c r="AA67" s="39"/>
      <c r="AB67" s="39"/>
      <c r="AC67" s="39"/>
      <c r="AD67" s="39">
        <f t="shared" ref="AD67" si="143">+AM67+BA67</f>
        <v>23</v>
      </c>
      <c r="AE67" s="228" t="s">
        <v>608</v>
      </c>
      <c r="AF67" s="35"/>
      <c r="AG67" s="35"/>
      <c r="AH67" s="35"/>
      <c r="AI67" s="35"/>
      <c r="AJ67" s="39">
        <v>23</v>
      </c>
      <c r="AK67" s="39"/>
      <c r="AL67" s="39"/>
      <c r="AM67" s="39">
        <f t="shared" ref="AM67" si="144">SUM(AF67:AL67)+AT67+AV67+AX67</f>
        <v>23</v>
      </c>
      <c r="AN67" s="39"/>
      <c r="AO67" s="39"/>
      <c r="AP67" s="39"/>
      <c r="AQ67" s="39"/>
      <c r="AR67" s="39">
        <f t="shared" ref="AR67" si="145">SUM(AN67:AQ67)</f>
        <v>0</v>
      </c>
      <c r="AS67" s="39"/>
      <c r="AT67" s="39"/>
      <c r="AU67" s="39"/>
      <c r="AV67" s="39"/>
      <c r="AW67" s="39"/>
      <c r="AX67" s="39"/>
      <c r="AY67" s="39"/>
      <c r="AZ67" s="39"/>
      <c r="BA67" s="39">
        <f t="shared" ref="BA67" si="146">+AR67+AS67+AU67+AW67+AY67+AZ67</f>
        <v>0</v>
      </c>
      <c r="BB67" s="35"/>
      <c r="BC67" s="482"/>
      <c r="BD67" s="482"/>
      <c r="BE67" s="35"/>
      <c r="BF67" s="482"/>
    </row>
    <row r="68" spans="1:58" ht="12.95" customHeight="1">
      <c r="A68" s="42"/>
      <c r="B68" s="43"/>
      <c r="C68" s="398"/>
      <c r="D68" s="43"/>
      <c r="E68" s="44"/>
      <c r="F68" s="44"/>
      <c r="G68" s="411"/>
      <c r="H68" s="46"/>
      <c r="I68" s="47"/>
      <c r="J68" s="84"/>
      <c r="K68" s="84"/>
      <c r="L68" s="37"/>
      <c r="M68" s="37"/>
      <c r="N68" s="48"/>
      <c r="O68" s="49"/>
      <c r="P68" s="50"/>
      <c r="Q68" s="49"/>
      <c r="R68" s="367"/>
      <c r="S68" s="367"/>
      <c r="T68" s="39"/>
      <c r="U68" s="39"/>
      <c r="V68" s="39"/>
      <c r="W68" s="39"/>
      <c r="X68" s="366"/>
      <c r="Y68" s="39"/>
      <c r="Z68" s="39"/>
      <c r="AA68" s="51"/>
      <c r="AB68" s="51"/>
      <c r="AC68" s="39"/>
      <c r="AD68" s="39"/>
      <c r="AE68" s="228"/>
      <c r="AF68" s="39"/>
      <c r="AG68" s="39"/>
      <c r="AH68" s="39"/>
      <c r="AI68" s="481"/>
      <c r="AJ68" s="39"/>
      <c r="AK68" s="39"/>
      <c r="AL68" s="39"/>
      <c r="AM68" s="39"/>
      <c r="AN68" s="39"/>
      <c r="AO68" s="39"/>
      <c r="AP68" s="39"/>
      <c r="AQ68" s="39"/>
      <c r="AR68" s="39"/>
      <c r="AS68" s="39"/>
      <c r="AT68" s="39"/>
      <c r="AU68" s="39"/>
      <c r="AV68" s="39"/>
      <c r="AW68" s="39"/>
      <c r="AX68" s="39"/>
      <c r="AY68" s="39"/>
      <c r="AZ68" s="39"/>
      <c r="BA68" s="39"/>
      <c r="BB68" s="35"/>
      <c r="BC68" s="53"/>
      <c r="BD68" s="53"/>
      <c r="BE68" s="53"/>
      <c r="BF68" s="53"/>
    </row>
    <row r="69" spans="1:58" ht="12.75" customHeight="1">
      <c r="A69" s="42">
        <v>45852</v>
      </c>
      <c r="B69" s="43" t="s">
        <v>8</v>
      </c>
      <c r="C69" s="398">
        <f t="shared" ref="C69" si="147">(M69*E69*O69*Q69)/100000000</f>
        <v>7.9035263999999996</v>
      </c>
      <c r="D69" s="43" t="s">
        <v>307</v>
      </c>
      <c r="E69" s="44">
        <v>12</v>
      </c>
      <c r="F69" s="44">
        <v>1</v>
      </c>
      <c r="G69" s="411">
        <v>1350</v>
      </c>
      <c r="H69" s="46">
        <f t="shared" ref="H69" si="148">+N69</f>
        <v>0.22999999999999998</v>
      </c>
      <c r="I69" s="47">
        <v>0.88</v>
      </c>
      <c r="J69" s="84">
        <f t="shared" ref="J69" si="149">E69*G69*(1-H69)*1440/1000000*2.74</f>
        <v>49.217414400000003</v>
      </c>
      <c r="K69" s="84">
        <f t="shared" ref="K69" si="150">(IF(G69&lt;L69,L69,G69)*(1-IF(H69&lt;N69,H69,N69))*E69*O69*Q69)/100000000</f>
        <v>7.9035263999999996</v>
      </c>
      <c r="L69" s="37">
        <v>1350</v>
      </c>
      <c r="M69" s="37">
        <v>1039.5</v>
      </c>
      <c r="N69" s="48">
        <f t="shared" ref="N69" si="151">1-(M69/L69)</f>
        <v>0.22999999999999998</v>
      </c>
      <c r="O69" s="49">
        <f>+'Trim Rwd'!H39</f>
        <v>264</v>
      </c>
      <c r="P69" s="50">
        <f t="shared" ref="P69" si="152">O69*(Q69-R69-S69)</f>
        <v>60984</v>
      </c>
      <c r="Q69" s="49">
        <v>240</v>
      </c>
      <c r="R69" s="367">
        <v>0</v>
      </c>
      <c r="S69" s="367">
        <v>9</v>
      </c>
      <c r="T69" s="39">
        <f t="shared" ref="T69" si="153">E69*M69*O69*Q69/100000000</f>
        <v>7.9035263999999996</v>
      </c>
      <c r="U69" s="39">
        <f t="shared" ref="U69" si="154">E69*M69*O69*(Q69-R69-S69)/100000000</f>
        <v>7.6071441599999998</v>
      </c>
      <c r="V69" s="39">
        <f t="shared" ref="V69" si="155">E69*G69*(1-N69)*O69/100*(R69+S69)/1000000</f>
        <v>0.29638223999999996</v>
      </c>
      <c r="W69" s="39">
        <f>+'14'!K7/1000</f>
        <v>13.038</v>
      </c>
      <c r="X69" s="366">
        <f>SUM(W69:W72)/SUM(K69:K72)</f>
        <v>0.94123424832014579</v>
      </c>
      <c r="Y69" s="39">
        <v>0</v>
      </c>
      <c r="Z69" s="39">
        <f>+'14'!D7/1000</f>
        <v>0.63600000000000001</v>
      </c>
      <c r="AA69" s="51">
        <f>SUM(U69:U72)-SUM(W69:W72)-SUM(Z69:Z72)-SUM(Y69:Y72)</f>
        <v>1.3969857599999953</v>
      </c>
      <c r="AB69" s="51">
        <f>(SUM(K69:K72)-SUM(W69:W72)-SUM(Y69:Y72)-SUM(Z69:Z72)-SUM(AC69:AC72)-SUM(V69:V72))-AA69</f>
        <v>1.7763568394002505E-15</v>
      </c>
      <c r="AC69" s="39">
        <f>K69-T69</f>
        <v>0</v>
      </c>
      <c r="AD69" s="39">
        <f>+AM69+BA69</f>
        <v>0</v>
      </c>
      <c r="AE69" s="228" t="s">
        <v>461</v>
      </c>
      <c r="AF69" s="39">
        <v>0</v>
      </c>
      <c r="AG69" s="39"/>
      <c r="AH69" s="39"/>
      <c r="AI69" s="39"/>
      <c r="AJ69" s="39"/>
      <c r="AK69" s="39"/>
      <c r="AL69" s="39"/>
      <c r="AM69" s="39">
        <f>SUM(AF69:AL69)+AT69+AV69+AX69</f>
        <v>0</v>
      </c>
      <c r="AN69" s="39"/>
      <c r="AO69" s="39"/>
      <c r="AP69" s="39"/>
      <c r="AQ69" s="39"/>
      <c r="AR69" s="39">
        <f>SUM(AN69:AQ69)</f>
        <v>0</v>
      </c>
      <c r="AS69" s="39"/>
      <c r="AT69" s="39"/>
      <c r="AU69" s="39"/>
      <c r="AV69" s="39"/>
      <c r="AW69" s="39"/>
      <c r="AX69" s="39"/>
      <c r="AY69" s="39"/>
      <c r="AZ69" s="39"/>
      <c r="BA69" s="39">
        <f>+AR69+AS69+AU69+AW69+AY69+AZ69</f>
        <v>0</v>
      </c>
      <c r="BB69" s="35">
        <v>0</v>
      </c>
      <c r="BC69" s="53"/>
      <c r="BD69" s="53"/>
      <c r="BE69" s="35"/>
      <c r="BF69" s="53"/>
    </row>
    <row r="70" spans="1:58" ht="12.95" customHeight="1">
      <c r="A70" s="42"/>
      <c r="B70" s="43" t="s">
        <v>621</v>
      </c>
      <c r="C70" s="398">
        <f t="shared" ref="C70" si="156">(M70*E70*O70*Q70)/100000000</f>
        <v>44.298144000000001</v>
      </c>
      <c r="D70" s="43" t="s">
        <v>307</v>
      </c>
      <c r="E70" s="44">
        <v>15</v>
      </c>
      <c r="F70" s="44">
        <v>1</v>
      </c>
      <c r="G70" s="411">
        <v>1180</v>
      </c>
      <c r="H70" s="46">
        <f>+N70</f>
        <v>0.20999999999999996</v>
      </c>
      <c r="I70" s="47">
        <v>0.88</v>
      </c>
      <c r="J70" s="84">
        <f t="shared" ref="J70" si="157">E70*G70*(1-H70)*1440/1000000*2.74</f>
        <v>55.171324800000001</v>
      </c>
      <c r="K70" s="84">
        <f t="shared" ref="K70" si="158">(IF(G70&lt;L70,L70,G70)*(1-IF(H70&lt;N70,H70,N70))*E70*O70*Q70)/100000000</f>
        <v>44.298144000000001</v>
      </c>
      <c r="L70" s="37">
        <v>1180</v>
      </c>
      <c r="M70" s="37">
        <v>932.2</v>
      </c>
      <c r="N70" s="48">
        <f t="shared" ref="N70" si="159">1-(M70/L70)</f>
        <v>0.20999999999999996</v>
      </c>
      <c r="O70" s="49">
        <f>+'Trim Rwd'!H40</f>
        <v>264</v>
      </c>
      <c r="P70" s="50">
        <f t="shared" ref="P70" si="160">O70*(Q70-R70-S70)</f>
        <v>311520</v>
      </c>
      <c r="Q70" s="49">
        <v>1200</v>
      </c>
      <c r="R70" s="367">
        <v>0</v>
      </c>
      <c r="S70" s="367">
        <v>20</v>
      </c>
      <c r="T70" s="39">
        <f t="shared" ref="T70" si="161">E70*M70*O70*Q70/100000000</f>
        <v>44.298144000000001</v>
      </c>
      <c r="U70" s="39">
        <f t="shared" ref="U70" si="162">E70*M70*O70*(Q70-R70-S70)/100000000</f>
        <v>43.559841599999999</v>
      </c>
      <c r="V70" s="39">
        <f t="shared" ref="V70" si="163">E70*G70*(1-N70)*O70/100*(R70+S70)/1000000</f>
        <v>0.73830240000000003</v>
      </c>
      <c r="W70" s="39">
        <f>+'14'!K12/1000</f>
        <v>36.095999999999997</v>
      </c>
      <c r="X70" s="40"/>
      <c r="Y70" s="211"/>
      <c r="Z70" s="39"/>
      <c r="AA70" s="39"/>
      <c r="AB70" s="39"/>
      <c r="AC70" s="39"/>
      <c r="AD70" s="39">
        <f t="shared" ref="AD70:AD71" si="164">+AM70+BA70</f>
        <v>10</v>
      </c>
      <c r="AE70" s="228" t="s">
        <v>503</v>
      </c>
      <c r="AF70" s="39"/>
      <c r="AG70" s="39">
        <v>10</v>
      </c>
      <c r="AH70" s="39"/>
      <c r="AI70" s="39"/>
      <c r="AJ70" s="39"/>
      <c r="AK70" s="39"/>
      <c r="AL70" s="39"/>
      <c r="AM70" s="39">
        <f t="shared" ref="AM70:AM71" si="165">SUM(AF70:AL70)+AT70+AV70+AX70</f>
        <v>10</v>
      </c>
      <c r="AN70" s="85"/>
      <c r="AO70" s="39"/>
      <c r="AP70" s="39"/>
      <c r="AQ70" s="39"/>
      <c r="AR70" s="39">
        <f t="shared" ref="AR70:AR71" si="166">SUM(AN70:AQ70)</f>
        <v>0</v>
      </c>
      <c r="AS70" s="39"/>
      <c r="AT70" s="39"/>
      <c r="AU70" s="39"/>
      <c r="AV70" s="39"/>
      <c r="AW70" s="39"/>
      <c r="AX70" s="39"/>
      <c r="AY70" s="39"/>
      <c r="AZ70" s="39"/>
      <c r="BA70" s="39">
        <f t="shared" ref="BA70:BA71" si="167">+AR70+AS70+AU70+AW70+AY70+AZ70</f>
        <v>0</v>
      </c>
      <c r="BB70" s="52"/>
      <c r="BC70" s="53">
        <v>6</v>
      </c>
      <c r="BD70" s="53"/>
      <c r="BE70" s="52"/>
      <c r="BF70" s="53"/>
    </row>
    <row r="71" spans="1:58" ht="12.95" customHeight="1">
      <c r="A71" s="42"/>
      <c r="B71" s="43"/>
      <c r="C71" s="398"/>
      <c r="D71" s="43"/>
      <c r="E71" s="44"/>
      <c r="F71" s="44"/>
      <c r="G71" s="45"/>
      <c r="H71" s="46"/>
      <c r="I71" s="47"/>
      <c r="J71" s="84"/>
      <c r="K71" s="84"/>
      <c r="L71" s="37"/>
      <c r="M71" s="37"/>
      <c r="N71" s="48"/>
      <c r="O71" s="49"/>
      <c r="P71" s="50"/>
      <c r="Q71" s="49"/>
      <c r="R71" s="367"/>
      <c r="S71" s="367"/>
      <c r="T71" s="39"/>
      <c r="U71" s="39"/>
      <c r="V71" s="39"/>
      <c r="W71" s="39"/>
      <c r="X71" s="40"/>
      <c r="Y71" s="211"/>
      <c r="Z71" s="39"/>
      <c r="AA71" s="39"/>
      <c r="AB71" s="39"/>
      <c r="AC71" s="39"/>
      <c r="AD71" s="39">
        <f t="shared" si="164"/>
        <v>19</v>
      </c>
      <c r="AE71" s="228" t="s">
        <v>622</v>
      </c>
      <c r="AF71" s="35"/>
      <c r="AG71" s="35"/>
      <c r="AH71" s="35">
        <v>19</v>
      </c>
      <c r="AI71" s="35"/>
      <c r="AJ71" s="39"/>
      <c r="AK71" s="39"/>
      <c r="AL71" s="39"/>
      <c r="AM71" s="39">
        <f t="shared" si="165"/>
        <v>19</v>
      </c>
      <c r="AN71" s="39"/>
      <c r="AO71" s="39"/>
      <c r="AP71" s="39"/>
      <c r="AQ71" s="39"/>
      <c r="AR71" s="39">
        <f t="shared" si="166"/>
        <v>0</v>
      </c>
      <c r="AS71" s="39"/>
      <c r="AT71" s="39"/>
      <c r="AU71" s="39"/>
      <c r="AV71" s="39"/>
      <c r="AW71" s="39"/>
      <c r="AX71" s="39"/>
      <c r="AY71" s="39"/>
      <c r="AZ71" s="39"/>
      <c r="BA71" s="39">
        <f t="shared" si="167"/>
        <v>0</v>
      </c>
      <c r="BB71" s="35"/>
      <c r="BC71" s="482"/>
      <c r="BD71" s="482"/>
      <c r="BE71" s="35"/>
      <c r="BF71" s="482"/>
    </row>
    <row r="72" spans="1:58" ht="12.95" customHeight="1">
      <c r="A72" s="42"/>
      <c r="B72" s="43"/>
      <c r="C72" s="398"/>
      <c r="D72" s="43"/>
      <c r="E72" s="44"/>
      <c r="F72" s="44"/>
      <c r="G72" s="45"/>
      <c r="H72" s="46"/>
      <c r="I72" s="47"/>
      <c r="J72" s="84"/>
      <c r="K72" s="84"/>
      <c r="L72" s="37"/>
      <c r="M72" s="37"/>
      <c r="N72" s="48"/>
      <c r="O72" s="49"/>
      <c r="P72" s="50"/>
      <c r="Q72" s="49"/>
      <c r="R72" s="367"/>
      <c r="S72" s="367"/>
      <c r="T72" s="39"/>
      <c r="U72" s="39"/>
      <c r="V72" s="39"/>
      <c r="W72" s="39"/>
      <c r="X72" s="366"/>
      <c r="Y72" s="211"/>
      <c r="Z72" s="39"/>
      <c r="AA72" s="51"/>
      <c r="AB72" s="51"/>
      <c r="AC72" s="39"/>
      <c r="AD72" s="39"/>
      <c r="AE72" s="228"/>
      <c r="AF72" s="39"/>
      <c r="AG72" s="39"/>
      <c r="AH72" s="39"/>
      <c r="AI72" s="39"/>
      <c r="AJ72" s="39"/>
      <c r="AK72" s="39"/>
      <c r="AL72" s="39"/>
      <c r="AM72" s="39"/>
      <c r="AN72" s="39"/>
      <c r="AO72" s="39"/>
      <c r="AP72" s="39"/>
      <c r="AQ72" s="39"/>
      <c r="AR72" s="39"/>
      <c r="AS72" s="39"/>
      <c r="AT72" s="39"/>
      <c r="AU72" s="39"/>
      <c r="AV72" s="39"/>
      <c r="AW72" s="39"/>
      <c r="AX72" s="39"/>
      <c r="AY72" s="39"/>
      <c r="AZ72" s="39"/>
      <c r="BA72" s="39"/>
      <c r="BB72" s="35"/>
      <c r="BC72" s="53"/>
      <c r="BD72" s="482"/>
      <c r="BE72" s="35"/>
      <c r="BF72" s="482"/>
    </row>
    <row r="73" spans="1:58" ht="12.75" customHeight="1">
      <c r="A73" s="42">
        <v>45853</v>
      </c>
      <c r="B73" s="43" t="s">
        <v>621</v>
      </c>
      <c r="C73" s="398">
        <f t="shared" ref="C73:C74" si="168">(M73*E73*O73*Q73)/100000000</f>
        <v>7.1984484000000002</v>
      </c>
      <c r="D73" s="43" t="s">
        <v>307</v>
      </c>
      <c r="E73" s="44">
        <v>15</v>
      </c>
      <c r="F73" s="44">
        <v>1</v>
      </c>
      <c r="G73" s="411">
        <v>1180</v>
      </c>
      <c r="H73" s="46">
        <f>+N73</f>
        <v>0.20999999999999996</v>
      </c>
      <c r="I73" s="47">
        <v>0.88</v>
      </c>
      <c r="J73" s="84">
        <f t="shared" ref="J73:J74" si="169">E73*G73*(1-H73)*1440/1000000*2.74</f>
        <v>55.171324800000001</v>
      </c>
      <c r="K73" s="84">
        <f t="shared" ref="K73:K74" si="170">(IF(G73&lt;L73,L73,G73)*(1-IF(H73&lt;N73,H73,N73))*E73*O73*Q73)/100000000</f>
        <v>7.1984484000000002</v>
      </c>
      <c r="L73" s="37">
        <v>1180</v>
      </c>
      <c r="M73" s="37">
        <v>932.2</v>
      </c>
      <c r="N73" s="48">
        <f t="shared" ref="N73:N74" si="171">1-(M73/L73)</f>
        <v>0.20999999999999996</v>
      </c>
      <c r="O73" s="49">
        <f>+'Trim Rwd'!H42</f>
        <v>264</v>
      </c>
      <c r="P73" s="50">
        <f t="shared" ref="P73:P74" si="172">O73*(Q73-R73-S73)</f>
        <v>50160</v>
      </c>
      <c r="Q73" s="49">
        <v>195</v>
      </c>
      <c r="R73" s="367">
        <v>0</v>
      </c>
      <c r="S73" s="367">
        <v>5</v>
      </c>
      <c r="T73" s="39">
        <f t="shared" ref="T73:T74" si="173">E73*M73*O73*Q73/100000000</f>
        <v>7.1984484000000002</v>
      </c>
      <c r="U73" s="39">
        <f t="shared" ref="U73:U74" si="174">E73*M73*O73*(Q73-R73-S73)/100000000</f>
        <v>7.0138727999999997</v>
      </c>
      <c r="V73" s="39">
        <f t="shared" ref="V73:V74" si="175">E73*G73*(1-N73)*O73/100*(R73+S73)/1000000</f>
        <v>0.18457560000000001</v>
      </c>
      <c r="W73" s="39">
        <f>+'15'!K12/1000</f>
        <v>14.919</v>
      </c>
      <c r="X73" s="366">
        <f>SUM(W73:W76)/SUM(K73:K76)</f>
        <v>1.0699438045932397</v>
      </c>
      <c r="Y73" s="39">
        <v>0</v>
      </c>
      <c r="Z73" s="39">
        <v>0</v>
      </c>
      <c r="AA73" s="51">
        <f>SUM(U73:U76)-SUM(W73:W76)-SUM(Z73:Z76)-SUM(Y73:Y76)</f>
        <v>-4.0371949600000079</v>
      </c>
      <c r="AB73" s="51">
        <f>(SUM(K73:K76)-SUM(W73:W76)-SUM(Y73:Y76)-SUM(Z73:Z76)-SUM(AC73:AC76)-SUM(V73:V76))-AA73</f>
        <v>0</v>
      </c>
      <c r="AC73" s="39">
        <f>K73-T73</f>
        <v>0</v>
      </c>
      <c r="AD73" s="39">
        <f>+AM73+BA73</f>
        <v>0</v>
      </c>
      <c r="AE73" s="228" t="s">
        <v>461</v>
      </c>
      <c r="AF73" s="39">
        <v>0</v>
      </c>
      <c r="AG73" s="39"/>
      <c r="AH73" s="39"/>
      <c r="AI73" s="39"/>
      <c r="AJ73" s="39"/>
      <c r="AK73" s="39"/>
      <c r="AL73" s="39"/>
      <c r="AM73" s="39">
        <f>SUM(AF73:AL73)+AT73+AV73+AX73</f>
        <v>0</v>
      </c>
      <c r="AN73" s="39"/>
      <c r="AO73" s="39"/>
      <c r="AP73" s="39"/>
      <c r="AQ73" s="39"/>
      <c r="AR73" s="39">
        <f>SUM(AN73:AQ73)</f>
        <v>0</v>
      </c>
      <c r="AS73" s="39"/>
      <c r="AT73" s="39"/>
      <c r="AU73" s="39"/>
      <c r="AV73" s="39"/>
      <c r="AW73" s="39"/>
      <c r="AX73" s="39"/>
      <c r="AY73" s="39"/>
      <c r="AZ73" s="39"/>
      <c r="BA73" s="39">
        <f>+AR73+AS73+AU73+AW73+AY73+AZ73</f>
        <v>0</v>
      </c>
      <c r="BB73" s="35">
        <v>0</v>
      </c>
      <c r="BC73" s="53"/>
      <c r="BD73" s="53"/>
      <c r="BE73" s="35"/>
      <c r="BF73" s="53"/>
    </row>
    <row r="74" spans="1:58" ht="12.95" customHeight="1">
      <c r="A74" s="42"/>
      <c r="B74" s="43" t="s">
        <v>8</v>
      </c>
      <c r="C74" s="398">
        <f t="shared" si="168"/>
        <v>40.847065559999997</v>
      </c>
      <c r="D74" s="43" t="s">
        <v>307</v>
      </c>
      <c r="E74" s="44">
        <v>12</v>
      </c>
      <c r="F74" s="44">
        <v>1</v>
      </c>
      <c r="G74" s="411">
        <v>1350</v>
      </c>
      <c r="H74" s="46">
        <f t="shared" ref="H74" si="176">+N74</f>
        <v>0.22999999999999998</v>
      </c>
      <c r="I74" s="47">
        <v>0.88</v>
      </c>
      <c r="J74" s="84">
        <f t="shared" si="169"/>
        <v>49.217414400000003</v>
      </c>
      <c r="K74" s="84">
        <f t="shared" si="170"/>
        <v>40.847065559999997</v>
      </c>
      <c r="L74" s="37">
        <v>1350</v>
      </c>
      <c r="M74" s="37">
        <v>1039.5</v>
      </c>
      <c r="N74" s="48">
        <f t="shared" si="171"/>
        <v>0.22999999999999998</v>
      </c>
      <c r="O74" s="49">
        <f>+'Trim Rwd'!H43</f>
        <v>263.0181818181818</v>
      </c>
      <c r="P74" s="50">
        <f t="shared" si="172"/>
        <v>323512.36363636359</v>
      </c>
      <c r="Q74" s="49">
        <v>1245</v>
      </c>
      <c r="R74" s="367">
        <v>0</v>
      </c>
      <c r="S74" s="367">
        <v>15</v>
      </c>
      <c r="T74" s="39">
        <f t="shared" si="173"/>
        <v>40.847065559999997</v>
      </c>
      <c r="U74" s="39">
        <f t="shared" si="174"/>
        <v>40.354932239999997</v>
      </c>
      <c r="V74" s="39">
        <f t="shared" si="175"/>
        <v>0.49213331999999999</v>
      </c>
      <c r="W74" s="39">
        <f>+'15'!K7/1000</f>
        <v>36.487000000000002</v>
      </c>
      <c r="X74" s="40"/>
      <c r="Y74" s="211"/>
      <c r="Z74" s="39"/>
      <c r="AA74" s="39"/>
      <c r="AB74" s="39"/>
      <c r="AC74" s="39"/>
      <c r="AD74" s="39">
        <f t="shared" ref="AD74:AD75" si="177">+AM74+BA74</f>
        <v>7</v>
      </c>
      <c r="AE74" s="228" t="s">
        <v>530</v>
      </c>
      <c r="AF74" s="39"/>
      <c r="AG74" s="39">
        <v>7</v>
      </c>
      <c r="AH74" s="39"/>
      <c r="AI74" s="39"/>
      <c r="AJ74" s="39"/>
      <c r="AK74" s="39"/>
      <c r="AL74" s="39"/>
      <c r="AM74" s="39">
        <f t="shared" ref="AM74:AM75" si="178">SUM(AF74:AL74)+AT74+AV74+AX74</f>
        <v>7</v>
      </c>
      <c r="AN74" s="85"/>
      <c r="AO74" s="39"/>
      <c r="AP74" s="39"/>
      <c r="AQ74" s="39"/>
      <c r="AR74" s="39">
        <f t="shared" ref="AR74:AR75" si="179">SUM(AN74:AQ74)</f>
        <v>0</v>
      </c>
      <c r="AS74" s="39"/>
      <c r="AT74" s="39"/>
      <c r="AU74" s="39"/>
      <c r="AV74" s="39"/>
      <c r="AW74" s="39"/>
      <c r="AX74" s="39"/>
      <c r="AY74" s="39"/>
      <c r="AZ74" s="39"/>
      <c r="BA74" s="39">
        <f t="shared" ref="BA74:BA75" si="180">+AR74+AS74+AU74+AW74+AY74+AZ74</f>
        <v>0</v>
      </c>
      <c r="BB74" s="52"/>
      <c r="BC74" s="53">
        <v>9</v>
      </c>
      <c r="BD74" s="53"/>
      <c r="BE74" s="52"/>
      <c r="BF74" s="53"/>
    </row>
    <row r="75" spans="1:58" ht="12.95" customHeight="1">
      <c r="A75" s="42"/>
      <c r="B75" s="43"/>
      <c r="C75" s="398"/>
      <c r="D75" s="43"/>
      <c r="E75" s="44"/>
      <c r="F75" s="44"/>
      <c r="G75" s="45"/>
      <c r="H75" s="46"/>
      <c r="I75" s="47"/>
      <c r="J75" s="84"/>
      <c r="K75" s="84"/>
      <c r="L75" s="37"/>
      <c r="M75" s="37"/>
      <c r="N75" s="48"/>
      <c r="O75" s="49"/>
      <c r="P75" s="50"/>
      <c r="Q75" s="49"/>
      <c r="R75" s="367"/>
      <c r="S75" s="367"/>
      <c r="T75" s="39"/>
      <c r="U75" s="39"/>
      <c r="V75" s="39"/>
      <c r="W75" s="39"/>
      <c r="X75" s="40"/>
      <c r="Y75" s="211"/>
      <c r="Z75" s="39"/>
      <c r="AA75" s="39"/>
      <c r="AB75" s="39"/>
      <c r="AC75" s="39"/>
      <c r="AD75" s="39">
        <f t="shared" si="177"/>
        <v>13</v>
      </c>
      <c r="AE75" s="228" t="s">
        <v>579</v>
      </c>
      <c r="AF75" s="35"/>
      <c r="AG75" s="35"/>
      <c r="AH75" s="35">
        <v>13</v>
      </c>
      <c r="AI75" s="35"/>
      <c r="AJ75" s="39"/>
      <c r="AK75" s="39"/>
      <c r="AL75" s="39"/>
      <c r="AM75" s="39">
        <f t="shared" si="178"/>
        <v>13</v>
      </c>
      <c r="AN75" s="39"/>
      <c r="AO75" s="39"/>
      <c r="AP75" s="39"/>
      <c r="AQ75" s="39"/>
      <c r="AR75" s="39">
        <f t="shared" si="179"/>
        <v>0</v>
      </c>
      <c r="AS75" s="39"/>
      <c r="AT75" s="39"/>
      <c r="AU75" s="39"/>
      <c r="AV75" s="39"/>
      <c r="AW75" s="39"/>
      <c r="AX75" s="39"/>
      <c r="AY75" s="39"/>
      <c r="AZ75" s="39"/>
      <c r="BA75" s="39">
        <f t="shared" si="180"/>
        <v>0</v>
      </c>
      <c r="BB75" s="35"/>
      <c r="BC75" s="482"/>
      <c r="BD75" s="482"/>
      <c r="BE75" s="35"/>
      <c r="BF75" s="482"/>
    </row>
    <row r="76" spans="1:58" ht="12.95" customHeight="1">
      <c r="A76" s="42"/>
      <c r="B76" s="43"/>
      <c r="C76" s="398"/>
      <c r="D76" s="43"/>
      <c r="E76" s="44"/>
      <c r="F76" s="44"/>
      <c r="G76" s="411"/>
      <c r="H76" s="46"/>
      <c r="I76" s="47"/>
      <c r="J76" s="84"/>
      <c r="K76" s="84"/>
      <c r="L76" s="37"/>
      <c r="M76" s="37"/>
      <c r="N76" s="48"/>
      <c r="O76" s="49"/>
      <c r="P76" s="50"/>
      <c r="Q76" s="49"/>
      <c r="R76" s="367"/>
      <c r="S76" s="367"/>
      <c r="T76" s="39"/>
      <c r="U76" s="39"/>
      <c r="V76" s="39"/>
      <c r="W76" s="39"/>
      <c r="X76" s="366"/>
      <c r="Y76" s="211"/>
      <c r="Z76" s="39"/>
      <c r="AA76" s="39"/>
      <c r="AB76" s="39"/>
      <c r="AC76" s="39"/>
      <c r="AD76" s="39"/>
      <c r="AE76" s="228"/>
      <c r="AF76" s="39"/>
      <c r="AG76" s="39"/>
      <c r="AH76" s="39"/>
      <c r="AI76" s="481"/>
      <c r="AJ76" s="39"/>
      <c r="AK76" s="39"/>
      <c r="AL76" s="39"/>
      <c r="AM76" s="39"/>
      <c r="AN76" s="85"/>
      <c r="AO76" s="39"/>
      <c r="AP76" s="39"/>
      <c r="AQ76" s="39"/>
      <c r="AR76" s="39"/>
      <c r="AS76" s="39"/>
      <c r="AT76" s="39"/>
      <c r="AU76" s="39"/>
      <c r="AV76" s="39"/>
      <c r="AW76" s="39"/>
      <c r="AX76" s="39"/>
      <c r="AY76" s="39"/>
      <c r="AZ76" s="39"/>
      <c r="BA76" s="39"/>
      <c r="BB76" s="52"/>
      <c r="BC76" s="53"/>
      <c r="BD76" s="53"/>
      <c r="BE76" s="53"/>
      <c r="BF76" s="53"/>
    </row>
    <row r="77" spans="1:58" ht="12.75" customHeight="1">
      <c r="A77" s="42">
        <v>45854</v>
      </c>
      <c r="B77" s="43" t="s">
        <v>8</v>
      </c>
      <c r="C77" s="398">
        <f t="shared" ref="C77" si="181">(M77*E77*O77*Q77)/100000000</f>
        <v>10.0060191</v>
      </c>
      <c r="D77" s="43" t="s">
        <v>307</v>
      </c>
      <c r="E77" s="44">
        <v>12</v>
      </c>
      <c r="F77" s="44">
        <v>1</v>
      </c>
      <c r="G77" s="411">
        <v>1350</v>
      </c>
      <c r="H77" s="46">
        <f t="shared" ref="H77" si="182">+N77</f>
        <v>0.22999999999999998</v>
      </c>
      <c r="I77" s="47">
        <v>0.88</v>
      </c>
      <c r="J77" s="84">
        <f t="shared" ref="J77" si="183">E77*G77*(1-H77)*1440/1000000*2.74</f>
        <v>49.217414400000003</v>
      </c>
      <c r="K77" s="84">
        <f t="shared" ref="K77" si="184">(IF(G77&lt;L77,L77,G77)*(1-IF(H77&lt;N77,H77,N77))*E77*O77*Q77)/100000000</f>
        <v>10.0060191</v>
      </c>
      <c r="L77" s="37">
        <v>1350</v>
      </c>
      <c r="M77" s="37">
        <v>1039.5</v>
      </c>
      <c r="N77" s="48">
        <f t="shared" ref="N77" si="185">1-(M77/L77)</f>
        <v>0.22999999999999998</v>
      </c>
      <c r="O77" s="49">
        <f>+'Trim Rwd'!H46</f>
        <v>263</v>
      </c>
      <c r="P77" s="50">
        <f t="shared" ref="P77" si="186">O77*(Q77-R77-S77)</f>
        <v>77585</v>
      </c>
      <c r="Q77" s="49">
        <v>305</v>
      </c>
      <c r="R77" s="367">
        <v>0</v>
      </c>
      <c r="S77" s="367">
        <v>10</v>
      </c>
      <c r="T77" s="39">
        <f t="shared" ref="T77" si="187">E77*M77*O77*Q77/100000000</f>
        <v>10.0060191</v>
      </c>
      <c r="U77" s="39">
        <f t="shared" ref="U77" si="188">E77*M77*O77*(Q77-R77-S77)/100000000</f>
        <v>9.6779528999999993</v>
      </c>
      <c r="V77" s="39">
        <f t="shared" ref="V77" si="189">E77*G77*(1-N77)*O77/100*(R77+S77)/1000000</f>
        <v>0.32806620000000003</v>
      </c>
      <c r="W77" s="39">
        <f>+'16'!K7/1000</f>
        <v>13.337</v>
      </c>
      <c r="X77" s="366">
        <f>SUM(W77:W80)/SUM(K77:K80)</f>
        <v>0.90405523022013246</v>
      </c>
      <c r="Y77" s="39">
        <v>0</v>
      </c>
      <c r="Z77" s="39">
        <v>0</v>
      </c>
      <c r="AA77" s="51">
        <f>SUM(U77:U80)-SUM(W77:W80)-SUM(Z77:Z80)-SUM(Y77:Y80)</f>
        <v>3.1315483687499954</v>
      </c>
      <c r="AB77" s="51">
        <f>(SUM(K77:K80)-SUM(W77:W80)-SUM(Y77:Y80)-SUM(Z77:Z80)-SUM(AC77:AC80)-SUM(V77:V80))-AA77</f>
        <v>0</v>
      </c>
      <c r="AC77" s="39">
        <f>K77-T77</f>
        <v>0</v>
      </c>
      <c r="AD77" s="39">
        <f>+AM77+BA77</f>
        <v>0</v>
      </c>
      <c r="AE77" s="228" t="s">
        <v>461</v>
      </c>
      <c r="AF77" s="39">
        <v>0</v>
      </c>
      <c r="AG77" s="39"/>
      <c r="AH77" s="39"/>
      <c r="AI77" s="39"/>
      <c r="AJ77" s="39"/>
      <c r="AK77" s="39"/>
      <c r="AL77" s="39"/>
      <c r="AM77" s="39">
        <f>SUM(AF77:AL77)+AT77+AV77+AX77</f>
        <v>0</v>
      </c>
      <c r="AN77" s="39"/>
      <c r="AO77" s="39"/>
      <c r="AP77" s="39"/>
      <c r="AQ77" s="39"/>
      <c r="AR77" s="39">
        <f>SUM(AN77:AQ77)</f>
        <v>0</v>
      </c>
      <c r="AS77" s="39"/>
      <c r="AT77" s="39"/>
      <c r="AU77" s="39"/>
      <c r="AV77" s="39"/>
      <c r="AW77" s="39"/>
      <c r="AX77" s="39"/>
      <c r="AY77" s="39"/>
      <c r="AZ77" s="39"/>
      <c r="BA77" s="39">
        <f>+AR77+AS77+AU77+AW77+AY77+AZ77</f>
        <v>0</v>
      </c>
      <c r="BB77" s="35">
        <v>0</v>
      </c>
      <c r="BC77" s="53"/>
      <c r="BD77" s="53"/>
      <c r="BE77" s="35"/>
      <c r="BF77" s="53"/>
    </row>
    <row r="78" spans="1:58" ht="12.95" customHeight="1">
      <c r="A78" s="42"/>
      <c r="B78" s="43" t="s">
        <v>8</v>
      </c>
      <c r="C78" s="398">
        <f t="shared" ref="C78" si="190">(M78*E78*O78*Q78)/100000000</f>
        <v>35.616193593749998</v>
      </c>
      <c r="D78" s="43" t="s">
        <v>307</v>
      </c>
      <c r="E78" s="44">
        <v>11.5</v>
      </c>
      <c r="F78" s="44">
        <v>1</v>
      </c>
      <c r="G78" s="411">
        <v>1350</v>
      </c>
      <c r="H78" s="46">
        <f t="shared" ref="H78" si="191">+N78</f>
        <v>0.22999999999999998</v>
      </c>
      <c r="I78" s="47">
        <v>0.88</v>
      </c>
      <c r="J78" s="84">
        <f t="shared" ref="J78" si="192">E78*G78*(1-H78)*1440/1000000*2.74</f>
        <v>47.16668880000001</v>
      </c>
      <c r="K78" s="84">
        <f t="shared" ref="K78" si="193">(IF(G78&lt;L78,L78,G78)*(1-IF(H78&lt;N78,H78,N78))*E78*O78*Q78)/100000000</f>
        <v>35.616193593749998</v>
      </c>
      <c r="L78" s="37">
        <v>1350</v>
      </c>
      <c r="M78" s="37">
        <v>1039.5</v>
      </c>
      <c r="N78" s="48">
        <f t="shared" ref="N78" si="194">1-(M78/L78)</f>
        <v>0.22999999999999998</v>
      </c>
      <c r="O78" s="49">
        <f>+'Trim Rwd'!H47</f>
        <v>262.5</v>
      </c>
      <c r="P78" s="50">
        <f t="shared" ref="P78" si="195">O78*(Q78-R78-S78)</f>
        <v>292687.5</v>
      </c>
      <c r="Q78" s="49">
        <v>1135</v>
      </c>
      <c r="R78" s="367">
        <v>0</v>
      </c>
      <c r="S78" s="367">
        <v>20</v>
      </c>
      <c r="T78" s="39">
        <f t="shared" ref="T78" si="196">E78*M78*O78*Q78/100000000</f>
        <v>35.616193593749998</v>
      </c>
      <c r="U78" s="39">
        <f t="shared" ref="U78" si="197">E78*M78*O78*(Q78-R78-S78)/100000000</f>
        <v>34.988595468749999</v>
      </c>
      <c r="V78" s="39">
        <f t="shared" ref="V78" si="198">E78*G78*(1-N78)*O78/100*(R78+S78)/1000000</f>
        <v>0.62759812500000001</v>
      </c>
      <c r="W78" s="39">
        <f>+'16'!K8/1000</f>
        <v>27.908000000000001</v>
      </c>
      <c r="X78" s="40"/>
      <c r="Y78" s="211"/>
      <c r="Z78" s="39">
        <f>+'16'!D25/1000</f>
        <v>0.28999999999999998</v>
      </c>
      <c r="AA78" s="39"/>
      <c r="AB78" s="39"/>
      <c r="AC78" s="39"/>
      <c r="AD78" s="39">
        <f t="shared" ref="AD78:AD79" si="199">+AM78+BA78</f>
        <v>9</v>
      </c>
      <c r="AE78" s="228" t="s">
        <v>530</v>
      </c>
      <c r="AF78" s="39"/>
      <c r="AG78" s="39">
        <v>9</v>
      </c>
      <c r="AH78" s="39"/>
      <c r="AI78" s="39"/>
      <c r="AJ78" s="39"/>
      <c r="AK78" s="39"/>
      <c r="AL78" s="39"/>
      <c r="AM78" s="39">
        <f t="shared" ref="AM78:AM79" si="200">SUM(AF78:AL78)+AT78+AV78+AX78</f>
        <v>9</v>
      </c>
      <c r="AN78" s="85"/>
      <c r="AO78" s="39"/>
      <c r="AP78" s="39"/>
      <c r="AQ78" s="39"/>
      <c r="AR78" s="39">
        <f t="shared" ref="AR78:AR79" si="201">SUM(AN78:AQ78)</f>
        <v>0</v>
      </c>
      <c r="AS78" s="39"/>
      <c r="AT78" s="39"/>
      <c r="AU78" s="39"/>
      <c r="AV78" s="39"/>
      <c r="AW78" s="39"/>
      <c r="AX78" s="39"/>
      <c r="AY78" s="39"/>
      <c r="AZ78" s="39"/>
      <c r="BA78" s="39">
        <f t="shared" ref="BA78:BA79" si="202">+AR78+AS78+AU78+AW78+AY78+AZ78</f>
        <v>0</v>
      </c>
      <c r="BB78" s="52"/>
      <c r="BC78" s="53">
        <v>9</v>
      </c>
      <c r="BD78" s="53"/>
      <c r="BE78" s="52"/>
      <c r="BF78" s="53"/>
    </row>
    <row r="79" spans="1:58" ht="12.95" customHeight="1">
      <c r="A79" s="42"/>
      <c r="B79" s="43"/>
      <c r="C79" s="398"/>
      <c r="D79" s="43"/>
      <c r="E79" s="44"/>
      <c r="F79" s="44"/>
      <c r="G79" s="45"/>
      <c r="H79" s="46"/>
      <c r="I79" s="47"/>
      <c r="J79" s="84"/>
      <c r="K79" s="84"/>
      <c r="L79" s="37"/>
      <c r="M79" s="37"/>
      <c r="N79" s="48"/>
      <c r="O79" s="49"/>
      <c r="P79" s="50"/>
      <c r="Q79" s="49"/>
      <c r="R79" s="367"/>
      <c r="S79" s="367"/>
      <c r="T79" s="39"/>
      <c r="U79" s="39"/>
      <c r="V79" s="39"/>
      <c r="W79" s="39"/>
      <c r="X79" s="40"/>
      <c r="Y79" s="211"/>
      <c r="Z79" s="39"/>
      <c r="AA79" s="39"/>
      <c r="AB79" s="39"/>
      <c r="AC79" s="39"/>
      <c r="AD79" s="39">
        <f t="shared" si="199"/>
        <v>21</v>
      </c>
      <c r="AE79" s="228" t="s">
        <v>651</v>
      </c>
      <c r="AF79" s="35"/>
      <c r="AG79" s="35"/>
      <c r="AH79" s="35">
        <v>21</v>
      </c>
      <c r="AI79" s="35"/>
      <c r="AJ79" s="39"/>
      <c r="AK79" s="39"/>
      <c r="AL79" s="39"/>
      <c r="AM79" s="39">
        <f t="shared" si="200"/>
        <v>21</v>
      </c>
      <c r="AN79" s="39"/>
      <c r="AO79" s="39"/>
      <c r="AP79" s="39"/>
      <c r="AQ79" s="39"/>
      <c r="AR79" s="39">
        <f t="shared" si="201"/>
        <v>0</v>
      </c>
      <c r="AS79" s="39"/>
      <c r="AT79" s="39"/>
      <c r="AU79" s="39"/>
      <c r="AV79" s="39"/>
      <c r="AW79" s="39"/>
      <c r="AX79" s="39"/>
      <c r="AY79" s="39"/>
      <c r="AZ79" s="39"/>
      <c r="BA79" s="39">
        <f t="shared" si="202"/>
        <v>0</v>
      </c>
      <c r="BB79" s="35"/>
      <c r="BC79" s="482"/>
      <c r="BD79" s="482"/>
      <c r="BE79" s="35"/>
      <c r="BF79" s="482"/>
    </row>
    <row r="80" spans="1:58" ht="12.95" customHeight="1">
      <c r="A80" s="42"/>
      <c r="B80" s="43"/>
      <c r="C80" s="398"/>
      <c r="D80" s="43"/>
      <c r="E80" s="44"/>
      <c r="F80" s="44"/>
      <c r="G80" s="411"/>
      <c r="H80" s="46"/>
      <c r="I80" s="47"/>
      <c r="J80" s="84"/>
      <c r="K80" s="84"/>
      <c r="L80" s="37"/>
      <c r="M80" s="37"/>
      <c r="N80" s="48"/>
      <c r="O80" s="49"/>
      <c r="P80" s="50"/>
      <c r="Q80" s="49"/>
      <c r="R80" s="367"/>
      <c r="S80" s="367"/>
      <c r="T80" s="39"/>
      <c r="U80" s="39"/>
      <c r="V80" s="39"/>
      <c r="W80" s="39"/>
      <c r="X80" s="366"/>
      <c r="Y80" s="211"/>
      <c r="Z80" s="39"/>
      <c r="AA80" s="51"/>
      <c r="AB80" s="51"/>
      <c r="AC80" s="39"/>
      <c r="AD80" s="39"/>
      <c r="AE80" s="228"/>
      <c r="AF80" s="39"/>
      <c r="AG80" s="39"/>
      <c r="AH80" s="39"/>
      <c r="AI80" s="39"/>
      <c r="AJ80" s="39"/>
      <c r="AK80" s="39"/>
      <c r="AL80" s="39"/>
      <c r="AM80" s="39"/>
      <c r="AN80" s="39"/>
      <c r="AO80" s="39"/>
      <c r="AP80" s="39"/>
      <c r="AQ80" s="39"/>
      <c r="AR80" s="39"/>
      <c r="AS80" s="39"/>
      <c r="AT80" s="39"/>
      <c r="AU80" s="39"/>
      <c r="AV80" s="39"/>
      <c r="AW80" s="39"/>
      <c r="AX80" s="39"/>
      <c r="AY80" s="39"/>
      <c r="AZ80" s="39"/>
      <c r="BA80" s="39"/>
      <c r="BB80" s="35"/>
      <c r="BC80" s="53"/>
      <c r="BD80" s="53"/>
      <c r="BE80" s="53"/>
      <c r="BF80" s="53"/>
    </row>
    <row r="81" spans="1:58" ht="12.75" customHeight="1">
      <c r="A81" s="42">
        <v>45855</v>
      </c>
      <c r="B81" s="43" t="s">
        <v>8</v>
      </c>
      <c r="C81" s="398">
        <f t="shared" ref="C81" si="203">(M81*E81*O81*Q81)/100000000</f>
        <v>45.187064999999997</v>
      </c>
      <c r="D81" s="43" t="s">
        <v>307</v>
      </c>
      <c r="E81" s="44">
        <v>11.5</v>
      </c>
      <c r="F81" s="44">
        <v>1</v>
      </c>
      <c r="G81" s="411">
        <v>1350</v>
      </c>
      <c r="H81" s="46">
        <f t="shared" ref="H81" si="204">+N81</f>
        <v>0.22999999999999998</v>
      </c>
      <c r="I81" s="47">
        <v>0.88</v>
      </c>
      <c r="J81" s="84">
        <f t="shared" ref="J81" si="205">E81*G81*(1-H81)*1440/1000000*2.74</f>
        <v>47.16668880000001</v>
      </c>
      <c r="K81" s="84">
        <f t="shared" ref="K81" si="206">(IF(G81&lt;L81,L81,G81)*(1-IF(H81&lt;N81,H81,N81))*E81*O81*Q81)/100000000</f>
        <v>45.187064999999997</v>
      </c>
      <c r="L81" s="37">
        <v>1350</v>
      </c>
      <c r="M81" s="37">
        <v>1039.5</v>
      </c>
      <c r="N81" s="48">
        <f t="shared" ref="N81" si="207">1-(M81/L81)</f>
        <v>0.22999999999999998</v>
      </c>
      <c r="O81" s="49">
        <f>+'Trim Rwd'!H49</f>
        <v>262.5</v>
      </c>
      <c r="P81" s="50">
        <f t="shared" ref="P81" si="208">O81*(Q81-R81-S81)</f>
        <v>364875</v>
      </c>
      <c r="Q81" s="49">
        <v>1440</v>
      </c>
      <c r="R81" s="367">
        <v>0</v>
      </c>
      <c r="S81" s="367">
        <v>50</v>
      </c>
      <c r="T81" s="39">
        <f t="shared" ref="T81" si="209">E81*M81*O81*Q81/100000000</f>
        <v>45.187064999999997</v>
      </c>
      <c r="U81" s="39">
        <f t="shared" ref="U81" si="210">E81*M81*O81*(Q81-R81-S81)/100000000</f>
        <v>43.618069687499997</v>
      </c>
      <c r="V81" s="39">
        <f t="shared" ref="V81" si="211">E81*G81*(1-N81)*O81/100*(R81+S81)/1000000</f>
        <v>1.5689953125</v>
      </c>
      <c r="W81" s="39">
        <f>+'17'!K8/1000</f>
        <v>40.045000000000002</v>
      </c>
      <c r="X81" s="366">
        <f>SUM(W81:W84)/SUM(K81:K84)</f>
        <v>0.88620493497420127</v>
      </c>
      <c r="Y81" s="39">
        <f>+SUM(RBP!AG32:AG33)</f>
        <v>0</v>
      </c>
      <c r="Z81" s="39">
        <v>0</v>
      </c>
      <c r="AA81" s="51">
        <f>SUM(U81:U84)-SUM(W81:W84)-SUM(Z81:Z84)-SUM(Y81:Y84)</f>
        <v>3.573069687499995</v>
      </c>
      <c r="AB81" s="51">
        <f>(SUM(K81:K84)-SUM(W81:W84)-SUM(Y81:Y84)-SUM(Z81:Z84)-SUM(AC81:AC84)-SUM(V81:V84))-AA81</f>
        <v>0</v>
      </c>
      <c r="AC81" s="39">
        <f>K81-T81</f>
        <v>0</v>
      </c>
      <c r="AD81" s="39">
        <f>+AM81+BA81</f>
        <v>0</v>
      </c>
      <c r="AE81" s="228" t="s">
        <v>461</v>
      </c>
      <c r="AF81" s="39">
        <v>0</v>
      </c>
      <c r="AG81" s="39"/>
      <c r="AH81" s="39"/>
      <c r="AI81" s="39"/>
      <c r="AJ81" s="39"/>
      <c r="AK81" s="39"/>
      <c r="AL81" s="39"/>
      <c r="AM81" s="39">
        <f>SUM(AF81:AL81)+AT81+AV81+AX81</f>
        <v>0</v>
      </c>
      <c r="AN81" s="39"/>
      <c r="AO81" s="39"/>
      <c r="AP81" s="39"/>
      <c r="AQ81" s="39"/>
      <c r="AR81" s="39">
        <f>SUM(AN81:AQ81)</f>
        <v>0</v>
      </c>
      <c r="AS81" s="39"/>
      <c r="AT81" s="39"/>
      <c r="AU81" s="39"/>
      <c r="AV81" s="39"/>
      <c r="AW81" s="39"/>
      <c r="AX81" s="39"/>
      <c r="AY81" s="39"/>
      <c r="AZ81" s="39"/>
      <c r="BA81" s="39">
        <f>+AR81+AS81+AU81+AW81+AY81+AZ81</f>
        <v>0</v>
      </c>
      <c r="BB81" s="35">
        <v>0</v>
      </c>
      <c r="BC81" s="53"/>
      <c r="BD81" s="53"/>
      <c r="BE81" s="35"/>
      <c r="BF81" s="53"/>
    </row>
    <row r="82" spans="1:58" ht="12.95" customHeight="1">
      <c r="A82" s="42"/>
      <c r="B82" s="43"/>
      <c r="C82" s="398"/>
      <c r="D82" s="43"/>
      <c r="E82" s="44"/>
      <c r="F82" s="44"/>
      <c r="G82" s="45"/>
      <c r="H82" s="46"/>
      <c r="I82" s="47"/>
      <c r="J82" s="84"/>
      <c r="K82" s="84"/>
      <c r="L82" s="37"/>
      <c r="M82" s="37"/>
      <c r="N82" s="48"/>
      <c r="O82" s="49"/>
      <c r="P82" s="50"/>
      <c r="Q82" s="49"/>
      <c r="R82" s="367"/>
      <c r="S82" s="367"/>
      <c r="T82" s="39"/>
      <c r="U82" s="39"/>
      <c r="V82" s="39"/>
      <c r="W82" s="39"/>
      <c r="X82" s="40"/>
      <c r="Y82" s="211"/>
      <c r="Z82" s="39"/>
      <c r="AA82" s="39"/>
      <c r="AB82" s="39"/>
      <c r="AC82" s="39"/>
      <c r="AD82" s="39">
        <f t="shared" ref="AD82:AD84" si="212">+AM82+BA82</f>
        <v>15</v>
      </c>
      <c r="AE82" s="228" t="s">
        <v>481</v>
      </c>
      <c r="AF82" s="39"/>
      <c r="AG82" s="39">
        <v>15</v>
      </c>
      <c r="AH82" s="39"/>
      <c r="AI82" s="39"/>
      <c r="AJ82" s="39"/>
      <c r="AK82" s="39"/>
      <c r="AL82" s="39"/>
      <c r="AM82" s="39">
        <f t="shared" ref="AM82:AM83" si="213">SUM(AF82:AL82)+AT82+AV82+AX82</f>
        <v>15</v>
      </c>
      <c r="AN82" s="85"/>
      <c r="AO82" s="39"/>
      <c r="AP82" s="39"/>
      <c r="AQ82" s="39"/>
      <c r="AR82" s="39">
        <f t="shared" ref="AR82:AR83" si="214">SUM(AN82:AQ82)</f>
        <v>0</v>
      </c>
      <c r="AS82" s="39"/>
      <c r="AT82" s="39"/>
      <c r="AU82" s="39"/>
      <c r="AV82" s="39"/>
      <c r="AW82" s="39"/>
      <c r="AX82" s="39"/>
      <c r="AY82" s="39"/>
      <c r="AZ82" s="39"/>
      <c r="BA82" s="39">
        <f t="shared" ref="BA82:BA84" si="215">+AR82+AS82+AU82+AW82+AY82+AZ82</f>
        <v>0</v>
      </c>
      <c r="BB82" s="52"/>
      <c r="BC82" s="53">
        <v>8</v>
      </c>
      <c r="BD82" s="53"/>
      <c r="BE82" s="52"/>
      <c r="BF82" s="53"/>
    </row>
    <row r="83" spans="1:58" ht="12.95" customHeight="1">
      <c r="A83" s="42"/>
      <c r="B83" s="43"/>
      <c r="C83" s="398"/>
      <c r="D83" s="43"/>
      <c r="E83" s="44"/>
      <c r="F83" s="44"/>
      <c r="G83" s="45"/>
      <c r="H83" s="46"/>
      <c r="I83" s="47"/>
      <c r="J83" s="84"/>
      <c r="K83" s="84"/>
      <c r="L83" s="37"/>
      <c r="M83" s="37"/>
      <c r="N83" s="48"/>
      <c r="O83" s="49"/>
      <c r="P83" s="50"/>
      <c r="Q83" s="49"/>
      <c r="R83" s="367"/>
      <c r="S83" s="367"/>
      <c r="T83" s="39"/>
      <c r="U83" s="39"/>
      <c r="V83" s="39"/>
      <c r="W83" s="39"/>
      <c r="X83" s="40"/>
      <c r="Y83" s="211"/>
      <c r="Z83" s="39"/>
      <c r="AA83" s="39"/>
      <c r="AB83" s="39"/>
      <c r="AC83" s="39"/>
      <c r="AD83" s="39">
        <f t="shared" si="212"/>
        <v>23</v>
      </c>
      <c r="AE83" s="228" t="s">
        <v>569</v>
      </c>
      <c r="AF83" s="35"/>
      <c r="AG83" s="35"/>
      <c r="AH83" s="35">
        <v>23</v>
      </c>
      <c r="AI83" s="35"/>
      <c r="AJ83" s="39"/>
      <c r="AK83" s="39"/>
      <c r="AL83" s="39"/>
      <c r="AM83" s="39">
        <f t="shared" si="213"/>
        <v>23</v>
      </c>
      <c r="AN83" s="39"/>
      <c r="AO83" s="39"/>
      <c r="AP83" s="39"/>
      <c r="AQ83" s="39"/>
      <c r="AR83" s="39">
        <f t="shared" si="214"/>
        <v>0</v>
      </c>
      <c r="AS83" s="39"/>
      <c r="AT83" s="39"/>
      <c r="AU83" s="39"/>
      <c r="AV83" s="39"/>
      <c r="AW83" s="39"/>
      <c r="AX83" s="39"/>
      <c r="AY83" s="39"/>
      <c r="AZ83" s="39"/>
      <c r="BA83" s="39">
        <f t="shared" si="215"/>
        <v>0</v>
      </c>
      <c r="BB83" s="35"/>
      <c r="BC83" s="482"/>
      <c r="BD83" s="482"/>
      <c r="BE83" s="35"/>
      <c r="BF83" s="482"/>
    </row>
    <row r="84" spans="1:58" ht="12.95" customHeight="1">
      <c r="A84" s="42"/>
      <c r="B84" s="43"/>
      <c r="C84" s="398"/>
      <c r="D84" s="43"/>
      <c r="E84" s="44"/>
      <c r="F84" s="44"/>
      <c r="G84" s="45"/>
      <c r="H84" s="46"/>
      <c r="I84" s="47"/>
      <c r="J84" s="84"/>
      <c r="K84" s="84"/>
      <c r="L84" s="37"/>
      <c r="M84" s="37"/>
      <c r="N84" s="48"/>
      <c r="O84" s="49"/>
      <c r="P84" s="50"/>
      <c r="Q84" s="49"/>
      <c r="R84" s="367"/>
      <c r="S84" s="367"/>
      <c r="T84" s="39"/>
      <c r="U84" s="39"/>
      <c r="V84" s="39"/>
      <c r="W84" s="39"/>
      <c r="X84" s="40"/>
      <c r="Y84" s="211"/>
      <c r="Z84" s="39"/>
      <c r="AA84" s="39"/>
      <c r="AB84" s="39"/>
      <c r="AC84" s="39"/>
      <c r="AD84" s="39">
        <f t="shared" si="212"/>
        <v>12</v>
      </c>
      <c r="AE84" s="228" t="s">
        <v>658</v>
      </c>
      <c r="AF84" s="35"/>
      <c r="AG84" s="35"/>
      <c r="AH84" s="35"/>
      <c r="AI84" s="35"/>
      <c r="AJ84" s="39"/>
      <c r="AK84" s="39">
        <v>12</v>
      </c>
      <c r="AL84" s="39"/>
      <c r="AM84" s="39">
        <f t="shared" ref="AM84" si="216">SUM(AF84:AL84)+AT84+AV84+AX84</f>
        <v>12</v>
      </c>
      <c r="AN84" s="39"/>
      <c r="AO84" s="39"/>
      <c r="AP84" s="39"/>
      <c r="AQ84" s="39"/>
      <c r="AR84" s="39">
        <f t="shared" ref="AR84" si="217">SUM(AN84:AQ84)</f>
        <v>0</v>
      </c>
      <c r="AS84" s="39"/>
      <c r="AT84" s="39"/>
      <c r="AU84" s="39"/>
      <c r="AV84" s="39"/>
      <c r="AW84" s="39"/>
      <c r="AX84" s="39"/>
      <c r="AY84" s="39"/>
      <c r="AZ84" s="39"/>
      <c r="BA84" s="39">
        <f t="shared" si="215"/>
        <v>0</v>
      </c>
      <c r="BB84" s="35"/>
      <c r="BC84" s="482"/>
      <c r="BD84" s="482"/>
      <c r="BE84" s="35"/>
      <c r="BF84" s="482"/>
    </row>
    <row r="85" spans="1:58" ht="12.95" customHeight="1">
      <c r="A85" s="42"/>
      <c r="B85" s="43"/>
      <c r="C85" s="398"/>
      <c r="D85" s="43"/>
      <c r="E85" s="44"/>
      <c r="F85" s="44"/>
      <c r="G85" s="411"/>
      <c r="H85" s="46"/>
      <c r="I85" s="47"/>
      <c r="J85" s="84"/>
      <c r="K85" s="84"/>
      <c r="L85" s="37"/>
      <c r="M85" s="37"/>
      <c r="N85" s="48"/>
      <c r="O85" s="49"/>
      <c r="P85" s="50"/>
      <c r="Q85" s="49"/>
      <c r="R85" s="367"/>
      <c r="S85" s="367"/>
      <c r="T85" s="39"/>
      <c r="U85" s="39"/>
      <c r="V85" s="39"/>
      <c r="W85" s="39"/>
      <c r="X85" s="366"/>
      <c r="Y85" s="39"/>
      <c r="Z85" s="39"/>
      <c r="AA85" s="51"/>
      <c r="AB85" s="51"/>
      <c r="AC85" s="39"/>
      <c r="AD85" s="39"/>
      <c r="AE85" s="228"/>
      <c r="AF85" s="39"/>
      <c r="AG85" s="39"/>
      <c r="AH85" s="39"/>
      <c r="AI85" s="481"/>
      <c r="AJ85" s="39"/>
      <c r="AK85" s="39"/>
      <c r="AL85" s="39"/>
      <c r="AM85" s="39"/>
      <c r="AN85" s="39"/>
      <c r="AO85" s="39"/>
      <c r="AP85" s="39"/>
      <c r="AQ85" s="39"/>
      <c r="AR85" s="39"/>
      <c r="AS85" s="39"/>
      <c r="AT85" s="39"/>
      <c r="AU85" s="39"/>
      <c r="AV85" s="39"/>
      <c r="AW85" s="39"/>
      <c r="AX85" s="39"/>
      <c r="AY85" s="39"/>
      <c r="AZ85" s="39"/>
      <c r="BA85" s="39"/>
      <c r="BB85" s="35"/>
      <c r="BC85" s="53"/>
      <c r="BD85" s="53"/>
      <c r="BE85" s="53"/>
      <c r="BF85" s="53"/>
    </row>
    <row r="86" spans="1:58" ht="12.75" customHeight="1">
      <c r="A86" s="42">
        <v>45856</v>
      </c>
      <c r="B86" s="43" t="s">
        <v>8</v>
      </c>
      <c r="C86" s="398">
        <f t="shared" ref="C86:C87" si="218">(M86*E86*O86*Q86)/100000000</f>
        <v>2.8241915624999998</v>
      </c>
      <c r="D86" s="43" t="s">
        <v>307</v>
      </c>
      <c r="E86" s="44">
        <v>11.5</v>
      </c>
      <c r="F86" s="44">
        <v>1</v>
      </c>
      <c r="G86" s="411">
        <v>1350</v>
      </c>
      <c r="H86" s="46">
        <f t="shared" ref="H86:H87" si="219">+N86</f>
        <v>0.22999999999999998</v>
      </c>
      <c r="I86" s="47">
        <v>0.88</v>
      </c>
      <c r="J86" s="84">
        <f t="shared" ref="J86:J87" si="220">E86*G86*(1-H86)*1440/1000000*2.74</f>
        <v>47.16668880000001</v>
      </c>
      <c r="K86" s="84">
        <f t="shared" ref="K86:K87" si="221">(IF(G86&lt;L86,L86,G86)*(1-IF(H86&lt;N86,H86,N86))*E86*O86*Q86)/100000000</f>
        <v>2.8241915624999998</v>
      </c>
      <c r="L86" s="37">
        <v>1350</v>
      </c>
      <c r="M86" s="37">
        <v>1039.5</v>
      </c>
      <c r="N86" s="48">
        <f t="shared" ref="N86:N87" si="222">1-(M86/L86)</f>
        <v>0.22999999999999998</v>
      </c>
      <c r="O86" s="49">
        <f>+'Trim Rwd'!H51</f>
        <v>262.5</v>
      </c>
      <c r="P86" s="50">
        <f t="shared" ref="P86:P87" si="223">O86*(Q86-R86-S86)</f>
        <v>22312.5</v>
      </c>
      <c r="Q86" s="49">
        <v>90</v>
      </c>
      <c r="R86" s="367">
        <v>0</v>
      </c>
      <c r="S86" s="367">
        <v>5</v>
      </c>
      <c r="T86" s="39">
        <f t="shared" ref="T86:T87" si="224">E86*M86*O86*Q86/100000000</f>
        <v>2.8241915624999998</v>
      </c>
      <c r="U86" s="39">
        <f t="shared" ref="U86:U87" si="225">E86*M86*O86*(Q86-R86-S86)/100000000</f>
        <v>2.6672920312500001</v>
      </c>
      <c r="V86" s="39">
        <f t="shared" ref="V86:V87" si="226">E86*G86*(1-N86)*O86/100*(R86+S86)/1000000</f>
        <v>0.15689953125</v>
      </c>
      <c r="W86" s="39">
        <f>+'18'!K8/1000</f>
        <v>7.5270000000000001</v>
      </c>
      <c r="X86" s="366">
        <f>SUM(W86:W89)/SUM(K86:K89)</f>
        <v>1.0274843016587667</v>
      </c>
      <c r="Y86" s="39">
        <v>0</v>
      </c>
      <c r="Z86" s="39">
        <v>0</v>
      </c>
      <c r="AA86" s="51">
        <f>SUM(U86:U89)-SUM(W86:W89)-SUM(Z86:Z89)-SUM(Y86:Y89)</f>
        <v>-2.2391298487500038</v>
      </c>
      <c r="AB86" s="51">
        <f>(SUM(K86:K89)-SUM(W86:W89)-SUM(Y86:Y89)-SUM(Z86:Z89)-SUM(AC86:AC89)-SUM(V86:V89))-AA86</f>
        <v>0</v>
      </c>
      <c r="AC86" s="39">
        <f>K86-T86</f>
        <v>0</v>
      </c>
      <c r="AD86" s="39">
        <f>+AM86+BA86</f>
        <v>0</v>
      </c>
      <c r="AE86" s="228" t="s">
        <v>461</v>
      </c>
      <c r="AF86" s="39">
        <v>0</v>
      </c>
      <c r="AG86" s="39"/>
      <c r="AH86" s="39"/>
      <c r="AI86" s="39"/>
      <c r="AJ86" s="39"/>
      <c r="AK86" s="39"/>
      <c r="AL86" s="39"/>
      <c r="AM86" s="39">
        <f>SUM(AF86:AL86)+AT86+AV86+AX86</f>
        <v>0</v>
      </c>
      <c r="AN86" s="39"/>
      <c r="AO86" s="39"/>
      <c r="AP86" s="39"/>
      <c r="AQ86" s="39"/>
      <c r="AR86" s="39">
        <f>SUM(AN86:AQ86)</f>
        <v>0</v>
      </c>
      <c r="AS86" s="39"/>
      <c r="AT86" s="39"/>
      <c r="AU86" s="39"/>
      <c r="AV86" s="39"/>
      <c r="AW86" s="39"/>
      <c r="AX86" s="39"/>
      <c r="AY86" s="39"/>
      <c r="AZ86" s="39"/>
      <c r="BA86" s="39">
        <f>+AR86+AS86+AU86+AW86+AY86+AZ86</f>
        <v>0</v>
      </c>
      <c r="BB86" s="35">
        <v>0</v>
      </c>
      <c r="BC86" s="53"/>
      <c r="BD86" s="53"/>
      <c r="BE86" s="35"/>
      <c r="BF86" s="53"/>
    </row>
    <row r="87" spans="1:58" ht="12.95" customHeight="1">
      <c r="A87" s="42"/>
      <c r="B87" s="43" t="s">
        <v>8</v>
      </c>
      <c r="C87" s="398">
        <f t="shared" si="218"/>
        <v>44.288936999999997</v>
      </c>
      <c r="D87" s="43" t="s">
        <v>307</v>
      </c>
      <c r="E87" s="44">
        <v>12</v>
      </c>
      <c r="F87" s="44">
        <v>1</v>
      </c>
      <c r="G87" s="411">
        <v>1350</v>
      </c>
      <c r="H87" s="46">
        <f t="shared" si="219"/>
        <v>0.22999999999999998</v>
      </c>
      <c r="I87" s="47">
        <v>0.88</v>
      </c>
      <c r="J87" s="84">
        <f t="shared" si="220"/>
        <v>49.217414400000003</v>
      </c>
      <c r="K87" s="84">
        <f t="shared" si="221"/>
        <v>44.288936999999997</v>
      </c>
      <c r="L87" s="37">
        <v>1350</v>
      </c>
      <c r="M87" s="37">
        <v>1039.5</v>
      </c>
      <c r="N87" s="48">
        <f t="shared" si="222"/>
        <v>0.22999999999999998</v>
      </c>
      <c r="O87" s="49">
        <f>+'Trim Rwd'!H52</f>
        <v>263</v>
      </c>
      <c r="P87" s="50">
        <f t="shared" si="223"/>
        <v>348738</v>
      </c>
      <c r="Q87" s="49">
        <v>1350</v>
      </c>
      <c r="R87" s="367">
        <v>0</v>
      </c>
      <c r="S87" s="367">
        <f>29-S86</f>
        <v>24</v>
      </c>
      <c r="T87" s="39">
        <f t="shared" si="224"/>
        <v>44.288936999999997</v>
      </c>
      <c r="U87" s="39">
        <f t="shared" si="225"/>
        <v>43.501578119999998</v>
      </c>
      <c r="V87" s="39">
        <f t="shared" si="226"/>
        <v>0.78735888000000009</v>
      </c>
      <c r="W87" s="39">
        <f>+'18'!K7/1000</f>
        <v>40.881</v>
      </c>
      <c r="X87" s="40"/>
      <c r="Y87" s="211"/>
      <c r="Z87" s="39">
        <v>0</v>
      </c>
      <c r="AA87" s="39"/>
      <c r="AB87" s="39"/>
      <c r="AC87" s="39"/>
      <c r="AD87" s="39">
        <f t="shared" ref="AD87:AD88" si="227">+AM87+BA87</f>
        <v>10</v>
      </c>
      <c r="AE87" s="228" t="s">
        <v>532</v>
      </c>
      <c r="AF87" s="39"/>
      <c r="AG87" s="39">
        <v>10</v>
      </c>
      <c r="AH87" s="39"/>
      <c r="AI87" s="39"/>
      <c r="AJ87" s="39"/>
      <c r="AK87" s="39"/>
      <c r="AL87" s="39"/>
      <c r="AM87" s="39">
        <f t="shared" ref="AM87:AM88" si="228">SUM(AF87:AL87)+AT87+AV87+AX87</f>
        <v>10</v>
      </c>
      <c r="AN87" s="85"/>
      <c r="AO87" s="39"/>
      <c r="AP87" s="39"/>
      <c r="AQ87" s="39"/>
      <c r="AR87" s="39">
        <f t="shared" ref="AR87:AR88" si="229">SUM(AN87:AQ87)</f>
        <v>0</v>
      </c>
      <c r="AS87" s="39"/>
      <c r="AT87" s="39"/>
      <c r="AU87" s="39"/>
      <c r="AV87" s="39"/>
      <c r="AW87" s="39"/>
      <c r="AX87" s="39"/>
      <c r="AY87" s="39"/>
      <c r="AZ87" s="39"/>
      <c r="BA87" s="39">
        <f t="shared" ref="BA87:BA88" si="230">+AR87+AS87+AU87+AW87+AY87+AZ87</f>
        <v>0</v>
      </c>
      <c r="BB87" s="52"/>
      <c r="BC87" s="53">
        <v>10</v>
      </c>
      <c r="BD87" s="53"/>
      <c r="BE87" s="52"/>
      <c r="BF87" s="53"/>
    </row>
    <row r="88" spans="1:58" ht="12.95" customHeight="1">
      <c r="A88" s="42"/>
      <c r="B88" s="43"/>
      <c r="C88" s="398"/>
      <c r="D88" s="43"/>
      <c r="E88" s="44"/>
      <c r="F88" s="44"/>
      <c r="G88" s="45"/>
      <c r="H88" s="46"/>
      <c r="I88" s="47"/>
      <c r="J88" s="84"/>
      <c r="K88" s="84"/>
      <c r="L88" s="37"/>
      <c r="M88" s="37"/>
      <c r="N88" s="48"/>
      <c r="O88" s="49"/>
      <c r="P88" s="50"/>
      <c r="Q88" s="49"/>
      <c r="R88" s="367"/>
      <c r="S88" s="367"/>
      <c r="T88" s="39"/>
      <c r="U88" s="39"/>
      <c r="V88" s="39"/>
      <c r="W88" s="39"/>
      <c r="X88" s="40"/>
      <c r="Y88" s="211"/>
      <c r="Z88" s="39"/>
      <c r="AA88" s="39"/>
      <c r="AB88" s="39"/>
      <c r="AC88" s="39"/>
      <c r="AD88" s="39">
        <f t="shared" si="227"/>
        <v>19</v>
      </c>
      <c r="AE88" s="228" t="s">
        <v>651</v>
      </c>
      <c r="AF88" s="35"/>
      <c r="AG88" s="35"/>
      <c r="AH88" s="35">
        <v>19</v>
      </c>
      <c r="AI88" s="35"/>
      <c r="AJ88" s="39"/>
      <c r="AK88" s="39"/>
      <c r="AL88" s="39"/>
      <c r="AM88" s="39">
        <f t="shared" si="228"/>
        <v>19</v>
      </c>
      <c r="AN88" s="39"/>
      <c r="AO88" s="39"/>
      <c r="AP88" s="39"/>
      <c r="AQ88" s="39"/>
      <c r="AR88" s="39">
        <f t="shared" si="229"/>
        <v>0</v>
      </c>
      <c r="AS88" s="39"/>
      <c r="AT88" s="39"/>
      <c r="AU88" s="39"/>
      <c r="AV88" s="39"/>
      <c r="AW88" s="39"/>
      <c r="AX88" s="39"/>
      <c r="AY88" s="39"/>
      <c r="AZ88" s="39"/>
      <c r="BA88" s="39">
        <f t="shared" si="230"/>
        <v>0</v>
      </c>
      <c r="BB88" s="35"/>
      <c r="BC88" s="482"/>
      <c r="BD88" s="482"/>
      <c r="BE88" s="35"/>
      <c r="BF88" s="482"/>
    </row>
    <row r="89" spans="1:58" ht="12.95" customHeight="1">
      <c r="A89" s="42"/>
      <c r="B89" s="43"/>
      <c r="C89" s="398"/>
      <c r="D89" s="43"/>
      <c r="E89" s="44"/>
      <c r="F89" s="44"/>
      <c r="G89" s="411"/>
      <c r="H89" s="46"/>
      <c r="I89" s="47"/>
      <c r="J89" s="84"/>
      <c r="K89" s="84"/>
      <c r="L89" s="37"/>
      <c r="M89" s="37"/>
      <c r="N89" s="48"/>
      <c r="O89" s="49"/>
      <c r="P89" s="50"/>
      <c r="Q89" s="49"/>
      <c r="R89" s="367"/>
      <c r="S89" s="367"/>
      <c r="T89" s="39"/>
      <c r="U89" s="39"/>
      <c r="V89" s="39"/>
      <c r="W89" s="39"/>
      <c r="X89" s="366"/>
      <c r="Y89" s="211"/>
      <c r="Z89" s="39"/>
      <c r="AA89" s="51"/>
      <c r="AB89" s="51"/>
      <c r="AC89" s="39"/>
      <c r="AD89" s="39"/>
      <c r="AE89" s="228"/>
      <c r="AF89" s="39"/>
      <c r="AG89" s="39"/>
      <c r="AH89" s="39"/>
      <c r="AI89" s="39"/>
      <c r="AJ89" s="39"/>
      <c r="AK89" s="39"/>
      <c r="AL89" s="39"/>
      <c r="AM89" s="39"/>
      <c r="AN89" s="39"/>
      <c r="AO89" s="39"/>
      <c r="AP89" s="39"/>
      <c r="AQ89" s="39"/>
      <c r="AR89" s="39"/>
      <c r="AS89" s="39"/>
      <c r="AT89" s="39"/>
      <c r="AU89" s="39"/>
      <c r="AV89" s="39"/>
      <c r="AW89" s="39"/>
      <c r="AX89" s="39"/>
      <c r="AY89" s="39"/>
      <c r="AZ89" s="39"/>
      <c r="BA89" s="39"/>
      <c r="BB89" s="35"/>
      <c r="BC89" s="53"/>
      <c r="BD89" s="53"/>
      <c r="BE89" s="53"/>
      <c r="BF89" s="53"/>
    </row>
    <row r="90" spans="1:58" ht="12.75" customHeight="1">
      <c r="A90" s="42">
        <v>45857</v>
      </c>
      <c r="B90" s="43" t="s">
        <v>8</v>
      </c>
      <c r="C90" s="398">
        <f t="shared" ref="C90" si="231">(M90*E90*O90*Q90)/100000000</f>
        <v>47.780409599999999</v>
      </c>
      <c r="D90" s="43" t="s">
        <v>307</v>
      </c>
      <c r="E90" s="44">
        <v>12</v>
      </c>
      <c r="F90" s="44">
        <v>1</v>
      </c>
      <c r="G90" s="411">
        <v>1350</v>
      </c>
      <c r="H90" s="46">
        <f t="shared" ref="H90" si="232">+N90</f>
        <v>0.22999999999999998</v>
      </c>
      <c r="I90" s="47">
        <v>0.88</v>
      </c>
      <c r="J90" s="84">
        <f t="shared" ref="J90" si="233">E90*G90*(1-H90)*1440/1000000*2.74</f>
        <v>49.217414400000003</v>
      </c>
      <c r="K90" s="84">
        <f t="shared" ref="K90" si="234">(IF(G90&lt;L90,L90,G90)*(1-IF(H90&lt;N90,H90,N90))*E90*O90*Q90)/100000000</f>
        <v>47.780409599999999</v>
      </c>
      <c r="L90" s="37">
        <v>1350</v>
      </c>
      <c r="M90" s="37">
        <v>1039.5</v>
      </c>
      <c r="N90" s="48">
        <f t="shared" ref="N90" si="235">1-(M90/L90)</f>
        <v>0.22999999999999998</v>
      </c>
      <c r="O90" s="49">
        <f>+'Trim Rwd'!H54</f>
        <v>266</v>
      </c>
      <c r="P90" s="50">
        <f t="shared" ref="P90" si="236">O90*(Q90-R90-S90)</f>
        <v>373996</v>
      </c>
      <c r="Q90" s="49">
        <v>1440</v>
      </c>
      <c r="R90" s="367">
        <v>0</v>
      </c>
      <c r="S90" s="367">
        <v>34</v>
      </c>
      <c r="T90" s="39">
        <f t="shared" ref="T90" si="237">E90*M90*O90*Q90/100000000</f>
        <v>47.780409599999999</v>
      </c>
      <c r="U90" s="39">
        <f t="shared" ref="U90" si="238">E90*M90*O90*(Q90-R90-S90)/100000000</f>
        <v>46.652261039999999</v>
      </c>
      <c r="V90" s="39">
        <f t="shared" ref="V90" si="239">E90*G90*(1-N90)*O90/100*(R90+S90)/1000000</f>
        <v>1.1281485599999999</v>
      </c>
      <c r="W90" s="39">
        <f>+'19'!K7/1000</f>
        <v>40.988</v>
      </c>
      <c r="X90" s="366">
        <f>SUM(W90:W93)/SUM(K90:K93)</f>
        <v>0.85784111821427333</v>
      </c>
      <c r="Y90" s="39">
        <f>+SUM(RBP!AG41:AG42)</f>
        <v>0</v>
      </c>
      <c r="Z90" s="39">
        <f>+'13'!D60/1000</f>
        <v>0</v>
      </c>
      <c r="AA90" s="51">
        <f>SUM(U90:U93)-SUM(W90:W93)-SUM(Z90:Z93)-SUM(Y90:Y93)</f>
        <v>5.6642610399999995</v>
      </c>
      <c r="AB90" s="51">
        <f>(SUM(K90:K93)-SUM(W90:W93)-SUM(Y90:Y93)-SUM(Z90:Z93)-SUM(AC90:AC93)-SUM(V90:V93))-AA90</f>
        <v>0</v>
      </c>
      <c r="AC90" s="39">
        <f>K90-T90</f>
        <v>0</v>
      </c>
      <c r="AD90" s="39">
        <f>+AM90+BA90</f>
        <v>0</v>
      </c>
      <c r="AE90" s="228" t="s">
        <v>461</v>
      </c>
      <c r="AF90" s="39">
        <v>0</v>
      </c>
      <c r="AG90" s="39"/>
      <c r="AH90" s="39"/>
      <c r="AI90" s="39"/>
      <c r="AJ90" s="39"/>
      <c r="AK90" s="39"/>
      <c r="AL90" s="39"/>
      <c r="AM90" s="39">
        <f>SUM(AF90:AL90)+AT90+AV90+AX90</f>
        <v>0</v>
      </c>
      <c r="AN90" s="39"/>
      <c r="AO90" s="39"/>
      <c r="AP90" s="39"/>
      <c r="AQ90" s="39"/>
      <c r="AR90" s="39">
        <f>SUM(AN90:AQ90)</f>
        <v>0</v>
      </c>
      <c r="AS90" s="39"/>
      <c r="AT90" s="39"/>
      <c r="AU90" s="39"/>
      <c r="AV90" s="39"/>
      <c r="AW90" s="39"/>
      <c r="AX90" s="39"/>
      <c r="AY90" s="39"/>
      <c r="AZ90" s="39"/>
      <c r="BA90" s="39">
        <f>+AR90+AS90+AU90+AW90+AY90+AZ90</f>
        <v>0</v>
      </c>
      <c r="BB90" s="35">
        <v>0</v>
      </c>
      <c r="BC90" s="53"/>
      <c r="BD90" s="53"/>
      <c r="BE90" s="35"/>
      <c r="BF90" s="53"/>
    </row>
    <row r="91" spans="1:58" ht="12.95" customHeight="1">
      <c r="A91" s="42"/>
      <c r="B91" s="43"/>
      <c r="C91" s="398"/>
      <c r="D91" s="43"/>
      <c r="E91" s="44"/>
      <c r="F91" s="44"/>
      <c r="G91" s="411"/>
      <c r="H91" s="46"/>
      <c r="I91" s="47"/>
      <c r="J91" s="84"/>
      <c r="K91" s="84"/>
      <c r="L91" s="37"/>
      <c r="M91" s="37"/>
      <c r="N91" s="48"/>
      <c r="O91" s="49"/>
      <c r="P91" s="50"/>
      <c r="Q91" s="49"/>
      <c r="R91" s="367"/>
      <c r="S91" s="367"/>
      <c r="T91" s="39"/>
      <c r="U91" s="39"/>
      <c r="V91" s="39"/>
      <c r="W91" s="39"/>
      <c r="X91" s="40"/>
      <c r="Y91" s="211"/>
      <c r="Z91" s="39"/>
      <c r="AA91" s="39"/>
      <c r="AB91" s="39"/>
      <c r="AC91" s="39"/>
      <c r="AD91" s="39">
        <f t="shared" ref="AD91:AD92" si="240">+AM91+BA91</f>
        <v>10</v>
      </c>
      <c r="AE91" s="228" t="s">
        <v>481</v>
      </c>
      <c r="AF91" s="39"/>
      <c r="AG91" s="39">
        <v>10</v>
      </c>
      <c r="AH91" s="39"/>
      <c r="AI91" s="39"/>
      <c r="AJ91" s="39"/>
      <c r="AK91" s="39"/>
      <c r="AL91" s="39"/>
      <c r="AM91" s="39">
        <f t="shared" ref="AM91:AM92" si="241">SUM(AF91:AL91)+AT91+AV91+AX91</f>
        <v>10</v>
      </c>
      <c r="AN91" s="85"/>
      <c r="AO91" s="39"/>
      <c r="AP91" s="39"/>
      <c r="AQ91" s="39"/>
      <c r="AR91" s="39">
        <f t="shared" ref="AR91:AR92" si="242">SUM(AN91:AQ91)</f>
        <v>0</v>
      </c>
      <c r="AS91" s="39"/>
      <c r="AT91" s="39"/>
      <c r="AU91" s="39"/>
      <c r="AV91" s="39"/>
      <c r="AW91" s="39"/>
      <c r="AX91" s="39"/>
      <c r="AY91" s="39"/>
      <c r="AZ91" s="39"/>
      <c r="BA91" s="39">
        <f t="shared" ref="BA91:BA92" si="243">+AR91+AS91+AU91+AW91+AY91+AZ91</f>
        <v>0</v>
      </c>
      <c r="BB91" s="52"/>
      <c r="BC91" s="53">
        <v>8</v>
      </c>
      <c r="BD91" s="53"/>
      <c r="BE91" s="52"/>
      <c r="BF91" s="53"/>
    </row>
    <row r="92" spans="1:58" ht="12.95" customHeight="1">
      <c r="A92" s="42"/>
      <c r="B92" s="43"/>
      <c r="C92" s="398"/>
      <c r="D92" s="43"/>
      <c r="E92" s="44"/>
      <c r="F92" s="44"/>
      <c r="G92" s="45"/>
      <c r="H92" s="46"/>
      <c r="I92" s="47"/>
      <c r="J92" s="84"/>
      <c r="K92" s="84"/>
      <c r="L92" s="37"/>
      <c r="M92" s="37"/>
      <c r="N92" s="48"/>
      <c r="O92" s="49"/>
      <c r="P92" s="50"/>
      <c r="Q92" s="49"/>
      <c r="R92" s="367"/>
      <c r="S92" s="367"/>
      <c r="T92" s="39"/>
      <c r="U92" s="39"/>
      <c r="V92" s="39"/>
      <c r="W92" s="39"/>
      <c r="X92" s="40"/>
      <c r="Y92" s="211"/>
      <c r="Z92" s="39"/>
      <c r="AA92" s="39"/>
      <c r="AB92" s="39"/>
      <c r="AC92" s="39"/>
      <c r="AD92" s="39">
        <f t="shared" si="240"/>
        <v>24</v>
      </c>
      <c r="AE92" s="228" t="s">
        <v>579</v>
      </c>
      <c r="AF92" s="35"/>
      <c r="AG92" s="35"/>
      <c r="AH92" s="35">
        <v>24</v>
      </c>
      <c r="AI92" s="35"/>
      <c r="AJ92" s="39"/>
      <c r="AK92" s="39"/>
      <c r="AL92" s="39"/>
      <c r="AM92" s="39">
        <f t="shared" si="241"/>
        <v>24</v>
      </c>
      <c r="AN92" s="39"/>
      <c r="AO92" s="39"/>
      <c r="AP92" s="39"/>
      <c r="AQ92" s="39"/>
      <c r="AR92" s="39">
        <f t="shared" si="242"/>
        <v>0</v>
      </c>
      <c r="AS92" s="39"/>
      <c r="AT92" s="39"/>
      <c r="AU92" s="39"/>
      <c r="AV92" s="39"/>
      <c r="AW92" s="39"/>
      <c r="AX92" s="39"/>
      <c r="AY92" s="39"/>
      <c r="AZ92" s="39"/>
      <c r="BA92" s="39">
        <f t="shared" si="243"/>
        <v>0</v>
      </c>
      <c r="BB92" s="35"/>
      <c r="BC92" s="482"/>
      <c r="BD92" s="482"/>
      <c r="BE92" s="35"/>
      <c r="BF92" s="482"/>
    </row>
    <row r="93" spans="1:58" ht="12.95" customHeight="1">
      <c r="A93" s="42"/>
      <c r="B93" s="43"/>
      <c r="C93" s="398"/>
      <c r="D93" s="43"/>
      <c r="E93" s="44"/>
      <c r="F93" s="44"/>
      <c r="G93" s="411"/>
      <c r="H93" s="46"/>
      <c r="I93" s="47"/>
      <c r="J93" s="84"/>
      <c r="K93" s="84"/>
      <c r="L93" s="37"/>
      <c r="M93" s="37"/>
      <c r="N93" s="48"/>
      <c r="O93" s="49"/>
      <c r="P93" s="50"/>
      <c r="Q93" s="49"/>
      <c r="R93" s="367"/>
      <c r="S93" s="367"/>
      <c r="T93" s="39"/>
      <c r="U93" s="39"/>
      <c r="V93" s="39"/>
      <c r="W93" s="39"/>
      <c r="X93" s="366"/>
      <c r="Y93" s="211"/>
      <c r="Z93" s="39"/>
      <c r="AA93" s="51"/>
      <c r="AB93" s="51"/>
      <c r="AC93" s="39"/>
      <c r="AD93" s="39"/>
      <c r="AE93" s="228"/>
      <c r="AF93" s="39"/>
      <c r="AG93" s="39"/>
      <c r="AH93" s="39"/>
      <c r="AI93" s="39"/>
      <c r="AJ93" s="39"/>
      <c r="AK93" s="39"/>
      <c r="AL93" s="39"/>
      <c r="AM93" s="39"/>
      <c r="AN93" s="39"/>
      <c r="AO93" s="39"/>
      <c r="AP93" s="39"/>
      <c r="AQ93" s="39"/>
      <c r="AR93" s="39"/>
      <c r="AS93" s="39"/>
      <c r="AT93" s="39"/>
      <c r="AU93" s="39"/>
      <c r="AV93" s="39"/>
      <c r="AW93" s="39"/>
      <c r="AX93" s="39"/>
      <c r="AY93" s="39"/>
      <c r="AZ93" s="39"/>
      <c r="BA93" s="39"/>
      <c r="BB93" s="35"/>
      <c r="BC93" s="53"/>
      <c r="BD93" s="53"/>
      <c r="BE93" s="53"/>
      <c r="BF93" s="53"/>
    </row>
    <row r="94" spans="1:58" ht="12.75" customHeight="1">
      <c r="A94" s="42">
        <v>45858</v>
      </c>
      <c r="B94" s="43" t="s">
        <v>8</v>
      </c>
      <c r="C94" s="398">
        <f t="shared" ref="C94" si="244">(M94*E94*O94*Q94)/100000000</f>
        <v>47.704511459154929</v>
      </c>
      <c r="D94" s="43" t="s">
        <v>307</v>
      </c>
      <c r="E94" s="44">
        <v>12</v>
      </c>
      <c r="F94" s="44">
        <v>1</v>
      </c>
      <c r="G94" s="411">
        <v>1350</v>
      </c>
      <c r="H94" s="46">
        <f t="shared" ref="H94" si="245">+N94</f>
        <v>0.22999999999999998</v>
      </c>
      <c r="I94" s="47">
        <v>0.88</v>
      </c>
      <c r="J94" s="84">
        <f t="shared" ref="J94" si="246">E94*G94*(1-H94)*1440/1000000*2.74</f>
        <v>49.217414400000003</v>
      </c>
      <c r="K94" s="84">
        <f t="shared" ref="K94" si="247">(IF(G94&lt;L94,L94,G94)*(1-IF(H94&lt;N94,H94,N94))*E94*O94*Q94)/100000000</f>
        <v>47.704511459154929</v>
      </c>
      <c r="L94" s="37">
        <v>1350</v>
      </c>
      <c r="M94" s="37">
        <v>1039.5</v>
      </c>
      <c r="N94" s="48">
        <f t="shared" ref="N94" si="248">1-(M94/L94)</f>
        <v>0.22999999999999998</v>
      </c>
      <c r="O94" s="49">
        <f>+'Trim Rwd'!H57</f>
        <v>265.57746478873241</v>
      </c>
      <c r="P94" s="50">
        <f t="shared" ref="P94" si="249">O94*(Q94-R94-S94)</f>
        <v>374995.38028169016</v>
      </c>
      <c r="Q94" s="49">
        <v>1440</v>
      </c>
      <c r="R94" s="367">
        <v>0</v>
      </c>
      <c r="S94" s="367">
        <v>28</v>
      </c>
      <c r="T94" s="39">
        <f t="shared" ref="T94" si="250">E94*M94*O94*Q94/100000000</f>
        <v>47.704511459154929</v>
      </c>
      <c r="U94" s="39">
        <f t="shared" ref="U94" si="251">E94*M94*O94*(Q94-R94-S94)/100000000</f>
        <v>46.776923736338034</v>
      </c>
      <c r="V94" s="39">
        <f t="shared" ref="V94" si="252">E94*G94*(1-N94)*O94/100*(R94+S94)/1000000</f>
        <v>0.92758772281690138</v>
      </c>
      <c r="W94" s="39">
        <f>+'20'!K7/1000</f>
        <v>46.920999999999999</v>
      </c>
      <c r="X94" s="366">
        <f>SUM(W94:W97)/SUM(K94:K97)</f>
        <v>0.98357573665069853</v>
      </c>
      <c r="Y94" s="39">
        <f>+SUM(RBP!AG45:AG46)</f>
        <v>0</v>
      </c>
      <c r="Z94" s="39">
        <f>+'13'!D64/1000</f>
        <v>0</v>
      </c>
      <c r="AA94" s="51">
        <f>SUM(U94:U97)-SUM(W94:W97)-SUM(Z94:Z97)-SUM(Y94:Y97)</f>
        <v>-0.14407626366196524</v>
      </c>
      <c r="AB94" s="51">
        <f>(SUM(K94:K97)-SUM(W94:W97)-SUM(Y94:Y97)-SUM(Z94:Z97)-SUM(AC94:AC97)-SUM(V94:V97))-AA94</f>
        <v>-6.2172489379008766E-15</v>
      </c>
      <c r="AC94" s="39">
        <f>K94-T94</f>
        <v>0</v>
      </c>
      <c r="AD94" s="39">
        <f>+AM94+BA94</f>
        <v>0</v>
      </c>
      <c r="AE94" s="228" t="s">
        <v>461</v>
      </c>
      <c r="AF94" s="39">
        <v>0</v>
      </c>
      <c r="AG94" s="39"/>
      <c r="AH94" s="39"/>
      <c r="AI94" s="39"/>
      <c r="AJ94" s="39"/>
      <c r="AK94" s="39"/>
      <c r="AL94" s="39"/>
      <c r="AM94" s="39">
        <f>SUM(AF94:AL94)+AT94+AV94+AX94</f>
        <v>0</v>
      </c>
      <c r="AN94" s="39"/>
      <c r="AO94" s="39"/>
      <c r="AP94" s="39"/>
      <c r="AQ94" s="39"/>
      <c r="AR94" s="39">
        <f>SUM(AN94:AQ94)</f>
        <v>0</v>
      </c>
      <c r="AS94" s="39"/>
      <c r="AT94" s="39"/>
      <c r="AU94" s="39"/>
      <c r="AV94" s="39"/>
      <c r="AW94" s="39"/>
      <c r="AX94" s="39"/>
      <c r="AY94" s="39"/>
      <c r="AZ94" s="39"/>
      <c r="BA94" s="39">
        <f>+AR94+AS94+AU94+AW94+AY94+AZ94</f>
        <v>0</v>
      </c>
      <c r="BB94" s="35">
        <v>0</v>
      </c>
      <c r="BC94" s="53"/>
      <c r="BD94" s="53"/>
      <c r="BE94" s="35"/>
      <c r="BF94" s="53"/>
    </row>
    <row r="95" spans="1:58" ht="12.95" customHeight="1">
      <c r="A95" s="42"/>
      <c r="B95" s="43"/>
      <c r="C95" s="398"/>
      <c r="D95" s="43"/>
      <c r="E95" s="44"/>
      <c r="F95" s="44"/>
      <c r="G95" s="411"/>
      <c r="H95" s="46"/>
      <c r="I95" s="47"/>
      <c r="J95" s="84"/>
      <c r="K95" s="84"/>
      <c r="L95" s="37"/>
      <c r="M95" s="37"/>
      <c r="N95" s="48"/>
      <c r="O95" s="49"/>
      <c r="P95" s="50"/>
      <c r="Q95" s="49"/>
      <c r="R95" s="367"/>
      <c r="S95" s="367"/>
      <c r="T95" s="39"/>
      <c r="U95" s="39"/>
      <c r="V95" s="39"/>
      <c r="W95" s="39"/>
      <c r="X95" s="40"/>
      <c r="Y95" s="211"/>
      <c r="Z95" s="39"/>
      <c r="AA95" s="39"/>
      <c r="AB95" s="39"/>
      <c r="AC95" s="39"/>
      <c r="AD95" s="39">
        <f t="shared" ref="AD95:AD96" si="253">+AM95+BA95</f>
        <v>9</v>
      </c>
      <c r="AE95" s="228" t="s">
        <v>481</v>
      </c>
      <c r="AF95" s="39"/>
      <c r="AG95" s="39">
        <v>9</v>
      </c>
      <c r="AH95" s="39"/>
      <c r="AI95" s="39"/>
      <c r="AJ95" s="39"/>
      <c r="AK95" s="39"/>
      <c r="AL95" s="39"/>
      <c r="AM95" s="39">
        <f t="shared" ref="AM95:AM96" si="254">SUM(AF95:AL95)+AT95+AV95+AX95</f>
        <v>9</v>
      </c>
      <c r="AN95" s="85"/>
      <c r="AO95" s="39"/>
      <c r="AP95" s="39"/>
      <c r="AQ95" s="39"/>
      <c r="AR95" s="39">
        <f t="shared" ref="AR95:AR96" si="255">SUM(AN95:AQ95)</f>
        <v>0</v>
      </c>
      <c r="AS95" s="39"/>
      <c r="AT95" s="39"/>
      <c r="AU95" s="39"/>
      <c r="AV95" s="39"/>
      <c r="AW95" s="39"/>
      <c r="AX95" s="39"/>
      <c r="AY95" s="39"/>
      <c r="AZ95" s="39"/>
      <c r="BA95" s="39">
        <f t="shared" ref="BA95:BA96" si="256">+AR95+AS95+AU95+AW95+AY95+AZ95</f>
        <v>0</v>
      </c>
      <c r="BB95" s="52"/>
      <c r="BC95" s="53">
        <v>8</v>
      </c>
      <c r="BD95" s="53"/>
      <c r="BE95" s="52"/>
      <c r="BF95" s="53"/>
    </row>
    <row r="96" spans="1:58" ht="12.95" customHeight="1">
      <c r="A96" s="42"/>
      <c r="B96" s="43"/>
      <c r="C96" s="398"/>
      <c r="D96" s="43"/>
      <c r="E96" s="44"/>
      <c r="F96" s="44"/>
      <c r="G96" s="45"/>
      <c r="H96" s="46"/>
      <c r="I96" s="47"/>
      <c r="J96" s="84"/>
      <c r="K96" s="84"/>
      <c r="L96" s="37"/>
      <c r="M96" s="37"/>
      <c r="N96" s="48"/>
      <c r="O96" s="49"/>
      <c r="P96" s="50"/>
      <c r="Q96" s="49"/>
      <c r="R96" s="367"/>
      <c r="S96" s="367"/>
      <c r="T96" s="39"/>
      <c r="U96" s="39"/>
      <c r="V96" s="39"/>
      <c r="W96" s="39"/>
      <c r="X96" s="40"/>
      <c r="Y96" s="211"/>
      <c r="Z96" s="39"/>
      <c r="AA96" s="39"/>
      <c r="AB96" s="39"/>
      <c r="AC96" s="39"/>
      <c r="AD96" s="39">
        <f t="shared" si="253"/>
        <v>19</v>
      </c>
      <c r="AE96" s="228" t="s">
        <v>569</v>
      </c>
      <c r="AF96" s="35"/>
      <c r="AG96" s="35"/>
      <c r="AH96" s="35">
        <v>19</v>
      </c>
      <c r="AI96" s="35"/>
      <c r="AJ96" s="39"/>
      <c r="AK96" s="39"/>
      <c r="AL96" s="39"/>
      <c r="AM96" s="39">
        <f t="shared" si="254"/>
        <v>19</v>
      </c>
      <c r="AN96" s="39"/>
      <c r="AO96" s="39"/>
      <c r="AP96" s="39"/>
      <c r="AQ96" s="39"/>
      <c r="AR96" s="39">
        <f t="shared" si="255"/>
        <v>0</v>
      </c>
      <c r="AS96" s="39"/>
      <c r="AT96" s="39"/>
      <c r="AU96" s="39"/>
      <c r="AV96" s="39"/>
      <c r="AW96" s="39"/>
      <c r="AX96" s="39"/>
      <c r="AY96" s="39"/>
      <c r="AZ96" s="39"/>
      <c r="BA96" s="39">
        <f t="shared" si="256"/>
        <v>0</v>
      </c>
      <c r="BB96" s="35"/>
      <c r="BC96" s="482"/>
      <c r="BD96" s="482"/>
      <c r="BE96" s="35"/>
      <c r="BF96" s="482"/>
    </row>
    <row r="97" spans="1:58" ht="12.95" customHeight="1">
      <c r="A97" s="42"/>
      <c r="B97" s="43"/>
      <c r="C97" s="398"/>
      <c r="D97" s="43"/>
      <c r="E97" s="44"/>
      <c r="F97" s="44"/>
      <c r="G97" s="411"/>
      <c r="H97" s="46"/>
      <c r="I97" s="47"/>
      <c r="J97" s="84"/>
      <c r="K97" s="84"/>
      <c r="L97" s="37"/>
      <c r="M97" s="37"/>
      <c r="N97" s="48"/>
      <c r="O97" s="49"/>
      <c r="P97" s="50"/>
      <c r="Q97" s="49"/>
      <c r="R97" s="367"/>
      <c r="S97" s="367"/>
      <c r="T97" s="39"/>
      <c r="U97" s="39"/>
      <c r="V97" s="39"/>
      <c r="W97" s="39"/>
      <c r="X97" s="366"/>
      <c r="Y97" s="211"/>
      <c r="Z97" s="39"/>
      <c r="AA97" s="39"/>
      <c r="AB97" s="39"/>
      <c r="AC97" s="39"/>
      <c r="AD97" s="39"/>
      <c r="AE97" s="228"/>
      <c r="AF97" s="35"/>
      <c r="AG97" s="35"/>
      <c r="AH97" s="35"/>
      <c r="AJ97" s="39"/>
      <c r="AK97" s="39"/>
      <c r="AL97" s="39"/>
      <c r="AM97" s="39"/>
      <c r="AN97" s="39"/>
      <c r="AO97" s="39"/>
      <c r="AP97" s="39"/>
      <c r="AQ97" s="39"/>
      <c r="AR97" s="39"/>
      <c r="AS97" s="39"/>
      <c r="AT97" s="39"/>
      <c r="AU97" s="39"/>
      <c r="AV97" s="39"/>
      <c r="AW97" s="39"/>
      <c r="AX97" s="39"/>
      <c r="AY97" s="39"/>
      <c r="AZ97" s="39"/>
      <c r="BA97" s="39"/>
      <c r="BB97" s="35"/>
      <c r="BC97" s="482"/>
      <c r="BD97" s="482"/>
      <c r="BE97" s="35"/>
      <c r="BF97" s="482"/>
    </row>
    <row r="98" spans="1:58" ht="12.75" customHeight="1">
      <c r="A98" s="42">
        <v>45859</v>
      </c>
      <c r="B98" s="43" t="s">
        <v>8</v>
      </c>
      <c r="C98" s="398">
        <f t="shared" ref="C98" si="257">(M98*E98*O98*Q98)/100000000</f>
        <v>46.702655999999998</v>
      </c>
      <c r="D98" s="43" t="s">
        <v>307</v>
      </c>
      <c r="E98" s="44">
        <v>12</v>
      </c>
      <c r="F98" s="44">
        <v>1</v>
      </c>
      <c r="G98" s="411">
        <v>1350</v>
      </c>
      <c r="H98" s="46">
        <f t="shared" ref="H98" si="258">+N98</f>
        <v>0.22999999999999998</v>
      </c>
      <c r="I98" s="47">
        <v>0.88</v>
      </c>
      <c r="J98" s="84">
        <f t="shared" ref="J98" si="259">E98*G98*(1-H98)*1440/1000000*2.74</f>
        <v>49.217414400000003</v>
      </c>
      <c r="K98" s="84">
        <f t="shared" ref="K98" si="260">(IF(G98&lt;L98,L98,G98)*(1-IF(H98&lt;N98,H98,N98))*E98*O98*Q98)/100000000</f>
        <v>46.702655999999998</v>
      </c>
      <c r="L98" s="37">
        <v>1350</v>
      </c>
      <c r="M98" s="37">
        <v>1039.5</v>
      </c>
      <c r="N98" s="48">
        <f t="shared" ref="N98" si="261">1-(M98/L98)</f>
        <v>0.22999999999999998</v>
      </c>
      <c r="O98" s="49">
        <f>+'Trim Rwd'!H60</f>
        <v>260</v>
      </c>
      <c r="P98" s="50">
        <f t="shared" ref="P98" si="262">O98*(Q98-R98-S98)</f>
        <v>364000</v>
      </c>
      <c r="Q98" s="49">
        <v>1440</v>
      </c>
      <c r="R98" s="367">
        <v>0</v>
      </c>
      <c r="S98" s="367">
        <v>40</v>
      </c>
      <c r="T98" s="39">
        <f t="shared" ref="T98" si="263">E98*M98*O98*Q98/100000000</f>
        <v>46.702655999999998</v>
      </c>
      <c r="U98" s="39">
        <f t="shared" ref="U98" si="264">E98*M98*O98*(Q98-R98-S98)/100000000</f>
        <v>45.405360000000002</v>
      </c>
      <c r="V98" s="39">
        <f t="shared" ref="V98" si="265">E98*G98*(1-N98)*O98/100*(R98+S98)/1000000</f>
        <v>1.297296</v>
      </c>
      <c r="W98" s="39">
        <f>+'21'!K7/1000</f>
        <v>45.506999999999998</v>
      </c>
      <c r="X98" s="366">
        <f>SUM(W98:W101)/SUM(K98:K101)</f>
        <v>0.9743985438429883</v>
      </c>
      <c r="Y98" s="39">
        <f>+SUM(RBP!AG49:AG50)</f>
        <v>0</v>
      </c>
      <c r="Z98" s="39">
        <f>+'21'!D25/1000</f>
        <v>0</v>
      </c>
      <c r="AA98" s="51">
        <f>SUM(U98:U101)-SUM(W98:W101)-SUM(Z98:Z101)-SUM(Y98:Y101)</f>
        <v>-0.10163999999999618</v>
      </c>
      <c r="AB98" s="51">
        <f>(SUM(K98:K101)-SUM(W98:W101)-SUM(Y98:Y101)-SUM(Z98:Z101)-SUM(AC98:AC101)-SUM(V98:V101))-AA98</f>
        <v>-4.2188474935755949E-15</v>
      </c>
      <c r="AC98" s="39">
        <f>K98-T98</f>
        <v>0</v>
      </c>
      <c r="AD98" s="39">
        <f>+AM98+BA98</f>
        <v>6</v>
      </c>
      <c r="AE98" s="228" t="s">
        <v>401</v>
      </c>
      <c r="AF98" s="39">
        <v>6</v>
      </c>
      <c r="AG98" s="39"/>
      <c r="AH98" s="39"/>
      <c r="AI98" s="39"/>
      <c r="AJ98" s="39"/>
      <c r="AK98" s="39"/>
      <c r="AL98" s="39"/>
      <c r="AM98" s="39">
        <f>SUM(AF98:AL98)+AT98+AV98+AX98</f>
        <v>6</v>
      </c>
      <c r="AN98" s="39"/>
      <c r="AO98" s="39"/>
      <c r="AP98" s="39"/>
      <c r="AQ98" s="39"/>
      <c r="AR98" s="39">
        <f>SUM(AN98:AQ98)</f>
        <v>0</v>
      </c>
      <c r="AS98" s="39"/>
      <c r="AT98" s="39"/>
      <c r="AU98" s="39"/>
      <c r="AV98" s="39"/>
      <c r="AW98" s="39"/>
      <c r="AX98" s="39"/>
      <c r="AY98" s="39"/>
      <c r="AZ98" s="39"/>
      <c r="BA98" s="39">
        <f>+AR98+AS98+AU98+AW98+AY98+AZ98</f>
        <v>0</v>
      </c>
      <c r="BB98" s="35">
        <v>3</v>
      </c>
      <c r="BC98" s="53"/>
      <c r="BD98" s="53"/>
      <c r="BE98" s="35"/>
      <c r="BF98" s="53"/>
    </row>
    <row r="99" spans="1:58" ht="12.95" customHeight="1">
      <c r="A99" s="42"/>
      <c r="B99" s="43"/>
      <c r="C99" s="398"/>
      <c r="D99" s="43"/>
      <c r="E99" s="44"/>
      <c r="F99" s="44"/>
      <c r="G99" s="411"/>
      <c r="H99" s="46"/>
      <c r="I99" s="47"/>
      <c r="J99" s="84"/>
      <c r="K99" s="84"/>
      <c r="L99" s="37"/>
      <c r="M99" s="37"/>
      <c r="N99" s="48"/>
      <c r="O99" s="49"/>
      <c r="P99" s="50"/>
      <c r="Q99" s="49"/>
      <c r="R99" s="367"/>
      <c r="S99" s="367"/>
      <c r="T99" s="39"/>
      <c r="U99" s="39"/>
      <c r="V99" s="39"/>
      <c r="W99" s="39"/>
      <c r="X99" s="40"/>
      <c r="Y99" s="211"/>
      <c r="Z99" s="39"/>
      <c r="AA99" s="39"/>
      <c r="AB99" s="39"/>
      <c r="AC99" s="39"/>
      <c r="AD99" s="39">
        <f t="shared" ref="AD99:AD100" si="266">+AM99+BA99</f>
        <v>12</v>
      </c>
      <c r="AE99" s="228" t="s">
        <v>577</v>
      </c>
      <c r="AF99" s="39"/>
      <c r="AG99" s="39">
        <v>12</v>
      </c>
      <c r="AH99" s="39"/>
      <c r="AI99" s="39"/>
      <c r="AJ99" s="39"/>
      <c r="AK99" s="39"/>
      <c r="AL99" s="39"/>
      <c r="AM99" s="39">
        <f t="shared" ref="AM99:AM100" si="267">SUM(AF99:AL99)+AT99+AV99+AX99</f>
        <v>12</v>
      </c>
      <c r="AN99" s="85"/>
      <c r="AO99" s="39"/>
      <c r="AP99" s="39"/>
      <c r="AQ99" s="39"/>
      <c r="AR99" s="39">
        <f t="shared" ref="AR99:AR100" si="268">SUM(AN99:AQ99)</f>
        <v>0</v>
      </c>
      <c r="AS99" s="39"/>
      <c r="AT99" s="39"/>
      <c r="AU99" s="39"/>
      <c r="AV99" s="39"/>
      <c r="AW99" s="39"/>
      <c r="AX99" s="39"/>
      <c r="AY99" s="39"/>
      <c r="AZ99" s="39"/>
      <c r="BA99" s="39">
        <f t="shared" ref="BA99:BA100" si="269">+AR99+AS99+AU99+AW99+AY99+AZ99</f>
        <v>0</v>
      </c>
      <c r="BB99" s="52"/>
      <c r="BC99" s="53">
        <v>7</v>
      </c>
      <c r="BD99" s="53"/>
      <c r="BE99" s="52"/>
      <c r="BF99" s="53"/>
    </row>
    <row r="100" spans="1:58" ht="12.95" customHeight="1">
      <c r="A100" s="42"/>
      <c r="B100" s="43"/>
      <c r="C100" s="398"/>
      <c r="D100" s="43"/>
      <c r="E100" s="44"/>
      <c r="F100" s="44"/>
      <c r="G100" s="45"/>
      <c r="H100" s="46"/>
      <c r="I100" s="47"/>
      <c r="J100" s="84"/>
      <c r="K100" s="84"/>
      <c r="L100" s="37"/>
      <c r="M100" s="37"/>
      <c r="N100" s="48"/>
      <c r="O100" s="49"/>
      <c r="P100" s="50"/>
      <c r="Q100" s="49"/>
      <c r="R100" s="367"/>
      <c r="S100" s="367"/>
      <c r="T100" s="39"/>
      <c r="U100" s="39"/>
      <c r="V100" s="39"/>
      <c r="W100" s="39"/>
      <c r="X100" s="40"/>
      <c r="Y100" s="211"/>
      <c r="Z100" s="39"/>
      <c r="AA100" s="39"/>
      <c r="AB100" s="39"/>
      <c r="AC100" s="39"/>
      <c r="AD100" s="39">
        <f t="shared" si="266"/>
        <v>22</v>
      </c>
      <c r="AE100" s="228" t="s">
        <v>579</v>
      </c>
      <c r="AF100" s="35"/>
      <c r="AG100" s="35"/>
      <c r="AH100" s="35">
        <v>22</v>
      </c>
      <c r="AI100" s="35"/>
      <c r="AJ100" s="39"/>
      <c r="AK100" s="39"/>
      <c r="AL100" s="39"/>
      <c r="AM100" s="39">
        <f t="shared" si="267"/>
        <v>22</v>
      </c>
      <c r="AN100" s="39"/>
      <c r="AO100" s="39"/>
      <c r="AP100" s="39"/>
      <c r="AQ100" s="39"/>
      <c r="AR100" s="39">
        <f t="shared" si="268"/>
        <v>0</v>
      </c>
      <c r="AS100" s="39"/>
      <c r="AT100" s="39"/>
      <c r="AU100" s="39"/>
      <c r="AV100" s="39"/>
      <c r="AW100" s="39"/>
      <c r="AX100" s="39"/>
      <c r="AY100" s="39"/>
      <c r="AZ100" s="39"/>
      <c r="BA100" s="39">
        <f t="shared" si="269"/>
        <v>0</v>
      </c>
      <c r="BB100" s="35"/>
      <c r="BC100" s="482"/>
      <c r="BD100" s="482"/>
      <c r="BE100" s="35"/>
      <c r="BF100" s="482"/>
    </row>
    <row r="101" spans="1:58" ht="12.95" customHeight="1">
      <c r="A101" s="42"/>
      <c r="B101" s="43"/>
      <c r="C101" s="398"/>
      <c r="D101" s="43"/>
      <c r="E101" s="44"/>
      <c r="F101" s="44"/>
      <c r="G101" s="411"/>
      <c r="H101" s="46"/>
      <c r="I101" s="47"/>
      <c r="J101" s="84"/>
      <c r="K101" s="84"/>
      <c r="L101" s="37"/>
      <c r="M101" s="37"/>
      <c r="N101" s="48"/>
      <c r="O101" s="49"/>
      <c r="P101" s="50"/>
      <c r="Q101" s="49"/>
      <c r="R101" s="367"/>
      <c r="S101" s="367"/>
      <c r="T101" s="39"/>
      <c r="U101" s="39"/>
      <c r="V101" s="39"/>
      <c r="W101" s="39"/>
      <c r="X101" s="366"/>
      <c r="Y101" s="211"/>
      <c r="Z101" s="39"/>
      <c r="AA101" s="39"/>
      <c r="AB101" s="39"/>
      <c r="AC101" s="39"/>
      <c r="AD101" s="39"/>
      <c r="AE101" s="228"/>
      <c r="AF101" s="35"/>
      <c r="AG101" s="35"/>
      <c r="AH101" s="35"/>
      <c r="AJ101" s="39"/>
      <c r="AK101" s="39"/>
      <c r="AL101" s="39"/>
      <c r="AM101" s="39"/>
      <c r="AN101" s="39"/>
      <c r="AO101" s="39"/>
      <c r="AP101" s="39"/>
      <c r="AQ101" s="39"/>
      <c r="AR101" s="39"/>
      <c r="AS101" s="39"/>
      <c r="AT101" s="39"/>
      <c r="AU101" s="39"/>
      <c r="AV101" s="39"/>
      <c r="AW101" s="39"/>
      <c r="AX101" s="39"/>
      <c r="AY101" s="39"/>
      <c r="AZ101" s="39"/>
      <c r="BA101" s="39"/>
      <c r="BB101" s="35"/>
      <c r="BC101" s="482"/>
      <c r="BD101" s="482"/>
      <c r="BE101" s="35"/>
      <c r="BF101" s="482"/>
    </row>
    <row r="102" spans="1:58" ht="12.75" customHeight="1">
      <c r="A102" s="42">
        <v>45860</v>
      </c>
      <c r="B102" s="43" t="s">
        <v>8</v>
      </c>
      <c r="C102" s="398">
        <f t="shared" ref="C102" si="270">(M102*E102*O102*Q102)/100000000</f>
        <v>15.081066</v>
      </c>
      <c r="D102" s="43" t="s">
        <v>307</v>
      </c>
      <c r="E102" s="44">
        <v>12</v>
      </c>
      <c r="F102" s="44">
        <v>1</v>
      </c>
      <c r="G102" s="411">
        <v>1350</v>
      </c>
      <c r="H102" s="46">
        <f t="shared" ref="H102" si="271">+N102</f>
        <v>0.22999999999999998</v>
      </c>
      <c r="I102" s="47">
        <v>0.88</v>
      </c>
      <c r="J102" s="84">
        <f t="shared" ref="J102" si="272">E102*G102*(1-H102)*1440/1000000*2.74</f>
        <v>49.217414400000003</v>
      </c>
      <c r="K102" s="84">
        <f t="shared" ref="K102" si="273">(IF(G102&lt;L102,L102,G102)*(1-IF(H102&lt;N102,H102,N102))*E102*O102*Q102)/100000000</f>
        <v>15.081066</v>
      </c>
      <c r="L102" s="37">
        <v>1350</v>
      </c>
      <c r="M102" s="37">
        <v>1039.5</v>
      </c>
      <c r="N102" s="48">
        <f t="shared" ref="N102" si="274">1-(M102/L102)</f>
        <v>0.22999999999999998</v>
      </c>
      <c r="O102" s="49">
        <f>+'Trim Rwd'!H62</f>
        <v>260</v>
      </c>
      <c r="P102" s="50">
        <f t="shared" ref="P102" si="275">O102*(Q102-R102-S102)</f>
        <v>118040</v>
      </c>
      <c r="Q102" s="49">
        <v>465</v>
      </c>
      <c r="R102" s="367">
        <v>0</v>
      </c>
      <c r="S102" s="367">
        <v>11</v>
      </c>
      <c r="T102" s="39">
        <f t="shared" ref="T102" si="276">E102*M102*O102*Q102/100000000</f>
        <v>15.081066</v>
      </c>
      <c r="U102" s="39">
        <f t="shared" ref="U102" si="277">E102*M102*O102*(Q102-R102-S102)/100000000</f>
        <v>14.7243096</v>
      </c>
      <c r="V102" s="39">
        <f t="shared" ref="V102" si="278">E102*G102*(1-N102)*O102/100*(R102+S102)/1000000</f>
        <v>0.35675640000000003</v>
      </c>
      <c r="W102" s="39">
        <f>+'22'!K7/1000</f>
        <v>18.164999999999999</v>
      </c>
      <c r="X102" s="366">
        <f>SUM(W102:W105)/SUM(K102:K105)</f>
        <v>0.90299856236796894</v>
      </c>
      <c r="Y102" s="39">
        <f>+SUM(RBP!AG53:AG54)</f>
        <v>0</v>
      </c>
      <c r="Z102" s="39">
        <f>+'21'!D29/1000</f>
        <v>0</v>
      </c>
      <c r="AA102" s="51">
        <f>SUM(U102:U105)-SUM(W102:W105)-SUM(Z102:Z105)-SUM(Y102:Y105)</f>
        <v>2.8415739499999955</v>
      </c>
      <c r="AB102" s="51">
        <f>(SUM(K102:K105)-SUM(W102:W105)-SUM(Y102:Y105)-SUM(Z102:Z105)-SUM(AC102:AC105)-SUM(V102:V105))-AA102</f>
        <v>3.5527136788005009E-15</v>
      </c>
      <c r="AC102" s="39">
        <f>K102-T102</f>
        <v>0</v>
      </c>
      <c r="AD102" s="39">
        <f>+AM102+BA102</f>
        <v>0</v>
      </c>
      <c r="AE102" s="228" t="s">
        <v>461</v>
      </c>
      <c r="AF102" s="39">
        <v>0</v>
      </c>
      <c r="AG102" s="39"/>
      <c r="AH102" s="39"/>
      <c r="AI102" s="39"/>
      <c r="AJ102" s="39"/>
      <c r="AK102" s="39"/>
      <c r="AL102" s="39"/>
      <c r="AM102" s="39">
        <f>SUM(AF102:AL102)+AT102+AV102+AX102</f>
        <v>0</v>
      </c>
      <c r="AN102" s="39"/>
      <c r="AO102" s="39"/>
      <c r="AP102" s="39"/>
      <c r="AQ102" s="39"/>
      <c r="AR102" s="39">
        <f>SUM(AN102:AQ102)</f>
        <v>0</v>
      </c>
      <c r="AS102" s="39"/>
      <c r="AT102" s="39"/>
      <c r="AU102" s="39"/>
      <c r="AV102" s="39"/>
      <c r="AW102" s="39"/>
      <c r="AX102" s="39"/>
      <c r="AY102" s="39"/>
      <c r="AZ102" s="39"/>
      <c r="BA102" s="39">
        <f>+AR102+AS102+AU102+AW102+AY102+AZ102</f>
        <v>0</v>
      </c>
      <c r="BB102" s="35">
        <v>0</v>
      </c>
      <c r="BC102" s="53"/>
      <c r="BD102" s="53">
        <v>1</v>
      </c>
      <c r="BE102" s="35"/>
      <c r="BF102" s="53"/>
    </row>
    <row r="103" spans="1:58" ht="12.95" customHeight="1">
      <c r="A103" s="42"/>
      <c r="B103" s="43" t="s">
        <v>8</v>
      </c>
      <c r="C103" s="398">
        <f t="shared" ref="C103" si="279">(M103*E103*O103*Q103)/100000000</f>
        <v>33.99320925</v>
      </c>
      <c r="D103" s="43" t="s">
        <v>307</v>
      </c>
      <c r="E103" s="44">
        <v>13</v>
      </c>
      <c r="F103" s="44">
        <v>1</v>
      </c>
      <c r="G103" s="411">
        <v>1350</v>
      </c>
      <c r="H103" s="46">
        <f t="shared" ref="H103" si="280">+N103</f>
        <v>0.22999999999999998</v>
      </c>
      <c r="I103" s="47">
        <v>0.88</v>
      </c>
      <c r="J103" s="84">
        <f t="shared" ref="J103" si="281">E103*G103*(1-H103)*1440/1000000*2.74</f>
        <v>53.318865600000009</v>
      </c>
      <c r="K103" s="84">
        <f t="shared" ref="K103" si="282">(IF(G103&lt;L103,L103,G103)*(1-IF(H103&lt;N103,H103,N103))*E103*O103*Q103)/100000000</f>
        <v>33.99320925</v>
      </c>
      <c r="L103" s="37">
        <v>1350</v>
      </c>
      <c r="M103" s="37">
        <v>1039.5</v>
      </c>
      <c r="N103" s="48">
        <f t="shared" ref="N103" si="283">1-(M103/L103)</f>
        <v>0.22999999999999998</v>
      </c>
      <c r="O103" s="49">
        <f>+'Trim Rwd'!H63</f>
        <v>258</v>
      </c>
      <c r="P103" s="50">
        <f t="shared" ref="P103" si="284">O103*(Q103-R103-S103)</f>
        <v>243810</v>
      </c>
      <c r="Q103" s="49">
        <v>975</v>
      </c>
      <c r="R103" s="367">
        <v>0</v>
      </c>
      <c r="S103" s="367">
        <v>30</v>
      </c>
      <c r="T103" s="39">
        <f t="shared" ref="T103" si="285">E103*M103*O103*Q103/100000000</f>
        <v>33.99320925</v>
      </c>
      <c r="U103" s="39">
        <f t="shared" ref="U103" si="286">E103*M103*O103*(Q103-R103-S103)/100000000</f>
        <v>32.947264349999998</v>
      </c>
      <c r="V103" s="39">
        <f t="shared" ref="V103" si="287">E103*G103*(1-N103)*O103/100*(R103+S103)/1000000</f>
        <v>1.0459449000000001</v>
      </c>
      <c r="W103" s="39">
        <f>+'22'!K10/1000</f>
        <v>26.149000000000001</v>
      </c>
      <c r="X103" s="40"/>
      <c r="Y103" s="211"/>
      <c r="Z103" s="39">
        <f>+'22'!D17/1000</f>
        <v>0.51600000000000001</v>
      </c>
      <c r="AA103" s="39"/>
      <c r="AB103" s="39"/>
      <c r="AC103" s="39"/>
      <c r="AD103" s="39">
        <f t="shared" ref="AD103:AD104" si="288">+AM103+BA103</f>
        <v>20</v>
      </c>
      <c r="AE103" s="228" t="s">
        <v>686</v>
      </c>
      <c r="AF103" s="39"/>
      <c r="AG103" s="39">
        <v>20</v>
      </c>
      <c r="AH103" s="39"/>
      <c r="AI103" s="39"/>
      <c r="AJ103" s="39"/>
      <c r="AK103" s="39"/>
      <c r="AL103" s="39"/>
      <c r="AM103" s="39">
        <f t="shared" ref="AM103:AM104" si="289">SUM(AF103:AL103)+AT103+AV103+AX103</f>
        <v>20</v>
      </c>
      <c r="AN103" s="85"/>
      <c r="AO103" s="39"/>
      <c r="AP103" s="39"/>
      <c r="AQ103" s="39"/>
      <c r="AR103" s="39">
        <f t="shared" ref="AR103:AR104" si="290">SUM(AN103:AQ103)</f>
        <v>0</v>
      </c>
      <c r="AS103" s="39"/>
      <c r="AT103" s="39"/>
      <c r="AU103" s="39"/>
      <c r="AV103" s="39"/>
      <c r="AW103" s="39"/>
      <c r="AX103" s="39"/>
      <c r="AY103" s="39"/>
      <c r="AZ103" s="39"/>
      <c r="BA103" s="39">
        <f t="shared" ref="BA103:BA104" si="291">+AR103+AS103+AU103+AW103+AY103+AZ103</f>
        <v>0</v>
      </c>
      <c r="BB103" s="52"/>
      <c r="BC103" s="53">
        <v>13</v>
      </c>
      <c r="BD103" s="53"/>
      <c r="BE103" s="52"/>
      <c r="BF103" s="53"/>
    </row>
    <row r="104" spans="1:58" ht="12.95" customHeight="1">
      <c r="A104" s="42"/>
      <c r="B104" s="43"/>
      <c r="C104" s="398"/>
      <c r="D104" s="43"/>
      <c r="E104" s="44"/>
      <c r="F104" s="44"/>
      <c r="G104" s="45"/>
      <c r="H104" s="46"/>
      <c r="I104" s="47"/>
      <c r="J104" s="84"/>
      <c r="K104" s="84"/>
      <c r="L104" s="37"/>
      <c r="M104" s="37"/>
      <c r="N104" s="48"/>
      <c r="O104" s="49"/>
      <c r="P104" s="50"/>
      <c r="Q104" s="49"/>
      <c r="R104" s="367"/>
      <c r="S104" s="367"/>
      <c r="T104" s="39"/>
      <c r="U104" s="39"/>
      <c r="V104" s="39"/>
      <c r="W104" s="39"/>
      <c r="X104" s="40"/>
      <c r="Y104" s="211"/>
      <c r="Z104" s="39"/>
      <c r="AA104" s="39"/>
      <c r="AB104" s="39"/>
      <c r="AC104" s="39"/>
      <c r="AD104" s="39">
        <f t="shared" si="288"/>
        <v>21</v>
      </c>
      <c r="AE104" s="228" t="s">
        <v>404</v>
      </c>
      <c r="AF104" s="35"/>
      <c r="AG104" s="35"/>
      <c r="AH104" s="35">
        <v>21</v>
      </c>
      <c r="AI104" s="35"/>
      <c r="AJ104" s="39"/>
      <c r="AK104" s="39"/>
      <c r="AL104" s="39"/>
      <c r="AM104" s="39">
        <f t="shared" si="289"/>
        <v>21</v>
      </c>
      <c r="AN104" s="39"/>
      <c r="AO104" s="39"/>
      <c r="AP104" s="39"/>
      <c r="AQ104" s="39"/>
      <c r="AR104" s="39">
        <f t="shared" si="290"/>
        <v>0</v>
      </c>
      <c r="AS104" s="39"/>
      <c r="AT104" s="39"/>
      <c r="AU104" s="39"/>
      <c r="AV104" s="39"/>
      <c r="AW104" s="39"/>
      <c r="AX104" s="39"/>
      <c r="AY104" s="39"/>
      <c r="AZ104" s="39"/>
      <c r="BA104" s="39">
        <f t="shared" si="291"/>
        <v>0</v>
      </c>
      <c r="BB104" s="35"/>
      <c r="BC104" s="482"/>
      <c r="BD104" s="482"/>
      <c r="BE104" s="35"/>
      <c r="BF104" s="482"/>
    </row>
    <row r="105" spans="1:58" ht="12.75" customHeight="1">
      <c r="A105" s="42"/>
      <c r="B105" s="43"/>
      <c r="C105" s="398"/>
      <c r="D105" s="43"/>
      <c r="E105" s="44"/>
      <c r="F105" s="44"/>
      <c r="G105" s="411"/>
      <c r="H105" s="46"/>
      <c r="I105" s="47"/>
      <c r="J105" s="84"/>
      <c r="K105" s="84"/>
      <c r="L105" s="37"/>
      <c r="M105" s="37"/>
      <c r="N105" s="48"/>
      <c r="O105" s="49"/>
      <c r="P105" s="50"/>
      <c r="Q105" s="49"/>
      <c r="R105" s="367"/>
      <c r="S105" s="367"/>
      <c r="T105" s="39"/>
      <c r="U105" s="39"/>
      <c r="V105" s="39"/>
      <c r="W105" s="39"/>
      <c r="X105" s="366"/>
      <c r="Y105" s="211"/>
      <c r="Z105" s="39"/>
      <c r="AA105" s="39"/>
      <c r="AB105" s="39"/>
      <c r="AC105" s="39"/>
      <c r="AD105" s="39"/>
      <c r="AE105" s="228"/>
      <c r="AF105" s="35"/>
      <c r="AG105" s="35"/>
      <c r="AH105" s="35"/>
      <c r="AJ105" s="39"/>
      <c r="AK105" s="39"/>
      <c r="AL105" s="39"/>
      <c r="AM105" s="39"/>
      <c r="AN105" s="39"/>
      <c r="AO105" s="39"/>
      <c r="AP105" s="39"/>
      <c r="AQ105" s="39"/>
      <c r="AR105" s="39"/>
      <c r="AS105" s="39"/>
      <c r="AT105" s="39"/>
      <c r="AU105" s="39"/>
      <c r="AV105" s="39"/>
      <c r="AW105" s="39"/>
      <c r="AX105" s="39"/>
      <c r="AY105" s="39"/>
      <c r="AZ105" s="39"/>
      <c r="BA105" s="39"/>
      <c r="BB105" s="35"/>
      <c r="BC105" s="482"/>
      <c r="BD105" s="53"/>
      <c r="BE105" s="53"/>
      <c r="BF105" s="53"/>
    </row>
    <row r="106" spans="1:58" ht="12.75" customHeight="1">
      <c r="A106" s="42">
        <v>45861</v>
      </c>
      <c r="B106" s="43" t="s">
        <v>8</v>
      </c>
      <c r="C106" s="398">
        <f t="shared" ref="C106:C107" si="292">(M106*E106*O106*Q106)/100000000</f>
        <v>13.829902293103446</v>
      </c>
      <c r="D106" s="43" t="s">
        <v>307</v>
      </c>
      <c r="E106" s="44">
        <v>13</v>
      </c>
      <c r="F106" s="44">
        <v>1</v>
      </c>
      <c r="G106" s="411">
        <v>1350</v>
      </c>
      <c r="H106" s="46">
        <f t="shared" ref="H106:H107" si="293">+N106</f>
        <v>0.22999999999999998</v>
      </c>
      <c r="I106" s="47">
        <v>0.88</v>
      </c>
      <c r="J106" s="84">
        <f t="shared" ref="J106:J107" si="294">E106*G106*(1-H106)*1440/1000000*2.74</f>
        <v>53.318865600000009</v>
      </c>
      <c r="K106" s="84">
        <f t="shared" ref="K106:K107" si="295">(IF(G106&lt;L106,L106,G106)*(1-IF(H106&lt;N106,H106,N106))*E106*O106*Q106)/100000000</f>
        <v>13.829902293103446</v>
      </c>
      <c r="L106" s="37">
        <v>1350</v>
      </c>
      <c r="M106" s="37">
        <v>1039.5</v>
      </c>
      <c r="N106" s="48">
        <f t="shared" ref="N106:N107" si="296">1-(M106/L106)</f>
        <v>0.22999999999999998</v>
      </c>
      <c r="O106" s="49">
        <f>+'Trim Rwd'!H65</f>
        <v>262.41379310344826</v>
      </c>
      <c r="P106" s="50">
        <f t="shared" ref="P106:P107" si="297">O106*(Q106-R106-S106)</f>
        <v>98142.758620689652</v>
      </c>
      <c r="Q106" s="49">
        <v>390</v>
      </c>
      <c r="R106" s="367">
        <v>0</v>
      </c>
      <c r="S106" s="367">
        <v>16</v>
      </c>
      <c r="T106" s="39">
        <f t="shared" ref="T106:T107" si="298">E106*M106*O106*Q106/100000000</f>
        <v>13.829902293103446</v>
      </c>
      <c r="U106" s="39">
        <f t="shared" ref="U106:U107" si="299">E106*M106*O106*(Q106-R106-S106)/100000000</f>
        <v>13.262521686206897</v>
      </c>
      <c r="V106" s="39">
        <f t="shared" ref="V106:V107" si="300">E106*G106*(1-N106)*O106/100*(R106+S106)/1000000</f>
        <v>0.56738060689655168</v>
      </c>
      <c r="W106" s="39">
        <f>+'23'!K10/1000</f>
        <v>15.72</v>
      </c>
      <c r="X106" s="366">
        <f>SUM(W106:W109)/SUM(K106:K109)</f>
        <v>0.90309485779785081</v>
      </c>
      <c r="Y106" s="39">
        <f>+SUM(RBP!AG57:AG58)</f>
        <v>0</v>
      </c>
      <c r="Z106" s="39">
        <f>+'23'!D7/1000</f>
        <v>0.26</v>
      </c>
      <c r="AA106" s="51">
        <f>SUM(U106:U109)-SUM(W106:W109)-SUM(Z106:Z109)-SUM(Y106:Y109)</f>
        <v>2.0903926362068983</v>
      </c>
      <c r="AB106" s="51">
        <f>(SUM(K106:K109)-SUM(W106:W109)-SUM(Y106:Y109)-SUM(Z106:Z109)-SUM(AC106:AC109)-SUM(V106:V109))-AA106</f>
        <v>0</v>
      </c>
      <c r="AC106" s="39">
        <f>K106-T106</f>
        <v>0</v>
      </c>
      <c r="AD106" s="39">
        <f>+AM106+BA106</f>
        <v>18</v>
      </c>
      <c r="AE106" s="228" t="s">
        <v>461</v>
      </c>
      <c r="AF106" s="39">
        <v>18</v>
      </c>
      <c r="AG106" s="39"/>
      <c r="AH106" s="39"/>
      <c r="AI106" s="39"/>
      <c r="AJ106" s="39"/>
      <c r="AK106" s="39"/>
      <c r="AL106" s="39"/>
      <c r="AM106" s="39">
        <f>SUM(AF106:AL106)+AT106+AV106+AX106</f>
        <v>18</v>
      </c>
      <c r="AN106" s="39"/>
      <c r="AO106" s="39"/>
      <c r="AP106" s="39"/>
      <c r="AQ106" s="39"/>
      <c r="AR106" s="39">
        <f>SUM(AN106:AQ106)</f>
        <v>0</v>
      </c>
      <c r="AS106" s="39"/>
      <c r="AT106" s="39"/>
      <c r="AU106" s="39"/>
      <c r="AV106" s="39"/>
      <c r="AW106" s="39"/>
      <c r="AX106" s="39"/>
      <c r="AY106" s="39"/>
      <c r="AZ106" s="39"/>
      <c r="BA106" s="39">
        <f>+AR106+AS106+AU106+AW106+AY106+AZ106</f>
        <v>0</v>
      </c>
      <c r="BB106" s="35">
        <v>0</v>
      </c>
      <c r="BC106" s="53"/>
      <c r="BD106" s="53"/>
      <c r="BE106" s="35"/>
      <c r="BF106" s="53">
        <v>1</v>
      </c>
    </row>
    <row r="107" spans="1:58" ht="12.95" customHeight="1">
      <c r="A107" s="42"/>
      <c r="B107" s="43" t="s">
        <v>8</v>
      </c>
      <c r="C107" s="398">
        <f t="shared" si="292"/>
        <v>24.885629999999999</v>
      </c>
      <c r="D107" s="43" t="s">
        <v>307</v>
      </c>
      <c r="E107" s="44">
        <v>12</v>
      </c>
      <c r="F107" s="44">
        <v>1</v>
      </c>
      <c r="G107" s="411">
        <v>1350</v>
      </c>
      <c r="H107" s="46">
        <f t="shared" si="293"/>
        <v>0.22999999999999998</v>
      </c>
      <c r="I107" s="47">
        <v>0.88</v>
      </c>
      <c r="J107" s="84">
        <f t="shared" si="294"/>
        <v>49.217414400000003</v>
      </c>
      <c r="K107" s="84">
        <f t="shared" si="295"/>
        <v>24.885629999999999</v>
      </c>
      <c r="L107" s="37">
        <v>1350</v>
      </c>
      <c r="M107" s="37">
        <v>1039.5</v>
      </c>
      <c r="N107" s="48">
        <f t="shared" si="296"/>
        <v>0.22999999999999998</v>
      </c>
      <c r="O107" s="49">
        <f>+'Trim Rwd'!H67</f>
        <v>266</v>
      </c>
      <c r="P107" s="50">
        <f t="shared" si="297"/>
        <v>187530</v>
      </c>
      <c r="Q107" s="49">
        <v>750</v>
      </c>
      <c r="R107" s="367">
        <v>0</v>
      </c>
      <c r="S107" s="367">
        <v>45</v>
      </c>
      <c r="T107" s="39">
        <f t="shared" si="298"/>
        <v>24.885629999999999</v>
      </c>
      <c r="U107" s="39">
        <f t="shared" si="299"/>
        <v>23.3924922</v>
      </c>
      <c r="V107" s="39">
        <f t="shared" si="300"/>
        <v>1.4931377999999997</v>
      </c>
      <c r="W107" s="39">
        <f>+'23'!K7/1000</f>
        <v>21.271999999999998</v>
      </c>
      <c r="X107" s="40"/>
      <c r="Y107" s="211"/>
      <c r="Z107" s="39"/>
      <c r="AA107" s="39"/>
      <c r="AB107" s="39"/>
      <c r="AC107" s="39"/>
      <c r="AD107" s="39">
        <f t="shared" ref="AD107:AD109" si="301">+AM107+BA107</f>
        <v>17</v>
      </c>
      <c r="AE107" s="228" t="s">
        <v>698</v>
      </c>
      <c r="AF107" s="39"/>
      <c r="AG107" s="39">
        <v>17</v>
      </c>
      <c r="AH107" s="39"/>
      <c r="AI107" s="39"/>
      <c r="AJ107" s="39"/>
      <c r="AK107" s="39"/>
      <c r="AL107" s="39"/>
      <c r="AM107" s="39">
        <f t="shared" ref="AM107:AM108" si="302">SUM(AF107:AL107)+AT107+AV107+AX107</f>
        <v>17</v>
      </c>
      <c r="AN107" s="85"/>
      <c r="AO107" s="39"/>
      <c r="AP107" s="39"/>
      <c r="AQ107" s="39"/>
      <c r="AR107" s="39">
        <f t="shared" ref="AR107:AR108" si="303">SUM(AN107:AQ107)</f>
        <v>0</v>
      </c>
      <c r="AS107" s="39"/>
      <c r="AT107" s="39"/>
      <c r="AU107" s="39"/>
      <c r="AV107" s="39"/>
      <c r="AW107" s="39"/>
      <c r="AX107" s="39"/>
      <c r="AY107" s="39"/>
      <c r="AZ107" s="39"/>
      <c r="BA107" s="39">
        <f t="shared" ref="BA107:BA109" si="304">+AR107+AS107+AU107+AW107+AY107+AZ107</f>
        <v>0</v>
      </c>
      <c r="BB107" s="52"/>
      <c r="BC107" s="53">
        <v>14</v>
      </c>
      <c r="BD107" s="53"/>
      <c r="BE107" s="52"/>
      <c r="BF107" s="53"/>
    </row>
    <row r="108" spans="1:58" ht="12.95" customHeight="1">
      <c r="A108" s="42"/>
      <c r="B108" s="43" t="s">
        <v>8</v>
      </c>
      <c r="C108" s="398">
        <f t="shared" ref="C108" si="305">(M108*E108*O108*Q108)/100000000</f>
        <v>10.3690125</v>
      </c>
      <c r="D108" s="43" t="s">
        <v>307</v>
      </c>
      <c r="E108" s="44">
        <v>12.5</v>
      </c>
      <c r="F108" s="44">
        <v>1</v>
      </c>
      <c r="G108" s="411">
        <v>1350</v>
      </c>
      <c r="H108" s="46">
        <f t="shared" ref="H108" si="306">+N108</f>
        <v>0.22999999999999998</v>
      </c>
      <c r="I108" s="47">
        <v>0.88</v>
      </c>
      <c r="J108" s="84">
        <f t="shared" ref="J108" si="307">E108*G108*(1-H108)*1440/1000000*2.74</f>
        <v>51.268140000000002</v>
      </c>
      <c r="K108" s="84">
        <f t="shared" ref="K108" si="308">(IF(G108&lt;L108,L108,G108)*(1-IF(H108&lt;N108,H108,N108))*E108*O108*Q108)/100000000</f>
        <v>10.3690125</v>
      </c>
      <c r="L108" s="37">
        <v>1350</v>
      </c>
      <c r="M108" s="37">
        <v>1039.5</v>
      </c>
      <c r="N108" s="48">
        <f t="shared" ref="N108" si="309">1-(M108/L108)</f>
        <v>0.22999999999999998</v>
      </c>
      <c r="O108" s="49">
        <f>+'Trim Rwd'!H68</f>
        <v>266</v>
      </c>
      <c r="P108" s="50">
        <f t="shared" ref="P108" si="310">O108*(Q108-R108-S108)</f>
        <v>77140</v>
      </c>
      <c r="Q108" s="49">
        <v>300</v>
      </c>
      <c r="R108" s="367">
        <v>0</v>
      </c>
      <c r="S108" s="367">
        <v>10</v>
      </c>
      <c r="T108" s="39">
        <f t="shared" ref="T108" si="311">E108*M108*O108*Q108/100000000</f>
        <v>10.3690125</v>
      </c>
      <c r="U108" s="39">
        <f t="shared" ref="U108" si="312">E108*M108*O108*(Q108-R108-S108)/100000000</f>
        <v>10.023378749999999</v>
      </c>
      <c r="V108" s="39">
        <f t="shared" ref="V108" si="313">E108*G108*(1-N108)*O108/100*(R108+S108)/1000000</f>
        <v>0.34563375000000002</v>
      </c>
      <c r="W108" s="39">
        <f>+'23'!K13/1000</f>
        <v>7.3360000000000003</v>
      </c>
      <c r="X108" s="40"/>
      <c r="Y108" s="211"/>
      <c r="Z108" s="39"/>
      <c r="AA108" s="39"/>
      <c r="AB108" s="39"/>
      <c r="AC108" s="39"/>
      <c r="AD108" s="39">
        <f t="shared" si="301"/>
        <v>25</v>
      </c>
      <c r="AE108" s="228" t="s">
        <v>569</v>
      </c>
      <c r="AF108" s="35"/>
      <c r="AG108" s="35"/>
      <c r="AH108" s="35">
        <v>25</v>
      </c>
      <c r="AI108" s="35"/>
      <c r="AJ108" s="39"/>
      <c r="AK108" s="39"/>
      <c r="AL108" s="39"/>
      <c r="AM108" s="39">
        <f t="shared" si="302"/>
        <v>25</v>
      </c>
      <c r="AN108" s="39"/>
      <c r="AO108" s="39"/>
      <c r="AP108" s="39"/>
      <c r="AQ108" s="39"/>
      <c r="AR108" s="39">
        <f t="shared" si="303"/>
        <v>0</v>
      </c>
      <c r="AS108" s="39"/>
      <c r="AT108" s="39"/>
      <c r="AU108" s="39"/>
      <c r="AV108" s="39"/>
      <c r="AW108" s="39"/>
      <c r="AX108" s="39"/>
      <c r="AY108" s="39"/>
      <c r="AZ108" s="39"/>
      <c r="BA108" s="39">
        <f t="shared" si="304"/>
        <v>0</v>
      </c>
      <c r="BB108" s="35"/>
      <c r="BC108" s="482"/>
      <c r="BD108" s="482"/>
      <c r="BE108" s="35"/>
      <c r="BF108" s="482"/>
    </row>
    <row r="109" spans="1:58" ht="12.95" customHeight="1">
      <c r="A109" s="42"/>
      <c r="B109" s="43"/>
      <c r="C109" s="398"/>
      <c r="D109" s="43"/>
      <c r="E109" s="44"/>
      <c r="F109" s="44"/>
      <c r="G109" s="45"/>
      <c r="H109" s="46"/>
      <c r="I109" s="47"/>
      <c r="J109" s="84"/>
      <c r="K109" s="84"/>
      <c r="L109" s="37"/>
      <c r="M109" s="37"/>
      <c r="N109" s="48"/>
      <c r="O109" s="49"/>
      <c r="P109" s="50"/>
      <c r="Q109" s="49"/>
      <c r="R109" s="367"/>
      <c r="S109" s="367"/>
      <c r="T109" s="39"/>
      <c r="U109" s="39"/>
      <c r="V109" s="39"/>
      <c r="W109" s="39"/>
      <c r="X109" s="40"/>
      <c r="Y109" s="211"/>
      <c r="Z109" s="39"/>
      <c r="AA109" s="39"/>
      <c r="AB109" s="39"/>
      <c r="AC109" s="39"/>
      <c r="AD109" s="39">
        <f t="shared" si="301"/>
        <v>11</v>
      </c>
      <c r="AE109" s="228" t="s">
        <v>699</v>
      </c>
      <c r="AF109" s="35"/>
      <c r="AG109" s="35"/>
      <c r="AH109" s="35"/>
      <c r="AI109" s="35"/>
      <c r="AJ109" s="39"/>
      <c r="AK109" s="39">
        <v>11</v>
      </c>
      <c r="AL109" s="39"/>
      <c r="AM109" s="39">
        <f t="shared" ref="AM109" si="314">SUM(AF109:AL109)+AT109+AV109+AX109</f>
        <v>11</v>
      </c>
      <c r="AN109" s="39"/>
      <c r="AO109" s="39"/>
      <c r="AP109" s="39"/>
      <c r="AQ109" s="39"/>
      <c r="AR109" s="39">
        <f t="shared" ref="AR109" si="315">SUM(AN109:AQ109)</f>
        <v>0</v>
      </c>
      <c r="AS109" s="39"/>
      <c r="AT109" s="39"/>
      <c r="AU109" s="39"/>
      <c r="AV109" s="39"/>
      <c r="AW109" s="39"/>
      <c r="AX109" s="39"/>
      <c r="AY109" s="39"/>
      <c r="AZ109" s="39"/>
      <c r="BA109" s="39">
        <f t="shared" si="304"/>
        <v>0</v>
      </c>
      <c r="BB109" s="35"/>
      <c r="BC109" s="482"/>
      <c r="BD109" s="482"/>
      <c r="BE109" s="35"/>
      <c r="BF109" s="482"/>
    </row>
    <row r="110" spans="1:58" ht="12.95" customHeight="1">
      <c r="A110" s="42"/>
      <c r="B110" s="43"/>
      <c r="C110" s="398"/>
      <c r="D110" s="43"/>
      <c r="E110" s="44"/>
      <c r="F110" s="44"/>
      <c r="G110" s="411"/>
      <c r="H110" s="46"/>
      <c r="I110" s="47"/>
      <c r="J110" s="84"/>
      <c r="K110" s="84"/>
      <c r="L110" s="37"/>
      <c r="M110" s="37"/>
      <c r="N110" s="48"/>
      <c r="O110" s="49"/>
      <c r="P110" s="50"/>
      <c r="Q110" s="49"/>
      <c r="R110" s="367"/>
      <c r="S110" s="367"/>
      <c r="T110" s="39"/>
      <c r="U110" s="39"/>
      <c r="V110" s="39"/>
      <c r="W110" s="39"/>
      <c r="X110" s="40"/>
      <c r="Y110" s="211"/>
      <c r="Z110" s="39"/>
      <c r="AA110" s="51"/>
      <c r="AB110" s="51"/>
      <c r="AC110" s="39"/>
      <c r="AD110" s="39"/>
      <c r="AE110" s="22"/>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5"/>
      <c r="BC110" s="53"/>
      <c r="BD110" s="53"/>
      <c r="BE110" s="53"/>
      <c r="BF110" s="53"/>
    </row>
    <row r="111" spans="1:58" ht="12.75" customHeight="1">
      <c r="A111" s="42">
        <v>45862</v>
      </c>
      <c r="B111" s="43" t="s">
        <v>8</v>
      </c>
      <c r="C111" s="398">
        <f t="shared" ref="C111" si="316">(M111*E111*O111*Q111)/100000000</f>
        <v>0.51845062500000005</v>
      </c>
      <c r="D111" s="43" t="s">
        <v>307</v>
      </c>
      <c r="E111" s="44">
        <v>12.5</v>
      </c>
      <c r="F111" s="44">
        <v>1</v>
      </c>
      <c r="G111" s="411">
        <v>1350</v>
      </c>
      <c r="H111" s="46">
        <f t="shared" ref="H111" si="317">+N111</f>
        <v>0.22999999999999998</v>
      </c>
      <c r="I111" s="47">
        <v>0.88</v>
      </c>
      <c r="J111" s="84">
        <f t="shared" ref="J111" si="318">E111*G111*(1-H111)*1440/1000000*2.74</f>
        <v>51.268140000000002</v>
      </c>
      <c r="K111" s="84">
        <f t="shared" ref="K111" si="319">(IF(G111&lt;L111,L111,G111)*(1-IF(H111&lt;N111,H111,N111))*E111*O111*Q111)/100000000</f>
        <v>0.51845062500000005</v>
      </c>
      <c r="L111" s="37">
        <v>1350</v>
      </c>
      <c r="M111" s="37">
        <v>1039.5</v>
      </c>
      <c r="N111" s="48">
        <f t="shared" ref="N111" si="320">1-(M111/L111)</f>
        <v>0.22999999999999998</v>
      </c>
      <c r="O111" s="49">
        <f>+'Trim Rwd'!H70</f>
        <v>266</v>
      </c>
      <c r="P111" s="50">
        <f t="shared" ref="P111" si="321">O111*(Q111-R111-S111)</f>
        <v>2660</v>
      </c>
      <c r="Q111" s="49">
        <v>15</v>
      </c>
      <c r="R111" s="367">
        <v>0</v>
      </c>
      <c r="S111" s="367">
        <v>5</v>
      </c>
      <c r="T111" s="39">
        <f t="shared" ref="T111" si="322">E111*M111*O111*Q111/100000000</f>
        <v>0.51845062500000005</v>
      </c>
      <c r="U111" s="39">
        <f t="shared" ref="U111" si="323">E111*M111*O111*(Q111-R111-S111)/100000000</f>
        <v>0.34563375000000002</v>
      </c>
      <c r="V111" s="39">
        <f t="shared" ref="V111" si="324">E111*G111*(1-N111)*O111/100*(R111+S111)/1000000</f>
        <v>0.17281687500000001</v>
      </c>
      <c r="W111" s="39">
        <f>+'24'!K13/1000</f>
        <v>3.5179999999999998</v>
      </c>
      <c r="X111" s="366">
        <f>SUM(W111:W114)/SUM(K111:K114)</f>
        <v>0.89612483548558453</v>
      </c>
      <c r="Y111" s="39">
        <f>+SUM(RBP!AG62:AG63)</f>
        <v>0</v>
      </c>
      <c r="Z111" s="39">
        <v>0</v>
      </c>
      <c r="AA111" s="51">
        <f>SUM(U111:U114)-SUM(W111:W114)-SUM(Z111:Z114)-SUM(Y111:Y114)</f>
        <v>3.3135028129999995</v>
      </c>
      <c r="AB111" s="51">
        <f>(SUM(K111:K114)-SUM(W111:W114)-SUM(Y111:Y114)-SUM(Z111:Z114)-SUM(AC111:AC114)-SUM(V111:V114))-AA111</f>
        <v>3.7924037999992333E-2</v>
      </c>
      <c r="AC111" s="39">
        <f>K111-T111</f>
        <v>0</v>
      </c>
      <c r="AD111" s="39">
        <f>+AM111+BA111</f>
        <v>0</v>
      </c>
      <c r="AE111" s="228" t="s">
        <v>461</v>
      </c>
      <c r="AF111" s="39">
        <v>0</v>
      </c>
      <c r="AG111" s="39"/>
      <c r="AH111" s="39"/>
      <c r="AI111" s="39"/>
      <c r="AJ111" s="39"/>
      <c r="AK111" s="39"/>
      <c r="AL111" s="39"/>
      <c r="AM111" s="39">
        <f>SUM(AF111:AL111)+AT111+AV111+AX111</f>
        <v>0</v>
      </c>
      <c r="AN111" s="39"/>
      <c r="AO111" s="39"/>
      <c r="AP111" s="39"/>
      <c r="AQ111" s="39"/>
      <c r="AR111" s="39">
        <f>SUM(AN111:AQ111)</f>
        <v>0</v>
      </c>
      <c r="AS111" s="39"/>
      <c r="AT111" s="39"/>
      <c r="AU111" s="39"/>
      <c r="AV111" s="39"/>
      <c r="AW111" s="39"/>
      <c r="AX111" s="39"/>
      <c r="AY111" s="39"/>
      <c r="AZ111" s="39"/>
      <c r="BA111" s="39">
        <f>+AR111+AS111+AU111+AW111+AY111+AZ111</f>
        <v>0</v>
      </c>
      <c r="BB111" s="35">
        <v>0</v>
      </c>
      <c r="BC111" s="53"/>
      <c r="BD111" s="53"/>
      <c r="BE111" s="35"/>
      <c r="BF111" s="53"/>
    </row>
    <row r="112" spans="1:58" ht="12.95" customHeight="1">
      <c r="A112" s="42"/>
      <c r="B112" s="43" t="s">
        <v>528</v>
      </c>
      <c r="C112" s="398">
        <f t="shared" ref="C112:C113" si="325">(M112*E112*O112*Q112)/100000000</f>
        <v>32.419437704999993</v>
      </c>
      <c r="D112" s="43" t="s">
        <v>737</v>
      </c>
      <c r="E112" s="44">
        <v>14.5</v>
      </c>
      <c r="F112" s="44">
        <v>1</v>
      </c>
      <c r="G112" s="411">
        <v>1160</v>
      </c>
      <c r="H112" s="46">
        <f>+N112</f>
        <v>0.17000000000000004</v>
      </c>
      <c r="I112" s="47">
        <v>0.88</v>
      </c>
      <c r="J112" s="84">
        <f t="shared" ref="J112:J113" si="326">E112*G112*(1-H112)*1440/1000000*2.74</f>
        <v>55.082943359999994</v>
      </c>
      <c r="K112" s="84">
        <f t="shared" ref="K112:K113" si="327">(IF(G112&lt;L112,L112,G112)*(1-IF(H112&lt;N112,H112,N112))*E112*O112*Q112)/100000000</f>
        <v>32.419437704999993</v>
      </c>
      <c r="L112" s="37">
        <v>1180</v>
      </c>
      <c r="M112" s="37">
        <v>979.4</v>
      </c>
      <c r="N112" s="48">
        <f t="shared" ref="N112:N113" si="328">1-(M112/L112)</f>
        <v>0.17000000000000004</v>
      </c>
      <c r="O112" s="49">
        <f>+'Trim Rwd'!H71</f>
        <v>256.5</v>
      </c>
      <c r="P112" s="50">
        <f t="shared" ref="P112:P113" si="329">O112*(Q112-R112-S112)</f>
        <v>219051</v>
      </c>
      <c r="Q112" s="49">
        <v>890</v>
      </c>
      <c r="R112" s="367">
        <v>0</v>
      </c>
      <c r="S112" s="367">
        <v>36</v>
      </c>
      <c r="T112" s="39">
        <f t="shared" ref="T112:T113" si="330">E112*M112*O112*Q112/100000000</f>
        <v>32.419437704999993</v>
      </c>
      <c r="U112" s="39">
        <f t="shared" ref="U112:U113" si="331">E112*M112*O112*(Q112-R112-S112)/100000000</f>
        <v>31.108089662999998</v>
      </c>
      <c r="V112" s="39">
        <f t="shared" ref="V112:V113" si="332">E112*G112*(1-N112)*O112/100*(R112+S112)/1000000</f>
        <v>1.2891218039999999</v>
      </c>
      <c r="W112" s="39">
        <f>+'24'!K14/1000</f>
        <v>30.141999999999999</v>
      </c>
      <c r="X112" s="40"/>
      <c r="Y112" s="211"/>
      <c r="Z112" s="39"/>
      <c r="AA112" s="39"/>
      <c r="AB112" s="39"/>
      <c r="AC112" s="39"/>
      <c r="AD112" s="39">
        <f t="shared" ref="AD112:AD114" si="333">+AM112+BA112</f>
        <v>15</v>
      </c>
      <c r="AE112" s="228" t="s">
        <v>532</v>
      </c>
      <c r="AF112" s="39"/>
      <c r="AG112" s="39">
        <v>15</v>
      </c>
      <c r="AH112" s="39"/>
      <c r="AI112" s="39"/>
      <c r="AJ112" s="39"/>
      <c r="AK112" s="39"/>
      <c r="AL112" s="39"/>
      <c r="AM112" s="39">
        <f t="shared" ref="AM112:AM114" si="334">SUM(AF112:AL112)+AT112+AV112+AX112</f>
        <v>15</v>
      </c>
      <c r="AN112" s="85"/>
      <c r="AO112" s="39"/>
      <c r="AP112" s="39"/>
      <c r="AQ112" s="39"/>
      <c r="AR112" s="39">
        <f t="shared" ref="AR112:AR114" si="335">SUM(AN112:AQ112)</f>
        <v>0</v>
      </c>
      <c r="AS112" s="39"/>
      <c r="AT112" s="39"/>
      <c r="AU112" s="39"/>
      <c r="AV112" s="39"/>
      <c r="AW112" s="39"/>
      <c r="AX112" s="39"/>
      <c r="AY112" s="39"/>
      <c r="AZ112" s="39"/>
      <c r="BA112" s="39">
        <f t="shared" ref="BA112:BA114" si="336">+AR112+AS112+AU112+AW112+AY112+AZ112</f>
        <v>0</v>
      </c>
      <c r="BB112" s="52"/>
      <c r="BC112" s="53">
        <v>10</v>
      </c>
      <c r="BD112" s="53"/>
      <c r="BE112" s="52"/>
      <c r="BF112" s="53"/>
    </row>
    <row r="113" spans="1:58" ht="12.95" customHeight="1">
      <c r="A113" s="42"/>
      <c r="B113" s="43" t="s">
        <v>528</v>
      </c>
      <c r="C113" s="398">
        <f t="shared" si="325"/>
        <v>19.596087000000001</v>
      </c>
      <c r="D113" s="43" t="s">
        <v>737</v>
      </c>
      <c r="E113" s="44">
        <v>17</v>
      </c>
      <c r="F113" s="44">
        <v>1</v>
      </c>
      <c r="G113" s="411">
        <v>1025</v>
      </c>
      <c r="H113" s="46">
        <v>0.2</v>
      </c>
      <c r="I113" s="47">
        <v>0.88</v>
      </c>
      <c r="J113" s="84">
        <f t="shared" si="326"/>
        <v>55.001663999999998</v>
      </c>
      <c r="K113" s="84">
        <f t="shared" si="327"/>
        <v>19.596087000000001</v>
      </c>
      <c r="L113" s="37">
        <v>1050</v>
      </c>
      <c r="M113" s="37">
        <v>840</v>
      </c>
      <c r="N113" s="48">
        <f t="shared" si="328"/>
        <v>0.19999999999999996</v>
      </c>
      <c r="O113" s="49">
        <f>+'Trim Rwd'!H72</f>
        <v>256.5</v>
      </c>
      <c r="P113" s="50">
        <f t="shared" si="329"/>
        <v>132610.5</v>
      </c>
      <c r="Q113" s="49">
        <v>535</v>
      </c>
      <c r="R113" s="367">
        <v>0</v>
      </c>
      <c r="S113" s="367">
        <f>10+8</f>
        <v>18</v>
      </c>
      <c r="T113" s="39">
        <f t="shared" si="330"/>
        <v>19.596087000000001</v>
      </c>
      <c r="U113" s="39">
        <f t="shared" si="331"/>
        <v>18.936779399999999</v>
      </c>
      <c r="V113" s="39">
        <f t="shared" si="332"/>
        <v>0.6436097999999999</v>
      </c>
      <c r="W113" s="39">
        <f>+'24'!K15/1000</f>
        <v>13.417</v>
      </c>
      <c r="X113" s="40"/>
      <c r="Y113" s="211"/>
      <c r="Z113" s="39"/>
      <c r="AA113" s="39"/>
      <c r="AB113" s="39"/>
      <c r="AC113" s="39"/>
      <c r="AD113" s="39">
        <f t="shared" si="333"/>
        <v>22</v>
      </c>
      <c r="AE113" s="228" t="s">
        <v>504</v>
      </c>
      <c r="AF113" s="35"/>
      <c r="AG113" s="35"/>
      <c r="AH113" s="35">
        <v>22</v>
      </c>
      <c r="AI113" s="35"/>
      <c r="AJ113" s="39"/>
      <c r="AK113" s="39"/>
      <c r="AL113" s="39"/>
      <c r="AM113" s="39">
        <f t="shared" si="334"/>
        <v>22</v>
      </c>
      <c r="AN113" s="39"/>
      <c r="AO113" s="39"/>
      <c r="AP113" s="39"/>
      <c r="AQ113" s="39"/>
      <c r="AR113" s="39">
        <f t="shared" si="335"/>
        <v>0</v>
      </c>
      <c r="AS113" s="39"/>
      <c r="AT113" s="39"/>
      <c r="AU113" s="39"/>
      <c r="AV113" s="39"/>
      <c r="AW113" s="39"/>
      <c r="AX113" s="39"/>
      <c r="AY113" s="39"/>
      <c r="AZ113" s="39"/>
      <c r="BA113" s="39">
        <f t="shared" si="336"/>
        <v>0</v>
      </c>
      <c r="BB113" s="35"/>
      <c r="BC113" s="482"/>
      <c r="BD113" s="482"/>
      <c r="BE113" s="35"/>
      <c r="BF113" s="482"/>
    </row>
    <row r="114" spans="1:58" ht="12.95" customHeight="1">
      <c r="A114" s="42"/>
      <c r="B114" s="43"/>
      <c r="C114" s="398"/>
      <c r="D114" s="43"/>
      <c r="E114" s="44"/>
      <c r="F114" s="44"/>
      <c r="G114" s="45"/>
      <c r="H114" s="46"/>
      <c r="I114" s="47"/>
      <c r="J114" s="84"/>
      <c r="K114" s="84"/>
      <c r="L114" s="37"/>
      <c r="M114" s="37"/>
      <c r="N114" s="48"/>
      <c r="O114" s="49"/>
      <c r="P114" s="50"/>
      <c r="Q114" s="49"/>
      <c r="R114" s="367"/>
      <c r="S114" s="367"/>
      <c r="T114" s="39"/>
      <c r="U114" s="39"/>
      <c r="V114" s="39"/>
      <c r="W114" s="39"/>
      <c r="X114" s="40"/>
      <c r="Y114" s="211"/>
      <c r="Z114" s="39"/>
      <c r="AA114" s="39"/>
      <c r="AB114" s="39"/>
      <c r="AC114" s="39"/>
      <c r="AD114" s="39">
        <f t="shared" si="333"/>
        <v>14</v>
      </c>
      <c r="AE114" s="228" t="s">
        <v>714</v>
      </c>
      <c r="AF114" s="35"/>
      <c r="AG114" s="35"/>
      <c r="AH114" s="35"/>
      <c r="AI114" s="35"/>
      <c r="AJ114" s="39">
        <v>14</v>
      </c>
      <c r="AK114" s="39"/>
      <c r="AL114" s="39"/>
      <c r="AM114" s="39">
        <f t="shared" si="334"/>
        <v>14</v>
      </c>
      <c r="AN114" s="39"/>
      <c r="AO114" s="39"/>
      <c r="AP114" s="39"/>
      <c r="AQ114" s="39"/>
      <c r="AR114" s="39">
        <f t="shared" si="335"/>
        <v>0</v>
      </c>
      <c r="AS114" s="39"/>
      <c r="AT114" s="39"/>
      <c r="AU114" s="39"/>
      <c r="AV114" s="39"/>
      <c r="AW114" s="39"/>
      <c r="AX114" s="39"/>
      <c r="AY114" s="39"/>
      <c r="AZ114" s="39"/>
      <c r="BA114" s="39">
        <f t="shared" si="336"/>
        <v>0</v>
      </c>
      <c r="BB114" s="35"/>
      <c r="BC114" s="482"/>
      <c r="BD114" s="482"/>
      <c r="BE114" s="35"/>
      <c r="BF114" s="482"/>
    </row>
    <row r="115" spans="1:58" ht="12.95" customHeight="1">
      <c r="A115" s="42"/>
      <c r="B115" s="43"/>
      <c r="C115" s="398"/>
      <c r="D115" s="43"/>
      <c r="E115" s="44"/>
      <c r="F115" s="44"/>
      <c r="G115" s="45"/>
      <c r="H115" s="46"/>
      <c r="I115" s="47"/>
      <c r="J115" s="84"/>
      <c r="K115" s="84"/>
      <c r="L115" s="37"/>
      <c r="M115" s="37"/>
      <c r="N115" s="48"/>
      <c r="O115" s="49"/>
      <c r="P115" s="50"/>
      <c r="Q115" s="49"/>
      <c r="R115" s="367"/>
      <c r="S115" s="367"/>
      <c r="T115" s="39"/>
      <c r="U115" s="39"/>
      <c r="V115" s="39"/>
      <c r="W115" s="39"/>
      <c r="X115" s="40"/>
      <c r="Y115" s="211"/>
      <c r="Z115" s="39"/>
      <c r="AA115" s="39"/>
      <c r="AB115" s="39"/>
      <c r="AC115" s="39"/>
      <c r="AD115" s="39">
        <f t="shared" ref="AD115" si="337">+AM115+BA115</f>
        <v>8</v>
      </c>
      <c r="AE115" s="231" t="s">
        <v>720</v>
      </c>
      <c r="AF115" s="35"/>
      <c r="AG115" s="35"/>
      <c r="AH115" s="35"/>
      <c r="AI115" s="35"/>
      <c r="AJ115" s="39"/>
      <c r="AK115" s="39"/>
      <c r="AL115" s="39"/>
      <c r="AM115" s="39">
        <f t="shared" ref="AM115" si="338">SUM(AF115:AL115)+AT115+AV115+AX115</f>
        <v>8</v>
      </c>
      <c r="AN115" s="39"/>
      <c r="AO115" s="39"/>
      <c r="AP115" s="39"/>
      <c r="AQ115" s="39"/>
      <c r="AR115" s="39">
        <f t="shared" ref="AR115" si="339">SUM(AN115:AQ115)</f>
        <v>0</v>
      </c>
      <c r="AS115" s="39"/>
      <c r="AT115" s="39"/>
      <c r="AU115" s="39"/>
      <c r="AV115" s="39">
        <v>8</v>
      </c>
      <c r="AW115" s="39"/>
      <c r="AX115" s="39"/>
      <c r="AY115" s="39"/>
      <c r="AZ115" s="39"/>
      <c r="BA115" s="39">
        <f t="shared" ref="BA115" si="340">+AR115+AS115+AU115+AW115+AY115+AZ115</f>
        <v>0</v>
      </c>
      <c r="BB115" s="35"/>
      <c r="BC115" s="482"/>
      <c r="BD115" s="482"/>
      <c r="BE115" s="35"/>
      <c r="BF115" s="482"/>
    </row>
    <row r="116" spans="1:58" ht="12.95" customHeight="1">
      <c r="A116" s="42"/>
      <c r="B116" s="43"/>
      <c r="C116" s="398"/>
      <c r="D116" s="43"/>
      <c r="E116" s="44"/>
      <c r="F116" s="44"/>
      <c r="G116" s="411"/>
      <c r="H116" s="46"/>
      <c r="I116" s="47"/>
      <c r="J116" s="84"/>
      <c r="K116" s="84"/>
      <c r="L116" s="37"/>
      <c r="M116" s="37"/>
      <c r="N116" s="48"/>
      <c r="O116" s="49"/>
      <c r="P116" s="50"/>
      <c r="Q116" s="49"/>
      <c r="R116" s="367"/>
      <c r="S116" s="367"/>
      <c r="T116" s="39"/>
      <c r="U116" s="39"/>
      <c r="V116" s="39"/>
      <c r="W116" s="39"/>
      <c r="X116" s="40"/>
      <c r="Y116" s="211"/>
      <c r="Z116" s="39"/>
      <c r="AA116" s="51"/>
      <c r="AB116" s="51"/>
      <c r="AC116" s="39"/>
      <c r="AD116" s="39"/>
      <c r="AE116" s="22"/>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5"/>
      <c r="BC116" s="53"/>
      <c r="BD116" s="53"/>
      <c r="BE116" s="53"/>
      <c r="BF116" s="53"/>
    </row>
    <row r="117" spans="1:58" ht="12.75" customHeight="1">
      <c r="A117" s="42">
        <v>45863</v>
      </c>
      <c r="B117" s="43" t="s">
        <v>528</v>
      </c>
      <c r="C117" s="398">
        <f t="shared" ref="C117" si="341">(M117*E117*O117*Q117)/100000000</f>
        <v>24.595158000000001</v>
      </c>
      <c r="D117" s="43" t="s">
        <v>737</v>
      </c>
      <c r="E117" s="44">
        <v>17</v>
      </c>
      <c r="F117" s="44">
        <v>1</v>
      </c>
      <c r="G117" s="411">
        <v>1025</v>
      </c>
      <c r="H117" s="46">
        <v>0.2</v>
      </c>
      <c r="I117" s="47">
        <v>0.88</v>
      </c>
      <c r="J117" s="84">
        <f t="shared" ref="J117" si="342">E117*G117*(1-H117)*1440/1000000*2.74</f>
        <v>55.001663999999998</v>
      </c>
      <c r="K117" s="84">
        <f t="shared" ref="K117" si="343">(IF(G117&lt;L117,L117,G117)*(1-IF(H117&lt;N117,H117,N117))*E117*O117*Q117)/100000000</f>
        <v>24.595158000000001</v>
      </c>
      <c r="L117" s="37">
        <v>1050</v>
      </c>
      <c r="M117" s="37">
        <v>840</v>
      </c>
      <c r="N117" s="48">
        <f t="shared" ref="N117" si="344">1-(M117/L117)</f>
        <v>0.19999999999999996</v>
      </c>
      <c r="O117" s="49">
        <f>+'Trim Rwd'!H74</f>
        <v>259</v>
      </c>
      <c r="P117" s="50">
        <f t="shared" ref="P117" si="345">O117*(Q117-R117-S117)</f>
        <v>167055</v>
      </c>
      <c r="Q117" s="49">
        <v>665</v>
      </c>
      <c r="R117" s="367">
        <v>0</v>
      </c>
      <c r="S117" s="367">
        <v>20</v>
      </c>
      <c r="T117" s="39">
        <f t="shared" ref="T117" si="346">E117*M117*O117*Q117/100000000</f>
        <v>24.595158000000001</v>
      </c>
      <c r="U117" s="39">
        <f t="shared" ref="U117" si="347">E117*M117*O117*(Q117-R117-S117)/100000000</f>
        <v>23.855454000000002</v>
      </c>
      <c r="V117" s="39">
        <f t="shared" ref="V117" si="348">E117*G117*(1-N117)*O117/100*(R117+S117)/1000000</f>
        <v>0.72209199999999996</v>
      </c>
      <c r="W117" s="39">
        <f>+'25'!K15/1000</f>
        <v>28.242000000000001</v>
      </c>
      <c r="X117" s="366">
        <f>SUM(W117:W120)/SUM(K117:K120)</f>
        <v>0.86232968739696891</v>
      </c>
      <c r="Y117" s="39">
        <f>+SUM(RBP!AG68:AG69)</f>
        <v>0</v>
      </c>
      <c r="Z117" s="39">
        <f>+'23'!D18/1000</f>
        <v>0</v>
      </c>
      <c r="AA117" s="51">
        <f>SUM(U117:U120)-SUM(W117:W120)-SUM(Z117:Z120)-SUM(Y117:Y120)</f>
        <v>5.8882452799999925</v>
      </c>
      <c r="AB117" s="51">
        <f>(SUM(K117:K120)-SUM(W117:W120)-SUM(Y117:Y120)-SUM(Z117:Z120)-SUM(AC117:AC120)-SUM(V117:V120))-AA117</f>
        <v>8.2399040000002977E-2</v>
      </c>
      <c r="AC117" s="39">
        <f>K117-T117</f>
        <v>0</v>
      </c>
      <c r="AD117" s="39">
        <f>+AM117+BA117</f>
        <v>0</v>
      </c>
      <c r="AE117" s="228" t="s">
        <v>461</v>
      </c>
      <c r="AF117" s="39">
        <v>0</v>
      </c>
      <c r="AG117" s="39"/>
      <c r="AH117" s="39"/>
      <c r="AI117" s="39"/>
      <c r="AJ117" s="39"/>
      <c r="AK117" s="39"/>
      <c r="AL117" s="39"/>
      <c r="AM117" s="39">
        <f>SUM(AF117:AL117)+AT117+AV117+AX117</f>
        <v>0</v>
      </c>
      <c r="AN117" s="39"/>
      <c r="AO117" s="39"/>
      <c r="AP117" s="39"/>
      <c r="AQ117" s="39"/>
      <c r="AR117" s="39">
        <f>SUM(AN117:AQ117)</f>
        <v>0</v>
      </c>
      <c r="AS117" s="39"/>
      <c r="AT117" s="39"/>
      <c r="AU117" s="39"/>
      <c r="AV117" s="39"/>
      <c r="AW117" s="39"/>
      <c r="AX117" s="39"/>
      <c r="AY117" s="39"/>
      <c r="AZ117" s="39"/>
      <c r="BA117" s="39">
        <f>+AR117+AS117+AU117+AW117+AY117+AZ117</f>
        <v>0</v>
      </c>
      <c r="BB117" s="35">
        <v>0</v>
      </c>
      <c r="BC117" s="53"/>
      <c r="BD117" s="53"/>
      <c r="BE117" s="35"/>
      <c r="BF117" s="53"/>
    </row>
    <row r="118" spans="1:58" ht="12.95" customHeight="1">
      <c r="A118" s="42"/>
      <c r="B118" s="43" t="s">
        <v>528</v>
      </c>
      <c r="C118" s="398">
        <f t="shared" ref="C118:C119" si="349">(M118*E118*O118*Q118)/100000000</f>
        <v>15.856419600000001</v>
      </c>
      <c r="D118" s="43" t="s">
        <v>737</v>
      </c>
      <c r="E118" s="44">
        <v>19</v>
      </c>
      <c r="F118" s="44">
        <v>1</v>
      </c>
      <c r="G118" s="411">
        <v>920</v>
      </c>
      <c r="H118" s="46">
        <v>0.2</v>
      </c>
      <c r="I118" s="47">
        <v>0.88</v>
      </c>
      <c r="J118" s="84">
        <f t="shared" ref="J118:J119" si="350">E118*G118*(1-H118)*1440/1000000*2.74</f>
        <v>55.175270400000002</v>
      </c>
      <c r="K118" s="84">
        <f t="shared" ref="K118:K119" si="351">(IF(G118&lt;L118,L118,G118)*(1-IF(H118&lt;N118,H118,N118))*E118*O118*Q118)/100000000</f>
        <v>15.856419600000001</v>
      </c>
      <c r="L118" s="37">
        <v>980</v>
      </c>
      <c r="M118" s="37">
        <v>784</v>
      </c>
      <c r="N118" s="48">
        <f t="shared" ref="N118:N119" si="352">1-(M118/L118)</f>
        <v>0.19999999999999996</v>
      </c>
      <c r="O118" s="49">
        <f>+'Trim Rwd'!H76</f>
        <v>256.5</v>
      </c>
      <c r="P118" s="50">
        <f t="shared" ref="P118:P119" si="353">O118*(Q118-R118-S118)</f>
        <v>101830.5</v>
      </c>
      <c r="Q118" s="49">
        <v>415</v>
      </c>
      <c r="R118" s="367">
        <v>0</v>
      </c>
      <c r="S118" s="367">
        <f>8+10</f>
        <v>18</v>
      </c>
      <c r="T118" s="39">
        <f t="shared" ref="T118:T119" si="354">E118*M118*O118*Q118/100000000</f>
        <v>15.856419600000001</v>
      </c>
      <c r="U118" s="39">
        <f t="shared" ref="U118:U119" si="355">E118*M118*O118*(Q118-R118-S118)/100000000</f>
        <v>15.16867128</v>
      </c>
      <c r="V118" s="39">
        <f t="shared" ref="V118:V119" si="356">E118*G118*(1-N118)*O118/100*(R118+S118)/1000000</f>
        <v>0.64564127999999998</v>
      </c>
      <c r="W118" s="39">
        <f>+'25'!K16/1000</f>
        <v>15.992000000000001</v>
      </c>
      <c r="X118" s="40"/>
      <c r="Y118" s="211"/>
      <c r="Z118" s="39"/>
      <c r="AA118" s="39"/>
      <c r="AB118" s="39"/>
      <c r="AC118" s="39"/>
      <c r="AD118" s="39">
        <f t="shared" ref="AD118:AD120" si="357">+AM118+BA118</f>
        <v>9</v>
      </c>
      <c r="AE118" s="228" t="s">
        <v>577</v>
      </c>
      <c r="AF118" s="39"/>
      <c r="AG118" s="39">
        <v>9</v>
      </c>
      <c r="AH118" s="39"/>
      <c r="AI118" s="39"/>
      <c r="AJ118" s="39"/>
      <c r="AK118" s="39"/>
      <c r="AL118" s="39"/>
      <c r="AM118" s="39">
        <f t="shared" ref="AM118:AM119" si="358">SUM(AF118:AL118)+AT118+AV118+AX118</f>
        <v>9</v>
      </c>
      <c r="AN118" s="85"/>
      <c r="AO118" s="39"/>
      <c r="AP118" s="39"/>
      <c r="AQ118" s="39"/>
      <c r="AR118" s="39">
        <f t="shared" ref="AR118:AR119" si="359">SUM(AN118:AQ118)</f>
        <v>0</v>
      </c>
      <c r="AS118" s="39"/>
      <c r="AT118" s="39"/>
      <c r="AU118" s="39"/>
      <c r="AV118" s="39"/>
      <c r="AW118" s="39"/>
      <c r="AX118" s="39"/>
      <c r="AY118" s="39"/>
      <c r="AZ118" s="39"/>
      <c r="BA118" s="39">
        <f t="shared" ref="BA118:BA120" si="360">+AR118+AS118+AU118+AW118+AY118+AZ118</f>
        <v>0</v>
      </c>
      <c r="BB118" s="52"/>
      <c r="BC118" s="53">
        <v>7</v>
      </c>
      <c r="BD118" s="53"/>
      <c r="BE118" s="52"/>
      <c r="BF118" s="53"/>
    </row>
    <row r="119" spans="1:58" ht="12.95" customHeight="1">
      <c r="A119" s="42"/>
      <c r="B119" s="43" t="s">
        <v>528</v>
      </c>
      <c r="C119" s="398">
        <f t="shared" si="349"/>
        <v>14.7744</v>
      </c>
      <c r="D119" s="43" t="s">
        <v>737</v>
      </c>
      <c r="E119" s="44">
        <v>20</v>
      </c>
      <c r="F119" s="44">
        <v>1</v>
      </c>
      <c r="G119" s="411">
        <v>875</v>
      </c>
      <c r="H119" s="46">
        <v>0.2</v>
      </c>
      <c r="I119" s="47">
        <v>0.88</v>
      </c>
      <c r="J119" s="84">
        <f t="shared" si="350"/>
        <v>55.238400000000006</v>
      </c>
      <c r="K119" s="84">
        <f t="shared" si="351"/>
        <v>14.7744</v>
      </c>
      <c r="L119" s="37">
        <v>950</v>
      </c>
      <c r="M119" s="37">
        <v>760</v>
      </c>
      <c r="N119" s="48">
        <f t="shared" si="352"/>
        <v>0.19999999999999996</v>
      </c>
      <c r="O119" s="49">
        <f>+'Trim Rwd'!H77</f>
        <v>270</v>
      </c>
      <c r="P119" s="50">
        <f t="shared" si="353"/>
        <v>95310</v>
      </c>
      <c r="Q119" s="49">
        <v>360</v>
      </c>
      <c r="R119" s="367">
        <v>0</v>
      </c>
      <c r="S119" s="367">
        <v>7</v>
      </c>
      <c r="T119" s="39">
        <f t="shared" si="354"/>
        <v>14.7744</v>
      </c>
      <c r="U119" s="39">
        <f t="shared" si="355"/>
        <v>14.487120000000001</v>
      </c>
      <c r="V119" s="39">
        <f t="shared" si="356"/>
        <v>0.2646</v>
      </c>
      <c r="W119" s="39">
        <f>+'25'!K17/1000</f>
        <v>3.3889999999999998</v>
      </c>
      <c r="X119" s="40"/>
      <c r="Y119" s="211"/>
      <c r="Z119" s="39"/>
      <c r="AA119" s="39"/>
      <c r="AB119" s="39"/>
      <c r="AC119" s="39"/>
      <c r="AD119" s="39">
        <f t="shared" si="357"/>
        <v>26</v>
      </c>
      <c r="AE119" s="228" t="s">
        <v>742</v>
      </c>
      <c r="AF119" s="35"/>
      <c r="AG119" s="35"/>
      <c r="AH119" s="35">
        <v>26</v>
      </c>
      <c r="AI119" s="35"/>
      <c r="AJ119" s="39"/>
      <c r="AK119" s="39"/>
      <c r="AL119" s="39"/>
      <c r="AM119" s="39">
        <f t="shared" si="358"/>
        <v>26</v>
      </c>
      <c r="AN119" s="39"/>
      <c r="AO119" s="39"/>
      <c r="AP119" s="39"/>
      <c r="AQ119" s="39"/>
      <c r="AR119" s="39">
        <f t="shared" si="359"/>
        <v>0</v>
      </c>
      <c r="AS119" s="39"/>
      <c r="AT119" s="39"/>
      <c r="AU119" s="39"/>
      <c r="AV119" s="39"/>
      <c r="AW119" s="39"/>
      <c r="AX119" s="39"/>
      <c r="AY119" s="39"/>
      <c r="AZ119" s="39"/>
      <c r="BA119" s="39">
        <f t="shared" si="360"/>
        <v>0</v>
      </c>
      <c r="BB119" s="35"/>
      <c r="BC119" s="482"/>
      <c r="BD119" s="482"/>
      <c r="BE119" s="35"/>
      <c r="BF119" s="482"/>
    </row>
    <row r="120" spans="1:58" ht="12.95" customHeight="1">
      <c r="A120" s="42"/>
      <c r="B120" s="43"/>
      <c r="C120" s="398"/>
      <c r="D120" s="43"/>
      <c r="E120" s="44"/>
      <c r="F120" s="44"/>
      <c r="G120" s="45"/>
      <c r="H120" s="46"/>
      <c r="I120" s="47"/>
      <c r="J120" s="84"/>
      <c r="K120" s="84"/>
      <c r="L120" s="37"/>
      <c r="M120" s="37"/>
      <c r="N120" s="48"/>
      <c r="O120" s="49"/>
      <c r="P120" s="50"/>
      <c r="Q120" s="49"/>
      <c r="R120" s="367"/>
      <c r="S120" s="367"/>
      <c r="T120" s="39"/>
      <c r="U120" s="39"/>
      <c r="V120" s="39"/>
      <c r="W120" s="39"/>
      <c r="X120" s="40"/>
      <c r="Y120" s="211"/>
      <c r="Z120" s="39"/>
      <c r="AA120" s="39"/>
      <c r="AB120" s="39"/>
      <c r="AC120" s="39"/>
      <c r="AD120" s="39">
        <f t="shared" si="357"/>
        <v>10</v>
      </c>
      <c r="AE120" s="228" t="s">
        <v>743</v>
      </c>
      <c r="AF120" s="35"/>
      <c r="AG120" s="35"/>
      <c r="AH120" s="35"/>
      <c r="AI120" s="35"/>
      <c r="AJ120" s="39">
        <v>10</v>
      </c>
      <c r="AK120" s="39"/>
      <c r="AL120" s="39"/>
      <c r="AM120" s="39">
        <f t="shared" ref="AM120" si="361">SUM(AF120:AL120)+AT120+AV120+AX120</f>
        <v>10</v>
      </c>
      <c r="AN120" s="39"/>
      <c r="AO120" s="39"/>
      <c r="AP120" s="39"/>
      <c r="AQ120" s="39"/>
      <c r="AR120" s="39">
        <f t="shared" ref="AR120" si="362">SUM(AN120:AQ120)</f>
        <v>0</v>
      </c>
      <c r="AS120" s="39"/>
      <c r="AT120" s="39"/>
      <c r="AU120" s="39"/>
      <c r="AV120" s="39"/>
      <c r="AW120" s="39"/>
      <c r="AX120" s="39"/>
      <c r="AY120" s="39"/>
      <c r="AZ120" s="39"/>
      <c r="BA120" s="39">
        <f t="shared" si="360"/>
        <v>0</v>
      </c>
      <c r="BB120" s="35"/>
      <c r="BC120" s="482"/>
      <c r="BD120" s="482"/>
      <c r="BE120" s="35"/>
      <c r="BF120" s="482"/>
    </row>
    <row r="121" spans="1:58" ht="12.75" customHeight="1">
      <c r="A121" s="42"/>
      <c r="B121" s="43"/>
      <c r="C121" s="398"/>
      <c r="D121" s="43"/>
      <c r="E121" s="44"/>
      <c r="F121" s="44"/>
      <c r="G121" s="411"/>
      <c r="H121" s="46"/>
      <c r="I121" s="47"/>
      <c r="J121" s="84"/>
      <c r="K121" s="84"/>
      <c r="L121" s="37"/>
      <c r="M121" s="37"/>
      <c r="N121" s="48"/>
      <c r="O121" s="49"/>
      <c r="P121" s="50"/>
      <c r="Q121" s="49"/>
      <c r="R121" s="367"/>
      <c r="S121" s="367"/>
      <c r="T121" s="39"/>
      <c r="U121" s="39"/>
      <c r="V121" s="39"/>
      <c r="W121" s="39"/>
      <c r="X121" s="366"/>
      <c r="Y121" s="211"/>
      <c r="Z121" s="39"/>
      <c r="AA121" s="51"/>
      <c r="AB121" s="51"/>
      <c r="AC121" s="39"/>
      <c r="AD121" s="39"/>
      <c r="AE121" s="228"/>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5"/>
      <c r="BC121" s="53"/>
      <c r="BD121" s="53"/>
      <c r="BE121" s="53"/>
      <c r="BF121" s="53"/>
    </row>
    <row r="122" spans="1:58" ht="12.75" customHeight="1">
      <c r="A122" s="42">
        <v>45864</v>
      </c>
      <c r="B122" s="43" t="s">
        <v>528</v>
      </c>
      <c r="C122" s="398">
        <f t="shared" ref="C122" si="363">(M122*E122*O122*Q122)/100000000</f>
        <v>13.543200000000001</v>
      </c>
      <c r="D122" s="43" t="s">
        <v>737</v>
      </c>
      <c r="E122" s="44">
        <v>20</v>
      </c>
      <c r="F122" s="44">
        <v>1</v>
      </c>
      <c r="G122" s="411">
        <v>875</v>
      </c>
      <c r="H122" s="46">
        <v>0.2</v>
      </c>
      <c r="I122" s="47">
        <v>0.88</v>
      </c>
      <c r="J122" s="84">
        <f t="shared" ref="J122" si="364">E122*G122*(1-H122)*1440/1000000*2.74</f>
        <v>55.238400000000006</v>
      </c>
      <c r="K122" s="84">
        <f t="shared" ref="K122" si="365">(IF(G122&lt;L122,L122,G122)*(1-IF(H122&lt;N122,H122,N122))*E122*O122*Q122)/100000000</f>
        <v>13.543200000000001</v>
      </c>
      <c r="L122" s="37">
        <v>950</v>
      </c>
      <c r="M122" s="37">
        <v>760</v>
      </c>
      <c r="N122" s="48">
        <f t="shared" ref="N122" si="366">1-(M122/L122)</f>
        <v>0.19999999999999996</v>
      </c>
      <c r="O122" s="49">
        <f>+'Trim Rwd'!H79</f>
        <v>270</v>
      </c>
      <c r="P122" s="50">
        <f t="shared" ref="P122" si="367">O122*(Q122-R122-S122)</f>
        <v>82080</v>
      </c>
      <c r="Q122" s="49">
        <v>330</v>
      </c>
      <c r="R122" s="367">
        <v>0</v>
      </c>
      <c r="S122" s="367">
        <f>5+21</f>
        <v>26</v>
      </c>
      <c r="T122" s="39">
        <f t="shared" ref="T122" si="368">E122*M122*O122*Q122/100000000</f>
        <v>13.543200000000001</v>
      </c>
      <c r="U122" s="39">
        <f t="shared" ref="U122" si="369">E122*M122*O122*(Q122-R122-S122)/100000000</f>
        <v>12.47616</v>
      </c>
      <c r="V122" s="39">
        <f t="shared" ref="V122" si="370">E122*G122*(1-N122)*O122/100*(R122+S122)/1000000</f>
        <v>0.98280000000000001</v>
      </c>
      <c r="W122" s="39">
        <f>+'26'!K17/1000</f>
        <v>21.734999999999999</v>
      </c>
      <c r="X122" s="366">
        <f>SUM(W122:W125)/SUM(K122:K125)</f>
        <v>1.0128001753572269</v>
      </c>
      <c r="Y122" s="39">
        <v>0</v>
      </c>
      <c r="Z122" s="39">
        <f>+'26'!D16/1000</f>
        <v>0.84599999999999997</v>
      </c>
      <c r="AA122" s="51">
        <f>SUM(U122:U125)-SUM(W122:W125)-SUM(Z122:Z125)-SUM(Y122:Y125)</f>
        <v>-3.0950245199999991</v>
      </c>
      <c r="AB122" s="51">
        <f>(SUM(K122:K125)-SUM(W122:W125)-SUM(Y122:Y125)-SUM(Z122:Z125)-SUM(AC122:AC125)-SUM(V122:V125))-AA122</f>
        <v>9.5785577999996985E-2</v>
      </c>
      <c r="AC122" s="39">
        <f>K122-T122</f>
        <v>0</v>
      </c>
      <c r="AD122" s="39">
        <f>+AM122+BA122</f>
        <v>0</v>
      </c>
      <c r="AE122" s="228" t="s">
        <v>461</v>
      </c>
      <c r="AF122" s="39">
        <v>0</v>
      </c>
      <c r="AG122" s="39"/>
      <c r="AH122" s="39"/>
      <c r="AI122" s="39"/>
      <c r="AJ122" s="39"/>
      <c r="AK122" s="39"/>
      <c r="AL122" s="39"/>
      <c r="AM122" s="39">
        <f>SUM(AF122:AL122)+AT122+AV122+AX122</f>
        <v>0</v>
      </c>
      <c r="AN122" s="39"/>
      <c r="AO122" s="39"/>
      <c r="AP122" s="39"/>
      <c r="AQ122" s="39"/>
      <c r="AR122" s="39">
        <f>SUM(AN122:AQ122)</f>
        <v>0</v>
      </c>
      <c r="AS122" s="39"/>
      <c r="AT122" s="39"/>
      <c r="AU122" s="39"/>
      <c r="AV122" s="39"/>
      <c r="AW122" s="39"/>
      <c r="AX122" s="39"/>
      <c r="AY122" s="39"/>
      <c r="AZ122" s="39"/>
      <c r="BA122" s="39">
        <f>+AR122+AS122+AU122+AW122+AY122+AZ122</f>
        <v>0</v>
      </c>
      <c r="BB122" s="35">
        <v>0</v>
      </c>
      <c r="BC122" s="53"/>
      <c r="BD122" s="53"/>
      <c r="BE122" s="35"/>
      <c r="BF122" s="53"/>
    </row>
    <row r="123" spans="1:58" ht="12.95" customHeight="1">
      <c r="A123" s="42"/>
      <c r="B123" s="43" t="s">
        <v>528</v>
      </c>
      <c r="C123" s="398">
        <f t="shared" ref="C123" si="371">(M123*E123*O123*Q123)/100000000</f>
        <v>42.718638599999998</v>
      </c>
      <c r="D123" s="43" t="s">
        <v>737</v>
      </c>
      <c r="E123" s="44">
        <v>15.5</v>
      </c>
      <c r="F123" s="44">
        <v>1</v>
      </c>
      <c r="G123" s="411">
        <v>1170</v>
      </c>
      <c r="H123" s="46">
        <v>0.23</v>
      </c>
      <c r="I123" s="47">
        <v>0.88</v>
      </c>
      <c r="J123" s="84">
        <f t="shared" ref="J123" si="372">E123*G123*(1-H123)*1440/1000000*2.74</f>
        <v>55.096161119999998</v>
      </c>
      <c r="K123" s="84">
        <f t="shared" ref="K123" si="373">(IF(G123&lt;L123,L123,G123)*(1-IF(H123&lt;N123,H123,N123))*E123*O123*Q123)/100000000</f>
        <v>42.718638599999998</v>
      </c>
      <c r="L123" s="37">
        <v>1200</v>
      </c>
      <c r="M123" s="37">
        <v>924</v>
      </c>
      <c r="N123" s="48">
        <f t="shared" ref="N123" si="374">1-(M123/L123)</f>
        <v>0.22999999999999998</v>
      </c>
      <c r="O123" s="49">
        <f>+'Trim Rwd'!H80</f>
        <v>268.71428571428572</v>
      </c>
      <c r="P123" s="50">
        <f t="shared" ref="P123" si="375">O123*(Q123-R123-S123)</f>
        <v>295048.28571428574</v>
      </c>
      <c r="Q123" s="49">
        <v>1110</v>
      </c>
      <c r="R123" s="367">
        <v>0</v>
      </c>
      <c r="S123" s="367">
        <v>12</v>
      </c>
      <c r="T123" s="39">
        <f t="shared" ref="T123" si="376">E123*M123*O123*Q123/100000000</f>
        <v>42.718638599999998</v>
      </c>
      <c r="U123" s="39">
        <f t="shared" ref="U123" si="377">E123*M123*O123*(Q123-R123-S123)/100000000</f>
        <v>42.25681548</v>
      </c>
      <c r="V123" s="39">
        <f t="shared" ref="V123" si="378">E123*G123*(1-N123)*O123/100*(R123+S123)/1000000</f>
        <v>0.45027754200000003</v>
      </c>
      <c r="W123" s="39">
        <f>+'26'!K18/1000</f>
        <v>35.247</v>
      </c>
      <c r="X123" s="40"/>
      <c r="Y123" s="211"/>
      <c r="Z123" s="39">
        <v>0</v>
      </c>
      <c r="AA123" s="39"/>
      <c r="AB123" s="39"/>
      <c r="AC123" s="39"/>
      <c r="AD123" s="39">
        <f t="shared" ref="AD123:AD124" si="379">+AM123+BA123</f>
        <v>5</v>
      </c>
      <c r="AE123" s="228" t="s">
        <v>566</v>
      </c>
      <c r="AF123" s="39"/>
      <c r="AG123" s="39">
        <v>5</v>
      </c>
      <c r="AH123" s="39"/>
      <c r="AI123" s="39"/>
      <c r="AJ123" s="39"/>
      <c r="AK123" s="39"/>
      <c r="AL123" s="39"/>
      <c r="AM123" s="39">
        <f t="shared" ref="AM123:AM124" si="380">SUM(AF123:AL123)+AT123+AV123+AX123</f>
        <v>5</v>
      </c>
      <c r="AN123" s="85"/>
      <c r="AO123" s="39"/>
      <c r="AP123" s="39"/>
      <c r="AQ123" s="39"/>
      <c r="AR123" s="39">
        <f t="shared" ref="AR123:AR124" si="381">SUM(AN123:AQ123)</f>
        <v>0</v>
      </c>
      <c r="AS123" s="39"/>
      <c r="AT123" s="39"/>
      <c r="AU123" s="39"/>
      <c r="AV123" s="39"/>
      <c r="AW123" s="39"/>
      <c r="AX123" s="39"/>
      <c r="AY123" s="39"/>
      <c r="AZ123" s="39"/>
      <c r="BA123" s="39">
        <f t="shared" ref="BA123:BA124" si="382">+AR123+AS123+AU123+AW123+AY123+AZ123</f>
        <v>0</v>
      </c>
      <c r="BB123" s="52"/>
      <c r="BC123" s="53">
        <v>5</v>
      </c>
      <c r="BD123" s="53"/>
      <c r="BE123" s="52"/>
      <c r="BF123" s="53"/>
    </row>
    <row r="124" spans="1:58" ht="12.95" customHeight="1">
      <c r="A124" s="42"/>
      <c r="B124" s="43"/>
      <c r="C124" s="398"/>
      <c r="D124" s="43"/>
      <c r="E124" s="44"/>
      <c r="F124" s="44"/>
      <c r="G124" s="45"/>
      <c r="H124" s="46"/>
      <c r="I124" s="47"/>
      <c r="J124" s="84"/>
      <c r="K124" s="84"/>
      <c r="L124" s="37"/>
      <c r="M124" s="37"/>
      <c r="N124" s="48"/>
      <c r="O124" s="49"/>
      <c r="P124" s="50"/>
      <c r="Q124" s="49"/>
      <c r="R124" s="367"/>
      <c r="S124" s="367"/>
      <c r="T124" s="39"/>
      <c r="U124" s="39"/>
      <c r="V124" s="39"/>
      <c r="W124" s="39"/>
      <c r="X124" s="40"/>
      <c r="Y124" s="211"/>
      <c r="Z124" s="39"/>
      <c r="AA124" s="39"/>
      <c r="AB124" s="39"/>
      <c r="AC124" s="39"/>
      <c r="AD124" s="39">
        <f t="shared" si="379"/>
        <v>12</v>
      </c>
      <c r="AE124" s="228" t="s">
        <v>504</v>
      </c>
      <c r="AF124" s="35"/>
      <c r="AG124" s="35"/>
      <c r="AH124" s="35">
        <v>12</v>
      </c>
      <c r="AI124" s="35"/>
      <c r="AJ124" s="39"/>
      <c r="AK124" s="39"/>
      <c r="AL124" s="39"/>
      <c r="AM124" s="39">
        <f t="shared" si="380"/>
        <v>12</v>
      </c>
      <c r="AN124" s="39"/>
      <c r="AO124" s="39"/>
      <c r="AP124" s="39"/>
      <c r="AQ124" s="39"/>
      <c r="AR124" s="39">
        <f t="shared" si="381"/>
        <v>0</v>
      </c>
      <c r="AS124" s="39"/>
      <c r="AT124" s="39"/>
      <c r="AU124" s="39"/>
      <c r="AV124" s="39"/>
      <c r="AW124" s="39"/>
      <c r="AX124" s="39"/>
      <c r="AY124" s="39"/>
      <c r="AZ124" s="39"/>
      <c r="BA124" s="39">
        <f t="shared" si="382"/>
        <v>0</v>
      </c>
      <c r="BB124" s="35"/>
      <c r="BC124" s="482"/>
      <c r="BD124" s="482"/>
      <c r="BE124" s="35"/>
      <c r="BF124" s="482"/>
    </row>
    <row r="125" spans="1:58" ht="12.95" customHeight="1">
      <c r="A125" s="42"/>
      <c r="B125" s="43"/>
      <c r="C125" s="398"/>
      <c r="D125" s="43"/>
      <c r="E125" s="44"/>
      <c r="F125" s="44"/>
      <c r="G125" s="45"/>
      <c r="H125" s="46"/>
      <c r="I125" s="47"/>
      <c r="J125" s="84"/>
      <c r="K125" s="84"/>
      <c r="L125" s="37"/>
      <c r="M125" s="37"/>
      <c r="N125" s="48"/>
      <c r="O125" s="49"/>
      <c r="P125" s="50"/>
      <c r="Q125" s="49"/>
      <c r="R125" s="367"/>
      <c r="S125" s="367"/>
      <c r="T125" s="39"/>
      <c r="U125" s="39"/>
      <c r="V125" s="39"/>
      <c r="W125" s="39"/>
      <c r="X125" s="40"/>
      <c r="Y125" s="211"/>
      <c r="Z125" s="39"/>
      <c r="AA125" s="39"/>
      <c r="AB125" s="39"/>
      <c r="AC125" s="39"/>
      <c r="AD125" s="39">
        <f t="shared" ref="AD125" si="383">+AM125+BA125</f>
        <v>21</v>
      </c>
      <c r="AE125" s="228" t="s">
        <v>776</v>
      </c>
      <c r="AF125" s="35"/>
      <c r="AG125" s="35"/>
      <c r="AH125" s="35"/>
      <c r="AI125" s="35"/>
      <c r="AJ125" s="39">
        <v>21</v>
      </c>
      <c r="AK125" s="39"/>
      <c r="AL125" s="39"/>
      <c r="AM125" s="39">
        <f t="shared" ref="AM125" si="384">SUM(AF125:AL125)+AT125+AV125+AX125</f>
        <v>21</v>
      </c>
      <c r="AN125" s="39"/>
      <c r="AO125" s="39"/>
      <c r="AP125" s="39"/>
      <c r="AQ125" s="39"/>
      <c r="AR125" s="39">
        <f t="shared" ref="AR125" si="385">SUM(AN125:AQ125)</f>
        <v>0</v>
      </c>
      <c r="AS125" s="39"/>
      <c r="AT125" s="39"/>
      <c r="AU125" s="39"/>
      <c r="AV125" s="39"/>
      <c r="AW125" s="39"/>
      <c r="AX125" s="39"/>
      <c r="AY125" s="39"/>
      <c r="AZ125" s="39"/>
      <c r="BA125" s="39">
        <f t="shared" ref="BA125" si="386">+AR125+AS125+AU125+AW125+AY125+AZ125</f>
        <v>0</v>
      </c>
      <c r="BB125" s="35"/>
      <c r="BC125" s="482"/>
      <c r="BD125" s="482"/>
      <c r="BE125" s="35"/>
      <c r="BF125" s="482"/>
    </row>
    <row r="126" spans="1:58" ht="12.95" customHeight="1">
      <c r="A126" s="42"/>
      <c r="B126" s="43"/>
      <c r="C126" s="398"/>
      <c r="D126" s="43"/>
      <c r="E126" s="44"/>
      <c r="F126" s="44"/>
      <c r="G126" s="411"/>
      <c r="H126" s="46"/>
      <c r="I126" s="47"/>
      <c r="J126" s="84"/>
      <c r="K126" s="84"/>
      <c r="L126" s="37"/>
      <c r="M126" s="37"/>
      <c r="N126" s="48"/>
      <c r="O126" s="49"/>
      <c r="P126" s="50"/>
      <c r="Q126" s="49"/>
      <c r="R126" s="367"/>
      <c r="S126" s="367"/>
      <c r="T126" s="39"/>
      <c r="U126" s="39"/>
      <c r="V126" s="39"/>
      <c r="W126" s="39"/>
      <c r="X126" s="366"/>
      <c r="Y126" s="211"/>
      <c r="Z126" s="39"/>
      <c r="AA126" s="51"/>
      <c r="AB126" s="51"/>
      <c r="AC126" s="39"/>
      <c r="AD126" s="39"/>
      <c r="AE126" s="228"/>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5"/>
      <c r="BC126" s="53"/>
      <c r="BD126" s="53"/>
      <c r="BE126" s="53"/>
      <c r="BF126" s="53"/>
    </row>
    <row r="127" spans="1:58" ht="12.75" customHeight="1">
      <c r="A127" s="42">
        <v>45865</v>
      </c>
      <c r="B127" s="43" t="s">
        <v>528</v>
      </c>
      <c r="C127" s="398">
        <f t="shared" ref="C127" si="387">(M127*E127*O127*Q127)/100000000</f>
        <v>55.552914974117648</v>
      </c>
      <c r="D127" s="43" t="s">
        <v>737</v>
      </c>
      <c r="E127" s="44">
        <v>15.5</v>
      </c>
      <c r="F127" s="44">
        <v>1</v>
      </c>
      <c r="G127" s="411">
        <v>1170</v>
      </c>
      <c r="H127" s="46">
        <v>0.23</v>
      </c>
      <c r="I127" s="47">
        <v>0.88</v>
      </c>
      <c r="J127" s="84">
        <f t="shared" ref="J127" si="388">E127*G127*(1-H127)*1440/1000000*2.74</f>
        <v>55.096161119999998</v>
      </c>
      <c r="K127" s="84">
        <f t="shared" ref="K127" si="389">(IF(G127&lt;L127,L127,G127)*(1-IF(H127&lt;N127,H127,N127))*E127*O127*Q127)/100000000</f>
        <v>55.552914974117648</v>
      </c>
      <c r="L127" s="37">
        <v>1200</v>
      </c>
      <c r="M127" s="37">
        <v>924</v>
      </c>
      <c r="N127" s="48">
        <f t="shared" ref="N127" si="390">1-(M127/L127)</f>
        <v>0.22999999999999998</v>
      </c>
      <c r="O127" s="49">
        <f>+'Trim Rwd'!H83</f>
        <v>269.36470588235295</v>
      </c>
      <c r="P127" s="50">
        <f t="shared" ref="P127" si="391">O127*(Q127-R127-S127)</f>
        <v>384383.43529411766</v>
      </c>
      <c r="Q127" s="49">
        <v>1440</v>
      </c>
      <c r="R127" s="367">
        <v>0</v>
      </c>
      <c r="S127" s="367">
        <v>13</v>
      </c>
      <c r="T127" s="39">
        <f t="shared" ref="T127" si="392">E127*M127*O127*Q127/100000000</f>
        <v>55.552914974117648</v>
      </c>
      <c r="U127" s="39">
        <f t="shared" ref="U127" si="393">E127*M127*O127*(Q127-R127-S127)/100000000</f>
        <v>55.051395602823533</v>
      </c>
      <c r="V127" s="39">
        <f t="shared" ref="V127" si="394">E127*G127*(1-N127)*O127/100*(R127+S127)/1000000</f>
        <v>0.48898138701176475</v>
      </c>
      <c r="W127" s="39">
        <f>+'27'!K18/1000</f>
        <v>53.844000000000001</v>
      </c>
      <c r="X127" s="366">
        <f>SUM(W127:W129)/SUM(K127:K129)</f>
        <v>0.96923806833693893</v>
      </c>
      <c r="Y127" s="39">
        <f>+SUM(RBP!AG78:AG79)</f>
        <v>0</v>
      </c>
      <c r="Z127" s="39">
        <f>+'27'!D25/1000</f>
        <v>0.63200000000000001</v>
      </c>
      <c r="AA127" s="51">
        <f>SUM(U127:U129)-SUM(W127:W129)-SUM(Z127:Z129)-SUM(Y127:Y129)</f>
        <v>0.57539560282353153</v>
      </c>
      <c r="AB127" s="51">
        <f>(SUM(K127:K129)-SUM(W127:W129)-SUM(Y127:Y129)-SUM(Z127:Z129)-SUM(AC127:AC129)-SUM(V127:V129))-AA127</f>
        <v>1.2537984282350645E-2</v>
      </c>
      <c r="AC127" s="39">
        <f>K127-T127</f>
        <v>0</v>
      </c>
      <c r="AD127" s="39">
        <f>+AM127+BA127</f>
        <v>0</v>
      </c>
      <c r="AE127" s="228" t="s">
        <v>461</v>
      </c>
      <c r="AF127" s="39">
        <v>0</v>
      </c>
      <c r="AG127" s="39"/>
      <c r="AH127" s="39"/>
      <c r="AI127" s="39"/>
      <c r="AJ127" s="39"/>
      <c r="AK127" s="39"/>
      <c r="AL127" s="39"/>
      <c r="AM127" s="39">
        <f>SUM(AF127:AL127)+AT127+AV127+AX127</f>
        <v>0</v>
      </c>
      <c r="AN127" s="39"/>
      <c r="AO127" s="39"/>
      <c r="AP127" s="39"/>
      <c r="AQ127" s="39"/>
      <c r="AR127" s="39">
        <f>SUM(AN127:AQ127)</f>
        <v>0</v>
      </c>
      <c r="AS127" s="39"/>
      <c r="AT127" s="39"/>
      <c r="AU127" s="39"/>
      <c r="AV127" s="39"/>
      <c r="AW127" s="39"/>
      <c r="AX127" s="39"/>
      <c r="AY127" s="39"/>
      <c r="AZ127" s="39"/>
      <c r="BA127" s="39">
        <f>+AR127+AS127+AU127+AW127+AY127+AZ127</f>
        <v>0</v>
      </c>
      <c r="BB127" s="35">
        <v>0</v>
      </c>
      <c r="BC127" s="53"/>
      <c r="BD127" s="53"/>
      <c r="BE127" s="35"/>
      <c r="BF127" s="53"/>
    </row>
    <row r="128" spans="1:58" ht="12.95" customHeight="1">
      <c r="A128" s="42"/>
      <c r="B128" s="43"/>
      <c r="C128" s="398"/>
      <c r="D128" s="43"/>
      <c r="E128" s="44"/>
      <c r="F128" s="44"/>
      <c r="G128" s="411"/>
      <c r="H128" s="46"/>
      <c r="I128" s="47"/>
      <c r="J128" s="84"/>
      <c r="K128" s="84"/>
      <c r="L128" s="37"/>
      <c r="M128" s="37"/>
      <c r="N128" s="48"/>
      <c r="O128" s="49"/>
      <c r="P128" s="50"/>
      <c r="Q128" s="49"/>
      <c r="R128" s="367"/>
      <c r="S128" s="367"/>
      <c r="T128" s="39"/>
      <c r="U128" s="39"/>
      <c r="V128" s="39"/>
      <c r="W128" s="39"/>
      <c r="X128" s="40"/>
      <c r="Y128" s="211"/>
      <c r="Z128" s="39"/>
      <c r="AA128" s="39"/>
      <c r="AB128" s="39"/>
      <c r="AC128" s="39"/>
      <c r="AD128" s="39">
        <f t="shared" ref="AD128:AD129" si="395">+AM128+BA128</f>
        <v>4</v>
      </c>
      <c r="AE128" s="228" t="s">
        <v>468</v>
      </c>
      <c r="AF128" s="39"/>
      <c r="AG128" s="39">
        <v>4</v>
      </c>
      <c r="AH128" s="39"/>
      <c r="AI128" s="39"/>
      <c r="AJ128" s="39"/>
      <c r="AK128" s="39"/>
      <c r="AL128" s="39"/>
      <c r="AM128" s="39">
        <f t="shared" ref="AM128:AM129" si="396">SUM(AF128:AL128)+AT128+AV128+AX128</f>
        <v>4</v>
      </c>
      <c r="AN128" s="85"/>
      <c r="AO128" s="39"/>
      <c r="AP128" s="39"/>
      <c r="AQ128" s="39"/>
      <c r="AR128" s="39">
        <f t="shared" ref="AR128:AR129" si="397">SUM(AN128:AQ128)</f>
        <v>0</v>
      </c>
      <c r="AS128" s="39"/>
      <c r="AT128" s="39"/>
      <c r="AU128" s="39"/>
      <c r="AV128" s="39"/>
      <c r="AW128" s="39"/>
      <c r="AX128" s="39"/>
      <c r="AY128" s="39"/>
      <c r="AZ128" s="39"/>
      <c r="BA128" s="39">
        <f t="shared" ref="BA128:BA129" si="398">+AR128+AS128+AU128+AW128+AY128+AZ128</f>
        <v>0</v>
      </c>
      <c r="BB128" s="52"/>
      <c r="BC128" s="53">
        <v>4</v>
      </c>
      <c r="BD128" s="53"/>
      <c r="BE128" s="52"/>
      <c r="BF128" s="53"/>
    </row>
    <row r="129" spans="1:58" ht="12.95" customHeight="1">
      <c r="A129" s="42"/>
      <c r="B129" s="43"/>
      <c r="C129" s="398"/>
      <c r="D129" s="43"/>
      <c r="E129" s="44"/>
      <c r="F129" s="44"/>
      <c r="G129" s="45"/>
      <c r="H129" s="46"/>
      <c r="I129" s="47"/>
      <c r="J129" s="84"/>
      <c r="K129" s="84"/>
      <c r="L129" s="37"/>
      <c r="M129" s="37"/>
      <c r="N129" s="48"/>
      <c r="O129" s="49"/>
      <c r="P129" s="50"/>
      <c r="Q129" s="49"/>
      <c r="R129" s="367"/>
      <c r="S129" s="367"/>
      <c r="T129" s="39"/>
      <c r="U129" s="39"/>
      <c r="V129" s="39"/>
      <c r="W129" s="39"/>
      <c r="X129" s="40"/>
      <c r="Y129" s="211"/>
      <c r="Z129" s="39"/>
      <c r="AA129" s="39"/>
      <c r="AB129" s="39"/>
      <c r="AC129" s="39"/>
      <c r="AD129" s="39">
        <f t="shared" si="395"/>
        <v>9</v>
      </c>
      <c r="AE129" s="228" t="s">
        <v>504</v>
      </c>
      <c r="AF129" s="35"/>
      <c r="AG129" s="35"/>
      <c r="AH129" s="35">
        <v>9</v>
      </c>
      <c r="AI129" s="35"/>
      <c r="AJ129" s="39"/>
      <c r="AK129" s="39"/>
      <c r="AL129" s="39"/>
      <c r="AM129" s="39">
        <f t="shared" si="396"/>
        <v>9</v>
      </c>
      <c r="AN129" s="39"/>
      <c r="AO129" s="39"/>
      <c r="AP129" s="39"/>
      <c r="AQ129" s="39"/>
      <c r="AR129" s="39">
        <f t="shared" si="397"/>
        <v>0</v>
      </c>
      <c r="AS129" s="39"/>
      <c r="AT129" s="39"/>
      <c r="AU129" s="39"/>
      <c r="AV129" s="39"/>
      <c r="AW129" s="39"/>
      <c r="AX129" s="39"/>
      <c r="AY129" s="39"/>
      <c r="AZ129" s="39"/>
      <c r="BA129" s="39">
        <f t="shared" si="398"/>
        <v>0</v>
      </c>
      <c r="BB129" s="35"/>
      <c r="BC129" s="482"/>
      <c r="BD129" s="482"/>
      <c r="BE129" s="35"/>
      <c r="BF129" s="482"/>
    </row>
    <row r="130" spans="1:58" ht="12.95" customHeight="1">
      <c r="A130" s="42"/>
      <c r="B130" s="43"/>
      <c r="C130" s="398"/>
      <c r="D130" s="43"/>
      <c r="E130" s="44"/>
      <c r="F130" s="44"/>
      <c r="G130" s="411"/>
      <c r="H130" s="46"/>
      <c r="I130" s="47"/>
      <c r="J130" s="84"/>
      <c r="K130" s="84"/>
      <c r="L130" s="37"/>
      <c r="M130" s="37"/>
      <c r="N130" s="48"/>
      <c r="O130" s="49"/>
      <c r="P130" s="50"/>
      <c r="Q130" s="49"/>
      <c r="R130" s="367"/>
      <c r="S130" s="367"/>
      <c r="T130" s="39"/>
      <c r="U130" s="39"/>
      <c r="V130" s="39"/>
      <c r="W130" s="39"/>
      <c r="X130" s="366"/>
      <c r="Y130" s="211"/>
      <c r="Z130" s="39"/>
      <c r="AA130" s="51"/>
      <c r="AB130" s="51"/>
      <c r="AC130" s="39"/>
      <c r="AD130" s="39"/>
      <c r="AE130" s="228"/>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5"/>
      <c r="BC130" s="53"/>
      <c r="BD130" s="53"/>
      <c r="BE130" s="53"/>
      <c r="BF130" s="53"/>
    </row>
    <row r="131" spans="1:58" ht="12.75" customHeight="1">
      <c r="A131" s="42">
        <v>45866</v>
      </c>
      <c r="B131" s="43" t="s">
        <v>528</v>
      </c>
      <c r="C131" s="398">
        <f t="shared" ref="C131" si="399">(M131*E131*O131*Q131)/100000000</f>
        <v>55.337956723636367</v>
      </c>
      <c r="D131" s="43" t="s">
        <v>737</v>
      </c>
      <c r="E131" s="44">
        <v>15.5</v>
      </c>
      <c r="F131" s="44">
        <v>1</v>
      </c>
      <c r="G131" s="411">
        <v>1170</v>
      </c>
      <c r="H131" s="46">
        <v>0.23</v>
      </c>
      <c r="I131" s="47">
        <v>0.88</v>
      </c>
      <c r="J131" s="84">
        <f t="shared" ref="J131" si="400">E131*G131*(1-H131)*1440/1000000*2.74</f>
        <v>55.096161119999998</v>
      </c>
      <c r="K131" s="84">
        <f t="shared" ref="K131" si="401">(IF(G131&lt;L131,L131,G131)*(1-IF(H131&lt;N131,H131,N131))*E131*O131*Q131)/100000000</f>
        <v>55.337956723636367</v>
      </c>
      <c r="L131" s="37">
        <v>1200</v>
      </c>
      <c r="M131" s="37">
        <v>936</v>
      </c>
      <c r="N131" s="48">
        <f t="shared" ref="N131:N132" si="402">1-(M131/L131)</f>
        <v>0.21999999999999997</v>
      </c>
      <c r="O131" s="49">
        <f>+'Trim Rwd'!H87</f>
        <v>269.18181818181819</v>
      </c>
      <c r="P131" s="50">
        <f t="shared" ref="P131:P132" si="403">O131*(Q131-R131-S131)</f>
        <v>376047</v>
      </c>
      <c r="Q131" s="49">
        <v>1417</v>
      </c>
      <c r="R131" s="367">
        <v>0</v>
      </c>
      <c r="S131" s="367">
        <v>20</v>
      </c>
      <c r="T131" s="39">
        <f t="shared" ref="T131:T132" si="404">E131*M131*O131*Q131/100000000</f>
        <v>55.337956723636367</v>
      </c>
      <c r="U131" s="39">
        <f t="shared" ref="U131:U132" si="405">E131*M131*O131*(Q131-R131-S131)/100000000</f>
        <v>54.556898760000003</v>
      </c>
      <c r="V131" s="39">
        <f t="shared" ref="V131:V132" si="406">E131*G131*(1-N131)*O131/100*(R131+S131)/1000000</f>
        <v>0.76153151454545465</v>
      </c>
      <c r="W131" s="39">
        <f>+'28'!K18/1000</f>
        <v>56.618000000000002</v>
      </c>
      <c r="X131" s="366">
        <f>SUM(W131:W133)/SUM(K131:K133)</f>
        <v>1.0199730951027712</v>
      </c>
      <c r="Y131" s="39">
        <f>+SUM(RBP!AG82:AG83)</f>
        <v>0</v>
      </c>
      <c r="Z131" s="39">
        <v>0</v>
      </c>
      <c r="AA131" s="51">
        <f>SUM(U131:U133)-SUM(W131:W133)-SUM(Z131:Z133)-SUM(Y131:Y133)</f>
        <v>-2.1288492399999939</v>
      </c>
      <c r="AB131" s="51">
        <f>(SUM(K131:K133)-SUM(W131:W133)-SUM(Y131:Y133)-SUM(Z131:Z133)-SUM(AC131:AC133)-SUM(V131:V133))-AA131</f>
        <v>5.8919449090906184E-2</v>
      </c>
      <c r="AC131" s="39">
        <f>K131-T131</f>
        <v>0</v>
      </c>
      <c r="AD131" s="39">
        <f>+AM131+BA131</f>
        <v>0</v>
      </c>
      <c r="AE131" s="228" t="s">
        <v>461</v>
      </c>
      <c r="AF131" s="39">
        <v>0</v>
      </c>
      <c r="AG131" s="39"/>
      <c r="AH131" s="39"/>
      <c r="AI131" s="39"/>
      <c r="AJ131" s="39"/>
      <c r="AK131" s="39"/>
      <c r="AL131" s="39"/>
      <c r="AM131" s="39">
        <f>SUM(AF131:AL131)+AT131+AV131+AX131</f>
        <v>0</v>
      </c>
      <c r="AN131" s="39"/>
      <c r="AO131" s="39"/>
      <c r="AP131" s="39"/>
      <c r="AQ131" s="39"/>
      <c r="AR131" s="39">
        <f>SUM(AN131:AQ131)</f>
        <v>0</v>
      </c>
      <c r="AS131" s="39"/>
      <c r="AT131" s="39"/>
      <c r="AU131" s="39"/>
      <c r="AV131" s="39"/>
      <c r="AW131" s="39"/>
      <c r="AX131" s="39"/>
      <c r="AY131" s="39"/>
      <c r="AZ131" s="39"/>
      <c r="BA131" s="39">
        <f>+AR131+AS131+AU131+AW131+AY131+AZ131</f>
        <v>0</v>
      </c>
      <c r="BB131" s="35">
        <v>0</v>
      </c>
      <c r="BC131" s="53"/>
      <c r="BD131" s="53"/>
      <c r="BE131" s="35"/>
      <c r="BF131" s="53"/>
    </row>
    <row r="132" spans="1:58" ht="12.95" customHeight="1">
      <c r="A132" s="42"/>
      <c r="B132" s="43" t="s">
        <v>528</v>
      </c>
      <c r="C132" s="398">
        <f t="shared" ref="C132" si="407">(M132*E132*O132*Q132)/100000000</f>
        <v>0.92032199999999997</v>
      </c>
      <c r="D132" s="43" t="s">
        <v>737</v>
      </c>
      <c r="E132" s="44">
        <v>20</v>
      </c>
      <c r="F132" s="44">
        <v>1</v>
      </c>
      <c r="G132" s="411">
        <v>875</v>
      </c>
      <c r="H132" s="46">
        <v>0.2</v>
      </c>
      <c r="I132" s="47">
        <v>0.88</v>
      </c>
      <c r="J132" s="84">
        <f t="shared" ref="J132" si="408">E132*G132*(1-H132)*1440/1000000*2.74</f>
        <v>55.238400000000006</v>
      </c>
      <c r="K132" s="84">
        <f t="shared" ref="K132" si="409">(IF(G132&lt;L132,L132,G132)*(1-IF(H132&lt;N132,H132,N132))*E132*O132*Q132)/100000000</f>
        <v>0.94391999999999998</v>
      </c>
      <c r="L132" s="37">
        <v>950</v>
      </c>
      <c r="M132" s="37">
        <v>741</v>
      </c>
      <c r="N132" s="48">
        <f t="shared" si="402"/>
        <v>0.21999999999999997</v>
      </c>
      <c r="O132" s="49">
        <f>+'Trim Rwd'!H86</f>
        <v>270</v>
      </c>
      <c r="P132" s="50">
        <f t="shared" si="403"/>
        <v>4860</v>
      </c>
      <c r="Q132" s="49">
        <v>23</v>
      </c>
      <c r="R132" s="367">
        <v>0</v>
      </c>
      <c r="S132" s="367">
        <v>5</v>
      </c>
      <c r="T132" s="39">
        <f t="shared" si="404"/>
        <v>0.92032199999999997</v>
      </c>
      <c r="U132" s="39">
        <f t="shared" si="405"/>
        <v>0.720252</v>
      </c>
      <c r="V132" s="39">
        <f t="shared" si="406"/>
        <v>0.18427499999999999</v>
      </c>
      <c r="W132" s="39">
        <f>+'28'!K17/1000</f>
        <v>0.78800000000000003</v>
      </c>
      <c r="X132" s="40"/>
      <c r="Y132" s="211"/>
      <c r="Z132" s="39">
        <v>0</v>
      </c>
      <c r="AA132" s="39"/>
      <c r="AB132" s="39"/>
      <c r="AC132" s="39"/>
      <c r="AD132" s="39">
        <f t="shared" ref="AD132:AD133" si="410">+AM132+BA132</f>
        <v>9</v>
      </c>
      <c r="AE132" s="228" t="s">
        <v>577</v>
      </c>
      <c r="AF132" s="39"/>
      <c r="AG132" s="39">
        <v>9</v>
      </c>
      <c r="AH132" s="39"/>
      <c r="AI132" s="39"/>
      <c r="AJ132" s="39"/>
      <c r="AK132" s="39"/>
      <c r="AL132" s="39"/>
      <c r="AM132" s="39">
        <f t="shared" ref="AM132:AM133" si="411">SUM(AF132:AL132)+AT132+AV132+AX132</f>
        <v>9</v>
      </c>
      <c r="AN132" s="85"/>
      <c r="AO132" s="39"/>
      <c r="AP132" s="39"/>
      <c r="AQ132" s="39"/>
      <c r="AR132" s="39">
        <f t="shared" ref="AR132:AR133" si="412">SUM(AN132:AQ132)</f>
        <v>0</v>
      </c>
      <c r="AS132" s="39"/>
      <c r="AT132" s="39"/>
      <c r="AU132" s="39"/>
      <c r="AV132" s="39"/>
      <c r="AW132" s="39"/>
      <c r="AX132" s="39"/>
      <c r="AY132" s="39"/>
      <c r="AZ132" s="39"/>
      <c r="BA132" s="39">
        <f t="shared" ref="BA132:BA133" si="413">+AR132+AS132+AU132+AW132+AY132+AZ132</f>
        <v>0</v>
      </c>
      <c r="BB132" s="52"/>
      <c r="BC132" s="53">
        <v>7</v>
      </c>
      <c r="BD132" s="53"/>
      <c r="BE132" s="52"/>
      <c r="BF132" s="53"/>
    </row>
    <row r="133" spans="1:58" ht="12.95" customHeight="1">
      <c r="A133" s="42"/>
      <c r="B133" s="43"/>
      <c r="C133" s="398"/>
      <c r="D133" s="43"/>
      <c r="E133" s="44"/>
      <c r="F133" s="44"/>
      <c r="G133" s="45"/>
      <c r="H133" s="46"/>
      <c r="I133" s="47"/>
      <c r="J133" s="84"/>
      <c r="K133" s="84"/>
      <c r="L133" s="37"/>
      <c r="M133" s="37"/>
      <c r="N133" s="48"/>
      <c r="O133" s="49"/>
      <c r="P133" s="50"/>
      <c r="Q133" s="49"/>
      <c r="R133" s="367"/>
      <c r="S133" s="367"/>
      <c r="T133" s="39"/>
      <c r="U133" s="39"/>
      <c r="V133" s="39"/>
      <c r="W133" s="39"/>
      <c r="X133" s="40"/>
      <c r="Y133" s="211"/>
      <c r="Z133" s="39"/>
      <c r="AA133" s="39"/>
      <c r="AB133" s="39"/>
      <c r="AC133" s="39"/>
      <c r="AD133" s="39">
        <f t="shared" si="410"/>
        <v>16</v>
      </c>
      <c r="AE133" s="228" t="s">
        <v>504</v>
      </c>
      <c r="AF133" s="35"/>
      <c r="AG133" s="35"/>
      <c r="AH133" s="35">
        <v>16</v>
      </c>
      <c r="AI133" s="35"/>
      <c r="AJ133" s="39"/>
      <c r="AK133" s="39"/>
      <c r="AL133" s="39"/>
      <c r="AM133" s="39">
        <f t="shared" si="411"/>
        <v>16</v>
      </c>
      <c r="AN133" s="39"/>
      <c r="AO133" s="39"/>
      <c r="AP133" s="39"/>
      <c r="AQ133" s="39"/>
      <c r="AR133" s="39">
        <f t="shared" si="412"/>
        <v>0</v>
      </c>
      <c r="AS133" s="39"/>
      <c r="AT133" s="39"/>
      <c r="AU133" s="39"/>
      <c r="AV133" s="39"/>
      <c r="AW133" s="39"/>
      <c r="AX133" s="39"/>
      <c r="AY133" s="39"/>
      <c r="AZ133" s="39"/>
      <c r="BA133" s="39">
        <f t="shared" si="413"/>
        <v>0</v>
      </c>
      <c r="BB133" s="35"/>
      <c r="BC133" s="482"/>
      <c r="BD133" s="482"/>
      <c r="BE133" s="35"/>
      <c r="BF133" s="482"/>
    </row>
    <row r="134" spans="1:58" ht="12" customHeight="1">
      <c r="A134" s="42"/>
      <c r="B134" s="43"/>
      <c r="C134" s="398"/>
      <c r="D134" s="43"/>
      <c r="E134" s="44"/>
      <c r="F134" s="44"/>
      <c r="G134" s="411"/>
      <c r="H134" s="46"/>
      <c r="I134" s="47"/>
      <c r="J134" s="84"/>
      <c r="K134" s="84"/>
      <c r="L134" s="37"/>
      <c r="M134" s="37"/>
      <c r="N134" s="48"/>
      <c r="O134" s="49"/>
      <c r="P134" s="50"/>
      <c r="Q134" s="49"/>
      <c r="R134" s="367"/>
      <c r="S134" s="367"/>
      <c r="T134" s="39"/>
      <c r="U134" s="39"/>
      <c r="V134" s="39"/>
      <c r="W134" s="39"/>
      <c r="X134" s="366"/>
      <c r="Y134" s="211"/>
      <c r="Z134" s="39"/>
      <c r="AA134" s="39"/>
      <c r="AB134" s="39"/>
      <c r="AC134" s="39"/>
      <c r="AD134" s="39"/>
      <c r="AE134" s="228"/>
      <c r="AF134" s="39"/>
      <c r="AG134" s="39"/>
      <c r="AH134" s="39"/>
      <c r="AI134" s="481"/>
      <c r="AJ134" s="39"/>
      <c r="AK134" s="39"/>
      <c r="AL134" s="39"/>
      <c r="AM134" s="39"/>
      <c r="AN134" s="85"/>
      <c r="AO134" s="39"/>
      <c r="AP134" s="39"/>
      <c r="AQ134" s="39"/>
      <c r="AR134" s="39"/>
      <c r="AS134" s="39"/>
      <c r="AT134" s="39"/>
      <c r="AU134" s="39"/>
      <c r="AV134" s="39"/>
      <c r="AW134" s="39"/>
      <c r="AX134" s="39"/>
      <c r="AY134" s="39"/>
      <c r="AZ134" s="39"/>
      <c r="BA134" s="39"/>
      <c r="BB134" s="52"/>
      <c r="BC134" s="53"/>
      <c r="BD134" s="482"/>
      <c r="BE134" s="35"/>
      <c r="BF134" s="482"/>
    </row>
    <row r="135" spans="1:58" ht="12.75" customHeight="1">
      <c r="A135" s="42">
        <v>45867</v>
      </c>
      <c r="B135" s="43" t="s">
        <v>528</v>
      </c>
      <c r="C135" s="398">
        <f t="shared" ref="C135" si="414">(M135*E135*O135*Q135)/100000000</f>
        <v>55.733932799999998</v>
      </c>
      <c r="D135" s="43" t="s">
        <v>737</v>
      </c>
      <c r="E135" s="44">
        <v>15.5</v>
      </c>
      <c r="F135" s="44">
        <v>1</v>
      </c>
      <c r="G135" s="411">
        <v>1170</v>
      </c>
      <c r="H135" s="46">
        <v>0.23</v>
      </c>
      <c r="I135" s="47">
        <v>0.88</v>
      </c>
      <c r="J135" s="84">
        <f t="shared" ref="J135" si="415">E135*G135*(1-H135)*1440/1000000*2.74</f>
        <v>55.096161119999998</v>
      </c>
      <c r="K135" s="84">
        <f t="shared" ref="K135" si="416">(IF(G135&lt;L135,L135,G135)*(1-IF(H135&lt;N135,H135,N135))*E135*O135*Q135)/100000000</f>
        <v>55.733932799999998</v>
      </c>
      <c r="L135" s="37">
        <v>1200</v>
      </c>
      <c r="M135" s="37">
        <v>936</v>
      </c>
      <c r="N135" s="48">
        <f t="shared" ref="N135" si="417">1-(M135/L135)</f>
        <v>0.21999999999999997</v>
      </c>
      <c r="O135" s="49">
        <f>+'Trim Rwd'!H90</f>
        <v>266.77777777777777</v>
      </c>
      <c r="P135" s="50">
        <f t="shared" ref="P135" si="418">O135*(Q135-R135-S135)</f>
        <v>377223.77777777775</v>
      </c>
      <c r="Q135" s="49">
        <v>1440</v>
      </c>
      <c r="R135" s="367">
        <v>0</v>
      </c>
      <c r="S135" s="367">
        <v>26</v>
      </c>
      <c r="T135" s="39">
        <f t="shared" ref="T135" si="419">E135*M135*O135*Q135/100000000</f>
        <v>55.733932799999998</v>
      </c>
      <c r="U135" s="39">
        <f t="shared" ref="U135" si="420">E135*M135*O135*(Q135-R135-S135)/100000000</f>
        <v>54.727625680000003</v>
      </c>
      <c r="V135" s="39">
        <f t="shared" ref="V135" si="421">E135*G135*(1-N135)*O135/100*(R135+S135)/1000000</f>
        <v>0.98114944200000009</v>
      </c>
      <c r="W135" s="39">
        <f>+'29'!K18/1000</f>
        <v>51.796999999999997</v>
      </c>
      <c r="X135" s="366">
        <f>SUM(W135:W137)/SUM(K135:K137)</f>
        <v>0.92936201336934898</v>
      </c>
      <c r="Y135" s="39">
        <f>+SUM(RBP!AG86:AG87)</f>
        <v>0</v>
      </c>
      <c r="Z135" s="39">
        <f>+'29'!D25/1000</f>
        <v>0.66500000000000004</v>
      </c>
      <c r="AA135" s="51">
        <f>SUM(U135:U137)-SUM(W135:W137)-SUM(Z135:Z137)-SUM(Y135:Y137)</f>
        <v>2.2656256800000056</v>
      </c>
      <c r="AB135" s="51">
        <f>(SUM(K135:K137)-SUM(W135:W137)-SUM(Y135:Y137)-SUM(Z135:Z137)-SUM(AC135:AC137)-SUM(V135:V137))-AA135</f>
        <v>2.5157677999995354E-2</v>
      </c>
      <c r="AC135" s="39">
        <f>K135-T135</f>
        <v>0</v>
      </c>
      <c r="AD135" s="39">
        <f>+AM135+BA135</f>
        <v>0</v>
      </c>
      <c r="AE135" s="228" t="s">
        <v>461</v>
      </c>
      <c r="AF135" s="39">
        <v>0</v>
      </c>
      <c r="AG135" s="39"/>
      <c r="AH135" s="39"/>
      <c r="AI135" s="39"/>
      <c r="AJ135" s="39"/>
      <c r="AK135" s="39"/>
      <c r="AL135" s="39"/>
      <c r="AM135" s="39">
        <f>SUM(AF135:AL135)+AT135+AV135+AX135</f>
        <v>0</v>
      </c>
      <c r="AN135" s="39"/>
      <c r="AO135" s="39"/>
      <c r="AP135" s="39"/>
      <c r="AQ135" s="39"/>
      <c r="AR135" s="39">
        <f>SUM(AN135:AQ135)</f>
        <v>0</v>
      </c>
      <c r="AS135" s="39"/>
      <c r="AT135" s="39"/>
      <c r="AU135" s="39"/>
      <c r="AV135" s="39"/>
      <c r="AW135" s="39"/>
      <c r="AX135" s="39"/>
      <c r="AY135" s="39"/>
      <c r="AZ135" s="39"/>
      <c r="BA135" s="39">
        <f>+AR135+AS135+AU135+AW135+AY135+AZ135</f>
        <v>0</v>
      </c>
      <c r="BB135" s="35">
        <v>0</v>
      </c>
      <c r="BC135" s="53"/>
      <c r="BD135" s="53"/>
      <c r="BE135" s="35"/>
      <c r="BF135" s="53"/>
    </row>
    <row r="136" spans="1:58" ht="12.95" customHeight="1">
      <c r="A136" s="42"/>
      <c r="B136" s="43"/>
      <c r="C136" s="398"/>
      <c r="D136" s="43"/>
      <c r="E136" s="44"/>
      <c r="F136" s="44"/>
      <c r="G136" s="411"/>
      <c r="H136" s="46"/>
      <c r="I136" s="47"/>
      <c r="J136" s="84"/>
      <c r="K136" s="84"/>
      <c r="L136" s="37"/>
      <c r="M136" s="37"/>
      <c r="N136" s="48"/>
      <c r="O136" s="49"/>
      <c r="P136" s="50"/>
      <c r="Q136" s="49"/>
      <c r="R136" s="367"/>
      <c r="S136" s="367"/>
      <c r="T136" s="39"/>
      <c r="U136" s="39"/>
      <c r="V136" s="39"/>
      <c r="W136" s="39"/>
      <c r="X136" s="40"/>
      <c r="Y136" s="211"/>
      <c r="Z136" s="39"/>
      <c r="AA136" s="39"/>
      <c r="AB136" s="39"/>
      <c r="AC136" s="39"/>
      <c r="AD136" s="39">
        <f t="shared" ref="AD136:AD137" si="422">+AM136+BA136</f>
        <v>7</v>
      </c>
      <c r="AE136" s="228" t="s">
        <v>468</v>
      </c>
      <c r="AF136" s="39"/>
      <c r="AG136" s="39">
        <v>7</v>
      </c>
      <c r="AH136" s="39"/>
      <c r="AI136" s="39"/>
      <c r="AJ136" s="39"/>
      <c r="AK136" s="39"/>
      <c r="AL136" s="39"/>
      <c r="AM136" s="39">
        <f t="shared" ref="AM136:AM137" si="423">SUM(AF136:AL136)+AT136+AV136+AX136</f>
        <v>7</v>
      </c>
      <c r="AN136" s="85"/>
      <c r="AO136" s="39"/>
      <c r="AP136" s="39"/>
      <c r="AQ136" s="39"/>
      <c r="AR136" s="39">
        <f t="shared" ref="AR136:AR137" si="424">SUM(AN136:AQ136)</f>
        <v>0</v>
      </c>
      <c r="AS136" s="39"/>
      <c r="AT136" s="39"/>
      <c r="AU136" s="39"/>
      <c r="AV136" s="39"/>
      <c r="AW136" s="39"/>
      <c r="AX136" s="39"/>
      <c r="AY136" s="39"/>
      <c r="AZ136" s="39"/>
      <c r="BA136" s="39">
        <f t="shared" ref="BA136:BA137" si="425">+AR136+AS136+AU136+AW136+AY136+AZ136</f>
        <v>0</v>
      </c>
      <c r="BB136" s="52"/>
      <c r="BC136" s="53">
        <v>4</v>
      </c>
      <c r="BD136" s="53"/>
      <c r="BE136" s="52"/>
      <c r="BF136" s="53"/>
    </row>
    <row r="137" spans="1:58" ht="12.95" customHeight="1">
      <c r="A137" s="42"/>
      <c r="B137" s="43"/>
      <c r="C137" s="398"/>
      <c r="D137" s="43"/>
      <c r="E137" s="44"/>
      <c r="F137" s="44"/>
      <c r="G137" s="45"/>
      <c r="H137" s="46"/>
      <c r="I137" s="47"/>
      <c r="J137" s="84"/>
      <c r="K137" s="84"/>
      <c r="L137" s="37"/>
      <c r="M137" s="37"/>
      <c r="N137" s="48"/>
      <c r="O137" s="49"/>
      <c r="P137" s="50"/>
      <c r="Q137" s="49"/>
      <c r="R137" s="367"/>
      <c r="S137" s="367"/>
      <c r="T137" s="39"/>
      <c r="U137" s="39"/>
      <c r="V137" s="39"/>
      <c r="W137" s="39"/>
      <c r="X137" s="40"/>
      <c r="Y137" s="211"/>
      <c r="Z137" s="39"/>
      <c r="AA137" s="39"/>
      <c r="AB137" s="39"/>
      <c r="AC137" s="39"/>
      <c r="AD137" s="39">
        <f t="shared" si="422"/>
        <v>19</v>
      </c>
      <c r="AE137" s="228" t="s">
        <v>569</v>
      </c>
      <c r="AF137" s="35"/>
      <c r="AG137" s="35"/>
      <c r="AH137" s="35">
        <v>19</v>
      </c>
      <c r="AI137" s="35"/>
      <c r="AJ137" s="39"/>
      <c r="AK137" s="39"/>
      <c r="AL137" s="39"/>
      <c r="AM137" s="39">
        <f t="shared" si="423"/>
        <v>19</v>
      </c>
      <c r="AN137" s="39"/>
      <c r="AO137" s="39"/>
      <c r="AP137" s="39"/>
      <c r="AQ137" s="39"/>
      <c r="AR137" s="39">
        <f t="shared" si="424"/>
        <v>0</v>
      </c>
      <c r="AS137" s="39"/>
      <c r="AT137" s="39"/>
      <c r="AU137" s="39"/>
      <c r="AV137" s="39"/>
      <c r="AW137" s="39"/>
      <c r="AX137" s="39"/>
      <c r="AY137" s="39"/>
      <c r="AZ137" s="39"/>
      <c r="BA137" s="39">
        <f t="shared" si="425"/>
        <v>0</v>
      </c>
      <c r="BB137" s="35"/>
      <c r="BC137" s="482"/>
      <c r="BD137" s="482"/>
      <c r="BE137" s="35"/>
      <c r="BF137" s="482"/>
    </row>
    <row r="138" spans="1:58" ht="12.95" customHeight="1">
      <c r="A138" s="42"/>
      <c r="B138" s="3"/>
      <c r="C138" s="398"/>
      <c r="D138" s="43"/>
      <c r="E138" s="244"/>
      <c r="F138" s="44"/>
      <c r="G138" s="45"/>
      <c r="H138" s="46"/>
      <c r="I138" s="47"/>
      <c r="J138" s="84"/>
      <c r="K138" s="84"/>
      <c r="L138" s="37"/>
      <c r="M138" s="37"/>
      <c r="N138" s="48"/>
      <c r="O138" s="49"/>
      <c r="P138" s="50"/>
      <c r="Q138" s="316"/>
      <c r="R138" s="52"/>
      <c r="S138" s="52"/>
      <c r="T138" s="39"/>
      <c r="U138" s="39"/>
      <c r="V138" s="39"/>
      <c r="W138" s="35"/>
      <c r="X138" s="40"/>
      <c r="Y138" s="40"/>
      <c r="Z138" s="35"/>
      <c r="AA138" s="51"/>
      <c r="AB138" s="51"/>
      <c r="AC138" s="39"/>
      <c r="AD138" s="39"/>
      <c r="AE138" s="228"/>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5"/>
      <c r="BC138" s="53"/>
      <c r="BD138" s="53"/>
      <c r="BE138" s="53"/>
      <c r="BF138" s="53"/>
    </row>
    <row r="139" spans="1:58" ht="12.75" customHeight="1">
      <c r="A139" s="42">
        <v>45868</v>
      </c>
      <c r="B139" s="43" t="s">
        <v>528</v>
      </c>
      <c r="C139" s="398">
        <f t="shared" ref="C139" si="426">(M139*E139*O139*Q139)/100000000</f>
        <v>55.997308799999999</v>
      </c>
      <c r="D139" s="43" t="s">
        <v>737</v>
      </c>
      <c r="E139" s="44">
        <v>15.5</v>
      </c>
      <c r="F139" s="44">
        <v>1</v>
      </c>
      <c r="G139" s="411">
        <v>1170</v>
      </c>
      <c r="H139" s="46">
        <v>0.23</v>
      </c>
      <c r="I139" s="47">
        <v>0.88</v>
      </c>
      <c r="J139" s="84">
        <f t="shared" ref="J139" si="427">E139*G139*(1-H139)*1440/1000000*2.74</f>
        <v>55.096161119999998</v>
      </c>
      <c r="K139" s="84">
        <f t="shared" ref="K139" si="428">(IF(G139&lt;L139,L139,G139)*(1-IF(H139&lt;N139,H139,N139))*E139*O139*Q139)/100000000</f>
        <v>55.997308799999999</v>
      </c>
      <c r="L139" s="37">
        <v>1200</v>
      </c>
      <c r="M139" s="37">
        <v>936</v>
      </c>
      <c r="N139" s="48">
        <f t="shared" ref="N139" si="429">1-(M139/L139)</f>
        <v>0.21999999999999997</v>
      </c>
      <c r="O139" s="49">
        <f>+'Trim Rwd'!H93</f>
        <v>268.03846153846155</v>
      </c>
      <c r="P139" s="50">
        <f t="shared" ref="P139" si="430">O139*(Q139-R139-S139)</f>
        <v>380882.65384615387</v>
      </c>
      <c r="Q139" s="49">
        <v>1440</v>
      </c>
      <c r="R139" s="367">
        <v>0</v>
      </c>
      <c r="S139" s="367">
        <v>19</v>
      </c>
      <c r="T139" s="39">
        <f t="shared" ref="T139" si="431">E139*M139*O139*Q139/100000000</f>
        <v>55.997308799999999</v>
      </c>
      <c r="U139" s="39">
        <f t="shared" ref="U139" si="432">E139*M139*O139*(Q139-R139-S139)/100000000</f>
        <v>55.258455419999997</v>
      </c>
      <c r="V139" s="39">
        <f t="shared" ref="V139" si="433">E139*G139*(1-N139)*O139/100*(R139+S139)/1000000</f>
        <v>0.72038204549999996</v>
      </c>
      <c r="W139" s="39">
        <f>+'30'!K18/1000</f>
        <v>50.341999999999999</v>
      </c>
      <c r="X139" s="366">
        <f>SUM(W139:W141)/SUM(K139:K141)</f>
        <v>0.89900748944563569</v>
      </c>
      <c r="Y139" s="39">
        <v>0</v>
      </c>
      <c r="Z139" s="39">
        <v>0</v>
      </c>
      <c r="AA139" s="51">
        <f>SUM(U139:U141)-SUM(W139:W141)-SUM(Z139:Z141)-SUM(Y139:Y141)</f>
        <v>4.9164554199999984</v>
      </c>
      <c r="AB139" s="51">
        <f>(SUM(K139:K141)-SUM(W139:W141)-SUM(Y139:Y141)-SUM(Z139:Z141)-SUM(AC139:AC141)-SUM(V139:V141))-AA139</f>
        <v>1.8471334500001824E-2</v>
      </c>
      <c r="AC139" s="39">
        <f>K139-T139</f>
        <v>0</v>
      </c>
      <c r="AD139" s="39">
        <f>+AM139+BA139</f>
        <v>0</v>
      </c>
      <c r="AE139" s="228" t="s">
        <v>461</v>
      </c>
      <c r="AF139" s="39">
        <v>0</v>
      </c>
      <c r="AG139" s="39"/>
      <c r="AH139" s="39"/>
      <c r="AI139" s="39"/>
      <c r="AJ139" s="39"/>
      <c r="AK139" s="39"/>
      <c r="AL139" s="39"/>
      <c r="AM139" s="39">
        <f>SUM(AF139:AL139)+AT139+AV139+AX139</f>
        <v>0</v>
      </c>
      <c r="AN139" s="39"/>
      <c r="AO139" s="39"/>
      <c r="AP139" s="39"/>
      <c r="AQ139" s="39"/>
      <c r="AR139" s="39">
        <f>SUM(AN139:AQ139)</f>
        <v>0</v>
      </c>
      <c r="AS139" s="39"/>
      <c r="AT139" s="39"/>
      <c r="AU139" s="39"/>
      <c r="AV139" s="39"/>
      <c r="AW139" s="39"/>
      <c r="AX139" s="39"/>
      <c r="AY139" s="39"/>
      <c r="AZ139" s="39"/>
      <c r="BA139" s="39">
        <f>+AR139+AS139+AU139+AW139+AY139+AZ139</f>
        <v>0</v>
      </c>
      <c r="BB139" s="35">
        <v>0</v>
      </c>
      <c r="BC139" s="53"/>
      <c r="BD139" s="53"/>
      <c r="BE139" s="35"/>
      <c r="BF139" s="53"/>
    </row>
    <row r="140" spans="1:58" ht="12.95" customHeight="1">
      <c r="A140" s="42"/>
      <c r="B140" s="43"/>
      <c r="C140" s="398"/>
      <c r="D140" s="43"/>
      <c r="E140" s="44"/>
      <c r="F140" s="44"/>
      <c r="G140" s="411"/>
      <c r="H140" s="46"/>
      <c r="I140" s="47"/>
      <c r="J140" s="84"/>
      <c r="K140" s="84"/>
      <c r="L140" s="37"/>
      <c r="M140" s="37"/>
      <c r="N140" s="48"/>
      <c r="O140" s="49"/>
      <c r="P140" s="50"/>
      <c r="Q140" s="49"/>
      <c r="R140" s="367"/>
      <c r="S140" s="367"/>
      <c r="T140" s="39"/>
      <c r="U140" s="39"/>
      <c r="V140" s="39"/>
      <c r="W140" s="39"/>
      <c r="X140" s="40"/>
      <c r="Y140" s="211"/>
      <c r="Z140" s="39"/>
      <c r="AA140" s="39"/>
      <c r="AB140" s="39"/>
      <c r="AC140" s="39"/>
      <c r="AD140" s="39">
        <f t="shared" ref="AD140:AD141" si="434">+AM140+BA140</f>
        <v>4</v>
      </c>
      <c r="AE140" s="228" t="s">
        <v>468</v>
      </c>
      <c r="AF140" s="39"/>
      <c r="AG140" s="39">
        <v>4</v>
      </c>
      <c r="AH140" s="39"/>
      <c r="AI140" s="39"/>
      <c r="AJ140" s="39"/>
      <c r="AK140" s="39"/>
      <c r="AL140" s="39"/>
      <c r="AM140" s="39">
        <f t="shared" ref="AM140:AM141" si="435">SUM(AF140:AL140)+AT140+AV140+AX140</f>
        <v>4</v>
      </c>
      <c r="AN140" s="85"/>
      <c r="AO140" s="39"/>
      <c r="AP140" s="39"/>
      <c r="AQ140" s="39"/>
      <c r="AR140" s="39">
        <f t="shared" ref="AR140:AR141" si="436">SUM(AN140:AQ140)</f>
        <v>0</v>
      </c>
      <c r="AS140" s="39"/>
      <c r="AT140" s="39"/>
      <c r="AU140" s="39"/>
      <c r="AV140" s="39"/>
      <c r="AW140" s="39"/>
      <c r="AX140" s="39"/>
      <c r="AY140" s="39"/>
      <c r="AZ140" s="39"/>
      <c r="BA140" s="39">
        <f t="shared" ref="BA140:BA141" si="437">+AR140+AS140+AU140+AW140+AY140+AZ140</f>
        <v>0</v>
      </c>
      <c r="BB140" s="52"/>
      <c r="BC140" s="53">
        <v>4</v>
      </c>
      <c r="BD140" s="53"/>
      <c r="BE140" s="52"/>
      <c r="BF140" s="53"/>
    </row>
    <row r="141" spans="1:58" ht="12.95" customHeight="1">
      <c r="A141" s="42"/>
      <c r="B141" s="43"/>
      <c r="C141" s="398"/>
      <c r="D141" s="43"/>
      <c r="E141" s="44"/>
      <c r="F141" s="44"/>
      <c r="G141" s="45"/>
      <c r="H141" s="46"/>
      <c r="I141" s="47"/>
      <c r="J141" s="84"/>
      <c r="K141" s="84"/>
      <c r="L141" s="37"/>
      <c r="M141" s="37"/>
      <c r="N141" s="48"/>
      <c r="O141" s="49"/>
      <c r="P141" s="50"/>
      <c r="Q141" s="49"/>
      <c r="R141" s="367"/>
      <c r="S141" s="367"/>
      <c r="T141" s="39"/>
      <c r="U141" s="39"/>
      <c r="V141" s="39"/>
      <c r="W141" s="39"/>
      <c r="X141" s="40"/>
      <c r="Y141" s="211"/>
      <c r="Z141" s="39"/>
      <c r="AA141" s="39"/>
      <c r="AB141" s="39"/>
      <c r="AC141" s="39"/>
      <c r="AD141" s="39">
        <f t="shared" si="434"/>
        <v>15</v>
      </c>
      <c r="AE141" s="228" t="s">
        <v>469</v>
      </c>
      <c r="AF141" s="35"/>
      <c r="AG141" s="35"/>
      <c r="AH141" s="35">
        <v>15</v>
      </c>
      <c r="AI141" s="35"/>
      <c r="AJ141" s="39"/>
      <c r="AK141" s="39"/>
      <c r="AL141" s="39"/>
      <c r="AM141" s="39">
        <f t="shared" si="435"/>
        <v>15</v>
      </c>
      <c r="AN141" s="39"/>
      <c r="AO141" s="39"/>
      <c r="AP141" s="39"/>
      <c r="AQ141" s="39"/>
      <c r="AR141" s="39">
        <f t="shared" si="436"/>
        <v>0</v>
      </c>
      <c r="AS141" s="39"/>
      <c r="AT141" s="39"/>
      <c r="AU141" s="39"/>
      <c r="AV141" s="39"/>
      <c r="AW141" s="39"/>
      <c r="AX141" s="39"/>
      <c r="AY141" s="39"/>
      <c r="AZ141" s="39"/>
      <c r="BA141" s="39">
        <f t="shared" si="437"/>
        <v>0</v>
      </c>
      <c r="BB141" s="35"/>
      <c r="BC141" s="482"/>
      <c r="BD141" s="482"/>
      <c r="BE141" s="35"/>
      <c r="BF141" s="482"/>
    </row>
    <row r="142" spans="1:58" ht="12.95" customHeight="1">
      <c r="A142" s="42"/>
      <c r="B142" s="3"/>
      <c r="C142" s="398"/>
      <c r="D142" s="43"/>
      <c r="E142" s="244"/>
      <c r="F142" s="44"/>
      <c r="G142" s="45"/>
      <c r="H142" s="46"/>
      <c r="I142" s="47"/>
      <c r="J142" s="84"/>
      <c r="K142" s="84"/>
      <c r="L142" s="37"/>
      <c r="M142" s="37"/>
      <c r="N142" s="48"/>
      <c r="O142" s="49"/>
      <c r="P142" s="50"/>
      <c r="Q142" s="316"/>
      <c r="R142" s="52"/>
      <c r="S142" s="52"/>
      <c r="T142" s="39"/>
      <c r="U142" s="39"/>
      <c r="V142" s="39"/>
      <c r="W142" s="35"/>
      <c r="X142" s="40"/>
      <c r="Y142" s="40"/>
      <c r="Z142" s="35"/>
      <c r="AA142" s="51"/>
      <c r="AB142" s="51"/>
      <c r="AC142" s="39"/>
      <c r="AD142" s="39"/>
      <c r="AE142" s="228"/>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5"/>
      <c r="BC142" s="53"/>
      <c r="BD142" s="53"/>
      <c r="BE142" s="53"/>
      <c r="BF142" s="53"/>
    </row>
    <row r="143" spans="1:58" ht="12.75" customHeight="1">
      <c r="A143" s="42">
        <v>45869</v>
      </c>
      <c r="B143" s="43" t="s">
        <v>528</v>
      </c>
      <c r="C143" s="398">
        <f t="shared" ref="C143" si="438">(M143*E143*O143*Q143)/100000000</f>
        <v>49.414973400000001</v>
      </c>
      <c r="D143" s="43" t="s">
        <v>737</v>
      </c>
      <c r="E143" s="44">
        <v>15.5</v>
      </c>
      <c r="F143" s="44">
        <v>1</v>
      </c>
      <c r="G143" s="411">
        <v>1170</v>
      </c>
      <c r="H143" s="46">
        <v>0.23</v>
      </c>
      <c r="I143" s="47">
        <v>0.88</v>
      </c>
      <c r="J143" s="84">
        <f t="shared" ref="J143" si="439">E143*G143*(1-H143)*1440/1000000*2.74</f>
        <v>55.096161119999998</v>
      </c>
      <c r="K143" s="84">
        <f t="shared" ref="K143" si="440">(IF(G143&lt;L143,L143,G143)*(1-IF(H143&lt;N143,H143,N143))*E143*O143*Q143)/100000000</f>
        <v>49.414973400000001</v>
      </c>
      <c r="L143" s="37">
        <v>1200</v>
      </c>
      <c r="M143" s="37">
        <v>936</v>
      </c>
      <c r="N143" s="48">
        <f t="shared" ref="N143:N144" si="441">1-(M143/L143)</f>
        <v>0.21999999999999997</v>
      </c>
      <c r="O143" s="49">
        <f>+'Trim Rwd'!H96</f>
        <v>261</v>
      </c>
      <c r="P143" s="50">
        <f t="shared" ref="P143" si="442">O143*(Q143-R143-S143)</f>
        <v>335385</v>
      </c>
      <c r="Q143" s="49">
        <v>1305</v>
      </c>
      <c r="R143" s="367">
        <v>0</v>
      </c>
      <c r="S143" s="367">
        <v>20</v>
      </c>
      <c r="T143" s="39">
        <f t="shared" ref="T143" si="443">E143*M143*O143*Q143/100000000</f>
        <v>49.414973400000001</v>
      </c>
      <c r="U143" s="39">
        <f t="shared" ref="U143" si="444">E143*M143*O143*(Q143-R143-S143)/100000000</f>
        <v>48.657655800000001</v>
      </c>
      <c r="V143" s="39">
        <f t="shared" ref="V143" si="445">E143*G143*(1-N143)*O143/100*(R143+S143)/1000000</f>
        <v>0.73838466000000003</v>
      </c>
      <c r="W143" s="39">
        <f>+'31'!K18/1000</f>
        <v>53.884999999999998</v>
      </c>
      <c r="X143" s="366">
        <f>SUM(W143:W145)/SUM(K143:K145)</f>
        <v>0.99336552476772166</v>
      </c>
      <c r="Y143" s="39">
        <f>+SUM(RBP!AG3:AG4)</f>
        <v>10.553000000000001</v>
      </c>
      <c r="Z143" s="39">
        <f>+'31'!D16/1000</f>
        <v>0.60599999999999998</v>
      </c>
      <c r="AA143" s="51">
        <f>SUM(U143:U145)-SUM(W143:W145)-SUM(Z143:Z145)-SUM(Y143:Y145)</f>
        <v>-11.735316909999996</v>
      </c>
      <c r="AB143" s="51">
        <f>(SUM(K143:K145)-SUM(W143:W145)-SUM(Y143:Y145)-SUM(Z143:Z145)-SUM(AC143:AC145)-SUM(V143:V145))-AA143</f>
        <v>1.8932939999995568E-2</v>
      </c>
      <c r="AC143" s="39">
        <f>K143-T143</f>
        <v>0</v>
      </c>
      <c r="AD143" s="39">
        <f>+AM143+BA143</f>
        <v>0</v>
      </c>
      <c r="AE143" s="228" t="s">
        <v>461</v>
      </c>
      <c r="AF143" s="39">
        <v>0</v>
      </c>
      <c r="AG143" s="39"/>
      <c r="AH143" s="39"/>
      <c r="AI143" s="39"/>
      <c r="AJ143" s="39"/>
      <c r="AK143" s="39"/>
      <c r="AL143" s="39"/>
      <c r="AM143" s="39">
        <f>SUM(AF143:AL143)+AT143+AV143+AX143</f>
        <v>0</v>
      </c>
      <c r="AN143" s="39"/>
      <c r="AO143" s="39"/>
      <c r="AP143" s="39"/>
      <c r="AQ143" s="39"/>
      <c r="AR143" s="39">
        <f>SUM(AN143:AQ143)</f>
        <v>0</v>
      </c>
      <c r="AS143" s="39"/>
      <c r="AT143" s="39"/>
      <c r="AU143" s="39"/>
      <c r="AV143" s="39"/>
      <c r="AW143" s="39"/>
      <c r="AX143" s="39"/>
      <c r="AY143" s="39"/>
      <c r="AZ143" s="39"/>
      <c r="BA143" s="39">
        <f>+AR143+AS143+AU143+AW143+AY143+AZ143</f>
        <v>0</v>
      </c>
      <c r="BB143" s="35">
        <v>0</v>
      </c>
      <c r="BC143" s="53"/>
      <c r="BD143" s="53"/>
      <c r="BE143" s="35"/>
      <c r="BF143" s="53"/>
    </row>
    <row r="144" spans="1:58" ht="12.95" customHeight="1">
      <c r="A144" s="42"/>
      <c r="B144" s="43" t="s">
        <v>528</v>
      </c>
      <c r="C144" s="398">
        <f t="shared" ref="C144" si="446">(M144*E144*O144*Q144)/100000000</f>
        <v>4.8299129550000002</v>
      </c>
      <c r="D144" s="43" t="s">
        <v>737</v>
      </c>
      <c r="E144" s="44">
        <v>13.5</v>
      </c>
      <c r="F144" s="44">
        <v>1</v>
      </c>
      <c r="G144" s="411">
        <v>1260</v>
      </c>
      <c r="H144" s="46">
        <v>0.18</v>
      </c>
      <c r="I144" s="47">
        <v>0.88</v>
      </c>
      <c r="J144" s="84">
        <f t="shared" ref="J144" si="447">E144*G144*(1-H144)*1440/1000000*2.74</f>
        <v>55.034017920000004</v>
      </c>
      <c r="K144" s="84">
        <f t="shared" ref="K144" si="448">(IF(G144&lt;L144,L144,G144)*(1-IF(H144&lt;N144,H144,N144))*E144*O144*Q144)/100000000</f>
        <v>4.8299129550000002</v>
      </c>
      <c r="L144" s="37">
        <v>1260</v>
      </c>
      <c r="M144" s="37">
        <v>1033.2</v>
      </c>
      <c r="N144" s="48">
        <f t="shared" si="441"/>
        <v>0.17999999999999994</v>
      </c>
      <c r="O144" s="49">
        <f>+'Trim Rwd'!H97</f>
        <v>256.5</v>
      </c>
      <c r="P144" s="50">
        <f t="shared" ref="P144" si="449">O144*(Q144-R144-S144)</f>
        <v>33345</v>
      </c>
      <c r="Q144" s="49">
        <f>1440-Q143</f>
        <v>135</v>
      </c>
      <c r="R144" s="367">
        <v>0</v>
      </c>
      <c r="S144" s="367">
        <v>5</v>
      </c>
      <c r="T144" s="39">
        <f t="shared" ref="T144" si="450">E144*M144*O144*Q144/100000000</f>
        <v>4.8299129550000002</v>
      </c>
      <c r="U144" s="39">
        <f t="shared" ref="U144" si="451">E144*M144*O144*(Q144-R144-S144)/100000000</f>
        <v>4.6510272900000009</v>
      </c>
      <c r="V144" s="39">
        <f t="shared" ref="V144" si="452">E144*G144*(1-N144)*O144/100*(R144+S144)/1000000</f>
        <v>0.178885665</v>
      </c>
      <c r="W144" s="39">
        <f>+'30'!K23/1000</f>
        <v>0</v>
      </c>
      <c r="X144" s="40"/>
      <c r="Y144" s="211"/>
      <c r="Z144" s="39"/>
      <c r="AA144" s="39"/>
      <c r="AB144" s="39"/>
      <c r="AC144" s="39"/>
      <c r="AD144" s="39">
        <f t="shared" ref="AD144:AD145" si="453">+AM144+BA144</f>
        <v>6</v>
      </c>
      <c r="AE144" s="228" t="s">
        <v>468</v>
      </c>
      <c r="AF144" s="39"/>
      <c r="AG144" s="39">
        <v>6</v>
      </c>
      <c r="AH144" s="39"/>
      <c r="AI144" s="39"/>
      <c r="AJ144" s="39"/>
      <c r="AK144" s="39"/>
      <c r="AL144" s="39"/>
      <c r="AM144" s="39">
        <f t="shared" ref="AM144:AM145" si="454">SUM(AF144:AL144)+AT144+AV144+AX144</f>
        <v>6</v>
      </c>
      <c r="AN144" s="85"/>
      <c r="AO144" s="39"/>
      <c r="AP144" s="39"/>
      <c r="AQ144" s="39"/>
      <c r="AR144" s="39">
        <f t="shared" ref="AR144:AR145" si="455">SUM(AN144:AQ144)</f>
        <v>0</v>
      </c>
      <c r="AS144" s="39"/>
      <c r="AT144" s="39"/>
      <c r="AU144" s="39"/>
      <c r="AV144" s="39"/>
      <c r="AW144" s="39"/>
      <c r="AX144" s="39"/>
      <c r="AY144" s="39"/>
      <c r="AZ144" s="39"/>
      <c r="BA144" s="39">
        <f t="shared" ref="BA144:BA145" si="456">+AR144+AS144+AU144+AW144+AY144+AZ144</f>
        <v>0</v>
      </c>
      <c r="BB144" s="52"/>
      <c r="BC144" s="53">
        <v>4</v>
      </c>
      <c r="BD144" s="53"/>
      <c r="BE144" s="52"/>
      <c r="BF144" s="53"/>
    </row>
    <row r="145" spans="1:97" ht="12.95" customHeight="1">
      <c r="A145" s="42"/>
      <c r="B145" s="43"/>
      <c r="C145" s="398"/>
      <c r="D145" s="43"/>
      <c r="E145" s="44"/>
      <c r="F145" s="44"/>
      <c r="G145" s="45"/>
      <c r="H145" s="46"/>
      <c r="I145" s="47"/>
      <c r="J145" s="84"/>
      <c r="K145" s="84"/>
      <c r="L145" s="37"/>
      <c r="M145" s="37"/>
      <c r="N145" s="48"/>
      <c r="O145" s="49"/>
      <c r="P145" s="50"/>
      <c r="Q145" s="49"/>
      <c r="R145" s="367"/>
      <c r="S145" s="367"/>
      <c r="T145" s="39"/>
      <c r="U145" s="39"/>
      <c r="V145" s="39"/>
      <c r="W145" s="39"/>
      <c r="X145" s="40"/>
      <c r="Y145" s="211"/>
      <c r="Z145" s="39"/>
      <c r="AA145" s="39"/>
      <c r="AB145" s="39"/>
      <c r="AC145" s="39"/>
      <c r="AD145" s="39">
        <f t="shared" si="453"/>
        <v>19</v>
      </c>
      <c r="AE145" s="228" t="s">
        <v>469</v>
      </c>
      <c r="AF145" s="35"/>
      <c r="AG145" s="35"/>
      <c r="AH145" s="35">
        <v>19</v>
      </c>
      <c r="AI145" s="35"/>
      <c r="AJ145" s="39"/>
      <c r="AK145" s="39"/>
      <c r="AL145" s="39"/>
      <c r="AM145" s="39">
        <f t="shared" si="454"/>
        <v>19</v>
      </c>
      <c r="AN145" s="39"/>
      <c r="AO145" s="39"/>
      <c r="AP145" s="39"/>
      <c r="AQ145" s="39"/>
      <c r="AR145" s="39">
        <f t="shared" si="455"/>
        <v>0</v>
      </c>
      <c r="AS145" s="39"/>
      <c r="AT145" s="39"/>
      <c r="AU145" s="39"/>
      <c r="AV145" s="39"/>
      <c r="AW145" s="39"/>
      <c r="AX145" s="39"/>
      <c r="AY145" s="39"/>
      <c r="AZ145" s="39"/>
      <c r="BA145" s="39">
        <f t="shared" si="456"/>
        <v>0</v>
      </c>
      <c r="BB145" s="35"/>
      <c r="BC145" s="482"/>
      <c r="BD145" s="482"/>
      <c r="BE145" s="35"/>
      <c r="BF145" s="482"/>
    </row>
    <row r="146" spans="1:97" ht="12.95" customHeight="1">
      <c r="R146" s="368"/>
      <c r="S146" s="368"/>
      <c r="AA146" s="245">
        <f>U146-W146-Z146</f>
        <v>0</v>
      </c>
      <c r="AB146" s="245"/>
      <c r="AC146" s="246">
        <f>K146-T146</f>
        <v>0</v>
      </c>
      <c r="AD146" s="39"/>
      <c r="AF146" s="54"/>
      <c r="AG146" s="54"/>
      <c r="AH146" s="54"/>
      <c r="AI146" s="54"/>
      <c r="AJ146" s="54"/>
      <c r="AK146" s="54"/>
      <c r="AL146" s="54"/>
      <c r="AM146" s="39">
        <f t="shared" ref="AM146" si="457">SUM(AF146:AL146)</f>
        <v>0</v>
      </c>
      <c r="AN146" s="54"/>
      <c r="AO146" s="54"/>
      <c r="AP146" s="54"/>
      <c r="AQ146" s="54"/>
      <c r="AR146" s="39">
        <f t="shared" ref="AR146" si="458">SUM(AN146:AQ146)</f>
        <v>0</v>
      </c>
      <c r="AS146" s="54"/>
      <c r="AT146" s="54"/>
      <c r="AU146" s="54"/>
      <c r="AV146" s="54"/>
      <c r="AW146" s="54"/>
      <c r="AX146" s="54"/>
      <c r="AY146" s="54"/>
      <c r="AZ146" s="54"/>
      <c r="BA146" s="39"/>
      <c r="BB146" s="65"/>
      <c r="BC146" s="65"/>
      <c r="BD146" s="53"/>
      <c r="BE146" s="53"/>
      <c r="BF146" s="53"/>
    </row>
    <row r="147" spans="1:97" ht="12.95" customHeight="1">
      <c r="A147" s="58"/>
      <c r="B147" s="59"/>
      <c r="C147" s="399">
        <f>SUM(C6:C145)</f>
        <v>1529.287126494203</v>
      </c>
      <c r="D147" s="59"/>
      <c r="E147" s="60"/>
      <c r="F147" s="60"/>
      <c r="G147" s="61"/>
      <c r="H147" s="61"/>
      <c r="I147" s="62">
        <v>0.85</v>
      </c>
      <c r="J147" s="84"/>
      <c r="K147" s="86">
        <f>SUM(K6:K145)</f>
        <v>1540.3757910289967</v>
      </c>
      <c r="L147" s="64"/>
      <c r="M147" s="64"/>
      <c r="N147" s="65"/>
      <c r="O147" s="66">
        <f>P147/(Q147-R147-S147)</f>
        <v>262.94913415933041</v>
      </c>
      <c r="P147" s="63">
        <f>SUM(P6:P145)</f>
        <v>11112230.409573304</v>
      </c>
      <c r="Q147" s="318">
        <f>SUM(Q6:Q146)</f>
        <v>44640</v>
      </c>
      <c r="R147" s="63">
        <f t="shared" ref="R147:W147" si="459">SUM(R6:R145)</f>
        <v>653</v>
      </c>
      <c r="S147" s="63">
        <f t="shared" si="459"/>
        <v>1727</v>
      </c>
      <c r="T147" s="63">
        <f t="shared" si="459"/>
        <v>1529.287126494203</v>
      </c>
      <c r="U147" s="63">
        <f t="shared" si="459"/>
        <v>1452.5530406662551</v>
      </c>
      <c r="V147" s="343">
        <f t="shared" si="459"/>
        <v>78.412261787452479</v>
      </c>
      <c r="W147" s="414">
        <f t="shared" si="459"/>
        <v>1385.694</v>
      </c>
      <c r="X147" s="483">
        <f>W147/K147</f>
        <v>0.89958178262093647</v>
      </c>
      <c r="Y147" s="344">
        <f>SUM(Y6:Y145)</f>
        <v>10.553000000000001</v>
      </c>
      <c r="Z147" s="414">
        <f>SUM(Z6:Z145)</f>
        <v>7.5039999999999996</v>
      </c>
      <c r="AA147" s="63">
        <f>SUM(AA6:AA145)</f>
        <v>48.802040666255422</v>
      </c>
      <c r="AB147" s="63">
        <f>SUM(AB6:AB145)</f>
        <v>1.7344850428700096</v>
      </c>
      <c r="AC147" s="63">
        <f>SUM(AC6:AC145)</f>
        <v>7.6760035324184148</v>
      </c>
      <c r="AD147" s="39">
        <f>SUM(AD6:AD146)</f>
        <v>2380</v>
      </c>
      <c r="AE147" s="67"/>
      <c r="AF147" s="63">
        <f t="shared" ref="AF147:BF147" si="460">SUM(AF6:AF146)</f>
        <v>404</v>
      </c>
      <c r="AG147" s="63">
        <f t="shared" si="460"/>
        <v>376</v>
      </c>
      <c r="AH147" s="63">
        <f t="shared" si="460"/>
        <v>734</v>
      </c>
      <c r="AI147" s="63">
        <f t="shared" si="460"/>
        <v>0</v>
      </c>
      <c r="AJ147" s="63">
        <f t="shared" si="460"/>
        <v>73</v>
      </c>
      <c r="AK147" s="63">
        <f t="shared" si="460"/>
        <v>59</v>
      </c>
      <c r="AL147" s="63">
        <f t="shared" si="460"/>
        <v>0</v>
      </c>
      <c r="AM147" s="63">
        <f t="shared" si="460"/>
        <v>1727</v>
      </c>
      <c r="AN147" s="54">
        <f t="shared" si="460"/>
        <v>250</v>
      </c>
      <c r="AO147" s="54">
        <f t="shared" si="460"/>
        <v>0</v>
      </c>
      <c r="AP147" s="54">
        <f t="shared" si="460"/>
        <v>0</v>
      </c>
      <c r="AQ147" s="54">
        <f t="shared" si="460"/>
        <v>0</v>
      </c>
      <c r="AR147" s="63">
        <f t="shared" si="460"/>
        <v>250</v>
      </c>
      <c r="AS147" s="63">
        <f t="shared" si="460"/>
        <v>0</v>
      </c>
      <c r="AT147" s="63">
        <f t="shared" si="460"/>
        <v>0</v>
      </c>
      <c r="AU147" s="63">
        <f t="shared" si="460"/>
        <v>0</v>
      </c>
      <c r="AV147" s="63">
        <f t="shared" si="460"/>
        <v>81</v>
      </c>
      <c r="AW147" s="63">
        <f t="shared" si="460"/>
        <v>373</v>
      </c>
      <c r="AX147" s="63">
        <f t="shared" si="460"/>
        <v>0</v>
      </c>
      <c r="AY147" s="63">
        <f t="shared" si="460"/>
        <v>30</v>
      </c>
      <c r="AZ147" s="63">
        <f t="shared" si="460"/>
        <v>0</v>
      </c>
      <c r="BA147" s="63">
        <f t="shared" si="460"/>
        <v>653</v>
      </c>
      <c r="BB147" s="54">
        <f t="shared" si="460"/>
        <v>119</v>
      </c>
      <c r="BC147" s="54">
        <f t="shared" si="460"/>
        <v>255</v>
      </c>
      <c r="BD147" s="54">
        <f t="shared" si="460"/>
        <v>7</v>
      </c>
      <c r="BE147" s="54">
        <f t="shared" si="460"/>
        <v>0</v>
      </c>
      <c r="BF147" s="54">
        <f t="shared" si="460"/>
        <v>1</v>
      </c>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9"/>
      <c r="CG147" s="29"/>
      <c r="CH147" s="29"/>
      <c r="CI147" s="29"/>
      <c r="CJ147" s="29"/>
      <c r="CK147" s="29"/>
      <c r="CL147" s="29"/>
      <c r="CM147" s="29"/>
      <c r="CN147" s="29"/>
      <c r="CO147" s="29"/>
      <c r="CP147" s="29"/>
      <c r="CQ147" s="29"/>
      <c r="CR147" s="29"/>
      <c r="CS147" s="29"/>
    </row>
    <row r="148" spans="1:97" ht="12.95" customHeight="1">
      <c r="A148" s="58"/>
      <c r="B148" s="59"/>
      <c r="C148" s="59"/>
      <c r="D148" s="59"/>
      <c r="E148" s="60"/>
      <c r="F148" s="60"/>
      <c r="G148" s="61"/>
      <c r="H148" s="61"/>
      <c r="I148" s="61"/>
      <c r="J148" s="87"/>
      <c r="K148" s="87"/>
      <c r="L148" s="64"/>
      <c r="M148" s="64"/>
      <c r="N148" s="65"/>
      <c r="O148" s="660"/>
      <c r="P148" s="661"/>
      <c r="Q148" s="61">
        <f>31*1440-Q147</f>
        <v>0</v>
      </c>
      <c r="R148" s="68">
        <f>R147/Q147</f>
        <v>1.4628136200716846E-2</v>
      </c>
      <c r="S148" s="68">
        <f>S147/Q147</f>
        <v>3.8687275985663079E-2</v>
      </c>
      <c r="T148" s="329"/>
      <c r="U148" s="329"/>
      <c r="V148" s="331">
        <f>V147/K147</f>
        <v>5.0904631353023137E-2</v>
      </c>
      <c r="W148" s="348" t="s">
        <v>179</v>
      </c>
      <c r="X148" s="484">
        <v>0.85</v>
      </c>
      <c r="Y148" s="345">
        <f>Y147/K147</f>
        <v>6.8509256387043194E-3</v>
      </c>
      <c r="Z148" s="69">
        <f>Z147/K147</f>
        <v>4.8715385191734299E-3</v>
      </c>
      <c r="AA148" s="69">
        <f>AA147/K147</f>
        <v>3.1681905772911974E-2</v>
      </c>
      <c r="AB148" s="69">
        <f>AB147/K147</f>
        <v>1.1260142187195404E-3</v>
      </c>
      <c r="AC148" s="485">
        <f>AC147/K147</f>
        <v>4.9832018765308666E-3</v>
      </c>
      <c r="AD148" s="332"/>
      <c r="AE148" s="41"/>
      <c r="AF148" s="69">
        <f>AF147/$AD$147*$V$148</f>
        <v>8.6409542296728356E-3</v>
      </c>
      <c r="AG148" s="69">
        <f>AG147/$AD$147*$V$148</f>
        <v>8.0420762137549152E-3</v>
      </c>
      <c r="AH148" s="69">
        <f>AH147/$AD$147*$V$148</f>
        <v>1.5699159417276884E-2</v>
      </c>
      <c r="AI148" s="69">
        <f>AI147/$AD$147*$V$148</f>
        <v>0</v>
      </c>
      <c r="AJ148" s="69">
        <f t="shared" ref="AJ148:BA148" si="461">AJ147/$AD$147*$V$148</f>
        <v>1.5613605415002894E-3</v>
      </c>
      <c r="AK148" s="69">
        <f t="shared" si="461"/>
        <v>1.2619215335413299E-3</v>
      </c>
      <c r="AL148" s="69">
        <f t="shared" si="461"/>
        <v>0</v>
      </c>
      <c r="AM148" s="69">
        <f t="shared" si="461"/>
        <v>3.6937940481794516E-2</v>
      </c>
      <c r="AN148" s="69">
        <f t="shared" si="461"/>
        <v>5.3471251421242788E-3</v>
      </c>
      <c r="AO148" s="69">
        <f t="shared" si="461"/>
        <v>0</v>
      </c>
      <c r="AP148" s="69">
        <f t="shared" si="461"/>
        <v>0</v>
      </c>
      <c r="AQ148" s="69">
        <f t="shared" si="461"/>
        <v>0</v>
      </c>
      <c r="AR148" s="69">
        <f t="shared" si="461"/>
        <v>5.3471251421242788E-3</v>
      </c>
      <c r="AS148" s="69">
        <f t="shared" si="461"/>
        <v>0</v>
      </c>
      <c r="AT148" s="69">
        <f t="shared" si="461"/>
        <v>0</v>
      </c>
      <c r="AU148" s="69">
        <f t="shared" si="461"/>
        <v>0</v>
      </c>
      <c r="AV148" s="69">
        <f t="shared" si="461"/>
        <v>1.7324685460482663E-3</v>
      </c>
      <c r="AW148" s="69">
        <f t="shared" si="461"/>
        <v>7.9779107120494241E-3</v>
      </c>
      <c r="AX148" s="69">
        <f t="shared" si="461"/>
        <v>0</v>
      </c>
      <c r="AY148" s="69">
        <f t="shared" si="461"/>
        <v>6.4165501705491356E-4</v>
      </c>
      <c r="AZ148" s="69">
        <f t="shared" si="461"/>
        <v>0</v>
      </c>
      <c r="BA148" s="69">
        <f t="shared" si="461"/>
        <v>1.3966690871228619E-2</v>
      </c>
      <c r="BB148" s="36" t="s">
        <v>178</v>
      </c>
      <c r="BC148" s="36" t="s">
        <v>178</v>
      </c>
      <c r="BD148" s="36" t="s">
        <v>417</v>
      </c>
      <c r="BE148" s="36" t="s">
        <v>417</v>
      </c>
      <c r="BF148" s="36" t="s">
        <v>417</v>
      </c>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9"/>
      <c r="CG148" s="29"/>
      <c r="CH148" s="29"/>
      <c r="CI148" s="29"/>
      <c r="CJ148" s="29"/>
      <c r="CK148" s="29"/>
      <c r="CL148" s="29"/>
      <c r="CM148" s="29"/>
      <c r="CN148" s="29"/>
      <c r="CO148" s="29"/>
      <c r="CP148" s="29"/>
      <c r="CQ148" s="29"/>
      <c r="CR148" s="29"/>
      <c r="CS148" s="29"/>
    </row>
    <row r="149" spans="1:97" ht="12.95" customHeight="1">
      <c r="A149" s="58"/>
      <c r="B149" s="59"/>
      <c r="C149" s="59"/>
      <c r="D149" s="59"/>
      <c r="E149" s="60"/>
      <c r="F149" s="60"/>
      <c r="G149" s="36"/>
      <c r="H149" s="36"/>
      <c r="I149" s="36"/>
      <c r="J149" s="84"/>
      <c r="K149" s="84"/>
      <c r="L149" s="37"/>
      <c r="M149" s="37"/>
      <c r="N149" s="35"/>
      <c r="O149" s="38"/>
      <c r="P149" s="30"/>
      <c r="Q149" s="36"/>
      <c r="R149" s="39">
        <f>R147-(BA147)</f>
        <v>0</v>
      </c>
      <c r="S149" s="39">
        <f>S147-SUM(AF147:AL147)+AT147-AV147-AX147</f>
        <v>0</v>
      </c>
      <c r="T149" s="35"/>
      <c r="U149" s="35"/>
      <c r="V149" s="35"/>
      <c r="W149" s="346"/>
      <c r="X149" s="347"/>
      <c r="Y149" s="70">
        <f>+Y147-(SUM(RBP!AG3:AG4))</f>
        <v>0</v>
      </c>
      <c r="Z149" s="39"/>
      <c r="AA149" s="35"/>
      <c r="AB149" s="35"/>
      <c r="AC149" s="35"/>
      <c r="AD149" s="35"/>
      <c r="AE149" s="41"/>
      <c r="AF149" s="319"/>
      <c r="AG149" s="319"/>
      <c r="AH149" s="319"/>
      <c r="AI149" s="319"/>
      <c r="AJ149" s="79"/>
      <c r="AK149" s="79"/>
      <c r="AL149" s="79"/>
      <c r="AM149" s="79"/>
      <c r="AN149" s="79"/>
      <c r="AO149" s="79"/>
      <c r="AP149" s="79"/>
      <c r="AQ149" s="79"/>
      <c r="AR149" s="79"/>
      <c r="AS149" s="79"/>
      <c r="AT149" s="79"/>
      <c r="AU149" s="79"/>
      <c r="AV149" s="79"/>
      <c r="AW149" s="79"/>
      <c r="AX149" s="79"/>
      <c r="AY149" s="79"/>
      <c r="AZ149" s="79"/>
      <c r="BA149" s="79"/>
      <c r="BB149" s="486">
        <f>BB147/($Q$147/1440)/2</f>
        <v>1.9193548387096775</v>
      </c>
      <c r="BC149" s="486">
        <f>BC147/($Q$147/1440)/2</f>
        <v>4.112903225806452</v>
      </c>
      <c r="BD149" s="486">
        <f>BD147/($Q$147/1440)</f>
        <v>0.22580645161290322</v>
      </c>
      <c r="BE149" s="486">
        <f>BE147/($Q$147/1440)</f>
        <v>0</v>
      </c>
      <c r="BF149" s="486">
        <f>BF147/($Q$147/1440)</f>
        <v>3.2258064516129031E-2</v>
      </c>
    </row>
    <row r="150" spans="1:97" ht="12.95" customHeight="1">
      <c r="A150" s="71"/>
      <c r="B150" s="72"/>
      <c r="C150" s="72"/>
      <c r="D150" s="72"/>
      <c r="E150" s="73"/>
      <c r="F150" s="73"/>
      <c r="G150" s="74"/>
      <c r="H150" s="74"/>
      <c r="I150" s="74"/>
      <c r="J150" s="88"/>
      <c r="K150" s="88"/>
      <c r="O150" s="75"/>
      <c r="P150" s="76"/>
      <c r="Q150" s="74"/>
      <c r="R150" s="55"/>
      <c r="S150" s="55"/>
      <c r="U150" s="77"/>
      <c r="V150" s="77"/>
      <c r="W150" s="78" t="s">
        <v>131</v>
      </c>
      <c r="X150" s="487">
        <f>W147/U147</f>
        <v>0.95397136022269569</v>
      </c>
      <c r="Y150" s="487"/>
      <c r="Z150" s="55"/>
      <c r="AD150" s="85"/>
      <c r="AE150" s="80"/>
      <c r="AF150" s="81"/>
      <c r="AG150" s="81"/>
      <c r="AH150" s="81"/>
      <c r="AI150" s="81"/>
      <c r="AJ150" s="81"/>
      <c r="AK150" s="81"/>
      <c r="AL150" s="81"/>
      <c r="AM150" s="81"/>
      <c r="AN150" s="79"/>
      <c r="AO150" s="79"/>
      <c r="AP150" s="79"/>
      <c r="AQ150" s="79"/>
      <c r="AR150" s="79"/>
      <c r="AS150" s="81"/>
      <c r="AT150" s="81"/>
      <c r="AU150" s="81"/>
      <c r="AV150" s="81"/>
      <c r="AW150" s="81"/>
      <c r="AX150" s="81"/>
      <c r="AY150" s="81"/>
      <c r="AZ150" s="81"/>
      <c r="BA150" s="79"/>
      <c r="BB150" s="29"/>
      <c r="BC150" s="79"/>
      <c r="BD150" s="79"/>
      <c r="BE150" s="29"/>
      <c r="BF150" s="79"/>
    </row>
    <row r="151" spans="1:97" ht="12.95" customHeight="1">
      <c r="A151" s="71"/>
      <c r="B151" s="72"/>
      <c r="C151" s="72"/>
      <c r="D151" s="72"/>
      <c r="E151" s="73"/>
      <c r="F151" s="73"/>
      <c r="G151" s="74"/>
      <c r="H151" s="74"/>
      <c r="I151" s="74"/>
      <c r="J151" s="88"/>
      <c r="K151" s="88"/>
      <c r="O151" s="75"/>
      <c r="P151" s="76"/>
      <c r="Q151" s="74"/>
      <c r="R151" s="55"/>
      <c r="S151" s="55"/>
      <c r="U151" s="77"/>
      <c r="V151" s="77"/>
      <c r="W151" s="78"/>
      <c r="X151" s="79"/>
      <c r="Y151" s="79"/>
      <c r="Z151" s="55"/>
      <c r="AA151" s="91"/>
      <c r="AB151" s="91"/>
      <c r="AD151" s="85"/>
      <c r="AE151" s="80"/>
      <c r="AF151" s="81"/>
      <c r="AG151" s="81"/>
      <c r="AH151" s="81"/>
      <c r="AI151" s="81"/>
      <c r="AJ151" s="81"/>
      <c r="AK151" s="81"/>
      <c r="AL151" s="81"/>
      <c r="AM151" s="81"/>
      <c r="AN151" s="81"/>
      <c r="AO151" s="79"/>
      <c r="AP151" s="79"/>
      <c r="AQ151" s="79"/>
      <c r="AR151" s="81"/>
      <c r="AS151" s="79"/>
      <c r="AT151" s="79"/>
      <c r="AU151" s="79"/>
      <c r="AV151" s="79"/>
      <c r="AW151" s="79"/>
      <c r="AX151" s="79"/>
      <c r="AY151" s="79"/>
      <c r="AZ151" s="79"/>
      <c r="BA151" s="79"/>
      <c r="BB151" s="29"/>
      <c r="BC151" s="79"/>
      <c r="BD151" s="79"/>
      <c r="BE151" s="29"/>
      <c r="BF151" s="79"/>
    </row>
    <row r="152" spans="1:97" ht="12.95" customHeight="1">
      <c r="A152" s="71"/>
      <c r="B152" s="72"/>
      <c r="C152" s="72"/>
      <c r="D152" s="72"/>
      <c r="E152" s="73"/>
      <c r="F152" s="73"/>
      <c r="G152" s="74"/>
      <c r="H152" s="74"/>
      <c r="I152" s="74"/>
      <c r="J152" s="88"/>
      <c r="K152" s="88"/>
      <c r="O152" s="75"/>
      <c r="P152" s="76"/>
      <c r="Q152" s="74"/>
      <c r="R152" s="330"/>
      <c r="S152" s="55"/>
      <c r="U152" s="77"/>
      <c r="V152" s="77"/>
      <c r="W152" s="78" t="s">
        <v>154</v>
      </c>
      <c r="X152" s="319">
        <f>+W147+Y147</f>
        <v>1396.2470000000001</v>
      </c>
      <c r="Y152" s="79"/>
      <c r="Z152" s="55"/>
      <c r="AD152" s="85">
        <f>+AD147-'31'!D53</f>
        <v>0</v>
      </c>
      <c r="AE152" s="80"/>
      <c r="AF152" s="85"/>
      <c r="AG152" s="85"/>
      <c r="AH152" s="85"/>
      <c r="AI152" s="85"/>
      <c r="AJ152" s="79"/>
      <c r="AK152" s="79"/>
      <c r="AL152" s="79"/>
      <c r="AM152" s="81"/>
      <c r="AN152" s="79"/>
      <c r="AO152" s="79"/>
      <c r="AP152" s="79"/>
      <c r="AQ152" s="79"/>
      <c r="AR152" s="81"/>
      <c r="AS152" s="79"/>
      <c r="AT152" s="79"/>
      <c r="AU152" s="79"/>
      <c r="AV152" s="79"/>
      <c r="AW152" s="79"/>
      <c r="AX152" s="79"/>
      <c r="AY152" s="79"/>
      <c r="AZ152" s="79"/>
      <c r="BA152" s="79"/>
      <c r="BB152" s="29"/>
      <c r="BC152" s="79"/>
      <c r="BD152" s="79"/>
      <c r="BE152" s="29"/>
      <c r="BF152" s="79"/>
    </row>
    <row r="153" spans="1:97" ht="12.95" customHeight="1">
      <c r="A153" s="71"/>
      <c r="C153" s="72" t="s">
        <v>304</v>
      </c>
      <c r="D153" s="72"/>
      <c r="E153" s="73"/>
      <c r="F153" s="73"/>
      <c r="G153" s="74"/>
      <c r="H153" s="74"/>
      <c r="I153" s="74"/>
      <c r="J153" s="88"/>
      <c r="K153" s="88"/>
      <c r="O153" s="75"/>
      <c r="P153" s="76"/>
      <c r="Q153" s="74"/>
      <c r="R153" s="330"/>
      <c r="S153" s="55"/>
      <c r="U153" s="77"/>
      <c r="V153" s="341"/>
      <c r="W153" s="342"/>
      <c r="X153" s="335"/>
      <c r="Y153" s="342"/>
      <c r="Z153" s="335"/>
      <c r="AB153" s="595"/>
      <c r="AD153" s="328"/>
      <c r="AE153" s="80"/>
      <c r="AF153" s="328"/>
      <c r="AG153" s="328"/>
      <c r="AH153" s="328"/>
      <c r="AI153" s="328"/>
      <c r="AJ153" s="79"/>
      <c r="AK153" s="79"/>
      <c r="AL153" s="79"/>
      <c r="AM153" s="79"/>
      <c r="AN153" s="79"/>
      <c r="AO153" s="79"/>
      <c r="AP153" s="79"/>
      <c r="AQ153" s="79"/>
      <c r="AR153" s="79"/>
      <c r="AS153" s="79"/>
      <c r="AT153" s="79"/>
      <c r="AU153" s="79"/>
      <c r="AV153" s="79"/>
      <c r="AW153" s="79"/>
      <c r="AX153" s="79"/>
      <c r="AY153" s="79"/>
      <c r="AZ153" s="79"/>
      <c r="BA153" s="79"/>
      <c r="BB153" s="29"/>
      <c r="BC153" s="79"/>
      <c r="BD153" s="79"/>
      <c r="BE153" s="29"/>
      <c r="BF153" s="79"/>
    </row>
    <row r="154" spans="1:97" ht="12.95" customHeight="1">
      <c r="A154" s="71"/>
      <c r="B154" s="72"/>
      <c r="C154" s="72" t="s">
        <v>305</v>
      </c>
      <c r="D154" s="72"/>
      <c r="E154" s="73"/>
      <c r="F154" s="73"/>
      <c r="G154" s="74"/>
      <c r="H154" s="74"/>
      <c r="I154" s="74"/>
      <c r="J154" s="88"/>
      <c r="K154" s="88"/>
      <c r="O154" s="75"/>
      <c r="P154" s="76"/>
      <c r="Q154" s="74"/>
      <c r="R154" s="330"/>
      <c r="S154" s="55"/>
      <c r="V154" s="333"/>
      <c r="W154" s="334" t="s">
        <v>310</v>
      </c>
      <c r="X154" s="333"/>
      <c r="Y154" s="333"/>
      <c r="Z154" s="335"/>
      <c r="AE154" s="80"/>
      <c r="AF154" s="55"/>
      <c r="AG154" s="55"/>
      <c r="AH154" s="55"/>
      <c r="AI154" s="55"/>
      <c r="AJ154" s="55"/>
      <c r="AK154" s="55"/>
      <c r="AL154" s="55"/>
      <c r="AM154" s="55"/>
      <c r="AN154" s="55"/>
      <c r="AO154" s="55"/>
      <c r="AP154" s="55"/>
      <c r="AQ154" s="55"/>
      <c r="AS154" s="55"/>
      <c r="AT154" s="55"/>
      <c r="AU154" s="55"/>
      <c r="AV154" s="55"/>
      <c r="AW154" s="55"/>
      <c r="AX154" s="55"/>
      <c r="AY154" s="55"/>
      <c r="AZ154" s="55"/>
      <c r="BA154" s="55"/>
      <c r="BB154" s="29"/>
      <c r="BE154" s="29"/>
    </row>
    <row r="155" spans="1:97" ht="12.95" customHeight="1">
      <c r="A155" s="71"/>
      <c r="B155" s="72"/>
      <c r="C155" s="72"/>
      <c r="D155" s="72"/>
      <c r="E155" s="73"/>
      <c r="F155" s="73"/>
      <c r="G155" s="74"/>
      <c r="H155" s="74"/>
      <c r="I155" s="74"/>
      <c r="J155" s="88"/>
      <c r="K155" s="88"/>
      <c r="O155" s="75"/>
      <c r="P155" s="76"/>
      <c r="Q155" s="74"/>
      <c r="R155" s="330"/>
      <c r="S155" s="55"/>
      <c r="V155" s="333"/>
      <c r="W155" s="336" t="s">
        <v>303</v>
      </c>
      <c r="X155" s="340">
        <f>Y148</f>
        <v>6.8509256387043194E-3</v>
      </c>
      <c r="Y155" s="337"/>
      <c r="Z155" s="335"/>
      <c r="AE155" s="80"/>
      <c r="AF155" s="55"/>
      <c r="AG155" s="55"/>
      <c r="AH155" s="55"/>
      <c r="AI155" s="55"/>
      <c r="AJ155" s="55"/>
      <c r="AK155" s="55"/>
      <c r="AL155" s="55"/>
      <c r="AM155" s="55"/>
      <c r="AN155" s="55"/>
      <c r="AO155" s="55"/>
      <c r="AP155" s="55"/>
      <c r="AQ155" s="55"/>
      <c r="AS155" s="55"/>
      <c r="AT155" s="55"/>
      <c r="AU155" s="55"/>
      <c r="AV155" s="55"/>
      <c r="AW155" s="55"/>
      <c r="AX155" s="55"/>
      <c r="AY155" s="55"/>
      <c r="AZ155" s="55"/>
      <c r="BA155" s="55"/>
      <c r="BB155" s="29"/>
      <c r="BE155" s="29"/>
    </row>
    <row r="156" spans="1:97" ht="12.95" customHeight="1">
      <c r="R156" s="91"/>
      <c r="V156" s="333"/>
      <c r="W156" s="336" t="s">
        <v>158</v>
      </c>
      <c r="X156" s="339">
        <f>Z148</f>
        <v>4.8715385191734299E-3</v>
      </c>
      <c r="Y156" s="338"/>
      <c r="Z156" s="333"/>
    </row>
    <row r="157" spans="1:97" ht="12.95" customHeight="1">
      <c r="R157" s="91"/>
      <c r="V157" s="333"/>
      <c r="W157" s="336" t="s">
        <v>159</v>
      </c>
      <c r="X157" s="339">
        <f>AC148</f>
        <v>4.9832018765308666E-3</v>
      </c>
      <c r="Y157" s="339"/>
      <c r="Z157" s="333"/>
    </row>
    <row r="158" spans="1:97" ht="12.95" customHeight="1">
      <c r="R158" s="91"/>
      <c r="V158" s="333"/>
      <c r="W158" s="336" t="s">
        <v>160</v>
      </c>
      <c r="X158" s="339">
        <f>AA148</f>
        <v>3.1681905772911974E-2</v>
      </c>
      <c r="Y158" s="338"/>
      <c r="Z158" s="333"/>
    </row>
    <row r="159" spans="1:97">
      <c r="V159" s="333"/>
      <c r="W159" s="336" t="s">
        <v>176</v>
      </c>
      <c r="X159" s="339">
        <f>AB148</f>
        <v>1.1260142187195404E-3</v>
      </c>
      <c r="Y159" s="338" t="s">
        <v>174</v>
      </c>
      <c r="Z159" s="333"/>
    </row>
    <row r="160" spans="1:97" s="29" customFormat="1" ht="12.95" customHeight="1">
      <c r="A160" s="31"/>
      <c r="B160" s="31"/>
      <c r="C160" s="31"/>
      <c r="D160" s="31"/>
      <c r="E160" s="31"/>
      <c r="F160" s="56"/>
      <c r="G160" s="31"/>
      <c r="H160" s="31"/>
      <c r="I160" s="31"/>
      <c r="J160" s="85"/>
      <c r="K160" s="85"/>
      <c r="L160" s="57"/>
      <c r="M160" s="57"/>
      <c r="N160" s="31"/>
      <c r="O160" s="31"/>
      <c r="P160" s="31"/>
      <c r="Q160" s="317"/>
      <c r="R160" s="31"/>
      <c r="S160" s="31"/>
      <c r="T160" s="31"/>
      <c r="U160" s="31"/>
      <c r="V160" s="333"/>
      <c r="W160" s="336" t="s">
        <v>226</v>
      </c>
      <c r="X160" s="339">
        <f>AF148</f>
        <v>8.6409542296728356E-3</v>
      </c>
      <c r="Y160" s="338"/>
      <c r="Z160" s="333"/>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31"/>
      <c r="CK160" s="31"/>
      <c r="CL160" s="31"/>
      <c r="CM160" s="31"/>
      <c r="CN160" s="31"/>
      <c r="CO160" s="31"/>
      <c r="CP160" s="31"/>
      <c r="CQ160" s="31"/>
      <c r="CR160" s="31"/>
      <c r="CS160" s="31"/>
    </row>
    <row r="161" spans="1:97" s="29" customFormat="1" ht="12.95" customHeight="1">
      <c r="A161" s="31"/>
      <c r="B161" s="31"/>
      <c r="C161" s="31"/>
      <c r="D161" s="31"/>
      <c r="E161" s="31"/>
      <c r="F161" s="56"/>
      <c r="G161" s="31"/>
      <c r="H161" s="31"/>
      <c r="I161" s="31"/>
      <c r="J161" s="85"/>
      <c r="K161" s="85"/>
      <c r="L161" s="57"/>
      <c r="M161" s="57"/>
      <c r="N161" s="31"/>
      <c r="O161" s="31"/>
      <c r="P161" s="31"/>
      <c r="Q161" s="317"/>
      <c r="R161" s="31"/>
      <c r="S161" s="31"/>
      <c r="T161" s="31"/>
      <c r="U161" s="31"/>
      <c r="V161" s="333"/>
      <c r="W161" s="336" t="s">
        <v>227</v>
      </c>
      <c r="X161" s="339">
        <f>+AG148</f>
        <v>8.0420762137549152E-3</v>
      </c>
      <c r="Y161" s="338"/>
      <c r="Z161" s="333"/>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row>
    <row r="162" spans="1:97" ht="12.95" customHeight="1">
      <c r="V162" s="333"/>
      <c r="W162" s="336" t="s">
        <v>228</v>
      </c>
      <c r="X162" s="339">
        <f>+AH148</f>
        <v>1.5699159417276884E-2</v>
      </c>
      <c r="Y162" s="338"/>
      <c r="Z162" s="333"/>
    </row>
    <row r="163" spans="1:97">
      <c r="V163" s="333"/>
      <c r="W163" s="336" t="s">
        <v>229</v>
      </c>
      <c r="X163" s="339">
        <f>+AI148</f>
        <v>0</v>
      </c>
      <c r="Y163" s="338"/>
      <c r="Z163" s="333"/>
    </row>
    <row r="164" spans="1:97">
      <c r="V164" s="333"/>
      <c r="W164" s="336" t="s">
        <v>167</v>
      </c>
      <c r="X164" s="339">
        <f>+AJ148</f>
        <v>1.5613605415002894E-3</v>
      </c>
      <c r="Y164" s="338"/>
      <c r="Z164" s="333"/>
    </row>
    <row r="165" spans="1:97">
      <c r="V165" s="333"/>
      <c r="W165" s="336" t="s">
        <v>169</v>
      </c>
      <c r="X165" s="339">
        <f>+AK148</f>
        <v>1.2619215335413299E-3</v>
      </c>
      <c r="Y165" s="338"/>
      <c r="Z165" s="333"/>
    </row>
    <row r="166" spans="1:97">
      <c r="V166" s="333"/>
      <c r="W166" s="336" t="s">
        <v>168</v>
      </c>
      <c r="X166" s="339">
        <f>+AL148</f>
        <v>0</v>
      </c>
      <c r="Y166" s="338"/>
      <c r="Z166" s="333"/>
    </row>
    <row r="167" spans="1:97">
      <c r="V167" s="333"/>
      <c r="W167" s="336" t="s">
        <v>161</v>
      </c>
      <c r="X167" s="339">
        <f>+AN148</f>
        <v>5.3471251421242788E-3</v>
      </c>
      <c r="Y167" s="338"/>
      <c r="Z167" s="333"/>
    </row>
    <row r="168" spans="1:97">
      <c r="V168" s="333"/>
      <c r="W168" s="336" t="s">
        <v>171</v>
      </c>
      <c r="X168" s="339">
        <f>+AO148</f>
        <v>0</v>
      </c>
      <c r="Y168" s="338"/>
      <c r="Z168" s="333"/>
    </row>
    <row r="169" spans="1:97">
      <c r="V169" s="333"/>
      <c r="W169" s="336" t="s">
        <v>162</v>
      </c>
      <c r="X169" s="339">
        <f>+AP148</f>
        <v>0</v>
      </c>
      <c r="Y169" s="338"/>
      <c r="Z169" s="333"/>
    </row>
    <row r="170" spans="1:97">
      <c r="V170" s="333"/>
      <c r="W170" s="336" t="s">
        <v>170</v>
      </c>
      <c r="X170" s="339">
        <f>+AQ148</f>
        <v>0</v>
      </c>
      <c r="Y170" s="338"/>
      <c r="Z170" s="333"/>
    </row>
    <row r="171" spans="1:97">
      <c r="V171" s="333"/>
      <c r="W171" s="336" t="s">
        <v>173</v>
      </c>
      <c r="X171" s="339">
        <f>+AS148</f>
        <v>0</v>
      </c>
      <c r="Y171" s="338"/>
      <c r="Z171" s="333"/>
    </row>
    <row r="172" spans="1:97">
      <c r="V172" s="333"/>
      <c r="W172" s="336" t="s">
        <v>306</v>
      </c>
      <c r="X172" s="339">
        <f>+AT148</f>
        <v>0</v>
      </c>
      <c r="Y172" s="338"/>
      <c r="Z172" s="333"/>
    </row>
    <row r="173" spans="1:97">
      <c r="V173" s="333"/>
      <c r="W173" s="336" t="s">
        <v>264</v>
      </c>
      <c r="X173" s="339">
        <f>+AU148</f>
        <v>0</v>
      </c>
      <c r="Y173" s="338"/>
      <c r="Z173" s="333"/>
    </row>
    <row r="174" spans="1:97">
      <c r="V174" s="333"/>
      <c r="W174" s="336" t="s">
        <v>311</v>
      </c>
      <c r="X174" s="339">
        <f>+AW148</f>
        <v>7.9779107120494241E-3</v>
      </c>
      <c r="Y174" s="338"/>
      <c r="Z174" s="333"/>
    </row>
    <row r="175" spans="1:97">
      <c r="V175" s="333"/>
      <c r="W175" s="336" t="s">
        <v>312</v>
      </c>
      <c r="X175" s="339">
        <f>+AV148</f>
        <v>1.7324685460482663E-3</v>
      </c>
      <c r="Y175" s="338"/>
      <c r="Z175" s="333"/>
    </row>
    <row r="176" spans="1:97">
      <c r="V176" s="333"/>
      <c r="W176" s="333" t="s">
        <v>172</v>
      </c>
      <c r="X176" s="339">
        <f>+AX148+AY148</f>
        <v>6.4165501705491356E-4</v>
      </c>
      <c r="Y176" s="339"/>
      <c r="Z176" s="333"/>
    </row>
    <row r="177" spans="22:26">
      <c r="V177" s="333"/>
      <c r="W177" s="333" t="s">
        <v>313</v>
      </c>
      <c r="X177" s="339">
        <f>+AZ148</f>
        <v>0</v>
      </c>
      <c r="Y177" s="333"/>
      <c r="Z177" s="333"/>
    </row>
    <row r="178" spans="22:26">
      <c r="V178" s="333"/>
      <c r="W178" s="333"/>
      <c r="X178" s="502">
        <f>SUM(X155:X177)</f>
        <v>0.10041821737906327</v>
      </c>
      <c r="Y178" s="333"/>
      <c r="Z178" s="333"/>
    </row>
    <row r="180" spans="22:26">
      <c r="X180" s="91">
        <f>+X178+X147</f>
        <v>0.99999999999999978</v>
      </c>
    </row>
    <row r="186" spans="22:26" ht="12" customHeight="1"/>
    <row r="187" spans="22:26" ht="12" customHeight="1"/>
    <row r="189" spans="22:26" ht="12" customHeight="1"/>
    <row r="190" spans="22:26" ht="12" customHeight="1"/>
  </sheetData>
  <autoFilter ref="A3:BF10">
    <filterColumn colId="6" showButton="0"/>
    <filterColumn colId="7" showButton="0"/>
    <filterColumn colId="8" showButton="0"/>
    <filterColumn colId="9" showButton="0"/>
    <filterColumn colId="11" showButton="0"/>
    <filterColumn colId="12" showButton="0"/>
    <filterColumn colId="31" showButton="0"/>
    <filterColumn colId="32" showButton="0"/>
    <filterColumn colId="33" showButton="0"/>
    <filterColumn colId="34" showButton="0"/>
    <filterColumn colId="35" showButton="0"/>
    <filterColumn colId="36" showButton="0"/>
    <filterColumn colId="39" showButton="0"/>
    <filterColumn colId="40" showButton="0"/>
    <filterColumn colId="41" showButton="0"/>
    <filterColumn colId="42" showButton="0"/>
    <filterColumn colId="45" showButton="0"/>
    <filterColumn colId="47" showButton="0"/>
    <filterColumn colId="49" showButton="0"/>
  </autoFilter>
  <mergeCells count="50">
    <mergeCell ref="BB3:BB5"/>
    <mergeCell ref="BC3:BC5"/>
    <mergeCell ref="AN4:AN5"/>
    <mergeCell ref="AO4:AO5"/>
    <mergeCell ref="AP4:AP5"/>
    <mergeCell ref="AQ4:AQ5"/>
    <mergeCell ref="AR4:AR5"/>
    <mergeCell ref="AN3:AR3"/>
    <mergeCell ref="AS3:AS5"/>
    <mergeCell ref="AV3:AW3"/>
    <mergeCell ref="AX3:AY3"/>
    <mergeCell ref="AZ3:AZ5"/>
    <mergeCell ref="AM3:AM5"/>
    <mergeCell ref="BA3:BA5"/>
    <mergeCell ref="AF4:AH4"/>
    <mergeCell ref="AI4:AI5"/>
    <mergeCell ref="G3:K4"/>
    <mergeCell ref="AT3:AU4"/>
    <mergeCell ref="AC3:AC5"/>
    <mergeCell ref="AE3:AE5"/>
    <mergeCell ref="AD3:AD5"/>
    <mergeCell ref="AF3:AL3"/>
    <mergeCell ref="AJ4:AJ5"/>
    <mergeCell ref="V3:V5"/>
    <mergeCell ref="AK4:AK5"/>
    <mergeCell ref="AL4:AL5"/>
    <mergeCell ref="U3:U5"/>
    <mergeCell ref="W3:W5"/>
    <mergeCell ref="P3:P5"/>
    <mergeCell ref="C3:C5"/>
    <mergeCell ref="A3:A5"/>
    <mergeCell ref="B3:B5"/>
    <mergeCell ref="D3:D5"/>
    <mergeCell ref="E3:E5"/>
    <mergeCell ref="BD3:BD5"/>
    <mergeCell ref="BE3:BE5"/>
    <mergeCell ref="BF3:BF5"/>
    <mergeCell ref="O148:P148"/>
    <mergeCell ref="F3:F5"/>
    <mergeCell ref="Y3:Y5"/>
    <mergeCell ref="AA3:AA5"/>
    <mergeCell ref="AB3:AB5"/>
    <mergeCell ref="L3:N4"/>
    <mergeCell ref="O3:O5"/>
    <mergeCell ref="Q3:Q5"/>
    <mergeCell ref="R3:R5"/>
    <mergeCell ref="X3:X5"/>
    <mergeCell ref="Z3:Z5"/>
    <mergeCell ref="S3:S5"/>
    <mergeCell ref="T3:T5"/>
  </mergeCells>
  <phoneticPr fontId="30" type="noConversion"/>
  <conditionalFormatting sqref="B47 C146 B146:B148">
    <cfRule type="cellIs" dxfId="867" priority="1629" stopIfTrue="1" operator="equal">
      <formula>"Towel"</formula>
    </cfRule>
    <cfRule type="cellIs" dxfId="866" priority="1630" stopIfTrue="1" operator="equal">
      <formula>"Napkin Hs"</formula>
    </cfRule>
  </conditionalFormatting>
  <conditionalFormatting sqref="B63">
    <cfRule type="cellIs" dxfId="865" priority="1449" stopIfTrue="1" operator="equal">
      <formula>"Towel"</formula>
    </cfRule>
    <cfRule type="cellIs" dxfId="864" priority="1450" stopIfTrue="1" operator="equal">
      <formula>"Napkin Hs"</formula>
    </cfRule>
  </conditionalFormatting>
  <conditionalFormatting sqref="B76">
    <cfRule type="cellIs" dxfId="863" priority="1335" stopIfTrue="1" operator="equal">
      <formula>"Towel"</formula>
    </cfRule>
    <cfRule type="cellIs" dxfId="862" priority="1336" stopIfTrue="1" operator="equal">
      <formula>"Napkin Hs"</formula>
    </cfRule>
  </conditionalFormatting>
  <conditionalFormatting sqref="B85">
    <cfRule type="cellIs" dxfId="861" priority="1215" stopIfTrue="1" operator="equal">
      <formula>"Towel"</formula>
    </cfRule>
    <cfRule type="cellIs" dxfId="860" priority="1216" stopIfTrue="1" operator="equal">
      <formula>"Napkin Hs"</formula>
    </cfRule>
  </conditionalFormatting>
  <conditionalFormatting sqref="B97">
    <cfRule type="cellIs" dxfId="859" priority="1045" stopIfTrue="1" operator="equal">
      <formula>"Towel"</formula>
    </cfRule>
    <cfRule type="cellIs" dxfId="858" priority="1046" stopIfTrue="1" operator="equal">
      <formula>"Napkin Hs"</formula>
    </cfRule>
  </conditionalFormatting>
  <conditionalFormatting sqref="B101">
    <cfRule type="cellIs" dxfId="857" priority="121" stopIfTrue="1" operator="equal">
      <formula>"Towel"</formula>
    </cfRule>
    <cfRule type="cellIs" dxfId="856" priority="122" stopIfTrue="1" operator="equal">
      <formula>"Napkin Hs"</formula>
    </cfRule>
  </conditionalFormatting>
  <conditionalFormatting sqref="B105">
    <cfRule type="cellIs" dxfId="855" priority="887" stopIfTrue="1" operator="equal">
      <formula>"Towel"</formula>
    </cfRule>
    <cfRule type="cellIs" dxfId="854" priority="888" stopIfTrue="1" operator="equal">
      <formula>"Napkin Hs"</formula>
    </cfRule>
  </conditionalFormatting>
  <conditionalFormatting sqref="B134">
    <cfRule type="cellIs" dxfId="853" priority="519" stopIfTrue="1" operator="equal">
      <formula>"Towel"</formula>
    </cfRule>
    <cfRule type="cellIs" dxfId="852" priority="520" stopIfTrue="1" operator="equal">
      <formula>"Napkin Hs"</formula>
    </cfRule>
  </conditionalFormatting>
  <conditionalFormatting sqref="B8:C10 B138:C138 C148">
    <cfRule type="cellIs" dxfId="851" priority="2749" stopIfTrue="1" operator="equal">
      <formula>"Towel"</formula>
    </cfRule>
    <cfRule type="cellIs" dxfId="850" priority="2750" stopIfTrue="1" operator="equal">
      <formula>"Napkin Hs"</formula>
    </cfRule>
  </conditionalFormatting>
  <conditionalFormatting sqref="B14:C17">
    <cfRule type="cellIs" dxfId="849" priority="371" stopIfTrue="1" operator="equal">
      <formula>"Towel"</formula>
    </cfRule>
    <cfRule type="cellIs" dxfId="848" priority="372" stopIfTrue="1" operator="equal">
      <formula>"Napkin Hs"</formula>
    </cfRule>
  </conditionalFormatting>
  <conditionalFormatting sqref="B18:C18">
    <cfRule type="cellIs" dxfId="847" priority="409" stopIfTrue="1" operator="equal">
      <formula>"Towel"</formula>
    </cfRule>
    <cfRule type="cellIs" dxfId="846" priority="410" stopIfTrue="1" operator="equal">
      <formula>"Napkin Hs"</formula>
    </cfRule>
  </conditionalFormatting>
  <conditionalFormatting sqref="B21:C23">
    <cfRule type="cellIs" dxfId="845" priority="361" stopIfTrue="1" operator="equal">
      <formula>"Towel"</formula>
    </cfRule>
    <cfRule type="cellIs" dxfId="844" priority="362" stopIfTrue="1" operator="equal">
      <formula>"Napkin Hs"</formula>
    </cfRule>
  </conditionalFormatting>
  <conditionalFormatting sqref="B27:C28">
    <cfRule type="cellIs" dxfId="843" priority="351" stopIfTrue="1" operator="equal">
      <formula>"Towel"</formula>
    </cfRule>
    <cfRule type="cellIs" dxfId="842" priority="352" stopIfTrue="1" operator="equal">
      <formula>"Napkin Hs"</formula>
    </cfRule>
  </conditionalFormatting>
  <conditionalFormatting sqref="B34:C34">
    <cfRule type="cellIs" dxfId="841" priority="2701" stopIfTrue="1" operator="equal">
      <formula>"Towel"</formula>
    </cfRule>
    <cfRule type="cellIs" dxfId="840" priority="2702" stopIfTrue="1" operator="equal">
      <formula>"Napkin Hs"</formula>
    </cfRule>
  </conditionalFormatting>
  <conditionalFormatting sqref="B37:C37">
    <cfRule type="cellIs" dxfId="839" priority="331" stopIfTrue="1" operator="equal">
      <formula>"Towel"</formula>
    </cfRule>
    <cfRule type="cellIs" dxfId="838" priority="332" stopIfTrue="1" operator="equal">
      <formula>"Napkin Hs"</formula>
    </cfRule>
  </conditionalFormatting>
  <conditionalFormatting sqref="B38:C38">
    <cfRule type="cellIs" dxfId="837" priority="2683" stopIfTrue="1" operator="equal">
      <formula>"Towel"</formula>
    </cfRule>
    <cfRule type="cellIs" dxfId="836" priority="2684" stopIfTrue="1" operator="equal">
      <formula>"Napkin Hs"</formula>
    </cfRule>
  </conditionalFormatting>
  <conditionalFormatting sqref="B41:C41">
    <cfRule type="cellIs" dxfId="835" priority="321" stopIfTrue="1" operator="equal">
      <formula>"Towel"</formula>
    </cfRule>
    <cfRule type="cellIs" dxfId="834" priority="322" stopIfTrue="1" operator="equal">
      <formula>"Napkin Hs"</formula>
    </cfRule>
  </conditionalFormatting>
  <conditionalFormatting sqref="B42:C42">
    <cfRule type="cellIs" dxfId="833" priority="2659" stopIfTrue="1" operator="equal">
      <formula>"Towel"</formula>
    </cfRule>
    <cfRule type="cellIs" dxfId="832" priority="2660" stopIfTrue="1" operator="equal">
      <formula>"Napkin Hs"</formula>
    </cfRule>
  </conditionalFormatting>
  <conditionalFormatting sqref="B46:C46">
    <cfRule type="cellIs" dxfId="831" priority="309" stopIfTrue="1" operator="equal">
      <formula>"Towel"</formula>
    </cfRule>
    <cfRule type="cellIs" dxfId="830" priority="310" stopIfTrue="1" operator="equal">
      <formula>"Napkin Hs"</formula>
    </cfRule>
  </conditionalFormatting>
  <conditionalFormatting sqref="B47:C47">
    <cfRule type="cellIs" dxfId="829" priority="1631" stopIfTrue="1" operator="equal">
      <formula>"Towel"</formula>
    </cfRule>
    <cfRule type="cellIs" dxfId="828" priority="1632" stopIfTrue="1" operator="equal">
      <formula>"Napkin Hs"</formula>
    </cfRule>
  </conditionalFormatting>
  <conditionalFormatting sqref="B50:C50">
    <cfRule type="cellIs" dxfId="827" priority="287" stopIfTrue="1" operator="equal">
      <formula>"Towel"</formula>
    </cfRule>
    <cfRule type="cellIs" dxfId="826" priority="288" stopIfTrue="1" operator="equal">
      <formula>"Napkin Hs"</formula>
    </cfRule>
  </conditionalFormatting>
  <conditionalFormatting sqref="B51:C51">
    <cfRule type="cellIs" dxfId="825" priority="293" stopIfTrue="1" operator="equal">
      <formula>"Towel"</formula>
    </cfRule>
    <cfRule type="cellIs" dxfId="824" priority="294" stopIfTrue="1" operator="equal">
      <formula>"Napkin Hs"</formula>
    </cfRule>
  </conditionalFormatting>
  <conditionalFormatting sqref="B54:C54">
    <cfRule type="cellIs" dxfId="823" priority="275" stopIfTrue="1" operator="equal">
      <formula>"Towel"</formula>
    </cfRule>
    <cfRule type="cellIs" dxfId="822" priority="276" stopIfTrue="1" operator="equal">
      <formula>"Napkin Hs"</formula>
    </cfRule>
  </conditionalFormatting>
  <conditionalFormatting sqref="B55:C55">
    <cfRule type="cellIs" dxfId="821" priority="1627" stopIfTrue="1" operator="equal">
      <formula>"Towel"</formula>
    </cfRule>
    <cfRule type="cellIs" dxfId="820" priority="1628" stopIfTrue="1" operator="equal">
      <formula>"Napkin Hs"</formula>
    </cfRule>
  </conditionalFormatting>
  <conditionalFormatting sqref="B58:C58">
    <cfRule type="cellIs" dxfId="819" priority="257" stopIfTrue="1" operator="equal">
      <formula>"Towel"</formula>
    </cfRule>
    <cfRule type="cellIs" dxfId="818" priority="258" stopIfTrue="1" operator="equal">
      <formula>"Napkin Hs"</formula>
    </cfRule>
  </conditionalFormatting>
  <conditionalFormatting sqref="B59:C59">
    <cfRule type="cellIs" dxfId="817" priority="263" stopIfTrue="1" operator="equal">
      <formula>"Towel"</formula>
    </cfRule>
    <cfRule type="cellIs" dxfId="816" priority="264" stopIfTrue="1" operator="equal">
      <formula>"Napkin Hs"</formula>
    </cfRule>
  </conditionalFormatting>
  <conditionalFormatting sqref="B62:C62">
    <cfRule type="cellIs" dxfId="815" priority="247" stopIfTrue="1" operator="equal">
      <formula>"Towel"</formula>
    </cfRule>
    <cfRule type="cellIs" dxfId="814" priority="248" stopIfTrue="1" operator="equal">
      <formula>"Napkin Hs"</formula>
    </cfRule>
  </conditionalFormatting>
  <conditionalFormatting sqref="B63:C63">
    <cfRule type="cellIs" dxfId="813" priority="1451" stopIfTrue="1" operator="equal">
      <formula>"Towel"</formula>
    </cfRule>
    <cfRule type="cellIs" dxfId="812" priority="1452" stopIfTrue="1" operator="equal">
      <formula>"Napkin Hs"</formula>
    </cfRule>
  </conditionalFormatting>
  <conditionalFormatting sqref="B66:C67">
    <cfRule type="cellIs" dxfId="811" priority="237" stopIfTrue="1" operator="equal">
      <formula>"Towel"</formula>
    </cfRule>
    <cfRule type="cellIs" dxfId="810" priority="238" stopIfTrue="1" operator="equal">
      <formula>"Napkin Hs"</formula>
    </cfRule>
  </conditionalFormatting>
  <conditionalFormatting sqref="B68:C68">
    <cfRule type="cellIs" dxfId="809" priority="1425" stopIfTrue="1" operator="equal">
      <formula>"Towel"</formula>
    </cfRule>
    <cfRule type="cellIs" dxfId="808" priority="1426" stopIfTrue="1" operator="equal">
      <formula>"Napkin Hs"</formula>
    </cfRule>
  </conditionalFormatting>
  <conditionalFormatting sqref="B71:C71">
    <cfRule type="cellIs" dxfId="807" priority="227" stopIfTrue="1" operator="equal">
      <formula>"Towel"</formula>
    </cfRule>
    <cfRule type="cellIs" dxfId="806" priority="228" stopIfTrue="1" operator="equal">
      <formula>"Napkin Hs"</formula>
    </cfRule>
  </conditionalFormatting>
  <conditionalFormatting sqref="B72:C72">
    <cfRule type="cellIs" dxfId="805" priority="2567" stopIfTrue="1" operator="equal">
      <formula>"Towel"</formula>
    </cfRule>
    <cfRule type="cellIs" dxfId="804" priority="2568" stopIfTrue="1" operator="equal">
      <formula>"Napkin Hs"</formula>
    </cfRule>
  </conditionalFormatting>
  <conditionalFormatting sqref="B75:C75">
    <cfRule type="cellIs" dxfId="803" priority="217" stopIfTrue="1" operator="equal">
      <formula>"Towel"</formula>
    </cfRule>
    <cfRule type="cellIs" dxfId="802" priority="218" stopIfTrue="1" operator="equal">
      <formula>"Napkin Hs"</formula>
    </cfRule>
  </conditionalFormatting>
  <conditionalFormatting sqref="B76:C76">
    <cfRule type="cellIs" dxfId="801" priority="1337" stopIfTrue="1" operator="equal">
      <formula>"Towel"</formula>
    </cfRule>
    <cfRule type="cellIs" dxfId="800" priority="1338" stopIfTrue="1" operator="equal">
      <formula>"Napkin Hs"</formula>
    </cfRule>
  </conditionalFormatting>
  <conditionalFormatting sqref="B79:C79">
    <cfRule type="cellIs" dxfId="799" priority="205" stopIfTrue="1" operator="equal">
      <formula>"Towel"</formula>
    </cfRule>
    <cfRule type="cellIs" dxfId="798" priority="206" stopIfTrue="1" operator="equal">
      <formula>"Napkin Hs"</formula>
    </cfRule>
  </conditionalFormatting>
  <conditionalFormatting sqref="B80:C80">
    <cfRule type="cellIs" dxfId="797" priority="2531" stopIfTrue="1" operator="equal">
      <formula>"Towel"</formula>
    </cfRule>
    <cfRule type="cellIs" dxfId="796" priority="2532" stopIfTrue="1" operator="equal">
      <formula>"Napkin Hs"</formula>
    </cfRule>
  </conditionalFormatting>
  <conditionalFormatting sqref="B82:C82">
    <cfRule type="cellIs" dxfId="795" priority="183" stopIfTrue="1" operator="equal">
      <formula>"Towel"</formula>
    </cfRule>
    <cfRule type="cellIs" dxfId="794" priority="184" stopIfTrue="1" operator="equal">
      <formula>"Napkin Hs"</formula>
    </cfRule>
  </conditionalFormatting>
  <conditionalFormatting sqref="B83:C84">
    <cfRule type="cellIs" dxfId="793" priority="193" stopIfTrue="1" operator="equal">
      <formula>"Towel"</formula>
    </cfRule>
    <cfRule type="cellIs" dxfId="792" priority="194" stopIfTrue="1" operator="equal">
      <formula>"Napkin Hs"</formula>
    </cfRule>
  </conditionalFormatting>
  <conditionalFormatting sqref="B85:C85">
    <cfRule type="cellIs" dxfId="791" priority="1217" stopIfTrue="1" operator="equal">
      <formula>"Towel"</formula>
    </cfRule>
    <cfRule type="cellIs" dxfId="790" priority="1218" stopIfTrue="1" operator="equal">
      <formula>"Napkin Hs"</formula>
    </cfRule>
  </conditionalFormatting>
  <conditionalFormatting sqref="B88:C88">
    <cfRule type="cellIs" dxfId="789" priority="175" stopIfTrue="1" operator="equal">
      <formula>"Towel"</formula>
    </cfRule>
    <cfRule type="cellIs" dxfId="788" priority="176" stopIfTrue="1" operator="equal">
      <formula>"Napkin Hs"</formula>
    </cfRule>
  </conditionalFormatting>
  <conditionalFormatting sqref="B89:C89">
    <cfRule type="cellIs" dxfId="787" priority="2499" stopIfTrue="1" operator="equal">
      <formula>"Towel"</formula>
    </cfRule>
    <cfRule type="cellIs" dxfId="786" priority="2500" stopIfTrue="1" operator="equal">
      <formula>"Napkin Hs"</formula>
    </cfRule>
  </conditionalFormatting>
  <conditionalFormatting sqref="B92:C92">
    <cfRule type="cellIs" dxfId="785" priority="161" stopIfTrue="1" operator="equal">
      <formula>"Towel"</formula>
    </cfRule>
    <cfRule type="cellIs" dxfId="784" priority="162" stopIfTrue="1" operator="equal">
      <formula>"Napkin Hs"</formula>
    </cfRule>
  </conditionalFormatting>
  <conditionalFormatting sqref="B93:C93">
    <cfRule type="cellIs" dxfId="783" priority="2473" stopIfTrue="1" operator="equal">
      <formula>"Towel"</formula>
    </cfRule>
    <cfRule type="cellIs" dxfId="782" priority="2474" stopIfTrue="1" operator="equal">
      <formula>"Napkin Hs"</formula>
    </cfRule>
  </conditionalFormatting>
  <conditionalFormatting sqref="B96:C96">
    <cfRule type="cellIs" dxfId="781" priority="151" stopIfTrue="1" operator="equal">
      <formula>"Towel"</formula>
    </cfRule>
    <cfRule type="cellIs" dxfId="780" priority="152" stopIfTrue="1" operator="equal">
      <formula>"Napkin Hs"</formula>
    </cfRule>
  </conditionalFormatting>
  <conditionalFormatting sqref="B97:C97">
    <cfRule type="cellIs" dxfId="779" priority="1047" stopIfTrue="1" operator="equal">
      <formula>"Towel"</formula>
    </cfRule>
    <cfRule type="cellIs" dxfId="778" priority="1048" stopIfTrue="1" operator="equal">
      <formula>"Napkin Hs"</formula>
    </cfRule>
    <cfRule type="cellIs" dxfId="777" priority="1065" stopIfTrue="1" operator="equal">
      <formula>"Towel"</formula>
    </cfRule>
    <cfRule type="cellIs" dxfId="776" priority="1066" stopIfTrue="1" operator="equal">
      <formula>"Napkin Hs"</formula>
    </cfRule>
  </conditionalFormatting>
  <conditionalFormatting sqref="B100:C100">
    <cfRule type="cellIs" dxfId="775" priority="119" stopIfTrue="1" operator="equal">
      <formula>"Towel"</formula>
    </cfRule>
    <cfRule type="cellIs" dxfId="774" priority="120" stopIfTrue="1" operator="equal">
      <formula>"Napkin Hs"</formula>
    </cfRule>
  </conditionalFormatting>
  <conditionalFormatting sqref="B101:C101">
    <cfRule type="cellIs" dxfId="773" priority="123" stopIfTrue="1" operator="equal">
      <formula>"Towel"</formula>
    </cfRule>
    <cfRule type="cellIs" dxfId="772" priority="124" stopIfTrue="1" operator="equal">
      <formula>"Napkin Hs"</formula>
    </cfRule>
    <cfRule type="cellIs" dxfId="771" priority="141" stopIfTrue="1" operator="equal">
      <formula>"Towel"</formula>
    </cfRule>
    <cfRule type="cellIs" dxfId="770" priority="142" stopIfTrue="1" operator="equal">
      <formula>"Napkin Hs"</formula>
    </cfRule>
  </conditionalFormatting>
  <conditionalFormatting sqref="B104:C104">
    <cfRule type="cellIs" dxfId="769" priority="109" stopIfTrue="1" operator="equal">
      <formula>"Towel"</formula>
    </cfRule>
    <cfRule type="cellIs" dxfId="768" priority="110" stopIfTrue="1" operator="equal">
      <formula>"Napkin Hs"</formula>
    </cfRule>
  </conditionalFormatting>
  <conditionalFormatting sqref="B105:C105">
    <cfRule type="cellIs" dxfId="767" priority="889" stopIfTrue="1" operator="equal">
      <formula>"Towel"</formula>
    </cfRule>
    <cfRule type="cellIs" dxfId="766" priority="890" stopIfTrue="1" operator="equal">
      <formula>"Napkin Hs"</formula>
    </cfRule>
    <cfRule type="cellIs" dxfId="765" priority="907" stopIfTrue="1" operator="equal">
      <formula>"Towel"</formula>
    </cfRule>
    <cfRule type="cellIs" dxfId="764" priority="908" stopIfTrue="1" operator="equal">
      <formula>"Napkin Hs"</formula>
    </cfRule>
  </conditionalFormatting>
  <conditionalFormatting sqref="B109:C110">
    <cfRule type="cellIs" dxfId="763" priority="87" stopIfTrue="1" operator="equal">
      <formula>"Towel"</formula>
    </cfRule>
    <cfRule type="cellIs" dxfId="762" priority="88" stopIfTrue="1" operator="equal">
      <formula>"Napkin Hs"</formula>
    </cfRule>
  </conditionalFormatting>
  <conditionalFormatting sqref="B114:C116">
    <cfRule type="cellIs" dxfId="761" priority="69" stopIfTrue="1" operator="equal">
      <formula>"Towel"</formula>
    </cfRule>
    <cfRule type="cellIs" dxfId="760" priority="70" stopIfTrue="1" operator="equal">
      <formula>"Napkin Hs"</formula>
    </cfRule>
  </conditionalFormatting>
  <conditionalFormatting sqref="B121:C121">
    <cfRule type="cellIs" dxfId="759" priority="2351" stopIfTrue="1" operator="equal">
      <formula>"Towel"</formula>
    </cfRule>
    <cfRule type="cellIs" dxfId="758" priority="2352" stopIfTrue="1" operator="equal">
      <formula>"Napkin Hs"</formula>
    </cfRule>
  </conditionalFormatting>
  <conditionalFormatting sqref="B126:C126">
    <cfRule type="cellIs" dxfId="757" priority="2319" stopIfTrue="1" operator="equal">
      <formula>"Towel"</formula>
    </cfRule>
    <cfRule type="cellIs" dxfId="756" priority="2320" stopIfTrue="1" operator="equal">
      <formula>"Napkin Hs"</formula>
    </cfRule>
  </conditionalFormatting>
  <conditionalFormatting sqref="B134:C134">
    <cfRule type="cellIs" dxfId="755" priority="521" stopIfTrue="1" operator="equal">
      <formula>"Towel"</formula>
    </cfRule>
    <cfRule type="cellIs" dxfId="754" priority="522" stopIfTrue="1" operator="equal">
      <formula>"Napkin Hs"</formula>
    </cfRule>
    <cfRule type="cellIs" dxfId="753" priority="539" stopIfTrue="1" operator="equal">
      <formula>"Towel"</formula>
    </cfRule>
    <cfRule type="cellIs" dxfId="752" priority="540" stopIfTrue="1" operator="equal">
      <formula>"Napkin Hs"</formula>
    </cfRule>
  </conditionalFormatting>
  <conditionalFormatting sqref="C6:C7">
    <cfRule type="cellIs" dxfId="751" priority="437" stopIfTrue="1" operator="equal">
      <formula>"Napkin Hs"</formula>
    </cfRule>
  </conditionalFormatting>
  <conditionalFormatting sqref="C8:C10 C138">
    <cfRule type="cellIs" dxfId="750" priority="2747" stopIfTrue="1" operator="equal">
      <formula>"Towel"</formula>
    </cfRule>
    <cfRule type="cellIs" dxfId="749" priority="2748" stopIfTrue="1" operator="equal">
      <formula>"Napkin Hs"</formula>
    </cfRule>
  </conditionalFormatting>
  <conditionalFormatting sqref="C8:C10">
    <cfRule type="cellIs" dxfId="748" priority="2287" stopIfTrue="1" operator="equal">
      <formula>"Towel"</formula>
    </cfRule>
    <cfRule type="cellIs" dxfId="747" priority="2288" stopIfTrue="1" operator="equal">
      <formula>"Napkin Hs"</formula>
    </cfRule>
  </conditionalFormatting>
  <conditionalFormatting sqref="C11:C13">
    <cfRule type="cellIs" dxfId="746" priority="363" stopIfTrue="1" operator="equal">
      <formula>"Napkin Hs"</formula>
    </cfRule>
  </conditionalFormatting>
  <conditionalFormatting sqref="C14:C17">
    <cfRule type="cellIs" dxfId="745" priority="367" stopIfTrue="1" operator="equal">
      <formula>"Towel"</formula>
    </cfRule>
    <cfRule type="cellIs" dxfId="744" priority="368" stopIfTrue="1" operator="equal">
      <formula>"Napkin Hs"</formula>
    </cfRule>
  </conditionalFormatting>
  <conditionalFormatting sqref="C14:C18">
    <cfRule type="cellIs" dxfId="743" priority="369" stopIfTrue="1" operator="equal">
      <formula>"Towel"</formula>
    </cfRule>
    <cfRule type="cellIs" dxfId="742" priority="370" stopIfTrue="1" operator="equal">
      <formula>"Napkin Hs"</formula>
    </cfRule>
  </conditionalFormatting>
  <conditionalFormatting sqref="C18">
    <cfRule type="cellIs" dxfId="741" priority="407" stopIfTrue="1" operator="equal">
      <formula>"Towel"</formula>
    </cfRule>
    <cfRule type="cellIs" dxfId="740" priority="408" stopIfTrue="1" operator="equal">
      <formula>"Napkin Hs"</formula>
    </cfRule>
  </conditionalFormatting>
  <conditionalFormatting sqref="C19:C20">
    <cfRule type="cellIs" dxfId="739" priority="353" stopIfTrue="1" operator="equal">
      <formula>"Napkin Hs"</formula>
    </cfRule>
  </conditionalFormatting>
  <conditionalFormatting sqref="C21:C23">
    <cfRule type="cellIs" dxfId="738" priority="357" stopIfTrue="1" operator="equal">
      <formula>"Towel"</formula>
    </cfRule>
    <cfRule type="cellIs" dxfId="737" priority="358" stopIfTrue="1" operator="equal">
      <formula>"Napkin Hs"</formula>
    </cfRule>
    <cfRule type="cellIs" dxfId="736" priority="359" stopIfTrue="1" operator="equal">
      <formula>"Towel"</formula>
    </cfRule>
    <cfRule type="cellIs" dxfId="735" priority="360" stopIfTrue="1" operator="equal">
      <formula>"Napkin Hs"</formula>
    </cfRule>
  </conditionalFormatting>
  <conditionalFormatting sqref="C25:C26">
    <cfRule type="cellIs" dxfId="734" priority="343" stopIfTrue="1" operator="equal">
      <formula>"Napkin Hs"</formula>
    </cfRule>
  </conditionalFormatting>
  <conditionalFormatting sqref="C27:C28">
    <cfRule type="cellIs" dxfId="733" priority="347" stopIfTrue="1" operator="equal">
      <formula>"Towel"</formula>
    </cfRule>
    <cfRule type="cellIs" dxfId="732" priority="348" stopIfTrue="1" operator="equal">
      <formula>"Napkin Hs"</formula>
    </cfRule>
    <cfRule type="cellIs" dxfId="731" priority="349" stopIfTrue="1" operator="equal">
      <formula>"Towel"</formula>
    </cfRule>
  </conditionalFormatting>
  <conditionalFormatting sqref="C27:C29">
    <cfRule type="cellIs" dxfId="730" priority="350" stopIfTrue="1" operator="equal">
      <formula>"Napkin Hs"</formula>
    </cfRule>
  </conditionalFormatting>
  <conditionalFormatting sqref="C30:C33">
    <cfRule type="cellIs" dxfId="729" priority="333" stopIfTrue="1" operator="equal">
      <formula>"Napkin Hs"</formula>
    </cfRule>
  </conditionalFormatting>
  <conditionalFormatting sqref="C34">
    <cfRule type="cellIs" dxfId="728" priority="2693" stopIfTrue="1" operator="equal">
      <formula>"Towel"</formula>
    </cfRule>
    <cfRule type="cellIs" dxfId="727" priority="2694" stopIfTrue="1" operator="equal">
      <formula>"Napkin Hs"</formula>
    </cfRule>
    <cfRule type="cellIs" dxfId="726" priority="2699" stopIfTrue="1" operator="equal">
      <formula>"Towel"</formula>
    </cfRule>
    <cfRule type="cellIs" dxfId="725" priority="2700" stopIfTrue="1" operator="equal">
      <formula>"Napkin Hs"</formula>
    </cfRule>
  </conditionalFormatting>
  <conditionalFormatting sqref="C35:C36">
    <cfRule type="cellIs" dxfId="724" priority="323" stopIfTrue="1" operator="equal">
      <formula>"Napkin Hs"</formula>
    </cfRule>
  </conditionalFormatting>
  <conditionalFormatting sqref="C37">
    <cfRule type="cellIs" dxfId="723" priority="327" stopIfTrue="1" operator="equal">
      <formula>"Towel"</formula>
    </cfRule>
    <cfRule type="cellIs" dxfId="722" priority="328" stopIfTrue="1" operator="equal">
      <formula>"Napkin Hs"</formula>
    </cfRule>
  </conditionalFormatting>
  <conditionalFormatting sqref="C37:C38">
    <cfRule type="cellIs" dxfId="721" priority="329" stopIfTrue="1" operator="equal">
      <formula>"Towel"</formula>
    </cfRule>
    <cfRule type="cellIs" dxfId="720" priority="330" stopIfTrue="1" operator="equal">
      <formula>"Napkin Hs"</formula>
    </cfRule>
  </conditionalFormatting>
  <conditionalFormatting sqref="C38">
    <cfRule type="cellIs" dxfId="719" priority="2681" stopIfTrue="1" operator="equal">
      <formula>"Towel"</formula>
    </cfRule>
    <cfRule type="cellIs" dxfId="718" priority="2682" stopIfTrue="1" operator="equal">
      <formula>"Napkin Hs"</formula>
    </cfRule>
  </conditionalFormatting>
  <conditionalFormatting sqref="C39:C40">
    <cfRule type="cellIs" dxfId="717" priority="311" stopIfTrue="1" operator="equal">
      <formula>"Napkin Hs"</formula>
    </cfRule>
  </conditionalFormatting>
  <conditionalFormatting sqref="C41">
    <cfRule type="cellIs" dxfId="716" priority="317" stopIfTrue="1" operator="equal">
      <formula>"Towel"</formula>
    </cfRule>
    <cfRule type="cellIs" dxfId="715" priority="318" stopIfTrue="1" operator="equal">
      <formula>"Napkin Hs"</formula>
    </cfRule>
  </conditionalFormatting>
  <conditionalFormatting sqref="C41:C42">
    <cfRule type="cellIs" dxfId="714" priority="319" stopIfTrue="1" operator="equal">
      <formula>"Towel"</formula>
    </cfRule>
    <cfRule type="cellIs" dxfId="713" priority="320" stopIfTrue="1" operator="equal">
      <formula>"Napkin Hs"</formula>
    </cfRule>
  </conditionalFormatting>
  <conditionalFormatting sqref="C42">
    <cfRule type="cellIs" dxfId="712" priority="2657" stopIfTrue="1" operator="equal">
      <formula>"Towel"</formula>
    </cfRule>
    <cfRule type="cellIs" dxfId="711" priority="2658" stopIfTrue="1" operator="equal">
      <formula>"Napkin Hs"</formula>
    </cfRule>
  </conditionalFormatting>
  <conditionalFormatting sqref="C43:C45">
    <cfRule type="cellIs" dxfId="710" priority="295" stopIfTrue="1" operator="equal">
      <formula>"Napkin Hs"</formula>
    </cfRule>
  </conditionalFormatting>
  <conditionalFormatting sqref="C46">
    <cfRule type="cellIs" dxfId="709" priority="305" stopIfTrue="1" operator="equal">
      <formula>"Towel"</formula>
    </cfRule>
    <cfRule type="cellIs" dxfId="708" priority="306" stopIfTrue="1" operator="equal">
      <formula>"Napkin Hs"</formula>
    </cfRule>
    <cfRule type="cellIs" dxfId="707" priority="307" stopIfTrue="1" operator="equal">
      <formula>"Towel"</formula>
    </cfRule>
    <cfRule type="cellIs" dxfId="706" priority="308" stopIfTrue="1" operator="equal">
      <formula>"Napkin Hs"</formula>
    </cfRule>
  </conditionalFormatting>
  <conditionalFormatting sqref="C47">
    <cfRule type="cellIs" dxfId="705" priority="1635" stopIfTrue="1" operator="equal">
      <formula>"Towel"</formula>
    </cfRule>
    <cfRule type="cellIs" dxfId="704" priority="1636" stopIfTrue="1" operator="equal">
      <formula>"Napkin Hs"</formula>
    </cfRule>
    <cfRule type="cellIs" dxfId="703" priority="1637" stopIfTrue="1" operator="equal">
      <formula>"Towel"</formula>
    </cfRule>
    <cfRule type="cellIs" dxfId="702" priority="1638" stopIfTrue="1" operator="equal">
      <formula>"Napkin Hs"</formula>
    </cfRule>
    <cfRule type="cellIs" dxfId="701" priority="1639" stopIfTrue="1" operator="equal">
      <formula>"Towel"</formula>
    </cfRule>
    <cfRule type="cellIs" dxfId="700" priority="1640" stopIfTrue="1" operator="equal">
      <formula>"Napkin Hs"</formula>
    </cfRule>
    <cfRule type="cellIs" dxfId="699" priority="1641" stopIfTrue="1" operator="equal">
      <formula>"Towel"</formula>
    </cfRule>
    <cfRule type="cellIs" dxfId="698" priority="1642" stopIfTrue="1" operator="equal">
      <formula>"Napkin Hs"</formula>
    </cfRule>
    <cfRule type="cellIs" dxfId="697" priority="1643" stopIfTrue="1" operator="equal">
      <formula>"Towel"</formula>
    </cfRule>
    <cfRule type="cellIs" dxfId="696" priority="1644" stopIfTrue="1" operator="equal">
      <formula>"Napkin Hs"</formula>
    </cfRule>
  </conditionalFormatting>
  <conditionalFormatting sqref="C48:C49">
    <cfRule type="cellIs" dxfId="695" priority="277" stopIfTrue="1" operator="equal">
      <formula>"Napkin Hs"</formula>
    </cfRule>
  </conditionalFormatting>
  <conditionalFormatting sqref="C50">
    <cfRule type="cellIs" dxfId="694" priority="283" stopIfTrue="1" operator="equal">
      <formula>"Towel"</formula>
    </cfRule>
    <cfRule type="cellIs" dxfId="693" priority="284" stopIfTrue="1" operator="equal">
      <formula>"Napkin Hs"</formula>
    </cfRule>
  </conditionalFormatting>
  <conditionalFormatting sqref="C50:C51">
    <cfRule type="cellIs" dxfId="692" priority="285" stopIfTrue="1" operator="equal">
      <formula>"Towel"</formula>
    </cfRule>
    <cfRule type="cellIs" dxfId="691" priority="286" stopIfTrue="1" operator="equal">
      <formula>"Napkin Hs"</formula>
    </cfRule>
  </conditionalFormatting>
  <conditionalFormatting sqref="C51">
    <cfRule type="cellIs" dxfId="690" priority="291" stopIfTrue="1" operator="equal">
      <formula>"Towel"</formula>
    </cfRule>
    <cfRule type="cellIs" dxfId="689" priority="292" stopIfTrue="1" operator="equal">
      <formula>"Napkin Hs"</formula>
    </cfRule>
  </conditionalFormatting>
  <conditionalFormatting sqref="C52:C53">
    <cfRule type="cellIs" dxfId="688" priority="265" stopIfTrue="1" operator="equal">
      <formula>"Napkin Hs"</formula>
    </cfRule>
  </conditionalFormatting>
  <conditionalFormatting sqref="C54">
    <cfRule type="cellIs" dxfId="687" priority="271" stopIfTrue="1" operator="equal">
      <formula>"Towel"</formula>
    </cfRule>
    <cfRule type="cellIs" dxfId="686" priority="272" stopIfTrue="1" operator="equal">
      <formula>"Napkin Hs"</formula>
    </cfRule>
  </conditionalFormatting>
  <conditionalFormatting sqref="C54:C55">
    <cfRule type="cellIs" dxfId="685" priority="273" stopIfTrue="1" operator="equal">
      <formula>"Towel"</formula>
    </cfRule>
    <cfRule type="cellIs" dxfId="684" priority="274" stopIfTrue="1" operator="equal">
      <formula>"Napkin Hs"</formula>
    </cfRule>
  </conditionalFormatting>
  <conditionalFormatting sqref="C55">
    <cfRule type="cellIs" dxfId="683" priority="1625" stopIfTrue="1" operator="equal">
      <formula>"Towel"</formula>
    </cfRule>
    <cfRule type="cellIs" dxfId="682" priority="1626" stopIfTrue="1" operator="equal">
      <formula>"Napkin Hs"</formula>
    </cfRule>
  </conditionalFormatting>
  <conditionalFormatting sqref="C56:C57">
    <cfRule type="cellIs" dxfId="681" priority="249" stopIfTrue="1" operator="equal">
      <formula>"Napkin Hs"</formula>
    </cfRule>
  </conditionalFormatting>
  <conditionalFormatting sqref="C58">
    <cfRule type="cellIs" dxfId="680" priority="253" stopIfTrue="1" operator="equal">
      <formula>"Towel"</formula>
    </cfRule>
    <cfRule type="cellIs" dxfId="679" priority="254" stopIfTrue="1" operator="equal">
      <formula>"Napkin Hs"</formula>
    </cfRule>
  </conditionalFormatting>
  <conditionalFormatting sqref="C58:C59">
    <cfRule type="cellIs" dxfId="678" priority="255" stopIfTrue="1" operator="equal">
      <formula>"Towel"</formula>
    </cfRule>
    <cfRule type="cellIs" dxfId="677" priority="256" stopIfTrue="1" operator="equal">
      <formula>"Napkin Hs"</formula>
    </cfRule>
  </conditionalFormatting>
  <conditionalFormatting sqref="C59">
    <cfRule type="cellIs" dxfId="676" priority="261" stopIfTrue="1" operator="equal">
      <formula>"Towel"</formula>
    </cfRule>
    <cfRule type="cellIs" dxfId="675" priority="262" stopIfTrue="1" operator="equal">
      <formula>"Napkin Hs"</formula>
    </cfRule>
  </conditionalFormatting>
  <conditionalFormatting sqref="C60:C61">
    <cfRule type="cellIs" dxfId="674" priority="239" stopIfTrue="1" operator="equal">
      <formula>"Napkin Hs"</formula>
    </cfRule>
  </conditionalFormatting>
  <conditionalFormatting sqref="C62">
    <cfRule type="cellIs" dxfId="673" priority="243" stopIfTrue="1" operator="equal">
      <formula>"Towel"</formula>
    </cfRule>
    <cfRule type="cellIs" dxfId="672" priority="244" stopIfTrue="1" operator="equal">
      <formula>"Napkin Hs"</formula>
    </cfRule>
    <cfRule type="cellIs" dxfId="671" priority="245" stopIfTrue="1" operator="equal">
      <formula>"Towel"</formula>
    </cfRule>
    <cfRule type="cellIs" dxfId="670" priority="246" stopIfTrue="1" operator="equal">
      <formula>"Napkin Hs"</formula>
    </cfRule>
  </conditionalFormatting>
  <conditionalFormatting sqref="C63">
    <cfRule type="cellIs" dxfId="669" priority="1455" stopIfTrue="1" operator="equal">
      <formula>"Towel"</formula>
    </cfRule>
    <cfRule type="cellIs" dxfId="668" priority="1456" stopIfTrue="1" operator="equal">
      <formula>"Napkin Hs"</formula>
    </cfRule>
    <cfRule type="cellIs" dxfId="667" priority="1457" stopIfTrue="1" operator="equal">
      <formula>"Towel"</formula>
    </cfRule>
    <cfRule type="cellIs" dxfId="666" priority="1458" stopIfTrue="1" operator="equal">
      <formula>"Napkin Hs"</formula>
    </cfRule>
    <cfRule type="cellIs" dxfId="665" priority="1459" stopIfTrue="1" operator="equal">
      <formula>"Towel"</formula>
    </cfRule>
    <cfRule type="cellIs" dxfId="664" priority="1460" stopIfTrue="1" operator="equal">
      <formula>"Napkin Hs"</formula>
    </cfRule>
    <cfRule type="cellIs" dxfId="663" priority="1461" stopIfTrue="1" operator="equal">
      <formula>"Towel"</formula>
    </cfRule>
    <cfRule type="cellIs" dxfId="662" priority="1462" stopIfTrue="1" operator="equal">
      <formula>"Napkin Hs"</formula>
    </cfRule>
    <cfRule type="cellIs" dxfId="661" priority="1463" stopIfTrue="1" operator="equal">
      <formula>"Towel"</formula>
    </cfRule>
    <cfRule type="cellIs" dxfId="660" priority="1464" stopIfTrue="1" operator="equal">
      <formula>"Napkin Hs"</formula>
    </cfRule>
  </conditionalFormatting>
  <conditionalFormatting sqref="C64:C65">
    <cfRule type="cellIs" dxfId="659" priority="229" stopIfTrue="1" operator="equal">
      <formula>"Napkin Hs"</formula>
    </cfRule>
  </conditionalFormatting>
  <conditionalFormatting sqref="C66:C67">
    <cfRule type="cellIs" dxfId="658" priority="233" stopIfTrue="1" operator="equal">
      <formula>"Towel"</formula>
    </cfRule>
    <cfRule type="cellIs" dxfId="657" priority="234" stopIfTrue="1" operator="equal">
      <formula>"Napkin Hs"</formula>
    </cfRule>
  </conditionalFormatting>
  <conditionalFormatting sqref="C66:C68">
    <cfRule type="cellIs" dxfId="656" priority="235" stopIfTrue="1" operator="equal">
      <formula>"Towel"</formula>
    </cfRule>
    <cfRule type="cellIs" dxfId="655" priority="236" stopIfTrue="1" operator="equal">
      <formula>"Napkin Hs"</formula>
    </cfRule>
  </conditionalFormatting>
  <conditionalFormatting sqref="C68">
    <cfRule type="cellIs" dxfId="654" priority="1423" stopIfTrue="1" operator="equal">
      <formula>"Towel"</formula>
    </cfRule>
    <cfRule type="cellIs" dxfId="653" priority="1424" stopIfTrue="1" operator="equal">
      <formula>"Napkin Hs"</formula>
    </cfRule>
  </conditionalFormatting>
  <conditionalFormatting sqref="C69:C70">
    <cfRule type="cellIs" dxfId="652" priority="219" stopIfTrue="1" operator="equal">
      <formula>"Napkin Hs"</formula>
    </cfRule>
  </conditionalFormatting>
  <conditionalFormatting sqref="C71">
    <cfRule type="cellIs" dxfId="651" priority="223" stopIfTrue="1" operator="equal">
      <formula>"Towel"</formula>
    </cfRule>
    <cfRule type="cellIs" dxfId="650" priority="224" stopIfTrue="1" operator="equal">
      <formula>"Napkin Hs"</formula>
    </cfRule>
  </conditionalFormatting>
  <conditionalFormatting sqref="C71:C72">
    <cfRule type="cellIs" dxfId="649" priority="225" stopIfTrue="1" operator="equal">
      <formula>"Towel"</formula>
    </cfRule>
    <cfRule type="cellIs" dxfId="648" priority="226" stopIfTrue="1" operator="equal">
      <formula>"Napkin Hs"</formula>
    </cfRule>
  </conditionalFormatting>
  <conditionalFormatting sqref="C72">
    <cfRule type="cellIs" dxfId="647" priority="2565" stopIfTrue="1" operator="equal">
      <formula>"Towel"</formula>
    </cfRule>
    <cfRule type="cellIs" dxfId="646" priority="2566" stopIfTrue="1" operator="equal">
      <formula>"Napkin Hs"</formula>
    </cfRule>
  </conditionalFormatting>
  <conditionalFormatting sqref="C73:C74">
    <cfRule type="cellIs" dxfId="645" priority="207" stopIfTrue="1" operator="equal">
      <formula>"Napkin Hs"</formula>
    </cfRule>
  </conditionalFormatting>
  <conditionalFormatting sqref="C75">
    <cfRule type="cellIs" dxfId="644" priority="213" stopIfTrue="1" operator="equal">
      <formula>"Towel"</formula>
    </cfRule>
    <cfRule type="cellIs" dxfId="643" priority="214" stopIfTrue="1" operator="equal">
      <formula>"Napkin Hs"</formula>
    </cfRule>
    <cfRule type="cellIs" dxfId="642" priority="215" stopIfTrue="1" operator="equal">
      <formula>"Towel"</formula>
    </cfRule>
    <cfRule type="cellIs" dxfId="641" priority="216" stopIfTrue="1" operator="equal">
      <formula>"Napkin Hs"</formula>
    </cfRule>
  </conditionalFormatting>
  <conditionalFormatting sqref="C76">
    <cfRule type="cellIs" dxfId="640" priority="1341" stopIfTrue="1" operator="equal">
      <formula>"Towel"</formula>
    </cfRule>
    <cfRule type="cellIs" dxfId="639" priority="1342" stopIfTrue="1" operator="equal">
      <formula>"Napkin Hs"</formula>
    </cfRule>
    <cfRule type="cellIs" dxfId="638" priority="1343" stopIfTrue="1" operator="equal">
      <formula>"Towel"</formula>
    </cfRule>
    <cfRule type="cellIs" dxfId="637" priority="1344" stopIfTrue="1" operator="equal">
      <formula>"Napkin Hs"</formula>
    </cfRule>
    <cfRule type="cellIs" dxfId="636" priority="1345" stopIfTrue="1" operator="equal">
      <formula>"Towel"</formula>
    </cfRule>
    <cfRule type="cellIs" dxfId="635" priority="1346" stopIfTrue="1" operator="equal">
      <formula>"Napkin Hs"</formula>
    </cfRule>
    <cfRule type="cellIs" dxfId="634" priority="1347" stopIfTrue="1" operator="equal">
      <formula>"Towel"</formula>
    </cfRule>
    <cfRule type="cellIs" dxfId="633" priority="1348" stopIfTrue="1" operator="equal">
      <formula>"Napkin Hs"</formula>
    </cfRule>
    <cfRule type="cellIs" dxfId="632" priority="1349" stopIfTrue="1" operator="equal">
      <formula>"Towel"</formula>
    </cfRule>
    <cfRule type="cellIs" dxfId="631" priority="1350" stopIfTrue="1" operator="equal">
      <formula>"Napkin Hs"</formula>
    </cfRule>
  </conditionalFormatting>
  <conditionalFormatting sqref="C77:C78">
    <cfRule type="cellIs" dxfId="630" priority="195" stopIfTrue="1" operator="equal">
      <formula>"Napkin Hs"</formula>
    </cfRule>
  </conditionalFormatting>
  <conditionalFormatting sqref="C79">
    <cfRule type="cellIs" dxfId="629" priority="201" stopIfTrue="1" operator="equal">
      <formula>"Towel"</formula>
    </cfRule>
    <cfRule type="cellIs" dxfId="628" priority="202" stopIfTrue="1" operator="equal">
      <formula>"Napkin Hs"</formula>
    </cfRule>
  </conditionalFormatting>
  <conditionalFormatting sqref="C79:C80">
    <cfRule type="cellIs" dxfId="627" priority="203" stopIfTrue="1" operator="equal">
      <formula>"Towel"</formula>
    </cfRule>
    <cfRule type="cellIs" dxfId="626" priority="204" stopIfTrue="1" operator="equal">
      <formula>"Napkin Hs"</formula>
    </cfRule>
  </conditionalFormatting>
  <conditionalFormatting sqref="C80">
    <cfRule type="cellIs" dxfId="625" priority="2529" stopIfTrue="1" operator="equal">
      <formula>"Towel"</formula>
    </cfRule>
    <cfRule type="cellIs" dxfId="624" priority="2530" stopIfTrue="1" operator="equal">
      <formula>"Napkin Hs"</formula>
    </cfRule>
  </conditionalFormatting>
  <conditionalFormatting sqref="C81">
    <cfRule type="cellIs" dxfId="623" priority="177" stopIfTrue="1" operator="equal">
      <formula>"Napkin Hs"</formula>
    </cfRule>
  </conditionalFormatting>
  <conditionalFormatting sqref="C82">
    <cfRule type="cellIs" dxfId="622" priority="179" stopIfTrue="1" operator="equal">
      <formula>"Towel"</formula>
    </cfRule>
    <cfRule type="cellIs" dxfId="621" priority="180" stopIfTrue="1" operator="equal">
      <formula>"Napkin Hs"</formula>
    </cfRule>
  </conditionalFormatting>
  <conditionalFormatting sqref="C82:C84">
    <cfRule type="cellIs" dxfId="620" priority="181" stopIfTrue="1" operator="equal">
      <formula>"Towel"</formula>
    </cfRule>
    <cfRule type="cellIs" dxfId="619" priority="182" stopIfTrue="1" operator="equal">
      <formula>"Napkin Hs"</formula>
    </cfRule>
  </conditionalFormatting>
  <conditionalFormatting sqref="C83:C84">
    <cfRule type="cellIs" dxfId="618" priority="191" stopIfTrue="1" operator="equal">
      <formula>"Towel"</formula>
    </cfRule>
    <cfRule type="cellIs" dxfId="617" priority="192" stopIfTrue="1" operator="equal">
      <formula>"Napkin Hs"</formula>
    </cfRule>
  </conditionalFormatting>
  <conditionalFormatting sqref="C85">
    <cfRule type="cellIs" dxfId="616" priority="1221" stopIfTrue="1" operator="equal">
      <formula>"Towel"</formula>
    </cfRule>
    <cfRule type="cellIs" dxfId="615" priority="1222" stopIfTrue="1" operator="equal">
      <formula>"Napkin Hs"</formula>
    </cfRule>
    <cfRule type="cellIs" dxfId="614" priority="1223" stopIfTrue="1" operator="equal">
      <formula>"Towel"</formula>
    </cfRule>
    <cfRule type="cellIs" dxfId="613" priority="1224" stopIfTrue="1" operator="equal">
      <formula>"Napkin Hs"</formula>
    </cfRule>
    <cfRule type="cellIs" dxfId="612" priority="1225" stopIfTrue="1" operator="equal">
      <formula>"Towel"</formula>
    </cfRule>
    <cfRule type="cellIs" dxfId="611" priority="1226" stopIfTrue="1" operator="equal">
      <formula>"Napkin Hs"</formula>
    </cfRule>
    <cfRule type="cellIs" dxfId="610" priority="1227" stopIfTrue="1" operator="equal">
      <formula>"Towel"</formula>
    </cfRule>
    <cfRule type="cellIs" dxfId="609" priority="1228" stopIfTrue="1" operator="equal">
      <formula>"Napkin Hs"</formula>
    </cfRule>
    <cfRule type="cellIs" dxfId="608" priority="1229" stopIfTrue="1" operator="equal">
      <formula>"Towel"</formula>
    </cfRule>
    <cfRule type="cellIs" dxfId="607" priority="1230" stopIfTrue="1" operator="equal">
      <formula>"Napkin Hs"</formula>
    </cfRule>
  </conditionalFormatting>
  <conditionalFormatting sqref="C86:C87">
    <cfRule type="cellIs" dxfId="606" priority="163" stopIfTrue="1" operator="equal">
      <formula>"Napkin Hs"</formula>
    </cfRule>
  </conditionalFormatting>
  <conditionalFormatting sqref="C88">
    <cfRule type="cellIs" dxfId="605" priority="171" stopIfTrue="1" operator="equal">
      <formula>"Towel"</formula>
    </cfRule>
    <cfRule type="cellIs" dxfId="604" priority="172" stopIfTrue="1" operator="equal">
      <formula>"Napkin Hs"</formula>
    </cfRule>
  </conditionalFormatting>
  <conditionalFormatting sqref="C88:C89">
    <cfRule type="cellIs" dxfId="603" priority="173" stopIfTrue="1" operator="equal">
      <formula>"Towel"</formula>
    </cfRule>
    <cfRule type="cellIs" dxfId="602" priority="174" stopIfTrue="1" operator="equal">
      <formula>"Napkin Hs"</formula>
    </cfRule>
  </conditionalFormatting>
  <conditionalFormatting sqref="C89">
    <cfRule type="cellIs" dxfId="601" priority="2497" stopIfTrue="1" operator="equal">
      <formula>"Towel"</formula>
    </cfRule>
    <cfRule type="cellIs" dxfId="600" priority="2498" stopIfTrue="1" operator="equal">
      <formula>"Napkin Hs"</formula>
    </cfRule>
  </conditionalFormatting>
  <conditionalFormatting sqref="C90:C91">
    <cfRule type="cellIs" dxfId="599" priority="153" stopIfTrue="1" operator="equal">
      <formula>"Napkin Hs"</formula>
    </cfRule>
  </conditionalFormatting>
  <conditionalFormatting sqref="C92">
    <cfRule type="cellIs" dxfId="598" priority="157" stopIfTrue="1" operator="equal">
      <formula>"Towel"</formula>
    </cfRule>
    <cfRule type="cellIs" dxfId="597" priority="158" stopIfTrue="1" operator="equal">
      <formula>"Napkin Hs"</formula>
    </cfRule>
  </conditionalFormatting>
  <conditionalFormatting sqref="C92:C93">
    <cfRule type="cellIs" dxfId="596" priority="159" stopIfTrue="1" operator="equal">
      <formula>"Towel"</formula>
    </cfRule>
    <cfRule type="cellIs" dxfId="595" priority="160" stopIfTrue="1" operator="equal">
      <formula>"Napkin Hs"</formula>
    </cfRule>
  </conditionalFormatting>
  <conditionalFormatting sqref="C93">
    <cfRule type="cellIs" dxfId="594" priority="2471" stopIfTrue="1" operator="equal">
      <formula>"Towel"</formula>
    </cfRule>
    <cfRule type="cellIs" dxfId="593" priority="2472" stopIfTrue="1" operator="equal">
      <formula>"Napkin Hs"</formula>
    </cfRule>
  </conditionalFormatting>
  <conditionalFormatting sqref="C94:C95">
    <cfRule type="cellIs" dxfId="592" priority="143" stopIfTrue="1" operator="equal">
      <formula>"Napkin Hs"</formula>
    </cfRule>
  </conditionalFormatting>
  <conditionalFormatting sqref="C96">
    <cfRule type="cellIs" dxfId="591" priority="147" stopIfTrue="1" operator="equal">
      <formula>"Towel"</formula>
    </cfRule>
    <cfRule type="cellIs" dxfId="590" priority="148" stopIfTrue="1" operator="equal">
      <formula>"Napkin Hs"</formula>
    </cfRule>
    <cfRule type="cellIs" dxfId="589" priority="149" stopIfTrue="1" operator="equal">
      <formula>"Towel"</formula>
    </cfRule>
    <cfRule type="cellIs" dxfId="588" priority="150" stopIfTrue="1" operator="equal">
      <formula>"Napkin Hs"</formula>
    </cfRule>
  </conditionalFormatting>
  <conditionalFormatting sqref="C97">
    <cfRule type="cellIs" dxfId="587" priority="1051" stopIfTrue="1" operator="equal">
      <formula>"Towel"</formula>
    </cfRule>
    <cfRule type="cellIs" dxfId="586" priority="1052" stopIfTrue="1" operator="equal">
      <formula>"Napkin Hs"</formula>
    </cfRule>
    <cfRule type="cellIs" dxfId="585" priority="1053" stopIfTrue="1" operator="equal">
      <formula>"Towel"</formula>
    </cfRule>
    <cfRule type="cellIs" dxfId="584" priority="1054" stopIfTrue="1" operator="equal">
      <formula>"Napkin Hs"</formula>
    </cfRule>
    <cfRule type="cellIs" dxfId="583" priority="1055" stopIfTrue="1" operator="equal">
      <formula>"Towel"</formula>
    </cfRule>
    <cfRule type="cellIs" dxfId="582" priority="1056" stopIfTrue="1" operator="equal">
      <formula>"Napkin Hs"</formula>
    </cfRule>
    <cfRule type="cellIs" dxfId="581" priority="1057" stopIfTrue="1" operator="equal">
      <formula>"Towel"</formula>
    </cfRule>
    <cfRule type="cellIs" dxfId="580" priority="1058" stopIfTrue="1" operator="equal">
      <formula>"Napkin Hs"</formula>
    </cfRule>
    <cfRule type="cellIs" dxfId="579" priority="1059" stopIfTrue="1" operator="equal">
      <formula>"Towel"</formula>
    </cfRule>
    <cfRule type="cellIs" dxfId="578" priority="1060" stopIfTrue="1" operator="equal">
      <formula>"Napkin Hs"</formula>
    </cfRule>
    <cfRule type="cellIs" dxfId="577" priority="1061" stopIfTrue="1" operator="equal">
      <formula>"Towel"</formula>
    </cfRule>
    <cfRule type="cellIs" dxfId="576" priority="1062" stopIfTrue="1" operator="equal">
      <formula>"Napkin Hs"</formula>
    </cfRule>
    <cfRule type="cellIs" dxfId="575" priority="1063" stopIfTrue="1" operator="equal">
      <formula>"Towel"</formula>
    </cfRule>
    <cfRule type="cellIs" dxfId="574" priority="1064" stopIfTrue="1" operator="equal">
      <formula>"Napkin Hs"</formula>
    </cfRule>
  </conditionalFormatting>
  <conditionalFormatting sqref="C98:C99">
    <cfRule type="cellIs" dxfId="573" priority="111" stopIfTrue="1" operator="equal">
      <formula>"Napkin Hs"</formula>
    </cfRule>
  </conditionalFormatting>
  <conditionalFormatting sqref="C100">
    <cfRule type="cellIs" dxfId="572" priority="115" stopIfTrue="1" operator="equal">
      <formula>"Towel"</formula>
    </cfRule>
    <cfRule type="cellIs" dxfId="571" priority="116" stopIfTrue="1" operator="equal">
      <formula>"Napkin Hs"</formula>
    </cfRule>
    <cfRule type="cellIs" dxfId="570" priority="117" stopIfTrue="1" operator="equal">
      <formula>"Towel"</formula>
    </cfRule>
    <cfRule type="cellIs" dxfId="569" priority="118" stopIfTrue="1" operator="equal">
      <formula>"Napkin Hs"</formula>
    </cfRule>
  </conditionalFormatting>
  <conditionalFormatting sqref="C101">
    <cfRule type="cellIs" dxfId="568" priority="127" stopIfTrue="1" operator="equal">
      <formula>"Towel"</formula>
    </cfRule>
    <cfRule type="cellIs" dxfId="567" priority="128" stopIfTrue="1" operator="equal">
      <formula>"Napkin Hs"</formula>
    </cfRule>
    <cfRule type="cellIs" dxfId="566" priority="129" stopIfTrue="1" operator="equal">
      <formula>"Towel"</formula>
    </cfRule>
    <cfRule type="cellIs" dxfId="565" priority="130" stopIfTrue="1" operator="equal">
      <formula>"Napkin Hs"</formula>
    </cfRule>
    <cfRule type="cellIs" dxfId="564" priority="131" stopIfTrue="1" operator="equal">
      <formula>"Towel"</formula>
    </cfRule>
    <cfRule type="cellIs" dxfId="563" priority="132" stopIfTrue="1" operator="equal">
      <formula>"Napkin Hs"</formula>
    </cfRule>
    <cfRule type="cellIs" dxfId="562" priority="133" stopIfTrue="1" operator="equal">
      <formula>"Towel"</formula>
    </cfRule>
    <cfRule type="cellIs" dxfId="561" priority="134" stopIfTrue="1" operator="equal">
      <formula>"Napkin Hs"</formula>
    </cfRule>
    <cfRule type="cellIs" dxfId="560" priority="135" stopIfTrue="1" operator="equal">
      <formula>"Towel"</formula>
    </cfRule>
    <cfRule type="cellIs" dxfId="559" priority="136" stopIfTrue="1" operator="equal">
      <formula>"Napkin Hs"</formula>
    </cfRule>
    <cfRule type="cellIs" dxfId="558" priority="137" stopIfTrue="1" operator="equal">
      <formula>"Towel"</formula>
    </cfRule>
    <cfRule type="cellIs" dxfId="557" priority="138" stopIfTrue="1" operator="equal">
      <formula>"Napkin Hs"</formula>
    </cfRule>
    <cfRule type="cellIs" dxfId="556" priority="139" stopIfTrue="1" operator="equal">
      <formula>"Towel"</formula>
    </cfRule>
    <cfRule type="cellIs" dxfId="555" priority="140" stopIfTrue="1" operator="equal">
      <formula>"Napkin Hs"</formula>
    </cfRule>
  </conditionalFormatting>
  <conditionalFormatting sqref="C102:C103">
    <cfRule type="cellIs" dxfId="554" priority="101" stopIfTrue="1" operator="equal">
      <formula>"Napkin Hs"</formula>
    </cfRule>
  </conditionalFormatting>
  <conditionalFormatting sqref="C104">
    <cfRule type="cellIs" dxfId="553" priority="105" stopIfTrue="1" operator="equal">
      <formula>"Towel"</formula>
    </cfRule>
    <cfRule type="cellIs" dxfId="552" priority="106" stopIfTrue="1" operator="equal">
      <formula>"Napkin Hs"</formula>
    </cfRule>
    <cfRule type="cellIs" dxfId="551" priority="107" stopIfTrue="1" operator="equal">
      <formula>"Towel"</formula>
    </cfRule>
    <cfRule type="cellIs" dxfId="550" priority="108" stopIfTrue="1" operator="equal">
      <formula>"Napkin Hs"</formula>
    </cfRule>
  </conditionalFormatting>
  <conditionalFormatting sqref="C105">
    <cfRule type="cellIs" dxfId="549" priority="893" stopIfTrue="1" operator="equal">
      <formula>"Towel"</formula>
    </cfRule>
    <cfRule type="cellIs" dxfId="548" priority="894" stopIfTrue="1" operator="equal">
      <formula>"Napkin Hs"</formula>
    </cfRule>
    <cfRule type="cellIs" dxfId="547" priority="895" stopIfTrue="1" operator="equal">
      <formula>"Towel"</formula>
    </cfRule>
    <cfRule type="cellIs" dxfId="546" priority="896" stopIfTrue="1" operator="equal">
      <formula>"Napkin Hs"</formula>
    </cfRule>
    <cfRule type="cellIs" dxfId="545" priority="897" stopIfTrue="1" operator="equal">
      <formula>"Towel"</formula>
    </cfRule>
    <cfRule type="cellIs" dxfId="544" priority="898" stopIfTrue="1" operator="equal">
      <formula>"Napkin Hs"</formula>
    </cfRule>
    <cfRule type="cellIs" dxfId="543" priority="899" stopIfTrue="1" operator="equal">
      <formula>"Towel"</formula>
    </cfRule>
    <cfRule type="cellIs" dxfId="542" priority="900" stopIfTrue="1" operator="equal">
      <formula>"Napkin Hs"</formula>
    </cfRule>
    <cfRule type="cellIs" dxfId="541" priority="901" stopIfTrue="1" operator="equal">
      <formula>"Towel"</formula>
    </cfRule>
    <cfRule type="cellIs" dxfId="540" priority="902" stopIfTrue="1" operator="equal">
      <formula>"Napkin Hs"</formula>
    </cfRule>
    <cfRule type="cellIs" dxfId="539" priority="903" stopIfTrue="1" operator="equal">
      <formula>"Towel"</formula>
    </cfRule>
    <cfRule type="cellIs" dxfId="538" priority="904" stopIfTrue="1" operator="equal">
      <formula>"Napkin Hs"</formula>
    </cfRule>
    <cfRule type="cellIs" dxfId="537" priority="905" stopIfTrue="1" operator="equal">
      <formula>"Towel"</formula>
    </cfRule>
    <cfRule type="cellIs" dxfId="536" priority="906" stopIfTrue="1" operator="equal">
      <formula>"Napkin Hs"</formula>
    </cfRule>
  </conditionalFormatting>
  <conditionalFormatting sqref="C106:C110">
    <cfRule type="cellIs" dxfId="535" priority="86" stopIfTrue="1" operator="equal">
      <formula>"Napkin Hs"</formula>
    </cfRule>
  </conditionalFormatting>
  <conditionalFormatting sqref="C109">
    <cfRule type="cellIs" dxfId="534" priority="83" stopIfTrue="1" operator="equal">
      <formula>"Towel"</formula>
    </cfRule>
    <cfRule type="cellIs" dxfId="533" priority="84" stopIfTrue="1" operator="equal">
      <formula>"Napkin Hs"</formula>
    </cfRule>
  </conditionalFormatting>
  <conditionalFormatting sqref="C109:C110">
    <cfRule type="cellIs" dxfId="532" priority="85" stopIfTrue="1" operator="equal">
      <formula>"Towel"</formula>
    </cfRule>
  </conditionalFormatting>
  <conditionalFormatting sqref="C110">
    <cfRule type="cellIs" dxfId="531" priority="2401" stopIfTrue="1" operator="equal">
      <formula>"Towel"</formula>
    </cfRule>
    <cfRule type="cellIs" dxfId="530" priority="2402" stopIfTrue="1" operator="equal">
      <formula>"Napkin Hs"</formula>
    </cfRule>
  </conditionalFormatting>
  <conditionalFormatting sqref="C111:C116">
    <cfRule type="cellIs" dxfId="529" priority="68" stopIfTrue="1" operator="equal">
      <formula>"Napkin Hs"</formula>
    </cfRule>
  </conditionalFormatting>
  <conditionalFormatting sqref="C114:C115">
    <cfRule type="cellIs" dxfId="528" priority="65" stopIfTrue="1" operator="equal">
      <formula>"Towel"</formula>
    </cfRule>
    <cfRule type="cellIs" dxfId="527" priority="66" stopIfTrue="1" operator="equal">
      <formula>"Napkin Hs"</formula>
    </cfRule>
  </conditionalFormatting>
  <conditionalFormatting sqref="C114:C116">
    <cfRule type="cellIs" dxfId="526" priority="67" stopIfTrue="1" operator="equal">
      <formula>"Towel"</formula>
    </cfRule>
  </conditionalFormatting>
  <conditionalFormatting sqref="C116">
    <cfRule type="cellIs" dxfId="525" priority="635" stopIfTrue="1" operator="equal">
      <formula>"Towel"</formula>
    </cfRule>
    <cfRule type="cellIs" dxfId="524" priority="636" stopIfTrue="1" operator="equal">
      <formula>"Napkin Hs"</formula>
    </cfRule>
  </conditionalFormatting>
  <conditionalFormatting sqref="C121">
    <cfRule type="cellIs" dxfId="523" priority="641" stopIfTrue="1" operator="equal">
      <formula>"Towel"</formula>
    </cfRule>
    <cfRule type="cellIs" dxfId="522" priority="642" stopIfTrue="1" operator="equal">
      <formula>"Napkin Hs"</formula>
    </cfRule>
  </conditionalFormatting>
  <conditionalFormatting sqref="C121">
    <cfRule type="cellIs" dxfId="521" priority="2349" stopIfTrue="1" operator="equal">
      <formula>"Towel"</formula>
    </cfRule>
    <cfRule type="cellIs" dxfId="520" priority="2350" stopIfTrue="1" operator="equal">
      <formula>"Napkin Hs"</formula>
    </cfRule>
  </conditionalFormatting>
  <conditionalFormatting sqref="C126">
    <cfRule type="cellIs" dxfId="519" priority="631" stopIfTrue="1" operator="equal">
      <formula>"Towel"</formula>
    </cfRule>
    <cfRule type="cellIs" dxfId="518" priority="632" stopIfTrue="1" operator="equal">
      <formula>"Napkin Hs"</formula>
    </cfRule>
  </conditionalFormatting>
  <conditionalFormatting sqref="C126">
    <cfRule type="cellIs" dxfId="517" priority="2317" stopIfTrue="1" operator="equal">
      <formula>"Towel"</formula>
    </cfRule>
    <cfRule type="cellIs" dxfId="516" priority="2318" stopIfTrue="1" operator="equal">
      <formula>"Napkin Hs"</formula>
    </cfRule>
  </conditionalFormatting>
  <conditionalFormatting sqref="C134">
    <cfRule type="cellIs" dxfId="515" priority="525" stopIfTrue="1" operator="equal">
      <formula>"Towel"</formula>
    </cfRule>
    <cfRule type="cellIs" dxfId="514" priority="526" stopIfTrue="1" operator="equal">
      <formula>"Napkin Hs"</formula>
    </cfRule>
    <cfRule type="cellIs" dxfId="513" priority="527" stopIfTrue="1" operator="equal">
      <formula>"Towel"</formula>
    </cfRule>
    <cfRule type="cellIs" dxfId="512" priority="528" stopIfTrue="1" operator="equal">
      <formula>"Napkin Hs"</formula>
    </cfRule>
    <cfRule type="cellIs" dxfId="511" priority="529" stopIfTrue="1" operator="equal">
      <formula>"Towel"</formula>
    </cfRule>
    <cfRule type="cellIs" dxfId="510" priority="530" stopIfTrue="1" operator="equal">
      <formula>"Napkin Hs"</formula>
    </cfRule>
    <cfRule type="cellIs" dxfId="509" priority="531" stopIfTrue="1" operator="equal">
      <formula>"Towel"</formula>
    </cfRule>
    <cfRule type="cellIs" dxfId="508" priority="532" stopIfTrue="1" operator="equal">
      <formula>"Napkin Hs"</formula>
    </cfRule>
    <cfRule type="cellIs" dxfId="507" priority="533" stopIfTrue="1" operator="equal">
      <formula>"Towel"</formula>
    </cfRule>
    <cfRule type="cellIs" dxfId="506" priority="534" stopIfTrue="1" operator="equal">
      <formula>"Napkin Hs"</formula>
    </cfRule>
    <cfRule type="cellIs" dxfId="505" priority="535" stopIfTrue="1" operator="equal">
      <formula>"Towel"</formula>
    </cfRule>
    <cfRule type="cellIs" dxfId="504" priority="536" stopIfTrue="1" operator="equal">
      <formula>"Napkin Hs"</formula>
    </cfRule>
    <cfRule type="cellIs" dxfId="503" priority="537" stopIfTrue="1" operator="equal">
      <formula>"Towel"</formula>
    </cfRule>
    <cfRule type="cellIs" dxfId="502" priority="538" stopIfTrue="1" operator="equal">
      <formula>"Napkin Hs"</formula>
    </cfRule>
  </conditionalFormatting>
  <conditionalFormatting sqref="C138">
    <cfRule type="cellIs" dxfId="501" priority="549" stopIfTrue="1" operator="equal">
      <formula>"Towel"</formula>
    </cfRule>
    <cfRule type="cellIs" dxfId="500" priority="550" stopIfTrue="1" operator="equal">
      <formula>"Napkin Hs"</formula>
    </cfRule>
  </conditionalFormatting>
  <conditionalFormatting sqref="B120:C120">
    <cfRule type="cellIs" dxfId="499" priority="63" stopIfTrue="1" operator="equal">
      <formula>"Towel"</formula>
    </cfRule>
    <cfRule type="cellIs" dxfId="498" priority="64" stopIfTrue="1" operator="equal">
      <formula>"Napkin Hs"</formula>
    </cfRule>
  </conditionalFormatting>
  <conditionalFormatting sqref="C120">
    <cfRule type="cellIs" dxfId="497" priority="62" stopIfTrue="1" operator="equal">
      <formula>"Napkin Hs"</formula>
    </cfRule>
  </conditionalFormatting>
  <conditionalFormatting sqref="C120">
    <cfRule type="cellIs" dxfId="496" priority="59" stopIfTrue="1" operator="equal">
      <formula>"Towel"</formula>
    </cfRule>
    <cfRule type="cellIs" dxfId="495" priority="60" stopIfTrue="1" operator="equal">
      <formula>"Napkin Hs"</formula>
    </cfRule>
  </conditionalFormatting>
  <conditionalFormatting sqref="C120">
    <cfRule type="cellIs" dxfId="494" priority="61" stopIfTrue="1" operator="equal">
      <formula>"Towel"</formula>
    </cfRule>
  </conditionalFormatting>
  <conditionalFormatting sqref="C117:C119">
    <cfRule type="cellIs" dxfId="493" priority="58" stopIfTrue="1" operator="equal">
      <formula>"Napkin Hs"</formula>
    </cfRule>
  </conditionalFormatting>
  <conditionalFormatting sqref="B124:C125">
    <cfRule type="cellIs" dxfId="492" priority="56" stopIfTrue="1" operator="equal">
      <formula>"Towel"</formula>
    </cfRule>
    <cfRule type="cellIs" dxfId="491" priority="57" stopIfTrue="1" operator="equal">
      <formula>"Napkin Hs"</formula>
    </cfRule>
  </conditionalFormatting>
  <conditionalFormatting sqref="C124:C125">
    <cfRule type="cellIs" dxfId="490" priority="52" stopIfTrue="1" operator="equal">
      <formula>"Towel"</formula>
    </cfRule>
    <cfRule type="cellIs" dxfId="489" priority="53" stopIfTrue="1" operator="equal">
      <formula>"Napkin Hs"</formula>
    </cfRule>
    <cfRule type="cellIs" dxfId="488" priority="54" stopIfTrue="1" operator="equal">
      <formula>"Towel"</formula>
    </cfRule>
    <cfRule type="cellIs" dxfId="487" priority="55" stopIfTrue="1" operator="equal">
      <formula>"Napkin Hs"</formula>
    </cfRule>
  </conditionalFormatting>
  <conditionalFormatting sqref="C122:C123">
    <cfRule type="cellIs" dxfId="486" priority="50" stopIfTrue="1" operator="equal">
      <formula>"Napkin Hs"</formula>
    </cfRule>
  </conditionalFormatting>
  <conditionalFormatting sqref="B129:C129">
    <cfRule type="cellIs" dxfId="485" priority="48" stopIfTrue="1" operator="equal">
      <formula>"Towel"</formula>
    </cfRule>
    <cfRule type="cellIs" dxfId="484" priority="49" stopIfTrue="1" operator="equal">
      <formula>"Napkin Hs"</formula>
    </cfRule>
  </conditionalFormatting>
  <conditionalFormatting sqref="C129">
    <cfRule type="cellIs" dxfId="483" priority="44" stopIfTrue="1" operator="equal">
      <formula>"Towel"</formula>
    </cfRule>
    <cfRule type="cellIs" dxfId="482" priority="45" stopIfTrue="1" operator="equal">
      <formula>"Napkin Hs"</formula>
    </cfRule>
    <cfRule type="cellIs" dxfId="481" priority="46" stopIfTrue="1" operator="equal">
      <formula>"Towel"</formula>
    </cfRule>
    <cfRule type="cellIs" dxfId="480" priority="47" stopIfTrue="1" operator="equal">
      <formula>"Napkin Hs"</formula>
    </cfRule>
  </conditionalFormatting>
  <conditionalFormatting sqref="C128">
    <cfRule type="cellIs" dxfId="479" priority="43" stopIfTrue="1" operator="equal">
      <formula>"Napkin Hs"</formula>
    </cfRule>
  </conditionalFormatting>
  <conditionalFormatting sqref="C127">
    <cfRule type="cellIs" dxfId="478" priority="42" stopIfTrue="1" operator="equal">
      <formula>"Napkin Hs"</formula>
    </cfRule>
  </conditionalFormatting>
  <conditionalFormatting sqref="B133:C133">
    <cfRule type="cellIs" dxfId="477" priority="40" stopIfTrue="1" operator="equal">
      <formula>"Towel"</formula>
    </cfRule>
    <cfRule type="cellIs" dxfId="476" priority="41" stopIfTrue="1" operator="equal">
      <formula>"Napkin Hs"</formula>
    </cfRule>
  </conditionalFormatting>
  <conditionalFormatting sqref="C133">
    <cfRule type="cellIs" dxfId="475" priority="36" stopIfTrue="1" operator="equal">
      <formula>"Towel"</formula>
    </cfRule>
    <cfRule type="cellIs" dxfId="474" priority="37" stopIfTrue="1" operator="equal">
      <formula>"Napkin Hs"</formula>
    </cfRule>
    <cfRule type="cellIs" dxfId="473" priority="38" stopIfTrue="1" operator="equal">
      <formula>"Towel"</formula>
    </cfRule>
    <cfRule type="cellIs" dxfId="472" priority="39" stopIfTrue="1" operator="equal">
      <formula>"Napkin Hs"</formula>
    </cfRule>
  </conditionalFormatting>
  <conditionalFormatting sqref="C132">
    <cfRule type="cellIs" dxfId="471" priority="33" stopIfTrue="1" operator="equal">
      <formula>"Napkin Hs"</formula>
    </cfRule>
  </conditionalFormatting>
  <conditionalFormatting sqref="C130">
    <cfRule type="cellIs" dxfId="470" priority="32" stopIfTrue="1" operator="equal">
      <formula>"Napkin Hs"</formula>
    </cfRule>
  </conditionalFormatting>
  <conditionalFormatting sqref="C131">
    <cfRule type="cellIs" dxfId="469" priority="31" stopIfTrue="1" operator="equal">
      <formula>"Napkin Hs"</formula>
    </cfRule>
  </conditionalFormatting>
  <conditionalFormatting sqref="B137:C137">
    <cfRule type="cellIs" dxfId="468" priority="29" stopIfTrue="1" operator="equal">
      <formula>"Towel"</formula>
    </cfRule>
    <cfRule type="cellIs" dxfId="467" priority="30" stopIfTrue="1" operator="equal">
      <formula>"Napkin Hs"</formula>
    </cfRule>
  </conditionalFormatting>
  <conditionalFormatting sqref="C137">
    <cfRule type="cellIs" dxfId="466" priority="25" stopIfTrue="1" operator="equal">
      <formula>"Towel"</formula>
    </cfRule>
    <cfRule type="cellIs" dxfId="465" priority="26" stopIfTrue="1" operator="equal">
      <formula>"Napkin Hs"</formula>
    </cfRule>
    <cfRule type="cellIs" dxfId="464" priority="27" stopIfTrue="1" operator="equal">
      <formula>"Towel"</formula>
    </cfRule>
    <cfRule type="cellIs" dxfId="463" priority="28" stopIfTrue="1" operator="equal">
      <formula>"Napkin Hs"</formula>
    </cfRule>
  </conditionalFormatting>
  <conditionalFormatting sqref="C136">
    <cfRule type="cellIs" dxfId="462" priority="24" stopIfTrue="1" operator="equal">
      <formula>"Napkin Hs"</formula>
    </cfRule>
  </conditionalFormatting>
  <conditionalFormatting sqref="C135">
    <cfRule type="cellIs" dxfId="461" priority="23" stopIfTrue="1" operator="equal">
      <formula>"Napkin Hs"</formula>
    </cfRule>
  </conditionalFormatting>
  <conditionalFormatting sqref="B142:C142">
    <cfRule type="cellIs" dxfId="460" priority="21" stopIfTrue="1" operator="equal">
      <formula>"Towel"</formula>
    </cfRule>
    <cfRule type="cellIs" dxfId="459" priority="22" stopIfTrue="1" operator="equal">
      <formula>"Napkin Hs"</formula>
    </cfRule>
  </conditionalFormatting>
  <conditionalFormatting sqref="C142">
    <cfRule type="cellIs" dxfId="458" priority="19" stopIfTrue="1" operator="equal">
      <formula>"Towel"</formula>
    </cfRule>
    <cfRule type="cellIs" dxfId="457" priority="20" stopIfTrue="1" operator="equal">
      <formula>"Napkin Hs"</formula>
    </cfRule>
  </conditionalFormatting>
  <conditionalFormatting sqref="C142">
    <cfRule type="cellIs" dxfId="456" priority="17" stopIfTrue="1" operator="equal">
      <formula>"Towel"</formula>
    </cfRule>
    <cfRule type="cellIs" dxfId="455" priority="18" stopIfTrue="1" operator="equal">
      <formula>"Napkin Hs"</formula>
    </cfRule>
  </conditionalFormatting>
  <conditionalFormatting sqref="B141:C141">
    <cfRule type="cellIs" dxfId="454" priority="15" stopIfTrue="1" operator="equal">
      <formula>"Towel"</formula>
    </cfRule>
    <cfRule type="cellIs" dxfId="453" priority="16" stopIfTrue="1" operator="equal">
      <formula>"Napkin Hs"</formula>
    </cfRule>
  </conditionalFormatting>
  <conditionalFormatting sqref="C141">
    <cfRule type="cellIs" dxfId="452" priority="11" stopIfTrue="1" operator="equal">
      <formula>"Towel"</formula>
    </cfRule>
    <cfRule type="cellIs" dxfId="451" priority="12" stopIfTrue="1" operator="equal">
      <formula>"Napkin Hs"</formula>
    </cfRule>
    <cfRule type="cellIs" dxfId="450" priority="13" stopIfTrue="1" operator="equal">
      <formula>"Towel"</formula>
    </cfRule>
    <cfRule type="cellIs" dxfId="449" priority="14" stopIfTrue="1" operator="equal">
      <formula>"Napkin Hs"</formula>
    </cfRule>
  </conditionalFormatting>
  <conditionalFormatting sqref="C140">
    <cfRule type="cellIs" dxfId="448" priority="10" stopIfTrue="1" operator="equal">
      <formula>"Napkin Hs"</formula>
    </cfRule>
  </conditionalFormatting>
  <conditionalFormatting sqref="C139">
    <cfRule type="cellIs" dxfId="447" priority="9" stopIfTrue="1" operator="equal">
      <formula>"Napkin Hs"</formula>
    </cfRule>
  </conditionalFormatting>
  <conditionalFormatting sqref="B145:C145">
    <cfRule type="cellIs" dxfId="446" priority="7" stopIfTrue="1" operator="equal">
      <formula>"Towel"</formula>
    </cfRule>
    <cfRule type="cellIs" dxfId="445" priority="8" stopIfTrue="1" operator="equal">
      <formula>"Napkin Hs"</formula>
    </cfRule>
  </conditionalFormatting>
  <conditionalFormatting sqref="C145">
    <cfRule type="cellIs" dxfId="444" priority="3" stopIfTrue="1" operator="equal">
      <formula>"Towel"</formula>
    </cfRule>
    <cfRule type="cellIs" dxfId="443" priority="4" stopIfTrue="1" operator="equal">
      <formula>"Napkin Hs"</formula>
    </cfRule>
    <cfRule type="cellIs" dxfId="442" priority="5" stopIfTrue="1" operator="equal">
      <formula>"Towel"</formula>
    </cfRule>
    <cfRule type="cellIs" dxfId="441" priority="6" stopIfTrue="1" operator="equal">
      <formula>"Napkin Hs"</formula>
    </cfRule>
  </conditionalFormatting>
  <conditionalFormatting sqref="C143:C144">
    <cfRule type="cellIs" dxfId="440" priority="1" stopIfTrue="1" operator="equal">
      <formula>"Napkin Hs"</formula>
    </cfRule>
  </conditionalFormatting>
  <pageMargins left="0.75" right="0.75" top="1" bottom="1" header="0.5" footer="0.5"/>
  <pageSetup scale="2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S190"/>
  <sheetViews>
    <sheetView zoomScale="90" zoomScaleNormal="90" workbookViewId="0">
      <pane xSplit="6" ySplit="6" topLeftCell="G142" activePane="bottomRight" state="frozen"/>
      <selection pane="topRight" activeCell="F1" sqref="F1"/>
      <selection pane="bottomLeft" activeCell="A7" sqref="A7"/>
      <selection pane="bottomRight" activeCell="K147" sqref="K147"/>
    </sheetView>
  </sheetViews>
  <sheetFormatPr defaultColWidth="10.28515625" defaultRowHeight="12"/>
  <cols>
    <col min="1" max="1" width="12.28515625" style="31" customWidth="1"/>
    <col min="2" max="3" width="14.140625" style="31" customWidth="1"/>
    <col min="4" max="4" width="10.28515625" style="31" customWidth="1"/>
    <col min="5" max="5" width="7.5703125" style="31" bestFit="1" customWidth="1"/>
    <col min="6" max="6" width="7" style="56" customWidth="1"/>
    <col min="7" max="9" width="10.28515625" style="31" customWidth="1"/>
    <col min="10" max="11" width="10.28515625" style="85" customWidth="1"/>
    <col min="12" max="13" width="12.7109375" style="57" customWidth="1"/>
    <col min="14" max="15" width="10.28515625" style="31" customWidth="1"/>
    <col min="16" max="16" width="16.85546875" style="31" bestFit="1" customWidth="1"/>
    <col min="17" max="17" width="12.7109375" style="317"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50" style="31" customWidth="1"/>
    <col min="32" max="37" width="10.28515625" style="31" customWidth="1"/>
    <col min="38" max="39" width="11.7109375" style="31" customWidth="1"/>
    <col min="40" max="41" width="10.28515625" style="31" customWidth="1"/>
    <col min="42" max="42" width="12.42578125" style="31" customWidth="1"/>
    <col min="43" max="43" width="12.5703125" style="31" customWidth="1"/>
    <col min="44" max="44" width="29.7109375" style="31" bestFit="1" customWidth="1"/>
    <col min="45" max="16384" width="10.28515625" style="31"/>
  </cols>
  <sheetData>
    <row r="1" spans="1:58" s="24" customFormat="1" ht="15.75">
      <c r="A1" s="23" t="s">
        <v>413</v>
      </c>
      <c r="G1" s="25"/>
      <c r="H1" s="25"/>
      <c r="I1" s="25"/>
      <c r="J1" s="82"/>
      <c r="K1" s="82"/>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2"/>
      <c r="G2" s="25"/>
      <c r="H2" s="25"/>
      <c r="I2" s="25"/>
      <c r="J2" s="82"/>
      <c r="K2" s="82"/>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62" t="s">
        <v>9</v>
      </c>
      <c r="B3" s="662" t="s">
        <v>10</v>
      </c>
      <c r="C3" s="662" t="s">
        <v>206</v>
      </c>
      <c r="D3" s="662" t="s">
        <v>103</v>
      </c>
      <c r="E3" s="662" t="s">
        <v>104</v>
      </c>
      <c r="F3" s="662" t="s">
        <v>105</v>
      </c>
      <c r="G3" s="688" t="s">
        <v>106</v>
      </c>
      <c r="H3" s="689"/>
      <c r="I3" s="689"/>
      <c r="J3" s="689"/>
      <c r="K3" s="690"/>
      <c r="L3" s="668" t="s">
        <v>107</v>
      </c>
      <c r="M3" s="669"/>
      <c r="N3" s="670"/>
      <c r="O3" s="674" t="s">
        <v>108</v>
      </c>
      <c r="P3" s="678" t="s">
        <v>120</v>
      </c>
      <c r="Q3" s="674" t="s">
        <v>109</v>
      </c>
      <c r="R3" s="676" t="s">
        <v>110</v>
      </c>
      <c r="S3" s="676" t="s">
        <v>111</v>
      </c>
      <c r="T3" s="662" t="s">
        <v>164</v>
      </c>
      <c r="U3" s="662" t="s">
        <v>163</v>
      </c>
      <c r="V3" s="662" t="s">
        <v>165</v>
      </c>
      <c r="W3" s="676" t="s">
        <v>155</v>
      </c>
      <c r="X3" s="664" t="s">
        <v>113</v>
      </c>
      <c r="Y3" s="664" t="s">
        <v>303</v>
      </c>
      <c r="Z3" s="676" t="s">
        <v>114</v>
      </c>
      <c r="AA3" s="662" t="s">
        <v>166</v>
      </c>
      <c r="AB3" s="662" t="s">
        <v>177</v>
      </c>
      <c r="AC3" s="662" t="s">
        <v>175</v>
      </c>
      <c r="AD3" s="662" t="s">
        <v>138</v>
      </c>
      <c r="AE3" s="662" t="s">
        <v>139</v>
      </c>
      <c r="AF3" s="698" t="s">
        <v>140</v>
      </c>
      <c r="AG3" s="698"/>
      <c r="AH3" s="698"/>
      <c r="AI3" s="698"/>
      <c r="AJ3" s="698"/>
      <c r="AK3" s="698"/>
      <c r="AL3" s="698"/>
      <c r="AM3" s="681" t="s">
        <v>141</v>
      </c>
      <c r="AN3" s="700" t="s">
        <v>115</v>
      </c>
      <c r="AO3" s="700"/>
      <c r="AP3" s="700"/>
      <c r="AQ3" s="700"/>
      <c r="AR3" s="700"/>
      <c r="AS3" s="701" t="s">
        <v>116</v>
      </c>
      <c r="AT3" s="694" t="s">
        <v>238</v>
      </c>
      <c r="AU3" s="695"/>
      <c r="AV3" s="703" t="s">
        <v>142</v>
      </c>
      <c r="AW3" s="704"/>
      <c r="AX3" s="705" t="s">
        <v>142</v>
      </c>
      <c r="AY3" s="706"/>
      <c r="AZ3" s="707" t="s">
        <v>313</v>
      </c>
      <c r="BA3" s="684" t="s">
        <v>117</v>
      </c>
      <c r="BB3" s="658" t="s">
        <v>118</v>
      </c>
      <c r="BC3" s="658" t="s">
        <v>119</v>
      </c>
      <c r="BD3" s="652" t="s">
        <v>414</v>
      </c>
      <c r="BE3" s="655" t="s">
        <v>415</v>
      </c>
      <c r="BF3" s="658" t="s">
        <v>416</v>
      </c>
    </row>
    <row r="4" spans="1:58" ht="12" customHeight="1">
      <c r="A4" s="663"/>
      <c r="B4" s="663"/>
      <c r="C4" s="663"/>
      <c r="D4" s="663"/>
      <c r="E4" s="663"/>
      <c r="F4" s="663"/>
      <c r="G4" s="691"/>
      <c r="H4" s="692"/>
      <c r="I4" s="692"/>
      <c r="J4" s="692"/>
      <c r="K4" s="693"/>
      <c r="L4" s="671"/>
      <c r="M4" s="672"/>
      <c r="N4" s="673"/>
      <c r="O4" s="675"/>
      <c r="P4" s="679"/>
      <c r="Q4" s="675"/>
      <c r="R4" s="677"/>
      <c r="S4" s="677"/>
      <c r="T4" s="663"/>
      <c r="U4" s="663"/>
      <c r="V4" s="663"/>
      <c r="W4" s="677"/>
      <c r="X4" s="665"/>
      <c r="Y4" s="665"/>
      <c r="Z4" s="677"/>
      <c r="AA4" s="663"/>
      <c r="AB4" s="663"/>
      <c r="AC4" s="663"/>
      <c r="AD4" s="663"/>
      <c r="AE4" s="663"/>
      <c r="AF4" s="685" t="s">
        <v>143</v>
      </c>
      <c r="AG4" s="686"/>
      <c r="AH4" s="687"/>
      <c r="AI4" s="679" t="s">
        <v>230</v>
      </c>
      <c r="AJ4" s="679" t="s">
        <v>16</v>
      </c>
      <c r="AK4" s="679" t="s">
        <v>144</v>
      </c>
      <c r="AL4" s="679" t="s">
        <v>19</v>
      </c>
      <c r="AM4" s="682"/>
      <c r="AN4" s="699" t="s">
        <v>121</v>
      </c>
      <c r="AO4" s="699" t="s">
        <v>16</v>
      </c>
      <c r="AP4" s="699" t="s">
        <v>122</v>
      </c>
      <c r="AQ4" s="699" t="s">
        <v>19</v>
      </c>
      <c r="AR4" s="684" t="s">
        <v>123</v>
      </c>
      <c r="AS4" s="701"/>
      <c r="AT4" s="696"/>
      <c r="AU4" s="697"/>
      <c r="AV4" s="496" t="s">
        <v>7</v>
      </c>
      <c r="AW4" s="496" t="s">
        <v>145</v>
      </c>
      <c r="AX4" s="497" t="s">
        <v>7</v>
      </c>
      <c r="AY4" s="498" t="s">
        <v>145</v>
      </c>
      <c r="AZ4" s="708"/>
      <c r="BA4" s="684"/>
      <c r="BB4" s="658"/>
      <c r="BC4" s="658"/>
      <c r="BD4" s="653"/>
      <c r="BE4" s="656"/>
      <c r="BF4" s="658"/>
    </row>
    <row r="5" spans="1:58" s="34" customFormat="1" ht="48">
      <c r="A5" s="663"/>
      <c r="B5" s="663"/>
      <c r="C5" s="667"/>
      <c r="D5" s="663"/>
      <c r="E5" s="663"/>
      <c r="F5" s="663"/>
      <c r="G5" s="480" t="s">
        <v>124</v>
      </c>
      <c r="H5" s="479" t="s">
        <v>125</v>
      </c>
      <c r="I5" s="32" t="s">
        <v>126</v>
      </c>
      <c r="J5" s="83" t="s">
        <v>127</v>
      </c>
      <c r="K5" s="83" t="s">
        <v>112</v>
      </c>
      <c r="L5" s="33" t="s">
        <v>128</v>
      </c>
      <c r="M5" s="33" t="s">
        <v>129</v>
      </c>
      <c r="N5" s="479" t="s">
        <v>130</v>
      </c>
      <c r="O5" s="675"/>
      <c r="P5" s="680"/>
      <c r="Q5" s="675"/>
      <c r="R5" s="677"/>
      <c r="S5" s="677"/>
      <c r="T5" s="663"/>
      <c r="U5" s="663"/>
      <c r="V5" s="663"/>
      <c r="W5" s="677"/>
      <c r="X5" s="665"/>
      <c r="Y5" s="666"/>
      <c r="Z5" s="677"/>
      <c r="AA5" s="663"/>
      <c r="AB5" s="667"/>
      <c r="AC5" s="663"/>
      <c r="AD5" s="667"/>
      <c r="AE5" s="663"/>
      <c r="AF5" s="410" t="s">
        <v>223</v>
      </c>
      <c r="AG5" s="500" t="s">
        <v>224</v>
      </c>
      <c r="AH5" s="500" t="s">
        <v>225</v>
      </c>
      <c r="AI5" s="680"/>
      <c r="AJ5" s="680"/>
      <c r="AK5" s="680"/>
      <c r="AL5" s="680"/>
      <c r="AM5" s="683"/>
      <c r="AN5" s="678"/>
      <c r="AO5" s="678"/>
      <c r="AP5" s="678"/>
      <c r="AQ5" s="678"/>
      <c r="AR5" s="676"/>
      <c r="AS5" s="702"/>
      <c r="AT5" s="501" t="s">
        <v>300</v>
      </c>
      <c r="AU5" s="501" t="s">
        <v>301</v>
      </c>
      <c r="AV5" s="499" t="s">
        <v>302</v>
      </c>
      <c r="AW5" s="499" t="s">
        <v>302</v>
      </c>
      <c r="AX5" s="497" t="s">
        <v>18</v>
      </c>
      <c r="AY5" s="497" t="s">
        <v>18</v>
      </c>
      <c r="AZ5" s="709"/>
      <c r="BA5" s="676"/>
      <c r="BB5" s="662"/>
      <c r="BC5" s="662"/>
      <c r="BD5" s="654"/>
      <c r="BE5" s="657"/>
      <c r="BF5" s="659"/>
    </row>
    <row r="6" spans="1:58" ht="12.95" customHeight="1">
      <c r="A6" s="42">
        <f>+Report1!A9</f>
        <v>45839</v>
      </c>
      <c r="B6" s="43" t="s">
        <v>8</v>
      </c>
      <c r="C6" s="398">
        <f>(M6*E6*O6*Q6)/100000000</f>
        <v>10.308905145000001</v>
      </c>
      <c r="D6" s="43" t="s">
        <v>307</v>
      </c>
      <c r="E6" s="44">
        <v>12</v>
      </c>
      <c r="F6" s="44">
        <v>1</v>
      </c>
      <c r="G6" s="411">
        <v>1350</v>
      </c>
      <c r="H6" s="46">
        <v>0.23</v>
      </c>
      <c r="I6" s="47">
        <v>0.88</v>
      </c>
      <c r="J6" s="84">
        <f>E6*G6*(1-H6)*1440/1000000*2.74</f>
        <v>49.217414400000003</v>
      </c>
      <c r="K6" s="84">
        <f>(IF(G6&lt;L6,L6,G6)*(1-IF(H6&lt;N6,H6,N6))*E6*O6*Q6)/100000000</f>
        <v>10.9496772</v>
      </c>
      <c r="L6" s="37">
        <v>1296.25</v>
      </c>
      <c r="M6" s="37">
        <v>978.66875000000005</v>
      </c>
      <c r="N6" s="48">
        <f>1-(M6/L6)</f>
        <v>0.245</v>
      </c>
      <c r="O6" s="49">
        <f>+'Trim Rwd'!H4</f>
        <v>266</v>
      </c>
      <c r="P6" s="50">
        <f>O6*(Q6-R6-S6)</f>
        <v>54530</v>
      </c>
      <c r="Q6" s="49">
        <f>480-150</f>
        <v>330</v>
      </c>
      <c r="R6" s="367">
        <f>240-150</f>
        <v>90</v>
      </c>
      <c r="S6" s="367">
        <v>35</v>
      </c>
      <c r="T6" s="39">
        <f>E6*M6*O6*Q6/100000000</f>
        <v>10.308905145000001</v>
      </c>
      <c r="U6" s="39">
        <f>E6*M6*O6*(Q6-R6-S6)/100000000</f>
        <v>6.4040168325000009</v>
      </c>
      <c r="V6" s="39">
        <f>E6*G6*(1-N6)*O6/100*(R6+S6)/1000000</f>
        <v>4.0668075000000004</v>
      </c>
      <c r="W6" s="39">
        <f>+'1'!K7/1000</f>
        <v>10.598000000000001</v>
      </c>
      <c r="X6" s="366">
        <f>SUM(W6:W9)/SUM(K6:K9)</f>
        <v>0.48843090226310182</v>
      </c>
      <c r="Y6" s="39">
        <v>0</v>
      </c>
      <c r="Z6" s="39">
        <f>+'1'!D34/1000</f>
        <v>0</v>
      </c>
      <c r="AA6" s="51">
        <f>SUM(U6:U9)-SUM(W6:W9)-SUM(Z6:Z9)-SUM(Y6:Y9)</f>
        <v>6.9228950942131817</v>
      </c>
      <c r="AB6" s="51">
        <f>(SUM(K6:K9)-SUM(W6:W9)-SUM(Y6:Y9)-SUM(Z6:Z9)-SUM(AC6:AC9)-SUM(V6:V9))-AA6</f>
        <v>2.4469532695368201</v>
      </c>
      <c r="AC6" s="39">
        <f>K6-T6</f>
        <v>0.64077205499999934</v>
      </c>
      <c r="AD6" s="39">
        <f>+AM6+BA6</f>
        <v>80</v>
      </c>
      <c r="AE6" s="228" t="s">
        <v>589</v>
      </c>
      <c r="AF6" s="39">
        <v>80</v>
      </c>
      <c r="AG6" s="39"/>
      <c r="AH6" s="39"/>
      <c r="AI6" s="481"/>
      <c r="AJ6" s="39"/>
      <c r="AK6" s="39"/>
      <c r="AL6" s="39"/>
      <c r="AM6" s="39">
        <f>SUM(AF6:AL6)+AT6+AV6+AX6</f>
        <v>80</v>
      </c>
      <c r="AN6" s="39"/>
      <c r="AO6" s="39"/>
      <c r="AP6" s="39"/>
      <c r="AQ6" s="39"/>
      <c r="AR6" s="39">
        <f>SUM(AN6:AQ6)</f>
        <v>0</v>
      </c>
      <c r="AS6" s="39"/>
      <c r="AT6" s="39"/>
      <c r="AU6" s="39"/>
      <c r="AV6" s="39"/>
      <c r="AW6" s="39"/>
      <c r="AX6" s="39"/>
      <c r="AY6" s="39"/>
      <c r="AZ6" s="39"/>
      <c r="BA6" s="39">
        <f>+AR6+AS6+AU6+AW6+AY6+AZ6</f>
        <v>0</v>
      </c>
      <c r="BB6" s="35">
        <v>15</v>
      </c>
      <c r="BC6" s="53"/>
      <c r="BD6" s="53">
        <v>1</v>
      </c>
      <c r="BE6" s="35"/>
      <c r="BF6" s="53"/>
    </row>
    <row r="7" spans="1:58" ht="12.95" customHeight="1">
      <c r="A7" s="42"/>
      <c r="B7" s="43" t="s">
        <v>8</v>
      </c>
      <c r="C7" s="398">
        <f>(M7*E7*O7*Q7)/100000000</f>
        <v>26.735646997624702</v>
      </c>
      <c r="D7" s="43" t="s">
        <v>307</v>
      </c>
      <c r="E7" s="44">
        <v>11.5</v>
      </c>
      <c r="F7" s="44">
        <v>1</v>
      </c>
      <c r="G7" s="411">
        <v>1350</v>
      </c>
      <c r="H7" s="46">
        <v>0.23</v>
      </c>
      <c r="I7" s="47">
        <v>0.88</v>
      </c>
      <c r="J7" s="84">
        <f>E7*G7*(1-H7)*1440/1000000*2.74</f>
        <v>47.16668880000001</v>
      </c>
      <c r="K7" s="84">
        <f>(IF(G7&lt;L7,L7,G7)*(1-IF(H7&lt;N7,H7,N7))*E7*O7*Q7)/100000000</f>
        <v>30.12471</v>
      </c>
      <c r="L7" s="37">
        <v>1198.1235154394299</v>
      </c>
      <c r="M7" s="37">
        <v>922.55510688836102</v>
      </c>
      <c r="N7" s="48">
        <f>1-(M7/L7)</f>
        <v>0.22999999999999998</v>
      </c>
      <c r="O7" s="49">
        <f>+'Trim Rwd'!H5</f>
        <v>262.5</v>
      </c>
      <c r="P7" s="50">
        <f>O7*(Q7-R7-S7)</f>
        <v>193987.5</v>
      </c>
      <c r="Q7" s="49">
        <f>842+118</f>
        <v>960</v>
      </c>
      <c r="R7" s="367">
        <v>118</v>
      </c>
      <c r="S7" s="367">
        <f>50+23+30</f>
        <v>103</v>
      </c>
      <c r="T7" s="39">
        <f>E7*M7*O7*Q7/100000000</f>
        <v>26.735646997624702</v>
      </c>
      <c r="U7" s="39">
        <f>E7*M7*O7*(Q7-R7-S7)/100000000</f>
        <v>20.580878261713181</v>
      </c>
      <c r="V7" s="39">
        <f>E7*G7*(1-N7)*O7/100*(R7+S7)/1000000</f>
        <v>6.9349592812500003</v>
      </c>
      <c r="W7" s="39">
        <f>+'1'!K8/1000</f>
        <v>9.4640000000000004</v>
      </c>
      <c r="X7" s="40"/>
      <c r="Y7" s="211"/>
      <c r="Z7" s="39"/>
      <c r="AA7" s="39"/>
      <c r="AB7" s="39"/>
      <c r="AC7" s="39"/>
      <c r="AD7" s="39">
        <f t="shared" ref="AD7:AD10" si="0">+AM7+BA7</f>
        <v>15</v>
      </c>
      <c r="AE7" s="228" t="s">
        <v>403</v>
      </c>
      <c r="AF7" s="39"/>
      <c r="AG7" s="39">
        <v>15</v>
      </c>
      <c r="AH7" s="39"/>
      <c r="AI7" s="481"/>
      <c r="AJ7" s="39"/>
      <c r="AK7" s="39"/>
      <c r="AL7" s="39"/>
      <c r="AM7" s="39">
        <f t="shared" ref="AM7:AM8" si="1">SUM(AF7:AL7)+AT7+AV7+AX7</f>
        <v>15</v>
      </c>
      <c r="AN7" s="85"/>
      <c r="AO7" s="39"/>
      <c r="AP7" s="39"/>
      <c r="AQ7" s="39"/>
      <c r="AR7" s="39">
        <f t="shared" ref="AR7:AR10" si="2">SUM(AN7:AQ7)</f>
        <v>0</v>
      </c>
      <c r="AS7" s="39"/>
      <c r="AT7" s="39"/>
      <c r="AU7" s="39"/>
      <c r="AV7" s="39"/>
      <c r="AW7" s="39"/>
      <c r="AX7" s="39"/>
      <c r="AY7" s="39"/>
      <c r="AZ7" s="39"/>
      <c r="BA7" s="39">
        <f t="shared" ref="BA7:BA10" si="3">+AR7+AS7+AU7+AW7+AY7+AZ7</f>
        <v>0</v>
      </c>
      <c r="BB7" s="52"/>
      <c r="BC7" s="53">
        <v>12</v>
      </c>
      <c r="BD7" s="53"/>
      <c r="BE7" s="52"/>
      <c r="BF7" s="53"/>
    </row>
    <row r="8" spans="1:58" ht="12.95" customHeight="1">
      <c r="A8" s="42"/>
      <c r="B8" s="43"/>
      <c r="C8" s="398"/>
      <c r="D8" s="43"/>
      <c r="E8" s="44"/>
      <c r="F8" s="44"/>
      <c r="G8" s="45"/>
      <c r="H8" s="46"/>
      <c r="I8" s="47"/>
      <c r="J8" s="84"/>
      <c r="K8" s="84"/>
      <c r="L8" s="37"/>
      <c r="M8" s="37"/>
      <c r="N8" s="48"/>
      <c r="O8" s="49"/>
      <c r="P8" s="50"/>
      <c r="Q8" s="49"/>
      <c r="R8" s="367"/>
      <c r="S8" s="367"/>
      <c r="T8" s="39"/>
      <c r="U8" s="39"/>
      <c r="V8" s="39"/>
      <c r="W8" s="39"/>
      <c r="X8" s="40"/>
      <c r="Y8" s="211"/>
      <c r="Z8" s="39"/>
      <c r="AA8" s="39"/>
      <c r="AB8" s="39"/>
      <c r="AC8" s="39"/>
      <c r="AD8" s="39">
        <f t="shared" si="0"/>
        <v>43</v>
      </c>
      <c r="AE8" s="228" t="s">
        <v>404</v>
      </c>
      <c r="AF8" s="35"/>
      <c r="AG8" s="35"/>
      <c r="AH8" s="35">
        <v>43</v>
      </c>
      <c r="AJ8" s="39"/>
      <c r="AK8" s="39"/>
      <c r="AL8" s="39"/>
      <c r="AM8" s="39">
        <f t="shared" si="1"/>
        <v>43</v>
      </c>
      <c r="AN8" s="39"/>
      <c r="AO8" s="39"/>
      <c r="AP8" s="39"/>
      <c r="AQ8" s="39"/>
      <c r="AR8" s="39">
        <f t="shared" si="2"/>
        <v>0</v>
      </c>
      <c r="AS8" s="39"/>
      <c r="AT8" s="39"/>
      <c r="AU8" s="39"/>
      <c r="AV8" s="39"/>
      <c r="AW8" s="39"/>
      <c r="AX8" s="39"/>
      <c r="AY8" s="39"/>
      <c r="AZ8" s="39"/>
      <c r="BA8" s="39">
        <f t="shared" si="3"/>
        <v>0</v>
      </c>
      <c r="BB8" s="35"/>
      <c r="BC8" s="482"/>
      <c r="BD8" s="482"/>
      <c r="BE8" s="35"/>
      <c r="BF8" s="482"/>
    </row>
    <row r="9" spans="1:58" ht="12.95" customHeight="1">
      <c r="A9" s="42"/>
      <c r="B9" s="43"/>
      <c r="C9" s="398"/>
      <c r="D9" s="43"/>
      <c r="E9" s="44"/>
      <c r="F9" s="44"/>
      <c r="G9" s="45"/>
      <c r="H9" s="46"/>
      <c r="I9" s="47"/>
      <c r="J9" s="84"/>
      <c r="K9" s="84"/>
      <c r="L9" s="37"/>
      <c r="M9" s="37"/>
      <c r="N9" s="48"/>
      <c r="O9" s="49"/>
      <c r="P9" s="50"/>
      <c r="Q9" s="49"/>
      <c r="R9" s="367"/>
      <c r="S9" s="367"/>
      <c r="T9" s="39"/>
      <c r="U9" s="39"/>
      <c r="V9" s="39"/>
      <c r="W9" s="39"/>
      <c r="X9" s="40"/>
      <c r="Y9" s="211"/>
      <c r="Z9" s="39"/>
      <c r="AA9" s="39"/>
      <c r="AB9" s="39"/>
      <c r="AC9" s="39"/>
      <c r="AD9" s="39">
        <f t="shared" si="0"/>
        <v>120</v>
      </c>
      <c r="AE9" s="228" t="s">
        <v>435</v>
      </c>
      <c r="AF9" s="35"/>
      <c r="AG9" s="35"/>
      <c r="AH9" s="35"/>
      <c r="AJ9" s="39"/>
      <c r="AK9" s="39"/>
      <c r="AL9" s="39"/>
      <c r="AM9" s="39">
        <f t="shared" ref="AM9:AM10" si="4">SUM(AF9:AL9)+AT9+AV9+AX9</f>
        <v>0</v>
      </c>
      <c r="AN9" s="39">
        <v>120</v>
      </c>
      <c r="AO9" s="39"/>
      <c r="AP9" s="39"/>
      <c r="AQ9" s="39"/>
      <c r="AR9" s="39">
        <f t="shared" si="2"/>
        <v>120</v>
      </c>
      <c r="AS9" s="39"/>
      <c r="AT9" s="39"/>
      <c r="AU9" s="39"/>
      <c r="AV9" s="39"/>
      <c r="AW9" s="39"/>
      <c r="AX9" s="39"/>
      <c r="AY9" s="39"/>
      <c r="AZ9" s="39"/>
      <c r="BA9" s="39">
        <f t="shared" si="3"/>
        <v>120</v>
      </c>
      <c r="BB9" s="35"/>
      <c r="BC9" s="482"/>
      <c r="BD9" s="482"/>
      <c r="BE9" s="35"/>
      <c r="BF9" s="482"/>
    </row>
    <row r="10" spans="1:58" ht="12.95" customHeight="1">
      <c r="A10" s="42"/>
      <c r="B10" s="43"/>
      <c r="C10" s="398"/>
      <c r="D10" s="43"/>
      <c r="E10" s="44"/>
      <c r="F10" s="44"/>
      <c r="G10" s="45"/>
      <c r="H10" s="46"/>
      <c r="I10" s="47"/>
      <c r="J10" s="84"/>
      <c r="K10" s="84"/>
      <c r="L10" s="37"/>
      <c r="M10" s="37"/>
      <c r="N10" s="48"/>
      <c r="O10" s="49"/>
      <c r="P10" s="50"/>
      <c r="Q10" s="49"/>
      <c r="R10" s="367"/>
      <c r="S10" s="367"/>
      <c r="T10" s="39"/>
      <c r="U10" s="39"/>
      <c r="V10" s="39"/>
      <c r="W10" s="39"/>
      <c r="X10" s="40"/>
      <c r="Y10" s="211"/>
      <c r="Z10" s="39"/>
      <c r="AA10" s="39"/>
      <c r="AB10" s="39"/>
      <c r="AC10" s="39"/>
      <c r="AD10" s="39">
        <f t="shared" si="0"/>
        <v>88</v>
      </c>
      <c r="AE10" s="228" t="s">
        <v>436</v>
      </c>
      <c r="AF10" s="35"/>
      <c r="AG10" s="35"/>
      <c r="AH10" s="35"/>
      <c r="AJ10" s="39"/>
      <c r="AK10" s="39"/>
      <c r="AL10" s="39"/>
      <c r="AM10" s="39">
        <f t="shared" si="4"/>
        <v>0</v>
      </c>
      <c r="AN10" s="39"/>
      <c r="AO10" s="39"/>
      <c r="AP10" s="39"/>
      <c r="AQ10" s="39"/>
      <c r="AR10" s="39">
        <f t="shared" si="2"/>
        <v>0</v>
      </c>
      <c r="AS10" s="39"/>
      <c r="AT10" s="39"/>
      <c r="AU10" s="39"/>
      <c r="AV10" s="39"/>
      <c r="AW10" s="39">
        <f>238-150</f>
        <v>88</v>
      </c>
      <c r="AX10" s="39"/>
      <c r="AY10" s="39"/>
      <c r="AZ10" s="39"/>
      <c r="BA10" s="39">
        <f t="shared" si="3"/>
        <v>88</v>
      </c>
      <c r="BB10" s="35"/>
      <c r="BC10" s="482"/>
      <c r="BD10" s="482"/>
      <c r="BE10" s="35"/>
      <c r="BF10" s="482"/>
    </row>
    <row r="11" spans="1:58" ht="12.95" customHeight="1">
      <c r="A11" s="42"/>
      <c r="B11" s="43"/>
      <c r="C11" s="398"/>
      <c r="D11" s="43"/>
      <c r="E11" s="44"/>
      <c r="F11" s="44"/>
      <c r="G11" s="411"/>
      <c r="H11" s="46"/>
      <c r="I11" s="47"/>
      <c r="J11" s="84"/>
      <c r="K11" s="84"/>
      <c r="L11" s="37"/>
      <c r="M11" s="37"/>
      <c r="N11" s="48"/>
      <c r="O11" s="49"/>
      <c r="P11" s="50"/>
      <c r="Q11" s="49"/>
      <c r="R11" s="367"/>
      <c r="S11" s="367"/>
      <c r="T11" s="39"/>
      <c r="U11" s="39"/>
      <c r="V11" s="39"/>
      <c r="W11" s="39"/>
      <c r="X11" s="40"/>
      <c r="Y11" s="211"/>
      <c r="Z11" s="39"/>
      <c r="AA11" s="39"/>
      <c r="AB11" s="39"/>
      <c r="AC11" s="39"/>
      <c r="AD11" s="39"/>
      <c r="AE11" s="228"/>
      <c r="AF11" s="39"/>
      <c r="AG11" s="39"/>
      <c r="AH11" s="39"/>
      <c r="AI11" s="481"/>
      <c r="AJ11" s="39"/>
      <c r="AK11" s="39"/>
      <c r="AL11" s="39"/>
      <c r="AM11" s="39"/>
      <c r="AN11" s="85"/>
      <c r="AO11" s="39"/>
      <c r="AP11" s="39"/>
      <c r="AQ11" s="39"/>
      <c r="AR11" s="39"/>
      <c r="AS11" s="39"/>
      <c r="AT11" s="39"/>
      <c r="AU11" s="39"/>
      <c r="AV11" s="39"/>
      <c r="AW11" s="39"/>
      <c r="AX11" s="39"/>
      <c r="AY11" s="39"/>
      <c r="AZ11" s="39"/>
      <c r="BA11" s="39"/>
      <c r="BB11" s="52"/>
      <c r="BC11" s="53"/>
      <c r="BD11" s="53"/>
      <c r="BE11" s="52"/>
      <c r="BF11" s="53"/>
    </row>
    <row r="12" spans="1:58" ht="12.75" customHeight="1">
      <c r="A12" s="42">
        <v>45840</v>
      </c>
      <c r="B12" s="43" t="s">
        <v>8</v>
      </c>
      <c r="C12" s="398">
        <f>(M12*E12*O12*Q12)/100000000</f>
        <v>40.583353326063822</v>
      </c>
      <c r="D12" s="43" t="s">
        <v>307</v>
      </c>
      <c r="E12" s="44">
        <v>11.5</v>
      </c>
      <c r="F12" s="44">
        <v>1</v>
      </c>
      <c r="G12" s="411">
        <v>1350</v>
      </c>
      <c r="H12" s="46">
        <v>0.23</v>
      </c>
      <c r="I12" s="47">
        <v>0.88</v>
      </c>
      <c r="J12" s="84">
        <f>E12*G12*(1-H12)*1440/1000000*2.74</f>
        <v>47.16668880000001</v>
      </c>
      <c r="K12" s="84">
        <f>(IF(G12&lt;L12,L12,G12)*(1-IF(H12&lt;N12,H12,N12))*E12*O12*Q12)/100000000</f>
        <v>43.053231374999989</v>
      </c>
      <c r="L12" s="37">
        <v>1272.5531914893618</v>
      </c>
      <c r="M12" s="37">
        <v>979.86595744680847</v>
      </c>
      <c r="N12" s="48">
        <f>1-(M12/L12)</f>
        <v>0.23000000000000009</v>
      </c>
      <c r="O12" s="49">
        <f>+'Trim Rwd'!H7</f>
        <v>262.5</v>
      </c>
      <c r="P12" s="50">
        <f>O12*(Q12-R12-S12)</f>
        <v>282450</v>
      </c>
      <c r="Q12" s="49">
        <f>1440-68</f>
        <v>1372</v>
      </c>
      <c r="R12" s="367">
        <f>130+135</f>
        <v>265</v>
      </c>
      <c r="S12" s="367">
        <f>99-68</f>
        <v>31</v>
      </c>
      <c r="T12" s="39">
        <f>E12*M12*O12*Q12/100000000</f>
        <v>40.583353326063822</v>
      </c>
      <c r="U12" s="39">
        <f>E12*M12*O12*(Q12-R12-S12)/100000000</f>
        <v>31.827761063297867</v>
      </c>
      <c r="V12" s="39">
        <f>E12*G12*(1-N12)*O12/100*(R12+S12)/1000000</f>
        <v>9.2884522499999989</v>
      </c>
      <c r="W12" s="39">
        <f>+'2'!K8/1000</f>
        <v>35.039000000000001</v>
      </c>
      <c r="X12" s="366">
        <f>SUM(W12:W15)/SUM(K12:K15)</f>
        <v>0.81385296482870584</v>
      </c>
      <c r="Y12" s="39">
        <v>0</v>
      </c>
      <c r="Z12" s="39">
        <f>+'1'!D40/1000</f>
        <v>0</v>
      </c>
      <c r="AA12" s="51">
        <f>SUM(U12:U15)-SUM(W12:W15)-SUM(Z12:Z15)-SUM(Y12:Y15)</f>
        <v>-3.2112389367021343</v>
      </c>
      <c r="AB12" s="51">
        <f>(SUM(K12:K15)-SUM(W12:W15)-SUM(Y12:Y15)-SUM(Z12:Z15)-SUM(AC12:AC15)-SUM(V12:V15))-AA12</f>
        <v>-0.53285998723404404</v>
      </c>
      <c r="AC12" s="39">
        <f>K12-T12</f>
        <v>2.4698780489361667</v>
      </c>
      <c r="AD12" s="39">
        <f>+AM12+BA12</f>
        <v>4</v>
      </c>
      <c r="AE12" s="228" t="s">
        <v>464</v>
      </c>
      <c r="AF12" s="39">
        <v>4</v>
      </c>
      <c r="AG12" s="39"/>
      <c r="AH12" s="39"/>
      <c r="AI12" s="39"/>
      <c r="AJ12" s="39"/>
      <c r="AK12" s="39"/>
      <c r="AL12" s="39"/>
      <c r="AM12" s="39">
        <f>SUM(AF12:AL12)+AT12+AV12+AX12</f>
        <v>4</v>
      </c>
      <c r="AN12" s="39"/>
      <c r="AO12" s="39"/>
      <c r="AP12" s="39"/>
      <c r="AQ12" s="39"/>
      <c r="AR12" s="39">
        <f>SUM(AN12:AQ12)</f>
        <v>0</v>
      </c>
      <c r="AS12" s="39"/>
      <c r="AT12" s="39"/>
      <c r="AU12" s="39"/>
      <c r="AV12" s="39"/>
      <c r="AW12" s="39"/>
      <c r="AX12" s="39"/>
      <c r="AY12" s="39"/>
      <c r="AZ12" s="39"/>
      <c r="BA12" s="39">
        <f>+AR12+AS12+AU12+AW12+AY12+AZ12</f>
        <v>0</v>
      </c>
      <c r="BB12" s="35">
        <v>2</v>
      </c>
      <c r="BC12" s="53"/>
      <c r="BD12" s="53">
        <v>2</v>
      </c>
      <c r="BE12" s="35"/>
      <c r="BF12" s="53"/>
    </row>
    <row r="13" spans="1:58" ht="12.95" customHeight="1">
      <c r="A13" s="42"/>
      <c r="B13" s="43"/>
      <c r="C13" s="398"/>
      <c r="D13" s="43"/>
      <c r="E13" s="44"/>
      <c r="F13" s="44"/>
      <c r="G13" s="411"/>
      <c r="H13" s="46"/>
      <c r="I13" s="47"/>
      <c r="J13" s="84"/>
      <c r="K13" s="84"/>
      <c r="L13" s="37"/>
      <c r="M13" s="37"/>
      <c r="N13" s="48"/>
      <c r="O13" s="49"/>
      <c r="P13" s="50"/>
      <c r="Q13" s="49"/>
      <c r="R13" s="367"/>
      <c r="S13" s="367"/>
      <c r="T13" s="39"/>
      <c r="U13" s="39"/>
      <c r="V13" s="39"/>
      <c r="W13" s="39"/>
      <c r="X13" s="40"/>
      <c r="Y13" s="211"/>
      <c r="Z13" s="39"/>
      <c r="AA13" s="39"/>
      <c r="AB13" s="39"/>
      <c r="AC13" s="39"/>
      <c r="AD13" s="39">
        <f t="shared" ref="AD13:AD17" si="5">+AM13+BA13</f>
        <v>10</v>
      </c>
      <c r="AE13" s="228" t="s">
        <v>468</v>
      </c>
      <c r="AF13" s="39"/>
      <c r="AG13" s="39">
        <v>10</v>
      </c>
      <c r="AH13" s="39"/>
      <c r="AI13" s="481"/>
      <c r="AJ13" s="39"/>
      <c r="AK13" s="39"/>
      <c r="AL13" s="39"/>
      <c r="AM13" s="39">
        <f t="shared" ref="AM13:AM14" si="6">SUM(AF13:AL13)+AT13+AV13+AX13</f>
        <v>10</v>
      </c>
      <c r="AN13" s="85"/>
      <c r="AO13" s="39"/>
      <c r="AP13" s="39"/>
      <c r="AQ13" s="39"/>
      <c r="AR13" s="39">
        <f t="shared" ref="AR13:AR17" si="7">SUM(AN13:AQ13)</f>
        <v>0</v>
      </c>
      <c r="AS13" s="39"/>
      <c r="AT13" s="39"/>
      <c r="AU13" s="39"/>
      <c r="AV13" s="39"/>
      <c r="AW13" s="39"/>
      <c r="AX13" s="39"/>
      <c r="AY13" s="39"/>
      <c r="AZ13" s="39"/>
      <c r="BA13" s="39">
        <f t="shared" ref="BA13:BA16" si="8">+AR13+AS13+AU13+AW13+AY13+AZ13</f>
        <v>0</v>
      </c>
      <c r="BB13" s="52"/>
      <c r="BC13" s="53">
        <v>4</v>
      </c>
      <c r="BD13" s="53"/>
      <c r="BE13" s="52"/>
      <c r="BF13" s="53"/>
    </row>
    <row r="14" spans="1:58" ht="12.95" customHeight="1">
      <c r="A14" s="42"/>
      <c r="B14" s="43"/>
      <c r="C14" s="398"/>
      <c r="D14" s="43"/>
      <c r="E14" s="44"/>
      <c r="F14" s="44"/>
      <c r="G14" s="45"/>
      <c r="H14" s="46"/>
      <c r="I14" s="47"/>
      <c r="J14" s="84"/>
      <c r="K14" s="84"/>
      <c r="L14" s="37"/>
      <c r="M14" s="37"/>
      <c r="N14" s="48"/>
      <c r="O14" s="49"/>
      <c r="P14" s="50"/>
      <c r="Q14" s="49"/>
      <c r="R14" s="367"/>
      <c r="S14" s="367"/>
      <c r="T14" s="39"/>
      <c r="U14" s="39"/>
      <c r="V14" s="39"/>
      <c r="W14" s="39"/>
      <c r="X14" s="40"/>
      <c r="Y14" s="211"/>
      <c r="Z14" s="39"/>
      <c r="AA14" s="39"/>
      <c r="AB14" s="39"/>
      <c r="AC14" s="39"/>
      <c r="AD14" s="39">
        <f t="shared" si="5"/>
        <v>17</v>
      </c>
      <c r="AE14" s="228" t="s">
        <v>469</v>
      </c>
      <c r="AF14" s="35"/>
      <c r="AG14" s="35"/>
      <c r="AH14" s="35">
        <v>17</v>
      </c>
      <c r="AJ14" s="39"/>
      <c r="AK14" s="39"/>
      <c r="AL14" s="39"/>
      <c r="AM14" s="39">
        <f t="shared" si="6"/>
        <v>17</v>
      </c>
      <c r="AN14" s="39"/>
      <c r="AO14" s="39"/>
      <c r="AP14" s="39"/>
      <c r="AQ14" s="39"/>
      <c r="AR14" s="39">
        <f t="shared" si="7"/>
        <v>0</v>
      </c>
      <c r="AS14" s="39"/>
      <c r="AT14" s="39"/>
      <c r="AU14" s="39"/>
      <c r="AV14" s="39"/>
      <c r="AW14" s="39"/>
      <c r="AX14" s="39"/>
      <c r="AY14" s="39"/>
      <c r="AZ14" s="39"/>
      <c r="BA14" s="39">
        <f t="shared" si="8"/>
        <v>0</v>
      </c>
      <c r="BB14" s="35"/>
      <c r="BC14" s="482"/>
      <c r="BD14" s="482"/>
      <c r="BE14" s="35"/>
      <c r="BF14" s="482"/>
    </row>
    <row r="15" spans="1:58" ht="12.95" customHeight="1">
      <c r="A15" s="42"/>
      <c r="B15" s="43"/>
      <c r="C15" s="398"/>
      <c r="D15" s="43"/>
      <c r="E15" s="44"/>
      <c r="F15" s="44"/>
      <c r="G15" s="45"/>
      <c r="H15" s="46"/>
      <c r="I15" s="47"/>
      <c r="J15" s="84"/>
      <c r="K15" s="84"/>
      <c r="L15" s="37"/>
      <c r="M15" s="37"/>
      <c r="N15" s="48"/>
      <c r="O15" s="49"/>
      <c r="P15" s="50"/>
      <c r="Q15" s="49"/>
      <c r="R15" s="367"/>
      <c r="S15" s="367"/>
      <c r="T15" s="39"/>
      <c r="U15" s="39"/>
      <c r="V15" s="39"/>
      <c r="W15" s="39"/>
      <c r="X15" s="40"/>
      <c r="Y15" s="211"/>
      <c r="Z15" s="39"/>
      <c r="AA15" s="39"/>
      <c r="AB15" s="39"/>
      <c r="AC15" s="39"/>
      <c r="AD15" s="39">
        <f t="shared" si="5"/>
        <v>130</v>
      </c>
      <c r="AE15" s="228" t="s">
        <v>466</v>
      </c>
      <c r="AF15" s="35"/>
      <c r="AG15" s="35"/>
      <c r="AH15" s="35"/>
      <c r="AJ15" s="39"/>
      <c r="AK15" s="39"/>
      <c r="AL15" s="39"/>
      <c r="AM15" s="39">
        <f t="shared" ref="AM15:AM17" si="9">SUM(AF15:AL15)+AT15+AV15+AX15</f>
        <v>0</v>
      </c>
      <c r="AN15" s="39">
        <v>130</v>
      </c>
      <c r="AO15" s="39"/>
      <c r="AP15" s="39"/>
      <c r="AQ15" s="39"/>
      <c r="AR15" s="39">
        <f t="shared" si="7"/>
        <v>130</v>
      </c>
      <c r="AS15" s="39"/>
      <c r="AT15" s="39"/>
      <c r="AU15" s="39"/>
      <c r="AV15" s="39"/>
      <c r="AW15" s="39"/>
      <c r="AX15" s="39"/>
      <c r="AY15" s="39"/>
      <c r="AZ15" s="39"/>
      <c r="BA15" s="39">
        <f t="shared" si="8"/>
        <v>130</v>
      </c>
      <c r="BB15" s="35"/>
      <c r="BC15" s="482"/>
      <c r="BD15" s="482"/>
      <c r="BE15" s="35"/>
      <c r="BF15" s="482"/>
    </row>
    <row r="16" spans="1:58" ht="12.95" customHeight="1">
      <c r="A16" s="42"/>
      <c r="B16" s="43"/>
      <c r="C16" s="398"/>
      <c r="D16" s="43"/>
      <c r="E16" s="44"/>
      <c r="F16" s="44"/>
      <c r="G16" s="45"/>
      <c r="H16" s="46"/>
      <c r="I16" s="47"/>
      <c r="J16" s="84"/>
      <c r="K16" s="84"/>
      <c r="L16" s="37"/>
      <c r="M16" s="37"/>
      <c r="N16" s="48"/>
      <c r="O16" s="49"/>
      <c r="P16" s="50"/>
      <c r="Q16" s="49"/>
      <c r="R16" s="367"/>
      <c r="S16" s="367"/>
      <c r="T16" s="39"/>
      <c r="U16" s="39"/>
      <c r="V16" s="39"/>
      <c r="W16" s="39"/>
      <c r="X16" s="40"/>
      <c r="Y16" s="211"/>
      <c r="Z16" s="39"/>
      <c r="AA16" s="39"/>
      <c r="AB16" s="39"/>
      <c r="AC16" s="39"/>
      <c r="AD16" s="39">
        <f t="shared" si="5"/>
        <v>135</v>
      </c>
      <c r="AE16" s="228" t="s">
        <v>467</v>
      </c>
      <c r="AF16" s="35"/>
      <c r="AG16" s="35"/>
      <c r="AH16" s="35"/>
      <c r="AJ16" s="39"/>
      <c r="AK16" s="39"/>
      <c r="AL16" s="39"/>
      <c r="AM16" s="39">
        <f t="shared" si="9"/>
        <v>0</v>
      </c>
      <c r="AN16" s="39"/>
      <c r="AO16" s="39"/>
      <c r="AP16" s="39"/>
      <c r="AQ16" s="39"/>
      <c r="AR16" s="39">
        <f t="shared" si="7"/>
        <v>0</v>
      </c>
      <c r="AS16" s="39"/>
      <c r="AT16" s="39"/>
      <c r="AU16" s="39"/>
      <c r="AV16" s="39"/>
      <c r="AW16" s="39">
        <v>135</v>
      </c>
      <c r="AX16" s="39"/>
      <c r="AY16" s="39"/>
      <c r="AZ16" s="39"/>
      <c r="BA16" s="39">
        <f t="shared" si="8"/>
        <v>135</v>
      </c>
      <c r="BB16" s="35"/>
      <c r="BC16" s="482"/>
      <c r="BD16" s="482"/>
      <c r="BE16" s="35"/>
      <c r="BF16" s="482"/>
    </row>
    <row r="17" spans="1:58" ht="12.95" customHeight="1">
      <c r="A17" s="42"/>
      <c r="B17" s="43"/>
      <c r="C17" s="398"/>
      <c r="D17" s="43"/>
      <c r="E17" s="44"/>
      <c r="F17" s="44"/>
      <c r="G17" s="45"/>
      <c r="H17" s="46"/>
      <c r="I17" s="47"/>
      <c r="J17" s="84"/>
      <c r="K17" s="84"/>
      <c r="L17" s="37"/>
      <c r="M17" s="37"/>
      <c r="N17" s="48"/>
      <c r="O17" s="49"/>
      <c r="P17" s="50"/>
      <c r="Q17" s="49"/>
      <c r="R17" s="367"/>
      <c r="S17" s="367"/>
      <c r="T17" s="39"/>
      <c r="U17" s="39"/>
      <c r="V17" s="39"/>
      <c r="W17" s="39"/>
      <c r="X17" s="40"/>
      <c r="Y17" s="211"/>
      <c r="Z17" s="39"/>
      <c r="AA17" s="39"/>
      <c r="AB17" s="39"/>
      <c r="AC17" s="39"/>
      <c r="AD17" s="39">
        <f t="shared" si="5"/>
        <v>0</v>
      </c>
      <c r="AE17" s="228" t="s">
        <v>494</v>
      </c>
      <c r="AF17" s="35"/>
      <c r="AG17" s="35"/>
      <c r="AH17" s="35"/>
      <c r="AI17" s="35"/>
      <c r="AJ17" s="39"/>
      <c r="AK17" s="39"/>
      <c r="AL17" s="39"/>
      <c r="AM17" s="39">
        <f t="shared" si="9"/>
        <v>0</v>
      </c>
      <c r="AN17" s="39"/>
      <c r="AO17" s="39"/>
      <c r="AP17" s="39"/>
      <c r="AQ17" s="39"/>
      <c r="AR17" s="39">
        <f t="shared" si="7"/>
        <v>0</v>
      </c>
      <c r="AS17" s="39"/>
      <c r="AT17" s="39"/>
      <c r="AU17" s="39"/>
      <c r="AV17" s="39">
        <f>68-68</f>
        <v>0</v>
      </c>
      <c r="AW17" s="39"/>
      <c r="AX17" s="39"/>
      <c r="AY17" s="39"/>
      <c r="AZ17" s="39"/>
      <c r="BA17" s="39"/>
      <c r="BB17" s="35"/>
      <c r="BC17" s="482"/>
      <c r="BD17" s="482"/>
      <c r="BE17" s="35"/>
      <c r="BF17" s="482"/>
    </row>
    <row r="18" spans="1:58" ht="12.95" customHeight="1">
      <c r="A18" s="42"/>
      <c r="B18" s="43"/>
      <c r="C18" s="398"/>
      <c r="D18" s="43"/>
      <c r="E18" s="44"/>
      <c r="F18" s="44"/>
      <c r="G18" s="45"/>
      <c r="H18" s="46"/>
      <c r="I18" s="47"/>
      <c r="J18" s="84"/>
      <c r="K18" s="84"/>
      <c r="L18" s="37"/>
      <c r="M18" s="37"/>
      <c r="N18" s="48"/>
      <c r="O18" s="49"/>
      <c r="P18" s="50"/>
      <c r="Q18" s="49"/>
      <c r="R18" s="367"/>
      <c r="S18" s="367"/>
      <c r="T18" s="39"/>
      <c r="U18" s="39"/>
      <c r="V18" s="39"/>
      <c r="W18" s="39"/>
      <c r="X18" s="40"/>
      <c r="Y18" s="211"/>
      <c r="Z18" s="39"/>
      <c r="AA18" s="39"/>
      <c r="AB18" s="39"/>
      <c r="AC18" s="39"/>
      <c r="AD18" s="39"/>
      <c r="AE18" s="228"/>
      <c r="AF18" s="35"/>
      <c r="AG18" s="35"/>
      <c r="AH18" s="35"/>
      <c r="AJ18" s="39"/>
      <c r="AK18" s="39"/>
      <c r="AL18" s="39"/>
      <c r="AM18" s="39"/>
      <c r="AN18" s="39"/>
      <c r="AO18" s="39"/>
      <c r="AP18" s="39"/>
      <c r="AQ18" s="39"/>
      <c r="AR18" s="39"/>
      <c r="AS18" s="39"/>
      <c r="AT18" s="39"/>
      <c r="AU18" s="39"/>
      <c r="AV18" s="39"/>
      <c r="AW18" s="39"/>
      <c r="AX18" s="39"/>
      <c r="AY18" s="39"/>
      <c r="AZ18" s="39"/>
      <c r="BA18" s="39"/>
      <c r="BB18" s="35"/>
      <c r="BC18" s="482"/>
      <c r="BD18" s="53"/>
      <c r="BE18" s="52"/>
      <c r="BF18" s="53"/>
    </row>
    <row r="19" spans="1:58" ht="12.75" customHeight="1">
      <c r="A19" s="42">
        <v>45841</v>
      </c>
      <c r="B19" s="43" t="s">
        <v>8</v>
      </c>
      <c r="C19" s="398">
        <f>(M19*E19*O19*Q19)/100000000</f>
        <v>44.238694500000001</v>
      </c>
      <c r="D19" s="43" t="s">
        <v>307</v>
      </c>
      <c r="E19" s="44">
        <v>11.5</v>
      </c>
      <c r="F19" s="44">
        <v>1</v>
      </c>
      <c r="G19" s="411">
        <v>1350</v>
      </c>
      <c r="H19" s="46">
        <v>0.23</v>
      </c>
      <c r="I19" s="47">
        <v>0.88</v>
      </c>
      <c r="J19" s="84">
        <f>E19*G19*(1-H19)*1440/1000000*2.74</f>
        <v>47.16668880000001</v>
      </c>
      <c r="K19" s="84">
        <f>(IF(G19&lt;L19,L19,G19)*(1-IF(H19&lt;N19,H19,N19))*E19*O19*Q19)/100000000</f>
        <v>44.245667812500002</v>
      </c>
      <c r="L19" s="37">
        <v>1349.7872340425531</v>
      </c>
      <c r="M19" s="37">
        <v>1039.3361702127659</v>
      </c>
      <c r="N19" s="48">
        <f>1-(M19/L19)</f>
        <v>0.22999999999999998</v>
      </c>
      <c r="O19" s="49">
        <f>+'Trim Rwd'!H9</f>
        <v>262.5</v>
      </c>
      <c r="P19" s="50">
        <f>O19*(Q19-R19-S19)</f>
        <v>351750</v>
      </c>
      <c r="Q19" s="49">
        <f>1440-30</f>
        <v>1410</v>
      </c>
      <c r="R19" s="367">
        <f>30-30</f>
        <v>0</v>
      </c>
      <c r="S19" s="367">
        <f>51+11+8</f>
        <v>70</v>
      </c>
      <c r="T19" s="39">
        <f>E19*M19*O19*Q19/100000000</f>
        <v>44.238694500000001</v>
      </c>
      <c r="U19" s="39">
        <f>E19*M19*O19*(Q19-R19-S19)/100000000</f>
        <v>42.042447255319146</v>
      </c>
      <c r="V19" s="39">
        <f>E19*G19*(1-N19)*O19/100*(R19+S19)/1000000</f>
        <v>2.1965934374999998</v>
      </c>
      <c r="W19" s="39">
        <f>+'3'!K8/1000</f>
        <v>38.435000000000002</v>
      </c>
      <c r="X19" s="366">
        <f>SUM(W19:W22)/SUM(K19:K22)</f>
        <v>0.8686726158790532</v>
      </c>
      <c r="Y19" s="39">
        <v>0</v>
      </c>
      <c r="Z19" s="39">
        <f>+'1'!D46/1000</f>
        <v>0</v>
      </c>
      <c r="AA19" s="51">
        <f>SUM(U19:U22)-SUM(W19:W22)-SUM(Z19:Z22)-SUM(Y19:Y22)</f>
        <v>3.6074472553191441</v>
      </c>
      <c r="AB19" s="51">
        <f>(SUM(K19:K22)-SUM(W19:W22)-SUM(Y19:Y22)-SUM(Z19:Z22)-SUM(AC19:AC22)-SUM(V19:V22))-AA19</f>
        <v>-3.4619281914505251E-4</v>
      </c>
      <c r="AC19" s="39">
        <f>K19-T19</f>
        <v>6.9733125000013274E-3</v>
      </c>
      <c r="AD19" s="39">
        <f>+AM19+BA19</f>
        <v>20</v>
      </c>
      <c r="AE19" s="228" t="s">
        <v>432</v>
      </c>
      <c r="AF19" s="39">
        <v>20</v>
      </c>
      <c r="AG19" s="39"/>
      <c r="AH19" s="39"/>
      <c r="AI19" s="39"/>
      <c r="AJ19" s="39"/>
      <c r="AK19" s="39"/>
      <c r="AL19" s="39"/>
      <c r="AM19" s="39">
        <f>SUM(AF19:AL19)+AT19+AV19+AX19</f>
        <v>20</v>
      </c>
      <c r="AN19" s="39"/>
      <c r="AO19" s="39"/>
      <c r="AP19" s="39"/>
      <c r="AQ19" s="39"/>
      <c r="AR19" s="39">
        <f>SUM(AN19:AQ19)</f>
        <v>0</v>
      </c>
      <c r="AS19" s="39"/>
      <c r="AT19" s="39"/>
      <c r="AU19" s="39"/>
      <c r="AV19" s="39"/>
      <c r="AW19" s="39"/>
      <c r="AX19" s="39"/>
      <c r="AY19" s="39"/>
      <c r="AZ19" s="39"/>
      <c r="BA19" s="39">
        <f>+AR19+AS19+AU19+AW19+AY19+AZ19</f>
        <v>0</v>
      </c>
      <c r="BB19" s="35">
        <v>4</v>
      </c>
      <c r="BC19" s="53"/>
      <c r="BD19" s="53"/>
      <c r="BE19" s="35"/>
      <c r="BF19" s="53"/>
    </row>
    <row r="20" spans="1:58" ht="12.95" customHeight="1">
      <c r="A20" s="42"/>
      <c r="B20" s="43"/>
      <c r="C20" s="398"/>
      <c r="D20" s="43"/>
      <c r="E20" s="44"/>
      <c r="F20" s="44"/>
      <c r="G20" s="411"/>
      <c r="H20" s="46"/>
      <c r="I20" s="47"/>
      <c r="J20" s="84"/>
      <c r="K20" s="84"/>
      <c r="L20" s="37"/>
      <c r="M20" s="37"/>
      <c r="N20" s="48"/>
      <c r="O20" s="49"/>
      <c r="P20" s="50"/>
      <c r="Q20" s="49"/>
      <c r="R20" s="367"/>
      <c r="S20" s="367"/>
      <c r="T20" s="39"/>
      <c r="U20" s="39"/>
      <c r="V20" s="39"/>
      <c r="W20" s="39"/>
      <c r="X20" s="40"/>
      <c r="Y20" s="211"/>
      <c r="Z20" s="39"/>
      <c r="AA20" s="39"/>
      <c r="AB20" s="39"/>
      <c r="AC20" s="39"/>
      <c r="AD20" s="39">
        <f t="shared" ref="AD20:AD23" si="10">+AM20+BA20</f>
        <v>10</v>
      </c>
      <c r="AE20" s="228" t="s">
        <v>481</v>
      </c>
      <c r="AF20" s="39"/>
      <c r="AG20" s="39">
        <v>10</v>
      </c>
      <c r="AH20" s="39"/>
      <c r="AI20" s="39"/>
      <c r="AJ20" s="39"/>
      <c r="AK20" s="39"/>
      <c r="AL20" s="39"/>
      <c r="AM20" s="39">
        <f t="shared" ref="AM20:AM21" si="11">SUM(AF20:AL20)+AT20+AV20+AX20</f>
        <v>10</v>
      </c>
      <c r="AN20" s="85"/>
      <c r="AO20" s="39"/>
      <c r="AP20" s="39"/>
      <c r="AQ20" s="39"/>
      <c r="AR20" s="39">
        <f t="shared" ref="AR20:AR21" si="12">SUM(AN20:AQ20)</f>
        <v>0</v>
      </c>
      <c r="AS20" s="39"/>
      <c r="AT20" s="39"/>
      <c r="AU20" s="39"/>
      <c r="AV20" s="39"/>
      <c r="AW20" s="39"/>
      <c r="AX20" s="39"/>
      <c r="AY20" s="39"/>
      <c r="AZ20" s="39"/>
      <c r="BA20" s="39">
        <f t="shared" ref="BA20:BA23" si="13">+AR20+AS20+AU20+AW20+AY20+AZ20</f>
        <v>0</v>
      </c>
      <c r="BB20" s="52"/>
      <c r="BC20" s="53">
        <v>8</v>
      </c>
      <c r="BD20" s="53"/>
      <c r="BE20" s="52"/>
      <c r="BF20" s="53"/>
    </row>
    <row r="21" spans="1:58" ht="12.95" customHeight="1">
      <c r="A21" s="42"/>
      <c r="B21" s="43"/>
      <c r="C21" s="398"/>
      <c r="D21" s="43"/>
      <c r="E21" s="44"/>
      <c r="F21" s="44"/>
      <c r="G21" s="45"/>
      <c r="H21" s="46"/>
      <c r="I21" s="47"/>
      <c r="J21" s="84"/>
      <c r="K21" s="84"/>
      <c r="L21" s="37"/>
      <c r="M21" s="37"/>
      <c r="N21" s="48"/>
      <c r="O21" s="49"/>
      <c r="P21" s="50"/>
      <c r="Q21" s="49"/>
      <c r="R21" s="367"/>
      <c r="S21" s="367"/>
      <c r="T21" s="39"/>
      <c r="U21" s="39"/>
      <c r="V21" s="39"/>
      <c r="W21" s="39"/>
      <c r="X21" s="40"/>
      <c r="Y21" s="211"/>
      <c r="Z21" s="39"/>
      <c r="AA21" s="39"/>
      <c r="AB21" s="39"/>
      <c r="AC21" s="39"/>
      <c r="AD21" s="39">
        <f t="shared" si="10"/>
        <v>29</v>
      </c>
      <c r="AE21" s="228" t="s">
        <v>469</v>
      </c>
      <c r="AF21" s="35"/>
      <c r="AG21" s="35"/>
      <c r="AH21" s="35">
        <v>29</v>
      </c>
      <c r="AI21" s="35"/>
      <c r="AJ21" s="39"/>
      <c r="AK21" s="39"/>
      <c r="AL21" s="39"/>
      <c r="AM21" s="39">
        <f t="shared" si="11"/>
        <v>29</v>
      </c>
      <c r="AN21" s="39"/>
      <c r="AO21" s="39"/>
      <c r="AP21" s="39"/>
      <c r="AQ21" s="39"/>
      <c r="AR21" s="39">
        <f t="shared" si="12"/>
        <v>0</v>
      </c>
      <c r="AS21" s="39"/>
      <c r="AT21" s="39"/>
      <c r="AU21" s="39"/>
      <c r="AV21" s="39"/>
      <c r="AW21" s="39"/>
      <c r="AX21" s="39"/>
      <c r="AY21" s="39"/>
      <c r="AZ21" s="39"/>
      <c r="BA21" s="39">
        <f t="shared" si="13"/>
        <v>0</v>
      </c>
      <c r="BB21" s="35"/>
      <c r="BC21" s="482"/>
      <c r="BD21" s="482"/>
      <c r="BE21" s="35"/>
      <c r="BF21" s="482"/>
    </row>
    <row r="22" spans="1:58" ht="12.95" customHeight="1">
      <c r="A22" s="42"/>
      <c r="B22" s="43"/>
      <c r="C22" s="398"/>
      <c r="D22" s="43"/>
      <c r="E22" s="44"/>
      <c r="F22" s="44"/>
      <c r="G22" s="45"/>
      <c r="H22" s="46"/>
      <c r="I22" s="47"/>
      <c r="J22" s="84"/>
      <c r="K22" s="84"/>
      <c r="L22" s="37"/>
      <c r="M22" s="37"/>
      <c r="N22" s="48"/>
      <c r="O22" s="49"/>
      <c r="P22" s="50"/>
      <c r="Q22" s="49"/>
      <c r="R22" s="367"/>
      <c r="S22" s="367"/>
      <c r="T22" s="39"/>
      <c r="U22" s="39"/>
      <c r="V22" s="39"/>
      <c r="W22" s="39"/>
      <c r="X22" s="40"/>
      <c r="Y22" s="211"/>
      <c r="Z22" s="39"/>
      <c r="AA22" s="39"/>
      <c r="AB22" s="39"/>
      <c r="AC22" s="39"/>
      <c r="AD22" s="39">
        <f t="shared" si="10"/>
        <v>0</v>
      </c>
      <c r="AE22" s="228" t="s">
        <v>482</v>
      </c>
      <c r="AF22" s="35"/>
      <c r="AG22" s="35"/>
      <c r="AH22" s="35"/>
      <c r="AI22" s="35"/>
      <c r="AJ22" s="39"/>
      <c r="AK22" s="39"/>
      <c r="AL22" s="39"/>
      <c r="AM22" s="39">
        <f t="shared" ref="AM22:AM23" si="14">SUM(AF22:AL22)+AT22+AV22+AX22</f>
        <v>0</v>
      </c>
      <c r="AN22" s="39"/>
      <c r="AO22" s="39"/>
      <c r="AP22" s="39"/>
      <c r="AQ22" s="39"/>
      <c r="AR22" s="39">
        <f t="shared" ref="AR22:AR23" si="15">SUM(AN22:AQ22)</f>
        <v>0</v>
      </c>
      <c r="AS22" s="39"/>
      <c r="AT22" s="39"/>
      <c r="AU22" s="39"/>
      <c r="AV22" s="39"/>
      <c r="AW22" s="39"/>
      <c r="AX22" s="39"/>
      <c r="AY22" s="39">
        <f>30-30</f>
        <v>0</v>
      </c>
      <c r="AZ22" s="39"/>
      <c r="BA22" s="39">
        <f t="shared" si="13"/>
        <v>0</v>
      </c>
      <c r="BB22" s="35"/>
      <c r="BC22" s="482"/>
      <c r="BD22" s="482"/>
      <c r="BE22" s="35"/>
      <c r="BF22" s="482"/>
    </row>
    <row r="23" spans="1:58" ht="12.95" customHeight="1">
      <c r="A23" s="42"/>
      <c r="B23" s="43"/>
      <c r="C23" s="398"/>
      <c r="D23" s="43"/>
      <c r="E23" s="44"/>
      <c r="F23" s="44"/>
      <c r="G23" s="45"/>
      <c r="H23" s="46"/>
      <c r="I23" s="47"/>
      <c r="J23" s="84"/>
      <c r="K23" s="84"/>
      <c r="L23" s="37"/>
      <c r="M23" s="37"/>
      <c r="N23" s="48"/>
      <c r="O23" s="49"/>
      <c r="P23" s="50"/>
      <c r="Q23" s="49"/>
      <c r="R23" s="367"/>
      <c r="S23" s="367"/>
      <c r="T23" s="39"/>
      <c r="U23" s="39"/>
      <c r="V23" s="39"/>
      <c r="W23" s="39"/>
      <c r="X23" s="40"/>
      <c r="Y23" s="211"/>
      <c r="Z23" s="39"/>
      <c r="AA23" s="39"/>
      <c r="AB23" s="39"/>
      <c r="AC23" s="39"/>
      <c r="AD23" s="39">
        <f t="shared" si="10"/>
        <v>11</v>
      </c>
      <c r="AE23" s="228" t="s">
        <v>483</v>
      </c>
      <c r="AF23" s="35"/>
      <c r="AG23" s="35"/>
      <c r="AH23" s="35"/>
      <c r="AI23" s="35"/>
      <c r="AJ23" s="39"/>
      <c r="AK23" s="39">
        <v>11</v>
      </c>
      <c r="AL23" s="39"/>
      <c r="AM23" s="39">
        <f t="shared" si="14"/>
        <v>11</v>
      </c>
      <c r="AN23" s="39"/>
      <c r="AO23" s="39"/>
      <c r="AP23" s="39"/>
      <c r="AQ23" s="39"/>
      <c r="AR23" s="39">
        <f t="shared" si="15"/>
        <v>0</v>
      </c>
      <c r="AS23" s="39"/>
      <c r="AT23" s="39"/>
      <c r="AU23" s="39"/>
      <c r="AV23" s="39"/>
      <c r="AW23" s="39"/>
      <c r="AX23" s="39"/>
      <c r="AY23" s="39"/>
      <c r="AZ23" s="39"/>
      <c r="BA23" s="39">
        <f t="shared" si="13"/>
        <v>0</v>
      </c>
      <c r="BB23" s="35"/>
      <c r="BC23" s="482"/>
      <c r="BD23" s="482"/>
      <c r="BE23" s="35"/>
      <c r="BF23" s="482"/>
    </row>
    <row r="24" spans="1:58" ht="12.95" customHeight="1">
      <c r="A24" s="42"/>
      <c r="B24" s="43"/>
      <c r="C24" s="398"/>
      <c r="D24" s="43"/>
      <c r="E24" s="44"/>
      <c r="F24" s="44"/>
      <c r="G24" s="411"/>
      <c r="H24" s="46"/>
      <c r="I24" s="47"/>
      <c r="J24" s="84"/>
      <c r="K24" s="84"/>
      <c r="L24" s="37"/>
      <c r="M24" s="37"/>
      <c r="N24" s="48"/>
      <c r="O24" s="49"/>
      <c r="P24" s="50"/>
      <c r="Q24" s="49"/>
      <c r="R24" s="367"/>
      <c r="S24" s="367"/>
      <c r="T24" s="39"/>
      <c r="U24" s="39"/>
      <c r="V24" s="39"/>
      <c r="W24" s="39"/>
      <c r="X24" s="366"/>
      <c r="Y24" s="39"/>
      <c r="Z24" s="39"/>
      <c r="AA24" s="51"/>
      <c r="AB24" s="51"/>
      <c r="AC24" s="39"/>
      <c r="AD24" s="39"/>
      <c r="AE24" s="228"/>
      <c r="AF24" s="39"/>
      <c r="AG24" s="39"/>
      <c r="AH24" s="39"/>
      <c r="AI24" s="481"/>
      <c r="AJ24" s="39"/>
      <c r="AK24" s="39"/>
      <c r="AL24" s="39"/>
      <c r="AM24" s="39"/>
      <c r="AN24" s="39"/>
      <c r="AO24" s="39"/>
      <c r="AP24" s="39"/>
      <c r="AQ24" s="39"/>
      <c r="AR24" s="39"/>
      <c r="AS24" s="39"/>
      <c r="AT24" s="39"/>
      <c r="AU24" s="39"/>
      <c r="AV24" s="39"/>
      <c r="AW24" s="39"/>
      <c r="AX24" s="39"/>
      <c r="AY24" s="39"/>
      <c r="AZ24" s="39"/>
      <c r="BA24" s="39"/>
      <c r="BB24" s="35"/>
      <c r="BC24" s="53"/>
      <c r="BD24" s="53"/>
      <c r="BE24" s="52"/>
      <c r="BF24" s="53"/>
    </row>
    <row r="25" spans="1:58" ht="12.75" customHeight="1">
      <c r="A25" s="42">
        <v>45842</v>
      </c>
      <c r="B25" s="43" t="s">
        <v>8</v>
      </c>
      <c r="C25" s="398">
        <f>(M25*E25*O25*Q25)/100000000</f>
        <v>43.174334568749998</v>
      </c>
      <c r="D25" s="43" t="s">
        <v>307</v>
      </c>
      <c r="E25" s="44">
        <v>11.5</v>
      </c>
      <c r="F25" s="44">
        <v>1</v>
      </c>
      <c r="G25" s="411">
        <v>1350</v>
      </c>
      <c r="H25" s="46">
        <v>0.23</v>
      </c>
      <c r="I25" s="47">
        <v>0.88</v>
      </c>
      <c r="J25" s="84">
        <f>E25*G25*(1-H25)*1440/1000000*2.74</f>
        <v>47.16668880000001</v>
      </c>
      <c r="K25" s="84">
        <f>(IF(G25&lt;L25,L25,G25)*(1-IF(H25&lt;N25,H25,N25))*E25*O25*Q25)/100000000</f>
        <v>45.18706499999999</v>
      </c>
      <c r="L25" s="37">
        <v>1289.8680555555557</v>
      </c>
      <c r="M25" s="37">
        <v>993.1984027777778</v>
      </c>
      <c r="N25" s="48">
        <f>1-(M25/L25)</f>
        <v>0.23000000000000009</v>
      </c>
      <c r="O25" s="49">
        <f>+'Trim Rwd'!H11</f>
        <v>262.5</v>
      </c>
      <c r="P25" s="50">
        <f>O25*(Q25-R25-S25)</f>
        <v>359625</v>
      </c>
      <c r="Q25" s="49">
        <v>1440</v>
      </c>
      <c r="R25" s="367">
        <v>0</v>
      </c>
      <c r="S25" s="367">
        <v>70</v>
      </c>
      <c r="T25" s="39">
        <f>E25*M25*O25*Q25/100000000</f>
        <v>43.174334568749998</v>
      </c>
      <c r="U25" s="39">
        <f>E25*M25*O25*(Q25-R25-S25)/100000000</f>
        <v>41.075582193880209</v>
      </c>
      <c r="V25" s="39">
        <f>E25*G25*(1-N25)*O25/100*(R25+S25)/1000000</f>
        <v>2.1965934374999994</v>
      </c>
      <c r="W25" s="39">
        <f>+'4'!K8/1000</f>
        <v>42.110999999999997</v>
      </c>
      <c r="X25" s="366">
        <f>SUM(W25:W28)/SUM(K25:K28)</f>
        <v>0.93192598368581825</v>
      </c>
      <c r="Y25" s="39">
        <f>+SUM(RBP!AG15:AG16)</f>
        <v>0</v>
      </c>
      <c r="Z25" s="39">
        <f>+'1'!D52/1000</f>
        <v>0</v>
      </c>
      <c r="AA25" s="51">
        <f>SUM(U25:U28)-SUM(W25:W28)-SUM(Z25:Z28)-SUM(Y25:Y28)</f>
        <v>-1.0354178061197885</v>
      </c>
      <c r="AB25" s="51">
        <f>(SUM(K25:K28)-SUM(W25:W28)-SUM(Y25:Y28)-SUM(Z25:Z28)-SUM(AC25:AC28)-SUM(V25:V28))-AA25</f>
        <v>-9.7841062630209752E-2</v>
      </c>
      <c r="AC25" s="39">
        <f>K25-T25</f>
        <v>2.0127304312499916</v>
      </c>
      <c r="AD25" s="39">
        <f>+AM25+BA25</f>
        <v>12</v>
      </c>
      <c r="AE25" s="228" t="s">
        <v>401</v>
      </c>
      <c r="AF25" s="39">
        <v>12</v>
      </c>
      <c r="AG25" s="39"/>
      <c r="AH25" s="39"/>
      <c r="AI25" s="39"/>
      <c r="AJ25" s="39"/>
      <c r="AK25" s="39"/>
      <c r="AL25" s="39"/>
      <c r="AM25" s="39">
        <f>SUM(AF25:AL25)+AT25+AV25+AX25</f>
        <v>12</v>
      </c>
      <c r="AN25" s="39"/>
      <c r="AO25" s="39"/>
      <c r="AP25" s="39"/>
      <c r="AQ25" s="39"/>
      <c r="AR25" s="39">
        <f>SUM(AN25:AQ25)</f>
        <v>0</v>
      </c>
      <c r="AS25" s="39"/>
      <c r="AT25" s="39"/>
      <c r="AU25" s="39"/>
      <c r="AV25" s="39"/>
      <c r="AW25" s="39"/>
      <c r="AX25" s="39"/>
      <c r="AY25" s="39"/>
      <c r="AZ25" s="39"/>
      <c r="BA25" s="39">
        <f>+AR25+AS25+AU25+AW25+AY25+AZ25</f>
        <v>0</v>
      </c>
      <c r="BB25" s="35">
        <v>3</v>
      </c>
      <c r="BC25" s="53"/>
      <c r="BD25" s="53"/>
      <c r="BE25" s="35"/>
      <c r="BF25" s="53"/>
    </row>
    <row r="26" spans="1:58" ht="12.95" customHeight="1">
      <c r="A26" s="42"/>
      <c r="B26" s="43"/>
      <c r="C26" s="398"/>
      <c r="D26" s="43"/>
      <c r="E26" s="44"/>
      <c r="F26" s="44"/>
      <c r="G26" s="411"/>
      <c r="H26" s="46"/>
      <c r="I26" s="47"/>
      <c r="J26" s="84"/>
      <c r="K26" s="84"/>
      <c r="L26" s="37"/>
      <c r="M26" s="37"/>
      <c r="N26" s="48"/>
      <c r="O26" s="49"/>
      <c r="P26" s="50"/>
      <c r="Q26" s="49"/>
      <c r="R26" s="367"/>
      <c r="S26" s="367"/>
      <c r="T26" s="39"/>
      <c r="U26" s="39"/>
      <c r="V26" s="39"/>
      <c r="W26" s="39"/>
      <c r="X26" s="40"/>
      <c r="Y26" s="211"/>
      <c r="Z26" s="39"/>
      <c r="AA26" s="39"/>
      <c r="AB26" s="39"/>
      <c r="AC26" s="39"/>
      <c r="AD26" s="39">
        <f t="shared" ref="AD26:AD28" si="16">+AM26+BA26</f>
        <v>16</v>
      </c>
      <c r="AE26" s="228" t="s">
        <v>503</v>
      </c>
      <c r="AF26" s="39"/>
      <c r="AG26" s="39">
        <v>16</v>
      </c>
      <c r="AH26" s="39"/>
      <c r="AI26" s="39"/>
      <c r="AJ26" s="39"/>
      <c r="AK26" s="39"/>
      <c r="AL26" s="39"/>
      <c r="AM26" s="39">
        <f t="shared" ref="AM26:AM27" si="17">SUM(AF26:AL26)+AT26+AV26+AX26</f>
        <v>16</v>
      </c>
      <c r="AN26" s="85"/>
      <c r="AO26" s="39"/>
      <c r="AP26" s="39"/>
      <c r="AQ26" s="39"/>
      <c r="AR26" s="39">
        <f t="shared" ref="AR26:AR27" si="18">SUM(AN26:AQ26)</f>
        <v>0</v>
      </c>
      <c r="AS26" s="39"/>
      <c r="AT26" s="39"/>
      <c r="AU26" s="39"/>
      <c r="AV26" s="39"/>
      <c r="AW26" s="39"/>
      <c r="AX26" s="39"/>
      <c r="AY26" s="39"/>
      <c r="AZ26" s="39"/>
      <c r="BA26" s="39">
        <f t="shared" ref="BA26:BA28" si="19">+AR26+AS26+AU26+AW26+AY26+AZ26</f>
        <v>0</v>
      </c>
      <c r="BB26" s="52"/>
      <c r="BC26" s="53">
        <v>6</v>
      </c>
      <c r="BD26" s="53"/>
      <c r="BE26" s="52"/>
      <c r="BF26" s="53"/>
    </row>
    <row r="27" spans="1:58" ht="12.95" customHeight="1">
      <c r="A27" s="42"/>
      <c r="B27" s="43"/>
      <c r="C27" s="398"/>
      <c r="D27" s="43"/>
      <c r="E27" s="44"/>
      <c r="F27" s="44"/>
      <c r="G27" s="45"/>
      <c r="H27" s="46"/>
      <c r="I27" s="47"/>
      <c r="J27" s="84"/>
      <c r="K27" s="84"/>
      <c r="L27" s="37"/>
      <c r="M27" s="37"/>
      <c r="N27" s="48"/>
      <c r="O27" s="49"/>
      <c r="P27" s="50"/>
      <c r="Q27" s="49"/>
      <c r="R27" s="367"/>
      <c r="S27" s="367"/>
      <c r="T27" s="39"/>
      <c r="U27" s="39"/>
      <c r="V27" s="39"/>
      <c r="W27" s="39"/>
      <c r="X27" s="40"/>
      <c r="Y27" s="211"/>
      <c r="Z27" s="39"/>
      <c r="AA27" s="39"/>
      <c r="AB27" s="39"/>
      <c r="AC27" s="39"/>
      <c r="AD27" s="39">
        <f t="shared" si="16"/>
        <v>17</v>
      </c>
      <c r="AE27" s="228" t="s">
        <v>504</v>
      </c>
      <c r="AF27" s="35"/>
      <c r="AG27" s="35"/>
      <c r="AH27" s="35">
        <v>17</v>
      </c>
      <c r="AI27" s="35"/>
      <c r="AJ27" s="39"/>
      <c r="AK27" s="39"/>
      <c r="AL27" s="39"/>
      <c r="AM27" s="39">
        <f t="shared" si="17"/>
        <v>17</v>
      </c>
      <c r="AN27" s="39"/>
      <c r="AO27" s="39"/>
      <c r="AP27" s="39"/>
      <c r="AQ27" s="39"/>
      <c r="AR27" s="39">
        <f t="shared" si="18"/>
        <v>0</v>
      </c>
      <c r="AS27" s="39"/>
      <c r="AT27" s="39"/>
      <c r="AU27" s="39"/>
      <c r="AV27" s="39"/>
      <c r="AW27" s="39"/>
      <c r="AX27" s="39"/>
      <c r="AY27" s="39"/>
      <c r="AZ27" s="39"/>
      <c r="BA27" s="39">
        <f t="shared" si="19"/>
        <v>0</v>
      </c>
      <c r="BB27" s="35"/>
      <c r="BC27" s="482"/>
      <c r="BD27" s="482"/>
      <c r="BE27" s="35"/>
      <c r="BF27" s="482"/>
    </row>
    <row r="28" spans="1:58" ht="12.95" customHeight="1">
      <c r="A28" s="42"/>
      <c r="B28" s="43"/>
      <c r="C28" s="398"/>
      <c r="D28" s="43"/>
      <c r="E28" s="44"/>
      <c r="F28" s="44"/>
      <c r="G28" s="45"/>
      <c r="H28" s="46"/>
      <c r="I28" s="47"/>
      <c r="J28" s="84"/>
      <c r="K28" s="84"/>
      <c r="L28" s="37"/>
      <c r="M28" s="37"/>
      <c r="N28" s="48"/>
      <c r="O28" s="49"/>
      <c r="P28" s="50"/>
      <c r="Q28" s="49"/>
      <c r="R28" s="367"/>
      <c r="S28" s="367"/>
      <c r="T28" s="39"/>
      <c r="U28" s="39"/>
      <c r="V28" s="39"/>
      <c r="W28" s="39"/>
      <c r="X28" s="40"/>
      <c r="Y28" s="211"/>
      <c r="Z28" s="39"/>
      <c r="AA28" s="39"/>
      <c r="AB28" s="39"/>
      <c r="AC28" s="39"/>
      <c r="AD28" s="39">
        <f t="shared" si="16"/>
        <v>25</v>
      </c>
      <c r="AE28" s="228" t="s">
        <v>505</v>
      </c>
      <c r="AF28" s="35"/>
      <c r="AG28" s="35"/>
      <c r="AH28" s="35"/>
      <c r="AI28" s="35"/>
      <c r="AJ28" s="39"/>
      <c r="AK28" s="39">
        <v>25</v>
      </c>
      <c r="AL28" s="39"/>
      <c r="AM28" s="39">
        <f t="shared" ref="AM28" si="20">SUM(AF28:AL28)+AT28+AV28+AX28</f>
        <v>25</v>
      </c>
      <c r="AN28" s="39"/>
      <c r="AO28" s="39"/>
      <c r="AP28" s="39"/>
      <c r="AQ28" s="39"/>
      <c r="AR28" s="39">
        <f t="shared" ref="AR28" si="21">SUM(AN28:AQ28)</f>
        <v>0</v>
      </c>
      <c r="AS28" s="39"/>
      <c r="AT28" s="39"/>
      <c r="AU28" s="39"/>
      <c r="AV28" s="39"/>
      <c r="AW28" s="39"/>
      <c r="AX28" s="39"/>
      <c r="AY28" s="39"/>
      <c r="AZ28" s="39"/>
      <c r="BA28" s="39">
        <f t="shared" si="19"/>
        <v>0</v>
      </c>
      <c r="BB28" s="35"/>
      <c r="BC28" s="482"/>
      <c r="BD28" s="482"/>
      <c r="BE28" s="35"/>
      <c r="BF28" s="482"/>
    </row>
    <row r="29" spans="1:58" ht="12.95" customHeight="1">
      <c r="A29" s="42"/>
      <c r="B29" s="43"/>
      <c r="C29" s="398"/>
      <c r="D29" s="43"/>
      <c r="E29" s="44"/>
      <c r="F29" s="44"/>
      <c r="G29" s="411"/>
      <c r="H29" s="46"/>
      <c r="I29" s="47"/>
      <c r="J29" s="84"/>
      <c r="K29" s="84"/>
      <c r="L29" s="37"/>
      <c r="M29" s="37"/>
      <c r="N29" s="48"/>
      <c r="O29" s="49"/>
      <c r="P29" s="50"/>
      <c r="Q29" s="49"/>
      <c r="R29" s="367"/>
      <c r="S29" s="367"/>
      <c r="T29" s="39"/>
      <c r="U29" s="39"/>
      <c r="V29" s="39"/>
      <c r="W29" s="39"/>
      <c r="X29" s="40"/>
      <c r="Y29" s="211"/>
      <c r="Z29" s="39"/>
      <c r="AA29" s="39"/>
      <c r="AB29" s="39"/>
      <c r="AC29" s="39"/>
      <c r="AD29" s="39"/>
      <c r="AE29" s="228"/>
      <c r="AF29" s="39"/>
      <c r="AG29" s="39"/>
      <c r="AH29" s="39"/>
      <c r="AI29" s="481"/>
      <c r="AJ29" s="39"/>
      <c r="AK29" s="39"/>
      <c r="AL29" s="39"/>
      <c r="AM29" s="39"/>
      <c r="AN29" s="85"/>
      <c r="AO29" s="39"/>
      <c r="AP29" s="39"/>
      <c r="AQ29" s="39"/>
      <c r="AR29" s="39"/>
      <c r="AS29" s="39"/>
      <c r="AT29" s="39"/>
      <c r="AU29" s="39"/>
      <c r="AV29" s="39"/>
      <c r="AW29" s="39"/>
      <c r="AX29" s="39"/>
      <c r="AY29" s="39"/>
      <c r="AZ29" s="39"/>
      <c r="BA29" s="39"/>
      <c r="BB29" s="52"/>
      <c r="BC29" s="53"/>
      <c r="BD29" s="482"/>
      <c r="BE29" s="35"/>
      <c r="BF29" s="482"/>
    </row>
    <row r="30" spans="1:58" ht="12.75" customHeight="1">
      <c r="A30" s="42">
        <v>45843</v>
      </c>
      <c r="B30" s="43" t="s">
        <v>8</v>
      </c>
      <c r="C30" s="398">
        <f>(M30*E30*O30*Q30)/100000000</f>
        <v>24.476326875000002</v>
      </c>
      <c r="D30" s="43" t="s">
        <v>307</v>
      </c>
      <c r="E30" s="44">
        <v>11.5</v>
      </c>
      <c r="F30" s="44">
        <v>1</v>
      </c>
      <c r="G30" s="411">
        <v>1350</v>
      </c>
      <c r="H30" s="46">
        <v>0.23</v>
      </c>
      <c r="I30" s="47">
        <v>0.88</v>
      </c>
      <c r="J30" s="84">
        <f>E30*G30*(1-H30)*1440/1000000*2.74</f>
        <v>47.16668880000001</v>
      </c>
      <c r="K30" s="84">
        <f>(IF(G30&lt;L30,L30,G30)*(1-IF(H30&lt;N30,H30,N30))*E30*O30*Q30)/100000000</f>
        <v>24.476326875000002</v>
      </c>
      <c r="L30" s="37">
        <v>1350</v>
      </c>
      <c r="M30" s="37">
        <v>1039.5</v>
      </c>
      <c r="N30" s="48">
        <f>1-(M30/L30)</f>
        <v>0.22999999999999998</v>
      </c>
      <c r="O30" s="49">
        <f>+'Trim Rwd'!H13</f>
        <v>262.5</v>
      </c>
      <c r="P30" s="50">
        <f>O30*(Q30-R30-S30)</f>
        <v>193987.5</v>
      </c>
      <c r="Q30" s="49">
        <v>780</v>
      </c>
      <c r="R30" s="367">
        <v>0</v>
      </c>
      <c r="S30" s="367">
        <f>26+5+10</f>
        <v>41</v>
      </c>
      <c r="T30" s="39">
        <f>E30*M30*O30*Q30/100000000</f>
        <v>24.476326875000002</v>
      </c>
      <c r="U30" s="39">
        <f>E30*M30*O30*(Q30-R30-S30)/100000000</f>
        <v>23.189750718749998</v>
      </c>
      <c r="V30" s="39">
        <f>E30*G30*(1-N30)*O30/100*(R30+S30)/1000000</f>
        <v>1.28657615625</v>
      </c>
      <c r="W30" s="39">
        <f>+'5'!K8/1000</f>
        <v>25.81</v>
      </c>
      <c r="X30" s="366">
        <f>SUM(W30:W34)/SUM(K30:K34)</f>
        <v>0.8773460318301084</v>
      </c>
      <c r="Y30" s="39">
        <f>+SUM(RBP!AG20:AG21)</f>
        <v>0</v>
      </c>
      <c r="Z30" s="39">
        <f>+'1'!D57/1000</f>
        <v>0</v>
      </c>
      <c r="AA30" s="51">
        <f>SUM(U30:U34)-SUM(W30:W34)-SUM(Z30:Z34)-SUM(Y30:Y34)</f>
        <v>3.8756137387499976</v>
      </c>
      <c r="AB30" s="51">
        <f>(SUM(K30:K34)-SUM(W30:W34)-SUM(Y30:Y34)-SUM(Z30:Z34)-SUM(AC30:AC34)-SUM(V30:V34))-AA30</f>
        <v>4.4408920985006262E-15</v>
      </c>
      <c r="AC30" s="39">
        <f>K30-T30</f>
        <v>0</v>
      </c>
      <c r="AD30" s="39">
        <f>+AM30+BA30</f>
        <v>15</v>
      </c>
      <c r="AE30" s="228" t="s">
        <v>402</v>
      </c>
      <c r="AF30" s="39">
        <v>15</v>
      </c>
      <c r="AG30" s="39"/>
      <c r="AH30" s="39"/>
      <c r="AI30" s="39"/>
      <c r="AJ30" s="39"/>
      <c r="AK30" s="39"/>
      <c r="AL30" s="39"/>
      <c r="AM30" s="39">
        <f>SUM(AF30:AL30)+AT30+AV30+AX30</f>
        <v>15</v>
      </c>
      <c r="AN30" s="39"/>
      <c r="AO30" s="39"/>
      <c r="AP30" s="39"/>
      <c r="AQ30" s="39"/>
      <c r="AR30" s="39">
        <f>SUM(AN30:AQ30)</f>
        <v>0</v>
      </c>
      <c r="AS30" s="39"/>
      <c r="AT30" s="39"/>
      <c r="AU30" s="39"/>
      <c r="AV30" s="39"/>
      <c r="AW30" s="39"/>
      <c r="AX30" s="39"/>
      <c r="AY30" s="39"/>
      <c r="AZ30" s="39"/>
      <c r="BA30" s="39">
        <f>+AR30+AS30+AU30+AW30+AY30+AZ30</f>
        <v>0</v>
      </c>
      <c r="BB30" s="35">
        <v>6</v>
      </c>
      <c r="BC30" s="53"/>
      <c r="BD30" s="53"/>
      <c r="BE30" s="35"/>
      <c r="BF30" s="53"/>
    </row>
    <row r="31" spans="1:58" ht="12.95" customHeight="1">
      <c r="A31" s="42"/>
      <c r="B31" s="43" t="s">
        <v>8</v>
      </c>
      <c r="C31" s="398">
        <f t="shared" ref="C31:C32" si="22">(M31*E31*O31*Q31)/100000000</f>
        <v>4.6453176000000003</v>
      </c>
      <c r="D31" s="43" t="s">
        <v>307</v>
      </c>
      <c r="E31" s="44">
        <v>12</v>
      </c>
      <c r="F31" s="44">
        <v>1</v>
      </c>
      <c r="G31" s="411">
        <v>1350</v>
      </c>
      <c r="H31" s="46">
        <v>0.23</v>
      </c>
      <c r="I31" s="47">
        <v>0.88</v>
      </c>
      <c r="J31" s="84">
        <f>E31*G31*(1-H31)*1440/1000000*2.74</f>
        <v>49.217414400000003</v>
      </c>
      <c r="K31" s="84">
        <f t="shared" ref="K31:K32" si="23">(IF(G31&lt;L31,L31,G31)*(1-IF(H31&lt;N31,H31,N31))*E31*O31*Q31)/100000000</f>
        <v>4.6453176000000003</v>
      </c>
      <c r="L31" s="37">
        <v>1350</v>
      </c>
      <c r="M31" s="37">
        <v>1039.5</v>
      </c>
      <c r="N31" s="48">
        <f t="shared" ref="N31:N32" si="24">1-(M31/L31)</f>
        <v>0.22999999999999998</v>
      </c>
      <c r="O31" s="49">
        <f>+'Trim Rwd'!H14</f>
        <v>266</v>
      </c>
      <c r="P31" s="50">
        <f t="shared" ref="P31:P32" si="25">O31*(Q31-R31-S31)</f>
        <v>35644</v>
      </c>
      <c r="Q31" s="49">
        <v>140</v>
      </c>
      <c r="R31" s="367">
        <v>0</v>
      </c>
      <c r="S31" s="367">
        <v>6</v>
      </c>
      <c r="T31" s="39">
        <f t="shared" ref="T31:T32" si="26">E31*M31*O31*Q31/100000000</f>
        <v>4.6453176000000003</v>
      </c>
      <c r="U31" s="39">
        <f t="shared" ref="U31:U32" si="27">E31*M31*O31*(Q31-R31-S31)/100000000</f>
        <v>4.4462325600000003</v>
      </c>
      <c r="V31" s="39">
        <f t="shared" ref="V31:V32" si="28">E31*G31*(1-N31)*O31/100*(R31+S31)/1000000</f>
        <v>0.19908503999999999</v>
      </c>
      <c r="W31" s="39">
        <f>+'5'!K7/1000</f>
        <v>4.5960000000000001</v>
      </c>
      <c r="X31" s="40"/>
      <c r="Y31" s="211"/>
      <c r="Z31" s="39"/>
      <c r="AA31" s="39"/>
      <c r="AB31" s="39"/>
      <c r="AC31" s="39"/>
      <c r="AD31" s="39">
        <f t="shared" ref="AD31:AD33" si="29">+AM31+BA31</f>
        <v>16</v>
      </c>
      <c r="AE31" s="228" t="s">
        <v>530</v>
      </c>
      <c r="AF31" s="39"/>
      <c r="AG31" s="39">
        <v>16</v>
      </c>
      <c r="AH31" s="39"/>
      <c r="AI31" s="39"/>
      <c r="AJ31" s="39"/>
      <c r="AK31" s="39"/>
      <c r="AL31" s="39"/>
      <c r="AM31" s="39">
        <f t="shared" ref="AM31:AM32" si="30">SUM(AF31:AL31)+AT31+AV31+AX31</f>
        <v>16</v>
      </c>
      <c r="AN31" s="85"/>
      <c r="AO31" s="39"/>
      <c r="AP31" s="39"/>
      <c r="AQ31" s="39"/>
      <c r="AR31" s="39">
        <f t="shared" ref="AR31:AR32" si="31">SUM(AN31:AQ31)</f>
        <v>0</v>
      </c>
      <c r="AS31" s="39"/>
      <c r="AT31" s="39"/>
      <c r="AU31" s="39"/>
      <c r="AV31" s="39"/>
      <c r="AW31" s="39"/>
      <c r="AX31" s="39"/>
      <c r="AY31" s="39"/>
      <c r="AZ31" s="39"/>
      <c r="BA31" s="39">
        <f t="shared" ref="BA31:BA33" si="32">+AR31+AS31+AU31+AW31+AY31+AZ31</f>
        <v>0</v>
      </c>
      <c r="BB31" s="52"/>
      <c r="BC31" s="53">
        <v>9</v>
      </c>
      <c r="BD31" s="53"/>
      <c r="BE31" s="52"/>
      <c r="BF31" s="53"/>
    </row>
    <row r="32" spans="1:58" ht="12.95" customHeight="1">
      <c r="A32" s="42"/>
      <c r="B32" s="43" t="s">
        <v>8</v>
      </c>
      <c r="C32" s="398">
        <f t="shared" si="22"/>
        <v>18.6918732</v>
      </c>
      <c r="D32" s="43" t="s">
        <v>307</v>
      </c>
      <c r="E32" s="44">
        <v>13</v>
      </c>
      <c r="F32" s="44">
        <v>1</v>
      </c>
      <c r="G32" s="411">
        <v>1350</v>
      </c>
      <c r="H32" s="46">
        <v>0.23</v>
      </c>
      <c r="I32" s="47">
        <v>0.88</v>
      </c>
      <c r="J32" s="84">
        <f>E32*G32*(1-H32)*1440/1000000*2.74</f>
        <v>53.318865600000009</v>
      </c>
      <c r="K32" s="84">
        <f t="shared" si="23"/>
        <v>18.6918732</v>
      </c>
      <c r="L32" s="37">
        <v>1350</v>
      </c>
      <c r="M32" s="37">
        <v>1039.5</v>
      </c>
      <c r="N32" s="48">
        <f t="shared" si="24"/>
        <v>0.22999999999999998</v>
      </c>
      <c r="O32" s="49">
        <f>+'Trim Rwd'!H15</f>
        <v>266</v>
      </c>
      <c r="P32" s="50">
        <f t="shared" si="25"/>
        <v>134596</v>
      </c>
      <c r="Q32" s="49">
        <v>520</v>
      </c>
      <c r="R32" s="367">
        <v>0</v>
      </c>
      <c r="S32" s="367">
        <f>61-S30-S31</f>
        <v>14</v>
      </c>
      <c r="T32" s="39">
        <f t="shared" si="26"/>
        <v>18.6918732</v>
      </c>
      <c r="U32" s="39">
        <f t="shared" si="27"/>
        <v>18.188630459999999</v>
      </c>
      <c r="V32" s="39">
        <f t="shared" si="28"/>
        <v>0.50324274000000002</v>
      </c>
      <c r="W32" s="39">
        <f>+'5'!K10/1000</f>
        <v>11.542999999999999</v>
      </c>
      <c r="X32" s="40"/>
      <c r="Y32" s="211"/>
      <c r="Z32" s="39"/>
      <c r="AA32" s="39"/>
      <c r="AB32" s="39"/>
      <c r="AC32" s="39"/>
      <c r="AD32" s="39">
        <f t="shared" si="29"/>
        <v>25</v>
      </c>
      <c r="AE32" s="228" t="s">
        <v>531</v>
      </c>
      <c r="AF32" s="35"/>
      <c r="AG32" s="35"/>
      <c r="AH32" s="35">
        <v>25</v>
      </c>
      <c r="AI32" s="35"/>
      <c r="AJ32" s="39"/>
      <c r="AK32" s="39"/>
      <c r="AL32" s="39"/>
      <c r="AM32" s="39">
        <f t="shared" si="30"/>
        <v>25</v>
      </c>
      <c r="AN32" s="39"/>
      <c r="AO32" s="39"/>
      <c r="AP32" s="39"/>
      <c r="AQ32" s="39"/>
      <c r="AR32" s="39">
        <f t="shared" si="31"/>
        <v>0</v>
      </c>
      <c r="AS32" s="39"/>
      <c r="AT32" s="39"/>
      <c r="AU32" s="39"/>
      <c r="AV32" s="39"/>
      <c r="AW32" s="39"/>
      <c r="AX32" s="39"/>
      <c r="AY32" s="39"/>
      <c r="AZ32" s="39"/>
      <c r="BA32" s="39">
        <f t="shared" si="32"/>
        <v>0</v>
      </c>
      <c r="BB32" s="35"/>
      <c r="BC32" s="482"/>
      <c r="BD32" s="482"/>
      <c r="BE32" s="35"/>
      <c r="BF32" s="482"/>
    </row>
    <row r="33" spans="1:58" ht="12.95" customHeight="1">
      <c r="A33" s="42"/>
      <c r="B33" s="43"/>
      <c r="C33" s="398"/>
      <c r="D33" s="43"/>
      <c r="E33" s="44"/>
      <c r="F33" s="44"/>
      <c r="G33" s="411"/>
      <c r="H33" s="46"/>
      <c r="I33" s="47"/>
      <c r="J33" s="84"/>
      <c r="K33" s="84"/>
      <c r="L33" s="37"/>
      <c r="M33" s="37"/>
      <c r="N33" s="48"/>
      <c r="O33" s="49"/>
      <c r="P33" s="50"/>
      <c r="Q33" s="49"/>
      <c r="R33" s="367"/>
      <c r="S33" s="367"/>
      <c r="T33" s="39"/>
      <c r="U33" s="39"/>
      <c r="V33" s="39"/>
      <c r="W33" s="39"/>
      <c r="X33" s="40"/>
      <c r="Y33" s="211"/>
      <c r="Z33" s="39"/>
      <c r="AA33" s="39"/>
      <c r="AB33" s="39"/>
      <c r="AC33" s="39"/>
      <c r="AD33" s="39">
        <f t="shared" si="29"/>
        <v>5</v>
      </c>
      <c r="AE33" s="228" t="s">
        <v>529</v>
      </c>
      <c r="AF33" s="35"/>
      <c r="AG33" s="35"/>
      <c r="AH33" s="35"/>
      <c r="AI33" s="35"/>
      <c r="AJ33" s="39">
        <v>5</v>
      </c>
      <c r="AK33" s="39"/>
      <c r="AL33" s="39"/>
      <c r="AM33" s="39">
        <f t="shared" ref="AM33" si="33">SUM(AF33:AL33)+AT33+AV33+AX33</f>
        <v>5</v>
      </c>
      <c r="AN33" s="39"/>
      <c r="AO33" s="39"/>
      <c r="AP33" s="39"/>
      <c r="AQ33" s="39"/>
      <c r="AR33" s="39">
        <f t="shared" ref="AR33" si="34">SUM(AN33:AQ33)</f>
        <v>0</v>
      </c>
      <c r="AS33" s="39"/>
      <c r="AT33" s="39"/>
      <c r="AU33" s="39"/>
      <c r="AV33" s="39"/>
      <c r="AW33" s="39"/>
      <c r="AX33" s="39"/>
      <c r="AY33" s="39"/>
      <c r="AZ33" s="39"/>
      <c r="BA33" s="39">
        <f t="shared" si="32"/>
        <v>0</v>
      </c>
      <c r="BB33" s="35"/>
      <c r="BC33" s="482"/>
      <c r="BD33" s="482"/>
      <c r="BE33" s="35"/>
      <c r="BF33" s="482"/>
    </row>
    <row r="34" spans="1:58" ht="12.95" customHeight="1">
      <c r="A34" s="42"/>
      <c r="B34" s="43"/>
      <c r="C34" s="398"/>
      <c r="D34" s="43"/>
      <c r="E34" s="44"/>
      <c r="F34" s="44"/>
      <c r="G34" s="411"/>
      <c r="H34" s="46"/>
      <c r="I34" s="47"/>
      <c r="J34" s="84"/>
      <c r="K34" s="84"/>
      <c r="L34" s="37"/>
      <c r="M34" s="37"/>
      <c r="N34" s="48"/>
      <c r="O34" s="49"/>
      <c r="P34" s="50"/>
      <c r="Q34" s="49"/>
      <c r="R34" s="367"/>
      <c r="S34" s="367"/>
      <c r="T34" s="39"/>
      <c r="U34" s="39"/>
      <c r="V34" s="39"/>
      <c r="W34" s="39"/>
      <c r="X34" s="40"/>
      <c r="Y34" s="211"/>
      <c r="Z34" s="39"/>
      <c r="AA34" s="39"/>
      <c r="AB34" s="39"/>
      <c r="AC34" s="39"/>
      <c r="AD34" s="39"/>
      <c r="AE34" s="228"/>
      <c r="AF34" s="39"/>
      <c r="AG34" s="39"/>
      <c r="AH34" s="39"/>
      <c r="AI34" s="39"/>
      <c r="AJ34" s="39"/>
      <c r="AK34" s="39"/>
      <c r="AL34" s="39"/>
      <c r="AM34" s="39"/>
      <c r="AN34" s="39"/>
      <c r="AO34" s="39"/>
      <c r="AP34" s="39"/>
      <c r="AQ34" s="39"/>
      <c r="AR34" s="39"/>
      <c r="AS34" s="39"/>
      <c r="AT34" s="39"/>
      <c r="AU34" s="39"/>
      <c r="AV34" s="39"/>
      <c r="AW34" s="39"/>
      <c r="AX34" s="39"/>
      <c r="AY34" s="39"/>
      <c r="AZ34" s="39"/>
      <c r="BA34" s="39"/>
      <c r="BB34" s="35"/>
      <c r="BC34" s="53"/>
      <c r="BD34" s="53"/>
      <c r="BE34" s="53"/>
      <c r="BF34" s="53"/>
    </row>
    <row r="35" spans="1:58" ht="12.75" customHeight="1">
      <c r="A35" s="42">
        <v>45844</v>
      </c>
      <c r="B35" s="43" t="s">
        <v>8</v>
      </c>
      <c r="C35" s="398">
        <f>(M35*E35*O35*Q35)/100000000</f>
        <v>5.3918865</v>
      </c>
      <c r="D35" s="43" t="s">
        <v>307</v>
      </c>
      <c r="E35" s="44">
        <v>13</v>
      </c>
      <c r="F35" s="44">
        <v>1</v>
      </c>
      <c r="G35" s="411">
        <v>1350</v>
      </c>
      <c r="H35" s="46">
        <v>0.23</v>
      </c>
      <c r="I35" s="47">
        <v>0.88</v>
      </c>
      <c r="J35" s="84">
        <f>E35*G35*(1-H35)*1440/1000000*2.74</f>
        <v>53.318865600000009</v>
      </c>
      <c r="K35" s="84">
        <f>(IF(G35&lt;L35,L35,G35)*(1-IF(H35&lt;N35,H35,N35))*E35*O35*Q35)/100000000</f>
        <v>5.3918865</v>
      </c>
      <c r="L35" s="37">
        <v>1350</v>
      </c>
      <c r="M35" s="37">
        <v>1039.5</v>
      </c>
      <c r="N35" s="48">
        <f>1-(M35/L35)</f>
        <v>0.22999999999999998</v>
      </c>
      <c r="O35" s="49">
        <f>+'Trim Rwd'!H17</f>
        <v>266</v>
      </c>
      <c r="P35" s="50">
        <f>O35*(Q35-R35-S35)</f>
        <v>34580</v>
      </c>
      <c r="Q35" s="49">
        <v>150</v>
      </c>
      <c r="R35" s="367">
        <v>0</v>
      </c>
      <c r="S35" s="367">
        <f>10+5+5</f>
        <v>20</v>
      </c>
      <c r="T35" s="39">
        <f>E35*M35*O35*Q35/100000000</f>
        <v>5.3918865</v>
      </c>
      <c r="U35" s="39">
        <f>E35*M35*O35*(Q35-R35-S35)/100000000</f>
        <v>4.6729683</v>
      </c>
      <c r="V35" s="39">
        <f>E35*G35*(1-N35)*O35/100*(R35+S35)/1000000</f>
        <v>0.71891820000000006</v>
      </c>
      <c r="W35" s="39">
        <f>+'6'!K10/1000</f>
        <v>9.7140000000000004</v>
      </c>
      <c r="X35" s="366">
        <f>SUM(W35:W38)/SUM(K35:K38)</f>
        <v>0.88337241470207706</v>
      </c>
      <c r="Y35" s="39">
        <f>+SUM(RBP!AG24:AG25)</f>
        <v>0</v>
      </c>
      <c r="Z35" s="39">
        <f>+'1'!D61/1000</f>
        <v>0</v>
      </c>
      <c r="AA35" s="51">
        <f>SUM(U35:U38)-SUM(W35:W38)-SUM(Z35:Z38)-SUM(Y35:Y38)</f>
        <v>4.1836871081395302</v>
      </c>
      <c r="AB35" s="51">
        <f>(SUM(K35:K38)-SUM(W35:W38)-SUM(Y35:Y38)-SUM(Z35:Z38)-SUM(AC35:AC38)-SUM(V35:V38))-AA35</f>
        <v>6.8518475291945435E-3</v>
      </c>
      <c r="AC35" s="39">
        <f>K35-T35</f>
        <v>0</v>
      </c>
      <c r="AD35" s="39">
        <f>+AM35+BA35</f>
        <v>15</v>
      </c>
      <c r="AE35" s="228" t="s">
        <v>402</v>
      </c>
      <c r="AF35" s="39">
        <v>15</v>
      </c>
      <c r="AG35" s="39"/>
      <c r="AH35" s="39"/>
      <c r="AI35" s="39"/>
      <c r="AJ35" s="39"/>
      <c r="AK35" s="39"/>
      <c r="AL35" s="39"/>
      <c r="AM35" s="39">
        <f>SUM(AF35:AL35)+AT35+AV35+AX35</f>
        <v>15</v>
      </c>
      <c r="AN35" s="39"/>
      <c r="AO35" s="39"/>
      <c r="AP35" s="39"/>
      <c r="AQ35" s="39"/>
      <c r="AR35" s="39">
        <f>SUM(AN35:AQ35)</f>
        <v>0</v>
      </c>
      <c r="AS35" s="39"/>
      <c r="AT35" s="39"/>
      <c r="AU35" s="39"/>
      <c r="AV35" s="39"/>
      <c r="AW35" s="39"/>
      <c r="AX35" s="39"/>
      <c r="AY35" s="39"/>
      <c r="AZ35" s="39"/>
      <c r="BA35" s="39">
        <f>+AR35+AS35+AU35+AW35+AY35+AZ35</f>
        <v>0</v>
      </c>
      <c r="BB35" s="35">
        <v>6</v>
      </c>
      <c r="BC35" s="53"/>
      <c r="BD35" s="53"/>
      <c r="BE35" s="35"/>
      <c r="BF35" s="53"/>
    </row>
    <row r="36" spans="1:58" ht="12.95" customHeight="1">
      <c r="A36" s="42"/>
      <c r="B36" s="43" t="s">
        <v>528</v>
      </c>
      <c r="C36" s="398">
        <f>(M36*E36*O36*Q36)/100000000</f>
        <v>46.544306249999991</v>
      </c>
      <c r="D36" s="43" t="s">
        <v>307</v>
      </c>
      <c r="E36" s="44">
        <v>13</v>
      </c>
      <c r="F36" s="44">
        <v>1</v>
      </c>
      <c r="G36" s="411">
        <v>1305</v>
      </c>
      <c r="H36" s="46">
        <f>+N36</f>
        <v>0.17736935341009752</v>
      </c>
      <c r="I36" s="47">
        <v>0.88</v>
      </c>
      <c r="J36" s="84">
        <f>E36*G36*(1-H36)*1440/1000000*2.74</f>
        <v>55.064513144375553</v>
      </c>
      <c r="K36" s="84">
        <f>(IF(G36&lt;L36,L36,G36)*(1-IF(H36&lt;N36,H36,N36))*E36*O36*Q36)/100000000</f>
        <v>46.544306249999991</v>
      </c>
      <c r="L36" s="37">
        <v>1312.7906976744187</v>
      </c>
      <c r="M36" s="37">
        <v>1079.9418604651162</v>
      </c>
      <c r="N36" s="48">
        <f>1-(M36/L36)</f>
        <v>0.17736935341009752</v>
      </c>
      <c r="O36" s="49">
        <f>+'Trim Rwd'!H18</f>
        <v>257</v>
      </c>
      <c r="P36" s="50">
        <f>O36*(Q36-R36-S36)</f>
        <v>323306</v>
      </c>
      <c r="Q36" s="49">
        <v>1290</v>
      </c>
      <c r="R36" s="367">
        <v>0</v>
      </c>
      <c r="S36" s="367">
        <f>27+5</f>
        <v>32</v>
      </c>
      <c r="T36" s="39">
        <f>E36*M36*O36*Q36/100000000</f>
        <v>46.544306249999991</v>
      </c>
      <c r="U36" s="39">
        <f>E36*M36*O36*(Q36-R36-S36)/100000000</f>
        <v>45.389718808139527</v>
      </c>
      <c r="V36" s="39">
        <f>E36*G36*(1-N36)*O36/100*(R36+S36)/1000000</f>
        <v>1.1477355943312664</v>
      </c>
      <c r="W36" s="39">
        <f>+'6'!K9/1000</f>
        <v>36.164999999999999</v>
      </c>
      <c r="X36" s="40"/>
      <c r="Y36" s="211"/>
      <c r="Z36" s="39"/>
      <c r="AA36" s="39"/>
      <c r="AB36" s="39"/>
      <c r="AC36" s="39"/>
      <c r="AD36" s="39">
        <f t="shared" ref="AD36:AD37" si="35">+AM36+BA36</f>
        <v>13</v>
      </c>
      <c r="AE36" s="228" t="s">
        <v>532</v>
      </c>
      <c r="AF36" s="39"/>
      <c r="AG36" s="39">
        <v>13</v>
      </c>
      <c r="AH36" s="39"/>
      <c r="AI36" s="39"/>
      <c r="AJ36" s="39"/>
      <c r="AK36" s="39"/>
      <c r="AL36" s="39"/>
      <c r="AM36" s="39">
        <f t="shared" ref="AM36:AM37" si="36">SUM(AF36:AL36)+AT36+AV36+AX36</f>
        <v>13</v>
      </c>
      <c r="AN36" s="85"/>
      <c r="AO36" s="39"/>
      <c r="AP36" s="39"/>
      <c r="AQ36" s="39"/>
      <c r="AR36" s="39">
        <f t="shared" ref="AR36:AR37" si="37">SUM(AN36:AQ36)</f>
        <v>0</v>
      </c>
      <c r="AS36" s="39"/>
      <c r="AT36" s="39"/>
      <c r="AU36" s="39"/>
      <c r="AV36" s="39"/>
      <c r="AW36" s="39"/>
      <c r="AX36" s="39"/>
      <c r="AY36" s="39"/>
      <c r="AZ36" s="39"/>
      <c r="BA36" s="39">
        <f t="shared" ref="BA36:BA37" si="38">+AR36+AS36+AU36+AW36+AY36+AZ36</f>
        <v>0</v>
      </c>
      <c r="BB36" s="52"/>
      <c r="BC36" s="53">
        <v>10</v>
      </c>
      <c r="BD36" s="53"/>
      <c r="BE36" s="52"/>
      <c r="BF36" s="53"/>
    </row>
    <row r="37" spans="1:58" ht="12.95" customHeight="1">
      <c r="A37" s="42"/>
      <c r="B37" s="43"/>
      <c r="C37" s="398"/>
      <c r="D37" s="43"/>
      <c r="E37" s="44"/>
      <c r="F37" s="44"/>
      <c r="G37" s="45"/>
      <c r="H37" s="46"/>
      <c r="I37" s="47"/>
      <c r="J37" s="84"/>
      <c r="K37" s="84"/>
      <c r="L37" s="37"/>
      <c r="M37" s="37"/>
      <c r="N37" s="48"/>
      <c r="O37" s="49"/>
      <c r="P37" s="50"/>
      <c r="Q37" s="49"/>
      <c r="R37" s="367"/>
      <c r="S37" s="367"/>
      <c r="T37" s="39"/>
      <c r="U37" s="39"/>
      <c r="V37" s="39"/>
      <c r="W37" s="39"/>
      <c r="X37" s="40"/>
      <c r="Y37" s="211"/>
      <c r="Z37" s="39"/>
      <c r="AA37" s="39"/>
      <c r="AB37" s="39"/>
      <c r="AC37" s="39"/>
      <c r="AD37" s="39">
        <f t="shared" si="35"/>
        <v>24</v>
      </c>
      <c r="AE37" s="228" t="s">
        <v>469</v>
      </c>
      <c r="AF37" s="35"/>
      <c r="AG37" s="35"/>
      <c r="AH37" s="35">
        <v>24</v>
      </c>
      <c r="AI37" s="35"/>
      <c r="AJ37" s="39"/>
      <c r="AK37" s="39"/>
      <c r="AL37" s="39"/>
      <c r="AM37" s="39">
        <f t="shared" si="36"/>
        <v>24</v>
      </c>
      <c r="AN37" s="39"/>
      <c r="AO37" s="39"/>
      <c r="AP37" s="39"/>
      <c r="AQ37" s="39"/>
      <c r="AR37" s="39">
        <f t="shared" si="37"/>
        <v>0</v>
      </c>
      <c r="AS37" s="39"/>
      <c r="AT37" s="39"/>
      <c r="AU37" s="39"/>
      <c r="AV37" s="39"/>
      <c r="AW37" s="39"/>
      <c r="AX37" s="39"/>
      <c r="AY37" s="39"/>
      <c r="AZ37" s="39"/>
      <c r="BA37" s="39">
        <f t="shared" si="38"/>
        <v>0</v>
      </c>
      <c r="BB37" s="35"/>
      <c r="BC37" s="482"/>
      <c r="BD37" s="482"/>
      <c r="BE37" s="35"/>
      <c r="BF37" s="482"/>
    </row>
    <row r="38" spans="1:58" ht="12.95" customHeight="1">
      <c r="A38" s="42"/>
      <c r="B38" s="43"/>
      <c r="C38" s="398"/>
      <c r="D38" s="43"/>
      <c r="E38" s="44"/>
      <c r="F38" s="44"/>
      <c r="G38" s="411"/>
      <c r="H38" s="46"/>
      <c r="I38" s="47"/>
      <c r="J38" s="84"/>
      <c r="K38" s="84"/>
      <c r="L38" s="37"/>
      <c r="M38" s="37"/>
      <c r="N38" s="48"/>
      <c r="O38" s="49"/>
      <c r="P38" s="50"/>
      <c r="Q38" s="49"/>
      <c r="R38" s="367"/>
      <c r="S38" s="367"/>
      <c r="T38" s="39"/>
      <c r="U38" s="39"/>
      <c r="V38" s="39"/>
      <c r="W38" s="39"/>
      <c r="X38" s="40"/>
      <c r="Y38" s="211"/>
      <c r="Z38" s="39"/>
      <c r="AA38" s="39"/>
      <c r="AB38" s="39"/>
      <c r="AC38" s="39"/>
      <c r="AD38" s="39"/>
      <c r="AE38" s="228"/>
      <c r="AF38" s="39"/>
      <c r="AG38" s="39"/>
      <c r="AH38" s="39"/>
      <c r="AI38" s="39"/>
      <c r="AJ38" s="39"/>
      <c r="AK38" s="39"/>
      <c r="AL38" s="39"/>
      <c r="AM38" s="39"/>
      <c r="AN38" s="39"/>
      <c r="AO38" s="39"/>
      <c r="AP38" s="39"/>
      <c r="AQ38" s="39"/>
      <c r="AR38" s="39"/>
      <c r="AS38" s="39"/>
      <c r="AT38" s="39"/>
      <c r="AU38" s="39"/>
      <c r="AV38" s="39"/>
      <c r="AW38" s="39"/>
      <c r="AX38" s="39"/>
      <c r="AY38" s="39"/>
      <c r="AZ38" s="39"/>
      <c r="BA38" s="39"/>
      <c r="BB38" s="35"/>
      <c r="BC38" s="53"/>
      <c r="BD38" s="482"/>
      <c r="BE38" s="35"/>
      <c r="BF38" s="482"/>
    </row>
    <row r="39" spans="1:58" ht="12.75" customHeight="1">
      <c r="A39" s="42">
        <v>45845</v>
      </c>
      <c r="B39" s="43" t="s">
        <v>528</v>
      </c>
      <c r="C39" s="398">
        <f>(M39*E39*O39*Q39)/100000000</f>
        <v>51.285686400000003</v>
      </c>
      <c r="D39" s="43" t="s">
        <v>307</v>
      </c>
      <c r="E39" s="44">
        <v>13</v>
      </c>
      <c r="F39" s="44">
        <v>1</v>
      </c>
      <c r="G39" s="411">
        <v>1310</v>
      </c>
      <c r="H39" s="46">
        <f>+N39</f>
        <v>0.18000000000000005</v>
      </c>
      <c r="I39" s="47">
        <v>0.88</v>
      </c>
      <c r="J39" s="84">
        <f>E39*G39*(1-H39)*1440/1000000*2.74</f>
        <v>55.098725760000001</v>
      </c>
      <c r="K39" s="84">
        <f>(IF(G39&lt;L39,L39,G39)*(1-IF(H39&lt;N39,H39,N39))*E39*O39*Q39)/100000000</f>
        <v>51.68019168</v>
      </c>
      <c r="L39" s="37">
        <v>1300</v>
      </c>
      <c r="M39" s="37">
        <v>1066</v>
      </c>
      <c r="N39" s="48">
        <f>1-(M39/L39)</f>
        <v>0.18000000000000005</v>
      </c>
      <c r="O39" s="49">
        <f>+'Trim Rwd'!H20</f>
        <v>257</v>
      </c>
      <c r="P39" s="50">
        <f>O39*(Q39-R39-S39)</f>
        <v>363912</v>
      </c>
      <c r="Q39" s="49">
        <v>1440</v>
      </c>
      <c r="R39" s="367">
        <v>0</v>
      </c>
      <c r="S39" s="367">
        <v>24</v>
      </c>
      <c r="T39" s="39">
        <f>E39*M39*O39*Q39/100000000</f>
        <v>51.285686400000003</v>
      </c>
      <c r="U39" s="39">
        <f>E39*M39*O39*(Q39-R39-S39)/100000000</f>
        <v>50.430924959999999</v>
      </c>
      <c r="V39" s="39">
        <f>E39*G39*(1-N39)*O39/100*(R39+S39)/1000000</f>
        <v>0.86133652799999993</v>
      </c>
      <c r="W39" s="39">
        <f>+'7'!K9/1000</f>
        <v>48.341000000000001</v>
      </c>
      <c r="X39" s="366">
        <f>SUM(W39:W42)/SUM(K39:K42)</f>
        <v>0.93538739754147915</v>
      </c>
      <c r="Y39" s="39">
        <f>+SUM(RBP!AG29:AG30)</f>
        <v>0</v>
      </c>
      <c r="Z39" s="39">
        <f>+'1'!D66/1000</f>
        <v>0</v>
      </c>
      <c r="AA39" s="51">
        <f>SUM(U39:U42)-SUM(W39:W42)-SUM(Z39:Z42)-SUM(Y39:Y42)</f>
        <v>2.0899249599999976</v>
      </c>
      <c r="AB39" s="51">
        <f>(SUM(K39:K42)-SUM(W39:W42)-SUM(Y39:Y42)-SUM(Z39:Z42)-SUM(AC39:AC42)-SUM(V39:V42))-AA39</f>
        <v>-6.5750879999955103E-3</v>
      </c>
      <c r="AC39" s="39">
        <f>K39-T39</f>
        <v>0.39450527999999707</v>
      </c>
      <c r="AD39" s="39">
        <f>+AM39+BA39</f>
        <v>0</v>
      </c>
      <c r="AE39" s="228" t="s">
        <v>461</v>
      </c>
      <c r="AF39" s="39">
        <v>0</v>
      </c>
      <c r="AG39" s="39"/>
      <c r="AH39" s="39"/>
      <c r="AI39" s="39"/>
      <c r="AJ39" s="39"/>
      <c r="AK39" s="39"/>
      <c r="AL39" s="39"/>
      <c r="AM39" s="39">
        <f>SUM(AF39:AL39)+AT39+AV39+AX39</f>
        <v>0</v>
      </c>
      <c r="AN39" s="39"/>
      <c r="AO39" s="39"/>
      <c r="AP39" s="39"/>
      <c r="AQ39" s="39"/>
      <c r="AR39" s="39">
        <f>SUM(AN39:AQ39)</f>
        <v>0</v>
      </c>
      <c r="AS39" s="39"/>
      <c r="AT39" s="39"/>
      <c r="AU39" s="39"/>
      <c r="AV39" s="39"/>
      <c r="AW39" s="39"/>
      <c r="AX39" s="39"/>
      <c r="AY39" s="39"/>
      <c r="AZ39" s="39"/>
      <c r="BA39" s="39">
        <f>+AR39+AS39+AU39+AW39+AY39+AZ39</f>
        <v>0</v>
      </c>
      <c r="BB39" s="35">
        <v>0</v>
      </c>
      <c r="BC39" s="53"/>
      <c r="BD39" s="53"/>
      <c r="BE39" s="35"/>
      <c r="BF39" s="53"/>
    </row>
    <row r="40" spans="1:58" ht="12.95" customHeight="1">
      <c r="A40" s="42"/>
      <c r="B40" s="43"/>
      <c r="C40" s="398"/>
      <c r="D40" s="43"/>
      <c r="E40" s="44"/>
      <c r="F40" s="44"/>
      <c r="G40" s="411"/>
      <c r="H40" s="46"/>
      <c r="I40" s="47"/>
      <c r="J40" s="84"/>
      <c r="K40" s="84"/>
      <c r="L40" s="37"/>
      <c r="M40" s="37"/>
      <c r="N40" s="48"/>
      <c r="O40" s="49"/>
      <c r="P40" s="50"/>
      <c r="Q40" s="49"/>
      <c r="R40" s="367"/>
      <c r="S40" s="367"/>
      <c r="T40" s="39"/>
      <c r="U40" s="39"/>
      <c r="V40" s="39"/>
      <c r="W40" s="39"/>
      <c r="X40" s="40"/>
      <c r="Y40" s="211"/>
      <c r="Z40" s="39"/>
      <c r="AA40" s="39"/>
      <c r="AB40" s="39"/>
      <c r="AC40" s="39"/>
      <c r="AD40" s="39">
        <f t="shared" ref="AD40:AD41" si="39">+AM40+BA40</f>
        <v>12</v>
      </c>
      <c r="AE40" s="228" t="s">
        <v>544</v>
      </c>
      <c r="AF40" s="39"/>
      <c r="AG40" s="39">
        <v>12</v>
      </c>
      <c r="AH40" s="39"/>
      <c r="AI40" s="39"/>
      <c r="AJ40" s="39"/>
      <c r="AK40" s="39"/>
      <c r="AL40" s="39"/>
      <c r="AM40" s="39">
        <f t="shared" ref="AM40:AM41" si="40">SUM(AF40:AL40)+AT40+AV40+AX40</f>
        <v>12</v>
      </c>
      <c r="AN40" s="85"/>
      <c r="AO40" s="39"/>
      <c r="AP40" s="39"/>
      <c r="AQ40" s="39"/>
      <c r="AR40" s="39">
        <f t="shared" ref="AR40:AR41" si="41">SUM(AN40:AQ40)</f>
        <v>0</v>
      </c>
      <c r="AS40" s="39"/>
      <c r="AT40" s="39"/>
      <c r="AU40" s="39"/>
      <c r="AV40" s="39"/>
      <c r="AW40" s="39"/>
      <c r="AX40" s="39"/>
      <c r="AY40" s="39"/>
      <c r="AZ40" s="39"/>
      <c r="BA40" s="39">
        <f t="shared" ref="BA40:BA41" si="42">+AR40+AS40+AU40+AW40+AY40+AZ40</f>
        <v>0</v>
      </c>
      <c r="BB40" s="52"/>
      <c r="BC40" s="53">
        <v>11</v>
      </c>
      <c r="BD40" s="53"/>
      <c r="BE40" s="52"/>
      <c r="BF40" s="53"/>
    </row>
    <row r="41" spans="1:58" ht="12.95" customHeight="1">
      <c r="A41" s="42"/>
      <c r="B41" s="43"/>
      <c r="C41" s="398"/>
      <c r="D41" s="43"/>
      <c r="E41" s="44"/>
      <c r="F41" s="44"/>
      <c r="G41" s="45"/>
      <c r="H41" s="46"/>
      <c r="I41" s="47"/>
      <c r="J41" s="84"/>
      <c r="K41" s="84"/>
      <c r="L41" s="37"/>
      <c r="M41" s="37"/>
      <c r="N41" s="48"/>
      <c r="O41" s="49"/>
      <c r="P41" s="50"/>
      <c r="Q41" s="49"/>
      <c r="R41" s="367"/>
      <c r="S41" s="367"/>
      <c r="T41" s="39"/>
      <c r="U41" s="39"/>
      <c r="V41" s="39"/>
      <c r="W41" s="39"/>
      <c r="X41" s="40"/>
      <c r="Y41" s="211"/>
      <c r="Z41" s="39"/>
      <c r="AA41" s="39"/>
      <c r="AB41" s="39"/>
      <c r="AC41" s="39"/>
      <c r="AD41" s="39">
        <f t="shared" si="39"/>
        <v>12</v>
      </c>
      <c r="AE41" s="228" t="s">
        <v>504</v>
      </c>
      <c r="AF41" s="35"/>
      <c r="AG41" s="35"/>
      <c r="AH41" s="35">
        <v>12</v>
      </c>
      <c r="AI41" s="35"/>
      <c r="AJ41" s="39"/>
      <c r="AK41" s="39"/>
      <c r="AL41" s="39"/>
      <c r="AM41" s="39">
        <f t="shared" si="40"/>
        <v>12</v>
      </c>
      <c r="AN41" s="39"/>
      <c r="AO41" s="39"/>
      <c r="AP41" s="39"/>
      <c r="AQ41" s="39"/>
      <c r="AR41" s="39">
        <f t="shared" si="41"/>
        <v>0</v>
      </c>
      <c r="AS41" s="39"/>
      <c r="AT41" s="39"/>
      <c r="AU41" s="39"/>
      <c r="AV41" s="39"/>
      <c r="AW41" s="39"/>
      <c r="AX41" s="39"/>
      <c r="AY41" s="39"/>
      <c r="AZ41" s="39"/>
      <c r="BA41" s="39">
        <f t="shared" si="42"/>
        <v>0</v>
      </c>
      <c r="BB41" s="35"/>
      <c r="BC41" s="482"/>
      <c r="BD41" s="482"/>
      <c r="BE41" s="35"/>
      <c r="BF41" s="482"/>
    </row>
    <row r="42" spans="1:58" ht="12.95" customHeight="1">
      <c r="A42" s="42"/>
      <c r="B42" s="43"/>
      <c r="C42" s="398"/>
      <c r="D42" s="43"/>
      <c r="E42" s="44"/>
      <c r="F42" s="44"/>
      <c r="G42" s="411"/>
      <c r="H42" s="46"/>
      <c r="I42" s="47"/>
      <c r="J42" s="84"/>
      <c r="K42" s="84"/>
      <c r="L42" s="37"/>
      <c r="M42" s="37"/>
      <c r="N42" s="48"/>
      <c r="O42" s="49"/>
      <c r="P42" s="50"/>
      <c r="Q42" s="49"/>
      <c r="R42" s="367"/>
      <c r="S42" s="367"/>
      <c r="T42" s="39"/>
      <c r="U42" s="39"/>
      <c r="V42" s="39"/>
      <c r="W42" s="39"/>
      <c r="X42" s="366"/>
      <c r="Y42" s="211"/>
      <c r="Z42" s="39"/>
      <c r="AA42" s="51"/>
      <c r="AB42" s="51"/>
      <c r="AC42" s="39"/>
      <c r="AD42" s="39"/>
      <c r="AE42" s="228"/>
      <c r="AF42" s="39"/>
      <c r="AG42" s="39"/>
      <c r="AH42" s="39"/>
      <c r="AI42" s="39"/>
      <c r="AJ42" s="39"/>
      <c r="AK42" s="39"/>
      <c r="AL42" s="39"/>
      <c r="AM42" s="39"/>
      <c r="AN42" s="39"/>
      <c r="AO42" s="39"/>
      <c r="AP42" s="39"/>
      <c r="AQ42" s="39"/>
      <c r="AR42" s="39"/>
      <c r="AS42" s="39"/>
      <c r="AT42" s="39"/>
      <c r="AU42" s="39"/>
      <c r="AV42" s="39"/>
      <c r="AW42" s="39"/>
      <c r="AX42" s="39"/>
      <c r="AY42" s="39"/>
      <c r="AZ42" s="39"/>
      <c r="BA42" s="39"/>
      <c r="BB42" s="52"/>
      <c r="BC42" s="53"/>
      <c r="BD42" s="482"/>
      <c r="BE42" s="35"/>
      <c r="BF42" s="482"/>
    </row>
    <row r="43" spans="1:58" ht="12.75" customHeight="1">
      <c r="A43" s="42">
        <v>45846</v>
      </c>
      <c r="B43" s="43" t="s">
        <v>528</v>
      </c>
      <c r="C43" s="398">
        <f>(M43*E43*O43*Q43)/100000000</f>
        <v>22.0813372</v>
      </c>
      <c r="D43" s="43" t="s">
        <v>307</v>
      </c>
      <c r="E43" s="44">
        <v>13</v>
      </c>
      <c r="F43" s="44">
        <v>1</v>
      </c>
      <c r="G43" s="411">
        <v>1310</v>
      </c>
      <c r="H43" s="46">
        <f>+N43</f>
        <v>0.18000000000000005</v>
      </c>
      <c r="I43" s="47">
        <v>0.88</v>
      </c>
      <c r="J43" s="84">
        <f>E43*G43*(1-H43)*1440/1000000*2.74</f>
        <v>55.098725760000001</v>
      </c>
      <c r="K43" s="84">
        <f>(IF(G43&lt;L43,L43,G43)*(1-IF(H43&lt;N43,H43,N43))*E43*O43*Q43)/100000000</f>
        <v>22.25119364</v>
      </c>
      <c r="L43" s="37">
        <v>1300</v>
      </c>
      <c r="M43" s="37">
        <v>1066</v>
      </c>
      <c r="N43" s="48">
        <f>1-(M43/L43)</f>
        <v>0.18000000000000005</v>
      </c>
      <c r="O43" s="49">
        <f>+'Trim Rwd'!H22</f>
        <v>257</v>
      </c>
      <c r="P43" s="50">
        <f>O43*(Q43-R43-S43)</f>
        <v>155742</v>
      </c>
      <c r="Q43" s="49">
        <v>620</v>
      </c>
      <c r="R43" s="367">
        <v>0</v>
      </c>
      <c r="S43" s="367">
        <v>14</v>
      </c>
      <c r="T43" s="39">
        <f>E43*M43*O43*Q43/100000000</f>
        <v>22.0813372</v>
      </c>
      <c r="U43" s="39">
        <f>E43*M43*O43*(Q43-R43-S43)/100000000</f>
        <v>21.582726359999999</v>
      </c>
      <c r="V43" s="39">
        <f>E43*G43*(1-N43)*O43/100*(R43+S43)/1000000</f>
        <v>0.50244630800000001</v>
      </c>
      <c r="W43" s="39">
        <f>+'8'!K9/1000</f>
        <v>28.852</v>
      </c>
      <c r="X43" s="366">
        <f>SUM(W43:W46)/SUM(K43:K46)</f>
        <v>0.98509639658272541</v>
      </c>
      <c r="Y43" s="39">
        <f>+SUM(RBP!AG33:AG34)</f>
        <v>0</v>
      </c>
      <c r="Z43" s="39">
        <f>+'1'!D70/1000</f>
        <v>0</v>
      </c>
      <c r="AA43" s="51">
        <f>SUM(U43:U46)-SUM(W43:W46)-SUM(Z43:Z46)-SUM(Y43:Y46)</f>
        <v>-0.43981583000000768</v>
      </c>
      <c r="AB43" s="51">
        <f>(SUM(K43:K46)-SUM(W43:W46)-SUM(Y43:Y46)-SUM(Z43:Z46)-SUM(AC43:AC46)-SUM(V43:V46))-AA43</f>
        <v>-3.8354679999961228E-3</v>
      </c>
      <c r="AC43" s="39">
        <f>K43-T43</f>
        <v>0.16985644000000022</v>
      </c>
      <c r="AD43" s="39">
        <f>+AM43+BA43</f>
        <v>0</v>
      </c>
      <c r="AE43" s="228" t="s">
        <v>461</v>
      </c>
      <c r="AF43" s="39">
        <v>0</v>
      </c>
      <c r="AG43" s="39"/>
      <c r="AH43" s="39"/>
      <c r="AI43" s="39"/>
      <c r="AJ43" s="39"/>
      <c r="AK43" s="39"/>
      <c r="AL43" s="39"/>
      <c r="AM43" s="39">
        <f>SUM(AF43:AL43)+AT43+AV43+AX43</f>
        <v>0</v>
      </c>
      <c r="AN43" s="39"/>
      <c r="AO43" s="39"/>
      <c r="AP43" s="39"/>
      <c r="AQ43" s="39"/>
      <c r="AR43" s="39">
        <f>SUM(AN43:AQ43)</f>
        <v>0</v>
      </c>
      <c r="AS43" s="39"/>
      <c r="AT43" s="39"/>
      <c r="AU43" s="39"/>
      <c r="AV43" s="39"/>
      <c r="AW43" s="39"/>
      <c r="AX43" s="39"/>
      <c r="AY43" s="39"/>
      <c r="AZ43" s="39"/>
      <c r="BA43" s="39">
        <f>+AR43+AS43+AU43+AW43+AY43+AZ43</f>
        <v>0</v>
      </c>
      <c r="BB43" s="35">
        <v>0</v>
      </c>
      <c r="BC43" s="53"/>
      <c r="BD43" s="53">
        <v>3</v>
      </c>
      <c r="BE43" s="35"/>
      <c r="BF43" s="53"/>
    </row>
    <row r="44" spans="1:58" ht="12.95" customHeight="1">
      <c r="A44" s="42"/>
      <c r="B44" s="43" t="s">
        <v>528</v>
      </c>
      <c r="C44" s="398">
        <f t="shared" ref="C44:C45" si="43">(M44*E44*O44*Q44)/100000000</f>
        <v>10.702692000000001</v>
      </c>
      <c r="D44" s="43" t="s">
        <v>307</v>
      </c>
      <c r="E44" s="44">
        <v>13</v>
      </c>
      <c r="F44" s="44">
        <v>1</v>
      </c>
      <c r="G44" s="411">
        <v>1350</v>
      </c>
      <c r="H44" s="46">
        <v>0.23</v>
      </c>
      <c r="I44" s="47">
        <v>0.88</v>
      </c>
      <c r="J44" s="84">
        <f t="shared" ref="J44:J45" si="44">E44*G44*(1-H44)*1440/1000000*2.74</f>
        <v>53.318865600000009</v>
      </c>
      <c r="K44" s="84">
        <f t="shared" ref="K44:K45" si="45">(IF(G44&lt;L44,L44,G44)*(1-IF(H44&lt;N44,H44,N44))*E44*O44*Q44)/100000000</f>
        <v>10.702692000000001</v>
      </c>
      <c r="L44" s="37">
        <v>1350</v>
      </c>
      <c r="M44" s="37">
        <v>1039.5</v>
      </c>
      <c r="N44" s="48">
        <f t="shared" ref="N44:N45" si="46">1-(M44/L44)</f>
        <v>0.22999999999999998</v>
      </c>
      <c r="O44" s="49">
        <f>+'Trim Rwd'!H23</f>
        <v>264</v>
      </c>
      <c r="P44" s="50">
        <f t="shared" ref="P44:P45" si="47">O44*(Q44-R44-S44)</f>
        <v>78408</v>
      </c>
      <c r="Q44" s="49">
        <f>305-5</f>
        <v>300</v>
      </c>
      <c r="R44" s="367">
        <v>0</v>
      </c>
      <c r="S44" s="367">
        <f>8-5</f>
        <v>3</v>
      </c>
      <c r="T44" s="39">
        <f t="shared" ref="T44:T45" si="48">E44*M44*O44*Q44/100000000</f>
        <v>10.702692000000001</v>
      </c>
      <c r="U44" s="39">
        <f t="shared" ref="U44:U45" si="49">E44*M44*O44*(Q44-R44-S44)/100000000</f>
        <v>10.59566508</v>
      </c>
      <c r="V44" s="39">
        <f t="shared" ref="V44:V45" si="50">E44*G44*(1-N44)*O44/100*(R44+S44)/1000000</f>
        <v>0.10702692</v>
      </c>
      <c r="W44" s="39">
        <f>+'8'!K11/1000</f>
        <v>10.128</v>
      </c>
      <c r="X44" s="40"/>
      <c r="Y44" s="211"/>
      <c r="Z44" s="39"/>
      <c r="AA44" s="39"/>
      <c r="AB44" s="39"/>
      <c r="AC44" s="39"/>
      <c r="AD44" s="39">
        <f t="shared" ref="AD44:AD46" si="51">+AM44+BA44</f>
        <v>13</v>
      </c>
      <c r="AE44" s="228" t="s">
        <v>532</v>
      </c>
      <c r="AF44" s="39"/>
      <c r="AG44" s="39">
        <v>13</v>
      </c>
      <c r="AH44" s="39"/>
      <c r="AI44" s="39"/>
      <c r="AJ44" s="39"/>
      <c r="AK44" s="39"/>
      <c r="AL44" s="39"/>
      <c r="AM44" s="39">
        <f t="shared" ref="AM44:AM46" si="52">SUM(AF44:AL44)+AT44+AV44+AX44</f>
        <v>13</v>
      </c>
      <c r="AN44" s="85"/>
      <c r="AO44" s="39"/>
      <c r="AP44" s="39"/>
      <c r="AQ44" s="39"/>
      <c r="AR44" s="39">
        <f t="shared" ref="AR44:AR46" si="53">SUM(AN44:AQ44)</f>
        <v>0</v>
      </c>
      <c r="AS44" s="39"/>
      <c r="AT44" s="39"/>
      <c r="AU44" s="39"/>
      <c r="AV44" s="39"/>
      <c r="AW44" s="39"/>
      <c r="AX44" s="39"/>
      <c r="AY44" s="39"/>
      <c r="AZ44" s="39"/>
      <c r="BA44" s="39">
        <f t="shared" ref="BA44:BA45" si="54">+AR44+AS44+AU44+AW44+AY44+AZ44</f>
        <v>0</v>
      </c>
      <c r="BB44" s="52"/>
      <c r="BC44" s="53">
        <v>10</v>
      </c>
      <c r="BD44" s="53"/>
      <c r="BE44" s="52"/>
      <c r="BF44" s="53"/>
    </row>
    <row r="45" spans="1:58" ht="12.95" customHeight="1">
      <c r="A45" s="42"/>
      <c r="B45" s="43" t="s">
        <v>8</v>
      </c>
      <c r="C45" s="398">
        <f t="shared" si="43"/>
        <v>18.512143649999999</v>
      </c>
      <c r="D45" s="43" t="s">
        <v>307</v>
      </c>
      <c r="E45" s="44">
        <v>13</v>
      </c>
      <c r="F45" s="44">
        <v>1</v>
      </c>
      <c r="G45" s="411">
        <v>1350</v>
      </c>
      <c r="H45" s="46">
        <f t="shared" ref="H45" si="55">+N45</f>
        <v>0.22999999999999998</v>
      </c>
      <c r="I45" s="47">
        <v>0.88</v>
      </c>
      <c r="J45" s="84">
        <f t="shared" si="44"/>
        <v>53.318865600000009</v>
      </c>
      <c r="K45" s="84">
        <f t="shared" si="45"/>
        <v>18.512143649999999</v>
      </c>
      <c r="L45" s="37">
        <v>1350</v>
      </c>
      <c r="M45" s="37">
        <v>1039.5</v>
      </c>
      <c r="N45" s="48">
        <f t="shared" si="46"/>
        <v>0.22999999999999998</v>
      </c>
      <c r="O45" s="49">
        <f>+'Trim Rwd'!H24</f>
        <v>266</v>
      </c>
      <c r="P45" s="50">
        <f t="shared" si="47"/>
        <v>133798</v>
      </c>
      <c r="Q45" s="49">
        <v>515</v>
      </c>
      <c r="R45" s="367">
        <v>0</v>
      </c>
      <c r="S45" s="367">
        <v>12</v>
      </c>
      <c r="T45" s="39">
        <f t="shared" si="48"/>
        <v>18.512143649999999</v>
      </c>
      <c r="U45" s="39">
        <f t="shared" si="49"/>
        <v>18.080792729999999</v>
      </c>
      <c r="V45" s="39">
        <f t="shared" si="50"/>
        <v>0.43135092000000003</v>
      </c>
      <c r="W45" s="39">
        <f>+'8'!K10/1000</f>
        <v>11.718999999999999</v>
      </c>
      <c r="X45" s="40"/>
      <c r="Y45" s="211"/>
      <c r="Z45" s="39"/>
      <c r="AA45" s="39"/>
      <c r="AB45" s="39"/>
      <c r="AC45" s="39"/>
      <c r="AD45" s="39">
        <f t="shared" si="51"/>
        <v>16</v>
      </c>
      <c r="AE45" s="228" t="s">
        <v>404</v>
      </c>
      <c r="AF45" s="35"/>
      <c r="AG45" s="35"/>
      <c r="AH45" s="35">
        <v>16</v>
      </c>
      <c r="AI45" s="35"/>
      <c r="AJ45" s="39"/>
      <c r="AK45" s="39"/>
      <c r="AL45" s="39"/>
      <c r="AM45" s="39">
        <f t="shared" si="52"/>
        <v>16</v>
      </c>
      <c r="AN45" s="39"/>
      <c r="AO45" s="39"/>
      <c r="AP45" s="39"/>
      <c r="AQ45" s="39"/>
      <c r="AR45" s="39">
        <f t="shared" si="53"/>
        <v>0</v>
      </c>
      <c r="AS45" s="39"/>
      <c r="AT45" s="39"/>
      <c r="AU45" s="39"/>
      <c r="AV45" s="39"/>
      <c r="AW45" s="39"/>
      <c r="AX45" s="39"/>
      <c r="AY45" s="39"/>
      <c r="AZ45" s="39"/>
      <c r="BA45" s="39">
        <f t="shared" si="54"/>
        <v>0</v>
      </c>
      <c r="BB45" s="35"/>
      <c r="BC45" s="482"/>
      <c r="BD45" s="482"/>
      <c r="BE45" s="35"/>
      <c r="BF45" s="482"/>
    </row>
    <row r="46" spans="1:58" ht="12.95" customHeight="1">
      <c r="A46" s="42"/>
      <c r="B46" s="43"/>
      <c r="C46" s="398"/>
      <c r="D46" s="43"/>
      <c r="E46" s="44"/>
      <c r="F46" s="44"/>
      <c r="G46" s="411"/>
      <c r="H46" s="46"/>
      <c r="I46" s="47"/>
      <c r="J46" s="84"/>
      <c r="K46" s="84"/>
      <c r="L46" s="37"/>
      <c r="M46" s="37"/>
      <c r="N46" s="48"/>
      <c r="O46" s="49"/>
      <c r="P46" s="50"/>
      <c r="Q46" s="49"/>
      <c r="R46" s="367"/>
      <c r="S46" s="367"/>
      <c r="T46" s="39"/>
      <c r="U46" s="39"/>
      <c r="V46" s="39"/>
      <c r="W46" s="39"/>
      <c r="X46" s="366"/>
      <c r="Y46" s="211"/>
      <c r="Z46" s="39"/>
      <c r="AA46" s="51"/>
      <c r="AB46" s="51"/>
      <c r="AC46" s="39"/>
      <c r="AD46" s="39">
        <f t="shared" si="51"/>
        <v>0</v>
      </c>
      <c r="AE46" s="228" t="s">
        <v>555</v>
      </c>
      <c r="AF46" s="39"/>
      <c r="AG46" s="39"/>
      <c r="AH46" s="39"/>
      <c r="AI46" s="39"/>
      <c r="AJ46" s="39"/>
      <c r="AK46" s="39"/>
      <c r="AL46" s="39"/>
      <c r="AM46" s="39">
        <f t="shared" si="52"/>
        <v>0</v>
      </c>
      <c r="AN46" s="39"/>
      <c r="AO46" s="39"/>
      <c r="AP46" s="39"/>
      <c r="AQ46" s="39"/>
      <c r="AR46" s="39">
        <f t="shared" si="53"/>
        <v>0</v>
      </c>
      <c r="AS46" s="39"/>
      <c r="AT46" s="39"/>
      <c r="AU46" s="39"/>
      <c r="AV46" s="39">
        <f>5-5</f>
        <v>0</v>
      </c>
      <c r="AW46" s="39"/>
      <c r="AX46" s="39"/>
      <c r="AY46" s="39"/>
      <c r="AZ46" s="39"/>
      <c r="BA46" s="39"/>
      <c r="BB46" s="52"/>
      <c r="BC46" s="53"/>
      <c r="BD46" s="482"/>
      <c r="BE46" s="35"/>
      <c r="BF46" s="482"/>
    </row>
    <row r="47" spans="1:58" ht="12.95" customHeight="1">
      <c r="A47" s="42"/>
      <c r="B47" s="43"/>
      <c r="C47" s="398"/>
      <c r="D47" s="43"/>
      <c r="E47" s="44"/>
      <c r="F47" s="44"/>
      <c r="G47" s="411"/>
      <c r="H47" s="46"/>
      <c r="I47" s="47"/>
      <c r="J47" s="84"/>
      <c r="K47" s="84"/>
      <c r="L47" s="37"/>
      <c r="M47" s="37"/>
      <c r="N47" s="48"/>
      <c r="O47" s="49"/>
      <c r="P47" s="50"/>
      <c r="Q47" s="49"/>
      <c r="R47" s="367"/>
      <c r="S47" s="367"/>
      <c r="T47" s="39"/>
      <c r="U47" s="39"/>
      <c r="V47" s="39"/>
      <c r="W47" s="39"/>
      <c r="X47" s="366"/>
      <c r="Y47" s="39"/>
      <c r="Z47" s="39"/>
      <c r="AA47" s="51"/>
      <c r="AB47" s="51"/>
      <c r="AC47" s="39"/>
      <c r="AD47" s="39"/>
      <c r="AE47" s="228"/>
      <c r="AF47" s="39"/>
      <c r="AG47" s="39"/>
      <c r="AH47" s="39"/>
      <c r="AI47" s="481"/>
      <c r="AJ47" s="39"/>
      <c r="AK47" s="39"/>
      <c r="AL47" s="39"/>
      <c r="AM47" s="39"/>
      <c r="AN47" s="39"/>
      <c r="AO47" s="39"/>
      <c r="AP47" s="39"/>
      <c r="AQ47" s="39"/>
      <c r="AR47" s="39"/>
      <c r="AS47" s="39"/>
      <c r="AT47" s="39"/>
      <c r="AU47" s="39"/>
      <c r="AV47" s="39"/>
      <c r="AW47" s="39"/>
      <c r="AX47" s="39"/>
      <c r="AY47" s="39"/>
      <c r="AZ47" s="39"/>
      <c r="BA47" s="39"/>
      <c r="BB47" s="35"/>
      <c r="BC47" s="53"/>
      <c r="BD47" s="53"/>
      <c r="BE47" s="52"/>
      <c r="BF47" s="53"/>
    </row>
    <row r="48" spans="1:58" ht="12.75" customHeight="1">
      <c r="A48" s="42">
        <v>45847</v>
      </c>
      <c r="B48" s="43" t="s">
        <v>8</v>
      </c>
      <c r="C48" s="398">
        <f t="shared" ref="C48:C49" si="56">(M48*E48*O48*Q48)/100000000</f>
        <v>4.2416173800000001</v>
      </c>
      <c r="D48" s="43" t="s">
        <v>307</v>
      </c>
      <c r="E48" s="44">
        <v>13</v>
      </c>
      <c r="F48" s="44">
        <v>1</v>
      </c>
      <c r="G48" s="411">
        <v>1350</v>
      </c>
      <c r="H48" s="46">
        <f t="shared" ref="H48:H49" si="57">+N48</f>
        <v>0.22999999999999998</v>
      </c>
      <c r="I48" s="47">
        <v>0.88</v>
      </c>
      <c r="J48" s="84">
        <f t="shared" ref="J48:J49" si="58">E48*G48*(1-H48)*1440/1000000*2.74</f>
        <v>53.318865600000009</v>
      </c>
      <c r="K48" s="84">
        <f t="shared" ref="K48:K49" si="59">(IF(G48&lt;L48,L48,G48)*(1-IF(H48&lt;N48,H48,N48))*E48*O48*Q48)/100000000</f>
        <v>4.2416173800000001</v>
      </c>
      <c r="L48" s="37">
        <v>1350</v>
      </c>
      <c r="M48" s="37">
        <v>1039.5</v>
      </c>
      <c r="N48" s="48">
        <f t="shared" ref="N48:N49" si="60">1-(M48/L48)</f>
        <v>0.22999999999999998</v>
      </c>
      <c r="O48" s="49">
        <f>+'Trim Rwd'!H26</f>
        <v>266</v>
      </c>
      <c r="P48" s="50">
        <f t="shared" ref="P48:P49" si="61">O48*(Q48-R48-S48)</f>
        <v>24738</v>
      </c>
      <c r="Q48" s="49">
        <v>118</v>
      </c>
      <c r="R48" s="367">
        <v>0</v>
      </c>
      <c r="S48" s="367">
        <v>25</v>
      </c>
      <c r="T48" s="39">
        <f t="shared" ref="T48:T49" si="62">E48*M48*O48*Q48/100000000</f>
        <v>4.2416173800000001</v>
      </c>
      <c r="U48" s="39">
        <f t="shared" ref="U48:U49" si="63">E48*M48*O48*(Q48-R48-S48)/100000000</f>
        <v>3.3429696299999998</v>
      </c>
      <c r="V48" s="39">
        <f t="shared" ref="V48:V49" si="64">E48*G48*(1-N48)*O48/100*(R48+S48)/1000000</f>
        <v>0.89864775000000008</v>
      </c>
      <c r="W48" s="39">
        <f>+'9'!K10/1000</f>
        <v>10.231</v>
      </c>
      <c r="X48" s="366">
        <f>SUM(W48:W51)/SUM(K48:K51)</f>
        <v>0.91168308498261352</v>
      </c>
      <c r="Y48" s="39">
        <v>0</v>
      </c>
      <c r="Z48" s="39">
        <f>+'1'!D75/1000</f>
        <v>0</v>
      </c>
      <c r="AA48" s="51">
        <f>SUM(U48:U51)-SUM(W48:W51)-SUM(Z48:Z51)-SUM(Y48:Y51)</f>
        <v>-0.62928557000000751</v>
      </c>
      <c r="AB48" s="51">
        <f>(SUM(K48:K51)-SUM(W48:W51)-SUM(Y48:Y51)-SUM(Z48:Z51)-SUM(AC48:AC51)-SUM(V48:V51))-AA48</f>
        <v>3.5527136788005009E-15</v>
      </c>
      <c r="AC48" s="39">
        <f>K48-T48</f>
        <v>0</v>
      </c>
      <c r="AD48" s="39">
        <f>+AM48+BA48</f>
        <v>80</v>
      </c>
      <c r="AE48" s="228" t="s">
        <v>567</v>
      </c>
      <c r="AF48" s="39">
        <v>80</v>
      </c>
      <c r="AG48" s="39"/>
      <c r="AH48" s="39"/>
      <c r="AI48" s="39"/>
      <c r="AJ48" s="39"/>
      <c r="AK48" s="39"/>
      <c r="AL48" s="39"/>
      <c r="AM48" s="39">
        <f>SUM(AF48:AL48)+AT48+AV48+AX48</f>
        <v>80</v>
      </c>
      <c r="AN48" s="39"/>
      <c r="AO48" s="39"/>
      <c r="AP48" s="39"/>
      <c r="AQ48" s="39"/>
      <c r="AR48" s="39">
        <f>SUM(AN48:AQ48)</f>
        <v>0</v>
      </c>
      <c r="AS48" s="39"/>
      <c r="AT48" s="39"/>
      <c r="AU48" s="39"/>
      <c r="AV48" s="39"/>
      <c r="AW48" s="39"/>
      <c r="AX48" s="39"/>
      <c r="AY48" s="39"/>
      <c r="AZ48" s="39"/>
      <c r="BA48" s="39">
        <f>+AR48+AS48+AU48+AW48+AY48+AZ48</f>
        <v>0</v>
      </c>
      <c r="BB48" s="35">
        <v>30</v>
      </c>
      <c r="BC48" s="53"/>
      <c r="BD48" s="53"/>
      <c r="BE48" s="35"/>
      <c r="BF48" s="53"/>
    </row>
    <row r="49" spans="1:58" ht="12.95" customHeight="1">
      <c r="A49" s="42"/>
      <c r="B49" s="43" t="s">
        <v>8</v>
      </c>
      <c r="C49" s="398">
        <f t="shared" si="56"/>
        <v>42.875632799999998</v>
      </c>
      <c r="D49" s="43" t="s">
        <v>307</v>
      </c>
      <c r="E49" s="44">
        <v>12</v>
      </c>
      <c r="F49" s="44">
        <v>1</v>
      </c>
      <c r="G49" s="411">
        <v>1350</v>
      </c>
      <c r="H49" s="46">
        <f t="shared" si="57"/>
        <v>0.22999999999999998</v>
      </c>
      <c r="I49" s="47">
        <v>0.88</v>
      </c>
      <c r="J49" s="84">
        <f t="shared" si="58"/>
        <v>49.217414400000003</v>
      </c>
      <c r="K49" s="84">
        <f t="shared" si="59"/>
        <v>42.875632799999998</v>
      </c>
      <c r="L49" s="37">
        <v>1350</v>
      </c>
      <c r="M49" s="37">
        <v>1039.5</v>
      </c>
      <c r="N49" s="48">
        <f t="shared" si="60"/>
        <v>0.22999999999999998</v>
      </c>
      <c r="O49" s="49">
        <f>+'Trim Rwd'!H27</f>
        <v>260</v>
      </c>
      <c r="P49" s="50">
        <f t="shared" si="61"/>
        <v>312520</v>
      </c>
      <c r="Q49" s="49">
        <v>1322</v>
      </c>
      <c r="R49" s="367">
        <v>0</v>
      </c>
      <c r="S49" s="367">
        <f>145-S48</f>
        <v>120</v>
      </c>
      <c r="T49" s="39">
        <f t="shared" si="62"/>
        <v>42.875632799999998</v>
      </c>
      <c r="U49" s="39">
        <f t="shared" si="63"/>
        <v>38.983744799999997</v>
      </c>
      <c r="V49" s="39">
        <f t="shared" si="64"/>
        <v>3.8918879999999998</v>
      </c>
      <c r="W49" s="39">
        <f>+'9'!K7/1000</f>
        <v>32.725000000000001</v>
      </c>
      <c r="X49" s="40"/>
      <c r="Y49" s="211"/>
      <c r="Z49" s="39"/>
      <c r="AA49" s="39"/>
      <c r="AB49" s="39"/>
      <c r="AC49" s="39"/>
      <c r="AD49" s="39">
        <f t="shared" ref="AD49:AD50" si="65">+AM49+BA49</f>
        <v>21</v>
      </c>
      <c r="AE49" s="228" t="s">
        <v>530</v>
      </c>
      <c r="AF49" s="39"/>
      <c r="AG49" s="39">
        <v>21</v>
      </c>
      <c r="AH49" s="39"/>
      <c r="AI49" s="39"/>
      <c r="AJ49" s="39"/>
      <c r="AK49" s="39"/>
      <c r="AL49" s="39"/>
      <c r="AM49" s="39">
        <f t="shared" ref="AM49:AM50" si="66">SUM(AF49:AL49)+AT49+AV49+AX49</f>
        <v>21</v>
      </c>
      <c r="AN49" s="85"/>
      <c r="AO49" s="39"/>
      <c r="AP49" s="39"/>
      <c r="AQ49" s="39"/>
      <c r="AR49" s="39">
        <f t="shared" ref="AR49:AR50" si="67">SUM(AN49:AQ49)</f>
        <v>0</v>
      </c>
      <c r="AS49" s="39"/>
      <c r="AT49" s="39"/>
      <c r="AU49" s="39"/>
      <c r="AV49" s="39"/>
      <c r="AW49" s="39"/>
      <c r="AX49" s="39"/>
      <c r="AY49" s="39"/>
      <c r="AZ49" s="39"/>
      <c r="BA49" s="39">
        <f t="shared" ref="BA49:BA50" si="68">+AR49+AS49+AU49+AW49+AY49+AZ49</f>
        <v>0</v>
      </c>
      <c r="BB49" s="52"/>
      <c r="BC49" s="53">
        <v>9</v>
      </c>
      <c r="BD49" s="53"/>
      <c r="BE49" s="52"/>
      <c r="BF49" s="53"/>
    </row>
    <row r="50" spans="1:58" ht="12.95" customHeight="1">
      <c r="A50" s="42"/>
      <c r="B50" s="43"/>
      <c r="C50" s="398"/>
      <c r="D50" s="43"/>
      <c r="E50" s="44"/>
      <c r="F50" s="44"/>
      <c r="G50" s="45"/>
      <c r="H50" s="46"/>
      <c r="I50" s="47"/>
      <c r="J50" s="84"/>
      <c r="K50" s="84"/>
      <c r="L50" s="37"/>
      <c r="M50" s="37"/>
      <c r="N50" s="48"/>
      <c r="O50" s="49"/>
      <c r="P50" s="50"/>
      <c r="Q50" s="49"/>
      <c r="R50" s="367"/>
      <c r="S50" s="367"/>
      <c r="T50" s="39"/>
      <c r="U50" s="39"/>
      <c r="V50" s="39"/>
      <c r="W50" s="39"/>
      <c r="X50" s="40"/>
      <c r="Y50" s="211"/>
      <c r="Z50" s="39"/>
      <c r="AA50" s="39"/>
      <c r="AB50" s="39"/>
      <c r="AC50" s="39"/>
      <c r="AD50" s="39">
        <f t="shared" si="65"/>
        <v>44</v>
      </c>
      <c r="AE50" s="228" t="s">
        <v>569</v>
      </c>
      <c r="AF50" s="35"/>
      <c r="AG50" s="35"/>
      <c r="AH50" s="35">
        <v>44</v>
      </c>
      <c r="AI50" s="35"/>
      <c r="AJ50" s="39"/>
      <c r="AK50" s="39"/>
      <c r="AL50" s="39"/>
      <c r="AM50" s="39">
        <f t="shared" si="66"/>
        <v>44</v>
      </c>
      <c r="AN50" s="39"/>
      <c r="AO50" s="39"/>
      <c r="AP50" s="39"/>
      <c r="AQ50" s="39"/>
      <c r="AR50" s="39">
        <f t="shared" si="67"/>
        <v>0</v>
      </c>
      <c r="AS50" s="39"/>
      <c r="AT50" s="39"/>
      <c r="AU50" s="39"/>
      <c r="AV50" s="39"/>
      <c r="AW50" s="39"/>
      <c r="AX50" s="39"/>
      <c r="AY50" s="39"/>
      <c r="AZ50" s="39"/>
      <c r="BA50" s="39">
        <f t="shared" si="68"/>
        <v>0</v>
      </c>
      <c r="BB50" s="35"/>
      <c r="BC50" s="482"/>
      <c r="BD50" s="482"/>
      <c r="BE50" s="35"/>
      <c r="BF50" s="482"/>
    </row>
    <row r="51" spans="1:58" ht="12.95" customHeight="1">
      <c r="A51" s="42"/>
      <c r="B51" s="43"/>
      <c r="C51" s="398"/>
      <c r="D51" s="43"/>
      <c r="E51" s="44"/>
      <c r="F51" s="44"/>
      <c r="G51" s="411"/>
      <c r="H51" s="46"/>
      <c r="I51" s="47"/>
      <c r="J51" s="84"/>
      <c r="K51" s="84"/>
      <c r="L51" s="37"/>
      <c r="M51" s="37"/>
      <c r="N51" s="48"/>
      <c r="O51" s="49"/>
      <c r="P51" s="50"/>
      <c r="Q51" s="49"/>
      <c r="R51" s="367"/>
      <c r="S51" s="367"/>
      <c r="T51" s="39"/>
      <c r="U51" s="39"/>
      <c r="V51" s="39"/>
      <c r="W51" s="39"/>
      <c r="X51" s="366"/>
      <c r="Y51" s="211"/>
      <c r="Z51" s="39"/>
      <c r="AA51" s="51"/>
      <c r="AB51" s="51"/>
      <c r="AC51" s="39"/>
      <c r="AD51" s="39"/>
      <c r="AE51" s="228"/>
      <c r="AF51" s="39"/>
      <c r="AG51" s="39"/>
      <c r="AH51" s="39"/>
      <c r="AI51" s="39"/>
      <c r="AJ51" s="39"/>
      <c r="AK51" s="39"/>
      <c r="AL51" s="39"/>
      <c r="AM51" s="39"/>
      <c r="AN51" s="39"/>
      <c r="AO51" s="39"/>
      <c r="AP51" s="39"/>
      <c r="AQ51" s="39"/>
      <c r="AR51" s="39"/>
      <c r="AS51" s="39"/>
      <c r="AT51" s="39"/>
      <c r="AU51" s="39"/>
      <c r="AV51" s="39"/>
      <c r="AW51" s="39"/>
      <c r="AX51" s="39"/>
      <c r="AY51" s="39"/>
      <c r="AZ51" s="39"/>
      <c r="BA51" s="39"/>
      <c r="BB51" s="52"/>
      <c r="BC51" s="53"/>
      <c r="BD51" s="482"/>
      <c r="BE51" s="35"/>
      <c r="BF51" s="482"/>
    </row>
    <row r="52" spans="1:58" ht="12.75" customHeight="1">
      <c r="A52" s="42">
        <v>45848</v>
      </c>
      <c r="B52" s="43" t="s">
        <v>8</v>
      </c>
      <c r="C52" s="398">
        <f t="shared" ref="C52" si="69">(M52*E52*O52*Q52)/100000000</f>
        <v>46.213608404819269</v>
      </c>
      <c r="D52" s="43" t="s">
        <v>307</v>
      </c>
      <c r="E52" s="44">
        <v>12</v>
      </c>
      <c r="F52" s="44">
        <v>1</v>
      </c>
      <c r="G52" s="411">
        <v>1350</v>
      </c>
      <c r="H52" s="46">
        <f t="shared" ref="H52" si="70">+N52</f>
        <v>0.22999999999999998</v>
      </c>
      <c r="I52" s="47">
        <v>0.88</v>
      </c>
      <c r="J52" s="84">
        <f t="shared" ref="J52" si="71">E52*G52*(1-H52)*1440/1000000*2.74</f>
        <v>49.217414400000003</v>
      </c>
      <c r="K52" s="84">
        <f t="shared" ref="K52" si="72">(IF(G52&lt;L52,L52,G52)*(1-IF(H52&lt;N52,H52,N52))*E52*O52*Q52)/100000000</f>
        <v>46.442956337349408</v>
      </c>
      <c r="L52" s="37">
        <v>1343.3333333333333</v>
      </c>
      <c r="M52" s="37">
        <v>1034.3666666666666</v>
      </c>
      <c r="N52" s="48">
        <f t="shared" ref="N52" si="73">1-(M52/L52)</f>
        <v>0.22999999999999998</v>
      </c>
      <c r="O52" s="49">
        <f>+'Trim Rwd'!H29</f>
        <v>258.5542168674699</v>
      </c>
      <c r="P52" s="50">
        <f t="shared" ref="P52" si="74">O52*(Q52-R52-S52)</f>
        <v>354477.83132530126</v>
      </c>
      <c r="Q52" s="49">
        <v>1440</v>
      </c>
      <c r="R52" s="367">
        <v>0</v>
      </c>
      <c r="S52" s="367">
        <v>69</v>
      </c>
      <c r="T52" s="39">
        <f t="shared" ref="T52" si="75">E52*M52*O52*Q52/100000000</f>
        <v>46.213608404819269</v>
      </c>
      <c r="U52" s="39">
        <f t="shared" ref="U52" si="76">E52*M52*O52*(Q52-R52-S52)/100000000</f>
        <v>43.999206335421675</v>
      </c>
      <c r="V52" s="39">
        <f t="shared" ref="V52" si="77">E52*G52*(1-N52)*O52/100*(R52+S52)/1000000</f>
        <v>2.2253916578313255</v>
      </c>
      <c r="W52" s="39">
        <f>+'10'!K7/1000</f>
        <v>40.225999999999999</v>
      </c>
      <c r="X52" s="366">
        <f>SUM(W52:W55)/SUM(K52:K55)</f>
        <v>0.86613779940727553</v>
      </c>
      <c r="Y52" s="39">
        <v>0</v>
      </c>
      <c r="Z52" s="39">
        <f>+'10'!D34/1000</f>
        <v>0.996</v>
      </c>
      <c r="AA52" s="51">
        <f>SUM(U52:U55)-SUM(W52:W55)-SUM(Z52:Z55)-SUM(Y52:Y55)</f>
        <v>2.7772063354216763</v>
      </c>
      <c r="AB52" s="51">
        <f>(SUM(K52:K55)-SUM(W52:W55)-SUM(Y52:Y55)-SUM(Z52:Z55)-SUM(AC52:AC55)-SUM(V52:V55))-AA52</f>
        <v>-1.0989588433732767E-2</v>
      </c>
      <c r="AC52" s="39">
        <f>K52-T52</f>
        <v>0.22934793253013908</v>
      </c>
      <c r="AD52" s="39">
        <f>+AM52+BA52</f>
        <v>8</v>
      </c>
      <c r="AE52" s="228" t="s">
        <v>432</v>
      </c>
      <c r="AF52" s="39">
        <v>8</v>
      </c>
      <c r="AG52" s="39"/>
      <c r="AH52" s="39"/>
      <c r="AI52" s="39"/>
      <c r="AJ52" s="39"/>
      <c r="AK52" s="39"/>
      <c r="AL52" s="39"/>
      <c r="AM52" s="39">
        <f>SUM(AF52:AL52)+AT52+AV52+AX52</f>
        <v>8</v>
      </c>
      <c r="AN52" s="39"/>
      <c r="AO52" s="39"/>
      <c r="AP52" s="39"/>
      <c r="AQ52" s="39"/>
      <c r="AR52" s="39">
        <f>SUM(AN52:AQ52)</f>
        <v>0</v>
      </c>
      <c r="AS52" s="39"/>
      <c r="AT52" s="39"/>
      <c r="AU52" s="39"/>
      <c r="AV52" s="39"/>
      <c r="AW52" s="39"/>
      <c r="AX52" s="39"/>
      <c r="AY52" s="39"/>
      <c r="AZ52" s="39"/>
      <c r="BA52" s="39">
        <f>+AR52+AS52+AU52+AW52+AY52+AZ52</f>
        <v>0</v>
      </c>
      <c r="BB52" s="35">
        <v>4</v>
      </c>
      <c r="BC52" s="53"/>
      <c r="BD52" s="53"/>
      <c r="BE52" s="35"/>
      <c r="BF52" s="53"/>
    </row>
    <row r="53" spans="1:58" ht="12.95" customHeight="1">
      <c r="A53" s="42"/>
      <c r="B53" s="43"/>
      <c r="C53" s="398"/>
      <c r="D53" s="43"/>
      <c r="E53" s="44"/>
      <c r="F53" s="44"/>
      <c r="G53" s="411"/>
      <c r="H53" s="46"/>
      <c r="I53" s="47"/>
      <c r="J53" s="84"/>
      <c r="K53" s="84"/>
      <c r="L53" s="37"/>
      <c r="M53" s="37"/>
      <c r="N53" s="48"/>
      <c r="O53" s="49"/>
      <c r="P53" s="50"/>
      <c r="Q53" s="49"/>
      <c r="R53" s="367"/>
      <c r="S53" s="367"/>
      <c r="T53" s="39"/>
      <c r="U53" s="39"/>
      <c r="V53" s="39"/>
      <c r="W53" s="39"/>
      <c r="X53" s="40"/>
      <c r="Y53" s="211"/>
      <c r="Z53" s="39"/>
      <c r="AA53" s="39"/>
      <c r="AB53" s="39"/>
      <c r="AC53" s="39"/>
      <c r="AD53" s="39">
        <f t="shared" ref="AD53:AD54" si="78">+AM53+BA53</f>
        <v>14</v>
      </c>
      <c r="AE53" s="228" t="s">
        <v>577</v>
      </c>
      <c r="AF53" s="39"/>
      <c r="AG53" s="39">
        <v>14</v>
      </c>
      <c r="AH53" s="39"/>
      <c r="AI53" s="39"/>
      <c r="AJ53" s="39"/>
      <c r="AK53" s="39"/>
      <c r="AL53" s="39"/>
      <c r="AM53" s="39">
        <f t="shared" ref="AM53:AM54" si="79">SUM(AF53:AL53)+AT53+AV53+AX53</f>
        <v>14</v>
      </c>
      <c r="AN53" s="85"/>
      <c r="AO53" s="39"/>
      <c r="AP53" s="39"/>
      <c r="AQ53" s="39"/>
      <c r="AR53" s="39">
        <f t="shared" ref="AR53:AR54" si="80">SUM(AN53:AQ53)</f>
        <v>0</v>
      </c>
      <c r="AS53" s="39"/>
      <c r="AT53" s="39"/>
      <c r="AU53" s="39"/>
      <c r="AV53" s="39"/>
      <c r="AW53" s="39"/>
      <c r="AX53" s="39"/>
      <c r="AY53" s="39"/>
      <c r="AZ53" s="39"/>
      <c r="BA53" s="39">
        <f t="shared" ref="BA53:BA54" si="81">+AR53+AS53+AU53+AW53+AY53+AZ53</f>
        <v>0</v>
      </c>
      <c r="BB53" s="52"/>
      <c r="BC53" s="53">
        <v>7</v>
      </c>
      <c r="BD53" s="53"/>
      <c r="BE53" s="52"/>
      <c r="BF53" s="53"/>
    </row>
    <row r="54" spans="1:58" ht="12.95" customHeight="1">
      <c r="A54" s="42"/>
      <c r="B54" s="43"/>
      <c r="C54" s="398"/>
      <c r="D54" s="43"/>
      <c r="E54" s="44"/>
      <c r="F54" s="44"/>
      <c r="G54" s="45"/>
      <c r="H54" s="46"/>
      <c r="I54" s="47"/>
      <c r="J54" s="84"/>
      <c r="K54" s="84"/>
      <c r="L54" s="37"/>
      <c r="M54" s="37"/>
      <c r="N54" s="48"/>
      <c r="O54" s="49"/>
      <c r="P54" s="50"/>
      <c r="Q54" s="49"/>
      <c r="R54" s="367"/>
      <c r="S54" s="367"/>
      <c r="T54" s="39"/>
      <c r="U54" s="39"/>
      <c r="V54" s="39"/>
      <c r="W54" s="39"/>
      <c r="X54" s="40"/>
      <c r="Y54" s="211"/>
      <c r="Z54" s="39"/>
      <c r="AA54" s="39"/>
      <c r="AB54" s="39"/>
      <c r="AC54" s="39"/>
      <c r="AD54" s="39">
        <f t="shared" si="78"/>
        <v>47</v>
      </c>
      <c r="AE54" s="228" t="s">
        <v>579</v>
      </c>
      <c r="AF54" s="35"/>
      <c r="AG54" s="35"/>
      <c r="AH54" s="35">
        <v>47</v>
      </c>
      <c r="AI54" s="35"/>
      <c r="AJ54" s="39"/>
      <c r="AK54" s="39"/>
      <c r="AL54" s="39"/>
      <c r="AM54" s="39">
        <f t="shared" si="79"/>
        <v>47</v>
      </c>
      <c r="AN54" s="39"/>
      <c r="AO54" s="39"/>
      <c r="AP54" s="39"/>
      <c r="AQ54" s="39"/>
      <c r="AR54" s="39">
        <f t="shared" si="80"/>
        <v>0</v>
      </c>
      <c r="AS54" s="39"/>
      <c r="AT54" s="39"/>
      <c r="AU54" s="39"/>
      <c r="AV54" s="39"/>
      <c r="AW54" s="39"/>
      <c r="AX54" s="39"/>
      <c r="AY54" s="39"/>
      <c r="AZ54" s="39"/>
      <c r="BA54" s="39">
        <f t="shared" si="81"/>
        <v>0</v>
      </c>
      <c r="BB54" s="35"/>
      <c r="BC54" s="482"/>
      <c r="BD54" s="482"/>
      <c r="BE54" s="35"/>
      <c r="BF54" s="482"/>
    </row>
    <row r="55" spans="1:58" ht="12.95" customHeight="1">
      <c r="A55" s="42"/>
      <c r="B55" s="43"/>
      <c r="C55" s="398"/>
      <c r="D55" s="43"/>
      <c r="E55" s="44"/>
      <c r="F55" s="44"/>
      <c r="G55" s="45"/>
      <c r="H55" s="46"/>
      <c r="I55" s="47"/>
      <c r="J55" s="84"/>
      <c r="K55" s="84"/>
      <c r="L55" s="37"/>
      <c r="M55" s="37"/>
      <c r="N55" s="48"/>
      <c r="O55" s="49"/>
      <c r="P55" s="50"/>
      <c r="Q55" s="49"/>
      <c r="R55" s="367"/>
      <c r="S55" s="367"/>
      <c r="T55" s="39"/>
      <c r="U55" s="39"/>
      <c r="V55" s="39"/>
      <c r="W55" s="39"/>
      <c r="X55" s="40"/>
      <c r="Y55" s="211"/>
      <c r="Z55" s="39"/>
      <c r="AA55" s="39"/>
      <c r="AB55" s="39"/>
      <c r="AC55" s="39"/>
      <c r="AD55" s="39"/>
      <c r="AE55" s="228"/>
      <c r="AF55" s="39"/>
      <c r="AG55" s="39"/>
      <c r="AH55" s="39"/>
      <c r="AI55" s="39"/>
      <c r="AJ55" s="39"/>
      <c r="AK55" s="39"/>
      <c r="AL55" s="39"/>
      <c r="AM55" s="39"/>
      <c r="AN55" s="39"/>
      <c r="AO55" s="39"/>
      <c r="AP55" s="39"/>
      <c r="AQ55" s="39"/>
      <c r="AR55" s="39"/>
      <c r="AS55" s="39"/>
      <c r="AT55" s="39"/>
      <c r="AU55" s="39"/>
      <c r="AV55" s="39"/>
      <c r="AW55" s="39"/>
      <c r="AX55" s="39"/>
      <c r="AY55" s="39"/>
      <c r="AZ55" s="39"/>
      <c r="BA55" s="39"/>
      <c r="BB55" s="35"/>
      <c r="BC55" s="53"/>
      <c r="BD55" s="482"/>
      <c r="BE55" s="35"/>
      <c r="BF55" s="482"/>
    </row>
    <row r="56" spans="1:58" ht="12.75" customHeight="1">
      <c r="A56" s="42">
        <v>45849</v>
      </c>
      <c r="B56" s="43" t="s">
        <v>8</v>
      </c>
      <c r="C56" s="398">
        <f t="shared" ref="C56" si="82">(M56*E56*O56*Q56)/100000000</f>
        <v>47.04621075</v>
      </c>
      <c r="D56" s="43" t="s">
        <v>307</v>
      </c>
      <c r="E56" s="44">
        <v>12</v>
      </c>
      <c r="F56" s="44">
        <v>1</v>
      </c>
      <c r="G56" s="411">
        <v>1350</v>
      </c>
      <c r="H56" s="46">
        <f t="shared" ref="H56" si="83">+N56</f>
        <v>0.23000000000000009</v>
      </c>
      <c r="I56" s="47">
        <v>0.88</v>
      </c>
      <c r="J56" s="84">
        <f t="shared" ref="J56" si="84">E56*G56*(1-H56)*1440/1000000*2.74</f>
        <v>49.217414399999996</v>
      </c>
      <c r="K56" s="84">
        <f t="shared" ref="K56" si="85">(IF(G56&lt;L56,L56,G56)*(1-IF(H56&lt;N56,H56,N56))*E56*O56*Q56)/100000000</f>
        <v>47.15171999999999</v>
      </c>
      <c r="L56" s="37">
        <v>1346.9791666666667</v>
      </c>
      <c r="M56" s="37">
        <v>1037.1739583333333</v>
      </c>
      <c r="N56" s="48">
        <f t="shared" ref="N56" si="86">1-(M56/L56)</f>
        <v>0.23000000000000009</v>
      </c>
      <c r="O56" s="49">
        <f>+'Trim Rwd'!H32</f>
        <v>262.5</v>
      </c>
      <c r="P56" s="50">
        <f t="shared" ref="P56" si="87">O56*(Q56-R56-S56)</f>
        <v>341250</v>
      </c>
      <c r="Q56" s="49">
        <v>1440</v>
      </c>
      <c r="R56" s="367">
        <v>0</v>
      </c>
      <c r="S56" s="367">
        <v>140</v>
      </c>
      <c r="T56" s="39">
        <f t="shared" ref="T56" si="88">E56*M56*O56*Q56/100000000</f>
        <v>47.04621075</v>
      </c>
      <c r="U56" s="39">
        <f t="shared" ref="U56" si="89">E56*M56*O56*(Q56-R56-S56)/100000000</f>
        <v>42.472273593750003</v>
      </c>
      <c r="V56" s="39">
        <f t="shared" ref="V56" si="90">E56*G56*(1-N56)*O56/100*(R56+S56)/1000000</f>
        <v>4.5841949999999994</v>
      </c>
      <c r="W56" s="39">
        <f>+'11'!K7/1000</f>
        <v>31.271999999999998</v>
      </c>
      <c r="X56" s="366">
        <f>SUM(W56:W59)/SUM(K56:K59)</f>
        <v>0.66322076904087501</v>
      </c>
      <c r="Y56" s="39">
        <v>0</v>
      </c>
      <c r="Z56" s="39">
        <f>+'11'!D34/1000</f>
        <v>1.032</v>
      </c>
      <c r="AA56" s="51">
        <f>SUM(U56:U59)-SUM(W56:W59)-SUM(Z56:Z59)-SUM(Y56:Y59)</f>
        <v>10.168273593750005</v>
      </c>
      <c r="AB56" s="51">
        <f>(SUM(K56:K59)-SUM(W56:W59)-SUM(Y56:Y59)-SUM(Z56:Z59)-SUM(AC56:AC59)-SUM(V56:V59))-AA56</f>
        <v>-1.0257843750002493E-2</v>
      </c>
      <c r="AC56" s="39">
        <f>K56-T56</f>
        <v>0.10550924999999012</v>
      </c>
      <c r="AD56" s="39">
        <f>+AM56+BA56</f>
        <v>85</v>
      </c>
      <c r="AE56" s="228" t="s">
        <v>591</v>
      </c>
      <c r="AF56" s="39">
        <v>85</v>
      </c>
      <c r="AG56" s="39"/>
      <c r="AH56" s="39"/>
      <c r="AI56" s="39"/>
      <c r="AJ56" s="39"/>
      <c r="AK56" s="39"/>
      <c r="AL56" s="39"/>
      <c r="AM56" s="39">
        <f>SUM(AF56:AL56)+AT56+AV56+AX56</f>
        <v>85</v>
      </c>
      <c r="AN56" s="39"/>
      <c r="AO56" s="39"/>
      <c r="AP56" s="39"/>
      <c r="AQ56" s="39"/>
      <c r="AR56" s="39">
        <f>SUM(AN56:AQ56)</f>
        <v>0</v>
      </c>
      <c r="AS56" s="39"/>
      <c r="AT56" s="39"/>
      <c r="AU56" s="39"/>
      <c r="AV56" s="39"/>
      <c r="AW56" s="39"/>
      <c r="AX56" s="39"/>
      <c r="AY56" s="39"/>
      <c r="AZ56" s="39"/>
      <c r="BA56" s="39">
        <f>+AR56+AS56+AU56+AW56+AY56+AZ56</f>
        <v>0</v>
      </c>
      <c r="BB56" s="35">
        <v>29</v>
      </c>
      <c r="BC56" s="53"/>
      <c r="BD56" s="53"/>
      <c r="BE56" s="35"/>
      <c r="BF56" s="53"/>
    </row>
    <row r="57" spans="1:58" ht="12.95" customHeight="1">
      <c r="A57" s="42"/>
      <c r="B57" s="43"/>
      <c r="C57" s="398"/>
      <c r="D57" s="43"/>
      <c r="E57" s="44"/>
      <c r="F57" s="44"/>
      <c r="G57" s="411"/>
      <c r="H57" s="46"/>
      <c r="I57" s="47"/>
      <c r="J57" s="84"/>
      <c r="K57" s="84"/>
      <c r="L57" s="37"/>
      <c r="M57" s="37"/>
      <c r="N57" s="48"/>
      <c r="O57" s="49"/>
      <c r="P57" s="50"/>
      <c r="Q57" s="49"/>
      <c r="R57" s="367"/>
      <c r="S57" s="367"/>
      <c r="T57" s="39"/>
      <c r="U57" s="39"/>
      <c r="V57" s="39"/>
      <c r="W57" s="39"/>
      <c r="X57" s="40"/>
      <c r="Y57" s="211"/>
      <c r="Z57" s="39"/>
      <c r="AA57" s="39"/>
      <c r="AB57" s="39"/>
      <c r="AC57" s="39"/>
      <c r="AD57" s="39">
        <f t="shared" ref="AD57:AD58" si="91">+AM57+BA57</f>
        <v>14</v>
      </c>
      <c r="AE57" s="228" t="s">
        <v>532</v>
      </c>
      <c r="AF57" s="39"/>
      <c r="AG57" s="39">
        <v>14</v>
      </c>
      <c r="AH57" s="39"/>
      <c r="AI57" s="39"/>
      <c r="AJ57" s="39"/>
      <c r="AK57" s="39"/>
      <c r="AL57" s="39"/>
      <c r="AM57" s="39">
        <f t="shared" ref="AM57:AM58" si="92">SUM(AF57:AL57)+AT57+AV57+AX57</f>
        <v>14</v>
      </c>
      <c r="AN57" s="85"/>
      <c r="AO57" s="39"/>
      <c r="AP57" s="39"/>
      <c r="AQ57" s="39"/>
      <c r="AR57" s="39">
        <f t="shared" ref="AR57:AR58" si="93">SUM(AN57:AQ57)</f>
        <v>0</v>
      </c>
      <c r="AS57" s="39"/>
      <c r="AT57" s="39"/>
      <c r="AU57" s="39"/>
      <c r="AV57" s="39"/>
      <c r="AW57" s="39"/>
      <c r="AX57" s="39"/>
      <c r="AY57" s="39"/>
      <c r="AZ57" s="39"/>
      <c r="BA57" s="39">
        <f t="shared" ref="BA57:BA58" si="94">+AR57+AS57+AU57+AW57+AY57+AZ57</f>
        <v>0</v>
      </c>
      <c r="BB57" s="52"/>
      <c r="BC57" s="53">
        <v>10</v>
      </c>
      <c r="BD57" s="53"/>
      <c r="BE57" s="52"/>
      <c r="BF57" s="53"/>
    </row>
    <row r="58" spans="1:58" ht="12.95" customHeight="1">
      <c r="A58" s="42"/>
      <c r="B58" s="43"/>
      <c r="C58" s="398"/>
      <c r="D58" s="43"/>
      <c r="E58" s="44"/>
      <c r="F58" s="44"/>
      <c r="G58" s="45"/>
      <c r="H58" s="46"/>
      <c r="I58" s="47"/>
      <c r="J58" s="84"/>
      <c r="K58" s="84"/>
      <c r="L58" s="37"/>
      <c r="M58" s="37"/>
      <c r="N58" s="48"/>
      <c r="O58" s="49"/>
      <c r="P58" s="50"/>
      <c r="Q58" s="49"/>
      <c r="R58" s="367"/>
      <c r="S58" s="367"/>
      <c r="T58" s="39"/>
      <c r="U58" s="39"/>
      <c r="V58" s="39"/>
      <c r="W58" s="39"/>
      <c r="X58" s="40"/>
      <c r="Y58" s="211"/>
      <c r="Z58" s="39"/>
      <c r="AA58" s="39"/>
      <c r="AB58" s="39"/>
      <c r="AC58" s="39"/>
      <c r="AD58" s="39">
        <f t="shared" si="91"/>
        <v>41</v>
      </c>
      <c r="AE58" s="228" t="s">
        <v>531</v>
      </c>
      <c r="AF58" s="35"/>
      <c r="AG58" s="35"/>
      <c r="AH58" s="35">
        <v>41</v>
      </c>
      <c r="AI58" s="35"/>
      <c r="AJ58" s="39"/>
      <c r="AK58" s="39"/>
      <c r="AL58" s="39"/>
      <c r="AM58" s="39">
        <f t="shared" si="92"/>
        <v>41</v>
      </c>
      <c r="AN58" s="39"/>
      <c r="AO58" s="39"/>
      <c r="AP58" s="39"/>
      <c r="AQ58" s="39"/>
      <c r="AR58" s="39">
        <f t="shared" si="93"/>
        <v>0</v>
      </c>
      <c r="AS58" s="39"/>
      <c r="AT58" s="39"/>
      <c r="AU58" s="39"/>
      <c r="AV58" s="39"/>
      <c r="AW58" s="39"/>
      <c r="AX58" s="39"/>
      <c r="AY58" s="39"/>
      <c r="AZ58" s="39"/>
      <c r="BA58" s="39">
        <f t="shared" si="94"/>
        <v>0</v>
      </c>
      <c r="BB58" s="35"/>
      <c r="BC58" s="482"/>
      <c r="BD58" s="482"/>
      <c r="BE58" s="35"/>
      <c r="BF58" s="482"/>
    </row>
    <row r="59" spans="1:58" ht="12.95" customHeight="1">
      <c r="A59" s="42"/>
      <c r="B59" s="43"/>
      <c r="C59" s="398"/>
      <c r="D59" s="43"/>
      <c r="E59" s="44"/>
      <c r="F59" s="44"/>
      <c r="G59" s="45"/>
      <c r="H59" s="46"/>
      <c r="I59" s="47"/>
      <c r="J59" s="84"/>
      <c r="K59" s="84"/>
      <c r="L59" s="37"/>
      <c r="M59" s="37"/>
      <c r="N59" s="48"/>
      <c r="O59" s="49"/>
      <c r="P59" s="50"/>
      <c r="Q59" s="49"/>
      <c r="R59" s="367"/>
      <c r="S59" s="367"/>
      <c r="T59" s="39"/>
      <c r="U59" s="39"/>
      <c r="V59" s="39"/>
      <c r="W59" s="39"/>
      <c r="X59" s="40"/>
      <c r="Y59" s="211"/>
      <c r="Z59" s="39"/>
      <c r="AA59" s="39"/>
      <c r="AB59" s="39"/>
      <c r="AC59" s="39"/>
      <c r="AD59" s="39"/>
      <c r="AE59" s="228"/>
      <c r="AF59" s="39"/>
      <c r="AG59" s="39"/>
      <c r="AH59" s="39"/>
      <c r="AI59" s="39"/>
      <c r="AJ59" s="39"/>
      <c r="AK59" s="39"/>
      <c r="AL59" s="39"/>
      <c r="AM59" s="39"/>
      <c r="AN59" s="39"/>
      <c r="AO59" s="39"/>
      <c r="AP59" s="39"/>
      <c r="AQ59" s="39"/>
      <c r="AR59" s="39"/>
      <c r="AS59" s="39"/>
      <c r="AT59" s="39"/>
      <c r="AU59" s="39"/>
      <c r="AV59" s="39"/>
      <c r="AW59" s="39"/>
      <c r="AX59" s="39"/>
      <c r="AY59" s="39"/>
      <c r="AZ59" s="39"/>
      <c r="BA59" s="39"/>
      <c r="BB59" s="35"/>
      <c r="BC59" s="53"/>
      <c r="BD59" s="482"/>
      <c r="BE59" s="35"/>
      <c r="BF59" s="482"/>
    </row>
    <row r="60" spans="1:58" ht="12.75" customHeight="1">
      <c r="A60" s="42">
        <v>45850</v>
      </c>
      <c r="B60" s="43" t="s">
        <v>8</v>
      </c>
      <c r="C60" s="398">
        <f t="shared" ref="C60" si="95">(M60*E60*O60*Q60)/100000000</f>
        <v>47.206989415384619</v>
      </c>
      <c r="D60" s="43" t="s">
        <v>307</v>
      </c>
      <c r="E60" s="44">
        <v>12</v>
      </c>
      <c r="F60" s="44">
        <v>1</v>
      </c>
      <c r="G60" s="411">
        <v>1350</v>
      </c>
      <c r="H60" s="46">
        <f t="shared" ref="H60" si="96">+N60</f>
        <v>0.22999999999999998</v>
      </c>
      <c r="I60" s="47">
        <v>0.88</v>
      </c>
      <c r="J60" s="84">
        <f t="shared" ref="J60" si="97">E60*G60*(1-H60)*1440/1000000*2.74</f>
        <v>49.217414400000003</v>
      </c>
      <c r="K60" s="84">
        <f t="shared" ref="K60" si="98">(IF(G60&lt;L60,L60,G60)*(1-IF(H60&lt;N60,H60,N60))*E60*O60*Q60)/100000000</f>
        <v>47.206989415384619</v>
      </c>
      <c r="L60" s="37">
        <v>1350</v>
      </c>
      <c r="M60" s="37">
        <v>1039.5</v>
      </c>
      <c r="N60" s="48">
        <f t="shared" ref="N60" si="99">1-(M60/L60)</f>
        <v>0.22999999999999998</v>
      </c>
      <c r="O60" s="49">
        <f>+'Trim Rwd'!H34</f>
        <v>262.80769230769232</v>
      </c>
      <c r="P60" s="50">
        <f t="shared" ref="P60" si="100">O60*(Q60-R60-S60)</f>
        <v>352687.92307692312</v>
      </c>
      <c r="Q60" s="49">
        <v>1440</v>
      </c>
      <c r="R60" s="367">
        <v>0</v>
      </c>
      <c r="S60" s="367">
        <v>98</v>
      </c>
      <c r="T60" s="39">
        <f t="shared" ref="T60" si="101">E60*M60*O60*Q60/100000000</f>
        <v>47.206989415384619</v>
      </c>
      <c r="U60" s="39">
        <f t="shared" ref="U60" si="102">E60*M60*O60*(Q60-R60-S60)/100000000</f>
        <v>43.994291524615385</v>
      </c>
      <c r="V60" s="39">
        <f t="shared" ref="V60" si="103">E60*G60*(1-N60)*O60/100*(R60+S60)/1000000</f>
        <v>3.2126978907692307</v>
      </c>
      <c r="W60" s="39">
        <f>+'12'!K7/1000</f>
        <v>39.923000000000002</v>
      </c>
      <c r="X60" s="366">
        <f>SUM(W60:W63)/SUM(K60:K63)</f>
        <v>0.84570103907090532</v>
      </c>
      <c r="Y60" s="39">
        <v>0</v>
      </c>
      <c r="Z60" s="39">
        <f>+'12'!D34/1000</f>
        <v>0.52</v>
      </c>
      <c r="AA60" s="51">
        <f>SUM(U60:U63)-SUM(W60:W63)-SUM(Z60:Z63)-SUM(Y60:Y63)</f>
        <v>3.5512915246153827</v>
      </c>
      <c r="AB60" s="51">
        <f>(SUM(K60:K63)-SUM(W60:W63)-SUM(Y60:Y63)-SUM(Z60:Z63)-SUM(AC60:AC63)-SUM(V60:V63))-AA60</f>
        <v>4.4408920985006262E-15</v>
      </c>
      <c r="AC60" s="39">
        <f>K60-T60</f>
        <v>0</v>
      </c>
      <c r="AD60" s="39">
        <f>+AM60+BA60</f>
        <v>43</v>
      </c>
      <c r="AE60" s="228" t="s">
        <v>607</v>
      </c>
      <c r="AF60" s="39">
        <v>43</v>
      </c>
      <c r="AG60" s="39"/>
      <c r="AH60" s="39"/>
      <c r="AI60" s="39"/>
      <c r="AJ60" s="39"/>
      <c r="AK60" s="39"/>
      <c r="AL60" s="39"/>
      <c r="AM60" s="39">
        <f>SUM(AF60:AL60)+AT60+AV60+AX60</f>
        <v>43</v>
      </c>
      <c r="AN60" s="39"/>
      <c r="AO60" s="39"/>
      <c r="AP60" s="39"/>
      <c r="AQ60" s="39"/>
      <c r="AR60" s="39">
        <f>SUM(AN60:AQ60)</f>
        <v>0</v>
      </c>
      <c r="AS60" s="39"/>
      <c r="AT60" s="39"/>
      <c r="AU60" s="39"/>
      <c r="AV60" s="39"/>
      <c r="AW60" s="39"/>
      <c r="AX60" s="39"/>
      <c r="AY60" s="39"/>
      <c r="AZ60" s="39"/>
      <c r="BA60" s="39">
        <f>+AR60+AS60+AU60+AW60+AY60+AZ60</f>
        <v>0</v>
      </c>
      <c r="BB60" s="35">
        <v>11</v>
      </c>
      <c r="BC60" s="53"/>
      <c r="BD60" s="53"/>
      <c r="BE60" s="35"/>
      <c r="BF60" s="53"/>
    </row>
    <row r="61" spans="1:58" ht="12.95" customHeight="1">
      <c r="A61" s="42"/>
      <c r="B61" s="43"/>
      <c r="C61" s="398"/>
      <c r="D61" s="43"/>
      <c r="E61" s="44"/>
      <c r="F61" s="44"/>
      <c r="G61" s="411"/>
      <c r="H61" s="46"/>
      <c r="I61" s="47"/>
      <c r="J61" s="84"/>
      <c r="K61" s="84"/>
      <c r="L61" s="37"/>
      <c r="M61" s="37"/>
      <c r="N61" s="48"/>
      <c r="O61" s="49"/>
      <c r="P61" s="50"/>
      <c r="Q61" s="49"/>
      <c r="R61" s="367"/>
      <c r="S61" s="367"/>
      <c r="T61" s="39"/>
      <c r="U61" s="39"/>
      <c r="V61" s="39"/>
      <c r="W61" s="39"/>
      <c r="X61" s="40"/>
      <c r="Y61" s="211"/>
      <c r="Z61" s="39"/>
      <c r="AA61" s="39"/>
      <c r="AB61" s="39"/>
      <c r="AC61" s="39"/>
      <c r="AD61" s="39">
        <f t="shared" ref="AD61:AD62" si="104">+AM61+BA61</f>
        <v>19</v>
      </c>
      <c r="AE61" s="228" t="s">
        <v>544</v>
      </c>
      <c r="AF61" s="39"/>
      <c r="AG61" s="39">
        <v>19</v>
      </c>
      <c r="AH61" s="39"/>
      <c r="AI61" s="39"/>
      <c r="AJ61" s="39"/>
      <c r="AK61" s="39"/>
      <c r="AL61" s="39"/>
      <c r="AM61" s="39">
        <f t="shared" ref="AM61:AM62" si="105">SUM(AF61:AL61)+AT61+AV61+AX61</f>
        <v>19</v>
      </c>
      <c r="AN61" s="85"/>
      <c r="AO61" s="39"/>
      <c r="AP61" s="39"/>
      <c r="AQ61" s="39"/>
      <c r="AR61" s="39">
        <f t="shared" ref="AR61:AR62" si="106">SUM(AN61:AQ61)</f>
        <v>0</v>
      </c>
      <c r="AS61" s="39"/>
      <c r="AT61" s="39"/>
      <c r="AU61" s="39"/>
      <c r="AV61" s="39"/>
      <c r="AW61" s="39"/>
      <c r="AX61" s="39"/>
      <c r="AY61" s="39"/>
      <c r="AZ61" s="39"/>
      <c r="BA61" s="39">
        <f t="shared" ref="BA61:BA62" si="107">+AR61+AS61+AU61+AW61+AY61+AZ61</f>
        <v>0</v>
      </c>
      <c r="BB61" s="52"/>
      <c r="BC61" s="53">
        <v>11</v>
      </c>
      <c r="BD61" s="53"/>
      <c r="BE61" s="52"/>
      <c r="BF61" s="53"/>
    </row>
    <row r="62" spans="1:58" ht="12.95" customHeight="1">
      <c r="A62" s="42"/>
      <c r="B62" s="43"/>
      <c r="C62" s="398"/>
      <c r="D62" s="43"/>
      <c r="E62" s="44"/>
      <c r="F62" s="44"/>
      <c r="G62" s="45"/>
      <c r="H62" s="46"/>
      <c r="I62" s="47"/>
      <c r="J62" s="84"/>
      <c r="K62" s="84"/>
      <c r="L62" s="37"/>
      <c r="M62" s="37"/>
      <c r="N62" s="48"/>
      <c r="O62" s="49"/>
      <c r="P62" s="50"/>
      <c r="Q62" s="49"/>
      <c r="R62" s="367"/>
      <c r="S62" s="367"/>
      <c r="T62" s="39"/>
      <c r="U62" s="39"/>
      <c r="V62" s="39"/>
      <c r="W62" s="39"/>
      <c r="X62" s="40"/>
      <c r="Y62" s="211"/>
      <c r="Z62" s="39"/>
      <c r="AA62" s="39"/>
      <c r="AB62" s="39"/>
      <c r="AC62" s="39"/>
      <c r="AD62" s="39">
        <f t="shared" si="104"/>
        <v>36</v>
      </c>
      <c r="AE62" s="228" t="s">
        <v>504</v>
      </c>
      <c r="AF62" s="35"/>
      <c r="AG62" s="35"/>
      <c r="AH62" s="35">
        <v>36</v>
      </c>
      <c r="AI62" s="35"/>
      <c r="AJ62" s="39"/>
      <c r="AK62" s="39"/>
      <c r="AL62" s="39"/>
      <c r="AM62" s="39">
        <f t="shared" si="105"/>
        <v>36</v>
      </c>
      <c r="AN62" s="39"/>
      <c r="AO62" s="39"/>
      <c r="AP62" s="39"/>
      <c r="AQ62" s="39"/>
      <c r="AR62" s="39">
        <f t="shared" si="106"/>
        <v>0</v>
      </c>
      <c r="AS62" s="39"/>
      <c r="AT62" s="39"/>
      <c r="AU62" s="39"/>
      <c r="AV62" s="39"/>
      <c r="AW62" s="39"/>
      <c r="AX62" s="39"/>
      <c r="AY62" s="39"/>
      <c r="AZ62" s="39"/>
      <c r="BA62" s="39">
        <f t="shared" si="107"/>
        <v>0</v>
      </c>
      <c r="BB62" s="35"/>
      <c r="BC62" s="482"/>
      <c r="BD62" s="482"/>
      <c r="BE62" s="35"/>
      <c r="BF62" s="482"/>
    </row>
    <row r="63" spans="1:58" ht="12.95" customHeight="1">
      <c r="A63" s="42"/>
      <c r="B63" s="43"/>
      <c r="C63" s="398"/>
      <c r="D63" s="43"/>
      <c r="E63" s="44"/>
      <c r="F63" s="44"/>
      <c r="G63" s="411"/>
      <c r="H63" s="46"/>
      <c r="I63" s="47"/>
      <c r="J63" s="84"/>
      <c r="K63" s="84"/>
      <c r="L63" s="37"/>
      <c r="M63" s="37"/>
      <c r="N63" s="48"/>
      <c r="O63" s="49"/>
      <c r="P63" s="50"/>
      <c r="Q63" s="49"/>
      <c r="R63" s="367"/>
      <c r="S63" s="367"/>
      <c r="T63" s="39"/>
      <c r="U63" s="39"/>
      <c r="V63" s="39"/>
      <c r="W63" s="39"/>
      <c r="X63" s="366"/>
      <c r="Y63" s="39"/>
      <c r="Z63" s="39"/>
      <c r="AA63" s="51"/>
      <c r="AB63" s="51"/>
      <c r="AC63" s="39"/>
      <c r="AD63" s="39"/>
      <c r="AE63" s="228"/>
      <c r="AF63" s="39"/>
      <c r="AG63" s="39"/>
      <c r="AH63" s="39"/>
      <c r="AI63" s="481"/>
      <c r="AJ63" s="39"/>
      <c r="AK63" s="39"/>
      <c r="AL63" s="39"/>
      <c r="AM63" s="39"/>
      <c r="AN63" s="39"/>
      <c r="AO63" s="39"/>
      <c r="AP63" s="39"/>
      <c r="AQ63" s="39"/>
      <c r="AR63" s="39"/>
      <c r="AS63" s="39"/>
      <c r="AT63" s="39"/>
      <c r="AU63" s="39"/>
      <c r="AV63" s="39"/>
      <c r="AW63" s="39"/>
      <c r="AX63" s="39"/>
      <c r="AY63" s="39"/>
      <c r="AZ63" s="39"/>
      <c r="BA63" s="39"/>
      <c r="BB63" s="35"/>
      <c r="BC63" s="53"/>
      <c r="BD63" s="53"/>
      <c r="BE63" s="53"/>
      <c r="BF63" s="53"/>
    </row>
    <row r="64" spans="1:58" ht="12.75" customHeight="1">
      <c r="A64" s="42">
        <v>45851</v>
      </c>
      <c r="B64" s="43" t="s">
        <v>8</v>
      </c>
      <c r="C64" s="398">
        <f t="shared" ref="C64" si="108">(M64*E64*O64*Q64)/100000000</f>
        <v>46.188549791999996</v>
      </c>
      <c r="D64" s="43" t="s">
        <v>307</v>
      </c>
      <c r="E64" s="44">
        <v>12</v>
      </c>
      <c r="F64" s="44">
        <v>1</v>
      </c>
      <c r="G64" s="411">
        <v>1350</v>
      </c>
      <c r="H64" s="46">
        <f t="shared" ref="H64" si="109">+N64</f>
        <v>0.22999999999999998</v>
      </c>
      <c r="I64" s="47">
        <v>0.88</v>
      </c>
      <c r="J64" s="84">
        <f t="shared" ref="J64" si="110">E64*G64*(1-H64)*1440/1000000*2.74</f>
        <v>49.217414400000003</v>
      </c>
      <c r="K64" s="84">
        <f t="shared" ref="K64" si="111">(IF(G64&lt;L64,L64,G64)*(1-IF(H64&lt;N64,H64,N64))*E64*O64*Q64)/100000000</f>
        <v>47.421158400000003</v>
      </c>
      <c r="L64" s="37">
        <v>1314.9097222222222</v>
      </c>
      <c r="M64" s="37">
        <v>1012.4804861111111</v>
      </c>
      <c r="N64" s="48">
        <f t="shared" ref="N64" si="112">1-(M64/L64)</f>
        <v>0.22999999999999998</v>
      </c>
      <c r="O64" s="49">
        <f>+'Trim Rwd'!H37</f>
        <v>264</v>
      </c>
      <c r="P64" s="50">
        <f t="shared" ref="P64" si="113">O64*(Q64-R64-S64)</f>
        <v>352440</v>
      </c>
      <c r="Q64" s="49">
        <v>1440</v>
      </c>
      <c r="R64" s="367">
        <v>0</v>
      </c>
      <c r="S64" s="367">
        <f>82+23</f>
        <v>105</v>
      </c>
      <c r="T64" s="39">
        <f t="shared" ref="T64" si="114">E64*M64*O64*Q64/100000000</f>
        <v>46.188549791999996</v>
      </c>
      <c r="U64" s="39">
        <f t="shared" ref="U64" si="115">E64*M64*O64*(Q64-R64-S64)/100000000</f>
        <v>42.820634702999996</v>
      </c>
      <c r="V64" s="39">
        <f t="shared" ref="V64" si="116">E64*G64*(1-N64)*O64/100*(R64+S64)/1000000</f>
        <v>3.4577928000000004</v>
      </c>
      <c r="W64" s="39">
        <f>+'13'!K7/1000</f>
        <v>37.549999999999997</v>
      </c>
      <c r="X64" s="366">
        <f>SUM(W64:W67)/SUM(K64:K67)</f>
        <v>0.79184063120651216</v>
      </c>
      <c r="Y64" s="39">
        <f>+SUM(RBP!AG15:AG16)</f>
        <v>0</v>
      </c>
      <c r="Z64" s="39">
        <f>+'13'!D34/1000</f>
        <v>0.505</v>
      </c>
      <c r="AA64" s="51">
        <f>SUM(U64:U67)-SUM(W64:W67)-SUM(Z64:Z67)-SUM(Y64:Y67)</f>
        <v>4.765634702999999</v>
      </c>
      <c r="AB64" s="51">
        <f>(SUM(K64:K67)-SUM(W64:W67)-SUM(Y64:Y67)-SUM(Z64:Z67)-SUM(AC64:AC67)-SUM(V64:V67))-AA64</f>
        <v>-8.9877711000000637E-2</v>
      </c>
      <c r="AC64" s="39">
        <f>K64-T64</f>
        <v>1.2326086080000067</v>
      </c>
      <c r="AD64" s="39">
        <f>+AM64+BA64</f>
        <v>18</v>
      </c>
      <c r="AE64" s="228" t="s">
        <v>402</v>
      </c>
      <c r="AF64" s="39">
        <v>18</v>
      </c>
      <c r="AG64" s="39"/>
      <c r="AH64" s="39"/>
      <c r="AI64" s="39"/>
      <c r="AJ64" s="39"/>
      <c r="AK64" s="39"/>
      <c r="AL64" s="39"/>
      <c r="AM64" s="39">
        <f>SUM(AF64:AL64)+AT64+AV64+AX64</f>
        <v>18</v>
      </c>
      <c r="AN64" s="39"/>
      <c r="AO64" s="39"/>
      <c r="AP64" s="39"/>
      <c r="AQ64" s="39"/>
      <c r="AR64" s="39">
        <f>SUM(AN64:AQ64)</f>
        <v>0</v>
      </c>
      <c r="AS64" s="39"/>
      <c r="AT64" s="39"/>
      <c r="AU64" s="39"/>
      <c r="AV64" s="39"/>
      <c r="AW64" s="39"/>
      <c r="AX64" s="39"/>
      <c r="AY64" s="39"/>
      <c r="AZ64" s="39"/>
      <c r="BA64" s="39">
        <f>+AR64+AS64+AU64+AW64+AY64+AZ64</f>
        <v>0</v>
      </c>
      <c r="BB64" s="35">
        <v>6</v>
      </c>
      <c r="BC64" s="53"/>
      <c r="BD64" s="53"/>
      <c r="BE64" s="35"/>
      <c r="BF64" s="53"/>
    </row>
    <row r="65" spans="1:58" ht="12.95" customHeight="1">
      <c r="A65" s="42"/>
      <c r="B65" s="43"/>
      <c r="C65" s="398"/>
      <c r="D65" s="43"/>
      <c r="E65" s="44"/>
      <c r="F65" s="44"/>
      <c r="G65" s="411"/>
      <c r="H65" s="46"/>
      <c r="I65" s="47"/>
      <c r="J65" s="84"/>
      <c r="K65" s="84"/>
      <c r="L65" s="37"/>
      <c r="M65" s="37"/>
      <c r="N65" s="48"/>
      <c r="O65" s="49"/>
      <c r="P65" s="50"/>
      <c r="Q65" s="49"/>
      <c r="R65" s="367"/>
      <c r="S65" s="367"/>
      <c r="T65" s="39"/>
      <c r="U65" s="39"/>
      <c r="V65" s="39"/>
      <c r="W65" s="39"/>
      <c r="X65" s="40"/>
      <c r="Y65" s="211"/>
      <c r="Z65" s="39"/>
      <c r="AA65" s="39"/>
      <c r="AB65" s="39"/>
      <c r="AC65" s="39"/>
      <c r="AD65" s="39">
        <f t="shared" ref="AD65:AD67" si="117">+AM65+BA65</f>
        <v>25</v>
      </c>
      <c r="AE65" s="228" t="s">
        <v>544</v>
      </c>
      <c r="AF65" s="39"/>
      <c r="AG65" s="39">
        <v>25</v>
      </c>
      <c r="AH65" s="39"/>
      <c r="AI65" s="39"/>
      <c r="AJ65" s="39"/>
      <c r="AK65" s="39"/>
      <c r="AL65" s="39"/>
      <c r="AM65" s="39">
        <f t="shared" ref="AM65:AM66" si="118">SUM(AF65:AL65)+AT65+AV65+AX65</f>
        <v>25</v>
      </c>
      <c r="AN65" s="85"/>
      <c r="AO65" s="39"/>
      <c r="AP65" s="39"/>
      <c r="AQ65" s="39"/>
      <c r="AR65" s="39">
        <f t="shared" ref="AR65:AR66" si="119">SUM(AN65:AQ65)</f>
        <v>0</v>
      </c>
      <c r="AS65" s="39"/>
      <c r="AT65" s="39"/>
      <c r="AU65" s="39"/>
      <c r="AV65" s="39"/>
      <c r="AW65" s="39"/>
      <c r="AX65" s="39"/>
      <c r="AY65" s="39"/>
      <c r="AZ65" s="39"/>
      <c r="BA65" s="39">
        <f t="shared" ref="BA65:BA67" si="120">+AR65+AS65+AU65+AW65+AY65+AZ65</f>
        <v>0</v>
      </c>
      <c r="BB65" s="52"/>
      <c r="BC65" s="53">
        <v>11</v>
      </c>
      <c r="BD65" s="53"/>
      <c r="BE65" s="52"/>
      <c r="BF65" s="53"/>
    </row>
    <row r="66" spans="1:58" ht="12.95" customHeight="1">
      <c r="A66" s="42"/>
      <c r="B66" s="43"/>
      <c r="C66" s="398"/>
      <c r="D66" s="43"/>
      <c r="E66" s="44"/>
      <c r="F66" s="44"/>
      <c r="G66" s="45"/>
      <c r="H66" s="46"/>
      <c r="I66" s="47"/>
      <c r="J66" s="84"/>
      <c r="K66" s="84"/>
      <c r="L66" s="37"/>
      <c r="M66" s="37"/>
      <c r="N66" s="48"/>
      <c r="O66" s="49"/>
      <c r="P66" s="50"/>
      <c r="Q66" s="49"/>
      <c r="R66" s="367"/>
      <c r="S66" s="367"/>
      <c r="T66" s="39"/>
      <c r="U66" s="39"/>
      <c r="V66" s="39"/>
      <c r="W66" s="39"/>
      <c r="X66" s="40"/>
      <c r="Y66" s="211"/>
      <c r="Z66" s="39"/>
      <c r="AA66" s="39"/>
      <c r="AB66" s="39"/>
      <c r="AC66" s="39"/>
      <c r="AD66" s="39">
        <f t="shared" si="117"/>
        <v>39</v>
      </c>
      <c r="AE66" s="228" t="s">
        <v>569</v>
      </c>
      <c r="AF66" s="35"/>
      <c r="AG66" s="35"/>
      <c r="AH66" s="35">
        <v>39</v>
      </c>
      <c r="AI66" s="35"/>
      <c r="AJ66" s="39"/>
      <c r="AK66" s="39"/>
      <c r="AL66" s="39"/>
      <c r="AM66" s="39">
        <f t="shared" si="118"/>
        <v>39</v>
      </c>
      <c r="AN66" s="39"/>
      <c r="AO66" s="39"/>
      <c r="AP66" s="39"/>
      <c r="AQ66" s="39"/>
      <c r="AR66" s="39">
        <f t="shared" si="119"/>
        <v>0</v>
      </c>
      <c r="AS66" s="39"/>
      <c r="AT66" s="39"/>
      <c r="AU66" s="39"/>
      <c r="AV66" s="39"/>
      <c r="AW66" s="39"/>
      <c r="AX66" s="39"/>
      <c r="AY66" s="39"/>
      <c r="AZ66" s="39"/>
      <c r="BA66" s="39">
        <f t="shared" si="120"/>
        <v>0</v>
      </c>
      <c r="BB66" s="35"/>
      <c r="BC66" s="482"/>
      <c r="BD66" s="482"/>
      <c r="BE66" s="35"/>
      <c r="BF66" s="482"/>
    </row>
    <row r="67" spans="1:58" ht="12.95" customHeight="1">
      <c r="A67" s="42"/>
      <c r="B67" s="43"/>
      <c r="C67" s="398"/>
      <c r="D67" s="43"/>
      <c r="E67" s="44"/>
      <c r="F67" s="44"/>
      <c r="G67" s="45"/>
      <c r="H67" s="46"/>
      <c r="I67" s="47"/>
      <c r="J67" s="84"/>
      <c r="K67" s="84"/>
      <c r="L67" s="37"/>
      <c r="M67" s="37"/>
      <c r="N67" s="48"/>
      <c r="O67" s="49"/>
      <c r="P67" s="50"/>
      <c r="Q67" s="49"/>
      <c r="R67" s="367"/>
      <c r="S67" s="367"/>
      <c r="T67" s="39"/>
      <c r="U67" s="39"/>
      <c r="V67" s="39"/>
      <c r="W67" s="39"/>
      <c r="X67" s="40"/>
      <c r="Y67" s="211"/>
      <c r="Z67" s="39"/>
      <c r="AA67" s="39"/>
      <c r="AB67" s="39"/>
      <c r="AC67" s="39"/>
      <c r="AD67" s="39">
        <f t="shared" si="117"/>
        <v>23</v>
      </c>
      <c r="AE67" s="228" t="s">
        <v>608</v>
      </c>
      <c r="AF67" s="35"/>
      <c r="AG67" s="35"/>
      <c r="AH67" s="35"/>
      <c r="AI67" s="35"/>
      <c r="AJ67" s="39">
        <v>23</v>
      </c>
      <c r="AK67" s="39"/>
      <c r="AL67" s="39"/>
      <c r="AM67" s="39">
        <f t="shared" ref="AM67" si="121">SUM(AF67:AL67)+AT67+AV67+AX67</f>
        <v>23</v>
      </c>
      <c r="AN67" s="39"/>
      <c r="AO67" s="39"/>
      <c r="AP67" s="39"/>
      <c r="AQ67" s="39"/>
      <c r="AR67" s="39">
        <f t="shared" ref="AR67" si="122">SUM(AN67:AQ67)</f>
        <v>0</v>
      </c>
      <c r="AS67" s="39"/>
      <c r="AT67" s="39"/>
      <c r="AU67" s="39"/>
      <c r="AV67" s="39"/>
      <c r="AW67" s="39"/>
      <c r="AX67" s="39"/>
      <c r="AY67" s="39"/>
      <c r="AZ67" s="39"/>
      <c r="BA67" s="39">
        <f t="shared" si="120"/>
        <v>0</v>
      </c>
      <c r="BB67" s="35"/>
      <c r="BC67" s="482"/>
      <c r="BD67" s="482"/>
      <c r="BE67" s="35"/>
      <c r="BF67" s="482"/>
    </row>
    <row r="68" spans="1:58" ht="12.95" customHeight="1">
      <c r="A68" s="42"/>
      <c r="B68" s="43"/>
      <c r="C68" s="398"/>
      <c r="D68" s="43"/>
      <c r="E68" s="44"/>
      <c r="F68" s="44"/>
      <c r="G68" s="411"/>
      <c r="H68" s="46"/>
      <c r="I68" s="47"/>
      <c r="J68" s="84"/>
      <c r="K68" s="84"/>
      <c r="L68" s="37"/>
      <c r="M68" s="37"/>
      <c r="N68" s="48"/>
      <c r="O68" s="49"/>
      <c r="P68" s="50"/>
      <c r="Q68" s="49"/>
      <c r="R68" s="367"/>
      <c r="S68" s="367"/>
      <c r="T68" s="39"/>
      <c r="U68" s="39"/>
      <c r="V68" s="39"/>
      <c r="W68" s="39"/>
      <c r="X68" s="366"/>
      <c r="Y68" s="39"/>
      <c r="Z68" s="39"/>
      <c r="AA68" s="51"/>
      <c r="AB68" s="51"/>
      <c r="AC68" s="39"/>
      <c r="AD68" s="39"/>
      <c r="AE68" s="228"/>
      <c r="AF68" s="39"/>
      <c r="AG68" s="39"/>
      <c r="AH68" s="39"/>
      <c r="AI68" s="481"/>
      <c r="AJ68" s="39"/>
      <c r="AK68" s="39"/>
      <c r="AL68" s="39"/>
      <c r="AM68" s="39"/>
      <c r="AN68" s="39"/>
      <c r="AO68" s="39"/>
      <c r="AP68" s="39"/>
      <c r="AQ68" s="39"/>
      <c r="AR68" s="39"/>
      <c r="AS68" s="39"/>
      <c r="AT68" s="39"/>
      <c r="AU68" s="39"/>
      <c r="AV68" s="39"/>
      <c r="AW68" s="39"/>
      <c r="AX68" s="39"/>
      <c r="AY68" s="39"/>
      <c r="AZ68" s="39"/>
      <c r="BA68" s="39"/>
      <c r="BB68" s="35"/>
      <c r="BC68" s="53"/>
      <c r="BD68" s="53"/>
      <c r="BE68" s="53"/>
      <c r="BF68" s="53"/>
    </row>
    <row r="69" spans="1:58" ht="12.75" customHeight="1">
      <c r="A69" s="42">
        <v>45852</v>
      </c>
      <c r="B69" s="43" t="s">
        <v>8</v>
      </c>
      <c r="C69" s="398">
        <f t="shared" ref="C69:C70" si="123">(M69*E69*O69*Q69)/100000000</f>
        <v>7.9035263999999996</v>
      </c>
      <c r="D69" s="43" t="s">
        <v>307</v>
      </c>
      <c r="E69" s="44">
        <v>12</v>
      </c>
      <c r="F69" s="44">
        <v>1</v>
      </c>
      <c r="G69" s="411">
        <v>1350</v>
      </c>
      <c r="H69" s="46">
        <f t="shared" ref="H69" si="124">+N69</f>
        <v>0.22999999999999998</v>
      </c>
      <c r="I69" s="47">
        <v>0.88</v>
      </c>
      <c r="J69" s="84">
        <f t="shared" ref="J69:J70" si="125">E69*G69*(1-H69)*1440/1000000*2.74</f>
        <v>49.217414400000003</v>
      </c>
      <c r="K69" s="84">
        <f t="shared" ref="K69:K70" si="126">(IF(G69&lt;L69,L69,G69)*(1-IF(H69&lt;N69,H69,N69))*E69*O69*Q69)/100000000</f>
        <v>7.9035263999999996</v>
      </c>
      <c r="L69" s="37">
        <v>1350</v>
      </c>
      <c r="M69" s="37">
        <v>1039.5</v>
      </c>
      <c r="N69" s="48">
        <f t="shared" ref="N69:N70" si="127">1-(M69/L69)</f>
        <v>0.22999999999999998</v>
      </c>
      <c r="O69" s="49">
        <f>+'Trim Rwd'!H39</f>
        <v>264</v>
      </c>
      <c r="P69" s="50">
        <f t="shared" ref="P69:P70" si="128">O69*(Q69-R69-S69)</f>
        <v>60984</v>
      </c>
      <c r="Q69" s="49">
        <v>240</v>
      </c>
      <c r="R69" s="367">
        <v>0</v>
      </c>
      <c r="S69" s="367">
        <v>9</v>
      </c>
      <c r="T69" s="39">
        <f t="shared" ref="T69:T70" si="129">E69*M69*O69*Q69/100000000</f>
        <v>7.9035263999999996</v>
      </c>
      <c r="U69" s="39">
        <f t="shared" ref="U69:U70" si="130">E69*M69*O69*(Q69-R69-S69)/100000000</f>
        <v>7.6071441599999998</v>
      </c>
      <c r="V69" s="39">
        <f t="shared" ref="V69:V70" si="131">E69*G69*(1-N69)*O69/100*(R69+S69)/1000000</f>
        <v>0.29638223999999996</v>
      </c>
      <c r="W69" s="39">
        <f>+'14'!K7/1000</f>
        <v>13.038</v>
      </c>
      <c r="X69" s="366">
        <f>SUM(W69:W72)/SUM(K69:K72)</f>
        <v>0.94123424832014579</v>
      </c>
      <c r="Y69" s="39">
        <v>0</v>
      </c>
      <c r="Z69" s="39">
        <f>+'14'!D7/1000</f>
        <v>0.63600000000000001</v>
      </c>
      <c r="AA69" s="51">
        <f>SUM(U69:U72)-SUM(W69:W72)-SUM(Z69:Z72)-SUM(Y69:Y72)</f>
        <v>1.3969857599999953</v>
      </c>
      <c r="AB69" s="51">
        <f>(SUM(K69:K72)-SUM(W69:W72)-SUM(Y69:Y72)-SUM(Z69:Z72)-SUM(AC69:AC72)-SUM(V69:V72))-AA69</f>
        <v>1.7763568394002505E-15</v>
      </c>
      <c r="AC69" s="39">
        <f>K69-T69</f>
        <v>0</v>
      </c>
      <c r="AD69" s="39">
        <f>+AM69+BA69</f>
        <v>0</v>
      </c>
      <c r="AE69" s="228" t="s">
        <v>461</v>
      </c>
      <c r="AF69" s="39">
        <v>0</v>
      </c>
      <c r="AG69" s="39"/>
      <c r="AH69" s="39"/>
      <c r="AI69" s="39"/>
      <c r="AJ69" s="39"/>
      <c r="AK69" s="39"/>
      <c r="AL69" s="39"/>
      <c r="AM69" s="39">
        <f>SUM(AF69:AL69)+AT69+AV69+AX69</f>
        <v>0</v>
      </c>
      <c r="AN69" s="39"/>
      <c r="AO69" s="39"/>
      <c r="AP69" s="39"/>
      <c r="AQ69" s="39"/>
      <c r="AR69" s="39">
        <f>SUM(AN69:AQ69)</f>
        <v>0</v>
      </c>
      <c r="AS69" s="39"/>
      <c r="AT69" s="39"/>
      <c r="AU69" s="39"/>
      <c r="AV69" s="39"/>
      <c r="AW69" s="39"/>
      <c r="AX69" s="39"/>
      <c r="AY69" s="39"/>
      <c r="AZ69" s="39"/>
      <c r="BA69" s="39">
        <f>+AR69+AS69+AU69+AW69+AY69+AZ69</f>
        <v>0</v>
      </c>
      <c r="BB69" s="35">
        <v>0</v>
      </c>
      <c r="BC69" s="53"/>
      <c r="BD69" s="53"/>
      <c r="BE69" s="35"/>
      <c r="BF69" s="53"/>
    </row>
    <row r="70" spans="1:58" ht="12.95" customHeight="1">
      <c r="A70" s="42"/>
      <c r="B70" s="43" t="s">
        <v>621</v>
      </c>
      <c r="C70" s="398">
        <f t="shared" si="123"/>
        <v>44.298144000000001</v>
      </c>
      <c r="D70" s="43" t="s">
        <v>307</v>
      </c>
      <c r="E70" s="44">
        <v>15</v>
      </c>
      <c r="F70" s="44">
        <v>1</v>
      </c>
      <c r="G70" s="411">
        <v>1180</v>
      </c>
      <c r="H70" s="46">
        <f>+N70</f>
        <v>0.20999999999999996</v>
      </c>
      <c r="I70" s="47">
        <v>0.88</v>
      </c>
      <c r="J70" s="84">
        <f t="shared" si="125"/>
        <v>55.171324800000001</v>
      </c>
      <c r="K70" s="84">
        <f t="shared" si="126"/>
        <v>44.298144000000001</v>
      </c>
      <c r="L70" s="37">
        <v>1180</v>
      </c>
      <c r="M70" s="37">
        <v>932.2</v>
      </c>
      <c r="N70" s="48">
        <f t="shared" si="127"/>
        <v>0.20999999999999996</v>
      </c>
      <c r="O70" s="49">
        <f>+'Trim Rwd'!H40</f>
        <v>264</v>
      </c>
      <c r="P70" s="50">
        <f t="shared" si="128"/>
        <v>311520</v>
      </c>
      <c r="Q70" s="49">
        <v>1200</v>
      </c>
      <c r="R70" s="367">
        <v>0</v>
      </c>
      <c r="S70" s="367">
        <v>20</v>
      </c>
      <c r="T70" s="39">
        <f t="shared" si="129"/>
        <v>44.298144000000001</v>
      </c>
      <c r="U70" s="39">
        <f t="shared" si="130"/>
        <v>43.559841599999999</v>
      </c>
      <c r="V70" s="39">
        <f t="shared" si="131"/>
        <v>0.73830240000000003</v>
      </c>
      <c r="W70" s="39">
        <f>+'14'!K12/1000</f>
        <v>36.095999999999997</v>
      </c>
      <c r="X70" s="40"/>
      <c r="Y70" s="211"/>
      <c r="Z70" s="39"/>
      <c r="AA70" s="39"/>
      <c r="AB70" s="39"/>
      <c r="AC70" s="39"/>
      <c r="AD70" s="39">
        <f t="shared" ref="AD70:AD71" si="132">+AM70+BA70</f>
        <v>10</v>
      </c>
      <c r="AE70" s="228" t="s">
        <v>503</v>
      </c>
      <c r="AF70" s="39"/>
      <c r="AG70" s="39">
        <v>10</v>
      </c>
      <c r="AH70" s="39"/>
      <c r="AI70" s="39"/>
      <c r="AJ70" s="39"/>
      <c r="AK70" s="39"/>
      <c r="AL70" s="39"/>
      <c r="AM70" s="39">
        <f t="shared" ref="AM70:AM71" si="133">SUM(AF70:AL70)+AT70+AV70+AX70</f>
        <v>10</v>
      </c>
      <c r="AN70" s="85"/>
      <c r="AO70" s="39"/>
      <c r="AP70" s="39"/>
      <c r="AQ70" s="39"/>
      <c r="AR70" s="39">
        <f t="shared" ref="AR70:AR71" si="134">SUM(AN70:AQ70)</f>
        <v>0</v>
      </c>
      <c r="AS70" s="39"/>
      <c r="AT70" s="39"/>
      <c r="AU70" s="39"/>
      <c r="AV70" s="39"/>
      <c r="AW70" s="39"/>
      <c r="AX70" s="39"/>
      <c r="AY70" s="39"/>
      <c r="AZ70" s="39"/>
      <c r="BA70" s="39">
        <f t="shared" ref="BA70:BA71" si="135">+AR70+AS70+AU70+AW70+AY70+AZ70</f>
        <v>0</v>
      </c>
      <c r="BB70" s="52"/>
      <c r="BC70" s="53">
        <v>6</v>
      </c>
      <c r="BD70" s="53"/>
      <c r="BE70" s="52"/>
      <c r="BF70" s="53"/>
    </row>
    <row r="71" spans="1:58" ht="12.95" customHeight="1">
      <c r="A71" s="42"/>
      <c r="B71" s="43"/>
      <c r="C71" s="398"/>
      <c r="D71" s="43"/>
      <c r="E71" s="44"/>
      <c r="F71" s="44"/>
      <c r="G71" s="45"/>
      <c r="H71" s="46"/>
      <c r="I71" s="47"/>
      <c r="J71" s="84"/>
      <c r="K71" s="84"/>
      <c r="L71" s="37"/>
      <c r="M71" s="37"/>
      <c r="N71" s="48"/>
      <c r="O71" s="49"/>
      <c r="P71" s="50"/>
      <c r="Q71" s="49"/>
      <c r="R71" s="367"/>
      <c r="S71" s="367"/>
      <c r="T71" s="39"/>
      <c r="U71" s="39"/>
      <c r="V71" s="39"/>
      <c r="W71" s="39"/>
      <c r="X71" s="40"/>
      <c r="Y71" s="211"/>
      <c r="Z71" s="39"/>
      <c r="AA71" s="39"/>
      <c r="AB71" s="39"/>
      <c r="AC71" s="39"/>
      <c r="AD71" s="39">
        <f t="shared" si="132"/>
        <v>19</v>
      </c>
      <c r="AE71" s="228" t="s">
        <v>622</v>
      </c>
      <c r="AF71" s="35"/>
      <c r="AG71" s="35"/>
      <c r="AH71" s="35">
        <v>19</v>
      </c>
      <c r="AI71" s="35"/>
      <c r="AJ71" s="39"/>
      <c r="AK71" s="39"/>
      <c r="AL71" s="39"/>
      <c r="AM71" s="39">
        <f t="shared" si="133"/>
        <v>19</v>
      </c>
      <c r="AN71" s="39"/>
      <c r="AO71" s="39"/>
      <c r="AP71" s="39"/>
      <c r="AQ71" s="39"/>
      <c r="AR71" s="39">
        <f t="shared" si="134"/>
        <v>0</v>
      </c>
      <c r="AS71" s="39"/>
      <c r="AT71" s="39"/>
      <c r="AU71" s="39"/>
      <c r="AV71" s="39"/>
      <c r="AW71" s="39"/>
      <c r="AX71" s="39"/>
      <c r="AY71" s="39"/>
      <c r="AZ71" s="39"/>
      <c r="BA71" s="39">
        <f t="shared" si="135"/>
        <v>0</v>
      </c>
      <c r="BB71" s="35"/>
      <c r="BC71" s="482"/>
      <c r="BD71" s="482"/>
      <c r="BE71" s="35"/>
      <c r="BF71" s="482"/>
    </row>
    <row r="72" spans="1:58" ht="12.95" customHeight="1">
      <c r="A72" s="42"/>
      <c r="B72" s="43"/>
      <c r="C72" s="398"/>
      <c r="D72" s="43"/>
      <c r="E72" s="44"/>
      <c r="F72" s="44"/>
      <c r="G72" s="45"/>
      <c r="H72" s="46"/>
      <c r="I72" s="47"/>
      <c r="J72" s="84"/>
      <c r="K72" s="84"/>
      <c r="L72" s="37"/>
      <c r="M72" s="37"/>
      <c r="N72" s="48"/>
      <c r="O72" s="49"/>
      <c r="P72" s="50"/>
      <c r="Q72" s="49"/>
      <c r="R72" s="367"/>
      <c r="S72" s="367"/>
      <c r="T72" s="39"/>
      <c r="U72" s="39"/>
      <c r="V72" s="39"/>
      <c r="W72" s="39"/>
      <c r="X72" s="366"/>
      <c r="Y72" s="211"/>
      <c r="Z72" s="39"/>
      <c r="AA72" s="51"/>
      <c r="AB72" s="51"/>
      <c r="AC72" s="39"/>
      <c r="AD72" s="39"/>
      <c r="AE72" s="228"/>
      <c r="AF72" s="39"/>
      <c r="AG72" s="39"/>
      <c r="AH72" s="39"/>
      <c r="AI72" s="39"/>
      <c r="AJ72" s="39"/>
      <c r="AK72" s="39"/>
      <c r="AL72" s="39"/>
      <c r="AM72" s="39"/>
      <c r="AN72" s="39"/>
      <c r="AO72" s="39"/>
      <c r="AP72" s="39"/>
      <c r="AQ72" s="39"/>
      <c r="AR72" s="39"/>
      <c r="AS72" s="39"/>
      <c r="AT72" s="39"/>
      <c r="AU72" s="39"/>
      <c r="AV72" s="39"/>
      <c r="AW72" s="39"/>
      <c r="AX72" s="39"/>
      <c r="AY72" s="39"/>
      <c r="AZ72" s="39"/>
      <c r="BA72" s="39"/>
      <c r="BB72" s="35"/>
      <c r="BC72" s="53"/>
      <c r="BD72" s="482"/>
      <c r="BE72" s="35"/>
      <c r="BF72" s="482"/>
    </row>
    <row r="73" spans="1:58" ht="12.75" customHeight="1">
      <c r="A73" s="42">
        <v>45853</v>
      </c>
      <c r="B73" s="43" t="s">
        <v>621</v>
      </c>
      <c r="C73" s="398">
        <f t="shared" ref="C73:C74" si="136">(M73*E73*O73*Q73)/100000000</f>
        <v>7.1984484000000002</v>
      </c>
      <c r="D73" s="43" t="s">
        <v>307</v>
      </c>
      <c r="E73" s="44">
        <v>15</v>
      </c>
      <c r="F73" s="44">
        <v>1</v>
      </c>
      <c r="G73" s="411">
        <v>1180</v>
      </c>
      <c r="H73" s="46">
        <f>+N73</f>
        <v>0.20999999999999996</v>
      </c>
      <c r="I73" s="47">
        <v>0.88</v>
      </c>
      <c r="J73" s="84">
        <f t="shared" ref="J73:J74" si="137">E73*G73*(1-H73)*1440/1000000*2.74</f>
        <v>55.171324800000001</v>
      </c>
      <c r="K73" s="84">
        <f t="shared" ref="K73:K74" si="138">(IF(G73&lt;L73,L73,G73)*(1-IF(H73&lt;N73,H73,N73))*E73*O73*Q73)/100000000</f>
        <v>7.1984484000000002</v>
      </c>
      <c r="L73" s="37">
        <v>1180</v>
      </c>
      <c r="M73" s="37">
        <v>932.2</v>
      </c>
      <c r="N73" s="48">
        <f t="shared" ref="N73:N74" si="139">1-(M73/L73)</f>
        <v>0.20999999999999996</v>
      </c>
      <c r="O73" s="49">
        <f>+'Trim Rwd'!H42</f>
        <v>264</v>
      </c>
      <c r="P73" s="50">
        <f t="shared" ref="P73:P74" si="140">O73*(Q73-R73-S73)</f>
        <v>50160</v>
      </c>
      <c r="Q73" s="49">
        <v>195</v>
      </c>
      <c r="R73" s="367">
        <v>0</v>
      </c>
      <c r="S73" s="367">
        <v>5</v>
      </c>
      <c r="T73" s="39">
        <f t="shared" ref="T73:T74" si="141">E73*M73*O73*Q73/100000000</f>
        <v>7.1984484000000002</v>
      </c>
      <c r="U73" s="39">
        <f t="shared" ref="U73:U74" si="142">E73*M73*O73*(Q73-R73-S73)/100000000</f>
        <v>7.0138727999999997</v>
      </c>
      <c r="V73" s="39">
        <f t="shared" ref="V73:V74" si="143">E73*G73*(1-N73)*O73/100*(R73+S73)/1000000</f>
        <v>0.18457560000000001</v>
      </c>
      <c r="W73" s="39">
        <f>+'15'!K12/1000</f>
        <v>14.919</v>
      </c>
      <c r="X73" s="366">
        <f>SUM(W73:W76)/SUM(K73:K76)</f>
        <v>1.0699438045932397</v>
      </c>
      <c r="Y73" s="39">
        <v>0</v>
      </c>
      <c r="Z73" s="39">
        <v>0</v>
      </c>
      <c r="AA73" s="51">
        <f>SUM(U73:U76)-SUM(W73:W76)-SUM(Z73:Z76)-SUM(Y73:Y76)</f>
        <v>-4.0371949600000079</v>
      </c>
      <c r="AB73" s="51">
        <f>(SUM(K73:K76)-SUM(W73:W76)-SUM(Y73:Y76)-SUM(Z73:Z76)-SUM(AC73:AC76)-SUM(V73:V76))-AA73</f>
        <v>0</v>
      </c>
      <c r="AC73" s="39">
        <f>K73-T73</f>
        <v>0</v>
      </c>
      <c r="AD73" s="39">
        <f>+AM73+BA73</f>
        <v>0</v>
      </c>
      <c r="AE73" s="228" t="s">
        <v>461</v>
      </c>
      <c r="AF73" s="39">
        <v>0</v>
      </c>
      <c r="AG73" s="39"/>
      <c r="AH73" s="39"/>
      <c r="AI73" s="39"/>
      <c r="AJ73" s="39"/>
      <c r="AK73" s="39"/>
      <c r="AL73" s="39"/>
      <c r="AM73" s="39">
        <f>SUM(AF73:AL73)+AT73+AV73+AX73</f>
        <v>0</v>
      </c>
      <c r="AN73" s="39"/>
      <c r="AO73" s="39"/>
      <c r="AP73" s="39"/>
      <c r="AQ73" s="39"/>
      <c r="AR73" s="39">
        <f>SUM(AN73:AQ73)</f>
        <v>0</v>
      </c>
      <c r="AS73" s="39"/>
      <c r="AT73" s="39"/>
      <c r="AU73" s="39"/>
      <c r="AV73" s="39"/>
      <c r="AW73" s="39"/>
      <c r="AX73" s="39"/>
      <c r="AY73" s="39"/>
      <c r="AZ73" s="39"/>
      <c r="BA73" s="39">
        <f>+AR73+AS73+AU73+AW73+AY73+AZ73</f>
        <v>0</v>
      </c>
      <c r="BB73" s="35">
        <v>0</v>
      </c>
      <c r="BC73" s="53"/>
      <c r="BD73" s="53"/>
      <c r="BE73" s="35"/>
      <c r="BF73" s="53"/>
    </row>
    <row r="74" spans="1:58" ht="12.95" customHeight="1">
      <c r="A74" s="42"/>
      <c r="B74" s="43" t="s">
        <v>8</v>
      </c>
      <c r="C74" s="398">
        <f t="shared" si="136"/>
        <v>40.847065559999997</v>
      </c>
      <c r="D74" s="43" t="s">
        <v>307</v>
      </c>
      <c r="E74" s="44">
        <v>12</v>
      </c>
      <c r="F74" s="44">
        <v>1</v>
      </c>
      <c r="G74" s="411">
        <v>1350</v>
      </c>
      <c r="H74" s="46">
        <f t="shared" ref="H74" si="144">+N74</f>
        <v>0.22999999999999998</v>
      </c>
      <c r="I74" s="47">
        <v>0.88</v>
      </c>
      <c r="J74" s="84">
        <f t="shared" si="137"/>
        <v>49.217414400000003</v>
      </c>
      <c r="K74" s="84">
        <f t="shared" si="138"/>
        <v>40.847065559999997</v>
      </c>
      <c r="L74" s="37">
        <v>1350</v>
      </c>
      <c r="M74" s="37">
        <v>1039.5</v>
      </c>
      <c r="N74" s="48">
        <f t="shared" si="139"/>
        <v>0.22999999999999998</v>
      </c>
      <c r="O74" s="49">
        <f>+'Trim Rwd'!H43</f>
        <v>263.0181818181818</v>
      </c>
      <c r="P74" s="50">
        <f t="shared" si="140"/>
        <v>323512.36363636359</v>
      </c>
      <c r="Q74" s="49">
        <v>1245</v>
      </c>
      <c r="R74" s="367">
        <v>0</v>
      </c>
      <c r="S74" s="367">
        <v>15</v>
      </c>
      <c r="T74" s="39">
        <f t="shared" si="141"/>
        <v>40.847065559999997</v>
      </c>
      <c r="U74" s="39">
        <f t="shared" si="142"/>
        <v>40.354932239999997</v>
      </c>
      <c r="V74" s="39">
        <f t="shared" si="143"/>
        <v>0.49213331999999999</v>
      </c>
      <c r="W74" s="39">
        <f>+'15'!K7/1000</f>
        <v>36.487000000000002</v>
      </c>
      <c r="X74" s="40"/>
      <c r="Y74" s="211"/>
      <c r="Z74" s="39"/>
      <c r="AA74" s="39"/>
      <c r="AB74" s="39"/>
      <c r="AC74" s="39"/>
      <c r="AD74" s="39">
        <f t="shared" ref="AD74:AD75" si="145">+AM74+BA74</f>
        <v>7</v>
      </c>
      <c r="AE74" s="228" t="s">
        <v>530</v>
      </c>
      <c r="AF74" s="39"/>
      <c r="AG74" s="39">
        <v>7</v>
      </c>
      <c r="AH74" s="39"/>
      <c r="AI74" s="39"/>
      <c r="AJ74" s="39"/>
      <c r="AK74" s="39"/>
      <c r="AL74" s="39"/>
      <c r="AM74" s="39">
        <f t="shared" ref="AM74:AM75" si="146">SUM(AF74:AL74)+AT74+AV74+AX74</f>
        <v>7</v>
      </c>
      <c r="AN74" s="85"/>
      <c r="AO74" s="39"/>
      <c r="AP74" s="39"/>
      <c r="AQ74" s="39"/>
      <c r="AR74" s="39">
        <f t="shared" ref="AR74:AR75" si="147">SUM(AN74:AQ74)</f>
        <v>0</v>
      </c>
      <c r="AS74" s="39"/>
      <c r="AT74" s="39"/>
      <c r="AU74" s="39"/>
      <c r="AV74" s="39"/>
      <c r="AW74" s="39"/>
      <c r="AX74" s="39"/>
      <c r="AY74" s="39"/>
      <c r="AZ74" s="39"/>
      <c r="BA74" s="39">
        <f t="shared" ref="BA74:BA75" si="148">+AR74+AS74+AU74+AW74+AY74+AZ74</f>
        <v>0</v>
      </c>
      <c r="BB74" s="52"/>
      <c r="BC74" s="53">
        <v>9</v>
      </c>
      <c r="BD74" s="53"/>
      <c r="BE74" s="52"/>
      <c r="BF74" s="53"/>
    </row>
    <row r="75" spans="1:58" ht="12.95" customHeight="1">
      <c r="A75" s="42"/>
      <c r="B75" s="43"/>
      <c r="C75" s="398"/>
      <c r="D75" s="43"/>
      <c r="E75" s="44"/>
      <c r="F75" s="44"/>
      <c r="G75" s="45"/>
      <c r="H75" s="46"/>
      <c r="I75" s="47"/>
      <c r="J75" s="84"/>
      <c r="K75" s="84"/>
      <c r="L75" s="37"/>
      <c r="M75" s="37"/>
      <c r="N75" s="48"/>
      <c r="O75" s="49"/>
      <c r="P75" s="50"/>
      <c r="Q75" s="49"/>
      <c r="R75" s="367"/>
      <c r="S75" s="367"/>
      <c r="T75" s="39"/>
      <c r="U75" s="39"/>
      <c r="V75" s="39"/>
      <c r="W75" s="39"/>
      <c r="X75" s="40"/>
      <c r="Y75" s="211"/>
      <c r="Z75" s="39"/>
      <c r="AA75" s="39"/>
      <c r="AB75" s="39"/>
      <c r="AC75" s="39"/>
      <c r="AD75" s="39">
        <f t="shared" si="145"/>
        <v>13</v>
      </c>
      <c r="AE75" s="228" t="s">
        <v>579</v>
      </c>
      <c r="AF75" s="35"/>
      <c r="AG75" s="35"/>
      <c r="AH75" s="35">
        <v>13</v>
      </c>
      <c r="AI75" s="35"/>
      <c r="AJ75" s="39"/>
      <c r="AK75" s="39"/>
      <c r="AL75" s="39"/>
      <c r="AM75" s="39">
        <f t="shared" si="146"/>
        <v>13</v>
      </c>
      <c r="AN75" s="39"/>
      <c r="AO75" s="39"/>
      <c r="AP75" s="39"/>
      <c r="AQ75" s="39"/>
      <c r="AR75" s="39">
        <f t="shared" si="147"/>
        <v>0</v>
      </c>
      <c r="AS75" s="39"/>
      <c r="AT75" s="39"/>
      <c r="AU75" s="39"/>
      <c r="AV75" s="39"/>
      <c r="AW75" s="39"/>
      <c r="AX75" s="39"/>
      <c r="AY75" s="39"/>
      <c r="AZ75" s="39"/>
      <c r="BA75" s="39">
        <f t="shared" si="148"/>
        <v>0</v>
      </c>
      <c r="BB75" s="35"/>
      <c r="BC75" s="482"/>
      <c r="BD75" s="482"/>
      <c r="BE75" s="35"/>
      <c r="BF75" s="482"/>
    </row>
    <row r="76" spans="1:58" ht="12.95" customHeight="1">
      <c r="A76" s="42"/>
      <c r="B76" s="43"/>
      <c r="C76" s="398"/>
      <c r="D76" s="43"/>
      <c r="E76" s="44"/>
      <c r="F76" s="44"/>
      <c r="G76" s="411"/>
      <c r="H76" s="46"/>
      <c r="I76" s="47"/>
      <c r="J76" s="84"/>
      <c r="K76" s="84"/>
      <c r="L76" s="37"/>
      <c r="M76" s="37"/>
      <c r="N76" s="48"/>
      <c r="O76" s="49"/>
      <c r="P76" s="50"/>
      <c r="Q76" s="49"/>
      <c r="R76" s="367"/>
      <c r="S76" s="367"/>
      <c r="T76" s="39"/>
      <c r="U76" s="39"/>
      <c r="V76" s="39"/>
      <c r="W76" s="39"/>
      <c r="X76" s="366"/>
      <c r="Y76" s="211"/>
      <c r="Z76" s="39"/>
      <c r="AA76" s="39"/>
      <c r="AB76" s="39"/>
      <c r="AC76" s="39"/>
      <c r="AD76" s="39"/>
      <c r="AE76" s="228"/>
      <c r="AF76" s="39"/>
      <c r="AG76" s="39"/>
      <c r="AH76" s="39"/>
      <c r="AI76" s="481"/>
      <c r="AJ76" s="39"/>
      <c r="AK76" s="39"/>
      <c r="AL76" s="39"/>
      <c r="AM76" s="39"/>
      <c r="AN76" s="85"/>
      <c r="AO76" s="39"/>
      <c r="AP76" s="39"/>
      <c r="AQ76" s="39"/>
      <c r="AR76" s="39"/>
      <c r="AS76" s="39"/>
      <c r="AT76" s="39"/>
      <c r="AU76" s="39"/>
      <c r="AV76" s="39"/>
      <c r="AW76" s="39"/>
      <c r="AX76" s="39"/>
      <c r="AY76" s="39"/>
      <c r="AZ76" s="39"/>
      <c r="BA76" s="39"/>
      <c r="BB76" s="52"/>
      <c r="BC76" s="53"/>
      <c r="BD76" s="53"/>
      <c r="BE76" s="53"/>
      <c r="BF76" s="53"/>
    </row>
    <row r="77" spans="1:58" ht="12.75" customHeight="1">
      <c r="A77" s="42">
        <v>45854</v>
      </c>
      <c r="B77" s="43" t="s">
        <v>8</v>
      </c>
      <c r="C77" s="398">
        <f t="shared" ref="C77:C78" si="149">(M77*E77*O77*Q77)/100000000</f>
        <v>10.0060191</v>
      </c>
      <c r="D77" s="43" t="s">
        <v>307</v>
      </c>
      <c r="E77" s="44">
        <v>12</v>
      </c>
      <c r="F77" s="44">
        <v>1</v>
      </c>
      <c r="G77" s="411">
        <v>1350</v>
      </c>
      <c r="H77" s="46">
        <f t="shared" ref="H77:H78" si="150">+N77</f>
        <v>0.22999999999999998</v>
      </c>
      <c r="I77" s="47">
        <v>0.88</v>
      </c>
      <c r="J77" s="84">
        <f t="shared" ref="J77:J78" si="151">E77*G77*(1-H77)*1440/1000000*2.74</f>
        <v>49.217414400000003</v>
      </c>
      <c r="K77" s="84">
        <f t="shared" ref="K77:K78" si="152">(IF(G77&lt;L77,L77,G77)*(1-IF(H77&lt;N77,H77,N77))*E77*O77*Q77)/100000000</f>
        <v>10.0060191</v>
      </c>
      <c r="L77" s="37">
        <v>1350</v>
      </c>
      <c r="M77" s="37">
        <v>1039.5</v>
      </c>
      <c r="N77" s="48">
        <f t="shared" ref="N77:N78" si="153">1-(M77/L77)</f>
        <v>0.22999999999999998</v>
      </c>
      <c r="O77" s="49">
        <f>+'Trim Rwd'!H46</f>
        <v>263</v>
      </c>
      <c r="P77" s="50">
        <f t="shared" ref="P77:P78" si="154">O77*(Q77-R77-S77)</f>
        <v>77585</v>
      </c>
      <c r="Q77" s="49">
        <v>305</v>
      </c>
      <c r="R77" s="367">
        <v>0</v>
      </c>
      <c r="S77" s="367">
        <v>10</v>
      </c>
      <c r="T77" s="39">
        <f t="shared" ref="T77:T78" si="155">E77*M77*O77*Q77/100000000</f>
        <v>10.0060191</v>
      </c>
      <c r="U77" s="39">
        <f t="shared" ref="U77:U78" si="156">E77*M77*O77*(Q77-R77-S77)/100000000</f>
        <v>9.6779528999999993</v>
      </c>
      <c r="V77" s="39">
        <f t="shared" ref="V77:V78" si="157">E77*G77*(1-N77)*O77/100*(R77+S77)/1000000</f>
        <v>0.32806620000000003</v>
      </c>
      <c r="W77" s="39">
        <f>+'16'!K7/1000</f>
        <v>13.337</v>
      </c>
      <c r="X77" s="366">
        <f>SUM(W77:W80)/SUM(K77:K80)</f>
        <v>0.90405523022013246</v>
      </c>
      <c r="Y77" s="39">
        <v>0</v>
      </c>
      <c r="Z77" s="39">
        <v>0</v>
      </c>
      <c r="AA77" s="51">
        <f>SUM(U77:U80)-SUM(W77:W80)-SUM(Z77:Z80)-SUM(Y77:Y80)</f>
        <v>3.1315483687499954</v>
      </c>
      <c r="AB77" s="51">
        <f>(SUM(K77:K80)-SUM(W77:W80)-SUM(Y77:Y80)-SUM(Z77:Z80)-SUM(AC77:AC80)-SUM(V77:V80))-AA77</f>
        <v>0</v>
      </c>
      <c r="AC77" s="39">
        <f>K77-T77</f>
        <v>0</v>
      </c>
      <c r="AD77" s="39">
        <f>+AM77+BA77</f>
        <v>0</v>
      </c>
      <c r="AE77" s="228" t="s">
        <v>461</v>
      </c>
      <c r="AF77" s="39">
        <v>0</v>
      </c>
      <c r="AG77" s="39"/>
      <c r="AH77" s="39"/>
      <c r="AI77" s="39"/>
      <c r="AJ77" s="39"/>
      <c r="AK77" s="39"/>
      <c r="AL77" s="39"/>
      <c r="AM77" s="39">
        <f>SUM(AF77:AL77)+AT77+AV77+AX77</f>
        <v>0</v>
      </c>
      <c r="AN77" s="39"/>
      <c r="AO77" s="39"/>
      <c r="AP77" s="39"/>
      <c r="AQ77" s="39"/>
      <c r="AR77" s="39">
        <f>SUM(AN77:AQ77)</f>
        <v>0</v>
      </c>
      <c r="AS77" s="39"/>
      <c r="AT77" s="39"/>
      <c r="AU77" s="39"/>
      <c r="AV77" s="39"/>
      <c r="AW77" s="39"/>
      <c r="AX77" s="39"/>
      <c r="AY77" s="39"/>
      <c r="AZ77" s="39"/>
      <c r="BA77" s="39">
        <f>+AR77+AS77+AU77+AW77+AY77+AZ77</f>
        <v>0</v>
      </c>
      <c r="BB77" s="35">
        <v>0</v>
      </c>
      <c r="BC77" s="53"/>
      <c r="BD77" s="53"/>
      <c r="BE77" s="35"/>
      <c r="BF77" s="53"/>
    </row>
    <row r="78" spans="1:58" ht="12.95" customHeight="1">
      <c r="A78" s="42"/>
      <c r="B78" s="43" t="s">
        <v>8</v>
      </c>
      <c r="C78" s="398">
        <f t="shared" si="149"/>
        <v>35.616193593749998</v>
      </c>
      <c r="D78" s="43" t="s">
        <v>307</v>
      </c>
      <c r="E78" s="44">
        <v>11.5</v>
      </c>
      <c r="F78" s="44">
        <v>1</v>
      </c>
      <c r="G78" s="411">
        <v>1350</v>
      </c>
      <c r="H78" s="46">
        <f t="shared" si="150"/>
        <v>0.22999999999999998</v>
      </c>
      <c r="I78" s="47">
        <v>0.88</v>
      </c>
      <c r="J78" s="84">
        <f t="shared" si="151"/>
        <v>47.16668880000001</v>
      </c>
      <c r="K78" s="84">
        <f t="shared" si="152"/>
        <v>35.616193593749998</v>
      </c>
      <c r="L78" s="37">
        <v>1350</v>
      </c>
      <c r="M78" s="37">
        <v>1039.5</v>
      </c>
      <c r="N78" s="48">
        <f t="shared" si="153"/>
        <v>0.22999999999999998</v>
      </c>
      <c r="O78" s="49">
        <f>+'Trim Rwd'!H47</f>
        <v>262.5</v>
      </c>
      <c r="P78" s="50">
        <f t="shared" si="154"/>
        <v>292687.5</v>
      </c>
      <c r="Q78" s="49">
        <v>1135</v>
      </c>
      <c r="R78" s="367">
        <v>0</v>
      </c>
      <c r="S78" s="367">
        <v>20</v>
      </c>
      <c r="T78" s="39">
        <f t="shared" si="155"/>
        <v>35.616193593749998</v>
      </c>
      <c r="U78" s="39">
        <f t="shared" si="156"/>
        <v>34.988595468749999</v>
      </c>
      <c r="V78" s="39">
        <f t="shared" si="157"/>
        <v>0.62759812500000001</v>
      </c>
      <c r="W78" s="39">
        <f>+'16'!K8/1000</f>
        <v>27.908000000000001</v>
      </c>
      <c r="X78" s="40"/>
      <c r="Y78" s="211"/>
      <c r="Z78" s="39">
        <f>+'16'!D25/1000</f>
        <v>0.28999999999999998</v>
      </c>
      <c r="AA78" s="39"/>
      <c r="AB78" s="39"/>
      <c r="AC78" s="39"/>
      <c r="AD78" s="39">
        <f t="shared" ref="AD78:AD79" si="158">+AM78+BA78</f>
        <v>9</v>
      </c>
      <c r="AE78" s="228" t="s">
        <v>530</v>
      </c>
      <c r="AF78" s="39"/>
      <c r="AG78" s="39">
        <v>9</v>
      </c>
      <c r="AH78" s="39"/>
      <c r="AI78" s="39"/>
      <c r="AJ78" s="39"/>
      <c r="AK78" s="39"/>
      <c r="AL78" s="39"/>
      <c r="AM78" s="39">
        <f t="shared" ref="AM78:AM79" si="159">SUM(AF78:AL78)+AT78+AV78+AX78</f>
        <v>9</v>
      </c>
      <c r="AN78" s="85"/>
      <c r="AO78" s="39"/>
      <c r="AP78" s="39"/>
      <c r="AQ78" s="39"/>
      <c r="AR78" s="39">
        <f t="shared" ref="AR78:AR79" si="160">SUM(AN78:AQ78)</f>
        <v>0</v>
      </c>
      <c r="AS78" s="39"/>
      <c r="AT78" s="39"/>
      <c r="AU78" s="39"/>
      <c r="AV78" s="39"/>
      <c r="AW78" s="39"/>
      <c r="AX78" s="39"/>
      <c r="AY78" s="39"/>
      <c r="AZ78" s="39"/>
      <c r="BA78" s="39">
        <f t="shared" ref="BA78:BA79" si="161">+AR78+AS78+AU78+AW78+AY78+AZ78</f>
        <v>0</v>
      </c>
      <c r="BB78" s="52"/>
      <c r="BC78" s="53">
        <v>9</v>
      </c>
      <c r="BD78" s="53"/>
      <c r="BE78" s="52"/>
      <c r="BF78" s="53"/>
    </row>
    <row r="79" spans="1:58" ht="12.95" customHeight="1">
      <c r="A79" s="42"/>
      <c r="B79" s="43"/>
      <c r="C79" s="398"/>
      <c r="D79" s="43"/>
      <c r="E79" s="44"/>
      <c r="F79" s="44"/>
      <c r="G79" s="45"/>
      <c r="H79" s="46"/>
      <c r="I79" s="47"/>
      <c r="J79" s="84"/>
      <c r="K79" s="84"/>
      <c r="L79" s="37"/>
      <c r="M79" s="37"/>
      <c r="N79" s="48"/>
      <c r="O79" s="49"/>
      <c r="P79" s="50"/>
      <c r="Q79" s="49"/>
      <c r="R79" s="367"/>
      <c r="S79" s="367"/>
      <c r="T79" s="39"/>
      <c r="U79" s="39"/>
      <c r="V79" s="39"/>
      <c r="W79" s="39"/>
      <c r="X79" s="40"/>
      <c r="Y79" s="211"/>
      <c r="Z79" s="39"/>
      <c r="AA79" s="39"/>
      <c r="AB79" s="39"/>
      <c r="AC79" s="39"/>
      <c r="AD79" s="39">
        <f t="shared" si="158"/>
        <v>21</v>
      </c>
      <c r="AE79" s="228" t="s">
        <v>651</v>
      </c>
      <c r="AF79" s="35"/>
      <c r="AG79" s="35"/>
      <c r="AH79" s="35">
        <v>21</v>
      </c>
      <c r="AI79" s="35"/>
      <c r="AJ79" s="39"/>
      <c r="AK79" s="39"/>
      <c r="AL79" s="39"/>
      <c r="AM79" s="39">
        <f t="shared" si="159"/>
        <v>21</v>
      </c>
      <c r="AN79" s="39"/>
      <c r="AO79" s="39"/>
      <c r="AP79" s="39"/>
      <c r="AQ79" s="39"/>
      <c r="AR79" s="39">
        <f t="shared" si="160"/>
        <v>0</v>
      </c>
      <c r="AS79" s="39"/>
      <c r="AT79" s="39"/>
      <c r="AU79" s="39"/>
      <c r="AV79" s="39"/>
      <c r="AW79" s="39"/>
      <c r="AX79" s="39"/>
      <c r="AY79" s="39"/>
      <c r="AZ79" s="39"/>
      <c r="BA79" s="39">
        <f t="shared" si="161"/>
        <v>0</v>
      </c>
      <c r="BB79" s="35"/>
      <c r="BC79" s="482"/>
      <c r="BD79" s="482"/>
      <c r="BE79" s="35"/>
      <c r="BF79" s="482"/>
    </row>
    <row r="80" spans="1:58" ht="12.95" customHeight="1">
      <c r="A80" s="42"/>
      <c r="B80" s="43"/>
      <c r="C80" s="398"/>
      <c r="D80" s="43"/>
      <c r="E80" s="44"/>
      <c r="F80" s="44"/>
      <c r="G80" s="411"/>
      <c r="H80" s="46"/>
      <c r="I80" s="47"/>
      <c r="J80" s="84"/>
      <c r="K80" s="84"/>
      <c r="L80" s="37"/>
      <c r="M80" s="37"/>
      <c r="N80" s="48"/>
      <c r="O80" s="49"/>
      <c r="P80" s="50"/>
      <c r="Q80" s="49"/>
      <c r="R80" s="367"/>
      <c r="S80" s="367"/>
      <c r="T80" s="39"/>
      <c r="U80" s="39"/>
      <c r="V80" s="39"/>
      <c r="W80" s="39"/>
      <c r="X80" s="366"/>
      <c r="Y80" s="211"/>
      <c r="Z80" s="39"/>
      <c r="AA80" s="51"/>
      <c r="AB80" s="51"/>
      <c r="AC80" s="39"/>
      <c r="AD80" s="39"/>
      <c r="AE80" s="228"/>
      <c r="AF80" s="39"/>
      <c r="AG80" s="39"/>
      <c r="AH80" s="39"/>
      <c r="AI80" s="39"/>
      <c r="AJ80" s="39"/>
      <c r="AK80" s="39"/>
      <c r="AL80" s="39"/>
      <c r="AM80" s="39"/>
      <c r="AN80" s="39"/>
      <c r="AO80" s="39"/>
      <c r="AP80" s="39"/>
      <c r="AQ80" s="39"/>
      <c r="AR80" s="39"/>
      <c r="AS80" s="39"/>
      <c r="AT80" s="39"/>
      <c r="AU80" s="39"/>
      <c r="AV80" s="39"/>
      <c r="AW80" s="39"/>
      <c r="AX80" s="39"/>
      <c r="AY80" s="39"/>
      <c r="AZ80" s="39"/>
      <c r="BA80" s="39"/>
      <c r="BB80" s="35"/>
      <c r="BC80" s="53"/>
      <c r="BD80" s="53"/>
      <c r="BE80" s="53"/>
      <c r="BF80" s="53"/>
    </row>
    <row r="81" spans="1:58" ht="12.75" customHeight="1">
      <c r="A81" s="42">
        <v>45855</v>
      </c>
      <c r="B81" s="43" t="s">
        <v>8</v>
      </c>
      <c r="C81" s="398">
        <f t="shared" ref="C81" si="162">(M81*E81*O81*Q81)/100000000</f>
        <v>45.187064999999997</v>
      </c>
      <c r="D81" s="43" t="s">
        <v>307</v>
      </c>
      <c r="E81" s="44">
        <v>11.5</v>
      </c>
      <c r="F81" s="44">
        <v>1</v>
      </c>
      <c r="G81" s="411">
        <v>1350</v>
      </c>
      <c r="H81" s="46">
        <f t="shared" ref="H81" si="163">+N81</f>
        <v>0.22999999999999998</v>
      </c>
      <c r="I81" s="47">
        <v>0.88</v>
      </c>
      <c r="J81" s="84">
        <f t="shared" ref="J81" si="164">E81*G81*(1-H81)*1440/1000000*2.74</f>
        <v>47.16668880000001</v>
      </c>
      <c r="K81" s="84">
        <f t="shared" ref="K81" si="165">(IF(G81&lt;L81,L81,G81)*(1-IF(H81&lt;N81,H81,N81))*E81*O81*Q81)/100000000</f>
        <v>45.187064999999997</v>
      </c>
      <c r="L81" s="37">
        <v>1350</v>
      </c>
      <c r="M81" s="37">
        <v>1039.5</v>
      </c>
      <c r="N81" s="48">
        <f t="shared" ref="N81" si="166">1-(M81/L81)</f>
        <v>0.22999999999999998</v>
      </c>
      <c r="O81" s="49">
        <f>+'Trim Rwd'!H49</f>
        <v>262.5</v>
      </c>
      <c r="P81" s="50">
        <f t="shared" ref="P81" si="167">O81*(Q81-R81-S81)</f>
        <v>364875</v>
      </c>
      <c r="Q81" s="49">
        <v>1440</v>
      </c>
      <c r="R81" s="367">
        <v>0</v>
      </c>
      <c r="S81" s="367">
        <v>50</v>
      </c>
      <c r="T81" s="39">
        <f t="shared" ref="T81" si="168">E81*M81*O81*Q81/100000000</f>
        <v>45.187064999999997</v>
      </c>
      <c r="U81" s="39">
        <f t="shared" ref="U81" si="169">E81*M81*O81*(Q81-R81-S81)/100000000</f>
        <v>43.618069687499997</v>
      </c>
      <c r="V81" s="39">
        <f t="shared" ref="V81" si="170">E81*G81*(1-N81)*O81/100*(R81+S81)/1000000</f>
        <v>1.5689953125</v>
      </c>
      <c r="W81" s="39">
        <f>+'17'!K8/1000</f>
        <v>40.045000000000002</v>
      </c>
      <c r="X81" s="366">
        <f>SUM(W81:W84)/SUM(K81:K84)</f>
        <v>0.88620493497420127</v>
      </c>
      <c r="Y81" s="39">
        <f>+SUM(RBP!AG32:AG33)</f>
        <v>0</v>
      </c>
      <c r="Z81" s="39">
        <v>0</v>
      </c>
      <c r="AA81" s="51">
        <f>SUM(U81:U84)-SUM(W81:W84)-SUM(Z81:Z84)-SUM(Y81:Y84)</f>
        <v>3.573069687499995</v>
      </c>
      <c r="AB81" s="51">
        <f>(SUM(K81:K84)-SUM(W81:W84)-SUM(Y81:Y84)-SUM(Z81:Z84)-SUM(AC81:AC84)-SUM(V81:V84))-AA81</f>
        <v>0</v>
      </c>
      <c r="AC81" s="39">
        <f>K81-T81</f>
        <v>0</v>
      </c>
      <c r="AD81" s="39">
        <f>+AM81+BA81</f>
        <v>0</v>
      </c>
      <c r="AE81" s="228" t="s">
        <v>461</v>
      </c>
      <c r="AF81" s="39">
        <v>0</v>
      </c>
      <c r="AG81" s="39"/>
      <c r="AH81" s="39"/>
      <c r="AI81" s="39"/>
      <c r="AJ81" s="39"/>
      <c r="AK81" s="39"/>
      <c r="AL81" s="39"/>
      <c r="AM81" s="39">
        <f>SUM(AF81:AL81)+AT81+AV81+AX81</f>
        <v>0</v>
      </c>
      <c r="AN81" s="39"/>
      <c r="AO81" s="39"/>
      <c r="AP81" s="39"/>
      <c r="AQ81" s="39"/>
      <c r="AR81" s="39">
        <f>SUM(AN81:AQ81)</f>
        <v>0</v>
      </c>
      <c r="AS81" s="39"/>
      <c r="AT81" s="39"/>
      <c r="AU81" s="39"/>
      <c r="AV81" s="39"/>
      <c r="AW81" s="39"/>
      <c r="AX81" s="39"/>
      <c r="AY81" s="39"/>
      <c r="AZ81" s="39"/>
      <c r="BA81" s="39">
        <f>+AR81+AS81+AU81+AW81+AY81+AZ81</f>
        <v>0</v>
      </c>
      <c r="BB81" s="35">
        <v>0</v>
      </c>
      <c r="BC81" s="53"/>
      <c r="BD81" s="53"/>
      <c r="BE81" s="35"/>
      <c r="BF81" s="53"/>
    </row>
    <row r="82" spans="1:58" ht="12.95" customHeight="1">
      <c r="A82" s="42"/>
      <c r="B82" s="43"/>
      <c r="C82" s="398"/>
      <c r="D82" s="43"/>
      <c r="E82" s="44"/>
      <c r="F82" s="44"/>
      <c r="G82" s="45"/>
      <c r="H82" s="46"/>
      <c r="I82" s="47"/>
      <c r="J82" s="84"/>
      <c r="K82" s="84"/>
      <c r="L82" s="37"/>
      <c r="M82" s="37"/>
      <c r="N82" s="48"/>
      <c r="O82" s="49"/>
      <c r="P82" s="50"/>
      <c r="Q82" s="49"/>
      <c r="R82" s="367"/>
      <c r="S82" s="367"/>
      <c r="T82" s="39"/>
      <c r="U82" s="39"/>
      <c r="V82" s="39"/>
      <c r="W82" s="39"/>
      <c r="X82" s="40"/>
      <c r="Y82" s="211"/>
      <c r="Z82" s="39"/>
      <c r="AA82" s="39"/>
      <c r="AB82" s="39"/>
      <c r="AC82" s="39"/>
      <c r="AD82" s="39">
        <f t="shared" ref="AD82:AD84" si="171">+AM82+BA82</f>
        <v>15</v>
      </c>
      <c r="AE82" s="228" t="s">
        <v>481</v>
      </c>
      <c r="AF82" s="39"/>
      <c r="AG82" s="39">
        <v>15</v>
      </c>
      <c r="AH82" s="39"/>
      <c r="AI82" s="39"/>
      <c r="AJ82" s="39"/>
      <c r="AK82" s="39"/>
      <c r="AL82" s="39"/>
      <c r="AM82" s="39">
        <f t="shared" ref="AM82:AM83" si="172">SUM(AF82:AL82)+AT82+AV82+AX82</f>
        <v>15</v>
      </c>
      <c r="AN82" s="85"/>
      <c r="AO82" s="39"/>
      <c r="AP82" s="39"/>
      <c r="AQ82" s="39"/>
      <c r="AR82" s="39">
        <f t="shared" ref="AR82:AR83" si="173">SUM(AN82:AQ82)</f>
        <v>0</v>
      </c>
      <c r="AS82" s="39"/>
      <c r="AT82" s="39"/>
      <c r="AU82" s="39"/>
      <c r="AV82" s="39"/>
      <c r="AW82" s="39"/>
      <c r="AX82" s="39"/>
      <c r="AY82" s="39"/>
      <c r="AZ82" s="39"/>
      <c r="BA82" s="39">
        <f t="shared" ref="BA82:BA84" si="174">+AR82+AS82+AU82+AW82+AY82+AZ82</f>
        <v>0</v>
      </c>
      <c r="BB82" s="52"/>
      <c r="BC82" s="53">
        <v>8</v>
      </c>
      <c r="BD82" s="53"/>
      <c r="BE82" s="52"/>
      <c r="BF82" s="53"/>
    </row>
    <row r="83" spans="1:58" ht="12.95" customHeight="1">
      <c r="A83" s="42"/>
      <c r="B83" s="43"/>
      <c r="C83" s="398"/>
      <c r="D83" s="43"/>
      <c r="E83" s="44"/>
      <c r="F83" s="44"/>
      <c r="G83" s="45"/>
      <c r="H83" s="46"/>
      <c r="I83" s="47"/>
      <c r="J83" s="84"/>
      <c r="K83" s="84"/>
      <c r="L83" s="37"/>
      <c r="M83" s="37"/>
      <c r="N83" s="48"/>
      <c r="O83" s="49"/>
      <c r="P83" s="50"/>
      <c r="Q83" s="49"/>
      <c r="R83" s="367"/>
      <c r="S83" s="367"/>
      <c r="T83" s="39"/>
      <c r="U83" s="39"/>
      <c r="V83" s="39"/>
      <c r="W83" s="39"/>
      <c r="X83" s="40"/>
      <c r="Y83" s="211"/>
      <c r="Z83" s="39"/>
      <c r="AA83" s="39"/>
      <c r="AB83" s="39"/>
      <c r="AC83" s="39"/>
      <c r="AD83" s="39">
        <f t="shared" si="171"/>
        <v>23</v>
      </c>
      <c r="AE83" s="228" t="s">
        <v>569</v>
      </c>
      <c r="AF83" s="35"/>
      <c r="AG83" s="35"/>
      <c r="AH83" s="35">
        <v>23</v>
      </c>
      <c r="AI83" s="35"/>
      <c r="AJ83" s="39"/>
      <c r="AK83" s="39"/>
      <c r="AL83" s="39"/>
      <c r="AM83" s="39">
        <f t="shared" si="172"/>
        <v>23</v>
      </c>
      <c r="AN83" s="39"/>
      <c r="AO83" s="39"/>
      <c r="AP83" s="39"/>
      <c r="AQ83" s="39"/>
      <c r="AR83" s="39">
        <f t="shared" si="173"/>
        <v>0</v>
      </c>
      <c r="AS83" s="39"/>
      <c r="AT83" s="39"/>
      <c r="AU83" s="39"/>
      <c r="AV83" s="39"/>
      <c r="AW83" s="39"/>
      <c r="AX83" s="39"/>
      <c r="AY83" s="39"/>
      <c r="AZ83" s="39"/>
      <c r="BA83" s="39">
        <f t="shared" si="174"/>
        <v>0</v>
      </c>
      <c r="BB83" s="35"/>
      <c r="BC83" s="482"/>
      <c r="BD83" s="482"/>
      <c r="BE83" s="35"/>
      <c r="BF83" s="482"/>
    </row>
    <row r="84" spans="1:58" ht="12.95" customHeight="1">
      <c r="A84" s="42"/>
      <c r="B84" s="43"/>
      <c r="C84" s="398"/>
      <c r="D84" s="43"/>
      <c r="E84" s="44"/>
      <c r="F84" s="44"/>
      <c r="G84" s="45"/>
      <c r="H84" s="46"/>
      <c r="I84" s="47"/>
      <c r="J84" s="84"/>
      <c r="K84" s="84"/>
      <c r="L84" s="37"/>
      <c r="M84" s="37"/>
      <c r="N84" s="48"/>
      <c r="O84" s="49"/>
      <c r="P84" s="50"/>
      <c r="Q84" s="49"/>
      <c r="R84" s="367"/>
      <c r="S84" s="367"/>
      <c r="T84" s="39"/>
      <c r="U84" s="39"/>
      <c r="V84" s="39"/>
      <c r="W84" s="39"/>
      <c r="X84" s="40"/>
      <c r="Y84" s="211"/>
      <c r="Z84" s="39"/>
      <c r="AA84" s="39"/>
      <c r="AB84" s="39"/>
      <c r="AC84" s="39"/>
      <c r="AD84" s="39">
        <f t="shared" si="171"/>
        <v>12</v>
      </c>
      <c r="AE84" s="228" t="s">
        <v>658</v>
      </c>
      <c r="AF84" s="35"/>
      <c r="AG84" s="35"/>
      <c r="AH84" s="35"/>
      <c r="AI84" s="35"/>
      <c r="AJ84" s="39"/>
      <c r="AK84" s="39">
        <v>12</v>
      </c>
      <c r="AL84" s="39"/>
      <c r="AM84" s="39">
        <f t="shared" ref="AM84" si="175">SUM(AF84:AL84)+AT84+AV84+AX84</f>
        <v>12</v>
      </c>
      <c r="AN84" s="39"/>
      <c r="AO84" s="39"/>
      <c r="AP84" s="39"/>
      <c r="AQ84" s="39"/>
      <c r="AR84" s="39">
        <f t="shared" ref="AR84" si="176">SUM(AN84:AQ84)</f>
        <v>0</v>
      </c>
      <c r="AS84" s="39"/>
      <c r="AT84" s="39"/>
      <c r="AU84" s="39"/>
      <c r="AV84" s="39"/>
      <c r="AW84" s="39"/>
      <c r="AX84" s="39"/>
      <c r="AY84" s="39"/>
      <c r="AZ84" s="39"/>
      <c r="BA84" s="39">
        <f t="shared" si="174"/>
        <v>0</v>
      </c>
      <c r="BB84" s="35"/>
      <c r="BC84" s="482"/>
      <c r="BD84" s="482"/>
      <c r="BE84" s="35"/>
      <c r="BF84" s="482"/>
    </row>
    <row r="85" spans="1:58" ht="12.95" customHeight="1">
      <c r="A85" s="42"/>
      <c r="B85" s="43"/>
      <c r="C85" s="398"/>
      <c r="D85" s="43"/>
      <c r="E85" s="44"/>
      <c r="F85" s="44"/>
      <c r="G85" s="411"/>
      <c r="H85" s="46"/>
      <c r="I85" s="47"/>
      <c r="J85" s="84"/>
      <c r="K85" s="84"/>
      <c r="L85" s="37"/>
      <c r="M85" s="37"/>
      <c r="N85" s="48"/>
      <c r="O85" s="49"/>
      <c r="P85" s="50"/>
      <c r="Q85" s="49"/>
      <c r="R85" s="367"/>
      <c r="S85" s="367"/>
      <c r="T85" s="39"/>
      <c r="U85" s="39"/>
      <c r="V85" s="39"/>
      <c r="W85" s="39"/>
      <c r="X85" s="366"/>
      <c r="Y85" s="39"/>
      <c r="Z85" s="39"/>
      <c r="AA85" s="51"/>
      <c r="AB85" s="51"/>
      <c r="AC85" s="39"/>
      <c r="AD85" s="39"/>
      <c r="AE85" s="228"/>
      <c r="AF85" s="39"/>
      <c r="AG85" s="39"/>
      <c r="AH85" s="39"/>
      <c r="AI85" s="481"/>
      <c r="AJ85" s="39"/>
      <c r="AK85" s="39"/>
      <c r="AL85" s="39"/>
      <c r="AM85" s="39"/>
      <c r="AN85" s="39"/>
      <c r="AO85" s="39"/>
      <c r="AP85" s="39"/>
      <c r="AQ85" s="39"/>
      <c r="AR85" s="39"/>
      <c r="AS85" s="39"/>
      <c r="AT85" s="39"/>
      <c r="AU85" s="39"/>
      <c r="AV85" s="39"/>
      <c r="AW85" s="39"/>
      <c r="AX85" s="39"/>
      <c r="AY85" s="39"/>
      <c r="AZ85" s="39"/>
      <c r="BA85" s="39"/>
      <c r="BB85" s="35"/>
      <c r="BC85" s="53"/>
      <c r="BD85" s="53"/>
      <c r="BE85" s="53"/>
      <c r="BF85" s="53"/>
    </row>
    <row r="86" spans="1:58" ht="12.75" customHeight="1">
      <c r="A86" s="42">
        <v>45856</v>
      </c>
      <c r="B86" s="43" t="s">
        <v>8</v>
      </c>
      <c r="C86" s="398">
        <f t="shared" ref="C86:C87" si="177">(M86*E86*O86*Q86)/100000000</f>
        <v>2.8241915624999998</v>
      </c>
      <c r="D86" s="43" t="s">
        <v>307</v>
      </c>
      <c r="E86" s="44">
        <v>11.5</v>
      </c>
      <c r="F86" s="44">
        <v>1</v>
      </c>
      <c r="G86" s="411">
        <v>1350</v>
      </c>
      <c r="H86" s="46">
        <f t="shared" ref="H86:H87" si="178">+N86</f>
        <v>0.22999999999999998</v>
      </c>
      <c r="I86" s="47">
        <v>0.88</v>
      </c>
      <c r="J86" s="84">
        <f t="shared" ref="J86:J87" si="179">E86*G86*(1-H86)*1440/1000000*2.74</f>
        <v>47.16668880000001</v>
      </c>
      <c r="K86" s="84">
        <f t="shared" ref="K86:K87" si="180">(IF(G86&lt;L86,L86,G86)*(1-IF(H86&lt;N86,H86,N86))*E86*O86*Q86)/100000000</f>
        <v>2.8241915624999998</v>
      </c>
      <c r="L86" s="37">
        <v>1350</v>
      </c>
      <c r="M86" s="37">
        <v>1039.5</v>
      </c>
      <c r="N86" s="48">
        <f t="shared" ref="N86:N87" si="181">1-(M86/L86)</f>
        <v>0.22999999999999998</v>
      </c>
      <c r="O86" s="49">
        <f>+'Trim Rwd'!H51</f>
        <v>262.5</v>
      </c>
      <c r="P86" s="50">
        <f t="shared" ref="P86:P87" si="182">O86*(Q86-R86-S86)</f>
        <v>22312.5</v>
      </c>
      <c r="Q86" s="49">
        <v>90</v>
      </c>
      <c r="R86" s="367">
        <v>0</v>
      </c>
      <c r="S86" s="367">
        <v>5</v>
      </c>
      <c r="T86" s="39">
        <f t="shared" ref="T86:T87" si="183">E86*M86*O86*Q86/100000000</f>
        <v>2.8241915624999998</v>
      </c>
      <c r="U86" s="39">
        <f t="shared" ref="U86:U87" si="184">E86*M86*O86*(Q86-R86-S86)/100000000</f>
        <v>2.6672920312500001</v>
      </c>
      <c r="V86" s="39">
        <f t="shared" ref="V86:V87" si="185">E86*G86*(1-N86)*O86/100*(R86+S86)/1000000</f>
        <v>0.15689953125</v>
      </c>
      <c r="W86" s="39">
        <f>+'18'!K8/1000</f>
        <v>7.5270000000000001</v>
      </c>
      <c r="X86" s="366">
        <f>SUM(W86:W89)/SUM(K86:K89)</f>
        <v>1.0274843016587667</v>
      </c>
      <c r="Y86" s="39">
        <v>0</v>
      </c>
      <c r="Z86" s="39">
        <v>0</v>
      </c>
      <c r="AA86" s="51">
        <f>SUM(U86:U89)-SUM(W86:W89)-SUM(Z86:Z89)-SUM(Y86:Y89)</f>
        <v>-2.2391298487500038</v>
      </c>
      <c r="AB86" s="51">
        <f>(SUM(K86:K89)-SUM(W86:W89)-SUM(Y86:Y89)-SUM(Z86:Z89)-SUM(AC86:AC89)-SUM(V86:V89))-AA86</f>
        <v>0</v>
      </c>
      <c r="AC86" s="39">
        <f>K86-T86</f>
        <v>0</v>
      </c>
      <c r="AD86" s="39">
        <f>+AM86+BA86</f>
        <v>0</v>
      </c>
      <c r="AE86" s="228" t="s">
        <v>461</v>
      </c>
      <c r="AF86" s="39">
        <v>0</v>
      </c>
      <c r="AG86" s="39"/>
      <c r="AH86" s="39"/>
      <c r="AI86" s="39"/>
      <c r="AJ86" s="39"/>
      <c r="AK86" s="39"/>
      <c r="AL86" s="39"/>
      <c r="AM86" s="39">
        <f>SUM(AF86:AL86)+AT86+AV86+AX86</f>
        <v>0</v>
      </c>
      <c r="AN86" s="39"/>
      <c r="AO86" s="39"/>
      <c r="AP86" s="39"/>
      <c r="AQ86" s="39"/>
      <c r="AR86" s="39">
        <f>SUM(AN86:AQ86)</f>
        <v>0</v>
      </c>
      <c r="AS86" s="39"/>
      <c r="AT86" s="39"/>
      <c r="AU86" s="39"/>
      <c r="AV86" s="39"/>
      <c r="AW86" s="39"/>
      <c r="AX86" s="39"/>
      <c r="AY86" s="39"/>
      <c r="AZ86" s="39"/>
      <c r="BA86" s="39">
        <f>+AR86+AS86+AU86+AW86+AY86+AZ86</f>
        <v>0</v>
      </c>
      <c r="BB86" s="35">
        <v>0</v>
      </c>
      <c r="BC86" s="53"/>
      <c r="BD86" s="53"/>
      <c r="BE86" s="35"/>
      <c r="BF86" s="53"/>
    </row>
    <row r="87" spans="1:58" ht="12.95" customHeight="1">
      <c r="A87" s="42"/>
      <c r="B87" s="43" t="s">
        <v>8</v>
      </c>
      <c r="C87" s="398">
        <f t="shared" si="177"/>
        <v>44.288936999999997</v>
      </c>
      <c r="D87" s="43" t="s">
        <v>307</v>
      </c>
      <c r="E87" s="44">
        <v>12</v>
      </c>
      <c r="F87" s="44">
        <v>1</v>
      </c>
      <c r="G87" s="411">
        <v>1350</v>
      </c>
      <c r="H87" s="46">
        <f t="shared" si="178"/>
        <v>0.22999999999999998</v>
      </c>
      <c r="I87" s="47">
        <v>0.88</v>
      </c>
      <c r="J87" s="84">
        <f t="shared" si="179"/>
        <v>49.217414400000003</v>
      </c>
      <c r="K87" s="84">
        <f t="shared" si="180"/>
        <v>44.288936999999997</v>
      </c>
      <c r="L87" s="37">
        <v>1350</v>
      </c>
      <c r="M87" s="37">
        <v>1039.5</v>
      </c>
      <c r="N87" s="48">
        <f t="shared" si="181"/>
        <v>0.22999999999999998</v>
      </c>
      <c r="O87" s="49">
        <f>+'Trim Rwd'!H52</f>
        <v>263</v>
      </c>
      <c r="P87" s="50">
        <f t="shared" si="182"/>
        <v>348738</v>
      </c>
      <c r="Q87" s="49">
        <v>1350</v>
      </c>
      <c r="R87" s="367">
        <v>0</v>
      </c>
      <c r="S87" s="367">
        <f>29-S86</f>
        <v>24</v>
      </c>
      <c r="T87" s="39">
        <f t="shared" si="183"/>
        <v>44.288936999999997</v>
      </c>
      <c r="U87" s="39">
        <f t="shared" si="184"/>
        <v>43.501578119999998</v>
      </c>
      <c r="V87" s="39">
        <f t="shared" si="185"/>
        <v>0.78735888000000009</v>
      </c>
      <c r="W87" s="39">
        <f>+'18'!K7/1000</f>
        <v>40.881</v>
      </c>
      <c r="X87" s="40"/>
      <c r="Y87" s="211"/>
      <c r="Z87" s="39">
        <v>0</v>
      </c>
      <c r="AA87" s="39"/>
      <c r="AB87" s="39"/>
      <c r="AC87" s="39"/>
      <c r="AD87" s="39">
        <f t="shared" ref="AD87:AD88" si="186">+AM87+BA87</f>
        <v>10</v>
      </c>
      <c r="AE87" s="228" t="s">
        <v>532</v>
      </c>
      <c r="AF87" s="39"/>
      <c r="AG87" s="39">
        <v>10</v>
      </c>
      <c r="AH87" s="39"/>
      <c r="AI87" s="39"/>
      <c r="AJ87" s="39"/>
      <c r="AK87" s="39"/>
      <c r="AL87" s="39"/>
      <c r="AM87" s="39">
        <f t="shared" ref="AM87:AM88" si="187">SUM(AF87:AL87)+AT87+AV87+AX87</f>
        <v>10</v>
      </c>
      <c r="AN87" s="85"/>
      <c r="AO87" s="39"/>
      <c r="AP87" s="39"/>
      <c r="AQ87" s="39"/>
      <c r="AR87" s="39">
        <f t="shared" ref="AR87:AR88" si="188">SUM(AN87:AQ87)</f>
        <v>0</v>
      </c>
      <c r="AS87" s="39"/>
      <c r="AT87" s="39"/>
      <c r="AU87" s="39"/>
      <c r="AV87" s="39"/>
      <c r="AW87" s="39"/>
      <c r="AX87" s="39"/>
      <c r="AY87" s="39"/>
      <c r="AZ87" s="39"/>
      <c r="BA87" s="39">
        <f t="shared" ref="BA87:BA88" si="189">+AR87+AS87+AU87+AW87+AY87+AZ87</f>
        <v>0</v>
      </c>
      <c r="BB87" s="52"/>
      <c r="BC87" s="53">
        <v>10</v>
      </c>
      <c r="BD87" s="53"/>
      <c r="BE87" s="52"/>
      <c r="BF87" s="53"/>
    </row>
    <row r="88" spans="1:58" ht="12.95" customHeight="1">
      <c r="A88" s="42"/>
      <c r="B88" s="43"/>
      <c r="C88" s="398"/>
      <c r="D88" s="43"/>
      <c r="E88" s="44"/>
      <c r="F88" s="44"/>
      <c r="G88" s="45"/>
      <c r="H88" s="46"/>
      <c r="I88" s="47"/>
      <c r="J88" s="84"/>
      <c r="K88" s="84"/>
      <c r="L88" s="37"/>
      <c r="M88" s="37"/>
      <c r="N88" s="48"/>
      <c r="O88" s="49"/>
      <c r="P88" s="50"/>
      <c r="Q88" s="49"/>
      <c r="R88" s="367"/>
      <c r="S88" s="367"/>
      <c r="T88" s="39"/>
      <c r="U88" s="39"/>
      <c r="V88" s="39"/>
      <c r="W88" s="39"/>
      <c r="X88" s="40"/>
      <c r="Y88" s="211"/>
      <c r="Z88" s="39"/>
      <c r="AA88" s="39"/>
      <c r="AB88" s="39"/>
      <c r="AC88" s="39"/>
      <c r="AD88" s="39">
        <f t="shared" si="186"/>
        <v>19</v>
      </c>
      <c r="AE88" s="228" t="s">
        <v>651</v>
      </c>
      <c r="AF88" s="35"/>
      <c r="AG88" s="35"/>
      <c r="AH88" s="35">
        <v>19</v>
      </c>
      <c r="AI88" s="35"/>
      <c r="AJ88" s="39"/>
      <c r="AK88" s="39"/>
      <c r="AL88" s="39"/>
      <c r="AM88" s="39">
        <f t="shared" si="187"/>
        <v>19</v>
      </c>
      <c r="AN88" s="39"/>
      <c r="AO88" s="39"/>
      <c r="AP88" s="39"/>
      <c r="AQ88" s="39"/>
      <c r="AR88" s="39">
        <f t="shared" si="188"/>
        <v>0</v>
      </c>
      <c r="AS88" s="39"/>
      <c r="AT88" s="39"/>
      <c r="AU88" s="39"/>
      <c r="AV88" s="39"/>
      <c r="AW88" s="39"/>
      <c r="AX88" s="39"/>
      <c r="AY88" s="39"/>
      <c r="AZ88" s="39"/>
      <c r="BA88" s="39">
        <f t="shared" si="189"/>
        <v>0</v>
      </c>
      <c r="BB88" s="35"/>
      <c r="BC88" s="482"/>
      <c r="BD88" s="482"/>
      <c r="BE88" s="35"/>
      <c r="BF88" s="482"/>
    </row>
    <row r="89" spans="1:58" ht="12.95" customHeight="1">
      <c r="A89" s="42"/>
      <c r="B89" s="43"/>
      <c r="C89" s="398"/>
      <c r="D89" s="43"/>
      <c r="E89" s="44"/>
      <c r="F89" s="44"/>
      <c r="G89" s="411"/>
      <c r="H89" s="46"/>
      <c r="I89" s="47"/>
      <c r="J89" s="84"/>
      <c r="K89" s="84"/>
      <c r="L89" s="37"/>
      <c r="M89" s="37"/>
      <c r="N89" s="48"/>
      <c r="O89" s="49"/>
      <c r="P89" s="50"/>
      <c r="Q89" s="49"/>
      <c r="R89" s="367"/>
      <c r="S89" s="367"/>
      <c r="T89" s="39"/>
      <c r="U89" s="39"/>
      <c r="V89" s="39"/>
      <c r="W89" s="39"/>
      <c r="X89" s="366"/>
      <c r="Y89" s="211"/>
      <c r="Z89" s="39"/>
      <c r="AA89" s="51"/>
      <c r="AB89" s="51"/>
      <c r="AC89" s="39"/>
      <c r="AD89" s="39"/>
      <c r="AE89" s="228"/>
      <c r="AF89" s="39"/>
      <c r="AG89" s="39"/>
      <c r="AH89" s="39"/>
      <c r="AI89" s="39"/>
      <c r="AJ89" s="39"/>
      <c r="AK89" s="39"/>
      <c r="AL89" s="39"/>
      <c r="AM89" s="39"/>
      <c r="AN89" s="39"/>
      <c r="AO89" s="39"/>
      <c r="AP89" s="39"/>
      <c r="AQ89" s="39"/>
      <c r="AR89" s="39"/>
      <c r="AS89" s="39"/>
      <c r="AT89" s="39"/>
      <c r="AU89" s="39"/>
      <c r="AV89" s="39"/>
      <c r="AW89" s="39"/>
      <c r="AX89" s="39"/>
      <c r="AY89" s="39"/>
      <c r="AZ89" s="39"/>
      <c r="BA89" s="39"/>
      <c r="BB89" s="35"/>
      <c r="BC89" s="53"/>
      <c r="BD89" s="53"/>
      <c r="BE89" s="53"/>
      <c r="BF89" s="53"/>
    </row>
    <row r="90" spans="1:58" ht="12.75" customHeight="1">
      <c r="A90" s="42">
        <v>45857</v>
      </c>
      <c r="B90" s="43" t="s">
        <v>8</v>
      </c>
      <c r="C90" s="398">
        <f t="shared" ref="C90" si="190">(M90*E90*O90*Q90)/100000000</f>
        <v>47.780409599999999</v>
      </c>
      <c r="D90" s="43" t="s">
        <v>307</v>
      </c>
      <c r="E90" s="44">
        <v>12</v>
      </c>
      <c r="F90" s="44">
        <v>1</v>
      </c>
      <c r="G90" s="411">
        <v>1350</v>
      </c>
      <c r="H90" s="46">
        <f t="shared" ref="H90" si="191">+N90</f>
        <v>0.22999999999999998</v>
      </c>
      <c r="I90" s="47">
        <v>0.88</v>
      </c>
      <c r="J90" s="84">
        <f t="shared" ref="J90" si="192">E90*G90*(1-H90)*1440/1000000*2.74</f>
        <v>49.217414400000003</v>
      </c>
      <c r="K90" s="84">
        <f t="shared" ref="K90" si="193">(IF(G90&lt;L90,L90,G90)*(1-IF(H90&lt;N90,H90,N90))*E90*O90*Q90)/100000000</f>
        <v>47.780409599999999</v>
      </c>
      <c r="L90" s="37">
        <v>1350</v>
      </c>
      <c r="M90" s="37">
        <v>1039.5</v>
      </c>
      <c r="N90" s="48">
        <f t="shared" ref="N90" si="194">1-(M90/L90)</f>
        <v>0.22999999999999998</v>
      </c>
      <c r="O90" s="49">
        <f>+'Trim Rwd'!H54</f>
        <v>266</v>
      </c>
      <c r="P90" s="50">
        <f t="shared" ref="P90" si="195">O90*(Q90-R90-S90)</f>
        <v>373996</v>
      </c>
      <c r="Q90" s="49">
        <v>1440</v>
      </c>
      <c r="R90" s="367">
        <v>0</v>
      </c>
      <c r="S90" s="367">
        <v>34</v>
      </c>
      <c r="T90" s="39">
        <f t="shared" ref="T90" si="196">E90*M90*O90*Q90/100000000</f>
        <v>47.780409599999999</v>
      </c>
      <c r="U90" s="39">
        <f t="shared" ref="U90" si="197">E90*M90*O90*(Q90-R90-S90)/100000000</f>
        <v>46.652261039999999</v>
      </c>
      <c r="V90" s="39">
        <f t="shared" ref="V90" si="198">E90*G90*(1-N90)*O90/100*(R90+S90)/1000000</f>
        <v>1.1281485599999999</v>
      </c>
      <c r="W90" s="39">
        <f>+'19'!K7/1000</f>
        <v>40.988</v>
      </c>
      <c r="X90" s="366">
        <f>SUM(W90:W93)/SUM(K90:K93)</f>
        <v>0.85784111821427333</v>
      </c>
      <c r="Y90" s="39">
        <f>+SUM(RBP!AG41:AG42)</f>
        <v>0</v>
      </c>
      <c r="Z90" s="39">
        <f>+'13'!D60/1000</f>
        <v>0</v>
      </c>
      <c r="AA90" s="51">
        <f>SUM(U90:U93)-SUM(W90:W93)-SUM(Z90:Z93)-SUM(Y90:Y93)</f>
        <v>5.6642610399999995</v>
      </c>
      <c r="AB90" s="51">
        <f>(SUM(K90:K93)-SUM(W90:W93)-SUM(Y90:Y93)-SUM(Z90:Z93)-SUM(AC90:AC93)-SUM(V90:V93))-AA90</f>
        <v>0</v>
      </c>
      <c r="AC90" s="39">
        <f>K90-T90</f>
        <v>0</v>
      </c>
      <c r="AD90" s="39">
        <f>+AM90+BA90</f>
        <v>0</v>
      </c>
      <c r="AE90" s="228" t="s">
        <v>461</v>
      </c>
      <c r="AF90" s="39">
        <v>0</v>
      </c>
      <c r="AG90" s="39"/>
      <c r="AH90" s="39"/>
      <c r="AI90" s="39"/>
      <c r="AJ90" s="39"/>
      <c r="AK90" s="39"/>
      <c r="AL90" s="39"/>
      <c r="AM90" s="39">
        <f>SUM(AF90:AL90)+AT90+AV90+AX90</f>
        <v>0</v>
      </c>
      <c r="AN90" s="39"/>
      <c r="AO90" s="39"/>
      <c r="AP90" s="39"/>
      <c r="AQ90" s="39"/>
      <c r="AR90" s="39">
        <f>SUM(AN90:AQ90)</f>
        <v>0</v>
      </c>
      <c r="AS90" s="39"/>
      <c r="AT90" s="39"/>
      <c r="AU90" s="39"/>
      <c r="AV90" s="39"/>
      <c r="AW90" s="39"/>
      <c r="AX90" s="39"/>
      <c r="AY90" s="39"/>
      <c r="AZ90" s="39"/>
      <c r="BA90" s="39">
        <f>+AR90+AS90+AU90+AW90+AY90+AZ90</f>
        <v>0</v>
      </c>
      <c r="BB90" s="35">
        <v>0</v>
      </c>
      <c r="BC90" s="53"/>
      <c r="BD90" s="53"/>
      <c r="BE90" s="35"/>
      <c r="BF90" s="53"/>
    </row>
    <row r="91" spans="1:58" ht="12.95" customHeight="1">
      <c r="A91" s="42"/>
      <c r="B91" s="43"/>
      <c r="C91" s="398"/>
      <c r="D91" s="43"/>
      <c r="E91" s="44"/>
      <c r="F91" s="44"/>
      <c r="G91" s="411"/>
      <c r="H91" s="46"/>
      <c r="I91" s="47"/>
      <c r="J91" s="84"/>
      <c r="K91" s="84"/>
      <c r="L91" s="37"/>
      <c r="M91" s="37"/>
      <c r="N91" s="48"/>
      <c r="O91" s="49"/>
      <c r="P91" s="50"/>
      <c r="Q91" s="49"/>
      <c r="R91" s="367"/>
      <c r="S91" s="367"/>
      <c r="T91" s="39"/>
      <c r="U91" s="39"/>
      <c r="V91" s="39"/>
      <c r="W91" s="39"/>
      <c r="X91" s="40"/>
      <c r="Y91" s="211"/>
      <c r="Z91" s="39"/>
      <c r="AA91" s="39"/>
      <c r="AB91" s="39"/>
      <c r="AC91" s="39"/>
      <c r="AD91" s="39">
        <f t="shared" ref="AD91:AD92" si="199">+AM91+BA91</f>
        <v>10</v>
      </c>
      <c r="AE91" s="228" t="s">
        <v>481</v>
      </c>
      <c r="AF91" s="39"/>
      <c r="AG91" s="39">
        <v>10</v>
      </c>
      <c r="AH91" s="39"/>
      <c r="AI91" s="39"/>
      <c r="AJ91" s="39"/>
      <c r="AK91" s="39"/>
      <c r="AL91" s="39"/>
      <c r="AM91" s="39">
        <f t="shared" ref="AM91:AM92" si="200">SUM(AF91:AL91)+AT91+AV91+AX91</f>
        <v>10</v>
      </c>
      <c r="AN91" s="85"/>
      <c r="AO91" s="39"/>
      <c r="AP91" s="39"/>
      <c r="AQ91" s="39"/>
      <c r="AR91" s="39">
        <f t="shared" ref="AR91:AR92" si="201">SUM(AN91:AQ91)</f>
        <v>0</v>
      </c>
      <c r="AS91" s="39"/>
      <c r="AT91" s="39"/>
      <c r="AU91" s="39"/>
      <c r="AV91" s="39"/>
      <c r="AW91" s="39"/>
      <c r="AX91" s="39"/>
      <c r="AY91" s="39"/>
      <c r="AZ91" s="39"/>
      <c r="BA91" s="39">
        <f t="shared" ref="BA91:BA92" si="202">+AR91+AS91+AU91+AW91+AY91+AZ91</f>
        <v>0</v>
      </c>
      <c r="BB91" s="52"/>
      <c r="BC91" s="53">
        <v>8</v>
      </c>
      <c r="BD91" s="53"/>
      <c r="BE91" s="52"/>
      <c r="BF91" s="53"/>
    </row>
    <row r="92" spans="1:58" ht="12.95" customHeight="1">
      <c r="A92" s="42"/>
      <c r="B92" s="43"/>
      <c r="C92" s="398"/>
      <c r="D92" s="43"/>
      <c r="E92" s="44"/>
      <c r="F92" s="44"/>
      <c r="G92" s="45"/>
      <c r="H92" s="46"/>
      <c r="I92" s="47"/>
      <c r="J92" s="84"/>
      <c r="K92" s="84"/>
      <c r="L92" s="37"/>
      <c r="M92" s="37"/>
      <c r="N92" s="48"/>
      <c r="O92" s="49"/>
      <c r="P92" s="50"/>
      <c r="Q92" s="49"/>
      <c r="R92" s="367"/>
      <c r="S92" s="367"/>
      <c r="T92" s="39"/>
      <c r="U92" s="39"/>
      <c r="V92" s="39"/>
      <c r="W92" s="39"/>
      <c r="X92" s="40"/>
      <c r="Y92" s="211"/>
      <c r="Z92" s="39"/>
      <c r="AA92" s="39"/>
      <c r="AB92" s="39"/>
      <c r="AC92" s="39"/>
      <c r="AD92" s="39">
        <f t="shared" si="199"/>
        <v>24</v>
      </c>
      <c r="AE92" s="228" t="s">
        <v>579</v>
      </c>
      <c r="AF92" s="35"/>
      <c r="AG92" s="35"/>
      <c r="AH92" s="35">
        <v>24</v>
      </c>
      <c r="AI92" s="35"/>
      <c r="AJ92" s="39"/>
      <c r="AK92" s="39"/>
      <c r="AL92" s="39"/>
      <c r="AM92" s="39">
        <f t="shared" si="200"/>
        <v>24</v>
      </c>
      <c r="AN92" s="39"/>
      <c r="AO92" s="39"/>
      <c r="AP92" s="39"/>
      <c r="AQ92" s="39"/>
      <c r="AR92" s="39">
        <f t="shared" si="201"/>
        <v>0</v>
      </c>
      <c r="AS92" s="39"/>
      <c r="AT92" s="39"/>
      <c r="AU92" s="39"/>
      <c r="AV92" s="39"/>
      <c r="AW92" s="39"/>
      <c r="AX92" s="39"/>
      <c r="AY92" s="39"/>
      <c r="AZ92" s="39"/>
      <c r="BA92" s="39">
        <f t="shared" si="202"/>
        <v>0</v>
      </c>
      <c r="BB92" s="35"/>
      <c r="BC92" s="482"/>
      <c r="BD92" s="482"/>
      <c r="BE92" s="35"/>
      <c r="BF92" s="482"/>
    </row>
    <row r="93" spans="1:58" ht="12.95" customHeight="1">
      <c r="A93" s="42"/>
      <c r="B93" s="43"/>
      <c r="C93" s="398"/>
      <c r="D93" s="43"/>
      <c r="E93" s="44"/>
      <c r="F93" s="44"/>
      <c r="G93" s="411"/>
      <c r="H93" s="46"/>
      <c r="I93" s="47"/>
      <c r="J93" s="84"/>
      <c r="K93" s="84"/>
      <c r="L93" s="37"/>
      <c r="M93" s="37"/>
      <c r="N93" s="48"/>
      <c r="O93" s="49"/>
      <c r="P93" s="50"/>
      <c r="Q93" s="49"/>
      <c r="R93" s="367"/>
      <c r="S93" s="367"/>
      <c r="T93" s="39"/>
      <c r="U93" s="39"/>
      <c r="V93" s="39"/>
      <c r="W93" s="39"/>
      <c r="X93" s="366"/>
      <c r="Y93" s="211"/>
      <c r="Z93" s="39"/>
      <c r="AA93" s="51"/>
      <c r="AB93" s="51"/>
      <c r="AC93" s="39"/>
      <c r="AD93" s="39"/>
      <c r="AE93" s="228"/>
      <c r="AF93" s="39"/>
      <c r="AG93" s="39"/>
      <c r="AH93" s="39"/>
      <c r="AI93" s="39"/>
      <c r="AJ93" s="39"/>
      <c r="AK93" s="39"/>
      <c r="AL93" s="39"/>
      <c r="AM93" s="39"/>
      <c r="AN93" s="39"/>
      <c r="AO93" s="39"/>
      <c r="AP93" s="39"/>
      <c r="AQ93" s="39"/>
      <c r="AR93" s="39"/>
      <c r="AS93" s="39"/>
      <c r="AT93" s="39"/>
      <c r="AU93" s="39"/>
      <c r="AV93" s="39"/>
      <c r="AW93" s="39"/>
      <c r="AX93" s="39"/>
      <c r="AY93" s="39"/>
      <c r="AZ93" s="39"/>
      <c r="BA93" s="39"/>
      <c r="BB93" s="35"/>
      <c r="BC93" s="53"/>
      <c r="BD93" s="53"/>
      <c r="BE93" s="53"/>
      <c r="BF93" s="53"/>
    </row>
    <row r="94" spans="1:58" ht="12.75" customHeight="1">
      <c r="A94" s="42">
        <v>45858</v>
      </c>
      <c r="B94" s="43" t="s">
        <v>8</v>
      </c>
      <c r="C94" s="398">
        <f t="shared" ref="C94" si="203">(M94*E94*O94*Q94)/100000000</f>
        <v>47.704511459154929</v>
      </c>
      <c r="D94" s="43" t="s">
        <v>307</v>
      </c>
      <c r="E94" s="44">
        <v>12</v>
      </c>
      <c r="F94" s="44">
        <v>1</v>
      </c>
      <c r="G94" s="411">
        <v>1350</v>
      </c>
      <c r="H94" s="46">
        <f t="shared" ref="H94" si="204">+N94</f>
        <v>0.22999999999999998</v>
      </c>
      <c r="I94" s="47">
        <v>0.88</v>
      </c>
      <c r="J94" s="84">
        <f t="shared" ref="J94" si="205">E94*G94*(1-H94)*1440/1000000*2.74</f>
        <v>49.217414400000003</v>
      </c>
      <c r="K94" s="84">
        <f t="shared" ref="K94" si="206">(IF(G94&lt;L94,L94,G94)*(1-IF(H94&lt;N94,H94,N94))*E94*O94*Q94)/100000000</f>
        <v>47.704511459154929</v>
      </c>
      <c r="L94" s="37">
        <v>1350</v>
      </c>
      <c r="M94" s="37">
        <v>1039.5</v>
      </c>
      <c r="N94" s="48">
        <f t="shared" ref="N94" si="207">1-(M94/L94)</f>
        <v>0.22999999999999998</v>
      </c>
      <c r="O94" s="49">
        <f>+'Trim Rwd'!H57</f>
        <v>265.57746478873241</v>
      </c>
      <c r="P94" s="50">
        <f t="shared" ref="P94" si="208">O94*(Q94-R94-S94)</f>
        <v>374995.38028169016</v>
      </c>
      <c r="Q94" s="49">
        <v>1440</v>
      </c>
      <c r="R94" s="367">
        <v>0</v>
      </c>
      <c r="S94" s="367">
        <v>28</v>
      </c>
      <c r="T94" s="39">
        <f t="shared" ref="T94" si="209">E94*M94*O94*Q94/100000000</f>
        <v>47.704511459154929</v>
      </c>
      <c r="U94" s="39">
        <f t="shared" ref="U94" si="210">E94*M94*O94*(Q94-R94-S94)/100000000</f>
        <v>46.776923736338034</v>
      </c>
      <c r="V94" s="39">
        <f t="shared" ref="V94" si="211">E94*G94*(1-N94)*O94/100*(R94+S94)/1000000</f>
        <v>0.92758772281690138</v>
      </c>
      <c r="W94" s="39">
        <f>+'20'!K7/1000</f>
        <v>46.920999999999999</v>
      </c>
      <c r="X94" s="366">
        <f>SUM(W94:W97)/SUM(K94:K97)</f>
        <v>0.98357573665069853</v>
      </c>
      <c r="Y94" s="39">
        <f>+SUM(RBP!AG45:AG46)</f>
        <v>0</v>
      </c>
      <c r="Z94" s="39">
        <f>+'13'!D64/1000</f>
        <v>0</v>
      </c>
      <c r="AA94" s="51">
        <f>SUM(U94:U97)-SUM(W94:W97)-SUM(Z94:Z97)-SUM(Y94:Y97)</f>
        <v>-0.14407626366196524</v>
      </c>
      <c r="AB94" s="51">
        <f>(SUM(K94:K97)-SUM(W94:W97)-SUM(Y94:Y97)-SUM(Z94:Z97)-SUM(AC94:AC97)-SUM(V94:V97))-AA94</f>
        <v>-6.2172489379008766E-15</v>
      </c>
      <c r="AC94" s="39">
        <f>K94-T94</f>
        <v>0</v>
      </c>
      <c r="AD94" s="39">
        <f>+AM94+BA94</f>
        <v>0</v>
      </c>
      <c r="AE94" s="228" t="s">
        <v>461</v>
      </c>
      <c r="AF94" s="39">
        <v>0</v>
      </c>
      <c r="AG94" s="39"/>
      <c r="AH94" s="39"/>
      <c r="AI94" s="39"/>
      <c r="AJ94" s="39"/>
      <c r="AK94" s="39"/>
      <c r="AL94" s="39"/>
      <c r="AM94" s="39">
        <f>SUM(AF94:AL94)+AT94+AV94+AX94</f>
        <v>0</v>
      </c>
      <c r="AN94" s="39"/>
      <c r="AO94" s="39"/>
      <c r="AP94" s="39"/>
      <c r="AQ94" s="39"/>
      <c r="AR94" s="39">
        <f>SUM(AN94:AQ94)</f>
        <v>0</v>
      </c>
      <c r="AS94" s="39"/>
      <c r="AT94" s="39"/>
      <c r="AU94" s="39"/>
      <c r="AV94" s="39"/>
      <c r="AW94" s="39"/>
      <c r="AX94" s="39"/>
      <c r="AY94" s="39"/>
      <c r="AZ94" s="39"/>
      <c r="BA94" s="39">
        <f>+AR94+AS94+AU94+AW94+AY94+AZ94</f>
        <v>0</v>
      </c>
      <c r="BB94" s="35">
        <v>0</v>
      </c>
      <c r="BC94" s="53"/>
      <c r="BD94" s="53"/>
      <c r="BE94" s="35"/>
      <c r="BF94" s="53"/>
    </row>
    <row r="95" spans="1:58" ht="12.95" customHeight="1">
      <c r="A95" s="42"/>
      <c r="B95" s="43"/>
      <c r="C95" s="398"/>
      <c r="D95" s="43"/>
      <c r="E95" s="44"/>
      <c r="F95" s="44"/>
      <c r="G95" s="411"/>
      <c r="H95" s="46"/>
      <c r="I95" s="47"/>
      <c r="J95" s="84"/>
      <c r="K95" s="84"/>
      <c r="L95" s="37"/>
      <c r="M95" s="37"/>
      <c r="N95" s="48"/>
      <c r="O95" s="49"/>
      <c r="P95" s="50"/>
      <c r="Q95" s="49"/>
      <c r="R95" s="367"/>
      <c r="S95" s="367"/>
      <c r="T95" s="39"/>
      <c r="U95" s="39"/>
      <c r="V95" s="39"/>
      <c r="W95" s="39"/>
      <c r="X95" s="40"/>
      <c r="Y95" s="211"/>
      <c r="Z95" s="39"/>
      <c r="AA95" s="39"/>
      <c r="AB95" s="39"/>
      <c r="AC95" s="39"/>
      <c r="AD95" s="39">
        <f t="shared" ref="AD95:AD96" si="212">+AM95+BA95</f>
        <v>9</v>
      </c>
      <c r="AE95" s="228" t="s">
        <v>481</v>
      </c>
      <c r="AF95" s="39"/>
      <c r="AG95" s="39">
        <v>9</v>
      </c>
      <c r="AH95" s="39"/>
      <c r="AI95" s="39"/>
      <c r="AJ95" s="39"/>
      <c r="AK95" s="39"/>
      <c r="AL95" s="39"/>
      <c r="AM95" s="39">
        <f t="shared" ref="AM95:AM96" si="213">SUM(AF95:AL95)+AT95+AV95+AX95</f>
        <v>9</v>
      </c>
      <c r="AN95" s="85"/>
      <c r="AO95" s="39"/>
      <c r="AP95" s="39"/>
      <c r="AQ95" s="39"/>
      <c r="AR95" s="39">
        <f t="shared" ref="AR95:AR96" si="214">SUM(AN95:AQ95)</f>
        <v>0</v>
      </c>
      <c r="AS95" s="39"/>
      <c r="AT95" s="39"/>
      <c r="AU95" s="39"/>
      <c r="AV95" s="39"/>
      <c r="AW95" s="39"/>
      <c r="AX95" s="39"/>
      <c r="AY95" s="39"/>
      <c r="AZ95" s="39"/>
      <c r="BA95" s="39">
        <f t="shared" ref="BA95:BA96" si="215">+AR95+AS95+AU95+AW95+AY95+AZ95</f>
        <v>0</v>
      </c>
      <c r="BB95" s="52"/>
      <c r="BC95" s="53">
        <v>8</v>
      </c>
      <c r="BD95" s="53"/>
      <c r="BE95" s="52"/>
      <c r="BF95" s="53"/>
    </row>
    <row r="96" spans="1:58" ht="12.95" customHeight="1">
      <c r="A96" s="42"/>
      <c r="B96" s="43"/>
      <c r="C96" s="398"/>
      <c r="D96" s="43"/>
      <c r="E96" s="44"/>
      <c r="F96" s="44"/>
      <c r="G96" s="45"/>
      <c r="H96" s="46"/>
      <c r="I96" s="47"/>
      <c r="J96" s="84"/>
      <c r="K96" s="84"/>
      <c r="L96" s="37"/>
      <c r="M96" s="37"/>
      <c r="N96" s="48"/>
      <c r="O96" s="49"/>
      <c r="P96" s="50"/>
      <c r="Q96" s="49"/>
      <c r="R96" s="367"/>
      <c r="S96" s="367"/>
      <c r="T96" s="39"/>
      <c r="U96" s="39"/>
      <c r="V96" s="39"/>
      <c r="W96" s="39"/>
      <c r="X96" s="40"/>
      <c r="Y96" s="211"/>
      <c r="Z96" s="39"/>
      <c r="AA96" s="39"/>
      <c r="AB96" s="39"/>
      <c r="AC96" s="39"/>
      <c r="AD96" s="39">
        <f t="shared" si="212"/>
        <v>19</v>
      </c>
      <c r="AE96" s="228" t="s">
        <v>569</v>
      </c>
      <c r="AF96" s="35"/>
      <c r="AG96" s="35"/>
      <c r="AH96" s="35">
        <v>19</v>
      </c>
      <c r="AI96" s="35"/>
      <c r="AJ96" s="39"/>
      <c r="AK96" s="39"/>
      <c r="AL96" s="39"/>
      <c r="AM96" s="39">
        <f t="shared" si="213"/>
        <v>19</v>
      </c>
      <c r="AN96" s="39"/>
      <c r="AO96" s="39"/>
      <c r="AP96" s="39"/>
      <c r="AQ96" s="39"/>
      <c r="AR96" s="39">
        <f t="shared" si="214"/>
        <v>0</v>
      </c>
      <c r="AS96" s="39"/>
      <c r="AT96" s="39"/>
      <c r="AU96" s="39"/>
      <c r="AV96" s="39"/>
      <c r="AW96" s="39"/>
      <c r="AX96" s="39"/>
      <c r="AY96" s="39"/>
      <c r="AZ96" s="39"/>
      <c r="BA96" s="39">
        <f t="shared" si="215"/>
        <v>0</v>
      </c>
      <c r="BB96" s="35"/>
      <c r="BC96" s="482"/>
      <c r="BD96" s="482"/>
      <c r="BE96" s="35"/>
      <c r="BF96" s="482"/>
    </row>
    <row r="97" spans="1:58" ht="12.95" customHeight="1">
      <c r="A97" s="42"/>
      <c r="B97" s="43"/>
      <c r="C97" s="398"/>
      <c r="D97" s="43"/>
      <c r="E97" s="44"/>
      <c r="F97" s="44"/>
      <c r="G97" s="411"/>
      <c r="H97" s="46"/>
      <c r="I97" s="47"/>
      <c r="J97" s="84"/>
      <c r="K97" s="84"/>
      <c r="L97" s="37"/>
      <c r="M97" s="37"/>
      <c r="N97" s="48"/>
      <c r="O97" s="49"/>
      <c r="P97" s="50"/>
      <c r="Q97" s="49"/>
      <c r="R97" s="367"/>
      <c r="S97" s="367"/>
      <c r="T97" s="39"/>
      <c r="U97" s="39"/>
      <c r="V97" s="39"/>
      <c r="W97" s="39"/>
      <c r="X97" s="366"/>
      <c r="Y97" s="211"/>
      <c r="Z97" s="39"/>
      <c r="AA97" s="39"/>
      <c r="AB97" s="39"/>
      <c r="AC97" s="39"/>
      <c r="AD97" s="39"/>
      <c r="AE97" s="228"/>
      <c r="AF97" s="35"/>
      <c r="AG97" s="35"/>
      <c r="AH97" s="35"/>
      <c r="AJ97" s="39"/>
      <c r="AK97" s="39"/>
      <c r="AL97" s="39"/>
      <c r="AM97" s="39"/>
      <c r="AN97" s="39"/>
      <c r="AO97" s="39"/>
      <c r="AP97" s="39"/>
      <c r="AQ97" s="39"/>
      <c r="AR97" s="39"/>
      <c r="AS97" s="39"/>
      <c r="AT97" s="39"/>
      <c r="AU97" s="39"/>
      <c r="AV97" s="39"/>
      <c r="AW97" s="39"/>
      <c r="AX97" s="39"/>
      <c r="AY97" s="39"/>
      <c r="AZ97" s="39"/>
      <c r="BA97" s="39"/>
      <c r="BB97" s="35"/>
      <c r="BC97" s="482"/>
      <c r="BD97" s="482"/>
      <c r="BE97" s="35"/>
      <c r="BF97" s="482"/>
    </row>
    <row r="98" spans="1:58" ht="12.75" customHeight="1">
      <c r="A98" s="42">
        <v>45859</v>
      </c>
      <c r="B98" s="43" t="s">
        <v>8</v>
      </c>
      <c r="C98" s="398">
        <f t="shared" ref="C98" si="216">(M98*E98*O98*Q98)/100000000</f>
        <v>46.702655999999998</v>
      </c>
      <c r="D98" s="43" t="s">
        <v>307</v>
      </c>
      <c r="E98" s="44">
        <v>12</v>
      </c>
      <c r="F98" s="44">
        <v>1</v>
      </c>
      <c r="G98" s="411">
        <v>1350</v>
      </c>
      <c r="H98" s="46">
        <f t="shared" ref="H98" si="217">+N98</f>
        <v>0.22999999999999998</v>
      </c>
      <c r="I98" s="47">
        <v>0.88</v>
      </c>
      <c r="J98" s="84">
        <f t="shared" ref="J98" si="218">E98*G98*(1-H98)*1440/1000000*2.74</f>
        <v>49.217414400000003</v>
      </c>
      <c r="K98" s="84">
        <f t="shared" ref="K98" si="219">(IF(G98&lt;L98,L98,G98)*(1-IF(H98&lt;N98,H98,N98))*E98*O98*Q98)/100000000</f>
        <v>46.702655999999998</v>
      </c>
      <c r="L98" s="37">
        <v>1350</v>
      </c>
      <c r="M98" s="37">
        <v>1039.5</v>
      </c>
      <c r="N98" s="48">
        <f t="shared" ref="N98" si="220">1-(M98/L98)</f>
        <v>0.22999999999999998</v>
      </c>
      <c r="O98" s="49">
        <f>+'Trim Rwd'!H60</f>
        <v>260</v>
      </c>
      <c r="P98" s="50">
        <f t="shared" ref="P98" si="221">O98*(Q98-R98-S98)</f>
        <v>364000</v>
      </c>
      <c r="Q98" s="49">
        <v>1440</v>
      </c>
      <c r="R98" s="367">
        <v>0</v>
      </c>
      <c r="S98" s="367">
        <v>40</v>
      </c>
      <c r="T98" s="39">
        <f t="shared" ref="T98" si="222">E98*M98*O98*Q98/100000000</f>
        <v>46.702655999999998</v>
      </c>
      <c r="U98" s="39">
        <f t="shared" ref="U98" si="223">E98*M98*O98*(Q98-R98-S98)/100000000</f>
        <v>45.405360000000002</v>
      </c>
      <c r="V98" s="39">
        <f t="shared" ref="V98" si="224">E98*G98*(1-N98)*O98/100*(R98+S98)/1000000</f>
        <v>1.297296</v>
      </c>
      <c r="W98" s="39">
        <f>+'21'!K7/1000</f>
        <v>45.506999999999998</v>
      </c>
      <c r="X98" s="366">
        <f>SUM(W98:W101)/SUM(K98:K101)</f>
        <v>0.9743985438429883</v>
      </c>
      <c r="Y98" s="39">
        <f>+SUM(RBP!AG49:AG50)</f>
        <v>0</v>
      </c>
      <c r="Z98" s="39">
        <f>+'21'!D25/1000</f>
        <v>0</v>
      </c>
      <c r="AA98" s="51">
        <f>SUM(U98:U101)-SUM(W98:W101)-SUM(Z98:Z101)-SUM(Y98:Y101)</f>
        <v>-0.10163999999999618</v>
      </c>
      <c r="AB98" s="51">
        <f>(SUM(K98:K101)-SUM(W98:W101)-SUM(Y98:Y101)-SUM(Z98:Z101)-SUM(AC98:AC101)-SUM(V98:V101))-AA98</f>
        <v>-4.2188474935755949E-15</v>
      </c>
      <c r="AC98" s="39">
        <f>K98-T98</f>
        <v>0</v>
      </c>
      <c r="AD98" s="39">
        <f>+AM98+BA98</f>
        <v>6</v>
      </c>
      <c r="AE98" s="228" t="s">
        <v>401</v>
      </c>
      <c r="AF98" s="39">
        <v>6</v>
      </c>
      <c r="AG98" s="39"/>
      <c r="AH98" s="39"/>
      <c r="AI98" s="39"/>
      <c r="AJ98" s="39"/>
      <c r="AK98" s="39"/>
      <c r="AL98" s="39"/>
      <c r="AM98" s="39">
        <f>SUM(AF98:AL98)+AT98+AV98+AX98</f>
        <v>6</v>
      </c>
      <c r="AN98" s="39"/>
      <c r="AO98" s="39"/>
      <c r="AP98" s="39"/>
      <c r="AQ98" s="39"/>
      <c r="AR98" s="39">
        <f>SUM(AN98:AQ98)</f>
        <v>0</v>
      </c>
      <c r="AS98" s="39"/>
      <c r="AT98" s="39"/>
      <c r="AU98" s="39"/>
      <c r="AV98" s="39"/>
      <c r="AW98" s="39"/>
      <c r="AX98" s="39"/>
      <c r="AY98" s="39"/>
      <c r="AZ98" s="39"/>
      <c r="BA98" s="39">
        <f>+AR98+AS98+AU98+AW98+AY98+AZ98</f>
        <v>0</v>
      </c>
      <c r="BB98" s="35">
        <v>3</v>
      </c>
      <c r="BC98" s="53"/>
      <c r="BD98" s="53"/>
      <c r="BE98" s="35"/>
      <c r="BF98" s="53"/>
    </row>
    <row r="99" spans="1:58" ht="12.95" customHeight="1">
      <c r="A99" s="42"/>
      <c r="B99" s="43"/>
      <c r="C99" s="398"/>
      <c r="D99" s="43"/>
      <c r="E99" s="44"/>
      <c r="F99" s="44"/>
      <c r="G99" s="411"/>
      <c r="H99" s="46"/>
      <c r="I99" s="47"/>
      <c r="J99" s="84"/>
      <c r="K99" s="84"/>
      <c r="L99" s="37"/>
      <c r="M99" s="37"/>
      <c r="N99" s="48"/>
      <c r="O99" s="49"/>
      <c r="P99" s="50"/>
      <c r="Q99" s="49"/>
      <c r="R99" s="367"/>
      <c r="S99" s="367"/>
      <c r="T99" s="39"/>
      <c r="U99" s="39"/>
      <c r="V99" s="39"/>
      <c r="W99" s="39"/>
      <c r="X99" s="40"/>
      <c r="Y99" s="211"/>
      <c r="Z99" s="39"/>
      <c r="AA99" s="39"/>
      <c r="AB99" s="39"/>
      <c r="AC99" s="39"/>
      <c r="AD99" s="39">
        <f t="shared" ref="AD99:AD100" si="225">+AM99+BA99</f>
        <v>12</v>
      </c>
      <c r="AE99" s="228" t="s">
        <v>577</v>
      </c>
      <c r="AF99" s="39"/>
      <c r="AG99" s="39">
        <v>12</v>
      </c>
      <c r="AH99" s="39"/>
      <c r="AI99" s="39"/>
      <c r="AJ99" s="39"/>
      <c r="AK99" s="39"/>
      <c r="AL99" s="39"/>
      <c r="AM99" s="39">
        <f t="shared" ref="AM99:AM100" si="226">SUM(AF99:AL99)+AT99+AV99+AX99</f>
        <v>12</v>
      </c>
      <c r="AN99" s="85"/>
      <c r="AO99" s="39"/>
      <c r="AP99" s="39"/>
      <c r="AQ99" s="39"/>
      <c r="AR99" s="39">
        <f t="shared" ref="AR99:AR100" si="227">SUM(AN99:AQ99)</f>
        <v>0</v>
      </c>
      <c r="AS99" s="39"/>
      <c r="AT99" s="39"/>
      <c r="AU99" s="39"/>
      <c r="AV99" s="39"/>
      <c r="AW99" s="39"/>
      <c r="AX99" s="39"/>
      <c r="AY99" s="39"/>
      <c r="AZ99" s="39"/>
      <c r="BA99" s="39">
        <f t="shared" ref="BA99:BA100" si="228">+AR99+AS99+AU99+AW99+AY99+AZ99</f>
        <v>0</v>
      </c>
      <c r="BB99" s="52"/>
      <c r="BC99" s="53">
        <v>7</v>
      </c>
      <c r="BD99" s="53"/>
      <c r="BE99" s="52"/>
      <c r="BF99" s="53"/>
    </row>
    <row r="100" spans="1:58" ht="12.95" customHeight="1">
      <c r="A100" s="42"/>
      <c r="B100" s="43"/>
      <c r="C100" s="398"/>
      <c r="D100" s="43"/>
      <c r="E100" s="44"/>
      <c r="F100" s="44"/>
      <c r="G100" s="45"/>
      <c r="H100" s="46"/>
      <c r="I100" s="47"/>
      <c r="J100" s="84"/>
      <c r="K100" s="84"/>
      <c r="L100" s="37"/>
      <c r="M100" s="37"/>
      <c r="N100" s="48"/>
      <c r="O100" s="49"/>
      <c r="P100" s="50"/>
      <c r="Q100" s="49"/>
      <c r="R100" s="367"/>
      <c r="S100" s="367"/>
      <c r="T100" s="39"/>
      <c r="U100" s="39"/>
      <c r="V100" s="39"/>
      <c r="W100" s="39"/>
      <c r="X100" s="40"/>
      <c r="Y100" s="211"/>
      <c r="Z100" s="39"/>
      <c r="AA100" s="39"/>
      <c r="AB100" s="39"/>
      <c r="AC100" s="39"/>
      <c r="AD100" s="39">
        <f t="shared" si="225"/>
        <v>22</v>
      </c>
      <c r="AE100" s="228" t="s">
        <v>579</v>
      </c>
      <c r="AF100" s="35"/>
      <c r="AG100" s="35"/>
      <c r="AH100" s="35">
        <v>22</v>
      </c>
      <c r="AI100" s="35"/>
      <c r="AJ100" s="39"/>
      <c r="AK100" s="39"/>
      <c r="AL100" s="39"/>
      <c r="AM100" s="39">
        <f t="shared" si="226"/>
        <v>22</v>
      </c>
      <c r="AN100" s="39"/>
      <c r="AO100" s="39"/>
      <c r="AP100" s="39"/>
      <c r="AQ100" s="39"/>
      <c r="AR100" s="39">
        <f t="shared" si="227"/>
        <v>0</v>
      </c>
      <c r="AS100" s="39"/>
      <c r="AT100" s="39"/>
      <c r="AU100" s="39"/>
      <c r="AV100" s="39"/>
      <c r="AW100" s="39"/>
      <c r="AX100" s="39"/>
      <c r="AY100" s="39"/>
      <c r="AZ100" s="39"/>
      <c r="BA100" s="39">
        <f t="shared" si="228"/>
        <v>0</v>
      </c>
      <c r="BB100" s="35"/>
      <c r="BC100" s="482"/>
      <c r="BD100" s="482"/>
      <c r="BE100" s="35"/>
      <c r="BF100" s="482"/>
    </row>
    <row r="101" spans="1:58" ht="12.95" customHeight="1">
      <c r="A101" s="42"/>
      <c r="B101" s="43"/>
      <c r="C101" s="398"/>
      <c r="D101" s="43"/>
      <c r="E101" s="44"/>
      <c r="F101" s="44"/>
      <c r="G101" s="411"/>
      <c r="H101" s="46"/>
      <c r="I101" s="47"/>
      <c r="J101" s="84"/>
      <c r="K101" s="84"/>
      <c r="L101" s="37"/>
      <c r="M101" s="37"/>
      <c r="N101" s="48"/>
      <c r="O101" s="49"/>
      <c r="P101" s="50"/>
      <c r="Q101" s="49"/>
      <c r="R101" s="367"/>
      <c r="S101" s="367"/>
      <c r="T101" s="39"/>
      <c r="U101" s="39"/>
      <c r="V101" s="39"/>
      <c r="W101" s="39"/>
      <c r="X101" s="366"/>
      <c r="Y101" s="211"/>
      <c r="Z101" s="39"/>
      <c r="AA101" s="39"/>
      <c r="AB101" s="39"/>
      <c r="AC101" s="39"/>
      <c r="AD101" s="39"/>
      <c r="AE101" s="228"/>
      <c r="AF101" s="35"/>
      <c r="AG101" s="35"/>
      <c r="AH101" s="35"/>
      <c r="AJ101" s="39"/>
      <c r="AK101" s="39"/>
      <c r="AL101" s="39"/>
      <c r="AM101" s="39"/>
      <c r="AN101" s="39"/>
      <c r="AO101" s="39"/>
      <c r="AP101" s="39"/>
      <c r="AQ101" s="39"/>
      <c r="AR101" s="39"/>
      <c r="AS101" s="39"/>
      <c r="AT101" s="39"/>
      <c r="AU101" s="39"/>
      <c r="AV101" s="39"/>
      <c r="AW101" s="39"/>
      <c r="AX101" s="39"/>
      <c r="AY101" s="39"/>
      <c r="AZ101" s="39"/>
      <c r="BA101" s="39"/>
      <c r="BB101" s="35"/>
      <c r="BC101" s="482"/>
      <c r="BD101" s="482"/>
      <c r="BE101" s="35"/>
      <c r="BF101" s="482"/>
    </row>
    <row r="102" spans="1:58" ht="12.75" customHeight="1">
      <c r="A102" s="42">
        <v>45860</v>
      </c>
      <c r="B102" s="43" t="s">
        <v>8</v>
      </c>
      <c r="C102" s="398">
        <f t="shared" ref="C102:C103" si="229">(M102*E102*O102*Q102)/100000000</f>
        <v>15.081066</v>
      </c>
      <c r="D102" s="43" t="s">
        <v>307</v>
      </c>
      <c r="E102" s="44">
        <v>12</v>
      </c>
      <c r="F102" s="44">
        <v>1</v>
      </c>
      <c r="G102" s="411">
        <v>1350</v>
      </c>
      <c r="H102" s="46">
        <f t="shared" ref="H102:H103" si="230">+N102</f>
        <v>0.22999999999999998</v>
      </c>
      <c r="I102" s="47">
        <v>0.88</v>
      </c>
      <c r="J102" s="84">
        <f t="shared" ref="J102:J103" si="231">E102*G102*(1-H102)*1440/1000000*2.74</f>
        <v>49.217414400000003</v>
      </c>
      <c r="K102" s="84">
        <f t="shared" ref="K102:K103" si="232">(IF(G102&lt;L102,L102,G102)*(1-IF(H102&lt;N102,H102,N102))*E102*O102*Q102)/100000000</f>
        <v>15.081066</v>
      </c>
      <c r="L102" s="37">
        <v>1350</v>
      </c>
      <c r="M102" s="37">
        <v>1039.5</v>
      </c>
      <c r="N102" s="48">
        <f t="shared" ref="N102:N103" si="233">1-(M102/L102)</f>
        <v>0.22999999999999998</v>
      </c>
      <c r="O102" s="49">
        <f>+'Trim Rwd'!H62</f>
        <v>260</v>
      </c>
      <c r="P102" s="50">
        <f t="shared" ref="P102:P103" si="234">O102*(Q102-R102-S102)</f>
        <v>118040</v>
      </c>
      <c r="Q102" s="49">
        <v>465</v>
      </c>
      <c r="R102" s="367">
        <v>0</v>
      </c>
      <c r="S102" s="367">
        <v>11</v>
      </c>
      <c r="T102" s="39">
        <f t="shared" ref="T102:T103" si="235">E102*M102*O102*Q102/100000000</f>
        <v>15.081066</v>
      </c>
      <c r="U102" s="39">
        <f t="shared" ref="U102:U103" si="236">E102*M102*O102*(Q102-R102-S102)/100000000</f>
        <v>14.7243096</v>
      </c>
      <c r="V102" s="39">
        <f t="shared" ref="V102:V103" si="237">E102*G102*(1-N102)*O102/100*(R102+S102)/1000000</f>
        <v>0.35675640000000003</v>
      </c>
      <c r="W102" s="39">
        <f>+'22'!K7/1000</f>
        <v>18.164999999999999</v>
      </c>
      <c r="X102" s="366">
        <f>SUM(W102:W105)/SUM(K102:K105)</f>
        <v>0.90299856236796894</v>
      </c>
      <c r="Y102" s="39">
        <f>+SUM(RBP!AG53:AG54)</f>
        <v>0</v>
      </c>
      <c r="Z102" s="39">
        <f>+'21'!D29/1000</f>
        <v>0</v>
      </c>
      <c r="AA102" s="51">
        <f>SUM(U102:U105)-SUM(W102:W105)-SUM(Z102:Z105)-SUM(Y102:Y105)</f>
        <v>2.8415739499999955</v>
      </c>
      <c r="AB102" s="51">
        <f>(SUM(K102:K105)-SUM(W102:W105)-SUM(Y102:Y105)-SUM(Z102:Z105)-SUM(AC102:AC105)-SUM(V102:V105))-AA102</f>
        <v>3.5527136788005009E-15</v>
      </c>
      <c r="AC102" s="39">
        <f>K102-T102</f>
        <v>0</v>
      </c>
      <c r="AD102" s="39">
        <f>+AM102+BA102</f>
        <v>0</v>
      </c>
      <c r="AE102" s="228" t="s">
        <v>461</v>
      </c>
      <c r="AF102" s="39">
        <v>0</v>
      </c>
      <c r="AG102" s="39"/>
      <c r="AH102" s="39"/>
      <c r="AI102" s="39"/>
      <c r="AJ102" s="39"/>
      <c r="AK102" s="39"/>
      <c r="AL102" s="39"/>
      <c r="AM102" s="39">
        <f>SUM(AF102:AL102)+AT102+AV102+AX102</f>
        <v>0</v>
      </c>
      <c r="AN102" s="39"/>
      <c r="AO102" s="39"/>
      <c r="AP102" s="39"/>
      <c r="AQ102" s="39"/>
      <c r="AR102" s="39">
        <f>SUM(AN102:AQ102)</f>
        <v>0</v>
      </c>
      <c r="AS102" s="39"/>
      <c r="AT102" s="39"/>
      <c r="AU102" s="39"/>
      <c r="AV102" s="39"/>
      <c r="AW102" s="39"/>
      <c r="AX102" s="39"/>
      <c r="AY102" s="39"/>
      <c r="AZ102" s="39"/>
      <c r="BA102" s="39">
        <f>+AR102+AS102+AU102+AW102+AY102+AZ102</f>
        <v>0</v>
      </c>
      <c r="BB102" s="35">
        <v>0</v>
      </c>
      <c r="BC102" s="53"/>
      <c r="BD102" s="53">
        <v>1</v>
      </c>
      <c r="BE102" s="35"/>
      <c r="BF102" s="53"/>
    </row>
    <row r="103" spans="1:58" ht="12.95" customHeight="1">
      <c r="A103" s="42"/>
      <c r="B103" s="43" t="s">
        <v>8</v>
      </c>
      <c r="C103" s="398">
        <f t="shared" si="229"/>
        <v>33.99320925</v>
      </c>
      <c r="D103" s="43" t="s">
        <v>307</v>
      </c>
      <c r="E103" s="44">
        <v>13</v>
      </c>
      <c r="F103" s="44">
        <v>1</v>
      </c>
      <c r="G103" s="411">
        <v>1350</v>
      </c>
      <c r="H103" s="46">
        <f t="shared" si="230"/>
        <v>0.22999999999999998</v>
      </c>
      <c r="I103" s="47">
        <v>0.88</v>
      </c>
      <c r="J103" s="84">
        <f t="shared" si="231"/>
        <v>53.318865600000009</v>
      </c>
      <c r="K103" s="84">
        <f t="shared" si="232"/>
        <v>33.99320925</v>
      </c>
      <c r="L103" s="37">
        <v>1350</v>
      </c>
      <c r="M103" s="37">
        <v>1039.5</v>
      </c>
      <c r="N103" s="48">
        <f t="shared" si="233"/>
        <v>0.22999999999999998</v>
      </c>
      <c r="O103" s="49">
        <f>+'Trim Rwd'!H63</f>
        <v>258</v>
      </c>
      <c r="P103" s="50">
        <f t="shared" si="234"/>
        <v>243810</v>
      </c>
      <c r="Q103" s="49">
        <v>975</v>
      </c>
      <c r="R103" s="367">
        <v>0</v>
      </c>
      <c r="S103" s="367">
        <v>30</v>
      </c>
      <c r="T103" s="39">
        <f t="shared" si="235"/>
        <v>33.99320925</v>
      </c>
      <c r="U103" s="39">
        <f t="shared" si="236"/>
        <v>32.947264349999998</v>
      </c>
      <c r="V103" s="39">
        <f t="shared" si="237"/>
        <v>1.0459449000000001</v>
      </c>
      <c r="W103" s="39">
        <f>+'22'!K10/1000</f>
        <v>26.149000000000001</v>
      </c>
      <c r="X103" s="40"/>
      <c r="Y103" s="211"/>
      <c r="Z103" s="39">
        <f>+'22'!D17/1000</f>
        <v>0.51600000000000001</v>
      </c>
      <c r="AA103" s="39"/>
      <c r="AB103" s="39"/>
      <c r="AC103" s="39"/>
      <c r="AD103" s="39">
        <f t="shared" ref="AD103:AD104" si="238">+AM103+BA103</f>
        <v>20</v>
      </c>
      <c r="AE103" s="228" t="s">
        <v>686</v>
      </c>
      <c r="AF103" s="39"/>
      <c r="AG103" s="39">
        <v>20</v>
      </c>
      <c r="AH103" s="39"/>
      <c r="AI103" s="39"/>
      <c r="AJ103" s="39"/>
      <c r="AK103" s="39"/>
      <c r="AL103" s="39"/>
      <c r="AM103" s="39">
        <f t="shared" ref="AM103:AM104" si="239">SUM(AF103:AL103)+AT103+AV103+AX103</f>
        <v>20</v>
      </c>
      <c r="AN103" s="85"/>
      <c r="AO103" s="39"/>
      <c r="AP103" s="39"/>
      <c r="AQ103" s="39"/>
      <c r="AR103" s="39">
        <f t="shared" ref="AR103:AR104" si="240">SUM(AN103:AQ103)</f>
        <v>0</v>
      </c>
      <c r="AS103" s="39"/>
      <c r="AT103" s="39"/>
      <c r="AU103" s="39"/>
      <c r="AV103" s="39"/>
      <c r="AW103" s="39"/>
      <c r="AX103" s="39"/>
      <c r="AY103" s="39"/>
      <c r="AZ103" s="39"/>
      <c r="BA103" s="39">
        <f t="shared" ref="BA103:BA104" si="241">+AR103+AS103+AU103+AW103+AY103+AZ103</f>
        <v>0</v>
      </c>
      <c r="BB103" s="52"/>
      <c r="BC103" s="53">
        <v>13</v>
      </c>
      <c r="BD103" s="53"/>
      <c r="BE103" s="52"/>
      <c r="BF103" s="53"/>
    </row>
    <row r="104" spans="1:58" ht="12.95" customHeight="1">
      <c r="A104" s="42"/>
      <c r="B104" s="43"/>
      <c r="C104" s="398"/>
      <c r="D104" s="43"/>
      <c r="E104" s="44"/>
      <c r="F104" s="44"/>
      <c r="G104" s="45"/>
      <c r="H104" s="46"/>
      <c r="I104" s="47"/>
      <c r="J104" s="84"/>
      <c r="K104" s="84"/>
      <c r="L104" s="37"/>
      <c r="M104" s="37"/>
      <c r="N104" s="48"/>
      <c r="O104" s="49"/>
      <c r="P104" s="50"/>
      <c r="Q104" s="49"/>
      <c r="R104" s="367"/>
      <c r="S104" s="367"/>
      <c r="T104" s="39"/>
      <c r="U104" s="39"/>
      <c r="V104" s="39"/>
      <c r="W104" s="39"/>
      <c r="X104" s="40"/>
      <c r="Y104" s="211"/>
      <c r="Z104" s="39"/>
      <c r="AA104" s="39"/>
      <c r="AB104" s="39"/>
      <c r="AC104" s="39"/>
      <c r="AD104" s="39">
        <f t="shared" si="238"/>
        <v>21</v>
      </c>
      <c r="AE104" s="228" t="s">
        <v>404</v>
      </c>
      <c r="AF104" s="35"/>
      <c r="AG104" s="35"/>
      <c r="AH104" s="35">
        <v>21</v>
      </c>
      <c r="AI104" s="35"/>
      <c r="AJ104" s="39"/>
      <c r="AK104" s="39"/>
      <c r="AL104" s="39"/>
      <c r="AM104" s="39">
        <f t="shared" si="239"/>
        <v>21</v>
      </c>
      <c r="AN104" s="39"/>
      <c r="AO104" s="39"/>
      <c r="AP104" s="39"/>
      <c r="AQ104" s="39"/>
      <c r="AR104" s="39">
        <f t="shared" si="240"/>
        <v>0</v>
      </c>
      <c r="AS104" s="39"/>
      <c r="AT104" s="39"/>
      <c r="AU104" s="39"/>
      <c r="AV104" s="39"/>
      <c r="AW104" s="39"/>
      <c r="AX104" s="39"/>
      <c r="AY104" s="39"/>
      <c r="AZ104" s="39"/>
      <c r="BA104" s="39">
        <f t="shared" si="241"/>
        <v>0</v>
      </c>
      <c r="BB104" s="35"/>
      <c r="BC104" s="482"/>
      <c r="BD104" s="482"/>
      <c r="BE104" s="35"/>
      <c r="BF104" s="482"/>
    </row>
    <row r="105" spans="1:58" ht="12.75" customHeight="1">
      <c r="A105" s="42"/>
      <c r="B105" s="43"/>
      <c r="C105" s="398"/>
      <c r="D105" s="43"/>
      <c r="E105" s="44"/>
      <c r="F105" s="44"/>
      <c r="G105" s="411"/>
      <c r="H105" s="46"/>
      <c r="I105" s="47"/>
      <c r="J105" s="84"/>
      <c r="K105" s="84"/>
      <c r="L105" s="37"/>
      <c r="M105" s="37"/>
      <c r="N105" s="48"/>
      <c r="O105" s="49"/>
      <c r="P105" s="50"/>
      <c r="Q105" s="49"/>
      <c r="R105" s="367"/>
      <c r="S105" s="367"/>
      <c r="T105" s="39"/>
      <c r="U105" s="39"/>
      <c r="V105" s="39"/>
      <c r="W105" s="39"/>
      <c r="X105" s="366"/>
      <c r="Y105" s="211"/>
      <c r="Z105" s="39"/>
      <c r="AA105" s="39"/>
      <c r="AB105" s="39"/>
      <c r="AC105" s="39"/>
      <c r="AD105" s="39"/>
      <c r="AE105" s="228"/>
      <c r="AF105" s="35"/>
      <c r="AG105" s="35"/>
      <c r="AH105" s="35"/>
      <c r="AJ105" s="39"/>
      <c r="AK105" s="39"/>
      <c r="AL105" s="39"/>
      <c r="AM105" s="39"/>
      <c r="AN105" s="39"/>
      <c r="AO105" s="39"/>
      <c r="AP105" s="39"/>
      <c r="AQ105" s="39"/>
      <c r="AR105" s="39"/>
      <c r="AS105" s="39"/>
      <c r="AT105" s="39"/>
      <c r="AU105" s="39"/>
      <c r="AV105" s="39"/>
      <c r="AW105" s="39"/>
      <c r="AX105" s="39"/>
      <c r="AY105" s="39"/>
      <c r="AZ105" s="39"/>
      <c r="BA105" s="39"/>
      <c r="BB105" s="35"/>
      <c r="BC105" s="482"/>
      <c r="BD105" s="53"/>
      <c r="BE105" s="53"/>
      <c r="BF105" s="53"/>
    </row>
    <row r="106" spans="1:58" ht="12.75" customHeight="1">
      <c r="A106" s="42">
        <v>45861</v>
      </c>
      <c r="B106" s="43" t="s">
        <v>8</v>
      </c>
      <c r="C106" s="398">
        <f t="shared" ref="C106:C108" si="242">(M106*E106*O106*Q106)/100000000</f>
        <v>13.829902293103446</v>
      </c>
      <c r="D106" s="43" t="s">
        <v>307</v>
      </c>
      <c r="E106" s="44">
        <v>13</v>
      </c>
      <c r="F106" s="44">
        <v>1</v>
      </c>
      <c r="G106" s="411">
        <v>1350</v>
      </c>
      <c r="H106" s="46">
        <f t="shared" ref="H106:H108" si="243">+N106</f>
        <v>0.22999999999999998</v>
      </c>
      <c r="I106" s="47">
        <v>0.88</v>
      </c>
      <c r="J106" s="84">
        <f t="shared" ref="J106:J108" si="244">E106*G106*(1-H106)*1440/1000000*2.74</f>
        <v>53.318865600000009</v>
      </c>
      <c r="K106" s="84">
        <f t="shared" ref="K106:K108" si="245">(IF(G106&lt;L106,L106,G106)*(1-IF(H106&lt;N106,H106,N106))*E106*O106*Q106)/100000000</f>
        <v>13.829902293103446</v>
      </c>
      <c r="L106" s="37">
        <v>1350</v>
      </c>
      <c r="M106" s="37">
        <v>1039.5</v>
      </c>
      <c r="N106" s="48">
        <f t="shared" ref="N106:N108" si="246">1-(M106/L106)</f>
        <v>0.22999999999999998</v>
      </c>
      <c r="O106" s="49">
        <f>+'Trim Rwd'!H65</f>
        <v>262.41379310344826</v>
      </c>
      <c r="P106" s="50">
        <f t="shared" ref="P106:P108" si="247">O106*(Q106-R106-S106)</f>
        <v>98142.758620689652</v>
      </c>
      <c r="Q106" s="49">
        <v>390</v>
      </c>
      <c r="R106" s="367">
        <v>0</v>
      </c>
      <c r="S106" s="367">
        <v>16</v>
      </c>
      <c r="T106" s="39">
        <f t="shared" ref="T106:T108" si="248">E106*M106*O106*Q106/100000000</f>
        <v>13.829902293103446</v>
      </c>
      <c r="U106" s="39">
        <f t="shared" ref="U106:U108" si="249">E106*M106*O106*(Q106-R106-S106)/100000000</f>
        <v>13.262521686206897</v>
      </c>
      <c r="V106" s="39">
        <f t="shared" ref="V106:V108" si="250">E106*G106*(1-N106)*O106/100*(R106+S106)/1000000</f>
        <v>0.56738060689655168</v>
      </c>
      <c r="W106" s="39">
        <f>+'23'!K10/1000</f>
        <v>15.72</v>
      </c>
      <c r="X106" s="366">
        <f>SUM(W106:W109)/SUM(K106:K109)</f>
        <v>0.90309485779785081</v>
      </c>
      <c r="Y106" s="39">
        <f>+SUM(RBP!AG57:AG58)</f>
        <v>0</v>
      </c>
      <c r="Z106" s="39">
        <f>+'23'!D7/1000</f>
        <v>0.26</v>
      </c>
      <c r="AA106" s="51">
        <f>SUM(U106:U109)-SUM(W106:W109)-SUM(Z106:Z109)-SUM(Y106:Y109)</f>
        <v>2.0903926362068983</v>
      </c>
      <c r="AB106" s="51">
        <f>(SUM(K106:K109)-SUM(W106:W109)-SUM(Y106:Y109)-SUM(Z106:Z109)-SUM(AC106:AC109)-SUM(V106:V109))-AA106</f>
        <v>0</v>
      </c>
      <c r="AC106" s="39">
        <f>K106-T106</f>
        <v>0</v>
      </c>
      <c r="AD106" s="39">
        <f>+AM106+BA106</f>
        <v>18</v>
      </c>
      <c r="AE106" s="228" t="s">
        <v>461</v>
      </c>
      <c r="AF106" s="39">
        <v>18</v>
      </c>
      <c r="AG106" s="39"/>
      <c r="AH106" s="39"/>
      <c r="AI106" s="39"/>
      <c r="AJ106" s="39"/>
      <c r="AK106" s="39"/>
      <c r="AL106" s="39"/>
      <c r="AM106" s="39">
        <f>SUM(AF106:AL106)+AT106+AV106+AX106</f>
        <v>18</v>
      </c>
      <c r="AN106" s="39"/>
      <c r="AO106" s="39"/>
      <c r="AP106" s="39"/>
      <c r="AQ106" s="39"/>
      <c r="AR106" s="39">
        <f>SUM(AN106:AQ106)</f>
        <v>0</v>
      </c>
      <c r="AS106" s="39"/>
      <c r="AT106" s="39"/>
      <c r="AU106" s="39"/>
      <c r="AV106" s="39"/>
      <c r="AW106" s="39"/>
      <c r="AX106" s="39"/>
      <c r="AY106" s="39"/>
      <c r="AZ106" s="39"/>
      <c r="BA106" s="39">
        <f>+AR106+AS106+AU106+AW106+AY106+AZ106</f>
        <v>0</v>
      </c>
      <c r="BB106" s="35">
        <v>0</v>
      </c>
      <c r="BC106" s="53"/>
      <c r="BD106" s="53"/>
      <c r="BE106" s="35"/>
      <c r="BF106" s="53">
        <v>1</v>
      </c>
    </row>
    <row r="107" spans="1:58" ht="12.95" customHeight="1">
      <c r="A107" s="42"/>
      <c r="B107" s="43" t="s">
        <v>8</v>
      </c>
      <c r="C107" s="398">
        <f t="shared" si="242"/>
        <v>24.885629999999999</v>
      </c>
      <c r="D107" s="43" t="s">
        <v>307</v>
      </c>
      <c r="E107" s="44">
        <v>12</v>
      </c>
      <c r="F107" s="44">
        <v>1</v>
      </c>
      <c r="G107" s="411">
        <v>1350</v>
      </c>
      <c r="H107" s="46">
        <f t="shared" si="243"/>
        <v>0.22999999999999998</v>
      </c>
      <c r="I107" s="47">
        <v>0.88</v>
      </c>
      <c r="J107" s="84">
        <f t="shared" si="244"/>
        <v>49.217414400000003</v>
      </c>
      <c r="K107" s="84">
        <f t="shared" si="245"/>
        <v>24.885629999999999</v>
      </c>
      <c r="L107" s="37">
        <v>1350</v>
      </c>
      <c r="M107" s="37">
        <v>1039.5</v>
      </c>
      <c r="N107" s="48">
        <f t="shared" si="246"/>
        <v>0.22999999999999998</v>
      </c>
      <c r="O107" s="49">
        <f>+'Trim Rwd'!H67</f>
        <v>266</v>
      </c>
      <c r="P107" s="50">
        <f t="shared" si="247"/>
        <v>187530</v>
      </c>
      <c r="Q107" s="49">
        <v>750</v>
      </c>
      <c r="R107" s="367">
        <v>0</v>
      </c>
      <c r="S107" s="367">
        <v>45</v>
      </c>
      <c r="T107" s="39">
        <f t="shared" si="248"/>
        <v>24.885629999999999</v>
      </c>
      <c r="U107" s="39">
        <f t="shared" si="249"/>
        <v>23.3924922</v>
      </c>
      <c r="V107" s="39">
        <f t="shared" si="250"/>
        <v>1.4931377999999997</v>
      </c>
      <c r="W107" s="39">
        <f>+'23'!K7/1000</f>
        <v>21.271999999999998</v>
      </c>
      <c r="X107" s="40"/>
      <c r="Y107" s="211"/>
      <c r="Z107" s="39"/>
      <c r="AA107" s="39"/>
      <c r="AB107" s="39"/>
      <c r="AC107" s="39"/>
      <c r="AD107" s="39">
        <f t="shared" ref="AD107:AD109" si="251">+AM107+BA107</f>
        <v>17</v>
      </c>
      <c r="AE107" s="228" t="s">
        <v>698</v>
      </c>
      <c r="AF107" s="39"/>
      <c r="AG107" s="39">
        <v>17</v>
      </c>
      <c r="AH107" s="39"/>
      <c r="AI107" s="39"/>
      <c r="AJ107" s="39"/>
      <c r="AK107" s="39"/>
      <c r="AL107" s="39"/>
      <c r="AM107" s="39">
        <f t="shared" ref="AM107:AM108" si="252">SUM(AF107:AL107)+AT107+AV107+AX107</f>
        <v>17</v>
      </c>
      <c r="AN107" s="85"/>
      <c r="AO107" s="39"/>
      <c r="AP107" s="39"/>
      <c r="AQ107" s="39"/>
      <c r="AR107" s="39">
        <f t="shared" ref="AR107:AR108" si="253">SUM(AN107:AQ107)</f>
        <v>0</v>
      </c>
      <c r="AS107" s="39"/>
      <c r="AT107" s="39"/>
      <c r="AU107" s="39"/>
      <c r="AV107" s="39"/>
      <c r="AW107" s="39"/>
      <c r="AX107" s="39"/>
      <c r="AY107" s="39"/>
      <c r="AZ107" s="39"/>
      <c r="BA107" s="39">
        <f t="shared" ref="BA107:BA109" si="254">+AR107+AS107+AU107+AW107+AY107+AZ107</f>
        <v>0</v>
      </c>
      <c r="BB107" s="52"/>
      <c r="BC107" s="53">
        <v>14</v>
      </c>
      <c r="BD107" s="53"/>
      <c r="BE107" s="52"/>
      <c r="BF107" s="53"/>
    </row>
    <row r="108" spans="1:58" ht="12.95" customHeight="1">
      <c r="A108" s="42"/>
      <c r="B108" s="43" t="s">
        <v>8</v>
      </c>
      <c r="C108" s="398">
        <f t="shared" si="242"/>
        <v>10.3690125</v>
      </c>
      <c r="D108" s="43" t="s">
        <v>307</v>
      </c>
      <c r="E108" s="44">
        <v>12.5</v>
      </c>
      <c r="F108" s="44">
        <v>1</v>
      </c>
      <c r="G108" s="411">
        <v>1350</v>
      </c>
      <c r="H108" s="46">
        <f t="shared" si="243"/>
        <v>0.22999999999999998</v>
      </c>
      <c r="I108" s="47">
        <v>0.88</v>
      </c>
      <c r="J108" s="84">
        <f t="shared" si="244"/>
        <v>51.268140000000002</v>
      </c>
      <c r="K108" s="84">
        <f t="shared" si="245"/>
        <v>10.3690125</v>
      </c>
      <c r="L108" s="37">
        <v>1350</v>
      </c>
      <c r="M108" s="37">
        <v>1039.5</v>
      </c>
      <c r="N108" s="48">
        <f t="shared" si="246"/>
        <v>0.22999999999999998</v>
      </c>
      <c r="O108" s="49">
        <f>+'Trim Rwd'!H68</f>
        <v>266</v>
      </c>
      <c r="P108" s="50">
        <f t="shared" si="247"/>
        <v>77140</v>
      </c>
      <c r="Q108" s="49">
        <v>300</v>
      </c>
      <c r="R108" s="367">
        <v>0</v>
      </c>
      <c r="S108" s="367">
        <v>10</v>
      </c>
      <c r="T108" s="39">
        <f t="shared" si="248"/>
        <v>10.3690125</v>
      </c>
      <c r="U108" s="39">
        <f t="shared" si="249"/>
        <v>10.023378749999999</v>
      </c>
      <c r="V108" s="39">
        <f t="shared" si="250"/>
        <v>0.34563375000000002</v>
      </c>
      <c r="W108" s="39">
        <f>+'23'!K13/1000</f>
        <v>7.3360000000000003</v>
      </c>
      <c r="X108" s="40"/>
      <c r="Y108" s="211"/>
      <c r="Z108" s="39"/>
      <c r="AA108" s="39"/>
      <c r="AB108" s="39"/>
      <c r="AC108" s="39"/>
      <c r="AD108" s="39">
        <f t="shared" si="251"/>
        <v>25</v>
      </c>
      <c r="AE108" s="228" t="s">
        <v>569</v>
      </c>
      <c r="AF108" s="35"/>
      <c r="AG108" s="35"/>
      <c r="AH108" s="35">
        <v>25</v>
      </c>
      <c r="AI108" s="35"/>
      <c r="AJ108" s="39"/>
      <c r="AK108" s="39"/>
      <c r="AL108" s="39"/>
      <c r="AM108" s="39">
        <f t="shared" si="252"/>
        <v>25</v>
      </c>
      <c r="AN108" s="39"/>
      <c r="AO108" s="39"/>
      <c r="AP108" s="39"/>
      <c r="AQ108" s="39"/>
      <c r="AR108" s="39">
        <f t="shared" si="253"/>
        <v>0</v>
      </c>
      <c r="AS108" s="39"/>
      <c r="AT108" s="39"/>
      <c r="AU108" s="39"/>
      <c r="AV108" s="39"/>
      <c r="AW108" s="39"/>
      <c r="AX108" s="39"/>
      <c r="AY108" s="39"/>
      <c r="AZ108" s="39"/>
      <c r="BA108" s="39">
        <f t="shared" si="254"/>
        <v>0</v>
      </c>
      <c r="BB108" s="35"/>
      <c r="BC108" s="482"/>
      <c r="BD108" s="482"/>
      <c r="BE108" s="35"/>
      <c r="BF108" s="482"/>
    </row>
    <row r="109" spans="1:58" ht="12.95" customHeight="1">
      <c r="A109" s="42"/>
      <c r="B109" s="43"/>
      <c r="C109" s="398"/>
      <c r="D109" s="43"/>
      <c r="E109" s="44"/>
      <c r="F109" s="44"/>
      <c r="G109" s="45"/>
      <c r="H109" s="46"/>
      <c r="I109" s="47"/>
      <c r="J109" s="84"/>
      <c r="K109" s="84"/>
      <c r="L109" s="37"/>
      <c r="M109" s="37"/>
      <c r="N109" s="48"/>
      <c r="O109" s="49"/>
      <c r="P109" s="50"/>
      <c r="Q109" s="49"/>
      <c r="R109" s="367"/>
      <c r="S109" s="367"/>
      <c r="T109" s="39"/>
      <c r="U109" s="39"/>
      <c r="V109" s="39"/>
      <c r="W109" s="39"/>
      <c r="X109" s="40"/>
      <c r="Y109" s="211"/>
      <c r="Z109" s="39"/>
      <c r="AA109" s="39"/>
      <c r="AB109" s="39"/>
      <c r="AC109" s="39"/>
      <c r="AD109" s="39">
        <f t="shared" si="251"/>
        <v>11</v>
      </c>
      <c r="AE109" s="228" t="s">
        <v>699</v>
      </c>
      <c r="AF109" s="35"/>
      <c r="AG109" s="35"/>
      <c r="AH109" s="35"/>
      <c r="AI109" s="35"/>
      <c r="AJ109" s="39"/>
      <c r="AK109" s="39">
        <v>11</v>
      </c>
      <c r="AL109" s="39"/>
      <c r="AM109" s="39">
        <f t="shared" ref="AM109" si="255">SUM(AF109:AL109)+AT109+AV109+AX109</f>
        <v>11</v>
      </c>
      <c r="AN109" s="39"/>
      <c r="AO109" s="39"/>
      <c r="AP109" s="39"/>
      <c r="AQ109" s="39"/>
      <c r="AR109" s="39">
        <f t="shared" ref="AR109" si="256">SUM(AN109:AQ109)</f>
        <v>0</v>
      </c>
      <c r="AS109" s="39"/>
      <c r="AT109" s="39"/>
      <c r="AU109" s="39"/>
      <c r="AV109" s="39"/>
      <c r="AW109" s="39"/>
      <c r="AX109" s="39"/>
      <c r="AY109" s="39"/>
      <c r="AZ109" s="39"/>
      <c r="BA109" s="39">
        <f t="shared" si="254"/>
        <v>0</v>
      </c>
      <c r="BB109" s="35"/>
      <c r="BC109" s="482"/>
      <c r="BD109" s="482"/>
      <c r="BE109" s="35"/>
      <c r="BF109" s="482"/>
    </row>
    <row r="110" spans="1:58" ht="12.95" customHeight="1">
      <c r="A110" s="42"/>
      <c r="B110" s="43"/>
      <c r="C110" s="398"/>
      <c r="D110" s="43"/>
      <c r="E110" s="44"/>
      <c r="F110" s="44"/>
      <c r="G110" s="411"/>
      <c r="H110" s="46"/>
      <c r="I110" s="47"/>
      <c r="J110" s="84"/>
      <c r="K110" s="84"/>
      <c r="L110" s="37"/>
      <c r="M110" s="37"/>
      <c r="N110" s="48"/>
      <c r="O110" s="49"/>
      <c r="P110" s="50"/>
      <c r="Q110" s="49"/>
      <c r="R110" s="367"/>
      <c r="S110" s="367"/>
      <c r="T110" s="39"/>
      <c r="U110" s="39"/>
      <c r="V110" s="39"/>
      <c r="W110" s="39"/>
      <c r="X110" s="40"/>
      <c r="Y110" s="211"/>
      <c r="Z110" s="39"/>
      <c r="AA110" s="51"/>
      <c r="AB110" s="51"/>
      <c r="AC110" s="39"/>
      <c r="AD110" s="39"/>
      <c r="AE110" s="22"/>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5"/>
      <c r="BC110" s="53"/>
      <c r="BD110" s="53"/>
      <c r="BE110" s="53"/>
      <c r="BF110" s="53"/>
    </row>
    <row r="111" spans="1:58" ht="12.75" customHeight="1">
      <c r="A111" s="42">
        <v>45862</v>
      </c>
      <c r="B111" s="43" t="s">
        <v>8</v>
      </c>
      <c r="C111" s="398">
        <f t="shared" ref="C111:C113" si="257">(M111*E111*O111*Q111)/100000000</f>
        <v>0.51845062500000005</v>
      </c>
      <c r="D111" s="43" t="s">
        <v>307</v>
      </c>
      <c r="E111" s="44">
        <v>12.5</v>
      </c>
      <c r="F111" s="44">
        <v>1</v>
      </c>
      <c r="G111" s="411">
        <v>1350</v>
      </c>
      <c r="H111" s="46">
        <f t="shared" ref="H111" si="258">+N111</f>
        <v>0.22999999999999998</v>
      </c>
      <c r="I111" s="47">
        <v>0.88</v>
      </c>
      <c r="J111" s="84">
        <f t="shared" ref="J111:J113" si="259">E111*G111*(1-H111)*1440/1000000*2.74</f>
        <v>51.268140000000002</v>
      </c>
      <c r="K111" s="84">
        <f t="shared" ref="K111:K113" si="260">(IF(G111&lt;L111,L111,G111)*(1-IF(H111&lt;N111,H111,N111))*E111*O111*Q111)/100000000</f>
        <v>0.51845062500000005</v>
      </c>
      <c r="L111" s="37">
        <v>1350</v>
      </c>
      <c r="M111" s="37">
        <v>1039.5</v>
      </c>
      <c r="N111" s="48">
        <f t="shared" ref="N111:N113" si="261">1-(M111/L111)</f>
        <v>0.22999999999999998</v>
      </c>
      <c r="O111" s="49">
        <f>+'Trim Rwd'!H70</f>
        <v>266</v>
      </c>
      <c r="P111" s="50">
        <f t="shared" ref="P111:P113" si="262">O111*(Q111-R111-S111)</f>
        <v>2660</v>
      </c>
      <c r="Q111" s="49">
        <v>15</v>
      </c>
      <c r="R111" s="367">
        <v>0</v>
      </c>
      <c r="S111" s="367">
        <v>5</v>
      </c>
      <c r="T111" s="39">
        <f t="shared" ref="T111:T113" si="263">E111*M111*O111*Q111/100000000</f>
        <v>0.51845062500000005</v>
      </c>
      <c r="U111" s="39">
        <f t="shared" ref="U111:U113" si="264">E111*M111*O111*(Q111-R111-S111)/100000000</f>
        <v>0.34563375000000002</v>
      </c>
      <c r="V111" s="39">
        <f t="shared" ref="V111:V113" si="265">E111*G111*(1-N111)*O111/100*(R111+S111)/1000000</f>
        <v>0.17281687500000001</v>
      </c>
      <c r="W111" s="39">
        <f>+'24'!K13/1000</f>
        <v>3.5179999999999998</v>
      </c>
      <c r="X111" s="366">
        <f>SUM(W111:W114)/SUM(K111:K114)</f>
        <v>0.90115130454769399</v>
      </c>
      <c r="Y111" s="39">
        <f>+SUM(RBP!AG62:AG63)</f>
        <v>0</v>
      </c>
      <c r="Z111" s="39">
        <v>0</v>
      </c>
      <c r="AA111" s="51">
        <f>SUM(U111:U114)-SUM(W111:W114)-SUM(Z111:Z114)-SUM(Y111:Y114)</f>
        <v>3.3135028129999995</v>
      </c>
      <c r="AB111" s="51">
        <f>(SUM(K111:K114)-SUM(W111:W114)-SUM(Y111:Y114)-SUM(Z111:Z114)-SUM(AC111:AC114)-SUM(V111:V114))-AA111</f>
        <v>3.0947237999999544E-2</v>
      </c>
      <c r="AC111" s="39">
        <f>K111-T111</f>
        <v>0</v>
      </c>
      <c r="AD111" s="39">
        <f>+AM111+BA111</f>
        <v>0</v>
      </c>
      <c r="AE111" s="228" t="s">
        <v>461</v>
      </c>
      <c r="AF111" s="39">
        <v>0</v>
      </c>
      <c r="AG111" s="39"/>
      <c r="AH111" s="39"/>
      <c r="AI111" s="39"/>
      <c r="AJ111" s="39"/>
      <c r="AK111" s="39"/>
      <c r="AL111" s="39"/>
      <c r="AM111" s="39">
        <f>SUM(AF111:AL111)+AT111+AV111+AX111</f>
        <v>0</v>
      </c>
      <c r="AN111" s="39"/>
      <c r="AO111" s="39"/>
      <c r="AP111" s="39"/>
      <c r="AQ111" s="39"/>
      <c r="AR111" s="39">
        <f>SUM(AN111:AQ111)</f>
        <v>0</v>
      </c>
      <c r="AS111" s="39"/>
      <c r="AT111" s="39"/>
      <c r="AU111" s="39"/>
      <c r="AV111" s="39"/>
      <c r="AW111" s="39"/>
      <c r="AX111" s="39"/>
      <c r="AY111" s="39"/>
      <c r="AZ111" s="39"/>
      <c r="BA111" s="39">
        <f>+AR111+AS111+AU111+AW111+AY111+AZ111</f>
        <v>0</v>
      </c>
      <c r="BB111" s="35">
        <v>0</v>
      </c>
      <c r="BC111" s="53"/>
      <c r="BD111" s="53"/>
      <c r="BE111" s="35"/>
      <c r="BF111" s="53"/>
    </row>
    <row r="112" spans="1:58" ht="12.95" customHeight="1">
      <c r="A112" s="42"/>
      <c r="B112" s="43" t="s">
        <v>528</v>
      </c>
      <c r="C112" s="398">
        <f t="shared" si="257"/>
        <v>32.419437704999993</v>
      </c>
      <c r="D112" s="43" t="s">
        <v>737</v>
      </c>
      <c r="E112" s="44">
        <v>14.5</v>
      </c>
      <c r="F112" s="44">
        <v>1</v>
      </c>
      <c r="G112" s="411">
        <v>1160</v>
      </c>
      <c r="H112" s="46">
        <f>+N112</f>
        <v>0.17000000000000004</v>
      </c>
      <c r="I112" s="47">
        <v>0.88</v>
      </c>
      <c r="J112" s="84">
        <f t="shared" si="259"/>
        <v>55.082943359999994</v>
      </c>
      <c r="K112" s="84">
        <f t="shared" si="260"/>
        <v>32.419437704999993</v>
      </c>
      <c r="L112" s="37">
        <v>1180</v>
      </c>
      <c r="M112" s="37">
        <v>979.4</v>
      </c>
      <c r="N112" s="48">
        <f t="shared" si="261"/>
        <v>0.17000000000000004</v>
      </c>
      <c r="O112" s="49">
        <f>+'Trim Rwd'!H71</f>
        <v>256.5</v>
      </c>
      <c r="P112" s="50">
        <f t="shared" si="262"/>
        <v>219051</v>
      </c>
      <c r="Q112" s="49">
        <v>890</v>
      </c>
      <c r="R112" s="367">
        <v>0</v>
      </c>
      <c r="S112" s="367">
        <v>36</v>
      </c>
      <c r="T112" s="39">
        <f t="shared" si="263"/>
        <v>32.419437704999993</v>
      </c>
      <c r="U112" s="39">
        <f t="shared" si="264"/>
        <v>31.108089662999998</v>
      </c>
      <c r="V112" s="39">
        <f t="shared" si="265"/>
        <v>1.2891218039999999</v>
      </c>
      <c r="W112" s="39">
        <f>+'24'!K14/1000</f>
        <v>30.141999999999999</v>
      </c>
      <c r="X112" s="40"/>
      <c r="Y112" s="211"/>
      <c r="Z112" s="39"/>
      <c r="AA112" s="39"/>
      <c r="AB112" s="39"/>
      <c r="AC112" s="39"/>
      <c r="AD112" s="39">
        <f t="shared" ref="AD112:AD115" si="266">+AM112+BA112</f>
        <v>15</v>
      </c>
      <c r="AE112" s="228" t="s">
        <v>532</v>
      </c>
      <c r="AF112" s="39"/>
      <c r="AG112" s="39">
        <v>15</v>
      </c>
      <c r="AH112" s="39"/>
      <c r="AI112" s="39"/>
      <c r="AJ112" s="39"/>
      <c r="AK112" s="39"/>
      <c r="AL112" s="39"/>
      <c r="AM112" s="39">
        <f t="shared" ref="AM112:AM115" si="267">SUM(AF112:AL112)+AT112+AV112+AX112</f>
        <v>15</v>
      </c>
      <c r="AN112" s="85"/>
      <c r="AO112" s="39"/>
      <c r="AP112" s="39"/>
      <c r="AQ112" s="39"/>
      <c r="AR112" s="39">
        <f t="shared" ref="AR112:AR115" si="268">SUM(AN112:AQ112)</f>
        <v>0</v>
      </c>
      <c r="AS112" s="39"/>
      <c r="AT112" s="39"/>
      <c r="AU112" s="39"/>
      <c r="AV112" s="39"/>
      <c r="AW112" s="39"/>
      <c r="AX112" s="39"/>
      <c r="AY112" s="39"/>
      <c r="AZ112" s="39"/>
      <c r="BA112" s="39">
        <f t="shared" ref="BA112:BA115" si="269">+AR112+AS112+AU112+AW112+AY112+AZ112</f>
        <v>0</v>
      </c>
      <c r="BB112" s="52"/>
      <c r="BC112" s="53">
        <v>10</v>
      </c>
      <c r="BD112" s="53"/>
      <c r="BE112" s="52"/>
      <c r="BF112" s="53"/>
    </row>
    <row r="113" spans="1:58" ht="12.95" customHeight="1">
      <c r="A113" s="42"/>
      <c r="B113" s="43" t="s">
        <v>528</v>
      </c>
      <c r="C113" s="398">
        <f t="shared" si="257"/>
        <v>19.303061400000001</v>
      </c>
      <c r="D113" s="43" t="s">
        <v>737</v>
      </c>
      <c r="E113" s="44">
        <v>17</v>
      </c>
      <c r="F113" s="44">
        <v>1</v>
      </c>
      <c r="G113" s="411">
        <v>1025</v>
      </c>
      <c r="H113" s="46">
        <v>0.2</v>
      </c>
      <c r="I113" s="47">
        <v>0.88</v>
      </c>
      <c r="J113" s="84">
        <f t="shared" si="259"/>
        <v>55.001663999999998</v>
      </c>
      <c r="K113" s="84">
        <f t="shared" si="260"/>
        <v>19.303061400000001</v>
      </c>
      <c r="L113" s="37">
        <v>1050</v>
      </c>
      <c r="M113" s="37">
        <v>840</v>
      </c>
      <c r="N113" s="48">
        <f t="shared" si="261"/>
        <v>0.19999999999999996</v>
      </c>
      <c r="O113" s="49">
        <f>+'Trim Rwd'!H72</f>
        <v>256.5</v>
      </c>
      <c r="P113" s="50">
        <f t="shared" si="262"/>
        <v>132610.5</v>
      </c>
      <c r="Q113" s="49">
        <f>535-8</f>
        <v>527</v>
      </c>
      <c r="R113" s="367">
        <v>0</v>
      </c>
      <c r="S113" s="367">
        <f>18-8</f>
        <v>10</v>
      </c>
      <c r="T113" s="39">
        <f t="shared" si="263"/>
        <v>19.303061400000001</v>
      </c>
      <c r="U113" s="39">
        <f t="shared" si="264"/>
        <v>18.936779399999999</v>
      </c>
      <c r="V113" s="39">
        <f t="shared" si="265"/>
        <v>0.35756100000000002</v>
      </c>
      <c r="W113" s="39">
        <f>+'24'!K15/1000</f>
        <v>13.417</v>
      </c>
      <c r="X113" s="40"/>
      <c r="Y113" s="211"/>
      <c r="Z113" s="39"/>
      <c r="AA113" s="39"/>
      <c r="AB113" s="39"/>
      <c r="AC113" s="39"/>
      <c r="AD113" s="39">
        <f t="shared" si="266"/>
        <v>22</v>
      </c>
      <c r="AE113" s="228" t="s">
        <v>504</v>
      </c>
      <c r="AF113" s="35"/>
      <c r="AG113" s="35"/>
      <c r="AH113" s="35">
        <v>22</v>
      </c>
      <c r="AI113" s="35"/>
      <c r="AJ113" s="39"/>
      <c r="AK113" s="39"/>
      <c r="AL113" s="39"/>
      <c r="AM113" s="39">
        <f t="shared" si="267"/>
        <v>22</v>
      </c>
      <c r="AN113" s="39"/>
      <c r="AO113" s="39"/>
      <c r="AP113" s="39"/>
      <c r="AQ113" s="39"/>
      <c r="AR113" s="39">
        <f t="shared" si="268"/>
        <v>0</v>
      </c>
      <c r="AS113" s="39"/>
      <c r="AT113" s="39"/>
      <c r="AU113" s="39"/>
      <c r="AV113" s="39"/>
      <c r="AW113" s="39"/>
      <c r="AX113" s="39"/>
      <c r="AY113" s="39"/>
      <c r="AZ113" s="39"/>
      <c r="BA113" s="39">
        <f t="shared" si="269"/>
        <v>0</v>
      </c>
      <c r="BB113" s="35"/>
      <c r="BC113" s="482"/>
      <c r="BD113" s="482"/>
      <c r="BE113" s="35"/>
      <c r="BF113" s="482"/>
    </row>
    <row r="114" spans="1:58" ht="12.95" customHeight="1">
      <c r="A114" s="42"/>
      <c r="B114" s="43"/>
      <c r="C114" s="398"/>
      <c r="D114" s="43"/>
      <c r="E114" s="44"/>
      <c r="F114" s="44"/>
      <c r="G114" s="45"/>
      <c r="H114" s="46"/>
      <c r="I114" s="47"/>
      <c r="J114" s="84"/>
      <c r="K114" s="84"/>
      <c r="L114" s="37"/>
      <c r="M114" s="37"/>
      <c r="N114" s="48"/>
      <c r="O114" s="49"/>
      <c r="P114" s="50"/>
      <c r="Q114" s="49"/>
      <c r="R114" s="367"/>
      <c r="S114" s="367"/>
      <c r="T114" s="39"/>
      <c r="U114" s="39"/>
      <c r="V114" s="39"/>
      <c r="W114" s="39"/>
      <c r="X114" s="40"/>
      <c r="Y114" s="211"/>
      <c r="Z114" s="39"/>
      <c r="AA114" s="39"/>
      <c r="AB114" s="39"/>
      <c r="AC114" s="39"/>
      <c r="AD114" s="39">
        <f t="shared" si="266"/>
        <v>14</v>
      </c>
      <c r="AE114" s="228" t="s">
        <v>714</v>
      </c>
      <c r="AF114" s="35"/>
      <c r="AG114" s="35"/>
      <c r="AH114" s="35"/>
      <c r="AI114" s="35"/>
      <c r="AJ114" s="39">
        <v>14</v>
      </c>
      <c r="AK114" s="39"/>
      <c r="AL114" s="39"/>
      <c r="AM114" s="39">
        <f t="shared" si="267"/>
        <v>14</v>
      </c>
      <c r="AN114" s="39"/>
      <c r="AO114" s="39"/>
      <c r="AP114" s="39"/>
      <c r="AQ114" s="39"/>
      <c r="AR114" s="39">
        <f t="shared" si="268"/>
        <v>0</v>
      </c>
      <c r="AS114" s="39"/>
      <c r="AT114" s="39"/>
      <c r="AU114" s="39"/>
      <c r="AV114" s="39"/>
      <c r="AW114" s="39"/>
      <c r="AX114" s="39"/>
      <c r="AY114" s="39"/>
      <c r="AZ114" s="39"/>
      <c r="BA114" s="39">
        <f t="shared" si="269"/>
        <v>0</v>
      </c>
      <c r="BB114" s="35"/>
      <c r="BC114" s="482"/>
      <c r="BD114" s="482"/>
      <c r="BE114" s="35"/>
      <c r="BF114" s="482"/>
    </row>
    <row r="115" spans="1:58" ht="12.95" customHeight="1">
      <c r="A115" s="42"/>
      <c r="B115" s="43"/>
      <c r="C115" s="398"/>
      <c r="D115" s="43"/>
      <c r="E115" s="44"/>
      <c r="F115" s="44"/>
      <c r="G115" s="45"/>
      <c r="H115" s="46"/>
      <c r="I115" s="47"/>
      <c r="J115" s="84"/>
      <c r="K115" s="84"/>
      <c r="L115" s="37"/>
      <c r="M115" s="37"/>
      <c r="N115" s="48"/>
      <c r="O115" s="49"/>
      <c r="P115" s="50"/>
      <c r="Q115" s="49"/>
      <c r="R115" s="367"/>
      <c r="S115" s="367"/>
      <c r="T115" s="39"/>
      <c r="U115" s="39"/>
      <c r="V115" s="39"/>
      <c r="W115" s="39"/>
      <c r="X115" s="40"/>
      <c r="Y115" s="211"/>
      <c r="Z115" s="39"/>
      <c r="AA115" s="39"/>
      <c r="AB115" s="39"/>
      <c r="AC115" s="39"/>
      <c r="AD115" s="39">
        <f t="shared" si="266"/>
        <v>0</v>
      </c>
      <c r="AE115" s="231" t="s">
        <v>720</v>
      </c>
      <c r="AF115" s="35"/>
      <c r="AG115" s="35"/>
      <c r="AH115" s="35"/>
      <c r="AI115" s="35"/>
      <c r="AJ115" s="39"/>
      <c r="AK115" s="39"/>
      <c r="AL115" s="39"/>
      <c r="AM115" s="39">
        <f t="shared" si="267"/>
        <v>0</v>
      </c>
      <c r="AN115" s="39"/>
      <c r="AO115" s="39"/>
      <c r="AP115" s="39"/>
      <c r="AQ115" s="39"/>
      <c r="AR115" s="39">
        <f t="shared" si="268"/>
        <v>0</v>
      </c>
      <c r="AS115" s="39"/>
      <c r="AT115" s="39"/>
      <c r="AU115" s="39"/>
      <c r="AV115" s="39">
        <f>8-8</f>
        <v>0</v>
      </c>
      <c r="AW115" s="39"/>
      <c r="AX115" s="39"/>
      <c r="AY115" s="39"/>
      <c r="AZ115" s="39"/>
      <c r="BA115" s="39">
        <f t="shared" si="269"/>
        <v>0</v>
      </c>
      <c r="BB115" s="35"/>
      <c r="BC115" s="482"/>
      <c r="BD115" s="482"/>
      <c r="BE115" s="35"/>
      <c r="BF115" s="482"/>
    </row>
    <row r="116" spans="1:58" ht="12.95" customHeight="1">
      <c r="A116" s="42"/>
      <c r="B116" s="43"/>
      <c r="C116" s="398"/>
      <c r="D116" s="43"/>
      <c r="E116" s="44"/>
      <c r="F116" s="44"/>
      <c r="G116" s="411"/>
      <c r="H116" s="46"/>
      <c r="I116" s="47"/>
      <c r="J116" s="84"/>
      <c r="K116" s="84"/>
      <c r="L116" s="37"/>
      <c r="M116" s="37"/>
      <c r="N116" s="48"/>
      <c r="O116" s="49"/>
      <c r="P116" s="50"/>
      <c r="Q116" s="49"/>
      <c r="R116" s="367"/>
      <c r="S116" s="367"/>
      <c r="T116" s="39"/>
      <c r="U116" s="39"/>
      <c r="V116" s="39"/>
      <c r="W116" s="39"/>
      <c r="X116" s="40"/>
      <c r="Y116" s="211"/>
      <c r="Z116" s="39"/>
      <c r="AA116" s="51"/>
      <c r="AB116" s="51"/>
      <c r="AC116" s="39"/>
      <c r="AD116" s="39"/>
      <c r="AE116" s="22"/>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5"/>
      <c r="BC116" s="53"/>
      <c r="BD116" s="53"/>
      <c r="BE116" s="53"/>
      <c r="BF116" s="53"/>
    </row>
    <row r="117" spans="1:58" ht="12.75" customHeight="1">
      <c r="A117" s="42">
        <v>45863</v>
      </c>
      <c r="B117" s="43" t="s">
        <v>528</v>
      </c>
      <c r="C117" s="398">
        <f t="shared" ref="C117:C119" si="270">(M117*E117*O117*Q117)/100000000</f>
        <v>24.595158000000001</v>
      </c>
      <c r="D117" s="43" t="s">
        <v>737</v>
      </c>
      <c r="E117" s="44">
        <v>17</v>
      </c>
      <c r="F117" s="44">
        <v>1</v>
      </c>
      <c r="G117" s="411">
        <v>1025</v>
      </c>
      <c r="H117" s="46">
        <v>0.2</v>
      </c>
      <c r="I117" s="47">
        <v>0.88</v>
      </c>
      <c r="J117" s="84">
        <f t="shared" ref="J117:J119" si="271">E117*G117*(1-H117)*1440/1000000*2.74</f>
        <v>55.001663999999998</v>
      </c>
      <c r="K117" s="84">
        <f t="shared" ref="K117:K119" si="272">(IF(G117&lt;L117,L117,G117)*(1-IF(H117&lt;N117,H117,N117))*E117*O117*Q117)/100000000</f>
        <v>24.595158000000001</v>
      </c>
      <c r="L117" s="37">
        <v>1050</v>
      </c>
      <c r="M117" s="37">
        <v>840</v>
      </c>
      <c r="N117" s="48">
        <f t="shared" ref="N117:N119" si="273">1-(M117/L117)</f>
        <v>0.19999999999999996</v>
      </c>
      <c r="O117" s="49">
        <f>+'Trim Rwd'!H74</f>
        <v>259</v>
      </c>
      <c r="P117" s="50">
        <f t="shared" ref="P117:P119" si="274">O117*(Q117-R117-S117)</f>
        <v>167055</v>
      </c>
      <c r="Q117" s="49">
        <v>665</v>
      </c>
      <c r="R117" s="367">
        <v>0</v>
      </c>
      <c r="S117" s="367">
        <v>20</v>
      </c>
      <c r="T117" s="39">
        <f t="shared" ref="T117:T119" si="275">E117*M117*O117*Q117/100000000</f>
        <v>24.595158000000001</v>
      </c>
      <c r="U117" s="39">
        <f t="shared" ref="U117:U119" si="276">E117*M117*O117*(Q117-R117-S117)/100000000</f>
        <v>23.855454000000002</v>
      </c>
      <c r="V117" s="39">
        <f t="shared" ref="V117:V119" si="277">E117*G117*(1-N117)*O117/100*(R117+S117)/1000000</f>
        <v>0.72209199999999996</v>
      </c>
      <c r="W117" s="39">
        <f>+'25'!K15/1000</f>
        <v>28.242000000000001</v>
      </c>
      <c r="X117" s="366">
        <f>SUM(W117:W120)/SUM(K117:K120)</f>
        <v>0.86232968739696891</v>
      </c>
      <c r="Y117" s="39">
        <f>+SUM(RBP!AG68:AG69)</f>
        <v>0</v>
      </c>
      <c r="Z117" s="39">
        <f>+'23'!D18/1000</f>
        <v>0</v>
      </c>
      <c r="AA117" s="51">
        <f>SUM(U117:U120)-SUM(W117:W120)-SUM(Z117:Z120)-SUM(Y117:Y120)</f>
        <v>5.8882452799999925</v>
      </c>
      <c r="AB117" s="51">
        <f>(SUM(K117:K120)-SUM(W117:W120)-SUM(Y117:Y120)-SUM(Z117:Z120)-SUM(AC117:AC120)-SUM(V117:V120))-AA117</f>
        <v>8.2399040000002977E-2</v>
      </c>
      <c r="AC117" s="39">
        <f>K117-T117</f>
        <v>0</v>
      </c>
      <c r="AD117" s="39">
        <f>+AM117+BA117</f>
        <v>0</v>
      </c>
      <c r="AE117" s="228" t="s">
        <v>461</v>
      </c>
      <c r="AF117" s="39">
        <v>0</v>
      </c>
      <c r="AG117" s="39"/>
      <c r="AH117" s="39"/>
      <c r="AI117" s="39"/>
      <c r="AJ117" s="39"/>
      <c r="AK117" s="39"/>
      <c r="AL117" s="39"/>
      <c r="AM117" s="39">
        <f>SUM(AF117:AL117)+AT117+AV117+AX117</f>
        <v>0</v>
      </c>
      <c r="AN117" s="39"/>
      <c r="AO117" s="39"/>
      <c r="AP117" s="39"/>
      <c r="AQ117" s="39"/>
      <c r="AR117" s="39">
        <f>SUM(AN117:AQ117)</f>
        <v>0</v>
      </c>
      <c r="AS117" s="39"/>
      <c r="AT117" s="39"/>
      <c r="AU117" s="39"/>
      <c r="AV117" s="39"/>
      <c r="AW117" s="39"/>
      <c r="AX117" s="39"/>
      <c r="AY117" s="39"/>
      <c r="AZ117" s="39"/>
      <c r="BA117" s="39">
        <f>+AR117+AS117+AU117+AW117+AY117+AZ117</f>
        <v>0</v>
      </c>
      <c r="BB117" s="35">
        <v>0</v>
      </c>
      <c r="BC117" s="53"/>
      <c r="BD117" s="53"/>
      <c r="BE117" s="35"/>
      <c r="BF117" s="53"/>
    </row>
    <row r="118" spans="1:58" ht="12.95" customHeight="1">
      <c r="A118" s="42"/>
      <c r="B118" s="43" t="s">
        <v>528</v>
      </c>
      <c r="C118" s="398">
        <f t="shared" si="270"/>
        <v>15.856419600000001</v>
      </c>
      <c r="D118" s="43" t="s">
        <v>737</v>
      </c>
      <c r="E118" s="44">
        <v>19</v>
      </c>
      <c r="F118" s="44">
        <v>1</v>
      </c>
      <c r="G118" s="411">
        <v>920</v>
      </c>
      <c r="H118" s="46">
        <v>0.2</v>
      </c>
      <c r="I118" s="47">
        <v>0.88</v>
      </c>
      <c r="J118" s="84">
        <f t="shared" si="271"/>
        <v>55.175270400000002</v>
      </c>
      <c r="K118" s="84">
        <f t="shared" si="272"/>
        <v>15.856419600000001</v>
      </c>
      <c r="L118" s="37">
        <v>980</v>
      </c>
      <c r="M118" s="37">
        <v>784</v>
      </c>
      <c r="N118" s="48">
        <f t="shared" si="273"/>
        <v>0.19999999999999996</v>
      </c>
      <c r="O118" s="49">
        <f>+'Trim Rwd'!H76</f>
        <v>256.5</v>
      </c>
      <c r="P118" s="50">
        <f t="shared" si="274"/>
        <v>101830.5</v>
      </c>
      <c r="Q118" s="49">
        <v>415</v>
      </c>
      <c r="R118" s="367">
        <v>0</v>
      </c>
      <c r="S118" s="367">
        <f>8+10</f>
        <v>18</v>
      </c>
      <c r="T118" s="39">
        <f t="shared" si="275"/>
        <v>15.856419600000001</v>
      </c>
      <c r="U118" s="39">
        <f t="shared" si="276"/>
        <v>15.16867128</v>
      </c>
      <c r="V118" s="39">
        <f t="shared" si="277"/>
        <v>0.64564127999999998</v>
      </c>
      <c r="W118" s="39">
        <f>+'25'!K16/1000</f>
        <v>15.992000000000001</v>
      </c>
      <c r="X118" s="40"/>
      <c r="Y118" s="211"/>
      <c r="Z118" s="39"/>
      <c r="AA118" s="39"/>
      <c r="AB118" s="39"/>
      <c r="AC118" s="39"/>
      <c r="AD118" s="39">
        <f t="shared" ref="AD118:AD120" si="278">+AM118+BA118</f>
        <v>9</v>
      </c>
      <c r="AE118" s="228" t="s">
        <v>577</v>
      </c>
      <c r="AF118" s="39"/>
      <c r="AG118" s="39">
        <v>9</v>
      </c>
      <c r="AH118" s="39"/>
      <c r="AI118" s="39"/>
      <c r="AJ118" s="39"/>
      <c r="AK118" s="39"/>
      <c r="AL118" s="39"/>
      <c r="AM118" s="39">
        <f t="shared" ref="AM118:AM119" si="279">SUM(AF118:AL118)+AT118+AV118+AX118</f>
        <v>9</v>
      </c>
      <c r="AN118" s="85"/>
      <c r="AO118" s="39"/>
      <c r="AP118" s="39"/>
      <c r="AQ118" s="39"/>
      <c r="AR118" s="39">
        <f t="shared" ref="AR118:AR120" si="280">SUM(AN118:AQ118)</f>
        <v>0</v>
      </c>
      <c r="AS118" s="39"/>
      <c r="AT118" s="39"/>
      <c r="AU118" s="39"/>
      <c r="AV118" s="39"/>
      <c r="AW118" s="39"/>
      <c r="AX118" s="39"/>
      <c r="AY118" s="39"/>
      <c r="AZ118" s="39"/>
      <c r="BA118" s="39">
        <f t="shared" ref="BA118:BA120" si="281">+AR118+AS118+AU118+AW118+AY118+AZ118</f>
        <v>0</v>
      </c>
      <c r="BB118" s="52"/>
      <c r="BC118" s="53">
        <v>7</v>
      </c>
      <c r="BD118" s="53"/>
      <c r="BE118" s="52"/>
      <c r="BF118" s="53"/>
    </row>
    <row r="119" spans="1:58" ht="12.95" customHeight="1">
      <c r="A119" s="42"/>
      <c r="B119" s="43" t="s">
        <v>528</v>
      </c>
      <c r="C119" s="398">
        <f t="shared" si="270"/>
        <v>14.7744</v>
      </c>
      <c r="D119" s="43" t="s">
        <v>737</v>
      </c>
      <c r="E119" s="44">
        <v>20</v>
      </c>
      <c r="F119" s="44">
        <v>1</v>
      </c>
      <c r="G119" s="411">
        <v>875</v>
      </c>
      <c r="H119" s="46">
        <v>0.2</v>
      </c>
      <c r="I119" s="47">
        <v>0.88</v>
      </c>
      <c r="J119" s="84">
        <f t="shared" si="271"/>
        <v>55.238400000000006</v>
      </c>
      <c r="K119" s="84">
        <f t="shared" si="272"/>
        <v>14.7744</v>
      </c>
      <c r="L119" s="37">
        <v>950</v>
      </c>
      <c r="M119" s="37">
        <v>760</v>
      </c>
      <c r="N119" s="48">
        <f t="shared" si="273"/>
        <v>0.19999999999999996</v>
      </c>
      <c r="O119" s="49">
        <f>+'Trim Rwd'!H77</f>
        <v>270</v>
      </c>
      <c r="P119" s="50">
        <f t="shared" si="274"/>
        <v>95310</v>
      </c>
      <c r="Q119" s="49">
        <v>360</v>
      </c>
      <c r="R119" s="367">
        <v>0</v>
      </c>
      <c r="S119" s="367">
        <v>7</v>
      </c>
      <c r="T119" s="39">
        <f t="shared" si="275"/>
        <v>14.7744</v>
      </c>
      <c r="U119" s="39">
        <f t="shared" si="276"/>
        <v>14.487120000000001</v>
      </c>
      <c r="V119" s="39">
        <f t="shared" si="277"/>
        <v>0.2646</v>
      </c>
      <c r="W119" s="39">
        <f>+'25'!K17/1000</f>
        <v>3.3889999999999998</v>
      </c>
      <c r="X119" s="40"/>
      <c r="Y119" s="211"/>
      <c r="Z119" s="39"/>
      <c r="AA119" s="39"/>
      <c r="AB119" s="39"/>
      <c r="AC119" s="39"/>
      <c r="AD119" s="39">
        <f t="shared" si="278"/>
        <v>26</v>
      </c>
      <c r="AE119" s="228" t="s">
        <v>742</v>
      </c>
      <c r="AF119" s="35"/>
      <c r="AG119" s="35"/>
      <c r="AH119" s="35">
        <v>26</v>
      </c>
      <c r="AI119" s="35"/>
      <c r="AJ119" s="39"/>
      <c r="AK119" s="39"/>
      <c r="AL119" s="39"/>
      <c r="AM119" s="39">
        <f t="shared" si="279"/>
        <v>26</v>
      </c>
      <c r="AN119" s="39"/>
      <c r="AO119" s="39"/>
      <c r="AP119" s="39"/>
      <c r="AQ119" s="39"/>
      <c r="AR119" s="39">
        <f t="shared" si="280"/>
        <v>0</v>
      </c>
      <c r="AS119" s="39"/>
      <c r="AT119" s="39"/>
      <c r="AU119" s="39"/>
      <c r="AV119" s="39"/>
      <c r="AW119" s="39"/>
      <c r="AX119" s="39"/>
      <c r="AY119" s="39"/>
      <c r="AZ119" s="39"/>
      <c r="BA119" s="39">
        <f t="shared" si="281"/>
        <v>0</v>
      </c>
      <c r="BB119" s="35"/>
      <c r="BC119" s="482"/>
      <c r="BD119" s="482"/>
      <c r="BE119" s="35"/>
      <c r="BF119" s="482"/>
    </row>
    <row r="120" spans="1:58" ht="12.95" customHeight="1">
      <c r="A120" s="42"/>
      <c r="B120" s="43"/>
      <c r="C120" s="398"/>
      <c r="D120" s="43"/>
      <c r="E120" s="44"/>
      <c r="F120" s="44"/>
      <c r="G120" s="45"/>
      <c r="H120" s="46"/>
      <c r="I120" s="47"/>
      <c r="J120" s="84"/>
      <c r="K120" s="84"/>
      <c r="L120" s="37"/>
      <c r="M120" s="37"/>
      <c r="N120" s="48"/>
      <c r="O120" s="49"/>
      <c r="P120" s="50"/>
      <c r="Q120" s="49"/>
      <c r="R120" s="367"/>
      <c r="S120" s="367"/>
      <c r="T120" s="39"/>
      <c r="U120" s="39"/>
      <c r="V120" s="39"/>
      <c r="W120" s="39"/>
      <c r="X120" s="40"/>
      <c r="Y120" s="211"/>
      <c r="Z120" s="39"/>
      <c r="AA120" s="39"/>
      <c r="AB120" s="39"/>
      <c r="AC120" s="39"/>
      <c r="AD120" s="39">
        <f t="shared" si="278"/>
        <v>10</v>
      </c>
      <c r="AE120" s="228" t="s">
        <v>743</v>
      </c>
      <c r="AF120" s="35"/>
      <c r="AG120" s="35"/>
      <c r="AH120" s="35"/>
      <c r="AI120" s="35"/>
      <c r="AJ120" s="39">
        <v>10</v>
      </c>
      <c r="AK120" s="39"/>
      <c r="AL120" s="39"/>
      <c r="AM120" s="39">
        <f t="shared" ref="AM120" si="282">SUM(AF120:AL120)+AT120+AV120+AX120</f>
        <v>10</v>
      </c>
      <c r="AN120" s="39"/>
      <c r="AO120" s="39"/>
      <c r="AP120" s="39"/>
      <c r="AQ120" s="39"/>
      <c r="AR120" s="39">
        <f t="shared" si="280"/>
        <v>0</v>
      </c>
      <c r="AS120" s="39"/>
      <c r="AT120" s="39"/>
      <c r="AU120" s="39"/>
      <c r="AV120" s="39"/>
      <c r="AW120" s="39"/>
      <c r="AX120" s="39"/>
      <c r="AY120" s="39"/>
      <c r="AZ120" s="39"/>
      <c r="BA120" s="39">
        <f t="shared" si="281"/>
        <v>0</v>
      </c>
      <c r="BB120" s="35"/>
      <c r="BC120" s="482"/>
      <c r="BD120" s="482"/>
      <c r="BE120" s="35"/>
      <c r="BF120" s="482"/>
    </row>
    <row r="121" spans="1:58" ht="12.95" customHeight="1">
      <c r="A121" s="42"/>
      <c r="B121" s="43"/>
      <c r="C121" s="398"/>
      <c r="D121" s="43"/>
      <c r="E121" s="44"/>
      <c r="F121" s="44"/>
      <c r="G121" s="411"/>
      <c r="H121" s="46"/>
      <c r="I121" s="47"/>
      <c r="J121" s="84"/>
      <c r="K121" s="84"/>
      <c r="L121" s="37"/>
      <c r="M121" s="37"/>
      <c r="N121" s="48"/>
      <c r="O121" s="49"/>
      <c r="P121" s="50"/>
      <c r="Q121" s="49"/>
      <c r="R121" s="367"/>
      <c r="S121" s="367"/>
      <c r="T121" s="39"/>
      <c r="U121" s="39"/>
      <c r="V121" s="39"/>
      <c r="W121" s="39"/>
      <c r="X121" s="366"/>
      <c r="Y121" s="211"/>
      <c r="Z121" s="39"/>
      <c r="AA121" s="51"/>
      <c r="AB121" s="51"/>
      <c r="AC121" s="39"/>
      <c r="AD121" s="39"/>
      <c r="AE121" s="228"/>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5"/>
      <c r="BC121" s="53"/>
      <c r="BD121" s="53"/>
      <c r="BE121" s="53"/>
      <c r="BF121" s="53"/>
    </row>
    <row r="122" spans="1:58" ht="12.75" customHeight="1">
      <c r="A122" s="42">
        <v>45864</v>
      </c>
      <c r="B122" s="43" t="s">
        <v>528</v>
      </c>
      <c r="C122" s="398">
        <f t="shared" ref="C122:C123" si="283">(M122*E122*O122*Q122)/100000000</f>
        <v>13.543200000000001</v>
      </c>
      <c r="D122" s="43" t="s">
        <v>737</v>
      </c>
      <c r="E122" s="44">
        <v>20</v>
      </c>
      <c r="F122" s="44">
        <v>1</v>
      </c>
      <c r="G122" s="411">
        <v>875</v>
      </c>
      <c r="H122" s="46">
        <v>0.2</v>
      </c>
      <c r="I122" s="47">
        <v>0.88</v>
      </c>
      <c r="J122" s="84">
        <f t="shared" ref="J122:J123" si="284">E122*G122*(1-H122)*1440/1000000*2.74</f>
        <v>55.238400000000006</v>
      </c>
      <c r="K122" s="84">
        <f t="shared" ref="K122:K123" si="285">(IF(G122&lt;L122,L122,G122)*(1-IF(H122&lt;N122,H122,N122))*E122*O122*Q122)/100000000</f>
        <v>13.543200000000001</v>
      </c>
      <c r="L122" s="37">
        <v>950</v>
      </c>
      <c r="M122" s="37">
        <v>760</v>
      </c>
      <c r="N122" s="48">
        <f t="shared" ref="N122:N123" si="286">1-(M122/L122)</f>
        <v>0.19999999999999996</v>
      </c>
      <c r="O122" s="49">
        <f>+'Trim Rwd'!H79</f>
        <v>270</v>
      </c>
      <c r="P122" s="50">
        <f t="shared" ref="P122:P123" si="287">O122*(Q122-R122-S122)</f>
        <v>82080</v>
      </c>
      <c r="Q122" s="49">
        <v>330</v>
      </c>
      <c r="R122" s="367">
        <v>0</v>
      </c>
      <c r="S122" s="367">
        <f>5+21</f>
        <v>26</v>
      </c>
      <c r="T122" s="39">
        <f t="shared" ref="T122:T123" si="288">E122*M122*O122*Q122/100000000</f>
        <v>13.543200000000001</v>
      </c>
      <c r="U122" s="39">
        <f t="shared" ref="U122:U123" si="289">E122*M122*O122*(Q122-R122-S122)/100000000</f>
        <v>12.47616</v>
      </c>
      <c r="V122" s="39">
        <f t="shared" ref="V122:V123" si="290">E122*G122*(1-N122)*O122/100*(R122+S122)/1000000</f>
        <v>0.98280000000000001</v>
      </c>
      <c r="W122" s="39">
        <f>+'26'!K17/1000</f>
        <v>21.734999999999999</v>
      </c>
      <c r="X122" s="366">
        <f>SUM(W122:W125)/SUM(K122:K125)</f>
        <v>1.0128001753572269</v>
      </c>
      <c r="Y122" s="39">
        <v>0</v>
      </c>
      <c r="Z122" s="39">
        <f>+'26'!D16/1000</f>
        <v>0.84599999999999997</v>
      </c>
      <c r="AA122" s="51">
        <f>SUM(U122:U125)-SUM(W122:W125)-SUM(Z122:Z125)-SUM(Y122:Y125)</f>
        <v>-3.0950245199999991</v>
      </c>
      <c r="AB122" s="51">
        <f>(SUM(K122:K125)-SUM(W122:W125)-SUM(Y122:Y125)-SUM(Z122:Z125)-SUM(AC122:AC125)-SUM(V122:V125))-AA122</f>
        <v>9.5785577999996985E-2</v>
      </c>
      <c r="AC122" s="39">
        <f>K122-T122</f>
        <v>0</v>
      </c>
      <c r="AD122" s="39">
        <f>+AM122+BA122</f>
        <v>0</v>
      </c>
      <c r="AE122" s="228" t="s">
        <v>461</v>
      </c>
      <c r="AF122" s="39">
        <v>0</v>
      </c>
      <c r="AG122" s="39"/>
      <c r="AH122" s="39"/>
      <c r="AI122" s="39"/>
      <c r="AJ122" s="39"/>
      <c r="AK122" s="39"/>
      <c r="AL122" s="39"/>
      <c r="AM122" s="39">
        <f>SUM(AF122:AL122)+AT122+AV122+AX122</f>
        <v>0</v>
      </c>
      <c r="AN122" s="39"/>
      <c r="AO122" s="39"/>
      <c r="AP122" s="39"/>
      <c r="AQ122" s="39"/>
      <c r="AR122" s="39">
        <f>SUM(AN122:AQ122)</f>
        <v>0</v>
      </c>
      <c r="AS122" s="39"/>
      <c r="AT122" s="39"/>
      <c r="AU122" s="39"/>
      <c r="AV122" s="39"/>
      <c r="AW122" s="39"/>
      <c r="AX122" s="39"/>
      <c r="AY122" s="39"/>
      <c r="AZ122" s="39"/>
      <c r="BA122" s="39">
        <f>+AR122+AS122+AU122+AW122+AY122+AZ122</f>
        <v>0</v>
      </c>
      <c r="BB122" s="35">
        <v>0</v>
      </c>
      <c r="BC122" s="53"/>
      <c r="BD122" s="53"/>
      <c r="BE122" s="35"/>
      <c r="BF122" s="53"/>
    </row>
    <row r="123" spans="1:58" ht="12.95" customHeight="1">
      <c r="A123" s="42"/>
      <c r="B123" s="43" t="s">
        <v>528</v>
      </c>
      <c r="C123" s="398">
        <f t="shared" si="283"/>
        <v>42.718638599999998</v>
      </c>
      <c r="D123" s="43" t="s">
        <v>737</v>
      </c>
      <c r="E123" s="44">
        <v>15.5</v>
      </c>
      <c r="F123" s="44">
        <v>1</v>
      </c>
      <c r="G123" s="411">
        <v>1170</v>
      </c>
      <c r="H123" s="46">
        <v>0.23</v>
      </c>
      <c r="I123" s="47">
        <v>0.88</v>
      </c>
      <c r="J123" s="84">
        <f t="shared" si="284"/>
        <v>55.096161119999998</v>
      </c>
      <c r="K123" s="84">
        <f t="shared" si="285"/>
        <v>42.718638599999998</v>
      </c>
      <c r="L123" s="37">
        <v>1200</v>
      </c>
      <c r="M123" s="37">
        <v>924</v>
      </c>
      <c r="N123" s="48">
        <f t="shared" si="286"/>
        <v>0.22999999999999998</v>
      </c>
      <c r="O123" s="49">
        <f>+'Trim Rwd'!H80</f>
        <v>268.71428571428572</v>
      </c>
      <c r="P123" s="50">
        <f t="shared" si="287"/>
        <v>295048.28571428574</v>
      </c>
      <c r="Q123" s="49">
        <v>1110</v>
      </c>
      <c r="R123" s="367">
        <v>0</v>
      </c>
      <c r="S123" s="367">
        <v>12</v>
      </c>
      <c r="T123" s="39">
        <f t="shared" si="288"/>
        <v>42.718638599999998</v>
      </c>
      <c r="U123" s="39">
        <f t="shared" si="289"/>
        <v>42.25681548</v>
      </c>
      <c r="V123" s="39">
        <f t="shared" si="290"/>
        <v>0.45027754200000003</v>
      </c>
      <c r="W123" s="39">
        <f>+'26'!K18/1000</f>
        <v>35.247</v>
      </c>
      <c r="X123" s="40"/>
      <c r="Y123" s="211"/>
      <c r="Z123" s="39">
        <v>0</v>
      </c>
      <c r="AA123" s="39"/>
      <c r="AB123" s="39"/>
      <c r="AC123" s="39"/>
      <c r="AD123" s="39">
        <f t="shared" ref="AD123:AD125" si="291">+AM123+BA123</f>
        <v>5</v>
      </c>
      <c r="AE123" s="228" t="s">
        <v>566</v>
      </c>
      <c r="AF123" s="39"/>
      <c r="AG123" s="39">
        <v>5</v>
      </c>
      <c r="AH123" s="39"/>
      <c r="AI123" s="39"/>
      <c r="AJ123" s="39"/>
      <c r="AK123" s="39"/>
      <c r="AL123" s="39"/>
      <c r="AM123" s="39">
        <f t="shared" ref="AM123:AM124" si="292">SUM(AF123:AL123)+AT123+AV123+AX123</f>
        <v>5</v>
      </c>
      <c r="AN123" s="85"/>
      <c r="AO123" s="39"/>
      <c r="AP123" s="39"/>
      <c r="AQ123" s="39"/>
      <c r="AR123" s="39">
        <f t="shared" ref="AR123:AR125" si="293">SUM(AN123:AQ123)</f>
        <v>0</v>
      </c>
      <c r="AS123" s="39"/>
      <c r="AT123" s="39"/>
      <c r="AU123" s="39"/>
      <c r="AV123" s="39"/>
      <c r="AW123" s="39"/>
      <c r="AX123" s="39"/>
      <c r="AY123" s="39"/>
      <c r="AZ123" s="39"/>
      <c r="BA123" s="39">
        <f t="shared" ref="BA123:BA125" si="294">+AR123+AS123+AU123+AW123+AY123+AZ123</f>
        <v>0</v>
      </c>
      <c r="BB123" s="52"/>
      <c r="BC123" s="53">
        <v>5</v>
      </c>
      <c r="BD123" s="53"/>
      <c r="BE123" s="52"/>
      <c r="BF123" s="53"/>
    </row>
    <row r="124" spans="1:58" ht="12.95" customHeight="1">
      <c r="A124" s="42"/>
      <c r="B124" s="43"/>
      <c r="C124" s="398"/>
      <c r="D124" s="43"/>
      <c r="E124" s="44"/>
      <c r="F124" s="44"/>
      <c r="G124" s="45"/>
      <c r="H124" s="46"/>
      <c r="I124" s="47"/>
      <c r="J124" s="84"/>
      <c r="K124" s="84"/>
      <c r="L124" s="37"/>
      <c r="M124" s="37"/>
      <c r="N124" s="48"/>
      <c r="O124" s="49"/>
      <c r="P124" s="50"/>
      <c r="Q124" s="49"/>
      <c r="R124" s="367"/>
      <c r="S124" s="367"/>
      <c r="T124" s="39"/>
      <c r="U124" s="39"/>
      <c r="V124" s="39"/>
      <c r="W124" s="39"/>
      <c r="X124" s="40"/>
      <c r="Y124" s="211"/>
      <c r="Z124" s="39"/>
      <c r="AA124" s="39"/>
      <c r="AB124" s="39"/>
      <c r="AC124" s="39"/>
      <c r="AD124" s="39">
        <f t="shared" si="291"/>
        <v>12</v>
      </c>
      <c r="AE124" s="228" t="s">
        <v>504</v>
      </c>
      <c r="AF124" s="35"/>
      <c r="AG124" s="35"/>
      <c r="AH124" s="35">
        <v>12</v>
      </c>
      <c r="AI124" s="35"/>
      <c r="AJ124" s="39"/>
      <c r="AK124" s="39"/>
      <c r="AL124" s="39"/>
      <c r="AM124" s="39">
        <f t="shared" si="292"/>
        <v>12</v>
      </c>
      <c r="AN124" s="39"/>
      <c r="AO124" s="39"/>
      <c r="AP124" s="39"/>
      <c r="AQ124" s="39"/>
      <c r="AR124" s="39">
        <f t="shared" si="293"/>
        <v>0</v>
      </c>
      <c r="AS124" s="39"/>
      <c r="AT124" s="39"/>
      <c r="AU124" s="39"/>
      <c r="AV124" s="39"/>
      <c r="AW124" s="39"/>
      <c r="AX124" s="39"/>
      <c r="AY124" s="39"/>
      <c r="AZ124" s="39"/>
      <c r="BA124" s="39">
        <f t="shared" si="294"/>
        <v>0</v>
      </c>
      <c r="BB124" s="35"/>
      <c r="BC124" s="482"/>
      <c r="BD124" s="482"/>
      <c r="BE124" s="35"/>
      <c r="BF124" s="482"/>
    </row>
    <row r="125" spans="1:58" ht="12.95" customHeight="1">
      <c r="A125" s="42"/>
      <c r="B125" s="43"/>
      <c r="C125" s="398"/>
      <c r="D125" s="43"/>
      <c r="E125" s="44"/>
      <c r="F125" s="44"/>
      <c r="G125" s="45"/>
      <c r="H125" s="46"/>
      <c r="I125" s="47"/>
      <c r="J125" s="84"/>
      <c r="K125" s="84"/>
      <c r="L125" s="37"/>
      <c r="M125" s="37"/>
      <c r="N125" s="48"/>
      <c r="O125" s="49"/>
      <c r="P125" s="50"/>
      <c r="Q125" s="49"/>
      <c r="R125" s="367"/>
      <c r="S125" s="367"/>
      <c r="T125" s="39"/>
      <c r="U125" s="39"/>
      <c r="V125" s="39"/>
      <c r="W125" s="39"/>
      <c r="X125" s="40"/>
      <c r="Y125" s="211"/>
      <c r="Z125" s="39"/>
      <c r="AA125" s="39"/>
      <c r="AB125" s="39"/>
      <c r="AC125" s="39"/>
      <c r="AD125" s="39">
        <f t="shared" si="291"/>
        <v>21</v>
      </c>
      <c r="AE125" s="228" t="s">
        <v>776</v>
      </c>
      <c r="AF125" s="35"/>
      <c r="AG125" s="35"/>
      <c r="AH125" s="35"/>
      <c r="AI125" s="35"/>
      <c r="AJ125" s="39">
        <v>21</v>
      </c>
      <c r="AK125" s="39"/>
      <c r="AL125" s="39"/>
      <c r="AM125" s="39">
        <f t="shared" ref="AM125" si="295">SUM(AF125:AL125)+AT125+AV125+AX125</f>
        <v>21</v>
      </c>
      <c r="AN125" s="39"/>
      <c r="AO125" s="39"/>
      <c r="AP125" s="39"/>
      <c r="AQ125" s="39"/>
      <c r="AR125" s="39">
        <f t="shared" si="293"/>
        <v>0</v>
      </c>
      <c r="AS125" s="39"/>
      <c r="AT125" s="39"/>
      <c r="AU125" s="39"/>
      <c r="AV125" s="39"/>
      <c r="AW125" s="39"/>
      <c r="AX125" s="39"/>
      <c r="AY125" s="39"/>
      <c r="AZ125" s="39"/>
      <c r="BA125" s="39">
        <f t="shared" si="294"/>
        <v>0</v>
      </c>
      <c r="BB125" s="35"/>
      <c r="BC125" s="482"/>
      <c r="BD125" s="482"/>
      <c r="BE125" s="35"/>
      <c r="BF125" s="482"/>
    </row>
    <row r="126" spans="1:58" ht="12.95" customHeight="1">
      <c r="A126" s="42"/>
      <c r="B126" s="43"/>
      <c r="C126" s="398"/>
      <c r="D126" s="43"/>
      <c r="E126" s="44"/>
      <c r="F126" s="44"/>
      <c r="G126" s="411"/>
      <c r="H126" s="46"/>
      <c r="I126" s="47"/>
      <c r="J126" s="84"/>
      <c r="K126" s="84"/>
      <c r="L126" s="37"/>
      <c r="M126" s="37"/>
      <c r="N126" s="48"/>
      <c r="O126" s="49"/>
      <c r="P126" s="50"/>
      <c r="Q126" s="49"/>
      <c r="R126" s="367"/>
      <c r="S126" s="367"/>
      <c r="T126" s="39"/>
      <c r="U126" s="39"/>
      <c r="V126" s="39"/>
      <c r="W126" s="39"/>
      <c r="X126" s="366"/>
      <c r="Y126" s="211"/>
      <c r="Z126" s="39"/>
      <c r="AA126" s="51"/>
      <c r="AB126" s="51"/>
      <c r="AC126" s="39"/>
      <c r="AD126" s="39"/>
      <c r="AE126" s="228"/>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5"/>
      <c r="BC126" s="53"/>
      <c r="BD126" s="53"/>
      <c r="BE126" s="53"/>
      <c r="BF126" s="53"/>
    </row>
    <row r="127" spans="1:58" ht="12.75" customHeight="1">
      <c r="A127" s="42">
        <v>45865</v>
      </c>
      <c r="B127" s="43" t="s">
        <v>528</v>
      </c>
      <c r="C127" s="398">
        <f t="shared" ref="C127" si="296">(M127*E127*O127*Q127)/100000000</f>
        <v>55.552914974117648</v>
      </c>
      <c r="D127" s="43" t="s">
        <v>737</v>
      </c>
      <c r="E127" s="44">
        <v>15.5</v>
      </c>
      <c r="F127" s="44">
        <v>1</v>
      </c>
      <c r="G127" s="411">
        <v>1170</v>
      </c>
      <c r="H127" s="46">
        <v>0.23</v>
      </c>
      <c r="I127" s="47">
        <v>0.88</v>
      </c>
      <c r="J127" s="84">
        <f t="shared" ref="J127" si="297">E127*G127*(1-H127)*1440/1000000*2.74</f>
        <v>55.096161119999998</v>
      </c>
      <c r="K127" s="84">
        <f t="shared" ref="K127" si="298">(IF(G127&lt;L127,L127,G127)*(1-IF(H127&lt;N127,H127,N127))*E127*O127*Q127)/100000000</f>
        <v>55.552914974117648</v>
      </c>
      <c r="L127" s="37">
        <v>1200</v>
      </c>
      <c r="M127" s="37">
        <v>924</v>
      </c>
      <c r="N127" s="48">
        <f t="shared" ref="N127" si="299">1-(M127/L127)</f>
        <v>0.22999999999999998</v>
      </c>
      <c r="O127" s="49">
        <f>+'Trim Rwd'!H83</f>
        <v>269.36470588235295</v>
      </c>
      <c r="P127" s="50">
        <f t="shared" ref="P127" si="300">O127*(Q127-R127-S127)</f>
        <v>384383.43529411766</v>
      </c>
      <c r="Q127" s="49">
        <v>1440</v>
      </c>
      <c r="R127" s="367">
        <v>0</v>
      </c>
      <c r="S127" s="367">
        <v>13</v>
      </c>
      <c r="T127" s="39">
        <f t="shared" ref="T127" si="301">E127*M127*O127*Q127/100000000</f>
        <v>55.552914974117648</v>
      </c>
      <c r="U127" s="39">
        <f t="shared" ref="U127" si="302">E127*M127*O127*(Q127-R127-S127)/100000000</f>
        <v>55.051395602823533</v>
      </c>
      <c r="V127" s="39">
        <f t="shared" ref="V127" si="303">E127*G127*(1-N127)*O127/100*(R127+S127)/1000000</f>
        <v>0.48898138701176475</v>
      </c>
      <c r="W127" s="39">
        <f>+'27'!K18/1000</f>
        <v>53.844000000000001</v>
      </c>
      <c r="X127" s="366">
        <f>SUM(W127:W129)/SUM(K127:K129)</f>
        <v>0.96923806833693893</v>
      </c>
      <c r="Y127" s="39">
        <f>+SUM(RBP!AG78:AG79)</f>
        <v>0</v>
      </c>
      <c r="Z127" s="39">
        <f>+'27'!D25/1000</f>
        <v>0.63200000000000001</v>
      </c>
      <c r="AA127" s="51">
        <f>SUM(U127:U129)-SUM(W127:W129)-SUM(Z127:Z129)-SUM(Y127:Y129)</f>
        <v>0.57539560282353153</v>
      </c>
      <c r="AB127" s="51">
        <f>(SUM(K127:K129)-SUM(W127:W129)-SUM(Y127:Y129)-SUM(Z127:Z129)-SUM(AC127:AC129)-SUM(V127:V129))-AA127</f>
        <v>1.2537984282350645E-2</v>
      </c>
      <c r="AC127" s="39">
        <f>K127-T127</f>
        <v>0</v>
      </c>
      <c r="AD127" s="39">
        <f>+AM127+BA127</f>
        <v>0</v>
      </c>
      <c r="AE127" s="228" t="s">
        <v>461</v>
      </c>
      <c r="AF127" s="39">
        <v>0</v>
      </c>
      <c r="AG127" s="39"/>
      <c r="AH127" s="39"/>
      <c r="AI127" s="39"/>
      <c r="AJ127" s="39"/>
      <c r="AK127" s="39"/>
      <c r="AL127" s="39"/>
      <c r="AM127" s="39">
        <f>SUM(AF127:AL127)+AT127+AV127+AX127</f>
        <v>0</v>
      </c>
      <c r="AN127" s="39"/>
      <c r="AO127" s="39"/>
      <c r="AP127" s="39"/>
      <c r="AQ127" s="39"/>
      <c r="AR127" s="39">
        <f>SUM(AN127:AQ127)</f>
        <v>0</v>
      </c>
      <c r="AS127" s="39"/>
      <c r="AT127" s="39"/>
      <c r="AU127" s="39"/>
      <c r="AV127" s="39"/>
      <c r="AW127" s="39"/>
      <c r="AX127" s="39"/>
      <c r="AY127" s="39"/>
      <c r="AZ127" s="39"/>
      <c r="BA127" s="39">
        <f>+AR127+AS127+AU127+AW127+AY127+AZ127</f>
        <v>0</v>
      </c>
      <c r="BB127" s="35">
        <v>0</v>
      </c>
      <c r="BC127" s="53"/>
      <c r="BD127" s="53"/>
      <c r="BE127" s="35"/>
      <c r="BF127" s="53"/>
    </row>
    <row r="128" spans="1:58" ht="12.95" customHeight="1">
      <c r="A128" s="42"/>
      <c r="B128" s="43"/>
      <c r="C128" s="398"/>
      <c r="D128" s="43"/>
      <c r="E128" s="44"/>
      <c r="F128" s="44"/>
      <c r="G128" s="411"/>
      <c r="H128" s="46"/>
      <c r="I128" s="47"/>
      <c r="J128" s="84"/>
      <c r="K128" s="84"/>
      <c r="L128" s="37"/>
      <c r="M128" s="37"/>
      <c r="N128" s="48"/>
      <c r="O128" s="49"/>
      <c r="P128" s="50"/>
      <c r="Q128" s="49"/>
      <c r="R128" s="367"/>
      <c r="S128" s="367"/>
      <c r="T128" s="39"/>
      <c r="U128" s="39"/>
      <c r="V128" s="39"/>
      <c r="W128" s="39"/>
      <c r="X128" s="40"/>
      <c r="Y128" s="211"/>
      <c r="Z128" s="39"/>
      <c r="AA128" s="39"/>
      <c r="AB128" s="39"/>
      <c r="AC128" s="39"/>
      <c r="AD128" s="39">
        <f t="shared" ref="AD128:AD129" si="304">+AM128+BA128</f>
        <v>4</v>
      </c>
      <c r="AE128" s="228" t="s">
        <v>468</v>
      </c>
      <c r="AF128" s="39"/>
      <c r="AG128" s="39">
        <v>4</v>
      </c>
      <c r="AH128" s="39"/>
      <c r="AI128" s="39"/>
      <c r="AJ128" s="39"/>
      <c r="AK128" s="39"/>
      <c r="AL128" s="39"/>
      <c r="AM128" s="39">
        <f t="shared" ref="AM128:AM129" si="305">SUM(AF128:AL128)+AT128+AV128+AX128</f>
        <v>4</v>
      </c>
      <c r="AN128" s="85"/>
      <c r="AO128" s="39"/>
      <c r="AP128" s="39"/>
      <c r="AQ128" s="39"/>
      <c r="AR128" s="39">
        <f t="shared" ref="AR128:AR129" si="306">SUM(AN128:AQ128)</f>
        <v>0</v>
      </c>
      <c r="AS128" s="39"/>
      <c r="AT128" s="39"/>
      <c r="AU128" s="39"/>
      <c r="AV128" s="39"/>
      <c r="AW128" s="39"/>
      <c r="AX128" s="39"/>
      <c r="AY128" s="39"/>
      <c r="AZ128" s="39"/>
      <c r="BA128" s="39">
        <f t="shared" ref="BA128:BA129" si="307">+AR128+AS128+AU128+AW128+AY128+AZ128</f>
        <v>0</v>
      </c>
      <c r="BB128" s="52"/>
      <c r="BC128" s="53">
        <v>4</v>
      </c>
      <c r="BD128" s="53"/>
      <c r="BE128" s="52"/>
      <c r="BF128" s="53"/>
    </row>
    <row r="129" spans="1:58" ht="12.95" customHeight="1">
      <c r="A129" s="42"/>
      <c r="B129" s="43"/>
      <c r="C129" s="398"/>
      <c r="D129" s="43"/>
      <c r="E129" s="44"/>
      <c r="F129" s="44"/>
      <c r="G129" s="45"/>
      <c r="H129" s="46"/>
      <c r="I129" s="47"/>
      <c r="J129" s="84"/>
      <c r="K129" s="84"/>
      <c r="L129" s="37"/>
      <c r="M129" s="37"/>
      <c r="N129" s="48"/>
      <c r="O129" s="49"/>
      <c r="P129" s="50"/>
      <c r="Q129" s="49"/>
      <c r="R129" s="367"/>
      <c r="S129" s="367"/>
      <c r="T129" s="39"/>
      <c r="U129" s="39"/>
      <c r="V129" s="39"/>
      <c r="W129" s="39"/>
      <c r="X129" s="40"/>
      <c r="Y129" s="211"/>
      <c r="Z129" s="39"/>
      <c r="AA129" s="39"/>
      <c r="AB129" s="39"/>
      <c r="AC129" s="39"/>
      <c r="AD129" s="39">
        <f t="shared" si="304"/>
        <v>9</v>
      </c>
      <c r="AE129" s="228" t="s">
        <v>504</v>
      </c>
      <c r="AF129" s="35"/>
      <c r="AG129" s="35"/>
      <c r="AH129" s="35">
        <v>9</v>
      </c>
      <c r="AI129" s="35"/>
      <c r="AJ129" s="39"/>
      <c r="AK129" s="39"/>
      <c r="AL129" s="39"/>
      <c r="AM129" s="39">
        <f t="shared" si="305"/>
        <v>9</v>
      </c>
      <c r="AN129" s="39"/>
      <c r="AO129" s="39"/>
      <c r="AP129" s="39"/>
      <c r="AQ129" s="39"/>
      <c r="AR129" s="39">
        <f t="shared" si="306"/>
        <v>0</v>
      </c>
      <c r="AS129" s="39"/>
      <c r="AT129" s="39"/>
      <c r="AU129" s="39"/>
      <c r="AV129" s="39"/>
      <c r="AW129" s="39"/>
      <c r="AX129" s="39"/>
      <c r="AY129" s="39"/>
      <c r="AZ129" s="39"/>
      <c r="BA129" s="39">
        <f t="shared" si="307"/>
        <v>0</v>
      </c>
      <c r="BB129" s="35"/>
      <c r="BC129" s="482"/>
      <c r="BD129" s="482"/>
      <c r="BE129" s="35"/>
      <c r="BF129" s="482"/>
    </row>
    <row r="130" spans="1:58" ht="12.95" customHeight="1">
      <c r="A130" s="42"/>
      <c r="B130" s="43"/>
      <c r="C130" s="398"/>
      <c r="D130" s="43"/>
      <c r="E130" s="44"/>
      <c r="F130" s="44"/>
      <c r="G130" s="411"/>
      <c r="H130" s="46"/>
      <c r="I130" s="47"/>
      <c r="J130" s="84"/>
      <c r="K130" s="84"/>
      <c r="L130" s="37"/>
      <c r="M130" s="37"/>
      <c r="N130" s="48"/>
      <c r="O130" s="49"/>
      <c r="P130" s="50"/>
      <c r="Q130" s="49"/>
      <c r="R130" s="367"/>
      <c r="S130" s="367"/>
      <c r="T130" s="39"/>
      <c r="U130" s="39"/>
      <c r="V130" s="39"/>
      <c r="W130" s="39"/>
      <c r="X130" s="366"/>
      <c r="Y130" s="211"/>
      <c r="Z130" s="39"/>
      <c r="AA130" s="51"/>
      <c r="AB130" s="51"/>
      <c r="AC130" s="39"/>
      <c r="AD130" s="39"/>
      <c r="AE130" s="228"/>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5"/>
      <c r="BC130" s="53"/>
      <c r="BD130" s="53"/>
      <c r="BE130" s="53"/>
      <c r="BF130" s="53"/>
    </row>
    <row r="131" spans="1:58" ht="12.75" customHeight="1">
      <c r="A131" s="42">
        <v>45866</v>
      </c>
      <c r="B131" s="43" t="s">
        <v>528</v>
      </c>
      <c r="C131" s="398">
        <f t="shared" ref="C131:C132" si="308">(M131*E131*O131*Q131)/100000000</f>
        <v>55.337956723636367</v>
      </c>
      <c r="D131" s="43" t="s">
        <v>737</v>
      </c>
      <c r="E131" s="44">
        <v>15.5</v>
      </c>
      <c r="F131" s="44">
        <v>1</v>
      </c>
      <c r="G131" s="411">
        <v>1170</v>
      </c>
      <c r="H131" s="46">
        <v>0.23</v>
      </c>
      <c r="I131" s="47">
        <v>0.88</v>
      </c>
      <c r="J131" s="84">
        <f t="shared" ref="J131:J132" si="309">E131*G131*(1-H131)*1440/1000000*2.74</f>
        <v>55.096161119999998</v>
      </c>
      <c r="K131" s="84">
        <f t="shared" ref="K131:K132" si="310">(IF(G131&lt;L131,L131,G131)*(1-IF(H131&lt;N131,H131,N131))*E131*O131*Q131)/100000000</f>
        <v>55.337956723636367</v>
      </c>
      <c r="L131" s="37">
        <v>1200</v>
      </c>
      <c r="M131" s="37">
        <v>936</v>
      </c>
      <c r="N131" s="48">
        <f t="shared" ref="N131:N132" si="311">1-(M131/L131)</f>
        <v>0.21999999999999997</v>
      </c>
      <c r="O131" s="49">
        <f>+'Trim Rwd'!H87</f>
        <v>269.18181818181819</v>
      </c>
      <c r="P131" s="50">
        <f t="shared" ref="P131:P132" si="312">O131*(Q131-R131-S131)</f>
        <v>376047</v>
      </c>
      <c r="Q131" s="49">
        <v>1417</v>
      </c>
      <c r="R131" s="367">
        <v>0</v>
      </c>
      <c r="S131" s="367">
        <v>20</v>
      </c>
      <c r="T131" s="39">
        <f t="shared" ref="T131:T132" si="313">E131*M131*O131*Q131/100000000</f>
        <v>55.337956723636367</v>
      </c>
      <c r="U131" s="39">
        <f t="shared" ref="U131:U132" si="314">E131*M131*O131*(Q131-R131-S131)/100000000</f>
        <v>54.556898760000003</v>
      </c>
      <c r="V131" s="39">
        <f t="shared" ref="V131:V132" si="315">E131*G131*(1-N131)*O131/100*(R131+S131)/1000000</f>
        <v>0.76153151454545465</v>
      </c>
      <c r="W131" s="39">
        <f>+'28'!K18/1000</f>
        <v>56.618000000000002</v>
      </c>
      <c r="X131" s="366">
        <f>SUM(W131:W133)/SUM(K131:K133)</f>
        <v>1.0199730951027712</v>
      </c>
      <c r="Y131" s="39">
        <f>+SUM(RBP!AG82:AG83)</f>
        <v>0</v>
      </c>
      <c r="Z131" s="39">
        <v>0</v>
      </c>
      <c r="AA131" s="51">
        <f>SUM(U131:U133)-SUM(W131:W133)-SUM(Z131:Z133)-SUM(Y131:Y133)</f>
        <v>-2.1288492399999939</v>
      </c>
      <c r="AB131" s="51">
        <f>(SUM(K131:K133)-SUM(W131:W133)-SUM(Y131:Y133)-SUM(Z131:Z133)-SUM(AC131:AC133)-SUM(V131:V133))-AA131</f>
        <v>5.8919449090906184E-2</v>
      </c>
      <c r="AC131" s="39">
        <f>K131-T131</f>
        <v>0</v>
      </c>
      <c r="AD131" s="39">
        <f>+AM131+BA131</f>
        <v>0</v>
      </c>
      <c r="AE131" s="228" t="s">
        <v>461</v>
      </c>
      <c r="AF131" s="39">
        <v>0</v>
      </c>
      <c r="AG131" s="39"/>
      <c r="AH131" s="39"/>
      <c r="AI131" s="39"/>
      <c r="AJ131" s="39"/>
      <c r="AK131" s="39"/>
      <c r="AL131" s="39"/>
      <c r="AM131" s="39">
        <f>SUM(AF131:AL131)+AT131+AV131+AX131</f>
        <v>0</v>
      </c>
      <c r="AN131" s="39"/>
      <c r="AO131" s="39"/>
      <c r="AP131" s="39"/>
      <c r="AQ131" s="39"/>
      <c r="AR131" s="39">
        <f>SUM(AN131:AQ131)</f>
        <v>0</v>
      </c>
      <c r="AS131" s="39"/>
      <c r="AT131" s="39"/>
      <c r="AU131" s="39"/>
      <c r="AV131" s="39"/>
      <c r="AW131" s="39"/>
      <c r="AX131" s="39"/>
      <c r="AY131" s="39"/>
      <c r="AZ131" s="39"/>
      <c r="BA131" s="39">
        <f>+AR131+AS131+AU131+AW131+AY131+AZ131</f>
        <v>0</v>
      </c>
      <c r="BB131" s="35">
        <v>0</v>
      </c>
      <c r="BC131" s="53"/>
      <c r="BD131" s="53"/>
      <c r="BE131" s="35"/>
      <c r="BF131" s="53"/>
    </row>
    <row r="132" spans="1:58" ht="12.95" customHeight="1">
      <c r="A132" s="42"/>
      <c r="B132" s="43" t="s">
        <v>528</v>
      </c>
      <c r="C132" s="398">
        <f t="shared" si="308"/>
        <v>0.92032199999999997</v>
      </c>
      <c r="D132" s="43" t="s">
        <v>737</v>
      </c>
      <c r="E132" s="44">
        <v>20</v>
      </c>
      <c r="F132" s="44">
        <v>1</v>
      </c>
      <c r="G132" s="411">
        <v>875</v>
      </c>
      <c r="H132" s="46">
        <v>0.2</v>
      </c>
      <c r="I132" s="47">
        <v>0.88</v>
      </c>
      <c r="J132" s="84">
        <f t="shared" si="309"/>
        <v>55.238400000000006</v>
      </c>
      <c r="K132" s="84">
        <f t="shared" si="310"/>
        <v>0.94391999999999998</v>
      </c>
      <c r="L132" s="37">
        <v>950</v>
      </c>
      <c r="M132" s="37">
        <v>741</v>
      </c>
      <c r="N132" s="48">
        <f t="shared" si="311"/>
        <v>0.21999999999999997</v>
      </c>
      <c r="O132" s="49">
        <f>+'Trim Rwd'!H86</f>
        <v>270</v>
      </c>
      <c r="P132" s="50">
        <f t="shared" si="312"/>
        <v>4860</v>
      </c>
      <c r="Q132" s="49">
        <v>23</v>
      </c>
      <c r="R132" s="367">
        <v>0</v>
      </c>
      <c r="S132" s="367">
        <v>5</v>
      </c>
      <c r="T132" s="39">
        <f t="shared" si="313"/>
        <v>0.92032199999999997</v>
      </c>
      <c r="U132" s="39">
        <f t="shared" si="314"/>
        <v>0.720252</v>
      </c>
      <c r="V132" s="39">
        <f t="shared" si="315"/>
        <v>0.18427499999999999</v>
      </c>
      <c r="W132" s="39">
        <f>+'28'!K17/1000</f>
        <v>0.78800000000000003</v>
      </c>
      <c r="X132" s="40"/>
      <c r="Y132" s="211"/>
      <c r="Z132" s="39">
        <v>0</v>
      </c>
      <c r="AA132" s="39"/>
      <c r="AB132" s="39"/>
      <c r="AC132" s="39"/>
      <c r="AD132" s="39">
        <f t="shared" ref="AD132:AD133" si="316">+AM132+BA132</f>
        <v>9</v>
      </c>
      <c r="AE132" s="228" t="s">
        <v>577</v>
      </c>
      <c r="AF132" s="39"/>
      <c r="AG132" s="39">
        <v>9</v>
      </c>
      <c r="AH132" s="39"/>
      <c r="AI132" s="39"/>
      <c r="AJ132" s="39"/>
      <c r="AK132" s="39"/>
      <c r="AL132" s="39"/>
      <c r="AM132" s="39">
        <f t="shared" ref="AM132:AM133" si="317">SUM(AF132:AL132)+AT132+AV132+AX132</f>
        <v>9</v>
      </c>
      <c r="AN132" s="85"/>
      <c r="AO132" s="39"/>
      <c r="AP132" s="39"/>
      <c r="AQ132" s="39"/>
      <c r="AR132" s="39">
        <f t="shared" ref="AR132:AR133" si="318">SUM(AN132:AQ132)</f>
        <v>0</v>
      </c>
      <c r="AS132" s="39"/>
      <c r="AT132" s="39"/>
      <c r="AU132" s="39"/>
      <c r="AV132" s="39"/>
      <c r="AW132" s="39"/>
      <c r="AX132" s="39"/>
      <c r="AY132" s="39"/>
      <c r="AZ132" s="39"/>
      <c r="BA132" s="39">
        <f t="shared" ref="BA132:BA133" si="319">+AR132+AS132+AU132+AW132+AY132+AZ132</f>
        <v>0</v>
      </c>
      <c r="BB132" s="52"/>
      <c r="BC132" s="53">
        <v>7</v>
      </c>
      <c r="BD132" s="53"/>
      <c r="BE132" s="52"/>
      <c r="BF132" s="53"/>
    </row>
    <row r="133" spans="1:58" ht="12.95" customHeight="1">
      <c r="A133" s="42"/>
      <c r="B133" s="43"/>
      <c r="C133" s="398"/>
      <c r="D133" s="43"/>
      <c r="E133" s="44"/>
      <c r="F133" s="44"/>
      <c r="G133" s="45"/>
      <c r="H133" s="46"/>
      <c r="I133" s="47"/>
      <c r="J133" s="84"/>
      <c r="K133" s="84"/>
      <c r="L133" s="37"/>
      <c r="M133" s="37"/>
      <c r="N133" s="48"/>
      <c r="O133" s="49"/>
      <c r="P133" s="50"/>
      <c r="Q133" s="49"/>
      <c r="R133" s="367"/>
      <c r="S133" s="367"/>
      <c r="T133" s="39"/>
      <c r="U133" s="39"/>
      <c r="V133" s="39"/>
      <c r="W133" s="39"/>
      <c r="X133" s="40"/>
      <c r="Y133" s="211"/>
      <c r="Z133" s="39"/>
      <c r="AA133" s="39"/>
      <c r="AB133" s="39"/>
      <c r="AC133" s="39"/>
      <c r="AD133" s="39">
        <f t="shared" si="316"/>
        <v>16</v>
      </c>
      <c r="AE133" s="228" t="s">
        <v>504</v>
      </c>
      <c r="AF133" s="35"/>
      <c r="AG133" s="35"/>
      <c r="AH133" s="35">
        <v>16</v>
      </c>
      <c r="AI133" s="35"/>
      <c r="AJ133" s="39"/>
      <c r="AK133" s="39"/>
      <c r="AL133" s="39"/>
      <c r="AM133" s="39">
        <f t="shared" si="317"/>
        <v>16</v>
      </c>
      <c r="AN133" s="39"/>
      <c r="AO133" s="39"/>
      <c r="AP133" s="39"/>
      <c r="AQ133" s="39"/>
      <c r="AR133" s="39">
        <f t="shared" si="318"/>
        <v>0</v>
      </c>
      <c r="AS133" s="39"/>
      <c r="AT133" s="39"/>
      <c r="AU133" s="39"/>
      <c r="AV133" s="39"/>
      <c r="AW133" s="39"/>
      <c r="AX133" s="39"/>
      <c r="AY133" s="39"/>
      <c r="AZ133" s="39"/>
      <c r="BA133" s="39">
        <f t="shared" si="319"/>
        <v>0</v>
      </c>
      <c r="BB133" s="35"/>
      <c r="BC133" s="482"/>
      <c r="BD133" s="482"/>
      <c r="BE133" s="35"/>
      <c r="BF133" s="482"/>
    </row>
    <row r="134" spans="1:58" ht="12" customHeight="1">
      <c r="A134" s="42"/>
      <c r="B134" s="43"/>
      <c r="C134" s="398"/>
      <c r="D134" s="43"/>
      <c r="E134" s="44"/>
      <c r="F134" s="44"/>
      <c r="G134" s="411"/>
      <c r="H134" s="46"/>
      <c r="I134" s="47"/>
      <c r="J134" s="84"/>
      <c r="K134" s="84"/>
      <c r="L134" s="37"/>
      <c r="M134" s="37"/>
      <c r="N134" s="48"/>
      <c r="O134" s="49"/>
      <c r="P134" s="50"/>
      <c r="Q134" s="49"/>
      <c r="R134" s="367"/>
      <c r="S134" s="367"/>
      <c r="T134" s="39"/>
      <c r="U134" s="39"/>
      <c r="V134" s="39"/>
      <c r="W134" s="39"/>
      <c r="X134" s="366"/>
      <c r="Y134" s="211"/>
      <c r="Z134" s="39"/>
      <c r="AA134" s="39"/>
      <c r="AB134" s="39"/>
      <c r="AC134" s="39"/>
      <c r="AD134" s="39"/>
      <c r="AE134" s="228"/>
      <c r="AF134" s="39"/>
      <c r="AG134" s="39"/>
      <c r="AH134" s="39"/>
      <c r="AI134" s="481"/>
      <c r="AJ134" s="39"/>
      <c r="AK134" s="39"/>
      <c r="AL134" s="39"/>
      <c r="AM134" s="39"/>
      <c r="AN134" s="85"/>
      <c r="AO134" s="39"/>
      <c r="AP134" s="39"/>
      <c r="AQ134" s="39"/>
      <c r="AR134" s="39"/>
      <c r="AS134" s="39"/>
      <c r="AT134" s="39"/>
      <c r="AU134" s="39"/>
      <c r="AV134" s="39"/>
      <c r="AW134" s="39"/>
      <c r="AX134" s="39"/>
      <c r="AY134" s="39"/>
      <c r="AZ134" s="39"/>
      <c r="BA134" s="39"/>
      <c r="BB134" s="52"/>
      <c r="BC134" s="53"/>
      <c r="BD134" s="482"/>
      <c r="BE134" s="35"/>
      <c r="BF134" s="482"/>
    </row>
    <row r="135" spans="1:58" ht="12.75" customHeight="1">
      <c r="A135" s="42">
        <v>45867</v>
      </c>
      <c r="B135" s="43" t="s">
        <v>528</v>
      </c>
      <c r="C135" s="398">
        <f t="shared" ref="C135" si="320">(M135*E135*O135*Q135)/100000000</f>
        <v>55.733932799999998</v>
      </c>
      <c r="D135" s="43" t="s">
        <v>737</v>
      </c>
      <c r="E135" s="44">
        <v>15.5</v>
      </c>
      <c r="F135" s="44">
        <v>1</v>
      </c>
      <c r="G135" s="411">
        <v>1170</v>
      </c>
      <c r="H135" s="46">
        <v>0.23</v>
      </c>
      <c r="I135" s="47">
        <v>0.88</v>
      </c>
      <c r="J135" s="84">
        <f t="shared" ref="J135" si="321">E135*G135*(1-H135)*1440/1000000*2.74</f>
        <v>55.096161119999998</v>
      </c>
      <c r="K135" s="84">
        <f t="shared" ref="K135" si="322">(IF(G135&lt;L135,L135,G135)*(1-IF(H135&lt;N135,H135,N135))*E135*O135*Q135)/100000000</f>
        <v>55.733932799999998</v>
      </c>
      <c r="L135" s="37">
        <v>1200</v>
      </c>
      <c r="M135" s="37">
        <v>936</v>
      </c>
      <c r="N135" s="48">
        <f t="shared" ref="N135" si="323">1-(M135/L135)</f>
        <v>0.21999999999999997</v>
      </c>
      <c r="O135" s="49">
        <f>+'Trim Rwd'!H90</f>
        <v>266.77777777777777</v>
      </c>
      <c r="P135" s="50">
        <f t="shared" ref="P135" si="324">O135*(Q135-R135-S135)</f>
        <v>377223.77777777775</v>
      </c>
      <c r="Q135" s="49">
        <v>1440</v>
      </c>
      <c r="R135" s="367">
        <v>0</v>
      </c>
      <c r="S135" s="367">
        <v>26</v>
      </c>
      <c r="T135" s="39">
        <f t="shared" ref="T135" si="325">E135*M135*O135*Q135/100000000</f>
        <v>55.733932799999998</v>
      </c>
      <c r="U135" s="39">
        <f t="shared" ref="U135" si="326">E135*M135*O135*(Q135-R135-S135)/100000000</f>
        <v>54.727625680000003</v>
      </c>
      <c r="V135" s="39">
        <f t="shared" ref="V135" si="327">E135*G135*(1-N135)*O135/100*(R135+S135)/1000000</f>
        <v>0.98114944200000009</v>
      </c>
      <c r="W135" s="39">
        <f>+'29'!K18/1000</f>
        <v>51.796999999999997</v>
      </c>
      <c r="X135" s="366">
        <f>SUM(W135:W137)/SUM(K135:K137)</f>
        <v>0.92936201336934898</v>
      </c>
      <c r="Y135" s="39">
        <f>+SUM(RBP!AG86:AG87)</f>
        <v>0</v>
      </c>
      <c r="Z135" s="39">
        <f>+'29'!D25/1000</f>
        <v>0.66500000000000004</v>
      </c>
      <c r="AA135" s="51">
        <f>SUM(U135:U137)-SUM(W135:W137)-SUM(Z135:Z137)-SUM(Y135:Y137)</f>
        <v>2.2656256800000056</v>
      </c>
      <c r="AB135" s="51">
        <f>(SUM(K135:K137)-SUM(W135:W137)-SUM(Y135:Y137)-SUM(Z135:Z137)-SUM(AC135:AC137)-SUM(V135:V137))-AA135</f>
        <v>2.5157677999995354E-2</v>
      </c>
      <c r="AC135" s="39">
        <f>K135-T135</f>
        <v>0</v>
      </c>
      <c r="AD135" s="39">
        <f>+AM135+BA135</f>
        <v>0</v>
      </c>
      <c r="AE135" s="228" t="s">
        <v>461</v>
      </c>
      <c r="AF135" s="39">
        <v>0</v>
      </c>
      <c r="AG135" s="39"/>
      <c r="AH135" s="39"/>
      <c r="AI135" s="39"/>
      <c r="AJ135" s="39"/>
      <c r="AK135" s="39"/>
      <c r="AL135" s="39"/>
      <c r="AM135" s="39">
        <f>SUM(AF135:AL135)+AT135+AV135+AX135</f>
        <v>0</v>
      </c>
      <c r="AN135" s="39"/>
      <c r="AO135" s="39"/>
      <c r="AP135" s="39"/>
      <c r="AQ135" s="39"/>
      <c r="AR135" s="39">
        <f>SUM(AN135:AQ135)</f>
        <v>0</v>
      </c>
      <c r="AS135" s="39"/>
      <c r="AT135" s="39"/>
      <c r="AU135" s="39"/>
      <c r="AV135" s="39"/>
      <c r="AW135" s="39"/>
      <c r="AX135" s="39"/>
      <c r="AY135" s="39"/>
      <c r="AZ135" s="39"/>
      <c r="BA135" s="39">
        <f>+AR135+AS135+AU135+AW135+AY135+AZ135</f>
        <v>0</v>
      </c>
      <c r="BB135" s="35">
        <v>0</v>
      </c>
      <c r="BC135" s="53"/>
      <c r="BD135" s="53"/>
      <c r="BE135" s="35"/>
      <c r="BF135" s="53"/>
    </row>
    <row r="136" spans="1:58" ht="12.95" customHeight="1">
      <c r="A136" s="42"/>
      <c r="B136" s="43"/>
      <c r="C136" s="398"/>
      <c r="D136" s="43"/>
      <c r="E136" s="44"/>
      <c r="F136" s="44"/>
      <c r="G136" s="411"/>
      <c r="H136" s="46"/>
      <c r="I136" s="47"/>
      <c r="J136" s="84"/>
      <c r="K136" s="84"/>
      <c r="L136" s="37"/>
      <c r="M136" s="37"/>
      <c r="N136" s="48"/>
      <c r="O136" s="49"/>
      <c r="P136" s="50"/>
      <c r="Q136" s="49"/>
      <c r="R136" s="367"/>
      <c r="S136" s="367"/>
      <c r="T136" s="39"/>
      <c r="U136" s="39"/>
      <c r="V136" s="39"/>
      <c r="W136" s="39"/>
      <c r="X136" s="40"/>
      <c r="Y136" s="211"/>
      <c r="Z136" s="39"/>
      <c r="AA136" s="39"/>
      <c r="AB136" s="39"/>
      <c r="AC136" s="39"/>
      <c r="AD136" s="39">
        <f t="shared" ref="AD136:AD137" si="328">+AM136+BA136</f>
        <v>7</v>
      </c>
      <c r="AE136" s="228" t="s">
        <v>468</v>
      </c>
      <c r="AF136" s="39"/>
      <c r="AG136" s="39">
        <v>7</v>
      </c>
      <c r="AH136" s="39"/>
      <c r="AI136" s="39"/>
      <c r="AJ136" s="39"/>
      <c r="AK136" s="39"/>
      <c r="AL136" s="39"/>
      <c r="AM136" s="39">
        <f t="shared" ref="AM136:AM137" si="329">SUM(AF136:AL136)+AT136+AV136+AX136</f>
        <v>7</v>
      </c>
      <c r="AN136" s="85"/>
      <c r="AO136" s="39"/>
      <c r="AP136" s="39"/>
      <c r="AQ136" s="39"/>
      <c r="AR136" s="39">
        <f t="shared" ref="AR136:AR137" si="330">SUM(AN136:AQ136)</f>
        <v>0</v>
      </c>
      <c r="AS136" s="39"/>
      <c r="AT136" s="39"/>
      <c r="AU136" s="39"/>
      <c r="AV136" s="39"/>
      <c r="AW136" s="39"/>
      <c r="AX136" s="39"/>
      <c r="AY136" s="39"/>
      <c r="AZ136" s="39"/>
      <c r="BA136" s="39">
        <f t="shared" ref="BA136:BA137" si="331">+AR136+AS136+AU136+AW136+AY136+AZ136</f>
        <v>0</v>
      </c>
      <c r="BB136" s="52"/>
      <c r="BC136" s="53">
        <v>4</v>
      </c>
      <c r="BD136" s="53"/>
      <c r="BE136" s="52"/>
      <c r="BF136" s="53"/>
    </row>
    <row r="137" spans="1:58" ht="12.95" customHeight="1">
      <c r="A137" s="42"/>
      <c r="B137" s="43"/>
      <c r="C137" s="398"/>
      <c r="D137" s="43"/>
      <c r="E137" s="44"/>
      <c r="F137" s="44"/>
      <c r="G137" s="45"/>
      <c r="H137" s="46"/>
      <c r="I137" s="47"/>
      <c r="J137" s="84"/>
      <c r="K137" s="84"/>
      <c r="L137" s="37"/>
      <c r="M137" s="37"/>
      <c r="N137" s="48"/>
      <c r="O137" s="49"/>
      <c r="P137" s="50"/>
      <c r="Q137" s="49"/>
      <c r="R137" s="367"/>
      <c r="S137" s="367"/>
      <c r="T137" s="39"/>
      <c r="U137" s="39"/>
      <c r="V137" s="39"/>
      <c r="W137" s="39"/>
      <c r="X137" s="40"/>
      <c r="Y137" s="211"/>
      <c r="Z137" s="39"/>
      <c r="AA137" s="39"/>
      <c r="AB137" s="39"/>
      <c r="AC137" s="39"/>
      <c r="AD137" s="39">
        <f t="shared" si="328"/>
        <v>19</v>
      </c>
      <c r="AE137" s="228" t="s">
        <v>569</v>
      </c>
      <c r="AF137" s="35"/>
      <c r="AG137" s="35"/>
      <c r="AH137" s="35">
        <v>19</v>
      </c>
      <c r="AI137" s="35"/>
      <c r="AJ137" s="39"/>
      <c r="AK137" s="39"/>
      <c r="AL137" s="39"/>
      <c r="AM137" s="39">
        <f t="shared" si="329"/>
        <v>19</v>
      </c>
      <c r="AN137" s="39"/>
      <c r="AO137" s="39"/>
      <c r="AP137" s="39"/>
      <c r="AQ137" s="39"/>
      <c r="AR137" s="39">
        <f t="shared" si="330"/>
        <v>0</v>
      </c>
      <c r="AS137" s="39"/>
      <c r="AT137" s="39"/>
      <c r="AU137" s="39"/>
      <c r="AV137" s="39"/>
      <c r="AW137" s="39"/>
      <c r="AX137" s="39"/>
      <c r="AY137" s="39"/>
      <c r="AZ137" s="39"/>
      <c r="BA137" s="39">
        <f t="shared" si="331"/>
        <v>0</v>
      </c>
      <c r="BB137" s="35"/>
      <c r="BC137" s="482"/>
      <c r="BD137" s="482"/>
      <c r="BE137" s="35"/>
      <c r="BF137" s="482"/>
    </row>
    <row r="138" spans="1:58" ht="12.95" customHeight="1">
      <c r="A138" s="42"/>
      <c r="B138" s="3"/>
      <c r="C138" s="398"/>
      <c r="D138" s="43"/>
      <c r="E138" s="244"/>
      <c r="F138" s="44"/>
      <c r="G138" s="45"/>
      <c r="H138" s="46"/>
      <c r="I138" s="47"/>
      <c r="J138" s="84"/>
      <c r="K138" s="84"/>
      <c r="L138" s="37"/>
      <c r="M138" s="37"/>
      <c r="N138" s="48"/>
      <c r="O138" s="49"/>
      <c r="P138" s="50"/>
      <c r="Q138" s="316"/>
      <c r="R138" s="52"/>
      <c r="S138" s="52"/>
      <c r="T138" s="39"/>
      <c r="U138" s="39"/>
      <c r="V138" s="39"/>
      <c r="W138" s="35"/>
      <c r="X138" s="40"/>
      <c r="Y138" s="40"/>
      <c r="Z138" s="35"/>
      <c r="AA138" s="51"/>
      <c r="AB138" s="51"/>
      <c r="AC138" s="39"/>
      <c r="AD138" s="39"/>
      <c r="AE138" s="228"/>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5"/>
      <c r="BC138" s="53"/>
      <c r="BD138" s="53"/>
      <c r="BE138" s="53"/>
      <c r="BF138" s="53"/>
    </row>
    <row r="139" spans="1:58" ht="12.75" customHeight="1">
      <c r="A139" s="42">
        <v>45868</v>
      </c>
      <c r="B139" s="43" t="s">
        <v>528</v>
      </c>
      <c r="C139" s="398">
        <f t="shared" ref="C139" si="332">(M139*E139*O139*Q139)/100000000</f>
        <v>55.997308799999999</v>
      </c>
      <c r="D139" s="43" t="s">
        <v>737</v>
      </c>
      <c r="E139" s="44">
        <v>15.5</v>
      </c>
      <c r="F139" s="44">
        <v>1</v>
      </c>
      <c r="G139" s="411">
        <v>1170</v>
      </c>
      <c r="H139" s="46">
        <v>0.23</v>
      </c>
      <c r="I139" s="47">
        <v>0.88</v>
      </c>
      <c r="J139" s="84">
        <f t="shared" ref="J139" si="333">E139*G139*(1-H139)*1440/1000000*2.74</f>
        <v>55.096161119999998</v>
      </c>
      <c r="K139" s="84">
        <f t="shared" ref="K139" si="334">(IF(G139&lt;L139,L139,G139)*(1-IF(H139&lt;N139,H139,N139))*E139*O139*Q139)/100000000</f>
        <v>55.997308799999999</v>
      </c>
      <c r="L139" s="37">
        <v>1200</v>
      </c>
      <c r="M139" s="37">
        <v>936</v>
      </c>
      <c r="N139" s="48">
        <f t="shared" ref="N139" si="335">1-(M139/L139)</f>
        <v>0.21999999999999997</v>
      </c>
      <c r="O139" s="49">
        <f>+'Trim Rwd'!H93</f>
        <v>268.03846153846155</v>
      </c>
      <c r="P139" s="50">
        <f t="shared" ref="P139" si="336">O139*(Q139-R139-S139)</f>
        <v>380882.65384615387</v>
      </c>
      <c r="Q139" s="49">
        <v>1440</v>
      </c>
      <c r="R139" s="367">
        <v>0</v>
      </c>
      <c r="S139" s="367">
        <v>19</v>
      </c>
      <c r="T139" s="39">
        <f t="shared" ref="T139" si="337">E139*M139*O139*Q139/100000000</f>
        <v>55.997308799999999</v>
      </c>
      <c r="U139" s="39">
        <f t="shared" ref="U139" si="338">E139*M139*O139*(Q139-R139-S139)/100000000</f>
        <v>55.258455419999997</v>
      </c>
      <c r="V139" s="39">
        <f t="shared" ref="V139" si="339">E139*G139*(1-N139)*O139/100*(R139+S139)/1000000</f>
        <v>0.72038204549999996</v>
      </c>
      <c r="W139" s="39">
        <f>+'30'!K18/1000</f>
        <v>50.341999999999999</v>
      </c>
      <c r="X139" s="366">
        <f>SUM(W139:W141)/SUM(K139:K141)</f>
        <v>0.89900748944563569</v>
      </c>
      <c r="Y139" s="39">
        <v>0</v>
      </c>
      <c r="Z139" s="39">
        <v>0</v>
      </c>
      <c r="AA139" s="51">
        <f>SUM(U139:U141)-SUM(W139:W141)-SUM(Z139:Z141)-SUM(Y139:Y141)</f>
        <v>4.9164554199999984</v>
      </c>
      <c r="AB139" s="51">
        <f>(SUM(K139:K141)-SUM(W139:W141)-SUM(Y139:Y141)-SUM(Z139:Z141)-SUM(AC139:AC141)-SUM(V139:V141))-AA139</f>
        <v>1.8471334500001824E-2</v>
      </c>
      <c r="AC139" s="39">
        <f>K139-T139</f>
        <v>0</v>
      </c>
      <c r="AD139" s="39">
        <f>+AM139+BA139</f>
        <v>0</v>
      </c>
      <c r="AE139" s="228" t="s">
        <v>461</v>
      </c>
      <c r="AF139" s="39">
        <v>0</v>
      </c>
      <c r="AG139" s="39"/>
      <c r="AH139" s="39"/>
      <c r="AI139" s="39"/>
      <c r="AJ139" s="39"/>
      <c r="AK139" s="39"/>
      <c r="AL139" s="39"/>
      <c r="AM139" s="39">
        <f>SUM(AF139:AL139)+AT139+AV139+AX139</f>
        <v>0</v>
      </c>
      <c r="AN139" s="39"/>
      <c r="AO139" s="39"/>
      <c r="AP139" s="39"/>
      <c r="AQ139" s="39"/>
      <c r="AR139" s="39">
        <f>SUM(AN139:AQ139)</f>
        <v>0</v>
      </c>
      <c r="AS139" s="39"/>
      <c r="AT139" s="39"/>
      <c r="AU139" s="39"/>
      <c r="AV139" s="39"/>
      <c r="AW139" s="39"/>
      <c r="AX139" s="39"/>
      <c r="AY139" s="39"/>
      <c r="AZ139" s="39"/>
      <c r="BA139" s="39">
        <f>+AR139+AS139+AU139+AW139+AY139+AZ139</f>
        <v>0</v>
      </c>
      <c r="BB139" s="35">
        <v>0</v>
      </c>
      <c r="BC139" s="53"/>
      <c r="BD139" s="53"/>
      <c r="BE139" s="35"/>
      <c r="BF139" s="53"/>
    </row>
    <row r="140" spans="1:58" ht="12.95" customHeight="1">
      <c r="A140" s="42"/>
      <c r="B140" s="43"/>
      <c r="C140" s="398"/>
      <c r="D140" s="43"/>
      <c r="E140" s="44"/>
      <c r="F140" s="44"/>
      <c r="G140" s="411"/>
      <c r="H140" s="46"/>
      <c r="I140" s="47"/>
      <c r="J140" s="84"/>
      <c r="K140" s="84"/>
      <c r="L140" s="37"/>
      <c r="M140" s="37"/>
      <c r="N140" s="48"/>
      <c r="O140" s="49"/>
      <c r="P140" s="50"/>
      <c r="Q140" s="49"/>
      <c r="R140" s="367"/>
      <c r="S140" s="367"/>
      <c r="T140" s="39"/>
      <c r="U140" s="39"/>
      <c r="V140" s="39"/>
      <c r="W140" s="39"/>
      <c r="X140" s="40"/>
      <c r="Y140" s="211"/>
      <c r="Z140" s="39"/>
      <c r="AA140" s="39"/>
      <c r="AB140" s="39"/>
      <c r="AC140" s="39"/>
      <c r="AD140" s="39">
        <f t="shared" ref="AD140:AD141" si="340">+AM140+BA140</f>
        <v>4</v>
      </c>
      <c r="AE140" s="228" t="s">
        <v>468</v>
      </c>
      <c r="AF140" s="39"/>
      <c r="AG140" s="39">
        <v>4</v>
      </c>
      <c r="AH140" s="39"/>
      <c r="AI140" s="39"/>
      <c r="AJ140" s="39"/>
      <c r="AK140" s="39"/>
      <c r="AL140" s="39"/>
      <c r="AM140" s="39">
        <f t="shared" ref="AM140:AM141" si="341">SUM(AF140:AL140)+AT140+AV140+AX140</f>
        <v>4</v>
      </c>
      <c r="AN140" s="85"/>
      <c r="AO140" s="39"/>
      <c r="AP140" s="39"/>
      <c r="AQ140" s="39"/>
      <c r="AR140" s="39">
        <f t="shared" ref="AR140:AR141" si="342">SUM(AN140:AQ140)</f>
        <v>0</v>
      </c>
      <c r="AS140" s="39"/>
      <c r="AT140" s="39"/>
      <c r="AU140" s="39"/>
      <c r="AV140" s="39"/>
      <c r="AW140" s="39"/>
      <c r="AX140" s="39"/>
      <c r="AY140" s="39"/>
      <c r="AZ140" s="39"/>
      <c r="BA140" s="39">
        <f t="shared" ref="BA140:BA141" si="343">+AR140+AS140+AU140+AW140+AY140+AZ140</f>
        <v>0</v>
      </c>
      <c r="BB140" s="52"/>
      <c r="BC140" s="53">
        <v>4</v>
      </c>
      <c r="BD140" s="53"/>
      <c r="BE140" s="52"/>
      <c r="BF140" s="53"/>
    </row>
    <row r="141" spans="1:58" ht="12.95" customHeight="1">
      <c r="A141" s="42"/>
      <c r="B141" s="43"/>
      <c r="C141" s="398"/>
      <c r="D141" s="43"/>
      <c r="E141" s="44"/>
      <c r="F141" s="44"/>
      <c r="G141" s="45"/>
      <c r="H141" s="46"/>
      <c r="I141" s="47"/>
      <c r="J141" s="84"/>
      <c r="K141" s="84"/>
      <c r="L141" s="37"/>
      <c r="M141" s="37"/>
      <c r="N141" s="48"/>
      <c r="O141" s="49"/>
      <c r="P141" s="50"/>
      <c r="Q141" s="49"/>
      <c r="R141" s="367"/>
      <c r="S141" s="367"/>
      <c r="T141" s="39"/>
      <c r="U141" s="39"/>
      <c r="V141" s="39"/>
      <c r="W141" s="39"/>
      <c r="X141" s="40"/>
      <c r="Y141" s="211"/>
      <c r="Z141" s="39"/>
      <c r="AA141" s="39"/>
      <c r="AB141" s="39"/>
      <c r="AC141" s="39"/>
      <c r="AD141" s="39">
        <f t="shared" si="340"/>
        <v>15</v>
      </c>
      <c r="AE141" s="228" t="s">
        <v>469</v>
      </c>
      <c r="AF141" s="35"/>
      <c r="AG141" s="35"/>
      <c r="AH141" s="35">
        <v>15</v>
      </c>
      <c r="AI141" s="35"/>
      <c r="AJ141" s="39"/>
      <c r="AK141" s="39"/>
      <c r="AL141" s="39"/>
      <c r="AM141" s="39">
        <f t="shared" si="341"/>
        <v>15</v>
      </c>
      <c r="AN141" s="39"/>
      <c r="AO141" s="39"/>
      <c r="AP141" s="39"/>
      <c r="AQ141" s="39"/>
      <c r="AR141" s="39">
        <f t="shared" si="342"/>
        <v>0</v>
      </c>
      <c r="AS141" s="39"/>
      <c r="AT141" s="39"/>
      <c r="AU141" s="39"/>
      <c r="AV141" s="39"/>
      <c r="AW141" s="39"/>
      <c r="AX141" s="39"/>
      <c r="AY141" s="39"/>
      <c r="AZ141" s="39"/>
      <c r="BA141" s="39">
        <f t="shared" si="343"/>
        <v>0</v>
      </c>
      <c r="BB141" s="35"/>
      <c r="BC141" s="482"/>
      <c r="BD141" s="482"/>
      <c r="BE141" s="35"/>
      <c r="BF141" s="482"/>
    </row>
    <row r="142" spans="1:58" ht="12.95" customHeight="1">
      <c r="A142" s="42"/>
      <c r="B142" s="3"/>
      <c r="C142" s="398"/>
      <c r="D142" s="43"/>
      <c r="E142" s="244"/>
      <c r="F142" s="44"/>
      <c r="G142" s="45"/>
      <c r="H142" s="46"/>
      <c r="I142" s="47"/>
      <c r="J142" s="84"/>
      <c r="K142" s="84"/>
      <c r="L142" s="37"/>
      <c r="M142" s="37"/>
      <c r="N142" s="48"/>
      <c r="O142" s="49"/>
      <c r="P142" s="50"/>
      <c r="Q142" s="316"/>
      <c r="R142" s="52"/>
      <c r="S142" s="52"/>
      <c r="T142" s="39"/>
      <c r="U142" s="39"/>
      <c r="V142" s="39"/>
      <c r="W142" s="35"/>
      <c r="X142" s="40"/>
      <c r="Y142" s="40"/>
      <c r="Z142" s="35"/>
      <c r="AA142" s="51"/>
      <c r="AB142" s="51"/>
      <c r="AC142" s="39"/>
      <c r="AD142" s="39"/>
      <c r="AE142" s="228"/>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5"/>
      <c r="BC142" s="53"/>
      <c r="BD142" s="53"/>
      <c r="BE142" s="53"/>
      <c r="BF142" s="53"/>
    </row>
    <row r="143" spans="1:58" ht="12.75" customHeight="1">
      <c r="A143" s="42">
        <v>45869</v>
      </c>
      <c r="B143" s="43" t="s">
        <v>528</v>
      </c>
      <c r="C143" s="398">
        <f t="shared" ref="C143:C144" si="344">(M143*E143*O143*Q143)/100000000</f>
        <v>49.414973400000001</v>
      </c>
      <c r="D143" s="43" t="s">
        <v>737</v>
      </c>
      <c r="E143" s="44">
        <v>15.5</v>
      </c>
      <c r="F143" s="44">
        <v>1</v>
      </c>
      <c r="G143" s="411">
        <v>1170</v>
      </c>
      <c r="H143" s="46">
        <v>0.23</v>
      </c>
      <c r="I143" s="47">
        <v>0.88</v>
      </c>
      <c r="J143" s="84">
        <f t="shared" ref="J143:J144" si="345">E143*G143*(1-H143)*1440/1000000*2.74</f>
        <v>55.096161119999998</v>
      </c>
      <c r="K143" s="84">
        <f t="shared" ref="K143:K144" si="346">(IF(G143&lt;L143,L143,G143)*(1-IF(H143&lt;N143,H143,N143))*E143*O143*Q143)/100000000</f>
        <v>49.414973400000001</v>
      </c>
      <c r="L143" s="37">
        <v>1200</v>
      </c>
      <c r="M143" s="37">
        <v>936</v>
      </c>
      <c r="N143" s="48">
        <f t="shared" ref="N143:N144" si="347">1-(M143/L143)</f>
        <v>0.21999999999999997</v>
      </c>
      <c r="O143" s="49">
        <f>+'Trim Rwd'!H96</f>
        <v>261</v>
      </c>
      <c r="P143" s="50">
        <f t="shared" ref="P143:P144" si="348">O143*(Q143-R143-S143)</f>
        <v>335385</v>
      </c>
      <c r="Q143" s="49">
        <v>1305</v>
      </c>
      <c r="R143" s="367">
        <v>0</v>
      </c>
      <c r="S143" s="367">
        <v>20</v>
      </c>
      <c r="T143" s="39">
        <f t="shared" ref="T143:T144" si="349">E143*M143*O143*Q143/100000000</f>
        <v>49.414973400000001</v>
      </c>
      <c r="U143" s="39">
        <f t="shared" ref="U143:U144" si="350">E143*M143*O143*(Q143-R143-S143)/100000000</f>
        <v>48.657655800000001</v>
      </c>
      <c r="V143" s="39">
        <f t="shared" ref="V143:V144" si="351">E143*G143*(1-N143)*O143/100*(R143+S143)/1000000</f>
        <v>0.73838466000000003</v>
      </c>
      <c r="W143" s="39">
        <f>+'31'!K18/1000</f>
        <v>53.884999999999998</v>
      </c>
      <c r="X143" s="366">
        <f>SUM(W143:W145)/SUM(K143:K145)</f>
        <v>0.99336552476772166</v>
      </c>
      <c r="Y143" s="39">
        <f>+SUM(RBP!AG3:AG4)</f>
        <v>10.553000000000001</v>
      </c>
      <c r="Z143" s="39">
        <f>+'31'!D16/1000</f>
        <v>0.60599999999999998</v>
      </c>
      <c r="AA143" s="51">
        <f>SUM(U143:U145)-SUM(W143:W145)-SUM(Z143:Z145)-SUM(Y143:Y145)</f>
        <v>-11.735316909999996</v>
      </c>
      <c r="AB143" s="51">
        <f>(SUM(K143:K145)-SUM(W143:W145)-SUM(Y143:Y145)-SUM(Z143:Z145)-SUM(AC143:AC145)-SUM(V143:V145))-AA143</f>
        <v>1.8932939999995568E-2</v>
      </c>
      <c r="AC143" s="39">
        <f>K143-T143</f>
        <v>0</v>
      </c>
      <c r="AD143" s="39">
        <f>+AM143+BA143</f>
        <v>0</v>
      </c>
      <c r="AE143" s="228" t="s">
        <v>461</v>
      </c>
      <c r="AF143" s="39">
        <v>0</v>
      </c>
      <c r="AG143" s="39"/>
      <c r="AH143" s="39"/>
      <c r="AI143" s="39"/>
      <c r="AJ143" s="39"/>
      <c r="AK143" s="39"/>
      <c r="AL143" s="39"/>
      <c r="AM143" s="39">
        <f>SUM(AF143:AL143)+AT143+AV143+AX143</f>
        <v>0</v>
      </c>
      <c r="AN143" s="39"/>
      <c r="AO143" s="39"/>
      <c r="AP143" s="39"/>
      <c r="AQ143" s="39"/>
      <c r="AR143" s="39">
        <f>SUM(AN143:AQ143)</f>
        <v>0</v>
      </c>
      <c r="AS143" s="39"/>
      <c r="AT143" s="39"/>
      <c r="AU143" s="39"/>
      <c r="AV143" s="39"/>
      <c r="AW143" s="39"/>
      <c r="AX143" s="39"/>
      <c r="AY143" s="39"/>
      <c r="AZ143" s="39"/>
      <c r="BA143" s="39">
        <f>+AR143+AS143+AU143+AW143+AY143+AZ143</f>
        <v>0</v>
      </c>
      <c r="BB143" s="35">
        <v>0</v>
      </c>
      <c r="BC143" s="53"/>
      <c r="BD143" s="53"/>
      <c r="BE143" s="35"/>
      <c r="BF143" s="53"/>
    </row>
    <row r="144" spans="1:58" ht="12.95" customHeight="1">
      <c r="A144" s="42"/>
      <c r="B144" s="43" t="s">
        <v>528</v>
      </c>
      <c r="C144" s="398">
        <f t="shared" si="344"/>
        <v>4.8299129550000002</v>
      </c>
      <c r="D144" s="43" t="s">
        <v>737</v>
      </c>
      <c r="E144" s="44">
        <v>13.5</v>
      </c>
      <c r="F144" s="44">
        <v>1</v>
      </c>
      <c r="G144" s="411">
        <v>1260</v>
      </c>
      <c r="H144" s="46">
        <v>0.18</v>
      </c>
      <c r="I144" s="47">
        <v>0.88</v>
      </c>
      <c r="J144" s="84">
        <f t="shared" si="345"/>
        <v>55.034017920000004</v>
      </c>
      <c r="K144" s="84">
        <f t="shared" si="346"/>
        <v>4.8299129550000002</v>
      </c>
      <c r="L144" s="37">
        <v>1260</v>
      </c>
      <c r="M144" s="37">
        <v>1033.2</v>
      </c>
      <c r="N144" s="48">
        <f t="shared" si="347"/>
        <v>0.17999999999999994</v>
      </c>
      <c r="O144" s="49">
        <f>+'Trim Rwd'!H97</f>
        <v>256.5</v>
      </c>
      <c r="P144" s="50">
        <f t="shared" si="348"/>
        <v>33345</v>
      </c>
      <c r="Q144" s="49">
        <f>1440-Q143</f>
        <v>135</v>
      </c>
      <c r="R144" s="367">
        <v>0</v>
      </c>
      <c r="S144" s="367">
        <v>5</v>
      </c>
      <c r="T144" s="39">
        <f t="shared" si="349"/>
        <v>4.8299129550000002</v>
      </c>
      <c r="U144" s="39">
        <f t="shared" si="350"/>
        <v>4.6510272900000009</v>
      </c>
      <c r="V144" s="39">
        <f t="shared" si="351"/>
        <v>0.178885665</v>
      </c>
      <c r="W144" s="39">
        <f>+'30'!K23/1000</f>
        <v>0</v>
      </c>
      <c r="X144" s="40"/>
      <c r="Y144" s="211"/>
      <c r="Z144" s="39"/>
      <c r="AA144" s="39"/>
      <c r="AB144" s="39"/>
      <c r="AC144" s="39"/>
      <c r="AD144" s="39">
        <f t="shared" ref="AD144:AD145" si="352">+AM144+BA144</f>
        <v>6</v>
      </c>
      <c r="AE144" s="228" t="s">
        <v>468</v>
      </c>
      <c r="AF144" s="39"/>
      <c r="AG144" s="39">
        <v>6</v>
      </c>
      <c r="AH144" s="39"/>
      <c r="AI144" s="39"/>
      <c r="AJ144" s="39"/>
      <c r="AK144" s="39"/>
      <c r="AL144" s="39"/>
      <c r="AM144" s="39">
        <f t="shared" ref="AM144:AM145" si="353">SUM(AF144:AL144)+AT144+AV144+AX144</f>
        <v>6</v>
      </c>
      <c r="AN144" s="85"/>
      <c r="AO144" s="39"/>
      <c r="AP144" s="39"/>
      <c r="AQ144" s="39"/>
      <c r="AR144" s="39">
        <f t="shared" ref="AR144:AR145" si="354">SUM(AN144:AQ144)</f>
        <v>0</v>
      </c>
      <c r="AS144" s="39"/>
      <c r="AT144" s="39"/>
      <c r="AU144" s="39"/>
      <c r="AV144" s="39"/>
      <c r="AW144" s="39"/>
      <c r="AX144" s="39"/>
      <c r="AY144" s="39"/>
      <c r="AZ144" s="39"/>
      <c r="BA144" s="39">
        <f t="shared" ref="BA144:BA145" si="355">+AR144+AS144+AU144+AW144+AY144+AZ144</f>
        <v>0</v>
      </c>
      <c r="BB144" s="52"/>
      <c r="BC144" s="53">
        <v>4</v>
      </c>
      <c r="BD144" s="53"/>
      <c r="BE144" s="52"/>
      <c r="BF144" s="53"/>
    </row>
    <row r="145" spans="1:97" ht="12.95" customHeight="1">
      <c r="A145" s="42"/>
      <c r="B145" s="43"/>
      <c r="C145" s="398"/>
      <c r="D145" s="43"/>
      <c r="E145" s="44"/>
      <c r="F145" s="44"/>
      <c r="G145" s="45"/>
      <c r="H145" s="46"/>
      <c r="I145" s="47"/>
      <c r="J145" s="84"/>
      <c r="K145" s="84"/>
      <c r="L145" s="37"/>
      <c r="M145" s="37"/>
      <c r="N145" s="48"/>
      <c r="O145" s="49"/>
      <c r="P145" s="50"/>
      <c r="Q145" s="49"/>
      <c r="R145" s="367"/>
      <c r="S145" s="367"/>
      <c r="T145" s="39"/>
      <c r="U145" s="39"/>
      <c r="V145" s="39"/>
      <c r="W145" s="39"/>
      <c r="X145" s="40"/>
      <c r="Y145" s="211"/>
      <c r="Z145" s="39"/>
      <c r="AA145" s="39"/>
      <c r="AB145" s="39"/>
      <c r="AC145" s="39"/>
      <c r="AD145" s="39">
        <f t="shared" si="352"/>
        <v>19</v>
      </c>
      <c r="AE145" s="228" t="s">
        <v>469</v>
      </c>
      <c r="AF145" s="35"/>
      <c r="AG145" s="35"/>
      <c r="AH145" s="35">
        <v>19</v>
      </c>
      <c r="AI145" s="35"/>
      <c r="AJ145" s="39"/>
      <c r="AK145" s="39"/>
      <c r="AL145" s="39"/>
      <c r="AM145" s="39">
        <f t="shared" si="353"/>
        <v>19</v>
      </c>
      <c r="AN145" s="39"/>
      <c r="AO145" s="39"/>
      <c r="AP145" s="39"/>
      <c r="AQ145" s="39"/>
      <c r="AR145" s="39">
        <f t="shared" si="354"/>
        <v>0</v>
      </c>
      <c r="AS145" s="39"/>
      <c r="AT145" s="39"/>
      <c r="AU145" s="39"/>
      <c r="AV145" s="39"/>
      <c r="AW145" s="39"/>
      <c r="AX145" s="39"/>
      <c r="AY145" s="39"/>
      <c r="AZ145" s="39"/>
      <c r="BA145" s="39">
        <f t="shared" si="355"/>
        <v>0</v>
      </c>
      <c r="BB145" s="35"/>
      <c r="BC145" s="482"/>
      <c r="BD145" s="482"/>
      <c r="BE145" s="35"/>
      <c r="BF145" s="482"/>
    </row>
    <row r="146" spans="1:97" ht="12.95" customHeight="1">
      <c r="R146" s="368"/>
      <c r="S146" s="368"/>
      <c r="AA146" s="245">
        <f>U146-W146-Z146</f>
        <v>0</v>
      </c>
      <c r="AB146" s="245"/>
      <c r="AC146" s="246">
        <f>K146-T146</f>
        <v>0</v>
      </c>
      <c r="AD146" s="39"/>
      <c r="AF146" s="54"/>
      <c r="AG146" s="54"/>
      <c r="AH146" s="54"/>
      <c r="AI146" s="54"/>
      <c r="AJ146" s="54"/>
      <c r="AK146" s="54"/>
      <c r="AL146" s="54"/>
      <c r="AM146" s="39">
        <f t="shared" ref="AM146" si="356">SUM(AF146:AL146)</f>
        <v>0</v>
      </c>
      <c r="AN146" s="54"/>
      <c r="AO146" s="54"/>
      <c r="AP146" s="54"/>
      <c r="AQ146" s="54"/>
      <c r="AR146" s="39">
        <f t="shared" ref="AR146" si="357">SUM(AN146:AQ146)</f>
        <v>0</v>
      </c>
      <c r="AS146" s="54"/>
      <c r="AT146" s="54"/>
      <c r="AU146" s="54"/>
      <c r="AV146" s="54"/>
      <c r="AW146" s="54"/>
      <c r="AX146" s="54"/>
      <c r="AY146" s="54"/>
      <c r="AZ146" s="54"/>
      <c r="BA146" s="39"/>
      <c r="BB146" s="65"/>
      <c r="BC146" s="65"/>
      <c r="BD146" s="53"/>
      <c r="BE146" s="53"/>
      <c r="BF146" s="53"/>
    </row>
    <row r="147" spans="1:97" ht="12.95" customHeight="1">
      <c r="A147" s="58"/>
      <c r="B147" s="59"/>
      <c r="C147" s="399">
        <f>SUM(C6:C145)</f>
        <v>1521.1771880559052</v>
      </c>
      <c r="D147" s="59"/>
      <c r="E147" s="60"/>
      <c r="F147" s="60"/>
      <c r="G147" s="61"/>
      <c r="H147" s="61"/>
      <c r="I147" s="62">
        <v>0.85</v>
      </c>
      <c r="J147" s="84"/>
      <c r="K147" s="86">
        <f>SUM(K6:K145)</f>
        <v>1531.8520304164967</v>
      </c>
      <c r="L147" s="64"/>
      <c r="M147" s="64"/>
      <c r="N147" s="65"/>
      <c r="O147" s="66">
        <f>P147/(Q147-R147-S147)</f>
        <v>262.94913415933041</v>
      </c>
      <c r="P147" s="63">
        <f>SUM(P6:P145)</f>
        <v>11112230.409573304</v>
      </c>
      <c r="Q147" s="318">
        <f>SUM(Q6:Q146)</f>
        <v>44379</v>
      </c>
      <c r="R147" s="63">
        <f t="shared" ref="R147:W147" si="358">SUM(R6:R145)</f>
        <v>473</v>
      </c>
      <c r="S147" s="63">
        <f t="shared" si="358"/>
        <v>1646</v>
      </c>
      <c r="T147" s="63">
        <f t="shared" si="358"/>
        <v>1521.1771880559052</v>
      </c>
      <c r="U147" s="63">
        <f t="shared" si="358"/>
        <v>1452.5530406662551</v>
      </c>
      <c r="V147" s="343">
        <f t="shared" si="358"/>
        <v>69.992434974952474</v>
      </c>
      <c r="W147" s="414">
        <f t="shared" si="358"/>
        <v>1385.694</v>
      </c>
      <c r="X147" s="483">
        <f>W147/K147</f>
        <v>0.90458737037626424</v>
      </c>
      <c r="Y147" s="344">
        <f>SUM(Y6:Y145)</f>
        <v>10.553000000000001</v>
      </c>
      <c r="Z147" s="414">
        <f>SUM(Z6:Z145)</f>
        <v>7.5039999999999996</v>
      </c>
      <c r="AA147" s="63">
        <f>SUM(AA6:AA145)</f>
        <v>48.802040666255422</v>
      </c>
      <c r="AB147" s="63">
        <f>SUM(AB6:AB145)</f>
        <v>2.0443734170721446</v>
      </c>
      <c r="AC147" s="63">
        <f>SUM(AC6:AC145)</f>
        <v>7.2621813582162922</v>
      </c>
      <c r="AD147" s="39">
        <f>SUM(AD6:AD146)</f>
        <v>2119</v>
      </c>
      <c r="AE147" s="67"/>
      <c r="AF147" s="63">
        <f t="shared" ref="AF147:BF147" si="359">SUM(AF6:AF146)</f>
        <v>404</v>
      </c>
      <c r="AG147" s="63">
        <f t="shared" si="359"/>
        <v>376</v>
      </c>
      <c r="AH147" s="63">
        <f t="shared" si="359"/>
        <v>734</v>
      </c>
      <c r="AI147" s="63">
        <f t="shared" si="359"/>
        <v>0</v>
      </c>
      <c r="AJ147" s="63">
        <f t="shared" si="359"/>
        <v>73</v>
      </c>
      <c r="AK147" s="63">
        <f t="shared" si="359"/>
        <v>59</v>
      </c>
      <c r="AL147" s="63">
        <f t="shared" si="359"/>
        <v>0</v>
      </c>
      <c r="AM147" s="63">
        <f t="shared" si="359"/>
        <v>1646</v>
      </c>
      <c r="AN147" s="54">
        <f t="shared" si="359"/>
        <v>250</v>
      </c>
      <c r="AO147" s="54">
        <f t="shared" si="359"/>
        <v>0</v>
      </c>
      <c r="AP147" s="54">
        <f t="shared" si="359"/>
        <v>0</v>
      </c>
      <c r="AQ147" s="54">
        <f t="shared" si="359"/>
        <v>0</v>
      </c>
      <c r="AR147" s="63">
        <f t="shared" si="359"/>
        <v>250</v>
      </c>
      <c r="AS147" s="63">
        <f t="shared" si="359"/>
        <v>0</v>
      </c>
      <c r="AT147" s="63">
        <f t="shared" si="359"/>
        <v>0</v>
      </c>
      <c r="AU147" s="63">
        <f t="shared" si="359"/>
        <v>0</v>
      </c>
      <c r="AV147" s="63">
        <f t="shared" si="359"/>
        <v>0</v>
      </c>
      <c r="AW147" s="63">
        <f t="shared" si="359"/>
        <v>223</v>
      </c>
      <c r="AX147" s="63">
        <f t="shared" si="359"/>
        <v>0</v>
      </c>
      <c r="AY147" s="63">
        <f t="shared" si="359"/>
        <v>0</v>
      </c>
      <c r="AZ147" s="63">
        <f t="shared" si="359"/>
        <v>0</v>
      </c>
      <c r="BA147" s="63">
        <f t="shared" si="359"/>
        <v>473</v>
      </c>
      <c r="BB147" s="54">
        <f t="shared" si="359"/>
        <v>119</v>
      </c>
      <c r="BC147" s="54">
        <f t="shared" si="359"/>
        <v>255</v>
      </c>
      <c r="BD147" s="54">
        <f t="shared" si="359"/>
        <v>7</v>
      </c>
      <c r="BE147" s="54">
        <f t="shared" si="359"/>
        <v>0</v>
      </c>
      <c r="BF147" s="54">
        <f t="shared" si="359"/>
        <v>1</v>
      </c>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c r="CE147" s="29"/>
      <c r="CF147" s="29"/>
      <c r="CG147" s="29"/>
      <c r="CH147" s="29"/>
      <c r="CI147" s="29"/>
      <c r="CJ147" s="29"/>
      <c r="CK147" s="29"/>
      <c r="CL147" s="29"/>
      <c r="CM147" s="29"/>
      <c r="CN147" s="29"/>
      <c r="CO147" s="29"/>
      <c r="CP147" s="29"/>
      <c r="CQ147" s="29"/>
      <c r="CR147" s="29"/>
      <c r="CS147" s="29"/>
    </row>
    <row r="148" spans="1:97" ht="12.95" customHeight="1">
      <c r="A148" s="58"/>
      <c r="B148" s="59"/>
      <c r="C148" s="59"/>
      <c r="D148" s="59"/>
      <c r="E148" s="60"/>
      <c r="F148" s="60"/>
      <c r="G148" s="61"/>
      <c r="H148" s="61"/>
      <c r="I148" s="61"/>
      <c r="J148" s="87"/>
      <c r="K148" s="87"/>
      <c r="L148" s="64"/>
      <c r="M148" s="64"/>
      <c r="N148" s="65"/>
      <c r="O148" s="660"/>
      <c r="P148" s="661"/>
      <c r="Q148" s="61">
        <f>30*1440-Q147</f>
        <v>-1179</v>
      </c>
      <c r="R148" s="68">
        <f>R147/Q147</f>
        <v>1.0658194190946168E-2</v>
      </c>
      <c r="S148" s="68">
        <f>S147/Q147</f>
        <v>3.708961445728836E-2</v>
      </c>
      <c r="T148" s="329"/>
      <c r="U148" s="329"/>
      <c r="V148" s="331">
        <f>V147/K147</f>
        <v>4.5691381142029863E-2</v>
      </c>
      <c r="W148" s="348" t="s">
        <v>179</v>
      </c>
      <c r="X148" s="484">
        <v>0.85</v>
      </c>
      <c r="Y148" s="345">
        <f>Y147/K147</f>
        <v>6.8890465857402265E-3</v>
      </c>
      <c r="Z148" s="69">
        <f>Z147/K147</f>
        <v>4.8986454637917802E-3</v>
      </c>
      <c r="AA148" s="69">
        <f>AA147/K147</f>
        <v>3.1858194980481626E-2</v>
      </c>
      <c r="AB148" s="69">
        <f>AB147/K147</f>
        <v>1.3345763014175056E-3</v>
      </c>
      <c r="AC148" s="485">
        <f>AC147/K147</f>
        <v>4.74078515027445E-3</v>
      </c>
      <c r="AD148" s="332"/>
      <c r="AE148" s="41"/>
      <c r="AF148" s="69">
        <f>AF147/$AD$147*$V$148</f>
        <v>8.7113345830014451E-3</v>
      </c>
      <c r="AG148" s="69">
        <f>AG147/$AD$147*$V$148</f>
        <v>8.1075787208132275E-3</v>
      </c>
      <c r="AH148" s="69">
        <f>AH147/$AD$147*$V$148</f>
        <v>1.5827028673076886E-2</v>
      </c>
      <c r="AI148" s="69">
        <f>AI147/$AD$147*$V$148</f>
        <v>0</v>
      </c>
      <c r="AJ148" s="69">
        <f t="shared" ref="AJ148:BA148" si="360">AJ147/$AD$147*$V$148</f>
        <v>1.5740777835621426E-3</v>
      </c>
      <c r="AK148" s="69">
        <f t="shared" si="360"/>
        <v>1.2721998524680329E-3</v>
      </c>
      <c r="AL148" s="69">
        <f t="shared" si="360"/>
        <v>0</v>
      </c>
      <c r="AM148" s="69">
        <f t="shared" si="360"/>
        <v>3.5492219612921733E-2</v>
      </c>
      <c r="AN148" s="69">
        <f t="shared" si="360"/>
        <v>5.3906773409662413E-3</v>
      </c>
      <c r="AO148" s="69">
        <f t="shared" si="360"/>
        <v>0</v>
      </c>
      <c r="AP148" s="69">
        <f t="shared" si="360"/>
        <v>0</v>
      </c>
      <c r="AQ148" s="69">
        <f t="shared" si="360"/>
        <v>0</v>
      </c>
      <c r="AR148" s="69">
        <f t="shared" si="360"/>
        <v>5.3906773409662413E-3</v>
      </c>
      <c r="AS148" s="69">
        <f t="shared" si="360"/>
        <v>0</v>
      </c>
      <c r="AT148" s="69">
        <f t="shared" si="360"/>
        <v>0</v>
      </c>
      <c r="AU148" s="69">
        <f t="shared" si="360"/>
        <v>0</v>
      </c>
      <c r="AV148" s="69">
        <f t="shared" si="360"/>
        <v>0</v>
      </c>
      <c r="AW148" s="69">
        <f t="shared" si="360"/>
        <v>4.8084841881418875E-3</v>
      </c>
      <c r="AX148" s="69">
        <f t="shared" si="360"/>
        <v>0</v>
      </c>
      <c r="AY148" s="69">
        <f t="shared" si="360"/>
        <v>0</v>
      </c>
      <c r="AZ148" s="69">
        <f t="shared" si="360"/>
        <v>0</v>
      </c>
      <c r="BA148" s="69">
        <f t="shared" si="360"/>
        <v>1.0199161529108129E-2</v>
      </c>
      <c r="BB148" s="36" t="s">
        <v>178</v>
      </c>
      <c r="BC148" s="36" t="s">
        <v>178</v>
      </c>
      <c r="BD148" s="36" t="s">
        <v>417</v>
      </c>
      <c r="BE148" s="36" t="s">
        <v>417</v>
      </c>
      <c r="BF148" s="36" t="s">
        <v>417</v>
      </c>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c r="CE148" s="29"/>
      <c r="CF148" s="29"/>
      <c r="CG148" s="29"/>
      <c r="CH148" s="29"/>
      <c r="CI148" s="29"/>
      <c r="CJ148" s="29"/>
      <c r="CK148" s="29"/>
      <c r="CL148" s="29"/>
      <c r="CM148" s="29"/>
      <c r="CN148" s="29"/>
      <c r="CO148" s="29"/>
      <c r="CP148" s="29"/>
      <c r="CQ148" s="29"/>
      <c r="CR148" s="29"/>
      <c r="CS148" s="29"/>
    </row>
    <row r="149" spans="1:97" ht="12.95" customHeight="1">
      <c r="A149" s="58"/>
      <c r="B149" s="59"/>
      <c r="C149" s="59"/>
      <c r="D149" s="59"/>
      <c r="E149" s="60"/>
      <c r="F149" s="60"/>
      <c r="G149" s="36"/>
      <c r="H149" s="36"/>
      <c r="I149" s="36"/>
      <c r="J149" s="84"/>
      <c r="K149" s="84"/>
      <c r="L149" s="37"/>
      <c r="M149" s="37"/>
      <c r="N149" s="35"/>
      <c r="O149" s="38"/>
      <c r="P149" s="30"/>
      <c r="Q149" s="36"/>
      <c r="R149" s="39">
        <f>R147-(BA147)</f>
        <v>0</v>
      </c>
      <c r="S149" s="39">
        <f>S147-SUM(AF147:AL147)-AT147-AV147-AX147</f>
        <v>0</v>
      </c>
      <c r="T149" s="35"/>
      <c r="U149" s="35"/>
      <c r="V149" s="35"/>
      <c r="W149" s="346"/>
      <c r="X149" s="347"/>
      <c r="Y149" s="70">
        <f>+Y147-(SUM(RBP!AG3:AG4))</f>
        <v>0</v>
      </c>
      <c r="Z149" s="39"/>
      <c r="AA149" s="35"/>
      <c r="AB149" s="35"/>
      <c r="AC149" s="35"/>
      <c r="AD149" s="35"/>
      <c r="AE149" s="41"/>
      <c r="AF149" s="319"/>
      <c r="AG149" s="319"/>
      <c r="AH149" s="319"/>
      <c r="AI149" s="319"/>
      <c r="AJ149" s="79"/>
      <c r="AK149" s="79"/>
      <c r="AL149" s="79"/>
      <c r="AM149" s="79"/>
      <c r="AN149" s="79"/>
      <c r="AO149" s="79"/>
      <c r="AP149" s="79"/>
      <c r="AQ149" s="79"/>
      <c r="AR149" s="79"/>
      <c r="AS149" s="79"/>
      <c r="AT149" s="79"/>
      <c r="AU149" s="79"/>
      <c r="AV149" s="79"/>
      <c r="AW149" s="79"/>
      <c r="AX149" s="79"/>
      <c r="AY149" s="79"/>
      <c r="AZ149" s="79"/>
      <c r="BA149" s="79"/>
      <c r="BB149" s="486">
        <f>BB147/($Q$147/1440)/2</f>
        <v>1.9306428716284729</v>
      </c>
      <c r="BC149" s="486">
        <f>BC147/($Q$147/1440)/2</f>
        <v>4.1370918677752986</v>
      </c>
      <c r="BD149" s="486">
        <f>BD147/($Q$147/1440)</f>
        <v>0.22713445548570269</v>
      </c>
      <c r="BE149" s="486">
        <f>BE147/($Q$147/1440)</f>
        <v>0</v>
      </c>
      <c r="BF149" s="486">
        <f>BF147/($Q$147/1440)</f>
        <v>3.2447779355100383E-2</v>
      </c>
    </row>
    <row r="150" spans="1:97" ht="12.95" customHeight="1">
      <c r="A150" s="71"/>
      <c r="B150" s="72"/>
      <c r="C150" s="72"/>
      <c r="D150" s="72"/>
      <c r="E150" s="73"/>
      <c r="F150" s="73"/>
      <c r="G150" s="74"/>
      <c r="H150" s="74"/>
      <c r="I150" s="74"/>
      <c r="J150" s="88"/>
      <c r="K150" s="88"/>
      <c r="O150" s="75"/>
      <c r="P150" s="76"/>
      <c r="Q150" s="74"/>
      <c r="R150" s="55"/>
      <c r="S150" s="55"/>
      <c r="U150" s="77"/>
      <c r="V150" s="77"/>
      <c r="W150" s="78" t="s">
        <v>131</v>
      </c>
      <c r="X150" s="487">
        <f>W147/U147</f>
        <v>0.95397136022269569</v>
      </c>
      <c r="Y150" s="487"/>
      <c r="Z150" s="55"/>
      <c r="AD150" s="85"/>
      <c r="AE150" s="80"/>
      <c r="AF150" s="81"/>
      <c r="AG150" s="81"/>
      <c r="AH150" s="81"/>
      <c r="AI150" s="81"/>
      <c r="AJ150" s="81"/>
      <c r="AK150" s="81"/>
      <c r="AL150" s="81"/>
      <c r="AM150" s="81"/>
      <c r="AN150" s="79"/>
      <c r="AO150" s="79"/>
      <c r="AP150" s="79"/>
      <c r="AQ150" s="79"/>
      <c r="AR150" s="79"/>
      <c r="AS150" s="81"/>
      <c r="AT150" s="81"/>
      <c r="AU150" s="81"/>
      <c r="AV150" s="81"/>
      <c r="AW150" s="81"/>
      <c r="AX150" s="81"/>
      <c r="AY150" s="81"/>
      <c r="AZ150" s="81"/>
      <c r="BA150" s="79"/>
      <c r="BB150" s="29"/>
      <c r="BC150" s="79"/>
      <c r="BD150" s="79"/>
      <c r="BE150" s="29"/>
      <c r="BF150" s="79"/>
    </row>
    <row r="151" spans="1:97" ht="12.95" customHeight="1">
      <c r="A151" s="71"/>
      <c r="B151" s="72"/>
      <c r="C151" s="72"/>
      <c r="D151" s="72"/>
      <c r="E151" s="73"/>
      <c r="F151" s="73"/>
      <c r="G151" s="74"/>
      <c r="H151" s="74"/>
      <c r="I151" s="74"/>
      <c r="J151" s="88"/>
      <c r="K151" s="88"/>
      <c r="O151" s="75"/>
      <c r="P151" s="76"/>
      <c r="Q151" s="74"/>
      <c r="R151" s="55"/>
      <c r="S151" s="55"/>
      <c r="U151" s="77"/>
      <c r="V151" s="77"/>
      <c r="W151" s="78"/>
      <c r="X151" s="79"/>
      <c r="Y151" s="79"/>
      <c r="Z151" s="55"/>
      <c r="AA151" s="91"/>
      <c r="AB151" s="91"/>
      <c r="AD151" s="85"/>
      <c r="AE151" s="80"/>
      <c r="AF151" s="81"/>
      <c r="AG151" s="81"/>
      <c r="AH151" s="81"/>
      <c r="AI151" s="81"/>
      <c r="AJ151" s="81"/>
      <c r="AK151" s="81"/>
      <c r="AL151" s="81"/>
      <c r="AM151" s="81"/>
      <c r="AN151" s="81"/>
      <c r="AO151" s="79"/>
      <c r="AP151" s="79"/>
      <c r="AQ151" s="79"/>
      <c r="AR151" s="81"/>
      <c r="AS151" s="79"/>
      <c r="AT151" s="79"/>
      <c r="AU151" s="79"/>
      <c r="AV151" s="575">
        <f>+Efficiency1!AT147+Efficiency1!AU147+Efficiency1!AV147+Efficiency1!AW147+Efficiency1!AX147+Efficiency1!AY147+Efficiency1!AZ147</f>
        <v>484</v>
      </c>
      <c r="AW151" s="575">
        <f>+AT147+AU147+AV147+AW147+AX147+AY147+AZ147</f>
        <v>223</v>
      </c>
      <c r="AX151" s="79"/>
      <c r="AY151" s="79"/>
      <c r="AZ151" s="79"/>
      <c r="BA151" s="79"/>
      <c r="BB151" s="29"/>
      <c r="BC151" s="79"/>
      <c r="BD151" s="79"/>
      <c r="BE151" s="29"/>
      <c r="BF151" s="79"/>
    </row>
    <row r="152" spans="1:97" ht="12.95" customHeight="1">
      <c r="A152" s="71"/>
      <c r="B152" s="72"/>
      <c r="C152" s="72"/>
      <c r="D152" s="72"/>
      <c r="E152" s="73"/>
      <c r="F152" s="73"/>
      <c r="G152" s="74"/>
      <c r="H152" s="74"/>
      <c r="I152" s="74"/>
      <c r="J152" s="88"/>
      <c r="K152" s="88"/>
      <c r="O152" s="75"/>
      <c r="P152" s="76"/>
      <c r="Q152" s="74"/>
      <c r="R152" s="330"/>
      <c r="S152" s="55"/>
      <c r="U152" s="77"/>
      <c r="V152" s="77"/>
      <c r="W152" s="78" t="s">
        <v>154</v>
      </c>
      <c r="X152" s="319">
        <f>+W147+Y147</f>
        <v>1396.2470000000001</v>
      </c>
      <c r="Y152" s="79"/>
      <c r="Z152" s="55"/>
      <c r="AD152" s="85"/>
      <c r="AE152" s="80"/>
      <c r="AF152" s="85"/>
      <c r="AG152" s="85"/>
      <c r="AH152" s="85"/>
      <c r="AI152" s="85"/>
      <c r="AJ152" s="79"/>
      <c r="AK152" s="79"/>
      <c r="AL152" s="79"/>
      <c r="AM152" s="81"/>
      <c r="AN152" s="79"/>
      <c r="AO152" s="79"/>
      <c r="AP152" s="79"/>
      <c r="AQ152" s="79"/>
      <c r="AR152" s="81"/>
      <c r="AS152" s="79"/>
      <c r="AT152" s="79"/>
      <c r="AU152" s="79" t="s">
        <v>447</v>
      </c>
      <c r="AV152" s="575">
        <v>223</v>
      </c>
      <c r="AW152" s="79"/>
      <c r="AX152" s="79"/>
      <c r="AY152" s="79"/>
      <c r="AZ152" s="79"/>
      <c r="BA152" s="79"/>
      <c r="BB152" s="29"/>
      <c r="BC152" s="79"/>
      <c r="BD152" s="79"/>
      <c r="BE152" s="29"/>
      <c r="BF152" s="79"/>
    </row>
    <row r="153" spans="1:97" ht="12.95" customHeight="1">
      <c r="A153" s="71"/>
      <c r="C153" s="72" t="s">
        <v>304</v>
      </c>
      <c r="D153" s="72"/>
      <c r="E153" s="73"/>
      <c r="F153" s="73"/>
      <c r="G153" s="74"/>
      <c r="H153" s="74"/>
      <c r="I153" s="74"/>
      <c r="J153" s="88"/>
      <c r="K153" s="88"/>
      <c r="O153" s="75"/>
      <c r="P153" s="76"/>
      <c r="Q153" s="74"/>
      <c r="R153" s="330"/>
      <c r="S153" s="55"/>
      <c r="U153" s="77"/>
      <c r="V153" s="341"/>
      <c r="W153" s="342"/>
      <c r="X153" s="335"/>
      <c r="Y153" s="342"/>
      <c r="Z153" s="335"/>
      <c r="AD153" s="328"/>
      <c r="AE153" s="80"/>
      <c r="AF153" s="328"/>
      <c r="AG153" s="328"/>
      <c r="AH153" s="328"/>
      <c r="AI153" s="328"/>
      <c r="AJ153" s="79"/>
      <c r="AK153" s="79"/>
      <c r="AL153" s="79"/>
      <c r="AM153" s="79"/>
      <c r="AN153" s="79"/>
      <c r="AO153" s="79"/>
      <c r="AP153" s="79"/>
      <c r="AQ153" s="79"/>
      <c r="AR153" s="79"/>
      <c r="AS153" s="79"/>
      <c r="AT153" s="79"/>
      <c r="AU153" s="79" t="s">
        <v>446</v>
      </c>
      <c r="AV153" s="575">
        <f>+AV151-AV152</f>
        <v>261</v>
      </c>
      <c r="AW153" s="575">
        <f>+AW151-AV152</f>
        <v>0</v>
      </c>
      <c r="AX153" s="79"/>
      <c r="AY153" s="79"/>
      <c r="AZ153" s="79"/>
      <c r="BA153" s="79"/>
      <c r="BB153" s="29"/>
      <c r="BC153" s="79"/>
      <c r="BD153" s="79"/>
      <c r="BE153" s="29"/>
      <c r="BF153" s="79"/>
    </row>
    <row r="154" spans="1:97" ht="12.95" customHeight="1">
      <c r="A154" s="71"/>
      <c r="B154" s="72"/>
      <c r="C154" s="72" t="s">
        <v>305</v>
      </c>
      <c r="D154" s="72"/>
      <c r="E154" s="73"/>
      <c r="F154" s="73"/>
      <c r="G154" s="74"/>
      <c r="H154" s="74"/>
      <c r="I154" s="74"/>
      <c r="J154" s="88"/>
      <c r="K154" s="88"/>
      <c r="O154" s="75"/>
      <c r="P154" s="76"/>
      <c r="Q154" s="74"/>
      <c r="R154" s="330"/>
      <c r="S154" s="55"/>
      <c r="V154" s="333"/>
      <c r="W154" s="334" t="s">
        <v>310</v>
      </c>
      <c r="X154" s="333"/>
      <c r="Y154" s="333"/>
      <c r="Z154" s="335"/>
      <c r="AE154" s="80"/>
      <c r="AF154" s="55"/>
      <c r="AG154" s="55"/>
      <c r="AH154" s="55"/>
      <c r="AI154" s="55"/>
      <c r="AJ154" s="55"/>
      <c r="AK154" s="55"/>
      <c r="AL154" s="55"/>
      <c r="AM154" s="55"/>
      <c r="AN154" s="55"/>
      <c r="AO154" s="55"/>
      <c r="AP154" s="55"/>
      <c r="AQ154" s="55"/>
      <c r="AS154" s="55"/>
      <c r="AT154" s="55"/>
      <c r="AU154" s="55"/>
      <c r="AV154" s="576"/>
      <c r="AW154" s="576">
        <f>+AV153-Q148</f>
        <v>1440</v>
      </c>
      <c r="AX154" s="55"/>
      <c r="AY154" s="55"/>
      <c r="AZ154" s="55"/>
      <c r="BA154" s="55"/>
      <c r="BB154" s="29"/>
      <c r="BE154" s="29"/>
    </row>
    <row r="155" spans="1:97" ht="12.95" customHeight="1">
      <c r="A155" s="71"/>
      <c r="B155" s="72"/>
      <c r="C155" s="72"/>
      <c r="D155" s="72"/>
      <c r="E155" s="73"/>
      <c r="F155" s="73"/>
      <c r="G155" s="74"/>
      <c r="H155" s="74"/>
      <c r="I155" s="74"/>
      <c r="J155" s="88"/>
      <c r="K155" s="88"/>
      <c r="O155" s="75"/>
      <c r="P155" s="76"/>
      <c r="Q155" s="74"/>
      <c r="R155" s="330"/>
      <c r="S155" s="55"/>
      <c r="V155" s="333"/>
      <c r="W155" s="336" t="s">
        <v>303</v>
      </c>
      <c r="X155" s="340">
        <f>Y148</f>
        <v>6.8890465857402265E-3</v>
      </c>
      <c r="Y155" s="337"/>
      <c r="Z155" s="335"/>
      <c r="AE155" s="80"/>
      <c r="AF155" s="55"/>
      <c r="AG155" s="55"/>
      <c r="AH155" s="55"/>
      <c r="AI155" s="55"/>
      <c r="AJ155" s="55"/>
      <c r="AK155" s="55"/>
      <c r="AL155" s="55"/>
      <c r="AM155" s="55"/>
      <c r="AN155" s="55"/>
      <c r="AO155" s="55"/>
      <c r="AP155" s="55"/>
      <c r="AQ155" s="55"/>
      <c r="AS155" s="55"/>
      <c r="AT155" s="55"/>
      <c r="AU155" s="55"/>
      <c r="AV155" s="576"/>
      <c r="AW155" s="55"/>
      <c r="AX155" s="55"/>
      <c r="AY155" s="55"/>
      <c r="AZ155" s="55"/>
      <c r="BA155" s="55"/>
      <c r="BB155" s="29"/>
      <c r="BE155" s="29"/>
    </row>
    <row r="156" spans="1:97" ht="12.95" customHeight="1">
      <c r="R156" s="91"/>
      <c r="V156" s="333"/>
      <c r="W156" s="336" t="s">
        <v>158</v>
      </c>
      <c r="X156" s="339">
        <f>Z148</f>
        <v>4.8986454637917802E-3</v>
      </c>
      <c r="Y156" s="338"/>
      <c r="Z156" s="333"/>
    </row>
    <row r="157" spans="1:97" ht="12.95" customHeight="1">
      <c r="R157" s="91"/>
      <c r="V157" s="333"/>
      <c r="W157" s="336" t="s">
        <v>159</v>
      </c>
      <c r="X157" s="339">
        <f>AC148</f>
        <v>4.74078515027445E-3</v>
      </c>
      <c r="Y157" s="339"/>
      <c r="Z157" s="333"/>
    </row>
    <row r="158" spans="1:97" ht="12.95" customHeight="1">
      <c r="R158" s="91"/>
      <c r="V158" s="333"/>
      <c r="W158" s="336" t="s">
        <v>160</v>
      </c>
      <c r="X158" s="339">
        <f>AA148</f>
        <v>3.1858194980481626E-2</v>
      </c>
      <c r="Y158" s="338"/>
      <c r="Z158" s="333"/>
    </row>
    <row r="159" spans="1:97">
      <c r="V159" s="333"/>
      <c r="W159" s="336" t="s">
        <v>176</v>
      </c>
      <c r="X159" s="339">
        <f>AB148</f>
        <v>1.3345763014175056E-3</v>
      </c>
      <c r="Y159" s="338" t="s">
        <v>174</v>
      </c>
      <c r="Z159" s="333"/>
    </row>
    <row r="160" spans="1:97" s="29" customFormat="1" ht="12.95" customHeight="1">
      <c r="A160" s="31"/>
      <c r="B160" s="31"/>
      <c r="C160" s="31"/>
      <c r="D160" s="31"/>
      <c r="E160" s="31"/>
      <c r="F160" s="56"/>
      <c r="G160" s="31"/>
      <c r="H160" s="31"/>
      <c r="I160" s="31"/>
      <c r="J160" s="85"/>
      <c r="K160" s="85"/>
      <c r="L160" s="57"/>
      <c r="M160" s="57"/>
      <c r="N160" s="31"/>
      <c r="O160" s="31"/>
      <c r="P160" s="31"/>
      <c r="Q160" s="317"/>
      <c r="R160" s="31"/>
      <c r="S160" s="31"/>
      <c r="T160" s="31"/>
      <c r="U160" s="31"/>
      <c r="V160" s="333"/>
      <c r="W160" s="336" t="s">
        <v>226</v>
      </c>
      <c r="X160" s="339">
        <f>AF148</f>
        <v>8.7113345830014451E-3</v>
      </c>
      <c r="Y160" s="338"/>
      <c r="Z160" s="333"/>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31"/>
      <c r="CK160" s="31"/>
      <c r="CL160" s="31"/>
      <c r="CM160" s="31"/>
      <c r="CN160" s="31"/>
      <c r="CO160" s="31"/>
      <c r="CP160" s="31"/>
      <c r="CQ160" s="31"/>
      <c r="CR160" s="31"/>
      <c r="CS160" s="31"/>
    </row>
    <row r="161" spans="1:97" s="29" customFormat="1" ht="12.95" customHeight="1">
      <c r="A161" s="31"/>
      <c r="B161" s="31"/>
      <c r="C161" s="31"/>
      <c r="D161" s="31"/>
      <c r="E161" s="31"/>
      <c r="F161" s="56"/>
      <c r="G161" s="31"/>
      <c r="H161" s="31"/>
      <c r="I161" s="31"/>
      <c r="J161" s="85"/>
      <c r="K161" s="85"/>
      <c r="L161" s="57"/>
      <c r="M161" s="57"/>
      <c r="N161" s="31"/>
      <c r="O161" s="31"/>
      <c r="P161" s="31"/>
      <c r="Q161" s="317"/>
      <c r="R161" s="31"/>
      <c r="S161" s="31"/>
      <c r="T161" s="31"/>
      <c r="U161" s="31"/>
      <c r="V161" s="333"/>
      <c r="W161" s="336" t="s">
        <v>227</v>
      </c>
      <c r="X161" s="339">
        <f>+AG148</f>
        <v>8.1075787208132275E-3</v>
      </c>
      <c r="Y161" s="338"/>
      <c r="Z161" s="333"/>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31"/>
      <c r="CK161" s="31"/>
      <c r="CL161" s="31"/>
      <c r="CM161" s="31"/>
      <c r="CN161" s="31"/>
      <c r="CO161" s="31"/>
      <c r="CP161" s="31"/>
      <c r="CQ161" s="31"/>
      <c r="CR161" s="31"/>
      <c r="CS161" s="31"/>
    </row>
    <row r="162" spans="1:97" ht="12.95" customHeight="1">
      <c r="V162" s="333"/>
      <c r="W162" s="336" t="s">
        <v>228</v>
      </c>
      <c r="X162" s="339">
        <f>+AH148</f>
        <v>1.5827028673076886E-2</v>
      </c>
      <c r="Y162" s="338"/>
      <c r="Z162" s="333"/>
    </row>
    <row r="163" spans="1:97">
      <c r="V163" s="333"/>
      <c r="W163" s="336" t="s">
        <v>229</v>
      </c>
      <c r="X163" s="339">
        <f>+AI148</f>
        <v>0</v>
      </c>
      <c r="Y163" s="338"/>
      <c r="Z163" s="333"/>
    </row>
    <row r="164" spans="1:97">
      <c r="V164" s="333"/>
      <c r="W164" s="336" t="s">
        <v>167</v>
      </c>
      <c r="X164" s="339">
        <f>+AJ148</f>
        <v>1.5740777835621426E-3</v>
      </c>
      <c r="Y164" s="338"/>
      <c r="Z164" s="333"/>
    </row>
    <row r="165" spans="1:97">
      <c r="V165" s="333"/>
      <c r="W165" s="336" t="s">
        <v>169</v>
      </c>
      <c r="X165" s="339">
        <f>+AK148</f>
        <v>1.2721998524680329E-3</v>
      </c>
      <c r="Y165" s="338"/>
      <c r="Z165" s="333"/>
    </row>
    <row r="166" spans="1:97">
      <c r="V166" s="333"/>
      <c r="W166" s="336" t="s">
        <v>168</v>
      </c>
      <c r="X166" s="339">
        <f>+AL148</f>
        <v>0</v>
      </c>
      <c r="Y166" s="338"/>
      <c r="Z166" s="333"/>
    </row>
    <row r="167" spans="1:97">
      <c r="V167" s="333"/>
      <c r="W167" s="336" t="s">
        <v>161</v>
      </c>
      <c r="X167" s="339">
        <f>+AN148</f>
        <v>5.3906773409662413E-3</v>
      </c>
      <c r="Y167" s="338"/>
      <c r="Z167" s="333"/>
    </row>
    <row r="168" spans="1:97">
      <c r="V168" s="333"/>
      <c r="W168" s="336" t="s">
        <v>171</v>
      </c>
      <c r="X168" s="339">
        <f>+AO148</f>
        <v>0</v>
      </c>
      <c r="Y168" s="338"/>
      <c r="Z168" s="333"/>
    </row>
    <row r="169" spans="1:97">
      <c r="V169" s="333"/>
      <c r="W169" s="336" t="s">
        <v>162</v>
      </c>
      <c r="X169" s="339">
        <f>+AP148</f>
        <v>0</v>
      </c>
      <c r="Y169" s="338"/>
      <c r="Z169" s="333"/>
    </row>
    <row r="170" spans="1:97">
      <c r="V170" s="333"/>
      <c r="W170" s="336" t="s">
        <v>170</v>
      </c>
      <c r="X170" s="339">
        <f>+AQ148</f>
        <v>0</v>
      </c>
      <c r="Y170" s="338"/>
      <c r="Z170" s="333"/>
    </row>
    <row r="171" spans="1:97">
      <c r="V171" s="333"/>
      <c r="W171" s="336" t="s">
        <v>173</v>
      </c>
      <c r="X171" s="339">
        <f>+AS148</f>
        <v>0</v>
      </c>
      <c r="Y171" s="338"/>
      <c r="Z171" s="333"/>
    </row>
    <row r="172" spans="1:97">
      <c r="V172" s="333"/>
      <c r="W172" s="336" t="s">
        <v>306</v>
      </c>
      <c r="X172" s="339">
        <f>+AT148</f>
        <v>0</v>
      </c>
      <c r="Y172" s="338"/>
      <c r="Z172" s="333"/>
    </row>
    <row r="173" spans="1:97">
      <c r="V173" s="333"/>
      <c r="W173" s="336" t="s">
        <v>264</v>
      </c>
      <c r="X173" s="339">
        <f>+AU148</f>
        <v>0</v>
      </c>
      <c r="Y173" s="338"/>
      <c r="Z173" s="333"/>
    </row>
    <row r="174" spans="1:97">
      <c r="V174" s="333"/>
      <c r="W174" s="336" t="s">
        <v>311</v>
      </c>
      <c r="X174" s="339">
        <f>+AW148</f>
        <v>4.8084841881418875E-3</v>
      </c>
      <c r="Y174" s="338"/>
      <c r="Z174" s="333"/>
    </row>
    <row r="175" spans="1:97">
      <c r="V175" s="333"/>
      <c r="W175" s="336" t="s">
        <v>312</v>
      </c>
      <c r="X175" s="339">
        <f>+AV148</f>
        <v>0</v>
      </c>
      <c r="Y175" s="338"/>
      <c r="Z175" s="333"/>
    </row>
    <row r="176" spans="1:97">
      <c r="V176" s="333"/>
      <c r="W176" s="333" t="s">
        <v>172</v>
      </c>
      <c r="X176" s="339">
        <f>+AX148+AY148</f>
        <v>0</v>
      </c>
      <c r="Y176" s="339"/>
      <c r="Z176" s="333"/>
    </row>
    <row r="177" spans="22:26" s="31" customFormat="1">
      <c r="V177" s="333"/>
      <c r="W177" s="333" t="s">
        <v>313</v>
      </c>
      <c r="X177" s="339">
        <f>+AZ148</f>
        <v>0</v>
      </c>
      <c r="Y177" s="333"/>
      <c r="Z177" s="333"/>
    </row>
    <row r="178" spans="22:26" s="31" customFormat="1">
      <c r="V178" s="333"/>
      <c r="W178" s="333"/>
      <c r="X178" s="502">
        <f>SUM(X155:X177)</f>
        <v>9.5412629623735437E-2</v>
      </c>
      <c r="Y178" s="333"/>
      <c r="Z178" s="333"/>
    </row>
    <row r="180" spans="22:26" s="31" customFormat="1">
      <c r="X180" s="91">
        <f>+X178+X147</f>
        <v>0.99999999999999967</v>
      </c>
    </row>
    <row r="181" spans="22:26" s="31" customFormat="1"/>
    <row r="182" spans="22:26" s="31" customFormat="1"/>
    <row r="184" spans="22:26" s="31" customFormat="1"/>
    <row r="185" spans="22:26" s="31" customFormat="1"/>
    <row r="186" spans="22:26" s="31" customFormat="1" ht="12" customHeight="1"/>
    <row r="187" spans="22:26" s="31" customFormat="1" ht="12" customHeight="1"/>
    <row r="189" spans="22:26" s="31" customFormat="1" ht="12" customHeight="1"/>
    <row r="190" spans="22:26" s="31" customFormat="1" ht="12" customHeight="1"/>
  </sheetData>
  <mergeCells count="50">
    <mergeCell ref="F3:F5"/>
    <mergeCell ref="A3:A5"/>
    <mergeCell ref="B3:B5"/>
    <mergeCell ref="C3:C5"/>
    <mergeCell ref="D3:D5"/>
    <mergeCell ref="E3:E5"/>
    <mergeCell ref="G3:K4"/>
    <mergeCell ref="L3:N4"/>
    <mergeCell ref="O3:O5"/>
    <mergeCell ref="P3:P5"/>
    <mergeCell ref="Q3:Q5"/>
    <mergeCell ref="O148:P148"/>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BE3:BE5"/>
    <mergeCell ref="BF3:BF5"/>
    <mergeCell ref="AX3:AY3"/>
    <mergeCell ref="AZ3:AZ5"/>
    <mergeCell ref="BA3:BA5"/>
    <mergeCell ref="BB3:BB5"/>
    <mergeCell ref="BC3:BC5"/>
  </mergeCells>
  <conditionalFormatting sqref="C148 C146 B146:B148">
    <cfRule type="cellIs" dxfId="439" priority="6904" stopIfTrue="1" operator="equal">
      <formula>"Towel"</formula>
    </cfRule>
    <cfRule type="cellIs" dxfId="438" priority="6905" stopIfTrue="1" operator="equal">
      <formula>"Napkin Hs"</formula>
    </cfRule>
  </conditionalFormatting>
  <conditionalFormatting sqref="B47">
    <cfRule type="cellIs" dxfId="437" priority="375" stopIfTrue="1" operator="equal">
      <formula>"Towel"</formula>
    </cfRule>
    <cfRule type="cellIs" dxfId="436" priority="376" stopIfTrue="1" operator="equal">
      <formula>"Napkin Hs"</formula>
    </cfRule>
  </conditionalFormatting>
  <conditionalFormatting sqref="B63">
    <cfRule type="cellIs" dxfId="435" priority="357" stopIfTrue="1" operator="equal">
      <formula>"Towel"</formula>
    </cfRule>
    <cfRule type="cellIs" dxfId="434" priority="358" stopIfTrue="1" operator="equal">
      <formula>"Napkin Hs"</formula>
    </cfRule>
  </conditionalFormatting>
  <conditionalFormatting sqref="B76">
    <cfRule type="cellIs" dxfId="433" priority="339" stopIfTrue="1" operator="equal">
      <formula>"Towel"</formula>
    </cfRule>
    <cfRule type="cellIs" dxfId="432" priority="340" stopIfTrue="1" operator="equal">
      <formula>"Napkin Hs"</formula>
    </cfRule>
  </conditionalFormatting>
  <conditionalFormatting sqref="B85">
    <cfRule type="cellIs" dxfId="431" priority="325" stopIfTrue="1" operator="equal">
      <formula>"Towel"</formula>
    </cfRule>
    <cfRule type="cellIs" dxfId="430" priority="326" stopIfTrue="1" operator="equal">
      <formula>"Napkin Hs"</formula>
    </cfRule>
  </conditionalFormatting>
  <conditionalFormatting sqref="B97">
    <cfRule type="cellIs" dxfId="429" priority="305" stopIfTrue="1" operator="equal">
      <formula>"Towel"</formula>
    </cfRule>
    <cfRule type="cellIs" dxfId="428" priority="306" stopIfTrue="1" operator="equal">
      <formula>"Napkin Hs"</formula>
    </cfRule>
  </conditionalFormatting>
  <conditionalFormatting sqref="B101">
    <cfRule type="cellIs" dxfId="427" priority="93" stopIfTrue="1" operator="equal">
      <formula>"Towel"</formula>
    </cfRule>
    <cfRule type="cellIs" dxfId="426" priority="94" stopIfTrue="1" operator="equal">
      <formula>"Napkin Hs"</formula>
    </cfRule>
  </conditionalFormatting>
  <conditionalFormatting sqref="B105">
    <cfRule type="cellIs" dxfId="425" priority="285" stopIfTrue="1" operator="equal">
      <formula>"Towel"</formula>
    </cfRule>
    <cfRule type="cellIs" dxfId="424" priority="286" stopIfTrue="1" operator="equal">
      <formula>"Napkin Hs"</formula>
    </cfRule>
  </conditionalFormatting>
  <conditionalFormatting sqref="B134">
    <cfRule type="cellIs" dxfId="423" priority="257" stopIfTrue="1" operator="equal">
      <formula>"Towel"</formula>
    </cfRule>
    <cfRule type="cellIs" dxfId="422" priority="258" stopIfTrue="1" operator="equal">
      <formula>"Napkin Hs"</formula>
    </cfRule>
  </conditionalFormatting>
  <conditionalFormatting sqref="B8:C10 B138:C138">
    <cfRule type="cellIs" dxfId="421" priority="433" stopIfTrue="1" operator="equal">
      <formula>"Towel"</formula>
    </cfRule>
    <cfRule type="cellIs" dxfId="420" priority="434" stopIfTrue="1" operator="equal">
      <formula>"Napkin Hs"</formula>
    </cfRule>
  </conditionalFormatting>
  <conditionalFormatting sqref="B14:C17">
    <cfRule type="cellIs" dxfId="419" priority="250" stopIfTrue="1" operator="equal">
      <formula>"Towel"</formula>
    </cfRule>
    <cfRule type="cellIs" dxfId="418" priority="251" stopIfTrue="1" operator="equal">
      <formula>"Napkin Hs"</formula>
    </cfRule>
  </conditionalFormatting>
  <conditionalFormatting sqref="B18:C18">
    <cfRule type="cellIs" dxfId="417" priority="254" stopIfTrue="1" operator="equal">
      <formula>"Towel"</formula>
    </cfRule>
    <cfRule type="cellIs" dxfId="416" priority="255" stopIfTrue="1" operator="equal">
      <formula>"Napkin Hs"</formula>
    </cfRule>
  </conditionalFormatting>
  <conditionalFormatting sqref="B21:C23">
    <cfRule type="cellIs" dxfId="415" priority="243" stopIfTrue="1" operator="equal">
      <formula>"Towel"</formula>
    </cfRule>
    <cfRule type="cellIs" dxfId="414" priority="244" stopIfTrue="1" operator="equal">
      <formula>"Napkin Hs"</formula>
    </cfRule>
  </conditionalFormatting>
  <conditionalFormatting sqref="B27:C28">
    <cfRule type="cellIs" dxfId="413" priority="236" stopIfTrue="1" operator="equal">
      <formula>"Towel"</formula>
    </cfRule>
    <cfRule type="cellIs" dxfId="412" priority="237" stopIfTrue="1" operator="equal">
      <formula>"Napkin Hs"</formula>
    </cfRule>
  </conditionalFormatting>
  <conditionalFormatting sqref="B34:C34">
    <cfRule type="cellIs" dxfId="411" priority="429" stopIfTrue="1" operator="equal">
      <formula>"Towel"</formula>
    </cfRule>
    <cfRule type="cellIs" dxfId="410" priority="430" stopIfTrue="1" operator="equal">
      <formula>"Napkin Hs"</formula>
    </cfRule>
  </conditionalFormatting>
  <conditionalFormatting sqref="B37:C37">
    <cfRule type="cellIs" dxfId="409" priority="228" stopIfTrue="1" operator="equal">
      <formula>"Towel"</formula>
    </cfRule>
    <cfRule type="cellIs" dxfId="408" priority="229" stopIfTrue="1" operator="equal">
      <formula>"Napkin Hs"</formula>
    </cfRule>
  </conditionalFormatting>
  <conditionalFormatting sqref="B38:C38">
    <cfRule type="cellIs" dxfId="407" priority="423" stopIfTrue="1" operator="equal">
      <formula>"Towel"</formula>
    </cfRule>
    <cfRule type="cellIs" dxfId="406" priority="424" stopIfTrue="1" operator="equal">
      <formula>"Napkin Hs"</formula>
    </cfRule>
  </conditionalFormatting>
  <conditionalFormatting sqref="B41:C41">
    <cfRule type="cellIs" dxfId="405" priority="221" stopIfTrue="1" operator="equal">
      <formula>"Towel"</formula>
    </cfRule>
    <cfRule type="cellIs" dxfId="404" priority="222" stopIfTrue="1" operator="equal">
      <formula>"Napkin Hs"</formula>
    </cfRule>
  </conditionalFormatting>
  <conditionalFormatting sqref="B42:C42">
    <cfRule type="cellIs" dxfId="403" priority="419" stopIfTrue="1" operator="equal">
      <formula>"Towel"</formula>
    </cfRule>
    <cfRule type="cellIs" dxfId="402" priority="420" stopIfTrue="1" operator="equal">
      <formula>"Napkin Hs"</formula>
    </cfRule>
  </conditionalFormatting>
  <conditionalFormatting sqref="B46:C46">
    <cfRule type="cellIs" dxfId="401" priority="214" stopIfTrue="1" operator="equal">
      <formula>"Towel"</formula>
    </cfRule>
    <cfRule type="cellIs" dxfId="400" priority="215" stopIfTrue="1" operator="equal">
      <formula>"Napkin Hs"</formula>
    </cfRule>
  </conditionalFormatting>
  <conditionalFormatting sqref="B47:C47">
    <cfRule type="cellIs" dxfId="399" priority="377" stopIfTrue="1" operator="equal">
      <formula>"Towel"</formula>
    </cfRule>
    <cfRule type="cellIs" dxfId="398" priority="378" stopIfTrue="1" operator="equal">
      <formula>"Napkin Hs"</formula>
    </cfRule>
  </conditionalFormatting>
  <conditionalFormatting sqref="B50:C50">
    <cfRule type="cellIs" dxfId="397" priority="203" stopIfTrue="1" operator="equal">
      <formula>"Towel"</formula>
    </cfRule>
    <cfRule type="cellIs" dxfId="396" priority="204" stopIfTrue="1" operator="equal">
      <formula>"Napkin Hs"</formula>
    </cfRule>
  </conditionalFormatting>
  <conditionalFormatting sqref="B51:C51">
    <cfRule type="cellIs" dxfId="395" priority="207" stopIfTrue="1" operator="equal">
      <formula>"Towel"</formula>
    </cfRule>
    <cfRule type="cellIs" dxfId="394" priority="208" stopIfTrue="1" operator="equal">
      <formula>"Napkin Hs"</formula>
    </cfRule>
  </conditionalFormatting>
  <conditionalFormatting sqref="B54:C54">
    <cfRule type="cellIs" dxfId="393" priority="196" stopIfTrue="1" operator="equal">
      <formula>"Towel"</formula>
    </cfRule>
    <cfRule type="cellIs" dxfId="392" priority="197" stopIfTrue="1" operator="equal">
      <formula>"Napkin Hs"</formula>
    </cfRule>
  </conditionalFormatting>
  <conditionalFormatting sqref="B55:C55">
    <cfRule type="cellIs" dxfId="391" priority="373" stopIfTrue="1" operator="equal">
      <formula>"Towel"</formula>
    </cfRule>
    <cfRule type="cellIs" dxfId="390" priority="374" stopIfTrue="1" operator="equal">
      <formula>"Napkin Hs"</formula>
    </cfRule>
  </conditionalFormatting>
  <conditionalFormatting sqref="B58:C58">
    <cfRule type="cellIs" dxfId="389" priority="185" stopIfTrue="1" operator="equal">
      <formula>"Towel"</formula>
    </cfRule>
    <cfRule type="cellIs" dxfId="388" priority="186" stopIfTrue="1" operator="equal">
      <formula>"Napkin Hs"</formula>
    </cfRule>
  </conditionalFormatting>
  <conditionalFormatting sqref="B59:C59">
    <cfRule type="cellIs" dxfId="387" priority="189" stopIfTrue="1" operator="equal">
      <formula>"Towel"</formula>
    </cfRule>
    <cfRule type="cellIs" dxfId="386" priority="190" stopIfTrue="1" operator="equal">
      <formula>"Napkin Hs"</formula>
    </cfRule>
  </conditionalFormatting>
  <conditionalFormatting sqref="B62:C62">
    <cfRule type="cellIs" dxfId="385" priority="178" stopIfTrue="1" operator="equal">
      <formula>"Towel"</formula>
    </cfRule>
    <cfRule type="cellIs" dxfId="384" priority="179" stopIfTrue="1" operator="equal">
      <formula>"Napkin Hs"</formula>
    </cfRule>
  </conditionalFormatting>
  <conditionalFormatting sqref="B63:C63">
    <cfRule type="cellIs" dxfId="383" priority="359" stopIfTrue="1" operator="equal">
      <formula>"Towel"</formula>
    </cfRule>
    <cfRule type="cellIs" dxfId="382" priority="360" stopIfTrue="1" operator="equal">
      <formula>"Napkin Hs"</formula>
    </cfRule>
  </conditionalFormatting>
  <conditionalFormatting sqref="B66:C67">
    <cfRule type="cellIs" dxfId="381" priority="171" stopIfTrue="1" operator="equal">
      <formula>"Towel"</formula>
    </cfRule>
    <cfRule type="cellIs" dxfId="380" priority="172" stopIfTrue="1" operator="equal">
      <formula>"Napkin Hs"</formula>
    </cfRule>
  </conditionalFormatting>
  <conditionalFormatting sqref="B68:C68">
    <cfRule type="cellIs" dxfId="379" priority="355" stopIfTrue="1" operator="equal">
      <formula>"Towel"</formula>
    </cfRule>
    <cfRule type="cellIs" dxfId="378" priority="356" stopIfTrue="1" operator="equal">
      <formula>"Napkin Hs"</formula>
    </cfRule>
  </conditionalFormatting>
  <conditionalFormatting sqref="B71:C71">
    <cfRule type="cellIs" dxfId="377" priority="164" stopIfTrue="1" operator="equal">
      <formula>"Towel"</formula>
    </cfRule>
    <cfRule type="cellIs" dxfId="376" priority="165" stopIfTrue="1" operator="equal">
      <formula>"Napkin Hs"</formula>
    </cfRule>
  </conditionalFormatting>
  <conditionalFormatting sqref="B72:C72">
    <cfRule type="cellIs" dxfId="375" priority="415" stopIfTrue="1" operator="equal">
      <formula>"Towel"</formula>
    </cfRule>
    <cfRule type="cellIs" dxfId="374" priority="416" stopIfTrue="1" operator="equal">
      <formula>"Napkin Hs"</formula>
    </cfRule>
  </conditionalFormatting>
  <conditionalFormatting sqref="B75:C75">
    <cfRule type="cellIs" dxfId="373" priority="157" stopIfTrue="1" operator="equal">
      <formula>"Towel"</formula>
    </cfRule>
    <cfRule type="cellIs" dxfId="372" priority="158" stopIfTrue="1" operator="equal">
      <formula>"Napkin Hs"</formula>
    </cfRule>
  </conditionalFormatting>
  <conditionalFormatting sqref="B76:C76">
    <cfRule type="cellIs" dxfId="371" priority="341" stopIfTrue="1" operator="equal">
      <formula>"Towel"</formula>
    </cfRule>
    <cfRule type="cellIs" dxfId="370" priority="342" stopIfTrue="1" operator="equal">
      <formula>"Napkin Hs"</formula>
    </cfRule>
  </conditionalFormatting>
  <conditionalFormatting sqref="B79:C79">
    <cfRule type="cellIs" dxfId="369" priority="150" stopIfTrue="1" operator="equal">
      <formula>"Towel"</formula>
    </cfRule>
    <cfRule type="cellIs" dxfId="368" priority="151" stopIfTrue="1" operator="equal">
      <formula>"Napkin Hs"</formula>
    </cfRule>
  </conditionalFormatting>
  <conditionalFormatting sqref="B80:C80">
    <cfRule type="cellIs" dxfId="367" priority="411" stopIfTrue="1" operator="equal">
      <formula>"Towel"</formula>
    </cfRule>
    <cfRule type="cellIs" dxfId="366" priority="412" stopIfTrue="1" operator="equal">
      <formula>"Napkin Hs"</formula>
    </cfRule>
  </conditionalFormatting>
  <conditionalFormatting sqref="B82:C82">
    <cfRule type="cellIs" dxfId="365" priority="139" stopIfTrue="1" operator="equal">
      <formula>"Towel"</formula>
    </cfRule>
    <cfRule type="cellIs" dxfId="364" priority="140" stopIfTrue="1" operator="equal">
      <formula>"Napkin Hs"</formula>
    </cfRule>
  </conditionalFormatting>
  <conditionalFormatting sqref="B83:C83">
    <cfRule type="cellIs" dxfId="363" priority="143" stopIfTrue="1" operator="equal">
      <formula>"Towel"</formula>
    </cfRule>
    <cfRule type="cellIs" dxfId="362" priority="144" stopIfTrue="1" operator="equal">
      <formula>"Napkin Hs"</formula>
    </cfRule>
  </conditionalFormatting>
  <conditionalFormatting sqref="B85:C85">
    <cfRule type="cellIs" dxfId="361" priority="327" stopIfTrue="1" operator="equal">
      <formula>"Towel"</formula>
    </cfRule>
    <cfRule type="cellIs" dxfId="360" priority="328" stopIfTrue="1" operator="equal">
      <formula>"Napkin Hs"</formula>
    </cfRule>
  </conditionalFormatting>
  <conditionalFormatting sqref="B88:C88">
    <cfRule type="cellIs" dxfId="359" priority="132" stopIfTrue="1" operator="equal">
      <formula>"Towel"</formula>
    </cfRule>
    <cfRule type="cellIs" dxfId="358" priority="133" stopIfTrue="1" operator="equal">
      <formula>"Napkin Hs"</formula>
    </cfRule>
  </conditionalFormatting>
  <conditionalFormatting sqref="B89:C89">
    <cfRule type="cellIs" dxfId="357" priority="407" stopIfTrue="1" operator="equal">
      <formula>"Towel"</formula>
    </cfRule>
    <cfRule type="cellIs" dxfId="356" priority="408" stopIfTrue="1" operator="equal">
      <formula>"Napkin Hs"</formula>
    </cfRule>
  </conditionalFormatting>
  <conditionalFormatting sqref="B92:C92">
    <cfRule type="cellIs" dxfId="355" priority="125" stopIfTrue="1" operator="equal">
      <formula>"Towel"</formula>
    </cfRule>
    <cfRule type="cellIs" dxfId="354" priority="126" stopIfTrue="1" operator="equal">
      <formula>"Napkin Hs"</formula>
    </cfRule>
  </conditionalFormatting>
  <conditionalFormatting sqref="B93:C93">
    <cfRule type="cellIs" dxfId="353" priority="403" stopIfTrue="1" operator="equal">
      <formula>"Towel"</formula>
    </cfRule>
    <cfRule type="cellIs" dxfId="352" priority="404" stopIfTrue="1" operator="equal">
      <formula>"Napkin Hs"</formula>
    </cfRule>
  </conditionalFormatting>
  <conditionalFormatting sqref="B96:C96">
    <cfRule type="cellIs" dxfId="351" priority="118" stopIfTrue="1" operator="equal">
      <formula>"Towel"</formula>
    </cfRule>
    <cfRule type="cellIs" dxfId="350" priority="119" stopIfTrue="1" operator="equal">
      <formula>"Napkin Hs"</formula>
    </cfRule>
  </conditionalFormatting>
  <conditionalFormatting sqref="B97:C97">
    <cfRule type="cellIs" dxfId="349" priority="307" stopIfTrue="1" operator="equal">
      <formula>"Towel"</formula>
    </cfRule>
    <cfRule type="cellIs" dxfId="348" priority="308" stopIfTrue="1" operator="equal">
      <formula>"Napkin Hs"</formula>
    </cfRule>
    <cfRule type="cellIs" dxfId="347" priority="323" stopIfTrue="1" operator="equal">
      <formula>"Towel"</formula>
    </cfRule>
    <cfRule type="cellIs" dxfId="346" priority="324" stopIfTrue="1" operator="equal">
      <formula>"Napkin Hs"</formula>
    </cfRule>
  </conditionalFormatting>
  <conditionalFormatting sqref="B100:C100">
    <cfRule type="cellIs" dxfId="345" priority="91" stopIfTrue="1" operator="equal">
      <formula>"Towel"</formula>
    </cfRule>
    <cfRule type="cellIs" dxfId="344" priority="92" stopIfTrue="1" operator="equal">
      <formula>"Napkin Hs"</formula>
    </cfRule>
  </conditionalFormatting>
  <conditionalFormatting sqref="B101:C101">
    <cfRule type="cellIs" dxfId="343" priority="95" stopIfTrue="1" operator="equal">
      <formula>"Towel"</formula>
    </cfRule>
    <cfRule type="cellIs" dxfId="342" priority="96" stopIfTrue="1" operator="equal">
      <formula>"Napkin Hs"</formula>
    </cfRule>
    <cfRule type="cellIs" dxfId="341" priority="111" stopIfTrue="1" operator="equal">
      <formula>"Towel"</formula>
    </cfRule>
    <cfRule type="cellIs" dxfId="340" priority="112" stopIfTrue="1" operator="equal">
      <formula>"Napkin Hs"</formula>
    </cfRule>
  </conditionalFormatting>
  <conditionalFormatting sqref="B104:C104">
    <cfRule type="cellIs" dxfId="339" priority="84" stopIfTrue="1" operator="equal">
      <formula>"Towel"</formula>
    </cfRule>
    <cfRule type="cellIs" dxfId="338" priority="85" stopIfTrue="1" operator="equal">
      <formula>"Napkin Hs"</formula>
    </cfRule>
  </conditionalFormatting>
  <conditionalFormatting sqref="B105:C105">
    <cfRule type="cellIs" dxfId="337" priority="287" stopIfTrue="1" operator="equal">
      <formula>"Towel"</formula>
    </cfRule>
    <cfRule type="cellIs" dxfId="336" priority="288" stopIfTrue="1" operator="equal">
      <formula>"Napkin Hs"</formula>
    </cfRule>
    <cfRule type="cellIs" dxfId="335" priority="303" stopIfTrue="1" operator="equal">
      <formula>"Towel"</formula>
    </cfRule>
    <cfRule type="cellIs" dxfId="334" priority="304" stopIfTrue="1" operator="equal">
      <formula>"Napkin Hs"</formula>
    </cfRule>
  </conditionalFormatting>
  <conditionalFormatting sqref="B109:C110">
    <cfRule type="cellIs" dxfId="333" priority="77" stopIfTrue="1" operator="equal">
      <formula>"Towel"</formula>
    </cfRule>
    <cfRule type="cellIs" dxfId="332" priority="78" stopIfTrue="1" operator="equal">
      <formula>"Napkin Hs"</formula>
    </cfRule>
  </conditionalFormatting>
  <conditionalFormatting sqref="B114:C116">
    <cfRule type="cellIs" dxfId="331" priority="71" stopIfTrue="1" operator="equal">
      <formula>"Towel"</formula>
    </cfRule>
    <cfRule type="cellIs" dxfId="330" priority="72" stopIfTrue="1" operator="equal">
      <formula>"Napkin Hs"</formula>
    </cfRule>
  </conditionalFormatting>
  <conditionalFormatting sqref="B121:C121">
    <cfRule type="cellIs" dxfId="329" priority="397" stopIfTrue="1" operator="equal">
      <formula>"Towel"</formula>
    </cfRule>
    <cfRule type="cellIs" dxfId="328" priority="398" stopIfTrue="1" operator="equal">
      <formula>"Napkin Hs"</formula>
    </cfRule>
  </conditionalFormatting>
  <conditionalFormatting sqref="B126:C126">
    <cfRule type="cellIs" dxfId="327" priority="393" stopIfTrue="1" operator="equal">
      <formula>"Towel"</formula>
    </cfRule>
    <cfRule type="cellIs" dxfId="326" priority="394" stopIfTrue="1" operator="equal">
      <formula>"Napkin Hs"</formula>
    </cfRule>
  </conditionalFormatting>
  <conditionalFormatting sqref="B134:C134">
    <cfRule type="cellIs" dxfId="325" priority="259" stopIfTrue="1" operator="equal">
      <formula>"Towel"</formula>
    </cfRule>
    <cfRule type="cellIs" dxfId="324" priority="260" stopIfTrue="1" operator="equal">
      <formula>"Napkin Hs"</formula>
    </cfRule>
    <cfRule type="cellIs" dxfId="323" priority="275" stopIfTrue="1" operator="equal">
      <formula>"Towel"</formula>
    </cfRule>
    <cfRule type="cellIs" dxfId="322" priority="276" stopIfTrue="1" operator="equal">
      <formula>"Napkin Hs"</formula>
    </cfRule>
  </conditionalFormatting>
  <conditionalFormatting sqref="C6:C7">
    <cfRule type="cellIs" dxfId="321" priority="256" stopIfTrue="1" operator="equal">
      <formula>"Napkin Hs"</formula>
    </cfRule>
  </conditionalFormatting>
  <conditionalFormatting sqref="C8:C10 C138">
    <cfRule type="cellIs" dxfId="320" priority="431" stopIfTrue="1" operator="equal">
      <formula>"Towel"</formula>
    </cfRule>
    <cfRule type="cellIs" dxfId="319" priority="432" stopIfTrue="1" operator="equal">
      <formula>"Napkin Hs"</formula>
    </cfRule>
  </conditionalFormatting>
  <conditionalFormatting sqref="C8:C10">
    <cfRule type="cellIs" dxfId="318" priority="389" stopIfTrue="1" operator="equal">
      <formula>"Towel"</formula>
    </cfRule>
    <cfRule type="cellIs" dxfId="317" priority="390" stopIfTrue="1" operator="equal">
      <formula>"Napkin Hs"</formula>
    </cfRule>
  </conditionalFormatting>
  <conditionalFormatting sqref="C11:C13">
    <cfRule type="cellIs" dxfId="316" priority="245" stopIfTrue="1" operator="equal">
      <formula>"Napkin Hs"</formula>
    </cfRule>
  </conditionalFormatting>
  <conditionalFormatting sqref="C14:C17">
    <cfRule type="cellIs" dxfId="315" priority="246" stopIfTrue="1" operator="equal">
      <formula>"Towel"</formula>
    </cfRule>
    <cfRule type="cellIs" dxfId="314" priority="247" stopIfTrue="1" operator="equal">
      <formula>"Napkin Hs"</formula>
    </cfRule>
  </conditionalFormatting>
  <conditionalFormatting sqref="C14:C18">
    <cfRule type="cellIs" dxfId="313" priority="248" stopIfTrue="1" operator="equal">
      <formula>"Towel"</formula>
    </cfRule>
    <cfRule type="cellIs" dxfId="312" priority="249" stopIfTrue="1" operator="equal">
      <formula>"Napkin Hs"</formula>
    </cfRule>
  </conditionalFormatting>
  <conditionalFormatting sqref="C18">
    <cfRule type="cellIs" dxfId="311" priority="252" stopIfTrue="1" operator="equal">
      <formula>"Towel"</formula>
    </cfRule>
    <cfRule type="cellIs" dxfId="310" priority="253" stopIfTrue="1" operator="equal">
      <formula>"Napkin Hs"</formula>
    </cfRule>
  </conditionalFormatting>
  <conditionalFormatting sqref="C19:C20">
    <cfRule type="cellIs" dxfId="309" priority="238" stopIfTrue="1" operator="equal">
      <formula>"Napkin Hs"</formula>
    </cfRule>
  </conditionalFormatting>
  <conditionalFormatting sqref="C21:C23">
    <cfRule type="cellIs" dxfId="308" priority="239" stopIfTrue="1" operator="equal">
      <formula>"Towel"</formula>
    </cfRule>
    <cfRule type="cellIs" dxfId="307" priority="240" stopIfTrue="1" operator="equal">
      <formula>"Napkin Hs"</formula>
    </cfRule>
    <cfRule type="cellIs" dxfId="306" priority="241" stopIfTrue="1" operator="equal">
      <formula>"Towel"</formula>
    </cfRule>
    <cfRule type="cellIs" dxfId="305" priority="242" stopIfTrue="1" operator="equal">
      <formula>"Napkin Hs"</formula>
    </cfRule>
  </conditionalFormatting>
  <conditionalFormatting sqref="C25:C26">
    <cfRule type="cellIs" dxfId="304" priority="231" stopIfTrue="1" operator="equal">
      <formula>"Napkin Hs"</formula>
    </cfRule>
  </conditionalFormatting>
  <conditionalFormatting sqref="C27:C28">
    <cfRule type="cellIs" dxfId="303" priority="232" stopIfTrue="1" operator="equal">
      <formula>"Towel"</formula>
    </cfRule>
    <cfRule type="cellIs" dxfId="302" priority="233" stopIfTrue="1" operator="equal">
      <formula>"Napkin Hs"</formula>
    </cfRule>
    <cfRule type="cellIs" dxfId="301" priority="234" stopIfTrue="1" operator="equal">
      <formula>"Towel"</formula>
    </cfRule>
  </conditionalFormatting>
  <conditionalFormatting sqref="C27:C29">
    <cfRule type="cellIs" dxfId="300" priority="235" stopIfTrue="1" operator="equal">
      <formula>"Napkin Hs"</formula>
    </cfRule>
  </conditionalFormatting>
  <conditionalFormatting sqref="C30:C33">
    <cfRule type="cellIs" dxfId="299" priority="230" stopIfTrue="1" operator="equal">
      <formula>"Napkin Hs"</formula>
    </cfRule>
  </conditionalFormatting>
  <conditionalFormatting sqref="C34">
    <cfRule type="cellIs" dxfId="298" priority="425" stopIfTrue="1" operator="equal">
      <formula>"Towel"</formula>
    </cfRule>
    <cfRule type="cellIs" dxfId="297" priority="426" stopIfTrue="1" operator="equal">
      <formula>"Napkin Hs"</formula>
    </cfRule>
    <cfRule type="cellIs" dxfId="296" priority="427" stopIfTrue="1" operator="equal">
      <formula>"Towel"</formula>
    </cfRule>
    <cfRule type="cellIs" dxfId="295" priority="428" stopIfTrue="1" operator="equal">
      <formula>"Napkin Hs"</formula>
    </cfRule>
  </conditionalFormatting>
  <conditionalFormatting sqref="C35:C36">
    <cfRule type="cellIs" dxfId="294" priority="223" stopIfTrue="1" operator="equal">
      <formula>"Napkin Hs"</formula>
    </cfRule>
  </conditionalFormatting>
  <conditionalFormatting sqref="C37">
    <cfRule type="cellIs" dxfId="293" priority="224" stopIfTrue="1" operator="equal">
      <formula>"Towel"</formula>
    </cfRule>
    <cfRule type="cellIs" dxfId="292" priority="225" stopIfTrue="1" operator="equal">
      <formula>"Napkin Hs"</formula>
    </cfRule>
  </conditionalFormatting>
  <conditionalFormatting sqref="C37:C38">
    <cfRule type="cellIs" dxfId="291" priority="226" stopIfTrue="1" operator="equal">
      <formula>"Towel"</formula>
    </cfRule>
    <cfRule type="cellIs" dxfId="290" priority="227" stopIfTrue="1" operator="equal">
      <formula>"Napkin Hs"</formula>
    </cfRule>
  </conditionalFormatting>
  <conditionalFormatting sqref="C38">
    <cfRule type="cellIs" dxfId="289" priority="421" stopIfTrue="1" operator="equal">
      <formula>"Towel"</formula>
    </cfRule>
    <cfRule type="cellIs" dxfId="288" priority="422" stopIfTrue="1" operator="equal">
      <formula>"Napkin Hs"</formula>
    </cfRule>
  </conditionalFormatting>
  <conditionalFormatting sqref="C39:C40">
    <cfRule type="cellIs" dxfId="287" priority="216" stopIfTrue="1" operator="equal">
      <formula>"Napkin Hs"</formula>
    </cfRule>
  </conditionalFormatting>
  <conditionalFormatting sqref="C41">
    <cfRule type="cellIs" dxfId="286" priority="217" stopIfTrue="1" operator="equal">
      <formula>"Towel"</formula>
    </cfRule>
    <cfRule type="cellIs" dxfId="285" priority="218" stopIfTrue="1" operator="equal">
      <formula>"Napkin Hs"</formula>
    </cfRule>
  </conditionalFormatting>
  <conditionalFormatting sqref="C41:C42">
    <cfRule type="cellIs" dxfId="284" priority="219" stopIfTrue="1" operator="equal">
      <formula>"Towel"</formula>
    </cfRule>
    <cfRule type="cellIs" dxfId="283" priority="220" stopIfTrue="1" operator="equal">
      <formula>"Napkin Hs"</formula>
    </cfRule>
  </conditionalFormatting>
  <conditionalFormatting sqref="C42">
    <cfRule type="cellIs" dxfId="282" priority="417" stopIfTrue="1" operator="equal">
      <formula>"Towel"</formula>
    </cfRule>
    <cfRule type="cellIs" dxfId="281" priority="418" stopIfTrue="1" operator="equal">
      <formula>"Napkin Hs"</formula>
    </cfRule>
  </conditionalFormatting>
  <conditionalFormatting sqref="C43:C45">
    <cfRule type="cellIs" dxfId="280" priority="209" stopIfTrue="1" operator="equal">
      <formula>"Napkin Hs"</formula>
    </cfRule>
  </conditionalFormatting>
  <conditionalFormatting sqref="C46">
    <cfRule type="cellIs" dxfId="279" priority="210" stopIfTrue="1" operator="equal">
      <formula>"Towel"</formula>
    </cfRule>
    <cfRule type="cellIs" dxfId="278" priority="211" stopIfTrue="1" operator="equal">
      <formula>"Napkin Hs"</formula>
    </cfRule>
    <cfRule type="cellIs" dxfId="277" priority="212" stopIfTrue="1" operator="equal">
      <formula>"Towel"</formula>
    </cfRule>
    <cfRule type="cellIs" dxfId="276" priority="213" stopIfTrue="1" operator="equal">
      <formula>"Napkin Hs"</formula>
    </cfRule>
  </conditionalFormatting>
  <conditionalFormatting sqref="C47">
    <cfRule type="cellIs" dxfId="275" priority="379" stopIfTrue="1" operator="equal">
      <formula>"Towel"</formula>
    </cfRule>
    <cfRule type="cellIs" dxfId="274" priority="380" stopIfTrue="1" operator="equal">
      <formula>"Napkin Hs"</formula>
    </cfRule>
    <cfRule type="cellIs" dxfId="273" priority="381" stopIfTrue="1" operator="equal">
      <formula>"Towel"</formula>
    </cfRule>
    <cfRule type="cellIs" dxfId="272" priority="382" stopIfTrue="1" operator="equal">
      <formula>"Napkin Hs"</formula>
    </cfRule>
    <cfRule type="cellIs" dxfId="271" priority="383" stopIfTrue="1" operator="equal">
      <formula>"Towel"</formula>
    </cfRule>
    <cfRule type="cellIs" dxfId="270" priority="384" stopIfTrue="1" operator="equal">
      <formula>"Napkin Hs"</formula>
    </cfRule>
    <cfRule type="cellIs" dxfId="269" priority="385" stopIfTrue="1" operator="equal">
      <formula>"Towel"</formula>
    </cfRule>
    <cfRule type="cellIs" dxfId="268" priority="386" stopIfTrue="1" operator="equal">
      <formula>"Napkin Hs"</formula>
    </cfRule>
    <cfRule type="cellIs" dxfId="267" priority="387" stopIfTrue="1" operator="equal">
      <formula>"Towel"</formula>
    </cfRule>
    <cfRule type="cellIs" dxfId="266" priority="388" stopIfTrue="1" operator="equal">
      <formula>"Napkin Hs"</formula>
    </cfRule>
  </conditionalFormatting>
  <conditionalFormatting sqref="C48:C49">
    <cfRule type="cellIs" dxfId="265" priority="198" stopIfTrue="1" operator="equal">
      <formula>"Napkin Hs"</formula>
    </cfRule>
  </conditionalFormatting>
  <conditionalFormatting sqref="C50">
    <cfRule type="cellIs" dxfId="264" priority="199" stopIfTrue="1" operator="equal">
      <formula>"Towel"</formula>
    </cfRule>
    <cfRule type="cellIs" dxfId="263" priority="200" stopIfTrue="1" operator="equal">
      <formula>"Napkin Hs"</formula>
    </cfRule>
  </conditionalFormatting>
  <conditionalFormatting sqref="C50:C51">
    <cfRule type="cellIs" dxfId="262" priority="201" stopIfTrue="1" operator="equal">
      <formula>"Towel"</formula>
    </cfRule>
    <cfRule type="cellIs" dxfId="261" priority="202" stopIfTrue="1" operator="equal">
      <formula>"Napkin Hs"</formula>
    </cfRule>
  </conditionalFormatting>
  <conditionalFormatting sqref="C51">
    <cfRule type="cellIs" dxfId="260" priority="205" stopIfTrue="1" operator="equal">
      <formula>"Towel"</formula>
    </cfRule>
    <cfRule type="cellIs" dxfId="259" priority="206" stopIfTrue="1" operator="equal">
      <formula>"Napkin Hs"</formula>
    </cfRule>
  </conditionalFormatting>
  <conditionalFormatting sqref="C52:C53">
    <cfRule type="cellIs" dxfId="258" priority="191" stopIfTrue="1" operator="equal">
      <formula>"Napkin Hs"</formula>
    </cfRule>
  </conditionalFormatting>
  <conditionalFormatting sqref="C54">
    <cfRule type="cellIs" dxfId="257" priority="192" stopIfTrue="1" operator="equal">
      <formula>"Towel"</formula>
    </cfRule>
    <cfRule type="cellIs" dxfId="256" priority="193" stopIfTrue="1" operator="equal">
      <formula>"Napkin Hs"</formula>
    </cfRule>
  </conditionalFormatting>
  <conditionalFormatting sqref="C54:C55">
    <cfRule type="cellIs" dxfId="255" priority="194" stopIfTrue="1" operator="equal">
      <formula>"Towel"</formula>
    </cfRule>
    <cfRule type="cellIs" dxfId="254" priority="195" stopIfTrue="1" operator="equal">
      <formula>"Napkin Hs"</formula>
    </cfRule>
  </conditionalFormatting>
  <conditionalFormatting sqref="C55">
    <cfRule type="cellIs" dxfId="253" priority="371" stopIfTrue="1" operator="equal">
      <formula>"Towel"</formula>
    </cfRule>
    <cfRule type="cellIs" dxfId="252" priority="372" stopIfTrue="1" operator="equal">
      <formula>"Napkin Hs"</formula>
    </cfRule>
  </conditionalFormatting>
  <conditionalFormatting sqref="C56:C57">
    <cfRule type="cellIs" dxfId="251" priority="180" stopIfTrue="1" operator="equal">
      <formula>"Napkin Hs"</formula>
    </cfRule>
  </conditionalFormatting>
  <conditionalFormatting sqref="C58">
    <cfRule type="cellIs" dxfId="250" priority="181" stopIfTrue="1" operator="equal">
      <formula>"Towel"</formula>
    </cfRule>
    <cfRule type="cellIs" dxfId="249" priority="182" stopIfTrue="1" operator="equal">
      <formula>"Napkin Hs"</formula>
    </cfRule>
  </conditionalFormatting>
  <conditionalFormatting sqref="C58:C59">
    <cfRule type="cellIs" dxfId="248" priority="183" stopIfTrue="1" operator="equal">
      <formula>"Towel"</formula>
    </cfRule>
    <cfRule type="cellIs" dxfId="247" priority="184" stopIfTrue="1" operator="equal">
      <formula>"Napkin Hs"</formula>
    </cfRule>
  </conditionalFormatting>
  <conditionalFormatting sqref="C59">
    <cfRule type="cellIs" dxfId="246" priority="187" stopIfTrue="1" operator="equal">
      <formula>"Towel"</formula>
    </cfRule>
    <cfRule type="cellIs" dxfId="245" priority="188" stopIfTrue="1" operator="equal">
      <formula>"Napkin Hs"</formula>
    </cfRule>
  </conditionalFormatting>
  <conditionalFormatting sqref="C60:C61">
    <cfRule type="cellIs" dxfId="244" priority="173" stopIfTrue="1" operator="equal">
      <formula>"Napkin Hs"</formula>
    </cfRule>
  </conditionalFormatting>
  <conditionalFormatting sqref="C62">
    <cfRule type="cellIs" dxfId="243" priority="174" stopIfTrue="1" operator="equal">
      <formula>"Towel"</formula>
    </cfRule>
    <cfRule type="cellIs" dxfId="242" priority="175" stopIfTrue="1" operator="equal">
      <formula>"Napkin Hs"</formula>
    </cfRule>
    <cfRule type="cellIs" dxfId="241" priority="176" stopIfTrue="1" operator="equal">
      <formula>"Towel"</formula>
    </cfRule>
    <cfRule type="cellIs" dxfId="240" priority="177" stopIfTrue="1" operator="equal">
      <formula>"Napkin Hs"</formula>
    </cfRule>
  </conditionalFormatting>
  <conditionalFormatting sqref="C63">
    <cfRule type="cellIs" dxfId="239" priority="361" stopIfTrue="1" operator="equal">
      <formula>"Towel"</formula>
    </cfRule>
    <cfRule type="cellIs" dxfId="238" priority="362" stopIfTrue="1" operator="equal">
      <formula>"Napkin Hs"</formula>
    </cfRule>
    <cfRule type="cellIs" dxfId="237" priority="363" stopIfTrue="1" operator="equal">
      <formula>"Towel"</formula>
    </cfRule>
    <cfRule type="cellIs" dxfId="236" priority="364" stopIfTrue="1" operator="equal">
      <formula>"Napkin Hs"</formula>
    </cfRule>
    <cfRule type="cellIs" dxfId="235" priority="365" stopIfTrue="1" operator="equal">
      <formula>"Towel"</formula>
    </cfRule>
    <cfRule type="cellIs" dxfId="234" priority="366" stopIfTrue="1" operator="equal">
      <formula>"Napkin Hs"</formula>
    </cfRule>
    <cfRule type="cellIs" dxfId="233" priority="367" stopIfTrue="1" operator="equal">
      <formula>"Towel"</formula>
    </cfRule>
    <cfRule type="cellIs" dxfId="232" priority="368" stopIfTrue="1" operator="equal">
      <formula>"Napkin Hs"</formula>
    </cfRule>
    <cfRule type="cellIs" dxfId="231" priority="369" stopIfTrue="1" operator="equal">
      <formula>"Towel"</formula>
    </cfRule>
    <cfRule type="cellIs" dxfId="230" priority="370" stopIfTrue="1" operator="equal">
      <formula>"Napkin Hs"</formula>
    </cfRule>
  </conditionalFormatting>
  <conditionalFormatting sqref="C64:C65">
    <cfRule type="cellIs" dxfId="229" priority="166" stopIfTrue="1" operator="equal">
      <formula>"Napkin Hs"</formula>
    </cfRule>
  </conditionalFormatting>
  <conditionalFormatting sqref="C66:C67">
    <cfRule type="cellIs" dxfId="228" priority="167" stopIfTrue="1" operator="equal">
      <formula>"Towel"</formula>
    </cfRule>
    <cfRule type="cellIs" dxfId="227" priority="168" stopIfTrue="1" operator="equal">
      <formula>"Napkin Hs"</formula>
    </cfRule>
  </conditionalFormatting>
  <conditionalFormatting sqref="C66:C68">
    <cfRule type="cellIs" dxfId="226" priority="169" stopIfTrue="1" operator="equal">
      <formula>"Towel"</formula>
    </cfRule>
    <cfRule type="cellIs" dxfId="225" priority="170" stopIfTrue="1" operator="equal">
      <formula>"Napkin Hs"</formula>
    </cfRule>
  </conditionalFormatting>
  <conditionalFormatting sqref="C68">
    <cfRule type="cellIs" dxfId="224" priority="353" stopIfTrue="1" operator="equal">
      <formula>"Towel"</formula>
    </cfRule>
    <cfRule type="cellIs" dxfId="223" priority="354" stopIfTrue="1" operator="equal">
      <formula>"Napkin Hs"</formula>
    </cfRule>
  </conditionalFormatting>
  <conditionalFormatting sqref="C69:C70">
    <cfRule type="cellIs" dxfId="222" priority="159" stopIfTrue="1" operator="equal">
      <formula>"Napkin Hs"</formula>
    </cfRule>
  </conditionalFormatting>
  <conditionalFormatting sqref="C71">
    <cfRule type="cellIs" dxfId="221" priority="160" stopIfTrue="1" operator="equal">
      <formula>"Towel"</formula>
    </cfRule>
    <cfRule type="cellIs" dxfId="220" priority="161" stopIfTrue="1" operator="equal">
      <formula>"Napkin Hs"</formula>
    </cfRule>
  </conditionalFormatting>
  <conditionalFormatting sqref="C71:C72">
    <cfRule type="cellIs" dxfId="219" priority="162" stopIfTrue="1" operator="equal">
      <formula>"Towel"</formula>
    </cfRule>
    <cfRule type="cellIs" dxfId="218" priority="163" stopIfTrue="1" operator="equal">
      <formula>"Napkin Hs"</formula>
    </cfRule>
  </conditionalFormatting>
  <conditionalFormatting sqref="C72">
    <cfRule type="cellIs" dxfId="217" priority="413" stopIfTrue="1" operator="equal">
      <formula>"Towel"</formula>
    </cfRule>
    <cfRule type="cellIs" dxfId="216" priority="414" stopIfTrue="1" operator="equal">
      <formula>"Napkin Hs"</formula>
    </cfRule>
  </conditionalFormatting>
  <conditionalFormatting sqref="C73:C74">
    <cfRule type="cellIs" dxfId="215" priority="152" stopIfTrue="1" operator="equal">
      <formula>"Napkin Hs"</formula>
    </cfRule>
  </conditionalFormatting>
  <conditionalFormatting sqref="C75">
    <cfRule type="cellIs" dxfId="214" priority="153" stopIfTrue="1" operator="equal">
      <formula>"Towel"</formula>
    </cfRule>
    <cfRule type="cellIs" dxfId="213" priority="154" stopIfTrue="1" operator="equal">
      <formula>"Napkin Hs"</formula>
    </cfRule>
    <cfRule type="cellIs" dxfId="212" priority="155" stopIfTrue="1" operator="equal">
      <formula>"Towel"</formula>
    </cfRule>
    <cfRule type="cellIs" dxfId="211" priority="156" stopIfTrue="1" operator="equal">
      <formula>"Napkin Hs"</formula>
    </cfRule>
  </conditionalFormatting>
  <conditionalFormatting sqref="C76">
    <cfRule type="cellIs" dxfId="210" priority="343" stopIfTrue="1" operator="equal">
      <formula>"Towel"</formula>
    </cfRule>
    <cfRule type="cellIs" dxfId="209" priority="344" stopIfTrue="1" operator="equal">
      <formula>"Napkin Hs"</formula>
    </cfRule>
    <cfRule type="cellIs" dxfId="208" priority="345" stopIfTrue="1" operator="equal">
      <formula>"Towel"</formula>
    </cfRule>
    <cfRule type="cellIs" dxfId="207" priority="346" stopIfTrue="1" operator="equal">
      <formula>"Napkin Hs"</formula>
    </cfRule>
    <cfRule type="cellIs" dxfId="206" priority="347" stopIfTrue="1" operator="equal">
      <formula>"Towel"</formula>
    </cfRule>
    <cfRule type="cellIs" dxfId="205" priority="348" stopIfTrue="1" operator="equal">
      <formula>"Napkin Hs"</formula>
    </cfRule>
    <cfRule type="cellIs" dxfId="204" priority="349" stopIfTrue="1" operator="equal">
      <formula>"Towel"</formula>
    </cfRule>
    <cfRule type="cellIs" dxfId="203" priority="350" stopIfTrue="1" operator="equal">
      <formula>"Napkin Hs"</formula>
    </cfRule>
    <cfRule type="cellIs" dxfId="202" priority="351" stopIfTrue="1" operator="equal">
      <formula>"Towel"</formula>
    </cfRule>
    <cfRule type="cellIs" dxfId="201" priority="352" stopIfTrue="1" operator="equal">
      <formula>"Napkin Hs"</formula>
    </cfRule>
  </conditionalFormatting>
  <conditionalFormatting sqref="C77:C78">
    <cfRule type="cellIs" dxfId="200" priority="145" stopIfTrue="1" operator="equal">
      <formula>"Napkin Hs"</formula>
    </cfRule>
  </conditionalFormatting>
  <conditionalFormatting sqref="C79">
    <cfRule type="cellIs" dxfId="199" priority="146" stopIfTrue="1" operator="equal">
      <formula>"Towel"</formula>
    </cfRule>
    <cfRule type="cellIs" dxfId="198" priority="147" stopIfTrue="1" operator="equal">
      <formula>"Napkin Hs"</formula>
    </cfRule>
  </conditionalFormatting>
  <conditionalFormatting sqref="C79:C80">
    <cfRule type="cellIs" dxfId="197" priority="148" stopIfTrue="1" operator="equal">
      <formula>"Towel"</formula>
    </cfRule>
    <cfRule type="cellIs" dxfId="196" priority="149" stopIfTrue="1" operator="equal">
      <formula>"Napkin Hs"</formula>
    </cfRule>
  </conditionalFormatting>
  <conditionalFormatting sqref="C80">
    <cfRule type="cellIs" dxfId="195" priority="409" stopIfTrue="1" operator="equal">
      <formula>"Towel"</formula>
    </cfRule>
    <cfRule type="cellIs" dxfId="194" priority="410" stopIfTrue="1" operator="equal">
      <formula>"Napkin Hs"</formula>
    </cfRule>
  </conditionalFormatting>
  <conditionalFormatting sqref="C81">
    <cfRule type="cellIs" dxfId="193" priority="134" stopIfTrue="1" operator="equal">
      <formula>"Napkin Hs"</formula>
    </cfRule>
  </conditionalFormatting>
  <conditionalFormatting sqref="C82">
    <cfRule type="cellIs" dxfId="192" priority="135" stopIfTrue="1" operator="equal">
      <formula>"Towel"</formula>
    </cfRule>
    <cfRule type="cellIs" dxfId="191" priority="136" stopIfTrue="1" operator="equal">
      <formula>"Napkin Hs"</formula>
    </cfRule>
  </conditionalFormatting>
  <conditionalFormatting sqref="C82:C83">
    <cfRule type="cellIs" dxfId="190" priority="137" stopIfTrue="1" operator="equal">
      <formula>"Towel"</formula>
    </cfRule>
    <cfRule type="cellIs" dxfId="189" priority="138" stopIfTrue="1" operator="equal">
      <formula>"Napkin Hs"</formula>
    </cfRule>
  </conditionalFormatting>
  <conditionalFormatting sqref="C83">
    <cfRule type="cellIs" dxfId="188" priority="141" stopIfTrue="1" operator="equal">
      <formula>"Towel"</formula>
    </cfRule>
    <cfRule type="cellIs" dxfId="187" priority="142" stopIfTrue="1" operator="equal">
      <formula>"Napkin Hs"</formula>
    </cfRule>
  </conditionalFormatting>
  <conditionalFormatting sqref="C85">
    <cfRule type="cellIs" dxfId="186" priority="329" stopIfTrue="1" operator="equal">
      <formula>"Towel"</formula>
    </cfRule>
    <cfRule type="cellIs" dxfId="185" priority="330" stopIfTrue="1" operator="equal">
      <formula>"Napkin Hs"</formula>
    </cfRule>
    <cfRule type="cellIs" dxfId="184" priority="331" stopIfTrue="1" operator="equal">
      <formula>"Towel"</formula>
    </cfRule>
    <cfRule type="cellIs" dxfId="183" priority="332" stopIfTrue="1" operator="equal">
      <formula>"Napkin Hs"</formula>
    </cfRule>
    <cfRule type="cellIs" dxfId="182" priority="333" stopIfTrue="1" operator="equal">
      <formula>"Towel"</formula>
    </cfRule>
    <cfRule type="cellIs" dxfId="181" priority="334" stopIfTrue="1" operator="equal">
      <formula>"Napkin Hs"</formula>
    </cfRule>
    <cfRule type="cellIs" dxfId="180" priority="335" stopIfTrue="1" operator="equal">
      <formula>"Towel"</formula>
    </cfRule>
    <cfRule type="cellIs" dxfId="179" priority="336" stopIfTrue="1" operator="equal">
      <formula>"Napkin Hs"</formula>
    </cfRule>
    <cfRule type="cellIs" dxfId="178" priority="337" stopIfTrue="1" operator="equal">
      <formula>"Towel"</formula>
    </cfRule>
    <cfRule type="cellIs" dxfId="177" priority="338" stopIfTrue="1" operator="equal">
      <formula>"Napkin Hs"</formula>
    </cfRule>
  </conditionalFormatting>
  <conditionalFormatting sqref="C86:C87">
    <cfRule type="cellIs" dxfId="176" priority="127" stopIfTrue="1" operator="equal">
      <formula>"Napkin Hs"</formula>
    </cfRule>
  </conditionalFormatting>
  <conditionalFormatting sqref="C88">
    <cfRule type="cellIs" dxfId="175" priority="128" stopIfTrue="1" operator="equal">
      <formula>"Towel"</formula>
    </cfRule>
    <cfRule type="cellIs" dxfId="174" priority="129" stopIfTrue="1" operator="equal">
      <formula>"Napkin Hs"</formula>
    </cfRule>
  </conditionalFormatting>
  <conditionalFormatting sqref="C88:C89">
    <cfRule type="cellIs" dxfId="173" priority="130" stopIfTrue="1" operator="equal">
      <formula>"Towel"</formula>
    </cfRule>
    <cfRule type="cellIs" dxfId="172" priority="131" stopIfTrue="1" operator="equal">
      <formula>"Napkin Hs"</formula>
    </cfRule>
  </conditionalFormatting>
  <conditionalFormatting sqref="C89">
    <cfRule type="cellIs" dxfId="171" priority="405" stopIfTrue="1" operator="equal">
      <formula>"Towel"</formula>
    </cfRule>
    <cfRule type="cellIs" dxfId="170" priority="406" stopIfTrue="1" operator="equal">
      <formula>"Napkin Hs"</formula>
    </cfRule>
  </conditionalFormatting>
  <conditionalFormatting sqref="C90:C91">
    <cfRule type="cellIs" dxfId="169" priority="120" stopIfTrue="1" operator="equal">
      <formula>"Napkin Hs"</formula>
    </cfRule>
  </conditionalFormatting>
  <conditionalFormatting sqref="C92">
    <cfRule type="cellIs" dxfId="168" priority="121" stopIfTrue="1" operator="equal">
      <formula>"Towel"</formula>
    </cfRule>
    <cfRule type="cellIs" dxfId="167" priority="122" stopIfTrue="1" operator="equal">
      <formula>"Napkin Hs"</formula>
    </cfRule>
  </conditionalFormatting>
  <conditionalFormatting sqref="C92:C93">
    <cfRule type="cellIs" dxfId="166" priority="123" stopIfTrue="1" operator="equal">
      <formula>"Towel"</formula>
    </cfRule>
    <cfRule type="cellIs" dxfId="165" priority="124" stopIfTrue="1" operator="equal">
      <formula>"Napkin Hs"</formula>
    </cfRule>
  </conditionalFormatting>
  <conditionalFormatting sqref="C93">
    <cfRule type="cellIs" dxfId="164" priority="401" stopIfTrue="1" operator="equal">
      <formula>"Towel"</formula>
    </cfRule>
    <cfRule type="cellIs" dxfId="163" priority="402" stopIfTrue="1" operator="equal">
      <formula>"Napkin Hs"</formula>
    </cfRule>
  </conditionalFormatting>
  <conditionalFormatting sqref="C94:C95">
    <cfRule type="cellIs" dxfId="162" priority="113" stopIfTrue="1" operator="equal">
      <formula>"Napkin Hs"</formula>
    </cfRule>
  </conditionalFormatting>
  <conditionalFormatting sqref="C96">
    <cfRule type="cellIs" dxfId="161" priority="114" stopIfTrue="1" operator="equal">
      <formula>"Towel"</formula>
    </cfRule>
    <cfRule type="cellIs" dxfId="160" priority="115" stopIfTrue="1" operator="equal">
      <formula>"Napkin Hs"</formula>
    </cfRule>
    <cfRule type="cellIs" dxfId="159" priority="116" stopIfTrue="1" operator="equal">
      <formula>"Towel"</formula>
    </cfRule>
    <cfRule type="cellIs" dxfId="158" priority="117" stopIfTrue="1" operator="equal">
      <formula>"Napkin Hs"</formula>
    </cfRule>
  </conditionalFormatting>
  <conditionalFormatting sqref="C97">
    <cfRule type="cellIs" dxfId="157" priority="309" stopIfTrue="1" operator="equal">
      <formula>"Towel"</formula>
    </cfRule>
    <cfRule type="cellIs" dxfId="156" priority="310" stopIfTrue="1" operator="equal">
      <formula>"Napkin Hs"</formula>
    </cfRule>
    <cfRule type="cellIs" dxfId="155" priority="311" stopIfTrue="1" operator="equal">
      <formula>"Towel"</formula>
    </cfRule>
    <cfRule type="cellIs" dxfId="154" priority="312" stopIfTrue="1" operator="equal">
      <formula>"Napkin Hs"</formula>
    </cfRule>
    <cfRule type="cellIs" dxfId="153" priority="313" stopIfTrue="1" operator="equal">
      <formula>"Towel"</formula>
    </cfRule>
    <cfRule type="cellIs" dxfId="152" priority="314" stopIfTrue="1" operator="equal">
      <formula>"Napkin Hs"</formula>
    </cfRule>
    <cfRule type="cellIs" dxfId="151" priority="315" stopIfTrue="1" operator="equal">
      <formula>"Towel"</formula>
    </cfRule>
    <cfRule type="cellIs" dxfId="150" priority="316" stopIfTrue="1" operator="equal">
      <formula>"Napkin Hs"</formula>
    </cfRule>
    <cfRule type="cellIs" dxfId="149" priority="317" stopIfTrue="1" operator="equal">
      <formula>"Towel"</formula>
    </cfRule>
    <cfRule type="cellIs" dxfId="148" priority="318" stopIfTrue="1" operator="equal">
      <formula>"Napkin Hs"</formula>
    </cfRule>
    <cfRule type="cellIs" dxfId="147" priority="319" stopIfTrue="1" operator="equal">
      <formula>"Towel"</formula>
    </cfRule>
    <cfRule type="cellIs" dxfId="146" priority="320" stopIfTrue="1" operator="equal">
      <formula>"Napkin Hs"</formula>
    </cfRule>
    <cfRule type="cellIs" dxfId="145" priority="321" stopIfTrue="1" operator="equal">
      <formula>"Towel"</formula>
    </cfRule>
    <cfRule type="cellIs" dxfId="144" priority="322" stopIfTrue="1" operator="equal">
      <formula>"Napkin Hs"</formula>
    </cfRule>
  </conditionalFormatting>
  <conditionalFormatting sqref="C98:C99">
    <cfRule type="cellIs" dxfId="143" priority="86" stopIfTrue="1" operator="equal">
      <formula>"Napkin Hs"</formula>
    </cfRule>
  </conditionalFormatting>
  <conditionalFormatting sqref="C100">
    <cfRule type="cellIs" dxfId="142" priority="87" stopIfTrue="1" operator="equal">
      <formula>"Towel"</formula>
    </cfRule>
    <cfRule type="cellIs" dxfId="141" priority="88" stopIfTrue="1" operator="equal">
      <formula>"Napkin Hs"</formula>
    </cfRule>
    <cfRule type="cellIs" dxfId="140" priority="89" stopIfTrue="1" operator="equal">
      <formula>"Towel"</formula>
    </cfRule>
    <cfRule type="cellIs" dxfId="139" priority="90" stopIfTrue="1" operator="equal">
      <formula>"Napkin Hs"</formula>
    </cfRule>
  </conditionalFormatting>
  <conditionalFormatting sqref="C101">
    <cfRule type="cellIs" dxfId="138" priority="97" stopIfTrue="1" operator="equal">
      <formula>"Towel"</formula>
    </cfRule>
    <cfRule type="cellIs" dxfId="137" priority="98" stopIfTrue="1" operator="equal">
      <formula>"Napkin Hs"</formula>
    </cfRule>
    <cfRule type="cellIs" dxfId="136" priority="99" stopIfTrue="1" operator="equal">
      <formula>"Towel"</formula>
    </cfRule>
    <cfRule type="cellIs" dxfId="135" priority="100" stopIfTrue="1" operator="equal">
      <formula>"Napkin Hs"</formula>
    </cfRule>
    <cfRule type="cellIs" dxfId="134" priority="101" stopIfTrue="1" operator="equal">
      <formula>"Towel"</formula>
    </cfRule>
    <cfRule type="cellIs" dxfId="133" priority="102" stopIfTrue="1" operator="equal">
      <formula>"Napkin Hs"</formula>
    </cfRule>
    <cfRule type="cellIs" dxfId="132" priority="103" stopIfTrue="1" operator="equal">
      <formula>"Towel"</formula>
    </cfRule>
    <cfRule type="cellIs" dxfId="131" priority="104" stopIfTrue="1" operator="equal">
      <formula>"Napkin Hs"</formula>
    </cfRule>
    <cfRule type="cellIs" dxfId="130" priority="105" stopIfTrue="1" operator="equal">
      <formula>"Towel"</formula>
    </cfRule>
    <cfRule type="cellIs" dxfId="129" priority="106" stopIfTrue="1" operator="equal">
      <formula>"Napkin Hs"</formula>
    </cfRule>
    <cfRule type="cellIs" dxfId="128" priority="107" stopIfTrue="1" operator="equal">
      <formula>"Towel"</formula>
    </cfRule>
    <cfRule type="cellIs" dxfId="127" priority="108" stopIfTrue="1" operator="equal">
      <formula>"Napkin Hs"</formula>
    </cfRule>
    <cfRule type="cellIs" dxfId="126" priority="109" stopIfTrue="1" operator="equal">
      <formula>"Towel"</formula>
    </cfRule>
    <cfRule type="cellIs" dxfId="125" priority="110" stopIfTrue="1" operator="equal">
      <formula>"Napkin Hs"</formula>
    </cfRule>
  </conditionalFormatting>
  <conditionalFormatting sqref="C102:C103">
    <cfRule type="cellIs" dxfId="124" priority="79" stopIfTrue="1" operator="equal">
      <formula>"Napkin Hs"</formula>
    </cfRule>
  </conditionalFormatting>
  <conditionalFormatting sqref="C104">
    <cfRule type="cellIs" dxfId="123" priority="80" stopIfTrue="1" operator="equal">
      <formula>"Towel"</formula>
    </cfRule>
    <cfRule type="cellIs" dxfId="122" priority="81" stopIfTrue="1" operator="equal">
      <formula>"Napkin Hs"</formula>
    </cfRule>
    <cfRule type="cellIs" dxfId="121" priority="82" stopIfTrue="1" operator="equal">
      <formula>"Towel"</formula>
    </cfRule>
    <cfRule type="cellIs" dxfId="120" priority="83" stopIfTrue="1" operator="equal">
      <formula>"Napkin Hs"</formula>
    </cfRule>
  </conditionalFormatting>
  <conditionalFormatting sqref="C105">
    <cfRule type="cellIs" dxfId="119" priority="289" stopIfTrue="1" operator="equal">
      <formula>"Towel"</formula>
    </cfRule>
    <cfRule type="cellIs" dxfId="118" priority="290" stopIfTrue="1" operator="equal">
      <formula>"Napkin Hs"</formula>
    </cfRule>
    <cfRule type="cellIs" dxfId="117" priority="291" stopIfTrue="1" operator="equal">
      <formula>"Towel"</formula>
    </cfRule>
    <cfRule type="cellIs" dxfId="116" priority="292" stopIfTrue="1" operator="equal">
      <formula>"Napkin Hs"</formula>
    </cfRule>
    <cfRule type="cellIs" dxfId="115" priority="293" stopIfTrue="1" operator="equal">
      <formula>"Towel"</formula>
    </cfRule>
    <cfRule type="cellIs" dxfId="114" priority="294" stopIfTrue="1" operator="equal">
      <formula>"Napkin Hs"</formula>
    </cfRule>
    <cfRule type="cellIs" dxfId="113" priority="295" stopIfTrue="1" operator="equal">
      <formula>"Towel"</formula>
    </cfRule>
    <cfRule type="cellIs" dxfId="112" priority="296" stopIfTrue="1" operator="equal">
      <formula>"Napkin Hs"</formula>
    </cfRule>
    <cfRule type="cellIs" dxfId="111" priority="297" stopIfTrue="1" operator="equal">
      <formula>"Towel"</formula>
    </cfRule>
    <cfRule type="cellIs" dxfId="110" priority="298" stopIfTrue="1" operator="equal">
      <formula>"Napkin Hs"</formula>
    </cfRule>
    <cfRule type="cellIs" dxfId="109" priority="299" stopIfTrue="1" operator="equal">
      <formula>"Towel"</formula>
    </cfRule>
    <cfRule type="cellIs" dxfId="108" priority="300" stopIfTrue="1" operator="equal">
      <formula>"Napkin Hs"</formula>
    </cfRule>
    <cfRule type="cellIs" dxfId="107" priority="301" stopIfTrue="1" operator="equal">
      <formula>"Towel"</formula>
    </cfRule>
    <cfRule type="cellIs" dxfId="106" priority="302" stopIfTrue="1" operator="equal">
      <formula>"Napkin Hs"</formula>
    </cfRule>
  </conditionalFormatting>
  <conditionalFormatting sqref="C106:C110">
    <cfRule type="cellIs" dxfId="105" priority="76" stopIfTrue="1" operator="equal">
      <formula>"Napkin Hs"</formula>
    </cfRule>
  </conditionalFormatting>
  <conditionalFormatting sqref="C109">
    <cfRule type="cellIs" dxfId="104" priority="73" stopIfTrue="1" operator="equal">
      <formula>"Towel"</formula>
    </cfRule>
    <cfRule type="cellIs" dxfId="103" priority="74" stopIfTrue="1" operator="equal">
      <formula>"Napkin Hs"</formula>
    </cfRule>
  </conditionalFormatting>
  <conditionalFormatting sqref="C109:C110">
    <cfRule type="cellIs" dxfId="102" priority="75" stopIfTrue="1" operator="equal">
      <formula>"Towel"</formula>
    </cfRule>
  </conditionalFormatting>
  <conditionalFormatting sqref="C110">
    <cfRule type="cellIs" dxfId="101" priority="399" stopIfTrue="1" operator="equal">
      <formula>"Towel"</formula>
    </cfRule>
    <cfRule type="cellIs" dxfId="100" priority="400" stopIfTrue="1" operator="equal">
      <formula>"Napkin Hs"</formula>
    </cfRule>
  </conditionalFormatting>
  <conditionalFormatting sqref="C111:C116">
    <cfRule type="cellIs" dxfId="99" priority="70" stopIfTrue="1" operator="equal">
      <formula>"Napkin Hs"</formula>
    </cfRule>
  </conditionalFormatting>
  <conditionalFormatting sqref="C114:C115">
    <cfRule type="cellIs" dxfId="98" priority="67" stopIfTrue="1" operator="equal">
      <formula>"Towel"</formula>
    </cfRule>
    <cfRule type="cellIs" dxfId="97" priority="68" stopIfTrue="1" operator="equal">
      <formula>"Napkin Hs"</formula>
    </cfRule>
  </conditionalFormatting>
  <conditionalFormatting sqref="C114:C116">
    <cfRule type="cellIs" dxfId="96" priority="69" stopIfTrue="1" operator="equal">
      <formula>"Towel"</formula>
    </cfRule>
  </conditionalFormatting>
  <conditionalFormatting sqref="C116">
    <cfRule type="cellIs" dxfId="95" priority="281" stopIfTrue="1" operator="equal">
      <formula>"Towel"</formula>
    </cfRule>
    <cfRule type="cellIs" dxfId="94" priority="282" stopIfTrue="1" operator="equal">
      <formula>"Napkin Hs"</formula>
    </cfRule>
  </conditionalFormatting>
  <conditionalFormatting sqref="C121">
    <cfRule type="cellIs" dxfId="93" priority="283" stopIfTrue="1" operator="equal">
      <formula>"Towel"</formula>
    </cfRule>
    <cfRule type="cellIs" dxfId="92" priority="284" stopIfTrue="1" operator="equal">
      <formula>"Napkin Hs"</formula>
    </cfRule>
  </conditionalFormatting>
  <conditionalFormatting sqref="C121">
    <cfRule type="cellIs" dxfId="91" priority="395" stopIfTrue="1" operator="equal">
      <formula>"Towel"</formula>
    </cfRule>
    <cfRule type="cellIs" dxfId="90" priority="396" stopIfTrue="1" operator="equal">
      <formula>"Napkin Hs"</formula>
    </cfRule>
  </conditionalFormatting>
  <conditionalFormatting sqref="C126">
    <cfRule type="cellIs" dxfId="89" priority="279" stopIfTrue="1" operator="equal">
      <formula>"Towel"</formula>
    </cfRule>
    <cfRule type="cellIs" dxfId="88" priority="280" stopIfTrue="1" operator="equal">
      <formula>"Napkin Hs"</formula>
    </cfRule>
  </conditionalFormatting>
  <conditionalFormatting sqref="C126">
    <cfRule type="cellIs" dxfId="87" priority="391" stopIfTrue="1" operator="equal">
      <formula>"Towel"</formula>
    </cfRule>
    <cfRule type="cellIs" dxfId="86" priority="392" stopIfTrue="1" operator="equal">
      <formula>"Napkin Hs"</formula>
    </cfRule>
  </conditionalFormatting>
  <conditionalFormatting sqref="C134">
    <cfRule type="cellIs" dxfId="85" priority="261" stopIfTrue="1" operator="equal">
      <formula>"Towel"</formula>
    </cfRule>
    <cfRule type="cellIs" dxfId="84" priority="262" stopIfTrue="1" operator="equal">
      <formula>"Napkin Hs"</formula>
    </cfRule>
    <cfRule type="cellIs" dxfId="83" priority="263" stopIfTrue="1" operator="equal">
      <formula>"Towel"</formula>
    </cfRule>
    <cfRule type="cellIs" dxfId="82" priority="264" stopIfTrue="1" operator="equal">
      <formula>"Napkin Hs"</formula>
    </cfRule>
    <cfRule type="cellIs" dxfId="81" priority="265" stopIfTrue="1" operator="equal">
      <formula>"Towel"</formula>
    </cfRule>
    <cfRule type="cellIs" dxfId="80" priority="266" stopIfTrue="1" operator="equal">
      <formula>"Napkin Hs"</formula>
    </cfRule>
    <cfRule type="cellIs" dxfId="79" priority="267" stopIfTrue="1" operator="equal">
      <formula>"Towel"</formula>
    </cfRule>
    <cfRule type="cellIs" dxfId="78" priority="268" stopIfTrue="1" operator="equal">
      <formula>"Napkin Hs"</formula>
    </cfRule>
    <cfRule type="cellIs" dxfId="77" priority="269" stopIfTrue="1" operator="equal">
      <formula>"Towel"</formula>
    </cfRule>
    <cfRule type="cellIs" dxfId="76" priority="270" stopIfTrue="1" operator="equal">
      <formula>"Napkin Hs"</formula>
    </cfRule>
    <cfRule type="cellIs" dxfId="75" priority="271" stopIfTrue="1" operator="equal">
      <formula>"Towel"</formula>
    </cfRule>
    <cfRule type="cellIs" dxfId="74" priority="272" stopIfTrue="1" operator="equal">
      <formula>"Napkin Hs"</formula>
    </cfRule>
    <cfRule type="cellIs" dxfId="73" priority="273" stopIfTrue="1" operator="equal">
      <formula>"Towel"</formula>
    </cfRule>
    <cfRule type="cellIs" dxfId="72" priority="274" stopIfTrue="1" operator="equal">
      <formula>"Napkin Hs"</formula>
    </cfRule>
  </conditionalFormatting>
  <conditionalFormatting sqref="C138">
    <cfRule type="cellIs" dxfId="71" priority="277" stopIfTrue="1" operator="equal">
      <formula>"Towel"</formula>
    </cfRule>
    <cfRule type="cellIs" dxfId="70" priority="278" stopIfTrue="1" operator="equal">
      <formula>"Napkin Hs"</formula>
    </cfRule>
  </conditionalFormatting>
  <conditionalFormatting sqref="B120:C120">
    <cfRule type="cellIs" dxfId="69" priority="65" stopIfTrue="1" operator="equal">
      <formula>"Towel"</formula>
    </cfRule>
    <cfRule type="cellIs" dxfId="68" priority="66" stopIfTrue="1" operator="equal">
      <formula>"Napkin Hs"</formula>
    </cfRule>
  </conditionalFormatting>
  <conditionalFormatting sqref="C120">
    <cfRule type="cellIs" dxfId="67" priority="64" stopIfTrue="1" operator="equal">
      <formula>"Napkin Hs"</formula>
    </cfRule>
  </conditionalFormatting>
  <conditionalFormatting sqref="C120">
    <cfRule type="cellIs" dxfId="66" priority="61" stopIfTrue="1" operator="equal">
      <formula>"Towel"</formula>
    </cfRule>
    <cfRule type="cellIs" dxfId="65" priority="62" stopIfTrue="1" operator="equal">
      <formula>"Napkin Hs"</formula>
    </cfRule>
  </conditionalFormatting>
  <conditionalFormatting sqref="C120">
    <cfRule type="cellIs" dxfId="64" priority="63" stopIfTrue="1" operator="equal">
      <formula>"Towel"</formula>
    </cfRule>
  </conditionalFormatting>
  <conditionalFormatting sqref="C117:C119">
    <cfRule type="cellIs" dxfId="63" priority="60" stopIfTrue="1" operator="equal">
      <formula>"Napkin Hs"</formula>
    </cfRule>
  </conditionalFormatting>
  <conditionalFormatting sqref="B124:C125">
    <cfRule type="cellIs" dxfId="62" priority="58" stopIfTrue="1" operator="equal">
      <formula>"Towel"</formula>
    </cfRule>
    <cfRule type="cellIs" dxfId="61" priority="59" stopIfTrue="1" operator="equal">
      <formula>"Napkin Hs"</formula>
    </cfRule>
  </conditionalFormatting>
  <conditionalFormatting sqref="C124:C125">
    <cfRule type="cellIs" dxfId="60" priority="54" stopIfTrue="1" operator="equal">
      <formula>"Towel"</formula>
    </cfRule>
    <cfRule type="cellIs" dxfId="59" priority="55" stopIfTrue="1" operator="equal">
      <formula>"Napkin Hs"</formula>
    </cfRule>
    <cfRule type="cellIs" dxfId="58" priority="56" stopIfTrue="1" operator="equal">
      <formula>"Towel"</formula>
    </cfRule>
    <cfRule type="cellIs" dxfId="57" priority="57" stopIfTrue="1" operator="equal">
      <formula>"Napkin Hs"</formula>
    </cfRule>
  </conditionalFormatting>
  <conditionalFormatting sqref="C122:C123">
    <cfRule type="cellIs" dxfId="56" priority="53" stopIfTrue="1" operator="equal">
      <formula>"Napkin Hs"</formula>
    </cfRule>
  </conditionalFormatting>
  <conditionalFormatting sqref="B129:C129">
    <cfRule type="cellIs" dxfId="55" priority="51" stopIfTrue="1" operator="equal">
      <formula>"Towel"</formula>
    </cfRule>
    <cfRule type="cellIs" dxfId="54" priority="52" stopIfTrue="1" operator="equal">
      <formula>"Napkin Hs"</formula>
    </cfRule>
  </conditionalFormatting>
  <conditionalFormatting sqref="C129">
    <cfRule type="cellIs" dxfId="53" priority="47" stopIfTrue="1" operator="equal">
      <formula>"Towel"</formula>
    </cfRule>
    <cfRule type="cellIs" dxfId="52" priority="48" stopIfTrue="1" operator="equal">
      <formula>"Napkin Hs"</formula>
    </cfRule>
    <cfRule type="cellIs" dxfId="51" priority="49" stopIfTrue="1" operator="equal">
      <formula>"Towel"</formula>
    </cfRule>
    <cfRule type="cellIs" dxfId="50" priority="50" stopIfTrue="1" operator="equal">
      <formula>"Napkin Hs"</formula>
    </cfRule>
  </conditionalFormatting>
  <conditionalFormatting sqref="C128">
    <cfRule type="cellIs" dxfId="49" priority="46" stopIfTrue="1" operator="equal">
      <formula>"Napkin Hs"</formula>
    </cfRule>
  </conditionalFormatting>
  <conditionalFormatting sqref="C127">
    <cfRule type="cellIs" dxfId="48" priority="45" stopIfTrue="1" operator="equal">
      <formula>"Napkin Hs"</formula>
    </cfRule>
  </conditionalFormatting>
  <conditionalFormatting sqref="B133:C133">
    <cfRule type="cellIs" dxfId="47" priority="43" stopIfTrue="1" operator="equal">
      <formula>"Towel"</formula>
    </cfRule>
    <cfRule type="cellIs" dxfId="46" priority="44" stopIfTrue="1" operator="equal">
      <formula>"Napkin Hs"</formula>
    </cfRule>
  </conditionalFormatting>
  <conditionalFormatting sqref="C133">
    <cfRule type="cellIs" dxfId="45" priority="39" stopIfTrue="1" operator="equal">
      <formula>"Towel"</formula>
    </cfRule>
    <cfRule type="cellIs" dxfId="44" priority="40" stopIfTrue="1" operator="equal">
      <formula>"Napkin Hs"</formula>
    </cfRule>
    <cfRule type="cellIs" dxfId="43" priority="41" stopIfTrue="1" operator="equal">
      <formula>"Towel"</formula>
    </cfRule>
    <cfRule type="cellIs" dxfId="42" priority="42" stopIfTrue="1" operator="equal">
      <formula>"Napkin Hs"</formula>
    </cfRule>
  </conditionalFormatting>
  <conditionalFormatting sqref="C132">
    <cfRule type="cellIs" dxfId="41" priority="38" stopIfTrue="1" operator="equal">
      <formula>"Napkin Hs"</formula>
    </cfRule>
  </conditionalFormatting>
  <conditionalFormatting sqref="C130">
    <cfRule type="cellIs" dxfId="40" priority="37" stopIfTrue="1" operator="equal">
      <formula>"Napkin Hs"</formula>
    </cfRule>
  </conditionalFormatting>
  <conditionalFormatting sqref="C131">
    <cfRule type="cellIs" dxfId="39" priority="36" stopIfTrue="1" operator="equal">
      <formula>"Napkin Hs"</formula>
    </cfRule>
  </conditionalFormatting>
  <conditionalFormatting sqref="B137:C137">
    <cfRule type="cellIs" dxfId="38" priority="34" stopIfTrue="1" operator="equal">
      <formula>"Towel"</formula>
    </cfRule>
    <cfRule type="cellIs" dxfId="37" priority="35" stopIfTrue="1" operator="equal">
      <formula>"Napkin Hs"</formula>
    </cfRule>
  </conditionalFormatting>
  <conditionalFormatting sqref="C137">
    <cfRule type="cellIs" dxfId="36" priority="30" stopIfTrue="1" operator="equal">
      <formula>"Towel"</formula>
    </cfRule>
    <cfRule type="cellIs" dxfId="35" priority="31" stopIfTrue="1" operator="equal">
      <formula>"Napkin Hs"</formula>
    </cfRule>
    <cfRule type="cellIs" dxfId="34" priority="32" stopIfTrue="1" operator="equal">
      <formula>"Towel"</formula>
    </cfRule>
    <cfRule type="cellIs" dxfId="33" priority="33" stopIfTrue="1" operator="equal">
      <formula>"Napkin Hs"</formula>
    </cfRule>
  </conditionalFormatting>
  <conditionalFormatting sqref="C136">
    <cfRule type="cellIs" dxfId="32" priority="29" stopIfTrue="1" operator="equal">
      <formula>"Napkin Hs"</formula>
    </cfRule>
  </conditionalFormatting>
  <conditionalFormatting sqref="C135">
    <cfRule type="cellIs" dxfId="31" priority="28" stopIfTrue="1" operator="equal">
      <formula>"Napkin Hs"</formula>
    </cfRule>
  </conditionalFormatting>
  <conditionalFormatting sqref="B142:C142">
    <cfRule type="cellIs" dxfId="30" priority="26" stopIfTrue="1" operator="equal">
      <formula>"Towel"</formula>
    </cfRule>
    <cfRule type="cellIs" dxfId="29" priority="27" stopIfTrue="1" operator="equal">
      <formula>"Napkin Hs"</formula>
    </cfRule>
  </conditionalFormatting>
  <conditionalFormatting sqref="C142">
    <cfRule type="cellIs" dxfId="28" priority="24" stopIfTrue="1" operator="equal">
      <formula>"Towel"</formula>
    </cfRule>
    <cfRule type="cellIs" dxfId="27" priority="25" stopIfTrue="1" operator="equal">
      <formula>"Napkin Hs"</formula>
    </cfRule>
  </conditionalFormatting>
  <conditionalFormatting sqref="C142">
    <cfRule type="cellIs" dxfId="26" priority="22" stopIfTrue="1" operator="equal">
      <formula>"Towel"</formula>
    </cfRule>
    <cfRule type="cellIs" dxfId="25" priority="23" stopIfTrue="1" operator="equal">
      <formula>"Napkin Hs"</formula>
    </cfRule>
  </conditionalFormatting>
  <conditionalFormatting sqref="B141:C141">
    <cfRule type="cellIs" dxfId="24" priority="20" stopIfTrue="1" operator="equal">
      <formula>"Towel"</formula>
    </cfRule>
    <cfRule type="cellIs" dxfId="23" priority="21" stopIfTrue="1" operator="equal">
      <formula>"Napkin Hs"</formula>
    </cfRule>
  </conditionalFormatting>
  <conditionalFormatting sqref="C141">
    <cfRule type="cellIs" dxfId="22" priority="16" stopIfTrue="1" operator="equal">
      <formula>"Towel"</formula>
    </cfRule>
    <cfRule type="cellIs" dxfId="21" priority="17" stopIfTrue="1" operator="equal">
      <formula>"Napkin Hs"</formula>
    </cfRule>
    <cfRule type="cellIs" dxfId="20" priority="18" stopIfTrue="1" operator="equal">
      <formula>"Towel"</formula>
    </cfRule>
    <cfRule type="cellIs" dxfId="19" priority="19" stopIfTrue="1" operator="equal">
      <formula>"Napkin Hs"</formula>
    </cfRule>
  </conditionalFormatting>
  <conditionalFormatting sqref="C140">
    <cfRule type="cellIs" dxfId="18" priority="15" stopIfTrue="1" operator="equal">
      <formula>"Napkin Hs"</formula>
    </cfRule>
  </conditionalFormatting>
  <conditionalFormatting sqref="C139">
    <cfRule type="cellIs" dxfId="17" priority="14" stopIfTrue="1" operator="equal">
      <formula>"Napkin Hs"</formula>
    </cfRule>
  </conditionalFormatting>
  <conditionalFormatting sqref="B145:C145">
    <cfRule type="cellIs" dxfId="16" priority="12" stopIfTrue="1" operator="equal">
      <formula>"Towel"</formula>
    </cfRule>
    <cfRule type="cellIs" dxfId="15" priority="13" stopIfTrue="1" operator="equal">
      <formula>"Napkin Hs"</formula>
    </cfRule>
  </conditionalFormatting>
  <conditionalFormatting sqref="C145">
    <cfRule type="cellIs" dxfId="14" priority="8" stopIfTrue="1" operator="equal">
      <formula>"Towel"</formula>
    </cfRule>
    <cfRule type="cellIs" dxfId="13" priority="9" stopIfTrue="1" operator="equal">
      <formula>"Napkin Hs"</formula>
    </cfRule>
    <cfRule type="cellIs" dxfId="12" priority="10" stopIfTrue="1" operator="equal">
      <formula>"Towel"</formula>
    </cfRule>
    <cfRule type="cellIs" dxfId="11" priority="11" stopIfTrue="1" operator="equal">
      <formula>"Napkin Hs"</formula>
    </cfRule>
  </conditionalFormatting>
  <conditionalFormatting sqref="C143:C144">
    <cfRule type="cellIs" dxfId="10" priority="7" stopIfTrue="1" operator="equal">
      <formula>"Napkin Hs"</formula>
    </cfRule>
  </conditionalFormatting>
  <conditionalFormatting sqref="B84:C84">
    <cfRule type="cellIs" dxfId="9" priority="5" stopIfTrue="1" operator="equal">
      <formula>"Towel"</formula>
    </cfRule>
    <cfRule type="cellIs" dxfId="8" priority="6" stopIfTrue="1" operator="equal">
      <formula>"Napkin Hs"</formula>
    </cfRule>
  </conditionalFormatting>
  <conditionalFormatting sqref="C84">
    <cfRule type="cellIs" dxfId="7" priority="1" stopIfTrue="1" operator="equal">
      <formula>"Towel"</formula>
    </cfRule>
    <cfRule type="cellIs" dxfId="6" priority="2" stopIfTrue="1" operator="equal">
      <formula>"Napkin Hs"</formula>
    </cfRule>
  </conditionalFormatting>
  <conditionalFormatting sqref="C84">
    <cfRule type="cellIs" dxfId="5" priority="3" stopIfTrue="1" operator="equal">
      <formula>"Towel"</formula>
    </cfRule>
    <cfRule type="cellIs" dxfId="4" priority="4" stopIfTrue="1" operator="equal">
      <formula>"Napkin Hs"</formula>
    </cfRule>
  </conditionalFormatting>
  <pageMargins left="0.75" right="0.75" top="1" bottom="1" header="0.5" footer="0.5"/>
  <pageSetup scale="29"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V73"/>
  <sheetViews>
    <sheetView zoomScale="85" workbookViewId="0">
      <pane xSplit="5" ySplit="8" topLeftCell="JC9" activePane="bottomRight" state="frozen"/>
      <selection pane="topRight" activeCell="E1" sqref="E1"/>
      <selection pane="bottomLeft" activeCell="A9" sqref="A9"/>
      <selection pane="bottomRight" activeCell="JD36" sqref="JD36"/>
    </sheetView>
  </sheetViews>
  <sheetFormatPr defaultColWidth="10.42578125" defaultRowHeight="15" customHeight="1"/>
  <cols>
    <col min="1" max="1" width="8.140625" style="258" customWidth="1"/>
    <col min="2" max="2" width="13.5703125" style="258" customWidth="1"/>
    <col min="3" max="3" width="13.28515625" style="259" customWidth="1"/>
    <col min="4" max="4" width="11.140625" style="259" customWidth="1"/>
    <col min="5" max="5" width="11" style="260" customWidth="1"/>
    <col min="6" max="269" width="12.42578125" style="503" customWidth="1"/>
    <col min="270" max="303" width="5.5703125" style="503" customWidth="1"/>
    <col min="304" max="304" width="8.7109375" style="503" customWidth="1"/>
    <col min="305" max="305" width="7.7109375" style="503" customWidth="1"/>
    <col min="306" max="306" width="21" style="503" bestFit="1" customWidth="1"/>
    <col min="307" max="307" width="19.85546875" style="503" bestFit="1" customWidth="1"/>
    <col min="308" max="16384" width="10.42578125" style="258"/>
  </cols>
  <sheetData>
    <row r="1" spans="1:308" ht="15" customHeight="1">
      <c r="A1" s="461"/>
      <c r="B1" s="255"/>
      <c r="C1" s="256"/>
      <c r="D1" s="256"/>
      <c r="E1" s="257"/>
    </row>
    <row r="2" spans="1:308" ht="15" customHeight="1">
      <c r="A2" s="461"/>
      <c r="B2" s="462"/>
      <c r="C2" s="463"/>
      <c r="D2" s="463"/>
      <c r="E2" s="464"/>
    </row>
    <row r="3" spans="1:308" ht="15" customHeight="1">
      <c r="A3" s="465"/>
      <c r="B3" s="462"/>
      <c r="C3" s="463"/>
      <c r="D3" s="463"/>
      <c r="E3" s="464"/>
    </row>
    <row r="4" spans="1:308" ht="15" customHeight="1">
      <c r="A4" s="466" t="s">
        <v>294</v>
      </c>
      <c r="B4" s="462"/>
      <c r="C4" s="463"/>
      <c r="D4" s="463"/>
      <c r="E4" s="464"/>
    </row>
    <row r="5" spans="1:308" ht="15" customHeight="1" thickBot="1">
      <c r="A5" s="462"/>
      <c r="B5" s="462"/>
      <c r="C5" s="463"/>
      <c r="D5" s="463"/>
      <c r="E5" s="464"/>
    </row>
    <row r="6" spans="1:308" ht="15" customHeight="1">
      <c r="A6" s="726" t="s">
        <v>31</v>
      </c>
      <c r="B6" s="726" t="s">
        <v>5</v>
      </c>
      <c r="C6" s="726" t="s">
        <v>6</v>
      </c>
      <c r="D6" s="729" t="s">
        <v>43</v>
      </c>
      <c r="E6" s="732" t="s">
        <v>41</v>
      </c>
      <c r="F6" s="724" t="s">
        <v>314</v>
      </c>
      <c r="G6" s="724"/>
      <c r="H6" s="724"/>
      <c r="I6" s="724"/>
      <c r="J6" s="724"/>
      <c r="K6" s="724"/>
      <c r="L6" s="724"/>
      <c r="M6" s="724"/>
      <c r="N6" s="724"/>
      <c r="O6" s="724"/>
      <c r="P6" s="724"/>
      <c r="Q6" s="724"/>
      <c r="R6" s="724"/>
      <c r="S6" s="724"/>
      <c r="T6" s="724"/>
      <c r="U6" s="724"/>
      <c r="V6" s="724"/>
      <c r="W6" s="724"/>
      <c r="X6" s="724"/>
      <c r="Y6" s="724"/>
      <c r="Z6" s="724"/>
      <c r="AA6" s="724"/>
      <c r="AB6" s="724"/>
      <c r="AC6" s="724"/>
      <c r="AD6" s="724"/>
      <c r="AE6" s="724"/>
      <c r="AF6" s="724"/>
      <c r="AG6" s="724"/>
      <c r="AH6" s="724"/>
      <c r="AI6" s="724"/>
      <c r="AJ6" s="724"/>
      <c r="AK6" s="724"/>
      <c r="AL6" s="724"/>
      <c r="AM6" s="724"/>
      <c r="AN6" s="724"/>
      <c r="AO6" s="724"/>
      <c r="AP6" s="724"/>
      <c r="AQ6" s="724"/>
      <c r="AR6" s="724"/>
      <c r="AS6" s="724"/>
      <c r="AT6" s="724"/>
      <c r="AU6" s="724"/>
      <c r="AV6" s="724"/>
      <c r="AW6" s="724"/>
      <c r="AX6" s="724"/>
      <c r="AY6" s="724"/>
      <c r="AZ6" s="724"/>
      <c r="BA6" s="724"/>
      <c r="BB6" s="724"/>
      <c r="BC6" s="724"/>
      <c r="BD6" s="724"/>
      <c r="BE6" s="724"/>
      <c r="BF6" s="724"/>
      <c r="BG6" s="724"/>
      <c r="BH6" s="724"/>
      <c r="BI6" s="724"/>
      <c r="BJ6" s="724"/>
      <c r="BK6" s="724"/>
      <c r="BL6" s="724"/>
      <c r="BM6" s="724"/>
      <c r="BN6" s="724"/>
      <c r="BO6" s="724"/>
      <c r="BP6" s="724"/>
      <c r="BQ6" s="724"/>
      <c r="BR6" s="724"/>
      <c r="BS6" s="724"/>
      <c r="BT6" s="724"/>
      <c r="BU6" s="724"/>
      <c r="BV6" s="724"/>
      <c r="BW6" s="724"/>
      <c r="BX6" s="724"/>
      <c r="BY6" s="724"/>
      <c r="BZ6" s="724"/>
      <c r="CA6" s="724"/>
      <c r="CB6" s="724"/>
      <c r="CC6" s="724"/>
      <c r="CD6" s="724"/>
      <c r="CE6" s="724"/>
      <c r="CF6" s="724"/>
      <c r="CG6" s="724"/>
      <c r="CH6" s="724"/>
      <c r="CI6" s="724"/>
      <c r="CJ6" s="724"/>
      <c r="CK6" s="724"/>
      <c r="CL6" s="724"/>
      <c r="CM6" s="724"/>
      <c r="CN6" s="724"/>
      <c r="CO6" s="724"/>
      <c r="CP6" s="724"/>
      <c r="CQ6" s="724"/>
      <c r="CR6" s="724"/>
      <c r="CS6" s="724"/>
      <c r="CT6" s="724"/>
      <c r="CU6" s="724"/>
      <c r="CV6" s="724"/>
      <c r="CW6" s="724"/>
      <c r="CX6" s="724"/>
      <c r="CY6" s="724"/>
      <c r="CZ6" s="724"/>
      <c r="DA6" s="724"/>
      <c r="DB6" s="724"/>
      <c r="DC6" s="724"/>
      <c r="DD6" s="724"/>
      <c r="DE6" s="724"/>
      <c r="DF6" s="724"/>
      <c r="DG6" s="724"/>
      <c r="DH6" s="724"/>
      <c r="DI6" s="724"/>
      <c r="DJ6" s="724"/>
      <c r="DK6" s="724"/>
      <c r="DL6" s="724"/>
      <c r="DM6" s="724"/>
      <c r="DN6" s="724"/>
      <c r="DO6" s="724"/>
      <c r="DP6" s="724"/>
      <c r="DQ6" s="724"/>
      <c r="DR6" s="724"/>
      <c r="DS6" s="724"/>
      <c r="DT6" s="724"/>
      <c r="DU6" s="724"/>
      <c r="DV6" s="724"/>
      <c r="DW6" s="724"/>
      <c r="DX6" s="724"/>
      <c r="DY6" s="724"/>
      <c r="DZ6" s="724"/>
      <c r="EA6" s="724"/>
      <c r="EB6" s="724"/>
      <c r="EC6" s="724"/>
      <c r="ED6" s="724"/>
      <c r="EE6" s="724"/>
      <c r="EF6" s="724"/>
      <c r="EG6" s="724"/>
      <c r="EH6" s="724"/>
      <c r="EI6" s="724"/>
      <c r="EJ6" s="724"/>
      <c r="EK6" s="724"/>
      <c r="EL6" s="724"/>
      <c r="EM6" s="724"/>
      <c r="EN6" s="724"/>
      <c r="EO6" s="724"/>
      <c r="EP6" s="724"/>
      <c r="EQ6" s="724"/>
      <c r="ER6" s="724"/>
      <c r="ES6" s="724"/>
      <c r="ET6" s="724"/>
      <c r="EU6" s="724"/>
      <c r="EV6" s="724"/>
      <c r="EW6" s="724"/>
      <c r="EX6" s="724"/>
      <c r="EY6" s="724"/>
      <c r="EZ6" s="724"/>
      <c r="FA6" s="724"/>
      <c r="FB6" s="724"/>
      <c r="FC6" s="724"/>
      <c r="FD6" s="724"/>
      <c r="FE6" s="724"/>
      <c r="FF6" s="724"/>
      <c r="FG6" s="724"/>
      <c r="FH6" s="724"/>
      <c r="FI6" s="724"/>
      <c r="FJ6" s="724"/>
      <c r="FK6" s="724"/>
      <c r="FL6" s="724"/>
      <c r="FM6" s="724"/>
      <c r="FN6" s="724"/>
      <c r="FO6" s="724"/>
      <c r="FP6" s="724"/>
      <c r="FQ6" s="724"/>
      <c r="FR6" s="724"/>
      <c r="FS6" s="724"/>
      <c r="FT6" s="724"/>
      <c r="FU6" s="724"/>
      <c r="FV6" s="724"/>
      <c r="FW6" s="724"/>
      <c r="FX6" s="724"/>
      <c r="FY6" s="724"/>
      <c r="FZ6" s="724"/>
      <c r="GA6" s="724"/>
      <c r="GB6" s="724"/>
      <c r="GC6" s="725"/>
      <c r="GD6" s="716" t="s">
        <v>315</v>
      </c>
      <c r="GE6" s="717"/>
      <c r="GF6" s="717"/>
      <c r="GG6" s="717"/>
      <c r="GH6" s="717"/>
      <c r="GI6" s="717"/>
      <c r="GJ6" s="717"/>
      <c r="GK6" s="717"/>
      <c r="GL6" s="717"/>
      <c r="GM6" s="717"/>
      <c r="GN6" s="717"/>
      <c r="GO6" s="717"/>
      <c r="GP6" s="717"/>
      <c r="GQ6" s="717"/>
      <c r="GR6" s="717"/>
      <c r="GS6" s="717"/>
      <c r="GT6" s="717"/>
      <c r="GU6" s="717"/>
      <c r="GV6" s="717"/>
      <c r="GW6" s="717"/>
      <c r="GX6" s="717"/>
      <c r="GY6" s="717"/>
      <c r="GZ6" s="717"/>
      <c r="HA6" s="717"/>
      <c r="HB6" s="717"/>
      <c r="HC6" s="717"/>
      <c r="HD6" s="717"/>
      <c r="HE6" s="717"/>
      <c r="HF6" s="717"/>
      <c r="HG6" s="717"/>
      <c r="HH6" s="717"/>
      <c r="HI6" s="717"/>
      <c r="HJ6" s="717"/>
      <c r="HK6" s="717"/>
      <c r="HL6" s="717"/>
      <c r="HM6" s="717"/>
      <c r="HN6" s="717"/>
      <c r="HO6" s="717"/>
      <c r="HP6" s="717"/>
      <c r="HQ6" s="717"/>
      <c r="HR6" s="717"/>
      <c r="HS6" s="717"/>
      <c r="HT6" s="717"/>
      <c r="HU6" s="717"/>
      <c r="HV6" s="717"/>
      <c r="HW6" s="717"/>
      <c r="HX6" s="717"/>
      <c r="HY6" s="717"/>
      <c r="HZ6" s="717"/>
      <c r="IA6" s="717"/>
      <c r="IB6" s="717"/>
      <c r="IC6" s="717"/>
      <c r="ID6" s="717"/>
      <c r="IE6" s="717"/>
      <c r="IF6" s="717"/>
      <c r="IG6" s="717"/>
      <c r="IH6" s="717"/>
      <c r="II6" s="717"/>
      <c r="IJ6" s="717"/>
      <c r="IK6" s="717"/>
      <c r="IL6" s="717"/>
      <c r="IM6" s="717"/>
      <c r="IN6" s="717"/>
      <c r="IO6" s="717"/>
      <c r="IP6" s="717"/>
      <c r="IQ6" s="717"/>
      <c r="IR6" s="717"/>
      <c r="IS6" s="717"/>
      <c r="IT6" s="717"/>
      <c r="IU6" s="717"/>
      <c r="IV6" s="717"/>
      <c r="IW6" s="717"/>
      <c r="IX6" s="717"/>
      <c r="IY6" s="717"/>
      <c r="IZ6" s="717"/>
      <c r="JA6" s="717"/>
      <c r="JB6" s="717"/>
      <c r="JC6" s="717"/>
      <c r="JD6" s="717"/>
      <c r="JE6" s="717"/>
      <c r="JF6" s="717"/>
      <c r="JG6" s="717"/>
      <c r="JH6" s="717"/>
      <c r="JI6" s="717"/>
      <c r="JJ6" s="717"/>
      <c r="JK6" s="717"/>
      <c r="JL6" s="717"/>
      <c r="JM6" s="717"/>
      <c r="JN6" s="717"/>
      <c r="JO6" s="717"/>
      <c r="JP6" s="717"/>
      <c r="JQ6" s="717"/>
      <c r="JR6" s="717"/>
      <c r="JS6" s="717"/>
      <c r="JT6" s="717"/>
      <c r="JU6" s="717"/>
      <c r="JV6" s="717"/>
      <c r="JW6" s="717"/>
      <c r="JX6" s="717"/>
      <c r="JY6" s="717"/>
      <c r="JZ6" s="717"/>
      <c r="KA6" s="717"/>
      <c r="KB6" s="717"/>
      <c r="KC6" s="717"/>
      <c r="KD6" s="717"/>
      <c r="KE6" s="717"/>
      <c r="KF6" s="717"/>
      <c r="KG6" s="717"/>
      <c r="KH6" s="717"/>
      <c r="KI6" s="717"/>
      <c r="KJ6" s="717"/>
      <c r="KK6" s="717"/>
      <c r="KL6" s="717"/>
      <c r="KM6" s="717"/>
      <c r="KN6" s="717"/>
      <c r="KO6" s="717"/>
      <c r="KP6" s="717"/>
      <c r="KQ6" s="717"/>
      <c r="KR6" s="717"/>
      <c r="KS6" s="718"/>
      <c r="KT6" s="719" t="s">
        <v>316</v>
      </c>
      <c r="KU6" s="719" t="s">
        <v>315</v>
      </c>
    </row>
    <row r="7" spans="1:308" ht="15" customHeight="1">
      <c r="A7" s="727"/>
      <c r="B7" s="727"/>
      <c r="C7" s="727"/>
      <c r="D7" s="730"/>
      <c r="E7" s="733"/>
      <c r="F7" s="720" t="s">
        <v>317</v>
      </c>
      <c r="G7" s="720"/>
      <c r="H7" s="711"/>
      <c r="I7" s="710" t="s">
        <v>318</v>
      </c>
      <c r="J7" s="720"/>
      <c r="K7" s="711"/>
      <c r="L7" s="710" t="s">
        <v>319</v>
      </c>
      <c r="M7" s="720"/>
      <c r="N7" s="711"/>
      <c r="O7" s="710" t="s">
        <v>320</v>
      </c>
      <c r="P7" s="720"/>
      <c r="Q7" s="711"/>
      <c r="R7" s="710" t="s">
        <v>321</v>
      </c>
      <c r="S7" s="720"/>
      <c r="T7" s="711"/>
      <c r="U7" s="710" t="s">
        <v>323</v>
      </c>
      <c r="V7" s="720"/>
      <c r="W7" s="711"/>
      <c r="X7" s="710" t="s">
        <v>322</v>
      </c>
      <c r="Y7" s="720"/>
      <c r="Z7" s="711"/>
      <c r="AA7" s="710" t="s">
        <v>323</v>
      </c>
      <c r="AB7" s="720"/>
      <c r="AC7" s="711"/>
      <c r="AD7" s="710" t="s">
        <v>324</v>
      </c>
      <c r="AE7" s="720"/>
      <c r="AF7" s="711"/>
      <c r="AG7" s="710" t="s">
        <v>325</v>
      </c>
      <c r="AH7" s="720"/>
      <c r="AI7" s="711"/>
      <c r="AJ7" s="710" t="s">
        <v>326</v>
      </c>
      <c r="AK7" s="720"/>
      <c r="AL7" s="711"/>
      <c r="AM7" s="710" t="s">
        <v>327</v>
      </c>
      <c r="AN7" s="720"/>
      <c r="AO7" s="711"/>
      <c r="AP7" s="710" t="s">
        <v>327</v>
      </c>
      <c r="AQ7" s="720"/>
      <c r="AR7" s="711"/>
      <c r="AS7" s="710" t="s">
        <v>328</v>
      </c>
      <c r="AT7" s="720"/>
      <c r="AU7" s="711"/>
      <c r="AV7" s="710" t="s">
        <v>329</v>
      </c>
      <c r="AW7" s="720"/>
      <c r="AX7" s="711"/>
      <c r="AY7" s="713" t="s">
        <v>330</v>
      </c>
      <c r="AZ7" s="714"/>
      <c r="BA7" s="714"/>
      <c r="BB7" s="713" t="s">
        <v>331</v>
      </c>
      <c r="BC7" s="714"/>
      <c r="BD7" s="715"/>
      <c r="BE7" s="713" t="s">
        <v>332</v>
      </c>
      <c r="BF7" s="714"/>
      <c r="BG7" s="714"/>
      <c r="BH7" s="713" t="s">
        <v>333</v>
      </c>
      <c r="BI7" s="714"/>
      <c r="BJ7" s="715"/>
      <c r="BK7" s="713" t="s">
        <v>334</v>
      </c>
      <c r="BL7" s="714"/>
      <c r="BM7" s="714"/>
      <c r="BN7" s="713" t="s">
        <v>335</v>
      </c>
      <c r="BO7" s="714"/>
      <c r="BP7" s="715"/>
      <c r="BQ7" s="713" t="s">
        <v>299</v>
      </c>
      <c r="BR7" s="714"/>
      <c r="BS7" s="714"/>
      <c r="BT7" s="713" t="s">
        <v>336</v>
      </c>
      <c r="BU7" s="714"/>
      <c r="BV7" s="715"/>
      <c r="BW7" s="713" t="s">
        <v>337</v>
      </c>
      <c r="BX7" s="714"/>
      <c r="BY7" s="714"/>
      <c r="BZ7" s="713" t="s">
        <v>338</v>
      </c>
      <c r="CA7" s="714"/>
      <c r="CB7" s="715"/>
      <c r="CC7" s="713" t="s">
        <v>339</v>
      </c>
      <c r="CD7" s="714"/>
      <c r="CE7" s="714"/>
      <c r="CF7" s="713" t="s">
        <v>340</v>
      </c>
      <c r="CG7" s="714"/>
      <c r="CH7" s="715"/>
      <c r="CI7" s="713" t="s">
        <v>341</v>
      </c>
      <c r="CJ7" s="714"/>
      <c r="CK7" s="714"/>
      <c r="CL7" s="713" t="s">
        <v>342</v>
      </c>
      <c r="CM7" s="714"/>
      <c r="CN7" s="715"/>
      <c r="CO7" s="713" t="s">
        <v>343</v>
      </c>
      <c r="CP7" s="714"/>
      <c r="CQ7" s="714"/>
      <c r="CR7" s="713" t="s">
        <v>344</v>
      </c>
      <c r="CS7" s="714"/>
      <c r="CT7" s="715"/>
      <c r="CU7" s="713" t="s">
        <v>298</v>
      </c>
      <c r="CV7" s="714"/>
      <c r="CW7" s="714"/>
      <c r="CX7" s="713" t="s">
        <v>345</v>
      </c>
      <c r="CY7" s="714"/>
      <c r="CZ7" s="715"/>
      <c r="DA7" s="713" t="s">
        <v>346</v>
      </c>
      <c r="DB7" s="714"/>
      <c r="DC7" s="714"/>
      <c r="DD7" s="713" t="s">
        <v>347</v>
      </c>
      <c r="DE7" s="714"/>
      <c r="DF7" s="715"/>
      <c r="DG7" s="713" t="s">
        <v>348</v>
      </c>
      <c r="DH7" s="714"/>
      <c r="DI7" s="714"/>
      <c r="DJ7" s="713" t="s">
        <v>349</v>
      </c>
      <c r="DK7" s="714"/>
      <c r="DL7" s="715"/>
      <c r="DM7" s="713" t="s">
        <v>350</v>
      </c>
      <c r="DN7" s="714"/>
      <c r="DO7" s="714"/>
      <c r="DP7" s="713" t="s">
        <v>351</v>
      </c>
      <c r="DQ7" s="714"/>
      <c r="DR7" s="715"/>
      <c r="DS7" s="713" t="s">
        <v>352</v>
      </c>
      <c r="DT7" s="714"/>
      <c r="DU7" s="714"/>
      <c r="DV7" s="713" t="s">
        <v>353</v>
      </c>
      <c r="DW7" s="714"/>
      <c r="DX7" s="715"/>
      <c r="DY7" s="713" t="s">
        <v>354</v>
      </c>
      <c r="DZ7" s="714"/>
      <c r="EA7" s="714"/>
      <c r="EB7" s="713" t="s">
        <v>390</v>
      </c>
      <c r="EC7" s="714"/>
      <c r="ED7" s="715"/>
      <c r="EE7" s="713" t="s">
        <v>448</v>
      </c>
      <c r="EF7" s="714"/>
      <c r="EG7" s="714"/>
      <c r="EH7" s="713" t="s">
        <v>449</v>
      </c>
      <c r="EI7" s="714"/>
      <c r="EJ7" s="715"/>
      <c r="EK7" s="713"/>
      <c r="EL7" s="714"/>
      <c r="EM7" s="714"/>
      <c r="EN7" s="713"/>
      <c r="EO7" s="714"/>
      <c r="EP7" s="715"/>
      <c r="EQ7" s="713"/>
      <c r="ER7" s="714"/>
      <c r="ES7" s="714"/>
      <c r="ET7" s="713"/>
      <c r="EU7" s="714"/>
      <c r="EV7" s="715"/>
      <c r="EW7" s="713"/>
      <c r="EX7" s="714"/>
      <c r="EY7" s="714"/>
      <c r="EZ7" s="713"/>
      <c r="FA7" s="714"/>
      <c r="FB7" s="715"/>
      <c r="FC7" s="713"/>
      <c r="FD7" s="714"/>
      <c r="FE7" s="714"/>
      <c r="FF7" s="713"/>
      <c r="FG7" s="714"/>
      <c r="FH7" s="715"/>
      <c r="FI7" s="713"/>
      <c r="FJ7" s="714"/>
      <c r="FK7" s="714"/>
      <c r="FL7" s="713"/>
      <c r="FM7" s="714"/>
      <c r="FN7" s="715"/>
      <c r="FO7" s="713"/>
      <c r="FP7" s="714"/>
      <c r="FQ7" s="714"/>
      <c r="FR7" s="713"/>
      <c r="FS7" s="714"/>
      <c r="FT7" s="715"/>
      <c r="FU7" s="713"/>
      <c r="FV7" s="714"/>
      <c r="FW7" s="714"/>
      <c r="FX7" s="713"/>
      <c r="FY7" s="714"/>
      <c r="FZ7" s="715"/>
      <c r="GA7" s="713"/>
      <c r="GB7" s="714"/>
      <c r="GC7" s="714"/>
      <c r="GD7" s="713" t="s">
        <v>355</v>
      </c>
      <c r="GE7" s="714"/>
      <c r="GF7" s="715"/>
      <c r="GG7" s="713" t="s">
        <v>356</v>
      </c>
      <c r="GH7" s="714"/>
      <c r="GI7" s="714"/>
      <c r="GJ7" s="713" t="s">
        <v>357</v>
      </c>
      <c r="GK7" s="714"/>
      <c r="GL7" s="715"/>
      <c r="GM7" s="713" t="s">
        <v>295</v>
      </c>
      <c r="GN7" s="714"/>
      <c r="GO7" s="714"/>
      <c r="GP7" s="713" t="s">
        <v>358</v>
      </c>
      <c r="GQ7" s="714"/>
      <c r="GR7" s="715"/>
      <c r="GS7" s="713" t="s">
        <v>359</v>
      </c>
      <c r="GT7" s="714"/>
      <c r="GU7" s="714"/>
      <c r="GV7" s="713" t="s">
        <v>360</v>
      </c>
      <c r="GW7" s="714"/>
      <c r="GX7" s="715"/>
      <c r="GY7" s="713" t="s">
        <v>361</v>
      </c>
      <c r="GZ7" s="714"/>
      <c r="HA7" s="714"/>
      <c r="HB7" s="713" t="s">
        <v>338</v>
      </c>
      <c r="HC7" s="714"/>
      <c r="HD7" s="715"/>
      <c r="HE7" s="713" t="s">
        <v>353</v>
      </c>
      <c r="HF7" s="714"/>
      <c r="HG7" s="714"/>
      <c r="HH7" s="713" t="s">
        <v>352</v>
      </c>
      <c r="HI7" s="714"/>
      <c r="HJ7" s="715"/>
      <c r="HK7" s="713" t="s">
        <v>335</v>
      </c>
      <c r="HL7" s="714"/>
      <c r="HM7" s="714"/>
      <c r="HN7" s="713" t="s">
        <v>297</v>
      </c>
      <c r="HO7" s="714"/>
      <c r="HP7" s="715"/>
      <c r="HQ7" s="713" t="s">
        <v>298</v>
      </c>
      <c r="HR7" s="714"/>
      <c r="HS7" s="714"/>
      <c r="HT7" s="713" t="s">
        <v>362</v>
      </c>
      <c r="HU7" s="714"/>
      <c r="HV7" s="715"/>
      <c r="HW7" s="713" t="s">
        <v>363</v>
      </c>
      <c r="HX7" s="714"/>
      <c r="HY7" s="714"/>
      <c r="HZ7" s="713" t="s">
        <v>364</v>
      </c>
      <c r="IA7" s="714"/>
      <c r="IB7" s="715"/>
      <c r="IC7" s="713" t="s">
        <v>365</v>
      </c>
      <c r="ID7" s="714"/>
      <c r="IE7" s="714"/>
      <c r="IF7" s="713" t="s">
        <v>366</v>
      </c>
      <c r="IG7" s="714"/>
      <c r="IH7" s="715"/>
      <c r="II7" s="712" t="s">
        <v>340</v>
      </c>
      <c r="IJ7" s="712"/>
      <c r="IK7" s="712"/>
      <c r="IL7" s="713" t="s">
        <v>343</v>
      </c>
      <c r="IM7" s="714"/>
      <c r="IN7" s="715"/>
      <c r="IO7" s="713" t="s">
        <v>344</v>
      </c>
      <c r="IP7" s="714"/>
      <c r="IQ7" s="714"/>
      <c r="IR7" s="713" t="s">
        <v>339</v>
      </c>
      <c r="IS7" s="714"/>
      <c r="IT7" s="715"/>
      <c r="IU7" s="713" t="s">
        <v>367</v>
      </c>
      <c r="IV7" s="714"/>
      <c r="IW7" s="714"/>
      <c r="IX7" s="713" t="s">
        <v>346</v>
      </c>
      <c r="IY7" s="714"/>
      <c r="IZ7" s="715"/>
      <c r="JA7" s="713" t="s">
        <v>368</v>
      </c>
      <c r="JB7" s="714"/>
      <c r="JC7" s="714"/>
      <c r="JD7" s="713" t="s">
        <v>369</v>
      </c>
      <c r="JE7" s="714"/>
      <c r="JF7" s="715"/>
      <c r="JG7" s="713" t="s">
        <v>296</v>
      </c>
      <c r="JH7" s="714"/>
      <c r="JI7" s="714"/>
      <c r="JJ7" s="713" t="s">
        <v>727</v>
      </c>
      <c r="JK7" s="714"/>
      <c r="JL7" s="715"/>
      <c r="JM7" s="713"/>
      <c r="JN7" s="714"/>
      <c r="JO7" s="714"/>
      <c r="JP7" s="713"/>
      <c r="JQ7" s="714"/>
      <c r="JR7" s="715"/>
      <c r="JS7" s="713"/>
      <c r="JT7" s="714"/>
      <c r="JU7" s="714"/>
      <c r="JV7" s="713"/>
      <c r="JW7" s="714"/>
      <c r="JX7" s="715"/>
      <c r="JY7" s="713"/>
      <c r="JZ7" s="714"/>
      <c r="KA7" s="714"/>
      <c r="KB7" s="713"/>
      <c r="KC7" s="714"/>
      <c r="KD7" s="715"/>
      <c r="KE7" s="713"/>
      <c r="KF7" s="714"/>
      <c r="KG7" s="714"/>
      <c r="KH7" s="713"/>
      <c r="KI7" s="714"/>
      <c r="KJ7" s="715"/>
      <c r="KK7" s="713"/>
      <c r="KL7" s="714"/>
      <c r="KM7" s="714"/>
      <c r="KN7" s="713"/>
      <c r="KO7" s="714"/>
      <c r="KP7" s="715"/>
      <c r="KQ7" s="712"/>
      <c r="KR7" s="712"/>
      <c r="KS7" s="712"/>
      <c r="KT7" s="719"/>
      <c r="KU7" s="719"/>
    </row>
    <row r="8" spans="1:308" ht="15" customHeight="1">
      <c r="A8" s="727"/>
      <c r="B8" s="727"/>
      <c r="C8" s="727"/>
      <c r="D8" s="730"/>
      <c r="E8" s="733"/>
      <c r="F8" s="720" t="s">
        <v>146</v>
      </c>
      <c r="G8" s="711"/>
      <c r="H8" s="504" t="s">
        <v>370</v>
      </c>
      <c r="I8" s="710" t="s">
        <v>146</v>
      </c>
      <c r="J8" s="711"/>
      <c r="K8" s="504" t="s">
        <v>370</v>
      </c>
      <c r="L8" s="710" t="s">
        <v>146</v>
      </c>
      <c r="M8" s="711"/>
      <c r="N8" s="504" t="s">
        <v>370</v>
      </c>
      <c r="O8" s="710" t="s">
        <v>146</v>
      </c>
      <c r="P8" s="711"/>
      <c r="Q8" s="504" t="s">
        <v>370</v>
      </c>
      <c r="R8" s="710" t="s">
        <v>146</v>
      </c>
      <c r="S8" s="711"/>
      <c r="T8" s="504" t="s">
        <v>370</v>
      </c>
      <c r="U8" s="710" t="s">
        <v>146</v>
      </c>
      <c r="V8" s="711"/>
      <c r="W8" s="504" t="s">
        <v>370</v>
      </c>
      <c r="X8" s="710" t="s">
        <v>146</v>
      </c>
      <c r="Y8" s="711"/>
      <c r="Z8" s="504" t="s">
        <v>370</v>
      </c>
      <c r="AA8" s="710" t="s">
        <v>146</v>
      </c>
      <c r="AB8" s="711"/>
      <c r="AC8" s="504" t="s">
        <v>370</v>
      </c>
      <c r="AD8" s="710" t="s">
        <v>146</v>
      </c>
      <c r="AE8" s="711"/>
      <c r="AF8" s="504" t="s">
        <v>370</v>
      </c>
      <c r="AG8" s="710" t="s">
        <v>146</v>
      </c>
      <c r="AH8" s="711"/>
      <c r="AI8" s="504" t="s">
        <v>370</v>
      </c>
      <c r="AJ8" s="710" t="s">
        <v>146</v>
      </c>
      <c r="AK8" s="711"/>
      <c r="AL8" s="504" t="s">
        <v>370</v>
      </c>
      <c r="AM8" s="710" t="s">
        <v>146</v>
      </c>
      <c r="AN8" s="711"/>
      <c r="AO8" s="504" t="s">
        <v>370</v>
      </c>
      <c r="AP8" s="710" t="s">
        <v>146</v>
      </c>
      <c r="AQ8" s="711"/>
      <c r="AR8" s="504" t="s">
        <v>370</v>
      </c>
      <c r="AS8" s="710" t="s">
        <v>146</v>
      </c>
      <c r="AT8" s="711"/>
      <c r="AU8" s="504" t="s">
        <v>370</v>
      </c>
      <c r="AV8" s="710" t="s">
        <v>146</v>
      </c>
      <c r="AW8" s="711"/>
      <c r="AX8" s="504" t="s">
        <v>370</v>
      </c>
      <c r="AY8" s="710" t="s">
        <v>146</v>
      </c>
      <c r="AZ8" s="711"/>
      <c r="BA8" s="504" t="s">
        <v>370</v>
      </c>
      <c r="BB8" s="710" t="s">
        <v>146</v>
      </c>
      <c r="BC8" s="711"/>
      <c r="BD8" s="504" t="s">
        <v>370</v>
      </c>
      <c r="BE8" s="710" t="s">
        <v>146</v>
      </c>
      <c r="BF8" s="711"/>
      <c r="BG8" s="504" t="s">
        <v>370</v>
      </c>
      <c r="BH8" s="710" t="s">
        <v>146</v>
      </c>
      <c r="BI8" s="711"/>
      <c r="BJ8" s="504" t="s">
        <v>370</v>
      </c>
      <c r="BK8" s="710" t="s">
        <v>146</v>
      </c>
      <c r="BL8" s="711"/>
      <c r="BM8" s="504" t="s">
        <v>370</v>
      </c>
      <c r="BN8" s="710" t="s">
        <v>146</v>
      </c>
      <c r="BO8" s="711"/>
      <c r="BP8" s="504" t="s">
        <v>370</v>
      </c>
      <c r="BQ8" s="710" t="s">
        <v>146</v>
      </c>
      <c r="BR8" s="711"/>
      <c r="BS8" s="504" t="s">
        <v>370</v>
      </c>
      <c r="BT8" s="710" t="s">
        <v>146</v>
      </c>
      <c r="BU8" s="711"/>
      <c r="BV8" s="504" t="s">
        <v>370</v>
      </c>
      <c r="BW8" s="710" t="s">
        <v>146</v>
      </c>
      <c r="BX8" s="711"/>
      <c r="BY8" s="504" t="s">
        <v>370</v>
      </c>
      <c r="BZ8" s="710" t="s">
        <v>146</v>
      </c>
      <c r="CA8" s="711"/>
      <c r="CB8" s="504" t="s">
        <v>370</v>
      </c>
      <c r="CC8" s="710" t="s">
        <v>146</v>
      </c>
      <c r="CD8" s="711"/>
      <c r="CE8" s="504" t="s">
        <v>370</v>
      </c>
      <c r="CF8" s="710" t="s">
        <v>146</v>
      </c>
      <c r="CG8" s="711"/>
      <c r="CH8" s="504" t="s">
        <v>370</v>
      </c>
      <c r="CI8" s="710" t="s">
        <v>146</v>
      </c>
      <c r="CJ8" s="711"/>
      <c r="CK8" s="504" t="s">
        <v>370</v>
      </c>
      <c r="CL8" s="710" t="s">
        <v>146</v>
      </c>
      <c r="CM8" s="711"/>
      <c r="CN8" s="504" t="s">
        <v>370</v>
      </c>
      <c r="CO8" s="710" t="s">
        <v>146</v>
      </c>
      <c r="CP8" s="711"/>
      <c r="CQ8" s="504" t="s">
        <v>370</v>
      </c>
      <c r="CR8" s="710" t="s">
        <v>146</v>
      </c>
      <c r="CS8" s="711"/>
      <c r="CT8" s="504" t="s">
        <v>370</v>
      </c>
      <c r="CU8" s="710" t="s">
        <v>146</v>
      </c>
      <c r="CV8" s="711"/>
      <c r="CW8" s="504" t="s">
        <v>370</v>
      </c>
      <c r="CX8" s="710" t="s">
        <v>146</v>
      </c>
      <c r="CY8" s="711"/>
      <c r="CZ8" s="504" t="s">
        <v>370</v>
      </c>
      <c r="DA8" s="710" t="s">
        <v>146</v>
      </c>
      <c r="DB8" s="711"/>
      <c r="DC8" s="504" t="s">
        <v>370</v>
      </c>
      <c r="DD8" s="710" t="s">
        <v>146</v>
      </c>
      <c r="DE8" s="711"/>
      <c r="DF8" s="504" t="s">
        <v>370</v>
      </c>
      <c r="DG8" s="710" t="s">
        <v>146</v>
      </c>
      <c r="DH8" s="711"/>
      <c r="DI8" s="504" t="s">
        <v>370</v>
      </c>
      <c r="DJ8" s="710" t="s">
        <v>146</v>
      </c>
      <c r="DK8" s="711"/>
      <c r="DL8" s="504" t="s">
        <v>370</v>
      </c>
      <c r="DM8" s="710" t="s">
        <v>146</v>
      </c>
      <c r="DN8" s="711"/>
      <c r="DO8" s="504" t="s">
        <v>370</v>
      </c>
      <c r="DP8" s="710" t="s">
        <v>146</v>
      </c>
      <c r="DQ8" s="711"/>
      <c r="DR8" s="504" t="s">
        <v>370</v>
      </c>
      <c r="DS8" s="710" t="s">
        <v>146</v>
      </c>
      <c r="DT8" s="711"/>
      <c r="DU8" s="504" t="s">
        <v>370</v>
      </c>
      <c r="DV8" s="710" t="s">
        <v>146</v>
      </c>
      <c r="DW8" s="711"/>
      <c r="DX8" s="504" t="s">
        <v>370</v>
      </c>
      <c r="DY8" s="710" t="s">
        <v>146</v>
      </c>
      <c r="DZ8" s="711"/>
      <c r="EA8" s="504" t="s">
        <v>370</v>
      </c>
      <c r="EB8" s="710" t="s">
        <v>146</v>
      </c>
      <c r="EC8" s="711"/>
      <c r="ED8" s="504" t="s">
        <v>370</v>
      </c>
      <c r="EE8" s="710" t="s">
        <v>146</v>
      </c>
      <c r="EF8" s="711"/>
      <c r="EG8" s="504" t="s">
        <v>370</v>
      </c>
      <c r="EH8" s="710" t="s">
        <v>146</v>
      </c>
      <c r="EI8" s="711"/>
      <c r="EJ8" s="504" t="s">
        <v>370</v>
      </c>
      <c r="EK8" s="710" t="s">
        <v>146</v>
      </c>
      <c r="EL8" s="711"/>
      <c r="EM8" s="504" t="s">
        <v>370</v>
      </c>
      <c r="EN8" s="710" t="s">
        <v>146</v>
      </c>
      <c r="EO8" s="711"/>
      <c r="EP8" s="504" t="s">
        <v>370</v>
      </c>
      <c r="EQ8" s="710" t="s">
        <v>146</v>
      </c>
      <c r="ER8" s="711"/>
      <c r="ES8" s="504" t="s">
        <v>370</v>
      </c>
      <c r="ET8" s="710" t="s">
        <v>146</v>
      </c>
      <c r="EU8" s="711"/>
      <c r="EV8" s="504" t="s">
        <v>370</v>
      </c>
      <c r="EW8" s="710" t="s">
        <v>146</v>
      </c>
      <c r="EX8" s="711"/>
      <c r="EY8" s="504" t="s">
        <v>370</v>
      </c>
      <c r="EZ8" s="710" t="s">
        <v>146</v>
      </c>
      <c r="FA8" s="711"/>
      <c r="FB8" s="504" t="s">
        <v>370</v>
      </c>
      <c r="FC8" s="710" t="s">
        <v>146</v>
      </c>
      <c r="FD8" s="711"/>
      <c r="FE8" s="504" t="s">
        <v>370</v>
      </c>
      <c r="FF8" s="710" t="s">
        <v>146</v>
      </c>
      <c r="FG8" s="711"/>
      <c r="FH8" s="504" t="s">
        <v>370</v>
      </c>
      <c r="FI8" s="710" t="s">
        <v>146</v>
      </c>
      <c r="FJ8" s="711"/>
      <c r="FK8" s="504" t="s">
        <v>370</v>
      </c>
      <c r="FL8" s="710" t="s">
        <v>146</v>
      </c>
      <c r="FM8" s="711"/>
      <c r="FN8" s="504" t="s">
        <v>370</v>
      </c>
      <c r="FO8" s="710" t="s">
        <v>146</v>
      </c>
      <c r="FP8" s="711"/>
      <c r="FQ8" s="504" t="s">
        <v>370</v>
      </c>
      <c r="FR8" s="710" t="s">
        <v>146</v>
      </c>
      <c r="FS8" s="711"/>
      <c r="FT8" s="504" t="s">
        <v>370</v>
      </c>
      <c r="FU8" s="710" t="s">
        <v>146</v>
      </c>
      <c r="FV8" s="711"/>
      <c r="FW8" s="504" t="s">
        <v>370</v>
      </c>
      <c r="FX8" s="710" t="s">
        <v>146</v>
      </c>
      <c r="FY8" s="711"/>
      <c r="FZ8" s="504" t="s">
        <v>370</v>
      </c>
      <c r="GA8" s="710" t="s">
        <v>146</v>
      </c>
      <c r="GB8" s="711"/>
      <c r="GC8" s="504" t="s">
        <v>370</v>
      </c>
      <c r="GD8" s="710" t="s">
        <v>146</v>
      </c>
      <c r="GE8" s="711"/>
      <c r="GF8" s="504" t="s">
        <v>370</v>
      </c>
      <c r="GG8" s="710" t="s">
        <v>146</v>
      </c>
      <c r="GH8" s="711"/>
      <c r="GI8" s="504" t="s">
        <v>370</v>
      </c>
      <c r="GJ8" s="710" t="s">
        <v>146</v>
      </c>
      <c r="GK8" s="711"/>
      <c r="GL8" s="504" t="s">
        <v>370</v>
      </c>
      <c r="GM8" s="710" t="s">
        <v>146</v>
      </c>
      <c r="GN8" s="711"/>
      <c r="GO8" s="504" t="s">
        <v>370</v>
      </c>
      <c r="GP8" s="710" t="s">
        <v>146</v>
      </c>
      <c r="GQ8" s="711"/>
      <c r="GR8" s="504" t="s">
        <v>370</v>
      </c>
      <c r="GS8" s="710" t="s">
        <v>146</v>
      </c>
      <c r="GT8" s="711"/>
      <c r="GU8" s="504" t="s">
        <v>370</v>
      </c>
      <c r="GV8" s="710" t="s">
        <v>146</v>
      </c>
      <c r="GW8" s="711"/>
      <c r="GX8" s="504" t="s">
        <v>370</v>
      </c>
      <c r="GY8" s="710" t="s">
        <v>146</v>
      </c>
      <c r="GZ8" s="711"/>
      <c r="HA8" s="504" t="s">
        <v>370</v>
      </c>
      <c r="HB8" s="710" t="s">
        <v>146</v>
      </c>
      <c r="HC8" s="711"/>
      <c r="HD8" s="504" t="s">
        <v>370</v>
      </c>
      <c r="HE8" s="710" t="s">
        <v>146</v>
      </c>
      <c r="HF8" s="711"/>
      <c r="HG8" s="504" t="s">
        <v>370</v>
      </c>
      <c r="HH8" s="710" t="s">
        <v>146</v>
      </c>
      <c r="HI8" s="711"/>
      <c r="HJ8" s="504" t="s">
        <v>370</v>
      </c>
      <c r="HK8" s="710" t="s">
        <v>146</v>
      </c>
      <c r="HL8" s="711"/>
      <c r="HM8" s="504" t="s">
        <v>370</v>
      </c>
      <c r="HN8" s="710" t="s">
        <v>146</v>
      </c>
      <c r="HO8" s="711"/>
      <c r="HP8" s="504" t="s">
        <v>370</v>
      </c>
      <c r="HQ8" s="710" t="s">
        <v>146</v>
      </c>
      <c r="HR8" s="711"/>
      <c r="HS8" s="504" t="s">
        <v>370</v>
      </c>
      <c r="HT8" s="710" t="s">
        <v>146</v>
      </c>
      <c r="HU8" s="711"/>
      <c r="HV8" s="504" t="s">
        <v>370</v>
      </c>
      <c r="HW8" s="710" t="s">
        <v>146</v>
      </c>
      <c r="HX8" s="711"/>
      <c r="HY8" s="504" t="s">
        <v>370</v>
      </c>
      <c r="HZ8" s="710" t="s">
        <v>146</v>
      </c>
      <c r="IA8" s="711"/>
      <c r="IB8" s="504" t="s">
        <v>370</v>
      </c>
      <c r="IC8" s="710" t="s">
        <v>146</v>
      </c>
      <c r="ID8" s="711"/>
      <c r="IE8" s="504" t="s">
        <v>370</v>
      </c>
      <c r="IF8" s="710" t="s">
        <v>146</v>
      </c>
      <c r="IG8" s="711"/>
      <c r="IH8" s="504" t="s">
        <v>370</v>
      </c>
      <c r="II8" s="712" t="s">
        <v>146</v>
      </c>
      <c r="IJ8" s="712"/>
      <c r="IK8" s="505" t="s">
        <v>370</v>
      </c>
      <c r="IL8" s="710" t="s">
        <v>146</v>
      </c>
      <c r="IM8" s="711"/>
      <c r="IN8" s="504" t="s">
        <v>370</v>
      </c>
      <c r="IO8" s="710" t="s">
        <v>146</v>
      </c>
      <c r="IP8" s="711"/>
      <c r="IQ8" s="504" t="s">
        <v>370</v>
      </c>
      <c r="IR8" s="710" t="s">
        <v>146</v>
      </c>
      <c r="IS8" s="711"/>
      <c r="IT8" s="504" t="s">
        <v>370</v>
      </c>
      <c r="IU8" s="710" t="s">
        <v>146</v>
      </c>
      <c r="IV8" s="711"/>
      <c r="IW8" s="504" t="s">
        <v>370</v>
      </c>
      <c r="IX8" s="710" t="s">
        <v>146</v>
      </c>
      <c r="IY8" s="711"/>
      <c r="IZ8" s="504" t="s">
        <v>370</v>
      </c>
      <c r="JA8" s="710" t="s">
        <v>146</v>
      </c>
      <c r="JB8" s="711"/>
      <c r="JC8" s="504" t="s">
        <v>370</v>
      </c>
      <c r="JD8" s="710" t="s">
        <v>146</v>
      </c>
      <c r="JE8" s="711"/>
      <c r="JF8" s="504" t="s">
        <v>370</v>
      </c>
      <c r="JG8" s="710" t="s">
        <v>146</v>
      </c>
      <c r="JH8" s="711"/>
      <c r="JI8" s="504" t="s">
        <v>370</v>
      </c>
      <c r="JJ8" s="710" t="s">
        <v>146</v>
      </c>
      <c r="JK8" s="711"/>
      <c r="JL8" s="504" t="s">
        <v>370</v>
      </c>
      <c r="JM8" s="710" t="s">
        <v>146</v>
      </c>
      <c r="JN8" s="711"/>
      <c r="JO8" s="504" t="s">
        <v>370</v>
      </c>
      <c r="JP8" s="710" t="s">
        <v>146</v>
      </c>
      <c r="JQ8" s="711"/>
      <c r="JR8" s="504" t="s">
        <v>370</v>
      </c>
      <c r="JS8" s="710" t="s">
        <v>146</v>
      </c>
      <c r="JT8" s="711"/>
      <c r="JU8" s="504" t="s">
        <v>370</v>
      </c>
      <c r="JV8" s="710" t="s">
        <v>146</v>
      </c>
      <c r="JW8" s="711"/>
      <c r="JX8" s="504" t="s">
        <v>370</v>
      </c>
      <c r="JY8" s="710" t="s">
        <v>146</v>
      </c>
      <c r="JZ8" s="711"/>
      <c r="KA8" s="504" t="s">
        <v>370</v>
      </c>
      <c r="KB8" s="710" t="s">
        <v>146</v>
      </c>
      <c r="KC8" s="711"/>
      <c r="KD8" s="504" t="s">
        <v>370</v>
      </c>
      <c r="KE8" s="710" t="s">
        <v>146</v>
      </c>
      <c r="KF8" s="711"/>
      <c r="KG8" s="504" t="s">
        <v>370</v>
      </c>
      <c r="KH8" s="710" t="s">
        <v>146</v>
      </c>
      <c r="KI8" s="711"/>
      <c r="KJ8" s="504" t="s">
        <v>370</v>
      </c>
      <c r="KK8" s="710" t="s">
        <v>146</v>
      </c>
      <c r="KL8" s="711"/>
      <c r="KM8" s="504" t="s">
        <v>370</v>
      </c>
      <c r="KN8" s="710" t="s">
        <v>146</v>
      </c>
      <c r="KO8" s="711"/>
      <c r="KP8" s="504" t="s">
        <v>370</v>
      </c>
      <c r="KQ8" s="712" t="s">
        <v>146</v>
      </c>
      <c r="KR8" s="712"/>
      <c r="KS8" s="505" t="s">
        <v>370</v>
      </c>
      <c r="KT8" s="719"/>
      <c r="KU8" s="719"/>
    </row>
    <row r="9" spans="1:308" ht="15" customHeight="1" thickBot="1">
      <c r="A9" s="728"/>
      <c r="B9" s="728"/>
      <c r="C9" s="728"/>
      <c r="D9" s="731"/>
      <c r="E9" s="734"/>
      <c r="F9" s="531" t="s">
        <v>147</v>
      </c>
      <c r="G9" s="506" t="s">
        <v>42</v>
      </c>
      <c r="H9" s="507"/>
      <c r="I9" s="506" t="s">
        <v>147</v>
      </c>
      <c r="J9" s="506" t="s">
        <v>42</v>
      </c>
      <c r="K9" s="507"/>
      <c r="L9" s="506" t="s">
        <v>147</v>
      </c>
      <c r="M9" s="506" t="s">
        <v>42</v>
      </c>
      <c r="N9" s="507"/>
      <c r="O9" s="506" t="s">
        <v>147</v>
      </c>
      <c r="P9" s="506" t="s">
        <v>42</v>
      </c>
      <c r="Q9" s="507"/>
      <c r="R9" s="506" t="s">
        <v>147</v>
      </c>
      <c r="S9" s="506" t="s">
        <v>42</v>
      </c>
      <c r="T9" s="507"/>
      <c r="U9" s="506" t="s">
        <v>147</v>
      </c>
      <c r="V9" s="506" t="s">
        <v>42</v>
      </c>
      <c r="W9" s="507"/>
      <c r="X9" s="506" t="s">
        <v>147</v>
      </c>
      <c r="Y9" s="506" t="s">
        <v>42</v>
      </c>
      <c r="Z9" s="507"/>
      <c r="AA9" s="506" t="s">
        <v>147</v>
      </c>
      <c r="AB9" s="506" t="s">
        <v>42</v>
      </c>
      <c r="AC9" s="507"/>
      <c r="AD9" s="506" t="s">
        <v>147</v>
      </c>
      <c r="AE9" s="506" t="s">
        <v>42</v>
      </c>
      <c r="AF9" s="507"/>
      <c r="AG9" s="506" t="s">
        <v>147</v>
      </c>
      <c r="AH9" s="506" t="s">
        <v>42</v>
      </c>
      <c r="AI9" s="507"/>
      <c r="AJ9" s="506" t="s">
        <v>147</v>
      </c>
      <c r="AK9" s="506" t="s">
        <v>42</v>
      </c>
      <c r="AL9" s="507"/>
      <c r="AM9" s="506" t="s">
        <v>147</v>
      </c>
      <c r="AN9" s="506" t="s">
        <v>42</v>
      </c>
      <c r="AO9" s="507"/>
      <c r="AP9" s="506" t="s">
        <v>147</v>
      </c>
      <c r="AQ9" s="506" t="s">
        <v>42</v>
      </c>
      <c r="AR9" s="507"/>
      <c r="AS9" s="506" t="s">
        <v>147</v>
      </c>
      <c r="AT9" s="506" t="s">
        <v>42</v>
      </c>
      <c r="AU9" s="507"/>
      <c r="AV9" s="506" t="s">
        <v>147</v>
      </c>
      <c r="AW9" s="506" t="s">
        <v>42</v>
      </c>
      <c r="AX9" s="507"/>
      <c r="AY9" s="506" t="s">
        <v>147</v>
      </c>
      <c r="AZ9" s="506" t="s">
        <v>42</v>
      </c>
      <c r="BA9" s="507"/>
      <c r="BB9" s="506" t="s">
        <v>147</v>
      </c>
      <c r="BC9" s="506" t="s">
        <v>42</v>
      </c>
      <c r="BD9" s="507"/>
      <c r="BE9" s="506" t="s">
        <v>147</v>
      </c>
      <c r="BF9" s="506" t="s">
        <v>42</v>
      </c>
      <c r="BG9" s="507"/>
      <c r="BH9" s="506" t="s">
        <v>147</v>
      </c>
      <c r="BI9" s="506" t="s">
        <v>42</v>
      </c>
      <c r="BJ9" s="507"/>
      <c r="BK9" s="506" t="s">
        <v>147</v>
      </c>
      <c r="BL9" s="506" t="s">
        <v>42</v>
      </c>
      <c r="BM9" s="507"/>
      <c r="BN9" s="506" t="s">
        <v>147</v>
      </c>
      <c r="BO9" s="506" t="s">
        <v>42</v>
      </c>
      <c r="BP9" s="507"/>
      <c r="BQ9" s="506" t="s">
        <v>147</v>
      </c>
      <c r="BR9" s="506" t="s">
        <v>42</v>
      </c>
      <c r="BS9" s="507"/>
      <c r="BT9" s="506" t="s">
        <v>147</v>
      </c>
      <c r="BU9" s="506" t="s">
        <v>42</v>
      </c>
      <c r="BV9" s="507"/>
      <c r="BW9" s="506" t="s">
        <v>147</v>
      </c>
      <c r="BX9" s="506" t="s">
        <v>42</v>
      </c>
      <c r="BY9" s="507"/>
      <c r="BZ9" s="506" t="s">
        <v>147</v>
      </c>
      <c r="CA9" s="506" t="s">
        <v>42</v>
      </c>
      <c r="CB9" s="507"/>
      <c r="CC9" s="506" t="s">
        <v>147</v>
      </c>
      <c r="CD9" s="506" t="s">
        <v>42</v>
      </c>
      <c r="CE9" s="507"/>
      <c r="CF9" s="506" t="s">
        <v>147</v>
      </c>
      <c r="CG9" s="506" t="s">
        <v>42</v>
      </c>
      <c r="CH9" s="507"/>
      <c r="CI9" s="506" t="s">
        <v>147</v>
      </c>
      <c r="CJ9" s="506" t="s">
        <v>42</v>
      </c>
      <c r="CK9" s="507"/>
      <c r="CL9" s="506" t="s">
        <v>147</v>
      </c>
      <c r="CM9" s="506" t="s">
        <v>42</v>
      </c>
      <c r="CN9" s="507"/>
      <c r="CO9" s="506" t="s">
        <v>147</v>
      </c>
      <c r="CP9" s="506" t="s">
        <v>42</v>
      </c>
      <c r="CQ9" s="507"/>
      <c r="CR9" s="506" t="s">
        <v>147</v>
      </c>
      <c r="CS9" s="506" t="s">
        <v>42</v>
      </c>
      <c r="CT9" s="507"/>
      <c r="CU9" s="506" t="s">
        <v>147</v>
      </c>
      <c r="CV9" s="506" t="s">
        <v>42</v>
      </c>
      <c r="CW9" s="507"/>
      <c r="CX9" s="506" t="s">
        <v>147</v>
      </c>
      <c r="CY9" s="506" t="s">
        <v>42</v>
      </c>
      <c r="CZ9" s="507"/>
      <c r="DA9" s="506" t="s">
        <v>147</v>
      </c>
      <c r="DB9" s="506" t="s">
        <v>42</v>
      </c>
      <c r="DC9" s="507"/>
      <c r="DD9" s="506" t="s">
        <v>147</v>
      </c>
      <c r="DE9" s="506" t="s">
        <v>42</v>
      </c>
      <c r="DF9" s="507"/>
      <c r="DG9" s="506" t="s">
        <v>147</v>
      </c>
      <c r="DH9" s="506" t="s">
        <v>42</v>
      </c>
      <c r="DI9" s="507"/>
      <c r="DJ9" s="506" t="s">
        <v>147</v>
      </c>
      <c r="DK9" s="506" t="s">
        <v>42</v>
      </c>
      <c r="DL9" s="507"/>
      <c r="DM9" s="506" t="s">
        <v>147</v>
      </c>
      <c r="DN9" s="506" t="s">
        <v>42</v>
      </c>
      <c r="DO9" s="507"/>
      <c r="DP9" s="506" t="s">
        <v>147</v>
      </c>
      <c r="DQ9" s="506" t="s">
        <v>42</v>
      </c>
      <c r="DR9" s="507"/>
      <c r="DS9" s="506" t="s">
        <v>147</v>
      </c>
      <c r="DT9" s="506" t="s">
        <v>42</v>
      </c>
      <c r="DU9" s="507"/>
      <c r="DV9" s="506" t="s">
        <v>147</v>
      </c>
      <c r="DW9" s="506" t="s">
        <v>42</v>
      </c>
      <c r="DX9" s="507"/>
      <c r="DY9" s="506" t="s">
        <v>147</v>
      </c>
      <c r="DZ9" s="506" t="s">
        <v>42</v>
      </c>
      <c r="EA9" s="507"/>
      <c r="EB9" s="506" t="s">
        <v>147</v>
      </c>
      <c r="EC9" s="506" t="s">
        <v>42</v>
      </c>
      <c r="ED9" s="504"/>
      <c r="EE9" s="506" t="s">
        <v>147</v>
      </c>
      <c r="EF9" s="506" t="s">
        <v>42</v>
      </c>
      <c r="EG9" s="507"/>
      <c r="EH9" s="506" t="s">
        <v>147</v>
      </c>
      <c r="EI9" s="506" t="s">
        <v>42</v>
      </c>
      <c r="EJ9" s="507"/>
      <c r="EK9" s="506" t="s">
        <v>147</v>
      </c>
      <c r="EL9" s="506" t="s">
        <v>42</v>
      </c>
      <c r="EM9" s="507"/>
      <c r="EN9" s="506" t="s">
        <v>147</v>
      </c>
      <c r="EO9" s="506" t="s">
        <v>42</v>
      </c>
      <c r="EP9" s="507"/>
      <c r="EQ9" s="506" t="s">
        <v>147</v>
      </c>
      <c r="ER9" s="506" t="s">
        <v>42</v>
      </c>
      <c r="ES9" s="507"/>
      <c r="ET9" s="506" t="s">
        <v>147</v>
      </c>
      <c r="EU9" s="506" t="s">
        <v>42</v>
      </c>
      <c r="EV9" s="507"/>
      <c r="EW9" s="506" t="s">
        <v>147</v>
      </c>
      <c r="EX9" s="506" t="s">
        <v>42</v>
      </c>
      <c r="EY9" s="507"/>
      <c r="EZ9" s="506" t="s">
        <v>147</v>
      </c>
      <c r="FA9" s="506" t="s">
        <v>42</v>
      </c>
      <c r="FB9" s="507"/>
      <c r="FC9" s="506" t="s">
        <v>147</v>
      </c>
      <c r="FD9" s="506" t="s">
        <v>42</v>
      </c>
      <c r="FE9" s="507"/>
      <c r="FF9" s="506" t="s">
        <v>147</v>
      </c>
      <c r="FG9" s="506" t="s">
        <v>42</v>
      </c>
      <c r="FH9" s="507"/>
      <c r="FI9" s="506" t="s">
        <v>147</v>
      </c>
      <c r="FJ9" s="506" t="s">
        <v>42</v>
      </c>
      <c r="FK9" s="507"/>
      <c r="FL9" s="506" t="s">
        <v>147</v>
      </c>
      <c r="FM9" s="506" t="s">
        <v>42</v>
      </c>
      <c r="FN9" s="507"/>
      <c r="FO9" s="506" t="s">
        <v>147</v>
      </c>
      <c r="FP9" s="506" t="s">
        <v>42</v>
      </c>
      <c r="FQ9" s="507"/>
      <c r="FR9" s="506" t="s">
        <v>147</v>
      </c>
      <c r="FS9" s="506" t="s">
        <v>42</v>
      </c>
      <c r="FT9" s="507"/>
      <c r="FU9" s="506" t="s">
        <v>147</v>
      </c>
      <c r="FV9" s="506" t="s">
        <v>42</v>
      </c>
      <c r="FW9" s="507"/>
      <c r="FX9" s="506" t="s">
        <v>147</v>
      </c>
      <c r="FY9" s="506" t="s">
        <v>42</v>
      </c>
      <c r="FZ9" s="507"/>
      <c r="GA9" s="506" t="s">
        <v>147</v>
      </c>
      <c r="GB9" s="506" t="s">
        <v>42</v>
      </c>
      <c r="GC9" s="507"/>
      <c r="GD9" s="506" t="s">
        <v>147</v>
      </c>
      <c r="GE9" s="506" t="s">
        <v>42</v>
      </c>
      <c r="GF9" s="507"/>
      <c r="GG9" s="506" t="s">
        <v>147</v>
      </c>
      <c r="GH9" s="506" t="s">
        <v>42</v>
      </c>
      <c r="GI9" s="507"/>
      <c r="GJ9" s="506" t="s">
        <v>147</v>
      </c>
      <c r="GK9" s="506" t="s">
        <v>42</v>
      </c>
      <c r="GL9" s="507"/>
      <c r="GM9" s="506" t="s">
        <v>147</v>
      </c>
      <c r="GN9" s="506" t="s">
        <v>42</v>
      </c>
      <c r="GO9" s="507"/>
      <c r="GP9" s="506" t="s">
        <v>147</v>
      </c>
      <c r="GQ9" s="506" t="s">
        <v>42</v>
      </c>
      <c r="GR9" s="507"/>
      <c r="GS9" s="506" t="s">
        <v>147</v>
      </c>
      <c r="GT9" s="506" t="s">
        <v>42</v>
      </c>
      <c r="GU9" s="507"/>
      <c r="GV9" s="506" t="s">
        <v>147</v>
      </c>
      <c r="GW9" s="506" t="s">
        <v>42</v>
      </c>
      <c r="GX9" s="507"/>
      <c r="GY9" s="506" t="s">
        <v>147</v>
      </c>
      <c r="GZ9" s="506" t="s">
        <v>42</v>
      </c>
      <c r="HA9" s="507"/>
      <c r="HB9" s="506" t="s">
        <v>147</v>
      </c>
      <c r="HC9" s="506" t="s">
        <v>42</v>
      </c>
      <c r="HD9" s="507"/>
      <c r="HE9" s="506" t="s">
        <v>147</v>
      </c>
      <c r="HF9" s="506" t="s">
        <v>42</v>
      </c>
      <c r="HG9" s="507"/>
      <c r="HH9" s="506" t="s">
        <v>147</v>
      </c>
      <c r="HI9" s="506" t="s">
        <v>42</v>
      </c>
      <c r="HJ9" s="507"/>
      <c r="HK9" s="506" t="s">
        <v>147</v>
      </c>
      <c r="HL9" s="506" t="s">
        <v>42</v>
      </c>
      <c r="HM9" s="507"/>
      <c r="HN9" s="506" t="s">
        <v>147</v>
      </c>
      <c r="HO9" s="506" t="s">
        <v>42</v>
      </c>
      <c r="HP9" s="507"/>
      <c r="HQ9" s="506" t="s">
        <v>147</v>
      </c>
      <c r="HR9" s="506" t="s">
        <v>42</v>
      </c>
      <c r="HS9" s="507"/>
      <c r="HT9" s="506" t="s">
        <v>147</v>
      </c>
      <c r="HU9" s="506" t="s">
        <v>42</v>
      </c>
      <c r="HV9" s="507"/>
      <c r="HW9" s="506" t="s">
        <v>147</v>
      </c>
      <c r="HX9" s="506" t="s">
        <v>42</v>
      </c>
      <c r="HY9" s="507"/>
      <c r="HZ9" s="506" t="s">
        <v>147</v>
      </c>
      <c r="IA9" s="506" t="s">
        <v>42</v>
      </c>
      <c r="IB9" s="507"/>
      <c r="IC9" s="506" t="s">
        <v>147</v>
      </c>
      <c r="ID9" s="506" t="s">
        <v>42</v>
      </c>
      <c r="IE9" s="507"/>
      <c r="IF9" s="506" t="s">
        <v>147</v>
      </c>
      <c r="IG9" s="506" t="s">
        <v>42</v>
      </c>
      <c r="IH9" s="507"/>
      <c r="II9" s="506" t="s">
        <v>147</v>
      </c>
      <c r="IJ9" s="506" t="s">
        <v>42</v>
      </c>
      <c r="IK9" s="507"/>
      <c r="IL9" s="506" t="s">
        <v>147</v>
      </c>
      <c r="IM9" s="506" t="s">
        <v>42</v>
      </c>
      <c r="IN9" s="507"/>
      <c r="IO9" s="506" t="s">
        <v>147</v>
      </c>
      <c r="IP9" s="506" t="s">
        <v>42</v>
      </c>
      <c r="IQ9" s="507"/>
      <c r="IR9" s="506" t="s">
        <v>147</v>
      </c>
      <c r="IS9" s="506" t="s">
        <v>42</v>
      </c>
      <c r="IT9" s="507"/>
      <c r="IU9" s="506" t="s">
        <v>147</v>
      </c>
      <c r="IV9" s="506" t="s">
        <v>42</v>
      </c>
      <c r="IW9" s="507"/>
      <c r="IX9" s="506" t="s">
        <v>147</v>
      </c>
      <c r="IY9" s="506" t="s">
        <v>42</v>
      </c>
      <c r="IZ9" s="507"/>
      <c r="JA9" s="506" t="s">
        <v>147</v>
      </c>
      <c r="JB9" s="506" t="s">
        <v>42</v>
      </c>
      <c r="JC9" s="507"/>
      <c r="JD9" s="506" t="s">
        <v>147</v>
      </c>
      <c r="JE9" s="506" t="s">
        <v>42</v>
      </c>
      <c r="JF9" s="507"/>
      <c r="JG9" s="506" t="s">
        <v>147</v>
      </c>
      <c r="JH9" s="506" t="s">
        <v>42</v>
      </c>
      <c r="JI9" s="507"/>
      <c r="JJ9" s="506" t="s">
        <v>147</v>
      </c>
      <c r="JK9" s="506" t="s">
        <v>42</v>
      </c>
      <c r="JL9" s="507" t="s">
        <v>397</v>
      </c>
      <c r="JM9" s="506" t="s">
        <v>147</v>
      </c>
      <c r="JN9" s="506" t="s">
        <v>42</v>
      </c>
      <c r="JO9" s="507" t="s">
        <v>397</v>
      </c>
      <c r="JP9" s="506" t="s">
        <v>147</v>
      </c>
      <c r="JQ9" s="506" t="s">
        <v>42</v>
      </c>
      <c r="JR9" s="507" t="s">
        <v>397</v>
      </c>
      <c r="JS9" s="506" t="s">
        <v>147</v>
      </c>
      <c r="JT9" s="506" t="s">
        <v>42</v>
      </c>
      <c r="JU9" s="507" t="s">
        <v>397</v>
      </c>
      <c r="JV9" s="506" t="s">
        <v>147</v>
      </c>
      <c r="JW9" s="506" t="s">
        <v>42</v>
      </c>
      <c r="JX9" s="507" t="s">
        <v>397</v>
      </c>
      <c r="JY9" s="506" t="s">
        <v>147</v>
      </c>
      <c r="JZ9" s="506" t="s">
        <v>42</v>
      </c>
      <c r="KA9" s="507" t="s">
        <v>397</v>
      </c>
      <c r="KB9" s="506" t="s">
        <v>147</v>
      </c>
      <c r="KC9" s="506" t="s">
        <v>42</v>
      </c>
      <c r="KD9" s="507" t="s">
        <v>397</v>
      </c>
      <c r="KE9" s="506" t="s">
        <v>147</v>
      </c>
      <c r="KF9" s="506" t="s">
        <v>42</v>
      </c>
      <c r="KG9" s="507" t="s">
        <v>397</v>
      </c>
      <c r="KH9" s="506" t="s">
        <v>147</v>
      </c>
      <c r="KI9" s="506" t="s">
        <v>42</v>
      </c>
      <c r="KJ9" s="507" t="s">
        <v>397</v>
      </c>
      <c r="KK9" s="506" t="s">
        <v>147</v>
      </c>
      <c r="KL9" s="506" t="s">
        <v>42</v>
      </c>
      <c r="KM9" s="507" t="s">
        <v>397</v>
      </c>
      <c r="KN9" s="506" t="s">
        <v>147</v>
      </c>
      <c r="KO9" s="506" t="s">
        <v>42</v>
      </c>
      <c r="KP9" s="507" t="s">
        <v>397</v>
      </c>
      <c r="KQ9" s="506" t="s">
        <v>147</v>
      </c>
      <c r="KR9" s="506" t="s">
        <v>42</v>
      </c>
      <c r="KS9" s="507" t="s">
        <v>397</v>
      </c>
      <c r="KT9" s="719"/>
      <c r="KU9" s="719"/>
    </row>
    <row r="10" spans="1:308" ht="15" customHeight="1">
      <c r="A10" s="527">
        <f>+Report1!A9</f>
        <v>45839</v>
      </c>
      <c r="B10" s="528" t="str">
        <f>+Report1!B9</f>
        <v>Facial</v>
      </c>
      <c r="C10" s="529" t="str">
        <f>+Report1!C9</f>
        <v>12/11,5</v>
      </c>
      <c r="D10" s="530">
        <f>+Report1!P9</f>
        <v>26.224999999999998</v>
      </c>
      <c r="E10" s="532">
        <f>+Report1!R9</f>
        <v>20.062000000000001</v>
      </c>
      <c r="F10" s="508"/>
      <c r="G10" s="509">
        <f t="shared" ref="G10:G40" si="0">+F10/$E10</f>
        <v>0</v>
      </c>
      <c r="H10" s="510">
        <f>+F10*$H$9</f>
        <v>0</v>
      </c>
      <c r="I10" s="508">
        <v>162.79069767441854</v>
      </c>
      <c r="J10" s="509">
        <f t="shared" ref="J10:J40" si="1">+I10/$E10</f>
        <v>8.1143803047761196</v>
      </c>
      <c r="K10" s="510">
        <f>+I10*$H$9</f>
        <v>0</v>
      </c>
      <c r="L10" s="508">
        <v>46.511627906976749</v>
      </c>
      <c r="M10" s="509">
        <f t="shared" ref="M10:M40" si="2">+L10/$E10</f>
        <v>2.3183943727931786</v>
      </c>
      <c r="N10" s="510">
        <f>+L10*$H$9</f>
        <v>0</v>
      </c>
      <c r="O10" s="508">
        <v>18</v>
      </c>
      <c r="P10" s="509">
        <f t="shared" ref="P10:P40" si="3">+O10/$E10</f>
        <v>0.89721862227095994</v>
      </c>
      <c r="Q10" s="510">
        <f>+O10*$H$9</f>
        <v>0</v>
      </c>
      <c r="R10" s="508">
        <v>10.25</v>
      </c>
      <c r="S10" s="509">
        <f t="shared" ref="S10:S40" si="4">+R10/$E10</f>
        <v>0.51091615990429662</v>
      </c>
      <c r="T10" s="510">
        <f>+R10*$H$9</f>
        <v>0</v>
      </c>
      <c r="U10" s="508">
        <v>4.6875</v>
      </c>
      <c r="V10" s="509">
        <f t="shared" ref="V10:V40" si="5">+U10/$E10</f>
        <v>0.23365068288306248</v>
      </c>
      <c r="W10" s="510">
        <f>+U10*$H$9</f>
        <v>0</v>
      </c>
      <c r="X10" s="508"/>
      <c r="Y10" s="509">
        <f t="shared" ref="Y10:Y40" si="6">+X10/$E10</f>
        <v>0</v>
      </c>
      <c r="Z10" s="510">
        <f>+X10*$H$9</f>
        <v>0</v>
      </c>
      <c r="AA10" s="508"/>
      <c r="AB10" s="509">
        <f t="shared" ref="AB10:AB40" si="7">+AA10/$E10</f>
        <v>0</v>
      </c>
      <c r="AC10" s="510">
        <f>+AA10*$H$9</f>
        <v>0</v>
      </c>
      <c r="AD10" s="508"/>
      <c r="AE10" s="509">
        <f t="shared" ref="AE10:AE40" si="8">+AD10/$E10</f>
        <v>0</v>
      </c>
      <c r="AF10" s="510">
        <f>+AD10*$H$9</f>
        <v>0</v>
      </c>
      <c r="AG10" s="508"/>
      <c r="AH10" s="509">
        <f t="shared" ref="AH10:AH40" si="9">+AG10/$E10</f>
        <v>0</v>
      </c>
      <c r="AI10" s="510">
        <f>+AG10*$H$9</f>
        <v>0</v>
      </c>
      <c r="AJ10" s="508">
        <v>5.88</v>
      </c>
      <c r="AK10" s="509">
        <f t="shared" ref="AK10:AK40" si="10">+AJ10/$E10</f>
        <v>0.29309141660851357</v>
      </c>
      <c r="AL10" s="510">
        <f>+AJ10*$H$9</f>
        <v>0</v>
      </c>
      <c r="AM10" s="508">
        <v>31.53846153846149</v>
      </c>
      <c r="AN10" s="509">
        <f t="shared" ref="AN10:AN40" si="11">+AM10/$E10</f>
        <v>1.5720497227824488</v>
      </c>
      <c r="AO10" s="510">
        <f>+AM10*$H$9</f>
        <v>0</v>
      </c>
      <c r="AP10" s="508"/>
      <c r="AQ10" s="509">
        <f t="shared" ref="AQ10:AQ40" si="12">+AP10/$E10</f>
        <v>0</v>
      </c>
      <c r="AR10" s="510">
        <f>+AP10*$H$9</f>
        <v>0</v>
      </c>
      <c r="AS10" s="508"/>
      <c r="AT10" s="509">
        <f t="shared" ref="AT10:AT40" si="13">+AS10/$E10</f>
        <v>0</v>
      </c>
      <c r="AU10" s="510">
        <f>+AS10*$H$9</f>
        <v>0</v>
      </c>
      <c r="AV10" s="508">
        <v>5.5500000000000114</v>
      </c>
      <c r="AW10" s="509">
        <f t="shared" ref="AW10:AW40" si="14">+AV10/$E10</f>
        <v>0.27664240853354655</v>
      </c>
      <c r="AX10" s="510">
        <f>+AV10*$H$9</f>
        <v>0</v>
      </c>
      <c r="AY10" s="508">
        <v>35</v>
      </c>
      <c r="AZ10" s="509">
        <f t="shared" ref="AZ10:AZ40" si="15">+AY10/$E10</f>
        <v>1.7445917655268666</v>
      </c>
      <c r="BA10" s="510">
        <f>+AY10*$H$9</f>
        <v>0</v>
      </c>
      <c r="BB10" s="508"/>
      <c r="BC10" s="509">
        <f t="shared" ref="BC10:BC40" si="16">+BB10/$E10</f>
        <v>0</v>
      </c>
      <c r="BD10" s="510">
        <f>+BB10*$H$9</f>
        <v>0</v>
      </c>
      <c r="BE10" s="508"/>
      <c r="BF10" s="509">
        <f t="shared" ref="BF10:BF40" si="17">+BE10/$E10</f>
        <v>0</v>
      </c>
      <c r="BG10" s="510">
        <f>+BE10*$H$9</f>
        <v>0</v>
      </c>
      <c r="BH10" s="508"/>
      <c r="BI10" s="509">
        <f t="shared" ref="BI10:BI40" si="18">+BH10/$E10</f>
        <v>0</v>
      </c>
      <c r="BJ10" s="510">
        <f>+BH10*$H$9</f>
        <v>0</v>
      </c>
      <c r="BK10" s="508"/>
      <c r="BL10" s="509">
        <f t="shared" ref="BL10:BL40" si="19">+BK10/$E10</f>
        <v>0</v>
      </c>
      <c r="BM10" s="510">
        <f>+BK10*$H$9</f>
        <v>0</v>
      </c>
      <c r="BN10" s="508"/>
      <c r="BO10" s="509">
        <f t="shared" ref="BO10:BO40" si="20">+BN10/$E10</f>
        <v>0</v>
      </c>
      <c r="BP10" s="510">
        <f>+BN10*$H$9</f>
        <v>0</v>
      </c>
      <c r="BQ10" s="508">
        <v>10.26</v>
      </c>
      <c r="BR10" s="509">
        <f t="shared" ref="BR10:BR40" si="21">+BQ10/$E10</f>
        <v>0.51141461469444716</v>
      </c>
      <c r="BS10" s="510">
        <f>+BQ10*$H$9</f>
        <v>0</v>
      </c>
      <c r="BT10" s="508"/>
      <c r="BU10" s="509">
        <f t="shared" ref="BU10:BU40" si="22">+BT10/$E10</f>
        <v>0</v>
      </c>
      <c r="BV10" s="510">
        <f>+BT10*$H$9</f>
        <v>0</v>
      </c>
      <c r="BW10" s="508"/>
      <c r="BX10" s="509">
        <f t="shared" ref="BX10:BX40" si="23">+BW10/$E10</f>
        <v>0</v>
      </c>
      <c r="BY10" s="510">
        <f>+BW10*$H$9</f>
        <v>0</v>
      </c>
      <c r="BZ10" s="508"/>
      <c r="CA10" s="509">
        <f t="shared" ref="CA10:CA40" si="24">+BZ10/$E10</f>
        <v>0</v>
      </c>
      <c r="CB10" s="510">
        <f>+BZ10*$H$9</f>
        <v>0</v>
      </c>
      <c r="CC10" s="508"/>
      <c r="CD10" s="509">
        <f t="shared" ref="CD10:CD40" si="25">+CC10/$E10</f>
        <v>0</v>
      </c>
      <c r="CE10" s="510">
        <f>+CC10*$H$9</f>
        <v>0</v>
      </c>
      <c r="CF10" s="508">
        <v>4.0999999999999996</v>
      </c>
      <c r="CG10" s="509">
        <f t="shared" ref="CG10:CG40" si="26">+CF10/$E10</f>
        <v>0.20436646396171865</v>
      </c>
      <c r="CH10" s="510">
        <f>+CF10*$H$9</f>
        <v>0</v>
      </c>
      <c r="CI10" s="508"/>
      <c r="CJ10" s="509">
        <f t="shared" ref="CJ10:CJ40" si="27">+CI10/$E10</f>
        <v>0</v>
      </c>
      <c r="CK10" s="510">
        <f>+CI10*$H$9</f>
        <v>0</v>
      </c>
      <c r="CL10" s="508"/>
      <c r="CM10" s="509">
        <f t="shared" ref="CM10:CM40" si="28">+CL10/$E10</f>
        <v>0</v>
      </c>
      <c r="CN10" s="510">
        <f>+CL10*$H$9</f>
        <v>0</v>
      </c>
      <c r="CO10" s="508"/>
      <c r="CP10" s="509">
        <f t="shared" ref="CP10:CP40" si="29">+CO10/$E10</f>
        <v>0</v>
      </c>
      <c r="CQ10" s="510">
        <f>+CO10*$H$9</f>
        <v>0</v>
      </c>
      <c r="CR10" s="508"/>
      <c r="CS10" s="509">
        <f t="shared" ref="CS10:CS40" si="30">+CR10/$E10</f>
        <v>0</v>
      </c>
      <c r="CT10" s="510">
        <f>+CR10*$H$9</f>
        <v>0</v>
      </c>
      <c r="CU10" s="508"/>
      <c r="CV10" s="509">
        <f t="shared" ref="CV10:CV40" si="31">+CU10/$E10</f>
        <v>0</v>
      </c>
      <c r="CW10" s="510">
        <f>+CU10*$H$9</f>
        <v>0</v>
      </c>
      <c r="CX10" s="508"/>
      <c r="CY10" s="509">
        <f t="shared" ref="CY10:CY40" si="32">+CX10/$E10</f>
        <v>0</v>
      </c>
      <c r="CZ10" s="510">
        <f>+CX10*$H$9</f>
        <v>0</v>
      </c>
      <c r="DA10" s="508"/>
      <c r="DB10" s="509">
        <f t="shared" ref="DB10:DB40" si="33">+DA10/$E10</f>
        <v>0</v>
      </c>
      <c r="DC10" s="510">
        <f>+DA10*$H$9</f>
        <v>0</v>
      </c>
      <c r="DD10" s="508"/>
      <c r="DE10" s="509">
        <f t="shared" ref="DE10:DE40" si="34">+DD10/$E10</f>
        <v>0</v>
      </c>
      <c r="DF10" s="510">
        <f>+DD10*$H$9</f>
        <v>0</v>
      </c>
      <c r="DG10" s="508"/>
      <c r="DH10" s="509">
        <f t="shared" ref="DH10:DH40" si="35">+DG10/$E10</f>
        <v>0</v>
      </c>
      <c r="DI10" s="510">
        <v>0</v>
      </c>
      <c r="DJ10" s="508"/>
      <c r="DK10" s="509">
        <f t="shared" ref="DK10:DK40" si="36">+DJ10/$E10</f>
        <v>0</v>
      </c>
      <c r="DL10" s="510">
        <f>+DJ10*$H$9</f>
        <v>0</v>
      </c>
      <c r="DM10" s="508"/>
      <c r="DN10" s="509">
        <f t="shared" ref="DN10:DN40" si="37">+DM10/$E10</f>
        <v>0</v>
      </c>
      <c r="DO10" s="510">
        <f>+DM10*$H$9</f>
        <v>0</v>
      </c>
      <c r="DP10" s="508"/>
      <c r="DQ10" s="509">
        <f t="shared" ref="DQ10:DQ40" si="38">+DP10/$E10</f>
        <v>0</v>
      </c>
      <c r="DR10" s="510">
        <f>+DP10*$H$9</f>
        <v>0</v>
      </c>
      <c r="DS10" s="508"/>
      <c r="DT10" s="509">
        <f t="shared" ref="DT10:DT40" si="39">+DS10/$E10</f>
        <v>0</v>
      </c>
      <c r="DU10" s="510">
        <f>+DS10*$H$9</f>
        <v>0</v>
      </c>
      <c r="DV10" s="508"/>
      <c r="DW10" s="509">
        <f t="shared" ref="DW10:DW40" si="40">+DV10/$E10</f>
        <v>0</v>
      </c>
      <c r="DX10" s="510">
        <f>+DV10*$H$9</f>
        <v>0</v>
      </c>
      <c r="DY10" s="508">
        <v>8.6300000000000008</v>
      </c>
      <c r="DZ10" s="509">
        <f t="shared" ref="DZ10:DZ40" si="41">+DY10/$E10</f>
        <v>0.4301664838999103</v>
      </c>
      <c r="EA10" s="510">
        <f>+DY10*$H$9</f>
        <v>0</v>
      </c>
      <c r="EB10" s="508">
        <v>23.482352941176487</v>
      </c>
      <c r="EC10" s="509">
        <f t="shared" ref="EC10:EC40" si="42">+EB10/$E10</f>
        <v>1.1704891307534884</v>
      </c>
      <c r="ED10" s="510">
        <f>+EB10*$H$9</f>
        <v>0</v>
      </c>
      <c r="EE10" s="508">
        <v>14.534883720930225</v>
      </c>
      <c r="EF10" s="509">
        <f t="shared" ref="EF10:EF40" si="43">+EE10/$E10</f>
        <v>0.72449824149786779</v>
      </c>
      <c r="EG10" s="510">
        <f>+EE10*$H$9</f>
        <v>0</v>
      </c>
      <c r="EH10" s="508">
        <v>5</v>
      </c>
      <c r="EI10" s="509">
        <f t="shared" ref="EI10:EI40" si="44">+EH10/$E10</f>
        <v>0.24922739507526667</v>
      </c>
      <c r="EJ10" s="510">
        <f>+EH10*$H$9</f>
        <v>0</v>
      </c>
      <c r="EK10" s="508"/>
      <c r="EL10" s="509">
        <f t="shared" ref="EL10:EL40" si="45">+EK10/$E10</f>
        <v>0</v>
      </c>
      <c r="EM10" s="510">
        <f>+EK10*$H$9</f>
        <v>0</v>
      </c>
      <c r="EN10" s="508"/>
      <c r="EO10" s="509">
        <f t="shared" ref="EO10:EO40" si="46">+EN10/$E10</f>
        <v>0</v>
      </c>
      <c r="EP10" s="510">
        <f>+EN10*$H$9</f>
        <v>0</v>
      </c>
      <c r="EQ10" s="508"/>
      <c r="ER10" s="509">
        <f t="shared" ref="ER10:ER40" si="47">+EQ10/$E10</f>
        <v>0</v>
      </c>
      <c r="ES10" s="510">
        <f>+EQ10*$H$9</f>
        <v>0</v>
      </c>
      <c r="ET10" s="508"/>
      <c r="EU10" s="509">
        <f t="shared" ref="EU10:EU40" si="48">+ET10/$E10</f>
        <v>0</v>
      </c>
      <c r="EV10" s="510">
        <f>+ET10*$H$9</f>
        <v>0</v>
      </c>
      <c r="EW10" s="508"/>
      <c r="EX10" s="509">
        <f t="shared" ref="EX10:EX40" si="49">+EW10/$E10</f>
        <v>0</v>
      </c>
      <c r="EY10" s="510">
        <f>+EW10*$H$9</f>
        <v>0</v>
      </c>
      <c r="EZ10" s="508"/>
      <c r="FA10" s="509">
        <f t="shared" ref="FA10:FA40" si="50">+EZ10/$E10</f>
        <v>0</v>
      </c>
      <c r="FB10" s="510">
        <f>+EZ10*$H$9</f>
        <v>0</v>
      </c>
      <c r="FC10" s="508"/>
      <c r="FD10" s="509">
        <f t="shared" ref="FD10:FD40" si="51">+FC10/$E10</f>
        <v>0</v>
      </c>
      <c r="FE10" s="510">
        <f>+FC10*$H$9</f>
        <v>0</v>
      </c>
      <c r="FF10" s="508"/>
      <c r="FG10" s="509">
        <f t="shared" ref="FG10:FG40" si="52">+FF10/$E10</f>
        <v>0</v>
      </c>
      <c r="FH10" s="510">
        <f>+FF10*$H$9</f>
        <v>0</v>
      </c>
      <c r="FI10" s="508"/>
      <c r="FJ10" s="509">
        <f t="shared" ref="FJ10:FJ40" si="53">+FI10/$E10</f>
        <v>0</v>
      </c>
      <c r="FK10" s="510">
        <f>+FI10*$H$9</f>
        <v>0</v>
      </c>
      <c r="FL10" s="508"/>
      <c r="FM10" s="509">
        <f t="shared" ref="FM10:FM40" si="54">+FL10/$E10</f>
        <v>0</v>
      </c>
      <c r="FN10" s="510">
        <f>+FL10*$H$9</f>
        <v>0</v>
      </c>
      <c r="FO10" s="508"/>
      <c r="FP10" s="509">
        <f t="shared" ref="FP10:FP40" si="55">+FO10/$E10</f>
        <v>0</v>
      </c>
      <c r="FQ10" s="510">
        <f>+FO10*$H$9</f>
        <v>0</v>
      </c>
      <c r="FR10" s="508"/>
      <c r="FS10" s="509">
        <f t="shared" ref="FS10:FS40" si="56">+FR10/$E10</f>
        <v>0</v>
      </c>
      <c r="FT10" s="510">
        <f>+FR10*$H$9</f>
        <v>0</v>
      </c>
      <c r="FU10" s="508"/>
      <c r="FV10" s="509">
        <f t="shared" ref="FV10:FV40" si="57">+FU10/$E10</f>
        <v>0</v>
      </c>
      <c r="FW10" s="510">
        <f>+FU10*$H$9</f>
        <v>0</v>
      </c>
      <c r="FX10" s="508"/>
      <c r="FY10" s="509">
        <f t="shared" ref="FY10:FY40" si="58">+FX10/$E10</f>
        <v>0</v>
      </c>
      <c r="FZ10" s="510">
        <f>+FX10*$H$9</f>
        <v>0</v>
      </c>
      <c r="GA10" s="508"/>
      <c r="GB10" s="509">
        <f t="shared" ref="GB10:GB40" si="59">+GA10/$E10</f>
        <v>0</v>
      </c>
      <c r="GC10" s="510">
        <f>+GA10*$H$9</f>
        <v>0</v>
      </c>
      <c r="GD10" s="508"/>
      <c r="GE10" s="509">
        <f t="shared" ref="GE10:GE40" si="60">+GD10/$E10</f>
        <v>0</v>
      </c>
      <c r="GF10" s="510">
        <f>+GD10*$H$9</f>
        <v>0</v>
      </c>
      <c r="GG10" s="508"/>
      <c r="GH10" s="509">
        <f t="shared" ref="GH10:GH40" si="61">+GG10/$E10</f>
        <v>0</v>
      </c>
      <c r="GI10" s="510">
        <f>+GG10*$H$9</f>
        <v>0</v>
      </c>
      <c r="GJ10" s="508"/>
      <c r="GK10" s="509">
        <f t="shared" ref="GK10:GK40" si="62">+GJ10/$E10</f>
        <v>0</v>
      </c>
      <c r="GL10" s="510">
        <f>+GJ10*$H$9</f>
        <v>0</v>
      </c>
      <c r="GM10" s="508"/>
      <c r="GN10" s="509">
        <f t="shared" ref="GN10:GN40" si="63">+GM10/$E10</f>
        <v>0</v>
      </c>
      <c r="GO10" s="510">
        <f>+GM10*$H$9</f>
        <v>0</v>
      </c>
      <c r="GP10" s="508"/>
      <c r="GQ10" s="509">
        <f t="shared" ref="GQ10:GQ40" si="64">+GP10/$E10</f>
        <v>0</v>
      </c>
      <c r="GR10" s="510">
        <f>+GP10*$H$9</f>
        <v>0</v>
      </c>
      <c r="GS10" s="508"/>
      <c r="GT10" s="509">
        <f t="shared" ref="GT10:GT40" si="65">+GS10/$E10</f>
        <v>0</v>
      </c>
      <c r="GU10" s="510">
        <f>+GS10*$H$9</f>
        <v>0</v>
      </c>
      <c r="GV10" s="508"/>
      <c r="GW10" s="509">
        <f t="shared" ref="GW10:GW40" si="66">+GV10/$E10</f>
        <v>0</v>
      </c>
      <c r="GX10" s="510">
        <f>+GV10*$H$9</f>
        <v>0</v>
      </c>
      <c r="GY10" s="508"/>
      <c r="GZ10" s="509">
        <f t="shared" ref="GZ10:GZ40" si="67">+GY10/$E10</f>
        <v>0</v>
      </c>
      <c r="HA10" s="510">
        <f>+GY10*$H$9</f>
        <v>0</v>
      </c>
      <c r="HB10" s="508"/>
      <c r="HC10" s="509">
        <f t="shared" ref="HC10:HC40" si="68">+HB10/$E10</f>
        <v>0</v>
      </c>
      <c r="HD10" s="510">
        <f>+HB10*$H$9</f>
        <v>0</v>
      </c>
      <c r="HE10" s="508"/>
      <c r="HF10" s="509">
        <f t="shared" ref="HF10:HF40" si="69">+HE10/$E10</f>
        <v>0</v>
      </c>
      <c r="HG10" s="510">
        <f>+HE10*$H$9</f>
        <v>0</v>
      </c>
      <c r="HH10" s="508"/>
      <c r="HI10" s="509">
        <f t="shared" ref="HI10:HI40" si="70">+HH10/$E10</f>
        <v>0</v>
      </c>
      <c r="HJ10" s="510">
        <f>+HH10*$H$9</f>
        <v>0</v>
      </c>
      <c r="HK10" s="508"/>
      <c r="HL10" s="509">
        <f t="shared" ref="HL10:HL40" si="71">+HK10/$E10</f>
        <v>0</v>
      </c>
      <c r="HM10" s="510">
        <f>+HK10*$H$9</f>
        <v>0</v>
      </c>
      <c r="HN10" s="508"/>
      <c r="HO10" s="509">
        <f t="shared" ref="HO10:HO40" si="72">+HN10/$E10</f>
        <v>0</v>
      </c>
      <c r="HP10" s="510">
        <f>+HN10*$H$9</f>
        <v>0</v>
      </c>
      <c r="HQ10" s="508"/>
      <c r="HR10" s="509">
        <f t="shared" ref="HR10:HR40" si="73">+HQ10/$E10</f>
        <v>0</v>
      </c>
      <c r="HS10" s="510">
        <f>+HQ10*$H$9</f>
        <v>0</v>
      </c>
      <c r="HT10" s="508"/>
      <c r="HU10" s="509">
        <f t="shared" ref="HU10:HU40" si="74">+HT10/$E10</f>
        <v>0</v>
      </c>
      <c r="HV10" s="510">
        <f>+HT10*$H$9</f>
        <v>0</v>
      </c>
      <c r="HW10" s="508"/>
      <c r="HX10" s="509">
        <f t="shared" ref="HX10:HX40" si="75">+HW10/$E10</f>
        <v>0</v>
      </c>
      <c r="HY10" s="510">
        <f>+HW10*$H$9</f>
        <v>0</v>
      </c>
      <c r="HZ10" s="508"/>
      <c r="IA10" s="509">
        <f t="shared" ref="IA10:IA40" si="76">+HZ10/$E10</f>
        <v>0</v>
      </c>
      <c r="IB10" s="510">
        <f>+HZ10*$H$9</f>
        <v>0</v>
      </c>
      <c r="IC10" s="508"/>
      <c r="ID10" s="509">
        <f t="shared" ref="ID10:ID40" si="77">+IC10/$E10</f>
        <v>0</v>
      </c>
      <c r="IE10" s="510">
        <f>+IC10*$H$9</f>
        <v>0</v>
      </c>
      <c r="IF10" s="508"/>
      <c r="IG10" s="509">
        <f t="shared" ref="IG10:IG40" si="78">+IF10/$E10</f>
        <v>0</v>
      </c>
      <c r="IH10" s="510">
        <f>+IF10*$H$9</f>
        <v>0</v>
      </c>
      <c r="II10" s="508"/>
      <c r="IJ10" s="509">
        <f t="shared" ref="IJ10:IJ40" si="79">+II10/$E10</f>
        <v>0</v>
      </c>
      <c r="IK10" s="510">
        <f>+II10*$H$9</f>
        <v>0</v>
      </c>
      <c r="IL10" s="508"/>
      <c r="IM10" s="509">
        <f t="shared" ref="IM10:IM40" si="80">+IL10/$E10</f>
        <v>0</v>
      </c>
      <c r="IN10" s="510">
        <f>+IL10*$H$9</f>
        <v>0</v>
      </c>
      <c r="IO10" s="508"/>
      <c r="IP10" s="509">
        <f t="shared" ref="IP10:IP40" si="81">+IO10/$E10</f>
        <v>0</v>
      </c>
      <c r="IQ10" s="510">
        <f>+IO10*$H$9</f>
        <v>0</v>
      </c>
      <c r="IR10" s="508"/>
      <c r="IS10" s="509">
        <f t="shared" ref="IS10:IS40" si="82">+IR10/$E10</f>
        <v>0</v>
      </c>
      <c r="IT10" s="510">
        <f>+IR10*$H$9</f>
        <v>0</v>
      </c>
      <c r="IU10" s="508"/>
      <c r="IV10" s="509">
        <f t="shared" ref="IV10:IV40" si="83">+IU10/$E10</f>
        <v>0</v>
      </c>
      <c r="IW10" s="510">
        <f>+IU10*$H$9</f>
        <v>0</v>
      </c>
      <c r="IX10" s="508"/>
      <c r="IY10" s="509">
        <f t="shared" ref="IY10:IY40" si="84">+IX10/$E10</f>
        <v>0</v>
      </c>
      <c r="IZ10" s="510">
        <f>+IX10*$H$9</f>
        <v>0</v>
      </c>
      <c r="JA10" s="508"/>
      <c r="JB10" s="509">
        <f t="shared" ref="JB10:JB40" si="85">+JA10/$E10</f>
        <v>0</v>
      </c>
      <c r="JC10" s="510">
        <f>+JA10*$H$9</f>
        <v>0</v>
      </c>
      <c r="JD10" s="508"/>
      <c r="JE10" s="509">
        <f t="shared" ref="JE10:JE40" si="86">+JD10/$E10</f>
        <v>0</v>
      </c>
      <c r="JF10" s="510">
        <f>+JD10*$H$9</f>
        <v>0</v>
      </c>
      <c r="JG10" s="508"/>
      <c r="JH10" s="509">
        <f t="shared" ref="JH10:JH40" si="87">+JG10/$E10</f>
        <v>0</v>
      </c>
      <c r="JI10" s="510">
        <f>+JG10*$H$9</f>
        <v>0</v>
      </c>
      <c r="JJ10" s="508"/>
      <c r="JK10" s="510">
        <f>IFERROR((JJ10/$E10),"0")</f>
        <v>0</v>
      </c>
      <c r="JL10" s="510">
        <f t="shared" ref="JL10:JL40" si="88">IFERROR(((JJ10*JL$9)/$L10),"0")</f>
        <v>0</v>
      </c>
      <c r="JM10" s="508"/>
      <c r="JN10" s="510">
        <f t="shared" ref="JN10:JN40" si="89">IFERROR((JM10/$L10),"0")</f>
        <v>0</v>
      </c>
      <c r="JO10" s="510">
        <f t="shared" ref="JO10:JO40" si="90">IFERROR(((JM10*JO$9)/$L10),"0")</f>
        <v>0</v>
      </c>
      <c r="JP10" s="508"/>
      <c r="JQ10" s="510">
        <f t="shared" ref="JQ10:JQ40" si="91">IFERROR((JP10/$L10),"0")</f>
        <v>0</v>
      </c>
      <c r="JR10" s="510">
        <f t="shared" ref="JR10:JR40" si="92">IFERROR(((JP10*JR$9)/$L10),"0")</f>
        <v>0</v>
      </c>
      <c r="JS10" s="508"/>
      <c r="JT10" s="510">
        <f t="shared" ref="JT10:JT40" si="93">IFERROR((JS10/$L10),"0")</f>
        <v>0</v>
      </c>
      <c r="JU10" s="510">
        <f t="shared" ref="JU10:JU40" si="94">IFERROR(((JS10*JU$9)/$L10),"0")</f>
        <v>0</v>
      </c>
      <c r="JV10" s="508"/>
      <c r="JW10" s="510">
        <f t="shared" ref="JW10:JW40" si="95">IFERROR((JV10/$L10),"0")</f>
        <v>0</v>
      </c>
      <c r="JX10" s="510">
        <f t="shared" ref="JX10:JX40" si="96">IFERROR(((JV10*JX$9)/$L10),"0")</f>
        <v>0</v>
      </c>
      <c r="JY10" s="508"/>
      <c r="JZ10" s="510">
        <f t="shared" ref="JZ10:JZ40" si="97">IFERROR((JY10/$L10),"0")</f>
        <v>0</v>
      </c>
      <c r="KA10" s="510">
        <f t="shared" ref="KA10:KA40" si="98">IFERROR(((JY10*KA$9)/$L10),"0")</f>
        <v>0</v>
      </c>
      <c r="KB10" s="508"/>
      <c r="KC10" s="510">
        <f t="shared" ref="KC10:KC40" si="99">IFERROR((KB10/$L10),"0")</f>
        <v>0</v>
      </c>
      <c r="KD10" s="510">
        <f t="shared" ref="KD10:KD40" si="100">IFERROR(((KB10*KD$9)/$L10),"0")</f>
        <v>0</v>
      </c>
      <c r="KE10" s="508"/>
      <c r="KF10" s="510">
        <f t="shared" ref="KF10:KF40" si="101">IFERROR((KE10/$L10),"0")</f>
        <v>0</v>
      </c>
      <c r="KG10" s="510">
        <f t="shared" ref="KG10:KG40" si="102">IFERROR(((KE10*KG$9)/$L10),"0")</f>
        <v>0</v>
      </c>
      <c r="KH10" s="508"/>
      <c r="KI10" s="510">
        <f t="shared" ref="KI10:KI40" si="103">IFERROR((KH10/$L10),"0")</f>
        <v>0</v>
      </c>
      <c r="KJ10" s="510">
        <f t="shared" ref="KJ10:KJ40" si="104">IFERROR(((KH10*KJ$9)/$L10),"0")</f>
        <v>0</v>
      </c>
      <c r="KK10" s="508"/>
      <c r="KL10" s="510">
        <f t="shared" ref="KL10:KL40" si="105">IFERROR((KK10/$L10),"0")</f>
        <v>0</v>
      </c>
      <c r="KM10" s="510">
        <f t="shared" ref="KM10:KM40" si="106">IFERROR(((KK10*KM$9)/$L10),"0")</f>
        <v>0</v>
      </c>
      <c r="KN10" s="508"/>
      <c r="KO10" s="510">
        <f t="shared" ref="KO10:KO40" si="107">IFERROR((KN10/$L10),"0")</f>
        <v>0</v>
      </c>
      <c r="KP10" s="510">
        <f t="shared" ref="KP10:KP40" si="108">IFERROR(((KN10*KP$9)/$L10),"0")</f>
        <v>0</v>
      </c>
      <c r="KQ10" s="508"/>
      <c r="KR10" s="510">
        <f t="shared" ref="KR10:KR40" si="109">IFERROR((KQ10/$L10),"0")</f>
        <v>0</v>
      </c>
      <c r="KS10" s="510">
        <f t="shared" ref="KS10:KS40" si="110">IFERROR(((KQ10*KS$9)/$L10),"0")</f>
        <v>0</v>
      </c>
      <c r="KT10" s="510">
        <f>H10+K10+N10+Q10+T10+W10+Z10+AC10+AF10+AI10+AL10+AO10+AR10+AU10+AX10+BA10+BD10+BG10+BJ10+BM10+BP10+BS10+BV10+BY10+CB10+CE10+CH10+CK10+CN10+CQ10+CT10+CW10+CZ10+DC10+DF10+DI10+DL10+DO10+DR10+DU10+DX10+EA10+ED10+EG10+EJ10+EM10+EP10+ES10+EV10+EY10+FB10+FE10+FH10+FK10+FN10+FQ10+FT10+FW10+FZ10+GC10</f>
        <v>0</v>
      </c>
      <c r="KU10" s="510">
        <f>GF10+GI10+GL10+GO10+GR10+GU10+GX10+HA10+HD10+HG10+HJ10+HM10+HP10+HS10+HV10+HY10+IB10+IE10+IH10+IK10+IN10+IQ10+IT10+IW10+IZ10+JC10+JF10+JI10+JL10+JO10+JR10+JU10+JX10++KA10+KD10+KG10+KJ10++KM10+KP10+KS10</f>
        <v>0</v>
      </c>
      <c r="KV10" s="261">
        <f>+F10+I10+L10+O10+R10+U10+X10+AA10+AD10+AG10+AJ10+AM10+AP10+AS10+AV10+AY10+BB10+BE10+BH10+BK10+BN10+BQ10+BT10+BW10+BZ10+CC10+CF10+CI10+CL10+CO10+CR10+CU10+CX10+DA10+DD10+DJ10+DM10+DP10+DS10+DV10+DY10+EB10+EE10+EH10+GG10+GJ10+GP10+GS10+HN10+II10+IR10+JJ10</f>
        <v>386.2155237819635</v>
      </c>
    </row>
    <row r="11" spans="1:308" ht="15" customHeight="1">
      <c r="A11" s="467">
        <f>+A10+1</f>
        <v>45840</v>
      </c>
      <c r="B11" s="468" t="str">
        <f>+Report1!B10</f>
        <v>Facial</v>
      </c>
      <c r="C11" s="469" t="str">
        <f>+Report1!C10</f>
        <v>11,5</v>
      </c>
      <c r="D11" s="470">
        <f>+Report1!P10</f>
        <v>34.292999999999999</v>
      </c>
      <c r="E11" s="471">
        <f>+Report1!R10</f>
        <v>35.039000000000001</v>
      </c>
      <c r="F11" s="508"/>
      <c r="G11" s="509">
        <f t="shared" si="0"/>
        <v>0</v>
      </c>
      <c r="H11" s="510">
        <f t="shared" ref="H11:H40" si="111">+F11*$H$9</f>
        <v>0</v>
      </c>
      <c r="I11" s="508">
        <v>244.18604651162798</v>
      </c>
      <c r="J11" s="509">
        <f t="shared" si="1"/>
        <v>6.9689787525793534</v>
      </c>
      <c r="K11" s="510">
        <f t="shared" ref="K11:K40" si="112">+I11*$H$9</f>
        <v>0</v>
      </c>
      <c r="L11" s="508"/>
      <c r="M11" s="509">
        <f t="shared" si="2"/>
        <v>0</v>
      </c>
      <c r="N11" s="510">
        <f t="shared" ref="N11:N40" si="113">+L11*$H$9</f>
        <v>0</v>
      </c>
      <c r="O11" s="508">
        <v>18</v>
      </c>
      <c r="P11" s="509">
        <f t="shared" si="3"/>
        <v>0.51371329090442075</v>
      </c>
      <c r="Q11" s="510">
        <f t="shared" ref="Q11:Q40" si="114">+O11*$H$9</f>
        <v>0</v>
      </c>
      <c r="R11" s="508">
        <v>10.249999999999972</v>
      </c>
      <c r="S11" s="509">
        <f t="shared" si="4"/>
        <v>0.29253117954279434</v>
      </c>
      <c r="T11" s="510">
        <f t="shared" ref="T11:T40" si="115">+R11*$H$9</f>
        <v>0</v>
      </c>
      <c r="U11" s="508">
        <v>4.6874999999999858</v>
      </c>
      <c r="V11" s="509">
        <f t="shared" si="5"/>
        <v>0.1337795028396925</v>
      </c>
      <c r="W11" s="510">
        <f t="shared" ref="W11:W40" si="116">+U11*$H$9</f>
        <v>0</v>
      </c>
      <c r="X11" s="508"/>
      <c r="Y11" s="509">
        <f t="shared" si="6"/>
        <v>0</v>
      </c>
      <c r="Z11" s="510">
        <f t="shared" ref="Z11:Z40" si="117">+X11*$H$9</f>
        <v>0</v>
      </c>
      <c r="AA11" s="508"/>
      <c r="AB11" s="509">
        <f t="shared" si="7"/>
        <v>0</v>
      </c>
      <c r="AC11" s="510">
        <f t="shared" ref="AC11:AC40" si="118">+AA11*$H$9</f>
        <v>0</v>
      </c>
      <c r="AD11" s="508"/>
      <c r="AE11" s="509">
        <f t="shared" si="8"/>
        <v>0</v>
      </c>
      <c r="AF11" s="510">
        <f t="shared" ref="AF11:AF40" si="119">+AD11*$H$9</f>
        <v>0</v>
      </c>
      <c r="AG11" s="508"/>
      <c r="AH11" s="509">
        <f t="shared" si="9"/>
        <v>0</v>
      </c>
      <c r="AI11" s="510">
        <f t="shared" ref="AI11:AI40" si="120">+AG11*$H$9</f>
        <v>0</v>
      </c>
      <c r="AJ11" s="508"/>
      <c r="AK11" s="509">
        <f t="shared" si="10"/>
        <v>0</v>
      </c>
      <c r="AL11" s="510">
        <f t="shared" ref="AL11:AL40" si="121">+AJ11*$H$9</f>
        <v>0</v>
      </c>
      <c r="AM11" s="508">
        <v>31.538461538461547</v>
      </c>
      <c r="AN11" s="509">
        <f t="shared" si="11"/>
        <v>0.90009593705475455</v>
      </c>
      <c r="AO11" s="510">
        <f t="shared" ref="AO11:AO40" si="122">+AM11*$H$9</f>
        <v>0</v>
      </c>
      <c r="AP11" s="508"/>
      <c r="AQ11" s="509">
        <f t="shared" si="12"/>
        <v>0</v>
      </c>
      <c r="AR11" s="510">
        <f t="shared" ref="AR11:AR40" si="123">+AP11*$H$9</f>
        <v>0</v>
      </c>
      <c r="AS11" s="508"/>
      <c r="AT11" s="509">
        <f t="shared" si="13"/>
        <v>0</v>
      </c>
      <c r="AU11" s="510">
        <f t="shared" ref="AU11:AU40" si="124">+AS11*$H$9</f>
        <v>0</v>
      </c>
      <c r="AV11" s="508">
        <v>11.099999999999966</v>
      </c>
      <c r="AW11" s="509">
        <f t="shared" si="14"/>
        <v>0.31678986272439186</v>
      </c>
      <c r="AX11" s="510">
        <f t="shared" ref="AX11:AX40" si="125">+AV11*$H$9</f>
        <v>0</v>
      </c>
      <c r="AY11" s="508">
        <v>48.999999999999972</v>
      </c>
      <c r="AZ11" s="509">
        <f t="shared" si="15"/>
        <v>1.3984417363509223</v>
      </c>
      <c r="BA11" s="510">
        <f t="shared" ref="BA11:BA40" si="126">+AY11*$H$9</f>
        <v>0</v>
      </c>
      <c r="BB11" s="508"/>
      <c r="BC11" s="509">
        <f t="shared" si="16"/>
        <v>0</v>
      </c>
      <c r="BD11" s="510">
        <f t="shared" ref="BD11:BD40" si="127">+BB11*$H$9</f>
        <v>0</v>
      </c>
      <c r="BE11" s="508"/>
      <c r="BF11" s="509">
        <f t="shared" si="17"/>
        <v>0</v>
      </c>
      <c r="BG11" s="510">
        <f t="shared" ref="BG11:BG40" si="128">+BE11*$H$9</f>
        <v>0</v>
      </c>
      <c r="BH11" s="508"/>
      <c r="BI11" s="509">
        <f t="shared" si="18"/>
        <v>0</v>
      </c>
      <c r="BJ11" s="510">
        <f t="shared" ref="BJ11:BJ40" si="129">+BH11*$H$9</f>
        <v>0</v>
      </c>
      <c r="BK11" s="508"/>
      <c r="BL11" s="509">
        <f t="shared" si="19"/>
        <v>0</v>
      </c>
      <c r="BM11" s="510">
        <f t="shared" ref="BM11:BM40" si="130">+BK11*$H$9</f>
        <v>0</v>
      </c>
      <c r="BN11" s="508"/>
      <c r="BO11" s="509">
        <f t="shared" si="20"/>
        <v>0</v>
      </c>
      <c r="BP11" s="510">
        <f t="shared" ref="BP11:BP40" si="131">+BN11*$H$9</f>
        <v>0</v>
      </c>
      <c r="BQ11" s="508">
        <v>0</v>
      </c>
      <c r="BR11" s="509">
        <f t="shared" si="21"/>
        <v>0</v>
      </c>
      <c r="BS11" s="510">
        <f t="shared" ref="BS11:BS40" si="132">+BQ11*$H$9</f>
        <v>0</v>
      </c>
      <c r="BT11" s="508"/>
      <c r="BU11" s="509">
        <f t="shared" si="22"/>
        <v>0</v>
      </c>
      <c r="BV11" s="510">
        <f t="shared" ref="BV11:BV40" si="133">+BT11*$H$9</f>
        <v>0</v>
      </c>
      <c r="BW11" s="508"/>
      <c r="BX11" s="509">
        <f t="shared" si="23"/>
        <v>0</v>
      </c>
      <c r="BY11" s="510">
        <f t="shared" ref="BY11:BY40" si="134">+BW11*$H$9</f>
        <v>0</v>
      </c>
      <c r="BZ11" s="508"/>
      <c r="CA11" s="509">
        <f t="shared" si="24"/>
        <v>0</v>
      </c>
      <c r="CB11" s="510">
        <f t="shared" ref="CB11:CB40" si="135">+BZ11*$H$9</f>
        <v>0</v>
      </c>
      <c r="CC11" s="508"/>
      <c r="CD11" s="509">
        <f t="shared" si="25"/>
        <v>0</v>
      </c>
      <c r="CE11" s="510">
        <f t="shared" ref="CE11:CE40" si="136">+CC11*$H$9</f>
        <v>0</v>
      </c>
      <c r="CF11" s="508">
        <v>4.9000000000000004</v>
      </c>
      <c r="CG11" s="509">
        <f t="shared" si="26"/>
        <v>0.13984417363509233</v>
      </c>
      <c r="CH11" s="510">
        <f t="shared" ref="CH11:CH40" si="137">+CF11*$H$9</f>
        <v>0</v>
      </c>
      <c r="CI11" s="508"/>
      <c r="CJ11" s="509">
        <f t="shared" si="27"/>
        <v>0</v>
      </c>
      <c r="CK11" s="510">
        <f t="shared" ref="CK11:CK40" si="138">+CI11*$H$9</f>
        <v>0</v>
      </c>
      <c r="CL11" s="508"/>
      <c r="CM11" s="509">
        <f t="shared" si="28"/>
        <v>0</v>
      </c>
      <c r="CN11" s="510">
        <f t="shared" ref="CN11:CN40" si="139">+CL11*$H$9</f>
        <v>0</v>
      </c>
      <c r="CO11" s="508"/>
      <c r="CP11" s="509">
        <f t="shared" si="29"/>
        <v>0</v>
      </c>
      <c r="CQ11" s="510">
        <f t="shared" ref="CQ11:CQ40" si="140">+CO11*$H$9</f>
        <v>0</v>
      </c>
      <c r="CR11" s="508"/>
      <c r="CS11" s="509">
        <f t="shared" si="30"/>
        <v>0</v>
      </c>
      <c r="CT11" s="510">
        <f t="shared" ref="CT11:CT40" si="141">+CR11*$H$9</f>
        <v>0</v>
      </c>
      <c r="CU11" s="508"/>
      <c r="CV11" s="509">
        <f t="shared" si="31"/>
        <v>0</v>
      </c>
      <c r="CW11" s="510">
        <f t="shared" ref="CW11:CW40" si="142">+CU11*$H$9</f>
        <v>0</v>
      </c>
      <c r="CX11" s="508"/>
      <c r="CY11" s="509">
        <f t="shared" si="32"/>
        <v>0</v>
      </c>
      <c r="CZ11" s="510">
        <f t="shared" ref="CZ11:CZ40" si="143">+CX11*$H$9</f>
        <v>0</v>
      </c>
      <c r="DA11" s="508"/>
      <c r="DB11" s="509">
        <f t="shared" si="33"/>
        <v>0</v>
      </c>
      <c r="DC11" s="510">
        <f t="shared" ref="DC11:DC40" si="144">+DA11*$H$9</f>
        <v>0</v>
      </c>
      <c r="DD11" s="508"/>
      <c r="DE11" s="509">
        <f t="shared" si="34"/>
        <v>0</v>
      </c>
      <c r="DF11" s="510">
        <f t="shared" ref="DF11:DF40" si="145">+DD11*$H$9</f>
        <v>0</v>
      </c>
      <c r="DG11" s="508"/>
      <c r="DH11" s="509">
        <f t="shared" si="35"/>
        <v>0</v>
      </c>
      <c r="DI11" s="510">
        <v>0</v>
      </c>
      <c r="DJ11" s="508"/>
      <c r="DK11" s="509">
        <f t="shared" si="36"/>
        <v>0</v>
      </c>
      <c r="DL11" s="510">
        <f t="shared" ref="DL11:DL40" si="146">+DJ11*$H$9</f>
        <v>0</v>
      </c>
      <c r="DM11" s="508"/>
      <c r="DN11" s="509">
        <f t="shared" si="37"/>
        <v>0</v>
      </c>
      <c r="DO11" s="510">
        <f t="shared" ref="DO11:DO40" si="147">+DM11*$H$9</f>
        <v>0</v>
      </c>
      <c r="DP11" s="508"/>
      <c r="DQ11" s="509">
        <f t="shared" si="38"/>
        <v>0</v>
      </c>
      <c r="DR11" s="510">
        <f t="shared" ref="DR11:DR40" si="148">+DP11*$H$9</f>
        <v>0</v>
      </c>
      <c r="DS11" s="508"/>
      <c r="DT11" s="509">
        <f t="shared" si="39"/>
        <v>0</v>
      </c>
      <c r="DU11" s="510">
        <f t="shared" ref="DU11:DU40" si="149">+DS11*$H$9</f>
        <v>0</v>
      </c>
      <c r="DV11" s="508"/>
      <c r="DW11" s="509">
        <f t="shared" si="40"/>
        <v>0</v>
      </c>
      <c r="DX11" s="510">
        <f t="shared" ref="DX11:DX40" si="150">+DV11*$H$9</f>
        <v>0</v>
      </c>
      <c r="DY11" s="508"/>
      <c r="DZ11" s="509">
        <f t="shared" si="41"/>
        <v>0</v>
      </c>
      <c r="EA11" s="510">
        <f t="shared" ref="EA11:EA40" si="151">+DY11*$H$9</f>
        <v>0</v>
      </c>
      <c r="EB11" s="508">
        <v>46.964705882352973</v>
      </c>
      <c r="EC11" s="509">
        <f t="shared" si="42"/>
        <v>1.3403552008434307</v>
      </c>
      <c r="ED11" s="510">
        <f t="shared" ref="ED11:ED40" si="152">+EB11*$H$9</f>
        <v>0</v>
      </c>
      <c r="EE11" s="508">
        <v>14.534883720930225</v>
      </c>
      <c r="EF11" s="509">
        <f t="shared" si="43"/>
        <v>0.41482016384400877</v>
      </c>
      <c r="EG11" s="510">
        <f t="shared" ref="EG11:EG40" si="153">+EE11*$H$9</f>
        <v>0</v>
      </c>
      <c r="EH11" s="508">
        <v>4.4000000000000004</v>
      </c>
      <c r="EI11" s="509">
        <f t="shared" si="44"/>
        <v>0.12557435999885841</v>
      </c>
      <c r="EJ11" s="510">
        <f t="shared" ref="EJ11:EJ40" si="154">+EH11*$H$9</f>
        <v>0</v>
      </c>
      <c r="EK11" s="508"/>
      <c r="EL11" s="509">
        <f t="shared" si="45"/>
        <v>0</v>
      </c>
      <c r="EM11" s="510">
        <f t="shared" ref="EM11:EM40" si="155">+EK11*$H$9</f>
        <v>0</v>
      </c>
      <c r="EN11" s="508"/>
      <c r="EO11" s="509">
        <f t="shared" si="46"/>
        <v>0</v>
      </c>
      <c r="EP11" s="510">
        <f t="shared" ref="EP11:EP40" si="156">+EN11*$H$9</f>
        <v>0</v>
      </c>
      <c r="EQ11" s="508"/>
      <c r="ER11" s="509">
        <f t="shared" si="47"/>
        <v>0</v>
      </c>
      <c r="ES11" s="510">
        <f t="shared" ref="ES11:ES40" si="157">+EQ11*$H$9</f>
        <v>0</v>
      </c>
      <c r="ET11" s="508"/>
      <c r="EU11" s="509">
        <f t="shared" si="48"/>
        <v>0</v>
      </c>
      <c r="EV11" s="510">
        <f t="shared" ref="EV11:EV40" si="158">+ET11*$H$9</f>
        <v>0</v>
      </c>
      <c r="EW11" s="508"/>
      <c r="EX11" s="509">
        <f t="shared" si="49"/>
        <v>0</v>
      </c>
      <c r="EY11" s="510">
        <f t="shared" ref="EY11:EY40" si="159">+EW11*$H$9</f>
        <v>0</v>
      </c>
      <c r="EZ11" s="508"/>
      <c r="FA11" s="509">
        <f t="shared" si="50"/>
        <v>0</v>
      </c>
      <c r="FB11" s="510">
        <f t="shared" ref="FB11:FB40" si="160">+EZ11*$H$9</f>
        <v>0</v>
      </c>
      <c r="FC11" s="508"/>
      <c r="FD11" s="509">
        <f t="shared" si="51"/>
        <v>0</v>
      </c>
      <c r="FE11" s="510">
        <f t="shared" ref="FE11:FE40" si="161">+FC11*$H$9</f>
        <v>0</v>
      </c>
      <c r="FF11" s="508"/>
      <c r="FG11" s="509">
        <f t="shared" si="52"/>
        <v>0</v>
      </c>
      <c r="FH11" s="510">
        <f t="shared" ref="FH11:FH40" si="162">+FF11*$H$9</f>
        <v>0</v>
      </c>
      <c r="FI11" s="508"/>
      <c r="FJ11" s="509">
        <f t="shared" si="53"/>
        <v>0</v>
      </c>
      <c r="FK11" s="510">
        <f t="shared" ref="FK11:FK40" si="163">+FI11*$H$9</f>
        <v>0</v>
      </c>
      <c r="FL11" s="508"/>
      <c r="FM11" s="509">
        <f t="shared" si="54"/>
        <v>0</v>
      </c>
      <c r="FN11" s="510">
        <f t="shared" ref="FN11:FN40" si="164">+FL11*$H$9</f>
        <v>0</v>
      </c>
      <c r="FO11" s="508"/>
      <c r="FP11" s="509">
        <f t="shared" si="55"/>
        <v>0</v>
      </c>
      <c r="FQ11" s="510">
        <f t="shared" ref="FQ11:FQ40" si="165">+FO11*$H$9</f>
        <v>0</v>
      </c>
      <c r="FR11" s="508"/>
      <c r="FS11" s="509">
        <f t="shared" si="56"/>
        <v>0</v>
      </c>
      <c r="FT11" s="510">
        <f t="shared" ref="FT11:FT40" si="166">+FR11*$H$9</f>
        <v>0</v>
      </c>
      <c r="FU11" s="508"/>
      <c r="FV11" s="509">
        <f t="shared" si="57"/>
        <v>0</v>
      </c>
      <c r="FW11" s="510">
        <f t="shared" ref="FW11:FW40" si="167">+FU11*$H$9</f>
        <v>0</v>
      </c>
      <c r="FX11" s="508"/>
      <c r="FY11" s="509">
        <f t="shared" si="58"/>
        <v>0</v>
      </c>
      <c r="FZ11" s="510">
        <f t="shared" ref="FZ11:FZ40" si="168">+FX11*$H$9</f>
        <v>0</v>
      </c>
      <c r="GA11" s="508"/>
      <c r="GB11" s="509">
        <f t="shared" si="59"/>
        <v>0</v>
      </c>
      <c r="GC11" s="510">
        <f t="shared" ref="GC11:GC40" si="169">+GA11*$H$9</f>
        <v>0</v>
      </c>
      <c r="GD11" s="508"/>
      <c r="GE11" s="509">
        <f t="shared" si="60"/>
        <v>0</v>
      </c>
      <c r="GF11" s="510">
        <f t="shared" ref="GF11:GF40" si="170">+GD11*$H$9</f>
        <v>0</v>
      </c>
      <c r="GG11" s="508"/>
      <c r="GH11" s="509">
        <f t="shared" si="61"/>
        <v>0</v>
      </c>
      <c r="GI11" s="510">
        <f t="shared" ref="GI11:GI40" si="171">+GG11*$H$9</f>
        <v>0</v>
      </c>
      <c r="GJ11" s="508"/>
      <c r="GK11" s="509">
        <f t="shared" si="62"/>
        <v>0</v>
      </c>
      <c r="GL11" s="510">
        <f t="shared" ref="GL11:GL40" si="172">+GJ11*$H$9</f>
        <v>0</v>
      </c>
      <c r="GM11" s="508"/>
      <c r="GN11" s="509">
        <f t="shared" si="63"/>
        <v>0</v>
      </c>
      <c r="GO11" s="510">
        <f t="shared" ref="GO11:GO40" si="173">+GM11*$H$9</f>
        <v>0</v>
      </c>
      <c r="GP11" s="508"/>
      <c r="GQ11" s="509">
        <f t="shared" si="64"/>
        <v>0</v>
      </c>
      <c r="GR11" s="510">
        <f t="shared" ref="GR11:GR40" si="174">+GP11*$H$9</f>
        <v>0</v>
      </c>
      <c r="GS11" s="508"/>
      <c r="GT11" s="509">
        <f t="shared" si="65"/>
        <v>0</v>
      </c>
      <c r="GU11" s="510">
        <f t="shared" ref="GU11:GU40" si="175">+GS11*$H$9</f>
        <v>0</v>
      </c>
      <c r="GV11" s="508"/>
      <c r="GW11" s="509">
        <f t="shared" si="66"/>
        <v>0</v>
      </c>
      <c r="GX11" s="510">
        <f t="shared" ref="GX11:GX40" si="176">+GV11*$H$9</f>
        <v>0</v>
      </c>
      <c r="GY11" s="508"/>
      <c r="GZ11" s="509">
        <f t="shared" si="67"/>
        <v>0</v>
      </c>
      <c r="HA11" s="510">
        <f t="shared" ref="HA11:HA40" si="177">+GY11*$H$9</f>
        <v>0</v>
      </c>
      <c r="HB11" s="508"/>
      <c r="HC11" s="509">
        <f t="shared" si="68"/>
        <v>0</v>
      </c>
      <c r="HD11" s="510">
        <f t="shared" ref="HD11:HD40" si="178">+HB11*$H$9</f>
        <v>0</v>
      </c>
      <c r="HE11" s="508"/>
      <c r="HF11" s="509">
        <f t="shared" si="69"/>
        <v>0</v>
      </c>
      <c r="HG11" s="510">
        <f t="shared" ref="HG11:HG40" si="179">+HE11*$H$9</f>
        <v>0</v>
      </c>
      <c r="HH11" s="508"/>
      <c r="HI11" s="509">
        <f t="shared" si="70"/>
        <v>0</v>
      </c>
      <c r="HJ11" s="510">
        <f t="shared" ref="HJ11:HJ40" si="180">+HH11*$H$9</f>
        <v>0</v>
      </c>
      <c r="HK11" s="508"/>
      <c r="HL11" s="509">
        <f t="shared" si="71"/>
        <v>0</v>
      </c>
      <c r="HM11" s="510">
        <f t="shared" ref="HM11:HM40" si="181">+HK11*$H$9</f>
        <v>0</v>
      </c>
      <c r="HN11" s="508"/>
      <c r="HO11" s="509">
        <f t="shared" si="72"/>
        <v>0</v>
      </c>
      <c r="HP11" s="510">
        <f t="shared" ref="HP11:HP40" si="182">+HN11*$H$9</f>
        <v>0</v>
      </c>
      <c r="HQ11" s="508"/>
      <c r="HR11" s="509">
        <f t="shared" si="73"/>
        <v>0</v>
      </c>
      <c r="HS11" s="510">
        <f t="shared" ref="HS11:HS40" si="183">+HQ11*$H$9</f>
        <v>0</v>
      </c>
      <c r="HT11" s="508"/>
      <c r="HU11" s="509">
        <f t="shared" si="74"/>
        <v>0</v>
      </c>
      <c r="HV11" s="510">
        <f t="shared" ref="HV11:HV40" si="184">+HT11*$H$9</f>
        <v>0</v>
      </c>
      <c r="HW11" s="508"/>
      <c r="HX11" s="509">
        <f t="shared" si="75"/>
        <v>0</v>
      </c>
      <c r="HY11" s="510">
        <f t="shared" ref="HY11:HY40" si="185">+HW11*$H$9</f>
        <v>0</v>
      </c>
      <c r="HZ11" s="508"/>
      <c r="IA11" s="509">
        <f t="shared" si="76"/>
        <v>0</v>
      </c>
      <c r="IB11" s="510">
        <f t="shared" ref="IB11:IB40" si="186">+HZ11*$H$9</f>
        <v>0</v>
      </c>
      <c r="IC11" s="508"/>
      <c r="ID11" s="509">
        <f t="shared" si="77"/>
        <v>0</v>
      </c>
      <c r="IE11" s="510">
        <f t="shared" ref="IE11:IE40" si="187">+IC11*$H$9</f>
        <v>0</v>
      </c>
      <c r="IF11" s="508"/>
      <c r="IG11" s="509">
        <f t="shared" si="78"/>
        <v>0</v>
      </c>
      <c r="IH11" s="510">
        <f t="shared" ref="IH11:IH40" si="188">+IF11*$H$9</f>
        <v>0</v>
      </c>
      <c r="II11" s="508"/>
      <c r="IJ11" s="509">
        <f t="shared" si="79"/>
        <v>0</v>
      </c>
      <c r="IK11" s="510">
        <f t="shared" ref="IK11:IK40" si="189">+II11*$H$9</f>
        <v>0</v>
      </c>
      <c r="IL11" s="508"/>
      <c r="IM11" s="509">
        <f t="shared" si="80"/>
        <v>0</v>
      </c>
      <c r="IN11" s="510">
        <f t="shared" ref="IN11:IN40" si="190">+IL11*$H$9</f>
        <v>0</v>
      </c>
      <c r="IO11" s="508"/>
      <c r="IP11" s="509">
        <f t="shared" si="81"/>
        <v>0</v>
      </c>
      <c r="IQ11" s="510">
        <f t="shared" ref="IQ11:IQ40" si="191">+IO11*$H$9</f>
        <v>0</v>
      </c>
      <c r="IR11" s="508"/>
      <c r="IS11" s="509">
        <f t="shared" si="82"/>
        <v>0</v>
      </c>
      <c r="IT11" s="510">
        <f t="shared" ref="IT11:IT40" si="192">+IR11*$H$9</f>
        <v>0</v>
      </c>
      <c r="IU11" s="508"/>
      <c r="IV11" s="509">
        <f t="shared" si="83"/>
        <v>0</v>
      </c>
      <c r="IW11" s="510">
        <f t="shared" ref="IW11:IW40" si="193">+IU11*$H$9</f>
        <v>0</v>
      </c>
      <c r="IX11" s="508"/>
      <c r="IY11" s="509">
        <f t="shared" si="84"/>
        <v>0</v>
      </c>
      <c r="IZ11" s="510">
        <f t="shared" ref="IZ11:IZ40" si="194">+IX11*$H$9</f>
        <v>0</v>
      </c>
      <c r="JA11" s="508"/>
      <c r="JB11" s="509">
        <f t="shared" si="85"/>
        <v>0</v>
      </c>
      <c r="JC11" s="510">
        <f t="shared" ref="JC11:JC40" si="195">+JA11*$H$9</f>
        <v>0</v>
      </c>
      <c r="JD11" s="508"/>
      <c r="JE11" s="509">
        <f t="shared" si="86"/>
        <v>0</v>
      </c>
      <c r="JF11" s="510">
        <f t="shared" ref="JF11:JF40" si="196">+JD11*$H$9</f>
        <v>0</v>
      </c>
      <c r="JG11" s="508"/>
      <c r="JH11" s="509">
        <f t="shared" si="87"/>
        <v>0</v>
      </c>
      <c r="JI11" s="510">
        <f t="shared" ref="JI11:JI40" si="197">+JG11*$H$9</f>
        <v>0</v>
      </c>
      <c r="JJ11" s="508"/>
      <c r="JK11" s="510">
        <f t="shared" ref="JK11:JK40" si="198">IFERROR((JJ11/$E11),"0")</f>
        <v>0</v>
      </c>
      <c r="JL11" s="510" t="str">
        <f t="shared" si="88"/>
        <v>0</v>
      </c>
      <c r="JM11" s="508"/>
      <c r="JN11" s="510" t="str">
        <f t="shared" si="89"/>
        <v>0</v>
      </c>
      <c r="JO11" s="510" t="str">
        <f t="shared" si="90"/>
        <v>0</v>
      </c>
      <c r="JP11" s="508"/>
      <c r="JQ11" s="510" t="str">
        <f t="shared" si="91"/>
        <v>0</v>
      </c>
      <c r="JR11" s="510" t="str">
        <f t="shared" si="92"/>
        <v>0</v>
      </c>
      <c r="JS11" s="508"/>
      <c r="JT11" s="510" t="str">
        <f t="shared" si="93"/>
        <v>0</v>
      </c>
      <c r="JU11" s="510" t="str">
        <f t="shared" si="94"/>
        <v>0</v>
      </c>
      <c r="JV11" s="508"/>
      <c r="JW11" s="510" t="str">
        <f t="shared" si="95"/>
        <v>0</v>
      </c>
      <c r="JX11" s="510" t="str">
        <f t="shared" si="96"/>
        <v>0</v>
      </c>
      <c r="JY11" s="508"/>
      <c r="JZ11" s="510" t="str">
        <f t="shared" si="97"/>
        <v>0</v>
      </c>
      <c r="KA11" s="510" t="str">
        <f t="shared" si="98"/>
        <v>0</v>
      </c>
      <c r="KB11" s="508"/>
      <c r="KC11" s="510" t="str">
        <f t="shared" si="99"/>
        <v>0</v>
      </c>
      <c r="KD11" s="510" t="str">
        <f t="shared" si="100"/>
        <v>0</v>
      </c>
      <c r="KE11" s="508"/>
      <c r="KF11" s="510" t="str">
        <f t="shared" si="101"/>
        <v>0</v>
      </c>
      <c r="KG11" s="510" t="str">
        <f t="shared" si="102"/>
        <v>0</v>
      </c>
      <c r="KH11" s="508"/>
      <c r="KI11" s="510" t="str">
        <f t="shared" si="103"/>
        <v>0</v>
      </c>
      <c r="KJ11" s="510" t="str">
        <f t="shared" si="104"/>
        <v>0</v>
      </c>
      <c r="KK11" s="508"/>
      <c r="KL11" s="510" t="str">
        <f t="shared" si="105"/>
        <v>0</v>
      </c>
      <c r="KM11" s="510" t="str">
        <f t="shared" si="106"/>
        <v>0</v>
      </c>
      <c r="KN11" s="508"/>
      <c r="KO11" s="510" t="str">
        <f t="shared" si="107"/>
        <v>0</v>
      </c>
      <c r="KP11" s="510" t="str">
        <f t="shared" si="108"/>
        <v>0</v>
      </c>
      <c r="KQ11" s="508"/>
      <c r="KR11" s="510" t="str">
        <f t="shared" si="109"/>
        <v>0</v>
      </c>
      <c r="KS11" s="510" t="str">
        <f t="shared" si="110"/>
        <v>0</v>
      </c>
      <c r="KT11" s="510">
        <f>H11+K11+N11+Q11+T11+W11+Z11+AC11+AF11+AI11+AL11+AO11+AR11+AU11+AX11+BA11+BD11+BG11+BJ11+BM11+BP11+BS11+BV11+BY11+CB11+CE11+CH11+CK11+CN11+CQ11+CT11+CW11+CZ11+DC11+DF11+DI11+DL11+DO11+DR11+DU11+DX11+EA11+ED11+EG11+EJ11+EM11+EP11+ES11+EV11+EY11+FB11+FE11+FH11+FK11+FN11+FQ11+FT11+FW11+FZ11+GC11</f>
        <v>0</v>
      </c>
      <c r="KU11" s="510">
        <f>GF11+GI11+GL11+GO11+GR11+GU11+GX11+HA11+HD11+HG11+HJ11+HM11+HP11+HS11+HV11+HY11+IB11+IE11+IH11+IK11+IN11+IQ11+IT11+IW11+IZ11+JC11+JF11+JI11+JL11+JO11+JR11+JU11+JX11++KA11+KD11+KG11+KJ11++KM11+KP11+KS11</f>
        <v>0</v>
      </c>
      <c r="KV11" s="261">
        <f t="shared" ref="KV11:KV42" si="199">+F11+I11+L11+O11+R11+U11+X11+AA11+AD11+AG11+AJ11+AM11+AP11+AS11+AV11+AY11+BB11+BE11+BH11+BK11+BN11+BQ11+BT11+BW11+BZ11+CC11+CF11+CI11+CL11+CO11+CR11+CU11+CX11+DA11+DD11+DJ11+DM11+DP11+DS11+DV11+DY11+EB11+EE11+EH11+GG11+GJ11+GP11+GS11+HN11+II11+IR11+JJ11</f>
        <v>439.56159765337259</v>
      </c>
    </row>
    <row r="12" spans="1:308" ht="15" customHeight="1">
      <c r="A12" s="467">
        <f t="shared" ref="A12:A40" si="200">+A11+1</f>
        <v>45841</v>
      </c>
      <c r="B12" s="468" t="str">
        <f>+Report1!B11</f>
        <v>Facial</v>
      </c>
      <c r="C12" s="469" t="str">
        <f>+Report1!C11</f>
        <v>11,5</v>
      </c>
      <c r="D12" s="470">
        <f>+Report1!P11</f>
        <v>40.92</v>
      </c>
      <c r="E12" s="471">
        <f>+Report1!R11</f>
        <v>38.435000000000002</v>
      </c>
      <c r="F12" s="508"/>
      <c r="G12" s="509">
        <f t="shared" si="0"/>
        <v>0</v>
      </c>
      <c r="H12" s="510">
        <f t="shared" si="111"/>
        <v>0</v>
      </c>
      <c r="I12" s="508">
        <v>232.55813953488365</v>
      </c>
      <c r="J12" s="509">
        <f t="shared" si="1"/>
        <v>6.0506866016621217</v>
      </c>
      <c r="K12" s="510">
        <f t="shared" si="112"/>
        <v>0</v>
      </c>
      <c r="L12" s="508"/>
      <c r="M12" s="509">
        <f t="shared" si="2"/>
        <v>0</v>
      </c>
      <c r="N12" s="510">
        <f t="shared" si="113"/>
        <v>0</v>
      </c>
      <c r="O12" s="508">
        <v>18</v>
      </c>
      <c r="P12" s="509">
        <f t="shared" si="3"/>
        <v>0.46832314296864835</v>
      </c>
      <c r="Q12" s="510">
        <f t="shared" si="114"/>
        <v>0</v>
      </c>
      <c r="R12" s="508">
        <v>7.6875000000000142</v>
      </c>
      <c r="S12" s="509">
        <f t="shared" si="4"/>
        <v>0.20001300897619392</v>
      </c>
      <c r="T12" s="510">
        <f t="shared" si="115"/>
        <v>0</v>
      </c>
      <c r="U12" s="508">
        <v>4.6875000000000142</v>
      </c>
      <c r="V12" s="509">
        <f t="shared" si="5"/>
        <v>0.12195915181475254</v>
      </c>
      <c r="W12" s="510">
        <f t="shared" si="116"/>
        <v>0</v>
      </c>
      <c r="X12" s="508"/>
      <c r="Y12" s="509">
        <f t="shared" si="6"/>
        <v>0</v>
      </c>
      <c r="Z12" s="510">
        <f t="shared" si="117"/>
        <v>0</v>
      </c>
      <c r="AA12" s="508"/>
      <c r="AB12" s="509">
        <f t="shared" si="7"/>
        <v>0</v>
      </c>
      <c r="AC12" s="510">
        <f t="shared" si="118"/>
        <v>0</v>
      </c>
      <c r="AD12" s="508"/>
      <c r="AE12" s="509">
        <f t="shared" si="8"/>
        <v>0</v>
      </c>
      <c r="AF12" s="510">
        <f t="shared" si="119"/>
        <v>0</v>
      </c>
      <c r="AG12" s="508"/>
      <c r="AH12" s="509">
        <f t="shared" si="9"/>
        <v>0</v>
      </c>
      <c r="AI12" s="510">
        <f t="shared" si="120"/>
        <v>0</v>
      </c>
      <c r="AJ12" s="508"/>
      <c r="AK12" s="509">
        <f t="shared" si="10"/>
        <v>0</v>
      </c>
      <c r="AL12" s="510">
        <f t="shared" si="121"/>
        <v>0</v>
      </c>
      <c r="AM12" s="508">
        <v>52.564102564102569</v>
      </c>
      <c r="AN12" s="509">
        <f t="shared" si="11"/>
        <v>1.3676103177859391</v>
      </c>
      <c r="AO12" s="510">
        <f t="shared" si="122"/>
        <v>0</v>
      </c>
      <c r="AP12" s="508"/>
      <c r="AQ12" s="509">
        <f t="shared" si="12"/>
        <v>0</v>
      </c>
      <c r="AR12" s="510">
        <f t="shared" si="123"/>
        <v>0</v>
      </c>
      <c r="AS12" s="508"/>
      <c r="AT12" s="509">
        <f t="shared" si="13"/>
        <v>0</v>
      </c>
      <c r="AU12" s="510">
        <f t="shared" si="124"/>
        <v>0</v>
      </c>
      <c r="AV12" s="508">
        <v>11.099999999999994</v>
      </c>
      <c r="AW12" s="509">
        <f t="shared" si="14"/>
        <v>0.28879927149733298</v>
      </c>
      <c r="AX12" s="510">
        <f t="shared" si="125"/>
        <v>0</v>
      </c>
      <c r="AY12" s="508">
        <v>58.333333333333343</v>
      </c>
      <c r="AZ12" s="509">
        <f t="shared" si="15"/>
        <v>1.5177138892502495</v>
      </c>
      <c r="BA12" s="510">
        <f t="shared" si="126"/>
        <v>0</v>
      </c>
      <c r="BB12" s="508"/>
      <c r="BC12" s="509">
        <f t="shared" si="16"/>
        <v>0</v>
      </c>
      <c r="BD12" s="510">
        <f t="shared" si="127"/>
        <v>0</v>
      </c>
      <c r="BE12" s="508"/>
      <c r="BF12" s="509">
        <f t="shared" si="17"/>
        <v>0</v>
      </c>
      <c r="BG12" s="510">
        <f t="shared" si="128"/>
        <v>0</v>
      </c>
      <c r="BH12" s="508"/>
      <c r="BI12" s="509">
        <f t="shared" si="18"/>
        <v>0</v>
      </c>
      <c r="BJ12" s="510">
        <f t="shared" si="129"/>
        <v>0</v>
      </c>
      <c r="BK12" s="508"/>
      <c r="BL12" s="509">
        <f t="shared" si="19"/>
        <v>0</v>
      </c>
      <c r="BM12" s="510">
        <f t="shared" si="130"/>
        <v>0</v>
      </c>
      <c r="BN12" s="508"/>
      <c r="BO12" s="509">
        <f t="shared" si="20"/>
        <v>0</v>
      </c>
      <c r="BP12" s="510">
        <f t="shared" si="131"/>
        <v>0</v>
      </c>
      <c r="BQ12" s="508">
        <v>0</v>
      </c>
      <c r="BR12" s="509">
        <f t="shared" si="21"/>
        <v>0</v>
      </c>
      <c r="BS12" s="510">
        <f t="shared" si="132"/>
        <v>0</v>
      </c>
      <c r="BT12" s="508"/>
      <c r="BU12" s="509">
        <f t="shared" si="22"/>
        <v>0</v>
      </c>
      <c r="BV12" s="510">
        <f t="shared" si="133"/>
        <v>0</v>
      </c>
      <c r="BW12" s="508"/>
      <c r="BX12" s="509">
        <f t="shared" si="23"/>
        <v>0</v>
      </c>
      <c r="BY12" s="510">
        <f t="shared" si="134"/>
        <v>0</v>
      </c>
      <c r="BZ12" s="508"/>
      <c r="CA12" s="509">
        <f t="shared" si="24"/>
        <v>0</v>
      </c>
      <c r="CB12" s="510">
        <f t="shared" si="135"/>
        <v>0</v>
      </c>
      <c r="CC12" s="508"/>
      <c r="CD12" s="509">
        <f t="shared" si="25"/>
        <v>0</v>
      </c>
      <c r="CE12" s="510">
        <f t="shared" si="136"/>
        <v>0</v>
      </c>
      <c r="CF12" s="508">
        <v>4.9000000000000004</v>
      </c>
      <c r="CG12" s="509">
        <f t="shared" si="26"/>
        <v>0.12748796669702095</v>
      </c>
      <c r="CH12" s="510">
        <f t="shared" si="137"/>
        <v>0</v>
      </c>
      <c r="CI12" s="508"/>
      <c r="CJ12" s="509">
        <f t="shared" si="27"/>
        <v>0</v>
      </c>
      <c r="CK12" s="510">
        <f t="shared" si="138"/>
        <v>0</v>
      </c>
      <c r="CL12" s="508"/>
      <c r="CM12" s="509">
        <f t="shared" si="28"/>
        <v>0</v>
      </c>
      <c r="CN12" s="510">
        <f t="shared" si="139"/>
        <v>0</v>
      </c>
      <c r="CO12" s="508"/>
      <c r="CP12" s="509">
        <f t="shared" si="29"/>
        <v>0</v>
      </c>
      <c r="CQ12" s="510">
        <f t="shared" si="140"/>
        <v>0</v>
      </c>
      <c r="CR12" s="508"/>
      <c r="CS12" s="509">
        <f t="shared" si="30"/>
        <v>0</v>
      </c>
      <c r="CT12" s="510">
        <f t="shared" si="141"/>
        <v>0</v>
      </c>
      <c r="CU12" s="508"/>
      <c r="CV12" s="509">
        <f t="shared" si="31"/>
        <v>0</v>
      </c>
      <c r="CW12" s="510">
        <f t="shared" si="142"/>
        <v>0</v>
      </c>
      <c r="CX12" s="508"/>
      <c r="CY12" s="509">
        <f t="shared" si="32"/>
        <v>0</v>
      </c>
      <c r="CZ12" s="510">
        <f t="shared" si="143"/>
        <v>0</v>
      </c>
      <c r="DA12" s="508"/>
      <c r="DB12" s="509">
        <f t="shared" si="33"/>
        <v>0</v>
      </c>
      <c r="DC12" s="510">
        <f t="shared" si="144"/>
        <v>0</v>
      </c>
      <c r="DD12" s="508"/>
      <c r="DE12" s="509">
        <f t="shared" si="34"/>
        <v>0</v>
      </c>
      <c r="DF12" s="510">
        <f t="shared" si="145"/>
        <v>0</v>
      </c>
      <c r="DG12" s="508"/>
      <c r="DH12" s="509">
        <f t="shared" si="35"/>
        <v>0</v>
      </c>
      <c r="DI12" s="510">
        <v>0</v>
      </c>
      <c r="DJ12" s="508"/>
      <c r="DK12" s="509">
        <f t="shared" si="36"/>
        <v>0</v>
      </c>
      <c r="DL12" s="510">
        <f t="shared" si="146"/>
        <v>0</v>
      </c>
      <c r="DM12" s="508"/>
      <c r="DN12" s="509">
        <f t="shared" si="37"/>
        <v>0</v>
      </c>
      <c r="DO12" s="510">
        <f t="shared" si="147"/>
        <v>0</v>
      </c>
      <c r="DP12" s="508"/>
      <c r="DQ12" s="509">
        <f t="shared" si="38"/>
        <v>0</v>
      </c>
      <c r="DR12" s="510">
        <f t="shared" si="148"/>
        <v>0</v>
      </c>
      <c r="DS12" s="508"/>
      <c r="DT12" s="509">
        <f t="shared" si="39"/>
        <v>0</v>
      </c>
      <c r="DU12" s="510">
        <f t="shared" si="149"/>
        <v>0</v>
      </c>
      <c r="DV12" s="508"/>
      <c r="DW12" s="509">
        <f t="shared" si="40"/>
        <v>0</v>
      </c>
      <c r="DX12" s="510">
        <f t="shared" si="150"/>
        <v>0</v>
      </c>
      <c r="DY12" s="508"/>
      <c r="DZ12" s="509">
        <f t="shared" si="41"/>
        <v>0</v>
      </c>
      <c r="EA12" s="510">
        <f t="shared" si="151"/>
        <v>0</v>
      </c>
      <c r="EB12" s="508">
        <v>46.964705882352973</v>
      </c>
      <c r="EC12" s="509">
        <f t="shared" si="42"/>
        <v>1.2219254815234284</v>
      </c>
      <c r="ED12" s="510">
        <f t="shared" si="152"/>
        <v>0</v>
      </c>
      <c r="EE12" s="508">
        <v>14.534883720930281</v>
      </c>
      <c r="EF12" s="509">
        <f t="shared" si="43"/>
        <v>0.37816791260388399</v>
      </c>
      <c r="EG12" s="510">
        <f t="shared" si="153"/>
        <v>0</v>
      </c>
      <c r="EH12" s="508">
        <v>4.0999999999999996</v>
      </c>
      <c r="EI12" s="509">
        <f t="shared" si="44"/>
        <v>0.10667360478730323</v>
      </c>
      <c r="EJ12" s="510">
        <f t="shared" si="154"/>
        <v>0</v>
      </c>
      <c r="EK12" s="508"/>
      <c r="EL12" s="509">
        <f t="shared" si="45"/>
        <v>0</v>
      </c>
      <c r="EM12" s="510">
        <f t="shared" si="155"/>
        <v>0</v>
      </c>
      <c r="EN12" s="508"/>
      <c r="EO12" s="509">
        <f t="shared" si="46"/>
        <v>0</v>
      </c>
      <c r="EP12" s="510">
        <f t="shared" si="156"/>
        <v>0</v>
      </c>
      <c r="EQ12" s="508"/>
      <c r="ER12" s="509">
        <f t="shared" si="47"/>
        <v>0</v>
      </c>
      <c r="ES12" s="510">
        <f t="shared" si="157"/>
        <v>0</v>
      </c>
      <c r="ET12" s="508"/>
      <c r="EU12" s="509">
        <f t="shared" si="48"/>
        <v>0</v>
      </c>
      <c r="EV12" s="510">
        <f t="shared" si="158"/>
        <v>0</v>
      </c>
      <c r="EW12" s="508"/>
      <c r="EX12" s="509">
        <f t="shared" si="49"/>
        <v>0</v>
      </c>
      <c r="EY12" s="510">
        <f t="shared" si="159"/>
        <v>0</v>
      </c>
      <c r="EZ12" s="508"/>
      <c r="FA12" s="509">
        <f t="shared" si="50"/>
        <v>0</v>
      </c>
      <c r="FB12" s="510">
        <f t="shared" si="160"/>
        <v>0</v>
      </c>
      <c r="FC12" s="508"/>
      <c r="FD12" s="509">
        <f t="shared" si="51"/>
        <v>0</v>
      </c>
      <c r="FE12" s="510">
        <f t="shared" si="161"/>
        <v>0</v>
      </c>
      <c r="FF12" s="508"/>
      <c r="FG12" s="509">
        <f t="shared" si="52"/>
        <v>0</v>
      </c>
      <c r="FH12" s="510">
        <f t="shared" si="162"/>
        <v>0</v>
      </c>
      <c r="FI12" s="508"/>
      <c r="FJ12" s="509">
        <f t="shared" si="53"/>
        <v>0</v>
      </c>
      <c r="FK12" s="510">
        <f t="shared" si="163"/>
        <v>0</v>
      </c>
      <c r="FL12" s="508"/>
      <c r="FM12" s="509">
        <f t="shared" si="54"/>
        <v>0</v>
      </c>
      <c r="FN12" s="510">
        <f t="shared" si="164"/>
        <v>0</v>
      </c>
      <c r="FO12" s="508"/>
      <c r="FP12" s="509">
        <f t="shared" si="55"/>
        <v>0</v>
      </c>
      <c r="FQ12" s="510">
        <f t="shared" si="165"/>
        <v>0</v>
      </c>
      <c r="FR12" s="508"/>
      <c r="FS12" s="509">
        <f t="shared" si="56"/>
        <v>0</v>
      </c>
      <c r="FT12" s="510">
        <f t="shared" si="166"/>
        <v>0</v>
      </c>
      <c r="FU12" s="508"/>
      <c r="FV12" s="509">
        <f t="shared" si="57"/>
        <v>0</v>
      </c>
      <c r="FW12" s="510">
        <f t="shared" si="167"/>
        <v>0</v>
      </c>
      <c r="FX12" s="508"/>
      <c r="FY12" s="509">
        <f t="shared" si="58"/>
        <v>0</v>
      </c>
      <c r="FZ12" s="510">
        <f t="shared" si="168"/>
        <v>0</v>
      </c>
      <c r="GA12" s="508"/>
      <c r="GB12" s="509">
        <f t="shared" si="59"/>
        <v>0</v>
      </c>
      <c r="GC12" s="510">
        <f t="shared" si="169"/>
        <v>0</v>
      </c>
      <c r="GD12" s="508"/>
      <c r="GE12" s="509">
        <f t="shared" si="60"/>
        <v>0</v>
      </c>
      <c r="GF12" s="510">
        <f t="shared" si="170"/>
        <v>0</v>
      </c>
      <c r="GG12" s="508"/>
      <c r="GH12" s="509">
        <f t="shared" si="61"/>
        <v>0</v>
      </c>
      <c r="GI12" s="510">
        <f t="shared" si="171"/>
        <v>0</v>
      </c>
      <c r="GJ12" s="508"/>
      <c r="GK12" s="509">
        <f t="shared" si="62"/>
        <v>0</v>
      </c>
      <c r="GL12" s="510">
        <f t="shared" si="172"/>
        <v>0</v>
      </c>
      <c r="GM12" s="508"/>
      <c r="GN12" s="509">
        <f t="shared" si="63"/>
        <v>0</v>
      </c>
      <c r="GO12" s="510">
        <f t="shared" si="173"/>
        <v>0</v>
      </c>
      <c r="GP12" s="508"/>
      <c r="GQ12" s="509">
        <f t="shared" si="64"/>
        <v>0</v>
      </c>
      <c r="GR12" s="510">
        <f t="shared" si="174"/>
        <v>0</v>
      </c>
      <c r="GS12" s="508"/>
      <c r="GT12" s="509">
        <f t="shared" si="65"/>
        <v>0</v>
      </c>
      <c r="GU12" s="510">
        <f t="shared" si="175"/>
        <v>0</v>
      </c>
      <c r="GV12" s="508"/>
      <c r="GW12" s="509">
        <f t="shared" si="66"/>
        <v>0</v>
      </c>
      <c r="GX12" s="510">
        <f t="shared" si="176"/>
        <v>0</v>
      </c>
      <c r="GY12" s="508"/>
      <c r="GZ12" s="509">
        <f t="shared" si="67"/>
        <v>0</v>
      </c>
      <c r="HA12" s="510">
        <f t="shared" si="177"/>
        <v>0</v>
      </c>
      <c r="HB12" s="508"/>
      <c r="HC12" s="509">
        <f t="shared" si="68"/>
        <v>0</v>
      </c>
      <c r="HD12" s="510">
        <f t="shared" si="178"/>
        <v>0</v>
      </c>
      <c r="HE12" s="508"/>
      <c r="HF12" s="509">
        <f t="shared" si="69"/>
        <v>0</v>
      </c>
      <c r="HG12" s="510">
        <f t="shared" si="179"/>
        <v>0</v>
      </c>
      <c r="HH12" s="508"/>
      <c r="HI12" s="509">
        <f t="shared" si="70"/>
        <v>0</v>
      </c>
      <c r="HJ12" s="510">
        <f t="shared" si="180"/>
        <v>0</v>
      </c>
      <c r="HK12" s="508"/>
      <c r="HL12" s="509">
        <f t="shared" si="71"/>
        <v>0</v>
      </c>
      <c r="HM12" s="510">
        <f t="shared" si="181"/>
        <v>0</v>
      </c>
      <c r="HN12" s="508"/>
      <c r="HO12" s="509">
        <f t="shared" si="72"/>
        <v>0</v>
      </c>
      <c r="HP12" s="510">
        <f t="shared" si="182"/>
        <v>0</v>
      </c>
      <c r="HQ12" s="508"/>
      <c r="HR12" s="509">
        <f t="shared" si="73"/>
        <v>0</v>
      </c>
      <c r="HS12" s="510">
        <f t="shared" si="183"/>
        <v>0</v>
      </c>
      <c r="HT12" s="508"/>
      <c r="HU12" s="509">
        <f t="shared" si="74"/>
        <v>0</v>
      </c>
      <c r="HV12" s="510">
        <f t="shared" si="184"/>
        <v>0</v>
      </c>
      <c r="HW12" s="508"/>
      <c r="HX12" s="509">
        <f t="shared" si="75"/>
        <v>0</v>
      </c>
      <c r="HY12" s="510">
        <f t="shared" si="185"/>
        <v>0</v>
      </c>
      <c r="HZ12" s="508"/>
      <c r="IA12" s="509">
        <f t="shared" si="76"/>
        <v>0</v>
      </c>
      <c r="IB12" s="510">
        <f t="shared" si="186"/>
        <v>0</v>
      </c>
      <c r="IC12" s="508"/>
      <c r="ID12" s="509">
        <f t="shared" si="77"/>
        <v>0</v>
      </c>
      <c r="IE12" s="510">
        <f t="shared" si="187"/>
        <v>0</v>
      </c>
      <c r="IF12" s="508"/>
      <c r="IG12" s="509">
        <f t="shared" si="78"/>
        <v>0</v>
      </c>
      <c r="IH12" s="510">
        <f t="shared" si="188"/>
        <v>0</v>
      </c>
      <c r="II12" s="508"/>
      <c r="IJ12" s="509">
        <f t="shared" si="79"/>
        <v>0</v>
      </c>
      <c r="IK12" s="510">
        <f t="shared" si="189"/>
        <v>0</v>
      </c>
      <c r="IL12" s="508"/>
      <c r="IM12" s="509">
        <f t="shared" si="80"/>
        <v>0</v>
      </c>
      <c r="IN12" s="510">
        <f t="shared" si="190"/>
        <v>0</v>
      </c>
      <c r="IO12" s="508"/>
      <c r="IP12" s="509">
        <f t="shared" si="81"/>
        <v>0</v>
      </c>
      <c r="IQ12" s="510">
        <f t="shared" si="191"/>
        <v>0</v>
      </c>
      <c r="IR12" s="508"/>
      <c r="IS12" s="509">
        <f t="shared" si="82"/>
        <v>0</v>
      </c>
      <c r="IT12" s="510">
        <f t="shared" si="192"/>
        <v>0</v>
      </c>
      <c r="IU12" s="508"/>
      <c r="IV12" s="509">
        <f t="shared" si="83"/>
        <v>0</v>
      </c>
      <c r="IW12" s="510">
        <f t="shared" si="193"/>
        <v>0</v>
      </c>
      <c r="IX12" s="508"/>
      <c r="IY12" s="509">
        <f t="shared" si="84"/>
        <v>0</v>
      </c>
      <c r="IZ12" s="510">
        <f t="shared" si="194"/>
        <v>0</v>
      </c>
      <c r="JA12" s="508"/>
      <c r="JB12" s="509">
        <f t="shared" si="85"/>
        <v>0</v>
      </c>
      <c r="JC12" s="510">
        <f t="shared" si="195"/>
        <v>0</v>
      </c>
      <c r="JD12" s="508"/>
      <c r="JE12" s="509">
        <f t="shared" si="86"/>
        <v>0</v>
      </c>
      <c r="JF12" s="510">
        <f t="shared" si="196"/>
        <v>0</v>
      </c>
      <c r="JG12" s="508"/>
      <c r="JH12" s="509">
        <f t="shared" si="87"/>
        <v>0</v>
      </c>
      <c r="JI12" s="510">
        <f t="shared" si="197"/>
        <v>0</v>
      </c>
      <c r="JJ12" s="508"/>
      <c r="JK12" s="510">
        <f t="shared" si="198"/>
        <v>0</v>
      </c>
      <c r="JL12" s="510" t="str">
        <f t="shared" si="88"/>
        <v>0</v>
      </c>
      <c r="JM12" s="508"/>
      <c r="JN12" s="510" t="str">
        <f t="shared" si="89"/>
        <v>0</v>
      </c>
      <c r="JO12" s="510" t="str">
        <f t="shared" si="90"/>
        <v>0</v>
      </c>
      <c r="JP12" s="508"/>
      <c r="JQ12" s="510" t="str">
        <f t="shared" si="91"/>
        <v>0</v>
      </c>
      <c r="JR12" s="510" t="str">
        <f t="shared" si="92"/>
        <v>0</v>
      </c>
      <c r="JS12" s="508"/>
      <c r="JT12" s="510" t="str">
        <f t="shared" si="93"/>
        <v>0</v>
      </c>
      <c r="JU12" s="510" t="str">
        <f t="shared" si="94"/>
        <v>0</v>
      </c>
      <c r="JV12" s="508"/>
      <c r="JW12" s="510" t="str">
        <f t="shared" si="95"/>
        <v>0</v>
      </c>
      <c r="JX12" s="510" t="str">
        <f t="shared" si="96"/>
        <v>0</v>
      </c>
      <c r="JY12" s="508"/>
      <c r="JZ12" s="510" t="str">
        <f t="shared" si="97"/>
        <v>0</v>
      </c>
      <c r="KA12" s="510" t="str">
        <f t="shared" si="98"/>
        <v>0</v>
      </c>
      <c r="KB12" s="508"/>
      <c r="KC12" s="510" t="str">
        <f t="shared" si="99"/>
        <v>0</v>
      </c>
      <c r="KD12" s="510" t="str">
        <f t="shared" si="100"/>
        <v>0</v>
      </c>
      <c r="KE12" s="508"/>
      <c r="KF12" s="510" t="str">
        <f t="shared" si="101"/>
        <v>0</v>
      </c>
      <c r="KG12" s="510" t="str">
        <f t="shared" si="102"/>
        <v>0</v>
      </c>
      <c r="KH12" s="508"/>
      <c r="KI12" s="510" t="str">
        <f t="shared" si="103"/>
        <v>0</v>
      </c>
      <c r="KJ12" s="510" t="str">
        <f t="shared" si="104"/>
        <v>0</v>
      </c>
      <c r="KK12" s="508"/>
      <c r="KL12" s="510" t="str">
        <f t="shared" si="105"/>
        <v>0</v>
      </c>
      <c r="KM12" s="510" t="str">
        <f t="shared" si="106"/>
        <v>0</v>
      </c>
      <c r="KN12" s="508"/>
      <c r="KO12" s="510" t="str">
        <f t="shared" si="107"/>
        <v>0</v>
      </c>
      <c r="KP12" s="510" t="str">
        <f t="shared" si="108"/>
        <v>0</v>
      </c>
      <c r="KQ12" s="508"/>
      <c r="KR12" s="510" t="str">
        <f t="shared" si="109"/>
        <v>0</v>
      </c>
      <c r="KS12" s="510" t="str">
        <f t="shared" si="110"/>
        <v>0</v>
      </c>
      <c r="KT12" s="510">
        <f t="shared" ref="KT12:KT42" si="201">H12+K12+N12+Q12+T12+W12+Z12+AC12+AF12+AI12+AL12+AO12+AR12+AU12+AX12+BA12+BD12+BG12+BJ12+BM12+BP12+BS12+BV12+BY12+CB12+CE12+CH12+CK12+CN12+CQ12+CT12+CW12+CZ12+DC12+DF12+DI12+DL12+DO12+DR12+DU12+DX12+EA12+ED12+EG12+EJ12+EM12+EP12+ES12+EV12+EY12+FB12+FE12+FH12+FK12+FN12+FQ12+FT12+FW12+FZ12+GC12</f>
        <v>0</v>
      </c>
      <c r="KU12" s="510">
        <f t="shared" ref="KU12:KU42" si="202">GF12+GI12+GL12+GO12+GR12+GU12+GX12+HA12+HD12+HG12+HJ12+HM12+HP12+HS12+HV12+HY12+IB12+IE12+IH12+IK12+IN12+IQ12+IT12+IW12+IZ12+JC12+JF12+JI12+JL12+JO12+JR12+JU12+JX12++KA12+KD12+KG12+KJ12++KM12+KP12+KS12</f>
        <v>0</v>
      </c>
      <c r="KV12" s="261">
        <f t="shared" si="199"/>
        <v>455.4301650356029</v>
      </c>
    </row>
    <row r="13" spans="1:308" ht="15" customHeight="1">
      <c r="A13" s="467">
        <f t="shared" si="200"/>
        <v>45842</v>
      </c>
      <c r="B13" s="468" t="str">
        <f>+Report1!B12</f>
        <v>Facial</v>
      </c>
      <c r="C13" s="469" t="str">
        <f>+Report1!C12</f>
        <v>11,5</v>
      </c>
      <c r="D13" s="470">
        <f>+Report1!P12</f>
        <v>42.158000000000001</v>
      </c>
      <c r="E13" s="471">
        <f>+Report1!R12</f>
        <v>42.110999999999997</v>
      </c>
      <c r="F13" s="508"/>
      <c r="G13" s="509">
        <f t="shared" si="0"/>
        <v>0</v>
      </c>
      <c r="H13" s="510">
        <f t="shared" si="111"/>
        <v>0</v>
      </c>
      <c r="I13" s="508">
        <v>220.93023255813955</v>
      </c>
      <c r="J13" s="509">
        <f t="shared" si="1"/>
        <v>5.246378204225489</v>
      </c>
      <c r="K13" s="510">
        <f t="shared" si="112"/>
        <v>0</v>
      </c>
      <c r="L13" s="508"/>
      <c r="M13" s="509">
        <f t="shared" si="2"/>
        <v>0</v>
      </c>
      <c r="N13" s="510">
        <f t="shared" si="113"/>
        <v>0</v>
      </c>
      <c r="O13" s="508">
        <v>18</v>
      </c>
      <c r="P13" s="509">
        <f t="shared" si="3"/>
        <v>0.4274417610600556</v>
      </c>
      <c r="Q13" s="510">
        <f t="shared" si="114"/>
        <v>0</v>
      </c>
      <c r="R13" s="508">
        <v>10.250000000000014</v>
      </c>
      <c r="S13" s="509">
        <f t="shared" si="4"/>
        <v>0.24340433615919865</v>
      </c>
      <c r="T13" s="510">
        <f t="shared" si="115"/>
        <v>0</v>
      </c>
      <c r="U13" s="508">
        <v>4.6875</v>
      </c>
      <c r="V13" s="509">
        <f t="shared" si="5"/>
        <v>0.11131295860938947</v>
      </c>
      <c r="W13" s="510">
        <f t="shared" si="116"/>
        <v>0</v>
      </c>
      <c r="X13" s="508"/>
      <c r="Y13" s="509">
        <f t="shared" si="6"/>
        <v>0</v>
      </c>
      <c r="Z13" s="510">
        <f t="shared" si="117"/>
        <v>0</v>
      </c>
      <c r="AA13" s="508"/>
      <c r="AB13" s="509">
        <f t="shared" si="7"/>
        <v>0</v>
      </c>
      <c r="AC13" s="510">
        <f t="shared" si="118"/>
        <v>0</v>
      </c>
      <c r="AD13" s="508"/>
      <c r="AE13" s="509">
        <f t="shared" si="8"/>
        <v>0</v>
      </c>
      <c r="AF13" s="510">
        <f t="shared" si="119"/>
        <v>0</v>
      </c>
      <c r="AG13" s="508"/>
      <c r="AH13" s="509">
        <f t="shared" si="9"/>
        <v>0</v>
      </c>
      <c r="AI13" s="510">
        <f t="shared" si="120"/>
        <v>0</v>
      </c>
      <c r="AJ13" s="508"/>
      <c r="AK13" s="509">
        <f t="shared" si="10"/>
        <v>0</v>
      </c>
      <c r="AL13" s="510">
        <f t="shared" si="121"/>
        <v>0</v>
      </c>
      <c r="AM13" s="508">
        <v>47.307692307692321</v>
      </c>
      <c r="AN13" s="509">
        <f t="shared" si="11"/>
        <v>1.1234046284270696</v>
      </c>
      <c r="AO13" s="510">
        <f t="shared" si="122"/>
        <v>0</v>
      </c>
      <c r="AP13" s="508"/>
      <c r="AQ13" s="509">
        <f t="shared" si="12"/>
        <v>0</v>
      </c>
      <c r="AR13" s="510">
        <f t="shared" si="123"/>
        <v>0</v>
      </c>
      <c r="AS13" s="508"/>
      <c r="AT13" s="509">
        <f t="shared" si="13"/>
        <v>0</v>
      </c>
      <c r="AU13" s="510">
        <f t="shared" si="124"/>
        <v>0</v>
      </c>
      <c r="AV13" s="508">
        <v>11.100000000000023</v>
      </c>
      <c r="AW13" s="509">
        <f t="shared" si="14"/>
        <v>0.26358908598703484</v>
      </c>
      <c r="AX13" s="510">
        <f t="shared" si="125"/>
        <v>0</v>
      </c>
      <c r="AY13" s="508">
        <v>62.999999999999986</v>
      </c>
      <c r="AZ13" s="509">
        <f t="shared" si="15"/>
        <v>1.4960461637101943</v>
      </c>
      <c r="BA13" s="510">
        <f t="shared" si="126"/>
        <v>0</v>
      </c>
      <c r="BB13" s="508"/>
      <c r="BC13" s="509">
        <f t="shared" si="16"/>
        <v>0</v>
      </c>
      <c r="BD13" s="510">
        <f t="shared" si="127"/>
        <v>0</v>
      </c>
      <c r="BE13" s="508"/>
      <c r="BF13" s="509">
        <f t="shared" si="17"/>
        <v>0</v>
      </c>
      <c r="BG13" s="510">
        <f t="shared" si="128"/>
        <v>0</v>
      </c>
      <c r="BH13" s="508"/>
      <c r="BI13" s="509">
        <f t="shared" si="18"/>
        <v>0</v>
      </c>
      <c r="BJ13" s="510">
        <f t="shared" si="129"/>
        <v>0</v>
      </c>
      <c r="BK13" s="508"/>
      <c r="BL13" s="509">
        <f t="shared" si="19"/>
        <v>0</v>
      </c>
      <c r="BM13" s="510">
        <f t="shared" si="130"/>
        <v>0</v>
      </c>
      <c r="BN13" s="508"/>
      <c r="BO13" s="509">
        <f t="shared" si="20"/>
        <v>0</v>
      </c>
      <c r="BP13" s="510">
        <f t="shared" si="131"/>
        <v>0</v>
      </c>
      <c r="BQ13" s="508">
        <v>0</v>
      </c>
      <c r="BR13" s="509">
        <f t="shared" si="21"/>
        <v>0</v>
      </c>
      <c r="BS13" s="510">
        <f t="shared" si="132"/>
        <v>0</v>
      </c>
      <c r="BT13" s="508"/>
      <c r="BU13" s="509">
        <f t="shared" si="22"/>
        <v>0</v>
      </c>
      <c r="BV13" s="510">
        <f t="shared" si="133"/>
        <v>0</v>
      </c>
      <c r="BW13" s="508"/>
      <c r="BX13" s="509">
        <f t="shared" si="23"/>
        <v>0</v>
      </c>
      <c r="BY13" s="510">
        <f t="shared" si="134"/>
        <v>0</v>
      </c>
      <c r="BZ13" s="508"/>
      <c r="CA13" s="509">
        <f t="shared" si="24"/>
        <v>0</v>
      </c>
      <c r="CB13" s="510">
        <f t="shared" si="135"/>
        <v>0</v>
      </c>
      <c r="CC13" s="508"/>
      <c r="CD13" s="509">
        <f t="shared" si="25"/>
        <v>0</v>
      </c>
      <c r="CE13" s="510">
        <f t="shared" si="136"/>
        <v>0</v>
      </c>
      <c r="CF13" s="508">
        <v>4.9000000000000004</v>
      </c>
      <c r="CG13" s="509">
        <f t="shared" si="26"/>
        <v>0.11635914606634848</v>
      </c>
      <c r="CH13" s="510">
        <f t="shared" si="137"/>
        <v>0</v>
      </c>
      <c r="CI13" s="508"/>
      <c r="CJ13" s="509">
        <f t="shared" si="27"/>
        <v>0</v>
      </c>
      <c r="CK13" s="510">
        <f t="shared" si="138"/>
        <v>0</v>
      </c>
      <c r="CL13" s="508"/>
      <c r="CM13" s="509">
        <f t="shared" si="28"/>
        <v>0</v>
      </c>
      <c r="CN13" s="510">
        <f t="shared" si="139"/>
        <v>0</v>
      </c>
      <c r="CO13" s="508"/>
      <c r="CP13" s="509">
        <f t="shared" si="29"/>
        <v>0</v>
      </c>
      <c r="CQ13" s="510">
        <f t="shared" si="140"/>
        <v>0</v>
      </c>
      <c r="CR13" s="508"/>
      <c r="CS13" s="509">
        <f t="shared" si="30"/>
        <v>0</v>
      </c>
      <c r="CT13" s="510">
        <f t="shared" si="141"/>
        <v>0</v>
      </c>
      <c r="CU13" s="508"/>
      <c r="CV13" s="509">
        <f t="shared" si="31"/>
        <v>0</v>
      </c>
      <c r="CW13" s="510">
        <f t="shared" si="142"/>
        <v>0</v>
      </c>
      <c r="CX13" s="508"/>
      <c r="CY13" s="509">
        <f t="shared" si="32"/>
        <v>0</v>
      </c>
      <c r="CZ13" s="510">
        <f t="shared" si="143"/>
        <v>0</v>
      </c>
      <c r="DA13" s="508"/>
      <c r="DB13" s="509">
        <f t="shared" si="33"/>
        <v>0</v>
      </c>
      <c r="DC13" s="510">
        <f t="shared" si="144"/>
        <v>0</v>
      </c>
      <c r="DD13" s="508"/>
      <c r="DE13" s="509">
        <f t="shared" si="34"/>
        <v>0</v>
      </c>
      <c r="DF13" s="510">
        <f t="shared" si="145"/>
        <v>0</v>
      </c>
      <c r="DG13" s="508"/>
      <c r="DH13" s="509">
        <f t="shared" si="35"/>
        <v>0</v>
      </c>
      <c r="DI13" s="510">
        <v>0</v>
      </c>
      <c r="DJ13" s="508"/>
      <c r="DK13" s="509">
        <f t="shared" si="36"/>
        <v>0</v>
      </c>
      <c r="DL13" s="510">
        <f t="shared" si="146"/>
        <v>0</v>
      </c>
      <c r="DM13" s="508"/>
      <c r="DN13" s="509">
        <f t="shared" si="37"/>
        <v>0</v>
      </c>
      <c r="DO13" s="510">
        <f t="shared" si="147"/>
        <v>0</v>
      </c>
      <c r="DP13" s="508"/>
      <c r="DQ13" s="509">
        <f t="shared" si="38"/>
        <v>0</v>
      </c>
      <c r="DR13" s="510">
        <f t="shared" si="148"/>
        <v>0</v>
      </c>
      <c r="DS13" s="508"/>
      <c r="DT13" s="509">
        <f t="shared" si="39"/>
        <v>0</v>
      </c>
      <c r="DU13" s="510">
        <f t="shared" si="149"/>
        <v>0</v>
      </c>
      <c r="DV13" s="508"/>
      <c r="DW13" s="509">
        <f t="shared" si="40"/>
        <v>0</v>
      </c>
      <c r="DX13" s="510">
        <f t="shared" si="150"/>
        <v>0</v>
      </c>
      <c r="DY13" s="508"/>
      <c r="DZ13" s="509">
        <f t="shared" si="41"/>
        <v>0</v>
      </c>
      <c r="EA13" s="510">
        <f t="shared" si="151"/>
        <v>0</v>
      </c>
      <c r="EB13" s="508">
        <v>46.964705882352973</v>
      </c>
      <c r="EC13" s="509">
        <f t="shared" si="42"/>
        <v>1.1152598105566949</v>
      </c>
      <c r="ED13" s="510">
        <f t="shared" si="152"/>
        <v>0</v>
      </c>
      <c r="EE13" s="508">
        <v>14.534883720930225</v>
      </c>
      <c r="EF13" s="509">
        <f t="shared" si="43"/>
        <v>0.34515646080430828</v>
      </c>
      <c r="EG13" s="510">
        <f t="shared" si="153"/>
        <v>0</v>
      </c>
      <c r="EH13" s="508">
        <v>4.9000000000000004</v>
      </c>
      <c r="EI13" s="509">
        <f t="shared" si="44"/>
        <v>0.11635914606634848</v>
      </c>
      <c r="EJ13" s="510">
        <f t="shared" si="154"/>
        <v>0</v>
      </c>
      <c r="EK13" s="508"/>
      <c r="EL13" s="509">
        <f t="shared" si="45"/>
        <v>0</v>
      </c>
      <c r="EM13" s="510">
        <f t="shared" si="155"/>
        <v>0</v>
      </c>
      <c r="EN13" s="508"/>
      <c r="EO13" s="509">
        <f t="shared" si="46"/>
        <v>0</v>
      </c>
      <c r="EP13" s="510">
        <f t="shared" si="156"/>
        <v>0</v>
      </c>
      <c r="EQ13" s="508"/>
      <c r="ER13" s="509">
        <f t="shared" si="47"/>
        <v>0</v>
      </c>
      <c r="ES13" s="510">
        <f t="shared" si="157"/>
        <v>0</v>
      </c>
      <c r="ET13" s="508"/>
      <c r="EU13" s="509">
        <f t="shared" si="48"/>
        <v>0</v>
      </c>
      <c r="EV13" s="510">
        <f t="shared" si="158"/>
        <v>0</v>
      </c>
      <c r="EW13" s="508"/>
      <c r="EX13" s="509">
        <f t="shared" si="49"/>
        <v>0</v>
      </c>
      <c r="EY13" s="510">
        <f t="shared" si="159"/>
        <v>0</v>
      </c>
      <c r="EZ13" s="508"/>
      <c r="FA13" s="509">
        <f t="shared" si="50"/>
        <v>0</v>
      </c>
      <c r="FB13" s="510">
        <f t="shared" si="160"/>
        <v>0</v>
      </c>
      <c r="FC13" s="508"/>
      <c r="FD13" s="509">
        <f t="shared" si="51"/>
        <v>0</v>
      </c>
      <c r="FE13" s="510">
        <f t="shared" si="161"/>
        <v>0</v>
      </c>
      <c r="FF13" s="508"/>
      <c r="FG13" s="509">
        <f t="shared" si="52"/>
        <v>0</v>
      </c>
      <c r="FH13" s="510">
        <f t="shared" si="162"/>
        <v>0</v>
      </c>
      <c r="FI13" s="508"/>
      <c r="FJ13" s="509">
        <f t="shared" si="53"/>
        <v>0</v>
      </c>
      <c r="FK13" s="510">
        <f t="shared" si="163"/>
        <v>0</v>
      </c>
      <c r="FL13" s="508"/>
      <c r="FM13" s="509">
        <f t="shared" si="54"/>
        <v>0</v>
      </c>
      <c r="FN13" s="510">
        <f t="shared" si="164"/>
        <v>0</v>
      </c>
      <c r="FO13" s="508"/>
      <c r="FP13" s="509">
        <f t="shared" si="55"/>
        <v>0</v>
      </c>
      <c r="FQ13" s="510">
        <f t="shared" si="165"/>
        <v>0</v>
      </c>
      <c r="FR13" s="508"/>
      <c r="FS13" s="509">
        <f t="shared" si="56"/>
        <v>0</v>
      </c>
      <c r="FT13" s="510">
        <f t="shared" si="166"/>
        <v>0</v>
      </c>
      <c r="FU13" s="508"/>
      <c r="FV13" s="509">
        <f t="shared" si="57"/>
        <v>0</v>
      </c>
      <c r="FW13" s="510">
        <f t="shared" si="167"/>
        <v>0</v>
      </c>
      <c r="FX13" s="508"/>
      <c r="FY13" s="509">
        <f t="shared" si="58"/>
        <v>0</v>
      </c>
      <c r="FZ13" s="510">
        <f t="shared" si="168"/>
        <v>0</v>
      </c>
      <c r="GA13" s="508"/>
      <c r="GB13" s="509">
        <f t="shared" si="59"/>
        <v>0</v>
      </c>
      <c r="GC13" s="510">
        <f t="shared" si="169"/>
        <v>0</v>
      </c>
      <c r="GD13" s="508"/>
      <c r="GE13" s="509">
        <f t="shared" si="60"/>
        <v>0</v>
      </c>
      <c r="GF13" s="510">
        <f t="shared" si="170"/>
        <v>0</v>
      </c>
      <c r="GG13" s="508"/>
      <c r="GH13" s="509">
        <f t="shared" si="61"/>
        <v>0</v>
      </c>
      <c r="GI13" s="510">
        <f t="shared" si="171"/>
        <v>0</v>
      </c>
      <c r="GJ13" s="508"/>
      <c r="GK13" s="509">
        <f t="shared" si="62"/>
        <v>0</v>
      </c>
      <c r="GL13" s="510">
        <f t="shared" si="172"/>
        <v>0</v>
      </c>
      <c r="GM13" s="508"/>
      <c r="GN13" s="509">
        <f t="shared" si="63"/>
        <v>0</v>
      </c>
      <c r="GO13" s="510">
        <f t="shared" si="173"/>
        <v>0</v>
      </c>
      <c r="GP13" s="508"/>
      <c r="GQ13" s="509">
        <f t="shared" si="64"/>
        <v>0</v>
      </c>
      <c r="GR13" s="510">
        <f t="shared" si="174"/>
        <v>0</v>
      </c>
      <c r="GS13" s="508"/>
      <c r="GT13" s="509">
        <f t="shared" si="65"/>
        <v>0</v>
      </c>
      <c r="GU13" s="510">
        <f t="shared" si="175"/>
        <v>0</v>
      </c>
      <c r="GV13" s="508"/>
      <c r="GW13" s="509">
        <f t="shared" si="66"/>
        <v>0</v>
      </c>
      <c r="GX13" s="510">
        <f t="shared" si="176"/>
        <v>0</v>
      </c>
      <c r="GY13" s="508"/>
      <c r="GZ13" s="509">
        <f t="shared" si="67"/>
        <v>0</v>
      </c>
      <c r="HA13" s="510">
        <f t="shared" si="177"/>
        <v>0</v>
      </c>
      <c r="HB13" s="508"/>
      <c r="HC13" s="509">
        <f t="shared" si="68"/>
        <v>0</v>
      </c>
      <c r="HD13" s="510">
        <f t="shared" si="178"/>
        <v>0</v>
      </c>
      <c r="HE13" s="508"/>
      <c r="HF13" s="509">
        <f t="shared" si="69"/>
        <v>0</v>
      </c>
      <c r="HG13" s="510">
        <f t="shared" si="179"/>
        <v>0</v>
      </c>
      <c r="HH13" s="508"/>
      <c r="HI13" s="509">
        <f t="shared" si="70"/>
        <v>0</v>
      </c>
      <c r="HJ13" s="510">
        <f t="shared" si="180"/>
        <v>0</v>
      </c>
      <c r="HK13" s="508"/>
      <c r="HL13" s="509">
        <f t="shared" si="71"/>
        <v>0</v>
      </c>
      <c r="HM13" s="510">
        <f t="shared" si="181"/>
        <v>0</v>
      </c>
      <c r="HN13" s="508"/>
      <c r="HO13" s="509">
        <f t="shared" si="72"/>
        <v>0</v>
      </c>
      <c r="HP13" s="510">
        <f t="shared" si="182"/>
        <v>0</v>
      </c>
      <c r="HQ13" s="508"/>
      <c r="HR13" s="509">
        <f t="shared" si="73"/>
        <v>0</v>
      </c>
      <c r="HS13" s="510">
        <f t="shared" si="183"/>
        <v>0</v>
      </c>
      <c r="HT13" s="508"/>
      <c r="HU13" s="509">
        <f t="shared" si="74"/>
        <v>0</v>
      </c>
      <c r="HV13" s="510">
        <f t="shared" si="184"/>
        <v>0</v>
      </c>
      <c r="HW13" s="508"/>
      <c r="HX13" s="509">
        <f t="shared" si="75"/>
        <v>0</v>
      </c>
      <c r="HY13" s="510">
        <f t="shared" si="185"/>
        <v>0</v>
      </c>
      <c r="HZ13" s="508"/>
      <c r="IA13" s="509">
        <f t="shared" si="76"/>
        <v>0</v>
      </c>
      <c r="IB13" s="510">
        <f t="shared" si="186"/>
        <v>0</v>
      </c>
      <c r="IC13" s="508"/>
      <c r="ID13" s="509">
        <f t="shared" si="77"/>
        <v>0</v>
      </c>
      <c r="IE13" s="510">
        <f t="shared" si="187"/>
        <v>0</v>
      </c>
      <c r="IF13" s="508"/>
      <c r="IG13" s="509">
        <f t="shared" si="78"/>
        <v>0</v>
      </c>
      <c r="IH13" s="510">
        <f t="shared" si="188"/>
        <v>0</v>
      </c>
      <c r="II13" s="508"/>
      <c r="IJ13" s="509">
        <f t="shared" si="79"/>
        <v>0</v>
      </c>
      <c r="IK13" s="510">
        <f t="shared" si="189"/>
        <v>0</v>
      </c>
      <c r="IL13" s="508"/>
      <c r="IM13" s="509">
        <f t="shared" si="80"/>
        <v>0</v>
      </c>
      <c r="IN13" s="510">
        <f t="shared" si="190"/>
        <v>0</v>
      </c>
      <c r="IO13" s="508"/>
      <c r="IP13" s="509">
        <f t="shared" si="81"/>
        <v>0</v>
      </c>
      <c r="IQ13" s="510">
        <f t="shared" si="191"/>
        <v>0</v>
      </c>
      <c r="IR13" s="508"/>
      <c r="IS13" s="509">
        <f t="shared" si="82"/>
        <v>0</v>
      </c>
      <c r="IT13" s="510">
        <f t="shared" si="192"/>
        <v>0</v>
      </c>
      <c r="IU13" s="508"/>
      <c r="IV13" s="509">
        <f t="shared" si="83"/>
        <v>0</v>
      </c>
      <c r="IW13" s="510">
        <f t="shared" si="193"/>
        <v>0</v>
      </c>
      <c r="IX13" s="508"/>
      <c r="IY13" s="509">
        <f t="shared" si="84"/>
        <v>0</v>
      </c>
      <c r="IZ13" s="510">
        <f t="shared" si="194"/>
        <v>0</v>
      </c>
      <c r="JA13" s="508"/>
      <c r="JB13" s="509">
        <f t="shared" si="85"/>
        <v>0</v>
      </c>
      <c r="JC13" s="510">
        <f t="shared" si="195"/>
        <v>0</v>
      </c>
      <c r="JD13" s="508"/>
      <c r="JE13" s="509">
        <f t="shared" si="86"/>
        <v>0</v>
      </c>
      <c r="JF13" s="510">
        <f t="shared" si="196"/>
        <v>0</v>
      </c>
      <c r="JG13" s="508"/>
      <c r="JH13" s="509">
        <f t="shared" si="87"/>
        <v>0</v>
      </c>
      <c r="JI13" s="510">
        <f t="shared" si="197"/>
        <v>0</v>
      </c>
      <c r="JJ13" s="508"/>
      <c r="JK13" s="510">
        <f t="shared" si="198"/>
        <v>0</v>
      </c>
      <c r="JL13" s="510" t="str">
        <f t="shared" si="88"/>
        <v>0</v>
      </c>
      <c r="JM13" s="508"/>
      <c r="JN13" s="510" t="str">
        <f t="shared" si="89"/>
        <v>0</v>
      </c>
      <c r="JO13" s="510" t="str">
        <f t="shared" si="90"/>
        <v>0</v>
      </c>
      <c r="JP13" s="508"/>
      <c r="JQ13" s="510" t="str">
        <f t="shared" si="91"/>
        <v>0</v>
      </c>
      <c r="JR13" s="510" t="str">
        <f t="shared" si="92"/>
        <v>0</v>
      </c>
      <c r="JS13" s="508"/>
      <c r="JT13" s="510" t="str">
        <f t="shared" si="93"/>
        <v>0</v>
      </c>
      <c r="JU13" s="510" t="str">
        <f t="shared" si="94"/>
        <v>0</v>
      </c>
      <c r="JV13" s="508"/>
      <c r="JW13" s="510" t="str">
        <f t="shared" si="95"/>
        <v>0</v>
      </c>
      <c r="JX13" s="510" t="str">
        <f t="shared" si="96"/>
        <v>0</v>
      </c>
      <c r="JY13" s="508"/>
      <c r="JZ13" s="510" t="str">
        <f t="shared" si="97"/>
        <v>0</v>
      </c>
      <c r="KA13" s="510" t="str">
        <f t="shared" si="98"/>
        <v>0</v>
      </c>
      <c r="KB13" s="508"/>
      <c r="KC13" s="510" t="str">
        <f t="shared" si="99"/>
        <v>0</v>
      </c>
      <c r="KD13" s="510" t="str">
        <f t="shared" si="100"/>
        <v>0</v>
      </c>
      <c r="KE13" s="508"/>
      <c r="KF13" s="510" t="str">
        <f t="shared" si="101"/>
        <v>0</v>
      </c>
      <c r="KG13" s="510" t="str">
        <f t="shared" si="102"/>
        <v>0</v>
      </c>
      <c r="KH13" s="508"/>
      <c r="KI13" s="510" t="str">
        <f t="shared" si="103"/>
        <v>0</v>
      </c>
      <c r="KJ13" s="510" t="str">
        <f t="shared" si="104"/>
        <v>0</v>
      </c>
      <c r="KK13" s="508"/>
      <c r="KL13" s="510" t="str">
        <f t="shared" si="105"/>
        <v>0</v>
      </c>
      <c r="KM13" s="510" t="str">
        <f t="shared" si="106"/>
        <v>0</v>
      </c>
      <c r="KN13" s="508"/>
      <c r="KO13" s="510" t="str">
        <f t="shared" si="107"/>
        <v>0</v>
      </c>
      <c r="KP13" s="510" t="str">
        <f t="shared" si="108"/>
        <v>0</v>
      </c>
      <c r="KQ13" s="508"/>
      <c r="KR13" s="510" t="str">
        <f t="shared" si="109"/>
        <v>0</v>
      </c>
      <c r="KS13" s="510" t="str">
        <f t="shared" si="110"/>
        <v>0</v>
      </c>
      <c r="KT13" s="510">
        <f t="shared" si="201"/>
        <v>0</v>
      </c>
      <c r="KU13" s="510">
        <f t="shared" si="202"/>
        <v>0</v>
      </c>
      <c r="KV13" s="261">
        <f t="shared" si="199"/>
        <v>446.57501446911505</v>
      </c>
    </row>
    <row r="14" spans="1:308" ht="15" customHeight="1">
      <c r="A14" s="467">
        <f t="shared" si="200"/>
        <v>45843</v>
      </c>
      <c r="B14" s="468" t="str">
        <f>+Report1!B13</f>
        <v>Facial</v>
      </c>
      <c r="C14" s="469" t="str">
        <f>+Report1!C13</f>
        <v>11,5/12/13</v>
      </c>
      <c r="D14" s="470">
        <f>+Report1!P13</f>
        <v>44.183000000000007</v>
      </c>
      <c r="E14" s="471">
        <f>+Report1!R13</f>
        <v>41.948999999999998</v>
      </c>
      <c r="F14" s="508"/>
      <c r="G14" s="509">
        <f t="shared" si="0"/>
        <v>0</v>
      </c>
      <c r="H14" s="510">
        <f t="shared" si="111"/>
        <v>0</v>
      </c>
      <c r="I14" s="508">
        <v>139.60848372093039</v>
      </c>
      <c r="J14" s="509">
        <f t="shared" si="1"/>
        <v>3.3280527240442059</v>
      </c>
      <c r="K14" s="510">
        <f t="shared" si="112"/>
        <v>0</v>
      </c>
      <c r="L14" s="508"/>
      <c r="M14" s="509">
        <f t="shared" si="2"/>
        <v>0</v>
      </c>
      <c r="N14" s="510">
        <f t="shared" si="113"/>
        <v>0</v>
      </c>
      <c r="O14" s="508">
        <v>22.500000000000014</v>
      </c>
      <c r="P14" s="509">
        <f t="shared" si="3"/>
        <v>0.5363655867839523</v>
      </c>
      <c r="Q14" s="510">
        <f t="shared" si="114"/>
        <v>0</v>
      </c>
      <c r="R14" s="508">
        <v>11.531249999999986</v>
      </c>
      <c r="S14" s="509">
        <f t="shared" si="4"/>
        <v>0.27488736322677504</v>
      </c>
      <c r="T14" s="510">
        <f t="shared" si="115"/>
        <v>0</v>
      </c>
      <c r="U14" s="508">
        <v>4.6874999999999858</v>
      </c>
      <c r="V14" s="509">
        <f t="shared" si="5"/>
        <v>0.11174283057998965</v>
      </c>
      <c r="W14" s="510">
        <f t="shared" si="116"/>
        <v>0</v>
      </c>
      <c r="X14" s="508"/>
      <c r="Y14" s="509">
        <f t="shared" si="6"/>
        <v>0</v>
      </c>
      <c r="Z14" s="510">
        <f t="shared" si="117"/>
        <v>0</v>
      </c>
      <c r="AA14" s="508"/>
      <c r="AB14" s="509">
        <f t="shared" si="7"/>
        <v>0</v>
      </c>
      <c r="AC14" s="510">
        <f t="shared" si="118"/>
        <v>0</v>
      </c>
      <c r="AD14" s="508"/>
      <c r="AE14" s="509">
        <f t="shared" si="8"/>
        <v>0</v>
      </c>
      <c r="AF14" s="510">
        <f t="shared" si="119"/>
        <v>0</v>
      </c>
      <c r="AG14" s="508"/>
      <c r="AH14" s="509">
        <f t="shared" si="9"/>
        <v>0</v>
      </c>
      <c r="AI14" s="510">
        <f t="shared" si="120"/>
        <v>0</v>
      </c>
      <c r="AJ14" s="508"/>
      <c r="AK14" s="509">
        <f t="shared" si="10"/>
        <v>0</v>
      </c>
      <c r="AL14" s="510">
        <f t="shared" si="121"/>
        <v>0</v>
      </c>
      <c r="AM14" s="508">
        <v>45.401212820512796</v>
      </c>
      <c r="AN14" s="509">
        <f t="shared" si="11"/>
        <v>1.0822954735634414</v>
      </c>
      <c r="AO14" s="510">
        <f t="shared" si="122"/>
        <v>0</v>
      </c>
      <c r="AP14" s="508"/>
      <c r="AQ14" s="509">
        <f t="shared" si="12"/>
        <v>0</v>
      </c>
      <c r="AR14" s="510">
        <f t="shared" si="123"/>
        <v>0</v>
      </c>
      <c r="AS14" s="508"/>
      <c r="AT14" s="509">
        <f t="shared" si="13"/>
        <v>0</v>
      </c>
      <c r="AU14" s="510">
        <f t="shared" si="124"/>
        <v>0</v>
      </c>
      <c r="AV14" s="508">
        <v>11.099999999999994</v>
      </c>
      <c r="AW14" s="509">
        <f t="shared" si="14"/>
        <v>0.26460702281341619</v>
      </c>
      <c r="AX14" s="510">
        <f t="shared" si="125"/>
        <v>0</v>
      </c>
      <c r="AY14" s="508">
        <v>66.062133333333293</v>
      </c>
      <c r="AZ14" s="509">
        <f t="shared" si="15"/>
        <v>1.5748202182014659</v>
      </c>
      <c r="BA14" s="510">
        <f t="shared" si="126"/>
        <v>0</v>
      </c>
      <c r="BB14" s="508"/>
      <c r="BC14" s="509">
        <f t="shared" si="16"/>
        <v>0</v>
      </c>
      <c r="BD14" s="510">
        <f t="shared" si="127"/>
        <v>0</v>
      </c>
      <c r="BE14" s="508"/>
      <c r="BF14" s="509">
        <f t="shared" si="17"/>
        <v>0</v>
      </c>
      <c r="BG14" s="510">
        <f t="shared" si="128"/>
        <v>0</v>
      </c>
      <c r="BH14" s="508"/>
      <c r="BI14" s="509">
        <f t="shared" si="18"/>
        <v>0</v>
      </c>
      <c r="BJ14" s="510">
        <f t="shared" si="129"/>
        <v>0</v>
      </c>
      <c r="BK14" s="508"/>
      <c r="BL14" s="509">
        <f t="shared" si="19"/>
        <v>0</v>
      </c>
      <c r="BM14" s="510">
        <f t="shared" si="130"/>
        <v>0</v>
      </c>
      <c r="BN14" s="508"/>
      <c r="BO14" s="509">
        <f t="shared" si="20"/>
        <v>0</v>
      </c>
      <c r="BP14" s="510">
        <f t="shared" si="131"/>
        <v>0</v>
      </c>
      <c r="BQ14" s="508">
        <v>10.26</v>
      </c>
      <c r="BR14" s="509">
        <f t="shared" si="21"/>
        <v>0.24458270757348211</v>
      </c>
      <c r="BS14" s="510">
        <f t="shared" si="132"/>
        <v>0</v>
      </c>
      <c r="BT14" s="508"/>
      <c r="BU14" s="509">
        <f t="shared" si="22"/>
        <v>0</v>
      </c>
      <c r="BV14" s="510">
        <f t="shared" si="133"/>
        <v>0</v>
      </c>
      <c r="BW14" s="508"/>
      <c r="BX14" s="509">
        <f t="shared" si="23"/>
        <v>0</v>
      </c>
      <c r="BY14" s="510">
        <f t="shared" si="134"/>
        <v>0</v>
      </c>
      <c r="BZ14" s="508"/>
      <c r="CA14" s="509">
        <f t="shared" si="24"/>
        <v>0</v>
      </c>
      <c r="CB14" s="510">
        <f t="shared" si="135"/>
        <v>0</v>
      </c>
      <c r="CC14" s="508"/>
      <c r="CD14" s="509">
        <f t="shared" si="25"/>
        <v>0</v>
      </c>
      <c r="CE14" s="510">
        <f t="shared" si="136"/>
        <v>0</v>
      </c>
      <c r="CF14" s="508">
        <v>4.9000000000000004</v>
      </c>
      <c r="CG14" s="509">
        <f t="shared" si="26"/>
        <v>0.11680850556628287</v>
      </c>
      <c r="CH14" s="510">
        <f t="shared" si="137"/>
        <v>0</v>
      </c>
      <c r="CI14" s="508"/>
      <c r="CJ14" s="509">
        <f t="shared" si="27"/>
        <v>0</v>
      </c>
      <c r="CK14" s="510">
        <f t="shared" si="138"/>
        <v>0</v>
      </c>
      <c r="CL14" s="508"/>
      <c r="CM14" s="509">
        <f t="shared" si="28"/>
        <v>0</v>
      </c>
      <c r="CN14" s="510">
        <f t="shared" si="139"/>
        <v>0</v>
      </c>
      <c r="CO14" s="508"/>
      <c r="CP14" s="509">
        <f t="shared" si="29"/>
        <v>0</v>
      </c>
      <c r="CQ14" s="510">
        <f t="shared" si="140"/>
        <v>0</v>
      </c>
      <c r="CR14" s="508"/>
      <c r="CS14" s="509">
        <f t="shared" si="30"/>
        <v>0</v>
      </c>
      <c r="CT14" s="510">
        <f t="shared" si="141"/>
        <v>0</v>
      </c>
      <c r="CU14" s="508"/>
      <c r="CV14" s="509">
        <f t="shared" si="31"/>
        <v>0</v>
      </c>
      <c r="CW14" s="510">
        <f t="shared" si="142"/>
        <v>0</v>
      </c>
      <c r="CX14" s="508"/>
      <c r="CY14" s="509">
        <f t="shared" si="32"/>
        <v>0</v>
      </c>
      <c r="CZ14" s="510">
        <f t="shared" si="143"/>
        <v>0</v>
      </c>
      <c r="DA14" s="508"/>
      <c r="DB14" s="509">
        <f t="shared" si="33"/>
        <v>0</v>
      </c>
      <c r="DC14" s="510">
        <f t="shared" si="144"/>
        <v>0</v>
      </c>
      <c r="DD14" s="508"/>
      <c r="DE14" s="509">
        <f t="shared" si="34"/>
        <v>0</v>
      </c>
      <c r="DF14" s="510">
        <f t="shared" si="145"/>
        <v>0</v>
      </c>
      <c r="DG14" s="508"/>
      <c r="DH14" s="509">
        <f t="shared" si="35"/>
        <v>0</v>
      </c>
      <c r="DI14" s="510">
        <v>0</v>
      </c>
      <c r="DJ14" s="508"/>
      <c r="DK14" s="509">
        <f t="shared" si="36"/>
        <v>0</v>
      </c>
      <c r="DL14" s="510">
        <f t="shared" si="146"/>
        <v>0</v>
      </c>
      <c r="DM14" s="508"/>
      <c r="DN14" s="509">
        <f t="shared" si="37"/>
        <v>0</v>
      </c>
      <c r="DO14" s="510">
        <f t="shared" si="147"/>
        <v>0</v>
      </c>
      <c r="DP14" s="508"/>
      <c r="DQ14" s="509">
        <f t="shared" si="38"/>
        <v>0</v>
      </c>
      <c r="DR14" s="510">
        <f t="shared" si="148"/>
        <v>0</v>
      </c>
      <c r="DS14" s="508"/>
      <c r="DT14" s="509">
        <f t="shared" si="39"/>
        <v>0</v>
      </c>
      <c r="DU14" s="510">
        <f t="shared" si="149"/>
        <v>0</v>
      </c>
      <c r="DV14" s="508"/>
      <c r="DW14" s="509">
        <f t="shared" si="40"/>
        <v>0</v>
      </c>
      <c r="DX14" s="510">
        <f t="shared" si="150"/>
        <v>0</v>
      </c>
      <c r="DY14" s="508"/>
      <c r="DZ14" s="509">
        <f t="shared" si="41"/>
        <v>0</v>
      </c>
      <c r="EA14" s="510">
        <f t="shared" si="151"/>
        <v>0</v>
      </c>
      <c r="EB14" s="508">
        <v>52.835294117646981</v>
      </c>
      <c r="EC14" s="509">
        <f t="shared" si="42"/>
        <v>1.2595126014361959</v>
      </c>
      <c r="ED14" s="510">
        <f t="shared" si="152"/>
        <v>0</v>
      </c>
      <c r="EE14" s="508">
        <v>14.534883720930168</v>
      </c>
      <c r="EF14" s="509">
        <f t="shared" si="43"/>
        <v>0.34648939714725424</v>
      </c>
      <c r="EG14" s="510">
        <f t="shared" si="153"/>
        <v>0</v>
      </c>
      <c r="EH14" s="508">
        <v>4.2</v>
      </c>
      <c r="EI14" s="509">
        <f t="shared" si="44"/>
        <v>0.10012157619967103</v>
      </c>
      <c r="EJ14" s="510">
        <f t="shared" si="154"/>
        <v>0</v>
      </c>
      <c r="EK14" s="508"/>
      <c r="EL14" s="509">
        <f t="shared" si="45"/>
        <v>0</v>
      </c>
      <c r="EM14" s="510">
        <f t="shared" si="155"/>
        <v>0</v>
      </c>
      <c r="EN14" s="508"/>
      <c r="EO14" s="509">
        <f t="shared" si="46"/>
        <v>0</v>
      </c>
      <c r="EP14" s="510">
        <f t="shared" si="156"/>
        <v>0</v>
      </c>
      <c r="EQ14" s="508"/>
      <c r="ER14" s="509">
        <f t="shared" si="47"/>
        <v>0</v>
      </c>
      <c r="ES14" s="510">
        <f t="shared" si="157"/>
        <v>0</v>
      </c>
      <c r="ET14" s="508"/>
      <c r="EU14" s="509">
        <f t="shared" si="48"/>
        <v>0</v>
      </c>
      <c r="EV14" s="510">
        <f t="shared" si="158"/>
        <v>0</v>
      </c>
      <c r="EW14" s="508"/>
      <c r="EX14" s="509">
        <f t="shared" si="49"/>
        <v>0</v>
      </c>
      <c r="EY14" s="510">
        <f t="shared" si="159"/>
        <v>0</v>
      </c>
      <c r="EZ14" s="508"/>
      <c r="FA14" s="509">
        <f t="shared" si="50"/>
        <v>0</v>
      </c>
      <c r="FB14" s="510">
        <f t="shared" si="160"/>
        <v>0</v>
      </c>
      <c r="FC14" s="508"/>
      <c r="FD14" s="509">
        <f t="shared" si="51"/>
        <v>0</v>
      </c>
      <c r="FE14" s="510">
        <f t="shared" si="161"/>
        <v>0</v>
      </c>
      <c r="FF14" s="508"/>
      <c r="FG14" s="509">
        <f t="shared" si="52"/>
        <v>0</v>
      </c>
      <c r="FH14" s="510">
        <f t="shared" si="162"/>
        <v>0</v>
      </c>
      <c r="FI14" s="508"/>
      <c r="FJ14" s="509">
        <f t="shared" si="53"/>
        <v>0</v>
      </c>
      <c r="FK14" s="510">
        <f t="shared" si="163"/>
        <v>0</v>
      </c>
      <c r="FL14" s="508"/>
      <c r="FM14" s="509">
        <f t="shared" si="54"/>
        <v>0</v>
      </c>
      <c r="FN14" s="510">
        <f t="shared" si="164"/>
        <v>0</v>
      </c>
      <c r="FO14" s="508"/>
      <c r="FP14" s="509">
        <f t="shared" si="55"/>
        <v>0</v>
      </c>
      <c r="FQ14" s="510">
        <f t="shared" si="165"/>
        <v>0</v>
      </c>
      <c r="FR14" s="508"/>
      <c r="FS14" s="509">
        <f t="shared" si="56"/>
        <v>0</v>
      </c>
      <c r="FT14" s="510">
        <f t="shared" si="166"/>
        <v>0</v>
      </c>
      <c r="FU14" s="508"/>
      <c r="FV14" s="509">
        <f t="shared" si="57"/>
        <v>0</v>
      </c>
      <c r="FW14" s="510">
        <f t="shared" si="167"/>
        <v>0</v>
      </c>
      <c r="FX14" s="508"/>
      <c r="FY14" s="509">
        <f t="shared" si="58"/>
        <v>0</v>
      </c>
      <c r="FZ14" s="510">
        <f t="shared" si="168"/>
        <v>0</v>
      </c>
      <c r="GA14" s="508"/>
      <c r="GB14" s="509">
        <f t="shared" si="59"/>
        <v>0</v>
      </c>
      <c r="GC14" s="510">
        <f t="shared" si="169"/>
        <v>0</v>
      </c>
      <c r="GD14" s="508"/>
      <c r="GE14" s="509">
        <f t="shared" si="60"/>
        <v>0</v>
      </c>
      <c r="GF14" s="510">
        <f t="shared" si="170"/>
        <v>0</v>
      </c>
      <c r="GG14" s="508"/>
      <c r="GH14" s="509">
        <f t="shared" si="61"/>
        <v>0</v>
      </c>
      <c r="GI14" s="510">
        <f t="shared" si="171"/>
        <v>0</v>
      </c>
      <c r="GJ14" s="508"/>
      <c r="GK14" s="509">
        <f t="shared" si="62"/>
        <v>0</v>
      </c>
      <c r="GL14" s="510">
        <f t="shared" si="172"/>
        <v>0</v>
      </c>
      <c r="GM14" s="508"/>
      <c r="GN14" s="509">
        <f t="shared" si="63"/>
        <v>0</v>
      </c>
      <c r="GO14" s="510">
        <f t="shared" si="173"/>
        <v>0</v>
      </c>
      <c r="GP14" s="508"/>
      <c r="GQ14" s="509">
        <f t="shared" si="64"/>
        <v>0</v>
      </c>
      <c r="GR14" s="510">
        <f t="shared" si="174"/>
        <v>0</v>
      </c>
      <c r="GS14" s="508"/>
      <c r="GT14" s="509">
        <f t="shared" si="65"/>
        <v>0</v>
      </c>
      <c r="GU14" s="510">
        <f t="shared" si="175"/>
        <v>0</v>
      </c>
      <c r="GV14" s="508"/>
      <c r="GW14" s="509">
        <f t="shared" si="66"/>
        <v>0</v>
      </c>
      <c r="GX14" s="510">
        <f t="shared" si="176"/>
        <v>0</v>
      </c>
      <c r="GY14" s="508"/>
      <c r="GZ14" s="509">
        <f t="shared" si="67"/>
        <v>0</v>
      </c>
      <c r="HA14" s="510">
        <f t="shared" si="177"/>
        <v>0</v>
      </c>
      <c r="HB14" s="508"/>
      <c r="HC14" s="509">
        <f t="shared" si="68"/>
        <v>0</v>
      </c>
      <c r="HD14" s="510">
        <f t="shared" si="178"/>
        <v>0</v>
      </c>
      <c r="HE14" s="508"/>
      <c r="HF14" s="509">
        <f t="shared" si="69"/>
        <v>0</v>
      </c>
      <c r="HG14" s="510">
        <f t="shared" si="179"/>
        <v>0</v>
      </c>
      <c r="HH14" s="508"/>
      <c r="HI14" s="509">
        <f t="shared" si="70"/>
        <v>0</v>
      </c>
      <c r="HJ14" s="510">
        <f t="shared" si="180"/>
        <v>0</v>
      </c>
      <c r="HK14" s="508"/>
      <c r="HL14" s="509">
        <f t="shared" si="71"/>
        <v>0</v>
      </c>
      <c r="HM14" s="510">
        <f t="shared" si="181"/>
        <v>0</v>
      </c>
      <c r="HN14" s="508"/>
      <c r="HO14" s="509">
        <f t="shared" si="72"/>
        <v>0</v>
      </c>
      <c r="HP14" s="510">
        <f t="shared" si="182"/>
        <v>0</v>
      </c>
      <c r="HQ14" s="508"/>
      <c r="HR14" s="509">
        <f t="shared" si="73"/>
        <v>0</v>
      </c>
      <c r="HS14" s="510">
        <f t="shared" si="183"/>
        <v>0</v>
      </c>
      <c r="HT14" s="508"/>
      <c r="HU14" s="509">
        <f t="shared" si="74"/>
        <v>0</v>
      </c>
      <c r="HV14" s="510">
        <f t="shared" si="184"/>
        <v>0</v>
      </c>
      <c r="HW14" s="508"/>
      <c r="HX14" s="509">
        <f t="shared" si="75"/>
        <v>0</v>
      </c>
      <c r="HY14" s="510">
        <f t="shared" si="185"/>
        <v>0</v>
      </c>
      <c r="HZ14" s="508"/>
      <c r="IA14" s="509">
        <f t="shared" si="76"/>
        <v>0</v>
      </c>
      <c r="IB14" s="510">
        <f t="shared" si="186"/>
        <v>0</v>
      </c>
      <c r="IC14" s="508"/>
      <c r="ID14" s="509">
        <f t="shared" si="77"/>
        <v>0</v>
      </c>
      <c r="IE14" s="510">
        <f t="shared" si="187"/>
        <v>0</v>
      </c>
      <c r="IF14" s="508"/>
      <c r="IG14" s="509">
        <f t="shared" si="78"/>
        <v>0</v>
      </c>
      <c r="IH14" s="510">
        <f t="shared" si="188"/>
        <v>0</v>
      </c>
      <c r="II14" s="508"/>
      <c r="IJ14" s="509">
        <f t="shared" si="79"/>
        <v>0</v>
      </c>
      <c r="IK14" s="510">
        <f t="shared" si="189"/>
        <v>0</v>
      </c>
      <c r="IL14" s="508"/>
      <c r="IM14" s="509">
        <f t="shared" si="80"/>
        <v>0</v>
      </c>
      <c r="IN14" s="510">
        <f t="shared" si="190"/>
        <v>0</v>
      </c>
      <c r="IO14" s="508"/>
      <c r="IP14" s="509">
        <f t="shared" si="81"/>
        <v>0</v>
      </c>
      <c r="IQ14" s="510">
        <f t="shared" si="191"/>
        <v>0</v>
      </c>
      <c r="IR14" s="508"/>
      <c r="IS14" s="509">
        <f t="shared" si="82"/>
        <v>0</v>
      </c>
      <c r="IT14" s="510">
        <f t="shared" si="192"/>
        <v>0</v>
      </c>
      <c r="IU14" s="508"/>
      <c r="IV14" s="509">
        <f t="shared" si="83"/>
        <v>0</v>
      </c>
      <c r="IW14" s="510">
        <f t="shared" si="193"/>
        <v>0</v>
      </c>
      <c r="IX14" s="508"/>
      <c r="IY14" s="509">
        <f t="shared" si="84"/>
        <v>0</v>
      </c>
      <c r="IZ14" s="510">
        <f t="shared" si="194"/>
        <v>0</v>
      </c>
      <c r="JA14" s="508"/>
      <c r="JB14" s="509">
        <f t="shared" si="85"/>
        <v>0</v>
      </c>
      <c r="JC14" s="510">
        <f t="shared" si="195"/>
        <v>0</v>
      </c>
      <c r="JD14" s="508"/>
      <c r="JE14" s="509">
        <f t="shared" si="86"/>
        <v>0</v>
      </c>
      <c r="JF14" s="510">
        <f t="shared" si="196"/>
        <v>0</v>
      </c>
      <c r="JG14" s="508"/>
      <c r="JH14" s="509">
        <f t="shared" si="87"/>
        <v>0</v>
      </c>
      <c r="JI14" s="510">
        <f t="shared" si="197"/>
        <v>0</v>
      </c>
      <c r="JJ14" s="508"/>
      <c r="JK14" s="510">
        <f t="shared" si="198"/>
        <v>0</v>
      </c>
      <c r="JL14" s="510" t="str">
        <f t="shared" si="88"/>
        <v>0</v>
      </c>
      <c r="JM14" s="508"/>
      <c r="JN14" s="510" t="str">
        <f t="shared" si="89"/>
        <v>0</v>
      </c>
      <c r="JO14" s="510" t="str">
        <f t="shared" si="90"/>
        <v>0</v>
      </c>
      <c r="JP14" s="508"/>
      <c r="JQ14" s="510" t="str">
        <f t="shared" si="91"/>
        <v>0</v>
      </c>
      <c r="JR14" s="510" t="str">
        <f t="shared" si="92"/>
        <v>0</v>
      </c>
      <c r="JS14" s="508"/>
      <c r="JT14" s="510" t="str">
        <f t="shared" si="93"/>
        <v>0</v>
      </c>
      <c r="JU14" s="510" t="str">
        <f t="shared" si="94"/>
        <v>0</v>
      </c>
      <c r="JV14" s="508"/>
      <c r="JW14" s="510" t="str">
        <f t="shared" si="95"/>
        <v>0</v>
      </c>
      <c r="JX14" s="510" t="str">
        <f t="shared" si="96"/>
        <v>0</v>
      </c>
      <c r="JY14" s="508"/>
      <c r="JZ14" s="510" t="str">
        <f t="shared" si="97"/>
        <v>0</v>
      </c>
      <c r="KA14" s="510" t="str">
        <f t="shared" si="98"/>
        <v>0</v>
      </c>
      <c r="KB14" s="508"/>
      <c r="KC14" s="510" t="str">
        <f t="shared" si="99"/>
        <v>0</v>
      </c>
      <c r="KD14" s="510" t="str">
        <f t="shared" si="100"/>
        <v>0</v>
      </c>
      <c r="KE14" s="508"/>
      <c r="KF14" s="510" t="str">
        <f t="shared" si="101"/>
        <v>0</v>
      </c>
      <c r="KG14" s="510" t="str">
        <f t="shared" si="102"/>
        <v>0</v>
      </c>
      <c r="KH14" s="508"/>
      <c r="KI14" s="510" t="str">
        <f t="shared" si="103"/>
        <v>0</v>
      </c>
      <c r="KJ14" s="510" t="str">
        <f t="shared" si="104"/>
        <v>0</v>
      </c>
      <c r="KK14" s="508"/>
      <c r="KL14" s="510" t="str">
        <f t="shared" si="105"/>
        <v>0</v>
      </c>
      <c r="KM14" s="510" t="str">
        <f t="shared" si="106"/>
        <v>0</v>
      </c>
      <c r="KN14" s="508"/>
      <c r="KO14" s="510" t="str">
        <f t="shared" si="107"/>
        <v>0</v>
      </c>
      <c r="KP14" s="510" t="str">
        <f t="shared" si="108"/>
        <v>0</v>
      </c>
      <c r="KQ14" s="508"/>
      <c r="KR14" s="510" t="str">
        <f t="shared" si="109"/>
        <v>0</v>
      </c>
      <c r="KS14" s="510" t="str">
        <f t="shared" si="110"/>
        <v>0</v>
      </c>
      <c r="KT14" s="510">
        <f t="shared" si="201"/>
        <v>0</v>
      </c>
      <c r="KU14" s="510">
        <f t="shared" si="202"/>
        <v>0</v>
      </c>
      <c r="KV14" s="261">
        <f t="shared" si="199"/>
        <v>387.62075771335356</v>
      </c>
    </row>
    <row r="15" spans="1:308" ht="15" customHeight="1">
      <c r="A15" s="467">
        <f t="shared" si="200"/>
        <v>45844</v>
      </c>
      <c r="B15" s="468" t="str">
        <f>+Report1!B14</f>
        <v>Facial/Toilet</v>
      </c>
      <c r="C15" s="469" t="str">
        <f>+Report1!C14</f>
        <v>13/13</v>
      </c>
      <c r="D15" s="470">
        <f>+Report1!P14</f>
        <v>47.881999999999998</v>
      </c>
      <c r="E15" s="471">
        <f>+Report1!R14</f>
        <v>45.878999999999998</v>
      </c>
      <c r="F15" s="508"/>
      <c r="G15" s="509">
        <f t="shared" si="0"/>
        <v>0</v>
      </c>
      <c r="H15" s="510">
        <f t="shared" si="111"/>
        <v>0</v>
      </c>
      <c r="I15" s="508">
        <v>151.28639999999996</v>
      </c>
      <c r="J15" s="509">
        <f t="shared" si="1"/>
        <v>3.2975086640946829</v>
      </c>
      <c r="K15" s="510">
        <f t="shared" si="112"/>
        <v>0</v>
      </c>
      <c r="L15" s="508"/>
      <c r="M15" s="509">
        <f t="shared" si="2"/>
        <v>0</v>
      </c>
      <c r="N15" s="510">
        <f t="shared" si="113"/>
        <v>0</v>
      </c>
      <c r="O15" s="508">
        <v>22.499999999999986</v>
      </c>
      <c r="P15" s="509">
        <f t="shared" si="3"/>
        <v>0.49042045380239296</v>
      </c>
      <c r="Q15" s="510">
        <f t="shared" si="114"/>
        <v>0</v>
      </c>
      <c r="R15" s="508">
        <v>11.53125</v>
      </c>
      <c r="S15" s="509">
        <f t="shared" si="4"/>
        <v>0.25134048257372654</v>
      </c>
      <c r="T15" s="510">
        <f t="shared" si="115"/>
        <v>0</v>
      </c>
      <c r="U15" s="508">
        <v>4.6875000000000142</v>
      </c>
      <c r="V15" s="509">
        <f t="shared" si="5"/>
        <v>0.1021709278754989</v>
      </c>
      <c r="W15" s="510">
        <f t="shared" si="116"/>
        <v>0</v>
      </c>
      <c r="X15" s="508"/>
      <c r="Y15" s="509">
        <f t="shared" si="6"/>
        <v>0</v>
      </c>
      <c r="Z15" s="510">
        <f t="shared" si="117"/>
        <v>0</v>
      </c>
      <c r="AA15" s="508"/>
      <c r="AB15" s="509">
        <f t="shared" si="7"/>
        <v>0</v>
      </c>
      <c r="AC15" s="510">
        <f t="shared" si="118"/>
        <v>0</v>
      </c>
      <c r="AD15" s="508"/>
      <c r="AE15" s="509">
        <f t="shared" si="8"/>
        <v>0</v>
      </c>
      <c r="AF15" s="510">
        <f t="shared" si="119"/>
        <v>0</v>
      </c>
      <c r="AG15" s="508"/>
      <c r="AH15" s="509">
        <f t="shared" si="9"/>
        <v>0</v>
      </c>
      <c r="AI15" s="510">
        <f t="shared" si="120"/>
        <v>0</v>
      </c>
      <c r="AJ15" s="508"/>
      <c r="AK15" s="509">
        <f t="shared" si="10"/>
        <v>0</v>
      </c>
      <c r="AL15" s="510">
        <f t="shared" si="121"/>
        <v>0</v>
      </c>
      <c r="AM15" s="508">
        <v>49.209299999999985</v>
      </c>
      <c r="AN15" s="509">
        <f t="shared" si="11"/>
        <v>1.072588766102138</v>
      </c>
      <c r="AO15" s="510">
        <f t="shared" si="122"/>
        <v>0</v>
      </c>
      <c r="AP15" s="508"/>
      <c r="AQ15" s="509">
        <f t="shared" si="12"/>
        <v>0</v>
      </c>
      <c r="AR15" s="510">
        <f t="shared" si="123"/>
        <v>0</v>
      </c>
      <c r="AS15" s="508"/>
      <c r="AT15" s="509">
        <f t="shared" si="13"/>
        <v>0</v>
      </c>
      <c r="AU15" s="510">
        <f t="shared" si="124"/>
        <v>0</v>
      </c>
      <c r="AV15" s="508">
        <v>11.100000000000023</v>
      </c>
      <c r="AW15" s="509">
        <f t="shared" si="14"/>
        <v>0.24194075720918118</v>
      </c>
      <c r="AX15" s="510">
        <f t="shared" si="125"/>
        <v>0</v>
      </c>
      <c r="AY15" s="508">
        <v>71.603600000000029</v>
      </c>
      <c r="AZ15" s="509">
        <f t="shared" si="15"/>
        <v>1.5607053335948915</v>
      </c>
      <c r="BA15" s="510">
        <f t="shared" si="126"/>
        <v>0</v>
      </c>
      <c r="BB15" s="508"/>
      <c r="BC15" s="509">
        <f t="shared" si="16"/>
        <v>0</v>
      </c>
      <c r="BD15" s="510">
        <f t="shared" si="127"/>
        <v>0</v>
      </c>
      <c r="BE15" s="508"/>
      <c r="BF15" s="509">
        <f t="shared" si="17"/>
        <v>0</v>
      </c>
      <c r="BG15" s="510">
        <f t="shared" si="128"/>
        <v>0</v>
      </c>
      <c r="BH15" s="508"/>
      <c r="BI15" s="509">
        <f t="shared" si="18"/>
        <v>0</v>
      </c>
      <c r="BJ15" s="510">
        <f t="shared" si="129"/>
        <v>0</v>
      </c>
      <c r="BK15" s="508"/>
      <c r="BL15" s="509">
        <f t="shared" si="19"/>
        <v>0</v>
      </c>
      <c r="BM15" s="510">
        <f t="shared" si="130"/>
        <v>0</v>
      </c>
      <c r="BN15" s="508"/>
      <c r="BO15" s="509">
        <f t="shared" si="20"/>
        <v>0</v>
      </c>
      <c r="BP15" s="510">
        <f t="shared" si="131"/>
        <v>0</v>
      </c>
      <c r="BQ15" s="508">
        <v>0</v>
      </c>
      <c r="BR15" s="509">
        <f t="shared" si="21"/>
        <v>0</v>
      </c>
      <c r="BS15" s="510">
        <f t="shared" si="132"/>
        <v>0</v>
      </c>
      <c r="BT15" s="508"/>
      <c r="BU15" s="509">
        <f t="shared" si="22"/>
        <v>0</v>
      </c>
      <c r="BV15" s="510">
        <f t="shared" si="133"/>
        <v>0</v>
      </c>
      <c r="BW15" s="508"/>
      <c r="BX15" s="509">
        <f t="shared" si="23"/>
        <v>0</v>
      </c>
      <c r="BY15" s="510">
        <f t="shared" si="134"/>
        <v>0</v>
      </c>
      <c r="BZ15" s="508"/>
      <c r="CA15" s="509">
        <f t="shared" si="24"/>
        <v>0</v>
      </c>
      <c r="CB15" s="510">
        <f t="shared" si="135"/>
        <v>0</v>
      </c>
      <c r="CC15" s="508"/>
      <c r="CD15" s="509">
        <f t="shared" si="25"/>
        <v>0</v>
      </c>
      <c r="CE15" s="510">
        <f t="shared" si="136"/>
        <v>0</v>
      </c>
      <c r="CF15" s="508">
        <v>4.9000000000000004</v>
      </c>
      <c r="CG15" s="509">
        <f t="shared" si="26"/>
        <v>0.10680267660585455</v>
      </c>
      <c r="CH15" s="510">
        <f t="shared" si="137"/>
        <v>0</v>
      </c>
      <c r="CI15" s="508"/>
      <c r="CJ15" s="509">
        <f t="shared" si="27"/>
        <v>0</v>
      </c>
      <c r="CK15" s="510">
        <f t="shared" si="138"/>
        <v>0</v>
      </c>
      <c r="CL15" s="508"/>
      <c r="CM15" s="509">
        <f t="shared" si="28"/>
        <v>0</v>
      </c>
      <c r="CN15" s="510">
        <f t="shared" si="139"/>
        <v>0</v>
      </c>
      <c r="CO15" s="508"/>
      <c r="CP15" s="509">
        <f t="shared" si="29"/>
        <v>0</v>
      </c>
      <c r="CQ15" s="510">
        <f t="shared" si="140"/>
        <v>0</v>
      </c>
      <c r="CR15" s="508"/>
      <c r="CS15" s="509">
        <f t="shared" si="30"/>
        <v>0</v>
      </c>
      <c r="CT15" s="510">
        <f t="shared" si="141"/>
        <v>0</v>
      </c>
      <c r="CU15" s="508"/>
      <c r="CV15" s="509">
        <f t="shared" si="31"/>
        <v>0</v>
      </c>
      <c r="CW15" s="510">
        <f t="shared" si="142"/>
        <v>0</v>
      </c>
      <c r="CX15" s="508"/>
      <c r="CY15" s="509">
        <f t="shared" si="32"/>
        <v>0</v>
      </c>
      <c r="CZ15" s="510">
        <f t="shared" si="143"/>
        <v>0</v>
      </c>
      <c r="DA15" s="508"/>
      <c r="DB15" s="509">
        <f t="shared" si="33"/>
        <v>0</v>
      </c>
      <c r="DC15" s="510">
        <f t="shared" si="144"/>
        <v>0</v>
      </c>
      <c r="DD15" s="508"/>
      <c r="DE15" s="509">
        <f t="shared" si="34"/>
        <v>0</v>
      </c>
      <c r="DF15" s="510">
        <f t="shared" si="145"/>
        <v>0</v>
      </c>
      <c r="DG15" s="508"/>
      <c r="DH15" s="509">
        <f t="shared" si="35"/>
        <v>0</v>
      </c>
      <c r="DI15" s="510">
        <f t="shared" ref="DI15:DI40" si="203">+DG15*$H$9</f>
        <v>0</v>
      </c>
      <c r="DJ15" s="508"/>
      <c r="DK15" s="509">
        <f t="shared" si="36"/>
        <v>0</v>
      </c>
      <c r="DL15" s="510">
        <f t="shared" si="146"/>
        <v>0</v>
      </c>
      <c r="DM15" s="508"/>
      <c r="DN15" s="509">
        <f t="shared" si="37"/>
        <v>0</v>
      </c>
      <c r="DO15" s="510">
        <f t="shared" si="147"/>
        <v>0</v>
      </c>
      <c r="DP15" s="508"/>
      <c r="DQ15" s="509">
        <f t="shared" si="38"/>
        <v>0</v>
      </c>
      <c r="DR15" s="510">
        <f t="shared" si="148"/>
        <v>0</v>
      </c>
      <c r="DS15" s="508"/>
      <c r="DT15" s="509">
        <f t="shared" si="39"/>
        <v>0</v>
      </c>
      <c r="DU15" s="510">
        <f t="shared" si="149"/>
        <v>0</v>
      </c>
      <c r="DV15" s="508"/>
      <c r="DW15" s="509">
        <f t="shared" si="40"/>
        <v>0</v>
      </c>
      <c r="DX15" s="510">
        <f t="shared" si="150"/>
        <v>0</v>
      </c>
      <c r="DY15" s="508"/>
      <c r="DZ15" s="509">
        <f t="shared" si="41"/>
        <v>0</v>
      </c>
      <c r="EA15" s="510">
        <f t="shared" si="151"/>
        <v>0</v>
      </c>
      <c r="EB15" s="508">
        <v>52.835294117646981</v>
      </c>
      <c r="EC15" s="509">
        <f t="shared" si="42"/>
        <v>1.1516226185759713</v>
      </c>
      <c r="ED15" s="510">
        <f t="shared" si="152"/>
        <v>0</v>
      </c>
      <c r="EE15" s="508">
        <v>14.534883720930168</v>
      </c>
      <c r="EF15" s="509">
        <f t="shared" si="43"/>
        <v>0.31680907868371516</v>
      </c>
      <c r="EG15" s="510">
        <f t="shared" si="153"/>
        <v>0</v>
      </c>
      <c r="EH15" s="508">
        <v>4.2</v>
      </c>
      <c r="EI15" s="509">
        <f t="shared" si="44"/>
        <v>9.1545151376446754E-2</v>
      </c>
      <c r="EJ15" s="510">
        <f t="shared" si="154"/>
        <v>0</v>
      </c>
      <c r="EK15" s="508"/>
      <c r="EL15" s="509">
        <f t="shared" si="45"/>
        <v>0</v>
      </c>
      <c r="EM15" s="510">
        <f t="shared" si="155"/>
        <v>0</v>
      </c>
      <c r="EN15" s="508"/>
      <c r="EO15" s="509">
        <f t="shared" si="46"/>
        <v>0</v>
      </c>
      <c r="EP15" s="510">
        <f t="shared" si="156"/>
        <v>0</v>
      </c>
      <c r="EQ15" s="508"/>
      <c r="ER15" s="509">
        <f t="shared" si="47"/>
        <v>0</v>
      </c>
      <c r="ES15" s="510">
        <f t="shared" si="157"/>
        <v>0</v>
      </c>
      <c r="ET15" s="508"/>
      <c r="EU15" s="509">
        <f t="shared" si="48"/>
        <v>0</v>
      </c>
      <c r="EV15" s="510">
        <f t="shared" si="158"/>
        <v>0</v>
      </c>
      <c r="EW15" s="508"/>
      <c r="EX15" s="509">
        <f t="shared" si="49"/>
        <v>0</v>
      </c>
      <c r="EY15" s="510">
        <f t="shared" si="159"/>
        <v>0</v>
      </c>
      <c r="EZ15" s="508"/>
      <c r="FA15" s="509">
        <f t="shared" si="50"/>
        <v>0</v>
      </c>
      <c r="FB15" s="510">
        <f t="shared" si="160"/>
        <v>0</v>
      </c>
      <c r="FC15" s="508"/>
      <c r="FD15" s="509">
        <f t="shared" si="51"/>
        <v>0</v>
      </c>
      <c r="FE15" s="510">
        <f t="shared" si="161"/>
        <v>0</v>
      </c>
      <c r="FF15" s="508"/>
      <c r="FG15" s="509">
        <f t="shared" si="52"/>
        <v>0</v>
      </c>
      <c r="FH15" s="510">
        <f t="shared" si="162"/>
        <v>0</v>
      </c>
      <c r="FI15" s="508"/>
      <c r="FJ15" s="509">
        <f t="shared" si="53"/>
        <v>0</v>
      </c>
      <c r="FK15" s="510">
        <f t="shared" si="163"/>
        <v>0</v>
      </c>
      <c r="FL15" s="508"/>
      <c r="FM15" s="509">
        <f t="shared" si="54"/>
        <v>0</v>
      </c>
      <c r="FN15" s="510">
        <f t="shared" si="164"/>
        <v>0</v>
      </c>
      <c r="FO15" s="508"/>
      <c r="FP15" s="509">
        <f t="shared" si="55"/>
        <v>0</v>
      </c>
      <c r="FQ15" s="510">
        <f t="shared" si="165"/>
        <v>0</v>
      </c>
      <c r="FR15" s="508"/>
      <c r="FS15" s="509">
        <f t="shared" si="56"/>
        <v>0</v>
      </c>
      <c r="FT15" s="510">
        <f t="shared" si="166"/>
        <v>0</v>
      </c>
      <c r="FU15" s="508"/>
      <c r="FV15" s="509">
        <f t="shared" si="57"/>
        <v>0</v>
      </c>
      <c r="FW15" s="510">
        <f t="shared" si="167"/>
        <v>0</v>
      </c>
      <c r="FX15" s="508"/>
      <c r="FY15" s="509">
        <f t="shared" si="58"/>
        <v>0</v>
      </c>
      <c r="FZ15" s="510">
        <f t="shared" si="168"/>
        <v>0</v>
      </c>
      <c r="GA15" s="508"/>
      <c r="GB15" s="509">
        <f t="shared" si="59"/>
        <v>0</v>
      </c>
      <c r="GC15" s="510">
        <f t="shared" si="169"/>
        <v>0</v>
      </c>
      <c r="GD15" s="508"/>
      <c r="GE15" s="509">
        <f t="shared" si="60"/>
        <v>0</v>
      </c>
      <c r="GF15" s="510">
        <f t="shared" si="170"/>
        <v>0</v>
      </c>
      <c r="GG15" s="508"/>
      <c r="GH15" s="509">
        <f t="shared" si="61"/>
        <v>0</v>
      </c>
      <c r="GI15" s="510">
        <f t="shared" si="171"/>
        <v>0</v>
      </c>
      <c r="GJ15" s="508"/>
      <c r="GK15" s="509">
        <f t="shared" si="62"/>
        <v>0</v>
      </c>
      <c r="GL15" s="510">
        <f t="shared" si="172"/>
        <v>0</v>
      </c>
      <c r="GM15" s="508"/>
      <c r="GN15" s="509">
        <f t="shared" si="63"/>
        <v>0</v>
      </c>
      <c r="GO15" s="510">
        <f t="shared" si="173"/>
        <v>0</v>
      </c>
      <c r="GP15" s="508"/>
      <c r="GQ15" s="509">
        <f t="shared" si="64"/>
        <v>0</v>
      </c>
      <c r="GR15" s="510">
        <f t="shared" si="174"/>
        <v>0</v>
      </c>
      <c r="GS15" s="508"/>
      <c r="GT15" s="509">
        <f t="shared" si="65"/>
        <v>0</v>
      </c>
      <c r="GU15" s="510">
        <f t="shared" si="175"/>
        <v>0</v>
      </c>
      <c r="GV15" s="508"/>
      <c r="GW15" s="509">
        <f t="shared" si="66"/>
        <v>0</v>
      </c>
      <c r="GX15" s="510">
        <f t="shared" si="176"/>
        <v>0</v>
      </c>
      <c r="GY15" s="508"/>
      <c r="GZ15" s="509">
        <f t="shared" si="67"/>
        <v>0</v>
      </c>
      <c r="HA15" s="510">
        <f t="shared" si="177"/>
        <v>0</v>
      </c>
      <c r="HB15" s="508"/>
      <c r="HC15" s="509">
        <f t="shared" si="68"/>
        <v>0</v>
      </c>
      <c r="HD15" s="510">
        <f t="shared" si="178"/>
        <v>0</v>
      </c>
      <c r="HE15" s="508"/>
      <c r="HF15" s="509">
        <f t="shared" si="69"/>
        <v>0</v>
      </c>
      <c r="HG15" s="510">
        <f t="shared" si="179"/>
        <v>0</v>
      </c>
      <c r="HH15" s="508"/>
      <c r="HI15" s="509">
        <f t="shared" si="70"/>
        <v>0</v>
      </c>
      <c r="HJ15" s="510">
        <f t="shared" si="180"/>
        <v>0</v>
      </c>
      <c r="HK15" s="508"/>
      <c r="HL15" s="509">
        <f t="shared" si="71"/>
        <v>0</v>
      </c>
      <c r="HM15" s="510">
        <f t="shared" si="181"/>
        <v>0</v>
      </c>
      <c r="HN15" s="508"/>
      <c r="HO15" s="509">
        <f t="shared" si="72"/>
        <v>0</v>
      </c>
      <c r="HP15" s="510">
        <f t="shared" si="182"/>
        <v>0</v>
      </c>
      <c r="HQ15" s="508"/>
      <c r="HR15" s="509">
        <f t="shared" si="73"/>
        <v>0</v>
      </c>
      <c r="HS15" s="510">
        <f t="shared" si="183"/>
        <v>0</v>
      </c>
      <c r="HT15" s="508"/>
      <c r="HU15" s="509">
        <f t="shared" si="74"/>
        <v>0</v>
      </c>
      <c r="HV15" s="510">
        <f t="shared" si="184"/>
        <v>0</v>
      </c>
      <c r="HW15" s="508"/>
      <c r="HX15" s="509">
        <f t="shared" si="75"/>
        <v>0</v>
      </c>
      <c r="HY15" s="510">
        <f t="shared" si="185"/>
        <v>0</v>
      </c>
      <c r="HZ15" s="508"/>
      <c r="IA15" s="509">
        <f t="shared" si="76"/>
        <v>0</v>
      </c>
      <c r="IB15" s="510">
        <f t="shared" si="186"/>
        <v>0</v>
      </c>
      <c r="IC15" s="508"/>
      <c r="ID15" s="509">
        <f t="shared" si="77"/>
        <v>0</v>
      </c>
      <c r="IE15" s="510">
        <f t="shared" si="187"/>
        <v>0</v>
      </c>
      <c r="IF15" s="508"/>
      <c r="IG15" s="509">
        <f t="shared" si="78"/>
        <v>0</v>
      </c>
      <c r="IH15" s="510">
        <f t="shared" si="188"/>
        <v>0</v>
      </c>
      <c r="II15" s="508"/>
      <c r="IJ15" s="509">
        <f t="shared" si="79"/>
        <v>0</v>
      </c>
      <c r="IK15" s="510">
        <f t="shared" si="189"/>
        <v>0</v>
      </c>
      <c r="IL15" s="508"/>
      <c r="IM15" s="509">
        <f t="shared" si="80"/>
        <v>0</v>
      </c>
      <c r="IN15" s="510">
        <f t="shared" si="190"/>
        <v>0</v>
      </c>
      <c r="IO15" s="508"/>
      <c r="IP15" s="509">
        <f t="shared" si="81"/>
        <v>0</v>
      </c>
      <c r="IQ15" s="510">
        <f t="shared" si="191"/>
        <v>0</v>
      </c>
      <c r="IR15" s="508"/>
      <c r="IS15" s="509">
        <f t="shared" si="82"/>
        <v>0</v>
      </c>
      <c r="IT15" s="510">
        <f t="shared" si="192"/>
        <v>0</v>
      </c>
      <c r="IU15" s="508"/>
      <c r="IV15" s="509">
        <f t="shared" si="83"/>
        <v>0</v>
      </c>
      <c r="IW15" s="510">
        <f t="shared" si="193"/>
        <v>0</v>
      </c>
      <c r="IX15" s="508"/>
      <c r="IY15" s="509">
        <f t="shared" si="84"/>
        <v>0</v>
      </c>
      <c r="IZ15" s="510">
        <f t="shared" si="194"/>
        <v>0</v>
      </c>
      <c r="JA15" s="508"/>
      <c r="JB15" s="509">
        <f t="shared" si="85"/>
        <v>0</v>
      </c>
      <c r="JC15" s="510">
        <f t="shared" si="195"/>
        <v>0</v>
      </c>
      <c r="JD15" s="508"/>
      <c r="JE15" s="509">
        <f t="shared" si="86"/>
        <v>0</v>
      </c>
      <c r="JF15" s="510">
        <f t="shared" si="196"/>
        <v>0</v>
      </c>
      <c r="JG15" s="508"/>
      <c r="JH15" s="509">
        <f t="shared" si="87"/>
        <v>0</v>
      </c>
      <c r="JI15" s="510">
        <f t="shared" si="197"/>
        <v>0</v>
      </c>
      <c r="JJ15" s="508"/>
      <c r="JK15" s="510">
        <f t="shared" si="198"/>
        <v>0</v>
      </c>
      <c r="JL15" s="510" t="str">
        <f t="shared" si="88"/>
        <v>0</v>
      </c>
      <c r="JM15" s="508"/>
      <c r="JN15" s="510" t="str">
        <f t="shared" si="89"/>
        <v>0</v>
      </c>
      <c r="JO15" s="510" t="str">
        <f t="shared" si="90"/>
        <v>0</v>
      </c>
      <c r="JP15" s="508"/>
      <c r="JQ15" s="510" t="str">
        <f t="shared" si="91"/>
        <v>0</v>
      </c>
      <c r="JR15" s="510" t="str">
        <f t="shared" si="92"/>
        <v>0</v>
      </c>
      <c r="JS15" s="508"/>
      <c r="JT15" s="510" t="str">
        <f t="shared" si="93"/>
        <v>0</v>
      </c>
      <c r="JU15" s="510" t="str">
        <f t="shared" si="94"/>
        <v>0</v>
      </c>
      <c r="JV15" s="508"/>
      <c r="JW15" s="510" t="str">
        <f t="shared" si="95"/>
        <v>0</v>
      </c>
      <c r="JX15" s="510" t="str">
        <f t="shared" si="96"/>
        <v>0</v>
      </c>
      <c r="JY15" s="508"/>
      <c r="JZ15" s="510" t="str">
        <f t="shared" si="97"/>
        <v>0</v>
      </c>
      <c r="KA15" s="510" t="str">
        <f t="shared" si="98"/>
        <v>0</v>
      </c>
      <c r="KB15" s="508"/>
      <c r="KC15" s="510" t="str">
        <f t="shared" si="99"/>
        <v>0</v>
      </c>
      <c r="KD15" s="510" t="str">
        <f t="shared" si="100"/>
        <v>0</v>
      </c>
      <c r="KE15" s="508"/>
      <c r="KF15" s="510" t="str">
        <f t="shared" si="101"/>
        <v>0</v>
      </c>
      <c r="KG15" s="510" t="str">
        <f t="shared" si="102"/>
        <v>0</v>
      </c>
      <c r="KH15" s="508"/>
      <c r="KI15" s="510" t="str">
        <f t="shared" si="103"/>
        <v>0</v>
      </c>
      <c r="KJ15" s="510" t="str">
        <f t="shared" si="104"/>
        <v>0</v>
      </c>
      <c r="KK15" s="508"/>
      <c r="KL15" s="510" t="str">
        <f t="shared" si="105"/>
        <v>0</v>
      </c>
      <c r="KM15" s="510" t="str">
        <f t="shared" si="106"/>
        <v>0</v>
      </c>
      <c r="KN15" s="508"/>
      <c r="KO15" s="510" t="str">
        <f t="shared" si="107"/>
        <v>0</v>
      </c>
      <c r="KP15" s="510" t="str">
        <f t="shared" si="108"/>
        <v>0</v>
      </c>
      <c r="KQ15" s="508"/>
      <c r="KR15" s="510" t="str">
        <f t="shared" si="109"/>
        <v>0</v>
      </c>
      <c r="KS15" s="510" t="str">
        <f t="shared" si="110"/>
        <v>0</v>
      </c>
      <c r="KT15" s="510">
        <f t="shared" si="201"/>
        <v>0</v>
      </c>
      <c r="KU15" s="510">
        <f t="shared" si="202"/>
        <v>0</v>
      </c>
      <c r="KV15" s="261">
        <f t="shared" si="199"/>
        <v>398.38822783857711</v>
      </c>
    </row>
    <row r="16" spans="1:308" ht="15" customHeight="1">
      <c r="A16" s="467">
        <f t="shared" si="200"/>
        <v>45845</v>
      </c>
      <c r="B16" s="468" t="str">
        <f>+Report1!B15</f>
        <v>Toilet</v>
      </c>
      <c r="C16" s="469" t="str">
        <f>+Report1!C15</f>
        <v>13</v>
      </c>
      <c r="D16" s="470">
        <f>+Report1!P15</f>
        <v>51.512</v>
      </c>
      <c r="E16" s="471">
        <f>+Report1!R15</f>
        <v>48.341000000000001</v>
      </c>
      <c r="F16" s="508"/>
      <c r="G16" s="509">
        <f t="shared" si="0"/>
        <v>0</v>
      </c>
      <c r="H16" s="510">
        <f t="shared" si="111"/>
        <v>0</v>
      </c>
      <c r="I16" s="508"/>
      <c r="J16" s="509">
        <f t="shared" si="1"/>
        <v>0</v>
      </c>
      <c r="K16" s="510">
        <f t="shared" si="112"/>
        <v>0</v>
      </c>
      <c r="L16" s="508"/>
      <c r="M16" s="509">
        <f t="shared" si="2"/>
        <v>0</v>
      </c>
      <c r="N16" s="510">
        <f t="shared" si="113"/>
        <v>0</v>
      </c>
      <c r="O16" s="508">
        <v>18.000000000000057</v>
      </c>
      <c r="P16" s="509">
        <f t="shared" si="3"/>
        <v>0.37235472993939012</v>
      </c>
      <c r="Q16" s="510">
        <f t="shared" si="114"/>
        <v>0</v>
      </c>
      <c r="R16" s="508">
        <v>7.6875000000000142</v>
      </c>
      <c r="S16" s="509">
        <f t="shared" si="4"/>
        <v>0.15902649924494763</v>
      </c>
      <c r="T16" s="510">
        <f t="shared" si="115"/>
        <v>0</v>
      </c>
      <c r="U16" s="508">
        <v>3.9062499999999858</v>
      </c>
      <c r="V16" s="509">
        <f t="shared" si="5"/>
        <v>8.0806147990318475E-2</v>
      </c>
      <c r="W16" s="510">
        <f t="shared" si="116"/>
        <v>0</v>
      </c>
      <c r="X16" s="508"/>
      <c r="Y16" s="509">
        <f t="shared" si="6"/>
        <v>0</v>
      </c>
      <c r="Z16" s="510">
        <f t="shared" si="117"/>
        <v>0</v>
      </c>
      <c r="AA16" s="508"/>
      <c r="AB16" s="509">
        <f t="shared" si="7"/>
        <v>0</v>
      </c>
      <c r="AC16" s="510">
        <f t="shared" si="118"/>
        <v>0</v>
      </c>
      <c r="AD16" s="508"/>
      <c r="AE16" s="509">
        <f t="shared" si="8"/>
        <v>0</v>
      </c>
      <c r="AF16" s="510">
        <f t="shared" si="119"/>
        <v>0</v>
      </c>
      <c r="AG16" s="508"/>
      <c r="AH16" s="509">
        <f t="shared" si="9"/>
        <v>0</v>
      </c>
      <c r="AI16" s="510">
        <f t="shared" si="120"/>
        <v>0</v>
      </c>
      <c r="AJ16" s="508"/>
      <c r="AK16" s="509">
        <f t="shared" si="10"/>
        <v>0</v>
      </c>
      <c r="AL16" s="510">
        <f t="shared" si="121"/>
        <v>0</v>
      </c>
      <c r="AM16" s="508">
        <v>49.940769230769291</v>
      </c>
      <c r="AN16" s="509">
        <f t="shared" si="11"/>
        <v>1.0330934244382468</v>
      </c>
      <c r="AO16" s="510">
        <f t="shared" si="122"/>
        <v>0</v>
      </c>
      <c r="AP16" s="508"/>
      <c r="AQ16" s="509">
        <f t="shared" si="12"/>
        <v>0</v>
      </c>
      <c r="AR16" s="510">
        <f t="shared" si="123"/>
        <v>0</v>
      </c>
      <c r="AS16" s="508"/>
      <c r="AT16" s="509">
        <f t="shared" si="13"/>
        <v>0</v>
      </c>
      <c r="AU16" s="510">
        <f t="shared" si="124"/>
        <v>0</v>
      </c>
      <c r="AV16" s="508">
        <v>13.875</v>
      </c>
      <c r="AW16" s="509">
        <f t="shared" si="14"/>
        <v>0.28702343766161231</v>
      </c>
      <c r="AX16" s="510">
        <f t="shared" si="125"/>
        <v>0</v>
      </c>
      <c r="AY16" s="508">
        <v>39.667599999999993</v>
      </c>
      <c r="AZ16" s="509">
        <f t="shared" si="15"/>
        <v>0.82057880474131673</v>
      </c>
      <c r="BA16" s="510">
        <f t="shared" si="126"/>
        <v>0</v>
      </c>
      <c r="BB16" s="508"/>
      <c r="BC16" s="509">
        <f t="shared" si="16"/>
        <v>0</v>
      </c>
      <c r="BD16" s="510">
        <f t="shared" si="127"/>
        <v>0</v>
      </c>
      <c r="BE16" s="508"/>
      <c r="BF16" s="509">
        <f t="shared" si="17"/>
        <v>0</v>
      </c>
      <c r="BG16" s="510">
        <f t="shared" si="128"/>
        <v>0</v>
      </c>
      <c r="BH16" s="508"/>
      <c r="BI16" s="509">
        <f t="shared" si="18"/>
        <v>0</v>
      </c>
      <c r="BJ16" s="510">
        <f t="shared" si="129"/>
        <v>0</v>
      </c>
      <c r="BK16" s="508"/>
      <c r="BL16" s="509">
        <f t="shared" si="19"/>
        <v>0</v>
      </c>
      <c r="BM16" s="510">
        <f t="shared" si="130"/>
        <v>0</v>
      </c>
      <c r="BN16" s="508"/>
      <c r="BO16" s="509">
        <f t="shared" si="20"/>
        <v>0</v>
      </c>
      <c r="BP16" s="510">
        <f t="shared" si="131"/>
        <v>0</v>
      </c>
      <c r="BQ16" s="508">
        <v>18.000000000000057</v>
      </c>
      <c r="BR16" s="509">
        <f t="shared" si="21"/>
        <v>0.37235472993939012</v>
      </c>
      <c r="BS16" s="510">
        <f t="shared" si="132"/>
        <v>0</v>
      </c>
      <c r="BT16" s="508"/>
      <c r="BU16" s="509">
        <f t="shared" si="22"/>
        <v>0</v>
      </c>
      <c r="BV16" s="510">
        <f t="shared" si="133"/>
        <v>0</v>
      </c>
      <c r="BW16" s="508"/>
      <c r="BX16" s="509">
        <f t="shared" si="23"/>
        <v>0</v>
      </c>
      <c r="BY16" s="510">
        <f t="shared" si="134"/>
        <v>0</v>
      </c>
      <c r="BZ16" s="508"/>
      <c r="CA16" s="509">
        <f t="shared" si="24"/>
        <v>0</v>
      </c>
      <c r="CB16" s="510">
        <f t="shared" si="135"/>
        <v>0</v>
      </c>
      <c r="CC16" s="508"/>
      <c r="CD16" s="509">
        <f t="shared" si="25"/>
        <v>0</v>
      </c>
      <c r="CE16" s="510">
        <f t="shared" si="136"/>
        <v>0</v>
      </c>
      <c r="CF16" s="508">
        <v>4.2</v>
      </c>
      <c r="CG16" s="509">
        <f t="shared" si="26"/>
        <v>8.6882770319190755E-2</v>
      </c>
      <c r="CH16" s="510">
        <f t="shared" si="137"/>
        <v>0</v>
      </c>
      <c r="CI16" s="508"/>
      <c r="CJ16" s="509">
        <f t="shared" si="27"/>
        <v>0</v>
      </c>
      <c r="CK16" s="510">
        <f t="shared" si="138"/>
        <v>0</v>
      </c>
      <c r="CL16" s="508"/>
      <c r="CM16" s="509">
        <f t="shared" si="28"/>
        <v>0</v>
      </c>
      <c r="CN16" s="510">
        <f t="shared" si="139"/>
        <v>0</v>
      </c>
      <c r="CO16" s="508"/>
      <c r="CP16" s="509">
        <f t="shared" si="29"/>
        <v>0</v>
      </c>
      <c r="CQ16" s="510">
        <f t="shared" si="140"/>
        <v>0</v>
      </c>
      <c r="CR16" s="508"/>
      <c r="CS16" s="509">
        <f t="shared" si="30"/>
        <v>0</v>
      </c>
      <c r="CT16" s="510">
        <f t="shared" si="141"/>
        <v>0</v>
      </c>
      <c r="CU16" s="508"/>
      <c r="CV16" s="509">
        <f t="shared" si="31"/>
        <v>0</v>
      </c>
      <c r="CW16" s="510">
        <f t="shared" si="142"/>
        <v>0</v>
      </c>
      <c r="CX16" s="508"/>
      <c r="CY16" s="509">
        <f t="shared" si="32"/>
        <v>0</v>
      </c>
      <c r="CZ16" s="510">
        <f t="shared" si="143"/>
        <v>0</v>
      </c>
      <c r="DA16" s="508"/>
      <c r="DB16" s="509">
        <f t="shared" si="33"/>
        <v>0</v>
      </c>
      <c r="DC16" s="510">
        <f t="shared" si="144"/>
        <v>0</v>
      </c>
      <c r="DD16" s="508"/>
      <c r="DE16" s="509">
        <f t="shared" si="34"/>
        <v>0</v>
      </c>
      <c r="DF16" s="510">
        <f t="shared" si="145"/>
        <v>0</v>
      </c>
      <c r="DG16" s="508"/>
      <c r="DH16" s="509">
        <f t="shared" si="35"/>
        <v>0</v>
      </c>
      <c r="DI16" s="510">
        <f t="shared" si="203"/>
        <v>0</v>
      </c>
      <c r="DJ16" s="508"/>
      <c r="DK16" s="509">
        <f t="shared" si="36"/>
        <v>0</v>
      </c>
      <c r="DL16" s="510">
        <f t="shared" si="146"/>
        <v>0</v>
      </c>
      <c r="DM16" s="508"/>
      <c r="DN16" s="509">
        <f t="shared" si="37"/>
        <v>0</v>
      </c>
      <c r="DO16" s="510">
        <f t="shared" si="147"/>
        <v>0</v>
      </c>
      <c r="DP16" s="508"/>
      <c r="DQ16" s="509">
        <f t="shared" si="38"/>
        <v>0</v>
      </c>
      <c r="DR16" s="510">
        <f t="shared" si="148"/>
        <v>0</v>
      </c>
      <c r="DS16" s="508"/>
      <c r="DT16" s="509">
        <f t="shared" si="39"/>
        <v>0</v>
      </c>
      <c r="DU16" s="510">
        <f t="shared" si="149"/>
        <v>0</v>
      </c>
      <c r="DV16" s="508"/>
      <c r="DW16" s="509">
        <f t="shared" si="40"/>
        <v>0</v>
      </c>
      <c r="DX16" s="510">
        <f t="shared" si="150"/>
        <v>0</v>
      </c>
      <c r="DY16" s="508"/>
      <c r="DZ16" s="509">
        <f t="shared" si="41"/>
        <v>0</v>
      </c>
      <c r="EA16" s="510">
        <f t="shared" si="151"/>
        <v>0</v>
      </c>
      <c r="EB16" s="508">
        <v>46.964705882352973</v>
      </c>
      <c r="EC16" s="509">
        <f t="shared" si="42"/>
        <v>0.97152946530590956</v>
      </c>
      <c r="ED16" s="510">
        <f t="shared" si="152"/>
        <v>0</v>
      </c>
      <c r="EE16" s="508">
        <v>14.534883720930281</v>
      </c>
      <c r="EF16" s="509">
        <f t="shared" si="43"/>
        <v>0.30067403903374529</v>
      </c>
      <c r="EG16" s="510">
        <f t="shared" si="153"/>
        <v>0</v>
      </c>
      <c r="EH16" s="508">
        <v>4</v>
      </c>
      <c r="EI16" s="509">
        <f t="shared" si="44"/>
        <v>8.274549554208642E-2</v>
      </c>
      <c r="EJ16" s="510">
        <f t="shared" si="154"/>
        <v>0</v>
      </c>
      <c r="EK16" s="508"/>
      <c r="EL16" s="509">
        <f t="shared" si="45"/>
        <v>0</v>
      </c>
      <c r="EM16" s="510">
        <f t="shared" si="155"/>
        <v>0</v>
      </c>
      <c r="EN16" s="508"/>
      <c r="EO16" s="509">
        <f t="shared" si="46"/>
        <v>0</v>
      </c>
      <c r="EP16" s="510">
        <f t="shared" si="156"/>
        <v>0</v>
      </c>
      <c r="EQ16" s="508"/>
      <c r="ER16" s="509">
        <f t="shared" si="47"/>
        <v>0</v>
      </c>
      <c r="ES16" s="510">
        <f t="shared" si="157"/>
        <v>0</v>
      </c>
      <c r="ET16" s="508"/>
      <c r="EU16" s="509">
        <f t="shared" si="48"/>
        <v>0</v>
      </c>
      <c r="EV16" s="510">
        <f t="shared" si="158"/>
        <v>0</v>
      </c>
      <c r="EW16" s="508"/>
      <c r="EX16" s="509">
        <f t="shared" si="49"/>
        <v>0</v>
      </c>
      <c r="EY16" s="510">
        <f t="shared" si="159"/>
        <v>0</v>
      </c>
      <c r="EZ16" s="508"/>
      <c r="FA16" s="509">
        <f t="shared" si="50"/>
        <v>0</v>
      </c>
      <c r="FB16" s="510">
        <f t="shared" si="160"/>
        <v>0</v>
      </c>
      <c r="FC16" s="508"/>
      <c r="FD16" s="509">
        <f t="shared" si="51"/>
        <v>0</v>
      </c>
      <c r="FE16" s="510">
        <f t="shared" si="161"/>
        <v>0</v>
      </c>
      <c r="FF16" s="508"/>
      <c r="FG16" s="509">
        <f t="shared" si="52"/>
        <v>0</v>
      </c>
      <c r="FH16" s="510">
        <f t="shared" si="162"/>
        <v>0</v>
      </c>
      <c r="FI16" s="508"/>
      <c r="FJ16" s="509">
        <f t="shared" si="53"/>
        <v>0</v>
      </c>
      <c r="FK16" s="510">
        <f t="shared" si="163"/>
        <v>0</v>
      </c>
      <c r="FL16" s="508"/>
      <c r="FM16" s="509">
        <f t="shared" si="54"/>
        <v>0</v>
      </c>
      <c r="FN16" s="510">
        <f t="shared" si="164"/>
        <v>0</v>
      </c>
      <c r="FO16" s="508"/>
      <c r="FP16" s="509">
        <f t="shared" si="55"/>
        <v>0</v>
      </c>
      <c r="FQ16" s="510">
        <f t="shared" si="165"/>
        <v>0</v>
      </c>
      <c r="FR16" s="508"/>
      <c r="FS16" s="509">
        <f t="shared" si="56"/>
        <v>0</v>
      </c>
      <c r="FT16" s="510">
        <f t="shared" si="166"/>
        <v>0</v>
      </c>
      <c r="FU16" s="508"/>
      <c r="FV16" s="509">
        <f t="shared" si="57"/>
        <v>0</v>
      </c>
      <c r="FW16" s="510">
        <f t="shared" si="167"/>
        <v>0</v>
      </c>
      <c r="FX16" s="508"/>
      <c r="FY16" s="509">
        <f t="shared" si="58"/>
        <v>0</v>
      </c>
      <c r="FZ16" s="510">
        <f t="shared" si="168"/>
        <v>0</v>
      </c>
      <c r="GA16" s="508"/>
      <c r="GB16" s="509">
        <f t="shared" si="59"/>
        <v>0</v>
      </c>
      <c r="GC16" s="510">
        <f t="shared" si="169"/>
        <v>0</v>
      </c>
      <c r="GD16" s="508"/>
      <c r="GE16" s="509">
        <f t="shared" si="60"/>
        <v>0</v>
      </c>
      <c r="GF16" s="510">
        <f t="shared" si="170"/>
        <v>0</v>
      </c>
      <c r="GG16" s="508"/>
      <c r="GH16" s="509">
        <f t="shared" si="61"/>
        <v>0</v>
      </c>
      <c r="GI16" s="510">
        <f t="shared" si="171"/>
        <v>0</v>
      </c>
      <c r="GJ16" s="508"/>
      <c r="GK16" s="509">
        <f t="shared" si="62"/>
        <v>0</v>
      </c>
      <c r="GL16" s="510">
        <f t="shared" si="172"/>
        <v>0</v>
      </c>
      <c r="GM16" s="508"/>
      <c r="GN16" s="509">
        <f t="shared" si="63"/>
        <v>0</v>
      </c>
      <c r="GO16" s="510">
        <f t="shared" si="173"/>
        <v>0</v>
      </c>
      <c r="GP16" s="508"/>
      <c r="GQ16" s="509">
        <f t="shared" si="64"/>
        <v>0</v>
      </c>
      <c r="GR16" s="510">
        <f t="shared" si="174"/>
        <v>0</v>
      </c>
      <c r="GS16" s="508"/>
      <c r="GT16" s="509">
        <f t="shared" si="65"/>
        <v>0</v>
      </c>
      <c r="GU16" s="510">
        <f t="shared" si="175"/>
        <v>0</v>
      </c>
      <c r="GV16" s="508"/>
      <c r="GW16" s="509">
        <f t="shared" si="66"/>
        <v>0</v>
      </c>
      <c r="GX16" s="510">
        <f t="shared" si="176"/>
        <v>0</v>
      </c>
      <c r="GY16" s="508"/>
      <c r="GZ16" s="509">
        <f t="shared" si="67"/>
        <v>0</v>
      </c>
      <c r="HA16" s="510">
        <f t="shared" si="177"/>
        <v>0</v>
      </c>
      <c r="HB16" s="508"/>
      <c r="HC16" s="509">
        <f t="shared" si="68"/>
        <v>0</v>
      </c>
      <c r="HD16" s="510">
        <f t="shared" si="178"/>
        <v>0</v>
      </c>
      <c r="HE16" s="508"/>
      <c r="HF16" s="509">
        <f t="shared" si="69"/>
        <v>0</v>
      </c>
      <c r="HG16" s="510">
        <f t="shared" si="179"/>
        <v>0</v>
      </c>
      <c r="HH16" s="508"/>
      <c r="HI16" s="509">
        <f t="shared" si="70"/>
        <v>0</v>
      </c>
      <c r="HJ16" s="510">
        <f t="shared" si="180"/>
        <v>0</v>
      </c>
      <c r="HK16" s="508"/>
      <c r="HL16" s="509">
        <f t="shared" si="71"/>
        <v>0</v>
      </c>
      <c r="HM16" s="510">
        <f t="shared" si="181"/>
        <v>0</v>
      </c>
      <c r="HN16" s="508"/>
      <c r="HO16" s="509">
        <f t="shared" si="72"/>
        <v>0</v>
      </c>
      <c r="HP16" s="510">
        <f t="shared" si="182"/>
        <v>0</v>
      </c>
      <c r="HQ16" s="508"/>
      <c r="HR16" s="509">
        <f t="shared" si="73"/>
        <v>0</v>
      </c>
      <c r="HS16" s="510">
        <f t="shared" si="183"/>
        <v>0</v>
      </c>
      <c r="HT16" s="508"/>
      <c r="HU16" s="509">
        <f t="shared" si="74"/>
        <v>0</v>
      </c>
      <c r="HV16" s="510">
        <f t="shared" si="184"/>
        <v>0</v>
      </c>
      <c r="HW16" s="508"/>
      <c r="HX16" s="509">
        <f t="shared" si="75"/>
        <v>0</v>
      </c>
      <c r="HY16" s="510">
        <f t="shared" si="185"/>
        <v>0</v>
      </c>
      <c r="HZ16" s="508"/>
      <c r="IA16" s="509">
        <f t="shared" si="76"/>
        <v>0</v>
      </c>
      <c r="IB16" s="510">
        <f t="shared" si="186"/>
        <v>0</v>
      </c>
      <c r="IC16" s="508"/>
      <c r="ID16" s="509">
        <f t="shared" si="77"/>
        <v>0</v>
      </c>
      <c r="IE16" s="510">
        <f t="shared" si="187"/>
        <v>0</v>
      </c>
      <c r="IF16" s="508"/>
      <c r="IG16" s="509">
        <f t="shared" si="78"/>
        <v>0</v>
      </c>
      <c r="IH16" s="510">
        <f t="shared" si="188"/>
        <v>0</v>
      </c>
      <c r="II16" s="508"/>
      <c r="IJ16" s="509">
        <f t="shared" si="79"/>
        <v>0</v>
      </c>
      <c r="IK16" s="510">
        <f t="shared" si="189"/>
        <v>0</v>
      </c>
      <c r="IL16" s="508"/>
      <c r="IM16" s="509">
        <f t="shared" si="80"/>
        <v>0</v>
      </c>
      <c r="IN16" s="510">
        <f t="shared" si="190"/>
        <v>0</v>
      </c>
      <c r="IO16" s="508"/>
      <c r="IP16" s="509">
        <f t="shared" si="81"/>
        <v>0</v>
      </c>
      <c r="IQ16" s="510">
        <f t="shared" si="191"/>
        <v>0</v>
      </c>
      <c r="IR16" s="508"/>
      <c r="IS16" s="509">
        <f t="shared" si="82"/>
        <v>0</v>
      </c>
      <c r="IT16" s="510">
        <f t="shared" si="192"/>
        <v>0</v>
      </c>
      <c r="IU16" s="508"/>
      <c r="IV16" s="509">
        <f t="shared" si="83"/>
        <v>0</v>
      </c>
      <c r="IW16" s="510">
        <f t="shared" si="193"/>
        <v>0</v>
      </c>
      <c r="IX16" s="508"/>
      <c r="IY16" s="509">
        <f t="shared" si="84"/>
        <v>0</v>
      </c>
      <c r="IZ16" s="510">
        <f t="shared" si="194"/>
        <v>0</v>
      </c>
      <c r="JA16" s="508"/>
      <c r="JB16" s="509">
        <f t="shared" si="85"/>
        <v>0</v>
      </c>
      <c r="JC16" s="510">
        <f t="shared" si="195"/>
        <v>0</v>
      </c>
      <c r="JD16" s="508"/>
      <c r="JE16" s="509">
        <f t="shared" si="86"/>
        <v>0</v>
      </c>
      <c r="JF16" s="510">
        <f t="shared" si="196"/>
        <v>0</v>
      </c>
      <c r="JG16" s="508"/>
      <c r="JH16" s="509">
        <f t="shared" si="87"/>
        <v>0</v>
      </c>
      <c r="JI16" s="510">
        <f t="shared" si="197"/>
        <v>0</v>
      </c>
      <c r="JJ16" s="508"/>
      <c r="JK16" s="510">
        <f t="shared" si="198"/>
        <v>0</v>
      </c>
      <c r="JL16" s="510" t="str">
        <f t="shared" si="88"/>
        <v>0</v>
      </c>
      <c r="JM16" s="508"/>
      <c r="JN16" s="510" t="str">
        <f t="shared" si="89"/>
        <v>0</v>
      </c>
      <c r="JO16" s="510" t="str">
        <f t="shared" si="90"/>
        <v>0</v>
      </c>
      <c r="JP16" s="508"/>
      <c r="JQ16" s="510" t="str">
        <f t="shared" si="91"/>
        <v>0</v>
      </c>
      <c r="JR16" s="510" t="str">
        <f t="shared" si="92"/>
        <v>0</v>
      </c>
      <c r="JS16" s="508"/>
      <c r="JT16" s="510" t="str">
        <f t="shared" si="93"/>
        <v>0</v>
      </c>
      <c r="JU16" s="510" t="str">
        <f t="shared" si="94"/>
        <v>0</v>
      </c>
      <c r="JV16" s="508"/>
      <c r="JW16" s="510" t="str">
        <f t="shared" si="95"/>
        <v>0</v>
      </c>
      <c r="JX16" s="510" t="str">
        <f t="shared" si="96"/>
        <v>0</v>
      </c>
      <c r="JY16" s="508"/>
      <c r="JZ16" s="510" t="str">
        <f t="shared" si="97"/>
        <v>0</v>
      </c>
      <c r="KA16" s="510" t="str">
        <f t="shared" si="98"/>
        <v>0</v>
      </c>
      <c r="KB16" s="508"/>
      <c r="KC16" s="510" t="str">
        <f t="shared" si="99"/>
        <v>0</v>
      </c>
      <c r="KD16" s="510" t="str">
        <f t="shared" si="100"/>
        <v>0</v>
      </c>
      <c r="KE16" s="508"/>
      <c r="KF16" s="510" t="str">
        <f t="shared" si="101"/>
        <v>0</v>
      </c>
      <c r="KG16" s="510" t="str">
        <f t="shared" si="102"/>
        <v>0</v>
      </c>
      <c r="KH16" s="508"/>
      <c r="KI16" s="510" t="str">
        <f t="shared" si="103"/>
        <v>0</v>
      </c>
      <c r="KJ16" s="510" t="str">
        <f t="shared" si="104"/>
        <v>0</v>
      </c>
      <c r="KK16" s="508"/>
      <c r="KL16" s="510" t="str">
        <f t="shared" si="105"/>
        <v>0</v>
      </c>
      <c r="KM16" s="510" t="str">
        <f t="shared" si="106"/>
        <v>0</v>
      </c>
      <c r="KN16" s="508"/>
      <c r="KO16" s="510" t="str">
        <f t="shared" si="107"/>
        <v>0</v>
      </c>
      <c r="KP16" s="510" t="str">
        <f t="shared" si="108"/>
        <v>0</v>
      </c>
      <c r="KQ16" s="508"/>
      <c r="KR16" s="510" t="str">
        <f t="shared" si="109"/>
        <v>0</v>
      </c>
      <c r="KS16" s="510" t="str">
        <f t="shared" si="110"/>
        <v>0</v>
      </c>
      <c r="KT16" s="510">
        <f t="shared" si="201"/>
        <v>0</v>
      </c>
      <c r="KU16" s="510">
        <f t="shared" si="202"/>
        <v>0</v>
      </c>
      <c r="KV16" s="261">
        <f t="shared" si="199"/>
        <v>220.77670883405264</v>
      </c>
    </row>
    <row r="17" spans="1:308" ht="15" customHeight="1">
      <c r="A17" s="467">
        <f t="shared" si="200"/>
        <v>45846</v>
      </c>
      <c r="B17" s="468" t="str">
        <f>+Report1!B16</f>
        <v>Toilet/Facial</v>
      </c>
      <c r="C17" s="469" t="str">
        <f>+Report1!C16</f>
        <v>13/13</v>
      </c>
      <c r="D17" s="470">
        <f>+Report1!P16</f>
        <v>48.932000000000002</v>
      </c>
      <c r="E17" s="471">
        <f>+Report1!R16</f>
        <v>50.698999999999998</v>
      </c>
      <c r="F17" s="508"/>
      <c r="G17" s="509">
        <f t="shared" si="0"/>
        <v>0</v>
      </c>
      <c r="H17" s="510">
        <f t="shared" si="111"/>
        <v>0</v>
      </c>
      <c r="I17" s="508">
        <v>139.33767441860459</v>
      </c>
      <c r="J17" s="509">
        <f t="shared" si="1"/>
        <v>2.7483318096728655</v>
      </c>
      <c r="K17" s="510">
        <f t="shared" si="112"/>
        <v>0</v>
      </c>
      <c r="L17" s="508"/>
      <c r="M17" s="509">
        <f t="shared" si="2"/>
        <v>0</v>
      </c>
      <c r="N17" s="510">
        <f t="shared" si="113"/>
        <v>0</v>
      </c>
      <c r="O17" s="508">
        <v>11.999999999999943</v>
      </c>
      <c r="P17" s="509">
        <f t="shared" si="3"/>
        <v>0.23669105899524534</v>
      </c>
      <c r="Q17" s="510">
        <f t="shared" si="114"/>
        <v>0</v>
      </c>
      <c r="R17" s="508">
        <v>7.6875</v>
      </c>
      <c r="S17" s="509">
        <f t="shared" si="4"/>
        <v>0.15163020966882976</v>
      </c>
      <c r="T17" s="510">
        <f t="shared" si="115"/>
        <v>0</v>
      </c>
      <c r="U17" s="508">
        <v>5.46875</v>
      </c>
      <c r="V17" s="509">
        <f t="shared" si="5"/>
        <v>0.10786701907335451</v>
      </c>
      <c r="W17" s="510">
        <f t="shared" si="116"/>
        <v>0</v>
      </c>
      <c r="X17" s="508"/>
      <c r="Y17" s="509">
        <f t="shared" si="6"/>
        <v>0</v>
      </c>
      <c r="Z17" s="510">
        <f t="shared" si="117"/>
        <v>0</v>
      </c>
      <c r="AA17" s="508"/>
      <c r="AB17" s="509">
        <f t="shared" si="7"/>
        <v>0</v>
      </c>
      <c r="AC17" s="510">
        <f t="shared" si="118"/>
        <v>0</v>
      </c>
      <c r="AD17" s="508"/>
      <c r="AE17" s="509">
        <f t="shared" si="8"/>
        <v>0</v>
      </c>
      <c r="AF17" s="510">
        <f t="shared" si="119"/>
        <v>0</v>
      </c>
      <c r="AG17" s="508"/>
      <c r="AH17" s="509">
        <f t="shared" si="9"/>
        <v>0</v>
      </c>
      <c r="AI17" s="510">
        <f t="shared" si="120"/>
        <v>0</v>
      </c>
      <c r="AJ17" s="508"/>
      <c r="AK17" s="509">
        <f t="shared" si="10"/>
        <v>0</v>
      </c>
      <c r="AL17" s="510">
        <f t="shared" si="121"/>
        <v>0</v>
      </c>
      <c r="AM17" s="508">
        <v>42.051282051282044</v>
      </c>
      <c r="AN17" s="509">
        <f t="shared" si="11"/>
        <v>0.82943020673547896</v>
      </c>
      <c r="AO17" s="510">
        <f t="shared" si="122"/>
        <v>0</v>
      </c>
      <c r="AP17" s="508"/>
      <c r="AQ17" s="509">
        <f t="shared" si="12"/>
        <v>0</v>
      </c>
      <c r="AR17" s="510">
        <f t="shared" si="123"/>
        <v>0</v>
      </c>
      <c r="AS17" s="508"/>
      <c r="AT17" s="509">
        <f t="shared" si="13"/>
        <v>0</v>
      </c>
      <c r="AU17" s="510">
        <f t="shared" si="124"/>
        <v>0</v>
      </c>
      <c r="AV17" s="508">
        <v>11.099999999999994</v>
      </c>
      <c r="AW17" s="509">
        <f t="shared" si="14"/>
        <v>0.21893922957060286</v>
      </c>
      <c r="AX17" s="510">
        <f t="shared" si="125"/>
        <v>0</v>
      </c>
      <c r="AY17" s="508">
        <v>44.333333333333343</v>
      </c>
      <c r="AZ17" s="509">
        <f t="shared" si="15"/>
        <v>0.87444196795466078</v>
      </c>
      <c r="BA17" s="510">
        <f t="shared" si="126"/>
        <v>0</v>
      </c>
      <c r="BB17" s="508"/>
      <c r="BC17" s="509">
        <f t="shared" si="16"/>
        <v>0</v>
      </c>
      <c r="BD17" s="510">
        <f t="shared" si="127"/>
        <v>0</v>
      </c>
      <c r="BE17" s="508"/>
      <c r="BF17" s="509">
        <f t="shared" si="17"/>
        <v>0</v>
      </c>
      <c r="BG17" s="510">
        <f t="shared" si="128"/>
        <v>0</v>
      </c>
      <c r="BH17" s="508"/>
      <c r="BI17" s="509">
        <f t="shared" si="18"/>
        <v>0</v>
      </c>
      <c r="BJ17" s="510">
        <f t="shared" si="129"/>
        <v>0</v>
      </c>
      <c r="BK17" s="508"/>
      <c r="BL17" s="509">
        <f t="shared" si="19"/>
        <v>0</v>
      </c>
      <c r="BM17" s="510">
        <f t="shared" si="130"/>
        <v>0</v>
      </c>
      <c r="BN17" s="508"/>
      <c r="BO17" s="509">
        <f t="shared" si="20"/>
        <v>0</v>
      </c>
      <c r="BP17" s="510">
        <f t="shared" si="131"/>
        <v>0</v>
      </c>
      <c r="BQ17" s="508"/>
      <c r="BR17" s="509">
        <f t="shared" si="21"/>
        <v>0</v>
      </c>
      <c r="BS17" s="510">
        <f t="shared" si="132"/>
        <v>0</v>
      </c>
      <c r="BT17" s="508"/>
      <c r="BU17" s="509">
        <f t="shared" si="22"/>
        <v>0</v>
      </c>
      <c r="BV17" s="510">
        <f t="shared" si="133"/>
        <v>0</v>
      </c>
      <c r="BW17" s="508"/>
      <c r="BX17" s="509">
        <f t="shared" si="23"/>
        <v>0</v>
      </c>
      <c r="BY17" s="510">
        <f t="shared" si="134"/>
        <v>0</v>
      </c>
      <c r="BZ17" s="508"/>
      <c r="CA17" s="509">
        <f t="shared" si="24"/>
        <v>0</v>
      </c>
      <c r="CB17" s="510">
        <f t="shared" si="135"/>
        <v>0</v>
      </c>
      <c r="CC17" s="508"/>
      <c r="CD17" s="509">
        <f t="shared" si="25"/>
        <v>0</v>
      </c>
      <c r="CE17" s="510">
        <f t="shared" si="136"/>
        <v>0</v>
      </c>
      <c r="CF17" s="508">
        <v>6.5</v>
      </c>
      <c r="CG17" s="509">
        <f t="shared" si="26"/>
        <v>0.1282076569557585</v>
      </c>
      <c r="CH17" s="510">
        <f t="shared" si="137"/>
        <v>0</v>
      </c>
      <c r="CI17" s="508"/>
      <c r="CJ17" s="509">
        <f t="shared" si="27"/>
        <v>0</v>
      </c>
      <c r="CK17" s="510">
        <f t="shared" si="138"/>
        <v>0</v>
      </c>
      <c r="CL17" s="508"/>
      <c r="CM17" s="509">
        <f t="shared" si="28"/>
        <v>0</v>
      </c>
      <c r="CN17" s="510">
        <f t="shared" si="139"/>
        <v>0</v>
      </c>
      <c r="CO17" s="508"/>
      <c r="CP17" s="509">
        <f t="shared" si="29"/>
        <v>0</v>
      </c>
      <c r="CQ17" s="510">
        <f t="shared" si="140"/>
        <v>0</v>
      </c>
      <c r="CR17" s="508"/>
      <c r="CS17" s="509">
        <f t="shared" si="30"/>
        <v>0</v>
      </c>
      <c r="CT17" s="510">
        <f t="shared" si="141"/>
        <v>0</v>
      </c>
      <c r="CU17" s="508"/>
      <c r="CV17" s="509">
        <f t="shared" si="31"/>
        <v>0</v>
      </c>
      <c r="CW17" s="510">
        <f t="shared" si="142"/>
        <v>0</v>
      </c>
      <c r="CX17" s="508"/>
      <c r="CY17" s="509">
        <f t="shared" si="32"/>
        <v>0</v>
      </c>
      <c r="CZ17" s="510">
        <f t="shared" si="143"/>
        <v>0</v>
      </c>
      <c r="DA17" s="508"/>
      <c r="DB17" s="509">
        <f t="shared" si="33"/>
        <v>0</v>
      </c>
      <c r="DC17" s="510">
        <f t="shared" si="144"/>
        <v>0</v>
      </c>
      <c r="DD17" s="508"/>
      <c r="DE17" s="509">
        <f t="shared" si="34"/>
        <v>0</v>
      </c>
      <c r="DF17" s="510">
        <f t="shared" si="145"/>
        <v>0</v>
      </c>
      <c r="DG17" s="508"/>
      <c r="DH17" s="509">
        <f t="shared" si="35"/>
        <v>0</v>
      </c>
      <c r="DI17" s="510">
        <f t="shared" si="203"/>
        <v>0</v>
      </c>
      <c r="DJ17" s="508"/>
      <c r="DK17" s="509">
        <f t="shared" si="36"/>
        <v>0</v>
      </c>
      <c r="DL17" s="510">
        <f t="shared" si="146"/>
        <v>0</v>
      </c>
      <c r="DM17" s="508"/>
      <c r="DN17" s="509">
        <f t="shared" si="37"/>
        <v>0</v>
      </c>
      <c r="DO17" s="510">
        <f t="shared" si="147"/>
        <v>0</v>
      </c>
      <c r="DP17" s="508"/>
      <c r="DQ17" s="509">
        <f t="shared" si="38"/>
        <v>0</v>
      </c>
      <c r="DR17" s="510">
        <f t="shared" si="148"/>
        <v>0</v>
      </c>
      <c r="DS17" s="508"/>
      <c r="DT17" s="509">
        <f t="shared" si="39"/>
        <v>0</v>
      </c>
      <c r="DU17" s="510">
        <f t="shared" si="149"/>
        <v>0</v>
      </c>
      <c r="DV17" s="508"/>
      <c r="DW17" s="509">
        <f t="shared" si="40"/>
        <v>0</v>
      </c>
      <c r="DX17" s="510">
        <f t="shared" si="150"/>
        <v>0</v>
      </c>
      <c r="DY17" s="508"/>
      <c r="DZ17" s="509">
        <f t="shared" si="41"/>
        <v>0</v>
      </c>
      <c r="EA17" s="510">
        <f t="shared" si="151"/>
        <v>0</v>
      </c>
      <c r="EB17" s="508">
        <v>46.964705882352973</v>
      </c>
      <c r="EC17" s="509">
        <f t="shared" si="42"/>
        <v>0.92634383089120054</v>
      </c>
      <c r="ED17" s="510">
        <f t="shared" si="152"/>
        <v>0</v>
      </c>
      <c r="EE17" s="508">
        <v>14.534883720930168</v>
      </c>
      <c r="EF17" s="509">
        <f t="shared" si="43"/>
        <v>0.28668975168997746</v>
      </c>
      <c r="EG17" s="510">
        <f t="shared" si="153"/>
        <v>0</v>
      </c>
      <c r="EH17" s="508">
        <v>4.5</v>
      </c>
      <c r="EI17" s="509">
        <f t="shared" si="44"/>
        <v>8.8759147123217419E-2</v>
      </c>
      <c r="EJ17" s="510">
        <f t="shared" si="154"/>
        <v>0</v>
      </c>
      <c r="EK17" s="508"/>
      <c r="EL17" s="509">
        <f t="shared" si="45"/>
        <v>0</v>
      </c>
      <c r="EM17" s="510">
        <f t="shared" si="155"/>
        <v>0</v>
      </c>
      <c r="EN17" s="508"/>
      <c r="EO17" s="509">
        <f t="shared" si="46"/>
        <v>0</v>
      </c>
      <c r="EP17" s="510">
        <f t="shared" si="156"/>
        <v>0</v>
      </c>
      <c r="EQ17" s="508"/>
      <c r="ER17" s="509">
        <f t="shared" si="47"/>
        <v>0</v>
      </c>
      <c r="ES17" s="510">
        <f t="shared" si="157"/>
        <v>0</v>
      </c>
      <c r="ET17" s="508"/>
      <c r="EU17" s="509">
        <f t="shared" si="48"/>
        <v>0</v>
      </c>
      <c r="EV17" s="510">
        <f t="shared" si="158"/>
        <v>0</v>
      </c>
      <c r="EW17" s="508"/>
      <c r="EX17" s="509">
        <f t="shared" si="49"/>
        <v>0</v>
      </c>
      <c r="EY17" s="510">
        <f t="shared" si="159"/>
        <v>0</v>
      </c>
      <c r="EZ17" s="508"/>
      <c r="FA17" s="509">
        <f t="shared" si="50"/>
        <v>0</v>
      </c>
      <c r="FB17" s="510">
        <f t="shared" si="160"/>
        <v>0</v>
      </c>
      <c r="FC17" s="508"/>
      <c r="FD17" s="509">
        <f t="shared" si="51"/>
        <v>0</v>
      </c>
      <c r="FE17" s="510">
        <f t="shared" si="161"/>
        <v>0</v>
      </c>
      <c r="FF17" s="508"/>
      <c r="FG17" s="509">
        <f t="shared" si="52"/>
        <v>0</v>
      </c>
      <c r="FH17" s="510">
        <f t="shared" si="162"/>
        <v>0</v>
      </c>
      <c r="FI17" s="508"/>
      <c r="FJ17" s="509">
        <f t="shared" si="53"/>
        <v>0</v>
      </c>
      <c r="FK17" s="510">
        <f t="shared" si="163"/>
        <v>0</v>
      </c>
      <c r="FL17" s="508"/>
      <c r="FM17" s="509">
        <f t="shared" si="54"/>
        <v>0</v>
      </c>
      <c r="FN17" s="510">
        <f t="shared" si="164"/>
        <v>0</v>
      </c>
      <c r="FO17" s="508"/>
      <c r="FP17" s="509">
        <f t="shared" si="55"/>
        <v>0</v>
      </c>
      <c r="FQ17" s="510">
        <f t="shared" si="165"/>
        <v>0</v>
      </c>
      <c r="FR17" s="508"/>
      <c r="FS17" s="509">
        <f t="shared" si="56"/>
        <v>0</v>
      </c>
      <c r="FT17" s="510">
        <f t="shared" si="166"/>
        <v>0</v>
      </c>
      <c r="FU17" s="508"/>
      <c r="FV17" s="509">
        <f t="shared" si="57"/>
        <v>0</v>
      </c>
      <c r="FW17" s="510">
        <f t="shared" si="167"/>
        <v>0</v>
      </c>
      <c r="FX17" s="508"/>
      <c r="FY17" s="509">
        <f t="shared" si="58"/>
        <v>0</v>
      </c>
      <c r="FZ17" s="510">
        <f t="shared" si="168"/>
        <v>0</v>
      </c>
      <c r="GA17" s="508"/>
      <c r="GB17" s="509">
        <f t="shared" si="59"/>
        <v>0</v>
      </c>
      <c r="GC17" s="510">
        <f t="shared" si="169"/>
        <v>0</v>
      </c>
      <c r="GD17" s="508"/>
      <c r="GE17" s="509">
        <f t="shared" si="60"/>
        <v>0</v>
      </c>
      <c r="GF17" s="510">
        <f t="shared" si="170"/>
        <v>0</v>
      </c>
      <c r="GG17" s="508"/>
      <c r="GH17" s="509">
        <f t="shared" si="61"/>
        <v>0</v>
      </c>
      <c r="GI17" s="510">
        <f t="shared" si="171"/>
        <v>0</v>
      </c>
      <c r="GJ17" s="508"/>
      <c r="GK17" s="509">
        <f t="shared" si="62"/>
        <v>0</v>
      </c>
      <c r="GL17" s="510">
        <f t="shared" si="172"/>
        <v>0</v>
      </c>
      <c r="GM17" s="508"/>
      <c r="GN17" s="509">
        <f t="shared" si="63"/>
        <v>0</v>
      </c>
      <c r="GO17" s="510">
        <f t="shared" si="173"/>
        <v>0</v>
      </c>
      <c r="GP17" s="508"/>
      <c r="GQ17" s="509">
        <f t="shared" si="64"/>
        <v>0</v>
      </c>
      <c r="GR17" s="510">
        <f t="shared" si="174"/>
        <v>0</v>
      </c>
      <c r="GS17" s="508"/>
      <c r="GT17" s="509">
        <f t="shared" si="65"/>
        <v>0</v>
      </c>
      <c r="GU17" s="510">
        <f t="shared" si="175"/>
        <v>0</v>
      </c>
      <c r="GV17" s="508"/>
      <c r="GW17" s="509">
        <f t="shared" si="66"/>
        <v>0</v>
      </c>
      <c r="GX17" s="510">
        <f t="shared" si="176"/>
        <v>0</v>
      </c>
      <c r="GY17" s="508"/>
      <c r="GZ17" s="509">
        <f t="shared" si="67"/>
        <v>0</v>
      </c>
      <c r="HA17" s="510">
        <f t="shared" si="177"/>
        <v>0</v>
      </c>
      <c r="HB17" s="508"/>
      <c r="HC17" s="509">
        <f t="shared" si="68"/>
        <v>0</v>
      </c>
      <c r="HD17" s="510">
        <f t="shared" si="178"/>
        <v>0</v>
      </c>
      <c r="HE17" s="508"/>
      <c r="HF17" s="509">
        <f t="shared" si="69"/>
        <v>0</v>
      </c>
      <c r="HG17" s="510">
        <f t="shared" si="179"/>
        <v>0</v>
      </c>
      <c r="HH17" s="508"/>
      <c r="HI17" s="509">
        <f t="shared" si="70"/>
        <v>0</v>
      </c>
      <c r="HJ17" s="510">
        <f t="shared" si="180"/>
        <v>0</v>
      </c>
      <c r="HK17" s="508"/>
      <c r="HL17" s="509">
        <f t="shared" si="71"/>
        <v>0</v>
      </c>
      <c r="HM17" s="510">
        <f t="shared" si="181"/>
        <v>0</v>
      </c>
      <c r="HN17" s="508"/>
      <c r="HO17" s="509">
        <f t="shared" si="72"/>
        <v>0</v>
      </c>
      <c r="HP17" s="510">
        <f t="shared" si="182"/>
        <v>0</v>
      </c>
      <c r="HQ17" s="508"/>
      <c r="HR17" s="509">
        <f t="shared" si="73"/>
        <v>0</v>
      </c>
      <c r="HS17" s="510">
        <f t="shared" si="183"/>
        <v>0</v>
      </c>
      <c r="HT17" s="508"/>
      <c r="HU17" s="509">
        <f t="shared" si="74"/>
        <v>0</v>
      </c>
      <c r="HV17" s="510">
        <f t="shared" si="184"/>
        <v>0</v>
      </c>
      <c r="HW17" s="508"/>
      <c r="HX17" s="509">
        <f t="shared" si="75"/>
        <v>0</v>
      </c>
      <c r="HY17" s="510">
        <f t="shared" si="185"/>
        <v>0</v>
      </c>
      <c r="HZ17" s="508"/>
      <c r="IA17" s="509">
        <f t="shared" si="76"/>
        <v>0</v>
      </c>
      <c r="IB17" s="510">
        <f t="shared" si="186"/>
        <v>0</v>
      </c>
      <c r="IC17" s="508"/>
      <c r="ID17" s="509">
        <f t="shared" si="77"/>
        <v>0</v>
      </c>
      <c r="IE17" s="510">
        <f t="shared" si="187"/>
        <v>0</v>
      </c>
      <c r="IF17" s="508"/>
      <c r="IG17" s="509">
        <f t="shared" si="78"/>
        <v>0</v>
      </c>
      <c r="IH17" s="510">
        <f t="shared" si="188"/>
        <v>0</v>
      </c>
      <c r="II17" s="508"/>
      <c r="IJ17" s="509">
        <f t="shared" si="79"/>
        <v>0</v>
      </c>
      <c r="IK17" s="510">
        <f t="shared" si="189"/>
        <v>0</v>
      </c>
      <c r="IL17" s="508"/>
      <c r="IM17" s="509">
        <f t="shared" si="80"/>
        <v>0</v>
      </c>
      <c r="IN17" s="510">
        <f t="shared" si="190"/>
        <v>0</v>
      </c>
      <c r="IO17" s="508"/>
      <c r="IP17" s="509">
        <f t="shared" si="81"/>
        <v>0</v>
      </c>
      <c r="IQ17" s="510">
        <f t="shared" si="191"/>
        <v>0</v>
      </c>
      <c r="IR17" s="508"/>
      <c r="IS17" s="509">
        <f t="shared" si="82"/>
        <v>0</v>
      </c>
      <c r="IT17" s="510">
        <f t="shared" si="192"/>
        <v>0</v>
      </c>
      <c r="IU17" s="508"/>
      <c r="IV17" s="509">
        <f t="shared" si="83"/>
        <v>0</v>
      </c>
      <c r="IW17" s="510">
        <f t="shared" si="193"/>
        <v>0</v>
      </c>
      <c r="IX17" s="508"/>
      <c r="IY17" s="509">
        <f t="shared" si="84"/>
        <v>0</v>
      </c>
      <c r="IZ17" s="510">
        <f t="shared" si="194"/>
        <v>0</v>
      </c>
      <c r="JA17" s="508"/>
      <c r="JB17" s="509">
        <f t="shared" si="85"/>
        <v>0</v>
      </c>
      <c r="JC17" s="510">
        <f t="shared" si="195"/>
        <v>0</v>
      </c>
      <c r="JD17" s="508"/>
      <c r="JE17" s="509">
        <f t="shared" si="86"/>
        <v>0</v>
      </c>
      <c r="JF17" s="510">
        <f t="shared" si="196"/>
        <v>0</v>
      </c>
      <c r="JG17" s="508"/>
      <c r="JH17" s="509">
        <f t="shared" si="87"/>
        <v>0</v>
      </c>
      <c r="JI17" s="510">
        <f t="shared" si="197"/>
        <v>0</v>
      </c>
      <c r="JJ17" s="508"/>
      <c r="JK17" s="510">
        <f t="shared" si="198"/>
        <v>0</v>
      </c>
      <c r="JL17" s="510" t="str">
        <f t="shared" si="88"/>
        <v>0</v>
      </c>
      <c r="JM17" s="508"/>
      <c r="JN17" s="510" t="str">
        <f t="shared" si="89"/>
        <v>0</v>
      </c>
      <c r="JO17" s="510" t="str">
        <f t="shared" si="90"/>
        <v>0</v>
      </c>
      <c r="JP17" s="508"/>
      <c r="JQ17" s="510" t="str">
        <f t="shared" si="91"/>
        <v>0</v>
      </c>
      <c r="JR17" s="510" t="str">
        <f t="shared" si="92"/>
        <v>0</v>
      </c>
      <c r="JS17" s="508"/>
      <c r="JT17" s="510" t="str">
        <f t="shared" si="93"/>
        <v>0</v>
      </c>
      <c r="JU17" s="510" t="str">
        <f t="shared" si="94"/>
        <v>0</v>
      </c>
      <c r="JV17" s="508"/>
      <c r="JW17" s="510" t="str">
        <f t="shared" si="95"/>
        <v>0</v>
      </c>
      <c r="JX17" s="510" t="str">
        <f t="shared" si="96"/>
        <v>0</v>
      </c>
      <c r="JY17" s="508"/>
      <c r="JZ17" s="510" t="str">
        <f t="shared" si="97"/>
        <v>0</v>
      </c>
      <c r="KA17" s="510" t="str">
        <f t="shared" si="98"/>
        <v>0</v>
      </c>
      <c r="KB17" s="508"/>
      <c r="KC17" s="510" t="str">
        <f t="shared" si="99"/>
        <v>0</v>
      </c>
      <c r="KD17" s="510" t="str">
        <f t="shared" si="100"/>
        <v>0</v>
      </c>
      <c r="KE17" s="508"/>
      <c r="KF17" s="510" t="str">
        <f t="shared" si="101"/>
        <v>0</v>
      </c>
      <c r="KG17" s="510" t="str">
        <f t="shared" si="102"/>
        <v>0</v>
      </c>
      <c r="KH17" s="508"/>
      <c r="KI17" s="510" t="str">
        <f t="shared" si="103"/>
        <v>0</v>
      </c>
      <c r="KJ17" s="510" t="str">
        <f t="shared" si="104"/>
        <v>0</v>
      </c>
      <c r="KK17" s="508"/>
      <c r="KL17" s="510" t="str">
        <f t="shared" si="105"/>
        <v>0</v>
      </c>
      <c r="KM17" s="510" t="str">
        <f t="shared" si="106"/>
        <v>0</v>
      </c>
      <c r="KN17" s="508"/>
      <c r="KO17" s="510" t="str">
        <f t="shared" si="107"/>
        <v>0</v>
      </c>
      <c r="KP17" s="510" t="str">
        <f t="shared" si="108"/>
        <v>0</v>
      </c>
      <c r="KQ17" s="508"/>
      <c r="KR17" s="510" t="str">
        <f t="shared" si="109"/>
        <v>0</v>
      </c>
      <c r="KS17" s="510" t="str">
        <f t="shared" si="110"/>
        <v>0</v>
      </c>
      <c r="KT17" s="510">
        <f t="shared" si="201"/>
        <v>0</v>
      </c>
      <c r="KU17" s="510">
        <f t="shared" si="202"/>
        <v>0</v>
      </c>
      <c r="KV17" s="261">
        <f t="shared" si="199"/>
        <v>334.47812940650306</v>
      </c>
    </row>
    <row r="18" spans="1:308" ht="15" customHeight="1">
      <c r="A18" s="467">
        <f t="shared" si="200"/>
        <v>45847</v>
      </c>
      <c r="B18" s="468" t="str">
        <f>+Report1!B17</f>
        <v>Facial</v>
      </c>
      <c r="C18" s="469" t="str">
        <f>+Report1!C17</f>
        <v>13/12</v>
      </c>
      <c r="D18" s="470">
        <f>+Report1!P17</f>
        <v>41.786999999999999</v>
      </c>
      <c r="E18" s="471">
        <f>+Report1!R17</f>
        <v>42.956000000000003</v>
      </c>
      <c r="F18" s="508"/>
      <c r="G18" s="509">
        <f t="shared" si="0"/>
        <v>0</v>
      </c>
      <c r="H18" s="510">
        <f t="shared" si="111"/>
        <v>0</v>
      </c>
      <c r="I18" s="508">
        <v>313.95348837209326</v>
      </c>
      <c r="J18" s="509">
        <f t="shared" si="1"/>
        <v>7.3087226085318289</v>
      </c>
      <c r="K18" s="510">
        <f t="shared" si="112"/>
        <v>0</v>
      </c>
      <c r="L18" s="508"/>
      <c r="M18" s="509">
        <f t="shared" si="2"/>
        <v>0</v>
      </c>
      <c r="N18" s="510">
        <f t="shared" si="113"/>
        <v>0</v>
      </c>
      <c r="O18" s="508">
        <v>15</v>
      </c>
      <c r="P18" s="509">
        <f t="shared" si="3"/>
        <v>0.34919452462985379</v>
      </c>
      <c r="Q18" s="510">
        <f t="shared" si="114"/>
        <v>0</v>
      </c>
      <c r="R18" s="508">
        <v>7.6875</v>
      </c>
      <c r="S18" s="509">
        <f t="shared" si="4"/>
        <v>0.17896219387280007</v>
      </c>
      <c r="T18" s="510">
        <f t="shared" si="115"/>
        <v>0</v>
      </c>
      <c r="U18" s="508">
        <v>4.6875000000000142</v>
      </c>
      <c r="V18" s="509">
        <f t="shared" si="5"/>
        <v>0.10912328894682964</v>
      </c>
      <c r="W18" s="510">
        <f t="shared" si="116"/>
        <v>0</v>
      </c>
      <c r="X18" s="508"/>
      <c r="Y18" s="509">
        <f t="shared" si="6"/>
        <v>0</v>
      </c>
      <c r="Z18" s="510">
        <f t="shared" si="117"/>
        <v>0</v>
      </c>
      <c r="AA18" s="508"/>
      <c r="AB18" s="509">
        <f t="shared" si="7"/>
        <v>0</v>
      </c>
      <c r="AC18" s="510">
        <f t="shared" si="118"/>
        <v>0</v>
      </c>
      <c r="AD18" s="508"/>
      <c r="AE18" s="509">
        <f t="shared" si="8"/>
        <v>0</v>
      </c>
      <c r="AF18" s="510">
        <f t="shared" si="119"/>
        <v>0</v>
      </c>
      <c r="AG18" s="508"/>
      <c r="AH18" s="509">
        <f t="shared" si="9"/>
        <v>0</v>
      </c>
      <c r="AI18" s="510">
        <f t="shared" si="120"/>
        <v>0</v>
      </c>
      <c r="AJ18" s="508"/>
      <c r="AK18" s="509">
        <f t="shared" si="10"/>
        <v>0</v>
      </c>
      <c r="AL18" s="510">
        <f t="shared" si="121"/>
        <v>0</v>
      </c>
      <c r="AM18" s="508">
        <v>42.051282051282044</v>
      </c>
      <c r="AN18" s="509">
        <f t="shared" si="11"/>
        <v>0.97893849639822239</v>
      </c>
      <c r="AO18" s="510">
        <f t="shared" si="122"/>
        <v>0</v>
      </c>
      <c r="AP18" s="508"/>
      <c r="AQ18" s="509">
        <f t="shared" si="12"/>
        <v>0</v>
      </c>
      <c r="AR18" s="510">
        <f t="shared" si="123"/>
        <v>0</v>
      </c>
      <c r="AS18" s="508"/>
      <c r="AT18" s="509">
        <f t="shared" si="13"/>
        <v>0</v>
      </c>
      <c r="AU18" s="510">
        <f t="shared" si="124"/>
        <v>0</v>
      </c>
      <c r="AV18" s="508">
        <v>11.099999999999994</v>
      </c>
      <c r="AW18" s="509">
        <f t="shared" si="14"/>
        <v>0.25840394822609164</v>
      </c>
      <c r="AX18" s="510">
        <f t="shared" si="125"/>
        <v>0</v>
      </c>
      <c r="AY18" s="508">
        <v>44.333333333333343</v>
      </c>
      <c r="AZ18" s="509">
        <f t="shared" si="15"/>
        <v>1.0320638172393459</v>
      </c>
      <c r="BA18" s="510">
        <f t="shared" si="126"/>
        <v>0</v>
      </c>
      <c r="BB18" s="508"/>
      <c r="BC18" s="509">
        <f t="shared" si="16"/>
        <v>0</v>
      </c>
      <c r="BD18" s="510">
        <f t="shared" si="127"/>
        <v>0</v>
      </c>
      <c r="BE18" s="508"/>
      <c r="BF18" s="509">
        <f t="shared" si="17"/>
        <v>0</v>
      </c>
      <c r="BG18" s="510">
        <f t="shared" si="128"/>
        <v>0</v>
      </c>
      <c r="BH18" s="508"/>
      <c r="BI18" s="509">
        <f t="shared" si="18"/>
        <v>0</v>
      </c>
      <c r="BJ18" s="510">
        <f t="shared" si="129"/>
        <v>0</v>
      </c>
      <c r="BK18" s="508"/>
      <c r="BL18" s="509">
        <f t="shared" si="19"/>
        <v>0</v>
      </c>
      <c r="BM18" s="510">
        <f t="shared" si="130"/>
        <v>0</v>
      </c>
      <c r="BN18" s="508"/>
      <c r="BO18" s="509">
        <f t="shared" si="20"/>
        <v>0</v>
      </c>
      <c r="BP18" s="510">
        <f t="shared" si="131"/>
        <v>0</v>
      </c>
      <c r="BQ18" s="508"/>
      <c r="BR18" s="509">
        <f t="shared" si="21"/>
        <v>0</v>
      </c>
      <c r="BS18" s="510">
        <f t="shared" si="132"/>
        <v>0</v>
      </c>
      <c r="BT18" s="508"/>
      <c r="BU18" s="509">
        <f t="shared" si="22"/>
        <v>0</v>
      </c>
      <c r="BV18" s="510">
        <f t="shared" si="133"/>
        <v>0</v>
      </c>
      <c r="BW18" s="508"/>
      <c r="BX18" s="509">
        <f t="shared" si="23"/>
        <v>0</v>
      </c>
      <c r="BY18" s="510">
        <f t="shared" si="134"/>
        <v>0</v>
      </c>
      <c r="BZ18" s="508"/>
      <c r="CA18" s="509">
        <f t="shared" si="24"/>
        <v>0</v>
      </c>
      <c r="CB18" s="510">
        <f t="shared" si="135"/>
        <v>0</v>
      </c>
      <c r="CC18" s="508"/>
      <c r="CD18" s="509">
        <f t="shared" si="25"/>
        <v>0</v>
      </c>
      <c r="CE18" s="510">
        <f t="shared" si="136"/>
        <v>0</v>
      </c>
      <c r="CF18" s="508">
        <v>6.1</v>
      </c>
      <c r="CG18" s="509">
        <f t="shared" si="26"/>
        <v>0.14200577334947387</v>
      </c>
      <c r="CH18" s="510">
        <f t="shared" si="137"/>
        <v>0</v>
      </c>
      <c r="CI18" s="508"/>
      <c r="CJ18" s="509">
        <f t="shared" si="27"/>
        <v>0</v>
      </c>
      <c r="CK18" s="510">
        <f t="shared" si="138"/>
        <v>0</v>
      </c>
      <c r="CL18" s="508"/>
      <c r="CM18" s="509">
        <f t="shared" si="28"/>
        <v>0</v>
      </c>
      <c r="CN18" s="510">
        <f t="shared" si="139"/>
        <v>0</v>
      </c>
      <c r="CO18" s="508"/>
      <c r="CP18" s="509">
        <f t="shared" si="29"/>
        <v>0</v>
      </c>
      <c r="CQ18" s="510">
        <f t="shared" si="140"/>
        <v>0</v>
      </c>
      <c r="CR18" s="508"/>
      <c r="CS18" s="509">
        <f t="shared" si="30"/>
        <v>0</v>
      </c>
      <c r="CT18" s="510">
        <f t="shared" si="141"/>
        <v>0</v>
      </c>
      <c r="CU18" s="508"/>
      <c r="CV18" s="509">
        <f t="shared" si="31"/>
        <v>0</v>
      </c>
      <c r="CW18" s="510">
        <f t="shared" si="142"/>
        <v>0</v>
      </c>
      <c r="CX18" s="508"/>
      <c r="CY18" s="509">
        <f t="shared" si="32"/>
        <v>0</v>
      </c>
      <c r="CZ18" s="510">
        <f t="shared" si="143"/>
        <v>0</v>
      </c>
      <c r="DA18" s="508"/>
      <c r="DB18" s="509">
        <f t="shared" si="33"/>
        <v>0</v>
      </c>
      <c r="DC18" s="510">
        <f t="shared" si="144"/>
        <v>0</v>
      </c>
      <c r="DD18" s="508"/>
      <c r="DE18" s="509">
        <f t="shared" si="34"/>
        <v>0</v>
      </c>
      <c r="DF18" s="510">
        <f t="shared" si="145"/>
        <v>0</v>
      </c>
      <c r="DG18" s="508"/>
      <c r="DH18" s="509">
        <f t="shared" si="35"/>
        <v>0</v>
      </c>
      <c r="DI18" s="510">
        <f t="shared" si="203"/>
        <v>0</v>
      </c>
      <c r="DJ18" s="508"/>
      <c r="DK18" s="509">
        <f t="shared" si="36"/>
        <v>0</v>
      </c>
      <c r="DL18" s="510">
        <f t="shared" si="146"/>
        <v>0</v>
      </c>
      <c r="DM18" s="508"/>
      <c r="DN18" s="509">
        <f t="shared" si="37"/>
        <v>0</v>
      </c>
      <c r="DO18" s="510">
        <f t="shared" si="147"/>
        <v>0</v>
      </c>
      <c r="DP18" s="508"/>
      <c r="DQ18" s="509">
        <f t="shared" si="38"/>
        <v>0</v>
      </c>
      <c r="DR18" s="510">
        <f t="shared" si="148"/>
        <v>0</v>
      </c>
      <c r="DS18" s="508"/>
      <c r="DT18" s="509">
        <f t="shared" si="39"/>
        <v>0</v>
      </c>
      <c r="DU18" s="510">
        <f t="shared" si="149"/>
        <v>0</v>
      </c>
      <c r="DV18" s="508"/>
      <c r="DW18" s="509">
        <f t="shared" si="40"/>
        <v>0</v>
      </c>
      <c r="DX18" s="510">
        <f t="shared" si="150"/>
        <v>0</v>
      </c>
      <c r="DY18" s="508"/>
      <c r="DZ18" s="509">
        <f t="shared" si="41"/>
        <v>0</v>
      </c>
      <c r="EA18" s="510">
        <f t="shared" si="151"/>
        <v>0</v>
      </c>
      <c r="EB18" s="508">
        <v>46.96470588235286</v>
      </c>
      <c r="EC18" s="509">
        <f t="shared" si="42"/>
        <v>1.093321209664607</v>
      </c>
      <c r="ED18" s="510">
        <f t="shared" si="152"/>
        <v>0</v>
      </c>
      <c r="EE18" s="508">
        <v>14.534883720930281</v>
      </c>
      <c r="EF18" s="509">
        <f t="shared" si="43"/>
        <v>0.33836678743202997</v>
      </c>
      <c r="EG18" s="510">
        <f t="shared" si="153"/>
        <v>0</v>
      </c>
      <c r="EH18" s="508">
        <v>4.5</v>
      </c>
      <c r="EI18" s="509">
        <f t="shared" si="44"/>
        <v>0.10475835738895613</v>
      </c>
      <c r="EJ18" s="510">
        <f t="shared" si="154"/>
        <v>0</v>
      </c>
      <c r="EK18" s="508"/>
      <c r="EL18" s="509">
        <f t="shared" si="45"/>
        <v>0</v>
      </c>
      <c r="EM18" s="510">
        <f t="shared" si="155"/>
        <v>0</v>
      </c>
      <c r="EN18" s="508"/>
      <c r="EO18" s="509">
        <f t="shared" si="46"/>
        <v>0</v>
      </c>
      <c r="EP18" s="510">
        <f t="shared" si="156"/>
        <v>0</v>
      </c>
      <c r="EQ18" s="508"/>
      <c r="ER18" s="509">
        <f t="shared" si="47"/>
        <v>0</v>
      </c>
      <c r="ES18" s="510">
        <f t="shared" si="157"/>
        <v>0</v>
      </c>
      <c r="ET18" s="508"/>
      <c r="EU18" s="509">
        <f t="shared" si="48"/>
        <v>0</v>
      </c>
      <c r="EV18" s="510">
        <f t="shared" si="158"/>
        <v>0</v>
      </c>
      <c r="EW18" s="508"/>
      <c r="EX18" s="509">
        <f t="shared" si="49"/>
        <v>0</v>
      </c>
      <c r="EY18" s="510">
        <f t="shared" si="159"/>
        <v>0</v>
      </c>
      <c r="EZ18" s="508"/>
      <c r="FA18" s="509">
        <f t="shared" si="50"/>
        <v>0</v>
      </c>
      <c r="FB18" s="510">
        <f t="shared" si="160"/>
        <v>0</v>
      </c>
      <c r="FC18" s="508"/>
      <c r="FD18" s="509">
        <f t="shared" si="51"/>
        <v>0</v>
      </c>
      <c r="FE18" s="510">
        <f t="shared" si="161"/>
        <v>0</v>
      </c>
      <c r="FF18" s="508"/>
      <c r="FG18" s="509">
        <f t="shared" si="52"/>
        <v>0</v>
      </c>
      <c r="FH18" s="510">
        <f t="shared" si="162"/>
        <v>0</v>
      </c>
      <c r="FI18" s="508"/>
      <c r="FJ18" s="509">
        <f t="shared" si="53"/>
        <v>0</v>
      </c>
      <c r="FK18" s="510">
        <f t="shared" si="163"/>
        <v>0</v>
      </c>
      <c r="FL18" s="508"/>
      <c r="FM18" s="509">
        <f t="shared" si="54"/>
        <v>0</v>
      </c>
      <c r="FN18" s="510">
        <f t="shared" si="164"/>
        <v>0</v>
      </c>
      <c r="FO18" s="508"/>
      <c r="FP18" s="509">
        <f t="shared" si="55"/>
        <v>0</v>
      </c>
      <c r="FQ18" s="510">
        <f t="shared" si="165"/>
        <v>0</v>
      </c>
      <c r="FR18" s="508"/>
      <c r="FS18" s="509">
        <f t="shared" si="56"/>
        <v>0</v>
      </c>
      <c r="FT18" s="510">
        <f t="shared" si="166"/>
        <v>0</v>
      </c>
      <c r="FU18" s="508"/>
      <c r="FV18" s="509">
        <f t="shared" si="57"/>
        <v>0</v>
      </c>
      <c r="FW18" s="510">
        <f t="shared" si="167"/>
        <v>0</v>
      </c>
      <c r="FX18" s="508"/>
      <c r="FY18" s="509">
        <f t="shared" si="58"/>
        <v>0</v>
      </c>
      <c r="FZ18" s="510">
        <f t="shared" si="168"/>
        <v>0</v>
      </c>
      <c r="GA18" s="508"/>
      <c r="GB18" s="509">
        <f t="shared" si="59"/>
        <v>0</v>
      </c>
      <c r="GC18" s="510">
        <f t="shared" si="169"/>
        <v>0</v>
      </c>
      <c r="GD18" s="508"/>
      <c r="GE18" s="509">
        <f t="shared" si="60"/>
        <v>0</v>
      </c>
      <c r="GF18" s="510">
        <f t="shared" si="170"/>
        <v>0</v>
      </c>
      <c r="GG18" s="508"/>
      <c r="GH18" s="509">
        <f t="shared" si="61"/>
        <v>0</v>
      </c>
      <c r="GI18" s="510">
        <f t="shared" si="171"/>
        <v>0</v>
      </c>
      <c r="GJ18" s="508"/>
      <c r="GK18" s="509">
        <f t="shared" si="62"/>
        <v>0</v>
      </c>
      <c r="GL18" s="510">
        <f t="shared" si="172"/>
        <v>0</v>
      </c>
      <c r="GM18" s="508"/>
      <c r="GN18" s="509">
        <f t="shared" si="63"/>
        <v>0</v>
      </c>
      <c r="GO18" s="510">
        <f t="shared" si="173"/>
        <v>0</v>
      </c>
      <c r="GP18" s="508"/>
      <c r="GQ18" s="509">
        <f t="shared" si="64"/>
        <v>0</v>
      </c>
      <c r="GR18" s="510">
        <f t="shared" si="174"/>
        <v>0</v>
      </c>
      <c r="GS18" s="508"/>
      <c r="GT18" s="509">
        <f t="shared" si="65"/>
        <v>0</v>
      </c>
      <c r="GU18" s="510">
        <f t="shared" si="175"/>
        <v>0</v>
      </c>
      <c r="GV18" s="508"/>
      <c r="GW18" s="509">
        <f t="shared" si="66"/>
        <v>0</v>
      </c>
      <c r="GX18" s="510">
        <f t="shared" si="176"/>
        <v>0</v>
      </c>
      <c r="GY18" s="508"/>
      <c r="GZ18" s="509">
        <f t="shared" si="67"/>
        <v>0</v>
      </c>
      <c r="HA18" s="510">
        <f t="shared" si="177"/>
        <v>0</v>
      </c>
      <c r="HB18" s="508"/>
      <c r="HC18" s="509">
        <f t="shared" si="68"/>
        <v>0</v>
      </c>
      <c r="HD18" s="510">
        <f t="shared" si="178"/>
        <v>0</v>
      </c>
      <c r="HE18" s="508"/>
      <c r="HF18" s="509">
        <f t="shared" si="69"/>
        <v>0</v>
      </c>
      <c r="HG18" s="510">
        <f t="shared" si="179"/>
        <v>0</v>
      </c>
      <c r="HH18" s="508"/>
      <c r="HI18" s="509">
        <f t="shared" si="70"/>
        <v>0</v>
      </c>
      <c r="HJ18" s="510">
        <f t="shared" si="180"/>
        <v>0</v>
      </c>
      <c r="HK18" s="508"/>
      <c r="HL18" s="509">
        <f t="shared" si="71"/>
        <v>0</v>
      </c>
      <c r="HM18" s="510">
        <f t="shared" si="181"/>
        <v>0</v>
      </c>
      <c r="HN18" s="508"/>
      <c r="HO18" s="509">
        <f t="shared" si="72"/>
        <v>0</v>
      </c>
      <c r="HP18" s="510">
        <f t="shared" si="182"/>
        <v>0</v>
      </c>
      <c r="HQ18" s="508"/>
      <c r="HR18" s="509">
        <f t="shared" si="73"/>
        <v>0</v>
      </c>
      <c r="HS18" s="510">
        <f t="shared" si="183"/>
        <v>0</v>
      </c>
      <c r="HT18" s="508"/>
      <c r="HU18" s="509">
        <f t="shared" si="74"/>
        <v>0</v>
      </c>
      <c r="HV18" s="510">
        <f t="shared" si="184"/>
        <v>0</v>
      </c>
      <c r="HW18" s="508"/>
      <c r="HX18" s="509">
        <f t="shared" si="75"/>
        <v>0</v>
      </c>
      <c r="HY18" s="510">
        <f t="shared" si="185"/>
        <v>0</v>
      </c>
      <c r="HZ18" s="508"/>
      <c r="IA18" s="509">
        <f t="shared" si="76"/>
        <v>0</v>
      </c>
      <c r="IB18" s="510">
        <f t="shared" si="186"/>
        <v>0</v>
      </c>
      <c r="IC18" s="508"/>
      <c r="ID18" s="509">
        <f t="shared" si="77"/>
        <v>0</v>
      </c>
      <c r="IE18" s="510">
        <f t="shared" si="187"/>
        <v>0</v>
      </c>
      <c r="IF18" s="508"/>
      <c r="IG18" s="509">
        <f t="shared" si="78"/>
        <v>0</v>
      </c>
      <c r="IH18" s="510">
        <f t="shared" si="188"/>
        <v>0</v>
      </c>
      <c r="II18" s="508"/>
      <c r="IJ18" s="509">
        <f t="shared" si="79"/>
        <v>0</v>
      </c>
      <c r="IK18" s="510">
        <f t="shared" si="189"/>
        <v>0</v>
      </c>
      <c r="IL18" s="508"/>
      <c r="IM18" s="509">
        <f t="shared" si="80"/>
        <v>0</v>
      </c>
      <c r="IN18" s="510">
        <f t="shared" si="190"/>
        <v>0</v>
      </c>
      <c r="IO18" s="508"/>
      <c r="IP18" s="509">
        <f t="shared" si="81"/>
        <v>0</v>
      </c>
      <c r="IQ18" s="510">
        <f t="shared" si="191"/>
        <v>0</v>
      </c>
      <c r="IR18" s="508"/>
      <c r="IS18" s="509">
        <f t="shared" si="82"/>
        <v>0</v>
      </c>
      <c r="IT18" s="510">
        <f t="shared" si="192"/>
        <v>0</v>
      </c>
      <c r="IU18" s="508"/>
      <c r="IV18" s="509">
        <f t="shared" si="83"/>
        <v>0</v>
      </c>
      <c r="IW18" s="510">
        <f t="shared" si="193"/>
        <v>0</v>
      </c>
      <c r="IX18" s="508"/>
      <c r="IY18" s="509">
        <f t="shared" si="84"/>
        <v>0</v>
      </c>
      <c r="IZ18" s="510">
        <f t="shared" si="194"/>
        <v>0</v>
      </c>
      <c r="JA18" s="508"/>
      <c r="JB18" s="509">
        <f t="shared" si="85"/>
        <v>0</v>
      </c>
      <c r="JC18" s="510">
        <f t="shared" si="195"/>
        <v>0</v>
      </c>
      <c r="JD18" s="508"/>
      <c r="JE18" s="509">
        <f t="shared" si="86"/>
        <v>0</v>
      </c>
      <c r="JF18" s="510">
        <f t="shared" si="196"/>
        <v>0</v>
      </c>
      <c r="JG18" s="508"/>
      <c r="JH18" s="509">
        <f t="shared" si="87"/>
        <v>0</v>
      </c>
      <c r="JI18" s="510">
        <f t="shared" si="197"/>
        <v>0</v>
      </c>
      <c r="JJ18" s="508"/>
      <c r="JK18" s="510">
        <f t="shared" si="198"/>
        <v>0</v>
      </c>
      <c r="JL18" s="510" t="str">
        <f t="shared" si="88"/>
        <v>0</v>
      </c>
      <c r="JM18" s="508"/>
      <c r="JN18" s="510" t="str">
        <f t="shared" si="89"/>
        <v>0</v>
      </c>
      <c r="JO18" s="510" t="str">
        <f t="shared" si="90"/>
        <v>0</v>
      </c>
      <c r="JP18" s="508"/>
      <c r="JQ18" s="510" t="str">
        <f t="shared" si="91"/>
        <v>0</v>
      </c>
      <c r="JR18" s="510" t="str">
        <f t="shared" si="92"/>
        <v>0</v>
      </c>
      <c r="JS18" s="508"/>
      <c r="JT18" s="510" t="str">
        <f t="shared" si="93"/>
        <v>0</v>
      </c>
      <c r="JU18" s="510" t="str">
        <f t="shared" si="94"/>
        <v>0</v>
      </c>
      <c r="JV18" s="508"/>
      <c r="JW18" s="510" t="str">
        <f t="shared" si="95"/>
        <v>0</v>
      </c>
      <c r="JX18" s="510" t="str">
        <f t="shared" si="96"/>
        <v>0</v>
      </c>
      <c r="JY18" s="508"/>
      <c r="JZ18" s="510" t="str">
        <f t="shared" si="97"/>
        <v>0</v>
      </c>
      <c r="KA18" s="510" t="str">
        <f t="shared" si="98"/>
        <v>0</v>
      </c>
      <c r="KB18" s="508"/>
      <c r="KC18" s="510" t="str">
        <f t="shared" si="99"/>
        <v>0</v>
      </c>
      <c r="KD18" s="510" t="str">
        <f t="shared" si="100"/>
        <v>0</v>
      </c>
      <c r="KE18" s="508"/>
      <c r="KF18" s="510" t="str">
        <f t="shared" si="101"/>
        <v>0</v>
      </c>
      <c r="KG18" s="510" t="str">
        <f t="shared" si="102"/>
        <v>0</v>
      </c>
      <c r="KH18" s="508"/>
      <c r="KI18" s="510" t="str">
        <f t="shared" si="103"/>
        <v>0</v>
      </c>
      <c r="KJ18" s="510" t="str">
        <f t="shared" si="104"/>
        <v>0</v>
      </c>
      <c r="KK18" s="508"/>
      <c r="KL18" s="510" t="str">
        <f t="shared" si="105"/>
        <v>0</v>
      </c>
      <c r="KM18" s="510" t="str">
        <f t="shared" si="106"/>
        <v>0</v>
      </c>
      <c r="KN18" s="508"/>
      <c r="KO18" s="510" t="str">
        <f t="shared" si="107"/>
        <v>0</v>
      </c>
      <c r="KP18" s="510" t="str">
        <f t="shared" si="108"/>
        <v>0</v>
      </c>
      <c r="KQ18" s="508"/>
      <c r="KR18" s="510" t="str">
        <f t="shared" si="109"/>
        <v>0</v>
      </c>
      <c r="KS18" s="510" t="str">
        <f t="shared" si="110"/>
        <v>0</v>
      </c>
      <c r="KT18" s="510">
        <f t="shared" si="201"/>
        <v>0</v>
      </c>
      <c r="KU18" s="510">
        <f t="shared" si="202"/>
        <v>0</v>
      </c>
      <c r="KV18" s="261">
        <f t="shared" si="199"/>
        <v>510.91269335999181</v>
      </c>
    </row>
    <row r="19" spans="1:308" ht="15" customHeight="1">
      <c r="A19" s="467">
        <f t="shared" si="200"/>
        <v>45848</v>
      </c>
      <c r="B19" s="468" t="str">
        <f>+Report1!B18</f>
        <v>Facial</v>
      </c>
      <c r="C19" s="469" t="str">
        <f>+Report1!C18</f>
        <v>12</v>
      </c>
      <c r="D19" s="470">
        <f>+Report1!P18</f>
        <v>42.839999999999996</v>
      </c>
      <c r="E19" s="471">
        <f>+Report1!R18</f>
        <v>40.225999999999999</v>
      </c>
      <c r="F19" s="508"/>
      <c r="G19" s="509">
        <f t="shared" si="0"/>
        <v>0</v>
      </c>
      <c r="H19" s="510">
        <f t="shared" si="111"/>
        <v>0</v>
      </c>
      <c r="I19" s="508">
        <v>232.55813953488359</v>
      </c>
      <c r="J19" s="509">
        <f t="shared" si="1"/>
        <v>5.7812892043674138</v>
      </c>
      <c r="K19" s="510">
        <f t="shared" si="112"/>
        <v>0</v>
      </c>
      <c r="L19" s="508"/>
      <c r="M19" s="509">
        <f t="shared" si="2"/>
        <v>0</v>
      </c>
      <c r="N19" s="510">
        <f t="shared" si="113"/>
        <v>0</v>
      </c>
      <c r="O19" s="508">
        <v>15</v>
      </c>
      <c r="P19" s="509">
        <f t="shared" si="3"/>
        <v>0.3728931536816984</v>
      </c>
      <c r="Q19" s="510">
        <f t="shared" si="114"/>
        <v>0</v>
      </c>
      <c r="R19" s="508">
        <v>10.249999999999993</v>
      </c>
      <c r="S19" s="509">
        <f t="shared" si="4"/>
        <v>0.25481032168249373</v>
      </c>
      <c r="T19" s="510">
        <f t="shared" si="115"/>
        <v>0</v>
      </c>
      <c r="U19" s="508">
        <v>4.6875</v>
      </c>
      <c r="V19" s="509">
        <f t="shared" si="5"/>
        <v>0.11652911052553075</v>
      </c>
      <c r="W19" s="510">
        <f t="shared" si="116"/>
        <v>0</v>
      </c>
      <c r="X19" s="508"/>
      <c r="Y19" s="509">
        <f t="shared" si="6"/>
        <v>0</v>
      </c>
      <c r="Z19" s="510">
        <f t="shared" si="117"/>
        <v>0</v>
      </c>
      <c r="AA19" s="508"/>
      <c r="AB19" s="509">
        <f t="shared" si="7"/>
        <v>0</v>
      </c>
      <c r="AC19" s="510">
        <f t="shared" si="118"/>
        <v>0</v>
      </c>
      <c r="AD19" s="508"/>
      <c r="AE19" s="509">
        <f t="shared" si="8"/>
        <v>0</v>
      </c>
      <c r="AF19" s="510">
        <f t="shared" si="119"/>
        <v>0</v>
      </c>
      <c r="AG19" s="508"/>
      <c r="AH19" s="509">
        <f t="shared" si="9"/>
        <v>0</v>
      </c>
      <c r="AI19" s="510">
        <f t="shared" si="120"/>
        <v>0</v>
      </c>
      <c r="AJ19" s="508"/>
      <c r="AK19" s="509">
        <f t="shared" si="10"/>
        <v>0</v>
      </c>
      <c r="AL19" s="510">
        <f t="shared" si="121"/>
        <v>0</v>
      </c>
      <c r="AM19" s="508">
        <v>49.935897435897402</v>
      </c>
      <c r="AN19" s="509">
        <f t="shared" si="11"/>
        <v>1.2413836184531746</v>
      </c>
      <c r="AO19" s="510">
        <f t="shared" si="122"/>
        <v>0</v>
      </c>
      <c r="AP19" s="508"/>
      <c r="AQ19" s="509">
        <f t="shared" si="12"/>
        <v>0</v>
      </c>
      <c r="AR19" s="510">
        <f t="shared" si="123"/>
        <v>0</v>
      </c>
      <c r="AS19" s="508"/>
      <c r="AT19" s="509">
        <f t="shared" si="13"/>
        <v>0</v>
      </c>
      <c r="AU19" s="510">
        <f t="shared" si="124"/>
        <v>0</v>
      </c>
      <c r="AV19" s="508">
        <v>11.100000000000023</v>
      </c>
      <c r="AW19" s="509">
        <f t="shared" si="14"/>
        <v>0.27594093372445738</v>
      </c>
      <c r="AX19" s="510">
        <f t="shared" si="125"/>
        <v>0</v>
      </c>
      <c r="AY19" s="508">
        <v>60.666666666666629</v>
      </c>
      <c r="AZ19" s="509">
        <f t="shared" si="15"/>
        <v>1.5081456437793126</v>
      </c>
      <c r="BA19" s="510">
        <f t="shared" si="126"/>
        <v>0</v>
      </c>
      <c r="BB19" s="508"/>
      <c r="BC19" s="509">
        <f t="shared" si="16"/>
        <v>0</v>
      </c>
      <c r="BD19" s="510">
        <f t="shared" si="127"/>
        <v>0</v>
      </c>
      <c r="BE19" s="508"/>
      <c r="BF19" s="509">
        <f t="shared" si="17"/>
        <v>0</v>
      </c>
      <c r="BG19" s="510">
        <f t="shared" si="128"/>
        <v>0</v>
      </c>
      <c r="BH19" s="508"/>
      <c r="BI19" s="509">
        <f t="shared" si="18"/>
        <v>0</v>
      </c>
      <c r="BJ19" s="510">
        <f t="shared" si="129"/>
        <v>0</v>
      </c>
      <c r="BK19" s="508"/>
      <c r="BL19" s="509">
        <f t="shared" si="19"/>
        <v>0</v>
      </c>
      <c r="BM19" s="510">
        <f t="shared" si="130"/>
        <v>0</v>
      </c>
      <c r="BN19" s="508"/>
      <c r="BO19" s="509">
        <f t="shared" si="20"/>
        <v>0</v>
      </c>
      <c r="BP19" s="510">
        <f t="shared" si="131"/>
        <v>0</v>
      </c>
      <c r="BQ19" s="508"/>
      <c r="BR19" s="509">
        <f t="shared" si="21"/>
        <v>0</v>
      </c>
      <c r="BS19" s="510">
        <f t="shared" si="132"/>
        <v>0</v>
      </c>
      <c r="BT19" s="508"/>
      <c r="BU19" s="509">
        <f t="shared" si="22"/>
        <v>0</v>
      </c>
      <c r="BV19" s="510">
        <f t="shared" si="133"/>
        <v>0</v>
      </c>
      <c r="BW19" s="508"/>
      <c r="BX19" s="509">
        <f t="shared" si="23"/>
        <v>0</v>
      </c>
      <c r="BY19" s="510">
        <f t="shared" si="134"/>
        <v>0</v>
      </c>
      <c r="BZ19" s="508"/>
      <c r="CA19" s="509">
        <f t="shared" si="24"/>
        <v>0</v>
      </c>
      <c r="CB19" s="510">
        <f t="shared" si="135"/>
        <v>0</v>
      </c>
      <c r="CC19" s="508"/>
      <c r="CD19" s="509">
        <f t="shared" si="25"/>
        <v>0</v>
      </c>
      <c r="CE19" s="510">
        <f t="shared" si="136"/>
        <v>0</v>
      </c>
      <c r="CF19" s="508">
        <v>6</v>
      </c>
      <c r="CG19" s="509">
        <f t="shared" si="26"/>
        <v>0.14915726147267935</v>
      </c>
      <c r="CH19" s="510">
        <f t="shared" si="137"/>
        <v>0</v>
      </c>
      <c r="CI19" s="508"/>
      <c r="CJ19" s="509">
        <f t="shared" si="27"/>
        <v>0</v>
      </c>
      <c r="CK19" s="510">
        <f t="shared" si="138"/>
        <v>0</v>
      </c>
      <c r="CL19" s="508"/>
      <c r="CM19" s="509">
        <f t="shared" si="28"/>
        <v>0</v>
      </c>
      <c r="CN19" s="510">
        <f t="shared" si="139"/>
        <v>0</v>
      </c>
      <c r="CO19" s="508"/>
      <c r="CP19" s="509">
        <f t="shared" si="29"/>
        <v>0</v>
      </c>
      <c r="CQ19" s="510">
        <f t="shared" si="140"/>
        <v>0</v>
      </c>
      <c r="CR19" s="508"/>
      <c r="CS19" s="509">
        <f t="shared" si="30"/>
        <v>0</v>
      </c>
      <c r="CT19" s="510">
        <f t="shared" si="141"/>
        <v>0</v>
      </c>
      <c r="CU19" s="508"/>
      <c r="CV19" s="509">
        <f t="shared" si="31"/>
        <v>0</v>
      </c>
      <c r="CW19" s="510">
        <f t="shared" si="142"/>
        <v>0</v>
      </c>
      <c r="CX19" s="508"/>
      <c r="CY19" s="509">
        <f t="shared" si="32"/>
        <v>0</v>
      </c>
      <c r="CZ19" s="510">
        <f t="shared" si="143"/>
        <v>0</v>
      </c>
      <c r="DA19" s="508"/>
      <c r="DB19" s="509">
        <f t="shared" si="33"/>
        <v>0</v>
      </c>
      <c r="DC19" s="510">
        <f t="shared" si="144"/>
        <v>0</v>
      </c>
      <c r="DD19" s="508"/>
      <c r="DE19" s="509">
        <f t="shared" si="34"/>
        <v>0</v>
      </c>
      <c r="DF19" s="510">
        <f t="shared" si="145"/>
        <v>0</v>
      </c>
      <c r="DG19" s="508"/>
      <c r="DH19" s="509">
        <f t="shared" si="35"/>
        <v>0</v>
      </c>
      <c r="DI19" s="510">
        <f t="shared" si="203"/>
        <v>0</v>
      </c>
      <c r="DJ19" s="508"/>
      <c r="DK19" s="509">
        <f t="shared" si="36"/>
        <v>0</v>
      </c>
      <c r="DL19" s="510">
        <f t="shared" si="146"/>
        <v>0</v>
      </c>
      <c r="DM19" s="508"/>
      <c r="DN19" s="509">
        <f t="shared" si="37"/>
        <v>0</v>
      </c>
      <c r="DO19" s="510">
        <f t="shared" si="147"/>
        <v>0</v>
      </c>
      <c r="DP19" s="508"/>
      <c r="DQ19" s="509">
        <f t="shared" si="38"/>
        <v>0</v>
      </c>
      <c r="DR19" s="510">
        <f t="shared" si="148"/>
        <v>0</v>
      </c>
      <c r="DS19" s="508"/>
      <c r="DT19" s="509">
        <f t="shared" si="39"/>
        <v>0</v>
      </c>
      <c r="DU19" s="510">
        <f t="shared" si="149"/>
        <v>0</v>
      </c>
      <c r="DV19" s="508"/>
      <c r="DW19" s="509">
        <f t="shared" si="40"/>
        <v>0</v>
      </c>
      <c r="DX19" s="510">
        <f t="shared" si="150"/>
        <v>0</v>
      </c>
      <c r="DY19" s="508"/>
      <c r="DZ19" s="509">
        <f t="shared" si="41"/>
        <v>0</v>
      </c>
      <c r="EA19" s="510">
        <f t="shared" si="151"/>
        <v>0</v>
      </c>
      <c r="EB19" s="508">
        <v>46.964705882352973</v>
      </c>
      <c r="EC19" s="509">
        <f t="shared" si="42"/>
        <v>1.1675211525469342</v>
      </c>
      <c r="ED19" s="510">
        <f t="shared" si="152"/>
        <v>0</v>
      </c>
      <c r="EE19" s="508">
        <v>14.534883720930225</v>
      </c>
      <c r="EF19" s="509">
        <f t="shared" si="43"/>
        <v>0.36133057527296336</v>
      </c>
      <c r="EG19" s="510">
        <f t="shared" si="153"/>
        <v>0</v>
      </c>
      <c r="EH19" s="508">
        <v>4.2</v>
      </c>
      <c r="EI19" s="509">
        <f t="shared" si="44"/>
        <v>0.10441008303087557</v>
      </c>
      <c r="EJ19" s="510">
        <f t="shared" si="154"/>
        <v>0</v>
      </c>
      <c r="EK19" s="508"/>
      <c r="EL19" s="509">
        <f t="shared" si="45"/>
        <v>0</v>
      </c>
      <c r="EM19" s="510">
        <f t="shared" si="155"/>
        <v>0</v>
      </c>
      <c r="EN19" s="508"/>
      <c r="EO19" s="509">
        <f t="shared" si="46"/>
        <v>0</v>
      </c>
      <c r="EP19" s="510">
        <f t="shared" si="156"/>
        <v>0</v>
      </c>
      <c r="EQ19" s="508"/>
      <c r="ER19" s="509">
        <f t="shared" si="47"/>
        <v>0</v>
      </c>
      <c r="ES19" s="510">
        <f t="shared" si="157"/>
        <v>0</v>
      </c>
      <c r="ET19" s="508"/>
      <c r="EU19" s="509">
        <f t="shared" si="48"/>
        <v>0</v>
      </c>
      <c r="EV19" s="510">
        <f t="shared" si="158"/>
        <v>0</v>
      </c>
      <c r="EW19" s="508"/>
      <c r="EX19" s="509">
        <f t="shared" si="49"/>
        <v>0</v>
      </c>
      <c r="EY19" s="510">
        <f t="shared" si="159"/>
        <v>0</v>
      </c>
      <c r="EZ19" s="508"/>
      <c r="FA19" s="509">
        <f t="shared" si="50"/>
        <v>0</v>
      </c>
      <c r="FB19" s="510">
        <f t="shared" si="160"/>
        <v>0</v>
      </c>
      <c r="FC19" s="508"/>
      <c r="FD19" s="509">
        <f t="shared" si="51"/>
        <v>0</v>
      </c>
      <c r="FE19" s="510">
        <f t="shared" si="161"/>
        <v>0</v>
      </c>
      <c r="FF19" s="508"/>
      <c r="FG19" s="509">
        <f t="shared" si="52"/>
        <v>0</v>
      </c>
      <c r="FH19" s="510">
        <f t="shared" si="162"/>
        <v>0</v>
      </c>
      <c r="FI19" s="508"/>
      <c r="FJ19" s="509">
        <f t="shared" si="53"/>
        <v>0</v>
      </c>
      <c r="FK19" s="510">
        <f t="shared" si="163"/>
        <v>0</v>
      </c>
      <c r="FL19" s="508"/>
      <c r="FM19" s="509">
        <f t="shared" si="54"/>
        <v>0</v>
      </c>
      <c r="FN19" s="510">
        <f t="shared" si="164"/>
        <v>0</v>
      </c>
      <c r="FO19" s="508"/>
      <c r="FP19" s="509">
        <f t="shared" si="55"/>
        <v>0</v>
      </c>
      <c r="FQ19" s="510">
        <f t="shared" si="165"/>
        <v>0</v>
      </c>
      <c r="FR19" s="508"/>
      <c r="FS19" s="509">
        <f t="shared" si="56"/>
        <v>0</v>
      </c>
      <c r="FT19" s="510">
        <f t="shared" si="166"/>
        <v>0</v>
      </c>
      <c r="FU19" s="508"/>
      <c r="FV19" s="509">
        <f t="shared" si="57"/>
        <v>0</v>
      </c>
      <c r="FW19" s="510">
        <f t="shared" si="167"/>
        <v>0</v>
      </c>
      <c r="FX19" s="508"/>
      <c r="FY19" s="509">
        <f t="shared" si="58"/>
        <v>0</v>
      </c>
      <c r="FZ19" s="510">
        <f t="shared" si="168"/>
        <v>0</v>
      </c>
      <c r="GA19" s="508"/>
      <c r="GB19" s="509">
        <f t="shared" si="59"/>
        <v>0</v>
      </c>
      <c r="GC19" s="510">
        <f t="shared" si="169"/>
        <v>0</v>
      </c>
      <c r="GD19" s="508"/>
      <c r="GE19" s="509">
        <f t="shared" si="60"/>
        <v>0</v>
      </c>
      <c r="GF19" s="510">
        <f t="shared" si="170"/>
        <v>0</v>
      </c>
      <c r="GG19" s="508"/>
      <c r="GH19" s="509">
        <f t="shared" si="61"/>
        <v>0</v>
      </c>
      <c r="GI19" s="510">
        <f t="shared" si="171"/>
        <v>0</v>
      </c>
      <c r="GJ19" s="508"/>
      <c r="GK19" s="509">
        <f t="shared" si="62"/>
        <v>0</v>
      </c>
      <c r="GL19" s="510">
        <f t="shared" si="172"/>
        <v>0</v>
      </c>
      <c r="GM19" s="508"/>
      <c r="GN19" s="509">
        <f t="shared" si="63"/>
        <v>0</v>
      </c>
      <c r="GO19" s="510">
        <f t="shared" si="173"/>
        <v>0</v>
      </c>
      <c r="GP19" s="508"/>
      <c r="GQ19" s="509">
        <f t="shared" si="64"/>
        <v>0</v>
      </c>
      <c r="GR19" s="510">
        <f t="shared" si="174"/>
        <v>0</v>
      </c>
      <c r="GS19" s="508"/>
      <c r="GT19" s="509">
        <f t="shared" si="65"/>
        <v>0</v>
      </c>
      <c r="GU19" s="510">
        <f t="shared" si="175"/>
        <v>0</v>
      </c>
      <c r="GV19" s="508"/>
      <c r="GW19" s="509">
        <f t="shared" si="66"/>
        <v>0</v>
      </c>
      <c r="GX19" s="510">
        <f t="shared" si="176"/>
        <v>0</v>
      </c>
      <c r="GY19" s="508"/>
      <c r="GZ19" s="509">
        <f t="shared" si="67"/>
        <v>0</v>
      </c>
      <c r="HA19" s="510">
        <f t="shared" si="177"/>
        <v>0</v>
      </c>
      <c r="HB19" s="508"/>
      <c r="HC19" s="509">
        <f t="shared" si="68"/>
        <v>0</v>
      </c>
      <c r="HD19" s="510">
        <f t="shared" si="178"/>
        <v>0</v>
      </c>
      <c r="HE19" s="508"/>
      <c r="HF19" s="509">
        <f t="shared" si="69"/>
        <v>0</v>
      </c>
      <c r="HG19" s="510">
        <f t="shared" si="179"/>
        <v>0</v>
      </c>
      <c r="HH19" s="508"/>
      <c r="HI19" s="509">
        <f t="shared" si="70"/>
        <v>0</v>
      </c>
      <c r="HJ19" s="510">
        <f t="shared" si="180"/>
        <v>0</v>
      </c>
      <c r="HK19" s="508"/>
      <c r="HL19" s="509">
        <f t="shared" si="71"/>
        <v>0</v>
      </c>
      <c r="HM19" s="510">
        <f t="shared" si="181"/>
        <v>0</v>
      </c>
      <c r="HN19" s="508"/>
      <c r="HO19" s="509">
        <f t="shared" si="72"/>
        <v>0</v>
      </c>
      <c r="HP19" s="510">
        <f t="shared" si="182"/>
        <v>0</v>
      </c>
      <c r="HQ19" s="508"/>
      <c r="HR19" s="509">
        <f t="shared" si="73"/>
        <v>0</v>
      </c>
      <c r="HS19" s="510">
        <f t="shared" si="183"/>
        <v>0</v>
      </c>
      <c r="HT19" s="508"/>
      <c r="HU19" s="509">
        <f t="shared" si="74"/>
        <v>0</v>
      </c>
      <c r="HV19" s="510">
        <f t="shared" si="184"/>
        <v>0</v>
      </c>
      <c r="HW19" s="508"/>
      <c r="HX19" s="509">
        <f t="shared" si="75"/>
        <v>0</v>
      </c>
      <c r="HY19" s="510">
        <f t="shared" si="185"/>
        <v>0</v>
      </c>
      <c r="HZ19" s="508"/>
      <c r="IA19" s="509">
        <f t="shared" si="76"/>
        <v>0</v>
      </c>
      <c r="IB19" s="510">
        <f t="shared" si="186"/>
        <v>0</v>
      </c>
      <c r="IC19" s="508"/>
      <c r="ID19" s="509">
        <f t="shared" si="77"/>
        <v>0</v>
      </c>
      <c r="IE19" s="510">
        <f t="shared" si="187"/>
        <v>0</v>
      </c>
      <c r="IF19" s="508"/>
      <c r="IG19" s="509">
        <f t="shared" si="78"/>
        <v>0</v>
      </c>
      <c r="IH19" s="510">
        <f t="shared" si="188"/>
        <v>0</v>
      </c>
      <c r="II19" s="508"/>
      <c r="IJ19" s="509">
        <f t="shared" si="79"/>
        <v>0</v>
      </c>
      <c r="IK19" s="510">
        <f t="shared" si="189"/>
        <v>0</v>
      </c>
      <c r="IL19" s="508"/>
      <c r="IM19" s="509">
        <f t="shared" si="80"/>
        <v>0</v>
      </c>
      <c r="IN19" s="510">
        <f t="shared" si="190"/>
        <v>0</v>
      </c>
      <c r="IO19" s="508"/>
      <c r="IP19" s="509">
        <f t="shared" si="81"/>
        <v>0</v>
      </c>
      <c r="IQ19" s="510">
        <f t="shared" si="191"/>
        <v>0</v>
      </c>
      <c r="IR19" s="508"/>
      <c r="IS19" s="509">
        <f t="shared" si="82"/>
        <v>0</v>
      </c>
      <c r="IT19" s="510">
        <f t="shared" si="192"/>
        <v>0</v>
      </c>
      <c r="IU19" s="508"/>
      <c r="IV19" s="509">
        <f t="shared" si="83"/>
        <v>0</v>
      </c>
      <c r="IW19" s="510">
        <f t="shared" si="193"/>
        <v>0</v>
      </c>
      <c r="IX19" s="508"/>
      <c r="IY19" s="509">
        <f t="shared" si="84"/>
        <v>0</v>
      </c>
      <c r="IZ19" s="510">
        <f t="shared" si="194"/>
        <v>0</v>
      </c>
      <c r="JA19" s="508"/>
      <c r="JB19" s="509">
        <f t="shared" si="85"/>
        <v>0</v>
      </c>
      <c r="JC19" s="510">
        <f t="shared" si="195"/>
        <v>0</v>
      </c>
      <c r="JD19" s="508"/>
      <c r="JE19" s="509">
        <f t="shared" si="86"/>
        <v>0</v>
      </c>
      <c r="JF19" s="510">
        <f t="shared" si="196"/>
        <v>0</v>
      </c>
      <c r="JG19" s="508"/>
      <c r="JH19" s="509">
        <f t="shared" si="87"/>
        <v>0</v>
      </c>
      <c r="JI19" s="510">
        <f t="shared" si="197"/>
        <v>0</v>
      </c>
      <c r="JJ19" s="508"/>
      <c r="JK19" s="510">
        <f t="shared" si="198"/>
        <v>0</v>
      </c>
      <c r="JL19" s="510" t="str">
        <f t="shared" si="88"/>
        <v>0</v>
      </c>
      <c r="JM19" s="508"/>
      <c r="JN19" s="510" t="str">
        <f t="shared" si="89"/>
        <v>0</v>
      </c>
      <c r="JO19" s="510" t="str">
        <f t="shared" si="90"/>
        <v>0</v>
      </c>
      <c r="JP19" s="508"/>
      <c r="JQ19" s="510" t="str">
        <f t="shared" si="91"/>
        <v>0</v>
      </c>
      <c r="JR19" s="510" t="str">
        <f t="shared" si="92"/>
        <v>0</v>
      </c>
      <c r="JS19" s="508"/>
      <c r="JT19" s="510" t="str">
        <f t="shared" si="93"/>
        <v>0</v>
      </c>
      <c r="JU19" s="510" t="str">
        <f t="shared" si="94"/>
        <v>0</v>
      </c>
      <c r="JV19" s="508"/>
      <c r="JW19" s="510" t="str">
        <f t="shared" si="95"/>
        <v>0</v>
      </c>
      <c r="JX19" s="510" t="str">
        <f t="shared" si="96"/>
        <v>0</v>
      </c>
      <c r="JY19" s="508"/>
      <c r="JZ19" s="510" t="str">
        <f t="shared" si="97"/>
        <v>0</v>
      </c>
      <c r="KA19" s="510" t="str">
        <f t="shared" si="98"/>
        <v>0</v>
      </c>
      <c r="KB19" s="508"/>
      <c r="KC19" s="510" t="str">
        <f t="shared" si="99"/>
        <v>0</v>
      </c>
      <c r="KD19" s="510" t="str">
        <f t="shared" si="100"/>
        <v>0</v>
      </c>
      <c r="KE19" s="508"/>
      <c r="KF19" s="510" t="str">
        <f t="shared" si="101"/>
        <v>0</v>
      </c>
      <c r="KG19" s="510" t="str">
        <f t="shared" si="102"/>
        <v>0</v>
      </c>
      <c r="KH19" s="508"/>
      <c r="KI19" s="510" t="str">
        <f t="shared" si="103"/>
        <v>0</v>
      </c>
      <c r="KJ19" s="510" t="str">
        <f t="shared" si="104"/>
        <v>0</v>
      </c>
      <c r="KK19" s="508"/>
      <c r="KL19" s="510" t="str">
        <f t="shared" si="105"/>
        <v>0</v>
      </c>
      <c r="KM19" s="510" t="str">
        <f t="shared" si="106"/>
        <v>0</v>
      </c>
      <c r="KN19" s="508"/>
      <c r="KO19" s="510" t="str">
        <f t="shared" si="107"/>
        <v>0</v>
      </c>
      <c r="KP19" s="510" t="str">
        <f t="shared" si="108"/>
        <v>0</v>
      </c>
      <c r="KQ19" s="508"/>
      <c r="KR19" s="510" t="str">
        <f t="shared" si="109"/>
        <v>0</v>
      </c>
      <c r="KS19" s="510" t="str">
        <f t="shared" si="110"/>
        <v>0</v>
      </c>
      <c r="KT19" s="510">
        <f t="shared" si="201"/>
        <v>0</v>
      </c>
      <c r="KU19" s="510">
        <f t="shared" si="202"/>
        <v>0</v>
      </c>
      <c r="KV19" s="261">
        <f t="shared" si="199"/>
        <v>455.89779324073083</v>
      </c>
    </row>
    <row r="20" spans="1:308" ht="15" customHeight="1">
      <c r="A20" s="467">
        <f t="shared" si="200"/>
        <v>45849</v>
      </c>
      <c r="B20" s="468" t="str">
        <f>+Report1!B19</f>
        <v>Facial</v>
      </c>
      <c r="C20" s="469" t="str">
        <f>+Report1!C19</f>
        <v>12</v>
      </c>
      <c r="D20" s="470">
        <f>+Report1!P19</f>
        <v>39.255000000000003</v>
      </c>
      <c r="E20" s="471">
        <f>+Report1!R19</f>
        <v>31.271999999999998</v>
      </c>
      <c r="F20" s="508"/>
      <c r="G20" s="509">
        <f t="shared" si="0"/>
        <v>0</v>
      </c>
      <c r="H20" s="510">
        <f t="shared" si="111"/>
        <v>0</v>
      </c>
      <c r="I20" s="508">
        <v>302.32558139534876</v>
      </c>
      <c r="J20" s="509">
        <f t="shared" si="1"/>
        <v>9.6676126053769753</v>
      </c>
      <c r="K20" s="510">
        <f t="shared" si="112"/>
        <v>0</v>
      </c>
      <c r="L20" s="508"/>
      <c r="M20" s="509">
        <f t="shared" si="2"/>
        <v>0</v>
      </c>
      <c r="N20" s="510">
        <f t="shared" si="113"/>
        <v>0</v>
      </c>
      <c r="O20" s="508">
        <v>21</v>
      </c>
      <c r="P20" s="509">
        <f t="shared" si="3"/>
        <v>0.67152724481964698</v>
      </c>
      <c r="Q20" s="510">
        <f t="shared" si="114"/>
        <v>0</v>
      </c>
      <c r="R20" s="508">
        <v>7.6875000000000071</v>
      </c>
      <c r="S20" s="509">
        <f t="shared" si="4"/>
        <v>0.24582693783576387</v>
      </c>
      <c r="T20" s="510">
        <f t="shared" si="115"/>
        <v>0</v>
      </c>
      <c r="U20" s="508">
        <v>4.6875</v>
      </c>
      <c r="V20" s="509">
        <f t="shared" si="5"/>
        <v>0.14989447429009978</v>
      </c>
      <c r="W20" s="510">
        <f t="shared" si="116"/>
        <v>0</v>
      </c>
      <c r="X20" s="508"/>
      <c r="Y20" s="509">
        <f t="shared" si="6"/>
        <v>0</v>
      </c>
      <c r="Z20" s="510">
        <f t="shared" si="117"/>
        <v>0</v>
      </c>
      <c r="AA20" s="508"/>
      <c r="AB20" s="509">
        <f t="shared" si="7"/>
        <v>0</v>
      </c>
      <c r="AC20" s="510">
        <f t="shared" si="118"/>
        <v>0</v>
      </c>
      <c r="AD20" s="508"/>
      <c r="AE20" s="509">
        <f t="shared" si="8"/>
        <v>0</v>
      </c>
      <c r="AF20" s="510">
        <f t="shared" si="119"/>
        <v>0</v>
      </c>
      <c r="AG20" s="508"/>
      <c r="AH20" s="509">
        <f t="shared" si="9"/>
        <v>0</v>
      </c>
      <c r="AI20" s="510">
        <f t="shared" si="120"/>
        <v>0</v>
      </c>
      <c r="AJ20" s="508"/>
      <c r="AK20" s="509">
        <f t="shared" si="10"/>
        <v>0</v>
      </c>
      <c r="AL20" s="510">
        <f t="shared" si="121"/>
        <v>0</v>
      </c>
      <c r="AM20" s="508">
        <v>42.051282051282072</v>
      </c>
      <c r="AN20" s="509">
        <f t="shared" si="11"/>
        <v>1.3446943608110153</v>
      </c>
      <c r="AO20" s="510">
        <f t="shared" si="122"/>
        <v>0</v>
      </c>
      <c r="AP20" s="508"/>
      <c r="AQ20" s="509">
        <f t="shared" si="12"/>
        <v>0</v>
      </c>
      <c r="AR20" s="510">
        <f t="shared" si="123"/>
        <v>0</v>
      </c>
      <c r="AS20" s="508"/>
      <c r="AT20" s="509">
        <f t="shared" si="13"/>
        <v>0</v>
      </c>
      <c r="AU20" s="510">
        <f t="shared" si="124"/>
        <v>0</v>
      </c>
      <c r="AV20" s="508">
        <v>11.099999999999966</v>
      </c>
      <c r="AW20" s="509">
        <f t="shared" si="14"/>
        <v>0.35495011511895519</v>
      </c>
      <c r="AX20" s="510">
        <f t="shared" si="125"/>
        <v>0</v>
      </c>
      <c r="AY20" s="508">
        <v>39.666666666666686</v>
      </c>
      <c r="AZ20" s="509">
        <f t="shared" si="15"/>
        <v>1.2684403513260005</v>
      </c>
      <c r="BA20" s="510">
        <f t="shared" si="126"/>
        <v>0</v>
      </c>
      <c r="BB20" s="508"/>
      <c r="BC20" s="509">
        <f t="shared" si="16"/>
        <v>0</v>
      </c>
      <c r="BD20" s="510">
        <f t="shared" si="127"/>
        <v>0</v>
      </c>
      <c r="BE20" s="508"/>
      <c r="BF20" s="509">
        <f t="shared" si="17"/>
        <v>0</v>
      </c>
      <c r="BG20" s="510">
        <f t="shared" si="128"/>
        <v>0</v>
      </c>
      <c r="BH20" s="508"/>
      <c r="BI20" s="509">
        <f t="shared" si="18"/>
        <v>0</v>
      </c>
      <c r="BJ20" s="510">
        <f t="shared" si="129"/>
        <v>0</v>
      </c>
      <c r="BK20" s="508"/>
      <c r="BL20" s="509">
        <f t="shared" si="19"/>
        <v>0</v>
      </c>
      <c r="BM20" s="510">
        <f t="shared" si="130"/>
        <v>0</v>
      </c>
      <c r="BN20" s="508"/>
      <c r="BO20" s="509">
        <f t="shared" si="20"/>
        <v>0</v>
      </c>
      <c r="BP20" s="510">
        <f t="shared" si="131"/>
        <v>0</v>
      </c>
      <c r="BQ20" s="508"/>
      <c r="BR20" s="509">
        <f t="shared" si="21"/>
        <v>0</v>
      </c>
      <c r="BS20" s="510">
        <f t="shared" si="132"/>
        <v>0</v>
      </c>
      <c r="BT20" s="508"/>
      <c r="BU20" s="509">
        <f t="shared" si="22"/>
        <v>0</v>
      </c>
      <c r="BV20" s="510">
        <f t="shared" si="133"/>
        <v>0</v>
      </c>
      <c r="BW20" s="508"/>
      <c r="BX20" s="509">
        <f t="shared" si="23"/>
        <v>0</v>
      </c>
      <c r="BY20" s="510">
        <f t="shared" si="134"/>
        <v>0</v>
      </c>
      <c r="BZ20" s="508"/>
      <c r="CA20" s="509">
        <f t="shared" si="24"/>
        <v>0</v>
      </c>
      <c r="CB20" s="510">
        <f t="shared" si="135"/>
        <v>0</v>
      </c>
      <c r="CC20" s="508"/>
      <c r="CD20" s="509">
        <f t="shared" si="25"/>
        <v>0</v>
      </c>
      <c r="CE20" s="510">
        <f t="shared" si="136"/>
        <v>0</v>
      </c>
      <c r="CF20" s="508">
        <v>6.1</v>
      </c>
      <c r="CG20" s="509">
        <f t="shared" si="26"/>
        <v>0.19506267587618317</v>
      </c>
      <c r="CH20" s="510">
        <f t="shared" si="137"/>
        <v>0</v>
      </c>
      <c r="CI20" s="508"/>
      <c r="CJ20" s="509">
        <f t="shared" si="27"/>
        <v>0</v>
      </c>
      <c r="CK20" s="510">
        <f t="shared" si="138"/>
        <v>0</v>
      </c>
      <c r="CL20" s="508"/>
      <c r="CM20" s="509">
        <f t="shared" si="28"/>
        <v>0</v>
      </c>
      <c r="CN20" s="510">
        <f t="shared" si="139"/>
        <v>0</v>
      </c>
      <c r="CO20" s="508"/>
      <c r="CP20" s="509">
        <f t="shared" si="29"/>
        <v>0</v>
      </c>
      <c r="CQ20" s="510">
        <f t="shared" si="140"/>
        <v>0</v>
      </c>
      <c r="CR20" s="508"/>
      <c r="CS20" s="509">
        <f t="shared" si="30"/>
        <v>0</v>
      </c>
      <c r="CT20" s="510">
        <f t="shared" si="141"/>
        <v>0</v>
      </c>
      <c r="CU20" s="508"/>
      <c r="CV20" s="509">
        <f t="shared" si="31"/>
        <v>0</v>
      </c>
      <c r="CW20" s="510">
        <f t="shared" si="142"/>
        <v>0</v>
      </c>
      <c r="CX20" s="508"/>
      <c r="CY20" s="509">
        <f t="shared" si="32"/>
        <v>0</v>
      </c>
      <c r="CZ20" s="510">
        <f t="shared" si="143"/>
        <v>0</v>
      </c>
      <c r="DA20" s="508"/>
      <c r="DB20" s="509">
        <f t="shared" si="33"/>
        <v>0</v>
      </c>
      <c r="DC20" s="510">
        <f t="shared" si="144"/>
        <v>0</v>
      </c>
      <c r="DD20" s="508"/>
      <c r="DE20" s="509">
        <f t="shared" si="34"/>
        <v>0</v>
      </c>
      <c r="DF20" s="510">
        <f t="shared" si="145"/>
        <v>0</v>
      </c>
      <c r="DG20" s="508"/>
      <c r="DH20" s="509">
        <f t="shared" si="35"/>
        <v>0</v>
      </c>
      <c r="DI20" s="510">
        <f t="shared" si="203"/>
        <v>0</v>
      </c>
      <c r="DJ20" s="508"/>
      <c r="DK20" s="509">
        <f t="shared" si="36"/>
        <v>0</v>
      </c>
      <c r="DL20" s="510">
        <f t="shared" si="146"/>
        <v>0</v>
      </c>
      <c r="DM20" s="508"/>
      <c r="DN20" s="509">
        <f t="shared" si="37"/>
        <v>0</v>
      </c>
      <c r="DO20" s="510">
        <f t="shared" si="147"/>
        <v>0</v>
      </c>
      <c r="DP20" s="508"/>
      <c r="DQ20" s="509">
        <f t="shared" si="38"/>
        <v>0</v>
      </c>
      <c r="DR20" s="510">
        <f t="shared" si="148"/>
        <v>0</v>
      </c>
      <c r="DS20" s="508"/>
      <c r="DT20" s="509">
        <f t="shared" si="39"/>
        <v>0</v>
      </c>
      <c r="DU20" s="510">
        <f t="shared" si="149"/>
        <v>0</v>
      </c>
      <c r="DV20" s="508"/>
      <c r="DW20" s="509">
        <f t="shared" si="40"/>
        <v>0</v>
      </c>
      <c r="DX20" s="510">
        <f t="shared" si="150"/>
        <v>0</v>
      </c>
      <c r="DY20" s="508"/>
      <c r="DZ20" s="509">
        <f t="shared" si="41"/>
        <v>0</v>
      </c>
      <c r="EA20" s="510">
        <f t="shared" si="151"/>
        <v>0</v>
      </c>
      <c r="EB20" s="508">
        <v>46.964705882352973</v>
      </c>
      <c r="EC20" s="509">
        <f t="shared" si="42"/>
        <v>1.5018133116638839</v>
      </c>
      <c r="ED20" s="510">
        <f t="shared" si="152"/>
        <v>0</v>
      </c>
      <c r="EE20" s="508">
        <v>14.534883720930225</v>
      </c>
      <c r="EF20" s="509">
        <f t="shared" si="43"/>
        <v>0.46478906756620059</v>
      </c>
      <c r="EG20" s="510">
        <f t="shared" si="153"/>
        <v>0</v>
      </c>
      <c r="EH20" s="508">
        <v>4.2</v>
      </c>
      <c r="EI20" s="509">
        <f t="shared" si="44"/>
        <v>0.1343054489639294</v>
      </c>
      <c r="EJ20" s="510">
        <f t="shared" si="154"/>
        <v>0</v>
      </c>
      <c r="EK20" s="508"/>
      <c r="EL20" s="509">
        <f t="shared" si="45"/>
        <v>0</v>
      </c>
      <c r="EM20" s="510">
        <f t="shared" si="155"/>
        <v>0</v>
      </c>
      <c r="EN20" s="508"/>
      <c r="EO20" s="509">
        <f t="shared" si="46"/>
        <v>0</v>
      </c>
      <c r="EP20" s="510">
        <f t="shared" si="156"/>
        <v>0</v>
      </c>
      <c r="EQ20" s="508"/>
      <c r="ER20" s="509">
        <f t="shared" si="47"/>
        <v>0</v>
      </c>
      <c r="ES20" s="510">
        <f t="shared" si="157"/>
        <v>0</v>
      </c>
      <c r="ET20" s="508"/>
      <c r="EU20" s="509">
        <f t="shared" si="48"/>
        <v>0</v>
      </c>
      <c r="EV20" s="510">
        <f t="shared" si="158"/>
        <v>0</v>
      </c>
      <c r="EW20" s="508"/>
      <c r="EX20" s="509">
        <f t="shared" si="49"/>
        <v>0</v>
      </c>
      <c r="EY20" s="510">
        <f t="shared" si="159"/>
        <v>0</v>
      </c>
      <c r="EZ20" s="508"/>
      <c r="FA20" s="509">
        <f t="shared" si="50"/>
        <v>0</v>
      </c>
      <c r="FB20" s="510">
        <f t="shared" si="160"/>
        <v>0</v>
      </c>
      <c r="FC20" s="508"/>
      <c r="FD20" s="509">
        <f t="shared" si="51"/>
        <v>0</v>
      </c>
      <c r="FE20" s="510">
        <f t="shared" si="161"/>
        <v>0</v>
      </c>
      <c r="FF20" s="508"/>
      <c r="FG20" s="509">
        <f t="shared" si="52"/>
        <v>0</v>
      </c>
      <c r="FH20" s="510">
        <f t="shared" si="162"/>
        <v>0</v>
      </c>
      <c r="FI20" s="508"/>
      <c r="FJ20" s="509">
        <f t="shared" si="53"/>
        <v>0</v>
      </c>
      <c r="FK20" s="510">
        <f t="shared" si="163"/>
        <v>0</v>
      </c>
      <c r="FL20" s="508"/>
      <c r="FM20" s="509">
        <f t="shared" si="54"/>
        <v>0</v>
      </c>
      <c r="FN20" s="510">
        <f t="shared" si="164"/>
        <v>0</v>
      </c>
      <c r="FO20" s="508"/>
      <c r="FP20" s="509">
        <f t="shared" si="55"/>
        <v>0</v>
      </c>
      <c r="FQ20" s="510">
        <f t="shared" si="165"/>
        <v>0</v>
      </c>
      <c r="FR20" s="508"/>
      <c r="FS20" s="509">
        <f t="shared" si="56"/>
        <v>0</v>
      </c>
      <c r="FT20" s="510">
        <f t="shared" si="166"/>
        <v>0</v>
      </c>
      <c r="FU20" s="508"/>
      <c r="FV20" s="509">
        <f t="shared" si="57"/>
        <v>0</v>
      </c>
      <c r="FW20" s="510">
        <f t="shared" si="167"/>
        <v>0</v>
      </c>
      <c r="FX20" s="508"/>
      <c r="FY20" s="509">
        <f t="shared" si="58"/>
        <v>0</v>
      </c>
      <c r="FZ20" s="510">
        <f t="shared" si="168"/>
        <v>0</v>
      </c>
      <c r="GA20" s="508"/>
      <c r="GB20" s="509">
        <f t="shared" si="59"/>
        <v>0</v>
      </c>
      <c r="GC20" s="510">
        <f t="shared" si="169"/>
        <v>0</v>
      </c>
      <c r="GD20" s="508"/>
      <c r="GE20" s="509">
        <f t="shared" si="60"/>
        <v>0</v>
      </c>
      <c r="GF20" s="510">
        <f t="shared" si="170"/>
        <v>0</v>
      </c>
      <c r="GG20" s="508"/>
      <c r="GH20" s="509">
        <f t="shared" si="61"/>
        <v>0</v>
      </c>
      <c r="GI20" s="510">
        <f t="shared" si="171"/>
        <v>0</v>
      </c>
      <c r="GJ20" s="508"/>
      <c r="GK20" s="509">
        <f t="shared" si="62"/>
        <v>0</v>
      </c>
      <c r="GL20" s="510">
        <f t="shared" si="172"/>
        <v>0</v>
      </c>
      <c r="GM20" s="508"/>
      <c r="GN20" s="509">
        <f t="shared" si="63"/>
        <v>0</v>
      </c>
      <c r="GO20" s="510">
        <f t="shared" si="173"/>
        <v>0</v>
      </c>
      <c r="GP20" s="508"/>
      <c r="GQ20" s="509">
        <f t="shared" si="64"/>
        <v>0</v>
      </c>
      <c r="GR20" s="510">
        <f t="shared" si="174"/>
        <v>0</v>
      </c>
      <c r="GS20" s="508"/>
      <c r="GT20" s="509">
        <f t="shared" si="65"/>
        <v>0</v>
      </c>
      <c r="GU20" s="510">
        <f t="shared" si="175"/>
        <v>0</v>
      </c>
      <c r="GV20" s="508"/>
      <c r="GW20" s="509">
        <f t="shared" si="66"/>
        <v>0</v>
      </c>
      <c r="GX20" s="510">
        <f t="shared" si="176"/>
        <v>0</v>
      </c>
      <c r="GY20" s="508"/>
      <c r="GZ20" s="509">
        <f t="shared" si="67"/>
        <v>0</v>
      </c>
      <c r="HA20" s="510">
        <f t="shared" si="177"/>
        <v>0</v>
      </c>
      <c r="HB20" s="508"/>
      <c r="HC20" s="509">
        <f t="shared" si="68"/>
        <v>0</v>
      </c>
      <c r="HD20" s="510">
        <f t="shared" si="178"/>
        <v>0</v>
      </c>
      <c r="HE20" s="508"/>
      <c r="HF20" s="509">
        <f t="shared" si="69"/>
        <v>0</v>
      </c>
      <c r="HG20" s="510">
        <f t="shared" si="179"/>
        <v>0</v>
      </c>
      <c r="HH20" s="508"/>
      <c r="HI20" s="509">
        <f t="shared" si="70"/>
        <v>0</v>
      </c>
      <c r="HJ20" s="510">
        <f t="shared" si="180"/>
        <v>0</v>
      </c>
      <c r="HK20" s="508"/>
      <c r="HL20" s="509">
        <f t="shared" si="71"/>
        <v>0</v>
      </c>
      <c r="HM20" s="510">
        <f t="shared" si="181"/>
        <v>0</v>
      </c>
      <c r="HN20" s="508"/>
      <c r="HO20" s="509">
        <f t="shared" si="72"/>
        <v>0</v>
      </c>
      <c r="HP20" s="510">
        <f t="shared" si="182"/>
        <v>0</v>
      </c>
      <c r="HQ20" s="508"/>
      <c r="HR20" s="509">
        <f t="shared" si="73"/>
        <v>0</v>
      </c>
      <c r="HS20" s="510">
        <f t="shared" si="183"/>
        <v>0</v>
      </c>
      <c r="HT20" s="508"/>
      <c r="HU20" s="509">
        <f t="shared" si="74"/>
        <v>0</v>
      </c>
      <c r="HV20" s="510">
        <f t="shared" si="184"/>
        <v>0</v>
      </c>
      <c r="HW20" s="508"/>
      <c r="HX20" s="509">
        <f t="shared" si="75"/>
        <v>0</v>
      </c>
      <c r="HY20" s="510">
        <f t="shared" si="185"/>
        <v>0</v>
      </c>
      <c r="HZ20" s="508"/>
      <c r="IA20" s="509">
        <f t="shared" si="76"/>
        <v>0</v>
      </c>
      <c r="IB20" s="510">
        <f t="shared" si="186"/>
        <v>0</v>
      </c>
      <c r="IC20" s="508"/>
      <c r="ID20" s="509">
        <f t="shared" si="77"/>
        <v>0</v>
      </c>
      <c r="IE20" s="510">
        <f t="shared" si="187"/>
        <v>0</v>
      </c>
      <c r="IF20" s="508"/>
      <c r="IG20" s="509">
        <f t="shared" si="78"/>
        <v>0</v>
      </c>
      <c r="IH20" s="510">
        <f t="shared" si="188"/>
        <v>0</v>
      </c>
      <c r="II20" s="508"/>
      <c r="IJ20" s="509">
        <f t="shared" si="79"/>
        <v>0</v>
      </c>
      <c r="IK20" s="510">
        <f t="shared" si="189"/>
        <v>0</v>
      </c>
      <c r="IL20" s="508"/>
      <c r="IM20" s="509">
        <f t="shared" si="80"/>
        <v>0</v>
      </c>
      <c r="IN20" s="510">
        <f t="shared" si="190"/>
        <v>0</v>
      </c>
      <c r="IO20" s="508"/>
      <c r="IP20" s="509">
        <f t="shared" si="81"/>
        <v>0</v>
      </c>
      <c r="IQ20" s="510">
        <f t="shared" si="191"/>
        <v>0</v>
      </c>
      <c r="IR20" s="508"/>
      <c r="IS20" s="509">
        <f t="shared" si="82"/>
        <v>0</v>
      </c>
      <c r="IT20" s="510">
        <f t="shared" si="192"/>
        <v>0</v>
      </c>
      <c r="IU20" s="508"/>
      <c r="IV20" s="509">
        <f t="shared" si="83"/>
        <v>0</v>
      </c>
      <c r="IW20" s="510">
        <f t="shared" si="193"/>
        <v>0</v>
      </c>
      <c r="IX20" s="508"/>
      <c r="IY20" s="509">
        <f t="shared" si="84"/>
        <v>0</v>
      </c>
      <c r="IZ20" s="510">
        <f t="shared" si="194"/>
        <v>0</v>
      </c>
      <c r="JA20" s="508"/>
      <c r="JB20" s="509">
        <f t="shared" si="85"/>
        <v>0</v>
      </c>
      <c r="JC20" s="510">
        <f t="shared" si="195"/>
        <v>0</v>
      </c>
      <c r="JD20" s="508"/>
      <c r="JE20" s="509">
        <f t="shared" si="86"/>
        <v>0</v>
      </c>
      <c r="JF20" s="510">
        <f t="shared" si="196"/>
        <v>0</v>
      </c>
      <c r="JG20" s="508"/>
      <c r="JH20" s="509">
        <f t="shared" si="87"/>
        <v>0</v>
      </c>
      <c r="JI20" s="510">
        <f t="shared" si="197"/>
        <v>0</v>
      </c>
      <c r="JJ20" s="508"/>
      <c r="JK20" s="510">
        <f t="shared" si="198"/>
        <v>0</v>
      </c>
      <c r="JL20" s="510" t="str">
        <f t="shared" si="88"/>
        <v>0</v>
      </c>
      <c r="JM20" s="508"/>
      <c r="JN20" s="510" t="str">
        <f t="shared" si="89"/>
        <v>0</v>
      </c>
      <c r="JO20" s="510" t="str">
        <f t="shared" si="90"/>
        <v>0</v>
      </c>
      <c r="JP20" s="508"/>
      <c r="JQ20" s="510" t="str">
        <f t="shared" si="91"/>
        <v>0</v>
      </c>
      <c r="JR20" s="510" t="str">
        <f t="shared" si="92"/>
        <v>0</v>
      </c>
      <c r="JS20" s="508"/>
      <c r="JT20" s="510" t="str">
        <f t="shared" si="93"/>
        <v>0</v>
      </c>
      <c r="JU20" s="510" t="str">
        <f t="shared" si="94"/>
        <v>0</v>
      </c>
      <c r="JV20" s="508"/>
      <c r="JW20" s="510" t="str">
        <f t="shared" si="95"/>
        <v>0</v>
      </c>
      <c r="JX20" s="510" t="str">
        <f t="shared" si="96"/>
        <v>0</v>
      </c>
      <c r="JY20" s="508"/>
      <c r="JZ20" s="510" t="str">
        <f t="shared" si="97"/>
        <v>0</v>
      </c>
      <c r="KA20" s="510" t="str">
        <f t="shared" si="98"/>
        <v>0</v>
      </c>
      <c r="KB20" s="508"/>
      <c r="KC20" s="510" t="str">
        <f t="shared" si="99"/>
        <v>0</v>
      </c>
      <c r="KD20" s="510" t="str">
        <f t="shared" si="100"/>
        <v>0</v>
      </c>
      <c r="KE20" s="508"/>
      <c r="KF20" s="510" t="str">
        <f t="shared" si="101"/>
        <v>0</v>
      </c>
      <c r="KG20" s="510" t="str">
        <f t="shared" si="102"/>
        <v>0</v>
      </c>
      <c r="KH20" s="508"/>
      <c r="KI20" s="510" t="str">
        <f t="shared" si="103"/>
        <v>0</v>
      </c>
      <c r="KJ20" s="510" t="str">
        <f t="shared" si="104"/>
        <v>0</v>
      </c>
      <c r="KK20" s="508"/>
      <c r="KL20" s="510" t="str">
        <f t="shared" si="105"/>
        <v>0</v>
      </c>
      <c r="KM20" s="510" t="str">
        <f t="shared" si="106"/>
        <v>0</v>
      </c>
      <c r="KN20" s="508"/>
      <c r="KO20" s="510" t="str">
        <f t="shared" si="107"/>
        <v>0</v>
      </c>
      <c r="KP20" s="510" t="str">
        <f t="shared" si="108"/>
        <v>0</v>
      </c>
      <c r="KQ20" s="508"/>
      <c r="KR20" s="510" t="str">
        <f t="shared" si="109"/>
        <v>0</v>
      </c>
      <c r="KS20" s="510" t="str">
        <f t="shared" si="110"/>
        <v>0</v>
      </c>
      <c r="KT20" s="510">
        <f t="shared" si="201"/>
        <v>0</v>
      </c>
      <c r="KU20" s="510">
        <f t="shared" si="202"/>
        <v>0</v>
      </c>
      <c r="KV20" s="261">
        <f t="shared" si="199"/>
        <v>500.31811971658072</v>
      </c>
    </row>
    <row r="21" spans="1:308" ht="15" customHeight="1">
      <c r="A21" s="467">
        <f t="shared" si="200"/>
        <v>45850</v>
      </c>
      <c r="B21" s="468" t="str">
        <f>+Report1!B20</f>
        <v>Facial</v>
      </c>
      <c r="C21" s="469" t="str">
        <f>+Report1!C20</f>
        <v>12</v>
      </c>
      <c r="D21" s="470">
        <f>+Report1!P20</f>
        <v>42.796999999999997</v>
      </c>
      <c r="E21" s="471">
        <f>+Report1!R20</f>
        <v>39.923000000000002</v>
      </c>
      <c r="F21" s="508"/>
      <c r="G21" s="509">
        <f t="shared" si="0"/>
        <v>0</v>
      </c>
      <c r="H21" s="510">
        <f t="shared" si="111"/>
        <v>0</v>
      </c>
      <c r="I21" s="508">
        <v>276.93531627906987</v>
      </c>
      <c r="J21" s="509">
        <f t="shared" si="1"/>
        <v>6.9367361240154759</v>
      </c>
      <c r="K21" s="510">
        <f t="shared" si="112"/>
        <v>0</v>
      </c>
      <c r="L21" s="508"/>
      <c r="M21" s="509">
        <f t="shared" si="2"/>
        <v>0</v>
      </c>
      <c r="N21" s="510">
        <f t="shared" si="113"/>
        <v>0</v>
      </c>
      <c r="O21" s="508">
        <v>21</v>
      </c>
      <c r="P21" s="509">
        <f t="shared" si="3"/>
        <v>0.52601257420534531</v>
      </c>
      <c r="Q21" s="510">
        <f t="shared" si="114"/>
        <v>0</v>
      </c>
      <c r="R21" s="508">
        <v>8.96875</v>
      </c>
      <c r="S21" s="509">
        <f t="shared" si="4"/>
        <v>0.22465120356686621</v>
      </c>
      <c r="T21" s="510">
        <f t="shared" si="115"/>
        <v>0</v>
      </c>
      <c r="U21" s="508">
        <v>3.90625</v>
      </c>
      <c r="V21" s="509">
        <f t="shared" si="5"/>
        <v>9.7844600856649047E-2</v>
      </c>
      <c r="W21" s="510">
        <f t="shared" si="116"/>
        <v>0</v>
      </c>
      <c r="X21" s="508"/>
      <c r="Y21" s="509">
        <f t="shared" si="6"/>
        <v>0</v>
      </c>
      <c r="Z21" s="510">
        <f t="shared" si="117"/>
        <v>0</v>
      </c>
      <c r="AA21" s="508"/>
      <c r="AB21" s="509">
        <f t="shared" si="7"/>
        <v>0</v>
      </c>
      <c r="AC21" s="510">
        <f t="shared" si="118"/>
        <v>0</v>
      </c>
      <c r="AD21" s="508"/>
      <c r="AE21" s="509">
        <f t="shared" si="8"/>
        <v>0</v>
      </c>
      <c r="AF21" s="510">
        <f t="shared" si="119"/>
        <v>0</v>
      </c>
      <c r="AG21" s="508"/>
      <c r="AH21" s="509">
        <f t="shared" si="9"/>
        <v>0</v>
      </c>
      <c r="AI21" s="510">
        <f t="shared" si="120"/>
        <v>0</v>
      </c>
      <c r="AJ21" s="508"/>
      <c r="AK21" s="509">
        <f t="shared" si="10"/>
        <v>0</v>
      </c>
      <c r="AL21" s="510">
        <f t="shared" si="121"/>
        <v>0</v>
      </c>
      <c r="AM21" s="508">
        <v>50.605987179487158</v>
      </c>
      <c r="AN21" s="509">
        <f t="shared" si="11"/>
        <v>1.2675897898326067</v>
      </c>
      <c r="AO21" s="510">
        <f t="shared" si="122"/>
        <v>0</v>
      </c>
      <c r="AP21" s="508"/>
      <c r="AQ21" s="509">
        <f t="shared" si="12"/>
        <v>0</v>
      </c>
      <c r="AR21" s="510">
        <f t="shared" si="123"/>
        <v>0</v>
      </c>
      <c r="AS21" s="508"/>
      <c r="AT21" s="509">
        <f t="shared" si="13"/>
        <v>0</v>
      </c>
      <c r="AU21" s="510">
        <f t="shared" si="124"/>
        <v>0</v>
      </c>
      <c r="AV21" s="508">
        <v>13.875</v>
      </c>
      <c r="AW21" s="509">
        <f t="shared" si="14"/>
        <v>0.34754402224281739</v>
      </c>
      <c r="AX21" s="510">
        <f t="shared" si="125"/>
        <v>0</v>
      </c>
      <c r="AY21" s="508">
        <v>63.848399999999998</v>
      </c>
      <c r="AZ21" s="509">
        <f t="shared" si="15"/>
        <v>1.5992886306139318</v>
      </c>
      <c r="BA21" s="510">
        <f t="shared" si="126"/>
        <v>0</v>
      </c>
      <c r="BB21" s="508"/>
      <c r="BC21" s="509">
        <f t="shared" si="16"/>
        <v>0</v>
      </c>
      <c r="BD21" s="510">
        <f t="shared" si="127"/>
        <v>0</v>
      </c>
      <c r="BE21" s="508"/>
      <c r="BF21" s="509">
        <f t="shared" si="17"/>
        <v>0</v>
      </c>
      <c r="BG21" s="510">
        <f t="shared" si="128"/>
        <v>0</v>
      </c>
      <c r="BH21" s="508"/>
      <c r="BI21" s="509">
        <f t="shared" si="18"/>
        <v>0</v>
      </c>
      <c r="BJ21" s="510">
        <f t="shared" si="129"/>
        <v>0</v>
      </c>
      <c r="BK21" s="508"/>
      <c r="BL21" s="509">
        <f t="shared" si="19"/>
        <v>0</v>
      </c>
      <c r="BM21" s="510">
        <f t="shared" si="130"/>
        <v>0</v>
      </c>
      <c r="BN21" s="508"/>
      <c r="BO21" s="509">
        <f t="shared" si="20"/>
        <v>0</v>
      </c>
      <c r="BP21" s="510">
        <f t="shared" si="131"/>
        <v>0</v>
      </c>
      <c r="BQ21" s="508"/>
      <c r="BR21" s="509">
        <f t="shared" si="21"/>
        <v>0</v>
      </c>
      <c r="BS21" s="510">
        <f t="shared" si="132"/>
        <v>0</v>
      </c>
      <c r="BT21" s="508"/>
      <c r="BU21" s="509">
        <f t="shared" si="22"/>
        <v>0</v>
      </c>
      <c r="BV21" s="510">
        <f t="shared" si="133"/>
        <v>0</v>
      </c>
      <c r="BW21" s="508"/>
      <c r="BX21" s="509">
        <f t="shared" si="23"/>
        <v>0</v>
      </c>
      <c r="BY21" s="510">
        <f t="shared" si="134"/>
        <v>0</v>
      </c>
      <c r="BZ21" s="508"/>
      <c r="CA21" s="509">
        <f t="shared" si="24"/>
        <v>0</v>
      </c>
      <c r="CB21" s="510">
        <f t="shared" si="135"/>
        <v>0</v>
      </c>
      <c r="CC21" s="508"/>
      <c r="CD21" s="509">
        <f t="shared" si="25"/>
        <v>0</v>
      </c>
      <c r="CE21" s="510">
        <f t="shared" si="136"/>
        <v>0</v>
      </c>
      <c r="CF21" s="508">
        <v>4.9000000000000004</v>
      </c>
      <c r="CG21" s="509">
        <f t="shared" si="26"/>
        <v>0.12273626731458057</v>
      </c>
      <c r="CH21" s="510">
        <f t="shared" si="137"/>
        <v>0</v>
      </c>
      <c r="CI21" s="508"/>
      <c r="CJ21" s="509">
        <f t="shared" si="27"/>
        <v>0</v>
      </c>
      <c r="CK21" s="510">
        <f t="shared" si="138"/>
        <v>0</v>
      </c>
      <c r="CL21" s="508"/>
      <c r="CM21" s="509">
        <f t="shared" si="28"/>
        <v>0</v>
      </c>
      <c r="CN21" s="510">
        <f t="shared" si="139"/>
        <v>0</v>
      </c>
      <c r="CO21" s="508"/>
      <c r="CP21" s="509">
        <f t="shared" si="29"/>
        <v>0</v>
      </c>
      <c r="CQ21" s="510">
        <f t="shared" si="140"/>
        <v>0</v>
      </c>
      <c r="CR21" s="508"/>
      <c r="CS21" s="509">
        <f t="shared" si="30"/>
        <v>0</v>
      </c>
      <c r="CT21" s="510">
        <f t="shared" si="141"/>
        <v>0</v>
      </c>
      <c r="CU21" s="508"/>
      <c r="CV21" s="509">
        <f t="shared" si="31"/>
        <v>0</v>
      </c>
      <c r="CW21" s="510">
        <f t="shared" si="142"/>
        <v>0</v>
      </c>
      <c r="CX21" s="508"/>
      <c r="CY21" s="509">
        <f t="shared" si="32"/>
        <v>0</v>
      </c>
      <c r="CZ21" s="510">
        <f t="shared" si="143"/>
        <v>0</v>
      </c>
      <c r="DA21" s="508"/>
      <c r="DB21" s="509">
        <f t="shared" si="33"/>
        <v>0</v>
      </c>
      <c r="DC21" s="510">
        <f t="shared" si="144"/>
        <v>0</v>
      </c>
      <c r="DD21" s="508"/>
      <c r="DE21" s="509">
        <f t="shared" si="34"/>
        <v>0</v>
      </c>
      <c r="DF21" s="510">
        <f t="shared" si="145"/>
        <v>0</v>
      </c>
      <c r="DG21" s="508"/>
      <c r="DH21" s="509">
        <f t="shared" si="35"/>
        <v>0</v>
      </c>
      <c r="DI21" s="510">
        <f t="shared" si="203"/>
        <v>0</v>
      </c>
      <c r="DJ21" s="508"/>
      <c r="DK21" s="509">
        <f t="shared" si="36"/>
        <v>0</v>
      </c>
      <c r="DL21" s="510">
        <f t="shared" si="146"/>
        <v>0</v>
      </c>
      <c r="DM21" s="508"/>
      <c r="DN21" s="509">
        <f t="shared" si="37"/>
        <v>0</v>
      </c>
      <c r="DO21" s="510">
        <f t="shared" si="147"/>
        <v>0</v>
      </c>
      <c r="DP21" s="508"/>
      <c r="DQ21" s="509">
        <f t="shared" si="38"/>
        <v>0</v>
      </c>
      <c r="DR21" s="510">
        <f t="shared" si="148"/>
        <v>0</v>
      </c>
      <c r="DS21" s="508"/>
      <c r="DT21" s="509">
        <f t="shared" si="39"/>
        <v>0</v>
      </c>
      <c r="DU21" s="510">
        <f t="shared" si="149"/>
        <v>0</v>
      </c>
      <c r="DV21" s="508"/>
      <c r="DW21" s="509">
        <f t="shared" si="40"/>
        <v>0</v>
      </c>
      <c r="DX21" s="510">
        <f t="shared" si="150"/>
        <v>0</v>
      </c>
      <c r="DY21" s="508"/>
      <c r="DZ21" s="509">
        <f t="shared" si="41"/>
        <v>0</v>
      </c>
      <c r="EA21" s="510">
        <f t="shared" si="151"/>
        <v>0</v>
      </c>
      <c r="EB21" s="508">
        <v>29.352941176470608</v>
      </c>
      <c r="EC21" s="509">
        <f t="shared" si="42"/>
        <v>0.73523886422539908</v>
      </c>
      <c r="ED21" s="510">
        <f t="shared" si="152"/>
        <v>0</v>
      </c>
      <c r="EE21" s="508">
        <v>14.534883720930253</v>
      </c>
      <c r="EF21" s="509">
        <f t="shared" si="43"/>
        <v>0.36407293342009001</v>
      </c>
      <c r="EG21" s="510">
        <f t="shared" si="153"/>
        <v>0</v>
      </c>
      <c r="EH21" s="508">
        <v>5</v>
      </c>
      <c r="EI21" s="509">
        <f t="shared" si="44"/>
        <v>0.12524108909651077</v>
      </c>
      <c r="EJ21" s="510">
        <f t="shared" si="154"/>
        <v>0</v>
      </c>
      <c r="EK21" s="508"/>
      <c r="EL21" s="509">
        <f t="shared" si="45"/>
        <v>0</v>
      </c>
      <c r="EM21" s="510">
        <f t="shared" si="155"/>
        <v>0</v>
      </c>
      <c r="EN21" s="508"/>
      <c r="EO21" s="509">
        <f t="shared" si="46"/>
        <v>0</v>
      </c>
      <c r="EP21" s="510">
        <f t="shared" si="156"/>
        <v>0</v>
      </c>
      <c r="EQ21" s="508"/>
      <c r="ER21" s="509">
        <f t="shared" si="47"/>
        <v>0</v>
      </c>
      <c r="ES21" s="510">
        <f t="shared" si="157"/>
        <v>0</v>
      </c>
      <c r="ET21" s="508"/>
      <c r="EU21" s="509">
        <f t="shared" si="48"/>
        <v>0</v>
      </c>
      <c r="EV21" s="510">
        <f t="shared" si="158"/>
        <v>0</v>
      </c>
      <c r="EW21" s="508"/>
      <c r="EX21" s="509">
        <f t="shared" si="49"/>
        <v>0</v>
      </c>
      <c r="EY21" s="510">
        <f t="shared" si="159"/>
        <v>0</v>
      </c>
      <c r="EZ21" s="508"/>
      <c r="FA21" s="509">
        <f t="shared" si="50"/>
        <v>0</v>
      </c>
      <c r="FB21" s="510">
        <f t="shared" si="160"/>
        <v>0</v>
      </c>
      <c r="FC21" s="508"/>
      <c r="FD21" s="509">
        <f t="shared" si="51"/>
        <v>0</v>
      </c>
      <c r="FE21" s="510">
        <f t="shared" si="161"/>
        <v>0</v>
      </c>
      <c r="FF21" s="508"/>
      <c r="FG21" s="509">
        <f t="shared" si="52"/>
        <v>0</v>
      </c>
      <c r="FH21" s="510">
        <f t="shared" si="162"/>
        <v>0</v>
      </c>
      <c r="FI21" s="508"/>
      <c r="FJ21" s="509">
        <f t="shared" si="53"/>
        <v>0</v>
      </c>
      <c r="FK21" s="510">
        <f t="shared" si="163"/>
        <v>0</v>
      </c>
      <c r="FL21" s="508"/>
      <c r="FM21" s="509">
        <f t="shared" si="54"/>
        <v>0</v>
      </c>
      <c r="FN21" s="510">
        <f t="shared" si="164"/>
        <v>0</v>
      </c>
      <c r="FO21" s="508"/>
      <c r="FP21" s="509">
        <f t="shared" si="55"/>
        <v>0</v>
      </c>
      <c r="FQ21" s="510">
        <f t="shared" si="165"/>
        <v>0</v>
      </c>
      <c r="FR21" s="508"/>
      <c r="FS21" s="509">
        <f t="shared" si="56"/>
        <v>0</v>
      </c>
      <c r="FT21" s="510">
        <f t="shared" si="166"/>
        <v>0</v>
      </c>
      <c r="FU21" s="508"/>
      <c r="FV21" s="509">
        <f t="shared" si="57"/>
        <v>0</v>
      </c>
      <c r="FW21" s="510">
        <f t="shared" si="167"/>
        <v>0</v>
      </c>
      <c r="FX21" s="508"/>
      <c r="FY21" s="509">
        <f t="shared" si="58"/>
        <v>0</v>
      </c>
      <c r="FZ21" s="510">
        <f t="shared" si="168"/>
        <v>0</v>
      </c>
      <c r="GA21" s="508"/>
      <c r="GB21" s="509">
        <f t="shared" si="59"/>
        <v>0</v>
      </c>
      <c r="GC21" s="510">
        <f t="shared" si="169"/>
        <v>0</v>
      </c>
      <c r="GD21" s="508"/>
      <c r="GE21" s="509">
        <f t="shared" si="60"/>
        <v>0</v>
      </c>
      <c r="GF21" s="510">
        <f t="shared" si="170"/>
        <v>0</v>
      </c>
      <c r="GG21" s="508"/>
      <c r="GH21" s="509">
        <f t="shared" si="61"/>
        <v>0</v>
      </c>
      <c r="GI21" s="510">
        <f t="shared" si="171"/>
        <v>0</v>
      </c>
      <c r="GJ21" s="508"/>
      <c r="GK21" s="509">
        <f t="shared" si="62"/>
        <v>0</v>
      </c>
      <c r="GL21" s="510">
        <f t="shared" si="172"/>
        <v>0</v>
      </c>
      <c r="GM21" s="508"/>
      <c r="GN21" s="509">
        <f t="shared" si="63"/>
        <v>0</v>
      </c>
      <c r="GO21" s="510">
        <f t="shared" si="173"/>
        <v>0</v>
      </c>
      <c r="GP21" s="508"/>
      <c r="GQ21" s="509">
        <f t="shared" si="64"/>
        <v>0</v>
      </c>
      <c r="GR21" s="510">
        <f t="shared" si="174"/>
        <v>0</v>
      </c>
      <c r="GS21" s="508"/>
      <c r="GT21" s="509">
        <f t="shared" si="65"/>
        <v>0</v>
      </c>
      <c r="GU21" s="510">
        <f t="shared" si="175"/>
        <v>0</v>
      </c>
      <c r="GV21" s="508"/>
      <c r="GW21" s="509">
        <f t="shared" si="66"/>
        <v>0</v>
      </c>
      <c r="GX21" s="510">
        <f t="shared" si="176"/>
        <v>0</v>
      </c>
      <c r="GY21" s="508"/>
      <c r="GZ21" s="509">
        <f t="shared" si="67"/>
        <v>0</v>
      </c>
      <c r="HA21" s="510">
        <f t="shared" si="177"/>
        <v>0</v>
      </c>
      <c r="HB21" s="508"/>
      <c r="HC21" s="509">
        <f t="shared" si="68"/>
        <v>0</v>
      </c>
      <c r="HD21" s="510">
        <f t="shared" si="178"/>
        <v>0</v>
      </c>
      <c r="HE21" s="508"/>
      <c r="HF21" s="509">
        <f t="shared" si="69"/>
        <v>0</v>
      </c>
      <c r="HG21" s="510">
        <f t="shared" si="179"/>
        <v>0</v>
      </c>
      <c r="HH21" s="508"/>
      <c r="HI21" s="509">
        <f t="shared" si="70"/>
        <v>0</v>
      </c>
      <c r="HJ21" s="510">
        <f t="shared" si="180"/>
        <v>0</v>
      </c>
      <c r="HK21" s="508"/>
      <c r="HL21" s="509">
        <f t="shared" si="71"/>
        <v>0</v>
      </c>
      <c r="HM21" s="510">
        <f t="shared" si="181"/>
        <v>0</v>
      </c>
      <c r="HN21" s="508"/>
      <c r="HO21" s="509">
        <f t="shared" si="72"/>
        <v>0</v>
      </c>
      <c r="HP21" s="510">
        <f t="shared" si="182"/>
        <v>0</v>
      </c>
      <c r="HQ21" s="508"/>
      <c r="HR21" s="509">
        <f t="shared" si="73"/>
        <v>0</v>
      </c>
      <c r="HS21" s="510">
        <f t="shared" si="183"/>
        <v>0</v>
      </c>
      <c r="HT21" s="508"/>
      <c r="HU21" s="509">
        <f t="shared" si="74"/>
        <v>0</v>
      </c>
      <c r="HV21" s="510">
        <f t="shared" si="184"/>
        <v>0</v>
      </c>
      <c r="HW21" s="508"/>
      <c r="HX21" s="509">
        <f t="shared" si="75"/>
        <v>0</v>
      </c>
      <c r="HY21" s="510">
        <f t="shared" si="185"/>
        <v>0</v>
      </c>
      <c r="HZ21" s="508"/>
      <c r="IA21" s="509">
        <f t="shared" si="76"/>
        <v>0</v>
      </c>
      <c r="IB21" s="510">
        <f t="shared" si="186"/>
        <v>0</v>
      </c>
      <c r="IC21" s="508"/>
      <c r="ID21" s="509">
        <f t="shared" si="77"/>
        <v>0</v>
      </c>
      <c r="IE21" s="510">
        <f t="shared" si="187"/>
        <v>0</v>
      </c>
      <c r="IF21" s="508"/>
      <c r="IG21" s="509">
        <f t="shared" si="78"/>
        <v>0</v>
      </c>
      <c r="IH21" s="510">
        <f t="shared" si="188"/>
        <v>0</v>
      </c>
      <c r="II21" s="508"/>
      <c r="IJ21" s="509">
        <f t="shared" si="79"/>
        <v>0</v>
      </c>
      <c r="IK21" s="510">
        <f t="shared" si="189"/>
        <v>0</v>
      </c>
      <c r="IL21" s="508"/>
      <c r="IM21" s="509">
        <f t="shared" si="80"/>
        <v>0</v>
      </c>
      <c r="IN21" s="510">
        <f t="shared" si="190"/>
        <v>0</v>
      </c>
      <c r="IO21" s="508"/>
      <c r="IP21" s="509">
        <f t="shared" si="81"/>
        <v>0</v>
      </c>
      <c r="IQ21" s="510">
        <f t="shared" si="191"/>
        <v>0</v>
      </c>
      <c r="IR21" s="508"/>
      <c r="IS21" s="509">
        <f t="shared" si="82"/>
        <v>0</v>
      </c>
      <c r="IT21" s="510">
        <f t="shared" si="192"/>
        <v>0</v>
      </c>
      <c r="IU21" s="508"/>
      <c r="IV21" s="509">
        <f t="shared" si="83"/>
        <v>0</v>
      </c>
      <c r="IW21" s="510">
        <f t="shared" si="193"/>
        <v>0</v>
      </c>
      <c r="IX21" s="508"/>
      <c r="IY21" s="509">
        <f t="shared" si="84"/>
        <v>0</v>
      </c>
      <c r="IZ21" s="510">
        <f t="shared" si="194"/>
        <v>0</v>
      </c>
      <c r="JA21" s="508"/>
      <c r="JB21" s="509">
        <f t="shared" si="85"/>
        <v>0</v>
      </c>
      <c r="JC21" s="510">
        <f t="shared" si="195"/>
        <v>0</v>
      </c>
      <c r="JD21" s="508"/>
      <c r="JE21" s="509">
        <f t="shared" si="86"/>
        <v>0</v>
      </c>
      <c r="JF21" s="510">
        <f t="shared" si="196"/>
        <v>0</v>
      </c>
      <c r="JG21" s="508"/>
      <c r="JH21" s="509">
        <f t="shared" si="87"/>
        <v>0</v>
      </c>
      <c r="JI21" s="510">
        <f t="shared" si="197"/>
        <v>0</v>
      </c>
      <c r="JJ21" s="508"/>
      <c r="JK21" s="510">
        <f t="shared" si="198"/>
        <v>0</v>
      </c>
      <c r="JL21" s="510" t="str">
        <f t="shared" si="88"/>
        <v>0</v>
      </c>
      <c r="JM21" s="508"/>
      <c r="JN21" s="510" t="str">
        <f t="shared" si="89"/>
        <v>0</v>
      </c>
      <c r="JO21" s="510" t="str">
        <f t="shared" si="90"/>
        <v>0</v>
      </c>
      <c r="JP21" s="508"/>
      <c r="JQ21" s="510" t="str">
        <f t="shared" si="91"/>
        <v>0</v>
      </c>
      <c r="JR21" s="510" t="str">
        <f t="shared" si="92"/>
        <v>0</v>
      </c>
      <c r="JS21" s="508"/>
      <c r="JT21" s="510" t="str">
        <f t="shared" si="93"/>
        <v>0</v>
      </c>
      <c r="JU21" s="510" t="str">
        <f t="shared" si="94"/>
        <v>0</v>
      </c>
      <c r="JV21" s="508"/>
      <c r="JW21" s="510" t="str">
        <f t="shared" si="95"/>
        <v>0</v>
      </c>
      <c r="JX21" s="510" t="str">
        <f t="shared" si="96"/>
        <v>0</v>
      </c>
      <c r="JY21" s="508"/>
      <c r="JZ21" s="510" t="str">
        <f t="shared" si="97"/>
        <v>0</v>
      </c>
      <c r="KA21" s="510" t="str">
        <f t="shared" si="98"/>
        <v>0</v>
      </c>
      <c r="KB21" s="508"/>
      <c r="KC21" s="510" t="str">
        <f t="shared" si="99"/>
        <v>0</v>
      </c>
      <c r="KD21" s="510" t="str">
        <f t="shared" si="100"/>
        <v>0</v>
      </c>
      <c r="KE21" s="508"/>
      <c r="KF21" s="510" t="str">
        <f t="shared" si="101"/>
        <v>0</v>
      </c>
      <c r="KG21" s="510" t="str">
        <f t="shared" si="102"/>
        <v>0</v>
      </c>
      <c r="KH21" s="508"/>
      <c r="KI21" s="510" t="str">
        <f t="shared" si="103"/>
        <v>0</v>
      </c>
      <c r="KJ21" s="510" t="str">
        <f t="shared" si="104"/>
        <v>0</v>
      </c>
      <c r="KK21" s="508"/>
      <c r="KL21" s="510" t="str">
        <f t="shared" si="105"/>
        <v>0</v>
      </c>
      <c r="KM21" s="510" t="str">
        <f t="shared" si="106"/>
        <v>0</v>
      </c>
      <c r="KN21" s="508"/>
      <c r="KO21" s="510" t="str">
        <f t="shared" si="107"/>
        <v>0</v>
      </c>
      <c r="KP21" s="510" t="str">
        <f t="shared" si="108"/>
        <v>0</v>
      </c>
      <c r="KQ21" s="508"/>
      <c r="KR21" s="510" t="str">
        <f t="shared" si="109"/>
        <v>0</v>
      </c>
      <c r="KS21" s="510" t="str">
        <f t="shared" si="110"/>
        <v>0</v>
      </c>
      <c r="KT21" s="510">
        <f t="shared" si="201"/>
        <v>0</v>
      </c>
      <c r="KU21" s="510">
        <f t="shared" si="202"/>
        <v>0</v>
      </c>
      <c r="KV21" s="261">
        <f t="shared" si="199"/>
        <v>492.92752835595786</v>
      </c>
    </row>
    <row r="22" spans="1:308" ht="15" customHeight="1">
      <c r="A22" s="467">
        <f t="shared" si="200"/>
        <v>45851</v>
      </c>
      <c r="B22" s="468" t="str">
        <f>+Report1!B21</f>
        <v>Facial</v>
      </c>
      <c r="C22" s="469" t="str">
        <f>+Report1!C21</f>
        <v>12</v>
      </c>
      <c r="D22" s="470">
        <f>+Report1!P21</f>
        <v>41.662999999999997</v>
      </c>
      <c r="E22" s="471">
        <f>+Report1!R21</f>
        <v>37.549999999999997</v>
      </c>
      <c r="F22" s="508"/>
      <c r="G22" s="509">
        <f t="shared" si="0"/>
        <v>0</v>
      </c>
      <c r="H22" s="510">
        <f t="shared" si="111"/>
        <v>0</v>
      </c>
      <c r="I22" s="508">
        <v>269.58119534883724</v>
      </c>
      <c r="J22" s="509">
        <f t="shared" si="1"/>
        <v>7.1792595299290882</v>
      </c>
      <c r="K22" s="510">
        <f t="shared" si="112"/>
        <v>0</v>
      </c>
      <c r="L22" s="508"/>
      <c r="M22" s="509">
        <f t="shared" si="2"/>
        <v>0</v>
      </c>
      <c r="N22" s="510">
        <f t="shared" si="113"/>
        <v>0</v>
      </c>
      <c r="O22" s="508">
        <v>21</v>
      </c>
      <c r="P22" s="509">
        <f t="shared" si="3"/>
        <v>0.559254327563249</v>
      </c>
      <c r="Q22" s="510">
        <f t="shared" si="114"/>
        <v>0</v>
      </c>
      <c r="R22" s="508">
        <v>8.9687499999999929</v>
      </c>
      <c r="S22" s="509">
        <f t="shared" si="4"/>
        <v>0.2388482023968041</v>
      </c>
      <c r="T22" s="510">
        <f t="shared" si="115"/>
        <v>0</v>
      </c>
      <c r="U22" s="508">
        <v>3.90625</v>
      </c>
      <c r="V22" s="509">
        <f t="shared" si="5"/>
        <v>0.10402796271637817</v>
      </c>
      <c r="W22" s="510">
        <f t="shared" si="116"/>
        <v>0</v>
      </c>
      <c r="X22" s="508"/>
      <c r="Y22" s="509">
        <f t="shared" si="6"/>
        <v>0</v>
      </c>
      <c r="Z22" s="510">
        <f t="shared" si="117"/>
        <v>0</v>
      </c>
      <c r="AA22" s="508"/>
      <c r="AB22" s="509">
        <f t="shared" si="7"/>
        <v>0</v>
      </c>
      <c r="AC22" s="510">
        <f t="shared" si="118"/>
        <v>0</v>
      </c>
      <c r="AD22" s="508"/>
      <c r="AE22" s="509">
        <f t="shared" si="8"/>
        <v>0</v>
      </c>
      <c r="AF22" s="510">
        <f t="shared" si="119"/>
        <v>0</v>
      </c>
      <c r="AG22" s="508"/>
      <c r="AH22" s="509">
        <f t="shared" si="9"/>
        <v>0</v>
      </c>
      <c r="AI22" s="510">
        <f t="shared" si="120"/>
        <v>0</v>
      </c>
      <c r="AJ22" s="508"/>
      <c r="AK22" s="509">
        <f t="shared" si="10"/>
        <v>0</v>
      </c>
      <c r="AL22" s="510">
        <f t="shared" si="121"/>
        <v>0</v>
      </c>
      <c r="AM22" s="508">
        <v>49.262799999999999</v>
      </c>
      <c r="AN22" s="509">
        <f t="shared" si="11"/>
        <v>1.311925432756325</v>
      </c>
      <c r="AO22" s="510">
        <f t="shared" si="122"/>
        <v>0</v>
      </c>
      <c r="AP22" s="508"/>
      <c r="AQ22" s="509">
        <f t="shared" si="12"/>
        <v>0</v>
      </c>
      <c r="AR22" s="510">
        <f t="shared" si="123"/>
        <v>0</v>
      </c>
      <c r="AS22" s="508"/>
      <c r="AT22" s="509">
        <f t="shared" si="13"/>
        <v>0</v>
      </c>
      <c r="AU22" s="510">
        <f t="shared" si="124"/>
        <v>0</v>
      </c>
      <c r="AV22" s="508">
        <v>13.875000000000057</v>
      </c>
      <c r="AW22" s="509">
        <f t="shared" si="14"/>
        <v>0.3695073235685768</v>
      </c>
      <c r="AX22" s="510">
        <f t="shared" si="125"/>
        <v>0</v>
      </c>
      <c r="AY22" s="508">
        <v>62.155200000000008</v>
      </c>
      <c r="AZ22" s="509">
        <f t="shared" si="15"/>
        <v>1.6552649800266315</v>
      </c>
      <c r="BA22" s="510">
        <f t="shared" si="126"/>
        <v>0</v>
      </c>
      <c r="BB22" s="508"/>
      <c r="BC22" s="509">
        <f t="shared" si="16"/>
        <v>0</v>
      </c>
      <c r="BD22" s="510">
        <f t="shared" si="127"/>
        <v>0</v>
      </c>
      <c r="BE22" s="508"/>
      <c r="BF22" s="509">
        <f t="shared" si="17"/>
        <v>0</v>
      </c>
      <c r="BG22" s="510">
        <f t="shared" si="128"/>
        <v>0</v>
      </c>
      <c r="BH22" s="508"/>
      <c r="BI22" s="509">
        <f t="shared" si="18"/>
        <v>0</v>
      </c>
      <c r="BJ22" s="510">
        <f t="shared" si="129"/>
        <v>0</v>
      </c>
      <c r="BK22" s="508"/>
      <c r="BL22" s="509">
        <f t="shared" si="19"/>
        <v>0</v>
      </c>
      <c r="BM22" s="510">
        <f t="shared" si="130"/>
        <v>0</v>
      </c>
      <c r="BN22" s="508"/>
      <c r="BO22" s="509">
        <f t="shared" si="20"/>
        <v>0</v>
      </c>
      <c r="BP22" s="510">
        <f t="shared" si="131"/>
        <v>0</v>
      </c>
      <c r="BQ22" s="508"/>
      <c r="BR22" s="509">
        <f t="shared" si="21"/>
        <v>0</v>
      </c>
      <c r="BS22" s="510">
        <f t="shared" si="132"/>
        <v>0</v>
      </c>
      <c r="BT22" s="508"/>
      <c r="BU22" s="509">
        <f t="shared" si="22"/>
        <v>0</v>
      </c>
      <c r="BV22" s="510">
        <f t="shared" si="133"/>
        <v>0</v>
      </c>
      <c r="BW22" s="508"/>
      <c r="BX22" s="509">
        <f t="shared" si="23"/>
        <v>0</v>
      </c>
      <c r="BY22" s="510">
        <f t="shared" si="134"/>
        <v>0</v>
      </c>
      <c r="BZ22" s="508"/>
      <c r="CA22" s="509">
        <f t="shared" si="24"/>
        <v>0</v>
      </c>
      <c r="CB22" s="510">
        <f t="shared" si="135"/>
        <v>0</v>
      </c>
      <c r="CC22" s="508"/>
      <c r="CD22" s="509">
        <f t="shared" si="25"/>
        <v>0</v>
      </c>
      <c r="CE22" s="510">
        <f t="shared" si="136"/>
        <v>0</v>
      </c>
      <c r="CF22" s="508">
        <v>4.9000000000000004</v>
      </c>
      <c r="CG22" s="509">
        <f t="shared" si="26"/>
        <v>0.13049267643142479</v>
      </c>
      <c r="CH22" s="510">
        <f t="shared" si="137"/>
        <v>0</v>
      </c>
      <c r="CI22" s="508"/>
      <c r="CJ22" s="509">
        <f t="shared" si="27"/>
        <v>0</v>
      </c>
      <c r="CK22" s="510">
        <f t="shared" si="138"/>
        <v>0</v>
      </c>
      <c r="CL22" s="508"/>
      <c r="CM22" s="509">
        <f t="shared" si="28"/>
        <v>0</v>
      </c>
      <c r="CN22" s="510">
        <f t="shared" si="139"/>
        <v>0</v>
      </c>
      <c r="CO22" s="508"/>
      <c r="CP22" s="509">
        <f t="shared" si="29"/>
        <v>0</v>
      </c>
      <c r="CQ22" s="510">
        <f t="shared" si="140"/>
        <v>0</v>
      </c>
      <c r="CR22" s="508"/>
      <c r="CS22" s="509">
        <f t="shared" si="30"/>
        <v>0</v>
      </c>
      <c r="CT22" s="510">
        <f t="shared" si="141"/>
        <v>0</v>
      </c>
      <c r="CU22" s="508"/>
      <c r="CV22" s="509">
        <f t="shared" si="31"/>
        <v>0</v>
      </c>
      <c r="CW22" s="510">
        <f t="shared" si="142"/>
        <v>0</v>
      </c>
      <c r="CX22" s="508"/>
      <c r="CY22" s="509">
        <f t="shared" si="32"/>
        <v>0</v>
      </c>
      <c r="CZ22" s="510">
        <f t="shared" si="143"/>
        <v>0</v>
      </c>
      <c r="DA22" s="508"/>
      <c r="DB22" s="509">
        <f t="shared" si="33"/>
        <v>0</v>
      </c>
      <c r="DC22" s="510">
        <f t="shared" si="144"/>
        <v>0</v>
      </c>
      <c r="DD22" s="508"/>
      <c r="DE22" s="509">
        <f t="shared" si="34"/>
        <v>0</v>
      </c>
      <c r="DF22" s="510">
        <f t="shared" si="145"/>
        <v>0</v>
      </c>
      <c r="DG22" s="508"/>
      <c r="DH22" s="509">
        <f t="shared" si="35"/>
        <v>0</v>
      </c>
      <c r="DI22" s="510">
        <f t="shared" si="203"/>
        <v>0</v>
      </c>
      <c r="DJ22" s="508"/>
      <c r="DK22" s="509">
        <f t="shared" si="36"/>
        <v>0</v>
      </c>
      <c r="DL22" s="510">
        <f t="shared" si="146"/>
        <v>0</v>
      </c>
      <c r="DM22" s="508"/>
      <c r="DN22" s="509">
        <f t="shared" si="37"/>
        <v>0</v>
      </c>
      <c r="DO22" s="510">
        <f t="shared" si="147"/>
        <v>0</v>
      </c>
      <c r="DP22" s="508"/>
      <c r="DQ22" s="509">
        <f t="shared" si="38"/>
        <v>0</v>
      </c>
      <c r="DR22" s="510">
        <f t="shared" si="148"/>
        <v>0</v>
      </c>
      <c r="DS22" s="508"/>
      <c r="DT22" s="509">
        <f t="shared" si="39"/>
        <v>0</v>
      </c>
      <c r="DU22" s="510">
        <f t="shared" si="149"/>
        <v>0</v>
      </c>
      <c r="DV22" s="508"/>
      <c r="DW22" s="509">
        <f t="shared" si="40"/>
        <v>0</v>
      </c>
      <c r="DX22" s="510">
        <f t="shared" si="150"/>
        <v>0</v>
      </c>
      <c r="DY22" s="508"/>
      <c r="DZ22" s="509">
        <f t="shared" si="41"/>
        <v>0</v>
      </c>
      <c r="EA22" s="510">
        <f t="shared" si="151"/>
        <v>0</v>
      </c>
      <c r="EB22" s="508">
        <v>29.352941176470495</v>
      </c>
      <c r="EC22" s="509">
        <f t="shared" si="42"/>
        <v>0.78170282760241006</v>
      </c>
      <c r="ED22" s="510">
        <f t="shared" si="152"/>
        <v>0</v>
      </c>
      <c r="EE22" s="508">
        <v>14.534883720930225</v>
      </c>
      <c r="EF22" s="509">
        <f t="shared" si="43"/>
        <v>0.38708079150280228</v>
      </c>
      <c r="EG22" s="510">
        <f t="shared" si="153"/>
        <v>0</v>
      </c>
      <c r="EH22" s="508">
        <v>5</v>
      </c>
      <c r="EI22" s="509">
        <f t="shared" si="44"/>
        <v>0.13315579227696406</v>
      </c>
      <c r="EJ22" s="510">
        <f t="shared" si="154"/>
        <v>0</v>
      </c>
      <c r="EK22" s="508"/>
      <c r="EL22" s="509">
        <f t="shared" si="45"/>
        <v>0</v>
      </c>
      <c r="EM22" s="510">
        <f t="shared" si="155"/>
        <v>0</v>
      </c>
      <c r="EN22" s="508"/>
      <c r="EO22" s="509">
        <f t="shared" si="46"/>
        <v>0</v>
      </c>
      <c r="EP22" s="510">
        <f t="shared" si="156"/>
        <v>0</v>
      </c>
      <c r="EQ22" s="508"/>
      <c r="ER22" s="509">
        <f t="shared" si="47"/>
        <v>0</v>
      </c>
      <c r="ES22" s="510">
        <f t="shared" si="157"/>
        <v>0</v>
      </c>
      <c r="ET22" s="508"/>
      <c r="EU22" s="509">
        <f t="shared" si="48"/>
        <v>0</v>
      </c>
      <c r="EV22" s="510">
        <f t="shared" si="158"/>
        <v>0</v>
      </c>
      <c r="EW22" s="508"/>
      <c r="EX22" s="509">
        <f t="shared" si="49"/>
        <v>0</v>
      </c>
      <c r="EY22" s="510">
        <f t="shared" si="159"/>
        <v>0</v>
      </c>
      <c r="EZ22" s="508"/>
      <c r="FA22" s="509">
        <f t="shared" si="50"/>
        <v>0</v>
      </c>
      <c r="FB22" s="510">
        <f t="shared" si="160"/>
        <v>0</v>
      </c>
      <c r="FC22" s="508"/>
      <c r="FD22" s="509">
        <f t="shared" si="51"/>
        <v>0</v>
      </c>
      <c r="FE22" s="510">
        <f t="shared" si="161"/>
        <v>0</v>
      </c>
      <c r="FF22" s="508"/>
      <c r="FG22" s="509">
        <f t="shared" si="52"/>
        <v>0</v>
      </c>
      <c r="FH22" s="510">
        <f t="shared" si="162"/>
        <v>0</v>
      </c>
      <c r="FI22" s="508"/>
      <c r="FJ22" s="509">
        <f t="shared" si="53"/>
        <v>0</v>
      </c>
      <c r="FK22" s="510">
        <f t="shared" si="163"/>
        <v>0</v>
      </c>
      <c r="FL22" s="508"/>
      <c r="FM22" s="509">
        <f t="shared" si="54"/>
        <v>0</v>
      </c>
      <c r="FN22" s="510">
        <f t="shared" si="164"/>
        <v>0</v>
      </c>
      <c r="FO22" s="508"/>
      <c r="FP22" s="509">
        <f t="shared" si="55"/>
        <v>0</v>
      </c>
      <c r="FQ22" s="510">
        <f t="shared" si="165"/>
        <v>0</v>
      </c>
      <c r="FR22" s="508"/>
      <c r="FS22" s="509">
        <f t="shared" si="56"/>
        <v>0</v>
      </c>
      <c r="FT22" s="510">
        <f t="shared" si="166"/>
        <v>0</v>
      </c>
      <c r="FU22" s="508"/>
      <c r="FV22" s="509">
        <f t="shared" si="57"/>
        <v>0</v>
      </c>
      <c r="FW22" s="510">
        <f t="shared" si="167"/>
        <v>0</v>
      </c>
      <c r="FX22" s="508"/>
      <c r="FY22" s="509">
        <f t="shared" si="58"/>
        <v>0</v>
      </c>
      <c r="FZ22" s="510">
        <f t="shared" si="168"/>
        <v>0</v>
      </c>
      <c r="GA22" s="508"/>
      <c r="GB22" s="509">
        <f t="shared" si="59"/>
        <v>0</v>
      </c>
      <c r="GC22" s="510">
        <f t="shared" si="169"/>
        <v>0</v>
      </c>
      <c r="GD22" s="508"/>
      <c r="GE22" s="509">
        <f t="shared" si="60"/>
        <v>0</v>
      </c>
      <c r="GF22" s="510">
        <f t="shared" si="170"/>
        <v>0</v>
      </c>
      <c r="GG22" s="508"/>
      <c r="GH22" s="509">
        <f t="shared" si="61"/>
        <v>0</v>
      </c>
      <c r="GI22" s="510">
        <f t="shared" si="171"/>
        <v>0</v>
      </c>
      <c r="GJ22" s="508"/>
      <c r="GK22" s="509">
        <f t="shared" si="62"/>
        <v>0</v>
      </c>
      <c r="GL22" s="510">
        <f t="shared" si="172"/>
        <v>0</v>
      </c>
      <c r="GM22" s="508"/>
      <c r="GN22" s="509">
        <f t="shared" si="63"/>
        <v>0</v>
      </c>
      <c r="GO22" s="510">
        <f t="shared" si="173"/>
        <v>0</v>
      </c>
      <c r="GP22" s="508"/>
      <c r="GQ22" s="509">
        <f t="shared" si="64"/>
        <v>0</v>
      </c>
      <c r="GR22" s="510">
        <f t="shared" si="174"/>
        <v>0</v>
      </c>
      <c r="GS22" s="508"/>
      <c r="GT22" s="509">
        <f t="shared" si="65"/>
        <v>0</v>
      </c>
      <c r="GU22" s="510">
        <f t="shared" si="175"/>
        <v>0</v>
      </c>
      <c r="GV22" s="508"/>
      <c r="GW22" s="509">
        <f t="shared" si="66"/>
        <v>0</v>
      </c>
      <c r="GX22" s="510">
        <f t="shared" si="176"/>
        <v>0</v>
      </c>
      <c r="GY22" s="508"/>
      <c r="GZ22" s="509">
        <f t="shared" si="67"/>
        <v>0</v>
      </c>
      <c r="HA22" s="510">
        <f t="shared" si="177"/>
        <v>0</v>
      </c>
      <c r="HB22" s="508"/>
      <c r="HC22" s="509">
        <f t="shared" si="68"/>
        <v>0</v>
      </c>
      <c r="HD22" s="510">
        <f t="shared" si="178"/>
        <v>0</v>
      </c>
      <c r="HE22" s="508"/>
      <c r="HF22" s="509">
        <f t="shared" si="69"/>
        <v>0</v>
      </c>
      <c r="HG22" s="510">
        <f t="shared" si="179"/>
        <v>0</v>
      </c>
      <c r="HH22" s="508"/>
      <c r="HI22" s="509">
        <f t="shared" si="70"/>
        <v>0</v>
      </c>
      <c r="HJ22" s="510">
        <f t="shared" si="180"/>
        <v>0</v>
      </c>
      <c r="HK22" s="508"/>
      <c r="HL22" s="509">
        <f t="shared" si="71"/>
        <v>0</v>
      </c>
      <c r="HM22" s="510">
        <f t="shared" si="181"/>
        <v>0</v>
      </c>
      <c r="HN22" s="508"/>
      <c r="HO22" s="509">
        <f t="shared" si="72"/>
        <v>0</v>
      </c>
      <c r="HP22" s="510">
        <f t="shared" si="182"/>
        <v>0</v>
      </c>
      <c r="HQ22" s="508"/>
      <c r="HR22" s="509">
        <f t="shared" si="73"/>
        <v>0</v>
      </c>
      <c r="HS22" s="510">
        <f t="shared" si="183"/>
        <v>0</v>
      </c>
      <c r="HT22" s="508"/>
      <c r="HU22" s="509">
        <f t="shared" si="74"/>
        <v>0</v>
      </c>
      <c r="HV22" s="510">
        <f t="shared" si="184"/>
        <v>0</v>
      </c>
      <c r="HW22" s="508"/>
      <c r="HX22" s="509">
        <f t="shared" si="75"/>
        <v>0</v>
      </c>
      <c r="HY22" s="510">
        <f t="shared" si="185"/>
        <v>0</v>
      </c>
      <c r="HZ22" s="508"/>
      <c r="IA22" s="509">
        <f t="shared" si="76"/>
        <v>0</v>
      </c>
      <c r="IB22" s="510">
        <f t="shared" si="186"/>
        <v>0</v>
      </c>
      <c r="IC22" s="508"/>
      <c r="ID22" s="509">
        <f t="shared" si="77"/>
        <v>0</v>
      </c>
      <c r="IE22" s="510">
        <f t="shared" si="187"/>
        <v>0</v>
      </c>
      <c r="IF22" s="508"/>
      <c r="IG22" s="509">
        <f t="shared" si="78"/>
        <v>0</v>
      </c>
      <c r="IH22" s="510">
        <f t="shared" si="188"/>
        <v>0</v>
      </c>
      <c r="II22" s="508"/>
      <c r="IJ22" s="509">
        <f t="shared" si="79"/>
        <v>0</v>
      </c>
      <c r="IK22" s="510">
        <f t="shared" si="189"/>
        <v>0</v>
      </c>
      <c r="IL22" s="508"/>
      <c r="IM22" s="509">
        <f t="shared" si="80"/>
        <v>0</v>
      </c>
      <c r="IN22" s="510">
        <f t="shared" si="190"/>
        <v>0</v>
      </c>
      <c r="IO22" s="508"/>
      <c r="IP22" s="509">
        <f t="shared" si="81"/>
        <v>0</v>
      </c>
      <c r="IQ22" s="510">
        <f t="shared" si="191"/>
        <v>0</v>
      </c>
      <c r="IR22" s="508"/>
      <c r="IS22" s="509">
        <f t="shared" si="82"/>
        <v>0</v>
      </c>
      <c r="IT22" s="510">
        <f t="shared" si="192"/>
        <v>0</v>
      </c>
      <c r="IU22" s="508"/>
      <c r="IV22" s="509">
        <f t="shared" si="83"/>
        <v>0</v>
      </c>
      <c r="IW22" s="510">
        <f t="shared" si="193"/>
        <v>0</v>
      </c>
      <c r="IX22" s="508"/>
      <c r="IY22" s="509">
        <f t="shared" si="84"/>
        <v>0</v>
      </c>
      <c r="IZ22" s="510">
        <f t="shared" si="194"/>
        <v>0</v>
      </c>
      <c r="JA22" s="508"/>
      <c r="JB22" s="509">
        <f t="shared" si="85"/>
        <v>0</v>
      </c>
      <c r="JC22" s="510">
        <f t="shared" si="195"/>
        <v>0</v>
      </c>
      <c r="JD22" s="508"/>
      <c r="JE22" s="509">
        <f t="shared" si="86"/>
        <v>0</v>
      </c>
      <c r="JF22" s="510">
        <f t="shared" si="196"/>
        <v>0</v>
      </c>
      <c r="JG22" s="508"/>
      <c r="JH22" s="509">
        <f t="shared" si="87"/>
        <v>0</v>
      </c>
      <c r="JI22" s="510">
        <f t="shared" si="197"/>
        <v>0</v>
      </c>
      <c r="JJ22" s="508"/>
      <c r="JK22" s="510">
        <f t="shared" si="198"/>
        <v>0</v>
      </c>
      <c r="JL22" s="510" t="str">
        <f t="shared" si="88"/>
        <v>0</v>
      </c>
      <c r="JM22" s="508"/>
      <c r="JN22" s="510" t="str">
        <f t="shared" si="89"/>
        <v>0</v>
      </c>
      <c r="JO22" s="510" t="str">
        <f t="shared" si="90"/>
        <v>0</v>
      </c>
      <c r="JP22" s="508"/>
      <c r="JQ22" s="510" t="str">
        <f t="shared" si="91"/>
        <v>0</v>
      </c>
      <c r="JR22" s="510" t="str">
        <f t="shared" si="92"/>
        <v>0</v>
      </c>
      <c r="JS22" s="508"/>
      <c r="JT22" s="510" t="str">
        <f t="shared" si="93"/>
        <v>0</v>
      </c>
      <c r="JU22" s="510" t="str">
        <f t="shared" si="94"/>
        <v>0</v>
      </c>
      <c r="JV22" s="508"/>
      <c r="JW22" s="510" t="str">
        <f t="shared" si="95"/>
        <v>0</v>
      </c>
      <c r="JX22" s="510" t="str">
        <f t="shared" si="96"/>
        <v>0</v>
      </c>
      <c r="JY22" s="508"/>
      <c r="JZ22" s="510" t="str">
        <f t="shared" si="97"/>
        <v>0</v>
      </c>
      <c r="KA22" s="510" t="str">
        <f t="shared" si="98"/>
        <v>0</v>
      </c>
      <c r="KB22" s="508"/>
      <c r="KC22" s="510" t="str">
        <f t="shared" si="99"/>
        <v>0</v>
      </c>
      <c r="KD22" s="510" t="str">
        <f t="shared" si="100"/>
        <v>0</v>
      </c>
      <c r="KE22" s="508"/>
      <c r="KF22" s="510" t="str">
        <f t="shared" si="101"/>
        <v>0</v>
      </c>
      <c r="KG22" s="510" t="str">
        <f t="shared" si="102"/>
        <v>0</v>
      </c>
      <c r="KH22" s="508"/>
      <c r="KI22" s="510" t="str">
        <f t="shared" si="103"/>
        <v>0</v>
      </c>
      <c r="KJ22" s="510" t="str">
        <f t="shared" si="104"/>
        <v>0</v>
      </c>
      <c r="KK22" s="508"/>
      <c r="KL22" s="510" t="str">
        <f t="shared" si="105"/>
        <v>0</v>
      </c>
      <c r="KM22" s="510" t="str">
        <f t="shared" si="106"/>
        <v>0</v>
      </c>
      <c r="KN22" s="508"/>
      <c r="KO22" s="510" t="str">
        <f t="shared" si="107"/>
        <v>0</v>
      </c>
      <c r="KP22" s="510" t="str">
        <f t="shared" si="108"/>
        <v>0</v>
      </c>
      <c r="KQ22" s="508"/>
      <c r="KR22" s="510" t="str">
        <f t="shared" si="109"/>
        <v>0</v>
      </c>
      <c r="KS22" s="510" t="str">
        <f t="shared" si="110"/>
        <v>0</v>
      </c>
      <c r="KT22" s="510">
        <f t="shared" si="201"/>
        <v>0</v>
      </c>
      <c r="KU22" s="510">
        <f t="shared" si="202"/>
        <v>0</v>
      </c>
      <c r="KV22" s="261">
        <f t="shared" si="199"/>
        <v>482.53702024623794</v>
      </c>
    </row>
    <row r="23" spans="1:308" ht="15" customHeight="1">
      <c r="A23" s="467">
        <f t="shared" si="200"/>
        <v>45852</v>
      </c>
      <c r="B23" s="468" t="str">
        <f>+Report1!B22</f>
        <v>Facial/Towel</v>
      </c>
      <c r="C23" s="469" t="str">
        <f>+Report1!C22</f>
        <v>12/15</v>
      </c>
      <c r="D23" s="470">
        <f>+Report1!P22</f>
        <v>49.626999999999995</v>
      </c>
      <c r="E23" s="471">
        <f>+Report1!R22</f>
        <v>49.134</v>
      </c>
      <c r="F23" s="508"/>
      <c r="G23" s="509">
        <f t="shared" si="0"/>
        <v>0</v>
      </c>
      <c r="H23" s="510">
        <f t="shared" si="111"/>
        <v>0</v>
      </c>
      <c r="I23" s="508">
        <v>441.86046511627887</v>
      </c>
      <c r="J23" s="509">
        <f t="shared" si="1"/>
        <v>8.9929674994154531</v>
      </c>
      <c r="K23" s="510">
        <f t="shared" si="112"/>
        <v>0</v>
      </c>
      <c r="L23" s="508"/>
      <c r="M23" s="509">
        <f t="shared" si="2"/>
        <v>0</v>
      </c>
      <c r="N23" s="510">
        <f t="shared" si="113"/>
        <v>0</v>
      </c>
      <c r="O23" s="508">
        <v>18</v>
      </c>
      <c r="P23" s="509">
        <f t="shared" si="3"/>
        <v>0.36634509708145074</v>
      </c>
      <c r="Q23" s="510">
        <f t="shared" si="114"/>
        <v>0</v>
      </c>
      <c r="R23" s="508">
        <v>7.6875</v>
      </c>
      <c r="S23" s="509">
        <f t="shared" si="4"/>
        <v>0.15645988521186957</v>
      </c>
      <c r="T23" s="510">
        <f t="shared" si="115"/>
        <v>0</v>
      </c>
      <c r="U23" s="508">
        <v>4.6875</v>
      </c>
      <c r="V23" s="509">
        <f t="shared" si="5"/>
        <v>9.5402369031627798E-2</v>
      </c>
      <c r="W23" s="510">
        <f t="shared" si="116"/>
        <v>0</v>
      </c>
      <c r="X23" s="508"/>
      <c r="Y23" s="509">
        <f t="shared" si="6"/>
        <v>0</v>
      </c>
      <c r="Z23" s="510">
        <f t="shared" si="117"/>
        <v>0</v>
      </c>
      <c r="AA23" s="508"/>
      <c r="AB23" s="509">
        <f t="shared" si="7"/>
        <v>0</v>
      </c>
      <c r="AC23" s="510">
        <f t="shared" si="118"/>
        <v>0</v>
      </c>
      <c r="AD23" s="508"/>
      <c r="AE23" s="509">
        <f t="shared" si="8"/>
        <v>0</v>
      </c>
      <c r="AF23" s="510">
        <f t="shared" si="119"/>
        <v>0</v>
      </c>
      <c r="AG23" s="508"/>
      <c r="AH23" s="509">
        <f t="shared" si="9"/>
        <v>0</v>
      </c>
      <c r="AI23" s="510">
        <f t="shared" si="120"/>
        <v>0</v>
      </c>
      <c r="AJ23" s="508"/>
      <c r="AK23" s="509">
        <f t="shared" si="10"/>
        <v>0</v>
      </c>
      <c r="AL23" s="510">
        <f t="shared" si="121"/>
        <v>0</v>
      </c>
      <c r="AM23" s="508">
        <v>47.310699999999997</v>
      </c>
      <c r="AN23" s="509">
        <f t="shared" si="11"/>
        <v>0.96289127691618837</v>
      </c>
      <c r="AO23" s="510">
        <f t="shared" si="122"/>
        <v>0</v>
      </c>
      <c r="AP23" s="508"/>
      <c r="AQ23" s="509">
        <f t="shared" si="12"/>
        <v>0</v>
      </c>
      <c r="AR23" s="510">
        <f t="shared" si="123"/>
        <v>0</v>
      </c>
      <c r="AS23" s="508"/>
      <c r="AT23" s="509">
        <f t="shared" si="13"/>
        <v>0</v>
      </c>
      <c r="AU23" s="510">
        <f t="shared" si="124"/>
        <v>0</v>
      </c>
      <c r="AV23" s="508">
        <v>13.874999999999943</v>
      </c>
      <c r="AW23" s="509">
        <f t="shared" si="14"/>
        <v>0.28239101233361713</v>
      </c>
      <c r="AX23" s="510">
        <f t="shared" si="125"/>
        <v>0</v>
      </c>
      <c r="AY23" s="508">
        <v>53.66306666666668</v>
      </c>
      <c r="AZ23" s="509">
        <f t="shared" si="15"/>
        <v>1.0921778537604649</v>
      </c>
      <c r="BA23" s="510">
        <f t="shared" si="126"/>
        <v>0</v>
      </c>
      <c r="BB23" s="508"/>
      <c r="BC23" s="509">
        <f t="shared" si="16"/>
        <v>0</v>
      </c>
      <c r="BD23" s="510">
        <f t="shared" si="127"/>
        <v>0</v>
      </c>
      <c r="BE23" s="508"/>
      <c r="BF23" s="509">
        <f t="shared" si="17"/>
        <v>0</v>
      </c>
      <c r="BG23" s="510">
        <f t="shared" si="128"/>
        <v>0</v>
      </c>
      <c r="BH23" s="508"/>
      <c r="BI23" s="509">
        <f t="shared" si="18"/>
        <v>0</v>
      </c>
      <c r="BJ23" s="510">
        <f t="shared" si="129"/>
        <v>0</v>
      </c>
      <c r="BK23" s="508"/>
      <c r="BL23" s="509">
        <f t="shared" si="19"/>
        <v>0</v>
      </c>
      <c r="BM23" s="510">
        <f t="shared" si="130"/>
        <v>0</v>
      </c>
      <c r="BN23" s="508"/>
      <c r="BO23" s="509">
        <f t="shared" si="20"/>
        <v>0</v>
      </c>
      <c r="BP23" s="510">
        <f t="shared" si="131"/>
        <v>0</v>
      </c>
      <c r="BQ23" s="508"/>
      <c r="BR23" s="509">
        <f t="shared" si="21"/>
        <v>0</v>
      </c>
      <c r="BS23" s="510">
        <f t="shared" si="132"/>
        <v>0</v>
      </c>
      <c r="BT23" s="508"/>
      <c r="BU23" s="509">
        <f t="shared" si="22"/>
        <v>0</v>
      </c>
      <c r="BV23" s="510">
        <f t="shared" si="133"/>
        <v>0</v>
      </c>
      <c r="BW23" s="508"/>
      <c r="BX23" s="509">
        <f t="shared" si="23"/>
        <v>0</v>
      </c>
      <c r="BY23" s="510">
        <f t="shared" si="134"/>
        <v>0</v>
      </c>
      <c r="BZ23" s="508"/>
      <c r="CA23" s="509">
        <f t="shared" si="24"/>
        <v>0</v>
      </c>
      <c r="CB23" s="510">
        <f t="shared" si="135"/>
        <v>0</v>
      </c>
      <c r="CC23" s="508">
        <v>1</v>
      </c>
      <c r="CD23" s="509">
        <f t="shared" si="25"/>
        <v>2.035250539341393E-2</v>
      </c>
      <c r="CE23" s="510">
        <f t="shared" si="136"/>
        <v>0</v>
      </c>
      <c r="CF23" s="508">
        <v>5</v>
      </c>
      <c r="CG23" s="509">
        <f t="shared" si="26"/>
        <v>0.10176252696706965</v>
      </c>
      <c r="CH23" s="510">
        <f t="shared" si="137"/>
        <v>0</v>
      </c>
      <c r="CI23" s="508"/>
      <c r="CJ23" s="509">
        <f t="shared" si="27"/>
        <v>0</v>
      </c>
      <c r="CK23" s="510">
        <f t="shared" si="138"/>
        <v>0</v>
      </c>
      <c r="CL23" s="508"/>
      <c r="CM23" s="509">
        <f t="shared" si="28"/>
        <v>0</v>
      </c>
      <c r="CN23" s="510">
        <f t="shared" si="139"/>
        <v>0</v>
      </c>
      <c r="CO23" s="508"/>
      <c r="CP23" s="509">
        <f t="shared" si="29"/>
        <v>0</v>
      </c>
      <c r="CQ23" s="510">
        <f t="shared" si="140"/>
        <v>0</v>
      </c>
      <c r="CR23" s="508"/>
      <c r="CS23" s="509">
        <f t="shared" si="30"/>
        <v>0</v>
      </c>
      <c r="CT23" s="510">
        <f t="shared" si="141"/>
        <v>0</v>
      </c>
      <c r="CU23" s="508"/>
      <c r="CV23" s="509">
        <f t="shared" si="31"/>
        <v>0</v>
      </c>
      <c r="CW23" s="510">
        <f t="shared" si="142"/>
        <v>0</v>
      </c>
      <c r="CX23" s="508"/>
      <c r="CY23" s="509">
        <f t="shared" si="32"/>
        <v>0</v>
      </c>
      <c r="CZ23" s="510">
        <f t="shared" si="143"/>
        <v>0</v>
      </c>
      <c r="DA23" s="508"/>
      <c r="DB23" s="509">
        <f t="shared" si="33"/>
        <v>0</v>
      </c>
      <c r="DC23" s="510">
        <f t="shared" si="144"/>
        <v>0</v>
      </c>
      <c r="DD23" s="508"/>
      <c r="DE23" s="509">
        <f t="shared" si="34"/>
        <v>0</v>
      </c>
      <c r="DF23" s="510">
        <f t="shared" si="145"/>
        <v>0</v>
      </c>
      <c r="DG23" s="508"/>
      <c r="DH23" s="509">
        <f t="shared" si="35"/>
        <v>0</v>
      </c>
      <c r="DI23" s="510">
        <f t="shared" si="203"/>
        <v>0</v>
      </c>
      <c r="DJ23" s="508"/>
      <c r="DK23" s="509">
        <f t="shared" si="36"/>
        <v>0</v>
      </c>
      <c r="DL23" s="510">
        <f t="shared" si="146"/>
        <v>0</v>
      </c>
      <c r="DM23" s="508"/>
      <c r="DN23" s="509">
        <f t="shared" si="37"/>
        <v>0</v>
      </c>
      <c r="DO23" s="510">
        <f t="shared" si="147"/>
        <v>0</v>
      </c>
      <c r="DP23" s="508"/>
      <c r="DQ23" s="509">
        <f t="shared" si="38"/>
        <v>0</v>
      </c>
      <c r="DR23" s="510">
        <f t="shared" si="148"/>
        <v>0</v>
      </c>
      <c r="DS23" s="508"/>
      <c r="DT23" s="509">
        <f t="shared" si="39"/>
        <v>0</v>
      </c>
      <c r="DU23" s="510">
        <f t="shared" si="149"/>
        <v>0</v>
      </c>
      <c r="DV23" s="508"/>
      <c r="DW23" s="509">
        <f t="shared" si="40"/>
        <v>0</v>
      </c>
      <c r="DX23" s="510">
        <f t="shared" si="150"/>
        <v>0</v>
      </c>
      <c r="DY23" s="508"/>
      <c r="DZ23" s="509">
        <f t="shared" si="41"/>
        <v>0</v>
      </c>
      <c r="EA23" s="510">
        <f t="shared" si="151"/>
        <v>0</v>
      </c>
      <c r="EB23" s="508">
        <v>58.705882352941217</v>
      </c>
      <c r="EC23" s="509">
        <f t="shared" si="42"/>
        <v>1.1948117872133597</v>
      </c>
      <c r="ED23" s="510">
        <f t="shared" si="152"/>
        <v>0</v>
      </c>
      <c r="EE23" s="508">
        <v>14.534883720930253</v>
      </c>
      <c r="EF23" s="509">
        <f t="shared" si="43"/>
        <v>0.29582129932287732</v>
      </c>
      <c r="EG23" s="510">
        <f t="shared" si="153"/>
        <v>0</v>
      </c>
      <c r="EH23" s="508">
        <v>5.4</v>
      </c>
      <c r="EI23" s="509">
        <f t="shared" si="44"/>
        <v>0.10990352912443523</v>
      </c>
      <c r="EJ23" s="510">
        <f t="shared" si="154"/>
        <v>0</v>
      </c>
      <c r="EK23" s="508"/>
      <c r="EL23" s="509">
        <f t="shared" si="45"/>
        <v>0</v>
      </c>
      <c r="EM23" s="510">
        <f t="shared" si="155"/>
        <v>0</v>
      </c>
      <c r="EN23" s="508"/>
      <c r="EO23" s="509">
        <f t="shared" si="46"/>
        <v>0</v>
      </c>
      <c r="EP23" s="510">
        <f t="shared" si="156"/>
        <v>0</v>
      </c>
      <c r="EQ23" s="508"/>
      <c r="ER23" s="509">
        <f t="shared" si="47"/>
        <v>0</v>
      </c>
      <c r="ES23" s="510">
        <f t="shared" si="157"/>
        <v>0</v>
      </c>
      <c r="ET23" s="508"/>
      <c r="EU23" s="509">
        <f t="shared" si="48"/>
        <v>0</v>
      </c>
      <c r="EV23" s="510">
        <f t="shared" si="158"/>
        <v>0</v>
      </c>
      <c r="EW23" s="508"/>
      <c r="EX23" s="509">
        <f t="shared" si="49"/>
        <v>0</v>
      </c>
      <c r="EY23" s="510">
        <f t="shared" si="159"/>
        <v>0</v>
      </c>
      <c r="EZ23" s="508"/>
      <c r="FA23" s="509">
        <f t="shared" si="50"/>
        <v>0</v>
      </c>
      <c r="FB23" s="510">
        <f t="shared" si="160"/>
        <v>0</v>
      </c>
      <c r="FC23" s="508"/>
      <c r="FD23" s="509">
        <f t="shared" si="51"/>
        <v>0</v>
      </c>
      <c r="FE23" s="510">
        <f t="shared" si="161"/>
        <v>0</v>
      </c>
      <c r="FF23" s="508"/>
      <c r="FG23" s="509">
        <f t="shared" si="52"/>
        <v>0</v>
      </c>
      <c r="FH23" s="510">
        <f t="shared" si="162"/>
        <v>0</v>
      </c>
      <c r="FI23" s="508"/>
      <c r="FJ23" s="509">
        <f t="shared" si="53"/>
        <v>0</v>
      </c>
      <c r="FK23" s="510">
        <f t="shared" si="163"/>
        <v>0</v>
      </c>
      <c r="FL23" s="508"/>
      <c r="FM23" s="509">
        <f t="shared" si="54"/>
        <v>0</v>
      </c>
      <c r="FN23" s="510">
        <f t="shared" si="164"/>
        <v>0</v>
      </c>
      <c r="FO23" s="508"/>
      <c r="FP23" s="509">
        <f t="shared" si="55"/>
        <v>0</v>
      </c>
      <c r="FQ23" s="510">
        <f t="shared" si="165"/>
        <v>0</v>
      </c>
      <c r="FR23" s="508"/>
      <c r="FS23" s="509">
        <f t="shared" si="56"/>
        <v>0</v>
      </c>
      <c r="FT23" s="510">
        <f t="shared" si="166"/>
        <v>0</v>
      </c>
      <c r="FU23" s="508"/>
      <c r="FV23" s="509">
        <f t="shared" si="57"/>
        <v>0</v>
      </c>
      <c r="FW23" s="510">
        <f t="shared" si="167"/>
        <v>0</v>
      </c>
      <c r="FX23" s="508"/>
      <c r="FY23" s="509">
        <f t="shared" si="58"/>
        <v>0</v>
      </c>
      <c r="FZ23" s="510">
        <f t="shared" si="168"/>
        <v>0</v>
      </c>
      <c r="GA23" s="508"/>
      <c r="GB23" s="509">
        <f t="shared" si="59"/>
        <v>0</v>
      </c>
      <c r="GC23" s="510">
        <f t="shared" si="169"/>
        <v>0</v>
      </c>
      <c r="GD23" s="508"/>
      <c r="GE23" s="509">
        <f t="shared" si="60"/>
        <v>0</v>
      </c>
      <c r="GF23" s="510">
        <f t="shared" si="170"/>
        <v>0</v>
      </c>
      <c r="GG23" s="508"/>
      <c r="GH23" s="509">
        <f t="shared" si="61"/>
        <v>0</v>
      </c>
      <c r="GI23" s="510">
        <f t="shared" si="171"/>
        <v>0</v>
      </c>
      <c r="GJ23" s="508"/>
      <c r="GK23" s="509">
        <f t="shared" si="62"/>
        <v>0</v>
      </c>
      <c r="GL23" s="510">
        <f t="shared" si="172"/>
        <v>0</v>
      </c>
      <c r="GM23" s="508"/>
      <c r="GN23" s="509">
        <f t="shared" si="63"/>
        <v>0</v>
      </c>
      <c r="GO23" s="510">
        <f t="shared" si="173"/>
        <v>0</v>
      </c>
      <c r="GP23" s="508"/>
      <c r="GQ23" s="509">
        <f t="shared" si="64"/>
        <v>0</v>
      </c>
      <c r="GR23" s="510">
        <f t="shared" si="174"/>
        <v>0</v>
      </c>
      <c r="GS23" s="508"/>
      <c r="GT23" s="509">
        <f t="shared" si="65"/>
        <v>0</v>
      </c>
      <c r="GU23" s="510">
        <f t="shared" si="175"/>
        <v>0</v>
      </c>
      <c r="GV23" s="508"/>
      <c r="GW23" s="509">
        <f t="shared" si="66"/>
        <v>0</v>
      </c>
      <c r="GX23" s="510">
        <f t="shared" si="176"/>
        <v>0</v>
      </c>
      <c r="GY23" s="508"/>
      <c r="GZ23" s="509">
        <f t="shared" si="67"/>
        <v>0</v>
      </c>
      <c r="HA23" s="510">
        <f t="shared" si="177"/>
        <v>0</v>
      </c>
      <c r="HB23" s="508"/>
      <c r="HC23" s="509">
        <f t="shared" si="68"/>
        <v>0</v>
      </c>
      <c r="HD23" s="510">
        <f t="shared" si="178"/>
        <v>0</v>
      </c>
      <c r="HE23" s="508"/>
      <c r="HF23" s="509">
        <f t="shared" si="69"/>
        <v>0</v>
      </c>
      <c r="HG23" s="510">
        <f t="shared" si="179"/>
        <v>0</v>
      </c>
      <c r="HH23" s="508"/>
      <c r="HI23" s="509">
        <f t="shared" si="70"/>
        <v>0</v>
      </c>
      <c r="HJ23" s="510">
        <f t="shared" si="180"/>
        <v>0</v>
      </c>
      <c r="HK23" s="508"/>
      <c r="HL23" s="509">
        <f t="shared" si="71"/>
        <v>0</v>
      </c>
      <c r="HM23" s="510">
        <f t="shared" si="181"/>
        <v>0</v>
      </c>
      <c r="HN23" s="508"/>
      <c r="HO23" s="509">
        <f t="shared" si="72"/>
        <v>0</v>
      </c>
      <c r="HP23" s="510">
        <f t="shared" si="182"/>
        <v>0</v>
      </c>
      <c r="HQ23" s="508"/>
      <c r="HR23" s="509">
        <f t="shared" si="73"/>
        <v>0</v>
      </c>
      <c r="HS23" s="510">
        <f t="shared" si="183"/>
        <v>0</v>
      </c>
      <c r="HT23" s="508"/>
      <c r="HU23" s="509">
        <f t="shared" si="74"/>
        <v>0</v>
      </c>
      <c r="HV23" s="510">
        <f t="shared" si="184"/>
        <v>0</v>
      </c>
      <c r="HW23" s="508"/>
      <c r="HX23" s="509">
        <f t="shared" si="75"/>
        <v>0</v>
      </c>
      <c r="HY23" s="510">
        <f t="shared" si="185"/>
        <v>0</v>
      </c>
      <c r="HZ23" s="508"/>
      <c r="IA23" s="509">
        <f t="shared" si="76"/>
        <v>0</v>
      </c>
      <c r="IB23" s="510">
        <f t="shared" si="186"/>
        <v>0</v>
      </c>
      <c r="IC23" s="508"/>
      <c r="ID23" s="509">
        <f t="shared" si="77"/>
        <v>0</v>
      </c>
      <c r="IE23" s="510">
        <f t="shared" si="187"/>
        <v>0</v>
      </c>
      <c r="IF23" s="508"/>
      <c r="IG23" s="509">
        <f t="shared" si="78"/>
        <v>0</v>
      </c>
      <c r="IH23" s="510">
        <f t="shared" si="188"/>
        <v>0</v>
      </c>
      <c r="II23" s="508"/>
      <c r="IJ23" s="509">
        <f t="shared" si="79"/>
        <v>0</v>
      </c>
      <c r="IK23" s="510">
        <f t="shared" si="189"/>
        <v>0</v>
      </c>
      <c r="IL23" s="508"/>
      <c r="IM23" s="509">
        <f t="shared" si="80"/>
        <v>0</v>
      </c>
      <c r="IN23" s="510">
        <f t="shared" si="190"/>
        <v>0</v>
      </c>
      <c r="IO23" s="508"/>
      <c r="IP23" s="509">
        <f t="shared" si="81"/>
        <v>0</v>
      </c>
      <c r="IQ23" s="510">
        <f t="shared" si="191"/>
        <v>0</v>
      </c>
      <c r="IR23" s="508"/>
      <c r="IS23" s="509">
        <f t="shared" si="82"/>
        <v>0</v>
      </c>
      <c r="IT23" s="510">
        <f t="shared" si="192"/>
        <v>0</v>
      </c>
      <c r="IU23" s="508"/>
      <c r="IV23" s="509">
        <f t="shared" si="83"/>
        <v>0</v>
      </c>
      <c r="IW23" s="510">
        <f t="shared" si="193"/>
        <v>0</v>
      </c>
      <c r="IX23" s="508"/>
      <c r="IY23" s="509">
        <f t="shared" si="84"/>
        <v>0</v>
      </c>
      <c r="IZ23" s="510">
        <f t="shared" si="194"/>
        <v>0</v>
      </c>
      <c r="JA23" s="508"/>
      <c r="JB23" s="509">
        <f t="shared" si="85"/>
        <v>0</v>
      </c>
      <c r="JC23" s="510">
        <f t="shared" si="195"/>
        <v>0</v>
      </c>
      <c r="JD23" s="508"/>
      <c r="JE23" s="509">
        <f t="shared" si="86"/>
        <v>0</v>
      </c>
      <c r="JF23" s="510">
        <f t="shared" si="196"/>
        <v>0</v>
      </c>
      <c r="JG23" s="508"/>
      <c r="JH23" s="509">
        <f t="shared" si="87"/>
        <v>0</v>
      </c>
      <c r="JI23" s="510">
        <f t="shared" si="197"/>
        <v>0</v>
      </c>
      <c r="JJ23" s="508"/>
      <c r="JK23" s="510">
        <f t="shared" si="198"/>
        <v>0</v>
      </c>
      <c r="JL23" s="510" t="str">
        <f t="shared" si="88"/>
        <v>0</v>
      </c>
      <c r="JM23" s="508"/>
      <c r="JN23" s="510" t="str">
        <f t="shared" si="89"/>
        <v>0</v>
      </c>
      <c r="JO23" s="510" t="str">
        <f t="shared" si="90"/>
        <v>0</v>
      </c>
      <c r="JP23" s="508"/>
      <c r="JQ23" s="510" t="str">
        <f t="shared" si="91"/>
        <v>0</v>
      </c>
      <c r="JR23" s="510" t="str">
        <f t="shared" si="92"/>
        <v>0</v>
      </c>
      <c r="JS23" s="508"/>
      <c r="JT23" s="510" t="str">
        <f t="shared" si="93"/>
        <v>0</v>
      </c>
      <c r="JU23" s="510" t="str">
        <f t="shared" si="94"/>
        <v>0</v>
      </c>
      <c r="JV23" s="508"/>
      <c r="JW23" s="510" t="str">
        <f t="shared" si="95"/>
        <v>0</v>
      </c>
      <c r="JX23" s="510" t="str">
        <f t="shared" si="96"/>
        <v>0</v>
      </c>
      <c r="JY23" s="508"/>
      <c r="JZ23" s="510" t="str">
        <f t="shared" si="97"/>
        <v>0</v>
      </c>
      <c r="KA23" s="510" t="str">
        <f t="shared" si="98"/>
        <v>0</v>
      </c>
      <c r="KB23" s="508"/>
      <c r="KC23" s="510" t="str">
        <f t="shared" si="99"/>
        <v>0</v>
      </c>
      <c r="KD23" s="510" t="str">
        <f t="shared" si="100"/>
        <v>0</v>
      </c>
      <c r="KE23" s="508"/>
      <c r="KF23" s="510" t="str">
        <f t="shared" si="101"/>
        <v>0</v>
      </c>
      <c r="KG23" s="510" t="str">
        <f t="shared" si="102"/>
        <v>0</v>
      </c>
      <c r="KH23" s="508"/>
      <c r="KI23" s="510" t="str">
        <f t="shared" si="103"/>
        <v>0</v>
      </c>
      <c r="KJ23" s="510" t="str">
        <f t="shared" si="104"/>
        <v>0</v>
      </c>
      <c r="KK23" s="508"/>
      <c r="KL23" s="510" t="str">
        <f t="shared" si="105"/>
        <v>0</v>
      </c>
      <c r="KM23" s="510" t="str">
        <f t="shared" si="106"/>
        <v>0</v>
      </c>
      <c r="KN23" s="508"/>
      <c r="KO23" s="510" t="str">
        <f t="shared" si="107"/>
        <v>0</v>
      </c>
      <c r="KP23" s="510" t="str">
        <f t="shared" si="108"/>
        <v>0</v>
      </c>
      <c r="KQ23" s="508"/>
      <c r="KR23" s="510" t="str">
        <f t="shared" si="109"/>
        <v>0</v>
      </c>
      <c r="KS23" s="510" t="str">
        <f t="shared" si="110"/>
        <v>0</v>
      </c>
      <c r="KT23" s="510">
        <f t="shared" si="201"/>
        <v>0</v>
      </c>
      <c r="KU23" s="510">
        <f t="shared" si="202"/>
        <v>0</v>
      </c>
      <c r="KV23" s="261">
        <f t="shared" si="199"/>
        <v>671.72499785681703</v>
      </c>
    </row>
    <row r="24" spans="1:308" ht="15" customHeight="1">
      <c r="A24" s="467">
        <f t="shared" si="200"/>
        <v>45853</v>
      </c>
      <c r="B24" s="468" t="str">
        <f>+Report1!B23</f>
        <v>Towel/Facial</v>
      </c>
      <c r="C24" s="469" t="str">
        <f>+Report1!C23</f>
        <v>15/12</v>
      </c>
      <c r="D24" s="470">
        <f>+Report1!P23</f>
        <v>48.793999999999997</v>
      </c>
      <c r="E24" s="471">
        <f>+Report1!R23</f>
        <v>51.405999999999999</v>
      </c>
      <c r="F24" s="508"/>
      <c r="G24" s="509">
        <f t="shared" si="0"/>
        <v>0</v>
      </c>
      <c r="H24" s="510">
        <f t="shared" si="111"/>
        <v>0</v>
      </c>
      <c r="I24" s="508">
        <v>325.5813953488373</v>
      </c>
      <c r="J24" s="509">
        <f t="shared" si="1"/>
        <v>6.3335290695412461</v>
      </c>
      <c r="K24" s="510">
        <f t="shared" si="112"/>
        <v>0</v>
      </c>
      <c r="L24" s="508"/>
      <c r="M24" s="509">
        <f t="shared" si="2"/>
        <v>0</v>
      </c>
      <c r="N24" s="510">
        <f t="shared" si="113"/>
        <v>0</v>
      </c>
      <c r="O24" s="508">
        <v>18</v>
      </c>
      <c r="P24" s="509">
        <f t="shared" si="3"/>
        <v>0.3501536785589231</v>
      </c>
      <c r="Q24" s="510">
        <f t="shared" si="114"/>
        <v>0</v>
      </c>
      <c r="R24" s="508">
        <v>7.6875</v>
      </c>
      <c r="S24" s="509">
        <f t="shared" si="4"/>
        <v>0.14954480021787339</v>
      </c>
      <c r="T24" s="510">
        <f t="shared" si="115"/>
        <v>0</v>
      </c>
      <c r="U24" s="508">
        <v>3.125</v>
      </c>
      <c r="V24" s="509">
        <f t="shared" si="5"/>
        <v>6.0790569194257481E-2</v>
      </c>
      <c r="W24" s="510">
        <f t="shared" si="116"/>
        <v>0</v>
      </c>
      <c r="X24" s="508"/>
      <c r="Y24" s="509">
        <f t="shared" si="6"/>
        <v>0</v>
      </c>
      <c r="Z24" s="510">
        <f t="shared" si="117"/>
        <v>0</v>
      </c>
      <c r="AA24" s="508"/>
      <c r="AB24" s="509">
        <f t="shared" si="7"/>
        <v>0</v>
      </c>
      <c r="AC24" s="510">
        <f t="shared" si="118"/>
        <v>0</v>
      </c>
      <c r="AD24" s="508"/>
      <c r="AE24" s="509">
        <f t="shared" si="8"/>
        <v>0</v>
      </c>
      <c r="AF24" s="510">
        <f t="shared" si="119"/>
        <v>0</v>
      </c>
      <c r="AG24" s="508"/>
      <c r="AH24" s="509">
        <f t="shared" si="9"/>
        <v>0</v>
      </c>
      <c r="AI24" s="510">
        <f t="shared" si="120"/>
        <v>0</v>
      </c>
      <c r="AJ24" s="508"/>
      <c r="AK24" s="509">
        <f t="shared" si="10"/>
        <v>0</v>
      </c>
      <c r="AL24" s="510">
        <f t="shared" si="121"/>
        <v>0</v>
      </c>
      <c r="AM24" s="508">
        <v>36.794871794871824</v>
      </c>
      <c r="AN24" s="509">
        <f t="shared" si="11"/>
        <v>0.71576998394879632</v>
      </c>
      <c r="AO24" s="510">
        <f t="shared" si="122"/>
        <v>0</v>
      </c>
      <c r="AP24" s="508"/>
      <c r="AQ24" s="509">
        <f t="shared" si="12"/>
        <v>0</v>
      </c>
      <c r="AR24" s="510">
        <f t="shared" si="123"/>
        <v>0</v>
      </c>
      <c r="AS24" s="508"/>
      <c r="AT24" s="509">
        <f t="shared" si="13"/>
        <v>0</v>
      </c>
      <c r="AU24" s="510">
        <f t="shared" si="124"/>
        <v>0</v>
      </c>
      <c r="AV24" s="508">
        <v>13.875000000000057</v>
      </c>
      <c r="AW24" s="509">
        <f t="shared" si="14"/>
        <v>0.26991012722250435</v>
      </c>
      <c r="AX24" s="510">
        <f t="shared" si="125"/>
        <v>0</v>
      </c>
      <c r="AY24" s="508">
        <v>58.333333333333314</v>
      </c>
      <c r="AZ24" s="509">
        <f t="shared" si="15"/>
        <v>1.1347572916261393</v>
      </c>
      <c r="BA24" s="510">
        <f t="shared" si="126"/>
        <v>0</v>
      </c>
      <c r="BB24" s="508"/>
      <c r="BC24" s="509">
        <f t="shared" si="16"/>
        <v>0</v>
      </c>
      <c r="BD24" s="510">
        <f t="shared" si="127"/>
        <v>0</v>
      </c>
      <c r="BE24" s="508"/>
      <c r="BF24" s="509">
        <f t="shared" si="17"/>
        <v>0</v>
      </c>
      <c r="BG24" s="510">
        <f t="shared" si="128"/>
        <v>0</v>
      </c>
      <c r="BH24" s="508"/>
      <c r="BI24" s="509">
        <f t="shared" si="18"/>
        <v>0</v>
      </c>
      <c r="BJ24" s="510">
        <f t="shared" si="129"/>
        <v>0</v>
      </c>
      <c r="BK24" s="508"/>
      <c r="BL24" s="509">
        <f t="shared" si="19"/>
        <v>0</v>
      </c>
      <c r="BM24" s="510">
        <f t="shared" si="130"/>
        <v>0</v>
      </c>
      <c r="BN24" s="508"/>
      <c r="BO24" s="509">
        <f t="shared" si="20"/>
        <v>0</v>
      </c>
      <c r="BP24" s="510">
        <f t="shared" si="131"/>
        <v>0</v>
      </c>
      <c r="BQ24" s="508"/>
      <c r="BR24" s="509">
        <f t="shared" si="21"/>
        <v>0</v>
      </c>
      <c r="BS24" s="510">
        <f t="shared" si="132"/>
        <v>0</v>
      </c>
      <c r="BT24" s="508"/>
      <c r="BU24" s="509">
        <f t="shared" si="22"/>
        <v>0</v>
      </c>
      <c r="BV24" s="510">
        <f t="shared" si="133"/>
        <v>0</v>
      </c>
      <c r="BW24" s="508"/>
      <c r="BX24" s="509">
        <f t="shared" si="23"/>
        <v>0</v>
      </c>
      <c r="BY24" s="510">
        <f t="shared" si="134"/>
        <v>0</v>
      </c>
      <c r="BZ24" s="508"/>
      <c r="CA24" s="509">
        <f t="shared" si="24"/>
        <v>0</v>
      </c>
      <c r="CB24" s="510">
        <f t="shared" si="135"/>
        <v>0</v>
      </c>
      <c r="CC24" s="508"/>
      <c r="CD24" s="509">
        <f t="shared" si="25"/>
        <v>0</v>
      </c>
      <c r="CE24" s="510">
        <f t="shared" si="136"/>
        <v>0</v>
      </c>
      <c r="CF24" s="508">
        <v>5.5</v>
      </c>
      <c r="CG24" s="509">
        <f t="shared" si="26"/>
        <v>0.10699140178189316</v>
      </c>
      <c r="CH24" s="510">
        <f t="shared" si="137"/>
        <v>0</v>
      </c>
      <c r="CI24" s="508"/>
      <c r="CJ24" s="509">
        <f t="shared" si="27"/>
        <v>0</v>
      </c>
      <c r="CK24" s="510">
        <f t="shared" si="138"/>
        <v>0</v>
      </c>
      <c r="CL24" s="508"/>
      <c r="CM24" s="509">
        <f t="shared" si="28"/>
        <v>0</v>
      </c>
      <c r="CN24" s="510">
        <f t="shared" si="139"/>
        <v>0</v>
      </c>
      <c r="CO24" s="508"/>
      <c r="CP24" s="509">
        <f t="shared" si="29"/>
        <v>0</v>
      </c>
      <c r="CQ24" s="510">
        <f t="shared" si="140"/>
        <v>0</v>
      </c>
      <c r="CR24" s="508"/>
      <c r="CS24" s="509">
        <f t="shared" si="30"/>
        <v>0</v>
      </c>
      <c r="CT24" s="510">
        <f t="shared" si="141"/>
        <v>0</v>
      </c>
      <c r="CU24" s="508"/>
      <c r="CV24" s="509">
        <f t="shared" si="31"/>
        <v>0</v>
      </c>
      <c r="CW24" s="510">
        <f t="shared" si="142"/>
        <v>0</v>
      </c>
      <c r="CX24" s="508"/>
      <c r="CY24" s="509">
        <f t="shared" si="32"/>
        <v>0</v>
      </c>
      <c r="CZ24" s="510">
        <f t="shared" si="143"/>
        <v>0</v>
      </c>
      <c r="DA24" s="508"/>
      <c r="DB24" s="509">
        <f t="shared" si="33"/>
        <v>0</v>
      </c>
      <c r="DC24" s="510">
        <f t="shared" si="144"/>
        <v>0</v>
      </c>
      <c r="DD24" s="508"/>
      <c r="DE24" s="509">
        <f t="shared" si="34"/>
        <v>0</v>
      </c>
      <c r="DF24" s="510">
        <f t="shared" si="145"/>
        <v>0</v>
      </c>
      <c r="DG24" s="508"/>
      <c r="DH24" s="509">
        <f t="shared" si="35"/>
        <v>0</v>
      </c>
      <c r="DI24" s="510">
        <f t="shared" si="203"/>
        <v>0</v>
      </c>
      <c r="DJ24" s="508"/>
      <c r="DK24" s="509">
        <f t="shared" si="36"/>
        <v>0</v>
      </c>
      <c r="DL24" s="510">
        <f t="shared" si="146"/>
        <v>0</v>
      </c>
      <c r="DM24" s="508"/>
      <c r="DN24" s="509">
        <f t="shared" si="37"/>
        <v>0</v>
      </c>
      <c r="DO24" s="510">
        <f t="shared" si="147"/>
        <v>0</v>
      </c>
      <c r="DP24" s="508"/>
      <c r="DQ24" s="509">
        <f t="shared" si="38"/>
        <v>0</v>
      </c>
      <c r="DR24" s="510">
        <f t="shared" si="148"/>
        <v>0</v>
      </c>
      <c r="DS24" s="508"/>
      <c r="DT24" s="509">
        <f t="shared" si="39"/>
        <v>0</v>
      </c>
      <c r="DU24" s="510">
        <f t="shared" si="149"/>
        <v>0</v>
      </c>
      <c r="DV24" s="508"/>
      <c r="DW24" s="509">
        <f t="shared" si="40"/>
        <v>0</v>
      </c>
      <c r="DX24" s="510">
        <f t="shared" si="150"/>
        <v>0</v>
      </c>
      <c r="DY24" s="508"/>
      <c r="DZ24" s="509">
        <f t="shared" si="41"/>
        <v>0</v>
      </c>
      <c r="EA24" s="510">
        <f t="shared" si="151"/>
        <v>0</v>
      </c>
      <c r="EB24" s="508">
        <v>46.964705882352973</v>
      </c>
      <c r="EC24" s="509">
        <f t="shared" si="42"/>
        <v>0.91360358484132154</v>
      </c>
      <c r="ED24" s="510">
        <f t="shared" si="152"/>
        <v>0</v>
      </c>
      <c r="EE24" s="508">
        <v>14.534883720930225</v>
      </c>
      <c r="EF24" s="509">
        <f t="shared" si="43"/>
        <v>0.28274683346166257</v>
      </c>
      <c r="EG24" s="510">
        <f t="shared" si="153"/>
        <v>0</v>
      </c>
      <c r="EH24" s="508">
        <v>4.5</v>
      </c>
      <c r="EI24" s="509">
        <f t="shared" si="44"/>
        <v>8.7538419639730775E-2</v>
      </c>
      <c r="EJ24" s="510">
        <f t="shared" si="154"/>
        <v>0</v>
      </c>
      <c r="EK24" s="508"/>
      <c r="EL24" s="509">
        <f t="shared" si="45"/>
        <v>0</v>
      </c>
      <c r="EM24" s="510">
        <f t="shared" si="155"/>
        <v>0</v>
      </c>
      <c r="EN24" s="508"/>
      <c r="EO24" s="509">
        <f t="shared" si="46"/>
        <v>0</v>
      </c>
      <c r="EP24" s="510">
        <f t="shared" si="156"/>
        <v>0</v>
      </c>
      <c r="EQ24" s="508"/>
      <c r="ER24" s="509">
        <f t="shared" si="47"/>
        <v>0</v>
      </c>
      <c r="ES24" s="510">
        <f t="shared" si="157"/>
        <v>0</v>
      </c>
      <c r="ET24" s="508"/>
      <c r="EU24" s="509">
        <f t="shared" si="48"/>
        <v>0</v>
      </c>
      <c r="EV24" s="510">
        <f t="shared" si="158"/>
        <v>0</v>
      </c>
      <c r="EW24" s="508"/>
      <c r="EX24" s="509">
        <f t="shared" si="49"/>
        <v>0</v>
      </c>
      <c r="EY24" s="510">
        <f t="shared" si="159"/>
        <v>0</v>
      </c>
      <c r="EZ24" s="508"/>
      <c r="FA24" s="509">
        <f t="shared" si="50"/>
        <v>0</v>
      </c>
      <c r="FB24" s="510">
        <f t="shared" si="160"/>
        <v>0</v>
      </c>
      <c r="FC24" s="508"/>
      <c r="FD24" s="509">
        <f t="shared" si="51"/>
        <v>0</v>
      </c>
      <c r="FE24" s="510">
        <f t="shared" si="161"/>
        <v>0</v>
      </c>
      <c r="FF24" s="508"/>
      <c r="FG24" s="509">
        <f t="shared" si="52"/>
        <v>0</v>
      </c>
      <c r="FH24" s="510">
        <f t="shared" si="162"/>
        <v>0</v>
      </c>
      <c r="FI24" s="508"/>
      <c r="FJ24" s="509">
        <f t="shared" si="53"/>
        <v>0</v>
      </c>
      <c r="FK24" s="510">
        <f t="shared" si="163"/>
        <v>0</v>
      </c>
      <c r="FL24" s="508"/>
      <c r="FM24" s="509">
        <f t="shared" si="54"/>
        <v>0</v>
      </c>
      <c r="FN24" s="510">
        <f t="shared" si="164"/>
        <v>0</v>
      </c>
      <c r="FO24" s="508"/>
      <c r="FP24" s="509">
        <f t="shared" si="55"/>
        <v>0</v>
      </c>
      <c r="FQ24" s="510">
        <f t="shared" si="165"/>
        <v>0</v>
      </c>
      <c r="FR24" s="508"/>
      <c r="FS24" s="509">
        <f t="shared" si="56"/>
        <v>0</v>
      </c>
      <c r="FT24" s="510">
        <f t="shared" si="166"/>
        <v>0</v>
      </c>
      <c r="FU24" s="508"/>
      <c r="FV24" s="509">
        <f t="shared" si="57"/>
        <v>0</v>
      </c>
      <c r="FW24" s="510">
        <f t="shared" si="167"/>
        <v>0</v>
      </c>
      <c r="FX24" s="508"/>
      <c r="FY24" s="509">
        <f t="shared" si="58"/>
        <v>0</v>
      </c>
      <c r="FZ24" s="510">
        <f t="shared" si="168"/>
        <v>0</v>
      </c>
      <c r="GA24" s="508"/>
      <c r="GB24" s="509">
        <f t="shared" si="59"/>
        <v>0</v>
      </c>
      <c r="GC24" s="510">
        <f t="shared" si="169"/>
        <v>0</v>
      </c>
      <c r="GD24" s="508"/>
      <c r="GE24" s="509">
        <f t="shared" si="60"/>
        <v>0</v>
      </c>
      <c r="GF24" s="510">
        <f t="shared" si="170"/>
        <v>0</v>
      </c>
      <c r="GG24" s="508"/>
      <c r="GH24" s="509">
        <f t="shared" si="61"/>
        <v>0</v>
      </c>
      <c r="GI24" s="510">
        <f t="shared" si="171"/>
        <v>0</v>
      </c>
      <c r="GJ24" s="508"/>
      <c r="GK24" s="509">
        <f t="shared" si="62"/>
        <v>0</v>
      </c>
      <c r="GL24" s="510">
        <f t="shared" si="172"/>
        <v>0</v>
      </c>
      <c r="GM24" s="508"/>
      <c r="GN24" s="509">
        <f t="shared" si="63"/>
        <v>0</v>
      </c>
      <c r="GO24" s="510">
        <f t="shared" si="173"/>
        <v>0</v>
      </c>
      <c r="GP24" s="508"/>
      <c r="GQ24" s="509">
        <f t="shared" si="64"/>
        <v>0</v>
      </c>
      <c r="GR24" s="510">
        <f t="shared" si="174"/>
        <v>0</v>
      </c>
      <c r="GS24" s="508"/>
      <c r="GT24" s="509">
        <f t="shared" si="65"/>
        <v>0</v>
      </c>
      <c r="GU24" s="510">
        <f t="shared" si="175"/>
        <v>0</v>
      </c>
      <c r="GV24" s="508"/>
      <c r="GW24" s="509">
        <f t="shared" si="66"/>
        <v>0</v>
      </c>
      <c r="GX24" s="510">
        <f t="shared" si="176"/>
        <v>0</v>
      </c>
      <c r="GY24" s="508"/>
      <c r="GZ24" s="509">
        <f t="shared" si="67"/>
        <v>0</v>
      </c>
      <c r="HA24" s="510">
        <f t="shared" si="177"/>
        <v>0</v>
      </c>
      <c r="HB24" s="508"/>
      <c r="HC24" s="509">
        <f t="shared" si="68"/>
        <v>0</v>
      </c>
      <c r="HD24" s="510">
        <f t="shared" si="178"/>
        <v>0</v>
      </c>
      <c r="HE24" s="508"/>
      <c r="HF24" s="509">
        <f t="shared" si="69"/>
        <v>0</v>
      </c>
      <c r="HG24" s="510">
        <f t="shared" si="179"/>
        <v>0</v>
      </c>
      <c r="HH24" s="508"/>
      <c r="HI24" s="509">
        <f t="shared" si="70"/>
        <v>0</v>
      </c>
      <c r="HJ24" s="510">
        <f t="shared" si="180"/>
        <v>0</v>
      </c>
      <c r="HK24" s="508"/>
      <c r="HL24" s="509">
        <f t="shared" si="71"/>
        <v>0</v>
      </c>
      <c r="HM24" s="510">
        <f t="shared" si="181"/>
        <v>0</v>
      </c>
      <c r="HN24" s="508"/>
      <c r="HO24" s="509">
        <f t="shared" si="72"/>
        <v>0</v>
      </c>
      <c r="HP24" s="510">
        <f t="shared" si="182"/>
        <v>0</v>
      </c>
      <c r="HQ24" s="508"/>
      <c r="HR24" s="509">
        <f t="shared" si="73"/>
        <v>0</v>
      </c>
      <c r="HS24" s="510">
        <f t="shared" si="183"/>
        <v>0</v>
      </c>
      <c r="HT24" s="508"/>
      <c r="HU24" s="509">
        <f t="shared" si="74"/>
        <v>0</v>
      </c>
      <c r="HV24" s="510">
        <f t="shared" si="184"/>
        <v>0</v>
      </c>
      <c r="HW24" s="508"/>
      <c r="HX24" s="509">
        <f t="shared" si="75"/>
        <v>0</v>
      </c>
      <c r="HY24" s="510">
        <f t="shared" si="185"/>
        <v>0</v>
      </c>
      <c r="HZ24" s="508"/>
      <c r="IA24" s="509">
        <f t="shared" si="76"/>
        <v>0</v>
      </c>
      <c r="IB24" s="510">
        <f t="shared" si="186"/>
        <v>0</v>
      </c>
      <c r="IC24" s="508"/>
      <c r="ID24" s="509">
        <f t="shared" si="77"/>
        <v>0</v>
      </c>
      <c r="IE24" s="510">
        <f t="shared" si="187"/>
        <v>0</v>
      </c>
      <c r="IF24" s="508"/>
      <c r="IG24" s="509">
        <f t="shared" si="78"/>
        <v>0</v>
      </c>
      <c r="IH24" s="510">
        <f t="shared" si="188"/>
        <v>0</v>
      </c>
      <c r="II24" s="508"/>
      <c r="IJ24" s="509">
        <f t="shared" si="79"/>
        <v>0</v>
      </c>
      <c r="IK24" s="510">
        <f t="shared" si="189"/>
        <v>0</v>
      </c>
      <c r="IL24" s="508"/>
      <c r="IM24" s="509">
        <f t="shared" si="80"/>
        <v>0</v>
      </c>
      <c r="IN24" s="510">
        <f t="shared" si="190"/>
        <v>0</v>
      </c>
      <c r="IO24" s="508"/>
      <c r="IP24" s="509">
        <f t="shared" si="81"/>
        <v>0</v>
      </c>
      <c r="IQ24" s="510">
        <f t="shared" si="191"/>
        <v>0</v>
      </c>
      <c r="IR24" s="508">
        <v>50</v>
      </c>
      <c r="IS24" s="509">
        <f t="shared" si="82"/>
        <v>0.97264910710811969</v>
      </c>
      <c r="IT24" s="510">
        <f t="shared" si="192"/>
        <v>0</v>
      </c>
      <c r="IU24" s="508"/>
      <c r="IV24" s="509">
        <f t="shared" si="83"/>
        <v>0</v>
      </c>
      <c r="IW24" s="510">
        <f t="shared" si="193"/>
        <v>0</v>
      </c>
      <c r="IX24" s="508"/>
      <c r="IY24" s="509">
        <f t="shared" si="84"/>
        <v>0</v>
      </c>
      <c r="IZ24" s="510">
        <f t="shared" si="194"/>
        <v>0</v>
      </c>
      <c r="JA24" s="508"/>
      <c r="JB24" s="509">
        <f t="shared" si="85"/>
        <v>0</v>
      </c>
      <c r="JC24" s="510">
        <f t="shared" si="195"/>
        <v>0</v>
      </c>
      <c r="JD24" s="508"/>
      <c r="JE24" s="509">
        <f t="shared" si="86"/>
        <v>0</v>
      </c>
      <c r="JF24" s="510">
        <f t="shared" si="196"/>
        <v>0</v>
      </c>
      <c r="JG24" s="508"/>
      <c r="JH24" s="509">
        <f t="shared" si="87"/>
        <v>0</v>
      </c>
      <c r="JI24" s="510">
        <f t="shared" si="197"/>
        <v>0</v>
      </c>
      <c r="JJ24" s="508"/>
      <c r="JK24" s="510">
        <f t="shared" si="198"/>
        <v>0</v>
      </c>
      <c r="JL24" s="510" t="str">
        <f t="shared" si="88"/>
        <v>0</v>
      </c>
      <c r="JM24" s="508"/>
      <c r="JN24" s="510" t="str">
        <f t="shared" si="89"/>
        <v>0</v>
      </c>
      <c r="JO24" s="510" t="str">
        <f t="shared" si="90"/>
        <v>0</v>
      </c>
      <c r="JP24" s="508"/>
      <c r="JQ24" s="510" t="str">
        <f t="shared" si="91"/>
        <v>0</v>
      </c>
      <c r="JR24" s="510" t="str">
        <f t="shared" si="92"/>
        <v>0</v>
      </c>
      <c r="JS24" s="508"/>
      <c r="JT24" s="510" t="str">
        <f t="shared" si="93"/>
        <v>0</v>
      </c>
      <c r="JU24" s="510" t="str">
        <f t="shared" si="94"/>
        <v>0</v>
      </c>
      <c r="JV24" s="508"/>
      <c r="JW24" s="510" t="str">
        <f t="shared" si="95"/>
        <v>0</v>
      </c>
      <c r="JX24" s="510" t="str">
        <f t="shared" si="96"/>
        <v>0</v>
      </c>
      <c r="JY24" s="508"/>
      <c r="JZ24" s="510" t="str">
        <f t="shared" si="97"/>
        <v>0</v>
      </c>
      <c r="KA24" s="510" t="str">
        <f t="shared" si="98"/>
        <v>0</v>
      </c>
      <c r="KB24" s="508"/>
      <c r="KC24" s="510" t="str">
        <f t="shared" si="99"/>
        <v>0</v>
      </c>
      <c r="KD24" s="510" t="str">
        <f t="shared" si="100"/>
        <v>0</v>
      </c>
      <c r="KE24" s="508"/>
      <c r="KF24" s="510" t="str">
        <f t="shared" si="101"/>
        <v>0</v>
      </c>
      <c r="KG24" s="510" t="str">
        <f t="shared" si="102"/>
        <v>0</v>
      </c>
      <c r="KH24" s="508"/>
      <c r="KI24" s="510" t="str">
        <f t="shared" si="103"/>
        <v>0</v>
      </c>
      <c r="KJ24" s="510" t="str">
        <f t="shared" si="104"/>
        <v>0</v>
      </c>
      <c r="KK24" s="508"/>
      <c r="KL24" s="510" t="str">
        <f t="shared" si="105"/>
        <v>0</v>
      </c>
      <c r="KM24" s="510" t="str">
        <f t="shared" si="106"/>
        <v>0</v>
      </c>
      <c r="KN24" s="508"/>
      <c r="KO24" s="510" t="str">
        <f t="shared" si="107"/>
        <v>0</v>
      </c>
      <c r="KP24" s="510" t="str">
        <f t="shared" si="108"/>
        <v>0</v>
      </c>
      <c r="KQ24" s="508"/>
      <c r="KR24" s="510" t="str">
        <f t="shared" si="109"/>
        <v>0</v>
      </c>
      <c r="KS24" s="510" t="str">
        <f t="shared" si="110"/>
        <v>0</v>
      </c>
      <c r="KT24" s="510">
        <f t="shared" si="201"/>
        <v>0</v>
      </c>
      <c r="KU24" s="510">
        <f t="shared" si="202"/>
        <v>0</v>
      </c>
      <c r="KV24" s="261">
        <f t="shared" si="199"/>
        <v>584.8966900803257</v>
      </c>
    </row>
    <row r="25" spans="1:308" ht="15" customHeight="1">
      <c r="A25" s="467">
        <f t="shared" si="200"/>
        <v>45854</v>
      </c>
      <c r="B25" s="468" t="str">
        <f>+Report1!B24</f>
        <v>Facial</v>
      </c>
      <c r="C25" s="469" t="str">
        <f>+Report1!C24</f>
        <v>12/11,5</v>
      </c>
      <c r="D25" s="470">
        <f>+Report1!P24</f>
        <v>44.682000000000002</v>
      </c>
      <c r="E25" s="471">
        <f>+Report1!R24</f>
        <v>41.244999999999997</v>
      </c>
      <c r="F25" s="508"/>
      <c r="G25" s="509">
        <f t="shared" si="0"/>
        <v>0</v>
      </c>
      <c r="H25" s="510">
        <f t="shared" si="111"/>
        <v>0</v>
      </c>
      <c r="I25" s="508">
        <v>395.3488372093023</v>
      </c>
      <c r="J25" s="509">
        <f t="shared" si="1"/>
        <v>9.5853760991466199</v>
      </c>
      <c r="K25" s="510">
        <f t="shared" si="112"/>
        <v>0</v>
      </c>
      <c r="L25" s="508"/>
      <c r="M25" s="509">
        <f t="shared" si="2"/>
        <v>0</v>
      </c>
      <c r="N25" s="510">
        <f t="shared" si="113"/>
        <v>0</v>
      </c>
      <c r="O25" s="508">
        <v>24</v>
      </c>
      <c r="P25" s="509">
        <f t="shared" si="3"/>
        <v>0.58188871378348894</v>
      </c>
      <c r="Q25" s="510">
        <f t="shared" si="114"/>
        <v>0</v>
      </c>
      <c r="R25" s="508">
        <v>10.25</v>
      </c>
      <c r="S25" s="509">
        <f t="shared" si="4"/>
        <v>0.24851497151169841</v>
      </c>
      <c r="T25" s="510">
        <f t="shared" si="115"/>
        <v>0</v>
      </c>
      <c r="U25" s="508">
        <v>3.125</v>
      </c>
      <c r="V25" s="509">
        <f t="shared" si="5"/>
        <v>7.576675960722512E-2</v>
      </c>
      <c r="W25" s="510">
        <f t="shared" si="116"/>
        <v>0</v>
      </c>
      <c r="X25" s="508"/>
      <c r="Y25" s="509">
        <f t="shared" si="6"/>
        <v>0</v>
      </c>
      <c r="Z25" s="510">
        <f t="shared" si="117"/>
        <v>0</v>
      </c>
      <c r="AA25" s="508"/>
      <c r="AB25" s="509">
        <f t="shared" si="7"/>
        <v>0</v>
      </c>
      <c r="AC25" s="510">
        <f t="shared" si="118"/>
        <v>0</v>
      </c>
      <c r="AD25" s="508"/>
      <c r="AE25" s="509">
        <f t="shared" si="8"/>
        <v>0</v>
      </c>
      <c r="AF25" s="510">
        <f t="shared" si="119"/>
        <v>0</v>
      </c>
      <c r="AG25" s="508"/>
      <c r="AH25" s="509">
        <f t="shared" si="9"/>
        <v>0</v>
      </c>
      <c r="AI25" s="510">
        <f t="shared" si="120"/>
        <v>0</v>
      </c>
      <c r="AJ25" s="508"/>
      <c r="AK25" s="509">
        <f t="shared" si="10"/>
        <v>0</v>
      </c>
      <c r="AL25" s="510">
        <f t="shared" si="121"/>
        <v>0</v>
      </c>
      <c r="AM25" s="508">
        <v>47.307692307692292</v>
      </c>
      <c r="AN25" s="509">
        <f t="shared" si="11"/>
        <v>1.1469921762078383</v>
      </c>
      <c r="AO25" s="510">
        <f t="shared" si="122"/>
        <v>0</v>
      </c>
      <c r="AP25" s="508"/>
      <c r="AQ25" s="509">
        <f t="shared" si="12"/>
        <v>0</v>
      </c>
      <c r="AR25" s="510">
        <f t="shared" si="123"/>
        <v>0</v>
      </c>
      <c r="AS25" s="508"/>
      <c r="AT25" s="509">
        <f t="shared" si="13"/>
        <v>0</v>
      </c>
      <c r="AU25" s="510">
        <f t="shared" si="124"/>
        <v>0</v>
      </c>
      <c r="AV25" s="508">
        <v>13.874999999999943</v>
      </c>
      <c r="AW25" s="509">
        <f t="shared" si="14"/>
        <v>0.33640441265607818</v>
      </c>
      <c r="AX25" s="510">
        <f t="shared" si="125"/>
        <v>0</v>
      </c>
      <c r="AY25" s="508">
        <v>51.333333333333343</v>
      </c>
      <c r="AZ25" s="509">
        <f t="shared" si="15"/>
        <v>1.2445953044813516</v>
      </c>
      <c r="BA25" s="510">
        <f t="shared" si="126"/>
        <v>0</v>
      </c>
      <c r="BB25" s="508"/>
      <c r="BC25" s="509">
        <f t="shared" si="16"/>
        <v>0</v>
      </c>
      <c r="BD25" s="510">
        <f t="shared" si="127"/>
        <v>0</v>
      </c>
      <c r="BE25" s="508"/>
      <c r="BF25" s="509">
        <f t="shared" si="17"/>
        <v>0</v>
      </c>
      <c r="BG25" s="510">
        <f t="shared" si="128"/>
        <v>0</v>
      </c>
      <c r="BH25" s="508"/>
      <c r="BI25" s="509">
        <f t="shared" si="18"/>
        <v>0</v>
      </c>
      <c r="BJ25" s="510">
        <f t="shared" si="129"/>
        <v>0</v>
      </c>
      <c r="BK25" s="508"/>
      <c r="BL25" s="509">
        <f t="shared" si="19"/>
        <v>0</v>
      </c>
      <c r="BM25" s="510">
        <f t="shared" si="130"/>
        <v>0</v>
      </c>
      <c r="BN25" s="508"/>
      <c r="BO25" s="509">
        <f t="shared" si="20"/>
        <v>0</v>
      </c>
      <c r="BP25" s="510">
        <f t="shared" si="131"/>
        <v>0</v>
      </c>
      <c r="BQ25" s="508"/>
      <c r="BR25" s="509">
        <f t="shared" si="21"/>
        <v>0</v>
      </c>
      <c r="BS25" s="510">
        <f t="shared" si="132"/>
        <v>0</v>
      </c>
      <c r="BT25" s="508"/>
      <c r="BU25" s="509">
        <f t="shared" si="22"/>
        <v>0</v>
      </c>
      <c r="BV25" s="510">
        <f t="shared" si="133"/>
        <v>0</v>
      </c>
      <c r="BW25" s="508"/>
      <c r="BX25" s="509">
        <f t="shared" si="23"/>
        <v>0</v>
      </c>
      <c r="BY25" s="510">
        <f t="shared" si="134"/>
        <v>0</v>
      </c>
      <c r="BZ25" s="508"/>
      <c r="CA25" s="509">
        <f t="shared" si="24"/>
        <v>0</v>
      </c>
      <c r="CB25" s="510">
        <f t="shared" si="135"/>
        <v>0</v>
      </c>
      <c r="CC25" s="508"/>
      <c r="CD25" s="509">
        <f t="shared" si="25"/>
        <v>0</v>
      </c>
      <c r="CE25" s="510">
        <f t="shared" si="136"/>
        <v>0</v>
      </c>
      <c r="CF25" s="508">
        <v>5.2</v>
      </c>
      <c r="CG25" s="509">
        <f t="shared" si="26"/>
        <v>0.12607588798642261</v>
      </c>
      <c r="CH25" s="510">
        <f t="shared" si="137"/>
        <v>0</v>
      </c>
      <c r="CI25" s="508"/>
      <c r="CJ25" s="509">
        <f t="shared" si="27"/>
        <v>0</v>
      </c>
      <c r="CK25" s="510">
        <f t="shared" si="138"/>
        <v>0</v>
      </c>
      <c r="CL25" s="508"/>
      <c r="CM25" s="509">
        <f t="shared" si="28"/>
        <v>0</v>
      </c>
      <c r="CN25" s="510">
        <f t="shared" si="139"/>
        <v>0</v>
      </c>
      <c r="CO25" s="508"/>
      <c r="CP25" s="509">
        <f t="shared" si="29"/>
        <v>0</v>
      </c>
      <c r="CQ25" s="510">
        <f t="shared" si="140"/>
        <v>0</v>
      </c>
      <c r="CR25" s="508"/>
      <c r="CS25" s="509">
        <f t="shared" si="30"/>
        <v>0</v>
      </c>
      <c r="CT25" s="510">
        <f t="shared" si="141"/>
        <v>0</v>
      </c>
      <c r="CU25" s="508"/>
      <c r="CV25" s="509">
        <f t="shared" si="31"/>
        <v>0</v>
      </c>
      <c r="CW25" s="510">
        <f t="shared" si="142"/>
        <v>0</v>
      </c>
      <c r="CX25" s="508"/>
      <c r="CY25" s="509">
        <f t="shared" si="32"/>
        <v>0</v>
      </c>
      <c r="CZ25" s="510">
        <f t="shared" si="143"/>
        <v>0</v>
      </c>
      <c r="DA25" s="508"/>
      <c r="DB25" s="509">
        <f t="shared" si="33"/>
        <v>0</v>
      </c>
      <c r="DC25" s="510">
        <f t="shared" si="144"/>
        <v>0</v>
      </c>
      <c r="DD25" s="508"/>
      <c r="DE25" s="509">
        <f t="shared" si="34"/>
        <v>0</v>
      </c>
      <c r="DF25" s="510">
        <f t="shared" si="145"/>
        <v>0</v>
      </c>
      <c r="DG25" s="508"/>
      <c r="DH25" s="509">
        <f t="shared" si="35"/>
        <v>0</v>
      </c>
      <c r="DI25" s="510">
        <f t="shared" si="203"/>
        <v>0</v>
      </c>
      <c r="DJ25" s="508"/>
      <c r="DK25" s="509">
        <f t="shared" si="36"/>
        <v>0</v>
      </c>
      <c r="DL25" s="510">
        <f t="shared" si="146"/>
        <v>0</v>
      </c>
      <c r="DM25" s="508"/>
      <c r="DN25" s="509">
        <f t="shared" si="37"/>
        <v>0</v>
      </c>
      <c r="DO25" s="510">
        <f t="shared" si="147"/>
        <v>0</v>
      </c>
      <c r="DP25" s="508"/>
      <c r="DQ25" s="509">
        <f t="shared" si="38"/>
        <v>0</v>
      </c>
      <c r="DR25" s="510">
        <f t="shared" si="148"/>
        <v>0</v>
      </c>
      <c r="DS25" s="508"/>
      <c r="DT25" s="509">
        <f t="shared" si="39"/>
        <v>0</v>
      </c>
      <c r="DU25" s="510">
        <f t="shared" si="149"/>
        <v>0</v>
      </c>
      <c r="DV25" s="508"/>
      <c r="DW25" s="509">
        <f t="shared" si="40"/>
        <v>0</v>
      </c>
      <c r="DX25" s="510">
        <f t="shared" si="150"/>
        <v>0</v>
      </c>
      <c r="DY25" s="508"/>
      <c r="DZ25" s="509">
        <f t="shared" si="41"/>
        <v>0</v>
      </c>
      <c r="EA25" s="510">
        <f t="shared" si="151"/>
        <v>0</v>
      </c>
      <c r="EB25" s="508">
        <v>58.70588235294116</v>
      </c>
      <c r="EC25" s="509">
        <f t="shared" si="42"/>
        <v>1.4233454322449064</v>
      </c>
      <c r="ED25" s="510">
        <f t="shared" si="152"/>
        <v>0</v>
      </c>
      <c r="EE25" s="508">
        <v>14.534883720930253</v>
      </c>
      <c r="EF25" s="509">
        <f t="shared" si="43"/>
        <v>0.35240353305686151</v>
      </c>
      <c r="EG25" s="510">
        <f t="shared" si="153"/>
        <v>0</v>
      </c>
      <c r="EH25" s="508">
        <v>4</v>
      </c>
      <c r="EI25" s="509">
        <f t="shared" si="44"/>
        <v>9.6981452297248152E-2</v>
      </c>
      <c r="EJ25" s="510">
        <f t="shared" si="154"/>
        <v>0</v>
      </c>
      <c r="EK25" s="508"/>
      <c r="EL25" s="509">
        <f t="shared" si="45"/>
        <v>0</v>
      </c>
      <c r="EM25" s="510">
        <f t="shared" si="155"/>
        <v>0</v>
      </c>
      <c r="EN25" s="508"/>
      <c r="EO25" s="509">
        <f t="shared" si="46"/>
        <v>0</v>
      </c>
      <c r="EP25" s="510">
        <f t="shared" si="156"/>
        <v>0</v>
      </c>
      <c r="EQ25" s="508"/>
      <c r="ER25" s="509">
        <f t="shared" si="47"/>
        <v>0</v>
      </c>
      <c r="ES25" s="510">
        <f t="shared" si="157"/>
        <v>0</v>
      </c>
      <c r="ET25" s="508"/>
      <c r="EU25" s="509">
        <f t="shared" si="48"/>
        <v>0</v>
      </c>
      <c r="EV25" s="510">
        <f t="shared" si="158"/>
        <v>0</v>
      </c>
      <c r="EW25" s="508"/>
      <c r="EX25" s="509">
        <f t="shared" si="49"/>
        <v>0</v>
      </c>
      <c r="EY25" s="510">
        <f t="shared" si="159"/>
        <v>0</v>
      </c>
      <c r="EZ25" s="508"/>
      <c r="FA25" s="509">
        <f t="shared" si="50"/>
        <v>0</v>
      </c>
      <c r="FB25" s="510">
        <f t="shared" si="160"/>
        <v>0</v>
      </c>
      <c r="FC25" s="508"/>
      <c r="FD25" s="509">
        <f t="shared" si="51"/>
        <v>0</v>
      </c>
      <c r="FE25" s="510">
        <f t="shared" si="161"/>
        <v>0</v>
      </c>
      <c r="FF25" s="508"/>
      <c r="FG25" s="509">
        <f t="shared" si="52"/>
        <v>0</v>
      </c>
      <c r="FH25" s="510">
        <f t="shared" si="162"/>
        <v>0</v>
      </c>
      <c r="FI25" s="508"/>
      <c r="FJ25" s="509">
        <f t="shared" si="53"/>
        <v>0</v>
      </c>
      <c r="FK25" s="510">
        <f t="shared" si="163"/>
        <v>0</v>
      </c>
      <c r="FL25" s="508"/>
      <c r="FM25" s="509">
        <f t="shared" si="54"/>
        <v>0</v>
      </c>
      <c r="FN25" s="510">
        <f t="shared" si="164"/>
        <v>0</v>
      </c>
      <c r="FO25" s="508"/>
      <c r="FP25" s="509">
        <f t="shared" si="55"/>
        <v>0</v>
      </c>
      <c r="FQ25" s="510">
        <f t="shared" si="165"/>
        <v>0</v>
      </c>
      <c r="FR25" s="508"/>
      <c r="FS25" s="509">
        <f t="shared" si="56"/>
        <v>0</v>
      </c>
      <c r="FT25" s="510">
        <f t="shared" si="166"/>
        <v>0</v>
      </c>
      <c r="FU25" s="508"/>
      <c r="FV25" s="509">
        <f t="shared" si="57"/>
        <v>0</v>
      </c>
      <c r="FW25" s="510">
        <f t="shared" si="167"/>
        <v>0</v>
      </c>
      <c r="FX25" s="508"/>
      <c r="FY25" s="509">
        <f t="shared" si="58"/>
        <v>0</v>
      </c>
      <c r="FZ25" s="510">
        <f t="shared" si="168"/>
        <v>0</v>
      </c>
      <c r="GA25" s="508"/>
      <c r="GB25" s="509">
        <f t="shared" si="59"/>
        <v>0</v>
      </c>
      <c r="GC25" s="510">
        <f t="shared" si="169"/>
        <v>0</v>
      </c>
      <c r="GD25" s="508"/>
      <c r="GE25" s="509">
        <f t="shared" si="60"/>
        <v>0</v>
      </c>
      <c r="GF25" s="510">
        <f t="shared" si="170"/>
        <v>0</v>
      </c>
      <c r="GG25" s="508"/>
      <c r="GH25" s="509">
        <f t="shared" si="61"/>
        <v>0</v>
      </c>
      <c r="GI25" s="510">
        <f t="shared" si="171"/>
        <v>0</v>
      </c>
      <c r="GJ25" s="508"/>
      <c r="GK25" s="509">
        <f t="shared" si="62"/>
        <v>0</v>
      </c>
      <c r="GL25" s="510">
        <f t="shared" si="172"/>
        <v>0</v>
      </c>
      <c r="GM25" s="508"/>
      <c r="GN25" s="509">
        <f t="shared" si="63"/>
        <v>0</v>
      </c>
      <c r="GO25" s="510">
        <f t="shared" si="173"/>
        <v>0</v>
      </c>
      <c r="GP25" s="508"/>
      <c r="GQ25" s="509">
        <f t="shared" si="64"/>
        <v>0</v>
      </c>
      <c r="GR25" s="510">
        <f t="shared" si="174"/>
        <v>0</v>
      </c>
      <c r="GS25" s="508"/>
      <c r="GT25" s="509">
        <f t="shared" si="65"/>
        <v>0</v>
      </c>
      <c r="GU25" s="510">
        <f t="shared" si="175"/>
        <v>0</v>
      </c>
      <c r="GV25" s="508"/>
      <c r="GW25" s="509">
        <f t="shared" si="66"/>
        <v>0</v>
      </c>
      <c r="GX25" s="510">
        <f t="shared" si="176"/>
        <v>0</v>
      </c>
      <c r="GY25" s="508"/>
      <c r="GZ25" s="509">
        <f t="shared" si="67"/>
        <v>0</v>
      </c>
      <c r="HA25" s="510">
        <f t="shared" si="177"/>
        <v>0</v>
      </c>
      <c r="HB25" s="508"/>
      <c r="HC25" s="509">
        <f t="shared" si="68"/>
        <v>0</v>
      </c>
      <c r="HD25" s="510">
        <f t="shared" si="178"/>
        <v>0</v>
      </c>
      <c r="HE25" s="508"/>
      <c r="HF25" s="509">
        <f t="shared" si="69"/>
        <v>0</v>
      </c>
      <c r="HG25" s="510">
        <f t="shared" si="179"/>
        <v>0</v>
      </c>
      <c r="HH25" s="508"/>
      <c r="HI25" s="509">
        <f t="shared" si="70"/>
        <v>0</v>
      </c>
      <c r="HJ25" s="510">
        <f t="shared" si="180"/>
        <v>0</v>
      </c>
      <c r="HK25" s="508"/>
      <c r="HL25" s="509">
        <f t="shared" si="71"/>
        <v>0</v>
      </c>
      <c r="HM25" s="510">
        <f t="shared" si="181"/>
        <v>0</v>
      </c>
      <c r="HN25" s="508"/>
      <c r="HO25" s="509">
        <f t="shared" si="72"/>
        <v>0</v>
      </c>
      <c r="HP25" s="510">
        <f t="shared" si="182"/>
        <v>0</v>
      </c>
      <c r="HQ25" s="508"/>
      <c r="HR25" s="509">
        <f t="shared" si="73"/>
        <v>0</v>
      </c>
      <c r="HS25" s="510">
        <f t="shared" si="183"/>
        <v>0</v>
      </c>
      <c r="HT25" s="508"/>
      <c r="HU25" s="509">
        <f t="shared" si="74"/>
        <v>0</v>
      </c>
      <c r="HV25" s="510">
        <f t="shared" si="184"/>
        <v>0</v>
      </c>
      <c r="HW25" s="508"/>
      <c r="HX25" s="509">
        <f t="shared" si="75"/>
        <v>0</v>
      </c>
      <c r="HY25" s="510">
        <f t="shared" si="185"/>
        <v>0</v>
      </c>
      <c r="HZ25" s="508"/>
      <c r="IA25" s="509">
        <f t="shared" si="76"/>
        <v>0</v>
      </c>
      <c r="IB25" s="510">
        <f t="shared" si="186"/>
        <v>0</v>
      </c>
      <c r="IC25" s="508"/>
      <c r="ID25" s="509">
        <f t="shared" si="77"/>
        <v>0</v>
      </c>
      <c r="IE25" s="510">
        <f t="shared" si="187"/>
        <v>0</v>
      </c>
      <c r="IF25" s="508"/>
      <c r="IG25" s="509">
        <f t="shared" si="78"/>
        <v>0</v>
      </c>
      <c r="IH25" s="510">
        <f t="shared" si="188"/>
        <v>0</v>
      </c>
      <c r="II25" s="508"/>
      <c r="IJ25" s="509">
        <f t="shared" si="79"/>
        <v>0</v>
      </c>
      <c r="IK25" s="510">
        <f t="shared" si="189"/>
        <v>0</v>
      </c>
      <c r="IL25" s="508"/>
      <c r="IM25" s="509">
        <f t="shared" si="80"/>
        <v>0</v>
      </c>
      <c r="IN25" s="510">
        <f t="shared" si="190"/>
        <v>0</v>
      </c>
      <c r="IO25" s="508"/>
      <c r="IP25" s="509">
        <f t="shared" si="81"/>
        <v>0</v>
      </c>
      <c r="IQ25" s="510">
        <f t="shared" si="191"/>
        <v>0</v>
      </c>
      <c r="IR25" s="508">
        <v>75</v>
      </c>
      <c r="IS25" s="509">
        <f t="shared" si="82"/>
        <v>1.8184022305734029</v>
      </c>
      <c r="IT25" s="510">
        <f t="shared" si="192"/>
        <v>0</v>
      </c>
      <c r="IU25" s="508"/>
      <c r="IV25" s="509">
        <f t="shared" si="83"/>
        <v>0</v>
      </c>
      <c r="IW25" s="510">
        <f t="shared" si="193"/>
        <v>0</v>
      </c>
      <c r="IX25" s="508"/>
      <c r="IY25" s="509">
        <f t="shared" si="84"/>
        <v>0</v>
      </c>
      <c r="IZ25" s="510">
        <f t="shared" si="194"/>
        <v>0</v>
      </c>
      <c r="JA25" s="508"/>
      <c r="JB25" s="509">
        <f t="shared" si="85"/>
        <v>0</v>
      </c>
      <c r="JC25" s="510">
        <f t="shared" si="195"/>
        <v>0</v>
      </c>
      <c r="JD25" s="508"/>
      <c r="JE25" s="509">
        <f t="shared" si="86"/>
        <v>0</v>
      </c>
      <c r="JF25" s="510">
        <f t="shared" si="196"/>
        <v>0</v>
      </c>
      <c r="JG25" s="508"/>
      <c r="JH25" s="509">
        <f t="shared" si="87"/>
        <v>0</v>
      </c>
      <c r="JI25" s="510">
        <f t="shared" si="197"/>
        <v>0</v>
      </c>
      <c r="JJ25" s="508"/>
      <c r="JK25" s="510">
        <f t="shared" si="198"/>
        <v>0</v>
      </c>
      <c r="JL25" s="510" t="str">
        <f t="shared" si="88"/>
        <v>0</v>
      </c>
      <c r="JM25" s="508"/>
      <c r="JN25" s="510" t="str">
        <f t="shared" si="89"/>
        <v>0</v>
      </c>
      <c r="JO25" s="510" t="str">
        <f t="shared" si="90"/>
        <v>0</v>
      </c>
      <c r="JP25" s="508"/>
      <c r="JQ25" s="510" t="str">
        <f t="shared" si="91"/>
        <v>0</v>
      </c>
      <c r="JR25" s="510" t="str">
        <f t="shared" si="92"/>
        <v>0</v>
      </c>
      <c r="JS25" s="508"/>
      <c r="JT25" s="510" t="str">
        <f t="shared" si="93"/>
        <v>0</v>
      </c>
      <c r="JU25" s="510" t="str">
        <f t="shared" si="94"/>
        <v>0</v>
      </c>
      <c r="JV25" s="508"/>
      <c r="JW25" s="510" t="str">
        <f t="shared" si="95"/>
        <v>0</v>
      </c>
      <c r="JX25" s="510" t="str">
        <f t="shared" si="96"/>
        <v>0</v>
      </c>
      <c r="JY25" s="508"/>
      <c r="JZ25" s="510" t="str">
        <f t="shared" si="97"/>
        <v>0</v>
      </c>
      <c r="KA25" s="510" t="str">
        <f t="shared" si="98"/>
        <v>0</v>
      </c>
      <c r="KB25" s="508"/>
      <c r="KC25" s="510" t="str">
        <f t="shared" si="99"/>
        <v>0</v>
      </c>
      <c r="KD25" s="510" t="str">
        <f t="shared" si="100"/>
        <v>0</v>
      </c>
      <c r="KE25" s="508"/>
      <c r="KF25" s="510" t="str">
        <f t="shared" si="101"/>
        <v>0</v>
      </c>
      <c r="KG25" s="510" t="str">
        <f t="shared" si="102"/>
        <v>0</v>
      </c>
      <c r="KH25" s="508"/>
      <c r="KI25" s="510" t="str">
        <f t="shared" si="103"/>
        <v>0</v>
      </c>
      <c r="KJ25" s="510" t="str">
        <f t="shared" si="104"/>
        <v>0</v>
      </c>
      <c r="KK25" s="508"/>
      <c r="KL25" s="510" t="str">
        <f t="shared" si="105"/>
        <v>0</v>
      </c>
      <c r="KM25" s="510" t="str">
        <f t="shared" si="106"/>
        <v>0</v>
      </c>
      <c r="KN25" s="508"/>
      <c r="KO25" s="510" t="str">
        <f t="shared" si="107"/>
        <v>0</v>
      </c>
      <c r="KP25" s="510" t="str">
        <f t="shared" si="108"/>
        <v>0</v>
      </c>
      <c r="KQ25" s="508"/>
      <c r="KR25" s="510" t="str">
        <f t="shared" si="109"/>
        <v>0</v>
      </c>
      <c r="KS25" s="510" t="str">
        <f t="shared" si="110"/>
        <v>0</v>
      </c>
      <c r="KT25" s="510">
        <f t="shared" si="201"/>
        <v>0</v>
      </c>
      <c r="KU25" s="510">
        <f t="shared" si="202"/>
        <v>0</v>
      </c>
      <c r="KV25" s="261">
        <f t="shared" si="199"/>
        <v>702.68062892419937</v>
      </c>
    </row>
    <row r="26" spans="1:308" ht="15" customHeight="1">
      <c r="A26" s="467">
        <f t="shared" si="200"/>
        <v>45855</v>
      </c>
      <c r="B26" s="468" t="str">
        <f>+Report1!B25</f>
        <v>Facial</v>
      </c>
      <c r="C26" s="469" t="str">
        <f>+Report1!C25</f>
        <v>11,5</v>
      </c>
      <c r="D26" s="470">
        <f>+Report1!P25</f>
        <v>42.198999999999998</v>
      </c>
      <c r="E26" s="471">
        <f>+Report1!R25</f>
        <v>40.045000000000002</v>
      </c>
      <c r="F26" s="508"/>
      <c r="G26" s="509">
        <f t="shared" si="0"/>
        <v>0</v>
      </c>
      <c r="H26" s="510">
        <f t="shared" si="111"/>
        <v>0</v>
      </c>
      <c r="I26" s="508">
        <v>325.5813953488373</v>
      </c>
      <c r="J26" s="509">
        <f t="shared" si="1"/>
        <v>8.1303881969993075</v>
      </c>
      <c r="K26" s="510">
        <f t="shared" si="112"/>
        <v>0</v>
      </c>
      <c r="L26" s="508"/>
      <c r="M26" s="509">
        <f t="shared" si="2"/>
        <v>0</v>
      </c>
      <c r="N26" s="510">
        <f t="shared" si="113"/>
        <v>0</v>
      </c>
      <c r="O26" s="508">
        <v>21.000000000000014</v>
      </c>
      <c r="P26" s="509">
        <f t="shared" si="3"/>
        <v>0.52441003870645553</v>
      </c>
      <c r="Q26" s="510">
        <f t="shared" si="114"/>
        <v>0</v>
      </c>
      <c r="R26" s="508">
        <v>7.6875</v>
      </c>
      <c r="S26" s="509">
        <f t="shared" si="4"/>
        <v>0.19197153202647022</v>
      </c>
      <c r="T26" s="510">
        <f t="shared" si="115"/>
        <v>0</v>
      </c>
      <c r="U26" s="508">
        <v>3.125</v>
      </c>
      <c r="V26" s="509">
        <f t="shared" si="5"/>
        <v>7.8037208140841544E-2</v>
      </c>
      <c r="W26" s="510">
        <f t="shared" si="116"/>
        <v>0</v>
      </c>
      <c r="X26" s="508"/>
      <c r="Y26" s="509">
        <f t="shared" si="6"/>
        <v>0</v>
      </c>
      <c r="Z26" s="510">
        <f t="shared" si="117"/>
        <v>0</v>
      </c>
      <c r="AA26" s="508"/>
      <c r="AB26" s="509">
        <f t="shared" si="7"/>
        <v>0</v>
      </c>
      <c r="AC26" s="510">
        <f t="shared" si="118"/>
        <v>0</v>
      </c>
      <c r="AD26" s="508"/>
      <c r="AE26" s="509">
        <f t="shared" si="8"/>
        <v>0</v>
      </c>
      <c r="AF26" s="510">
        <f t="shared" si="119"/>
        <v>0</v>
      </c>
      <c r="AG26" s="508"/>
      <c r="AH26" s="509">
        <f t="shared" si="9"/>
        <v>0</v>
      </c>
      <c r="AI26" s="510">
        <f t="shared" si="120"/>
        <v>0</v>
      </c>
      <c r="AJ26" s="508"/>
      <c r="AK26" s="509">
        <f t="shared" si="10"/>
        <v>0</v>
      </c>
      <c r="AL26" s="510">
        <f t="shared" si="121"/>
        <v>0</v>
      </c>
      <c r="AM26" s="508">
        <v>47.307692307692292</v>
      </c>
      <c r="AN26" s="509">
        <f t="shared" si="11"/>
        <v>1.1813632740090472</v>
      </c>
      <c r="AO26" s="510">
        <f t="shared" si="122"/>
        <v>0</v>
      </c>
      <c r="AP26" s="508"/>
      <c r="AQ26" s="509">
        <f t="shared" si="12"/>
        <v>0</v>
      </c>
      <c r="AR26" s="510">
        <f t="shared" si="123"/>
        <v>0</v>
      </c>
      <c r="AS26" s="508"/>
      <c r="AT26" s="509">
        <f t="shared" si="13"/>
        <v>0</v>
      </c>
      <c r="AU26" s="510">
        <f t="shared" si="124"/>
        <v>0</v>
      </c>
      <c r="AV26" s="508">
        <v>13.875000000000028</v>
      </c>
      <c r="AW26" s="509">
        <f t="shared" si="14"/>
        <v>0.34648520414533718</v>
      </c>
      <c r="AX26" s="510">
        <f t="shared" si="125"/>
        <v>0</v>
      </c>
      <c r="AY26" s="508">
        <v>53.666666666666686</v>
      </c>
      <c r="AZ26" s="509">
        <f t="shared" si="15"/>
        <v>1.3401589878053861</v>
      </c>
      <c r="BA26" s="510">
        <f t="shared" si="126"/>
        <v>0</v>
      </c>
      <c r="BB26" s="508"/>
      <c r="BC26" s="509">
        <f t="shared" si="16"/>
        <v>0</v>
      </c>
      <c r="BD26" s="510">
        <f t="shared" si="127"/>
        <v>0</v>
      </c>
      <c r="BE26" s="508"/>
      <c r="BF26" s="509">
        <f t="shared" si="17"/>
        <v>0</v>
      </c>
      <c r="BG26" s="510">
        <f t="shared" si="128"/>
        <v>0</v>
      </c>
      <c r="BH26" s="508"/>
      <c r="BI26" s="509">
        <f t="shared" si="18"/>
        <v>0</v>
      </c>
      <c r="BJ26" s="510">
        <f t="shared" si="129"/>
        <v>0</v>
      </c>
      <c r="BK26" s="508"/>
      <c r="BL26" s="509">
        <f t="shared" si="19"/>
        <v>0</v>
      </c>
      <c r="BM26" s="510">
        <f t="shared" si="130"/>
        <v>0</v>
      </c>
      <c r="BN26" s="508"/>
      <c r="BO26" s="509">
        <f t="shared" si="20"/>
        <v>0</v>
      </c>
      <c r="BP26" s="510">
        <f t="shared" si="131"/>
        <v>0</v>
      </c>
      <c r="BQ26" s="508"/>
      <c r="BR26" s="509">
        <f t="shared" si="21"/>
        <v>0</v>
      </c>
      <c r="BS26" s="510">
        <f t="shared" si="132"/>
        <v>0</v>
      </c>
      <c r="BT26" s="508"/>
      <c r="BU26" s="509">
        <f t="shared" si="22"/>
        <v>0</v>
      </c>
      <c r="BV26" s="510">
        <f t="shared" si="133"/>
        <v>0</v>
      </c>
      <c r="BW26" s="508"/>
      <c r="BX26" s="509">
        <f t="shared" si="23"/>
        <v>0</v>
      </c>
      <c r="BY26" s="510">
        <f t="shared" si="134"/>
        <v>0</v>
      </c>
      <c r="BZ26" s="508"/>
      <c r="CA26" s="509">
        <f t="shared" si="24"/>
        <v>0</v>
      </c>
      <c r="CB26" s="510">
        <f t="shared" si="135"/>
        <v>0</v>
      </c>
      <c r="CC26" s="508"/>
      <c r="CD26" s="509">
        <f t="shared" si="25"/>
        <v>0</v>
      </c>
      <c r="CE26" s="510">
        <f t="shared" si="136"/>
        <v>0</v>
      </c>
      <c r="CF26" s="508">
        <v>9.6999999999999993</v>
      </c>
      <c r="CG26" s="509">
        <f t="shared" si="26"/>
        <v>0.24222749406917216</v>
      </c>
      <c r="CH26" s="510">
        <f t="shared" si="137"/>
        <v>0</v>
      </c>
      <c r="CI26" s="508"/>
      <c r="CJ26" s="509">
        <f t="shared" si="27"/>
        <v>0</v>
      </c>
      <c r="CK26" s="510">
        <f t="shared" si="138"/>
        <v>0</v>
      </c>
      <c r="CL26" s="508"/>
      <c r="CM26" s="509">
        <f t="shared" si="28"/>
        <v>0</v>
      </c>
      <c r="CN26" s="510">
        <f t="shared" si="139"/>
        <v>0</v>
      </c>
      <c r="CO26" s="508"/>
      <c r="CP26" s="509">
        <f t="shared" si="29"/>
        <v>0</v>
      </c>
      <c r="CQ26" s="510">
        <f t="shared" si="140"/>
        <v>0</v>
      </c>
      <c r="CR26" s="508"/>
      <c r="CS26" s="509">
        <f t="shared" si="30"/>
        <v>0</v>
      </c>
      <c r="CT26" s="510">
        <f t="shared" si="141"/>
        <v>0</v>
      </c>
      <c r="CU26" s="508"/>
      <c r="CV26" s="509">
        <f t="shared" si="31"/>
        <v>0</v>
      </c>
      <c r="CW26" s="510">
        <f t="shared" si="142"/>
        <v>0</v>
      </c>
      <c r="CX26" s="508"/>
      <c r="CY26" s="509">
        <f t="shared" si="32"/>
        <v>0</v>
      </c>
      <c r="CZ26" s="510">
        <f t="shared" si="143"/>
        <v>0</v>
      </c>
      <c r="DA26" s="508"/>
      <c r="DB26" s="509">
        <f t="shared" si="33"/>
        <v>0</v>
      </c>
      <c r="DC26" s="510">
        <f t="shared" si="144"/>
        <v>0</v>
      </c>
      <c r="DD26" s="508"/>
      <c r="DE26" s="509">
        <f t="shared" si="34"/>
        <v>0</v>
      </c>
      <c r="DF26" s="510">
        <f t="shared" si="145"/>
        <v>0</v>
      </c>
      <c r="DG26" s="508"/>
      <c r="DH26" s="509">
        <f t="shared" si="35"/>
        <v>0</v>
      </c>
      <c r="DI26" s="510">
        <f t="shared" si="203"/>
        <v>0</v>
      </c>
      <c r="DJ26" s="508"/>
      <c r="DK26" s="509">
        <f t="shared" si="36"/>
        <v>0</v>
      </c>
      <c r="DL26" s="510">
        <f t="shared" si="146"/>
        <v>0</v>
      </c>
      <c r="DM26" s="508"/>
      <c r="DN26" s="509">
        <f t="shared" si="37"/>
        <v>0</v>
      </c>
      <c r="DO26" s="510">
        <f t="shared" si="147"/>
        <v>0</v>
      </c>
      <c r="DP26" s="508"/>
      <c r="DQ26" s="509">
        <f t="shared" si="38"/>
        <v>0</v>
      </c>
      <c r="DR26" s="510">
        <f t="shared" si="148"/>
        <v>0</v>
      </c>
      <c r="DS26" s="508"/>
      <c r="DT26" s="509">
        <f t="shared" si="39"/>
        <v>0</v>
      </c>
      <c r="DU26" s="510">
        <f t="shared" si="149"/>
        <v>0</v>
      </c>
      <c r="DV26" s="508"/>
      <c r="DW26" s="509">
        <f t="shared" si="40"/>
        <v>0</v>
      </c>
      <c r="DX26" s="510">
        <f t="shared" si="150"/>
        <v>0</v>
      </c>
      <c r="DY26" s="508"/>
      <c r="DZ26" s="509">
        <f t="shared" si="41"/>
        <v>0</v>
      </c>
      <c r="EA26" s="510">
        <f t="shared" si="151"/>
        <v>0</v>
      </c>
      <c r="EB26" s="508">
        <v>46.964705882352916</v>
      </c>
      <c r="EC26" s="509">
        <f t="shared" si="42"/>
        <v>1.1727982490286657</v>
      </c>
      <c r="ED26" s="510">
        <f t="shared" si="152"/>
        <v>0</v>
      </c>
      <c r="EE26" s="508">
        <v>14.534883720930253</v>
      </c>
      <c r="EF26" s="509">
        <f t="shared" si="43"/>
        <v>0.36296375879461235</v>
      </c>
      <c r="EG26" s="510">
        <f t="shared" si="153"/>
        <v>0</v>
      </c>
      <c r="EH26" s="508">
        <v>4</v>
      </c>
      <c r="EI26" s="509">
        <f t="shared" si="44"/>
        <v>9.9887626420277181E-2</v>
      </c>
      <c r="EJ26" s="510">
        <f t="shared" si="154"/>
        <v>0</v>
      </c>
      <c r="EK26" s="508"/>
      <c r="EL26" s="509">
        <f t="shared" si="45"/>
        <v>0</v>
      </c>
      <c r="EM26" s="510">
        <f t="shared" si="155"/>
        <v>0</v>
      </c>
      <c r="EN26" s="508"/>
      <c r="EO26" s="509">
        <f t="shared" si="46"/>
        <v>0</v>
      </c>
      <c r="EP26" s="510">
        <f t="shared" si="156"/>
        <v>0</v>
      </c>
      <c r="EQ26" s="508"/>
      <c r="ER26" s="509">
        <f t="shared" si="47"/>
        <v>0</v>
      </c>
      <c r="ES26" s="510">
        <f t="shared" si="157"/>
        <v>0</v>
      </c>
      <c r="ET26" s="508"/>
      <c r="EU26" s="509">
        <f t="shared" si="48"/>
        <v>0</v>
      </c>
      <c r="EV26" s="510">
        <f t="shared" si="158"/>
        <v>0</v>
      </c>
      <c r="EW26" s="508"/>
      <c r="EX26" s="509">
        <f t="shared" si="49"/>
        <v>0</v>
      </c>
      <c r="EY26" s="510">
        <f t="shared" si="159"/>
        <v>0</v>
      </c>
      <c r="EZ26" s="508"/>
      <c r="FA26" s="509">
        <f t="shared" si="50"/>
        <v>0</v>
      </c>
      <c r="FB26" s="510">
        <f t="shared" si="160"/>
        <v>0</v>
      </c>
      <c r="FC26" s="508"/>
      <c r="FD26" s="509">
        <f t="shared" si="51"/>
        <v>0</v>
      </c>
      <c r="FE26" s="510">
        <f t="shared" si="161"/>
        <v>0</v>
      </c>
      <c r="FF26" s="508"/>
      <c r="FG26" s="509">
        <f t="shared" si="52"/>
        <v>0</v>
      </c>
      <c r="FH26" s="510">
        <f t="shared" si="162"/>
        <v>0</v>
      </c>
      <c r="FI26" s="508"/>
      <c r="FJ26" s="509">
        <f t="shared" si="53"/>
        <v>0</v>
      </c>
      <c r="FK26" s="510">
        <f t="shared" si="163"/>
        <v>0</v>
      </c>
      <c r="FL26" s="508"/>
      <c r="FM26" s="509">
        <f t="shared" si="54"/>
        <v>0</v>
      </c>
      <c r="FN26" s="510">
        <f t="shared" si="164"/>
        <v>0</v>
      </c>
      <c r="FO26" s="508"/>
      <c r="FP26" s="509">
        <f t="shared" si="55"/>
        <v>0</v>
      </c>
      <c r="FQ26" s="510">
        <f t="shared" si="165"/>
        <v>0</v>
      </c>
      <c r="FR26" s="508"/>
      <c r="FS26" s="509">
        <f t="shared" si="56"/>
        <v>0</v>
      </c>
      <c r="FT26" s="510">
        <f t="shared" si="166"/>
        <v>0</v>
      </c>
      <c r="FU26" s="508"/>
      <c r="FV26" s="509">
        <f t="shared" si="57"/>
        <v>0</v>
      </c>
      <c r="FW26" s="510">
        <f t="shared" si="167"/>
        <v>0</v>
      </c>
      <c r="FX26" s="508"/>
      <c r="FY26" s="509">
        <f t="shared" si="58"/>
        <v>0</v>
      </c>
      <c r="FZ26" s="510">
        <f t="shared" si="168"/>
        <v>0</v>
      </c>
      <c r="GA26" s="508"/>
      <c r="GB26" s="509">
        <f t="shared" si="59"/>
        <v>0</v>
      </c>
      <c r="GC26" s="510">
        <f t="shared" si="169"/>
        <v>0</v>
      </c>
      <c r="GD26" s="508"/>
      <c r="GE26" s="509">
        <f t="shared" si="60"/>
        <v>0</v>
      </c>
      <c r="GF26" s="510">
        <f t="shared" si="170"/>
        <v>0</v>
      </c>
      <c r="GG26" s="508"/>
      <c r="GH26" s="509">
        <f t="shared" si="61"/>
        <v>0</v>
      </c>
      <c r="GI26" s="510">
        <f t="shared" si="171"/>
        <v>0</v>
      </c>
      <c r="GJ26" s="508"/>
      <c r="GK26" s="509">
        <f t="shared" si="62"/>
        <v>0</v>
      </c>
      <c r="GL26" s="510">
        <f t="shared" si="172"/>
        <v>0</v>
      </c>
      <c r="GM26" s="508"/>
      <c r="GN26" s="509">
        <f t="shared" si="63"/>
        <v>0</v>
      </c>
      <c r="GO26" s="510">
        <f t="shared" si="173"/>
        <v>0</v>
      </c>
      <c r="GP26" s="508"/>
      <c r="GQ26" s="509">
        <f t="shared" si="64"/>
        <v>0</v>
      </c>
      <c r="GR26" s="510">
        <f t="shared" si="174"/>
        <v>0</v>
      </c>
      <c r="GS26" s="508"/>
      <c r="GT26" s="509">
        <f t="shared" si="65"/>
        <v>0</v>
      </c>
      <c r="GU26" s="510">
        <f t="shared" si="175"/>
        <v>0</v>
      </c>
      <c r="GV26" s="508"/>
      <c r="GW26" s="509">
        <f t="shared" si="66"/>
        <v>0</v>
      </c>
      <c r="GX26" s="510">
        <f t="shared" si="176"/>
        <v>0</v>
      </c>
      <c r="GY26" s="508"/>
      <c r="GZ26" s="509">
        <f t="shared" si="67"/>
        <v>0</v>
      </c>
      <c r="HA26" s="510">
        <f t="shared" si="177"/>
        <v>0</v>
      </c>
      <c r="HB26" s="508"/>
      <c r="HC26" s="509">
        <f t="shared" si="68"/>
        <v>0</v>
      </c>
      <c r="HD26" s="510">
        <f t="shared" si="178"/>
        <v>0</v>
      </c>
      <c r="HE26" s="508"/>
      <c r="HF26" s="509">
        <f t="shared" si="69"/>
        <v>0</v>
      </c>
      <c r="HG26" s="510">
        <f t="shared" si="179"/>
        <v>0</v>
      </c>
      <c r="HH26" s="508"/>
      <c r="HI26" s="509">
        <f t="shared" si="70"/>
        <v>0</v>
      </c>
      <c r="HJ26" s="510">
        <f t="shared" si="180"/>
        <v>0</v>
      </c>
      <c r="HK26" s="508"/>
      <c r="HL26" s="509">
        <f t="shared" si="71"/>
        <v>0</v>
      </c>
      <c r="HM26" s="510">
        <f t="shared" si="181"/>
        <v>0</v>
      </c>
      <c r="HN26" s="508"/>
      <c r="HO26" s="509">
        <f t="shared" si="72"/>
        <v>0</v>
      </c>
      <c r="HP26" s="510">
        <f t="shared" si="182"/>
        <v>0</v>
      </c>
      <c r="HQ26" s="508"/>
      <c r="HR26" s="509">
        <f t="shared" si="73"/>
        <v>0</v>
      </c>
      <c r="HS26" s="510">
        <f t="shared" si="183"/>
        <v>0</v>
      </c>
      <c r="HT26" s="508"/>
      <c r="HU26" s="509">
        <f t="shared" si="74"/>
        <v>0</v>
      </c>
      <c r="HV26" s="510">
        <f t="shared" si="184"/>
        <v>0</v>
      </c>
      <c r="HW26" s="508"/>
      <c r="HX26" s="509">
        <f t="shared" si="75"/>
        <v>0</v>
      </c>
      <c r="HY26" s="510">
        <f t="shared" si="185"/>
        <v>0</v>
      </c>
      <c r="HZ26" s="508"/>
      <c r="IA26" s="509">
        <f t="shared" si="76"/>
        <v>0</v>
      </c>
      <c r="IB26" s="510">
        <f t="shared" si="186"/>
        <v>0</v>
      </c>
      <c r="IC26" s="508"/>
      <c r="ID26" s="509">
        <f t="shared" si="77"/>
        <v>0</v>
      </c>
      <c r="IE26" s="510">
        <f t="shared" si="187"/>
        <v>0</v>
      </c>
      <c r="IF26" s="508"/>
      <c r="IG26" s="509">
        <f t="shared" si="78"/>
        <v>0</v>
      </c>
      <c r="IH26" s="510">
        <f t="shared" si="188"/>
        <v>0</v>
      </c>
      <c r="II26" s="508"/>
      <c r="IJ26" s="509">
        <f t="shared" si="79"/>
        <v>0</v>
      </c>
      <c r="IK26" s="510">
        <f t="shared" si="189"/>
        <v>0</v>
      </c>
      <c r="IL26" s="508"/>
      <c r="IM26" s="509">
        <f t="shared" si="80"/>
        <v>0</v>
      </c>
      <c r="IN26" s="510">
        <f t="shared" si="190"/>
        <v>0</v>
      </c>
      <c r="IO26" s="508"/>
      <c r="IP26" s="509">
        <f t="shared" si="81"/>
        <v>0</v>
      </c>
      <c r="IQ26" s="510">
        <f t="shared" si="191"/>
        <v>0</v>
      </c>
      <c r="IR26" s="508">
        <v>60</v>
      </c>
      <c r="IS26" s="509">
        <f t="shared" si="82"/>
        <v>1.4983143963041579</v>
      </c>
      <c r="IT26" s="510">
        <f t="shared" si="192"/>
        <v>0</v>
      </c>
      <c r="IU26" s="508"/>
      <c r="IV26" s="509">
        <f t="shared" si="83"/>
        <v>0</v>
      </c>
      <c r="IW26" s="510">
        <f t="shared" si="193"/>
        <v>0</v>
      </c>
      <c r="IX26" s="508"/>
      <c r="IY26" s="509">
        <f t="shared" si="84"/>
        <v>0</v>
      </c>
      <c r="IZ26" s="510">
        <f t="shared" si="194"/>
        <v>0</v>
      </c>
      <c r="JA26" s="508"/>
      <c r="JB26" s="509">
        <f t="shared" si="85"/>
        <v>0</v>
      </c>
      <c r="JC26" s="510">
        <f t="shared" si="195"/>
        <v>0</v>
      </c>
      <c r="JD26" s="508"/>
      <c r="JE26" s="509">
        <f t="shared" si="86"/>
        <v>0</v>
      </c>
      <c r="JF26" s="510">
        <f t="shared" si="196"/>
        <v>0</v>
      </c>
      <c r="JG26" s="508"/>
      <c r="JH26" s="509">
        <f t="shared" si="87"/>
        <v>0</v>
      </c>
      <c r="JI26" s="510">
        <f t="shared" si="197"/>
        <v>0</v>
      </c>
      <c r="JJ26" s="508"/>
      <c r="JK26" s="510">
        <f t="shared" si="198"/>
        <v>0</v>
      </c>
      <c r="JL26" s="510" t="str">
        <f t="shared" si="88"/>
        <v>0</v>
      </c>
      <c r="JM26" s="508"/>
      <c r="JN26" s="510" t="str">
        <f t="shared" si="89"/>
        <v>0</v>
      </c>
      <c r="JO26" s="510" t="str">
        <f t="shared" si="90"/>
        <v>0</v>
      </c>
      <c r="JP26" s="508"/>
      <c r="JQ26" s="510" t="str">
        <f t="shared" si="91"/>
        <v>0</v>
      </c>
      <c r="JR26" s="510" t="str">
        <f t="shared" si="92"/>
        <v>0</v>
      </c>
      <c r="JS26" s="508"/>
      <c r="JT26" s="510" t="str">
        <f t="shared" si="93"/>
        <v>0</v>
      </c>
      <c r="JU26" s="510" t="str">
        <f t="shared" si="94"/>
        <v>0</v>
      </c>
      <c r="JV26" s="508"/>
      <c r="JW26" s="510" t="str">
        <f t="shared" si="95"/>
        <v>0</v>
      </c>
      <c r="JX26" s="510" t="str">
        <f t="shared" si="96"/>
        <v>0</v>
      </c>
      <c r="JY26" s="508"/>
      <c r="JZ26" s="510" t="str">
        <f t="shared" si="97"/>
        <v>0</v>
      </c>
      <c r="KA26" s="510" t="str">
        <f t="shared" si="98"/>
        <v>0</v>
      </c>
      <c r="KB26" s="508"/>
      <c r="KC26" s="510" t="str">
        <f t="shared" si="99"/>
        <v>0</v>
      </c>
      <c r="KD26" s="510" t="str">
        <f t="shared" si="100"/>
        <v>0</v>
      </c>
      <c r="KE26" s="508"/>
      <c r="KF26" s="510" t="str">
        <f t="shared" si="101"/>
        <v>0</v>
      </c>
      <c r="KG26" s="510" t="str">
        <f t="shared" si="102"/>
        <v>0</v>
      </c>
      <c r="KH26" s="508"/>
      <c r="KI26" s="510" t="str">
        <f t="shared" si="103"/>
        <v>0</v>
      </c>
      <c r="KJ26" s="510" t="str">
        <f t="shared" si="104"/>
        <v>0</v>
      </c>
      <c r="KK26" s="508"/>
      <c r="KL26" s="510" t="str">
        <f t="shared" si="105"/>
        <v>0</v>
      </c>
      <c r="KM26" s="510" t="str">
        <f t="shared" si="106"/>
        <v>0</v>
      </c>
      <c r="KN26" s="508"/>
      <c r="KO26" s="510" t="str">
        <f t="shared" si="107"/>
        <v>0</v>
      </c>
      <c r="KP26" s="510" t="str">
        <f t="shared" si="108"/>
        <v>0</v>
      </c>
      <c r="KQ26" s="508"/>
      <c r="KR26" s="510" t="str">
        <f t="shared" si="109"/>
        <v>0</v>
      </c>
      <c r="KS26" s="510" t="str">
        <f t="shared" si="110"/>
        <v>0</v>
      </c>
      <c r="KT26" s="510">
        <f t="shared" si="201"/>
        <v>0</v>
      </c>
      <c r="KU26" s="510">
        <f t="shared" si="202"/>
        <v>0</v>
      </c>
      <c r="KV26" s="261">
        <f t="shared" si="199"/>
        <v>607.44284392647944</v>
      </c>
    </row>
    <row r="27" spans="1:308" ht="15" customHeight="1">
      <c r="A27" s="467">
        <f t="shared" si="200"/>
        <v>45856</v>
      </c>
      <c r="B27" s="468" t="str">
        <f>+Report1!B26</f>
        <v>Facial</v>
      </c>
      <c r="C27" s="469" t="str">
        <f>+Report1!C26</f>
        <v>11,5/12</v>
      </c>
      <c r="D27" s="470">
        <f>+Report1!P26</f>
        <v>47.164000000000001</v>
      </c>
      <c r="E27" s="471">
        <f>+Report1!R26</f>
        <v>48.408000000000001</v>
      </c>
      <c r="F27" s="508"/>
      <c r="G27" s="509">
        <f t="shared" si="0"/>
        <v>0</v>
      </c>
      <c r="H27" s="510">
        <f t="shared" si="111"/>
        <v>0</v>
      </c>
      <c r="I27" s="508">
        <v>406.97674418604652</v>
      </c>
      <c r="J27" s="509">
        <f t="shared" si="1"/>
        <v>8.4072207937953749</v>
      </c>
      <c r="K27" s="510">
        <f t="shared" si="112"/>
        <v>0</v>
      </c>
      <c r="L27" s="508"/>
      <c r="M27" s="509">
        <f t="shared" si="2"/>
        <v>0</v>
      </c>
      <c r="N27" s="510">
        <f t="shared" si="113"/>
        <v>0</v>
      </c>
      <c r="O27" s="508">
        <v>20.999999999999986</v>
      </c>
      <c r="P27" s="509">
        <f t="shared" si="3"/>
        <v>0.43381259295984104</v>
      </c>
      <c r="Q27" s="510">
        <f t="shared" si="114"/>
        <v>0</v>
      </c>
      <c r="R27" s="508">
        <v>7.6875</v>
      </c>
      <c r="S27" s="509">
        <f t="shared" si="4"/>
        <v>0.15880639563708476</v>
      </c>
      <c r="T27" s="510">
        <f t="shared" si="115"/>
        <v>0</v>
      </c>
      <c r="U27" s="508">
        <v>3.125</v>
      </c>
      <c r="V27" s="509">
        <f t="shared" si="5"/>
        <v>6.4555445380928764E-2</v>
      </c>
      <c r="W27" s="510">
        <f t="shared" si="116"/>
        <v>0</v>
      </c>
      <c r="X27" s="508"/>
      <c r="Y27" s="509">
        <f t="shared" si="6"/>
        <v>0</v>
      </c>
      <c r="Z27" s="510">
        <f t="shared" si="117"/>
        <v>0</v>
      </c>
      <c r="AA27" s="508"/>
      <c r="AB27" s="509">
        <f t="shared" si="7"/>
        <v>0</v>
      </c>
      <c r="AC27" s="510">
        <f t="shared" si="118"/>
        <v>0</v>
      </c>
      <c r="AD27" s="508"/>
      <c r="AE27" s="509">
        <f t="shared" si="8"/>
        <v>0</v>
      </c>
      <c r="AF27" s="510">
        <f t="shared" si="119"/>
        <v>0</v>
      </c>
      <c r="AG27" s="508"/>
      <c r="AH27" s="509">
        <f t="shared" si="9"/>
        <v>0</v>
      </c>
      <c r="AI27" s="510">
        <f t="shared" si="120"/>
        <v>0</v>
      </c>
      <c r="AJ27" s="508"/>
      <c r="AK27" s="509">
        <f t="shared" si="10"/>
        <v>0</v>
      </c>
      <c r="AL27" s="510">
        <f t="shared" si="121"/>
        <v>0</v>
      </c>
      <c r="AM27" s="508">
        <v>44.679487179487182</v>
      </c>
      <c r="AN27" s="509">
        <f t="shared" si="11"/>
        <v>0.92297734216425342</v>
      </c>
      <c r="AO27" s="510">
        <f t="shared" si="122"/>
        <v>0</v>
      </c>
      <c r="AP27" s="508"/>
      <c r="AQ27" s="509">
        <f t="shared" si="12"/>
        <v>0</v>
      </c>
      <c r="AR27" s="510">
        <f t="shared" si="123"/>
        <v>0</v>
      </c>
      <c r="AS27" s="508"/>
      <c r="AT27" s="509">
        <f t="shared" si="13"/>
        <v>0</v>
      </c>
      <c r="AU27" s="510">
        <f t="shared" si="124"/>
        <v>0</v>
      </c>
      <c r="AV27" s="508">
        <v>13.875</v>
      </c>
      <c r="AW27" s="509">
        <f t="shared" si="14"/>
        <v>0.28662617749132374</v>
      </c>
      <c r="AX27" s="510">
        <f t="shared" si="125"/>
        <v>0</v>
      </c>
      <c r="AY27" s="508">
        <v>53.666666666666629</v>
      </c>
      <c r="AZ27" s="509">
        <f t="shared" si="15"/>
        <v>1.1086321820084826</v>
      </c>
      <c r="BA27" s="510">
        <f t="shared" si="126"/>
        <v>0</v>
      </c>
      <c r="BB27" s="508"/>
      <c r="BC27" s="509">
        <f t="shared" si="16"/>
        <v>0</v>
      </c>
      <c r="BD27" s="510">
        <f t="shared" si="127"/>
        <v>0</v>
      </c>
      <c r="BE27" s="508"/>
      <c r="BF27" s="509">
        <f t="shared" si="17"/>
        <v>0</v>
      </c>
      <c r="BG27" s="510">
        <f t="shared" si="128"/>
        <v>0</v>
      </c>
      <c r="BH27" s="508"/>
      <c r="BI27" s="509">
        <f t="shared" si="18"/>
        <v>0</v>
      </c>
      <c r="BJ27" s="510">
        <f t="shared" si="129"/>
        <v>0</v>
      </c>
      <c r="BK27" s="508"/>
      <c r="BL27" s="509">
        <f t="shared" si="19"/>
        <v>0</v>
      </c>
      <c r="BM27" s="510">
        <f t="shared" si="130"/>
        <v>0</v>
      </c>
      <c r="BN27" s="508"/>
      <c r="BO27" s="509">
        <f t="shared" si="20"/>
        <v>0</v>
      </c>
      <c r="BP27" s="510">
        <f t="shared" si="131"/>
        <v>0</v>
      </c>
      <c r="BQ27" s="508"/>
      <c r="BR27" s="509">
        <f t="shared" si="21"/>
        <v>0</v>
      </c>
      <c r="BS27" s="510">
        <f t="shared" si="132"/>
        <v>0</v>
      </c>
      <c r="BT27" s="508"/>
      <c r="BU27" s="509">
        <f t="shared" si="22"/>
        <v>0</v>
      </c>
      <c r="BV27" s="510">
        <f t="shared" si="133"/>
        <v>0</v>
      </c>
      <c r="BW27" s="508"/>
      <c r="BX27" s="509">
        <f t="shared" si="23"/>
        <v>0</v>
      </c>
      <c r="BY27" s="510">
        <f t="shared" si="134"/>
        <v>0</v>
      </c>
      <c r="BZ27" s="508"/>
      <c r="CA27" s="509">
        <f t="shared" si="24"/>
        <v>0</v>
      </c>
      <c r="CB27" s="510">
        <f t="shared" si="135"/>
        <v>0</v>
      </c>
      <c r="CC27" s="508"/>
      <c r="CD27" s="509">
        <f t="shared" si="25"/>
        <v>0</v>
      </c>
      <c r="CE27" s="510">
        <f t="shared" si="136"/>
        <v>0</v>
      </c>
      <c r="CF27" s="508">
        <v>9.4</v>
      </c>
      <c r="CG27" s="509">
        <f t="shared" si="26"/>
        <v>0.19418277970583375</v>
      </c>
      <c r="CH27" s="510">
        <f t="shared" si="137"/>
        <v>0</v>
      </c>
      <c r="CI27" s="508"/>
      <c r="CJ27" s="509">
        <f t="shared" si="27"/>
        <v>0</v>
      </c>
      <c r="CK27" s="510">
        <f t="shared" si="138"/>
        <v>0</v>
      </c>
      <c r="CL27" s="508"/>
      <c r="CM27" s="509">
        <f t="shared" si="28"/>
        <v>0</v>
      </c>
      <c r="CN27" s="510">
        <f t="shared" si="139"/>
        <v>0</v>
      </c>
      <c r="CO27" s="508"/>
      <c r="CP27" s="509">
        <f t="shared" si="29"/>
        <v>0</v>
      </c>
      <c r="CQ27" s="510">
        <f t="shared" si="140"/>
        <v>0</v>
      </c>
      <c r="CR27" s="508"/>
      <c r="CS27" s="509">
        <f t="shared" si="30"/>
        <v>0</v>
      </c>
      <c r="CT27" s="510">
        <f t="shared" si="141"/>
        <v>0</v>
      </c>
      <c r="CU27" s="508"/>
      <c r="CV27" s="509">
        <f t="shared" si="31"/>
        <v>0</v>
      </c>
      <c r="CW27" s="510">
        <f t="shared" si="142"/>
        <v>0</v>
      </c>
      <c r="CX27" s="508"/>
      <c r="CY27" s="509">
        <f t="shared" si="32"/>
        <v>0</v>
      </c>
      <c r="CZ27" s="510">
        <f t="shared" si="143"/>
        <v>0</v>
      </c>
      <c r="DA27" s="508"/>
      <c r="DB27" s="509">
        <f t="shared" si="33"/>
        <v>0</v>
      </c>
      <c r="DC27" s="510">
        <f t="shared" si="144"/>
        <v>0</v>
      </c>
      <c r="DD27" s="508"/>
      <c r="DE27" s="509">
        <f t="shared" si="34"/>
        <v>0</v>
      </c>
      <c r="DF27" s="510">
        <f t="shared" si="145"/>
        <v>0</v>
      </c>
      <c r="DG27" s="508"/>
      <c r="DH27" s="509">
        <f t="shared" si="35"/>
        <v>0</v>
      </c>
      <c r="DI27" s="510">
        <f t="shared" si="203"/>
        <v>0</v>
      </c>
      <c r="DJ27" s="508"/>
      <c r="DK27" s="509">
        <f t="shared" si="36"/>
        <v>0</v>
      </c>
      <c r="DL27" s="510">
        <f t="shared" si="146"/>
        <v>0</v>
      </c>
      <c r="DM27" s="508"/>
      <c r="DN27" s="509">
        <f t="shared" si="37"/>
        <v>0</v>
      </c>
      <c r="DO27" s="510">
        <f t="shared" si="147"/>
        <v>0</v>
      </c>
      <c r="DP27" s="508"/>
      <c r="DQ27" s="509">
        <f t="shared" si="38"/>
        <v>0</v>
      </c>
      <c r="DR27" s="510">
        <f t="shared" si="148"/>
        <v>0</v>
      </c>
      <c r="DS27" s="508"/>
      <c r="DT27" s="509">
        <f t="shared" si="39"/>
        <v>0</v>
      </c>
      <c r="DU27" s="510">
        <f t="shared" si="149"/>
        <v>0</v>
      </c>
      <c r="DV27" s="508"/>
      <c r="DW27" s="509">
        <f t="shared" si="40"/>
        <v>0</v>
      </c>
      <c r="DX27" s="510">
        <f t="shared" si="150"/>
        <v>0</v>
      </c>
      <c r="DY27" s="508"/>
      <c r="DZ27" s="509">
        <f t="shared" si="41"/>
        <v>0</v>
      </c>
      <c r="EA27" s="510">
        <f t="shared" si="151"/>
        <v>0</v>
      </c>
      <c r="EB27" s="508">
        <v>46.964705882352916</v>
      </c>
      <c r="EC27" s="509">
        <f t="shared" si="42"/>
        <v>0.97018480173427768</v>
      </c>
      <c r="ED27" s="510">
        <f t="shared" si="152"/>
        <v>0</v>
      </c>
      <c r="EE27" s="508">
        <v>14.534883720930253</v>
      </c>
      <c r="EF27" s="509">
        <f t="shared" si="43"/>
        <v>0.30025788549269239</v>
      </c>
      <c r="EG27" s="510">
        <f t="shared" si="153"/>
        <v>0</v>
      </c>
      <c r="EH27" s="508">
        <v>4.2</v>
      </c>
      <c r="EI27" s="509">
        <f t="shared" si="44"/>
        <v>8.6762518591968277E-2</v>
      </c>
      <c r="EJ27" s="510">
        <f t="shared" si="154"/>
        <v>0</v>
      </c>
      <c r="EK27" s="508"/>
      <c r="EL27" s="509">
        <f t="shared" si="45"/>
        <v>0</v>
      </c>
      <c r="EM27" s="510">
        <f t="shared" si="155"/>
        <v>0</v>
      </c>
      <c r="EN27" s="508"/>
      <c r="EO27" s="509">
        <f t="shared" si="46"/>
        <v>0</v>
      </c>
      <c r="EP27" s="510">
        <f t="shared" si="156"/>
        <v>0</v>
      </c>
      <c r="EQ27" s="508"/>
      <c r="ER27" s="509">
        <f t="shared" si="47"/>
        <v>0</v>
      </c>
      <c r="ES27" s="510">
        <f t="shared" si="157"/>
        <v>0</v>
      </c>
      <c r="ET27" s="508"/>
      <c r="EU27" s="509">
        <f t="shared" si="48"/>
        <v>0</v>
      </c>
      <c r="EV27" s="510">
        <f t="shared" si="158"/>
        <v>0</v>
      </c>
      <c r="EW27" s="508"/>
      <c r="EX27" s="509">
        <f t="shared" si="49"/>
        <v>0</v>
      </c>
      <c r="EY27" s="510">
        <f t="shared" si="159"/>
        <v>0</v>
      </c>
      <c r="EZ27" s="508"/>
      <c r="FA27" s="509">
        <f t="shared" si="50"/>
        <v>0</v>
      </c>
      <c r="FB27" s="510">
        <f t="shared" si="160"/>
        <v>0</v>
      </c>
      <c r="FC27" s="508"/>
      <c r="FD27" s="509">
        <f t="shared" si="51"/>
        <v>0</v>
      </c>
      <c r="FE27" s="510">
        <f t="shared" si="161"/>
        <v>0</v>
      </c>
      <c r="FF27" s="508"/>
      <c r="FG27" s="509">
        <f t="shared" si="52"/>
        <v>0</v>
      </c>
      <c r="FH27" s="510">
        <f t="shared" si="162"/>
        <v>0</v>
      </c>
      <c r="FI27" s="508"/>
      <c r="FJ27" s="509">
        <f t="shared" si="53"/>
        <v>0</v>
      </c>
      <c r="FK27" s="510">
        <f t="shared" si="163"/>
        <v>0</v>
      </c>
      <c r="FL27" s="508"/>
      <c r="FM27" s="509">
        <f t="shared" si="54"/>
        <v>0</v>
      </c>
      <c r="FN27" s="510">
        <f t="shared" si="164"/>
        <v>0</v>
      </c>
      <c r="FO27" s="508"/>
      <c r="FP27" s="509">
        <f t="shared" si="55"/>
        <v>0</v>
      </c>
      <c r="FQ27" s="510">
        <f t="shared" si="165"/>
        <v>0</v>
      </c>
      <c r="FR27" s="508"/>
      <c r="FS27" s="509">
        <f t="shared" si="56"/>
        <v>0</v>
      </c>
      <c r="FT27" s="510">
        <f t="shared" si="166"/>
        <v>0</v>
      </c>
      <c r="FU27" s="508"/>
      <c r="FV27" s="509">
        <f t="shared" si="57"/>
        <v>0</v>
      </c>
      <c r="FW27" s="510">
        <f t="shared" si="167"/>
        <v>0</v>
      </c>
      <c r="FX27" s="508"/>
      <c r="FY27" s="509">
        <f t="shared" si="58"/>
        <v>0</v>
      </c>
      <c r="FZ27" s="510">
        <f t="shared" si="168"/>
        <v>0</v>
      </c>
      <c r="GA27" s="508"/>
      <c r="GB27" s="509">
        <f t="shared" si="59"/>
        <v>0</v>
      </c>
      <c r="GC27" s="510">
        <f t="shared" si="169"/>
        <v>0</v>
      </c>
      <c r="GD27" s="508"/>
      <c r="GE27" s="509">
        <f t="shared" si="60"/>
        <v>0</v>
      </c>
      <c r="GF27" s="510">
        <f t="shared" si="170"/>
        <v>0</v>
      </c>
      <c r="GG27" s="508"/>
      <c r="GH27" s="509">
        <f t="shared" si="61"/>
        <v>0</v>
      </c>
      <c r="GI27" s="510">
        <f t="shared" si="171"/>
        <v>0</v>
      </c>
      <c r="GJ27" s="508"/>
      <c r="GK27" s="509">
        <f t="shared" si="62"/>
        <v>0</v>
      </c>
      <c r="GL27" s="510">
        <f t="shared" si="172"/>
        <v>0</v>
      </c>
      <c r="GM27" s="508"/>
      <c r="GN27" s="509">
        <f t="shared" si="63"/>
        <v>0</v>
      </c>
      <c r="GO27" s="510">
        <f t="shared" si="173"/>
        <v>0</v>
      </c>
      <c r="GP27" s="508"/>
      <c r="GQ27" s="509">
        <f t="shared" si="64"/>
        <v>0</v>
      </c>
      <c r="GR27" s="510">
        <f t="shared" si="174"/>
        <v>0</v>
      </c>
      <c r="GS27" s="508"/>
      <c r="GT27" s="509">
        <f t="shared" si="65"/>
        <v>0</v>
      </c>
      <c r="GU27" s="510">
        <f t="shared" si="175"/>
        <v>0</v>
      </c>
      <c r="GV27" s="508"/>
      <c r="GW27" s="509">
        <f t="shared" si="66"/>
        <v>0</v>
      </c>
      <c r="GX27" s="510">
        <f t="shared" si="176"/>
        <v>0</v>
      </c>
      <c r="GY27" s="508"/>
      <c r="GZ27" s="509">
        <f t="shared" si="67"/>
        <v>0</v>
      </c>
      <c r="HA27" s="510">
        <f t="shared" si="177"/>
        <v>0</v>
      </c>
      <c r="HB27" s="508"/>
      <c r="HC27" s="509">
        <f t="shared" si="68"/>
        <v>0</v>
      </c>
      <c r="HD27" s="510">
        <f t="shared" si="178"/>
        <v>0</v>
      </c>
      <c r="HE27" s="508"/>
      <c r="HF27" s="509">
        <f t="shared" si="69"/>
        <v>0</v>
      </c>
      <c r="HG27" s="510">
        <f t="shared" si="179"/>
        <v>0</v>
      </c>
      <c r="HH27" s="508"/>
      <c r="HI27" s="509">
        <f t="shared" si="70"/>
        <v>0</v>
      </c>
      <c r="HJ27" s="510">
        <f t="shared" si="180"/>
        <v>0</v>
      </c>
      <c r="HK27" s="508"/>
      <c r="HL27" s="509">
        <f t="shared" si="71"/>
        <v>0</v>
      </c>
      <c r="HM27" s="510">
        <f t="shared" si="181"/>
        <v>0</v>
      </c>
      <c r="HN27" s="508"/>
      <c r="HO27" s="509">
        <f t="shared" si="72"/>
        <v>0</v>
      </c>
      <c r="HP27" s="510">
        <f t="shared" si="182"/>
        <v>0</v>
      </c>
      <c r="HQ27" s="508"/>
      <c r="HR27" s="509">
        <f t="shared" si="73"/>
        <v>0</v>
      </c>
      <c r="HS27" s="510">
        <f t="shared" si="183"/>
        <v>0</v>
      </c>
      <c r="HT27" s="508"/>
      <c r="HU27" s="509">
        <f t="shared" si="74"/>
        <v>0</v>
      </c>
      <c r="HV27" s="510">
        <f t="shared" si="184"/>
        <v>0</v>
      </c>
      <c r="HW27" s="508"/>
      <c r="HX27" s="509">
        <f t="shared" si="75"/>
        <v>0</v>
      </c>
      <c r="HY27" s="510">
        <f t="shared" si="185"/>
        <v>0</v>
      </c>
      <c r="HZ27" s="508"/>
      <c r="IA27" s="509">
        <f t="shared" si="76"/>
        <v>0</v>
      </c>
      <c r="IB27" s="510">
        <f t="shared" si="186"/>
        <v>0</v>
      </c>
      <c r="IC27" s="508"/>
      <c r="ID27" s="509">
        <f t="shared" si="77"/>
        <v>0</v>
      </c>
      <c r="IE27" s="510">
        <f t="shared" si="187"/>
        <v>0</v>
      </c>
      <c r="IF27" s="508"/>
      <c r="IG27" s="509">
        <f t="shared" si="78"/>
        <v>0</v>
      </c>
      <c r="IH27" s="510">
        <f t="shared" si="188"/>
        <v>0</v>
      </c>
      <c r="II27" s="508"/>
      <c r="IJ27" s="509">
        <f t="shared" si="79"/>
        <v>0</v>
      </c>
      <c r="IK27" s="510">
        <f t="shared" si="189"/>
        <v>0</v>
      </c>
      <c r="IL27" s="508"/>
      <c r="IM27" s="509">
        <f t="shared" si="80"/>
        <v>0</v>
      </c>
      <c r="IN27" s="510">
        <f t="shared" si="190"/>
        <v>0</v>
      </c>
      <c r="IO27" s="508"/>
      <c r="IP27" s="509">
        <f t="shared" si="81"/>
        <v>0</v>
      </c>
      <c r="IQ27" s="510">
        <f t="shared" si="191"/>
        <v>0</v>
      </c>
      <c r="IR27" s="508">
        <v>65</v>
      </c>
      <c r="IS27" s="509">
        <f t="shared" si="82"/>
        <v>1.3427532639233184</v>
      </c>
      <c r="IT27" s="510">
        <f t="shared" si="192"/>
        <v>0</v>
      </c>
      <c r="IU27" s="508"/>
      <c r="IV27" s="509">
        <f t="shared" si="83"/>
        <v>0</v>
      </c>
      <c r="IW27" s="510">
        <f t="shared" si="193"/>
        <v>0</v>
      </c>
      <c r="IX27" s="508"/>
      <c r="IY27" s="509">
        <f t="shared" si="84"/>
        <v>0</v>
      </c>
      <c r="IZ27" s="510">
        <f t="shared" si="194"/>
        <v>0</v>
      </c>
      <c r="JA27" s="508"/>
      <c r="JB27" s="509">
        <f t="shared" si="85"/>
        <v>0</v>
      </c>
      <c r="JC27" s="510">
        <f t="shared" si="195"/>
        <v>0</v>
      </c>
      <c r="JD27" s="508"/>
      <c r="JE27" s="509">
        <f t="shared" si="86"/>
        <v>0</v>
      </c>
      <c r="JF27" s="510">
        <f t="shared" si="196"/>
        <v>0</v>
      </c>
      <c r="JG27" s="508"/>
      <c r="JH27" s="509">
        <f t="shared" si="87"/>
        <v>0</v>
      </c>
      <c r="JI27" s="510">
        <f t="shared" si="197"/>
        <v>0</v>
      </c>
      <c r="JJ27" s="508"/>
      <c r="JK27" s="510">
        <f t="shared" si="198"/>
        <v>0</v>
      </c>
      <c r="JL27" s="510" t="str">
        <f t="shared" si="88"/>
        <v>0</v>
      </c>
      <c r="JM27" s="508"/>
      <c r="JN27" s="510" t="str">
        <f t="shared" si="89"/>
        <v>0</v>
      </c>
      <c r="JO27" s="510" t="str">
        <f t="shared" si="90"/>
        <v>0</v>
      </c>
      <c r="JP27" s="508"/>
      <c r="JQ27" s="510" t="str">
        <f t="shared" si="91"/>
        <v>0</v>
      </c>
      <c r="JR27" s="510" t="str">
        <f t="shared" si="92"/>
        <v>0</v>
      </c>
      <c r="JS27" s="508"/>
      <c r="JT27" s="510" t="str">
        <f t="shared" si="93"/>
        <v>0</v>
      </c>
      <c r="JU27" s="510" t="str">
        <f t="shared" si="94"/>
        <v>0</v>
      </c>
      <c r="JV27" s="508"/>
      <c r="JW27" s="510" t="str">
        <f t="shared" si="95"/>
        <v>0</v>
      </c>
      <c r="JX27" s="510" t="str">
        <f t="shared" si="96"/>
        <v>0</v>
      </c>
      <c r="JY27" s="508"/>
      <c r="JZ27" s="510" t="str">
        <f t="shared" si="97"/>
        <v>0</v>
      </c>
      <c r="KA27" s="510" t="str">
        <f t="shared" si="98"/>
        <v>0</v>
      </c>
      <c r="KB27" s="508"/>
      <c r="KC27" s="510" t="str">
        <f t="shared" si="99"/>
        <v>0</v>
      </c>
      <c r="KD27" s="510" t="str">
        <f t="shared" si="100"/>
        <v>0</v>
      </c>
      <c r="KE27" s="508"/>
      <c r="KF27" s="510" t="str">
        <f t="shared" si="101"/>
        <v>0</v>
      </c>
      <c r="KG27" s="510" t="str">
        <f t="shared" si="102"/>
        <v>0</v>
      </c>
      <c r="KH27" s="508"/>
      <c r="KI27" s="510" t="str">
        <f t="shared" si="103"/>
        <v>0</v>
      </c>
      <c r="KJ27" s="510" t="str">
        <f t="shared" si="104"/>
        <v>0</v>
      </c>
      <c r="KK27" s="508"/>
      <c r="KL27" s="510" t="str">
        <f t="shared" si="105"/>
        <v>0</v>
      </c>
      <c r="KM27" s="510" t="str">
        <f t="shared" si="106"/>
        <v>0</v>
      </c>
      <c r="KN27" s="508"/>
      <c r="KO27" s="510" t="str">
        <f t="shared" si="107"/>
        <v>0</v>
      </c>
      <c r="KP27" s="510" t="str">
        <f t="shared" si="108"/>
        <v>0</v>
      </c>
      <c r="KQ27" s="508"/>
      <c r="KR27" s="510" t="str">
        <f t="shared" si="109"/>
        <v>0</v>
      </c>
      <c r="KS27" s="510" t="str">
        <f t="shared" si="110"/>
        <v>0</v>
      </c>
      <c r="KT27" s="510">
        <f t="shared" si="201"/>
        <v>0</v>
      </c>
      <c r="KU27" s="510">
        <f t="shared" si="202"/>
        <v>0</v>
      </c>
      <c r="KV27" s="261">
        <f t="shared" si="199"/>
        <v>691.10998763548344</v>
      </c>
    </row>
    <row r="28" spans="1:308" ht="15" customHeight="1">
      <c r="A28" s="467">
        <f t="shared" si="200"/>
        <v>45857</v>
      </c>
      <c r="B28" s="468" t="str">
        <f>+Report1!B27</f>
        <v>Facial</v>
      </c>
      <c r="C28" s="469" t="str">
        <f>+Report1!C27</f>
        <v>12</v>
      </c>
      <c r="D28" s="470">
        <f>+Report1!P27</f>
        <v>46.22</v>
      </c>
      <c r="E28" s="471">
        <f>+Report1!R27</f>
        <v>40.988</v>
      </c>
      <c r="F28" s="508"/>
      <c r="G28" s="509">
        <f t="shared" si="0"/>
        <v>0</v>
      </c>
      <c r="H28" s="510">
        <f t="shared" si="111"/>
        <v>0</v>
      </c>
      <c r="I28" s="508">
        <v>379.23996744186024</v>
      </c>
      <c r="J28" s="509">
        <f t="shared" si="1"/>
        <v>9.2524633415111808</v>
      </c>
      <c r="K28" s="510">
        <f t="shared" si="112"/>
        <v>0</v>
      </c>
      <c r="L28" s="508"/>
      <c r="M28" s="509">
        <f t="shared" si="2"/>
        <v>0</v>
      </c>
      <c r="N28" s="510">
        <f t="shared" si="113"/>
        <v>0</v>
      </c>
      <c r="O28" s="508">
        <v>24</v>
      </c>
      <c r="P28" s="509">
        <f t="shared" si="3"/>
        <v>0.58553723040890016</v>
      </c>
      <c r="Q28" s="510">
        <f t="shared" si="114"/>
        <v>0</v>
      </c>
      <c r="R28" s="508">
        <v>7.6875</v>
      </c>
      <c r="S28" s="509">
        <f t="shared" si="4"/>
        <v>0.18755489411535084</v>
      </c>
      <c r="T28" s="510">
        <f t="shared" si="115"/>
        <v>0</v>
      </c>
      <c r="U28" s="508">
        <v>4.6875</v>
      </c>
      <c r="V28" s="509">
        <f t="shared" si="5"/>
        <v>0.11436274031423832</v>
      </c>
      <c r="W28" s="510">
        <f t="shared" si="116"/>
        <v>0</v>
      </c>
      <c r="X28" s="508"/>
      <c r="Y28" s="509">
        <f t="shared" si="6"/>
        <v>0</v>
      </c>
      <c r="Z28" s="510">
        <f t="shared" si="117"/>
        <v>0</v>
      </c>
      <c r="AA28" s="508"/>
      <c r="AB28" s="509">
        <f t="shared" si="7"/>
        <v>0</v>
      </c>
      <c r="AC28" s="510">
        <f t="shared" si="118"/>
        <v>0</v>
      </c>
      <c r="AD28" s="508"/>
      <c r="AE28" s="509">
        <f t="shared" si="8"/>
        <v>0</v>
      </c>
      <c r="AF28" s="510">
        <f t="shared" si="119"/>
        <v>0</v>
      </c>
      <c r="AG28" s="508"/>
      <c r="AH28" s="509">
        <f t="shared" si="9"/>
        <v>0</v>
      </c>
      <c r="AI28" s="510">
        <f t="shared" si="120"/>
        <v>0</v>
      </c>
      <c r="AJ28" s="508"/>
      <c r="AK28" s="509">
        <f t="shared" si="10"/>
        <v>0</v>
      </c>
      <c r="AL28" s="510">
        <f t="shared" si="121"/>
        <v>0</v>
      </c>
      <c r="AM28" s="508">
        <v>44.679487179487182</v>
      </c>
      <c r="AN28" s="509">
        <f t="shared" si="11"/>
        <v>1.0900626324652869</v>
      </c>
      <c r="AO28" s="510">
        <f t="shared" si="122"/>
        <v>0</v>
      </c>
      <c r="AP28" s="508"/>
      <c r="AQ28" s="509">
        <f t="shared" si="12"/>
        <v>0</v>
      </c>
      <c r="AR28" s="510">
        <f t="shared" si="123"/>
        <v>0</v>
      </c>
      <c r="AS28" s="508"/>
      <c r="AT28" s="509">
        <f t="shared" si="13"/>
        <v>0</v>
      </c>
      <c r="AU28" s="510">
        <f t="shared" si="124"/>
        <v>0</v>
      </c>
      <c r="AV28" s="508">
        <v>11.100000000000023</v>
      </c>
      <c r="AW28" s="509">
        <f t="shared" si="14"/>
        <v>0.27081096906411689</v>
      </c>
      <c r="AX28" s="510">
        <f t="shared" si="125"/>
        <v>0</v>
      </c>
      <c r="AY28" s="508">
        <v>50.998533333333313</v>
      </c>
      <c r="AZ28" s="509">
        <f t="shared" si="15"/>
        <v>1.2442308317881652</v>
      </c>
      <c r="BA28" s="510">
        <f t="shared" si="126"/>
        <v>0</v>
      </c>
      <c r="BB28" s="508"/>
      <c r="BC28" s="509">
        <f t="shared" si="16"/>
        <v>0</v>
      </c>
      <c r="BD28" s="510">
        <f t="shared" si="127"/>
        <v>0</v>
      </c>
      <c r="BE28" s="508"/>
      <c r="BF28" s="509">
        <f t="shared" si="17"/>
        <v>0</v>
      </c>
      <c r="BG28" s="510">
        <f t="shared" si="128"/>
        <v>0</v>
      </c>
      <c r="BH28" s="508"/>
      <c r="BI28" s="509">
        <f t="shared" si="18"/>
        <v>0</v>
      </c>
      <c r="BJ28" s="510">
        <f t="shared" si="129"/>
        <v>0</v>
      </c>
      <c r="BK28" s="508"/>
      <c r="BL28" s="509">
        <f t="shared" si="19"/>
        <v>0</v>
      </c>
      <c r="BM28" s="510">
        <f t="shared" si="130"/>
        <v>0</v>
      </c>
      <c r="BN28" s="508"/>
      <c r="BO28" s="509">
        <f t="shared" si="20"/>
        <v>0</v>
      </c>
      <c r="BP28" s="510">
        <f t="shared" si="131"/>
        <v>0</v>
      </c>
      <c r="BQ28" s="508"/>
      <c r="BR28" s="509">
        <f t="shared" si="21"/>
        <v>0</v>
      </c>
      <c r="BS28" s="510">
        <f t="shared" si="132"/>
        <v>0</v>
      </c>
      <c r="BT28" s="508"/>
      <c r="BU28" s="509">
        <f t="shared" si="22"/>
        <v>0</v>
      </c>
      <c r="BV28" s="510">
        <f t="shared" si="133"/>
        <v>0</v>
      </c>
      <c r="BW28" s="508"/>
      <c r="BX28" s="509">
        <f t="shared" si="23"/>
        <v>0</v>
      </c>
      <c r="BY28" s="510">
        <f t="shared" si="134"/>
        <v>0</v>
      </c>
      <c r="BZ28" s="508"/>
      <c r="CA28" s="509">
        <f t="shared" si="24"/>
        <v>0</v>
      </c>
      <c r="CB28" s="510">
        <f t="shared" si="135"/>
        <v>0</v>
      </c>
      <c r="CC28" s="508"/>
      <c r="CD28" s="509">
        <f t="shared" si="25"/>
        <v>0</v>
      </c>
      <c r="CE28" s="510">
        <f t="shared" si="136"/>
        <v>0</v>
      </c>
      <c r="CF28" s="508">
        <v>12</v>
      </c>
      <c r="CG28" s="509">
        <f t="shared" si="26"/>
        <v>0.29276861520445008</v>
      </c>
      <c r="CH28" s="510">
        <f t="shared" si="137"/>
        <v>0</v>
      </c>
      <c r="CI28" s="508"/>
      <c r="CJ28" s="509">
        <f t="shared" si="27"/>
        <v>0</v>
      </c>
      <c r="CK28" s="510">
        <f t="shared" si="138"/>
        <v>0</v>
      </c>
      <c r="CL28" s="508"/>
      <c r="CM28" s="509">
        <f t="shared" si="28"/>
        <v>0</v>
      </c>
      <c r="CN28" s="510">
        <f t="shared" si="139"/>
        <v>0</v>
      </c>
      <c r="CO28" s="508"/>
      <c r="CP28" s="509">
        <f t="shared" si="29"/>
        <v>0</v>
      </c>
      <c r="CQ28" s="510">
        <f t="shared" si="140"/>
        <v>0</v>
      </c>
      <c r="CR28" s="508"/>
      <c r="CS28" s="509">
        <f t="shared" si="30"/>
        <v>0</v>
      </c>
      <c r="CT28" s="510">
        <f t="shared" si="141"/>
        <v>0</v>
      </c>
      <c r="CU28" s="508"/>
      <c r="CV28" s="509">
        <f t="shared" si="31"/>
        <v>0</v>
      </c>
      <c r="CW28" s="510">
        <f t="shared" si="142"/>
        <v>0</v>
      </c>
      <c r="CX28" s="508"/>
      <c r="CY28" s="509">
        <f t="shared" si="32"/>
        <v>0</v>
      </c>
      <c r="CZ28" s="510">
        <f t="shared" si="143"/>
        <v>0</v>
      </c>
      <c r="DA28" s="508"/>
      <c r="DB28" s="509">
        <f t="shared" si="33"/>
        <v>0</v>
      </c>
      <c r="DC28" s="510">
        <f t="shared" si="144"/>
        <v>0</v>
      </c>
      <c r="DD28" s="508"/>
      <c r="DE28" s="509">
        <f t="shared" si="34"/>
        <v>0</v>
      </c>
      <c r="DF28" s="510">
        <f t="shared" si="145"/>
        <v>0</v>
      </c>
      <c r="DG28" s="508"/>
      <c r="DH28" s="509">
        <f t="shared" si="35"/>
        <v>0</v>
      </c>
      <c r="DI28" s="510">
        <f t="shared" si="203"/>
        <v>0</v>
      </c>
      <c r="DJ28" s="508"/>
      <c r="DK28" s="509">
        <f t="shared" si="36"/>
        <v>0</v>
      </c>
      <c r="DL28" s="510">
        <f t="shared" si="146"/>
        <v>0</v>
      </c>
      <c r="DM28" s="508"/>
      <c r="DN28" s="509">
        <f t="shared" si="37"/>
        <v>0</v>
      </c>
      <c r="DO28" s="510">
        <f t="shared" si="147"/>
        <v>0</v>
      </c>
      <c r="DP28" s="508"/>
      <c r="DQ28" s="509">
        <f t="shared" si="38"/>
        <v>0</v>
      </c>
      <c r="DR28" s="510">
        <f t="shared" si="148"/>
        <v>0</v>
      </c>
      <c r="DS28" s="508"/>
      <c r="DT28" s="509">
        <f t="shared" si="39"/>
        <v>0</v>
      </c>
      <c r="DU28" s="510">
        <f t="shared" si="149"/>
        <v>0</v>
      </c>
      <c r="DV28" s="508"/>
      <c r="DW28" s="509">
        <f t="shared" si="40"/>
        <v>0</v>
      </c>
      <c r="DX28" s="510">
        <f t="shared" si="150"/>
        <v>0</v>
      </c>
      <c r="DY28" s="508"/>
      <c r="DZ28" s="509">
        <f t="shared" si="41"/>
        <v>0</v>
      </c>
      <c r="EA28" s="510">
        <f t="shared" si="151"/>
        <v>0</v>
      </c>
      <c r="EB28" s="508">
        <v>46.964705882352973</v>
      </c>
      <c r="EC28" s="509">
        <f t="shared" si="42"/>
        <v>1.1458159920550643</v>
      </c>
      <c r="ED28" s="510">
        <f t="shared" si="152"/>
        <v>0</v>
      </c>
      <c r="EE28" s="508">
        <v>14.534883720930225</v>
      </c>
      <c r="EF28" s="509">
        <f t="shared" si="43"/>
        <v>0.35461314826120388</v>
      </c>
      <c r="EG28" s="510">
        <f t="shared" si="153"/>
        <v>0</v>
      </c>
      <c r="EH28" s="508">
        <v>1.8</v>
      </c>
      <c r="EI28" s="509">
        <f t="shared" si="44"/>
        <v>4.3915292280667512E-2</v>
      </c>
      <c r="EJ28" s="510">
        <f t="shared" si="154"/>
        <v>0</v>
      </c>
      <c r="EK28" s="508"/>
      <c r="EL28" s="509">
        <f t="shared" si="45"/>
        <v>0</v>
      </c>
      <c r="EM28" s="510">
        <f t="shared" si="155"/>
        <v>0</v>
      </c>
      <c r="EN28" s="508"/>
      <c r="EO28" s="509">
        <f t="shared" si="46"/>
        <v>0</v>
      </c>
      <c r="EP28" s="510">
        <f t="shared" si="156"/>
        <v>0</v>
      </c>
      <c r="EQ28" s="508"/>
      <c r="ER28" s="509">
        <f t="shared" si="47"/>
        <v>0</v>
      </c>
      <c r="ES28" s="510">
        <f t="shared" si="157"/>
        <v>0</v>
      </c>
      <c r="ET28" s="508"/>
      <c r="EU28" s="509">
        <f t="shared" si="48"/>
        <v>0</v>
      </c>
      <c r="EV28" s="510">
        <f t="shared" si="158"/>
        <v>0</v>
      </c>
      <c r="EW28" s="508"/>
      <c r="EX28" s="509">
        <f t="shared" si="49"/>
        <v>0</v>
      </c>
      <c r="EY28" s="510">
        <f t="shared" si="159"/>
        <v>0</v>
      </c>
      <c r="EZ28" s="508"/>
      <c r="FA28" s="509">
        <f t="shared" si="50"/>
        <v>0</v>
      </c>
      <c r="FB28" s="510">
        <f t="shared" si="160"/>
        <v>0</v>
      </c>
      <c r="FC28" s="508"/>
      <c r="FD28" s="509">
        <f t="shared" si="51"/>
        <v>0</v>
      </c>
      <c r="FE28" s="510">
        <f t="shared" si="161"/>
        <v>0</v>
      </c>
      <c r="FF28" s="508"/>
      <c r="FG28" s="509">
        <f t="shared" si="52"/>
        <v>0</v>
      </c>
      <c r="FH28" s="510">
        <f t="shared" si="162"/>
        <v>0</v>
      </c>
      <c r="FI28" s="508"/>
      <c r="FJ28" s="509">
        <f t="shared" si="53"/>
        <v>0</v>
      </c>
      <c r="FK28" s="510">
        <f t="shared" si="163"/>
        <v>0</v>
      </c>
      <c r="FL28" s="508"/>
      <c r="FM28" s="509">
        <f t="shared" si="54"/>
        <v>0</v>
      </c>
      <c r="FN28" s="510">
        <f t="shared" si="164"/>
        <v>0</v>
      </c>
      <c r="FO28" s="508"/>
      <c r="FP28" s="509">
        <f t="shared" si="55"/>
        <v>0</v>
      </c>
      <c r="FQ28" s="510">
        <f t="shared" si="165"/>
        <v>0</v>
      </c>
      <c r="FR28" s="508"/>
      <c r="FS28" s="509">
        <f t="shared" si="56"/>
        <v>0</v>
      </c>
      <c r="FT28" s="510">
        <f t="shared" si="166"/>
        <v>0</v>
      </c>
      <c r="FU28" s="508"/>
      <c r="FV28" s="509">
        <f t="shared" si="57"/>
        <v>0</v>
      </c>
      <c r="FW28" s="510">
        <f t="shared" si="167"/>
        <v>0</v>
      </c>
      <c r="FX28" s="508"/>
      <c r="FY28" s="509">
        <f t="shared" si="58"/>
        <v>0</v>
      </c>
      <c r="FZ28" s="510">
        <f t="shared" si="168"/>
        <v>0</v>
      </c>
      <c r="GA28" s="508"/>
      <c r="GB28" s="509">
        <f t="shared" si="59"/>
        <v>0</v>
      </c>
      <c r="GC28" s="510">
        <f t="shared" si="169"/>
        <v>0</v>
      </c>
      <c r="GD28" s="508"/>
      <c r="GE28" s="509">
        <f t="shared" si="60"/>
        <v>0</v>
      </c>
      <c r="GF28" s="510">
        <f t="shared" si="170"/>
        <v>0</v>
      </c>
      <c r="GG28" s="508"/>
      <c r="GH28" s="509">
        <f t="shared" si="61"/>
        <v>0</v>
      </c>
      <c r="GI28" s="510">
        <f t="shared" si="171"/>
        <v>0</v>
      </c>
      <c r="GJ28" s="508"/>
      <c r="GK28" s="509">
        <f t="shared" si="62"/>
        <v>0</v>
      </c>
      <c r="GL28" s="510">
        <f t="shared" si="172"/>
        <v>0</v>
      </c>
      <c r="GM28" s="508"/>
      <c r="GN28" s="509">
        <f t="shared" si="63"/>
        <v>0</v>
      </c>
      <c r="GO28" s="510">
        <f t="shared" si="173"/>
        <v>0</v>
      </c>
      <c r="GP28" s="508"/>
      <c r="GQ28" s="509">
        <f t="shared" si="64"/>
        <v>0</v>
      </c>
      <c r="GR28" s="510">
        <f t="shared" si="174"/>
        <v>0</v>
      </c>
      <c r="GS28" s="508"/>
      <c r="GT28" s="509">
        <f t="shared" si="65"/>
        <v>0</v>
      </c>
      <c r="GU28" s="510">
        <f t="shared" si="175"/>
        <v>0</v>
      </c>
      <c r="GV28" s="508"/>
      <c r="GW28" s="509">
        <f t="shared" si="66"/>
        <v>0</v>
      </c>
      <c r="GX28" s="510">
        <f t="shared" si="176"/>
        <v>0</v>
      </c>
      <c r="GY28" s="508"/>
      <c r="GZ28" s="509">
        <f t="shared" si="67"/>
        <v>0</v>
      </c>
      <c r="HA28" s="510">
        <f t="shared" si="177"/>
        <v>0</v>
      </c>
      <c r="HB28" s="508"/>
      <c r="HC28" s="509">
        <f t="shared" si="68"/>
        <v>0</v>
      </c>
      <c r="HD28" s="510">
        <f t="shared" si="178"/>
        <v>0</v>
      </c>
      <c r="HE28" s="508"/>
      <c r="HF28" s="509">
        <f t="shared" si="69"/>
        <v>0</v>
      </c>
      <c r="HG28" s="510">
        <f t="shared" si="179"/>
        <v>0</v>
      </c>
      <c r="HH28" s="508"/>
      <c r="HI28" s="509">
        <f t="shared" si="70"/>
        <v>0</v>
      </c>
      <c r="HJ28" s="510">
        <f t="shared" si="180"/>
        <v>0</v>
      </c>
      <c r="HK28" s="508"/>
      <c r="HL28" s="509">
        <f t="shared" si="71"/>
        <v>0</v>
      </c>
      <c r="HM28" s="510">
        <f t="shared" si="181"/>
        <v>0</v>
      </c>
      <c r="HN28" s="508"/>
      <c r="HO28" s="509">
        <f t="shared" si="72"/>
        <v>0</v>
      </c>
      <c r="HP28" s="510">
        <f t="shared" si="182"/>
        <v>0</v>
      </c>
      <c r="HQ28" s="508"/>
      <c r="HR28" s="509">
        <f t="shared" si="73"/>
        <v>0</v>
      </c>
      <c r="HS28" s="510">
        <f t="shared" si="183"/>
        <v>0</v>
      </c>
      <c r="HT28" s="508"/>
      <c r="HU28" s="509">
        <f t="shared" si="74"/>
        <v>0</v>
      </c>
      <c r="HV28" s="510">
        <f t="shared" si="184"/>
        <v>0</v>
      </c>
      <c r="HW28" s="508"/>
      <c r="HX28" s="509">
        <f t="shared" si="75"/>
        <v>0</v>
      </c>
      <c r="HY28" s="510">
        <f t="shared" si="185"/>
        <v>0</v>
      </c>
      <c r="HZ28" s="508"/>
      <c r="IA28" s="509">
        <f t="shared" si="76"/>
        <v>0</v>
      </c>
      <c r="IB28" s="510">
        <f t="shared" si="186"/>
        <v>0</v>
      </c>
      <c r="IC28" s="508"/>
      <c r="ID28" s="509">
        <f t="shared" si="77"/>
        <v>0</v>
      </c>
      <c r="IE28" s="510">
        <f t="shared" si="187"/>
        <v>0</v>
      </c>
      <c r="IF28" s="508"/>
      <c r="IG28" s="509">
        <f t="shared" si="78"/>
        <v>0</v>
      </c>
      <c r="IH28" s="510">
        <f t="shared" si="188"/>
        <v>0</v>
      </c>
      <c r="II28" s="508"/>
      <c r="IJ28" s="509">
        <f t="shared" si="79"/>
        <v>0</v>
      </c>
      <c r="IK28" s="510">
        <f t="shared" si="189"/>
        <v>0</v>
      </c>
      <c r="IL28" s="508"/>
      <c r="IM28" s="509">
        <f t="shared" si="80"/>
        <v>0</v>
      </c>
      <c r="IN28" s="510">
        <f t="shared" si="190"/>
        <v>0</v>
      </c>
      <c r="IO28" s="508"/>
      <c r="IP28" s="509">
        <f t="shared" si="81"/>
        <v>0</v>
      </c>
      <c r="IQ28" s="510">
        <f t="shared" si="191"/>
        <v>0</v>
      </c>
      <c r="IR28" s="508">
        <v>60</v>
      </c>
      <c r="IS28" s="509">
        <f t="shared" si="82"/>
        <v>1.4638430760222505</v>
      </c>
      <c r="IT28" s="510">
        <f t="shared" si="192"/>
        <v>0</v>
      </c>
      <c r="IU28" s="508"/>
      <c r="IV28" s="509">
        <f t="shared" si="83"/>
        <v>0</v>
      </c>
      <c r="IW28" s="510">
        <f t="shared" si="193"/>
        <v>0</v>
      </c>
      <c r="IX28" s="508"/>
      <c r="IY28" s="509">
        <f t="shared" si="84"/>
        <v>0</v>
      </c>
      <c r="IZ28" s="510">
        <f t="shared" si="194"/>
        <v>0</v>
      </c>
      <c r="JA28" s="508"/>
      <c r="JB28" s="509">
        <f t="shared" si="85"/>
        <v>0</v>
      </c>
      <c r="JC28" s="510">
        <f t="shared" si="195"/>
        <v>0</v>
      </c>
      <c r="JD28" s="508"/>
      <c r="JE28" s="509">
        <f t="shared" si="86"/>
        <v>0</v>
      </c>
      <c r="JF28" s="510">
        <f t="shared" si="196"/>
        <v>0</v>
      </c>
      <c r="JG28" s="508"/>
      <c r="JH28" s="509">
        <f t="shared" si="87"/>
        <v>0</v>
      </c>
      <c r="JI28" s="510">
        <f t="shared" si="197"/>
        <v>0</v>
      </c>
      <c r="JJ28" s="508"/>
      <c r="JK28" s="510">
        <f t="shared" si="198"/>
        <v>0</v>
      </c>
      <c r="JL28" s="510" t="str">
        <f t="shared" si="88"/>
        <v>0</v>
      </c>
      <c r="JM28" s="508"/>
      <c r="JN28" s="510" t="str">
        <f t="shared" si="89"/>
        <v>0</v>
      </c>
      <c r="JO28" s="510" t="str">
        <f t="shared" si="90"/>
        <v>0</v>
      </c>
      <c r="JP28" s="508"/>
      <c r="JQ28" s="510" t="str">
        <f t="shared" si="91"/>
        <v>0</v>
      </c>
      <c r="JR28" s="510" t="str">
        <f t="shared" si="92"/>
        <v>0</v>
      </c>
      <c r="JS28" s="508"/>
      <c r="JT28" s="510" t="str">
        <f t="shared" si="93"/>
        <v>0</v>
      </c>
      <c r="JU28" s="510" t="str">
        <f t="shared" si="94"/>
        <v>0</v>
      </c>
      <c r="JV28" s="508"/>
      <c r="JW28" s="510" t="str">
        <f t="shared" si="95"/>
        <v>0</v>
      </c>
      <c r="JX28" s="510" t="str">
        <f t="shared" si="96"/>
        <v>0</v>
      </c>
      <c r="JY28" s="508"/>
      <c r="JZ28" s="510" t="str">
        <f t="shared" si="97"/>
        <v>0</v>
      </c>
      <c r="KA28" s="510" t="str">
        <f t="shared" si="98"/>
        <v>0</v>
      </c>
      <c r="KB28" s="508"/>
      <c r="KC28" s="510" t="str">
        <f t="shared" si="99"/>
        <v>0</v>
      </c>
      <c r="KD28" s="510" t="str">
        <f t="shared" si="100"/>
        <v>0</v>
      </c>
      <c r="KE28" s="508"/>
      <c r="KF28" s="510" t="str">
        <f t="shared" si="101"/>
        <v>0</v>
      </c>
      <c r="KG28" s="510" t="str">
        <f t="shared" si="102"/>
        <v>0</v>
      </c>
      <c r="KH28" s="508"/>
      <c r="KI28" s="510" t="str">
        <f t="shared" si="103"/>
        <v>0</v>
      </c>
      <c r="KJ28" s="510" t="str">
        <f t="shared" si="104"/>
        <v>0</v>
      </c>
      <c r="KK28" s="508"/>
      <c r="KL28" s="510" t="str">
        <f t="shared" si="105"/>
        <v>0</v>
      </c>
      <c r="KM28" s="510" t="str">
        <f t="shared" si="106"/>
        <v>0</v>
      </c>
      <c r="KN28" s="508"/>
      <c r="KO28" s="510" t="str">
        <f t="shared" si="107"/>
        <v>0</v>
      </c>
      <c r="KP28" s="510" t="str">
        <f t="shared" si="108"/>
        <v>0</v>
      </c>
      <c r="KQ28" s="508"/>
      <c r="KR28" s="510" t="str">
        <f t="shared" si="109"/>
        <v>0</v>
      </c>
      <c r="KS28" s="510" t="str">
        <f t="shared" si="110"/>
        <v>0</v>
      </c>
      <c r="KT28" s="510">
        <f t="shared" si="201"/>
        <v>0</v>
      </c>
      <c r="KU28" s="510">
        <f t="shared" si="202"/>
        <v>0</v>
      </c>
      <c r="KV28" s="261">
        <f t="shared" si="199"/>
        <v>657.69257755796389</v>
      </c>
    </row>
    <row r="29" spans="1:308" ht="15" customHeight="1">
      <c r="A29" s="467">
        <f t="shared" si="200"/>
        <v>45858</v>
      </c>
      <c r="B29" s="468" t="str">
        <f>+Report1!B28</f>
        <v>Facial</v>
      </c>
      <c r="C29" s="469" t="str">
        <f>+Report1!C28</f>
        <v>12</v>
      </c>
      <c r="D29" s="470">
        <f>+Report1!P28</f>
        <v>44.707000000000001</v>
      </c>
      <c r="E29" s="471">
        <f>+Report1!R28</f>
        <v>46.920999999999999</v>
      </c>
      <c r="F29" s="508"/>
      <c r="G29" s="509">
        <f t="shared" si="0"/>
        <v>0</v>
      </c>
      <c r="H29" s="510">
        <f t="shared" si="111"/>
        <v>0</v>
      </c>
      <c r="I29" s="508">
        <v>446.34607906976748</v>
      </c>
      <c r="J29" s="509">
        <f t="shared" si="1"/>
        <v>9.5127145429502242</v>
      </c>
      <c r="K29" s="510">
        <f t="shared" si="112"/>
        <v>0</v>
      </c>
      <c r="L29" s="508"/>
      <c r="M29" s="509">
        <f t="shared" si="2"/>
        <v>0</v>
      </c>
      <c r="N29" s="510">
        <f t="shared" si="113"/>
        <v>0</v>
      </c>
      <c r="O29" s="508">
        <v>24</v>
      </c>
      <c r="P29" s="509">
        <f t="shared" si="3"/>
        <v>0.51149804991368475</v>
      </c>
      <c r="Q29" s="510">
        <f t="shared" si="114"/>
        <v>0</v>
      </c>
      <c r="R29" s="508">
        <v>7.6874999999999716</v>
      </c>
      <c r="S29" s="509">
        <f t="shared" si="4"/>
        <v>0.16383921911297653</v>
      </c>
      <c r="T29" s="510">
        <f t="shared" si="115"/>
        <v>0</v>
      </c>
      <c r="U29" s="508">
        <v>3.125</v>
      </c>
      <c r="V29" s="509">
        <f t="shared" si="5"/>
        <v>6.6601308582511023E-2</v>
      </c>
      <c r="W29" s="510">
        <f t="shared" si="116"/>
        <v>0</v>
      </c>
      <c r="X29" s="508"/>
      <c r="Y29" s="509">
        <f t="shared" si="6"/>
        <v>0</v>
      </c>
      <c r="Z29" s="510">
        <f t="shared" si="117"/>
        <v>0</v>
      </c>
      <c r="AA29" s="508"/>
      <c r="AB29" s="509">
        <f t="shared" si="7"/>
        <v>0</v>
      </c>
      <c r="AC29" s="510">
        <f t="shared" si="118"/>
        <v>0</v>
      </c>
      <c r="AD29" s="508"/>
      <c r="AE29" s="509">
        <f t="shared" si="8"/>
        <v>0</v>
      </c>
      <c r="AF29" s="510">
        <f t="shared" si="119"/>
        <v>0</v>
      </c>
      <c r="AG29" s="508"/>
      <c r="AH29" s="509">
        <f t="shared" si="9"/>
        <v>0</v>
      </c>
      <c r="AI29" s="510">
        <f t="shared" si="120"/>
        <v>0</v>
      </c>
      <c r="AJ29" s="508"/>
      <c r="AK29" s="509">
        <f t="shared" si="10"/>
        <v>0</v>
      </c>
      <c r="AL29" s="510">
        <f t="shared" si="121"/>
        <v>0</v>
      </c>
      <c r="AM29" s="508">
        <v>44.679487179487182</v>
      </c>
      <c r="AN29" s="509">
        <f t="shared" si="11"/>
        <v>0.95222794014379875</v>
      </c>
      <c r="AO29" s="510">
        <f t="shared" si="122"/>
        <v>0</v>
      </c>
      <c r="AP29" s="508"/>
      <c r="AQ29" s="509">
        <f t="shared" si="12"/>
        <v>0</v>
      </c>
      <c r="AR29" s="510">
        <f t="shared" si="123"/>
        <v>0</v>
      </c>
      <c r="AS29" s="508"/>
      <c r="AT29" s="509">
        <f t="shared" si="13"/>
        <v>0</v>
      </c>
      <c r="AU29" s="510">
        <f t="shared" si="124"/>
        <v>0</v>
      </c>
      <c r="AV29" s="508">
        <v>11.099999999999966</v>
      </c>
      <c r="AW29" s="509">
        <f t="shared" si="14"/>
        <v>0.23656784808507844</v>
      </c>
      <c r="AX29" s="510">
        <f t="shared" si="125"/>
        <v>0</v>
      </c>
      <c r="AY29" s="508">
        <v>49.330399999999997</v>
      </c>
      <c r="AZ29" s="509">
        <f t="shared" si="15"/>
        <v>1.0513501417275846</v>
      </c>
      <c r="BA29" s="510">
        <f t="shared" si="126"/>
        <v>0</v>
      </c>
      <c r="BB29" s="508"/>
      <c r="BC29" s="509">
        <f t="shared" si="16"/>
        <v>0</v>
      </c>
      <c r="BD29" s="510">
        <f t="shared" si="127"/>
        <v>0</v>
      </c>
      <c r="BE29" s="508"/>
      <c r="BF29" s="509">
        <f t="shared" si="17"/>
        <v>0</v>
      </c>
      <c r="BG29" s="510">
        <f t="shared" si="128"/>
        <v>0</v>
      </c>
      <c r="BH29" s="508"/>
      <c r="BI29" s="509">
        <f t="shared" si="18"/>
        <v>0</v>
      </c>
      <c r="BJ29" s="510">
        <f t="shared" si="129"/>
        <v>0</v>
      </c>
      <c r="BK29" s="508"/>
      <c r="BL29" s="509">
        <f t="shared" si="19"/>
        <v>0</v>
      </c>
      <c r="BM29" s="510">
        <f t="shared" si="130"/>
        <v>0</v>
      </c>
      <c r="BN29" s="508"/>
      <c r="BO29" s="509">
        <f t="shared" si="20"/>
        <v>0</v>
      </c>
      <c r="BP29" s="510">
        <f t="shared" si="131"/>
        <v>0</v>
      </c>
      <c r="BQ29" s="508"/>
      <c r="BR29" s="509">
        <f t="shared" si="21"/>
        <v>0</v>
      </c>
      <c r="BS29" s="510">
        <f t="shared" si="132"/>
        <v>0</v>
      </c>
      <c r="BT29" s="508"/>
      <c r="BU29" s="509">
        <f t="shared" si="22"/>
        <v>0</v>
      </c>
      <c r="BV29" s="510">
        <f t="shared" si="133"/>
        <v>0</v>
      </c>
      <c r="BW29" s="508"/>
      <c r="BX29" s="509">
        <f t="shared" si="23"/>
        <v>0</v>
      </c>
      <c r="BY29" s="510">
        <f t="shared" si="134"/>
        <v>0</v>
      </c>
      <c r="BZ29" s="508"/>
      <c r="CA29" s="509">
        <f t="shared" si="24"/>
        <v>0</v>
      </c>
      <c r="CB29" s="510">
        <f t="shared" si="135"/>
        <v>0</v>
      </c>
      <c r="CC29" s="508"/>
      <c r="CD29" s="509">
        <f t="shared" si="25"/>
        <v>0</v>
      </c>
      <c r="CE29" s="510">
        <f t="shared" si="136"/>
        <v>0</v>
      </c>
      <c r="CF29" s="508">
        <v>10</v>
      </c>
      <c r="CG29" s="509">
        <f t="shared" si="26"/>
        <v>0.2131241874640353</v>
      </c>
      <c r="CH29" s="510">
        <f t="shared" si="137"/>
        <v>0</v>
      </c>
      <c r="CI29" s="508"/>
      <c r="CJ29" s="509">
        <f t="shared" si="27"/>
        <v>0</v>
      </c>
      <c r="CK29" s="510">
        <f t="shared" si="138"/>
        <v>0</v>
      </c>
      <c r="CL29" s="508"/>
      <c r="CM29" s="509">
        <f t="shared" si="28"/>
        <v>0</v>
      </c>
      <c r="CN29" s="510">
        <f t="shared" si="139"/>
        <v>0</v>
      </c>
      <c r="CO29" s="508"/>
      <c r="CP29" s="509">
        <f t="shared" si="29"/>
        <v>0</v>
      </c>
      <c r="CQ29" s="510">
        <f t="shared" si="140"/>
        <v>0</v>
      </c>
      <c r="CR29" s="508"/>
      <c r="CS29" s="509">
        <f t="shared" si="30"/>
        <v>0</v>
      </c>
      <c r="CT29" s="510">
        <f t="shared" si="141"/>
        <v>0</v>
      </c>
      <c r="CU29" s="508"/>
      <c r="CV29" s="509">
        <f t="shared" si="31"/>
        <v>0</v>
      </c>
      <c r="CW29" s="510">
        <f t="shared" si="142"/>
        <v>0</v>
      </c>
      <c r="CX29" s="508"/>
      <c r="CY29" s="509">
        <f t="shared" si="32"/>
        <v>0</v>
      </c>
      <c r="CZ29" s="510">
        <f t="shared" si="143"/>
        <v>0</v>
      </c>
      <c r="DA29" s="508"/>
      <c r="DB29" s="509">
        <f t="shared" si="33"/>
        <v>0</v>
      </c>
      <c r="DC29" s="510">
        <f t="shared" si="144"/>
        <v>0</v>
      </c>
      <c r="DD29" s="508"/>
      <c r="DE29" s="509">
        <f t="shared" si="34"/>
        <v>0</v>
      </c>
      <c r="DF29" s="510">
        <f t="shared" si="145"/>
        <v>0</v>
      </c>
      <c r="DG29" s="508"/>
      <c r="DH29" s="509">
        <f t="shared" si="35"/>
        <v>0</v>
      </c>
      <c r="DI29" s="510">
        <f t="shared" si="203"/>
        <v>0</v>
      </c>
      <c r="DJ29" s="508"/>
      <c r="DK29" s="509">
        <f t="shared" si="36"/>
        <v>0</v>
      </c>
      <c r="DL29" s="510">
        <f t="shared" si="146"/>
        <v>0</v>
      </c>
      <c r="DM29" s="508"/>
      <c r="DN29" s="509">
        <f t="shared" si="37"/>
        <v>0</v>
      </c>
      <c r="DO29" s="510">
        <f t="shared" si="147"/>
        <v>0</v>
      </c>
      <c r="DP29" s="508"/>
      <c r="DQ29" s="509">
        <f t="shared" si="38"/>
        <v>0</v>
      </c>
      <c r="DR29" s="510">
        <f t="shared" si="148"/>
        <v>0</v>
      </c>
      <c r="DS29" s="508"/>
      <c r="DT29" s="509">
        <f t="shared" si="39"/>
        <v>0</v>
      </c>
      <c r="DU29" s="510">
        <f t="shared" si="149"/>
        <v>0</v>
      </c>
      <c r="DV29" s="508"/>
      <c r="DW29" s="509">
        <f t="shared" si="40"/>
        <v>0</v>
      </c>
      <c r="DX29" s="510">
        <f t="shared" si="150"/>
        <v>0</v>
      </c>
      <c r="DY29" s="508"/>
      <c r="DZ29" s="509">
        <f t="shared" si="41"/>
        <v>0</v>
      </c>
      <c r="EA29" s="510">
        <f t="shared" si="151"/>
        <v>0</v>
      </c>
      <c r="EB29" s="508">
        <v>46.964705882352916</v>
      </c>
      <c r="EC29" s="509">
        <f t="shared" si="42"/>
        <v>1.0009314780663865</v>
      </c>
      <c r="ED29" s="510">
        <f t="shared" si="152"/>
        <v>0</v>
      </c>
      <c r="EE29" s="508">
        <v>14.534883720930225</v>
      </c>
      <c r="EF29" s="509">
        <f t="shared" si="43"/>
        <v>0.30977352829074883</v>
      </c>
      <c r="EG29" s="510">
        <f t="shared" si="153"/>
        <v>0</v>
      </c>
      <c r="EH29" s="508"/>
      <c r="EI29" s="509">
        <f t="shared" si="44"/>
        <v>0</v>
      </c>
      <c r="EJ29" s="510">
        <f t="shared" si="154"/>
        <v>0</v>
      </c>
      <c r="EK29" s="508"/>
      <c r="EL29" s="509">
        <f t="shared" si="45"/>
        <v>0</v>
      </c>
      <c r="EM29" s="510">
        <f t="shared" si="155"/>
        <v>0</v>
      </c>
      <c r="EN29" s="508"/>
      <c r="EO29" s="509">
        <f t="shared" si="46"/>
        <v>0</v>
      </c>
      <c r="EP29" s="510">
        <f t="shared" si="156"/>
        <v>0</v>
      </c>
      <c r="EQ29" s="508"/>
      <c r="ER29" s="509">
        <f t="shared" si="47"/>
        <v>0</v>
      </c>
      <c r="ES29" s="510">
        <f t="shared" si="157"/>
        <v>0</v>
      </c>
      <c r="ET29" s="508"/>
      <c r="EU29" s="509">
        <f t="shared" si="48"/>
        <v>0</v>
      </c>
      <c r="EV29" s="510">
        <f t="shared" si="158"/>
        <v>0</v>
      </c>
      <c r="EW29" s="508"/>
      <c r="EX29" s="509">
        <f t="shared" si="49"/>
        <v>0</v>
      </c>
      <c r="EY29" s="510">
        <f t="shared" si="159"/>
        <v>0</v>
      </c>
      <c r="EZ29" s="508"/>
      <c r="FA29" s="509">
        <f t="shared" si="50"/>
        <v>0</v>
      </c>
      <c r="FB29" s="510">
        <f t="shared" si="160"/>
        <v>0</v>
      </c>
      <c r="FC29" s="508"/>
      <c r="FD29" s="509">
        <f t="shared" si="51"/>
        <v>0</v>
      </c>
      <c r="FE29" s="510">
        <f t="shared" si="161"/>
        <v>0</v>
      </c>
      <c r="FF29" s="508"/>
      <c r="FG29" s="509">
        <f t="shared" si="52"/>
        <v>0</v>
      </c>
      <c r="FH29" s="510">
        <f t="shared" si="162"/>
        <v>0</v>
      </c>
      <c r="FI29" s="508"/>
      <c r="FJ29" s="509">
        <f t="shared" si="53"/>
        <v>0</v>
      </c>
      <c r="FK29" s="510">
        <f t="shared" si="163"/>
        <v>0</v>
      </c>
      <c r="FL29" s="508"/>
      <c r="FM29" s="509">
        <f t="shared" si="54"/>
        <v>0</v>
      </c>
      <c r="FN29" s="510">
        <f t="shared" si="164"/>
        <v>0</v>
      </c>
      <c r="FO29" s="508"/>
      <c r="FP29" s="509">
        <f t="shared" si="55"/>
        <v>0</v>
      </c>
      <c r="FQ29" s="510">
        <f t="shared" si="165"/>
        <v>0</v>
      </c>
      <c r="FR29" s="508"/>
      <c r="FS29" s="509">
        <f t="shared" si="56"/>
        <v>0</v>
      </c>
      <c r="FT29" s="510">
        <f t="shared" si="166"/>
        <v>0</v>
      </c>
      <c r="FU29" s="508"/>
      <c r="FV29" s="509">
        <f t="shared" si="57"/>
        <v>0</v>
      </c>
      <c r="FW29" s="510">
        <f t="shared" si="167"/>
        <v>0</v>
      </c>
      <c r="FX29" s="508"/>
      <c r="FY29" s="509">
        <f t="shared" si="58"/>
        <v>0</v>
      </c>
      <c r="FZ29" s="510">
        <f t="shared" si="168"/>
        <v>0</v>
      </c>
      <c r="GA29" s="508"/>
      <c r="GB29" s="509">
        <f t="shared" si="59"/>
        <v>0</v>
      </c>
      <c r="GC29" s="510">
        <f t="shared" si="169"/>
        <v>0</v>
      </c>
      <c r="GD29" s="508"/>
      <c r="GE29" s="509">
        <f t="shared" si="60"/>
        <v>0</v>
      </c>
      <c r="GF29" s="510">
        <f t="shared" si="170"/>
        <v>0</v>
      </c>
      <c r="GG29" s="508"/>
      <c r="GH29" s="509">
        <f t="shared" si="61"/>
        <v>0</v>
      </c>
      <c r="GI29" s="510">
        <f t="shared" si="171"/>
        <v>0</v>
      </c>
      <c r="GJ29" s="508"/>
      <c r="GK29" s="509">
        <f t="shared" si="62"/>
        <v>0</v>
      </c>
      <c r="GL29" s="510">
        <f t="shared" si="172"/>
        <v>0</v>
      </c>
      <c r="GM29" s="508"/>
      <c r="GN29" s="509">
        <f t="shared" si="63"/>
        <v>0</v>
      </c>
      <c r="GO29" s="510">
        <f t="shared" si="173"/>
        <v>0</v>
      </c>
      <c r="GP29" s="508"/>
      <c r="GQ29" s="509">
        <f t="shared" si="64"/>
        <v>0</v>
      </c>
      <c r="GR29" s="510">
        <f t="shared" si="174"/>
        <v>0</v>
      </c>
      <c r="GS29" s="508"/>
      <c r="GT29" s="509">
        <f t="shared" si="65"/>
        <v>0</v>
      </c>
      <c r="GU29" s="510">
        <f t="shared" si="175"/>
        <v>0</v>
      </c>
      <c r="GV29" s="508"/>
      <c r="GW29" s="509">
        <f t="shared" si="66"/>
        <v>0</v>
      </c>
      <c r="GX29" s="510">
        <f t="shared" si="176"/>
        <v>0</v>
      </c>
      <c r="GY29" s="508"/>
      <c r="GZ29" s="509">
        <f t="shared" si="67"/>
        <v>0</v>
      </c>
      <c r="HA29" s="510">
        <f t="shared" si="177"/>
        <v>0</v>
      </c>
      <c r="HB29" s="508"/>
      <c r="HC29" s="509">
        <f t="shared" si="68"/>
        <v>0</v>
      </c>
      <c r="HD29" s="510">
        <f t="shared" si="178"/>
        <v>0</v>
      </c>
      <c r="HE29" s="508"/>
      <c r="HF29" s="509">
        <f t="shared" si="69"/>
        <v>0</v>
      </c>
      <c r="HG29" s="510">
        <f t="shared" si="179"/>
        <v>0</v>
      </c>
      <c r="HH29" s="508"/>
      <c r="HI29" s="509">
        <f t="shared" si="70"/>
        <v>0</v>
      </c>
      <c r="HJ29" s="510">
        <f t="shared" si="180"/>
        <v>0</v>
      </c>
      <c r="HK29" s="508"/>
      <c r="HL29" s="509">
        <f t="shared" si="71"/>
        <v>0</v>
      </c>
      <c r="HM29" s="510">
        <f t="shared" si="181"/>
        <v>0</v>
      </c>
      <c r="HN29" s="508"/>
      <c r="HO29" s="509">
        <f t="shared" si="72"/>
        <v>0</v>
      </c>
      <c r="HP29" s="510">
        <f t="shared" si="182"/>
        <v>0</v>
      </c>
      <c r="HQ29" s="508"/>
      <c r="HR29" s="509">
        <f t="shared" si="73"/>
        <v>0</v>
      </c>
      <c r="HS29" s="510">
        <f t="shared" si="183"/>
        <v>0</v>
      </c>
      <c r="HT29" s="508"/>
      <c r="HU29" s="509">
        <f t="shared" si="74"/>
        <v>0</v>
      </c>
      <c r="HV29" s="510">
        <f t="shared" si="184"/>
        <v>0</v>
      </c>
      <c r="HW29" s="508"/>
      <c r="HX29" s="509">
        <f t="shared" si="75"/>
        <v>0</v>
      </c>
      <c r="HY29" s="510">
        <f t="shared" si="185"/>
        <v>0</v>
      </c>
      <c r="HZ29" s="508"/>
      <c r="IA29" s="509">
        <f t="shared" si="76"/>
        <v>0</v>
      </c>
      <c r="IB29" s="510">
        <f t="shared" si="186"/>
        <v>0</v>
      </c>
      <c r="IC29" s="508"/>
      <c r="ID29" s="509">
        <f t="shared" si="77"/>
        <v>0</v>
      </c>
      <c r="IE29" s="510">
        <f t="shared" si="187"/>
        <v>0</v>
      </c>
      <c r="IF29" s="508"/>
      <c r="IG29" s="509">
        <f t="shared" si="78"/>
        <v>0</v>
      </c>
      <c r="IH29" s="510">
        <f t="shared" si="188"/>
        <v>0</v>
      </c>
      <c r="II29" s="508"/>
      <c r="IJ29" s="509">
        <f t="shared" si="79"/>
        <v>0</v>
      </c>
      <c r="IK29" s="510">
        <f t="shared" si="189"/>
        <v>0</v>
      </c>
      <c r="IL29" s="508"/>
      <c r="IM29" s="509">
        <f t="shared" si="80"/>
        <v>0</v>
      </c>
      <c r="IN29" s="510">
        <f t="shared" si="190"/>
        <v>0</v>
      </c>
      <c r="IO29" s="508"/>
      <c r="IP29" s="509">
        <f t="shared" si="81"/>
        <v>0</v>
      </c>
      <c r="IQ29" s="510">
        <f t="shared" si="191"/>
        <v>0</v>
      </c>
      <c r="IR29" s="508">
        <v>60</v>
      </c>
      <c r="IS29" s="509">
        <f t="shared" si="82"/>
        <v>1.2787451247842119</v>
      </c>
      <c r="IT29" s="510">
        <f t="shared" si="192"/>
        <v>0</v>
      </c>
      <c r="IU29" s="508"/>
      <c r="IV29" s="509">
        <f t="shared" si="83"/>
        <v>0</v>
      </c>
      <c r="IW29" s="510">
        <f t="shared" si="193"/>
        <v>0</v>
      </c>
      <c r="IX29" s="508"/>
      <c r="IY29" s="509">
        <f t="shared" si="84"/>
        <v>0</v>
      </c>
      <c r="IZ29" s="510">
        <f t="shared" si="194"/>
        <v>0</v>
      </c>
      <c r="JA29" s="508"/>
      <c r="JB29" s="509">
        <f t="shared" si="85"/>
        <v>0</v>
      </c>
      <c r="JC29" s="510">
        <f t="shared" si="195"/>
        <v>0</v>
      </c>
      <c r="JD29" s="508"/>
      <c r="JE29" s="509">
        <f t="shared" si="86"/>
        <v>0</v>
      </c>
      <c r="JF29" s="510">
        <f t="shared" si="196"/>
        <v>0</v>
      </c>
      <c r="JG29" s="508"/>
      <c r="JH29" s="509">
        <f t="shared" si="87"/>
        <v>0</v>
      </c>
      <c r="JI29" s="510">
        <f t="shared" si="197"/>
        <v>0</v>
      </c>
      <c r="JJ29" s="508"/>
      <c r="JK29" s="510">
        <f t="shared" si="198"/>
        <v>0</v>
      </c>
      <c r="JL29" s="510" t="str">
        <f t="shared" si="88"/>
        <v>0</v>
      </c>
      <c r="JM29" s="508"/>
      <c r="JN29" s="510" t="str">
        <f t="shared" si="89"/>
        <v>0</v>
      </c>
      <c r="JO29" s="510" t="str">
        <f t="shared" si="90"/>
        <v>0</v>
      </c>
      <c r="JP29" s="508"/>
      <c r="JQ29" s="510" t="str">
        <f t="shared" si="91"/>
        <v>0</v>
      </c>
      <c r="JR29" s="510" t="str">
        <f t="shared" si="92"/>
        <v>0</v>
      </c>
      <c r="JS29" s="508"/>
      <c r="JT29" s="510" t="str">
        <f t="shared" si="93"/>
        <v>0</v>
      </c>
      <c r="JU29" s="510" t="str">
        <f t="shared" si="94"/>
        <v>0</v>
      </c>
      <c r="JV29" s="508"/>
      <c r="JW29" s="510" t="str">
        <f t="shared" si="95"/>
        <v>0</v>
      </c>
      <c r="JX29" s="510" t="str">
        <f t="shared" si="96"/>
        <v>0</v>
      </c>
      <c r="JY29" s="508"/>
      <c r="JZ29" s="510" t="str">
        <f t="shared" si="97"/>
        <v>0</v>
      </c>
      <c r="KA29" s="510" t="str">
        <f t="shared" si="98"/>
        <v>0</v>
      </c>
      <c r="KB29" s="508"/>
      <c r="KC29" s="510" t="str">
        <f t="shared" si="99"/>
        <v>0</v>
      </c>
      <c r="KD29" s="510" t="str">
        <f t="shared" si="100"/>
        <v>0</v>
      </c>
      <c r="KE29" s="508"/>
      <c r="KF29" s="510" t="str">
        <f t="shared" si="101"/>
        <v>0</v>
      </c>
      <c r="KG29" s="510" t="str">
        <f t="shared" si="102"/>
        <v>0</v>
      </c>
      <c r="KH29" s="508"/>
      <c r="KI29" s="510" t="str">
        <f t="shared" si="103"/>
        <v>0</v>
      </c>
      <c r="KJ29" s="510" t="str">
        <f t="shared" si="104"/>
        <v>0</v>
      </c>
      <c r="KK29" s="508"/>
      <c r="KL29" s="510" t="str">
        <f t="shared" si="105"/>
        <v>0</v>
      </c>
      <c r="KM29" s="510" t="str">
        <f t="shared" si="106"/>
        <v>0</v>
      </c>
      <c r="KN29" s="508"/>
      <c r="KO29" s="510" t="str">
        <f t="shared" si="107"/>
        <v>0</v>
      </c>
      <c r="KP29" s="510" t="str">
        <f t="shared" si="108"/>
        <v>0</v>
      </c>
      <c r="KQ29" s="508"/>
      <c r="KR29" s="510" t="str">
        <f t="shared" si="109"/>
        <v>0</v>
      </c>
      <c r="KS29" s="510" t="str">
        <f t="shared" si="110"/>
        <v>0</v>
      </c>
      <c r="KT29" s="510">
        <f t="shared" si="201"/>
        <v>0</v>
      </c>
      <c r="KU29" s="510">
        <f t="shared" si="202"/>
        <v>0</v>
      </c>
      <c r="KV29" s="261">
        <f t="shared" si="199"/>
        <v>717.76805585253794</v>
      </c>
    </row>
    <row r="30" spans="1:308" ht="15" customHeight="1">
      <c r="A30" s="467">
        <f t="shared" si="200"/>
        <v>45859</v>
      </c>
      <c r="B30" s="468" t="str">
        <f>+Report1!B29</f>
        <v>Facial</v>
      </c>
      <c r="C30" s="469" t="str">
        <f>+Report1!C29</f>
        <v>12</v>
      </c>
      <c r="D30" s="470">
        <f>+Report1!P29</f>
        <v>46.042000000000002</v>
      </c>
      <c r="E30" s="471">
        <f>+Report1!R29</f>
        <v>45.506999999999998</v>
      </c>
      <c r="F30" s="508"/>
      <c r="G30" s="509">
        <f t="shared" si="0"/>
        <v>0</v>
      </c>
      <c r="H30" s="510">
        <f t="shared" si="111"/>
        <v>0</v>
      </c>
      <c r="I30" s="508">
        <v>348.83720930232562</v>
      </c>
      <c r="J30" s="509">
        <f t="shared" si="1"/>
        <v>7.6655725339469889</v>
      </c>
      <c r="K30" s="510">
        <f t="shared" si="112"/>
        <v>0</v>
      </c>
      <c r="L30" s="508"/>
      <c r="M30" s="509">
        <f t="shared" si="2"/>
        <v>0</v>
      </c>
      <c r="N30" s="510">
        <f t="shared" si="113"/>
        <v>0</v>
      </c>
      <c r="O30" s="508">
        <v>24</v>
      </c>
      <c r="P30" s="509">
        <f t="shared" si="3"/>
        <v>0.52739139033555282</v>
      </c>
      <c r="Q30" s="510">
        <f t="shared" si="114"/>
        <v>0</v>
      </c>
      <c r="R30" s="508">
        <v>10.250000000000028</v>
      </c>
      <c r="S30" s="509">
        <f t="shared" si="4"/>
        <v>0.22524007295580964</v>
      </c>
      <c r="T30" s="510">
        <f t="shared" si="115"/>
        <v>0</v>
      </c>
      <c r="U30" s="508">
        <v>4.6875</v>
      </c>
      <c r="V30" s="509">
        <f t="shared" si="5"/>
        <v>0.10300613092491266</v>
      </c>
      <c r="W30" s="510">
        <f t="shared" si="116"/>
        <v>0</v>
      </c>
      <c r="X30" s="508"/>
      <c r="Y30" s="509">
        <f t="shared" si="6"/>
        <v>0</v>
      </c>
      <c r="Z30" s="510">
        <f t="shared" si="117"/>
        <v>0</v>
      </c>
      <c r="AA30" s="508"/>
      <c r="AB30" s="509">
        <f t="shared" si="7"/>
        <v>0</v>
      </c>
      <c r="AC30" s="510">
        <f t="shared" si="118"/>
        <v>0</v>
      </c>
      <c r="AD30" s="508"/>
      <c r="AE30" s="509">
        <f t="shared" si="8"/>
        <v>0</v>
      </c>
      <c r="AF30" s="510">
        <f t="shared" si="119"/>
        <v>0</v>
      </c>
      <c r="AG30" s="508"/>
      <c r="AH30" s="509">
        <f t="shared" si="9"/>
        <v>0</v>
      </c>
      <c r="AI30" s="510">
        <f t="shared" si="120"/>
        <v>0</v>
      </c>
      <c r="AJ30" s="508"/>
      <c r="AK30" s="509">
        <f t="shared" si="10"/>
        <v>0</v>
      </c>
      <c r="AL30" s="510">
        <f t="shared" si="121"/>
        <v>0</v>
      </c>
      <c r="AM30" s="508">
        <v>52.564102564102598</v>
      </c>
      <c r="AN30" s="509">
        <f t="shared" si="11"/>
        <v>1.1550772972092778</v>
      </c>
      <c r="AO30" s="510">
        <f t="shared" si="122"/>
        <v>0</v>
      </c>
      <c r="AP30" s="508"/>
      <c r="AQ30" s="509">
        <f t="shared" si="12"/>
        <v>0</v>
      </c>
      <c r="AR30" s="510">
        <f t="shared" si="123"/>
        <v>0</v>
      </c>
      <c r="AS30" s="508"/>
      <c r="AT30" s="509">
        <f t="shared" si="13"/>
        <v>0</v>
      </c>
      <c r="AU30" s="510">
        <f t="shared" si="124"/>
        <v>0</v>
      </c>
      <c r="AV30" s="508">
        <v>11.099999999999994</v>
      </c>
      <c r="AW30" s="509">
        <f t="shared" si="14"/>
        <v>0.24391851803019304</v>
      </c>
      <c r="AX30" s="510">
        <f t="shared" si="125"/>
        <v>0</v>
      </c>
      <c r="AY30" s="508">
        <v>67.671066666666746</v>
      </c>
      <c r="AZ30" s="509">
        <f t="shared" si="15"/>
        <v>1.4870474139509691</v>
      </c>
      <c r="BA30" s="510">
        <f t="shared" si="126"/>
        <v>0</v>
      </c>
      <c r="BB30" s="508"/>
      <c r="BC30" s="509">
        <f t="shared" si="16"/>
        <v>0</v>
      </c>
      <c r="BD30" s="510">
        <f t="shared" si="127"/>
        <v>0</v>
      </c>
      <c r="BE30" s="508"/>
      <c r="BF30" s="509">
        <f t="shared" si="17"/>
        <v>0</v>
      </c>
      <c r="BG30" s="510">
        <f t="shared" si="128"/>
        <v>0</v>
      </c>
      <c r="BH30" s="508"/>
      <c r="BI30" s="509">
        <f t="shared" si="18"/>
        <v>0</v>
      </c>
      <c r="BJ30" s="510">
        <f t="shared" si="129"/>
        <v>0</v>
      </c>
      <c r="BK30" s="508"/>
      <c r="BL30" s="509">
        <f t="shared" si="19"/>
        <v>0</v>
      </c>
      <c r="BM30" s="510">
        <f t="shared" si="130"/>
        <v>0</v>
      </c>
      <c r="BN30" s="508"/>
      <c r="BO30" s="509">
        <f t="shared" si="20"/>
        <v>0</v>
      </c>
      <c r="BP30" s="510">
        <f t="shared" si="131"/>
        <v>0</v>
      </c>
      <c r="BQ30" s="508"/>
      <c r="BR30" s="509">
        <f t="shared" si="21"/>
        <v>0</v>
      </c>
      <c r="BS30" s="510">
        <f t="shared" si="132"/>
        <v>0</v>
      </c>
      <c r="BT30" s="508"/>
      <c r="BU30" s="509">
        <f t="shared" si="22"/>
        <v>0</v>
      </c>
      <c r="BV30" s="510">
        <f t="shared" si="133"/>
        <v>0</v>
      </c>
      <c r="BW30" s="508"/>
      <c r="BX30" s="509">
        <f t="shared" si="23"/>
        <v>0</v>
      </c>
      <c r="BY30" s="510">
        <f t="shared" si="134"/>
        <v>0</v>
      </c>
      <c r="BZ30" s="508"/>
      <c r="CA30" s="509">
        <f t="shared" si="24"/>
        <v>0</v>
      </c>
      <c r="CB30" s="510">
        <f t="shared" si="135"/>
        <v>0</v>
      </c>
      <c r="CC30" s="508"/>
      <c r="CD30" s="509">
        <f t="shared" si="25"/>
        <v>0</v>
      </c>
      <c r="CE30" s="510">
        <f t="shared" si="136"/>
        <v>0</v>
      </c>
      <c r="CF30" s="508">
        <v>6.3</v>
      </c>
      <c r="CG30" s="509">
        <f t="shared" si="26"/>
        <v>0.13844023996308261</v>
      </c>
      <c r="CH30" s="510">
        <f t="shared" si="137"/>
        <v>0</v>
      </c>
      <c r="CI30" s="508"/>
      <c r="CJ30" s="509">
        <f t="shared" si="27"/>
        <v>0</v>
      </c>
      <c r="CK30" s="510">
        <f t="shared" si="138"/>
        <v>0</v>
      </c>
      <c r="CL30" s="508"/>
      <c r="CM30" s="509">
        <f t="shared" si="28"/>
        <v>0</v>
      </c>
      <c r="CN30" s="510">
        <f t="shared" si="139"/>
        <v>0</v>
      </c>
      <c r="CO30" s="508"/>
      <c r="CP30" s="509">
        <f t="shared" si="29"/>
        <v>0</v>
      </c>
      <c r="CQ30" s="510">
        <f t="shared" si="140"/>
        <v>0</v>
      </c>
      <c r="CR30" s="508"/>
      <c r="CS30" s="509">
        <f t="shared" si="30"/>
        <v>0</v>
      </c>
      <c r="CT30" s="510">
        <f t="shared" si="141"/>
        <v>0</v>
      </c>
      <c r="CU30" s="508"/>
      <c r="CV30" s="509">
        <f t="shared" si="31"/>
        <v>0</v>
      </c>
      <c r="CW30" s="510">
        <f t="shared" si="142"/>
        <v>0</v>
      </c>
      <c r="CX30" s="508"/>
      <c r="CY30" s="509">
        <f t="shared" si="32"/>
        <v>0</v>
      </c>
      <c r="CZ30" s="510">
        <f t="shared" si="143"/>
        <v>0</v>
      </c>
      <c r="DA30" s="508"/>
      <c r="DB30" s="509">
        <f t="shared" si="33"/>
        <v>0</v>
      </c>
      <c r="DC30" s="510">
        <f t="shared" si="144"/>
        <v>0</v>
      </c>
      <c r="DD30" s="508"/>
      <c r="DE30" s="509">
        <f t="shared" si="34"/>
        <v>0</v>
      </c>
      <c r="DF30" s="510">
        <f t="shared" si="145"/>
        <v>0</v>
      </c>
      <c r="DG30" s="508"/>
      <c r="DH30" s="509">
        <f t="shared" si="35"/>
        <v>0</v>
      </c>
      <c r="DI30" s="510">
        <f t="shared" si="203"/>
        <v>0</v>
      </c>
      <c r="DJ30" s="508"/>
      <c r="DK30" s="509">
        <f t="shared" si="36"/>
        <v>0</v>
      </c>
      <c r="DL30" s="510">
        <f t="shared" si="146"/>
        <v>0</v>
      </c>
      <c r="DM30" s="508"/>
      <c r="DN30" s="509">
        <f t="shared" si="37"/>
        <v>0</v>
      </c>
      <c r="DO30" s="510">
        <f t="shared" si="147"/>
        <v>0</v>
      </c>
      <c r="DP30" s="508"/>
      <c r="DQ30" s="509">
        <f t="shared" si="38"/>
        <v>0</v>
      </c>
      <c r="DR30" s="510">
        <f t="shared" si="148"/>
        <v>0</v>
      </c>
      <c r="DS30" s="508"/>
      <c r="DT30" s="509">
        <f t="shared" si="39"/>
        <v>0</v>
      </c>
      <c r="DU30" s="510">
        <f t="shared" si="149"/>
        <v>0</v>
      </c>
      <c r="DV30" s="508"/>
      <c r="DW30" s="509">
        <f t="shared" si="40"/>
        <v>0</v>
      </c>
      <c r="DX30" s="510">
        <f t="shared" si="150"/>
        <v>0</v>
      </c>
      <c r="DY30" s="508"/>
      <c r="DZ30" s="509">
        <f t="shared" si="41"/>
        <v>0</v>
      </c>
      <c r="EA30" s="510">
        <f t="shared" si="151"/>
        <v>0</v>
      </c>
      <c r="EB30" s="508">
        <v>46.964705882352973</v>
      </c>
      <c r="EC30" s="509">
        <f t="shared" si="42"/>
        <v>1.032032563833102</v>
      </c>
      <c r="ED30" s="510">
        <f t="shared" si="152"/>
        <v>0</v>
      </c>
      <c r="EE30" s="508">
        <v>14.534883720930338</v>
      </c>
      <c r="EF30" s="509">
        <f t="shared" si="43"/>
        <v>0.31939885558112685</v>
      </c>
      <c r="EG30" s="510">
        <f t="shared" si="153"/>
        <v>0</v>
      </c>
      <c r="EH30" s="508">
        <v>5.2</v>
      </c>
      <c r="EI30" s="509">
        <f t="shared" si="44"/>
        <v>0.11426813457270311</v>
      </c>
      <c r="EJ30" s="510">
        <f t="shared" si="154"/>
        <v>0</v>
      </c>
      <c r="EK30" s="508"/>
      <c r="EL30" s="509">
        <f t="shared" si="45"/>
        <v>0</v>
      </c>
      <c r="EM30" s="510">
        <f t="shared" si="155"/>
        <v>0</v>
      </c>
      <c r="EN30" s="508"/>
      <c r="EO30" s="509">
        <f t="shared" si="46"/>
        <v>0</v>
      </c>
      <c r="EP30" s="510">
        <f t="shared" si="156"/>
        <v>0</v>
      </c>
      <c r="EQ30" s="508"/>
      <c r="ER30" s="509">
        <f t="shared" si="47"/>
        <v>0</v>
      </c>
      <c r="ES30" s="510">
        <f t="shared" si="157"/>
        <v>0</v>
      </c>
      <c r="ET30" s="508"/>
      <c r="EU30" s="509">
        <f t="shared" si="48"/>
        <v>0</v>
      </c>
      <c r="EV30" s="510">
        <f t="shared" si="158"/>
        <v>0</v>
      </c>
      <c r="EW30" s="508"/>
      <c r="EX30" s="509">
        <f t="shared" si="49"/>
        <v>0</v>
      </c>
      <c r="EY30" s="510">
        <f t="shared" si="159"/>
        <v>0</v>
      </c>
      <c r="EZ30" s="508"/>
      <c r="FA30" s="509">
        <f t="shared" si="50"/>
        <v>0</v>
      </c>
      <c r="FB30" s="510">
        <f t="shared" si="160"/>
        <v>0</v>
      </c>
      <c r="FC30" s="508"/>
      <c r="FD30" s="509">
        <f t="shared" si="51"/>
        <v>0</v>
      </c>
      <c r="FE30" s="510">
        <f t="shared" si="161"/>
        <v>0</v>
      </c>
      <c r="FF30" s="508"/>
      <c r="FG30" s="509">
        <f t="shared" si="52"/>
        <v>0</v>
      </c>
      <c r="FH30" s="510">
        <f t="shared" si="162"/>
        <v>0</v>
      </c>
      <c r="FI30" s="508"/>
      <c r="FJ30" s="509">
        <f t="shared" si="53"/>
        <v>0</v>
      </c>
      <c r="FK30" s="510">
        <f t="shared" si="163"/>
        <v>0</v>
      </c>
      <c r="FL30" s="508"/>
      <c r="FM30" s="509">
        <f t="shared" si="54"/>
        <v>0</v>
      </c>
      <c r="FN30" s="510">
        <f t="shared" si="164"/>
        <v>0</v>
      </c>
      <c r="FO30" s="508"/>
      <c r="FP30" s="509">
        <f t="shared" si="55"/>
        <v>0</v>
      </c>
      <c r="FQ30" s="510">
        <f t="shared" si="165"/>
        <v>0</v>
      </c>
      <c r="FR30" s="508"/>
      <c r="FS30" s="509">
        <f t="shared" si="56"/>
        <v>0</v>
      </c>
      <c r="FT30" s="510">
        <f t="shared" si="166"/>
        <v>0</v>
      </c>
      <c r="FU30" s="508"/>
      <c r="FV30" s="509">
        <f t="shared" si="57"/>
        <v>0</v>
      </c>
      <c r="FW30" s="510">
        <f t="shared" si="167"/>
        <v>0</v>
      </c>
      <c r="FX30" s="508"/>
      <c r="FY30" s="509">
        <f t="shared" si="58"/>
        <v>0</v>
      </c>
      <c r="FZ30" s="510">
        <f t="shared" si="168"/>
        <v>0</v>
      </c>
      <c r="GA30" s="508"/>
      <c r="GB30" s="509">
        <f t="shared" si="59"/>
        <v>0</v>
      </c>
      <c r="GC30" s="510">
        <f t="shared" si="169"/>
        <v>0</v>
      </c>
      <c r="GD30" s="508"/>
      <c r="GE30" s="509">
        <f t="shared" si="60"/>
        <v>0</v>
      </c>
      <c r="GF30" s="510">
        <f t="shared" si="170"/>
        <v>0</v>
      </c>
      <c r="GG30" s="508"/>
      <c r="GH30" s="509">
        <f t="shared" si="61"/>
        <v>0</v>
      </c>
      <c r="GI30" s="510">
        <f t="shared" si="171"/>
        <v>0</v>
      </c>
      <c r="GJ30" s="508"/>
      <c r="GK30" s="509">
        <f t="shared" si="62"/>
        <v>0</v>
      </c>
      <c r="GL30" s="510">
        <f t="shared" si="172"/>
        <v>0</v>
      </c>
      <c r="GM30" s="508"/>
      <c r="GN30" s="509">
        <f t="shared" si="63"/>
        <v>0</v>
      </c>
      <c r="GO30" s="510">
        <f t="shared" si="173"/>
        <v>0</v>
      </c>
      <c r="GP30" s="508"/>
      <c r="GQ30" s="509">
        <f t="shared" si="64"/>
        <v>0</v>
      </c>
      <c r="GR30" s="510">
        <f t="shared" si="174"/>
        <v>0</v>
      </c>
      <c r="GS30" s="508"/>
      <c r="GT30" s="509">
        <f t="shared" si="65"/>
        <v>0</v>
      </c>
      <c r="GU30" s="510">
        <f t="shared" si="175"/>
        <v>0</v>
      </c>
      <c r="GV30" s="508"/>
      <c r="GW30" s="509">
        <f t="shared" si="66"/>
        <v>0</v>
      </c>
      <c r="GX30" s="510">
        <f t="shared" si="176"/>
        <v>0</v>
      </c>
      <c r="GY30" s="508"/>
      <c r="GZ30" s="509">
        <f t="shared" si="67"/>
        <v>0</v>
      </c>
      <c r="HA30" s="510">
        <f t="shared" si="177"/>
        <v>0</v>
      </c>
      <c r="HB30" s="508"/>
      <c r="HC30" s="509">
        <f t="shared" si="68"/>
        <v>0</v>
      </c>
      <c r="HD30" s="510">
        <f t="shared" si="178"/>
        <v>0</v>
      </c>
      <c r="HE30" s="508"/>
      <c r="HF30" s="509">
        <f t="shared" si="69"/>
        <v>0</v>
      </c>
      <c r="HG30" s="510">
        <f t="shared" si="179"/>
        <v>0</v>
      </c>
      <c r="HH30" s="508"/>
      <c r="HI30" s="509">
        <f t="shared" si="70"/>
        <v>0</v>
      </c>
      <c r="HJ30" s="510">
        <f t="shared" si="180"/>
        <v>0</v>
      </c>
      <c r="HK30" s="508"/>
      <c r="HL30" s="509">
        <f t="shared" si="71"/>
        <v>0</v>
      </c>
      <c r="HM30" s="510">
        <f t="shared" si="181"/>
        <v>0</v>
      </c>
      <c r="HN30" s="508"/>
      <c r="HO30" s="509">
        <f t="shared" si="72"/>
        <v>0</v>
      </c>
      <c r="HP30" s="510">
        <f t="shared" si="182"/>
        <v>0</v>
      </c>
      <c r="HQ30" s="508"/>
      <c r="HR30" s="509">
        <f t="shared" si="73"/>
        <v>0</v>
      </c>
      <c r="HS30" s="510">
        <f t="shared" si="183"/>
        <v>0</v>
      </c>
      <c r="HT30" s="508"/>
      <c r="HU30" s="509">
        <f t="shared" si="74"/>
        <v>0</v>
      </c>
      <c r="HV30" s="510">
        <f t="shared" si="184"/>
        <v>0</v>
      </c>
      <c r="HW30" s="508"/>
      <c r="HX30" s="509">
        <f t="shared" si="75"/>
        <v>0</v>
      </c>
      <c r="HY30" s="510">
        <f t="shared" si="185"/>
        <v>0</v>
      </c>
      <c r="HZ30" s="508"/>
      <c r="IA30" s="509">
        <f t="shared" si="76"/>
        <v>0</v>
      </c>
      <c r="IB30" s="510">
        <f t="shared" si="186"/>
        <v>0</v>
      </c>
      <c r="IC30" s="508"/>
      <c r="ID30" s="509">
        <f t="shared" si="77"/>
        <v>0</v>
      </c>
      <c r="IE30" s="510">
        <f t="shared" si="187"/>
        <v>0</v>
      </c>
      <c r="IF30" s="508"/>
      <c r="IG30" s="509">
        <f t="shared" si="78"/>
        <v>0</v>
      </c>
      <c r="IH30" s="510">
        <f t="shared" si="188"/>
        <v>0</v>
      </c>
      <c r="II30" s="508"/>
      <c r="IJ30" s="509">
        <f t="shared" si="79"/>
        <v>0</v>
      </c>
      <c r="IK30" s="510">
        <f t="shared" si="189"/>
        <v>0</v>
      </c>
      <c r="IL30" s="508"/>
      <c r="IM30" s="509">
        <f t="shared" si="80"/>
        <v>0</v>
      </c>
      <c r="IN30" s="510">
        <f t="shared" si="190"/>
        <v>0</v>
      </c>
      <c r="IO30" s="508"/>
      <c r="IP30" s="509">
        <f t="shared" si="81"/>
        <v>0</v>
      </c>
      <c r="IQ30" s="510">
        <f t="shared" si="191"/>
        <v>0</v>
      </c>
      <c r="IR30" s="508"/>
      <c r="IS30" s="509">
        <f t="shared" si="82"/>
        <v>0</v>
      </c>
      <c r="IT30" s="510">
        <f t="shared" si="192"/>
        <v>0</v>
      </c>
      <c r="IU30" s="508"/>
      <c r="IV30" s="509">
        <f t="shared" si="83"/>
        <v>0</v>
      </c>
      <c r="IW30" s="510">
        <f t="shared" si="193"/>
        <v>0</v>
      </c>
      <c r="IX30" s="508"/>
      <c r="IY30" s="509">
        <f t="shared" si="84"/>
        <v>0</v>
      </c>
      <c r="IZ30" s="510">
        <f t="shared" si="194"/>
        <v>0</v>
      </c>
      <c r="JA30" s="508"/>
      <c r="JB30" s="509">
        <f t="shared" si="85"/>
        <v>0</v>
      </c>
      <c r="JC30" s="510">
        <f t="shared" si="195"/>
        <v>0</v>
      </c>
      <c r="JD30" s="508"/>
      <c r="JE30" s="509">
        <f t="shared" si="86"/>
        <v>0</v>
      </c>
      <c r="JF30" s="510">
        <f t="shared" si="196"/>
        <v>0</v>
      </c>
      <c r="JG30" s="508"/>
      <c r="JH30" s="509">
        <f t="shared" si="87"/>
        <v>0</v>
      </c>
      <c r="JI30" s="510">
        <f t="shared" si="197"/>
        <v>0</v>
      </c>
      <c r="JJ30" s="508"/>
      <c r="JK30" s="510">
        <f t="shared" si="198"/>
        <v>0</v>
      </c>
      <c r="JL30" s="510" t="str">
        <f t="shared" si="88"/>
        <v>0</v>
      </c>
      <c r="JM30" s="508"/>
      <c r="JN30" s="510" t="str">
        <f t="shared" si="89"/>
        <v>0</v>
      </c>
      <c r="JO30" s="510" t="str">
        <f t="shared" si="90"/>
        <v>0</v>
      </c>
      <c r="JP30" s="508"/>
      <c r="JQ30" s="510" t="str">
        <f t="shared" si="91"/>
        <v>0</v>
      </c>
      <c r="JR30" s="510" t="str">
        <f t="shared" si="92"/>
        <v>0</v>
      </c>
      <c r="JS30" s="508"/>
      <c r="JT30" s="510" t="str">
        <f t="shared" si="93"/>
        <v>0</v>
      </c>
      <c r="JU30" s="510" t="str">
        <f t="shared" si="94"/>
        <v>0</v>
      </c>
      <c r="JV30" s="508"/>
      <c r="JW30" s="510" t="str">
        <f t="shared" si="95"/>
        <v>0</v>
      </c>
      <c r="JX30" s="510" t="str">
        <f t="shared" si="96"/>
        <v>0</v>
      </c>
      <c r="JY30" s="508"/>
      <c r="JZ30" s="510" t="str">
        <f t="shared" si="97"/>
        <v>0</v>
      </c>
      <c r="KA30" s="510" t="str">
        <f t="shared" si="98"/>
        <v>0</v>
      </c>
      <c r="KB30" s="508"/>
      <c r="KC30" s="510" t="str">
        <f t="shared" si="99"/>
        <v>0</v>
      </c>
      <c r="KD30" s="510" t="str">
        <f t="shared" si="100"/>
        <v>0</v>
      </c>
      <c r="KE30" s="508"/>
      <c r="KF30" s="510" t="str">
        <f t="shared" si="101"/>
        <v>0</v>
      </c>
      <c r="KG30" s="510" t="str">
        <f t="shared" si="102"/>
        <v>0</v>
      </c>
      <c r="KH30" s="508"/>
      <c r="KI30" s="510" t="str">
        <f t="shared" si="103"/>
        <v>0</v>
      </c>
      <c r="KJ30" s="510" t="str">
        <f t="shared" si="104"/>
        <v>0</v>
      </c>
      <c r="KK30" s="508"/>
      <c r="KL30" s="510" t="str">
        <f t="shared" si="105"/>
        <v>0</v>
      </c>
      <c r="KM30" s="510" t="str">
        <f t="shared" si="106"/>
        <v>0</v>
      </c>
      <c r="KN30" s="508"/>
      <c r="KO30" s="510" t="str">
        <f t="shared" si="107"/>
        <v>0</v>
      </c>
      <c r="KP30" s="510" t="str">
        <f t="shared" si="108"/>
        <v>0</v>
      </c>
      <c r="KQ30" s="508"/>
      <c r="KR30" s="510" t="str">
        <f t="shared" si="109"/>
        <v>0</v>
      </c>
      <c r="KS30" s="510" t="str">
        <f t="shared" si="110"/>
        <v>0</v>
      </c>
      <c r="KT30" s="510">
        <f t="shared" si="201"/>
        <v>0</v>
      </c>
      <c r="KU30" s="510">
        <f t="shared" si="202"/>
        <v>0</v>
      </c>
      <c r="KV30" s="261">
        <f t="shared" si="199"/>
        <v>592.10946813637827</v>
      </c>
    </row>
    <row r="31" spans="1:308" ht="15" customHeight="1">
      <c r="A31" s="467">
        <f t="shared" si="200"/>
        <v>45860</v>
      </c>
      <c r="B31" s="468" t="str">
        <f>+Report1!B30</f>
        <v>Facial</v>
      </c>
      <c r="C31" s="469" t="str">
        <f>+Report1!C30</f>
        <v>12/13</v>
      </c>
      <c r="D31" s="470">
        <f>+Report1!P30</f>
        <v>46.715999999999994</v>
      </c>
      <c r="E31" s="471">
        <f>+Report1!R30</f>
        <v>44.314</v>
      </c>
      <c r="F31" s="508"/>
      <c r="G31" s="509">
        <f t="shared" si="0"/>
        <v>0</v>
      </c>
      <c r="H31" s="510">
        <f t="shared" si="111"/>
        <v>0</v>
      </c>
      <c r="I31" s="508">
        <v>325.58139534883708</v>
      </c>
      <c r="J31" s="509">
        <f t="shared" si="1"/>
        <v>7.3471452667066179</v>
      </c>
      <c r="K31" s="510">
        <f t="shared" si="112"/>
        <v>0</v>
      </c>
      <c r="L31" s="508"/>
      <c r="M31" s="509">
        <f t="shared" si="2"/>
        <v>0</v>
      </c>
      <c r="N31" s="510">
        <f t="shared" si="113"/>
        <v>0</v>
      </c>
      <c r="O31" s="508">
        <v>24</v>
      </c>
      <c r="P31" s="509">
        <f t="shared" si="3"/>
        <v>0.54158956537437375</v>
      </c>
      <c r="Q31" s="510">
        <f t="shared" si="114"/>
        <v>0</v>
      </c>
      <c r="R31" s="508">
        <v>7.6875</v>
      </c>
      <c r="S31" s="509">
        <f t="shared" si="4"/>
        <v>0.17347790765897911</v>
      </c>
      <c r="T31" s="510">
        <f t="shared" si="115"/>
        <v>0</v>
      </c>
      <c r="U31" s="508">
        <v>4.6874999999999964</v>
      </c>
      <c r="V31" s="509">
        <f t="shared" si="5"/>
        <v>0.10577921198718231</v>
      </c>
      <c r="W31" s="510">
        <f t="shared" si="116"/>
        <v>0</v>
      </c>
      <c r="X31" s="508"/>
      <c r="Y31" s="509">
        <f t="shared" si="6"/>
        <v>0</v>
      </c>
      <c r="Z31" s="510">
        <f t="shared" si="117"/>
        <v>0</v>
      </c>
      <c r="AA31" s="508"/>
      <c r="AB31" s="509">
        <f t="shared" si="7"/>
        <v>0</v>
      </c>
      <c r="AC31" s="510">
        <f t="shared" si="118"/>
        <v>0</v>
      </c>
      <c r="AD31" s="508"/>
      <c r="AE31" s="509">
        <f t="shared" si="8"/>
        <v>0</v>
      </c>
      <c r="AF31" s="510">
        <f t="shared" si="119"/>
        <v>0</v>
      </c>
      <c r="AG31" s="508"/>
      <c r="AH31" s="509">
        <f t="shared" si="9"/>
        <v>0</v>
      </c>
      <c r="AI31" s="510">
        <f t="shared" si="120"/>
        <v>0</v>
      </c>
      <c r="AJ31" s="508"/>
      <c r="AK31" s="509">
        <f t="shared" si="10"/>
        <v>0</v>
      </c>
      <c r="AL31" s="510">
        <f t="shared" si="121"/>
        <v>0</v>
      </c>
      <c r="AM31" s="508">
        <v>42.051282051282044</v>
      </c>
      <c r="AN31" s="509">
        <f t="shared" si="11"/>
        <v>0.9489389820662103</v>
      </c>
      <c r="AO31" s="510">
        <f t="shared" si="122"/>
        <v>0</v>
      </c>
      <c r="AP31" s="508"/>
      <c r="AQ31" s="509">
        <f t="shared" si="12"/>
        <v>0</v>
      </c>
      <c r="AR31" s="510">
        <f t="shared" si="123"/>
        <v>0</v>
      </c>
      <c r="AS31" s="508"/>
      <c r="AT31" s="509">
        <f t="shared" si="13"/>
        <v>0</v>
      </c>
      <c r="AU31" s="510">
        <f t="shared" si="124"/>
        <v>0</v>
      </c>
      <c r="AV31" s="508">
        <v>11.100000000000023</v>
      </c>
      <c r="AW31" s="509">
        <f t="shared" si="14"/>
        <v>0.2504851739856484</v>
      </c>
      <c r="AX31" s="510">
        <f t="shared" si="125"/>
        <v>0</v>
      </c>
      <c r="AY31" s="508">
        <v>67.666666666666629</v>
      </c>
      <c r="AZ31" s="509">
        <f t="shared" si="15"/>
        <v>1.5269816912638585</v>
      </c>
      <c r="BA31" s="510">
        <f t="shared" si="126"/>
        <v>0</v>
      </c>
      <c r="BB31" s="508"/>
      <c r="BC31" s="509">
        <f t="shared" si="16"/>
        <v>0</v>
      </c>
      <c r="BD31" s="510">
        <f t="shared" si="127"/>
        <v>0</v>
      </c>
      <c r="BE31" s="508"/>
      <c r="BF31" s="509">
        <f t="shared" si="17"/>
        <v>0</v>
      </c>
      <c r="BG31" s="510">
        <f t="shared" si="128"/>
        <v>0</v>
      </c>
      <c r="BH31" s="508"/>
      <c r="BI31" s="509">
        <f t="shared" si="18"/>
        <v>0</v>
      </c>
      <c r="BJ31" s="510">
        <f t="shared" si="129"/>
        <v>0</v>
      </c>
      <c r="BK31" s="508"/>
      <c r="BL31" s="509">
        <f t="shared" si="19"/>
        <v>0</v>
      </c>
      <c r="BM31" s="510">
        <f t="shared" si="130"/>
        <v>0</v>
      </c>
      <c r="BN31" s="508"/>
      <c r="BO31" s="509">
        <f t="shared" si="20"/>
        <v>0</v>
      </c>
      <c r="BP31" s="510">
        <f t="shared" si="131"/>
        <v>0</v>
      </c>
      <c r="BQ31" s="508"/>
      <c r="BR31" s="509">
        <f t="shared" si="21"/>
        <v>0</v>
      </c>
      <c r="BS31" s="510">
        <f t="shared" si="132"/>
        <v>0</v>
      </c>
      <c r="BT31" s="508"/>
      <c r="BU31" s="509">
        <f t="shared" si="22"/>
        <v>0</v>
      </c>
      <c r="BV31" s="510">
        <f t="shared" si="133"/>
        <v>0</v>
      </c>
      <c r="BW31" s="508"/>
      <c r="BX31" s="509">
        <f t="shared" si="23"/>
        <v>0</v>
      </c>
      <c r="BY31" s="510">
        <f t="shared" si="134"/>
        <v>0</v>
      </c>
      <c r="BZ31" s="508"/>
      <c r="CA31" s="509">
        <f t="shared" si="24"/>
        <v>0</v>
      </c>
      <c r="CB31" s="510">
        <f t="shared" si="135"/>
        <v>0</v>
      </c>
      <c r="CC31" s="508"/>
      <c r="CD31" s="509">
        <f t="shared" si="25"/>
        <v>0</v>
      </c>
      <c r="CE31" s="510">
        <f t="shared" si="136"/>
        <v>0</v>
      </c>
      <c r="CF31" s="508">
        <v>6.3</v>
      </c>
      <c r="CG31" s="509">
        <f t="shared" si="26"/>
        <v>0.14216726091077311</v>
      </c>
      <c r="CH31" s="510">
        <f t="shared" si="137"/>
        <v>0</v>
      </c>
      <c r="CI31" s="508"/>
      <c r="CJ31" s="509">
        <f t="shared" si="27"/>
        <v>0</v>
      </c>
      <c r="CK31" s="510">
        <f t="shared" si="138"/>
        <v>0</v>
      </c>
      <c r="CL31" s="508"/>
      <c r="CM31" s="509">
        <f t="shared" si="28"/>
        <v>0</v>
      </c>
      <c r="CN31" s="510">
        <f t="shared" si="139"/>
        <v>0</v>
      </c>
      <c r="CO31" s="508"/>
      <c r="CP31" s="509">
        <f t="shared" si="29"/>
        <v>0</v>
      </c>
      <c r="CQ31" s="510">
        <f t="shared" si="140"/>
        <v>0</v>
      </c>
      <c r="CR31" s="508"/>
      <c r="CS31" s="509">
        <f t="shared" si="30"/>
        <v>0</v>
      </c>
      <c r="CT31" s="510">
        <f t="shared" si="141"/>
        <v>0</v>
      </c>
      <c r="CU31" s="508"/>
      <c r="CV31" s="509">
        <f t="shared" si="31"/>
        <v>0</v>
      </c>
      <c r="CW31" s="510">
        <f t="shared" si="142"/>
        <v>0</v>
      </c>
      <c r="CX31" s="508"/>
      <c r="CY31" s="509">
        <f t="shared" si="32"/>
        <v>0</v>
      </c>
      <c r="CZ31" s="510">
        <f t="shared" si="143"/>
        <v>0</v>
      </c>
      <c r="DA31" s="508"/>
      <c r="DB31" s="509">
        <f t="shared" si="33"/>
        <v>0</v>
      </c>
      <c r="DC31" s="510">
        <f t="shared" si="144"/>
        <v>0</v>
      </c>
      <c r="DD31" s="508"/>
      <c r="DE31" s="509">
        <f t="shared" si="34"/>
        <v>0</v>
      </c>
      <c r="DF31" s="510">
        <f t="shared" si="145"/>
        <v>0</v>
      </c>
      <c r="DG31" s="508"/>
      <c r="DH31" s="509">
        <f t="shared" si="35"/>
        <v>0</v>
      </c>
      <c r="DI31" s="510">
        <f t="shared" si="203"/>
        <v>0</v>
      </c>
      <c r="DJ31" s="508"/>
      <c r="DK31" s="509">
        <f t="shared" si="36"/>
        <v>0</v>
      </c>
      <c r="DL31" s="510">
        <f t="shared" si="146"/>
        <v>0</v>
      </c>
      <c r="DM31" s="508"/>
      <c r="DN31" s="509">
        <f t="shared" si="37"/>
        <v>0</v>
      </c>
      <c r="DO31" s="510">
        <f t="shared" si="147"/>
        <v>0</v>
      </c>
      <c r="DP31" s="508"/>
      <c r="DQ31" s="509">
        <f t="shared" si="38"/>
        <v>0</v>
      </c>
      <c r="DR31" s="510">
        <f t="shared" si="148"/>
        <v>0</v>
      </c>
      <c r="DS31" s="508"/>
      <c r="DT31" s="509">
        <f t="shared" si="39"/>
        <v>0</v>
      </c>
      <c r="DU31" s="510">
        <f t="shared" si="149"/>
        <v>0</v>
      </c>
      <c r="DV31" s="508"/>
      <c r="DW31" s="509">
        <f t="shared" si="40"/>
        <v>0</v>
      </c>
      <c r="DX31" s="510">
        <f t="shared" si="150"/>
        <v>0</v>
      </c>
      <c r="DY31" s="508"/>
      <c r="DZ31" s="509">
        <f t="shared" si="41"/>
        <v>0</v>
      </c>
      <c r="EA31" s="510">
        <f t="shared" si="151"/>
        <v>0</v>
      </c>
      <c r="EB31" s="508">
        <v>58.705882352941217</v>
      </c>
      <c r="EC31" s="509">
        <f t="shared" si="42"/>
        <v>1.3247705545186896</v>
      </c>
      <c r="ED31" s="510">
        <f t="shared" si="152"/>
        <v>0</v>
      </c>
      <c r="EE31" s="508">
        <v>14.534883720930338</v>
      </c>
      <c r="EF31" s="509">
        <f t="shared" si="43"/>
        <v>0.3279975565494051</v>
      </c>
      <c r="EG31" s="510">
        <f t="shared" si="153"/>
        <v>0</v>
      </c>
      <c r="EH31" s="508">
        <v>5.2</v>
      </c>
      <c r="EI31" s="509">
        <f t="shared" si="44"/>
        <v>0.11734440583111433</v>
      </c>
      <c r="EJ31" s="510">
        <f t="shared" si="154"/>
        <v>0</v>
      </c>
      <c r="EK31" s="508"/>
      <c r="EL31" s="509">
        <f t="shared" si="45"/>
        <v>0</v>
      </c>
      <c r="EM31" s="510">
        <f t="shared" si="155"/>
        <v>0</v>
      </c>
      <c r="EN31" s="508"/>
      <c r="EO31" s="509">
        <f t="shared" si="46"/>
        <v>0</v>
      </c>
      <c r="EP31" s="510">
        <f t="shared" si="156"/>
        <v>0</v>
      </c>
      <c r="EQ31" s="508"/>
      <c r="ER31" s="509">
        <f t="shared" si="47"/>
        <v>0</v>
      </c>
      <c r="ES31" s="510">
        <f t="shared" si="157"/>
        <v>0</v>
      </c>
      <c r="ET31" s="508"/>
      <c r="EU31" s="509">
        <f t="shared" si="48"/>
        <v>0</v>
      </c>
      <c r="EV31" s="510">
        <f t="shared" si="158"/>
        <v>0</v>
      </c>
      <c r="EW31" s="508"/>
      <c r="EX31" s="509">
        <f t="shared" si="49"/>
        <v>0</v>
      </c>
      <c r="EY31" s="510">
        <f t="shared" si="159"/>
        <v>0</v>
      </c>
      <c r="EZ31" s="508"/>
      <c r="FA31" s="509">
        <f t="shared" si="50"/>
        <v>0</v>
      </c>
      <c r="FB31" s="510">
        <f t="shared" si="160"/>
        <v>0</v>
      </c>
      <c r="FC31" s="508"/>
      <c r="FD31" s="509">
        <f t="shared" si="51"/>
        <v>0</v>
      </c>
      <c r="FE31" s="510">
        <f t="shared" si="161"/>
        <v>0</v>
      </c>
      <c r="FF31" s="508"/>
      <c r="FG31" s="509">
        <f t="shared" si="52"/>
        <v>0</v>
      </c>
      <c r="FH31" s="510">
        <f t="shared" si="162"/>
        <v>0</v>
      </c>
      <c r="FI31" s="508"/>
      <c r="FJ31" s="509">
        <f t="shared" si="53"/>
        <v>0</v>
      </c>
      <c r="FK31" s="510">
        <f t="shared" si="163"/>
        <v>0</v>
      </c>
      <c r="FL31" s="508"/>
      <c r="FM31" s="509">
        <f t="shared" si="54"/>
        <v>0</v>
      </c>
      <c r="FN31" s="510">
        <f t="shared" si="164"/>
        <v>0</v>
      </c>
      <c r="FO31" s="508"/>
      <c r="FP31" s="509">
        <f t="shared" si="55"/>
        <v>0</v>
      </c>
      <c r="FQ31" s="510">
        <f t="shared" si="165"/>
        <v>0</v>
      </c>
      <c r="FR31" s="508"/>
      <c r="FS31" s="509">
        <f t="shared" si="56"/>
        <v>0</v>
      </c>
      <c r="FT31" s="510">
        <f t="shared" si="166"/>
        <v>0</v>
      </c>
      <c r="FU31" s="508"/>
      <c r="FV31" s="509">
        <f t="shared" si="57"/>
        <v>0</v>
      </c>
      <c r="FW31" s="510">
        <f t="shared" si="167"/>
        <v>0</v>
      </c>
      <c r="FX31" s="508"/>
      <c r="FY31" s="509">
        <f t="shared" si="58"/>
        <v>0</v>
      </c>
      <c r="FZ31" s="510">
        <f t="shared" si="168"/>
        <v>0</v>
      </c>
      <c r="GA31" s="508"/>
      <c r="GB31" s="509">
        <f t="shared" si="59"/>
        <v>0</v>
      </c>
      <c r="GC31" s="510">
        <f t="shared" si="169"/>
        <v>0</v>
      </c>
      <c r="GD31" s="508"/>
      <c r="GE31" s="509">
        <f t="shared" si="60"/>
        <v>0</v>
      </c>
      <c r="GF31" s="510">
        <f t="shared" si="170"/>
        <v>0</v>
      </c>
      <c r="GG31" s="508"/>
      <c r="GH31" s="509">
        <f t="shared" si="61"/>
        <v>0</v>
      </c>
      <c r="GI31" s="510">
        <f t="shared" si="171"/>
        <v>0</v>
      </c>
      <c r="GJ31" s="508"/>
      <c r="GK31" s="509">
        <f t="shared" si="62"/>
        <v>0</v>
      </c>
      <c r="GL31" s="510">
        <f t="shared" si="172"/>
        <v>0</v>
      </c>
      <c r="GM31" s="508"/>
      <c r="GN31" s="509">
        <f t="shared" si="63"/>
        <v>0</v>
      </c>
      <c r="GO31" s="510">
        <f t="shared" si="173"/>
        <v>0</v>
      </c>
      <c r="GP31" s="508"/>
      <c r="GQ31" s="509">
        <f t="shared" si="64"/>
        <v>0</v>
      </c>
      <c r="GR31" s="510">
        <f t="shared" si="174"/>
        <v>0</v>
      </c>
      <c r="GS31" s="508"/>
      <c r="GT31" s="509">
        <f t="shared" si="65"/>
        <v>0</v>
      </c>
      <c r="GU31" s="510">
        <f t="shared" si="175"/>
        <v>0</v>
      </c>
      <c r="GV31" s="508"/>
      <c r="GW31" s="509">
        <f t="shared" si="66"/>
        <v>0</v>
      </c>
      <c r="GX31" s="510">
        <f t="shared" si="176"/>
        <v>0</v>
      </c>
      <c r="GY31" s="508"/>
      <c r="GZ31" s="509">
        <f t="shared" si="67"/>
        <v>0</v>
      </c>
      <c r="HA31" s="510">
        <f t="shared" si="177"/>
        <v>0</v>
      </c>
      <c r="HB31" s="508"/>
      <c r="HC31" s="509">
        <f t="shared" si="68"/>
        <v>0</v>
      </c>
      <c r="HD31" s="510">
        <f t="shared" si="178"/>
        <v>0</v>
      </c>
      <c r="HE31" s="508"/>
      <c r="HF31" s="509">
        <f t="shared" si="69"/>
        <v>0</v>
      </c>
      <c r="HG31" s="510">
        <f t="shared" si="179"/>
        <v>0</v>
      </c>
      <c r="HH31" s="508"/>
      <c r="HI31" s="509">
        <f t="shared" si="70"/>
        <v>0</v>
      </c>
      <c r="HJ31" s="510">
        <f t="shared" si="180"/>
        <v>0</v>
      </c>
      <c r="HK31" s="508"/>
      <c r="HL31" s="509">
        <f t="shared" si="71"/>
        <v>0</v>
      </c>
      <c r="HM31" s="510">
        <f t="shared" si="181"/>
        <v>0</v>
      </c>
      <c r="HN31" s="508"/>
      <c r="HO31" s="509">
        <f t="shared" si="72"/>
        <v>0</v>
      </c>
      <c r="HP31" s="510">
        <f t="shared" si="182"/>
        <v>0</v>
      </c>
      <c r="HQ31" s="508"/>
      <c r="HR31" s="509">
        <f t="shared" si="73"/>
        <v>0</v>
      </c>
      <c r="HS31" s="510">
        <f t="shared" si="183"/>
        <v>0</v>
      </c>
      <c r="HT31" s="508"/>
      <c r="HU31" s="509">
        <f t="shared" si="74"/>
        <v>0</v>
      </c>
      <c r="HV31" s="510">
        <f t="shared" si="184"/>
        <v>0</v>
      </c>
      <c r="HW31" s="508"/>
      <c r="HX31" s="509">
        <f t="shared" si="75"/>
        <v>0</v>
      </c>
      <c r="HY31" s="510">
        <f t="shared" si="185"/>
        <v>0</v>
      </c>
      <c r="HZ31" s="508"/>
      <c r="IA31" s="509">
        <f t="shared" si="76"/>
        <v>0</v>
      </c>
      <c r="IB31" s="510">
        <f t="shared" si="186"/>
        <v>0</v>
      </c>
      <c r="IC31" s="508"/>
      <c r="ID31" s="509">
        <f t="shared" si="77"/>
        <v>0</v>
      </c>
      <c r="IE31" s="510">
        <f t="shared" si="187"/>
        <v>0</v>
      </c>
      <c r="IF31" s="508"/>
      <c r="IG31" s="509">
        <f t="shared" si="78"/>
        <v>0</v>
      </c>
      <c r="IH31" s="510">
        <f t="shared" si="188"/>
        <v>0</v>
      </c>
      <c r="II31" s="508"/>
      <c r="IJ31" s="509">
        <f t="shared" si="79"/>
        <v>0</v>
      </c>
      <c r="IK31" s="510">
        <f t="shared" si="189"/>
        <v>0</v>
      </c>
      <c r="IL31" s="508"/>
      <c r="IM31" s="509">
        <f t="shared" si="80"/>
        <v>0</v>
      </c>
      <c r="IN31" s="510">
        <f t="shared" si="190"/>
        <v>0</v>
      </c>
      <c r="IO31" s="508"/>
      <c r="IP31" s="509">
        <f t="shared" si="81"/>
        <v>0</v>
      </c>
      <c r="IQ31" s="510">
        <f t="shared" si="191"/>
        <v>0</v>
      </c>
      <c r="IR31" s="508"/>
      <c r="IS31" s="509">
        <f t="shared" si="82"/>
        <v>0</v>
      </c>
      <c r="IT31" s="510">
        <f t="shared" si="192"/>
        <v>0</v>
      </c>
      <c r="IU31" s="508"/>
      <c r="IV31" s="509">
        <f t="shared" si="83"/>
        <v>0</v>
      </c>
      <c r="IW31" s="510">
        <f t="shared" si="193"/>
        <v>0</v>
      </c>
      <c r="IX31" s="508"/>
      <c r="IY31" s="509">
        <f t="shared" si="84"/>
        <v>0</v>
      </c>
      <c r="IZ31" s="510">
        <f t="shared" si="194"/>
        <v>0</v>
      </c>
      <c r="JA31" s="508"/>
      <c r="JB31" s="509">
        <f t="shared" si="85"/>
        <v>0</v>
      </c>
      <c r="JC31" s="510">
        <f t="shared" si="195"/>
        <v>0</v>
      </c>
      <c r="JD31" s="508"/>
      <c r="JE31" s="509">
        <f t="shared" si="86"/>
        <v>0</v>
      </c>
      <c r="JF31" s="510">
        <f t="shared" si="196"/>
        <v>0</v>
      </c>
      <c r="JG31" s="508"/>
      <c r="JH31" s="509">
        <f t="shared" si="87"/>
        <v>0</v>
      </c>
      <c r="JI31" s="510">
        <f t="shared" si="197"/>
        <v>0</v>
      </c>
      <c r="JJ31" s="508"/>
      <c r="JK31" s="510">
        <f t="shared" si="198"/>
        <v>0</v>
      </c>
      <c r="JL31" s="510" t="str">
        <f t="shared" si="88"/>
        <v>0</v>
      </c>
      <c r="JM31" s="508"/>
      <c r="JN31" s="510" t="str">
        <f t="shared" si="89"/>
        <v>0</v>
      </c>
      <c r="JO31" s="510" t="str">
        <f t="shared" si="90"/>
        <v>0</v>
      </c>
      <c r="JP31" s="508"/>
      <c r="JQ31" s="510" t="str">
        <f t="shared" si="91"/>
        <v>0</v>
      </c>
      <c r="JR31" s="510" t="str">
        <f t="shared" si="92"/>
        <v>0</v>
      </c>
      <c r="JS31" s="508"/>
      <c r="JT31" s="510" t="str">
        <f t="shared" si="93"/>
        <v>0</v>
      </c>
      <c r="JU31" s="510" t="str">
        <f t="shared" si="94"/>
        <v>0</v>
      </c>
      <c r="JV31" s="508"/>
      <c r="JW31" s="510" t="str">
        <f t="shared" si="95"/>
        <v>0</v>
      </c>
      <c r="JX31" s="510" t="str">
        <f t="shared" si="96"/>
        <v>0</v>
      </c>
      <c r="JY31" s="508"/>
      <c r="JZ31" s="510" t="str">
        <f t="shared" si="97"/>
        <v>0</v>
      </c>
      <c r="KA31" s="510" t="str">
        <f t="shared" si="98"/>
        <v>0</v>
      </c>
      <c r="KB31" s="508"/>
      <c r="KC31" s="510" t="str">
        <f t="shared" si="99"/>
        <v>0</v>
      </c>
      <c r="KD31" s="510" t="str">
        <f t="shared" si="100"/>
        <v>0</v>
      </c>
      <c r="KE31" s="508"/>
      <c r="KF31" s="510" t="str">
        <f t="shared" si="101"/>
        <v>0</v>
      </c>
      <c r="KG31" s="510" t="str">
        <f t="shared" si="102"/>
        <v>0</v>
      </c>
      <c r="KH31" s="508"/>
      <c r="KI31" s="510" t="str">
        <f t="shared" si="103"/>
        <v>0</v>
      </c>
      <c r="KJ31" s="510" t="str">
        <f t="shared" si="104"/>
        <v>0</v>
      </c>
      <c r="KK31" s="508"/>
      <c r="KL31" s="510" t="str">
        <f t="shared" si="105"/>
        <v>0</v>
      </c>
      <c r="KM31" s="510" t="str">
        <f t="shared" si="106"/>
        <v>0</v>
      </c>
      <c r="KN31" s="508"/>
      <c r="KO31" s="510" t="str">
        <f t="shared" si="107"/>
        <v>0</v>
      </c>
      <c r="KP31" s="510" t="str">
        <f t="shared" si="108"/>
        <v>0</v>
      </c>
      <c r="KQ31" s="508"/>
      <c r="KR31" s="510" t="str">
        <f t="shared" si="109"/>
        <v>0</v>
      </c>
      <c r="KS31" s="510" t="str">
        <f t="shared" si="110"/>
        <v>0</v>
      </c>
      <c r="KT31" s="510">
        <f t="shared" si="201"/>
        <v>0</v>
      </c>
      <c r="KU31" s="510">
        <f t="shared" si="202"/>
        <v>0</v>
      </c>
      <c r="KV31" s="261">
        <f t="shared" si="199"/>
        <v>567.51511014065738</v>
      </c>
    </row>
    <row r="32" spans="1:308" ht="15" customHeight="1">
      <c r="A32" s="467">
        <f t="shared" si="200"/>
        <v>45861</v>
      </c>
      <c r="B32" s="468" t="str">
        <f>+Report1!B31</f>
        <v>Facial</v>
      </c>
      <c r="C32" s="469" t="str">
        <f>+Report1!C31</f>
        <v>13/12/12,5</v>
      </c>
      <c r="D32" s="470">
        <f>+Report1!P31</f>
        <v>45.536000000000001</v>
      </c>
      <c r="E32" s="471">
        <f>+Report1!R31</f>
        <v>44.328000000000003</v>
      </c>
      <c r="F32" s="508"/>
      <c r="G32" s="509">
        <f t="shared" si="0"/>
        <v>0</v>
      </c>
      <c r="H32" s="510">
        <f t="shared" si="111"/>
        <v>0</v>
      </c>
      <c r="I32" s="508">
        <v>290.69767441860472</v>
      </c>
      <c r="J32" s="509">
        <f t="shared" si="1"/>
        <v>6.5578793182323745</v>
      </c>
      <c r="K32" s="510">
        <f t="shared" si="112"/>
        <v>0</v>
      </c>
      <c r="L32" s="508"/>
      <c r="M32" s="509">
        <f t="shared" si="2"/>
        <v>0</v>
      </c>
      <c r="N32" s="510">
        <f t="shared" si="113"/>
        <v>0</v>
      </c>
      <c r="O32" s="508">
        <v>24.000000000000028</v>
      </c>
      <c r="P32" s="509">
        <f t="shared" si="3"/>
        <v>0.54141851651326534</v>
      </c>
      <c r="Q32" s="510">
        <f t="shared" si="114"/>
        <v>0</v>
      </c>
      <c r="R32" s="508">
        <v>10.25</v>
      </c>
      <c r="S32" s="509">
        <f t="shared" si="4"/>
        <v>0.23123082476087348</v>
      </c>
      <c r="T32" s="510">
        <f t="shared" si="115"/>
        <v>0</v>
      </c>
      <c r="U32" s="508">
        <v>3.125</v>
      </c>
      <c r="V32" s="509">
        <f t="shared" si="5"/>
        <v>7.0497202670998016E-2</v>
      </c>
      <c r="W32" s="510">
        <f t="shared" si="116"/>
        <v>0</v>
      </c>
      <c r="X32" s="508"/>
      <c r="Y32" s="509">
        <f t="shared" si="6"/>
        <v>0</v>
      </c>
      <c r="Z32" s="510">
        <f t="shared" si="117"/>
        <v>0</v>
      </c>
      <c r="AA32" s="508"/>
      <c r="AB32" s="509">
        <f t="shared" si="7"/>
        <v>0</v>
      </c>
      <c r="AC32" s="510">
        <f t="shared" si="118"/>
        <v>0</v>
      </c>
      <c r="AD32" s="508"/>
      <c r="AE32" s="509">
        <f t="shared" si="8"/>
        <v>0</v>
      </c>
      <c r="AF32" s="510">
        <f t="shared" si="119"/>
        <v>0</v>
      </c>
      <c r="AG32" s="508"/>
      <c r="AH32" s="509">
        <f t="shared" si="9"/>
        <v>0</v>
      </c>
      <c r="AI32" s="510">
        <f t="shared" si="120"/>
        <v>0</v>
      </c>
      <c r="AJ32" s="508"/>
      <c r="AK32" s="509">
        <f t="shared" si="10"/>
        <v>0</v>
      </c>
      <c r="AL32" s="510">
        <f t="shared" si="121"/>
        <v>0</v>
      </c>
      <c r="AM32" s="508">
        <v>39.423076923076906</v>
      </c>
      <c r="AN32" s="509">
        <f t="shared" si="11"/>
        <v>0.88934932600335914</v>
      </c>
      <c r="AO32" s="510">
        <f t="shared" si="122"/>
        <v>0</v>
      </c>
      <c r="AP32" s="508"/>
      <c r="AQ32" s="509">
        <f t="shared" si="12"/>
        <v>0</v>
      </c>
      <c r="AR32" s="510">
        <f t="shared" si="123"/>
        <v>0</v>
      </c>
      <c r="AS32" s="508"/>
      <c r="AT32" s="509">
        <f t="shared" si="13"/>
        <v>0</v>
      </c>
      <c r="AU32" s="510">
        <f t="shared" si="124"/>
        <v>0</v>
      </c>
      <c r="AV32" s="508">
        <v>13.875</v>
      </c>
      <c r="AW32" s="509">
        <f t="shared" si="14"/>
        <v>0.31300757985923117</v>
      </c>
      <c r="AX32" s="510">
        <f t="shared" si="125"/>
        <v>0</v>
      </c>
      <c r="AY32" s="508">
        <v>60.666666666666629</v>
      </c>
      <c r="AZ32" s="509">
        <f t="shared" si="15"/>
        <v>1.3685856945196404</v>
      </c>
      <c r="BA32" s="510">
        <f t="shared" si="126"/>
        <v>0</v>
      </c>
      <c r="BB32" s="508"/>
      <c r="BC32" s="509">
        <f t="shared" si="16"/>
        <v>0</v>
      </c>
      <c r="BD32" s="510">
        <f t="shared" si="127"/>
        <v>0</v>
      </c>
      <c r="BE32" s="508"/>
      <c r="BF32" s="509">
        <f t="shared" si="17"/>
        <v>0</v>
      </c>
      <c r="BG32" s="510">
        <f t="shared" si="128"/>
        <v>0</v>
      </c>
      <c r="BH32" s="508"/>
      <c r="BI32" s="509">
        <f t="shared" si="18"/>
        <v>0</v>
      </c>
      <c r="BJ32" s="510">
        <f t="shared" si="129"/>
        <v>0</v>
      </c>
      <c r="BK32" s="508"/>
      <c r="BL32" s="509">
        <f t="shared" si="19"/>
        <v>0</v>
      </c>
      <c r="BM32" s="510">
        <f t="shared" si="130"/>
        <v>0</v>
      </c>
      <c r="BN32" s="508"/>
      <c r="BO32" s="509">
        <f t="shared" si="20"/>
        <v>0</v>
      </c>
      <c r="BP32" s="510">
        <f t="shared" si="131"/>
        <v>0</v>
      </c>
      <c r="BQ32" s="508">
        <v>23.08</v>
      </c>
      <c r="BR32" s="509">
        <f t="shared" si="21"/>
        <v>0.52066414004692285</v>
      </c>
      <c r="BS32" s="510">
        <f t="shared" si="132"/>
        <v>0</v>
      </c>
      <c r="BT32" s="508"/>
      <c r="BU32" s="509">
        <f t="shared" si="22"/>
        <v>0</v>
      </c>
      <c r="BV32" s="510">
        <f t="shared" si="133"/>
        <v>0</v>
      </c>
      <c r="BW32" s="508"/>
      <c r="BX32" s="509">
        <f t="shared" si="23"/>
        <v>0</v>
      </c>
      <c r="BY32" s="510">
        <f t="shared" si="134"/>
        <v>0</v>
      </c>
      <c r="BZ32" s="508"/>
      <c r="CA32" s="509">
        <f t="shared" si="24"/>
        <v>0</v>
      </c>
      <c r="CB32" s="510">
        <f t="shared" si="135"/>
        <v>0</v>
      </c>
      <c r="CC32" s="508"/>
      <c r="CD32" s="509">
        <f t="shared" si="25"/>
        <v>0</v>
      </c>
      <c r="CE32" s="510">
        <f t="shared" si="136"/>
        <v>0</v>
      </c>
      <c r="CF32" s="508">
        <v>6.4</v>
      </c>
      <c r="CG32" s="509">
        <f t="shared" si="26"/>
        <v>0.14437827107020393</v>
      </c>
      <c r="CH32" s="510">
        <f t="shared" si="137"/>
        <v>0</v>
      </c>
      <c r="CI32" s="508"/>
      <c r="CJ32" s="509">
        <f t="shared" si="27"/>
        <v>0</v>
      </c>
      <c r="CK32" s="510">
        <f t="shared" si="138"/>
        <v>0</v>
      </c>
      <c r="CL32" s="508"/>
      <c r="CM32" s="509">
        <f t="shared" si="28"/>
        <v>0</v>
      </c>
      <c r="CN32" s="510">
        <f t="shared" si="139"/>
        <v>0</v>
      </c>
      <c r="CO32" s="508"/>
      <c r="CP32" s="509">
        <f t="shared" si="29"/>
        <v>0</v>
      </c>
      <c r="CQ32" s="510">
        <f t="shared" si="140"/>
        <v>0</v>
      </c>
      <c r="CR32" s="508"/>
      <c r="CS32" s="509">
        <f t="shared" si="30"/>
        <v>0</v>
      </c>
      <c r="CT32" s="510">
        <f t="shared" si="141"/>
        <v>0</v>
      </c>
      <c r="CU32" s="508"/>
      <c r="CV32" s="509">
        <f t="shared" si="31"/>
        <v>0</v>
      </c>
      <c r="CW32" s="510">
        <f t="shared" si="142"/>
        <v>0</v>
      </c>
      <c r="CX32" s="508"/>
      <c r="CY32" s="509">
        <f t="shared" si="32"/>
        <v>0</v>
      </c>
      <c r="CZ32" s="510">
        <f t="shared" si="143"/>
        <v>0</v>
      </c>
      <c r="DA32" s="508"/>
      <c r="DB32" s="509">
        <f t="shared" si="33"/>
        <v>0</v>
      </c>
      <c r="DC32" s="510">
        <f t="shared" si="144"/>
        <v>0</v>
      </c>
      <c r="DD32" s="508"/>
      <c r="DE32" s="509">
        <f t="shared" si="34"/>
        <v>0</v>
      </c>
      <c r="DF32" s="510">
        <f t="shared" si="145"/>
        <v>0</v>
      </c>
      <c r="DG32" s="508"/>
      <c r="DH32" s="509">
        <f t="shared" si="35"/>
        <v>0</v>
      </c>
      <c r="DI32" s="510">
        <f t="shared" si="203"/>
        <v>0</v>
      </c>
      <c r="DJ32" s="508"/>
      <c r="DK32" s="509">
        <f t="shared" si="36"/>
        <v>0</v>
      </c>
      <c r="DL32" s="510">
        <f t="shared" si="146"/>
        <v>0</v>
      </c>
      <c r="DM32" s="508"/>
      <c r="DN32" s="509">
        <f t="shared" si="37"/>
        <v>0</v>
      </c>
      <c r="DO32" s="510">
        <f t="shared" si="147"/>
        <v>0</v>
      </c>
      <c r="DP32" s="508"/>
      <c r="DQ32" s="509">
        <f t="shared" si="38"/>
        <v>0</v>
      </c>
      <c r="DR32" s="510">
        <f t="shared" si="148"/>
        <v>0</v>
      </c>
      <c r="DS32" s="508"/>
      <c r="DT32" s="509">
        <f t="shared" si="39"/>
        <v>0</v>
      </c>
      <c r="DU32" s="510">
        <f t="shared" si="149"/>
        <v>0</v>
      </c>
      <c r="DV32" s="508"/>
      <c r="DW32" s="509">
        <f t="shared" si="40"/>
        <v>0</v>
      </c>
      <c r="DX32" s="510">
        <f t="shared" si="150"/>
        <v>0</v>
      </c>
      <c r="DY32" s="508"/>
      <c r="DZ32" s="509">
        <f t="shared" si="41"/>
        <v>0</v>
      </c>
      <c r="EA32" s="510">
        <f t="shared" si="151"/>
        <v>0</v>
      </c>
      <c r="EB32" s="508">
        <v>58.705882352941217</v>
      </c>
      <c r="EC32" s="509">
        <f t="shared" si="42"/>
        <v>1.32435215558882</v>
      </c>
      <c r="ED32" s="510">
        <f t="shared" si="152"/>
        <v>0</v>
      </c>
      <c r="EE32" s="508">
        <v>14.534883720930225</v>
      </c>
      <c r="EF32" s="509">
        <f t="shared" si="43"/>
        <v>0.32789396591161846</v>
      </c>
      <c r="EG32" s="510">
        <f t="shared" si="153"/>
        <v>0</v>
      </c>
      <c r="EH32" s="508">
        <v>4.5</v>
      </c>
      <c r="EI32" s="509">
        <f t="shared" si="44"/>
        <v>0.10151597184623713</v>
      </c>
      <c r="EJ32" s="510">
        <f t="shared" si="154"/>
        <v>0</v>
      </c>
      <c r="EK32" s="508"/>
      <c r="EL32" s="509">
        <f t="shared" si="45"/>
        <v>0</v>
      </c>
      <c r="EM32" s="510">
        <f t="shared" si="155"/>
        <v>0</v>
      </c>
      <c r="EN32" s="508"/>
      <c r="EO32" s="509">
        <f t="shared" si="46"/>
        <v>0</v>
      </c>
      <c r="EP32" s="510">
        <f t="shared" si="156"/>
        <v>0</v>
      </c>
      <c r="EQ32" s="508"/>
      <c r="ER32" s="509">
        <f t="shared" si="47"/>
        <v>0</v>
      </c>
      <c r="ES32" s="510">
        <f t="shared" si="157"/>
        <v>0</v>
      </c>
      <c r="ET32" s="508"/>
      <c r="EU32" s="509">
        <f t="shared" si="48"/>
        <v>0</v>
      </c>
      <c r="EV32" s="510">
        <f t="shared" si="158"/>
        <v>0</v>
      </c>
      <c r="EW32" s="508"/>
      <c r="EX32" s="509">
        <f t="shared" si="49"/>
        <v>0</v>
      </c>
      <c r="EY32" s="510">
        <f t="shared" si="159"/>
        <v>0</v>
      </c>
      <c r="EZ32" s="508"/>
      <c r="FA32" s="509">
        <f t="shared" si="50"/>
        <v>0</v>
      </c>
      <c r="FB32" s="510">
        <f t="shared" si="160"/>
        <v>0</v>
      </c>
      <c r="FC32" s="508"/>
      <c r="FD32" s="509">
        <f t="shared" si="51"/>
        <v>0</v>
      </c>
      <c r="FE32" s="510">
        <f t="shared" si="161"/>
        <v>0</v>
      </c>
      <c r="FF32" s="508"/>
      <c r="FG32" s="509">
        <f t="shared" si="52"/>
        <v>0</v>
      </c>
      <c r="FH32" s="510">
        <f t="shared" si="162"/>
        <v>0</v>
      </c>
      <c r="FI32" s="508"/>
      <c r="FJ32" s="509">
        <f t="shared" si="53"/>
        <v>0</v>
      </c>
      <c r="FK32" s="510">
        <f t="shared" si="163"/>
        <v>0</v>
      </c>
      <c r="FL32" s="508"/>
      <c r="FM32" s="509">
        <f t="shared" si="54"/>
        <v>0</v>
      </c>
      <c r="FN32" s="510">
        <f t="shared" si="164"/>
        <v>0</v>
      </c>
      <c r="FO32" s="508"/>
      <c r="FP32" s="509">
        <f t="shared" si="55"/>
        <v>0</v>
      </c>
      <c r="FQ32" s="510">
        <f t="shared" si="165"/>
        <v>0</v>
      </c>
      <c r="FR32" s="508"/>
      <c r="FS32" s="509">
        <f t="shared" si="56"/>
        <v>0</v>
      </c>
      <c r="FT32" s="510">
        <f t="shared" si="166"/>
        <v>0</v>
      </c>
      <c r="FU32" s="508"/>
      <c r="FV32" s="509">
        <f t="shared" si="57"/>
        <v>0</v>
      </c>
      <c r="FW32" s="510">
        <f t="shared" si="167"/>
        <v>0</v>
      </c>
      <c r="FX32" s="508"/>
      <c r="FY32" s="509">
        <f t="shared" si="58"/>
        <v>0</v>
      </c>
      <c r="FZ32" s="510">
        <f t="shared" si="168"/>
        <v>0</v>
      </c>
      <c r="GA32" s="508"/>
      <c r="GB32" s="509">
        <f t="shared" si="59"/>
        <v>0</v>
      </c>
      <c r="GC32" s="510">
        <f t="shared" si="169"/>
        <v>0</v>
      </c>
      <c r="GD32" s="508"/>
      <c r="GE32" s="509">
        <f t="shared" si="60"/>
        <v>0</v>
      </c>
      <c r="GF32" s="510">
        <f t="shared" si="170"/>
        <v>0</v>
      </c>
      <c r="GG32" s="508"/>
      <c r="GH32" s="509">
        <f t="shared" si="61"/>
        <v>0</v>
      </c>
      <c r="GI32" s="510">
        <f t="shared" si="171"/>
        <v>0</v>
      </c>
      <c r="GJ32" s="508"/>
      <c r="GK32" s="509">
        <f t="shared" si="62"/>
        <v>0</v>
      </c>
      <c r="GL32" s="510">
        <f t="shared" si="172"/>
        <v>0</v>
      </c>
      <c r="GM32" s="508"/>
      <c r="GN32" s="509">
        <f t="shared" si="63"/>
        <v>0</v>
      </c>
      <c r="GO32" s="510">
        <f t="shared" si="173"/>
        <v>0</v>
      </c>
      <c r="GP32" s="508"/>
      <c r="GQ32" s="509">
        <f t="shared" si="64"/>
        <v>0</v>
      </c>
      <c r="GR32" s="510">
        <f t="shared" si="174"/>
        <v>0</v>
      </c>
      <c r="GS32" s="508"/>
      <c r="GT32" s="509">
        <f t="shared" si="65"/>
        <v>0</v>
      </c>
      <c r="GU32" s="510">
        <f t="shared" si="175"/>
        <v>0</v>
      </c>
      <c r="GV32" s="508"/>
      <c r="GW32" s="509">
        <f t="shared" si="66"/>
        <v>0</v>
      </c>
      <c r="GX32" s="510">
        <f t="shared" si="176"/>
        <v>0</v>
      </c>
      <c r="GY32" s="508"/>
      <c r="GZ32" s="509">
        <f t="shared" si="67"/>
        <v>0</v>
      </c>
      <c r="HA32" s="510">
        <f t="shared" si="177"/>
        <v>0</v>
      </c>
      <c r="HB32" s="508"/>
      <c r="HC32" s="509">
        <f t="shared" si="68"/>
        <v>0</v>
      </c>
      <c r="HD32" s="510">
        <f t="shared" si="178"/>
        <v>0</v>
      </c>
      <c r="HE32" s="508"/>
      <c r="HF32" s="509">
        <f t="shared" si="69"/>
        <v>0</v>
      </c>
      <c r="HG32" s="510">
        <f t="shared" si="179"/>
        <v>0</v>
      </c>
      <c r="HH32" s="508"/>
      <c r="HI32" s="509">
        <f t="shared" si="70"/>
        <v>0</v>
      </c>
      <c r="HJ32" s="510">
        <f t="shared" si="180"/>
        <v>0</v>
      </c>
      <c r="HK32" s="508"/>
      <c r="HL32" s="509">
        <f t="shared" si="71"/>
        <v>0</v>
      </c>
      <c r="HM32" s="510">
        <f t="shared" si="181"/>
        <v>0</v>
      </c>
      <c r="HN32" s="508"/>
      <c r="HO32" s="509">
        <f t="shared" si="72"/>
        <v>0</v>
      </c>
      <c r="HP32" s="510">
        <f t="shared" si="182"/>
        <v>0</v>
      </c>
      <c r="HQ32" s="508"/>
      <c r="HR32" s="509">
        <f t="shared" si="73"/>
        <v>0</v>
      </c>
      <c r="HS32" s="510">
        <f t="shared" si="183"/>
        <v>0</v>
      </c>
      <c r="HT32" s="508"/>
      <c r="HU32" s="509">
        <f t="shared" si="74"/>
        <v>0</v>
      </c>
      <c r="HV32" s="510">
        <f t="shared" si="184"/>
        <v>0</v>
      </c>
      <c r="HW32" s="508"/>
      <c r="HX32" s="509">
        <f t="shared" si="75"/>
        <v>0</v>
      </c>
      <c r="HY32" s="510">
        <f t="shared" si="185"/>
        <v>0</v>
      </c>
      <c r="HZ32" s="508"/>
      <c r="IA32" s="509">
        <f t="shared" si="76"/>
        <v>0</v>
      </c>
      <c r="IB32" s="510">
        <f t="shared" si="186"/>
        <v>0</v>
      </c>
      <c r="IC32" s="508"/>
      <c r="ID32" s="509">
        <f t="shared" si="77"/>
        <v>0</v>
      </c>
      <c r="IE32" s="510">
        <f t="shared" si="187"/>
        <v>0</v>
      </c>
      <c r="IF32" s="508"/>
      <c r="IG32" s="509">
        <f t="shared" si="78"/>
        <v>0</v>
      </c>
      <c r="IH32" s="510">
        <f t="shared" si="188"/>
        <v>0</v>
      </c>
      <c r="II32" s="508"/>
      <c r="IJ32" s="509">
        <f t="shared" si="79"/>
        <v>0</v>
      </c>
      <c r="IK32" s="510">
        <f t="shared" si="189"/>
        <v>0</v>
      </c>
      <c r="IL32" s="508"/>
      <c r="IM32" s="509">
        <f t="shared" si="80"/>
        <v>0</v>
      </c>
      <c r="IN32" s="510">
        <f t="shared" si="190"/>
        <v>0</v>
      </c>
      <c r="IO32" s="508"/>
      <c r="IP32" s="509">
        <f t="shared" si="81"/>
        <v>0</v>
      </c>
      <c r="IQ32" s="510">
        <f t="shared" si="191"/>
        <v>0</v>
      </c>
      <c r="IR32" s="508"/>
      <c r="IS32" s="509">
        <f t="shared" si="82"/>
        <v>0</v>
      </c>
      <c r="IT32" s="510">
        <f t="shared" si="192"/>
        <v>0</v>
      </c>
      <c r="IU32" s="508"/>
      <c r="IV32" s="509">
        <f t="shared" si="83"/>
        <v>0</v>
      </c>
      <c r="IW32" s="510">
        <f t="shared" si="193"/>
        <v>0</v>
      </c>
      <c r="IX32" s="508"/>
      <c r="IY32" s="509">
        <f t="shared" si="84"/>
        <v>0</v>
      </c>
      <c r="IZ32" s="510">
        <f t="shared" si="194"/>
        <v>0</v>
      </c>
      <c r="JA32" s="508"/>
      <c r="JB32" s="509">
        <f t="shared" si="85"/>
        <v>0</v>
      </c>
      <c r="JC32" s="510">
        <f t="shared" si="195"/>
        <v>0</v>
      </c>
      <c r="JD32" s="508"/>
      <c r="JE32" s="509">
        <f t="shared" si="86"/>
        <v>0</v>
      </c>
      <c r="JF32" s="510">
        <f t="shared" si="196"/>
        <v>0</v>
      </c>
      <c r="JG32" s="508"/>
      <c r="JH32" s="509">
        <f t="shared" si="87"/>
        <v>0</v>
      </c>
      <c r="JI32" s="510">
        <f t="shared" si="197"/>
        <v>0</v>
      </c>
      <c r="JJ32" s="508"/>
      <c r="JK32" s="510">
        <f t="shared" si="198"/>
        <v>0</v>
      </c>
      <c r="JL32" s="510" t="str">
        <f t="shared" si="88"/>
        <v>0</v>
      </c>
      <c r="JM32" s="508"/>
      <c r="JN32" s="510" t="str">
        <f t="shared" si="89"/>
        <v>0</v>
      </c>
      <c r="JO32" s="510" t="str">
        <f t="shared" si="90"/>
        <v>0</v>
      </c>
      <c r="JP32" s="508"/>
      <c r="JQ32" s="510" t="str">
        <f t="shared" si="91"/>
        <v>0</v>
      </c>
      <c r="JR32" s="510" t="str">
        <f t="shared" si="92"/>
        <v>0</v>
      </c>
      <c r="JS32" s="508"/>
      <c r="JT32" s="510" t="str">
        <f t="shared" si="93"/>
        <v>0</v>
      </c>
      <c r="JU32" s="510" t="str">
        <f t="shared" si="94"/>
        <v>0</v>
      </c>
      <c r="JV32" s="508"/>
      <c r="JW32" s="510" t="str">
        <f t="shared" si="95"/>
        <v>0</v>
      </c>
      <c r="JX32" s="510" t="str">
        <f t="shared" si="96"/>
        <v>0</v>
      </c>
      <c r="JY32" s="508"/>
      <c r="JZ32" s="510" t="str">
        <f t="shared" si="97"/>
        <v>0</v>
      </c>
      <c r="KA32" s="510" t="str">
        <f t="shared" si="98"/>
        <v>0</v>
      </c>
      <c r="KB32" s="508"/>
      <c r="KC32" s="510" t="str">
        <f t="shared" si="99"/>
        <v>0</v>
      </c>
      <c r="KD32" s="510" t="str">
        <f t="shared" si="100"/>
        <v>0</v>
      </c>
      <c r="KE32" s="508"/>
      <c r="KF32" s="510" t="str">
        <f t="shared" si="101"/>
        <v>0</v>
      </c>
      <c r="KG32" s="510" t="str">
        <f t="shared" si="102"/>
        <v>0</v>
      </c>
      <c r="KH32" s="508"/>
      <c r="KI32" s="510" t="str">
        <f t="shared" si="103"/>
        <v>0</v>
      </c>
      <c r="KJ32" s="510" t="str">
        <f t="shared" si="104"/>
        <v>0</v>
      </c>
      <c r="KK32" s="508"/>
      <c r="KL32" s="510" t="str">
        <f t="shared" si="105"/>
        <v>0</v>
      </c>
      <c r="KM32" s="510" t="str">
        <f t="shared" si="106"/>
        <v>0</v>
      </c>
      <c r="KN32" s="508"/>
      <c r="KO32" s="510" t="str">
        <f t="shared" si="107"/>
        <v>0</v>
      </c>
      <c r="KP32" s="510" t="str">
        <f t="shared" si="108"/>
        <v>0</v>
      </c>
      <c r="KQ32" s="508"/>
      <c r="KR32" s="510" t="str">
        <f t="shared" si="109"/>
        <v>0</v>
      </c>
      <c r="KS32" s="510" t="str">
        <f t="shared" si="110"/>
        <v>0</v>
      </c>
      <c r="KT32" s="510">
        <f t="shared" si="201"/>
        <v>0</v>
      </c>
      <c r="KU32" s="510">
        <f t="shared" si="202"/>
        <v>0</v>
      </c>
      <c r="KV32" s="261">
        <f t="shared" si="199"/>
        <v>549.2581840822196</v>
      </c>
    </row>
    <row r="33" spans="1:308" ht="15" customHeight="1">
      <c r="A33" s="467">
        <f t="shared" si="200"/>
        <v>45862</v>
      </c>
      <c r="B33" s="468" t="str">
        <f>+Report1!B32</f>
        <v>Facial/Toilet</v>
      </c>
      <c r="C33" s="469" t="str">
        <f>+Report1!C32</f>
        <v>12,5/14,5/17</v>
      </c>
      <c r="D33" s="470">
        <f>+Report1!P32</f>
        <v>50.006</v>
      </c>
      <c r="E33" s="471">
        <f>+Report1!R32</f>
        <v>47.076999999999998</v>
      </c>
      <c r="F33" s="508"/>
      <c r="G33" s="509">
        <f t="shared" si="0"/>
        <v>0</v>
      </c>
      <c r="H33" s="510">
        <f t="shared" si="111"/>
        <v>0</v>
      </c>
      <c r="I33" s="508"/>
      <c r="J33" s="509">
        <f t="shared" si="1"/>
        <v>0</v>
      </c>
      <c r="K33" s="510">
        <f t="shared" si="112"/>
        <v>0</v>
      </c>
      <c r="L33" s="508"/>
      <c r="M33" s="509">
        <f t="shared" si="2"/>
        <v>0</v>
      </c>
      <c r="N33" s="510">
        <f t="shared" si="113"/>
        <v>0</v>
      </c>
      <c r="O33" s="508">
        <v>23.999999999999972</v>
      </c>
      <c r="P33" s="509">
        <f t="shared" si="3"/>
        <v>0.50980308855704426</v>
      </c>
      <c r="Q33" s="510">
        <f t="shared" si="114"/>
        <v>0</v>
      </c>
      <c r="R33" s="508">
        <v>7.6875</v>
      </c>
      <c r="S33" s="509">
        <f t="shared" si="4"/>
        <v>0.16329630180342844</v>
      </c>
      <c r="T33" s="510">
        <f t="shared" si="115"/>
        <v>0</v>
      </c>
      <c r="U33" s="508">
        <v>3.125</v>
      </c>
      <c r="V33" s="509">
        <f t="shared" si="5"/>
        <v>6.6380610489198549E-2</v>
      </c>
      <c r="W33" s="510">
        <f t="shared" si="116"/>
        <v>0</v>
      </c>
      <c r="X33" s="508"/>
      <c r="Y33" s="509">
        <f t="shared" si="6"/>
        <v>0</v>
      </c>
      <c r="Z33" s="510">
        <f t="shared" si="117"/>
        <v>0</v>
      </c>
      <c r="AA33" s="508"/>
      <c r="AB33" s="509">
        <f t="shared" si="7"/>
        <v>0</v>
      </c>
      <c r="AC33" s="510">
        <f t="shared" si="118"/>
        <v>0</v>
      </c>
      <c r="AD33" s="508"/>
      <c r="AE33" s="509">
        <f t="shared" si="8"/>
        <v>0</v>
      </c>
      <c r="AF33" s="510">
        <f t="shared" si="119"/>
        <v>0</v>
      </c>
      <c r="AG33" s="508"/>
      <c r="AH33" s="509">
        <f t="shared" si="9"/>
        <v>0</v>
      </c>
      <c r="AI33" s="510">
        <f t="shared" si="120"/>
        <v>0</v>
      </c>
      <c r="AJ33" s="508"/>
      <c r="AK33" s="509">
        <f t="shared" si="10"/>
        <v>0</v>
      </c>
      <c r="AL33" s="510">
        <f t="shared" si="121"/>
        <v>0</v>
      </c>
      <c r="AM33" s="508">
        <v>28.910256410256409</v>
      </c>
      <c r="AN33" s="509">
        <f t="shared" si="11"/>
        <v>0.61410575037186754</v>
      </c>
      <c r="AO33" s="510">
        <f t="shared" si="122"/>
        <v>0</v>
      </c>
      <c r="AP33" s="508"/>
      <c r="AQ33" s="509">
        <f t="shared" si="12"/>
        <v>0</v>
      </c>
      <c r="AR33" s="510">
        <f t="shared" si="123"/>
        <v>0</v>
      </c>
      <c r="AS33" s="508"/>
      <c r="AT33" s="509">
        <f t="shared" si="13"/>
        <v>0</v>
      </c>
      <c r="AU33" s="510">
        <f t="shared" si="124"/>
        <v>0</v>
      </c>
      <c r="AV33" s="508">
        <v>13.875</v>
      </c>
      <c r="AW33" s="509">
        <f t="shared" si="14"/>
        <v>0.29472991057204156</v>
      </c>
      <c r="AX33" s="510">
        <f t="shared" si="125"/>
        <v>0</v>
      </c>
      <c r="AY33" s="508">
        <v>35</v>
      </c>
      <c r="AZ33" s="509">
        <f t="shared" si="15"/>
        <v>0.74346283747902375</v>
      </c>
      <c r="BA33" s="510">
        <f t="shared" si="126"/>
        <v>0</v>
      </c>
      <c r="BB33" s="508"/>
      <c r="BC33" s="509">
        <f t="shared" si="16"/>
        <v>0</v>
      </c>
      <c r="BD33" s="510">
        <f t="shared" si="127"/>
        <v>0</v>
      </c>
      <c r="BE33" s="508"/>
      <c r="BF33" s="509">
        <f t="shared" si="17"/>
        <v>0</v>
      </c>
      <c r="BG33" s="510">
        <f t="shared" si="128"/>
        <v>0</v>
      </c>
      <c r="BH33" s="508"/>
      <c r="BI33" s="509">
        <f t="shared" si="18"/>
        <v>0</v>
      </c>
      <c r="BJ33" s="510">
        <f t="shared" si="129"/>
        <v>0</v>
      </c>
      <c r="BK33" s="508"/>
      <c r="BL33" s="509">
        <f t="shared" si="19"/>
        <v>0</v>
      </c>
      <c r="BM33" s="510">
        <f t="shared" si="130"/>
        <v>0</v>
      </c>
      <c r="BN33" s="508"/>
      <c r="BO33" s="509">
        <f t="shared" si="20"/>
        <v>0</v>
      </c>
      <c r="BP33" s="510">
        <f t="shared" si="131"/>
        <v>0</v>
      </c>
      <c r="BQ33" s="508"/>
      <c r="BR33" s="509">
        <f t="shared" si="21"/>
        <v>0</v>
      </c>
      <c r="BS33" s="510">
        <f t="shared" si="132"/>
        <v>0</v>
      </c>
      <c r="BT33" s="508"/>
      <c r="BU33" s="509">
        <f t="shared" si="22"/>
        <v>0</v>
      </c>
      <c r="BV33" s="510">
        <f t="shared" si="133"/>
        <v>0</v>
      </c>
      <c r="BW33" s="508"/>
      <c r="BX33" s="509">
        <f t="shared" si="23"/>
        <v>0</v>
      </c>
      <c r="BY33" s="510">
        <f t="shared" si="134"/>
        <v>0</v>
      </c>
      <c r="BZ33" s="508"/>
      <c r="CA33" s="509">
        <f t="shared" si="24"/>
        <v>0</v>
      </c>
      <c r="CB33" s="510">
        <f t="shared" si="135"/>
        <v>0</v>
      </c>
      <c r="CC33" s="508"/>
      <c r="CD33" s="509">
        <f t="shared" si="25"/>
        <v>0</v>
      </c>
      <c r="CE33" s="510">
        <f t="shared" si="136"/>
        <v>0</v>
      </c>
      <c r="CF33" s="508">
        <v>10.5</v>
      </c>
      <c r="CG33" s="509">
        <f t="shared" si="26"/>
        <v>0.22303885124370712</v>
      </c>
      <c r="CH33" s="510">
        <f t="shared" si="137"/>
        <v>0</v>
      </c>
      <c r="CI33" s="508"/>
      <c r="CJ33" s="509">
        <f t="shared" si="27"/>
        <v>0</v>
      </c>
      <c r="CK33" s="510">
        <f t="shared" si="138"/>
        <v>0</v>
      </c>
      <c r="CL33" s="508"/>
      <c r="CM33" s="509">
        <f t="shared" si="28"/>
        <v>0</v>
      </c>
      <c r="CN33" s="510">
        <f t="shared" si="139"/>
        <v>0</v>
      </c>
      <c r="CO33" s="508"/>
      <c r="CP33" s="509">
        <f t="shared" si="29"/>
        <v>0</v>
      </c>
      <c r="CQ33" s="510">
        <f t="shared" si="140"/>
        <v>0</v>
      </c>
      <c r="CR33" s="508"/>
      <c r="CS33" s="509">
        <f t="shared" si="30"/>
        <v>0</v>
      </c>
      <c r="CT33" s="510">
        <f t="shared" si="141"/>
        <v>0</v>
      </c>
      <c r="CU33" s="508"/>
      <c r="CV33" s="509">
        <f t="shared" si="31"/>
        <v>0</v>
      </c>
      <c r="CW33" s="510">
        <f t="shared" si="142"/>
        <v>0</v>
      </c>
      <c r="CX33" s="508"/>
      <c r="CY33" s="509">
        <f t="shared" si="32"/>
        <v>0</v>
      </c>
      <c r="CZ33" s="510">
        <f t="shared" si="143"/>
        <v>0</v>
      </c>
      <c r="DA33" s="508"/>
      <c r="DB33" s="509">
        <f t="shared" si="33"/>
        <v>0</v>
      </c>
      <c r="DC33" s="510">
        <f t="shared" si="144"/>
        <v>0</v>
      </c>
      <c r="DD33" s="508"/>
      <c r="DE33" s="509">
        <f t="shared" si="34"/>
        <v>0</v>
      </c>
      <c r="DF33" s="510">
        <f t="shared" si="145"/>
        <v>0</v>
      </c>
      <c r="DG33" s="508"/>
      <c r="DH33" s="509">
        <f t="shared" si="35"/>
        <v>0</v>
      </c>
      <c r="DI33" s="510">
        <f t="shared" si="203"/>
        <v>0</v>
      </c>
      <c r="DJ33" s="508"/>
      <c r="DK33" s="509">
        <f t="shared" si="36"/>
        <v>0</v>
      </c>
      <c r="DL33" s="510">
        <f t="shared" si="146"/>
        <v>0</v>
      </c>
      <c r="DM33" s="508"/>
      <c r="DN33" s="509">
        <f t="shared" si="37"/>
        <v>0</v>
      </c>
      <c r="DO33" s="510">
        <f t="shared" si="147"/>
        <v>0</v>
      </c>
      <c r="DP33" s="508"/>
      <c r="DQ33" s="509">
        <f t="shared" si="38"/>
        <v>0</v>
      </c>
      <c r="DR33" s="510">
        <f t="shared" si="148"/>
        <v>0</v>
      </c>
      <c r="DS33" s="508"/>
      <c r="DT33" s="509">
        <f t="shared" si="39"/>
        <v>0</v>
      </c>
      <c r="DU33" s="510">
        <f t="shared" si="149"/>
        <v>0</v>
      </c>
      <c r="DV33" s="508"/>
      <c r="DW33" s="509">
        <f t="shared" si="40"/>
        <v>0</v>
      </c>
      <c r="DX33" s="510">
        <f t="shared" si="150"/>
        <v>0</v>
      </c>
      <c r="DY33" s="508"/>
      <c r="DZ33" s="509">
        <f t="shared" si="41"/>
        <v>0</v>
      </c>
      <c r="EA33" s="510">
        <f t="shared" si="151"/>
        <v>0</v>
      </c>
      <c r="EB33" s="508">
        <v>140.89411764705881</v>
      </c>
      <c r="EC33" s="509">
        <f t="shared" si="42"/>
        <v>2.9928440139995924</v>
      </c>
      <c r="ED33" s="510">
        <f t="shared" si="152"/>
        <v>0</v>
      </c>
      <c r="EE33" s="508">
        <v>14.534883720930111</v>
      </c>
      <c r="EF33" s="509">
        <f t="shared" si="43"/>
        <v>0.30874702553115346</v>
      </c>
      <c r="EG33" s="510">
        <f t="shared" si="153"/>
        <v>0</v>
      </c>
      <c r="EH33" s="508"/>
      <c r="EI33" s="509">
        <f t="shared" si="44"/>
        <v>0</v>
      </c>
      <c r="EJ33" s="510">
        <f t="shared" si="154"/>
        <v>0</v>
      </c>
      <c r="EK33" s="508"/>
      <c r="EL33" s="509">
        <f t="shared" si="45"/>
        <v>0</v>
      </c>
      <c r="EM33" s="510">
        <f t="shared" si="155"/>
        <v>0</v>
      </c>
      <c r="EN33" s="508"/>
      <c r="EO33" s="509">
        <f t="shared" si="46"/>
        <v>0</v>
      </c>
      <c r="EP33" s="510">
        <f t="shared" si="156"/>
        <v>0</v>
      </c>
      <c r="EQ33" s="508"/>
      <c r="ER33" s="509">
        <f t="shared" si="47"/>
        <v>0</v>
      </c>
      <c r="ES33" s="510">
        <f t="shared" si="157"/>
        <v>0</v>
      </c>
      <c r="ET33" s="508"/>
      <c r="EU33" s="509">
        <f t="shared" si="48"/>
        <v>0</v>
      </c>
      <c r="EV33" s="510">
        <f t="shared" si="158"/>
        <v>0</v>
      </c>
      <c r="EW33" s="508"/>
      <c r="EX33" s="509">
        <f t="shared" si="49"/>
        <v>0</v>
      </c>
      <c r="EY33" s="510">
        <f t="shared" si="159"/>
        <v>0</v>
      </c>
      <c r="EZ33" s="508"/>
      <c r="FA33" s="509">
        <f t="shared" si="50"/>
        <v>0</v>
      </c>
      <c r="FB33" s="510">
        <f t="shared" si="160"/>
        <v>0</v>
      </c>
      <c r="FC33" s="508"/>
      <c r="FD33" s="509">
        <f t="shared" si="51"/>
        <v>0</v>
      </c>
      <c r="FE33" s="510">
        <f t="shared" si="161"/>
        <v>0</v>
      </c>
      <c r="FF33" s="508"/>
      <c r="FG33" s="509">
        <f t="shared" si="52"/>
        <v>0</v>
      </c>
      <c r="FH33" s="510">
        <f t="shared" si="162"/>
        <v>0</v>
      </c>
      <c r="FI33" s="508"/>
      <c r="FJ33" s="509">
        <f t="shared" si="53"/>
        <v>0</v>
      </c>
      <c r="FK33" s="510">
        <f t="shared" si="163"/>
        <v>0</v>
      </c>
      <c r="FL33" s="508"/>
      <c r="FM33" s="509">
        <f t="shared" si="54"/>
        <v>0</v>
      </c>
      <c r="FN33" s="510">
        <f t="shared" si="164"/>
        <v>0</v>
      </c>
      <c r="FO33" s="508"/>
      <c r="FP33" s="509">
        <f t="shared" si="55"/>
        <v>0</v>
      </c>
      <c r="FQ33" s="510">
        <f t="shared" si="165"/>
        <v>0</v>
      </c>
      <c r="FR33" s="508"/>
      <c r="FS33" s="509">
        <f t="shared" si="56"/>
        <v>0</v>
      </c>
      <c r="FT33" s="510">
        <f t="shared" si="166"/>
        <v>0</v>
      </c>
      <c r="FU33" s="508"/>
      <c r="FV33" s="509">
        <f t="shared" si="57"/>
        <v>0</v>
      </c>
      <c r="FW33" s="510">
        <f t="shared" si="167"/>
        <v>0</v>
      </c>
      <c r="FX33" s="508"/>
      <c r="FY33" s="509">
        <f t="shared" si="58"/>
        <v>0</v>
      </c>
      <c r="FZ33" s="510">
        <f t="shared" si="168"/>
        <v>0</v>
      </c>
      <c r="GA33" s="508"/>
      <c r="GB33" s="509">
        <f t="shared" si="59"/>
        <v>0</v>
      </c>
      <c r="GC33" s="510">
        <f t="shared" si="169"/>
        <v>0</v>
      </c>
      <c r="GD33" s="508"/>
      <c r="GE33" s="509">
        <f t="shared" si="60"/>
        <v>0</v>
      </c>
      <c r="GF33" s="510">
        <f t="shared" si="170"/>
        <v>0</v>
      </c>
      <c r="GG33" s="508">
        <v>4.8743542255580463</v>
      </c>
      <c r="GH33" s="509">
        <f t="shared" si="61"/>
        <v>0.10354003495460727</v>
      </c>
      <c r="GI33" s="510">
        <f t="shared" si="171"/>
        <v>0</v>
      </c>
      <c r="GJ33" s="508">
        <v>4.8743542255580463</v>
      </c>
      <c r="GK33" s="509">
        <f t="shared" si="62"/>
        <v>0.10354003495460727</v>
      </c>
      <c r="GL33" s="510">
        <f t="shared" si="172"/>
        <v>0</v>
      </c>
      <c r="GM33" s="508"/>
      <c r="GN33" s="509">
        <f t="shared" si="63"/>
        <v>0</v>
      </c>
      <c r="GO33" s="510">
        <f t="shared" si="173"/>
        <v>0</v>
      </c>
      <c r="GP33" s="508">
        <v>31.683302466127301</v>
      </c>
      <c r="GQ33" s="509">
        <f t="shared" si="64"/>
        <v>0.6730102272049473</v>
      </c>
      <c r="GR33" s="510">
        <f t="shared" si="174"/>
        <v>0</v>
      </c>
      <c r="GS33" s="508">
        <v>194.97416902232186</v>
      </c>
      <c r="GT33" s="509">
        <f t="shared" si="65"/>
        <v>4.1416013981842914</v>
      </c>
      <c r="GU33" s="510">
        <f t="shared" si="175"/>
        <v>0</v>
      </c>
      <c r="GV33" s="508"/>
      <c r="GW33" s="509">
        <f t="shared" si="66"/>
        <v>0</v>
      </c>
      <c r="GX33" s="510">
        <f t="shared" si="176"/>
        <v>0</v>
      </c>
      <c r="GY33" s="508"/>
      <c r="GZ33" s="509">
        <f t="shared" si="67"/>
        <v>0</v>
      </c>
      <c r="HA33" s="510">
        <f t="shared" si="177"/>
        <v>0</v>
      </c>
      <c r="HB33" s="508"/>
      <c r="HC33" s="509">
        <f t="shared" si="68"/>
        <v>0</v>
      </c>
      <c r="HD33" s="510">
        <f t="shared" si="178"/>
        <v>0</v>
      </c>
      <c r="HE33" s="508"/>
      <c r="HF33" s="509">
        <f t="shared" si="69"/>
        <v>0</v>
      </c>
      <c r="HG33" s="510">
        <f t="shared" si="179"/>
        <v>0</v>
      </c>
      <c r="HH33" s="508"/>
      <c r="HI33" s="509">
        <f t="shared" si="70"/>
        <v>0</v>
      </c>
      <c r="HJ33" s="510">
        <f t="shared" si="180"/>
        <v>0</v>
      </c>
      <c r="HK33" s="508"/>
      <c r="HL33" s="509">
        <f t="shared" si="71"/>
        <v>0</v>
      </c>
      <c r="HM33" s="510">
        <f t="shared" si="181"/>
        <v>0</v>
      </c>
      <c r="HN33" s="508">
        <v>753.08772784871815</v>
      </c>
      <c r="HO33" s="509">
        <f t="shared" si="72"/>
        <v>15.996935400486823</v>
      </c>
      <c r="HP33" s="510">
        <f t="shared" si="182"/>
        <v>0</v>
      </c>
      <c r="HQ33" s="508"/>
      <c r="HR33" s="509">
        <f t="shared" si="73"/>
        <v>0</v>
      </c>
      <c r="HS33" s="510">
        <f t="shared" si="183"/>
        <v>0</v>
      </c>
      <c r="HT33" s="508"/>
      <c r="HU33" s="509">
        <f t="shared" si="74"/>
        <v>0</v>
      </c>
      <c r="HV33" s="510">
        <f t="shared" si="184"/>
        <v>0</v>
      </c>
      <c r="HW33" s="508"/>
      <c r="HX33" s="509">
        <f t="shared" si="75"/>
        <v>0</v>
      </c>
      <c r="HY33" s="510">
        <f t="shared" si="185"/>
        <v>0</v>
      </c>
      <c r="HZ33" s="508"/>
      <c r="IA33" s="509">
        <f t="shared" si="76"/>
        <v>0</v>
      </c>
      <c r="IB33" s="510">
        <f t="shared" si="186"/>
        <v>0</v>
      </c>
      <c r="IC33" s="508"/>
      <c r="ID33" s="509">
        <f t="shared" si="77"/>
        <v>0</v>
      </c>
      <c r="IE33" s="510">
        <f t="shared" si="187"/>
        <v>0</v>
      </c>
      <c r="IF33" s="508"/>
      <c r="IG33" s="509">
        <f t="shared" si="78"/>
        <v>0</v>
      </c>
      <c r="IH33" s="510">
        <f t="shared" si="188"/>
        <v>0</v>
      </c>
      <c r="II33" s="508">
        <v>19.497416902232185</v>
      </c>
      <c r="IJ33" s="509">
        <f t="shared" si="79"/>
        <v>0.41416013981842908</v>
      </c>
      <c r="IK33" s="510">
        <f t="shared" si="189"/>
        <v>0</v>
      </c>
      <c r="IL33" s="508"/>
      <c r="IM33" s="509">
        <f t="shared" si="80"/>
        <v>0</v>
      </c>
      <c r="IN33" s="510">
        <f t="shared" si="190"/>
        <v>0</v>
      </c>
      <c r="IO33" s="508"/>
      <c r="IP33" s="509">
        <f t="shared" si="81"/>
        <v>0</v>
      </c>
      <c r="IQ33" s="510">
        <f t="shared" si="191"/>
        <v>0</v>
      </c>
      <c r="IR33" s="508">
        <v>43.869188030022414</v>
      </c>
      <c r="IS33" s="509">
        <f t="shared" si="82"/>
        <v>0.93186031459146534</v>
      </c>
      <c r="IT33" s="510">
        <f t="shared" si="192"/>
        <v>0</v>
      </c>
      <c r="IU33" s="508"/>
      <c r="IV33" s="509">
        <f t="shared" si="83"/>
        <v>0</v>
      </c>
      <c r="IW33" s="510">
        <f t="shared" si="193"/>
        <v>0</v>
      </c>
      <c r="IX33" s="508"/>
      <c r="IY33" s="509">
        <f t="shared" si="84"/>
        <v>0</v>
      </c>
      <c r="IZ33" s="510">
        <f t="shared" si="194"/>
        <v>0</v>
      </c>
      <c r="JA33" s="508"/>
      <c r="JB33" s="509">
        <f t="shared" si="85"/>
        <v>0</v>
      </c>
      <c r="JC33" s="510">
        <f t="shared" si="195"/>
        <v>0</v>
      </c>
      <c r="JD33" s="508"/>
      <c r="JE33" s="509">
        <f t="shared" si="86"/>
        <v>0</v>
      </c>
      <c r="JF33" s="510">
        <f t="shared" si="196"/>
        <v>0</v>
      </c>
      <c r="JG33" s="508"/>
      <c r="JH33" s="509">
        <f t="shared" si="87"/>
        <v>0</v>
      </c>
      <c r="JI33" s="510">
        <f t="shared" si="197"/>
        <v>0</v>
      </c>
      <c r="JJ33" s="508">
        <v>17.060239789453163</v>
      </c>
      <c r="JK33" s="510">
        <f t="shared" si="198"/>
        <v>0.3623901223411255</v>
      </c>
      <c r="JL33" s="510" t="str">
        <f t="shared" si="88"/>
        <v>0</v>
      </c>
      <c r="JM33" s="508"/>
      <c r="JN33" s="510" t="str">
        <f t="shared" si="89"/>
        <v>0</v>
      </c>
      <c r="JO33" s="510" t="str">
        <f t="shared" si="90"/>
        <v>0</v>
      </c>
      <c r="JP33" s="508"/>
      <c r="JQ33" s="510" t="str">
        <f t="shared" si="91"/>
        <v>0</v>
      </c>
      <c r="JR33" s="510" t="str">
        <f t="shared" si="92"/>
        <v>0</v>
      </c>
      <c r="JS33" s="508"/>
      <c r="JT33" s="510" t="str">
        <f t="shared" si="93"/>
        <v>0</v>
      </c>
      <c r="JU33" s="510" t="str">
        <f t="shared" si="94"/>
        <v>0</v>
      </c>
      <c r="JV33" s="508"/>
      <c r="JW33" s="510" t="str">
        <f t="shared" si="95"/>
        <v>0</v>
      </c>
      <c r="JX33" s="510" t="str">
        <f t="shared" si="96"/>
        <v>0</v>
      </c>
      <c r="JY33" s="508"/>
      <c r="JZ33" s="510" t="str">
        <f t="shared" si="97"/>
        <v>0</v>
      </c>
      <c r="KA33" s="510" t="str">
        <f t="shared" si="98"/>
        <v>0</v>
      </c>
      <c r="KB33" s="508"/>
      <c r="KC33" s="510" t="str">
        <f t="shared" si="99"/>
        <v>0</v>
      </c>
      <c r="KD33" s="510" t="str">
        <f t="shared" si="100"/>
        <v>0</v>
      </c>
      <c r="KE33" s="508"/>
      <c r="KF33" s="510" t="str">
        <f t="shared" si="101"/>
        <v>0</v>
      </c>
      <c r="KG33" s="510" t="str">
        <f t="shared" si="102"/>
        <v>0</v>
      </c>
      <c r="KH33" s="508"/>
      <c r="KI33" s="510" t="str">
        <f t="shared" si="103"/>
        <v>0</v>
      </c>
      <c r="KJ33" s="510" t="str">
        <f t="shared" si="104"/>
        <v>0</v>
      </c>
      <c r="KK33" s="508"/>
      <c r="KL33" s="510" t="str">
        <f t="shared" si="105"/>
        <v>0</v>
      </c>
      <c r="KM33" s="510" t="str">
        <f t="shared" si="106"/>
        <v>0</v>
      </c>
      <c r="KN33" s="508"/>
      <c r="KO33" s="510" t="str">
        <f t="shared" si="107"/>
        <v>0</v>
      </c>
      <c r="KP33" s="510" t="str">
        <f t="shared" si="108"/>
        <v>0</v>
      </c>
      <c r="KQ33" s="508"/>
      <c r="KR33" s="510" t="str">
        <f t="shared" si="109"/>
        <v>0</v>
      </c>
      <c r="KS33" s="510" t="str">
        <f t="shared" si="110"/>
        <v>0</v>
      </c>
      <c r="KT33" s="510">
        <f t="shared" si="201"/>
        <v>0</v>
      </c>
      <c r="KU33" s="510">
        <f t="shared" si="202"/>
        <v>0</v>
      </c>
      <c r="KV33" s="261">
        <f t="shared" si="199"/>
        <v>1348.4475102882363</v>
      </c>
    </row>
    <row r="34" spans="1:308" ht="15" customHeight="1">
      <c r="A34" s="467">
        <f t="shared" si="200"/>
        <v>45863</v>
      </c>
      <c r="B34" s="468" t="str">
        <f>+Report1!B33</f>
        <v>Toilet</v>
      </c>
      <c r="C34" s="469" t="str">
        <f>+Report1!C33</f>
        <v>17/19/20</v>
      </c>
      <c r="D34" s="470">
        <f>+Report1!P33</f>
        <v>54.65</v>
      </c>
      <c r="E34" s="471">
        <f>+Report1!R33</f>
        <v>47.622999999999998</v>
      </c>
      <c r="F34" s="508"/>
      <c r="G34" s="509">
        <f t="shared" si="0"/>
        <v>0</v>
      </c>
      <c r="H34" s="510">
        <f t="shared" si="111"/>
        <v>0</v>
      </c>
      <c r="I34" s="508"/>
      <c r="J34" s="509">
        <f t="shared" si="1"/>
        <v>0</v>
      </c>
      <c r="K34" s="510">
        <f t="shared" si="112"/>
        <v>0</v>
      </c>
      <c r="L34" s="508"/>
      <c r="M34" s="509">
        <f t="shared" si="2"/>
        <v>0</v>
      </c>
      <c r="N34" s="510">
        <f t="shared" si="113"/>
        <v>0</v>
      </c>
      <c r="O34" s="508">
        <v>21</v>
      </c>
      <c r="P34" s="509">
        <f t="shared" si="3"/>
        <v>0.44096340003779688</v>
      </c>
      <c r="Q34" s="510">
        <f t="shared" si="114"/>
        <v>0</v>
      </c>
      <c r="R34" s="508">
        <v>7.6875</v>
      </c>
      <c r="S34" s="509">
        <f t="shared" si="4"/>
        <v>0.16142410179955063</v>
      </c>
      <c r="T34" s="510">
        <f t="shared" si="115"/>
        <v>0</v>
      </c>
      <c r="U34" s="508">
        <v>4.6874999999999716</v>
      </c>
      <c r="V34" s="509">
        <f t="shared" si="5"/>
        <v>9.8429330365579062E-2</v>
      </c>
      <c r="W34" s="510">
        <f t="shared" si="116"/>
        <v>0</v>
      </c>
      <c r="X34" s="508"/>
      <c r="Y34" s="509">
        <f t="shared" si="6"/>
        <v>0</v>
      </c>
      <c r="Z34" s="510">
        <f t="shared" si="117"/>
        <v>0</v>
      </c>
      <c r="AA34" s="508"/>
      <c r="AB34" s="509">
        <f t="shared" si="7"/>
        <v>0</v>
      </c>
      <c r="AC34" s="510">
        <f t="shared" si="118"/>
        <v>0</v>
      </c>
      <c r="AD34" s="508"/>
      <c r="AE34" s="509">
        <f t="shared" si="8"/>
        <v>0</v>
      </c>
      <c r="AF34" s="510">
        <f t="shared" si="119"/>
        <v>0</v>
      </c>
      <c r="AG34" s="508"/>
      <c r="AH34" s="509">
        <f t="shared" si="9"/>
        <v>0</v>
      </c>
      <c r="AI34" s="510">
        <f t="shared" si="120"/>
        <v>0</v>
      </c>
      <c r="AJ34" s="508"/>
      <c r="AK34" s="509">
        <f t="shared" si="10"/>
        <v>0</v>
      </c>
      <c r="AL34" s="510">
        <f t="shared" si="121"/>
        <v>0</v>
      </c>
      <c r="AM34" s="508">
        <v>42.051282051282044</v>
      </c>
      <c r="AN34" s="509">
        <f t="shared" si="11"/>
        <v>0.88300363377531965</v>
      </c>
      <c r="AO34" s="510">
        <f t="shared" si="122"/>
        <v>0</v>
      </c>
      <c r="AP34" s="508"/>
      <c r="AQ34" s="509">
        <f t="shared" si="12"/>
        <v>0</v>
      </c>
      <c r="AR34" s="510">
        <f t="shared" si="123"/>
        <v>0</v>
      </c>
      <c r="AS34" s="508"/>
      <c r="AT34" s="509">
        <f t="shared" si="13"/>
        <v>0</v>
      </c>
      <c r="AU34" s="510">
        <f t="shared" si="124"/>
        <v>0</v>
      </c>
      <c r="AV34" s="508">
        <v>5.5500000000000114</v>
      </c>
      <c r="AW34" s="509">
        <f t="shared" si="14"/>
        <v>0.11654032715284655</v>
      </c>
      <c r="AX34" s="510">
        <f t="shared" si="125"/>
        <v>0</v>
      </c>
      <c r="AY34" s="508">
        <v>39.666666666666686</v>
      </c>
      <c r="AZ34" s="509">
        <f t="shared" si="15"/>
        <v>0.83293086673806116</v>
      </c>
      <c r="BA34" s="510">
        <f t="shared" si="126"/>
        <v>0</v>
      </c>
      <c r="BB34" s="508"/>
      <c r="BC34" s="509">
        <f t="shared" si="16"/>
        <v>0</v>
      </c>
      <c r="BD34" s="510">
        <f t="shared" si="127"/>
        <v>0</v>
      </c>
      <c r="BE34" s="508"/>
      <c r="BF34" s="509">
        <f t="shared" si="17"/>
        <v>0</v>
      </c>
      <c r="BG34" s="510">
        <f t="shared" si="128"/>
        <v>0</v>
      </c>
      <c r="BH34" s="508"/>
      <c r="BI34" s="509">
        <f t="shared" si="18"/>
        <v>0</v>
      </c>
      <c r="BJ34" s="510">
        <f t="shared" si="129"/>
        <v>0</v>
      </c>
      <c r="BK34" s="508"/>
      <c r="BL34" s="509">
        <f t="shared" si="19"/>
        <v>0</v>
      </c>
      <c r="BM34" s="510">
        <f t="shared" si="130"/>
        <v>0</v>
      </c>
      <c r="BN34" s="508"/>
      <c r="BO34" s="509">
        <f t="shared" si="20"/>
        <v>0</v>
      </c>
      <c r="BP34" s="510">
        <f t="shared" si="131"/>
        <v>0</v>
      </c>
      <c r="BQ34" s="508"/>
      <c r="BR34" s="509">
        <f t="shared" si="21"/>
        <v>0</v>
      </c>
      <c r="BS34" s="510">
        <f t="shared" si="132"/>
        <v>0</v>
      </c>
      <c r="BT34" s="508"/>
      <c r="BU34" s="509">
        <f t="shared" si="22"/>
        <v>0</v>
      </c>
      <c r="BV34" s="510">
        <f t="shared" si="133"/>
        <v>0</v>
      </c>
      <c r="BW34" s="508"/>
      <c r="BX34" s="509">
        <f t="shared" si="23"/>
        <v>0</v>
      </c>
      <c r="BY34" s="510">
        <f t="shared" si="134"/>
        <v>0</v>
      </c>
      <c r="BZ34" s="508"/>
      <c r="CA34" s="509">
        <f t="shared" si="24"/>
        <v>0</v>
      </c>
      <c r="CB34" s="510">
        <f t="shared" si="135"/>
        <v>0</v>
      </c>
      <c r="CC34" s="508"/>
      <c r="CD34" s="509">
        <f t="shared" si="25"/>
        <v>0</v>
      </c>
      <c r="CE34" s="510">
        <f t="shared" si="136"/>
        <v>0</v>
      </c>
      <c r="CF34" s="508">
        <v>10.5</v>
      </c>
      <c r="CG34" s="509">
        <f t="shared" si="26"/>
        <v>0.22048170001889844</v>
      </c>
      <c r="CH34" s="510">
        <f t="shared" si="137"/>
        <v>0</v>
      </c>
      <c r="CI34" s="508"/>
      <c r="CJ34" s="509">
        <f t="shared" si="27"/>
        <v>0</v>
      </c>
      <c r="CK34" s="510">
        <f t="shared" si="138"/>
        <v>0</v>
      </c>
      <c r="CL34" s="508"/>
      <c r="CM34" s="509">
        <f t="shared" si="28"/>
        <v>0</v>
      </c>
      <c r="CN34" s="510">
        <f t="shared" si="139"/>
        <v>0</v>
      </c>
      <c r="CO34" s="508"/>
      <c r="CP34" s="509">
        <f t="shared" si="29"/>
        <v>0</v>
      </c>
      <c r="CQ34" s="510">
        <f t="shared" si="140"/>
        <v>0</v>
      </c>
      <c r="CR34" s="508"/>
      <c r="CS34" s="509">
        <f t="shared" si="30"/>
        <v>0</v>
      </c>
      <c r="CT34" s="510">
        <f t="shared" si="141"/>
        <v>0</v>
      </c>
      <c r="CU34" s="508"/>
      <c r="CV34" s="509">
        <f t="shared" si="31"/>
        <v>0</v>
      </c>
      <c r="CW34" s="510">
        <f t="shared" si="142"/>
        <v>0</v>
      </c>
      <c r="CX34" s="508"/>
      <c r="CY34" s="509">
        <f t="shared" si="32"/>
        <v>0</v>
      </c>
      <c r="CZ34" s="510">
        <f t="shared" si="143"/>
        <v>0</v>
      </c>
      <c r="DA34" s="508">
        <v>174.41860465116292</v>
      </c>
      <c r="DB34" s="509">
        <f t="shared" si="33"/>
        <v>3.6624867112773853</v>
      </c>
      <c r="DC34" s="510">
        <f t="shared" si="144"/>
        <v>0</v>
      </c>
      <c r="DD34" s="508"/>
      <c r="DE34" s="509">
        <f t="shared" si="34"/>
        <v>0</v>
      </c>
      <c r="DF34" s="510">
        <f t="shared" si="145"/>
        <v>0</v>
      </c>
      <c r="DG34" s="508"/>
      <c r="DH34" s="509">
        <f t="shared" si="35"/>
        <v>0</v>
      </c>
      <c r="DI34" s="510">
        <f t="shared" si="203"/>
        <v>0</v>
      </c>
      <c r="DJ34" s="508"/>
      <c r="DK34" s="509">
        <f t="shared" si="36"/>
        <v>0</v>
      </c>
      <c r="DL34" s="510">
        <f t="shared" si="146"/>
        <v>0</v>
      </c>
      <c r="DM34" s="508"/>
      <c r="DN34" s="509">
        <f t="shared" si="37"/>
        <v>0</v>
      </c>
      <c r="DO34" s="510">
        <f t="shared" si="147"/>
        <v>0</v>
      </c>
      <c r="DP34" s="508"/>
      <c r="DQ34" s="509">
        <f t="shared" si="38"/>
        <v>0</v>
      </c>
      <c r="DR34" s="510">
        <f t="shared" si="148"/>
        <v>0</v>
      </c>
      <c r="DS34" s="508"/>
      <c r="DT34" s="509">
        <f t="shared" si="39"/>
        <v>0</v>
      </c>
      <c r="DU34" s="510">
        <f t="shared" si="149"/>
        <v>0</v>
      </c>
      <c r="DV34" s="508"/>
      <c r="DW34" s="509">
        <f t="shared" si="40"/>
        <v>0</v>
      </c>
      <c r="DX34" s="510">
        <f t="shared" si="150"/>
        <v>0</v>
      </c>
      <c r="DY34" s="508"/>
      <c r="DZ34" s="509">
        <f t="shared" si="41"/>
        <v>0</v>
      </c>
      <c r="EA34" s="510">
        <f t="shared" si="151"/>
        <v>0</v>
      </c>
      <c r="EB34" s="508">
        <v>187.85882352941167</v>
      </c>
      <c r="EC34" s="509">
        <f t="shared" si="42"/>
        <v>3.9447078833633262</v>
      </c>
      <c r="ED34" s="510">
        <f t="shared" si="152"/>
        <v>0</v>
      </c>
      <c r="EE34" s="508">
        <v>21.80232558139528</v>
      </c>
      <c r="EF34" s="509">
        <f t="shared" si="43"/>
        <v>0.45781083890967139</v>
      </c>
      <c r="EG34" s="510">
        <f t="shared" si="153"/>
        <v>0</v>
      </c>
      <c r="EH34" s="508"/>
      <c r="EI34" s="509">
        <f t="shared" si="44"/>
        <v>0</v>
      </c>
      <c r="EJ34" s="510">
        <f t="shared" si="154"/>
        <v>0</v>
      </c>
      <c r="EK34" s="508"/>
      <c r="EL34" s="509">
        <f t="shared" si="45"/>
        <v>0</v>
      </c>
      <c r="EM34" s="510">
        <f t="shared" si="155"/>
        <v>0</v>
      </c>
      <c r="EN34" s="508"/>
      <c r="EO34" s="509">
        <f t="shared" si="46"/>
        <v>0</v>
      </c>
      <c r="EP34" s="510">
        <f t="shared" si="156"/>
        <v>0</v>
      </c>
      <c r="EQ34" s="508"/>
      <c r="ER34" s="509">
        <f t="shared" si="47"/>
        <v>0</v>
      </c>
      <c r="ES34" s="510">
        <f t="shared" si="157"/>
        <v>0</v>
      </c>
      <c r="ET34" s="508"/>
      <c r="EU34" s="509">
        <f t="shared" si="48"/>
        <v>0</v>
      </c>
      <c r="EV34" s="510">
        <f t="shared" si="158"/>
        <v>0</v>
      </c>
      <c r="EW34" s="508"/>
      <c r="EX34" s="509">
        <f t="shared" si="49"/>
        <v>0</v>
      </c>
      <c r="EY34" s="510">
        <f t="shared" si="159"/>
        <v>0</v>
      </c>
      <c r="EZ34" s="508"/>
      <c r="FA34" s="509">
        <f t="shared" si="50"/>
        <v>0</v>
      </c>
      <c r="FB34" s="510">
        <f t="shared" si="160"/>
        <v>0</v>
      </c>
      <c r="FC34" s="508"/>
      <c r="FD34" s="509">
        <f t="shared" si="51"/>
        <v>0</v>
      </c>
      <c r="FE34" s="510">
        <f t="shared" si="161"/>
        <v>0</v>
      </c>
      <c r="FF34" s="508"/>
      <c r="FG34" s="509">
        <f t="shared" si="52"/>
        <v>0</v>
      </c>
      <c r="FH34" s="510">
        <f t="shared" si="162"/>
        <v>0</v>
      </c>
      <c r="FI34" s="508"/>
      <c r="FJ34" s="509">
        <f t="shared" si="53"/>
        <v>0</v>
      </c>
      <c r="FK34" s="510">
        <f t="shared" si="163"/>
        <v>0</v>
      </c>
      <c r="FL34" s="508"/>
      <c r="FM34" s="509">
        <f t="shared" si="54"/>
        <v>0</v>
      </c>
      <c r="FN34" s="510">
        <f t="shared" si="164"/>
        <v>0</v>
      </c>
      <c r="FO34" s="508"/>
      <c r="FP34" s="509">
        <f t="shared" si="55"/>
        <v>0</v>
      </c>
      <c r="FQ34" s="510">
        <f t="shared" si="165"/>
        <v>0</v>
      </c>
      <c r="FR34" s="508"/>
      <c r="FS34" s="509">
        <f t="shared" si="56"/>
        <v>0</v>
      </c>
      <c r="FT34" s="510">
        <f t="shared" si="166"/>
        <v>0</v>
      </c>
      <c r="FU34" s="508"/>
      <c r="FV34" s="509">
        <f t="shared" si="57"/>
        <v>0</v>
      </c>
      <c r="FW34" s="510">
        <f t="shared" si="167"/>
        <v>0</v>
      </c>
      <c r="FX34" s="508"/>
      <c r="FY34" s="509">
        <f t="shared" si="58"/>
        <v>0</v>
      </c>
      <c r="FZ34" s="510">
        <f t="shared" si="168"/>
        <v>0</v>
      </c>
      <c r="GA34" s="508"/>
      <c r="GB34" s="509">
        <f t="shared" si="59"/>
        <v>0</v>
      </c>
      <c r="GC34" s="510">
        <f t="shared" si="169"/>
        <v>0</v>
      </c>
      <c r="GD34" s="508"/>
      <c r="GE34" s="509">
        <f t="shared" si="60"/>
        <v>0</v>
      </c>
      <c r="GF34" s="510">
        <f t="shared" si="170"/>
        <v>0</v>
      </c>
      <c r="GG34" s="508">
        <v>4.9563316797112353</v>
      </c>
      <c r="GH34" s="509">
        <f t="shared" si="61"/>
        <v>0.10407432710478624</v>
      </c>
      <c r="GI34" s="510">
        <f t="shared" si="171"/>
        <v>0</v>
      </c>
      <c r="GJ34" s="508">
        <v>4.9563316797112353</v>
      </c>
      <c r="GK34" s="509">
        <f t="shared" si="62"/>
        <v>0.10407432710478624</v>
      </c>
      <c r="GL34" s="510">
        <f t="shared" si="172"/>
        <v>0</v>
      </c>
      <c r="GM34" s="508"/>
      <c r="GN34" s="509">
        <f t="shared" si="63"/>
        <v>0</v>
      </c>
      <c r="GO34" s="510">
        <f t="shared" si="173"/>
        <v>0</v>
      </c>
      <c r="GP34" s="508">
        <v>32.216155918123029</v>
      </c>
      <c r="GQ34" s="509">
        <f t="shared" si="64"/>
        <v>0.67648312618111062</v>
      </c>
      <c r="GR34" s="510">
        <f t="shared" si="174"/>
        <v>0</v>
      </c>
      <c r="GS34" s="508">
        <v>223.0349255870056</v>
      </c>
      <c r="GT34" s="509">
        <f t="shared" si="65"/>
        <v>4.6833447197153815</v>
      </c>
      <c r="GU34" s="510">
        <f t="shared" si="175"/>
        <v>0</v>
      </c>
      <c r="GV34" s="508"/>
      <c r="GW34" s="509">
        <f t="shared" si="66"/>
        <v>0</v>
      </c>
      <c r="GX34" s="510">
        <f t="shared" si="176"/>
        <v>0</v>
      </c>
      <c r="GY34" s="508"/>
      <c r="GZ34" s="509">
        <f t="shared" si="67"/>
        <v>0</v>
      </c>
      <c r="HA34" s="510">
        <f t="shared" si="177"/>
        <v>0</v>
      </c>
      <c r="HB34" s="508"/>
      <c r="HC34" s="509">
        <f t="shared" si="68"/>
        <v>0</v>
      </c>
      <c r="HD34" s="510">
        <f t="shared" si="178"/>
        <v>0</v>
      </c>
      <c r="HE34" s="508"/>
      <c r="HF34" s="509">
        <f t="shared" si="69"/>
        <v>0</v>
      </c>
      <c r="HG34" s="510">
        <f t="shared" si="179"/>
        <v>0</v>
      </c>
      <c r="HH34" s="508"/>
      <c r="HI34" s="509">
        <f t="shared" si="70"/>
        <v>0</v>
      </c>
      <c r="HJ34" s="510">
        <f t="shared" si="180"/>
        <v>0</v>
      </c>
      <c r="HK34" s="508"/>
      <c r="HL34" s="509">
        <f t="shared" si="71"/>
        <v>0</v>
      </c>
      <c r="HM34" s="510">
        <f t="shared" si="181"/>
        <v>0</v>
      </c>
      <c r="HN34" s="508">
        <v>617.06329412404887</v>
      </c>
      <c r="HO34" s="509">
        <f t="shared" si="72"/>
        <v>12.95725372454589</v>
      </c>
      <c r="HP34" s="510">
        <f t="shared" si="182"/>
        <v>0</v>
      </c>
      <c r="HQ34" s="508"/>
      <c r="HR34" s="509">
        <f t="shared" si="73"/>
        <v>0</v>
      </c>
      <c r="HS34" s="510">
        <f t="shared" si="183"/>
        <v>0</v>
      </c>
      <c r="HT34" s="508"/>
      <c r="HU34" s="509">
        <f t="shared" si="74"/>
        <v>0</v>
      </c>
      <c r="HV34" s="510">
        <f t="shared" si="184"/>
        <v>0</v>
      </c>
      <c r="HW34" s="508"/>
      <c r="HX34" s="509">
        <f t="shared" si="75"/>
        <v>0</v>
      </c>
      <c r="HY34" s="510">
        <f t="shared" si="185"/>
        <v>0</v>
      </c>
      <c r="HZ34" s="508"/>
      <c r="IA34" s="509">
        <f t="shared" si="76"/>
        <v>0</v>
      </c>
      <c r="IB34" s="510">
        <f t="shared" si="186"/>
        <v>0</v>
      </c>
      <c r="IC34" s="508"/>
      <c r="ID34" s="509">
        <f t="shared" si="77"/>
        <v>0</v>
      </c>
      <c r="IE34" s="510">
        <f t="shared" si="187"/>
        <v>0</v>
      </c>
      <c r="IF34" s="508"/>
      <c r="IG34" s="509">
        <f t="shared" si="78"/>
        <v>0</v>
      </c>
      <c r="IH34" s="510">
        <f t="shared" si="188"/>
        <v>0</v>
      </c>
      <c r="II34" s="508">
        <v>22.303492558700562</v>
      </c>
      <c r="IJ34" s="509">
        <f t="shared" si="79"/>
        <v>0.46833447197153816</v>
      </c>
      <c r="IK34" s="510">
        <f t="shared" si="189"/>
        <v>0</v>
      </c>
      <c r="IL34" s="508"/>
      <c r="IM34" s="509">
        <f t="shared" si="80"/>
        <v>0</v>
      </c>
      <c r="IN34" s="510">
        <f t="shared" si="190"/>
        <v>0</v>
      </c>
      <c r="IO34" s="508"/>
      <c r="IP34" s="509">
        <f t="shared" si="81"/>
        <v>0</v>
      </c>
      <c r="IQ34" s="510">
        <f t="shared" si="191"/>
        <v>0</v>
      </c>
      <c r="IR34" s="508">
        <v>49.563316797112357</v>
      </c>
      <c r="IS34" s="509">
        <f t="shared" si="82"/>
        <v>1.0407432710478626</v>
      </c>
      <c r="IT34" s="510">
        <f t="shared" si="192"/>
        <v>0</v>
      </c>
      <c r="IU34" s="508"/>
      <c r="IV34" s="509">
        <f t="shared" si="83"/>
        <v>0</v>
      </c>
      <c r="IW34" s="510">
        <f t="shared" si="193"/>
        <v>0</v>
      </c>
      <c r="IX34" s="508"/>
      <c r="IY34" s="509">
        <f t="shared" si="84"/>
        <v>0</v>
      </c>
      <c r="IZ34" s="510">
        <f t="shared" si="194"/>
        <v>0</v>
      </c>
      <c r="JA34" s="508"/>
      <c r="JB34" s="509">
        <f t="shared" si="85"/>
        <v>0</v>
      </c>
      <c r="JC34" s="510">
        <f t="shared" si="195"/>
        <v>0</v>
      </c>
      <c r="JD34" s="508"/>
      <c r="JE34" s="509">
        <f t="shared" si="86"/>
        <v>0</v>
      </c>
      <c r="JF34" s="510">
        <f t="shared" si="196"/>
        <v>0</v>
      </c>
      <c r="JG34" s="508"/>
      <c r="JH34" s="509">
        <f t="shared" si="87"/>
        <v>0</v>
      </c>
      <c r="JI34" s="510">
        <f t="shared" si="197"/>
        <v>0</v>
      </c>
      <c r="JJ34" s="508">
        <v>17.347160878989325</v>
      </c>
      <c r="JK34" s="510">
        <f t="shared" si="198"/>
        <v>0.3642601448667519</v>
      </c>
      <c r="JL34" s="510" t="str">
        <f t="shared" si="88"/>
        <v>0</v>
      </c>
      <c r="JM34" s="508"/>
      <c r="JN34" s="510" t="str">
        <f t="shared" si="89"/>
        <v>0</v>
      </c>
      <c r="JO34" s="510" t="str">
        <f t="shared" si="90"/>
        <v>0</v>
      </c>
      <c r="JP34" s="508"/>
      <c r="JQ34" s="510" t="str">
        <f t="shared" si="91"/>
        <v>0</v>
      </c>
      <c r="JR34" s="510" t="str">
        <f t="shared" si="92"/>
        <v>0</v>
      </c>
      <c r="JS34" s="508"/>
      <c r="JT34" s="510" t="str">
        <f t="shared" si="93"/>
        <v>0</v>
      </c>
      <c r="JU34" s="510" t="str">
        <f t="shared" si="94"/>
        <v>0</v>
      </c>
      <c r="JV34" s="508"/>
      <c r="JW34" s="510" t="str">
        <f t="shared" si="95"/>
        <v>0</v>
      </c>
      <c r="JX34" s="510" t="str">
        <f t="shared" si="96"/>
        <v>0</v>
      </c>
      <c r="JY34" s="508"/>
      <c r="JZ34" s="510" t="str">
        <f t="shared" si="97"/>
        <v>0</v>
      </c>
      <c r="KA34" s="510" t="str">
        <f t="shared" si="98"/>
        <v>0</v>
      </c>
      <c r="KB34" s="508"/>
      <c r="KC34" s="510" t="str">
        <f t="shared" si="99"/>
        <v>0</v>
      </c>
      <c r="KD34" s="510" t="str">
        <f t="shared" si="100"/>
        <v>0</v>
      </c>
      <c r="KE34" s="508"/>
      <c r="KF34" s="510" t="str">
        <f t="shared" si="101"/>
        <v>0</v>
      </c>
      <c r="KG34" s="510" t="str">
        <f t="shared" si="102"/>
        <v>0</v>
      </c>
      <c r="KH34" s="508"/>
      <c r="KI34" s="510" t="str">
        <f t="shared" si="103"/>
        <v>0</v>
      </c>
      <c r="KJ34" s="510" t="str">
        <f t="shared" si="104"/>
        <v>0</v>
      </c>
      <c r="KK34" s="508"/>
      <c r="KL34" s="510" t="str">
        <f t="shared" si="105"/>
        <v>0</v>
      </c>
      <c r="KM34" s="510" t="str">
        <f t="shared" si="106"/>
        <v>0</v>
      </c>
      <c r="KN34" s="508"/>
      <c r="KO34" s="510" t="str">
        <f t="shared" si="107"/>
        <v>0</v>
      </c>
      <c r="KP34" s="510" t="str">
        <f t="shared" si="108"/>
        <v>0</v>
      </c>
      <c r="KQ34" s="508"/>
      <c r="KR34" s="510" t="str">
        <f t="shared" si="109"/>
        <v>0</v>
      </c>
      <c r="KS34" s="510" t="str">
        <f t="shared" si="110"/>
        <v>0</v>
      </c>
      <c r="KT34" s="510">
        <f t="shared" si="201"/>
        <v>0</v>
      </c>
      <c r="KU34" s="510">
        <f t="shared" si="202"/>
        <v>0</v>
      </c>
      <c r="KV34" s="261">
        <f t="shared" si="199"/>
        <v>1486.6637117033206</v>
      </c>
    </row>
    <row r="35" spans="1:308" ht="15" customHeight="1">
      <c r="A35" s="467">
        <f t="shared" si="200"/>
        <v>45864</v>
      </c>
      <c r="B35" s="468" t="str">
        <f>+Report1!B34</f>
        <v>Toilet</v>
      </c>
      <c r="C35" s="469" t="str">
        <f>+Report1!C34</f>
        <v>20/15,5</v>
      </c>
      <c r="D35" s="470">
        <f>+Report1!P34</f>
        <v>56.113</v>
      </c>
      <c r="E35" s="471">
        <f>+Report1!R34</f>
        <v>56.981999999999999</v>
      </c>
      <c r="F35" s="508"/>
      <c r="G35" s="509">
        <f t="shared" si="0"/>
        <v>0</v>
      </c>
      <c r="H35" s="510">
        <f t="shared" si="111"/>
        <v>0</v>
      </c>
      <c r="I35" s="508"/>
      <c r="J35" s="509">
        <f t="shared" si="1"/>
        <v>0</v>
      </c>
      <c r="K35" s="510">
        <f t="shared" si="112"/>
        <v>0</v>
      </c>
      <c r="L35" s="508"/>
      <c r="M35" s="509">
        <f t="shared" si="2"/>
        <v>0</v>
      </c>
      <c r="N35" s="510">
        <f t="shared" si="113"/>
        <v>0</v>
      </c>
      <c r="O35" s="508">
        <v>24.000000000000028</v>
      </c>
      <c r="P35" s="509">
        <f t="shared" si="3"/>
        <v>0.42118563756975935</v>
      </c>
      <c r="Q35" s="510">
        <f t="shared" si="114"/>
        <v>0</v>
      </c>
      <c r="R35" s="508">
        <v>12.812499999999986</v>
      </c>
      <c r="S35" s="509">
        <f t="shared" si="4"/>
        <v>0.22485170755677206</v>
      </c>
      <c r="T35" s="510">
        <f t="shared" si="115"/>
        <v>0</v>
      </c>
      <c r="U35" s="508">
        <v>3.1250000000000284</v>
      </c>
      <c r="V35" s="509">
        <f t="shared" si="5"/>
        <v>5.4841879891896185E-2</v>
      </c>
      <c r="W35" s="510">
        <f t="shared" si="116"/>
        <v>0</v>
      </c>
      <c r="X35" s="508"/>
      <c r="Y35" s="509">
        <f t="shared" si="6"/>
        <v>0</v>
      </c>
      <c r="Z35" s="510">
        <f t="shared" si="117"/>
        <v>0</v>
      </c>
      <c r="AA35" s="508"/>
      <c r="AB35" s="509">
        <f t="shared" si="7"/>
        <v>0</v>
      </c>
      <c r="AC35" s="510">
        <f t="shared" si="118"/>
        <v>0</v>
      </c>
      <c r="AD35" s="508"/>
      <c r="AE35" s="509">
        <f t="shared" si="8"/>
        <v>0</v>
      </c>
      <c r="AF35" s="510">
        <f t="shared" si="119"/>
        <v>0</v>
      </c>
      <c r="AG35" s="508"/>
      <c r="AH35" s="509">
        <f t="shared" si="9"/>
        <v>0</v>
      </c>
      <c r="AI35" s="510">
        <f t="shared" si="120"/>
        <v>0</v>
      </c>
      <c r="AJ35" s="508"/>
      <c r="AK35" s="509">
        <f t="shared" si="10"/>
        <v>0</v>
      </c>
      <c r="AL35" s="510">
        <f t="shared" si="121"/>
        <v>0</v>
      </c>
      <c r="AM35" s="508">
        <v>51.380382051282027</v>
      </c>
      <c r="AN35" s="509">
        <f t="shared" si="11"/>
        <v>0.90169495720195902</v>
      </c>
      <c r="AO35" s="510">
        <f t="shared" si="122"/>
        <v>0</v>
      </c>
      <c r="AP35" s="508"/>
      <c r="AQ35" s="509">
        <f t="shared" si="12"/>
        <v>0</v>
      </c>
      <c r="AR35" s="510">
        <f t="shared" si="123"/>
        <v>0</v>
      </c>
      <c r="AS35" s="508"/>
      <c r="AT35" s="509">
        <f t="shared" si="13"/>
        <v>0</v>
      </c>
      <c r="AU35" s="510">
        <f t="shared" si="124"/>
        <v>0</v>
      </c>
      <c r="AV35" s="508">
        <v>2.7750000000000057</v>
      </c>
      <c r="AW35" s="509">
        <f t="shared" si="14"/>
        <v>4.8699589344003473E-2</v>
      </c>
      <c r="AX35" s="510">
        <f t="shared" si="125"/>
        <v>0</v>
      </c>
      <c r="AY35" s="508">
        <v>45.614133333333314</v>
      </c>
      <c r="AZ35" s="509">
        <f t="shared" si="15"/>
        <v>0.80050074292466589</v>
      </c>
      <c r="BA35" s="510">
        <f t="shared" si="126"/>
        <v>0</v>
      </c>
      <c r="BB35" s="508"/>
      <c r="BC35" s="509">
        <f t="shared" si="16"/>
        <v>0</v>
      </c>
      <c r="BD35" s="510">
        <f t="shared" si="127"/>
        <v>0</v>
      </c>
      <c r="BE35" s="508"/>
      <c r="BF35" s="509">
        <f t="shared" si="17"/>
        <v>0</v>
      </c>
      <c r="BG35" s="510">
        <f t="shared" si="128"/>
        <v>0</v>
      </c>
      <c r="BH35" s="508"/>
      <c r="BI35" s="509">
        <f t="shared" si="18"/>
        <v>0</v>
      </c>
      <c r="BJ35" s="510">
        <f t="shared" si="129"/>
        <v>0</v>
      </c>
      <c r="BK35" s="508"/>
      <c r="BL35" s="509">
        <f t="shared" si="19"/>
        <v>0</v>
      </c>
      <c r="BM35" s="510">
        <f t="shared" si="130"/>
        <v>0</v>
      </c>
      <c r="BN35" s="508"/>
      <c r="BO35" s="509">
        <f t="shared" si="20"/>
        <v>0</v>
      </c>
      <c r="BP35" s="510">
        <f t="shared" si="131"/>
        <v>0</v>
      </c>
      <c r="BQ35" s="508"/>
      <c r="BR35" s="509">
        <f t="shared" si="21"/>
        <v>0</v>
      </c>
      <c r="BS35" s="510">
        <f t="shared" si="132"/>
        <v>0</v>
      </c>
      <c r="BT35" s="508"/>
      <c r="BU35" s="509">
        <f t="shared" si="22"/>
        <v>0</v>
      </c>
      <c r="BV35" s="510">
        <f t="shared" si="133"/>
        <v>0</v>
      </c>
      <c r="BW35" s="508"/>
      <c r="BX35" s="509">
        <f t="shared" si="23"/>
        <v>0</v>
      </c>
      <c r="BY35" s="510">
        <f t="shared" si="134"/>
        <v>0</v>
      </c>
      <c r="BZ35" s="508"/>
      <c r="CA35" s="509">
        <f t="shared" si="24"/>
        <v>0</v>
      </c>
      <c r="CB35" s="510">
        <f t="shared" si="135"/>
        <v>0</v>
      </c>
      <c r="CC35" s="508"/>
      <c r="CD35" s="509">
        <f t="shared" si="25"/>
        <v>0</v>
      </c>
      <c r="CE35" s="510">
        <f t="shared" si="136"/>
        <v>0</v>
      </c>
      <c r="CF35" s="508">
        <v>10.5</v>
      </c>
      <c r="CG35" s="509">
        <f t="shared" si="26"/>
        <v>0.18426871643676951</v>
      </c>
      <c r="CH35" s="510">
        <f t="shared" si="137"/>
        <v>0</v>
      </c>
      <c r="CI35" s="508"/>
      <c r="CJ35" s="509">
        <f t="shared" si="27"/>
        <v>0</v>
      </c>
      <c r="CK35" s="510">
        <f t="shared" si="138"/>
        <v>0</v>
      </c>
      <c r="CL35" s="508"/>
      <c r="CM35" s="509">
        <f t="shared" si="28"/>
        <v>0</v>
      </c>
      <c r="CN35" s="510">
        <f t="shared" si="139"/>
        <v>0</v>
      </c>
      <c r="CO35" s="508"/>
      <c r="CP35" s="509">
        <f t="shared" si="29"/>
        <v>0</v>
      </c>
      <c r="CQ35" s="510">
        <f t="shared" si="140"/>
        <v>0</v>
      </c>
      <c r="CR35" s="508"/>
      <c r="CS35" s="509">
        <f t="shared" si="30"/>
        <v>0</v>
      </c>
      <c r="CT35" s="510">
        <f t="shared" si="141"/>
        <v>0</v>
      </c>
      <c r="CU35" s="508"/>
      <c r="CV35" s="509">
        <f t="shared" si="31"/>
        <v>0</v>
      </c>
      <c r="CW35" s="510">
        <f t="shared" si="142"/>
        <v>0</v>
      </c>
      <c r="CX35" s="508"/>
      <c r="CY35" s="509">
        <f t="shared" si="32"/>
        <v>0</v>
      </c>
      <c r="CZ35" s="510">
        <f t="shared" si="143"/>
        <v>0</v>
      </c>
      <c r="DA35" s="508">
        <v>181.68604651162786</v>
      </c>
      <c r="DB35" s="509">
        <f t="shared" si="33"/>
        <v>3.188481389063702</v>
      </c>
      <c r="DC35" s="510">
        <f t="shared" si="144"/>
        <v>0</v>
      </c>
      <c r="DD35" s="508"/>
      <c r="DE35" s="509">
        <f t="shared" si="34"/>
        <v>0</v>
      </c>
      <c r="DF35" s="510">
        <f t="shared" si="145"/>
        <v>0</v>
      </c>
      <c r="DG35" s="508"/>
      <c r="DH35" s="509">
        <f t="shared" si="35"/>
        <v>0</v>
      </c>
      <c r="DI35" s="510">
        <f t="shared" si="203"/>
        <v>0</v>
      </c>
      <c r="DJ35" s="508"/>
      <c r="DK35" s="509">
        <f t="shared" si="36"/>
        <v>0</v>
      </c>
      <c r="DL35" s="510">
        <f t="shared" si="146"/>
        <v>0</v>
      </c>
      <c r="DM35" s="508"/>
      <c r="DN35" s="509">
        <f t="shared" si="37"/>
        <v>0</v>
      </c>
      <c r="DO35" s="510">
        <f t="shared" si="147"/>
        <v>0</v>
      </c>
      <c r="DP35" s="508"/>
      <c r="DQ35" s="509">
        <f t="shared" si="38"/>
        <v>0</v>
      </c>
      <c r="DR35" s="510">
        <f t="shared" si="148"/>
        <v>0</v>
      </c>
      <c r="DS35" s="508"/>
      <c r="DT35" s="509">
        <f t="shared" si="39"/>
        <v>0</v>
      </c>
      <c r="DU35" s="510">
        <f t="shared" si="149"/>
        <v>0</v>
      </c>
      <c r="DV35" s="508"/>
      <c r="DW35" s="509">
        <f t="shared" si="40"/>
        <v>0</v>
      </c>
      <c r="DX35" s="510">
        <f t="shared" si="150"/>
        <v>0</v>
      </c>
      <c r="DY35" s="508"/>
      <c r="DZ35" s="509">
        <f t="shared" si="41"/>
        <v>0</v>
      </c>
      <c r="EA35" s="510">
        <f t="shared" si="151"/>
        <v>0</v>
      </c>
      <c r="EB35" s="508">
        <v>158.50588235294117</v>
      </c>
      <c r="EC35" s="509">
        <f t="shared" si="42"/>
        <v>2.7816833798908633</v>
      </c>
      <c r="ED35" s="510">
        <f t="shared" si="152"/>
        <v>0</v>
      </c>
      <c r="EE35" s="508">
        <v>14.534883720930225</v>
      </c>
      <c r="EF35" s="509">
        <f t="shared" si="43"/>
        <v>0.25507851112509605</v>
      </c>
      <c r="EG35" s="510">
        <f t="shared" si="153"/>
        <v>0</v>
      </c>
      <c r="EH35" s="508"/>
      <c r="EI35" s="509">
        <f t="shared" si="44"/>
        <v>0</v>
      </c>
      <c r="EJ35" s="510">
        <f t="shared" si="154"/>
        <v>0</v>
      </c>
      <c r="EK35" s="508"/>
      <c r="EL35" s="509">
        <f t="shared" si="45"/>
        <v>0</v>
      </c>
      <c r="EM35" s="510">
        <f t="shared" si="155"/>
        <v>0</v>
      </c>
      <c r="EN35" s="508"/>
      <c r="EO35" s="509">
        <f t="shared" si="46"/>
        <v>0</v>
      </c>
      <c r="EP35" s="510">
        <f t="shared" si="156"/>
        <v>0</v>
      </c>
      <c r="EQ35" s="508"/>
      <c r="ER35" s="509">
        <f t="shared" si="47"/>
        <v>0</v>
      </c>
      <c r="ES35" s="510">
        <f t="shared" si="157"/>
        <v>0</v>
      </c>
      <c r="ET35" s="508"/>
      <c r="EU35" s="509">
        <f t="shared" si="48"/>
        <v>0</v>
      </c>
      <c r="EV35" s="510">
        <f t="shared" si="158"/>
        <v>0</v>
      </c>
      <c r="EW35" s="508"/>
      <c r="EX35" s="509">
        <f t="shared" si="49"/>
        <v>0</v>
      </c>
      <c r="EY35" s="510">
        <f t="shared" si="159"/>
        <v>0</v>
      </c>
      <c r="EZ35" s="508"/>
      <c r="FA35" s="509">
        <f t="shared" si="50"/>
        <v>0</v>
      </c>
      <c r="FB35" s="510">
        <f t="shared" si="160"/>
        <v>0</v>
      </c>
      <c r="FC35" s="508"/>
      <c r="FD35" s="509">
        <f t="shared" si="51"/>
        <v>0</v>
      </c>
      <c r="FE35" s="510">
        <f t="shared" si="161"/>
        <v>0</v>
      </c>
      <c r="FF35" s="508"/>
      <c r="FG35" s="509">
        <f t="shared" si="52"/>
        <v>0</v>
      </c>
      <c r="FH35" s="510">
        <f t="shared" si="162"/>
        <v>0</v>
      </c>
      <c r="FI35" s="508"/>
      <c r="FJ35" s="509">
        <f t="shared" si="53"/>
        <v>0</v>
      </c>
      <c r="FK35" s="510">
        <f t="shared" si="163"/>
        <v>0</v>
      </c>
      <c r="FL35" s="508"/>
      <c r="FM35" s="509">
        <f t="shared" si="54"/>
        <v>0</v>
      </c>
      <c r="FN35" s="510">
        <f t="shared" si="164"/>
        <v>0</v>
      </c>
      <c r="FO35" s="508"/>
      <c r="FP35" s="509">
        <f t="shared" si="55"/>
        <v>0</v>
      </c>
      <c r="FQ35" s="510">
        <f t="shared" si="165"/>
        <v>0</v>
      </c>
      <c r="FR35" s="508"/>
      <c r="FS35" s="509">
        <f t="shared" si="56"/>
        <v>0</v>
      </c>
      <c r="FT35" s="510">
        <f t="shared" si="166"/>
        <v>0</v>
      </c>
      <c r="FU35" s="508"/>
      <c r="FV35" s="509">
        <f t="shared" si="57"/>
        <v>0</v>
      </c>
      <c r="FW35" s="510">
        <f t="shared" si="167"/>
        <v>0</v>
      </c>
      <c r="FX35" s="508"/>
      <c r="FY35" s="509">
        <f t="shared" si="58"/>
        <v>0</v>
      </c>
      <c r="FZ35" s="510">
        <f t="shared" si="168"/>
        <v>0</v>
      </c>
      <c r="GA35" s="508"/>
      <c r="GB35" s="509">
        <f t="shared" si="59"/>
        <v>0</v>
      </c>
      <c r="GC35" s="510">
        <f t="shared" si="169"/>
        <v>0</v>
      </c>
      <c r="GD35" s="508"/>
      <c r="GE35" s="509">
        <f t="shared" si="60"/>
        <v>0</v>
      </c>
      <c r="GF35" s="510">
        <f t="shared" si="170"/>
        <v>0</v>
      </c>
      <c r="GG35" s="508">
        <v>5.099327517266449</v>
      </c>
      <c r="GH35" s="509">
        <f t="shared" si="61"/>
        <v>8.9490146314036872E-2</v>
      </c>
      <c r="GI35" s="510">
        <f t="shared" si="171"/>
        <v>0</v>
      </c>
      <c r="GJ35" s="508">
        <v>5.099327517266449</v>
      </c>
      <c r="GK35" s="509">
        <f t="shared" si="62"/>
        <v>8.9490146314036872E-2</v>
      </c>
      <c r="GL35" s="510">
        <f t="shared" si="172"/>
        <v>0</v>
      </c>
      <c r="GM35" s="508"/>
      <c r="GN35" s="509">
        <f t="shared" si="63"/>
        <v>0</v>
      </c>
      <c r="GO35" s="510">
        <f t="shared" si="173"/>
        <v>0</v>
      </c>
      <c r="GP35" s="508">
        <v>35.695292620865139</v>
      </c>
      <c r="GQ35" s="509">
        <f t="shared" si="64"/>
        <v>0.62643102419825802</v>
      </c>
      <c r="GR35" s="510">
        <f t="shared" si="174"/>
        <v>0</v>
      </c>
      <c r="GS35" s="508">
        <v>229.4697382769902</v>
      </c>
      <c r="GT35" s="509">
        <f t="shared" si="65"/>
        <v>4.0270565841316595</v>
      </c>
      <c r="GU35" s="510">
        <f t="shared" si="175"/>
        <v>0</v>
      </c>
      <c r="GV35" s="508"/>
      <c r="GW35" s="509">
        <f t="shared" si="66"/>
        <v>0</v>
      </c>
      <c r="GX35" s="510">
        <f t="shared" si="176"/>
        <v>0</v>
      </c>
      <c r="GY35" s="508"/>
      <c r="GZ35" s="509">
        <f t="shared" si="67"/>
        <v>0</v>
      </c>
      <c r="HA35" s="510">
        <f t="shared" si="177"/>
        <v>0</v>
      </c>
      <c r="HB35" s="508"/>
      <c r="HC35" s="509">
        <f t="shared" si="68"/>
        <v>0</v>
      </c>
      <c r="HD35" s="510">
        <f t="shared" si="178"/>
        <v>0</v>
      </c>
      <c r="HE35" s="508"/>
      <c r="HF35" s="509">
        <f t="shared" si="69"/>
        <v>0</v>
      </c>
      <c r="HG35" s="510">
        <f t="shared" si="179"/>
        <v>0</v>
      </c>
      <c r="HH35" s="508"/>
      <c r="HI35" s="509">
        <f t="shared" si="70"/>
        <v>0</v>
      </c>
      <c r="HJ35" s="510">
        <f t="shared" si="180"/>
        <v>0</v>
      </c>
      <c r="HK35" s="508"/>
      <c r="HL35" s="509">
        <f t="shared" si="71"/>
        <v>0</v>
      </c>
      <c r="HM35" s="510">
        <f t="shared" si="181"/>
        <v>0</v>
      </c>
      <c r="HN35" s="508">
        <v>813.34273900399853</v>
      </c>
      <c r="HO35" s="509">
        <f t="shared" si="72"/>
        <v>14.27367833708888</v>
      </c>
      <c r="HP35" s="510">
        <f t="shared" si="182"/>
        <v>0</v>
      </c>
      <c r="HQ35" s="508"/>
      <c r="HR35" s="509">
        <f t="shared" si="73"/>
        <v>0</v>
      </c>
      <c r="HS35" s="510">
        <f t="shared" si="183"/>
        <v>0</v>
      </c>
      <c r="HT35" s="508"/>
      <c r="HU35" s="509">
        <f t="shared" si="74"/>
        <v>0</v>
      </c>
      <c r="HV35" s="510">
        <f t="shared" si="184"/>
        <v>0</v>
      </c>
      <c r="HW35" s="508"/>
      <c r="HX35" s="509">
        <f t="shared" si="75"/>
        <v>0</v>
      </c>
      <c r="HY35" s="510">
        <f t="shared" si="185"/>
        <v>0</v>
      </c>
      <c r="HZ35" s="508"/>
      <c r="IA35" s="509">
        <f t="shared" si="76"/>
        <v>0</v>
      </c>
      <c r="IB35" s="510">
        <f t="shared" si="186"/>
        <v>0</v>
      </c>
      <c r="IC35" s="508"/>
      <c r="ID35" s="509">
        <f t="shared" si="77"/>
        <v>0</v>
      </c>
      <c r="IE35" s="510">
        <f t="shared" si="187"/>
        <v>0</v>
      </c>
      <c r="IF35" s="508"/>
      <c r="IG35" s="509">
        <f t="shared" si="78"/>
        <v>0</v>
      </c>
      <c r="IH35" s="510">
        <f t="shared" si="188"/>
        <v>0</v>
      </c>
      <c r="II35" s="508">
        <v>20.397310069065796</v>
      </c>
      <c r="IJ35" s="509">
        <f t="shared" si="79"/>
        <v>0.35796058525614749</v>
      </c>
      <c r="IK35" s="510">
        <f t="shared" si="189"/>
        <v>0</v>
      </c>
      <c r="IL35" s="508"/>
      <c r="IM35" s="509">
        <f t="shared" si="80"/>
        <v>0</v>
      </c>
      <c r="IN35" s="510">
        <f t="shared" si="190"/>
        <v>0</v>
      </c>
      <c r="IO35" s="508"/>
      <c r="IP35" s="509">
        <f t="shared" si="81"/>
        <v>0</v>
      </c>
      <c r="IQ35" s="510">
        <f t="shared" si="191"/>
        <v>0</v>
      </c>
      <c r="IR35" s="508">
        <v>48.44361141403126</v>
      </c>
      <c r="IS35" s="509">
        <f t="shared" si="82"/>
        <v>0.85015638998335019</v>
      </c>
      <c r="IT35" s="510">
        <f t="shared" si="192"/>
        <v>0</v>
      </c>
      <c r="IU35" s="508"/>
      <c r="IV35" s="509">
        <f t="shared" si="83"/>
        <v>0</v>
      </c>
      <c r="IW35" s="510">
        <f t="shared" si="193"/>
        <v>0</v>
      </c>
      <c r="IX35" s="508"/>
      <c r="IY35" s="509">
        <f t="shared" si="84"/>
        <v>0</v>
      </c>
      <c r="IZ35" s="510">
        <f t="shared" si="194"/>
        <v>0</v>
      </c>
      <c r="JA35" s="508"/>
      <c r="JB35" s="509">
        <f t="shared" si="85"/>
        <v>0</v>
      </c>
      <c r="JC35" s="510">
        <f t="shared" si="195"/>
        <v>0</v>
      </c>
      <c r="JD35" s="508"/>
      <c r="JE35" s="509">
        <f t="shared" si="86"/>
        <v>0</v>
      </c>
      <c r="JF35" s="510">
        <f t="shared" si="196"/>
        <v>0</v>
      </c>
      <c r="JG35" s="508"/>
      <c r="JH35" s="509">
        <f t="shared" si="87"/>
        <v>0</v>
      </c>
      <c r="JI35" s="510">
        <f t="shared" si="197"/>
        <v>0</v>
      </c>
      <c r="JJ35" s="508">
        <v>17.84764631043257</v>
      </c>
      <c r="JK35" s="510">
        <f t="shared" si="198"/>
        <v>0.31321551209912901</v>
      </c>
      <c r="JL35" s="510" t="str">
        <f t="shared" si="88"/>
        <v>0</v>
      </c>
      <c r="JM35" s="508"/>
      <c r="JN35" s="510" t="str">
        <f t="shared" si="89"/>
        <v>0</v>
      </c>
      <c r="JO35" s="510" t="str">
        <f t="shared" si="90"/>
        <v>0</v>
      </c>
      <c r="JP35" s="508"/>
      <c r="JQ35" s="510" t="str">
        <f t="shared" si="91"/>
        <v>0</v>
      </c>
      <c r="JR35" s="510" t="str">
        <f t="shared" si="92"/>
        <v>0</v>
      </c>
      <c r="JS35" s="508"/>
      <c r="JT35" s="510" t="str">
        <f t="shared" si="93"/>
        <v>0</v>
      </c>
      <c r="JU35" s="510" t="str">
        <f t="shared" si="94"/>
        <v>0</v>
      </c>
      <c r="JV35" s="508"/>
      <c r="JW35" s="510" t="str">
        <f t="shared" si="95"/>
        <v>0</v>
      </c>
      <c r="JX35" s="510" t="str">
        <f t="shared" si="96"/>
        <v>0</v>
      </c>
      <c r="JY35" s="508"/>
      <c r="JZ35" s="510" t="str">
        <f t="shared" si="97"/>
        <v>0</v>
      </c>
      <c r="KA35" s="510" t="str">
        <f t="shared" si="98"/>
        <v>0</v>
      </c>
      <c r="KB35" s="508"/>
      <c r="KC35" s="510" t="str">
        <f t="shared" si="99"/>
        <v>0</v>
      </c>
      <c r="KD35" s="510" t="str">
        <f t="shared" si="100"/>
        <v>0</v>
      </c>
      <c r="KE35" s="508"/>
      <c r="KF35" s="510" t="str">
        <f t="shared" si="101"/>
        <v>0</v>
      </c>
      <c r="KG35" s="510" t="str">
        <f t="shared" si="102"/>
        <v>0</v>
      </c>
      <c r="KH35" s="508"/>
      <c r="KI35" s="510" t="str">
        <f t="shared" si="103"/>
        <v>0</v>
      </c>
      <c r="KJ35" s="510" t="str">
        <f t="shared" si="104"/>
        <v>0</v>
      </c>
      <c r="KK35" s="508"/>
      <c r="KL35" s="510" t="str">
        <f t="shared" si="105"/>
        <v>0</v>
      </c>
      <c r="KM35" s="510" t="str">
        <f t="shared" si="106"/>
        <v>0</v>
      </c>
      <c r="KN35" s="508"/>
      <c r="KO35" s="510" t="str">
        <f t="shared" si="107"/>
        <v>0</v>
      </c>
      <c r="KP35" s="510" t="str">
        <f t="shared" si="108"/>
        <v>0</v>
      </c>
      <c r="KQ35" s="508"/>
      <c r="KR35" s="510" t="str">
        <f t="shared" si="109"/>
        <v>0</v>
      </c>
      <c r="KS35" s="510" t="str">
        <f t="shared" si="110"/>
        <v>0</v>
      </c>
      <c r="KT35" s="510">
        <f t="shared" si="201"/>
        <v>0</v>
      </c>
      <c r="KU35" s="510">
        <f t="shared" si="202"/>
        <v>0</v>
      </c>
      <c r="KV35" s="261">
        <f t="shared" si="199"/>
        <v>1680.328820700031</v>
      </c>
    </row>
    <row r="36" spans="1:308" ht="15" customHeight="1">
      <c r="A36" s="467">
        <f t="shared" si="200"/>
        <v>45865</v>
      </c>
      <c r="B36" s="468" t="str">
        <f>+Report1!B35</f>
        <v>Toilet</v>
      </c>
      <c r="C36" s="469" t="str">
        <f>+Report1!C35</f>
        <v>15,5</v>
      </c>
      <c r="D36" s="470">
        <f>+Report1!P35</f>
        <v>55.828000000000003</v>
      </c>
      <c r="E36" s="471">
        <f>+Report1!R35</f>
        <v>53.844000000000001</v>
      </c>
      <c r="F36" s="508"/>
      <c r="G36" s="509">
        <f t="shared" si="0"/>
        <v>0</v>
      </c>
      <c r="H36" s="510">
        <f t="shared" si="111"/>
        <v>0</v>
      </c>
      <c r="I36" s="508"/>
      <c r="J36" s="509">
        <f t="shared" si="1"/>
        <v>0</v>
      </c>
      <c r="K36" s="510">
        <f t="shared" si="112"/>
        <v>0</v>
      </c>
      <c r="L36" s="508"/>
      <c r="M36" s="509">
        <f t="shared" si="2"/>
        <v>0</v>
      </c>
      <c r="N36" s="510">
        <f t="shared" si="113"/>
        <v>0</v>
      </c>
      <c r="O36" s="508">
        <v>23.999999999999972</v>
      </c>
      <c r="P36" s="509">
        <f t="shared" si="3"/>
        <v>0.44573211499888515</v>
      </c>
      <c r="Q36" s="510">
        <f t="shared" si="114"/>
        <v>0</v>
      </c>
      <c r="R36" s="508">
        <v>12.8125</v>
      </c>
      <c r="S36" s="509">
        <f t="shared" si="4"/>
        <v>0.23795594680930093</v>
      </c>
      <c r="T36" s="510">
        <f t="shared" si="115"/>
        <v>0</v>
      </c>
      <c r="U36" s="508">
        <v>3.1250000000000284</v>
      </c>
      <c r="V36" s="509">
        <f t="shared" si="5"/>
        <v>5.8038035807147101E-2</v>
      </c>
      <c r="W36" s="510">
        <f t="shared" si="116"/>
        <v>0</v>
      </c>
      <c r="X36" s="508"/>
      <c r="Y36" s="509">
        <f t="shared" si="6"/>
        <v>0</v>
      </c>
      <c r="Z36" s="510">
        <f t="shared" si="117"/>
        <v>0</v>
      </c>
      <c r="AA36" s="508"/>
      <c r="AB36" s="509">
        <f t="shared" si="7"/>
        <v>0</v>
      </c>
      <c r="AC36" s="510">
        <f t="shared" si="118"/>
        <v>0</v>
      </c>
      <c r="AD36" s="508"/>
      <c r="AE36" s="509">
        <f t="shared" si="8"/>
        <v>0</v>
      </c>
      <c r="AF36" s="510">
        <f t="shared" si="119"/>
        <v>0</v>
      </c>
      <c r="AG36" s="508"/>
      <c r="AH36" s="509">
        <f t="shared" si="9"/>
        <v>0</v>
      </c>
      <c r="AI36" s="510">
        <f t="shared" si="120"/>
        <v>0</v>
      </c>
      <c r="AJ36" s="508"/>
      <c r="AK36" s="509">
        <f t="shared" si="10"/>
        <v>0</v>
      </c>
      <c r="AL36" s="510">
        <f t="shared" si="121"/>
        <v>0</v>
      </c>
      <c r="AM36" s="508">
        <v>51.124600000000015</v>
      </c>
      <c r="AN36" s="509">
        <f t="shared" si="11"/>
        <v>0.94949483693633485</v>
      </c>
      <c r="AO36" s="510">
        <f t="shared" si="122"/>
        <v>0</v>
      </c>
      <c r="AP36" s="508"/>
      <c r="AQ36" s="509">
        <f t="shared" si="12"/>
        <v>0</v>
      </c>
      <c r="AR36" s="510">
        <f t="shared" si="123"/>
        <v>0</v>
      </c>
      <c r="AS36" s="508"/>
      <c r="AT36" s="509">
        <f t="shared" si="13"/>
        <v>0</v>
      </c>
      <c r="AU36" s="510">
        <f t="shared" si="124"/>
        <v>0</v>
      </c>
      <c r="AV36" s="508">
        <v>2.7750000000000057</v>
      </c>
      <c r="AW36" s="509">
        <f t="shared" si="14"/>
        <v>5.153777579674626E-2</v>
      </c>
      <c r="AX36" s="510">
        <f t="shared" si="125"/>
        <v>0</v>
      </c>
      <c r="AY36" s="508">
        <v>45.383600000000001</v>
      </c>
      <c r="AZ36" s="509">
        <f t="shared" si="15"/>
        <v>0.84287200059430945</v>
      </c>
      <c r="BA36" s="510">
        <f t="shared" si="126"/>
        <v>0</v>
      </c>
      <c r="BB36" s="508"/>
      <c r="BC36" s="509">
        <f t="shared" si="16"/>
        <v>0</v>
      </c>
      <c r="BD36" s="510">
        <f t="shared" si="127"/>
        <v>0</v>
      </c>
      <c r="BE36" s="508"/>
      <c r="BF36" s="509">
        <f t="shared" si="17"/>
        <v>0</v>
      </c>
      <c r="BG36" s="510">
        <f t="shared" si="128"/>
        <v>0</v>
      </c>
      <c r="BH36" s="508"/>
      <c r="BI36" s="509">
        <f t="shared" si="18"/>
        <v>0</v>
      </c>
      <c r="BJ36" s="510">
        <f t="shared" si="129"/>
        <v>0</v>
      </c>
      <c r="BK36" s="508"/>
      <c r="BL36" s="509">
        <f t="shared" si="19"/>
        <v>0</v>
      </c>
      <c r="BM36" s="510">
        <f t="shared" si="130"/>
        <v>0</v>
      </c>
      <c r="BN36" s="508"/>
      <c r="BO36" s="509">
        <f t="shared" si="20"/>
        <v>0</v>
      </c>
      <c r="BP36" s="510">
        <f t="shared" si="131"/>
        <v>0</v>
      </c>
      <c r="BQ36" s="508"/>
      <c r="BR36" s="509">
        <f t="shared" si="21"/>
        <v>0</v>
      </c>
      <c r="BS36" s="510">
        <f t="shared" si="132"/>
        <v>0</v>
      </c>
      <c r="BT36" s="508"/>
      <c r="BU36" s="509">
        <f t="shared" si="22"/>
        <v>0</v>
      </c>
      <c r="BV36" s="510">
        <f t="shared" si="133"/>
        <v>0</v>
      </c>
      <c r="BW36" s="508"/>
      <c r="BX36" s="509">
        <f t="shared" si="23"/>
        <v>0</v>
      </c>
      <c r="BY36" s="510">
        <f t="shared" si="134"/>
        <v>0</v>
      </c>
      <c r="BZ36" s="508"/>
      <c r="CA36" s="509">
        <f t="shared" si="24"/>
        <v>0</v>
      </c>
      <c r="CB36" s="510">
        <f t="shared" si="135"/>
        <v>0</v>
      </c>
      <c r="CC36" s="508"/>
      <c r="CD36" s="509">
        <f t="shared" si="25"/>
        <v>0</v>
      </c>
      <c r="CE36" s="510">
        <f t="shared" si="136"/>
        <v>0</v>
      </c>
      <c r="CF36" s="508">
        <v>10.5</v>
      </c>
      <c r="CG36" s="509">
        <f t="shared" si="26"/>
        <v>0.19500780031201248</v>
      </c>
      <c r="CH36" s="510">
        <f t="shared" si="137"/>
        <v>0</v>
      </c>
      <c r="CI36" s="508"/>
      <c r="CJ36" s="509">
        <f t="shared" si="27"/>
        <v>0</v>
      </c>
      <c r="CK36" s="510">
        <f t="shared" si="138"/>
        <v>0</v>
      </c>
      <c r="CL36" s="508"/>
      <c r="CM36" s="509">
        <f t="shared" si="28"/>
        <v>0</v>
      </c>
      <c r="CN36" s="510">
        <f t="shared" si="139"/>
        <v>0</v>
      </c>
      <c r="CO36" s="508"/>
      <c r="CP36" s="509">
        <f t="shared" si="29"/>
        <v>0</v>
      </c>
      <c r="CQ36" s="510">
        <f t="shared" si="140"/>
        <v>0</v>
      </c>
      <c r="CR36" s="508"/>
      <c r="CS36" s="509">
        <f t="shared" si="30"/>
        <v>0</v>
      </c>
      <c r="CT36" s="510">
        <f t="shared" si="141"/>
        <v>0</v>
      </c>
      <c r="CU36" s="508"/>
      <c r="CV36" s="509">
        <f t="shared" si="31"/>
        <v>0</v>
      </c>
      <c r="CW36" s="510">
        <f t="shared" si="142"/>
        <v>0</v>
      </c>
      <c r="CX36" s="508"/>
      <c r="CY36" s="509">
        <f t="shared" si="32"/>
        <v>0</v>
      </c>
      <c r="CZ36" s="510">
        <f t="shared" si="143"/>
        <v>0</v>
      </c>
      <c r="DA36" s="508">
        <v>181.68604651162786</v>
      </c>
      <c r="DB36" s="509">
        <f t="shared" si="33"/>
        <v>3.3743044073922417</v>
      </c>
      <c r="DC36" s="510">
        <f t="shared" si="144"/>
        <v>0</v>
      </c>
      <c r="DD36" s="508"/>
      <c r="DE36" s="509">
        <f t="shared" si="34"/>
        <v>0</v>
      </c>
      <c r="DF36" s="510">
        <f t="shared" si="145"/>
        <v>0</v>
      </c>
      <c r="DG36" s="508"/>
      <c r="DH36" s="509">
        <f t="shared" si="35"/>
        <v>0</v>
      </c>
      <c r="DI36" s="510">
        <f t="shared" si="203"/>
        <v>0</v>
      </c>
      <c r="DJ36" s="508"/>
      <c r="DK36" s="509">
        <f t="shared" si="36"/>
        <v>0</v>
      </c>
      <c r="DL36" s="510">
        <f t="shared" si="146"/>
        <v>0</v>
      </c>
      <c r="DM36" s="508"/>
      <c r="DN36" s="509">
        <f t="shared" si="37"/>
        <v>0</v>
      </c>
      <c r="DO36" s="510">
        <f t="shared" si="147"/>
        <v>0</v>
      </c>
      <c r="DP36" s="508"/>
      <c r="DQ36" s="509">
        <f t="shared" si="38"/>
        <v>0</v>
      </c>
      <c r="DR36" s="510">
        <f t="shared" si="148"/>
        <v>0</v>
      </c>
      <c r="DS36" s="508"/>
      <c r="DT36" s="509">
        <f t="shared" si="39"/>
        <v>0</v>
      </c>
      <c r="DU36" s="510">
        <f t="shared" si="149"/>
        <v>0</v>
      </c>
      <c r="DV36" s="508"/>
      <c r="DW36" s="509">
        <f t="shared" si="40"/>
        <v>0</v>
      </c>
      <c r="DX36" s="510">
        <f t="shared" si="150"/>
        <v>0</v>
      </c>
      <c r="DY36" s="508"/>
      <c r="DZ36" s="509">
        <f t="shared" si="41"/>
        <v>0</v>
      </c>
      <c r="EA36" s="510">
        <f t="shared" si="151"/>
        <v>0</v>
      </c>
      <c r="EB36" s="508">
        <v>158.50588235294123</v>
      </c>
      <c r="EC36" s="509">
        <f t="shared" si="42"/>
        <v>2.9437984242058768</v>
      </c>
      <c r="ED36" s="510">
        <f t="shared" si="152"/>
        <v>0</v>
      </c>
      <c r="EE36" s="508">
        <v>14.534883720930225</v>
      </c>
      <c r="EF36" s="509">
        <f t="shared" si="43"/>
        <v>0.26994435259137922</v>
      </c>
      <c r="EG36" s="510">
        <f t="shared" si="153"/>
        <v>0</v>
      </c>
      <c r="EH36" s="508"/>
      <c r="EI36" s="509">
        <f t="shared" si="44"/>
        <v>0</v>
      </c>
      <c r="EJ36" s="510">
        <f t="shared" si="154"/>
        <v>0</v>
      </c>
      <c r="EK36" s="508"/>
      <c r="EL36" s="509">
        <f t="shared" si="45"/>
        <v>0</v>
      </c>
      <c r="EM36" s="510">
        <f t="shared" si="155"/>
        <v>0</v>
      </c>
      <c r="EN36" s="508"/>
      <c r="EO36" s="509">
        <f t="shared" si="46"/>
        <v>0</v>
      </c>
      <c r="EP36" s="510">
        <f t="shared" si="156"/>
        <v>0</v>
      </c>
      <c r="EQ36" s="508"/>
      <c r="ER36" s="509">
        <f t="shared" si="47"/>
        <v>0</v>
      </c>
      <c r="ES36" s="510">
        <f t="shared" si="157"/>
        <v>0</v>
      </c>
      <c r="ET36" s="508"/>
      <c r="EU36" s="509">
        <f t="shared" si="48"/>
        <v>0</v>
      </c>
      <c r="EV36" s="510">
        <f t="shared" si="158"/>
        <v>0</v>
      </c>
      <c r="EW36" s="508"/>
      <c r="EX36" s="509">
        <f t="shared" si="49"/>
        <v>0</v>
      </c>
      <c r="EY36" s="510">
        <f t="shared" si="159"/>
        <v>0</v>
      </c>
      <c r="EZ36" s="508"/>
      <c r="FA36" s="509">
        <f t="shared" si="50"/>
        <v>0</v>
      </c>
      <c r="FB36" s="510">
        <f t="shared" si="160"/>
        <v>0</v>
      </c>
      <c r="FC36" s="508"/>
      <c r="FD36" s="509">
        <f t="shared" si="51"/>
        <v>0</v>
      </c>
      <c r="FE36" s="510">
        <f t="shared" si="161"/>
        <v>0</v>
      </c>
      <c r="FF36" s="508"/>
      <c r="FG36" s="509">
        <f t="shared" si="52"/>
        <v>0</v>
      </c>
      <c r="FH36" s="510">
        <f t="shared" si="162"/>
        <v>0</v>
      </c>
      <c r="FI36" s="508"/>
      <c r="FJ36" s="509">
        <f t="shared" si="53"/>
        <v>0</v>
      </c>
      <c r="FK36" s="510">
        <f t="shared" si="163"/>
        <v>0</v>
      </c>
      <c r="FL36" s="508"/>
      <c r="FM36" s="509">
        <f t="shared" si="54"/>
        <v>0</v>
      </c>
      <c r="FN36" s="510">
        <f t="shared" si="164"/>
        <v>0</v>
      </c>
      <c r="FO36" s="508"/>
      <c r="FP36" s="509">
        <f t="shared" si="55"/>
        <v>0</v>
      </c>
      <c r="FQ36" s="510">
        <f t="shared" si="165"/>
        <v>0</v>
      </c>
      <c r="FR36" s="508"/>
      <c r="FS36" s="509">
        <f t="shared" si="56"/>
        <v>0</v>
      </c>
      <c r="FT36" s="510">
        <f t="shared" si="166"/>
        <v>0</v>
      </c>
      <c r="FU36" s="508"/>
      <c r="FV36" s="509">
        <f t="shared" si="57"/>
        <v>0</v>
      </c>
      <c r="FW36" s="510">
        <f t="shared" si="167"/>
        <v>0</v>
      </c>
      <c r="FX36" s="508"/>
      <c r="FY36" s="509">
        <f t="shared" si="58"/>
        <v>0</v>
      </c>
      <c r="FZ36" s="510">
        <f t="shared" si="168"/>
        <v>0</v>
      </c>
      <c r="GA36" s="508"/>
      <c r="GB36" s="509">
        <f t="shared" si="59"/>
        <v>0</v>
      </c>
      <c r="GC36" s="510">
        <f t="shared" si="169"/>
        <v>0</v>
      </c>
      <c r="GD36" s="508"/>
      <c r="GE36" s="509">
        <f t="shared" si="60"/>
        <v>0</v>
      </c>
      <c r="GF36" s="510">
        <f t="shared" si="170"/>
        <v>0</v>
      </c>
      <c r="GG36" s="508">
        <v>4.934373922804288</v>
      </c>
      <c r="GH36" s="509">
        <f t="shared" si="61"/>
        <v>9.1642038533620976E-2</v>
      </c>
      <c r="GI36" s="510">
        <f t="shared" si="171"/>
        <v>0</v>
      </c>
      <c r="GJ36" s="508">
        <v>9.868747845608576</v>
      </c>
      <c r="GK36" s="509">
        <f t="shared" si="62"/>
        <v>0.18328407706724195</v>
      </c>
      <c r="GL36" s="510">
        <f t="shared" si="172"/>
        <v>0</v>
      </c>
      <c r="GM36" s="508"/>
      <c r="GN36" s="509">
        <f t="shared" si="63"/>
        <v>0</v>
      </c>
      <c r="GO36" s="510">
        <f t="shared" si="173"/>
        <v>0</v>
      </c>
      <c r="GP36" s="508">
        <v>32.073430498227872</v>
      </c>
      <c r="GQ36" s="509">
        <f t="shared" si="64"/>
        <v>0.59567325046853636</v>
      </c>
      <c r="GR36" s="510">
        <f t="shared" si="174"/>
        <v>0</v>
      </c>
      <c r="GS36" s="508">
        <v>222.04682652619297</v>
      </c>
      <c r="GT36" s="509">
        <f t="shared" si="65"/>
        <v>4.1238917340129442</v>
      </c>
      <c r="GU36" s="510">
        <f t="shared" si="175"/>
        <v>0</v>
      </c>
      <c r="GV36" s="508"/>
      <c r="GW36" s="509">
        <f t="shared" si="66"/>
        <v>0</v>
      </c>
      <c r="GX36" s="510">
        <f t="shared" si="176"/>
        <v>0</v>
      </c>
      <c r="GY36" s="508"/>
      <c r="GZ36" s="509">
        <f t="shared" si="67"/>
        <v>0</v>
      </c>
      <c r="HA36" s="510">
        <f t="shared" si="177"/>
        <v>0</v>
      </c>
      <c r="HB36" s="508"/>
      <c r="HC36" s="509">
        <f t="shared" si="68"/>
        <v>0</v>
      </c>
      <c r="HD36" s="510">
        <f t="shared" si="178"/>
        <v>0</v>
      </c>
      <c r="HE36" s="508"/>
      <c r="HF36" s="509">
        <f t="shared" si="69"/>
        <v>0</v>
      </c>
      <c r="HG36" s="510">
        <f t="shared" si="179"/>
        <v>0</v>
      </c>
      <c r="HH36" s="508"/>
      <c r="HI36" s="509">
        <f t="shared" si="70"/>
        <v>0</v>
      </c>
      <c r="HJ36" s="510">
        <f t="shared" si="180"/>
        <v>0</v>
      </c>
      <c r="HK36" s="508"/>
      <c r="HL36" s="509">
        <f t="shared" si="71"/>
        <v>0</v>
      </c>
      <c r="HM36" s="510">
        <f t="shared" si="181"/>
        <v>0</v>
      </c>
      <c r="HN36" s="508">
        <v>806.77013637850109</v>
      </c>
      <c r="HO36" s="509">
        <f t="shared" si="72"/>
        <v>14.983473300247029</v>
      </c>
      <c r="HP36" s="510">
        <f t="shared" si="182"/>
        <v>0</v>
      </c>
      <c r="HQ36" s="508"/>
      <c r="HR36" s="509">
        <f t="shared" si="73"/>
        <v>0</v>
      </c>
      <c r="HS36" s="510">
        <f t="shared" si="183"/>
        <v>0</v>
      </c>
      <c r="HT36" s="508"/>
      <c r="HU36" s="509">
        <f t="shared" si="74"/>
        <v>0</v>
      </c>
      <c r="HV36" s="510">
        <f t="shared" si="184"/>
        <v>0</v>
      </c>
      <c r="HW36" s="508"/>
      <c r="HX36" s="509">
        <f t="shared" si="75"/>
        <v>0</v>
      </c>
      <c r="HY36" s="510">
        <f t="shared" si="185"/>
        <v>0</v>
      </c>
      <c r="HZ36" s="508"/>
      <c r="IA36" s="509">
        <f t="shared" si="76"/>
        <v>0</v>
      </c>
      <c r="IB36" s="510">
        <f t="shared" si="186"/>
        <v>0</v>
      </c>
      <c r="IC36" s="508"/>
      <c r="ID36" s="509">
        <f t="shared" si="77"/>
        <v>0</v>
      </c>
      <c r="IE36" s="510">
        <f t="shared" si="187"/>
        <v>0</v>
      </c>
      <c r="IF36" s="508"/>
      <c r="IG36" s="509">
        <f t="shared" si="78"/>
        <v>0</v>
      </c>
      <c r="IH36" s="510">
        <f t="shared" si="188"/>
        <v>0</v>
      </c>
      <c r="II36" s="508">
        <v>27.139056575423584</v>
      </c>
      <c r="IJ36" s="509">
        <f t="shared" si="79"/>
        <v>0.5040312119349154</v>
      </c>
      <c r="IK36" s="510">
        <f t="shared" si="189"/>
        <v>0</v>
      </c>
      <c r="IL36" s="508"/>
      <c r="IM36" s="509">
        <f t="shared" si="80"/>
        <v>0</v>
      </c>
      <c r="IN36" s="510">
        <f t="shared" si="190"/>
        <v>0</v>
      </c>
      <c r="IO36" s="508"/>
      <c r="IP36" s="509">
        <f t="shared" si="81"/>
        <v>0</v>
      </c>
      <c r="IQ36" s="510">
        <f t="shared" si="191"/>
        <v>0</v>
      </c>
      <c r="IR36" s="508">
        <v>49.343739228042885</v>
      </c>
      <c r="IS36" s="509">
        <f t="shared" si="82"/>
        <v>0.91642038533620984</v>
      </c>
      <c r="IT36" s="510">
        <f t="shared" si="192"/>
        <v>0</v>
      </c>
      <c r="IU36" s="508"/>
      <c r="IV36" s="509">
        <f t="shared" si="83"/>
        <v>0</v>
      </c>
      <c r="IW36" s="510">
        <f t="shared" si="193"/>
        <v>0</v>
      </c>
      <c r="IX36" s="508"/>
      <c r="IY36" s="509">
        <f t="shared" si="84"/>
        <v>0</v>
      </c>
      <c r="IZ36" s="510">
        <f t="shared" si="194"/>
        <v>0</v>
      </c>
      <c r="JA36" s="508"/>
      <c r="JB36" s="509">
        <f t="shared" si="85"/>
        <v>0</v>
      </c>
      <c r="JC36" s="510">
        <f t="shared" si="195"/>
        <v>0</v>
      </c>
      <c r="JD36" s="508"/>
      <c r="JE36" s="509">
        <f t="shared" si="86"/>
        <v>0</v>
      </c>
      <c r="JF36" s="510">
        <f t="shared" si="196"/>
        <v>0</v>
      </c>
      <c r="JG36" s="508"/>
      <c r="JH36" s="509">
        <f t="shared" si="87"/>
        <v>0</v>
      </c>
      <c r="JI36" s="510">
        <f t="shared" si="197"/>
        <v>0</v>
      </c>
      <c r="JJ36" s="508">
        <v>19.737495691217152</v>
      </c>
      <c r="JK36" s="510">
        <f t="shared" si="198"/>
        <v>0.3665681541344839</v>
      </c>
      <c r="JL36" s="510" t="str">
        <f t="shared" si="88"/>
        <v>0</v>
      </c>
      <c r="JM36" s="508"/>
      <c r="JN36" s="510" t="str">
        <f t="shared" si="89"/>
        <v>0</v>
      </c>
      <c r="JO36" s="510" t="str">
        <f t="shared" si="90"/>
        <v>0</v>
      </c>
      <c r="JP36" s="508"/>
      <c r="JQ36" s="510" t="str">
        <f t="shared" si="91"/>
        <v>0</v>
      </c>
      <c r="JR36" s="510" t="str">
        <f t="shared" si="92"/>
        <v>0</v>
      </c>
      <c r="JS36" s="508"/>
      <c r="JT36" s="510" t="str">
        <f t="shared" si="93"/>
        <v>0</v>
      </c>
      <c r="JU36" s="510" t="str">
        <f t="shared" si="94"/>
        <v>0</v>
      </c>
      <c r="JV36" s="508"/>
      <c r="JW36" s="510" t="str">
        <f t="shared" si="95"/>
        <v>0</v>
      </c>
      <c r="JX36" s="510" t="str">
        <f t="shared" si="96"/>
        <v>0</v>
      </c>
      <c r="JY36" s="508"/>
      <c r="JZ36" s="510" t="str">
        <f t="shared" si="97"/>
        <v>0</v>
      </c>
      <c r="KA36" s="510" t="str">
        <f t="shared" si="98"/>
        <v>0</v>
      </c>
      <c r="KB36" s="508"/>
      <c r="KC36" s="510" t="str">
        <f t="shared" si="99"/>
        <v>0</v>
      </c>
      <c r="KD36" s="510" t="str">
        <f t="shared" si="100"/>
        <v>0</v>
      </c>
      <c r="KE36" s="508"/>
      <c r="KF36" s="510" t="str">
        <f t="shared" si="101"/>
        <v>0</v>
      </c>
      <c r="KG36" s="510" t="str">
        <f t="shared" si="102"/>
        <v>0</v>
      </c>
      <c r="KH36" s="508"/>
      <c r="KI36" s="510" t="str">
        <f t="shared" si="103"/>
        <v>0</v>
      </c>
      <c r="KJ36" s="510" t="str">
        <f t="shared" si="104"/>
        <v>0</v>
      </c>
      <c r="KK36" s="508"/>
      <c r="KL36" s="510" t="str">
        <f t="shared" si="105"/>
        <v>0</v>
      </c>
      <c r="KM36" s="510" t="str">
        <f t="shared" si="106"/>
        <v>0</v>
      </c>
      <c r="KN36" s="508"/>
      <c r="KO36" s="510" t="str">
        <f t="shared" si="107"/>
        <v>0</v>
      </c>
      <c r="KP36" s="510" t="str">
        <f t="shared" si="108"/>
        <v>0</v>
      </c>
      <c r="KQ36" s="508"/>
      <c r="KR36" s="510" t="str">
        <f t="shared" si="109"/>
        <v>0</v>
      </c>
      <c r="KS36" s="510" t="str">
        <f t="shared" si="110"/>
        <v>0</v>
      </c>
      <c r="KT36" s="510">
        <f t="shared" si="201"/>
        <v>0</v>
      </c>
      <c r="KU36" s="510">
        <f t="shared" si="202"/>
        <v>0</v>
      </c>
      <c r="KV36" s="261">
        <f t="shared" si="199"/>
        <v>1676.3613192515179</v>
      </c>
    </row>
    <row r="37" spans="1:308" ht="15" customHeight="1">
      <c r="A37" s="467">
        <f t="shared" si="200"/>
        <v>45866</v>
      </c>
      <c r="B37" s="468" t="str">
        <f>+Report1!B36</f>
        <v>Toilet</v>
      </c>
      <c r="C37" s="469" t="str">
        <f>+Report1!C36</f>
        <v>15,5/20</v>
      </c>
      <c r="D37" s="470">
        <f>+Report1!P36</f>
        <v>55.852999999999994</v>
      </c>
      <c r="E37" s="471">
        <f>+Report1!R36</f>
        <v>57.405999999999999</v>
      </c>
      <c r="F37" s="508"/>
      <c r="G37" s="509">
        <f t="shared" si="0"/>
        <v>0</v>
      </c>
      <c r="H37" s="510">
        <f t="shared" si="111"/>
        <v>0</v>
      </c>
      <c r="I37" s="508"/>
      <c r="J37" s="509">
        <f t="shared" si="1"/>
        <v>0</v>
      </c>
      <c r="K37" s="510">
        <f t="shared" si="112"/>
        <v>0</v>
      </c>
      <c r="L37" s="508"/>
      <c r="M37" s="509">
        <f t="shared" si="2"/>
        <v>0</v>
      </c>
      <c r="N37" s="510">
        <f t="shared" si="113"/>
        <v>0</v>
      </c>
      <c r="O37" s="508">
        <v>24.000000000000014</v>
      </c>
      <c r="P37" s="509">
        <f t="shared" si="3"/>
        <v>0.41807476570393365</v>
      </c>
      <c r="Q37" s="510">
        <f t="shared" si="114"/>
        <v>0</v>
      </c>
      <c r="R37" s="508">
        <v>7.6875</v>
      </c>
      <c r="S37" s="509">
        <f t="shared" si="4"/>
        <v>0.13391457338954116</v>
      </c>
      <c r="T37" s="510">
        <f t="shared" si="115"/>
        <v>0</v>
      </c>
      <c r="U37" s="508">
        <v>3.125</v>
      </c>
      <c r="V37" s="509">
        <f t="shared" si="5"/>
        <v>5.4436818451032994E-2</v>
      </c>
      <c r="W37" s="510">
        <f t="shared" si="116"/>
        <v>0</v>
      </c>
      <c r="X37" s="508"/>
      <c r="Y37" s="509">
        <f t="shared" si="6"/>
        <v>0</v>
      </c>
      <c r="Z37" s="510">
        <f t="shared" si="117"/>
        <v>0</v>
      </c>
      <c r="AA37" s="508"/>
      <c r="AB37" s="509">
        <f t="shared" si="7"/>
        <v>0</v>
      </c>
      <c r="AC37" s="510">
        <f t="shared" si="118"/>
        <v>0</v>
      </c>
      <c r="AD37" s="508"/>
      <c r="AE37" s="509">
        <f t="shared" si="8"/>
        <v>0</v>
      </c>
      <c r="AF37" s="510">
        <f t="shared" si="119"/>
        <v>0</v>
      </c>
      <c r="AG37" s="508"/>
      <c r="AH37" s="509">
        <f t="shared" si="9"/>
        <v>0</v>
      </c>
      <c r="AI37" s="510">
        <f t="shared" si="120"/>
        <v>0</v>
      </c>
      <c r="AJ37" s="508"/>
      <c r="AK37" s="509">
        <f t="shared" si="10"/>
        <v>0</v>
      </c>
      <c r="AL37" s="510">
        <f t="shared" si="121"/>
        <v>0</v>
      </c>
      <c r="AM37" s="508">
        <v>42.046300000000002</v>
      </c>
      <c r="AN37" s="509">
        <f t="shared" si="11"/>
        <v>0.732437375884054</v>
      </c>
      <c r="AO37" s="510">
        <f t="shared" si="122"/>
        <v>0</v>
      </c>
      <c r="AP37" s="508"/>
      <c r="AQ37" s="509">
        <f t="shared" si="12"/>
        <v>0</v>
      </c>
      <c r="AR37" s="510">
        <f t="shared" si="123"/>
        <v>0</v>
      </c>
      <c r="AS37" s="508"/>
      <c r="AT37" s="509">
        <f t="shared" si="13"/>
        <v>0</v>
      </c>
      <c r="AU37" s="510">
        <f t="shared" si="124"/>
        <v>0</v>
      </c>
      <c r="AV37" s="508">
        <v>11.099999999999994</v>
      </c>
      <c r="AW37" s="509">
        <f t="shared" si="14"/>
        <v>0.19335957913806909</v>
      </c>
      <c r="AX37" s="510">
        <f t="shared" si="125"/>
        <v>0</v>
      </c>
      <c r="AY37" s="508">
        <v>39.668933333333371</v>
      </c>
      <c r="AZ37" s="509">
        <f t="shared" si="15"/>
        <v>0.69102416704409597</v>
      </c>
      <c r="BA37" s="510">
        <f t="shared" si="126"/>
        <v>0</v>
      </c>
      <c r="BB37" s="508"/>
      <c r="BC37" s="509">
        <f t="shared" si="16"/>
        <v>0</v>
      </c>
      <c r="BD37" s="510">
        <f t="shared" si="127"/>
        <v>0</v>
      </c>
      <c r="BE37" s="508"/>
      <c r="BF37" s="509">
        <f t="shared" si="17"/>
        <v>0</v>
      </c>
      <c r="BG37" s="510">
        <f t="shared" si="128"/>
        <v>0</v>
      </c>
      <c r="BH37" s="508"/>
      <c r="BI37" s="509">
        <f t="shared" si="18"/>
        <v>0</v>
      </c>
      <c r="BJ37" s="510">
        <f t="shared" si="129"/>
        <v>0</v>
      </c>
      <c r="BK37" s="508"/>
      <c r="BL37" s="509">
        <f t="shared" si="19"/>
        <v>0</v>
      </c>
      <c r="BM37" s="510">
        <f t="shared" si="130"/>
        <v>0</v>
      </c>
      <c r="BN37" s="508"/>
      <c r="BO37" s="509">
        <f t="shared" si="20"/>
        <v>0</v>
      </c>
      <c r="BP37" s="510">
        <f t="shared" si="131"/>
        <v>0</v>
      </c>
      <c r="BQ37" s="508"/>
      <c r="BR37" s="509">
        <f t="shared" si="21"/>
        <v>0</v>
      </c>
      <c r="BS37" s="510">
        <f t="shared" si="132"/>
        <v>0</v>
      </c>
      <c r="BT37" s="508"/>
      <c r="BU37" s="509">
        <f t="shared" si="22"/>
        <v>0</v>
      </c>
      <c r="BV37" s="510">
        <f t="shared" si="133"/>
        <v>0</v>
      </c>
      <c r="BW37" s="508"/>
      <c r="BX37" s="509">
        <f t="shared" si="23"/>
        <v>0</v>
      </c>
      <c r="BY37" s="510">
        <f t="shared" si="134"/>
        <v>0</v>
      </c>
      <c r="BZ37" s="508"/>
      <c r="CA37" s="509">
        <f t="shared" si="24"/>
        <v>0</v>
      </c>
      <c r="CB37" s="510">
        <f t="shared" si="135"/>
        <v>0</v>
      </c>
      <c r="CC37" s="508"/>
      <c r="CD37" s="509">
        <f t="shared" si="25"/>
        <v>0</v>
      </c>
      <c r="CE37" s="510">
        <f t="shared" si="136"/>
        <v>0</v>
      </c>
      <c r="CF37" s="508">
        <v>11</v>
      </c>
      <c r="CG37" s="509">
        <f t="shared" si="26"/>
        <v>0.19161760094763614</v>
      </c>
      <c r="CH37" s="510">
        <f t="shared" si="137"/>
        <v>0</v>
      </c>
      <c r="CI37" s="508"/>
      <c r="CJ37" s="509">
        <f t="shared" si="27"/>
        <v>0</v>
      </c>
      <c r="CK37" s="510">
        <f t="shared" si="138"/>
        <v>0</v>
      </c>
      <c r="CL37" s="508"/>
      <c r="CM37" s="509">
        <f t="shared" si="28"/>
        <v>0</v>
      </c>
      <c r="CN37" s="510">
        <f t="shared" si="139"/>
        <v>0</v>
      </c>
      <c r="CO37" s="508"/>
      <c r="CP37" s="509">
        <f t="shared" si="29"/>
        <v>0</v>
      </c>
      <c r="CQ37" s="510">
        <f t="shared" si="140"/>
        <v>0</v>
      </c>
      <c r="CR37" s="508"/>
      <c r="CS37" s="509">
        <f t="shared" si="30"/>
        <v>0</v>
      </c>
      <c r="CT37" s="510">
        <f t="shared" si="141"/>
        <v>0</v>
      </c>
      <c r="CU37" s="508"/>
      <c r="CV37" s="509">
        <f t="shared" si="31"/>
        <v>0</v>
      </c>
      <c r="CW37" s="510">
        <f t="shared" si="142"/>
        <v>0</v>
      </c>
      <c r="CX37" s="508"/>
      <c r="CY37" s="509">
        <f t="shared" si="32"/>
        <v>0</v>
      </c>
      <c r="CZ37" s="510">
        <f t="shared" si="143"/>
        <v>0</v>
      </c>
      <c r="DA37" s="508">
        <v>188.95348837209303</v>
      </c>
      <c r="DB37" s="509">
        <f t="shared" si="33"/>
        <v>3.2915285575043209</v>
      </c>
      <c r="DC37" s="510">
        <f t="shared" si="144"/>
        <v>0</v>
      </c>
      <c r="DD37" s="508"/>
      <c r="DE37" s="509">
        <f t="shared" si="34"/>
        <v>0</v>
      </c>
      <c r="DF37" s="510">
        <f t="shared" si="145"/>
        <v>0</v>
      </c>
      <c r="DG37" s="508"/>
      <c r="DH37" s="509">
        <f t="shared" si="35"/>
        <v>0</v>
      </c>
      <c r="DI37" s="510">
        <f t="shared" si="203"/>
        <v>0</v>
      </c>
      <c r="DJ37" s="508"/>
      <c r="DK37" s="509">
        <f t="shared" si="36"/>
        <v>0</v>
      </c>
      <c r="DL37" s="510">
        <f t="shared" si="146"/>
        <v>0</v>
      </c>
      <c r="DM37" s="508"/>
      <c r="DN37" s="509">
        <f t="shared" si="37"/>
        <v>0</v>
      </c>
      <c r="DO37" s="510">
        <f t="shared" si="147"/>
        <v>0</v>
      </c>
      <c r="DP37" s="508"/>
      <c r="DQ37" s="509">
        <f t="shared" si="38"/>
        <v>0</v>
      </c>
      <c r="DR37" s="510">
        <f t="shared" si="148"/>
        <v>0</v>
      </c>
      <c r="DS37" s="508"/>
      <c r="DT37" s="509">
        <f t="shared" si="39"/>
        <v>0</v>
      </c>
      <c r="DU37" s="510">
        <f t="shared" si="149"/>
        <v>0</v>
      </c>
      <c r="DV37" s="508"/>
      <c r="DW37" s="509">
        <f t="shared" si="40"/>
        <v>0</v>
      </c>
      <c r="DX37" s="510">
        <f t="shared" si="150"/>
        <v>0</v>
      </c>
      <c r="DY37" s="508">
        <v>4.3099999999999996</v>
      </c>
      <c r="DZ37" s="509">
        <f t="shared" si="41"/>
        <v>7.5079260007664697E-2</v>
      </c>
      <c r="EA37" s="510">
        <f t="shared" si="151"/>
        <v>0</v>
      </c>
      <c r="EB37" s="508">
        <v>234.8235294117647</v>
      </c>
      <c r="EC37" s="509">
        <f t="shared" si="42"/>
        <v>4.0905746683580935</v>
      </c>
      <c r="ED37" s="510">
        <f t="shared" si="152"/>
        <v>0</v>
      </c>
      <c r="EE37" s="508">
        <v>14.534883720930225</v>
      </c>
      <c r="EF37" s="509">
        <f t="shared" si="43"/>
        <v>0.25319450442340913</v>
      </c>
      <c r="EG37" s="510">
        <f t="shared" si="153"/>
        <v>0</v>
      </c>
      <c r="EH37" s="508"/>
      <c r="EI37" s="509">
        <f t="shared" si="44"/>
        <v>0</v>
      </c>
      <c r="EJ37" s="510">
        <f t="shared" si="154"/>
        <v>0</v>
      </c>
      <c r="EK37" s="508"/>
      <c r="EL37" s="509">
        <f t="shared" si="45"/>
        <v>0</v>
      </c>
      <c r="EM37" s="510">
        <f t="shared" si="155"/>
        <v>0</v>
      </c>
      <c r="EN37" s="508"/>
      <c r="EO37" s="509">
        <f t="shared" si="46"/>
        <v>0</v>
      </c>
      <c r="EP37" s="510">
        <f t="shared" si="156"/>
        <v>0</v>
      </c>
      <c r="EQ37" s="508"/>
      <c r="ER37" s="509">
        <f t="shared" si="47"/>
        <v>0</v>
      </c>
      <c r="ES37" s="510">
        <f t="shared" si="157"/>
        <v>0</v>
      </c>
      <c r="ET37" s="508"/>
      <c r="EU37" s="509">
        <f t="shared" si="48"/>
        <v>0</v>
      </c>
      <c r="EV37" s="510">
        <f t="shared" si="158"/>
        <v>0</v>
      </c>
      <c r="EW37" s="508"/>
      <c r="EX37" s="509">
        <f t="shared" si="49"/>
        <v>0</v>
      </c>
      <c r="EY37" s="510">
        <f t="shared" si="159"/>
        <v>0</v>
      </c>
      <c r="EZ37" s="508"/>
      <c r="FA37" s="509">
        <f t="shared" si="50"/>
        <v>0</v>
      </c>
      <c r="FB37" s="510">
        <f t="shared" si="160"/>
        <v>0</v>
      </c>
      <c r="FC37" s="508"/>
      <c r="FD37" s="509">
        <f t="shared" si="51"/>
        <v>0</v>
      </c>
      <c r="FE37" s="510">
        <f t="shared" si="161"/>
        <v>0</v>
      </c>
      <c r="FF37" s="508"/>
      <c r="FG37" s="509">
        <f t="shared" si="52"/>
        <v>0</v>
      </c>
      <c r="FH37" s="510">
        <f t="shared" si="162"/>
        <v>0</v>
      </c>
      <c r="FI37" s="508"/>
      <c r="FJ37" s="509">
        <f t="shared" si="53"/>
        <v>0</v>
      </c>
      <c r="FK37" s="510">
        <f t="shared" si="163"/>
        <v>0</v>
      </c>
      <c r="FL37" s="508"/>
      <c r="FM37" s="509">
        <f t="shared" si="54"/>
        <v>0</v>
      </c>
      <c r="FN37" s="510">
        <f t="shared" si="164"/>
        <v>0</v>
      </c>
      <c r="FO37" s="508"/>
      <c r="FP37" s="509">
        <f t="shared" si="55"/>
        <v>0</v>
      </c>
      <c r="FQ37" s="510">
        <f t="shared" si="165"/>
        <v>0</v>
      </c>
      <c r="FR37" s="508"/>
      <c r="FS37" s="509">
        <f t="shared" si="56"/>
        <v>0</v>
      </c>
      <c r="FT37" s="510">
        <f t="shared" si="166"/>
        <v>0</v>
      </c>
      <c r="FU37" s="508"/>
      <c r="FV37" s="509">
        <f t="shared" si="57"/>
        <v>0</v>
      </c>
      <c r="FW37" s="510">
        <f t="shared" si="167"/>
        <v>0</v>
      </c>
      <c r="FX37" s="508"/>
      <c r="FY37" s="509">
        <f t="shared" si="58"/>
        <v>0</v>
      </c>
      <c r="FZ37" s="510">
        <f t="shared" si="168"/>
        <v>0</v>
      </c>
      <c r="GA37" s="508"/>
      <c r="GB37" s="509">
        <f t="shared" si="59"/>
        <v>0</v>
      </c>
      <c r="GC37" s="510">
        <f t="shared" si="169"/>
        <v>0</v>
      </c>
      <c r="GD37" s="508"/>
      <c r="GE37" s="509">
        <f t="shared" si="60"/>
        <v>0</v>
      </c>
      <c r="GF37" s="510">
        <f t="shared" si="170"/>
        <v>0</v>
      </c>
      <c r="GG37" s="508">
        <v>5.0735828488372094</v>
      </c>
      <c r="GH37" s="509">
        <f t="shared" si="61"/>
        <v>8.8380706700296296E-2</v>
      </c>
      <c r="GI37" s="510">
        <f t="shared" si="171"/>
        <v>0</v>
      </c>
      <c r="GJ37" s="508">
        <v>7.6103742732558137</v>
      </c>
      <c r="GK37" s="509">
        <f t="shared" si="62"/>
        <v>0.13257106005044444</v>
      </c>
      <c r="GL37" s="510">
        <f t="shared" si="172"/>
        <v>0</v>
      </c>
      <c r="GM37" s="508"/>
      <c r="GN37" s="509">
        <f t="shared" si="63"/>
        <v>0</v>
      </c>
      <c r="GO37" s="510">
        <f t="shared" si="173"/>
        <v>0</v>
      </c>
      <c r="GP37" s="508">
        <v>32.978288517441861</v>
      </c>
      <c r="GQ37" s="509">
        <f t="shared" si="64"/>
        <v>0.57447459355192598</v>
      </c>
      <c r="GR37" s="510">
        <f t="shared" si="174"/>
        <v>0</v>
      </c>
      <c r="GS37" s="508">
        <v>228.31122819767441</v>
      </c>
      <c r="GT37" s="509">
        <f t="shared" si="65"/>
        <v>3.9771318015133335</v>
      </c>
      <c r="GU37" s="510">
        <f t="shared" si="175"/>
        <v>0</v>
      </c>
      <c r="GV37" s="508"/>
      <c r="GW37" s="509">
        <f t="shared" si="66"/>
        <v>0</v>
      </c>
      <c r="GX37" s="510">
        <f t="shared" si="176"/>
        <v>0</v>
      </c>
      <c r="GY37" s="508"/>
      <c r="GZ37" s="509">
        <f t="shared" si="67"/>
        <v>0</v>
      </c>
      <c r="HA37" s="510">
        <f t="shared" si="177"/>
        <v>0</v>
      </c>
      <c r="HB37" s="508"/>
      <c r="HC37" s="509">
        <f t="shared" si="68"/>
        <v>0</v>
      </c>
      <c r="HD37" s="510">
        <f t="shared" si="178"/>
        <v>0</v>
      </c>
      <c r="HE37" s="508"/>
      <c r="HF37" s="509">
        <f t="shared" si="69"/>
        <v>0</v>
      </c>
      <c r="HG37" s="510">
        <f t="shared" si="179"/>
        <v>0</v>
      </c>
      <c r="HH37" s="508"/>
      <c r="HI37" s="509">
        <f t="shared" si="70"/>
        <v>0</v>
      </c>
      <c r="HJ37" s="510">
        <f t="shared" si="180"/>
        <v>0</v>
      </c>
      <c r="HK37" s="508"/>
      <c r="HL37" s="509">
        <f t="shared" si="71"/>
        <v>0</v>
      </c>
      <c r="HM37" s="510">
        <f t="shared" si="181"/>
        <v>0</v>
      </c>
      <c r="HN37" s="508">
        <v>939.62754360465112</v>
      </c>
      <c r="HO37" s="509">
        <f t="shared" si="72"/>
        <v>16.368106880894874</v>
      </c>
      <c r="HP37" s="510">
        <f t="shared" si="182"/>
        <v>0</v>
      </c>
      <c r="HQ37" s="508"/>
      <c r="HR37" s="509">
        <f t="shared" si="73"/>
        <v>0</v>
      </c>
      <c r="HS37" s="510">
        <f t="shared" si="183"/>
        <v>0</v>
      </c>
      <c r="HT37" s="508"/>
      <c r="HU37" s="509">
        <f t="shared" si="74"/>
        <v>0</v>
      </c>
      <c r="HV37" s="510">
        <f t="shared" si="184"/>
        <v>0</v>
      </c>
      <c r="HW37" s="508"/>
      <c r="HX37" s="509">
        <f t="shared" si="75"/>
        <v>0</v>
      </c>
      <c r="HY37" s="510">
        <f t="shared" si="185"/>
        <v>0</v>
      </c>
      <c r="HZ37" s="508"/>
      <c r="IA37" s="509">
        <f t="shared" si="76"/>
        <v>0</v>
      </c>
      <c r="IB37" s="510">
        <f t="shared" si="186"/>
        <v>0</v>
      </c>
      <c r="IC37" s="508"/>
      <c r="ID37" s="509">
        <f t="shared" si="77"/>
        <v>0</v>
      </c>
      <c r="IE37" s="510">
        <f t="shared" si="187"/>
        <v>0</v>
      </c>
      <c r="IF37" s="508"/>
      <c r="IG37" s="509">
        <f t="shared" si="78"/>
        <v>0</v>
      </c>
      <c r="IH37" s="510">
        <f t="shared" si="188"/>
        <v>0</v>
      </c>
      <c r="II37" s="508">
        <v>22.83112281976744</v>
      </c>
      <c r="IJ37" s="509">
        <f t="shared" si="79"/>
        <v>0.39771318015133333</v>
      </c>
      <c r="IK37" s="510">
        <f t="shared" si="189"/>
        <v>0</v>
      </c>
      <c r="IL37" s="508"/>
      <c r="IM37" s="509">
        <f t="shared" si="80"/>
        <v>0</v>
      </c>
      <c r="IN37" s="510">
        <f t="shared" si="190"/>
        <v>0</v>
      </c>
      <c r="IO37" s="508"/>
      <c r="IP37" s="509">
        <f t="shared" si="81"/>
        <v>0</v>
      </c>
      <c r="IQ37" s="510">
        <f t="shared" si="191"/>
        <v>0</v>
      </c>
      <c r="IR37" s="508">
        <v>50.735828488372093</v>
      </c>
      <c r="IS37" s="509">
        <f t="shared" si="82"/>
        <v>0.88380706700296296</v>
      </c>
      <c r="IT37" s="510">
        <f t="shared" si="192"/>
        <v>0</v>
      </c>
      <c r="IU37" s="508"/>
      <c r="IV37" s="509">
        <f t="shared" si="83"/>
        <v>0</v>
      </c>
      <c r="IW37" s="510">
        <f t="shared" si="193"/>
        <v>0</v>
      </c>
      <c r="IX37" s="508"/>
      <c r="IY37" s="509">
        <f t="shared" si="84"/>
        <v>0</v>
      </c>
      <c r="IZ37" s="510">
        <f t="shared" si="194"/>
        <v>0</v>
      </c>
      <c r="JA37" s="508"/>
      <c r="JB37" s="509">
        <f t="shared" si="85"/>
        <v>0</v>
      </c>
      <c r="JC37" s="510">
        <f t="shared" si="195"/>
        <v>0</v>
      </c>
      <c r="JD37" s="508"/>
      <c r="JE37" s="509">
        <f t="shared" si="86"/>
        <v>0</v>
      </c>
      <c r="JF37" s="510">
        <f t="shared" si="196"/>
        <v>0</v>
      </c>
      <c r="JG37" s="508"/>
      <c r="JH37" s="509">
        <f t="shared" si="87"/>
        <v>0</v>
      </c>
      <c r="JI37" s="510">
        <f t="shared" si="197"/>
        <v>0</v>
      </c>
      <c r="JJ37" s="508">
        <v>17.757539970930232</v>
      </c>
      <c r="JK37" s="510">
        <f t="shared" si="198"/>
        <v>0.30933247345103704</v>
      </c>
      <c r="JL37" s="510" t="str">
        <f t="shared" si="88"/>
        <v>0</v>
      </c>
      <c r="JM37" s="508"/>
      <c r="JN37" s="510" t="str">
        <f t="shared" si="89"/>
        <v>0</v>
      </c>
      <c r="JO37" s="510" t="str">
        <f t="shared" si="90"/>
        <v>0</v>
      </c>
      <c r="JP37" s="508"/>
      <c r="JQ37" s="510" t="str">
        <f t="shared" si="91"/>
        <v>0</v>
      </c>
      <c r="JR37" s="510" t="str">
        <f t="shared" si="92"/>
        <v>0</v>
      </c>
      <c r="JS37" s="508"/>
      <c r="JT37" s="510" t="str">
        <f t="shared" si="93"/>
        <v>0</v>
      </c>
      <c r="JU37" s="510" t="str">
        <f t="shared" si="94"/>
        <v>0</v>
      </c>
      <c r="JV37" s="508"/>
      <c r="JW37" s="510" t="str">
        <f t="shared" si="95"/>
        <v>0</v>
      </c>
      <c r="JX37" s="510" t="str">
        <f t="shared" si="96"/>
        <v>0</v>
      </c>
      <c r="JY37" s="508"/>
      <c r="JZ37" s="510" t="str">
        <f t="shared" si="97"/>
        <v>0</v>
      </c>
      <c r="KA37" s="510" t="str">
        <f t="shared" si="98"/>
        <v>0</v>
      </c>
      <c r="KB37" s="508"/>
      <c r="KC37" s="510" t="str">
        <f t="shared" si="99"/>
        <v>0</v>
      </c>
      <c r="KD37" s="510" t="str">
        <f t="shared" si="100"/>
        <v>0</v>
      </c>
      <c r="KE37" s="508"/>
      <c r="KF37" s="510" t="str">
        <f t="shared" si="101"/>
        <v>0</v>
      </c>
      <c r="KG37" s="510" t="str">
        <f t="shared" si="102"/>
        <v>0</v>
      </c>
      <c r="KH37" s="508"/>
      <c r="KI37" s="510" t="str">
        <f t="shared" si="103"/>
        <v>0</v>
      </c>
      <c r="KJ37" s="510" t="str">
        <f t="shared" si="104"/>
        <v>0</v>
      </c>
      <c r="KK37" s="508"/>
      <c r="KL37" s="510" t="str">
        <f t="shared" si="105"/>
        <v>0</v>
      </c>
      <c r="KM37" s="510" t="str">
        <f t="shared" si="106"/>
        <v>0</v>
      </c>
      <c r="KN37" s="508"/>
      <c r="KO37" s="510" t="str">
        <f t="shared" si="107"/>
        <v>0</v>
      </c>
      <c r="KP37" s="510" t="str">
        <f t="shared" si="108"/>
        <v>0</v>
      </c>
      <c r="KQ37" s="508"/>
      <c r="KR37" s="510" t="str">
        <f t="shared" si="109"/>
        <v>0</v>
      </c>
      <c r="KS37" s="510" t="str">
        <f t="shared" si="110"/>
        <v>0</v>
      </c>
      <c r="KT37" s="510">
        <f t="shared" si="201"/>
        <v>0</v>
      </c>
      <c r="KU37" s="510">
        <f t="shared" si="202"/>
        <v>0</v>
      </c>
      <c r="KV37" s="261">
        <f t="shared" si="199"/>
        <v>1886.1751435590515</v>
      </c>
    </row>
    <row r="38" spans="1:308" ht="15" customHeight="1">
      <c r="A38" s="467">
        <f t="shared" si="200"/>
        <v>45867</v>
      </c>
      <c r="B38" s="468" t="str">
        <f>+Report1!B37</f>
        <v>Toilet</v>
      </c>
      <c r="C38" s="469" t="str">
        <f>+Report1!C37</f>
        <v>15,5</v>
      </c>
      <c r="D38" s="470">
        <f>+Report1!P37</f>
        <v>55.658999999999999</v>
      </c>
      <c r="E38" s="471">
        <f>+Report1!R37</f>
        <v>51.796999999999997</v>
      </c>
      <c r="F38" s="508"/>
      <c r="G38" s="509">
        <f t="shared" si="0"/>
        <v>0</v>
      </c>
      <c r="H38" s="510">
        <f t="shared" si="111"/>
        <v>0</v>
      </c>
      <c r="I38" s="508"/>
      <c r="J38" s="509">
        <f t="shared" si="1"/>
        <v>0</v>
      </c>
      <c r="K38" s="510">
        <f t="shared" si="112"/>
        <v>0</v>
      </c>
      <c r="L38" s="508"/>
      <c r="M38" s="509">
        <f t="shared" si="2"/>
        <v>0</v>
      </c>
      <c r="N38" s="510">
        <f t="shared" si="113"/>
        <v>0</v>
      </c>
      <c r="O38" s="508">
        <v>23.999999999999986</v>
      </c>
      <c r="P38" s="509">
        <f t="shared" si="3"/>
        <v>0.46334729810606767</v>
      </c>
      <c r="Q38" s="510">
        <f t="shared" si="114"/>
        <v>0</v>
      </c>
      <c r="R38" s="508">
        <v>7.6875000000000142</v>
      </c>
      <c r="S38" s="509">
        <f t="shared" si="4"/>
        <v>0.14841593142460016</v>
      </c>
      <c r="T38" s="510">
        <f t="shared" si="115"/>
        <v>0</v>
      </c>
      <c r="U38" s="508">
        <v>3.1249999999999858</v>
      </c>
      <c r="V38" s="509">
        <f t="shared" si="5"/>
        <v>6.0331679440893987E-2</v>
      </c>
      <c r="W38" s="510">
        <f t="shared" si="116"/>
        <v>0</v>
      </c>
      <c r="X38" s="508"/>
      <c r="Y38" s="509">
        <f t="shared" si="6"/>
        <v>0</v>
      </c>
      <c r="Z38" s="510">
        <f t="shared" si="117"/>
        <v>0</v>
      </c>
      <c r="AA38" s="508"/>
      <c r="AB38" s="509">
        <f t="shared" si="7"/>
        <v>0</v>
      </c>
      <c r="AC38" s="510">
        <f t="shared" si="118"/>
        <v>0</v>
      </c>
      <c r="AD38" s="508"/>
      <c r="AE38" s="509">
        <f t="shared" si="8"/>
        <v>0</v>
      </c>
      <c r="AF38" s="510">
        <f t="shared" si="119"/>
        <v>0</v>
      </c>
      <c r="AG38" s="508"/>
      <c r="AH38" s="509">
        <f t="shared" si="9"/>
        <v>0</v>
      </c>
      <c r="AI38" s="510">
        <f t="shared" si="120"/>
        <v>0</v>
      </c>
      <c r="AJ38" s="508"/>
      <c r="AK38" s="509">
        <f t="shared" si="10"/>
        <v>0</v>
      </c>
      <c r="AL38" s="510">
        <f t="shared" si="121"/>
        <v>0</v>
      </c>
      <c r="AM38" s="508">
        <v>34.166666666666686</v>
      </c>
      <c r="AN38" s="509">
        <f t="shared" si="11"/>
        <v>0.65962636188711099</v>
      </c>
      <c r="AO38" s="510">
        <f t="shared" si="122"/>
        <v>0</v>
      </c>
      <c r="AP38" s="508"/>
      <c r="AQ38" s="509">
        <f t="shared" si="12"/>
        <v>0</v>
      </c>
      <c r="AR38" s="510">
        <f t="shared" si="123"/>
        <v>0</v>
      </c>
      <c r="AS38" s="508"/>
      <c r="AT38" s="509">
        <f t="shared" si="13"/>
        <v>0</v>
      </c>
      <c r="AU38" s="510">
        <f t="shared" si="124"/>
        <v>0</v>
      </c>
      <c r="AV38" s="508">
        <v>11.099999999999994</v>
      </c>
      <c r="AW38" s="509">
        <f t="shared" si="14"/>
        <v>0.21429812537405632</v>
      </c>
      <c r="AX38" s="510">
        <f t="shared" si="125"/>
        <v>0</v>
      </c>
      <c r="AY38" s="508">
        <v>39.666666666666657</v>
      </c>
      <c r="AZ38" s="509">
        <f t="shared" si="15"/>
        <v>0.76581011770308438</v>
      </c>
      <c r="BA38" s="510">
        <f t="shared" si="126"/>
        <v>0</v>
      </c>
      <c r="BB38" s="508"/>
      <c r="BC38" s="509">
        <f t="shared" si="16"/>
        <v>0</v>
      </c>
      <c r="BD38" s="510">
        <f t="shared" si="127"/>
        <v>0</v>
      </c>
      <c r="BE38" s="508"/>
      <c r="BF38" s="509">
        <f t="shared" si="17"/>
        <v>0</v>
      </c>
      <c r="BG38" s="510">
        <f t="shared" si="128"/>
        <v>0</v>
      </c>
      <c r="BH38" s="508"/>
      <c r="BI38" s="509">
        <f t="shared" si="18"/>
        <v>0</v>
      </c>
      <c r="BJ38" s="510">
        <f t="shared" si="129"/>
        <v>0</v>
      </c>
      <c r="BK38" s="508"/>
      <c r="BL38" s="509">
        <f t="shared" si="19"/>
        <v>0</v>
      </c>
      <c r="BM38" s="510">
        <f t="shared" si="130"/>
        <v>0</v>
      </c>
      <c r="BN38" s="508"/>
      <c r="BO38" s="509">
        <f t="shared" si="20"/>
        <v>0</v>
      </c>
      <c r="BP38" s="510">
        <f t="shared" si="131"/>
        <v>0</v>
      </c>
      <c r="BQ38" s="508"/>
      <c r="BR38" s="509">
        <f t="shared" si="21"/>
        <v>0</v>
      </c>
      <c r="BS38" s="510">
        <f t="shared" si="132"/>
        <v>0</v>
      </c>
      <c r="BT38" s="508"/>
      <c r="BU38" s="509">
        <f t="shared" si="22"/>
        <v>0</v>
      </c>
      <c r="BV38" s="510">
        <f t="shared" si="133"/>
        <v>0</v>
      </c>
      <c r="BW38" s="508"/>
      <c r="BX38" s="509">
        <f t="shared" si="23"/>
        <v>0</v>
      </c>
      <c r="BY38" s="510">
        <f t="shared" si="134"/>
        <v>0</v>
      </c>
      <c r="BZ38" s="508"/>
      <c r="CA38" s="509">
        <f t="shared" si="24"/>
        <v>0</v>
      </c>
      <c r="CB38" s="510">
        <f t="shared" si="135"/>
        <v>0</v>
      </c>
      <c r="CC38" s="508"/>
      <c r="CD38" s="509">
        <f t="shared" si="25"/>
        <v>0</v>
      </c>
      <c r="CE38" s="510">
        <f t="shared" si="136"/>
        <v>0</v>
      </c>
      <c r="CF38" s="508">
        <v>11.5</v>
      </c>
      <c r="CG38" s="509">
        <f t="shared" si="26"/>
        <v>0.22202058034249089</v>
      </c>
      <c r="CH38" s="510">
        <f t="shared" si="137"/>
        <v>0</v>
      </c>
      <c r="CI38" s="508"/>
      <c r="CJ38" s="509">
        <f t="shared" si="27"/>
        <v>0</v>
      </c>
      <c r="CK38" s="510">
        <f t="shared" si="138"/>
        <v>0</v>
      </c>
      <c r="CL38" s="508"/>
      <c r="CM38" s="509">
        <f t="shared" si="28"/>
        <v>0</v>
      </c>
      <c r="CN38" s="510">
        <f t="shared" si="139"/>
        <v>0</v>
      </c>
      <c r="CO38" s="508"/>
      <c r="CP38" s="509">
        <f t="shared" si="29"/>
        <v>0</v>
      </c>
      <c r="CQ38" s="510">
        <f t="shared" si="140"/>
        <v>0</v>
      </c>
      <c r="CR38" s="508"/>
      <c r="CS38" s="509">
        <f t="shared" si="30"/>
        <v>0</v>
      </c>
      <c r="CT38" s="510">
        <f t="shared" si="141"/>
        <v>0</v>
      </c>
      <c r="CU38" s="508"/>
      <c r="CV38" s="509">
        <f t="shared" si="31"/>
        <v>0</v>
      </c>
      <c r="CW38" s="510">
        <f t="shared" si="142"/>
        <v>0</v>
      </c>
      <c r="CX38" s="508"/>
      <c r="CY38" s="509">
        <f t="shared" si="32"/>
        <v>0</v>
      </c>
      <c r="CZ38" s="510">
        <f t="shared" si="143"/>
        <v>0</v>
      </c>
      <c r="DA38" s="508">
        <v>232.55813953488382</v>
      </c>
      <c r="DB38" s="509">
        <f t="shared" si="33"/>
        <v>4.4897994002525987</v>
      </c>
      <c r="DC38" s="510">
        <f t="shared" si="144"/>
        <v>0</v>
      </c>
      <c r="DD38" s="508"/>
      <c r="DE38" s="509">
        <f t="shared" si="34"/>
        <v>0</v>
      </c>
      <c r="DF38" s="510">
        <f t="shared" si="145"/>
        <v>0</v>
      </c>
      <c r="DG38" s="508"/>
      <c r="DH38" s="509">
        <f t="shared" si="35"/>
        <v>0</v>
      </c>
      <c r="DI38" s="510">
        <f t="shared" si="203"/>
        <v>0</v>
      </c>
      <c r="DJ38" s="508"/>
      <c r="DK38" s="509">
        <f t="shared" si="36"/>
        <v>0</v>
      </c>
      <c r="DL38" s="510">
        <f t="shared" si="146"/>
        <v>0</v>
      </c>
      <c r="DM38" s="508"/>
      <c r="DN38" s="509">
        <f t="shared" si="37"/>
        <v>0</v>
      </c>
      <c r="DO38" s="510">
        <f t="shared" si="147"/>
        <v>0</v>
      </c>
      <c r="DP38" s="508"/>
      <c r="DQ38" s="509">
        <f t="shared" si="38"/>
        <v>0</v>
      </c>
      <c r="DR38" s="510">
        <f t="shared" si="148"/>
        <v>0</v>
      </c>
      <c r="DS38" s="508"/>
      <c r="DT38" s="509">
        <f t="shared" si="39"/>
        <v>0</v>
      </c>
      <c r="DU38" s="510">
        <f t="shared" si="149"/>
        <v>0</v>
      </c>
      <c r="DV38" s="508"/>
      <c r="DW38" s="509">
        <f t="shared" si="40"/>
        <v>0</v>
      </c>
      <c r="DX38" s="510">
        <f t="shared" si="150"/>
        <v>0</v>
      </c>
      <c r="DY38" s="508"/>
      <c r="DZ38" s="509">
        <f t="shared" si="41"/>
        <v>0</v>
      </c>
      <c r="EA38" s="510">
        <f t="shared" si="151"/>
        <v>0</v>
      </c>
      <c r="EB38" s="508">
        <v>164.37647058823541</v>
      </c>
      <c r="EC38" s="509">
        <f t="shared" si="42"/>
        <v>3.1734747299696009</v>
      </c>
      <c r="ED38" s="510">
        <f t="shared" si="152"/>
        <v>0</v>
      </c>
      <c r="EE38" s="508">
        <v>14.534883720930225</v>
      </c>
      <c r="EF38" s="509">
        <f t="shared" si="43"/>
        <v>0.28061246251578714</v>
      </c>
      <c r="EG38" s="510">
        <f t="shared" si="153"/>
        <v>0</v>
      </c>
      <c r="EH38" s="508"/>
      <c r="EI38" s="509">
        <f t="shared" si="44"/>
        <v>0</v>
      </c>
      <c r="EJ38" s="510">
        <f t="shared" si="154"/>
        <v>0</v>
      </c>
      <c r="EK38" s="508"/>
      <c r="EL38" s="509">
        <f t="shared" si="45"/>
        <v>0</v>
      </c>
      <c r="EM38" s="510">
        <f t="shared" si="155"/>
        <v>0</v>
      </c>
      <c r="EN38" s="508"/>
      <c r="EO38" s="509">
        <f t="shared" si="46"/>
        <v>0</v>
      </c>
      <c r="EP38" s="510">
        <f t="shared" si="156"/>
        <v>0</v>
      </c>
      <c r="EQ38" s="508"/>
      <c r="ER38" s="509">
        <f t="shared" si="47"/>
        <v>0</v>
      </c>
      <c r="ES38" s="510">
        <f t="shared" si="157"/>
        <v>0</v>
      </c>
      <c r="ET38" s="508"/>
      <c r="EU38" s="509">
        <f t="shared" si="48"/>
        <v>0</v>
      </c>
      <c r="EV38" s="510">
        <f t="shared" si="158"/>
        <v>0</v>
      </c>
      <c r="EW38" s="508"/>
      <c r="EX38" s="509">
        <f t="shared" si="49"/>
        <v>0</v>
      </c>
      <c r="EY38" s="510">
        <f t="shared" si="159"/>
        <v>0</v>
      </c>
      <c r="EZ38" s="508"/>
      <c r="FA38" s="509">
        <f t="shared" si="50"/>
        <v>0</v>
      </c>
      <c r="FB38" s="510">
        <f t="shared" si="160"/>
        <v>0</v>
      </c>
      <c r="FC38" s="508"/>
      <c r="FD38" s="509">
        <f t="shared" si="51"/>
        <v>0</v>
      </c>
      <c r="FE38" s="510">
        <f t="shared" si="161"/>
        <v>0</v>
      </c>
      <c r="FF38" s="508"/>
      <c r="FG38" s="509">
        <f t="shared" si="52"/>
        <v>0</v>
      </c>
      <c r="FH38" s="510">
        <f t="shared" si="162"/>
        <v>0</v>
      </c>
      <c r="FI38" s="508"/>
      <c r="FJ38" s="509">
        <f t="shared" si="53"/>
        <v>0</v>
      </c>
      <c r="FK38" s="510">
        <f t="shared" si="163"/>
        <v>0</v>
      </c>
      <c r="FL38" s="508"/>
      <c r="FM38" s="509">
        <f t="shared" si="54"/>
        <v>0</v>
      </c>
      <c r="FN38" s="510">
        <f t="shared" si="164"/>
        <v>0</v>
      </c>
      <c r="FO38" s="508"/>
      <c r="FP38" s="509">
        <f t="shared" si="55"/>
        <v>0</v>
      </c>
      <c r="FQ38" s="510">
        <f t="shared" si="165"/>
        <v>0</v>
      </c>
      <c r="FR38" s="508"/>
      <c r="FS38" s="509">
        <f t="shared" si="56"/>
        <v>0</v>
      </c>
      <c r="FT38" s="510">
        <f t="shared" si="166"/>
        <v>0</v>
      </c>
      <c r="FU38" s="508"/>
      <c r="FV38" s="509">
        <f t="shared" si="57"/>
        <v>0</v>
      </c>
      <c r="FW38" s="510">
        <f t="shared" si="167"/>
        <v>0</v>
      </c>
      <c r="FX38" s="508"/>
      <c r="FY38" s="509">
        <f t="shared" si="58"/>
        <v>0</v>
      </c>
      <c r="FZ38" s="510">
        <f t="shared" si="168"/>
        <v>0</v>
      </c>
      <c r="GA38" s="508"/>
      <c r="GB38" s="509">
        <f t="shared" si="59"/>
        <v>0</v>
      </c>
      <c r="GC38" s="510">
        <f t="shared" si="169"/>
        <v>0</v>
      </c>
      <c r="GD38" s="508"/>
      <c r="GE38" s="509">
        <f t="shared" si="60"/>
        <v>0</v>
      </c>
      <c r="GF38" s="510">
        <f t="shared" si="170"/>
        <v>0</v>
      </c>
      <c r="GG38" s="508">
        <v>5.0706034545587055</v>
      </c>
      <c r="GH38" s="509">
        <f t="shared" si="61"/>
        <v>9.7893767101544599E-2</v>
      </c>
      <c r="GI38" s="510">
        <f t="shared" si="171"/>
        <v>0</v>
      </c>
      <c r="GJ38" s="508">
        <v>10.141206909117411</v>
      </c>
      <c r="GK38" s="509">
        <f t="shared" si="62"/>
        <v>0.1957875342030892</v>
      </c>
      <c r="GL38" s="510">
        <f t="shared" si="172"/>
        <v>0</v>
      </c>
      <c r="GM38" s="508"/>
      <c r="GN38" s="509">
        <f t="shared" si="63"/>
        <v>0</v>
      </c>
      <c r="GO38" s="510">
        <f t="shared" si="173"/>
        <v>0</v>
      </c>
      <c r="GP38" s="508">
        <v>32.958922454631583</v>
      </c>
      <c r="GQ38" s="509">
        <f t="shared" si="64"/>
        <v>0.63630948616003991</v>
      </c>
      <c r="GR38" s="510">
        <f t="shared" si="174"/>
        <v>0</v>
      </c>
      <c r="GS38" s="508">
        <v>243.38896581881787</v>
      </c>
      <c r="GT38" s="509">
        <f t="shared" si="65"/>
        <v>4.6989008208741412</v>
      </c>
      <c r="GU38" s="510">
        <f t="shared" si="175"/>
        <v>0</v>
      </c>
      <c r="GV38" s="508"/>
      <c r="GW38" s="509">
        <f t="shared" si="66"/>
        <v>0</v>
      </c>
      <c r="GX38" s="510">
        <f t="shared" si="176"/>
        <v>0</v>
      </c>
      <c r="GY38" s="508"/>
      <c r="GZ38" s="509">
        <f t="shared" si="67"/>
        <v>0</v>
      </c>
      <c r="HA38" s="510">
        <f t="shared" si="177"/>
        <v>0</v>
      </c>
      <c r="HB38" s="508"/>
      <c r="HC38" s="509">
        <f t="shared" si="68"/>
        <v>0</v>
      </c>
      <c r="HD38" s="510">
        <f t="shared" si="178"/>
        <v>0</v>
      </c>
      <c r="HE38" s="508"/>
      <c r="HF38" s="509">
        <f t="shared" si="69"/>
        <v>0</v>
      </c>
      <c r="HG38" s="510">
        <f t="shared" si="179"/>
        <v>0</v>
      </c>
      <c r="HH38" s="508"/>
      <c r="HI38" s="509">
        <f t="shared" si="70"/>
        <v>0</v>
      </c>
      <c r="HJ38" s="510">
        <f t="shared" si="180"/>
        <v>0</v>
      </c>
      <c r="HK38" s="508"/>
      <c r="HL38" s="509">
        <f t="shared" si="71"/>
        <v>0</v>
      </c>
      <c r="HM38" s="510">
        <f t="shared" si="181"/>
        <v>0</v>
      </c>
      <c r="HN38" s="508">
        <v>1040.4878288754464</v>
      </c>
      <c r="HO38" s="509">
        <f t="shared" si="72"/>
        <v>20.087801009236955</v>
      </c>
      <c r="HP38" s="510">
        <f t="shared" si="182"/>
        <v>0</v>
      </c>
      <c r="HQ38" s="508"/>
      <c r="HR38" s="509">
        <f t="shared" si="73"/>
        <v>0</v>
      </c>
      <c r="HS38" s="510">
        <f t="shared" si="183"/>
        <v>0</v>
      </c>
      <c r="HT38" s="508"/>
      <c r="HU38" s="509">
        <f t="shared" si="74"/>
        <v>0</v>
      </c>
      <c r="HV38" s="510">
        <f t="shared" si="184"/>
        <v>0</v>
      </c>
      <c r="HW38" s="508"/>
      <c r="HX38" s="509">
        <f t="shared" si="75"/>
        <v>0</v>
      </c>
      <c r="HY38" s="510">
        <f t="shared" si="185"/>
        <v>0</v>
      </c>
      <c r="HZ38" s="508"/>
      <c r="IA38" s="509">
        <f t="shared" si="76"/>
        <v>0</v>
      </c>
      <c r="IB38" s="510">
        <f t="shared" si="186"/>
        <v>0</v>
      </c>
      <c r="IC38" s="508"/>
      <c r="ID38" s="509">
        <f t="shared" si="77"/>
        <v>0</v>
      </c>
      <c r="IE38" s="510">
        <f t="shared" si="187"/>
        <v>0</v>
      </c>
      <c r="IF38" s="508"/>
      <c r="IG38" s="509">
        <f t="shared" si="78"/>
        <v>0</v>
      </c>
      <c r="IH38" s="510">
        <f t="shared" si="188"/>
        <v>0</v>
      </c>
      <c r="II38" s="508">
        <v>20.282413818234822</v>
      </c>
      <c r="IJ38" s="509">
        <f t="shared" si="79"/>
        <v>0.39157506840617839</v>
      </c>
      <c r="IK38" s="510">
        <f t="shared" si="189"/>
        <v>0</v>
      </c>
      <c r="IL38" s="508"/>
      <c r="IM38" s="509">
        <f t="shared" si="80"/>
        <v>0</v>
      </c>
      <c r="IN38" s="510">
        <f t="shared" si="190"/>
        <v>0</v>
      </c>
      <c r="IO38" s="508"/>
      <c r="IP38" s="509">
        <f t="shared" si="81"/>
        <v>0</v>
      </c>
      <c r="IQ38" s="510">
        <f t="shared" si="191"/>
        <v>0</v>
      </c>
      <c r="IR38" s="508">
        <v>50.706034545587052</v>
      </c>
      <c r="IS38" s="509">
        <f t="shared" si="82"/>
        <v>0.97893767101544593</v>
      </c>
      <c r="IT38" s="510">
        <f t="shared" si="192"/>
        <v>0</v>
      </c>
      <c r="IU38" s="508"/>
      <c r="IV38" s="509">
        <f t="shared" si="83"/>
        <v>0</v>
      </c>
      <c r="IW38" s="510">
        <f t="shared" si="193"/>
        <v>0</v>
      </c>
      <c r="IX38" s="508"/>
      <c r="IY38" s="509">
        <f t="shared" si="84"/>
        <v>0</v>
      </c>
      <c r="IZ38" s="510">
        <f t="shared" si="194"/>
        <v>0</v>
      </c>
      <c r="JA38" s="508"/>
      <c r="JB38" s="509">
        <f t="shared" si="85"/>
        <v>0</v>
      </c>
      <c r="JC38" s="510">
        <f t="shared" si="195"/>
        <v>0</v>
      </c>
      <c r="JD38" s="508"/>
      <c r="JE38" s="509">
        <f t="shared" si="86"/>
        <v>0</v>
      </c>
      <c r="JF38" s="510">
        <f t="shared" si="196"/>
        <v>0</v>
      </c>
      <c r="JG38" s="508"/>
      <c r="JH38" s="509">
        <f t="shared" si="87"/>
        <v>0</v>
      </c>
      <c r="JI38" s="510">
        <f t="shared" si="197"/>
        <v>0</v>
      </c>
      <c r="JJ38" s="508">
        <v>17.747112090955468</v>
      </c>
      <c r="JK38" s="510">
        <f t="shared" si="198"/>
        <v>0.34262818485540608</v>
      </c>
      <c r="JL38" s="510" t="str">
        <f t="shared" si="88"/>
        <v>0</v>
      </c>
      <c r="JM38" s="508"/>
      <c r="JN38" s="510" t="str">
        <f t="shared" si="89"/>
        <v>0</v>
      </c>
      <c r="JO38" s="510" t="str">
        <f t="shared" si="90"/>
        <v>0</v>
      </c>
      <c r="JP38" s="508"/>
      <c r="JQ38" s="510" t="str">
        <f t="shared" si="91"/>
        <v>0</v>
      </c>
      <c r="JR38" s="510" t="str">
        <f t="shared" si="92"/>
        <v>0</v>
      </c>
      <c r="JS38" s="508"/>
      <c r="JT38" s="510" t="str">
        <f t="shared" si="93"/>
        <v>0</v>
      </c>
      <c r="JU38" s="510" t="str">
        <f t="shared" si="94"/>
        <v>0</v>
      </c>
      <c r="JV38" s="508"/>
      <c r="JW38" s="510" t="str">
        <f t="shared" si="95"/>
        <v>0</v>
      </c>
      <c r="JX38" s="510" t="str">
        <f t="shared" si="96"/>
        <v>0</v>
      </c>
      <c r="JY38" s="508"/>
      <c r="JZ38" s="510" t="str">
        <f t="shared" si="97"/>
        <v>0</v>
      </c>
      <c r="KA38" s="510" t="str">
        <f t="shared" si="98"/>
        <v>0</v>
      </c>
      <c r="KB38" s="508"/>
      <c r="KC38" s="510" t="str">
        <f t="shared" si="99"/>
        <v>0</v>
      </c>
      <c r="KD38" s="510" t="str">
        <f t="shared" si="100"/>
        <v>0</v>
      </c>
      <c r="KE38" s="508"/>
      <c r="KF38" s="510" t="str">
        <f t="shared" si="101"/>
        <v>0</v>
      </c>
      <c r="KG38" s="510" t="str">
        <f t="shared" si="102"/>
        <v>0</v>
      </c>
      <c r="KH38" s="508"/>
      <c r="KI38" s="510" t="str">
        <f t="shared" si="103"/>
        <v>0</v>
      </c>
      <c r="KJ38" s="510" t="str">
        <f t="shared" si="104"/>
        <v>0</v>
      </c>
      <c r="KK38" s="508"/>
      <c r="KL38" s="510" t="str">
        <f t="shared" si="105"/>
        <v>0</v>
      </c>
      <c r="KM38" s="510" t="str">
        <f t="shared" si="106"/>
        <v>0</v>
      </c>
      <c r="KN38" s="508"/>
      <c r="KO38" s="510" t="str">
        <f t="shared" si="107"/>
        <v>0</v>
      </c>
      <c r="KP38" s="510" t="str">
        <f t="shared" si="108"/>
        <v>0</v>
      </c>
      <c r="KQ38" s="508"/>
      <c r="KR38" s="510" t="str">
        <f t="shared" si="109"/>
        <v>0</v>
      </c>
      <c r="KS38" s="510" t="str">
        <f t="shared" si="110"/>
        <v>0</v>
      </c>
      <c r="KT38" s="510">
        <f t="shared" si="201"/>
        <v>0</v>
      </c>
      <c r="KU38" s="510">
        <f t="shared" si="202"/>
        <v>0</v>
      </c>
      <c r="KV38" s="261">
        <f t="shared" si="199"/>
        <v>1963.498415144732</v>
      </c>
    </row>
    <row r="39" spans="1:308" ht="15" customHeight="1">
      <c r="A39" s="467">
        <f t="shared" si="200"/>
        <v>45868</v>
      </c>
      <c r="B39" s="468" t="str">
        <f>+Report1!B38</f>
        <v>Toilet</v>
      </c>
      <c r="C39" s="469" t="str">
        <f>+Report1!C38</f>
        <v>15,5</v>
      </c>
      <c r="D39" s="470">
        <f>+Report1!P38</f>
        <v>55.137</v>
      </c>
      <c r="E39" s="471">
        <f>+Report1!R38</f>
        <v>50.341999999999999</v>
      </c>
      <c r="F39" s="508"/>
      <c r="G39" s="509">
        <f t="shared" si="0"/>
        <v>0</v>
      </c>
      <c r="H39" s="510">
        <f t="shared" si="111"/>
        <v>0</v>
      </c>
      <c r="I39" s="508"/>
      <c r="J39" s="509">
        <f t="shared" si="1"/>
        <v>0</v>
      </c>
      <c r="K39" s="510">
        <f t="shared" si="112"/>
        <v>0</v>
      </c>
      <c r="L39" s="508"/>
      <c r="M39" s="509">
        <f t="shared" si="2"/>
        <v>0</v>
      </c>
      <c r="N39" s="510">
        <f t="shared" si="113"/>
        <v>0</v>
      </c>
      <c r="O39" s="508">
        <v>21.000000000000007</v>
      </c>
      <c r="P39" s="509">
        <f t="shared" si="3"/>
        <v>0.41714671645941775</v>
      </c>
      <c r="Q39" s="510">
        <f t="shared" si="114"/>
        <v>0</v>
      </c>
      <c r="R39" s="508">
        <v>5.1249999999999858</v>
      </c>
      <c r="S39" s="509">
        <f t="shared" si="4"/>
        <v>0.10180366294545282</v>
      </c>
      <c r="T39" s="510">
        <f t="shared" si="115"/>
        <v>0</v>
      </c>
      <c r="U39" s="508">
        <v>3.125</v>
      </c>
      <c r="V39" s="509">
        <f t="shared" si="5"/>
        <v>6.2075404235032383E-2</v>
      </c>
      <c r="W39" s="510">
        <f t="shared" si="116"/>
        <v>0</v>
      </c>
      <c r="X39" s="508"/>
      <c r="Y39" s="509">
        <f t="shared" si="6"/>
        <v>0</v>
      </c>
      <c r="Z39" s="510">
        <f t="shared" si="117"/>
        <v>0</v>
      </c>
      <c r="AA39" s="508"/>
      <c r="AB39" s="509">
        <f t="shared" si="7"/>
        <v>0</v>
      </c>
      <c r="AC39" s="510">
        <f t="shared" si="118"/>
        <v>0</v>
      </c>
      <c r="AD39" s="508"/>
      <c r="AE39" s="509">
        <f t="shared" si="8"/>
        <v>0</v>
      </c>
      <c r="AF39" s="510">
        <f t="shared" si="119"/>
        <v>0</v>
      </c>
      <c r="AG39" s="508"/>
      <c r="AH39" s="509">
        <f t="shared" si="9"/>
        <v>0</v>
      </c>
      <c r="AI39" s="510">
        <f t="shared" si="120"/>
        <v>0</v>
      </c>
      <c r="AJ39" s="508"/>
      <c r="AK39" s="509">
        <f t="shared" si="10"/>
        <v>0</v>
      </c>
      <c r="AL39" s="510">
        <f t="shared" si="121"/>
        <v>0</v>
      </c>
      <c r="AM39" s="508">
        <v>34.166666666666657</v>
      </c>
      <c r="AN39" s="509">
        <f t="shared" si="11"/>
        <v>0.67869108630302055</v>
      </c>
      <c r="AO39" s="510">
        <f t="shared" si="122"/>
        <v>0</v>
      </c>
      <c r="AP39" s="508"/>
      <c r="AQ39" s="509">
        <f t="shared" si="12"/>
        <v>0</v>
      </c>
      <c r="AR39" s="510">
        <f t="shared" si="123"/>
        <v>0</v>
      </c>
      <c r="AS39" s="508"/>
      <c r="AT39" s="509">
        <f t="shared" si="13"/>
        <v>0</v>
      </c>
      <c r="AU39" s="510">
        <f t="shared" si="124"/>
        <v>0</v>
      </c>
      <c r="AV39" s="508">
        <v>11.099999999999994</v>
      </c>
      <c r="AW39" s="509">
        <f t="shared" si="14"/>
        <v>0.22049183584283491</v>
      </c>
      <c r="AX39" s="510">
        <f t="shared" si="125"/>
        <v>0</v>
      </c>
      <c r="AY39" s="508">
        <v>39.666666666666657</v>
      </c>
      <c r="AZ39" s="509">
        <f t="shared" si="15"/>
        <v>0.78794379775667744</v>
      </c>
      <c r="BA39" s="510">
        <f t="shared" si="126"/>
        <v>0</v>
      </c>
      <c r="BB39" s="508"/>
      <c r="BC39" s="509">
        <f t="shared" si="16"/>
        <v>0</v>
      </c>
      <c r="BD39" s="510">
        <f t="shared" si="127"/>
        <v>0</v>
      </c>
      <c r="BE39" s="508"/>
      <c r="BF39" s="509">
        <f t="shared" si="17"/>
        <v>0</v>
      </c>
      <c r="BG39" s="510">
        <f t="shared" si="128"/>
        <v>0</v>
      </c>
      <c r="BH39" s="508"/>
      <c r="BI39" s="509">
        <f t="shared" si="18"/>
        <v>0</v>
      </c>
      <c r="BJ39" s="510">
        <f t="shared" si="129"/>
        <v>0</v>
      </c>
      <c r="BK39" s="508"/>
      <c r="BL39" s="509">
        <f t="shared" si="19"/>
        <v>0</v>
      </c>
      <c r="BM39" s="510">
        <f t="shared" si="130"/>
        <v>0</v>
      </c>
      <c r="BN39" s="508"/>
      <c r="BO39" s="509">
        <f t="shared" si="20"/>
        <v>0</v>
      </c>
      <c r="BP39" s="510">
        <f t="shared" si="131"/>
        <v>0</v>
      </c>
      <c r="BQ39" s="508"/>
      <c r="BR39" s="509">
        <f t="shared" si="21"/>
        <v>0</v>
      </c>
      <c r="BS39" s="510">
        <f t="shared" si="132"/>
        <v>0</v>
      </c>
      <c r="BT39" s="508"/>
      <c r="BU39" s="509">
        <f t="shared" si="22"/>
        <v>0</v>
      </c>
      <c r="BV39" s="510">
        <f t="shared" si="133"/>
        <v>0</v>
      </c>
      <c r="BW39" s="508"/>
      <c r="BX39" s="509">
        <f t="shared" si="23"/>
        <v>0</v>
      </c>
      <c r="BY39" s="510">
        <f t="shared" si="134"/>
        <v>0</v>
      </c>
      <c r="BZ39" s="508"/>
      <c r="CA39" s="509">
        <f t="shared" si="24"/>
        <v>0</v>
      </c>
      <c r="CB39" s="510">
        <f t="shared" si="135"/>
        <v>0</v>
      </c>
      <c r="CC39" s="508"/>
      <c r="CD39" s="509">
        <f t="shared" si="25"/>
        <v>0</v>
      </c>
      <c r="CE39" s="510">
        <f t="shared" si="136"/>
        <v>0</v>
      </c>
      <c r="CF39" s="508">
        <v>11.5</v>
      </c>
      <c r="CG39" s="509">
        <f t="shared" si="26"/>
        <v>0.22843748758491916</v>
      </c>
      <c r="CH39" s="510">
        <f t="shared" si="137"/>
        <v>0</v>
      </c>
      <c r="CI39" s="508"/>
      <c r="CJ39" s="509">
        <f t="shared" si="27"/>
        <v>0</v>
      </c>
      <c r="CK39" s="510">
        <f t="shared" si="138"/>
        <v>0</v>
      </c>
      <c r="CL39" s="508"/>
      <c r="CM39" s="509">
        <f t="shared" si="28"/>
        <v>0</v>
      </c>
      <c r="CN39" s="510">
        <f t="shared" si="139"/>
        <v>0</v>
      </c>
      <c r="CO39" s="508"/>
      <c r="CP39" s="509">
        <f t="shared" si="29"/>
        <v>0</v>
      </c>
      <c r="CQ39" s="510">
        <f t="shared" si="140"/>
        <v>0</v>
      </c>
      <c r="CR39" s="508"/>
      <c r="CS39" s="509">
        <f t="shared" si="30"/>
        <v>0</v>
      </c>
      <c r="CT39" s="510">
        <f t="shared" si="141"/>
        <v>0</v>
      </c>
      <c r="CU39" s="508"/>
      <c r="CV39" s="509">
        <f t="shared" si="31"/>
        <v>0</v>
      </c>
      <c r="CW39" s="510">
        <f t="shared" si="142"/>
        <v>0</v>
      </c>
      <c r="CX39" s="508"/>
      <c r="CY39" s="509">
        <f t="shared" si="32"/>
        <v>0</v>
      </c>
      <c r="CZ39" s="510">
        <f t="shared" si="143"/>
        <v>0</v>
      </c>
      <c r="DA39" s="508">
        <v>188.95348837209292</v>
      </c>
      <c r="DB39" s="509">
        <f t="shared" si="33"/>
        <v>3.7533965351414906</v>
      </c>
      <c r="DC39" s="510">
        <f t="shared" si="144"/>
        <v>0</v>
      </c>
      <c r="DD39" s="508"/>
      <c r="DE39" s="509">
        <f t="shared" si="34"/>
        <v>0</v>
      </c>
      <c r="DF39" s="510">
        <f t="shared" si="145"/>
        <v>0</v>
      </c>
      <c r="DG39" s="508"/>
      <c r="DH39" s="509">
        <f t="shared" si="35"/>
        <v>0</v>
      </c>
      <c r="DI39" s="510">
        <f t="shared" si="203"/>
        <v>0</v>
      </c>
      <c r="DJ39" s="508"/>
      <c r="DK39" s="509">
        <f t="shared" si="36"/>
        <v>0</v>
      </c>
      <c r="DL39" s="510">
        <f t="shared" si="146"/>
        <v>0</v>
      </c>
      <c r="DM39" s="508"/>
      <c r="DN39" s="509">
        <f t="shared" si="37"/>
        <v>0</v>
      </c>
      <c r="DO39" s="510">
        <f t="shared" si="147"/>
        <v>0</v>
      </c>
      <c r="DP39" s="508"/>
      <c r="DQ39" s="509">
        <f t="shared" si="38"/>
        <v>0</v>
      </c>
      <c r="DR39" s="510">
        <f t="shared" si="148"/>
        <v>0</v>
      </c>
      <c r="DS39" s="508"/>
      <c r="DT39" s="509">
        <f t="shared" si="39"/>
        <v>0</v>
      </c>
      <c r="DU39" s="510">
        <f t="shared" si="149"/>
        <v>0</v>
      </c>
      <c r="DV39" s="508"/>
      <c r="DW39" s="509">
        <f t="shared" si="40"/>
        <v>0</v>
      </c>
      <c r="DX39" s="510">
        <f t="shared" si="150"/>
        <v>0</v>
      </c>
      <c r="DY39" s="508"/>
      <c r="DZ39" s="509">
        <f t="shared" si="41"/>
        <v>0</v>
      </c>
      <c r="EA39" s="510">
        <f t="shared" si="151"/>
        <v>0</v>
      </c>
      <c r="EB39" s="508">
        <v>176.11764705882342</v>
      </c>
      <c r="EC39" s="509">
        <f t="shared" si="42"/>
        <v>3.4984237229117521</v>
      </c>
      <c r="ED39" s="510">
        <f t="shared" si="152"/>
        <v>0</v>
      </c>
      <c r="EE39" s="508">
        <v>14.534883720930338</v>
      </c>
      <c r="EF39" s="509">
        <f t="shared" si="43"/>
        <v>0.28872281039550152</v>
      </c>
      <c r="EG39" s="510">
        <f t="shared" si="153"/>
        <v>0</v>
      </c>
      <c r="EH39" s="508"/>
      <c r="EI39" s="509">
        <f t="shared" si="44"/>
        <v>0</v>
      </c>
      <c r="EJ39" s="510">
        <f t="shared" si="154"/>
        <v>0</v>
      </c>
      <c r="EK39" s="508"/>
      <c r="EL39" s="509">
        <f t="shared" si="45"/>
        <v>0</v>
      </c>
      <c r="EM39" s="510">
        <f t="shared" si="155"/>
        <v>0</v>
      </c>
      <c r="EN39" s="508"/>
      <c r="EO39" s="509">
        <f t="shared" si="46"/>
        <v>0</v>
      </c>
      <c r="EP39" s="510">
        <f t="shared" si="156"/>
        <v>0</v>
      </c>
      <c r="EQ39" s="508"/>
      <c r="ER39" s="509">
        <f t="shared" si="47"/>
        <v>0</v>
      </c>
      <c r="ES39" s="510">
        <f t="shared" si="157"/>
        <v>0</v>
      </c>
      <c r="ET39" s="508"/>
      <c r="EU39" s="509">
        <f t="shared" si="48"/>
        <v>0</v>
      </c>
      <c r="EV39" s="510">
        <f t="shared" si="158"/>
        <v>0</v>
      </c>
      <c r="EW39" s="508"/>
      <c r="EX39" s="509">
        <f t="shared" si="49"/>
        <v>0</v>
      </c>
      <c r="EY39" s="510">
        <f t="shared" si="159"/>
        <v>0</v>
      </c>
      <c r="EZ39" s="508"/>
      <c r="FA39" s="509">
        <f t="shared" si="50"/>
        <v>0</v>
      </c>
      <c r="FB39" s="510">
        <f t="shared" si="160"/>
        <v>0</v>
      </c>
      <c r="FC39" s="508"/>
      <c r="FD39" s="509">
        <f t="shared" si="51"/>
        <v>0</v>
      </c>
      <c r="FE39" s="510">
        <f t="shared" si="161"/>
        <v>0</v>
      </c>
      <c r="FF39" s="508"/>
      <c r="FG39" s="509">
        <f t="shared" si="52"/>
        <v>0</v>
      </c>
      <c r="FH39" s="510">
        <f t="shared" si="162"/>
        <v>0</v>
      </c>
      <c r="FI39" s="508"/>
      <c r="FJ39" s="509">
        <f t="shared" si="53"/>
        <v>0</v>
      </c>
      <c r="FK39" s="510">
        <f t="shared" si="163"/>
        <v>0</v>
      </c>
      <c r="FL39" s="508"/>
      <c r="FM39" s="509">
        <f t="shared" si="54"/>
        <v>0</v>
      </c>
      <c r="FN39" s="510">
        <f t="shared" si="164"/>
        <v>0</v>
      </c>
      <c r="FO39" s="508"/>
      <c r="FP39" s="509">
        <f t="shared" si="55"/>
        <v>0</v>
      </c>
      <c r="FQ39" s="510">
        <f t="shared" si="165"/>
        <v>0</v>
      </c>
      <c r="FR39" s="508"/>
      <c r="FS39" s="509">
        <f t="shared" si="56"/>
        <v>0</v>
      </c>
      <c r="FT39" s="510">
        <f t="shared" si="166"/>
        <v>0</v>
      </c>
      <c r="FU39" s="508"/>
      <c r="FV39" s="509">
        <f t="shared" si="57"/>
        <v>0</v>
      </c>
      <c r="FW39" s="510">
        <f t="shared" si="167"/>
        <v>0</v>
      </c>
      <c r="FX39" s="508"/>
      <c r="FY39" s="509">
        <f t="shared" si="58"/>
        <v>0</v>
      </c>
      <c r="FZ39" s="510">
        <f t="shared" si="168"/>
        <v>0</v>
      </c>
      <c r="GA39" s="508"/>
      <c r="GB39" s="509">
        <f t="shared" si="59"/>
        <v>0</v>
      </c>
      <c r="GC39" s="510">
        <f t="shared" si="169"/>
        <v>0</v>
      </c>
      <c r="GD39" s="508"/>
      <c r="GE39" s="509">
        <f t="shared" si="60"/>
        <v>0</v>
      </c>
      <c r="GF39" s="510">
        <f t="shared" si="170"/>
        <v>0</v>
      </c>
      <c r="GG39" s="508">
        <v>5.1550623147620076</v>
      </c>
      <c r="GH39" s="509">
        <f t="shared" si="61"/>
        <v>0.10240082465460268</v>
      </c>
      <c r="GI39" s="510">
        <f t="shared" si="171"/>
        <v>0</v>
      </c>
      <c r="GJ39" s="508">
        <v>10.310124629524015</v>
      </c>
      <c r="GK39" s="509">
        <f t="shared" si="62"/>
        <v>0.20480164930920536</v>
      </c>
      <c r="GL39" s="510">
        <f t="shared" si="172"/>
        <v>0</v>
      </c>
      <c r="GM39" s="508"/>
      <c r="GN39" s="509">
        <f t="shared" si="63"/>
        <v>0</v>
      </c>
      <c r="GO39" s="510">
        <f t="shared" si="173"/>
        <v>0</v>
      </c>
      <c r="GP39" s="508">
        <v>33.507905045953052</v>
      </c>
      <c r="GQ39" s="509">
        <f t="shared" si="64"/>
        <v>0.66560536025491746</v>
      </c>
      <c r="GR39" s="510">
        <f t="shared" si="174"/>
        <v>0</v>
      </c>
      <c r="GS39" s="508">
        <v>216.51261722000433</v>
      </c>
      <c r="GT39" s="509">
        <f t="shared" si="65"/>
        <v>4.3008346354933122</v>
      </c>
      <c r="GU39" s="510">
        <f t="shared" si="175"/>
        <v>0</v>
      </c>
      <c r="GV39" s="508"/>
      <c r="GW39" s="509">
        <f t="shared" si="66"/>
        <v>0</v>
      </c>
      <c r="GX39" s="510">
        <f t="shared" si="176"/>
        <v>0</v>
      </c>
      <c r="GY39" s="508"/>
      <c r="GZ39" s="509">
        <f t="shared" si="67"/>
        <v>0</v>
      </c>
      <c r="HA39" s="510">
        <f t="shared" si="177"/>
        <v>0</v>
      </c>
      <c r="HB39" s="508"/>
      <c r="HC39" s="509">
        <f t="shared" si="68"/>
        <v>0</v>
      </c>
      <c r="HD39" s="510">
        <f t="shared" si="178"/>
        <v>0</v>
      </c>
      <c r="HE39" s="508"/>
      <c r="HF39" s="509">
        <f t="shared" si="69"/>
        <v>0</v>
      </c>
      <c r="HG39" s="510">
        <f t="shared" si="179"/>
        <v>0</v>
      </c>
      <c r="HH39" s="508"/>
      <c r="HI39" s="509">
        <f t="shared" si="70"/>
        <v>0</v>
      </c>
      <c r="HJ39" s="510">
        <f t="shared" si="180"/>
        <v>0</v>
      </c>
      <c r="HK39" s="508"/>
      <c r="HL39" s="509">
        <f t="shared" si="71"/>
        <v>0</v>
      </c>
      <c r="HM39" s="510">
        <f t="shared" si="181"/>
        <v>0</v>
      </c>
      <c r="HN39" s="508">
        <v>1160.9200332844041</v>
      </c>
      <c r="HO39" s="509">
        <f t="shared" si="72"/>
        <v>23.060665712216522</v>
      </c>
      <c r="HP39" s="510">
        <f t="shared" si="182"/>
        <v>0</v>
      </c>
      <c r="HQ39" s="508"/>
      <c r="HR39" s="509">
        <f t="shared" si="73"/>
        <v>0</v>
      </c>
      <c r="HS39" s="510">
        <f t="shared" si="183"/>
        <v>0</v>
      </c>
      <c r="HT39" s="508"/>
      <c r="HU39" s="509">
        <f t="shared" si="74"/>
        <v>0</v>
      </c>
      <c r="HV39" s="510">
        <f t="shared" si="184"/>
        <v>0</v>
      </c>
      <c r="HW39" s="508"/>
      <c r="HX39" s="509">
        <f t="shared" si="75"/>
        <v>0</v>
      </c>
      <c r="HY39" s="510">
        <f t="shared" si="185"/>
        <v>0</v>
      </c>
      <c r="HZ39" s="508"/>
      <c r="IA39" s="509">
        <f t="shared" si="76"/>
        <v>0</v>
      </c>
      <c r="IB39" s="510">
        <f t="shared" si="186"/>
        <v>0</v>
      </c>
      <c r="IC39" s="508"/>
      <c r="ID39" s="509">
        <f t="shared" si="77"/>
        <v>0</v>
      </c>
      <c r="IE39" s="510">
        <f t="shared" si="187"/>
        <v>0</v>
      </c>
      <c r="IF39" s="508"/>
      <c r="IG39" s="509">
        <f t="shared" si="78"/>
        <v>0</v>
      </c>
      <c r="IH39" s="510">
        <f t="shared" si="188"/>
        <v>0</v>
      </c>
      <c r="II39" s="508">
        <v>23.197780416429037</v>
      </c>
      <c r="IJ39" s="509">
        <f t="shared" si="79"/>
        <v>0.4608037109457121</v>
      </c>
      <c r="IK39" s="510">
        <f t="shared" si="189"/>
        <v>0</v>
      </c>
      <c r="IL39" s="508"/>
      <c r="IM39" s="509">
        <f t="shared" si="80"/>
        <v>0</v>
      </c>
      <c r="IN39" s="510">
        <f t="shared" si="190"/>
        <v>0</v>
      </c>
      <c r="IO39" s="508"/>
      <c r="IP39" s="509">
        <f t="shared" si="81"/>
        <v>0</v>
      </c>
      <c r="IQ39" s="510">
        <f t="shared" si="191"/>
        <v>0</v>
      </c>
      <c r="IR39" s="508">
        <v>46.395560832858074</v>
      </c>
      <c r="IS39" s="509">
        <f t="shared" si="82"/>
        <v>0.92160742189142419</v>
      </c>
      <c r="IT39" s="510">
        <f t="shared" si="192"/>
        <v>0</v>
      </c>
      <c r="IU39" s="508"/>
      <c r="IV39" s="509">
        <f t="shared" si="83"/>
        <v>0</v>
      </c>
      <c r="IW39" s="510">
        <f t="shared" si="193"/>
        <v>0</v>
      </c>
      <c r="IX39" s="508"/>
      <c r="IY39" s="509">
        <f t="shared" si="84"/>
        <v>0</v>
      </c>
      <c r="IZ39" s="510">
        <f t="shared" si="194"/>
        <v>0</v>
      </c>
      <c r="JA39" s="508"/>
      <c r="JB39" s="509">
        <f t="shared" si="85"/>
        <v>0</v>
      </c>
      <c r="JC39" s="510">
        <f t="shared" si="195"/>
        <v>0</v>
      </c>
      <c r="JD39" s="508"/>
      <c r="JE39" s="509">
        <f t="shared" si="86"/>
        <v>0</v>
      </c>
      <c r="JF39" s="510">
        <f t="shared" si="196"/>
        <v>0</v>
      </c>
      <c r="JG39" s="508"/>
      <c r="JH39" s="509">
        <f t="shared" si="87"/>
        <v>0</v>
      </c>
      <c r="JI39" s="510">
        <f t="shared" si="197"/>
        <v>0</v>
      </c>
      <c r="JJ39" s="508">
        <v>18.042718101667027</v>
      </c>
      <c r="JK39" s="510">
        <f t="shared" si="198"/>
        <v>0.35840288629110939</v>
      </c>
      <c r="JL39" s="510" t="str">
        <f t="shared" si="88"/>
        <v>0</v>
      </c>
      <c r="JM39" s="508"/>
      <c r="JN39" s="510" t="str">
        <f t="shared" si="89"/>
        <v>0</v>
      </c>
      <c r="JO39" s="510" t="str">
        <f t="shared" si="90"/>
        <v>0</v>
      </c>
      <c r="JP39" s="508"/>
      <c r="JQ39" s="510" t="str">
        <f t="shared" si="91"/>
        <v>0</v>
      </c>
      <c r="JR39" s="510" t="str">
        <f t="shared" si="92"/>
        <v>0</v>
      </c>
      <c r="JS39" s="508"/>
      <c r="JT39" s="510" t="str">
        <f t="shared" si="93"/>
        <v>0</v>
      </c>
      <c r="JU39" s="510" t="str">
        <f t="shared" si="94"/>
        <v>0</v>
      </c>
      <c r="JV39" s="508"/>
      <c r="JW39" s="510" t="str">
        <f t="shared" si="95"/>
        <v>0</v>
      </c>
      <c r="JX39" s="510" t="str">
        <f t="shared" si="96"/>
        <v>0</v>
      </c>
      <c r="JY39" s="508"/>
      <c r="JZ39" s="510" t="str">
        <f t="shared" si="97"/>
        <v>0</v>
      </c>
      <c r="KA39" s="510" t="str">
        <f t="shared" si="98"/>
        <v>0</v>
      </c>
      <c r="KB39" s="508"/>
      <c r="KC39" s="510" t="str">
        <f t="shared" si="99"/>
        <v>0</v>
      </c>
      <c r="KD39" s="510" t="str">
        <f t="shared" si="100"/>
        <v>0</v>
      </c>
      <c r="KE39" s="508"/>
      <c r="KF39" s="510" t="str">
        <f t="shared" si="101"/>
        <v>0</v>
      </c>
      <c r="KG39" s="510" t="str">
        <f t="shared" si="102"/>
        <v>0</v>
      </c>
      <c r="KH39" s="508"/>
      <c r="KI39" s="510" t="str">
        <f t="shared" si="103"/>
        <v>0</v>
      </c>
      <c r="KJ39" s="510" t="str">
        <f t="shared" si="104"/>
        <v>0</v>
      </c>
      <c r="KK39" s="508"/>
      <c r="KL39" s="510" t="str">
        <f t="shared" si="105"/>
        <v>0</v>
      </c>
      <c r="KM39" s="510" t="str">
        <f t="shared" si="106"/>
        <v>0</v>
      </c>
      <c r="KN39" s="508"/>
      <c r="KO39" s="510" t="str">
        <f t="shared" si="107"/>
        <v>0</v>
      </c>
      <c r="KP39" s="510" t="str">
        <f t="shared" si="108"/>
        <v>0</v>
      </c>
      <c r="KQ39" s="508"/>
      <c r="KR39" s="510" t="str">
        <f t="shared" si="109"/>
        <v>0</v>
      </c>
      <c r="KS39" s="510" t="str">
        <f t="shared" si="110"/>
        <v>0</v>
      </c>
      <c r="KT39" s="510">
        <f t="shared" si="201"/>
        <v>0</v>
      </c>
      <c r="KU39" s="510">
        <f t="shared" si="202"/>
        <v>0</v>
      </c>
      <c r="KV39" s="261">
        <f t="shared" si="199"/>
        <v>2019.3311543307816</v>
      </c>
    </row>
    <row r="40" spans="1:308" ht="15" customHeight="1">
      <c r="A40" s="467">
        <f t="shared" si="200"/>
        <v>45869</v>
      </c>
      <c r="B40" s="468" t="str">
        <f>+Report1!B39</f>
        <v>Toilet</v>
      </c>
      <c r="C40" s="469" t="str">
        <f>+Report1!C39</f>
        <v>15,5/13,5</v>
      </c>
      <c r="D40" s="470">
        <f>+Report1!P39</f>
        <v>53.825999999999993</v>
      </c>
      <c r="E40" s="471">
        <f>+Report1!R39</f>
        <v>53.884999999999998</v>
      </c>
      <c r="F40" s="508"/>
      <c r="G40" s="509">
        <f t="shared" si="0"/>
        <v>0</v>
      </c>
      <c r="H40" s="510">
        <f t="shared" si="111"/>
        <v>0</v>
      </c>
      <c r="I40" s="508"/>
      <c r="J40" s="509">
        <f t="shared" si="1"/>
        <v>0</v>
      </c>
      <c r="K40" s="510">
        <f t="shared" si="112"/>
        <v>0</v>
      </c>
      <c r="L40" s="508"/>
      <c r="M40" s="509">
        <f t="shared" si="2"/>
        <v>0</v>
      </c>
      <c r="N40" s="510">
        <f t="shared" si="113"/>
        <v>0</v>
      </c>
      <c r="O40" s="508">
        <v>24</v>
      </c>
      <c r="P40" s="509">
        <f t="shared" si="3"/>
        <v>0.44539296650273735</v>
      </c>
      <c r="Q40" s="510">
        <f t="shared" si="114"/>
        <v>0</v>
      </c>
      <c r="R40" s="508">
        <v>7.6875000000000142</v>
      </c>
      <c r="S40" s="509">
        <f t="shared" si="4"/>
        <v>0.14266493458290833</v>
      </c>
      <c r="T40" s="510">
        <f t="shared" si="115"/>
        <v>0</v>
      </c>
      <c r="U40" s="508">
        <v>3.1250000000000142</v>
      </c>
      <c r="V40" s="509">
        <f t="shared" si="5"/>
        <v>5.7993875846710854E-2</v>
      </c>
      <c r="W40" s="510">
        <f t="shared" si="116"/>
        <v>0</v>
      </c>
      <c r="X40" s="508"/>
      <c r="Y40" s="509">
        <f t="shared" si="6"/>
        <v>0</v>
      </c>
      <c r="Z40" s="510">
        <f t="shared" si="117"/>
        <v>0</v>
      </c>
      <c r="AA40" s="508"/>
      <c r="AB40" s="509">
        <f t="shared" si="7"/>
        <v>0</v>
      </c>
      <c r="AC40" s="510">
        <f t="shared" si="118"/>
        <v>0</v>
      </c>
      <c r="AD40" s="508"/>
      <c r="AE40" s="509">
        <f t="shared" si="8"/>
        <v>0</v>
      </c>
      <c r="AF40" s="510">
        <f t="shared" si="119"/>
        <v>0</v>
      </c>
      <c r="AG40" s="508"/>
      <c r="AH40" s="509">
        <f t="shared" si="9"/>
        <v>0</v>
      </c>
      <c r="AI40" s="510">
        <f t="shared" si="120"/>
        <v>0</v>
      </c>
      <c r="AJ40" s="508"/>
      <c r="AK40" s="509">
        <f t="shared" si="10"/>
        <v>0</v>
      </c>
      <c r="AL40" s="510">
        <f t="shared" si="121"/>
        <v>0</v>
      </c>
      <c r="AM40" s="508">
        <v>60.448717948717956</v>
      </c>
      <c r="AN40" s="509">
        <f t="shared" si="11"/>
        <v>1.1218097420194479</v>
      </c>
      <c r="AO40" s="510">
        <f t="shared" si="122"/>
        <v>0</v>
      </c>
      <c r="AP40" s="508"/>
      <c r="AQ40" s="509">
        <f t="shared" si="12"/>
        <v>0</v>
      </c>
      <c r="AR40" s="510">
        <f t="shared" si="123"/>
        <v>0</v>
      </c>
      <c r="AS40" s="508"/>
      <c r="AT40" s="509">
        <f t="shared" si="13"/>
        <v>0</v>
      </c>
      <c r="AU40" s="510">
        <f t="shared" si="124"/>
        <v>0</v>
      </c>
      <c r="AV40" s="508">
        <v>11.099999999999994</v>
      </c>
      <c r="AW40" s="509">
        <f t="shared" si="14"/>
        <v>0.2059942470075159</v>
      </c>
      <c r="AX40" s="510">
        <f t="shared" si="125"/>
        <v>0</v>
      </c>
      <c r="AY40" s="508">
        <v>39.666666666666629</v>
      </c>
      <c r="AZ40" s="509">
        <f t="shared" si="15"/>
        <v>0.73613559741424572</v>
      </c>
      <c r="BA40" s="510">
        <f t="shared" si="126"/>
        <v>0</v>
      </c>
      <c r="BB40" s="508"/>
      <c r="BC40" s="509">
        <f t="shared" si="16"/>
        <v>0</v>
      </c>
      <c r="BD40" s="510">
        <f t="shared" si="127"/>
        <v>0</v>
      </c>
      <c r="BE40" s="508"/>
      <c r="BF40" s="509">
        <f t="shared" si="17"/>
        <v>0</v>
      </c>
      <c r="BG40" s="510">
        <f t="shared" si="128"/>
        <v>0</v>
      </c>
      <c r="BH40" s="508"/>
      <c r="BI40" s="509">
        <f t="shared" si="18"/>
        <v>0</v>
      </c>
      <c r="BJ40" s="510">
        <f t="shared" si="129"/>
        <v>0</v>
      </c>
      <c r="BK40" s="508"/>
      <c r="BL40" s="509">
        <f t="shared" si="19"/>
        <v>0</v>
      </c>
      <c r="BM40" s="510">
        <f t="shared" si="130"/>
        <v>0</v>
      </c>
      <c r="BN40" s="508"/>
      <c r="BO40" s="509">
        <f t="shared" si="20"/>
        <v>0</v>
      </c>
      <c r="BP40" s="510">
        <f t="shared" si="131"/>
        <v>0</v>
      </c>
      <c r="BQ40" s="508"/>
      <c r="BR40" s="509">
        <f t="shared" si="21"/>
        <v>0</v>
      </c>
      <c r="BS40" s="510">
        <f t="shared" si="132"/>
        <v>0</v>
      </c>
      <c r="BT40" s="508"/>
      <c r="BU40" s="509">
        <f t="shared" si="22"/>
        <v>0</v>
      </c>
      <c r="BV40" s="510">
        <f t="shared" si="133"/>
        <v>0</v>
      </c>
      <c r="BW40" s="508"/>
      <c r="BX40" s="509">
        <f t="shared" si="23"/>
        <v>0</v>
      </c>
      <c r="BY40" s="510">
        <f t="shared" si="134"/>
        <v>0</v>
      </c>
      <c r="BZ40" s="508"/>
      <c r="CA40" s="509">
        <f t="shared" si="24"/>
        <v>0</v>
      </c>
      <c r="CB40" s="510">
        <f t="shared" si="135"/>
        <v>0</v>
      </c>
      <c r="CC40" s="508"/>
      <c r="CD40" s="509">
        <f t="shared" si="25"/>
        <v>0</v>
      </c>
      <c r="CE40" s="510">
        <f t="shared" si="136"/>
        <v>0</v>
      </c>
      <c r="CF40" s="508">
        <v>11.5</v>
      </c>
      <c r="CG40" s="509">
        <f t="shared" si="26"/>
        <v>0.21341746311589496</v>
      </c>
      <c r="CH40" s="510">
        <f t="shared" si="137"/>
        <v>0</v>
      </c>
      <c r="CI40" s="508"/>
      <c r="CJ40" s="509">
        <f t="shared" si="27"/>
        <v>0</v>
      </c>
      <c r="CK40" s="510">
        <f t="shared" si="138"/>
        <v>0</v>
      </c>
      <c r="CL40" s="508"/>
      <c r="CM40" s="509">
        <f t="shared" si="28"/>
        <v>0</v>
      </c>
      <c r="CN40" s="510">
        <f t="shared" si="139"/>
        <v>0</v>
      </c>
      <c r="CO40" s="508"/>
      <c r="CP40" s="509">
        <f t="shared" si="29"/>
        <v>0</v>
      </c>
      <c r="CQ40" s="510">
        <f t="shared" si="140"/>
        <v>0</v>
      </c>
      <c r="CR40" s="508"/>
      <c r="CS40" s="509">
        <f t="shared" si="30"/>
        <v>0</v>
      </c>
      <c r="CT40" s="510">
        <f t="shared" si="141"/>
        <v>0</v>
      </c>
      <c r="CU40" s="508"/>
      <c r="CV40" s="509">
        <f t="shared" si="31"/>
        <v>0</v>
      </c>
      <c r="CW40" s="510">
        <f t="shared" si="142"/>
        <v>0</v>
      </c>
      <c r="CX40" s="508"/>
      <c r="CY40" s="509">
        <f t="shared" si="32"/>
        <v>0</v>
      </c>
      <c r="CZ40" s="510">
        <f t="shared" si="143"/>
        <v>0</v>
      </c>
      <c r="DA40" s="508">
        <v>159.8837209302327</v>
      </c>
      <c r="DB40" s="509">
        <f t="shared" si="33"/>
        <v>2.9671285316921723</v>
      </c>
      <c r="DC40" s="510">
        <f t="shared" si="144"/>
        <v>0</v>
      </c>
      <c r="DD40" s="508"/>
      <c r="DE40" s="509">
        <f t="shared" si="34"/>
        <v>0</v>
      </c>
      <c r="DF40" s="510">
        <f t="shared" si="145"/>
        <v>0</v>
      </c>
      <c r="DG40" s="508"/>
      <c r="DH40" s="509">
        <f t="shared" si="35"/>
        <v>0</v>
      </c>
      <c r="DI40" s="510">
        <f t="shared" si="203"/>
        <v>0</v>
      </c>
      <c r="DJ40" s="508"/>
      <c r="DK40" s="509">
        <f t="shared" si="36"/>
        <v>0</v>
      </c>
      <c r="DL40" s="510">
        <f t="shared" si="146"/>
        <v>0</v>
      </c>
      <c r="DM40" s="508"/>
      <c r="DN40" s="509">
        <f t="shared" si="37"/>
        <v>0</v>
      </c>
      <c r="DO40" s="510">
        <f t="shared" si="147"/>
        <v>0</v>
      </c>
      <c r="DP40" s="508"/>
      <c r="DQ40" s="509">
        <f t="shared" si="38"/>
        <v>0</v>
      </c>
      <c r="DR40" s="510">
        <f t="shared" si="148"/>
        <v>0</v>
      </c>
      <c r="DS40" s="508"/>
      <c r="DT40" s="509">
        <f t="shared" si="39"/>
        <v>0</v>
      </c>
      <c r="DU40" s="510">
        <f t="shared" si="149"/>
        <v>0</v>
      </c>
      <c r="DV40" s="508"/>
      <c r="DW40" s="509">
        <f t="shared" si="40"/>
        <v>0</v>
      </c>
      <c r="DX40" s="510">
        <f t="shared" si="150"/>
        <v>0</v>
      </c>
      <c r="DY40" s="508">
        <v>8.6265060240963827</v>
      </c>
      <c r="DZ40" s="509">
        <f t="shared" si="41"/>
        <v>0.16009104619275091</v>
      </c>
      <c r="EA40" s="510">
        <f t="shared" si="151"/>
        <v>0</v>
      </c>
      <c r="EB40" s="508">
        <v>152.63529411764705</v>
      </c>
      <c r="EC40" s="509">
        <f t="shared" si="42"/>
        <v>2.8326119350031931</v>
      </c>
      <c r="ED40" s="510">
        <f t="shared" si="152"/>
        <v>0</v>
      </c>
      <c r="EE40" s="508">
        <v>14.534883720930111</v>
      </c>
      <c r="EF40" s="509">
        <f t="shared" si="43"/>
        <v>0.26973895742655862</v>
      </c>
      <c r="EG40" s="510">
        <f t="shared" si="153"/>
        <v>0</v>
      </c>
      <c r="EH40" s="508"/>
      <c r="EI40" s="509">
        <f t="shared" si="44"/>
        <v>0</v>
      </c>
      <c r="EJ40" s="510">
        <f t="shared" si="154"/>
        <v>0</v>
      </c>
      <c r="EK40" s="508"/>
      <c r="EL40" s="509">
        <f t="shared" si="45"/>
        <v>0</v>
      </c>
      <c r="EM40" s="510">
        <f t="shared" si="155"/>
        <v>0</v>
      </c>
      <c r="EN40" s="508"/>
      <c r="EO40" s="509">
        <f t="shared" si="46"/>
        <v>0</v>
      </c>
      <c r="EP40" s="510">
        <f t="shared" si="156"/>
        <v>0</v>
      </c>
      <c r="EQ40" s="508"/>
      <c r="ER40" s="509">
        <f t="shared" si="47"/>
        <v>0</v>
      </c>
      <c r="ES40" s="510">
        <f t="shared" si="157"/>
        <v>0</v>
      </c>
      <c r="ET40" s="508"/>
      <c r="EU40" s="509">
        <f t="shared" si="48"/>
        <v>0</v>
      </c>
      <c r="EV40" s="510">
        <f t="shared" si="158"/>
        <v>0</v>
      </c>
      <c r="EW40" s="508"/>
      <c r="EX40" s="509">
        <f t="shared" si="49"/>
        <v>0</v>
      </c>
      <c r="EY40" s="510">
        <f t="shared" si="159"/>
        <v>0</v>
      </c>
      <c r="EZ40" s="508"/>
      <c r="FA40" s="509">
        <f t="shared" si="50"/>
        <v>0</v>
      </c>
      <c r="FB40" s="510">
        <f t="shared" si="160"/>
        <v>0</v>
      </c>
      <c r="FC40" s="508"/>
      <c r="FD40" s="509">
        <f t="shared" si="51"/>
        <v>0</v>
      </c>
      <c r="FE40" s="510">
        <f t="shared" si="161"/>
        <v>0</v>
      </c>
      <c r="FF40" s="508"/>
      <c r="FG40" s="509">
        <f t="shared" si="52"/>
        <v>0</v>
      </c>
      <c r="FH40" s="510">
        <f t="shared" si="162"/>
        <v>0</v>
      </c>
      <c r="FI40" s="508"/>
      <c r="FJ40" s="509">
        <f t="shared" si="53"/>
        <v>0</v>
      </c>
      <c r="FK40" s="510">
        <f t="shared" si="163"/>
        <v>0</v>
      </c>
      <c r="FL40" s="508"/>
      <c r="FM40" s="509">
        <f t="shared" si="54"/>
        <v>0</v>
      </c>
      <c r="FN40" s="510">
        <f t="shared" si="164"/>
        <v>0</v>
      </c>
      <c r="FO40" s="508"/>
      <c r="FP40" s="509">
        <f t="shared" si="55"/>
        <v>0</v>
      </c>
      <c r="FQ40" s="510">
        <f t="shared" si="165"/>
        <v>0</v>
      </c>
      <c r="FR40" s="508"/>
      <c r="FS40" s="509">
        <f t="shared" si="56"/>
        <v>0</v>
      </c>
      <c r="FT40" s="510">
        <f t="shared" si="166"/>
        <v>0</v>
      </c>
      <c r="FU40" s="508"/>
      <c r="FV40" s="509">
        <f t="shared" si="57"/>
        <v>0</v>
      </c>
      <c r="FW40" s="510">
        <f t="shared" si="167"/>
        <v>0</v>
      </c>
      <c r="FX40" s="508"/>
      <c r="FY40" s="509">
        <f t="shared" si="58"/>
        <v>0</v>
      </c>
      <c r="FZ40" s="510">
        <f t="shared" si="168"/>
        <v>0</v>
      </c>
      <c r="GA40" s="508"/>
      <c r="GB40" s="509">
        <f t="shared" si="59"/>
        <v>0</v>
      </c>
      <c r="GC40" s="510">
        <f t="shared" si="169"/>
        <v>0</v>
      </c>
      <c r="GD40" s="508"/>
      <c r="GE40" s="509">
        <f t="shared" si="60"/>
        <v>0</v>
      </c>
      <c r="GF40" s="510">
        <f t="shared" si="170"/>
        <v>0</v>
      </c>
      <c r="GG40" s="508">
        <v>5.1615810974089484</v>
      </c>
      <c r="GH40" s="509">
        <f t="shared" si="61"/>
        <v>9.5788829867476083E-2</v>
      </c>
      <c r="GI40" s="510">
        <f t="shared" si="171"/>
        <v>0</v>
      </c>
      <c r="GJ40" s="508">
        <v>10.323162194817897</v>
      </c>
      <c r="GK40" s="509">
        <f t="shared" si="62"/>
        <v>0.19157765973495217</v>
      </c>
      <c r="GL40" s="510">
        <f t="shared" si="172"/>
        <v>0</v>
      </c>
      <c r="GM40" s="508"/>
      <c r="GN40" s="509">
        <f t="shared" si="63"/>
        <v>0</v>
      </c>
      <c r="GO40" s="510">
        <f t="shared" si="173"/>
        <v>0</v>
      </c>
      <c r="GP40" s="508">
        <v>33.550277133158161</v>
      </c>
      <c r="GQ40" s="509">
        <f t="shared" si="64"/>
        <v>0.62262739413859447</v>
      </c>
      <c r="GR40" s="510">
        <f t="shared" si="174"/>
        <v>0</v>
      </c>
      <c r="GS40" s="508">
        <v>180.65533840931317</v>
      </c>
      <c r="GT40" s="509">
        <f t="shared" si="65"/>
        <v>3.3526090453616626</v>
      </c>
      <c r="GU40" s="510">
        <f t="shared" si="175"/>
        <v>0</v>
      </c>
      <c r="GV40" s="508"/>
      <c r="GW40" s="509">
        <f t="shared" si="66"/>
        <v>0</v>
      </c>
      <c r="GX40" s="510">
        <f t="shared" si="176"/>
        <v>0</v>
      </c>
      <c r="GY40" s="508"/>
      <c r="GZ40" s="509">
        <f t="shared" si="67"/>
        <v>0</v>
      </c>
      <c r="HA40" s="510">
        <f t="shared" si="177"/>
        <v>0</v>
      </c>
      <c r="HB40" s="508"/>
      <c r="HC40" s="509">
        <f t="shared" si="68"/>
        <v>0</v>
      </c>
      <c r="HD40" s="510">
        <f t="shared" si="178"/>
        <v>0</v>
      </c>
      <c r="HE40" s="508"/>
      <c r="HF40" s="509">
        <f t="shared" si="69"/>
        <v>0</v>
      </c>
      <c r="HG40" s="510">
        <f t="shared" si="179"/>
        <v>0</v>
      </c>
      <c r="HH40" s="508"/>
      <c r="HI40" s="509">
        <f t="shared" si="70"/>
        <v>0</v>
      </c>
      <c r="HJ40" s="510">
        <f t="shared" si="180"/>
        <v>0</v>
      </c>
      <c r="HK40" s="508"/>
      <c r="HL40" s="509">
        <f t="shared" si="71"/>
        <v>0</v>
      </c>
      <c r="HM40" s="510">
        <f t="shared" si="181"/>
        <v>0</v>
      </c>
      <c r="HN40" s="508">
        <v>1192.325233501467</v>
      </c>
      <c r="HO40" s="509">
        <f t="shared" si="72"/>
        <v>22.127219699386973</v>
      </c>
      <c r="HP40" s="510">
        <f t="shared" si="182"/>
        <v>0</v>
      </c>
      <c r="HQ40" s="508"/>
      <c r="HR40" s="509">
        <f t="shared" si="73"/>
        <v>0</v>
      </c>
      <c r="HS40" s="510">
        <f t="shared" si="183"/>
        <v>0</v>
      </c>
      <c r="HT40" s="508"/>
      <c r="HU40" s="509">
        <f t="shared" si="74"/>
        <v>0</v>
      </c>
      <c r="HV40" s="510">
        <f t="shared" si="184"/>
        <v>0</v>
      </c>
      <c r="HW40" s="508"/>
      <c r="HX40" s="509">
        <f t="shared" si="75"/>
        <v>0</v>
      </c>
      <c r="HY40" s="510">
        <f t="shared" si="185"/>
        <v>0</v>
      </c>
      <c r="HZ40" s="508"/>
      <c r="IA40" s="509">
        <f t="shared" si="76"/>
        <v>0</v>
      </c>
      <c r="IB40" s="510">
        <f t="shared" si="186"/>
        <v>0</v>
      </c>
      <c r="IC40" s="508"/>
      <c r="ID40" s="509">
        <f t="shared" si="77"/>
        <v>0</v>
      </c>
      <c r="IE40" s="510">
        <f t="shared" si="187"/>
        <v>0</v>
      </c>
      <c r="IF40" s="508"/>
      <c r="IG40" s="509">
        <f t="shared" si="78"/>
        <v>0</v>
      </c>
      <c r="IH40" s="510">
        <f t="shared" si="188"/>
        <v>0</v>
      </c>
      <c r="II40" s="508">
        <v>25.807905487044742</v>
      </c>
      <c r="IJ40" s="509">
        <f t="shared" si="79"/>
        <v>0.47894414933738039</v>
      </c>
      <c r="IK40" s="510">
        <f t="shared" si="189"/>
        <v>0</v>
      </c>
      <c r="IL40" s="508"/>
      <c r="IM40" s="509">
        <f t="shared" si="80"/>
        <v>0</v>
      </c>
      <c r="IN40" s="510">
        <f t="shared" si="190"/>
        <v>0</v>
      </c>
      <c r="IO40" s="508"/>
      <c r="IP40" s="509">
        <f t="shared" si="81"/>
        <v>0</v>
      </c>
      <c r="IQ40" s="510">
        <f t="shared" si="191"/>
        <v>0</v>
      </c>
      <c r="IR40" s="508">
        <v>46.454229876680536</v>
      </c>
      <c r="IS40" s="509">
        <f t="shared" si="82"/>
        <v>0.86209946880728472</v>
      </c>
      <c r="IT40" s="510">
        <f t="shared" si="192"/>
        <v>0</v>
      </c>
      <c r="IU40" s="508"/>
      <c r="IV40" s="509">
        <f t="shared" si="83"/>
        <v>0</v>
      </c>
      <c r="IW40" s="510">
        <f t="shared" si="193"/>
        <v>0</v>
      </c>
      <c r="IX40" s="508"/>
      <c r="IY40" s="509">
        <f t="shared" si="84"/>
        <v>0</v>
      </c>
      <c r="IZ40" s="510">
        <f t="shared" si="194"/>
        <v>0</v>
      </c>
      <c r="JA40" s="508"/>
      <c r="JB40" s="509">
        <f t="shared" si="85"/>
        <v>0</v>
      </c>
      <c r="JC40" s="510">
        <f t="shared" si="195"/>
        <v>0</v>
      </c>
      <c r="JD40" s="508"/>
      <c r="JE40" s="509">
        <f t="shared" si="86"/>
        <v>0</v>
      </c>
      <c r="JF40" s="510">
        <f t="shared" si="196"/>
        <v>0</v>
      </c>
      <c r="JG40" s="508"/>
      <c r="JH40" s="509">
        <f t="shared" si="87"/>
        <v>0</v>
      </c>
      <c r="JI40" s="510">
        <f t="shared" si="197"/>
        <v>0</v>
      </c>
      <c r="JJ40" s="508">
        <v>20.646324389635794</v>
      </c>
      <c r="JK40" s="510">
        <f t="shared" si="198"/>
        <v>0.38315531946990433</v>
      </c>
      <c r="JL40" s="510" t="str">
        <f t="shared" si="88"/>
        <v>0</v>
      </c>
      <c r="JM40" s="508"/>
      <c r="JN40" s="510" t="str">
        <f t="shared" si="89"/>
        <v>0</v>
      </c>
      <c r="JO40" s="510" t="str">
        <f t="shared" si="90"/>
        <v>0</v>
      </c>
      <c r="JP40" s="508"/>
      <c r="JQ40" s="510" t="str">
        <f t="shared" si="91"/>
        <v>0</v>
      </c>
      <c r="JR40" s="510" t="str">
        <f t="shared" si="92"/>
        <v>0</v>
      </c>
      <c r="JS40" s="508"/>
      <c r="JT40" s="510" t="str">
        <f t="shared" si="93"/>
        <v>0</v>
      </c>
      <c r="JU40" s="510" t="str">
        <f t="shared" si="94"/>
        <v>0</v>
      </c>
      <c r="JV40" s="508"/>
      <c r="JW40" s="510" t="str">
        <f t="shared" si="95"/>
        <v>0</v>
      </c>
      <c r="JX40" s="510" t="str">
        <f t="shared" si="96"/>
        <v>0</v>
      </c>
      <c r="JY40" s="508"/>
      <c r="JZ40" s="510" t="str">
        <f t="shared" si="97"/>
        <v>0</v>
      </c>
      <c r="KA40" s="510" t="str">
        <f t="shared" si="98"/>
        <v>0</v>
      </c>
      <c r="KB40" s="508"/>
      <c r="KC40" s="510" t="str">
        <f t="shared" si="99"/>
        <v>0</v>
      </c>
      <c r="KD40" s="510" t="str">
        <f t="shared" si="100"/>
        <v>0</v>
      </c>
      <c r="KE40" s="508"/>
      <c r="KF40" s="510" t="str">
        <f t="shared" si="101"/>
        <v>0</v>
      </c>
      <c r="KG40" s="510" t="str">
        <f t="shared" si="102"/>
        <v>0</v>
      </c>
      <c r="KH40" s="508"/>
      <c r="KI40" s="510" t="str">
        <f t="shared" si="103"/>
        <v>0</v>
      </c>
      <c r="KJ40" s="510" t="str">
        <f t="shared" si="104"/>
        <v>0</v>
      </c>
      <c r="KK40" s="508"/>
      <c r="KL40" s="510" t="str">
        <f t="shared" si="105"/>
        <v>0</v>
      </c>
      <c r="KM40" s="510" t="str">
        <f t="shared" si="106"/>
        <v>0</v>
      </c>
      <c r="KN40" s="508"/>
      <c r="KO40" s="510" t="str">
        <f t="shared" si="107"/>
        <v>0</v>
      </c>
      <c r="KP40" s="510" t="str">
        <f t="shared" si="108"/>
        <v>0</v>
      </c>
      <c r="KQ40" s="508"/>
      <c r="KR40" s="510" t="str">
        <f t="shared" si="109"/>
        <v>0</v>
      </c>
      <c r="KS40" s="510" t="str">
        <f t="shared" si="110"/>
        <v>0</v>
      </c>
      <c r="KT40" s="510">
        <f t="shared" si="201"/>
        <v>0</v>
      </c>
      <c r="KU40" s="510">
        <f t="shared" si="202"/>
        <v>0</v>
      </c>
      <c r="KV40" s="261">
        <f t="shared" si="199"/>
        <v>2008.1323414978172</v>
      </c>
    </row>
    <row r="41" spans="1:308" ht="15" customHeight="1" thickBot="1">
      <c r="A41" s="721" t="s">
        <v>29</v>
      </c>
      <c r="B41" s="722"/>
      <c r="C41" s="723"/>
      <c r="D41" s="473">
        <f>SUM(D10:D40)</f>
        <v>1443.2060000000004</v>
      </c>
      <c r="E41" s="473">
        <f>SUM(E10:E40)</f>
        <v>1385.694</v>
      </c>
      <c r="F41" s="508"/>
      <c r="G41" s="509"/>
      <c r="H41" s="510"/>
      <c r="I41" s="508"/>
      <c r="J41" s="509"/>
      <c r="K41" s="510"/>
      <c r="L41" s="508"/>
      <c r="M41" s="509"/>
      <c r="N41" s="510"/>
      <c r="O41" s="508"/>
      <c r="P41" s="509"/>
      <c r="Q41" s="510"/>
      <c r="R41" s="508"/>
      <c r="S41" s="509"/>
      <c r="T41" s="510"/>
      <c r="U41" s="508"/>
      <c r="V41" s="509"/>
      <c r="W41" s="510"/>
      <c r="X41" s="508"/>
      <c r="Y41" s="509"/>
      <c r="Z41" s="510"/>
      <c r="AA41" s="508"/>
      <c r="AB41" s="509"/>
      <c r="AC41" s="510"/>
      <c r="AD41" s="508"/>
      <c r="AE41" s="509"/>
      <c r="AF41" s="510"/>
      <c r="AG41" s="508"/>
      <c r="AH41" s="509"/>
      <c r="AI41" s="510"/>
      <c r="AJ41" s="508"/>
      <c r="AK41" s="509"/>
      <c r="AL41" s="510"/>
      <c r="AM41" s="508"/>
      <c r="AN41" s="509"/>
      <c r="AO41" s="510"/>
      <c r="AP41" s="508"/>
      <c r="AQ41" s="509"/>
      <c r="AR41" s="510"/>
      <c r="AS41" s="508"/>
      <c r="AT41" s="509"/>
      <c r="AU41" s="510"/>
      <c r="AV41" s="508"/>
      <c r="AW41" s="509"/>
      <c r="AX41" s="510"/>
      <c r="AY41" s="508"/>
      <c r="AZ41" s="509"/>
      <c r="BA41" s="510"/>
      <c r="BB41" s="508"/>
      <c r="BC41" s="509"/>
      <c r="BD41" s="510"/>
      <c r="BE41" s="508"/>
      <c r="BF41" s="509"/>
      <c r="BG41" s="510"/>
      <c r="BH41" s="508"/>
      <c r="BI41" s="509"/>
      <c r="BJ41" s="510"/>
      <c r="BK41" s="508"/>
      <c r="BL41" s="509"/>
      <c r="BM41" s="510"/>
      <c r="BN41" s="508"/>
      <c r="BO41" s="509"/>
      <c r="BP41" s="510"/>
      <c r="BQ41" s="508"/>
      <c r="BR41" s="509"/>
      <c r="BS41" s="510"/>
      <c r="BT41" s="508"/>
      <c r="BU41" s="509"/>
      <c r="BV41" s="510"/>
      <c r="BW41" s="508"/>
      <c r="BX41" s="509"/>
      <c r="BY41" s="510"/>
      <c r="BZ41" s="508"/>
      <c r="CA41" s="509"/>
      <c r="CB41" s="510"/>
      <c r="CC41" s="508"/>
      <c r="CD41" s="509"/>
      <c r="CE41" s="510"/>
      <c r="CF41" s="508"/>
      <c r="CG41" s="509"/>
      <c r="CH41" s="510"/>
      <c r="CI41" s="508"/>
      <c r="CJ41" s="509"/>
      <c r="CK41" s="510"/>
      <c r="CL41" s="508"/>
      <c r="CM41" s="509"/>
      <c r="CN41" s="510"/>
      <c r="CO41" s="508"/>
      <c r="CP41" s="509"/>
      <c r="CQ41" s="510"/>
      <c r="CR41" s="508"/>
      <c r="CS41" s="509"/>
      <c r="CT41" s="510"/>
      <c r="CU41" s="508"/>
      <c r="CV41" s="509"/>
      <c r="CW41" s="510"/>
      <c r="CX41" s="508"/>
      <c r="CY41" s="509"/>
      <c r="CZ41" s="510"/>
      <c r="DA41" s="508"/>
      <c r="DB41" s="509"/>
      <c r="DC41" s="510"/>
      <c r="DD41" s="508"/>
      <c r="DE41" s="509"/>
      <c r="DF41" s="510"/>
      <c r="DG41" s="508"/>
      <c r="DH41" s="509"/>
      <c r="DI41" s="510"/>
      <c r="DJ41" s="508"/>
      <c r="DK41" s="509"/>
      <c r="DL41" s="510"/>
      <c r="DM41" s="508"/>
      <c r="DN41" s="509"/>
      <c r="DO41" s="510"/>
      <c r="DP41" s="508"/>
      <c r="DQ41" s="509"/>
      <c r="DR41" s="510"/>
      <c r="DS41" s="508"/>
      <c r="DT41" s="509"/>
      <c r="DU41" s="510"/>
      <c r="DV41" s="508"/>
      <c r="DW41" s="509"/>
      <c r="DX41" s="510"/>
      <c r="DY41" s="508"/>
      <c r="DZ41" s="509"/>
      <c r="EA41" s="510"/>
      <c r="EB41" s="508"/>
      <c r="EC41" s="509"/>
      <c r="ED41" s="510"/>
      <c r="EE41" s="508"/>
      <c r="EF41" s="509"/>
      <c r="EG41" s="510"/>
      <c r="EH41" s="508"/>
      <c r="EI41" s="509"/>
      <c r="EJ41" s="510"/>
      <c r="EK41" s="508"/>
      <c r="EL41" s="509"/>
      <c r="EM41" s="510"/>
      <c r="EN41" s="508"/>
      <c r="EO41" s="509"/>
      <c r="EP41" s="510"/>
      <c r="EQ41" s="508"/>
      <c r="ER41" s="509"/>
      <c r="ES41" s="510"/>
      <c r="ET41" s="508"/>
      <c r="EU41" s="509"/>
      <c r="EV41" s="510"/>
      <c r="EW41" s="508"/>
      <c r="EX41" s="509"/>
      <c r="EY41" s="510"/>
      <c r="EZ41" s="508"/>
      <c r="FA41" s="509"/>
      <c r="FB41" s="510"/>
      <c r="FC41" s="508"/>
      <c r="FD41" s="509"/>
      <c r="FE41" s="510"/>
      <c r="FF41" s="508"/>
      <c r="FG41" s="509"/>
      <c r="FH41" s="510"/>
      <c r="FI41" s="508"/>
      <c r="FJ41" s="509"/>
      <c r="FK41" s="510"/>
      <c r="FL41" s="508"/>
      <c r="FM41" s="509"/>
      <c r="FN41" s="510"/>
      <c r="FO41" s="508"/>
      <c r="FP41" s="509"/>
      <c r="FQ41" s="510"/>
      <c r="FR41" s="508"/>
      <c r="FS41" s="509"/>
      <c r="FT41" s="510"/>
      <c r="FU41" s="508"/>
      <c r="FV41" s="509"/>
      <c r="FW41" s="510"/>
      <c r="FX41" s="508"/>
      <c r="FY41" s="509"/>
      <c r="FZ41" s="510"/>
      <c r="GA41" s="508"/>
      <c r="GB41" s="509"/>
      <c r="GC41" s="510"/>
      <c r="GD41" s="508"/>
      <c r="GE41" s="509"/>
      <c r="GF41" s="510"/>
      <c r="GG41" s="508"/>
      <c r="GH41" s="509"/>
      <c r="GI41" s="510"/>
      <c r="GJ41" s="508"/>
      <c r="GK41" s="509"/>
      <c r="GL41" s="510"/>
      <c r="GM41" s="508"/>
      <c r="GN41" s="509"/>
      <c r="GO41" s="510"/>
      <c r="GP41" s="508"/>
      <c r="GQ41" s="509"/>
      <c r="GR41" s="510"/>
      <c r="GS41" s="508"/>
      <c r="GT41" s="509"/>
      <c r="GU41" s="510"/>
      <c r="GV41" s="508"/>
      <c r="GW41" s="509"/>
      <c r="GX41" s="510"/>
      <c r="GY41" s="508"/>
      <c r="GZ41" s="509"/>
      <c r="HA41" s="510"/>
      <c r="HB41" s="508"/>
      <c r="HC41" s="509"/>
      <c r="HD41" s="510"/>
      <c r="HE41" s="508"/>
      <c r="HF41" s="509"/>
      <c r="HG41" s="510"/>
      <c r="HH41" s="508"/>
      <c r="HI41" s="509"/>
      <c r="HJ41" s="510"/>
      <c r="HK41" s="508"/>
      <c r="HL41" s="509"/>
      <c r="HM41" s="510"/>
      <c r="HN41" s="508"/>
      <c r="HO41" s="509"/>
      <c r="HP41" s="510"/>
      <c r="HQ41" s="508"/>
      <c r="HR41" s="509"/>
      <c r="HS41" s="510"/>
      <c r="HT41" s="508"/>
      <c r="HU41" s="509"/>
      <c r="HV41" s="510"/>
      <c r="HW41" s="508"/>
      <c r="HX41" s="509"/>
      <c r="HY41" s="510"/>
      <c r="HZ41" s="508"/>
      <c r="IA41" s="509"/>
      <c r="IB41" s="510"/>
      <c r="IC41" s="508"/>
      <c r="ID41" s="509"/>
      <c r="IE41" s="510"/>
      <c r="IF41" s="508"/>
      <c r="IG41" s="509"/>
      <c r="IH41" s="510"/>
      <c r="II41" s="508"/>
      <c r="IJ41" s="509"/>
      <c r="IK41" s="510"/>
      <c r="IL41" s="508"/>
      <c r="IM41" s="509"/>
      <c r="IN41" s="510"/>
      <c r="IO41" s="508"/>
      <c r="IP41" s="509"/>
      <c r="IQ41" s="510"/>
      <c r="IR41" s="508"/>
      <c r="IS41" s="509"/>
      <c r="IT41" s="510"/>
      <c r="IU41" s="508"/>
      <c r="IV41" s="509"/>
      <c r="IW41" s="510"/>
      <c r="IX41" s="508"/>
      <c r="IY41" s="509"/>
      <c r="IZ41" s="510"/>
      <c r="JA41" s="508"/>
      <c r="JB41" s="509"/>
      <c r="JC41" s="510"/>
      <c r="JD41" s="508"/>
      <c r="JE41" s="509"/>
      <c r="JF41" s="510"/>
      <c r="JG41" s="508"/>
      <c r="JH41" s="509"/>
      <c r="JI41" s="510"/>
      <c r="JJ41" s="508"/>
      <c r="JK41" s="510"/>
      <c r="JL41" s="510"/>
      <c r="JM41" s="508"/>
      <c r="JN41" s="510"/>
      <c r="JO41" s="510"/>
      <c r="JP41" s="508"/>
      <c r="JQ41" s="510"/>
      <c r="JR41" s="510"/>
      <c r="JS41" s="508"/>
      <c r="JT41" s="510"/>
      <c r="JU41" s="510"/>
      <c r="JV41" s="508"/>
      <c r="JW41" s="510"/>
      <c r="JX41" s="510"/>
      <c r="JY41" s="508"/>
      <c r="JZ41" s="510"/>
      <c r="KA41" s="510"/>
      <c r="KB41" s="508"/>
      <c r="KC41" s="510"/>
      <c r="KD41" s="510"/>
      <c r="KE41" s="508"/>
      <c r="KF41" s="510"/>
      <c r="KG41" s="510"/>
      <c r="KH41" s="508"/>
      <c r="KI41" s="510"/>
      <c r="KJ41" s="510"/>
      <c r="KK41" s="508"/>
      <c r="KL41" s="510"/>
      <c r="KM41" s="510"/>
      <c r="KN41" s="508"/>
      <c r="KO41" s="510"/>
      <c r="KP41" s="510"/>
      <c r="KQ41" s="508"/>
      <c r="KR41" s="510"/>
      <c r="KS41" s="510"/>
      <c r="KT41" s="510"/>
      <c r="KU41" s="510"/>
      <c r="KV41" s="533">
        <f>SUM(KV10:KV40)</f>
        <v>25922.776240320592</v>
      </c>
    </row>
    <row r="42" spans="1:308" s="472" customFormat="1" ht="15" customHeight="1" thickTop="1" thickBot="1">
      <c r="A42" s="462"/>
      <c r="B42" s="462"/>
      <c r="C42" s="463"/>
      <c r="D42" s="463"/>
      <c r="E42" s="464"/>
      <c r="F42" s="511">
        <f>SUM(F10:F40)</f>
        <v>0</v>
      </c>
      <c r="G42" s="511">
        <f>IFERROR((F42/$L$42),0)</f>
        <v>0</v>
      </c>
      <c r="H42" s="511">
        <f>IFERROR(((F42*H$9)/$L$42),0)</f>
        <v>0</v>
      </c>
      <c r="I42" s="511">
        <f>SUM(I10:I40)</f>
        <v>6372.1025581395352</v>
      </c>
      <c r="J42" s="511">
        <f>IFERROR((I42/$L$42),0)</f>
        <v>137.00020499999999</v>
      </c>
      <c r="K42" s="511">
        <f>IFERROR(((I42*K$9)/$L$42),0)</f>
        <v>0</v>
      </c>
      <c r="L42" s="511">
        <f>SUM(L10:L40)</f>
        <v>46.511627906976749</v>
      </c>
      <c r="M42" s="511">
        <f>IFERROR((L42/$L$42),0)</f>
        <v>1</v>
      </c>
      <c r="N42" s="511">
        <f>IFERROR(((L42*N$9)/$L$42),0)</f>
        <v>0</v>
      </c>
      <c r="O42" s="511">
        <f>SUM(O10:O40)</f>
        <v>648</v>
      </c>
      <c r="P42" s="511">
        <f>IFERROR((O42/$L$42),0)</f>
        <v>13.931999999999999</v>
      </c>
      <c r="Q42" s="511">
        <f>IFERROR(((O42*Q$9)/$L$42),0)</f>
        <v>0</v>
      </c>
      <c r="R42" s="511">
        <f>SUM(R10:R40)</f>
        <v>274.1875</v>
      </c>
      <c r="S42" s="511">
        <f>IFERROR((R42/$L$42),0)</f>
        <v>5.8950312499999997</v>
      </c>
      <c r="T42" s="511">
        <f>IFERROR(((R42*T$9)/$L$42),0)</f>
        <v>0</v>
      </c>
      <c r="U42" s="511">
        <f>SUM(U10:U40)</f>
        <v>123.43750000000003</v>
      </c>
      <c r="V42" s="511">
        <f>IFERROR((U42/$L$42),0)</f>
        <v>2.6539062500000004</v>
      </c>
      <c r="W42" s="511">
        <f>IFERROR(((U42*W$9)/$L$42),0)</f>
        <v>0</v>
      </c>
      <c r="X42" s="511">
        <f>SUM(X10:X40)</f>
        <v>0</v>
      </c>
      <c r="Y42" s="511">
        <f>IFERROR((X42/$L$42),0)</f>
        <v>0</v>
      </c>
      <c r="Z42" s="511">
        <f>IFERROR(((X42*Z$9)/$L$42),0)</f>
        <v>0</v>
      </c>
      <c r="AA42" s="511">
        <f>SUM(AA10:AA40)</f>
        <v>0</v>
      </c>
      <c r="AB42" s="511">
        <f>IFERROR((AA42/$L$42),0)</f>
        <v>0</v>
      </c>
      <c r="AC42" s="511">
        <f>IFERROR(((AA42*AC$9)/$L$42),0)</f>
        <v>0</v>
      </c>
      <c r="AD42" s="511">
        <f>SUM(AD10:AD40)</f>
        <v>0</v>
      </c>
      <c r="AE42" s="511">
        <f>IFERROR((AD42/$L$42),0)</f>
        <v>0</v>
      </c>
      <c r="AF42" s="511">
        <f>IFERROR(((AD42*AF$9)/$L$42),0)</f>
        <v>0</v>
      </c>
      <c r="AG42" s="511">
        <f>SUM(AG10:AG40)</f>
        <v>0</v>
      </c>
      <c r="AH42" s="511">
        <f>IFERROR((AG42/$L$42),0)</f>
        <v>0</v>
      </c>
      <c r="AI42" s="511">
        <f>IFERROR(((AG42*AI$9)/$L$42),0)</f>
        <v>0</v>
      </c>
      <c r="AJ42" s="511">
        <f>SUM(AJ10:AJ40)</f>
        <v>5.88</v>
      </c>
      <c r="AK42" s="511">
        <f>IFERROR((AJ42/$L$42),0)</f>
        <v>0.12641999999999998</v>
      </c>
      <c r="AL42" s="511">
        <f>IFERROR(((AJ42*AL$9)/$L$42),0)</f>
        <v>0</v>
      </c>
      <c r="AM42" s="511">
        <f>SUM(AM10:AM40)</f>
        <v>1374.551282051282</v>
      </c>
      <c r="AN42" s="511">
        <f>IFERROR((AM42/$L$42),0)</f>
        <v>29.552852564102558</v>
      </c>
      <c r="AO42" s="511">
        <f>IFERROR(((AM42*AO$9)/$L$42),0)</f>
        <v>0</v>
      </c>
      <c r="AP42" s="511">
        <f>SUM(AP10:AP40)</f>
        <v>0</v>
      </c>
      <c r="AQ42" s="511">
        <f>IFERROR((AP42/$L$42),0)</f>
        <v>0</v>
      </c>
      <c r="AR42" s="511">
        <f>IFERROR(((AP42*AR$9)/$L$42),0)</f>
        <v>0</v>
      </c>
      <c r="AS42" s="511">
        <f>SUM(AS10:AS40)</f>
        <v>0</v>
      </c>
      <c r="AT42" s="511">
        <f>IFERROR((AS42/$L$42),0)</f>
        <v>0</v>
      </c>
      <c r="AU42" s="511">
        <f>IFERROR(((AS42*AU$9)/$L$42),0)</f>
        <v>0</v>
      </c>
      <c r="AV42" s="511">
        <f>SUM(AV10:AV40)</f>
        <v>344.10000000000014</v>
      </c>
      <c r="AW42" s="511">
        <f>IFERROR((AV42/$L$42),0)</f>
        <v>7.398150000000002</v>
      </c>
      <c r="AX42" s="511">
        <f>IFERROR(((AV42*AX$9)/$L$42),0)</f>
        <v>0</v>
      </c>
      <c r="AY42" s="511">
        <f>SUM(AY10:AY40)</f>
        <v>1589</v>
      </c>
      <c r="AZ42" s="511">
        <f>IFERROR((AY42/$L$42),0)</f>
        <v>34.163499999999999</v>
      </c>
      <c r="BA42" s="511">
        <f>IFERROR(((AY42*BA$9)/$L$42),0)</f>
        <v>0</v>
      </c>
      <c r="BB42" s="511">
        <f>SUM(BB10:BB40)</f>
        <v>0</v>
      </c>
      <c r="BC42" s="511">
        <f>IFERROR((BB42/$L$42),0)</f>
        <v>0</v>
      </c>
      <c r="BD42" s="511">
        <f>IFERROR(((BB42*BD$9)/$L$42),0)</f>
        <v>0</v>
      </c>
      <c r="BE42" s="511">
        <f>SUM(BE10:BE40)</f>
        <v>0</v>
      </c>
      <c r="BF42" s="511">
        <f>IFERROR((BE42/$L$42),0)</f>
        <v>0</v>
      </c>
      <c r="BG42" s="511">
        <f>IFERROR(((BE42*BG$9)/$L$42),0)</f>
        <v>0</v>
      </c>
      <c r="BH42" s="511">
        <f>SUM(BH10:BH40)</f>
        <v>0</v>
      </c>
      <c r="BI42" s="511">
        <f>IFERROR((BH42/$L$42),0)</f>
        <v>0</v>
      </c>
      <c r="BJ42" s="511">
        <f>IFERROR(((BH42*BJ$9)/$L$42),0)</f>
        <v>0</v>
      </c>
      <c r="BK42" s="511">
        <f>SUM(BK10:BK40)</f>
        <v>0</v>
      </c>
      <c r="BL42" s="511">
        <f>IFERROR((BK42/$L$42),0)</f>
        <v>0</v>
      </c>
      <c r="BM42" s="511">
        <f>IFERROR(((BK42*BM$9)/$L$42),0)</f>
        <v>0</v>
      </c>
      <c r="BN42" s="511">
        <f>SUM(BN10:BN40)</f>
        <v>0</v>
      </c>
      <c r="BO42" s="511">
        <f>IFERROR((BN42/$L$42),0)</f>
        <v>0</v>
      </c>
      <c r="BP42" s="511">
        <f>IFERROR(((BN42*BP$9)/$L$42),0)</f>
        <v>0</v>
      </c>
      <c r="BQ42" s="511">
        <f>SUM(BQ10:BQ40)</f>
        <v>61.600000000000051</v>
      </c>
      <c r="BR42" s="511">
        <f>IFERROR((BQ42/$L$42),0)</f>
        <v>1.3244000000000009</v>
      </c>
      <c r="BS42" s="511">
        <f>IFERROR(((BQ42*BS$9)/$L$42),0)</f>
        <v>0</v>
      </c>
      <c r="BT42" s="511">
        <f>SUM(BT10:BT40)</f>
        <v>0</v>
      </c>
      <c r="BU42" s="511">
        <f>IFERROR((BT42/$L$42),0)</f>
        <v>0</v>
      </c>
      <c r="BV42" s="511">
        <f>IFERROR(((BT42*BV$9)/$L$42),0)</f>
        <v>0</v>
      </c>
      <c r="BW42" s="511">
        <f>SUM(BW10:BW40)</f>
        <v>0</v>
      </c>
      <c r="BX42" s="511">
        <f>IFERROR((BW42/$L$42),0)</f>
        <v>0</v>
      </c>
      <c r="BY42" s="511">
        <f>IFERROR(((BW42*BY$9)/$L$42),0)</f>
        <v>0</v>
      </c>
      <c r="BZ42" s="511">
        <f>SUM(BZ10:BZ40)</f>
        <v>0</v>
      </c>
      <c r="CA42" s="511">
        <f>IFERROR((BZ42/$L$42),0)</f>
        <v>0</v>
      </c>
      <c r="CB42" s="511">
        <f>IFERROR(((BZ42*CB$9)/$L$42),0)</f>
        <v>0</v>
      </c>
      <c r="CC42" s="511">
        <f>SUM(CC10:CC40)</f>
        <v>1</v>
      </c>
      <c r="CD42" s="511">
        <f>IFERROR((CC42/$L$42),0)</f>
        <v>2.1499999999999998E-2</v>
      </c>
      <c r="CE42" s="511">
        <f>IFERROR(((CC42*CE$9)/$L$42),0)</f>
        <v>0</v>
      </c>
      <c r="CF42" s="511">
        <f>SUM(CF10:CF40)</f>
        <v>230.60000000000005</v>
      </c>
      <c r="CG42" s="511">
        <f>IFERROR((CF42/$L$42),0)</f>
        <v>4.9579000000000004</v>
      </c>
      <c r="CH42" s="511">
        <f>IFERROR(((CF42*CH$9)/$L$42),0)</f>
        <v>0</v>
      </c>
      <c r="CI42" s="511">
        <f>SUM(CI10:CI40)</f>
        <v>0</v>
      </c>
      <c r="CJ42" s="511">
        <f>IFERROR((CI42/$L$42),0)</f>
        <v>0</v>
      </c>
      <c r="CK42" s="511">
        <f>IFERROR(((CI42*CK$9)/$L$42),0)</f>
        <v>0</v>
      </c>
      <c r="CL42" s="511">
        <f>SUM(CL10:CL40)</f>
        <v>0</v>
      </c>
      <c r="CM42" s="511">
        <f>IFERROR((CL42/$L$42),0)</f>
        <v>0</v>
      </c>
      <c r="CN42" s="511">
        <f>IFERROR(((CL42*CN$9)/$L$42),0)</f>
        <v>0</v>
      </c>
      <c r="CO42" s="511">
        <f>SUM(CO10:CO40)</f>
        <v>0</v>
      </c>
      <c r="CP42" s="511">
        <f>IFERROR((CO42/$L$42),0)</f>
        <v>0</v>
      </c>
      <c r="CQ42" s="511">
        <f>IFERROR(((CO42*CQ$9)/$L$42),0)</f>
        <v>0</v>
      </c>
      <c r="CR42" s="511">
        <f>SUM(CR10:CR40)</f>
        <v>0</v>
      </c>
      <c r="CS42" s="511">
        <f>IFERROR((CR42/$L$42),0)</f>
        <v>0</v>
      </c>
      <c r="CT42" s="511">
        <f>IFERROR(((CR42*CT$9)/$L$42),0)</f>
        <v>0</v>
      </c>
      <c r="CU42" s="511">
        <f>SUM(CU10:CU40)</f>
        <v>0</v>
      </c>
      <c r="CV42" s="511">
        <f>IFERROR((CU42/$L$42),0)</f>
        <v>0</v>
      </c>
      <c r="CW42" s="511">
        <f>IFERROR(((CU42*CW$9)/$L$42),0)</f>
        <v>0</v>
      </c>
      <c r="CX42" s="511">
        <f>SUM(CX10:CX40)</f>
        <v>0</v>
      </c>
      <c r="CY42" s="511">
        <f>IFERROR((CX42/$L$42),0)</f>
        <v>0</v>
      </c>
      <c r="CZ42" s="511">
        <f>IFERROR(((CX42*CZ$9)/$L$42),0)</f>
        <v>0</v>
      </c>
      <c r="DA42" s="511">
        <f>SUM(DA10:DA40)</f>
        <v>1308.1395348837214</v>
      </c>
      <c r="DB42" s="511">
        <f>IFERROR((DA42/$L$42),0)</f>
        <v>28.125000000000007</v>
      </c>
      <c r="DC42" s="511">
        <f>IFERROR(((DA42*DC$9)/$L$42),0)</f>
        <v>0</v>
      </c>
      <c r="DD42" s="511">
        <f>SUM(DD10:DD40)</f>
        <v>0</v>
      </c>
      <c r="DE42" s="511">
        <f>IFERROR((DD42/$L$42),0)</f>
        <v>0</v>
      </c>
      <c r="DF42" s="511">
        <f>IFERROR(((DD42*DF$9)/$L$42),0)</f>
        <v>0</v>
      </c>
      <c r="DG42" s="511">
        <f>SUM(DG15:DG40)</f>
        <v>0</v>
      </c>
      <c r="DH42" s="511">
        <f>IFERROR((DG42/$L$42),0)</f>
        <v>0</v>
      </c>
      <c r="DI42" s="511">
        <f>IFERROR(((DG42*DI$9)/$L$42),0)</f>
        <v>0</v>
      </c>
      <c r="DJ42" s="511">
        <f>SUM(DJ10:DJ40)</f>
        <v>0</v>
      </c>
      <c r="DK42" s="511">
        <f>IFERROR((DJ42/$L$42),0)</f>
        <v>0</v>
      </c>
      <c r="DL42" s="511">
        <f>IFERROR(((DJ42*DL$9)/$L$42),0)</f>
        <v>0</v>
      </c>
      <c r="DM42" s="511">
        <f>SUM(DM10:DM40)</f>
        <v>0</v>
      </c>
      <c r="DN42" s="511">
        <f>IFERROR((DM42/$L$42),0)</f>
        <v>0</v>
      </c>
      <c r="DO42" s="511">
        <f>IFERROR(((DM42*DO$9)/$L$42),0)</f>
        <v>0</v>
      </c>
      <c r="DP42" s="511">
        <f>SUM(DP10:DP40)</f>
        <v>0</v>
      </c>
      <c r="DQ42" s="511">
        <f>IFERROR((DP42/$L$42),0)</f>
        <v>0</v>
      </c>
      <c r="DR42" s="511">
        <f>IFERROR(((DP42*DR$9)/$L$42),0)</f>
        <v>0</v>
      </c>
      <c r="DS42" s="511">
        <f>SUM(DS10:DS40)</f>
        <v>0</v>
      </c>
      <c r="DT42" s="511">
        <f>IFERROR((DS42/$L$42),0)</f>
        <v>0</v>
      </c>
      <c r="DU42" s="511">
        <f>IFERROR(((DS42*DU$9)/$L$42),0)</f>
        <v>0</v>
      </c>
      <c r="DV42" s="511">
        <f>SUM(DV10:DV40)</f>
        <v>0</v>
      </c>
      <c r="DW42" s="511">
        <f>IFERROR((DV42/$L$42),0)</f>
        <v>0</v>
      </c>
      <c r="DX42" s="511">
        <f>IFERROR(((DV42*DX$9)/$L$42),0)</f>
        <v>0</v>
      </c>
      <c r="DY42" s="511">
        <f>SUM(DY10:DY40)</f>
        <v>21.566506024096384</v>
      </c>
      <c r="DZ42" s="511">
        <f>IFERROR((DY42/$L$42),0)</f>
        <v>0.46367987951807221</v>
      </c>
      <c r="EA42" s="511">
        <f>IFERROR(((DY42*EA$9)/$L$42),0)</f>
        <v>0</v>
      </c>
      <c r="EB42" s="511">
        <f>SUM(EB10:EB40)</f>
        <v>2453.9058823529413</v>
      </c>
      <c r="EC42" s="511">
        <f>IFERROR((EB42/$L$42),0)</f>
        <v>52.75897647058823</v>
      </c>
      <c r="ED42" s="511">
        <f>IFERROR(((EB42*ED$9)/$L$42),0)</f>
        <v>0</v>
      </c>
      <c r="EE42" s="511">
        <f>SUM(EE10:EE40)</f>
        <v>457.84883720930225</v>
      </c>
      <c r="EF42" s="511">
        <f>IFERROR((EE42/$L$42),0)</f>
        <v>9.8437499999999982</v>
      </c>
      <c r="EG42" s="511">
        <f>IFERROR(((EE42*EG$9)/$L$42),0)</f>
        <v>0</v>
      </c>
      <c r="EH42" s="511">
        <f>SUM(EH10:EH40)</f>
        <v>97</v>
      </c>
      <c r="EI42" s="511">
        <f>IFERROR((EH42/$L$42),0)</f>
        <v>2.0854999999999997</v>
      </c>
      <c r="EJ42" s="511">
        <f>IFERROR(((EH42*EJ$9)/$L$42),0)</f>
        <v>0</v>
      </c>
      <c r="EK42" s="511">
        <f>SUM(EK10:EK40)</f>
        <v>0</v>
      </c>
      <c r="EL42" s="511">
        <f>IFERROR((EK42/$L$42),0)</f>
        <v>0</v>
      </c>
      <c r="EM42" s="511">
        <f>IFERROR(((EK42*EM$9)/$L$42),0)</f>
        <v>0</v>
      </c>
      <c r="EN42" s="511">
        <f>SUM(EN10:EN40)</f>
        <v>0</v>
      </c>
      <c r="EO42" s="511">
        <f>IFERROR((EN42/$L$42),0)</f>
        <v>0</v>
      </c>
      <c r="EP42" s="511">
        <f>IFERROR(((EN42*EP$9)/$L$42),0)</f>
        <v>0</v>
      </c>
      <c r="EQ42" s="511">
        <f>SUM(EQ10:EQ40)</f>
        <v>0</v>
      </c>
      <c r="ER42" s="511">
        <f>IFERROR((EQ42/$L$42),0)</f>
        <v>0</v>
      </c>
      <c r="ES42" s="511">
        <f>IFERROR(((EQ42*ES$9)/$L$42),0)</f>
        <v>0</v>
      </c>
      <c r="ET42" s="511">
        <f>SUM(ET10:ET40)</f>
        <v>0</v>
      </c>
      <c r="EU42" s="511">
        <f>IFERROR((ET42/$L$42),0)</f>
        <v>0</v>
      </c>
      <c r="EV42" s="511">
        <f>IFERROR(((ET42*EV$9)/$L$42),0)</f>
        <v>0</v>
      </c>
      <c r="EW42" s="511">
        <f>SUM(EW10:EW40)</f>
        <v>0</v>
      </c>
      <c r="EX42" s="511">
        <f>IFERROR((EW42/$L$42),0)</f>
        <v>0</v>
      </c>
      <c r="EY42" s="511">
        <f>IFERROR(((EW42*EY$9)/$L$42),0)</f>
        <v>0</v>
      </c>
      <c r="EZ42" s="511">
        <f>SUM(EZ10:EZ40)</f>
        <v>0</v>
      </c>
      <c r="FA42" s="511">
        <f>IFERROR((EZ42/$L$42),0)</f>
        <v>0</v>
      </c>
      <c r="FB42" s="511">
        <f>IFERROR(((EZ42*FB$9)/$L$42),0)</f>
        <v>0</v>
      </c>
      <c r="FC42" s="511">
        <f>SUM(FC10:FC40)</f>
        <v>0</v>
      </c>
      <c r="FD42" s="511">
        <f>IFERROR((FC42/$L$42),0)</f>
        <v>0</v>
      </c>
      <c r="FE42" s="511">
        <f>IFERROR(((FC42*FE$9)/$L$42),0)</f>
        <v>0</v>
      </c>
      <c r="FF42" s="511">
        <f>SUM(FF10:FF40)</f>
        <v>0</v>
      </c>
      <c r="FG42" s="511">
        <f>IFERROR((FF42/$L$42),0)</f>
        <v>0</v>
      </c>
      <c r="FH42" s="511">
        <f>IFERROR(((FF42*FH$9)/$L$42),0)</f>
        <v>0</v>
      </c>
      <c r="FI42" s="511">
        <f>SUM(FI10:FI40)</f>
        <v>0</v>
      </c>
      <c r="FJ42" s="511">
        <f>IFERROR((FI42/$L$42),0)</f>
        <v>0</v>
      </c>
      <c r="FK42" s="511">
        <f>IFERROR(((FI42*FK$9)/$L$42),0)</f>
        <v>0</v>
      </c>
      <c r="FL42" s="511">
        <f>SUM(FL10:FL40)</f>
        <v>0</v>
      </c>
      <c r="FM42" s="511">
        <f>IFERROR((FL42/$L$42),0)</f>
        <v>0</v>
      </c>
      <c r="FN42" s="511">
        <f>IFERROR(((FL42*FN$9)/$L$42),0)</f>
        <v>0</v>
      </c>
      <c r="FO42" s="511">
        <f>SUM(FO10:FO40)</f>
        <v>0</v>
      </c>
      <c r="FP42" s="511">
        <f>IFERROR((FO42/$L$42),0)</f>
        <v>0</v>
      </c>
      <c r="FQ42" s="511">
        <f>IFERROR(((FO42*FQ$9)/$L$42),0)</f>
        <v>0</v>
      </c>
      <c r="FR42" s="511">
        <f>SUM(FR10:FR40)</f>
        <v>0</v>
      </c>
      <c r="FS42" s="511">
        <f>IFERROR((FR42/$L$42),0)</f>
        <v>0</v>
      </c>
      <c r="FT42" s="511">
        <f>IFERROR(((FR42*FT$9)/$L$42),0)</f>
        <v>0</v>
      </c>
      <c r="FU42" s="511">
        <f>SUM(FU10:FU40)</f>
        <v>0</v>
      </c>
      <c r="FV42" s="511">
        <f>IFERROR((FU42/$L$42),0)</f>
        <v>0</v>
      </c>
      <c r="FW42" s="511">
        <f>IFERROR(((FU42*FW$9)/$L$42),0)</f>
        <v>0</v>
      </c>
      <c r="FX42" s="511">
        <f>SUM(FX10:FX40)</f>
        <v>0</v>
      </c>
      <c r="FY42" s="511">
        <f>IFERROR((FX42/$L$42),0)</f>
        <v>0</v>
      </c>
      <c r="FZ42" s="511">
        <f>IFERROR(((FX42*FZ$9)/$L$42),0)</f>
        <v>0</v>
      </c>
      <c r="GA42" s="511">
        <f>SUM(GA10:GA40)</f>
        <v>0</v>
      </c>
      <c r="GB42" s="511">
        <f>IFERROR((GA42/$L$42),0)</f>
        <v>0</v>
      </c>
      <c r="GC42" s="511">
        <f>IFERROR(((GA42*GC$9)/$L$42),0)</f>
        <v>0</v>
      </c>
      <c r="GD42" s="511">
        <f>SUM(GD10:GD40)</f>
        <v>0</v>
      </c>
      <c r="GE42" s="511">
        <f>IFERROR((GD42/$L$42),0)</f>
        <v>0</v>
      </c>
      <c r="GF42" s="511">
        <f>IFERROR(((GD42*GF$9)/$L$42),0)</f>
        <v>0</v>
      </c>
      <c r="GG42" s="511">
        <f>SUM(GG10:GG40)</f>
        <v>40.325217060906887</v>
      </c>
      <c r="GH42" s="511">
        <f>IFERROR((GG42/$L$42),0)</f>
        <v>0.86699216680949798</v>
      </c>
      <c r="GI42" s="511">
        <f>IFERROR(((GG42*GI$9)/$L$42),0)</f>
        <v>0</v>
      </c>
      <c r="GJ42" s="511">
        <f>SUM(GJ10:GJ40)</f>
        <v>63.183629274859442</v>
      </c>
      <c r="GK42" s="511">
        <f>IFERROR((GJ42/$L$42),0)</f>
        <v>1.3584480294094778</v>
      </c>
      <c r="GL42" s="511">
        <f>IFERROR(((GJ42*GL$9)/$L$42),0)</f>
        <v>0</v>
      </c>
      <c r="GM42" s="511">
        <f>SUM(GM10:GM40)</f>
        <v>0</v>
      </c>
      <c r="GN42" s="511">
        <f>IFERROR((GM42/$L$42),0)</f>
        <v>0</v>
      </c>
      <c r="GO42" s="511">
        <f>IFERROR(((GM42*GO$9)/$L$42),0)</f>
        <v>0</v>
      </c>
      <c r="GP42" s="511">
        <f>SUM(GP10:GP40)</f>
        <v>264.66357465452796</v>
      </c>
      <c r="GQ42" s="511">
        <f>IFERROR((GP42/$L$42),0)</f>
        <v>5.690266855072351</v>
      </c>
      <c r="GR42" s="511">
        <f>IFERROR(((GP42*GR$9)/$L$42),0)</f>
        <v>0</v>
      </c>
      <c r="GS42" s="511">
        <f>SUM(GS10:GS40)</f>
        <v>1738.3938090583204</v>
      </c>
      <c r="GT42" s="511">
        <f>IFERROR((GS42/$L$42),0)</f>
        <v>37.375466894753885</v>
      </c>
      <c r="GU42" s="511">
        <f>IFERROR(((GS42*GU$9)/$L$42),0)</f>
        <v>0</v>
      </c>
      <c r="GV42" s="511">
        <f>SUM(GV10:GV40)</f>
        <v>0</v>
      </c>
      <c r="GW42" s="511">
        <f>IFERROR((GV42/$L$42),0)</f>
        <v>0</v>
      </c>
      <c r="GX42" s="511">
        <f>IFERROR(((GV42*GX$9)/$L$42),0)</f>
        <v>0</v>
      </c>
      <c r="GY42" s="511">
        <f>SUM(GY10:GY40)</f>
        <v>0</v>
      </c>
      <c r="GZ42" s="511">
        <f>IFERROR((GY42/$L$42),0)</f>
        <v>0</v>
      </c>
      <c r="HA42" s="511">
        <f>IFERROR(((GY42*HA$9)/$L$42),0)</f>
        <v>0</v>
      </c>
      <c r="HB42" s="511">
        <f>SUM(HB10:HB40)</f>
        <v>0</v>
      </c>
      <c r="HC42" s="511">
        <f>IFERROR((HB42/$L$42),0)</f>
        <v>0</v>
      </c>
      <c r="HD42" s="511">
        <f>IFERROR(((HB42*HD$9)/$L$42),0)</f>
        <v>0</v>
      </c>
      <c r="HE42" s="511">
        <f>SUM(HE10:HE40)</f>
        <v>0</v>
      </c>
      <c r="HF42" s="511">
        <f>IFERROR((HE42/$L$42),0)</f>
        <v>0</v>
      </c>
      <c r="HG42" s="511">
        <f>IFERROR(((HE42*HG$9)/$L$42),0)</f>
        <v>0</v>
      </c>
      <c r="HH42" s="511">
        <f>SUM(HH10:HH40)</f>
        <v>0</v>
      </c>
      <c r="HI42" s="511">
        <f>IFERROR((HH42/$L$42),0)</f>
        <v>0</v>
      </c>
      <c r="HJ42" s="511">
        <f>IFERROR(((HH42*HJ$9)/$L$42),0)</f>
        <v>0</v>
      </c>
      <c r="HK42" s="511">
        <f>SUM(HK10:HK40)</f>
        <v>0</v>
      </c>
      <c r="HL42" s="511">
        <f>IFERROR((HK42/$L$42),0)</f>
        <v>0</v>
      </c>
      <c r="HM42" s="511">
        <f>IFERROR(((HK42*HM$9)/$L$42),0)</f>
        <v>0</v>
      </c>
      <c r="HN42" s="511">
        <f>SUM(HN10:HN40)</f>
        <v>7323.6245366212352</v>
      </c>
      <c r="HO42" s="511">
        <f>IFERROR((HN42/$L$42),0)</f>
        <v>157.45792753735654</v>
      </c>
      <c r="HP42" s="511">
        <f>IFERROR(((HN42*HP$9)/$L$42),0)</f>
        <v>0</v>
      </c>
      <c r="HQ42" s="511">
        <f>SUM(HQ10:HQ40)</f>
        <v>0</v>
      </c>
      <c r="HR42" s="511">
        <f>IFERROR((HQ42/$L$42),0)</f>
        <v>0</v>
      </c>
      <c r="HS42" s="511">
        <f>IFERROR(((HQ42*HS$9)/$L$42),0)</f>
        <v>0</v>
      </c>
      <c r="HT42" s="511">
        <f>SUM(HT10:HT40)</f>
        <v>0</v>
      </c>
      <c r="HU42" s="511">
        <f>IFERROR((HT42/$L$42),0)</f>
        <v>0</v>
      </c>
      <c r="HV42" s="511">
        <f>IFERROR(((HT42*HV$9)/$L$42),0)</f>
        <v>0</v>
      </c>
      <c r="HW42" s="511">
        <f>SUM(HW10:HW40)</f>
        <v>0</v>
      </c>
      <c r="HX42" s="511">
        <f>IFERROR((HW42/$L$42),0)</f>
        <v>0</v>
      </c>
      <c r="HY42" s="511">
        <f>IFERROR(((HW42*HY$9)/$L$42),0)</f>
        <v>0</v>
      </c>
      <c r="HZ42" s="511">
        <f>SUM(HZ10:HZ40)</f>
        <v>0</v>
      </c>
      <c r="IA42" s="511">
        <f>IFERROR((HZ42/$L$42),0)</f>
        <v>0</v>
      </c>
      <c r="IB42" s="511">
        <f>IFERROR(((HZ42*IB$9)/$L$42),0)</f>
        <v>0</v>
      </c>
      <c r="IC42" s="511">
        <f>SUM(IC10:IC40)</f>
        <v>0</v>
      </c>
      <c r="ID42" s="511">
        <f>IFERROR((IC42/$L$42),0)</f>
        <v>0</v>
      </c>
      <c r="IE42" s="511">
        <f>IFERROR(((IC42*IE$9)/$L$42),0)</f>
        <v>0</v>
      </c>
      <c r="IF42" s="511">
        <f>SUM(IF10:IF40)</f>
        <v>0</v>
      </c>
      <c r="IG42" s="511">
        <f>IFERROR((IF42/$L$42),0)</f>
        <v>0</v>
      </c>
      <c r="IH42" s="511">
        <f>IFERROR(((IF42*IH$9)/$L$42),0)</f>
        <v>0</v>
      </c>
      <c r="II42" s="511">
        <f>SUM(II10:II40)</f>
        <v>181.45649864689815</v>
      </c>
      <c r="IJ42" s="511">
        <f>IFERROR((II42/$L$42),0)</f>
        <v>3.9013147209083101</v>
      </c>
      <c r="IK42" s="511">
        <f>IFERROR(((II42*IK$9)/$L$42),0)</f>
        <v>0</v>
      </c>
      <c r="IL42" s="511">
        <f>SUM(IL10:IL40)</f>
        <v>0</v>
      </c>
      <c r="IM42" s="511">
        <f>IFERROR((IL42/$L$42),0)</f>
        <v>0</v>
      </c>
      <c r="IN42" s="511">
        <f>IFERROR(((IL42*IN$9)/$L$42),0)</f>
        <v>0</v>
      </c>
      <c r="IO42" s="511">
        <f>SUM(IO10:IO40)</f>
        <v>0</v>
      </c>
      <c r="IP42" s="511">
        <f>IFERROR((IO42/$L$42),0)</f>
        <v>0</v>
      </c>
      <c r="IQ42" s="511">
        <f>IFERROR(((IO42*IQ$9)/$L$42),0)</f>
        <v>0</v>
      </c>
      <c r="IR42" s="511">
        <f>SUM(IR10:IR40)</f>
        <v>755.51150921270676</v>
      </c>
      <c r="IS42" s="511">
        <f>IFERROR((IR42/$L$42),0)</f>
        <v>16.243497448073192</v>
      </c>
      <c r="IT42" s="511">
        <f>IFERROR(((IR42*IT$9)/$L$42),0)</f>
        <v>0</v>
      </c>
      <c r="IU42" s="511">
        <f>SUM(IU10:IU40)</f>
        <v>0</v>
      </c>
      <c r="IV42" s="511">
        <f>IFERROR((IU42/$L$42),0)</f>
        <v>0</v>
      </c>
      <c r="IW42" s="511">
        <f>IFERROR(((IU42*IW$9)/$L$42),0)</f>
        <v>0</v>
      </c>
      <c r="IX42" s="511">
        <f>SUM(IX10:IX40)</f>
        <v>0</v>
      </c>
      <c r="IY42" s="511">
        <f>IFERROR((IX42/$L$42),0)</f>
        <v>0</v>
      </c>
      <c r="IZ42" s="511">
        <f>IFERROR(((IX42*IZ$9)/$L$42),0)</f>
        <v>0</v>
      </c>
      <c r="JA42" s="511">
        <f>SUM(JA10:JA40)</f>
        <v>0</v>
      </c>
      <c r="JB42" s="511">
        <f>IFERROR((JA42/$L$42),0)</f>
        <v>0</v>
      </c>
      <c r="JC42" s="511">
        <f>IFERROR(((JA42*JC$9)/$L$42),0)</f>
        <v>0</v>
      </c>
      <c r="JD42" s="511">
        <f>SUM(JD10:JD40)</f>
        <v>0</v>
      </c>
      <c r="JE42" s="511">
        <f>IFERROR((JD42/$L$42),0)</f>
        <v>0</v>
      </c>
      <c r="JF42" s="511">
        <f>IFERROR(((JD42*JF$9)/$L$42),0)</f>
        <v>0</v>
      </c>
      <c r="JG42" s="511">
        <f>SUM(JG10:JG40)</f>
        <v>0</v>
      </c>
      <c r="JH42" s="511">
        <f>IFERROR((JG42/$L$42),0)</f>
        <v>0</v>
      </c>
      <c r="JI42" s="511">
        <f>IFERROR(((JG42*JI$9)/$L$42),0)</f>
        <v>0</v>
      </c>
      <c r="JJ42" s="511">
        <f>SUM(JJ10:JJ40)</f>
        <v>146.18623722328073</v>
      </c>
      <c r="JK42" s="511">
        <f>IFERROR((JJ42/$L$42),0)</f>
        <v>3.1430041003005353</v>
      </c>
      <c r="JL42" s="511">
        <f>IFERROR(((JJ42*JL$9)/$L$42),0)</f>
        <v>0</v>
      </c>
      <c r="JM42" s="511">
        <f>SUM(JM10:JM40)</f>
        <v>0</v>
      </c>
      <c r="JN42" s="511">
        <f>IFERROR((JM42/$L$42),0)</f>
        <v>0</v>
      </c>
      <c r="JO42" s="511">
        <f>IFERROR(((JM42*JO$9)/$L$42),0)</f>
        <v>0</v>
      </c>
      <c r="JP42" s="511">
        <f>SUM(JP10:JP40)</f>
        <v>0</v>
      </c>
      <c r="JQ42" s="511">
        <f>IFERROR((JP42/$L$42),0)</f>
        <v>0</v>
      </c>
      <c r="JR42" s="511">
        <f>IFERROR(((JP42*JR$9)/$L$42),0)</f>
        <v>0</v>
      </c>
      <c r="JS42" s="511">
        <f>SUM(JS10:JS40)</f>
        <v>0</v>
      </c>
      <c r="JT42" s="511">
        <f>IFERROR((JS42/$L$42),0)</f>
        <v>0</v>
      </c>
      <c r="JU42" s="511">
        <f>IFERROR(((JS42*JU$9)/$L$42),0)</f>
        <v>0</v>
      </c>
      <c r="JV42" s="511">
        <f>SUM(JV10:JV40)</f>
        <v>0</v>
      </c>
      <c r="JW42" s="511">
        <f>IFERROR((JV42/$L$42),0)</f>
        <v>0</v>
      </c>
      <c r="JX42" s="511">
        <f>IFERROR(((JV42*JX$9)/$L$42),0)</f>
        <v>0</v>
      </c>
      <c r="JY42" s="511">
        <f>SUM(JY10:JY40)</f>
        <v>0</v>
      </c>
      <c r="JZ42" s="511">
        <f>IFERROR((JY42/$L$42),0)</f>
        <v>0</v>
      </c>
      <c r="KA42" s="511">
        <f>IFERROR(((JY42*KA$9)/$L$42),0)</f>
        <v>0</v>
      </c>
      <c r="KB42" s="511">
        <f>SUM(KB10:KB40)</f>
        <v>0</v>
      </c>
      <c r="KC42" s="511">
        <f>IFERROR((KB42/$L$42),0)</f>
        <v>0</v>
      </c>
      <c r="KD42" s="511">
        <f>IFERROR(((KB42*KD$9)/$L$42),0)</f>
        <v>0</v>
      </c>
      <c r="KE42" s="511">
        <f>SUM(KE10:KE40)</f>
        <v>0</v>
      </c>
      <c r="KF42" s="511">
        <f>IFERROR((KE42/$L$42),0)</f>
        <v>0</v>
      </c>
      <c r="KG42" s="511">
        <f>IFERROR(((KE42*KG$9)/$L$42),0)</f>
        <v>0</v>
      </c>
      <c r="KH42" s="511">
        <f>SUM(KH10:KH40)</f>
        <v>0</v>
      </c>
      <c r="KI42" s="511">
        <f>IFERROR((KH42/$L$42),0)</f>
        <v>0</v>
      </c>
      <c r="KJ42" s="511">
        <f>IFERROR(((KH42*KJ$9)/$L$42),0)</f>
        <v>0</v>
      </c>
      <c r="KK42" s="511">
        <f>SUM(KK10:KK40)</f>
        <v>0</v>
      </c>
      <c r="KL42" s="511">
        <f>IFERROR((KK42/$L$42),0)</f>
        <v>0</v>
      </c>
      <c r="KM42" s="511">
        <f>IFERROR(((KK42*KM$9)/$L$42),0)</f>
        <v>0</v>
      </c>
      <c r="KN42" s="511">
        <f>SUM(KN10:KN40)</f>
        <v>0</v>
      </c>
      <c r="KO42" s="511">
        <f>IFERROR((KN42/$L$42),0)</f>
        <v>0</v>
      </c>
      <c r="KP42" s="511">
        <f>IFERROR(((KN42*KP$9)/$L$42),0)</f>
        <v>0</v>
      </c>
      <c r="KQ42" s="511">
        <f>SUM(KQ10:KQ40)</f>
        <v>0</v>
      </c>
      <c r="KR42" s="511">
        <f>IFERROR((KQ42/$L$42),0)</f>
        <v>0</v>
      </c>
      <c r="KS42" s="511">
        <f>IFERROR(((KQ42*KS$9)/$L$42),0)</f>
        <v>0</v>
      </c>
      <c r="KT42" s="512">
        <f t="shared" si="201"/>
        <v>0</v>
      </c>
      <c r="KU42" s="512">
        <f t="shared" si="202"/>
        <v>0</v>
      </c>
      <c r="KV42" s="261">
        <f t="shared" si="199"/>
        <v>25922.776240320589</v>
      </c>
    </row>
    <row r="43" spans="1:308" ht="15" customHeight="1" thickTop="1">
      <c r="A43" s="474" t="s">
        <v>148</v>
      </c>
      <c r="B43" s="475" t="s">
        <v>149</v>
      </c>
      <c r="C43" s="476" t="s">
        <v>157</v>
      </c>
      <c r="D43" s="462"/>
      <c r="E43" s="258"/>
    </row>
    <row r="44" spans="1:308" ht="15" customHeight="1">
      <c r="A44" s="477"/>
      <c r="B44" s="475" t="s">
        <v>150</v>
      </c>
      <c r="C44" s="476" t="s">
        <v>156</v>
      </c>
      <c r="D44" s="462"/>
      <c r="E44" s="258"/>
    </row>
    <row r="45" spans="1:308" ht="15" customHeight="1">
      <c r="A45" s="477"/>
      <c r="B45" s="478" t="s">
        <v>151</v>
      </c>
      <c r="C45" s="476" t="s">
        <v>152</v>
      </c>
      <c r="D45" s="462"/>
      <c r="E45" s="258"/>
    </row>
    <row r="46" spans="1:308" ht="15" customHeight="1">
      <c r="A46" s="462"/>
      <c r="B46" s="462"/>
      <c r="C46" s="463"/>
      <c r="D46" s="463"/>
      <c r="E46" s="464"/>
    </row>
    <row r="47" spans="1:308" ht="15" customHeight="1">
      <c r="A47" s="462"/>
      <c r="B47" s="462"/>
      <c r="C47" s="463"/>
      <c r="D47" s="463"/>
      <c r="E47" s="464"/>
    </row>
    <row r="48" spans="1:308" ht="15" customHeight="1">
      <c r="A48" s="462"/>
      <c r="B48" s="462"/>
      <c r="C48" s="463"/>
      <c r="D48" s="463"/>
      <c r="E48" s="464"/>
    </row>
    <row r="49" spans="1:5" ht="15" customHeight="1">
      <c r="A49" s="462"/>
      <c r="B49" s="462"/>
      <c r="C49" s="463"/>
      <c r="D49" s="463"/>
      <c r="E49" s="464"/>
    </row>
    <row r="50" spans="1:5" ht="15" customHeight="1">
      <c r="A50" s="462"/>
      <c r="B50" s="462"/>
      <c r="C50" s="463"/>
      <c r="D50" s="463"/>
      <c r="E50" s="464"/>
    </row>
    <row r="51" spans="1:5" ht="15" customHeight="1">
      <c r="A51" s="462"/>
      <c r="B51" s="462"/>
      <c r="C51" s="463"/>
      <c r="D51" s="463"/>
      <c r="E51" s="464"/>
    </row>
    <row r="52" spans="1:5" ht="15" customHeight="1">
      <c r="A52" s="462"/>
      <c r="B52" s="462"/>
      <c r="C52" s="463"/>
      <c r="D52" s="463"/>
      <c r="E52" s="464"/>
    </row>
    <row r="53" spans="1:5" ht="15" customHeight="1">
      <c r="A53" s="462"/>
      <c r="B53" s="462"/>
      <c r="C53" s="463"/>
      <c r="D53" s="463"/>
      <c r="E53" s="464"/>
    </row>
    <row r="54" spans="1:5" ht="15" customHeight="1">
      <c r="A54" s="462"/>
      <c r="B54" s="462"/>
      <c r="C54" s="463"/>
      <c r="D54" s="463"/>
      <c r="E54" s="464"/>
    </row>
    <row r="55" spans="1:5" ht="15" customHeight="1">
      <c r="A55" s="462"/>
      <c r="B55" s="462"/>
      <c r="C55" s="463"/>
      <c r="D55" s="463"/>
      <c r="E55" s="464"/>
    </row>
    <row r="56" spans="1:5" ht="15" customHeight="1">
      <c r="A56" s="462"/>
      <c r="B56" s="462"/>
      <c r="C56" s="463"/>
      <c r="D56" s="463"/>
      <c r="E56" s="464"/>
    </row>
    <row r="57" spans="1:5" ht="15" customHeight="1">
      <c r="A57" s="462"/>
      <c r="B57" s="462"/>
      <c r="C57" s="463"/>
      <c r="D57" s="463"/>
      <c r="E57" s="464"/>
    </row>
    <row r="58" spans="1:5" ht="15" customHeight="1">
      <c r="A58" s="462"/>
      <c r="B58" s="462"/>
      <c r="C58" s="463"/>
      <c r="D58" s="463"/>
      <c r="E58" s="464"/>
    </row>
    <row r="59" spans="1:5" ht="15" customHeight="1">
      <c r="A59" s="462"/>
      <c r="B59" s="462"/>
      <c r="C59" s="463"/>
      <c r="D59" s="463"/>
      <c r="E59" s="464"/>
    </row>
    <row r="60" spans="1:5" ht="15" customHeight="1">
      <c r="A60" s="462"/>
      <c r="B60" s="462"/>
      <c r="C60" s="463"/>
      <c r="D60" s="463"/>
      <c r="E60" s="464"/>
    </row>
    <row r="61" spans="1:5" ht="15" customHeight="1">
      <c r="A61" s="462"/>
      <c r="B61" s="462"/>
      <c r="C61" s="463"/>
      <c r="D61" s="463"/>
      <c r="E61" s="464"/>
    </row>
    <row r="62" spans="1:5" ht="15" customHeight="1">
      <c r="A62" s="462"/>
      <c r="B62" s="462"/>
      <c r="C62" s="463"/>
      <c r="D62" s="463"/>
      <c r="E62" s="464"/>
    </row>
    <row r="63" spans="1:5" ht="15" customHeight="1">
      <c r="A63" s="462"/>
      <c r="B63" s="462"/>
      <c r="C63" s="463"/>
      <c r="D63" s="463"/>
      <c r="E63" s="464"/>
    </row>
    <row r="64" spans="1:5" ht="15" customHeight="1">
      <c r="A64" s="462"/>
      <c r="B64" s="462"/>
      <c r="C64" s="463"/>
      <c r="D64" s="463"/>
      <c r="E64" s="464"/>
    </row>
    <row r="65" spans="1:5" ht="15" customHeight="1">
      <c r="A65" s="462"/>
      <c r="B65" s="462"/>
      <c r="C65" s="463"/>
      <c r="D65" s="463"/>
      <c r="E65" s="464"/>
    </row>
    <row r="66" spans="1:5" ht="15" customHeight="1">
      <c r="A66" s="462"/>
      <c r="B66" s="462"/>
      <c r="C66" s="463"/>
      <c r="D66" s="463"/>
      <c r="E66" s="464"/>
    </row>
    <row r="67" spans="1:5" ht="15" customHeight="1">
      <c r="A67" s="462"/>
      <c r="B67" s="462"/>
      <c r="C67" s="463"/>
      <c r="D67" s="463"/>
      <c r="E67" s="464"/>
    </row>
    <row r="68" spans="1:5" ht="15" customHeight="1">
      <c r="A68" s="462"/>
      <c r="B68" s="462"/>
      <c r="C68" s="463"/>
      <c r="D68" s="463"/>
      <c r="E68" s="464"/>
    </row>
    <row r="69" spans="1:5" ht="15" customHeight="1">
      <c r="A69" s="462"/>
      <c r="B69" s="462"/>
      <c r="C69" s="463"/>
      <c r="D69" s="463"/>
      <c r="E69" s="464"/>
    </row>
    <row r="70" spans="1:5" ht="15" customHeight="1">
      <c r="A70" s="462"/>
      <c r="B70" s="462"/>
      <c r="C70" s="463"/>
      <c r="D70" s="463"/>
      <c r="E70" s="464"/>
    </row>
    <row r="71" spans="1:5" ht="15" customHeight="1">
      <c r="A71" s="462"/>
      <c r="B71" s="462"/>
      <c r="C71" s="463"/>
      <c r="D71" s="463"/>
      <c r="E71" s="464"/>
    </row>
    <row r="72" spans="1:5" ht="15" customHeight="1">
      <c r="A72" s="462"/>
      <c r="B72" s="462"/>
      <c r="C72" s="463"/>
      <c r="D72" s="463"/>
      <c r="E72" s="464"/>
    </row>
    <row r="73" spans="1:5" ht="15" customHeight="1">
      <c r="A73" s="462"/>
      <c r="B73" s="462"/>
      <c r="C73" s="463"/>
      <c r="D73" s="463"/>
      <c r="E73" s="464"/>
    </row>
  </sheetData>
  <mergeCells count="210">
    <mergeCell ref="A6:A9"/>
    <mergeCell ref="B6:B9"/>
    <mergeCell ref="C6:C9"/>
    <mergeCell ref="D6:D9"/>
    <mergeCell ref="E6:E9"/>
    <mergeCell ref="BK8:BL8"/>
    <mergeCell ref="BN8:BO8"/>
    <mergeCell ref="BQ8:BR8"/>
    <mergeCell ref="CR7:CT7"/>
    <mergeCell ref="F8:G8"/>
    <mergeCell ref="I8:J8"/>
    <mergeCell ref="L8:M8"/>
    <mergeCell ref="O8:P8"/>
    <mergeCell ref="R8:S8"/>
    <mergeCell ref="U8:V8"/>
    <mergeCell ref="X8:Y8"/>
    <mergeCell ref="AA8:AB8"/>
    <mergeCell ref="AD8:AE8"/>
    <mergeCell ref="AG8:AH8"/>
    <mergeCell ref="AJ8:AK8"/>
    <mergeCell ref="AM8:AN8"/>
    <mergeCell ref="AP8:AQ8"/>
    <mergeCell ref="AS8:AT8"/>
    <mergeCell ref="AV8:AW8"/>
    <mergeCell ref="CU7:CW7"/>
    <mergeCell ref="CX7:CZ7"/>
    <mergeCell ref="DA7:DC7"/>
    <mergeCell ref="DD7:DF7"/>
    <mergeCell ref="DG7:DI7"/>
    <mergeCell ref="CC8:CD8"/>
    <mergeCell ref="CF8:CG8"/>
    <mergeCell ref="CI8:CJ8"/>
    <mergeCell ref="CL8:CM8"/>
    <mergeCell ref="CO8:CP8"/>
    <mergeCell ref="CR8:CS8"/>
    <mergeCell ref="CU8:CV8"/>
    <mergeCell ref="CX8:CY8"/>
    <mergeCell ref="DA8:DB8"/>
    <mergeCell ref="DD8:DE8"/>
    <mergeCell ref="DG8:DH8"/>
    <mergeCell ref="A41:C41"/>
    <mergeCell ref="BB8:BC8"/>
    <mergeCell ref="BE8:BF8"/>
    <mergeCell ref="BH8:BI8"/>
    <mergeCell ref="F6:GC6"/>
    <mergeCell ref="BQ7:BS7"/>
    <mergeCell ref="BT7:BV7"/>
    <mergeCell ref="BW7:BY7"/>
    <mergeCell ref="BZ7:CB7"/>
    <mergeCell ref="CC7:CE7"/>
    <mergeCell ref="CF7:CH7"/>
    <mergeCell ref="CI7:CK7"/>
    <mergeCell ref="CL7:CN7"/>
    <mergeCell ref="CO7:CQ7"/>
    <mergeCell ref="DJ7:DL7"/>
    <mergeCell ref="DM7:DO7"/>
    <mergeCell ref="DP7:DR7"/>
    <mergeCell ref="DS7:DU7"/>
    <mergeCell ref="DV7:DX7"/>
    <mergeCell ref="DY7:EA7"/>
    <mergeCell ref="EB7:ED7"/>
    <mergeCell ref="EE7:EG7"/>
    <mergeCell ref="EH7:EJ7"/>
    <mergeCell ref="EK7:EM7"/>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AS7:AU7"/>
    <mergeCell ref="AV7:AX7"/>
    <mergeCell ref="AY7:BA7"/>
    <mergeCell ref="BB7:BD7"/>
    <mergeCell ref="BE7:BG7"/>
    <mergeCell ref="BH7:BJ7"/>
    <mergeCell ref="BK7:BM7"/>
    <mergeCell ref="BN7:BP7"/>
    <mergeCell ref="EN7:EP7"/>
    <mergeCell ref="EQ7:ES7"/>
    <mergeCell ref="ET7:EV7"/>
    <mergeCell ref="EW7:EY7"/>
    <mergeCell ref="EZ7:FB7"/>
    <mergeCell ref="FC7:FE7"/>
    <mergeCell ref="FF7:FH7"/>
    <mergeCell ref="FI7:FK7"/>
    <mergeCell ref="FL7:FN7"/>
    <mergeCell ref="FO7:FQ7"/>
    <mergeCell ref="FR7:FT7"/>
    <mergeCell ref="FU7:FW7"/>
    <mergeCell ref="FX7:FZ7"/>
    <mergeCell ref="GA7:GC7"/>
    <mergeCell ref="GD7:GF7"/>
    <mergeCell ref="GG7:GI7"/>
    <mergeCell ref="GJ7:GL7"/>
    <mergeCell ref="GM7:GO7"/>
    <mergeCell ref="GP7:GR7"/>
    <mergeCell ref="GS7:GU7"/>
    <mergeCell ref="GV7:GX7"/>
    <mergeCell ref="GY7:HA7"/>
    <mergeCell ref="HB7:HD7"/>
    <mergeCell ref="HE7:HG7"/>
    <mergeCell ref="HH7:HJ7"/>
    <mergeCell ref="HK7:HM7"/>
    <mergeCell ref="HN7:HP7"/>
    <mergeCell ref="HQ7:HS7"/>
    <mergeCell ref="HT7:HV7"/>
    <mergeCell ref="HW7:HY7"/>
    <mergeCell ref="HZ7:IB7"/>
    <mergeCell ref="IC7:IE7"/>
    <mergeCell ref="IF7:IH7"/>
    <mergeCell ref="II7:IK7"/>
    <mergeCell ref="IL7:IN7"/>
    <mergeCell ref="IO7:IQ7"/>
    <mergeCell ref="IR7:IT7"/>
    <mergeCell ref="IU7:IW7"/>
    <mergeCell ref="IX7:IZ7"/>
    <mergeCell ref="JA7:JC7"/>
    <mergeCell ref="JD7:JF7"/>
    <mergeCell ref="JG7:JI7"/>
    <mergeCell ref="JJ7:JL7"/>
    <mergeCell ref="JM7:JO7"/>
    <mergeCell ref="JP7:JR7"/>
    <mergeCell ref="JS7:JU7"/>
    <mergeCell ref="JV7:JX7"/>
    <mergeCell ref="JY7:KA7"/>
    <mergeCell ref="KB7:KD7"/>
    <mergeCell ref="KE7:KG7"/>
    <mergeCell ref="KH7:KJ7"/>
    <mergeCell ref="KK7:KM7"/>
    <mergeCell ref="KN7:KP7"/>
    <mergeCell ref="KQ7:KS7"/>
    <mergeCell ref="AY8:AZ8"/>
    <mergeCell ref="BT8:BU8"/>
    <mergeCell ref="BW8:BX8"/>
    <mergeCell ref="BZ8:CA8"/>
    <mergeCell ref="DJ8:DK8"/>
    <mergeCell ref="DM8:DN8"/>
    <mergeCell ref="DP8:DQ8"/>
    <mergeCell ref="DS8:DT8"/>
    <mergeCell ref="DV8:DW8"/>
    <mergeCell ref="DY8:DZ8"/>
    <mergeCell ref="EB8:EC8"/>
    <mergeCell ref="EE8:EF8"/>
    <mergeCell ref="EH8:EI8"/>
    <mergeCell ref="EK8:EL8"/>
    <mergeCell ref="EN8:EO8"/>
    <mergeCell ref="EQ8:ER8"/>
    <mergeCell ref="ET8:EU8"/>
    <mergeCell ref="EW8:EX8"/>
    <mergeCell ref="EZ8:FA8"/>
    <mergeCell ref="FC8:FD8"/>
    <mergeCell ref="FF8:FG8"/>
    <mergeCell ref="FI8:FJ8"/>
    <mergeCell ref="FL8:FM8"/>
    <mergeCell ref="FO8:FP8"/>
    <mergeCell ref="FR8:FS8"/>
    <mergeCell ref="FU8:FV8"/>
    <mergeCell ref="FX8:FY8"/>
    <mergeCell ref="GA8:GB8"/>
    <mergeCell ref="GD8:GE8"/>
    <mergeCell ref="GG8:GH8"/>
    <mergeCell ref="GJ8:GK8"/>
    <mergeCell ref="GM8:GN8"/>
    <mergeCell ref="GP8:GQ8"/>
    <mergeCell ref="GS8:GT8"/>
    <mergeCell ref="GV8:GW8"/>
    <mergeCell ref="GY8:GZ8"/>
    <mergeCell ref="HB8:HC8"/>
    <mergeCell ref="HE8:HF8"/>
    <mergeCell ref="HH8:HI8"/>
    <mergeCell ref="HK8:HL8"/>
    <mergeCell ref="HN8:HO8"/>
    <mergeCell ref="HQ8:HR8"/>
    <mergeCell ref="HT8:HU8"/>
    <mergeCell ref="HW8:HX8"/>
    <mergeCell ref="HZ8:IA8"/>
    <mergeCell ref="IC8:ID8"/>
    <mergeCell ref="IF8:IG8"/>
    <mergeCell ref="II8:IJ8"/>
    <mergeCell ref="IL8:IM8"/>
    <mergeCell ref="IO8:IP8"/>
    <mergeCell ref="IR8:IS8"/>
    <mergeCell ref="IU8:IV8"/>
    <mergeCell ref="IX8:IY8"/>
    <mergeCell ref="KB8:KC8"/>
    <mergeCell ref="KE8:KF8"/>
    <mergeCell ref="KH8:KI8"/>
    <mergeCell ref="KK8:KL8"/>
    <mergeCell ref="KN8:KO8"/>
    <mergeCell ref="KQ8:KR8"/>
    <mergeCell ref="JA8:JB8"/>
    <mergeCell ref="JD8:JE8"/>
    <mergeCell ref="JG8:JH8"/>
    <mergeCell ref="JJ8:JK8"/>
    <mergeCell ref="JM8:JN8"/>
    <mergeCell ref="JP8:JQ8"/>
    <mergeCell ref="JS8:JT8"/>
    <mergeCell ref="JV8:JW8"/>
    <mergeCell ref="JY8:JZ8"/>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I47"/>
  <sheetViews>
    <sheetView zoomScale="85" workbookViewId="0">
      <pane xSplit="5" ySplit="9" topLeftCell="FP10" activePane="bottomRight" state="frozen"/>
      <selection pane="topRight"/>
      <selection pane="bottomLeft"/>
      <selection pane="bottomRight" activeCell="C31" sqref="C31"/>
    </sheetView>
  </sheetViews>
  <sheetFormatPr defaultColWidth="9.140625" defaultRowHeight="12.75"/>
  <cols>
    <col min="1" max="1" width="8" customWidth="1"/>
    <col min="2" max="2" width="12.85546875" customWidth="1"/>
    <col min="3" max="3" width="10.7109375"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28515625"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1.57031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7.7109375" hidden="1" customWidth="1"/>
    <col min="96" max="96" width="12.28515625" hidden="1" customWidth="1"/>
    <col min="97" max="97" width="14.42578125" hidden="1" customWidth="1"/>
    <col min="98" max="98" width="9.42578125" hidden="1" customWidth="1"/>
    <col min="99" max="99" width="17.7109375" hidden="1" customWidth="1"/>
    <col min="100" max="100" width="9.28515625" hidden="1" customWidth="1"/>
    <col min="101" max="101" width="14.42578125" hidden="1" customWidth="1"/>
    <col min="102" max="102" width="8.140625" hidden="1" customWidth="1"/>
    <col min="103" max="103" width="12.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3.7109375" customWidth="1"/>
    <col min="116" max="116" width="8.140625" customWidth="1"/>
    <col min="117" max="117" width="13.140625" customWidth="1"/>
    <col min="118" max="118" width="8.140625" customWidth="1"/>
    <col min="119" max="119" width="13.28515625" hidden="1" customWidth="1"/>
    <col min="120" max="120" width="8.85546875" hidden="1" customWidth="1"/>
    <col min="121" max="121" width="15.28515625" hidden="1" customWidth="1"/>
    <col min="122" max="122" width="7.7109375" hidden="1" customWidth="1"/>
    <col min="123" max="123" width="10.28515625" hidden="1" customWidth="1"/>
    <col min="124" max="124" width="8.140625" hidden="1" customWidth="1"/>
    <col min="125" max="125" width="11.425781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2.140625" hidden="1" customWidth="1"/>
    <col min="132" max="132" width="7.7109375" hidden="1" customWidth="1"/>
    <col min="133" max="133" width="12.140625" hidden="1" customWidth="1"/>
    <col min="134" max="134" width="7.7109375" hidden="1" customWidth="1"/>
    <col min="135" max="135" width="11.5703125" customWidth="1"/>
    <col min="136" max="136" width="12.28515625" customWidth="1"/>
    <col min="137" max="137" width="11.5703125" customWidth="1"/>
    <col min="138" max="138" width="8" customWidth="1"/>
    <col min="139" max="139" width="11.5703125" hidden="1" customWidth="1"/>
    <col min="140" max="140" width="12.28515625" hidden="1" customWidth="1"/>
    <col min="141" max="141" width="11.5703125" hidden="1" customWidth="1"/>
    <col min="142" max="142" width="8" hidden="1" customWidth="1"/>
    <col min="143" max="143" width="11.5703125" hidden="1" customWidth="1"/>
    <col min="144" max="144" width="12.28515625" hidden="1" customWidth="1"/>
    <col min="145" max="145" width="11.5703125" hidden="1" customWidth="1"/>
    <col min="146" max="146" width="8" hidden="1" customWidth="1"/>
    <col min="147" max="147" width="11.5703125" hidden="1" customWidth="1"/>
    <col min="148" max="148" width="12.28515625" hidden="1" customWidth="1"/>
    <col min="149" max="149" width="11.5703125" hidden="1" customWidth="1"/>
    <col min="150" max="150" width="8" hidden="1" customWidth="1"/>
    <col min="151" max="151" width="11.5703125" hidden="1" customWidth="1"/>
    <col min="152" max="152" width="12.28515625" hidden="1" customWidth="1"/>
    <col min="153" max="153" width="11.5703125" hidden="1" customWidth="1"/>
    <col min="154" max="154" width="8" hidden="1" customWidth="1"/>
    <col min="155" max="155" width="11.5703125" hidden="1" customWidth="1"/>
    <col min="156" max="156" width="12.28515625" hidden="1" customWidth="1"/>
    <col min="157" max="157" width="11.5703125" hidden="1" customWidth="1"/>
    <col min="158" max="158" width="8" hidden="1" customWidth="1"/>
    <col min="159" max="159" width="11.5703125" hidden="1" customWidth="1"/>
    <col min="160" max="160" width="12.28515625" hidden="1" customWidth="1"/>
    <col min="161" max="161" width="11.5703125" hidden="1" customWidth="1"/>
    <col min="162" max="162" width="8" hidden="1" customWidth="1"/>
    <col min="163" max="163" width="11.5703125" hidden="1" customWidth="1"/>
    <col min="164" max="164" width="12.28515625" hidden="1" customWidth="1"/>
    <col min="165" max="165" width="11.5703125" hidden="1" customWidth="1"/>
    <col min="166" max="166" width="8" hidden="1" customWidth="1"/>
    <col min="167" max="167" width="11.5703125" customWidth="1"/>
    <col min="168" max="168" width="12.28515625" customWidth="1"/>
    <col min="169" max="169" width="11.5703125" customWidth="1"/>
    <col min="170" max="170" width="8" customWidth="1"/>
    <col min="171" max="171" width="11.5703125" customWidth="1"/>
    <col min="172" max="172" width="12.28515625" customWidth="1"/>
    <col min="173" max="173" width="11.5703125" customWidth="1"/>
    <col min="174" max="174" width="8" customWidth="1"/>
    <col min="175" max="175" width="11.5703125" customWidth="1"/>
    <col min="176" max="176" width="12.28515625" customWidth="1"/>
    <col min="177" max="177" width="11.5703125" customWidth="1"/>
    <col min="178" max="178" width="8" customWidth="1"/>
    <col min="179" max="179" width="17.7109375" bestFit="1" customWidth="1"/>
    <col min="180" max="180" width="14.42578125" bestFit="1" customWidth="1"/>
    <col min="181" max="181" width="8.85546875" bestFit="1" customWidth="1"/>
    <col min="182" max="182" width="10.28515625" bestFit="1" customWidth="1"/>
    <col min="183" max="183" width="13.28515625" hidden="1" customWidth="1"/>
    <col min="184" max="184" width="10.42578125" hidden="1" customWidth="1"/>
    <col min="185" max="185" width="9.140625" hidden="1" customWidth="1"/>
    <col min="186" max="186" width="15.42578125" customWidth="1"/>
    <col min="187" max="187" width="10.42578125" bestFit="1" customWidth="1"/>
    <col min="190" max="190" width="10.42578125" bestFit="1" customWidth="1"/>
  </cols>
  <sheetData>
    <row r="1" spans="1:186" ht="15.75">
      <c r="A1" s="150"/>
      <c r="F1">
        <v>3</v>
      </c>
      <c r="CP1" s="4"/>
      <c r="CU1" s="251"/>
    </row>
    <row r="2" spans="1:186" ht="15.75">
      <c r="A2" s="150"/>
      <c r="CU2" s="251"/>
      <c r="CY2" s="20"/>
    </row>
    <row r="3" spans="1:186" ht="15">
      <c r="A3" s="152"/>
      <c r="CU3" s="251"/>
    </row>
    <row r="4" spans="1:186" ht="14.25" customHeight="1">
      <c r="A4" s="153" t="s">
        <v>237</v>
      </c>
      <c r="G4" s="14"/>
      <c r="AV4" s="20"/>
      <c r="AY4" s="14"/>
      <c r="CQ4" s="14"/>
      <c r="CU4" s="251"/>
      <c r="DP4" s="20"/>
    </row>
    <row r="5" spans="1:186" ht="15.75" hidden="1" customHeight="1">
      <c r="A5" s="153"/>
      <c r="G5" s="14"/>
      <c r="AY5" s="14"/>
      <c r="CQ5" s="14"/>
      <c r="CU5" s="14"/>
    </row>
    <row r="6" spans="1:186" ht="18" hidden="1" customHeight="1">
      <c r="A6" s="252"/>
      <c r="CQ6" s="14"/>
      <c r="CU6" s="14"/>
      <c r="EF6" s="14"/>
      <c r="EG6" s="14"/>
      <c r="EH6" s="14"/>
      <c r="EJ6" s="14"/>
      <c r="EK6" s="14"/>
      <c r="EL6" s="14"/>
      <c r="EN6" s="14"/>
      <c r="EO6" s="14"/>
      <c r="EP6" s="14"/>
      <c r="ER6" s="14"/>
      <c r="ES6" s="14"/>
      <c r="ET6" s="14"/>
      <c r="EV6" s="14"/>
      <c r="EW6" s="14"/>
      <c r="EX6" s="14"/>
      <c r="EZ6" s="14"/>
      <c r="FA6" s="14"/>
      <c r="FB6" s="14"/>
      <c r="FD6" s="14"/>
      <c r="FE6" s="14"/>
      <c r="FF6" s="14"/>
      <c r="FH6" s="14"/>
      <c r="FI6" s="14"/>
      <c r="FJ6" s="14"/>
      <c r="FL6" s="14"/>
      <c r="FM6" s="14"/>
      <c r="FN6" s="14"/>
      <c r="FP6" s="14"/>
      <c r="FQ6" s="14"/>
      <c r="FR6" s="14"/>
      <c r="FT6" s="14"/>
      <c r="FU6" s="14"/>
      <c r="FV6" s="14"/>
      <c r="FX6" s="14"/>
    </row>
    <row r="7" spans="1:186" ht="16.5" thickBot="1">
      <c r="A7" s="253"/>
      <c r="B7" s="253"/>
      <c r="C7" s="253"/>
      <c r="D7" s="253"/>
      <c r="E7" s="253"/>
      <c r="F7" s="253"/>
      <c r="G7">
        <v>214.10599999999999</v>
      </c>
      <c r="K7">
        <v>250</v>
      </c>
      <c r="O7">
        <v>228.40600000000001</v>
      </c>
      <c r="S7">
        <v>230.04499999999999</v>
      </c>
      <c r="W7">
        <v>250</v>
      </c>
      <c r="AA7">
        <v>230.35</v>
      </c>
      <c r="BG7">
        <v>200.64</v>
      </c>
      <c r="BK7" s="253"/>
      <c r="BL7" s="253"/>
      <c r="BM7" s="253"/>
      <c r="BN7" s="253"/>
      <c r="BO7" s="253"/>
      <c r="BP7" s="253"/>
      <c r="BQ7" s="253"/>
      <c r="BR7" s="253"/>
      <c r="BS7" s="253"/>
      <c r="BT7" s="253"/>
      <c r="BU7" s="253"/>
      <c r="BV7" s="253"/>
      <c r="BW7" s="253"/>
      <c r="BX7" s="253"/>
      <c r="BY7" s="254"/>
      <c r="BZ7" s="254"/>
      <c r="CA7" s="253"/>
      <c r="CB7" s="253"/>
      <c r="CC7" s="253"/>
      <c r="CD7" s="253"/>
      <c r="CE7" s="253">
        <v>250</v>
      </c>
      <c r="CF7" s="253"/>
      <c r="CG7" s="253"/>
      <c r="CH7" s="253"/>
      <c r="CI7" s="412">
        <v>251.43899999999999</v>
      </c>
      <c r="CQ7" s="253">
        <v>250.83</v>
      </c>
      <c r="CR7" s="253"/>
      <c r="CS7" s="253"/>
      <c r="CT7" s="253"/>
      <c r="CU7" s="253">
        <v>246.74</v>
      </c>
      <c r="CV7" s="253"/>
      <c r="CW7" s="253"/>
      <c r="CX7" s="253"/>
      <c r="CY7" s="253">
        <v>250</v>
      </c>
      <c r="CZ7" s="253"/>
      <c r="DA7" s="253"/>
      <c r="DB7" s="253"/>
      <c r="DC7">
        <v>248.881</v>
      </c>
      <c r="DD7" s="253"/>
      <c r="DE7" s="253"/>
      <c r="DF7" s="253"/>
      <c r="DJ7" s="253"/>
      <c r="DK7" s="253"/>
      <c r="DL7" s="253"/>
      <c r="DM7" s="253"/>
      <c r="DN7" s="253"/>
      <c r="DO7" s="253"/>
      <c r="DP7" s="253"/>
      <c r="DQ7" s="253"/>
      <c r="DR7" s="253"/>
      <c r="DS7" s="253"/>
      <c r="DT7" s="253"/>
      <c r="DU7" s="253"/>
      <c r="DV7" s="253"/>
      <c r="DW7" s="253"/>
      <c r="DX7" s="253"/>
      <c r="DY7" s="253"/>
      <c r="DZ7" s="253"/>
      <c r="EA7" s="253">
        <v>250</v>
      </c>
      <c r="EB7" s="253"/>
      <c r="EC7" s="253"/>
      <c r="ED7" s="253"/>
      <c r="EE7" s="254"/>
      <c r="EF7" s="254"/>
      <c r="EG7" s="253"/>
      <c r="EH7" s="253"/>
      <c r="EI7" s="254"/>
      <c r="EJ7" s="254"/>
      <c r="EK7" s="253"/>
      <c r="EL7" s="253"/>
      <c r="EM7" s="254"/>
      <c r="EN7" s="254"/>
      <c r="EO7" s="253"/>
      <c r="EP7" s="253"/>
      <c r="EQ7" s="254"/>
      <c r="ER7" s="254"/>
      <c r="ES7" s="253"/>
      <c r="ET7" s="253"/>
      <c r="EU7" s="254"/>
      <c r="EV7" s="254"/>
      <c r="EW7" s="253"/>
      <c r="EX7" s="253"/>
      <c r="EY7" s="254"/>
      <c r="EZ7" s="254"/>
      <c r="FA7" s="253"/>
      <c r="FB7" s="253"/>
      <c r="FC7" s="254"/>
      <c r="FD7" s="254"/>
      <c r="FE7" s="253"/>
      <c r="FF7" s="253"/>
      <c r="FG7" s="254"/>
      <c r="FH7" s="254"/>
      <c r="FI7" s="253"/>
      <c r="FJ7" s="253"/>
      <c r="FK7" s="254"/>
      <c r="FL7" s="254"/>
      <c r="FM7" s="253"/>
      <c r="FN7" s="253"/>
      <c r="FO7" s="254"/>
      <c r="FP7" s="254"/>
      <c r="FQ7" s="253"/>
      <c r="FR7" s="253"/>
      <c r="FS7" s="254"/>
      <c r="FT7" s="254"/>
      <c r="FU7" s="253"/>
      <c r="FV7" s="253"/>
      <c r="FW7" s="253"/>
      <c r="FX7" s="253"/>
      <c r="FY7" s="253"/>
      <c r="FZ7" s="253"/>
    </row>
    <row r="8" spans="1:186" ht="38.25" customHeight="1" thickTop="1">
      <c r="A8" s="754" t="s">
        <v>31</v>
      </c>
      <c r="B8" s="754" t="s">
        <v>5</v>
      </c>
      <c r="C8" s="754" t="s">
        <v>6</v>
      </c>
      <c r="D8" s="758" t="s">
        <v>43</v>
      </c>
      <c r="E8" s="760" t="s">
        <v>41</v>
      </c>
      <c r="F8" s="761"/>
      <c r="G8" s="755" t="s">
        <v>405</v>
      </c>
      <c r="H8" s="756"/>
      <c r="I8" s="756"/>
      <c r="J8" s="757"/>
      <c r="K8" s="737" t="s">
        <v>392</v>
      </c>
      <c r="L8" s="738"/>
      <c r="M8" s="738"/>
      <c r="N8" s="739"/>
      <c r="O8" s="762" t="s">
        <v>393</v>
      </c>
      <c r="P8" s="763"/>
      <c r="Q8" s="763"/>
      <c r="R8" s="764"/>
      <c r="S8" s="737" t="s">
        <v>394</v>
      </c>
      <c r="T8" s="738"/>
      <c r="U8" s="738"/>
      <c r="V8" s="739"/>
      <c r="W8" s="737" t="s">
        <v>391</v>
      </c>
      <c r="X8" s="738"/>
      <c r="Y8" s="738"/>
      <c r="Z8" s="739"/>
      <c r="AA8" s="737" t="s">
        <v>437</v>
      </c>
      <c r="AB8" s="738"/>
      <c r="AC8" s="738"/>
      <c r="AD8" s="739"/>
      <c r="AE8" s="737" t="s">
        <v>102</v>
      </c>
      <c r="AF8" s="738"/>
      <c r="AG8" s="738"/>
      <c r="AH8" s="739"/>
      <c r="AI8" s="737" t="s">
        <v>45</v>
      </c>
      <c r="AJ8" s="738"/>
      <c r="AK8" s="738"/>
      <c r="AL8" s="739"/>
      <c r="AM8" s="737" t="s">
        <v>46</v>
      </c>
      <c r="AN8" s="738"/>
      <c r="AO8" s="738"/>
      <c r="AP8" s="739"/>
      <c r="AQ8" s="737" t="s">
        <v>47</v>
      </c>
      <c r="AR8" s="738"/>
      <c r="AS8" s="738"/>
      <c r="AT8" s="739"/>
      <c r="AU8" s="737" t="s">
        <v>48</v>
      </c>
      <c r="AV8" s="738"/>
      <c r="AW8" s="738"/>
      <c r="AX8" s="739"/>
      <c r="AY8" s="737" t="s">
        <v>49</v>
      </c>
      <c r="AZ8" s="738"/>
      <c r="BA8" s="738"/>
      <c r="BB8" s="739"/>
      <c r="BC8" s="737" t="s">
        <v>50</v>
      </c>
      <c r="BD8" s="738"/>
      <c r="BE8" s="738"/>
      <c r="BF8" s="739"/>
      <c r="BG8" s="737" t="s">
        <v>51</v>
      </c>
      <c r="BH8" s="738"/>
      <c r="BI8" s="738"/>
      <c r="BJ8" s="739"/>
      <c r="BK8" s="737" t="s">
        <v>44</v>
      </c>
      <c r="BL8" s="738"/>
      <c r="BM8" s="738"/>
      <c r="BN8" s="739"/>
      <c r="BO8" s="737" t="s">
        <v>52</v>
      </c>
      <c r="BP8" s="738"/>
      <c r="BQ8" s="738"/>
      <c r="BR8" s="739"/>
      <c r="BS8" s="737" t="s">
        <v>53</v>
      </c>
      <c r="BT8" s="738"/>
      <c r="BU8" s="738"/>
      <c r="BV8" s="739"/>
      <c r="BW8" s="737" t="s">
        <v>54</v>
      </c>
      <c r="BX8" s="738"/>
      <c r="BY8" s="738"/>
      <c r="BZ8" s="738"/>
      <c r="CA8" s="737" t="s">
        <v>408</v>
      </c>
      <c r="CB8" s="738"/>
      <c r="CC8" s="738"/>
      <c r="CD8" s="739"/>
      <c r="CE8" s="737" t="s">
        <v>239</v>
      </c>
      <c r="CF8" s="738"/>
      <c r="CG8" s="738"/>
      <c r="CH8" s="738"/>
      <c r="CI8" s="743" t="s">
        <v>240</v>
      </c>
      <c r="CJ8" s="744"/>
      <c r="CK8" s="744"/>
      <c r="CL8" s="745"/>
      <c r="CM8" s="743" t="s">
        <v>55</v>
      </c>
      <c r="CN8" s="744"/>
      <c r="CO8" s="744"/>
      <c r="CP8" s="745"/>
      <c r="CQ8" s="746" t="s">
        <v>196</v>
      </c>
      <c r="CR8" s="746"/>
      <c r="CS8" s="746"/>
      <c r="CT8" s="747"/>
      <c r="CU8" s="751" t="s">
        <v>406</v>
      </c>
      <c r="CV8" s="752"/>
      <c r="CW8" s="752"/>
      <c r="CX8" s="753"/>
      <c r="CY8" s="748" t="s">
        <v>236</v>
      </c>
      <c r="CZ8" s="749"/>
      <c r="DA8" s="749"/>
      <c r="DB8" s="750"/>
      <c r="DC8" s="740" t="s">
        <v>407</v>
      </c>
      <c r="DD8" s="741"/>
      <c r="DE8" s="741"/>
      <c r="DF8" s="742"/>
      <c r="DG8" s="737" t="s">
        <v>56</v>
      </c>
      <c r="DH8" s="738"/>
      <c r="DI8" s="738"/>
      <c r="DJ8" s="739"/>
      <c r="DK8" s="737" t="s">
        <v>101</v>
      </c>
      <c r="DL8" s="738"/>
      <c r="DM8" s="738"/>
      <c r="DN8" s="739"/>
      <c r="DO8" s="737"/>
      <c r="DP8" s="738"/>
      <c r="DQ8" s="738"/>
      <c r="DR8" s="739"/>
      <c r="DS8" s="737"/>
      <c r="DT8" s="738"/>
      <c r="DU8" s="738"/>
      <c r="DV8" s="739"/>
      <c r="DW8" s="737"/>
      <c r="DX8" s="738"/>
      <c r="DY8" s="738"/>
      <c r="DZ8" s="739"/>
      <c r="EA8" s="737" t="s">
        <v>439</v>
      </c>
      <c r="EB8" s="738"/>
      <c r="EC8" s="738"/>
      <c r="ED8" s="739"/>
      <c r="EE8" s="737" t="s">
        <v>438</v>
      </c>
      <c r="EF8" s="738"/>
      <c r="EG8" s="738"/>
      <c r="EH8" s="738"/>
      <c r="EI8" s="737" t="s">
        <v>722</v>
      </c>
      <c r="EJ8" s="738"/>
      <c r="EK8" s="738"/>
      <c r="EL8" s="738"/>
      <c r="EM8" s="737" t="s">
        <v>723</v>
      </c>
      <c r="EN8" s="738"/>
      <c r="EO8" s="738"/>
      <c r="EP8" s="738"/>
      <c r="EQ8" s="737" t="s">
        <v>724</v>
      </c>
      <c r="ER8" s="738"/>
      <c r="ES8" s="738"/>
      <c r="ET8" s="738"/>
      <c r="EU8" s="737" t="s">
        <v>725</v>
      </c>
      <c r="EV8" s="738"/>
      <c r="EW8" s="738"/>
      <c r="EX8" s="738"/>
      <c r="EY8" s="737" t="s">
        <v>750</v>
      </c>
      <c r="EZ8" s="738"/>
      <c r="FA8" s="738"/>
      <c r="FB8" s="738"/>
      <c r="FC8" s="737" t="s">
        <v>749</v>
      </c>
      <c r="FD8" s="738"/>
      <c r="FE8" s="738"/>
      <c r="FF8" s="738"/>
      <c r="FG8" s="737" t="s">
        <v>748</v>
      </c>
      <c r="FH8" s="738"/>
      <c r="FI8" s="738"/>
      <c r="FJ8" s="738"/>
      <c r="FK8" s="737" t="s">
        <v>721</v>
      </c>
      <c r="FL8" s="738"/>
      <c r="FM8" s="738"/>
      <c r="FN8" s="738"/>
      <c r="FO8" s="737" t="s">
        <v>471</v>
      </c>
      <c r="FP8" s="738"/>
      <c r="FQ8" s="738"/>
      <c r="FR8" s="738"/>
      <c r="FS8" s="737" t="s">
        <v>644</v>
      </c>
      <c r="FT8" s="738"/>
      <c r="FU8" s="738"/>
      <c r="FV8" s="738"/>
      <c r="FW8" s="737" t="s">
        <v>57</v>
      </c>
      <c r="FX8" s="739"/>
      <c r="FY8" s="737" t="s">
        <v>58</v>
      </c>
      <c r="FZ8" s="739"/>
      <c r="GA8" s="453" t="s">
        <v>288</v>
      </c>
      <c r="GB8" s="735" t="s">
        <v>289</v>
      </c>
      <c r="GC8" s="735"/>
      <c r="GD8" s="736" t="s">
        <v>290</v>
      </c>
    </row>
    <row r="9" spans="1:186">
      <c r="A9" s="611"/>
      <c r="B9" s="611"/>
      <c r="C9" s="611"/>
      <c r="D9" s="759"/>
      <c r="E9" s="2" t="s">
        <v>39</v>
      </c>
      <c r="F9" s="451" t="s">
        <v>40</v>
      </c>
      <c r="G9" s="9" t="s">
        <v>39</v>
      </c>
      <c r="H9" s="9" t="s">
        <v>12</v>
      </c>
      <c r="I9" s="452" t="s">
        <v>40</v>
      </c>
      <c r="J9" s="452" t="s">
        <v>12</v>
      </c>
      <c r="K9" s="9" t="s">
        <v>39</v>
      </c>
      <c r="L9" s="9" t="s">
        <v>12</v>
      </c>
      <c r="M9" s="452" t="s">
        <v>40</v>
      </c>
      <c r="N9" s="452" t="s">
        <v>12</v>
      </c>
      <c r="O9" s="9" t="s">
        <v>39</v>
      </c>
      <c r="P9" s="9" t="s">
        <v>12</v>
      </c>
      <c r="Q9" s="452" t="s">
        <v>40</v>
      </c>
      <c r="R9" s="452" t="s">
        <v>12</v>
      </c>
      <c r="S9" s="9" t="s">
        <v>39</v>
      </c>
      <c r="T9" s="9" t="s">
        <v>12</v>
      </c>
      <c r="U9" s="452" t="s">
        <v>40</v>
      </c>
      <c r="V9" s="452" t="s">
        <v>12</v>
      </c>
      <c r="W9" s="9" t="s">
        <v>39</v>
      </c>
      <c r="X9" s="9" t="s">
        <v>12</v>
      </c>
      <c r="Y9" s="452" t="s">
        <v>40</v>
      </c>
      <c r="Z9" s="452" t="s">
        <v>12</v>
      </c>
      <c r="AA9" s="9" t="s">
        <v>39</v>
      </c>
      <c r="AB9" s="9" t="s">
        <v>12</v>
      </c>
      <c r="AC9" s="452" t="s">
        <v>40</v>
      </c>
      <c r="AD9" s="452" t="s">
        <v>12</v>
      </c>
      <c r="AE9" s="9" t="s">
        <v>39</v>
      </c>
      <c r="AF9" s="9" t="s">
        <v>12</v>
      </c>
      <c r="AG9" s="452" t="s">
        <v>40</v>
      </c>
      <c r="AH9" s="452" t="s">
        <v>12</v>
      </c>
      <c r="AI9" s="452" t="s">
        <v>39</v>
      </c>
      <c r="AJ9" s="452" t="s">
        <v>12</v>
      </c>
      <c r="AK9" s="452" t="s">
        <v>40</v>
      </c>
      <c r="AL9" s="452" t="s">
        <v>12</v>
      </c>
      <c r="AM9" s="452" t="s">
        <v>39</v>
      </c>
      <c r="AN9" s="452" t="s">
        <v>12</v>
      </c>
      <c r="AO9" s="452" t="s">
        <v>40</v>
      </c>
      <c r="AP9" s="452" t="s">
        <v>12</v>
      </c>
      <c r="AQ9" s="452" t="s">
        <v>39</v>
      </c>
      <c r="AR9" s="452" t="s">
        <v>12</v>
      </c>
      <c r="AS9" s="452" t="s">
        <v>40</v>
      </c>
      <c r="AT9" s="452" t="s">
        <v>12</v>
      </c>
      <c r="AU9" s="452" t="s">
        <v>39</v>
      </c>
      <c r="AV9" s="452" t="s">
        <v>12</v>
      </c>
      <c r="AW9" s="452" t="s">
        <v>40</v>
      </c>
      <c r="AX9" s="452" t="s">
        <v>12</v>
      </c>
      <c r="AY9" s="452" t="s">
        <v>39</v>
      </c>
      <c r="AZ9" s="452" t="s">
        <v>12</v>
      </c>
      <c r="BA9" s="452" t="s">
        <v>40</v>
      </c>
      <c r="BB9" s="452" t="s">
        <v>12</v>
      </c>
      <c r="BC9" s="452" t="s">
        <v>39</v>
      </c>
      <c r="BD9" s="452" t="s">
        <v>12</v>
      </c>
      <c r="BE9" s="452" t="s">
        <v>40</v>
      </c>
      <c r="BF9" s="452" t="s">
        <v>12</v>
      </c>
      <c r="BG9" s="452" t="s">
        <v>39</v>
      </c>
      <c r="BH9" s="452" t="s">
        <v>12</v>
      </c>
      <c r="BI9" s="452" t="s">
        <v>40</v>
      </c>
      <c r="BJ9" s="452" t="s">
        <v>12</v>
      </c>
      <c r="BK9" s="452" t="s">
        <v>39</v>
      </c>
      <c r="BL9" s="452" t="s">
        <v>12</v>
      </c>
      <c r="BM9" s="452" t="s">
        <v>40</v>
      </c>
      <c r="BN9" s="452" t="s">
        <v>12</v>
      </c>
      <c r="BO9" s="452" t="s">
        <v>39</v>
      </c>
      <c r="BP9" s="452" t="s">
        <v>12</v>
      </c>
      <c r="BQ9" s="452" t="s">
        <v>40</v>
      </c>
      <c r="BR9" s="452" t="s">
        <v>12</v>
      </c>
      <c r="BS9" s="452" t="s">
        <v>39</v>
      </c>
      <c r="BT9" s="452" t="s">
        <v>12</v>
      </c>
      <c r="BU9" s="452" t="s">
        <v>40</v>
      </c>
      <c r="BV9" s="452" t="s">
        <v>12</v>
      </c>
      <c r="BW9" s="452" t="s">
        <v>39</v>
      </c>
      <c r="BX9" s="452" t="s">
        <v>12</v>
      </c>
      <c r="BY9" s="452" t="s">
        <v>40</v>
      </c>
      <c r="BZ9" s="452" t="s">
        <v>12</v>
      </c>
      <c r="CA9" s="452" t="s">
        <v>39</v>
      </c>
      <c r="CB9" s="452" t="s">
        <v>12</v>
      </c>
      <c r="CC9" s="452" t="s">
        <v>40</v>
      </c>
      <c r="CD9" s="452" t="s">
        <v>12</v>
      </c>
      <c r="CE9" s="452" t="s">
        <v>39</v>
      </c>
      <c r="CF9" s="452" t="s">
        <v>12</v>
      </c>
      <c r="CG9" s="452" t="s">
        <v>40</v>
      </c>
      <c r="CH9" s="452" t="s">
        <v>12</v>
      </c>
      <c r="CI9" s="452" t="s">
        <v>39</v>
      </c>
      <c r="CJ9" s="452" t="s">
        <v>12</v>
      </c>
      <c r="CK9" s="452" t="s">
        <v>40</v>
      </c>
      <c r="CL9" s="452" t="s">
        <v>12</v>
      </c>
      <c r="CM9" s="452" t="s">
        <v>39</v>
      </c>
      <c r="CN9" s="452" t="s">
        <v>12</v>
      </c>
      <c r="CO9" s="452" t="s">
        <v>40</v>
      </c>
      <c r="CP9" s="452" t="s">
        <v>12</v>
      </c>
      <c r="CQ9" s="452" t="s">
        <v>39</v>
      </c>
      <c r="CR9" s="452" t="s">
        <v>12</v>
      </c>
      <c r="CS9" s="452" t="s">
        <v>40</v>
      </c>
      <c r="CT9" s="452" t="s">
        <v>12</v>
      </c>
      <c r="CU9" s="452" t="s">
        <v>39</v>
      </c>
      <c r="CV9" s="452" t="s">
        <v>12</v>
      </c>
      <c r="CW9" s="452" t="s">
        <v>40</v>
      </c>
      <c r="CX9" s="452" t="s">
        <v>12</v>
      </c>
      <c r="CY9" s="452" t="s">
        <v>39</v>
      </c>
      <c r="CZ9" s="452" t="s">
        <v>12</v>
      </c>
      <c r="DA9" s="452" t="s">
        <v>40</v>
      </c>
      <c r="DB9" s="452" t="s">
        <v>12</v>
      </c>
      <c r="DC9" s="452" t="s">
        <v>39</v>
      </c>
      <c r="DD9" s="452" t="s">
        <v>12</v>
      </c>
      <c r="DE9" s="452" t="s">
        <v>40</v>
      </c>
      <c r="DF9" s="452" t="s">
        <v>12</v>
      </c>
      <c r="DG9" s="452" t="s">
        <v>39</v>
      </c>
      <c r="DH9" s="452" t="s">
        <v>12</v>
      </c>
      <c r="DI9" s="452" t="s">
        <v>40</v>
      </c>
      <c r="DJ9" s="452" t="s">
        <v>12</v>
      </c>
      <c r="DK9" s="452" t="s">
        <v>39</v>
      </c>
      <c r="DL9" s="452" t="s">
        <v>12</v>
      </c>
      <c r="DM9" s="452" t="s">
        <v>40</v>
      </c>
      <c r="DN9" s="452" t="s">
        <v>12</v>
      </c>
      <c r="DO9" s="452" t="s">
        <v>39</v>
      </c>
      <c r="DP9" s="452" t="s">
        <v>12</v>
      </c>
      <c r="DQ9" s="452" t="s">
        <v>40</v>
      </c>
      <c r="DR9" s="452" t="s">
        <v>12</v>
      </c>
      <c r="DS9" s="452" t="s">
        <v>39</v>
      </c>
      <c r="DT9" s="452" t="s">
        <v>12</v>
      </c>
      <c r="DU9" s="452" t="s">
        <v>40</v>
      </c>
      <c r="DV9" s="452" t="s">
        <v>12</v>
      </c>
      <c r="DW9" s="452" t="s">
        <v>39</v>
      </c>
      <c r="DX9" s="452" t="s">
        <v>12</v>
      </c>
      <c r="DY9" s="452" t="s">
        <v>40</v>
      </c>
      <c r="DZ9" s="452" t="s">
        <v>12</v>
      </c>
      <c r="EA9" s="452" t="s">
        <v>39</v>
      </c>
      <c r="EB9" s="452" t="s">
        <v>12</v>
      </c>
      <c r="EC9" s="452" t="s">
        <v>40</v>
      </c>
      <c r="ED9" s="452" t="s">
        <v>12</v>
      </c>
      <c r="EE9" s="452" t="s">
        <v>39</v>
      </c>
      <c r="EF9" s="452" t="s">
        <v>12</v>
      </c>
      <c r="EG9" s="452" t="s">
        <v>40</v>
      </c>
      <c r="EH9" s="452" t="s">
        <v>12</v>
      </c>
      <c r="EI9" s="452" t="s">
        <v>39</v>
      </c>
      <c r="EJ9" s="452" t="s">
        <v>12</v>
      </c>
      <c r="EK9" s="452" t="s">
        <v>40</v>
      </c>
      <c r="EL9" s="452" t="s">
        <v>12</v>
      </c>
      <c r="EM9" s="452" t="s">
        <v>39</v>
      </c>
      <c r="EN9" s="452" t="s">
        <v>12</v>
      </c>
      <c r="EO9" s="452" t="s">
        <v>40</v>
      </c>
      <c r="EP9" s="452" t="s">
        <v>12</v>
      </c>
      <c r="EQ9" s="452" t="s">
        <v>39</v>
      </c>
      <c r="ER9" s="452" t="s">
        <v>12</v>
      </c>
      <c r="ES9" s="452" t="s">
        <v>40</v>
      </c>
      <c r="ET9" s="452" t="s">
        <v>12</v>
      </c>
      <c r="EU9" s="452" t="s">
        <v>39</v>
      </c>
      <c r="EV9" s="452" t="s">
        <v>12</v>
      </c>
      <c r="EW9" s="452" t="s">
        <v>40</v>
      </c>
      <c r="EX9" s="452" t="s">
        <v>12</v>
      </c>
      <c r="EY9" s="596" t="s">
        <v>39</v>
      </c>
      <c r="EZ9" s="596" t="s">
        <v>12</v>
      </c>
      <c r="FA9" s="596" t="s">
        <v>40</v>
      </c>
      <c r="FB9" s="596" t="s">
        <v>12</v>
      </c>
      <c r="FC9" s="596" t="s">
        <v>39</v>
      </c>
      <c r="FD9" s="596" t="s">
        <v>12</v>
      </c>
      <c r="FE9" s="596" t="s">
        <v>40</v>
      </c>
      <c r="FF9" s="596" t="s">
        <v>12</v>
      </c>
      <c r="FG9" s="596" t="s">
        <v>39</v>
      </c>
      <c r="FH9" s="596" t="s">
        <v>12</v>
      </c>
      <c r="FI9" s="596" t="s">
        <v>40</v>
      </c>
      <c r="FJ9" s="596" t="s">
        <v>12</v>
      </c>
      <c r="FK9" s="452" t="s">
        <v>39</v>
      </c>
      <c r="FL9" s="452" t="s">
        <v>12</v>
      </c>
      <c r="FM9" s="452" t="s">
        <v>40</v>
      </c>
      <c r="FN9" s="452" t="s">
        <v>12</v>
      </c>
      <c r="FO9" s="452" t="s">
        <v>39</v>
      </c>
      <c r="FP9" s="452" t="s">
        <v>12</v>
      </c>
      <c r="FQ9" s="452" t="s">
        <v>40</v>
      </c>
      <c r="FR9" s="452" t="s">
        <v>12</v>
      </c>
      <c r="FS9" s="452" t="s">
        <v>39</v>
      </c>
      <c r="FT9" s="452" t="s">
        <v>12</v>
      </c>
      <c r="FU9" s="452" t="s">
        <v>40</v>
      </c>
      <c r="FV9" s="452" t="s">
        <v>12</v>
      </c>
      <c r="FW9" s="452" t="s">
        <v>39</v>
      </c>
      <c r="FX9" s="452" t="s">
        <v>40</v>
      </c>
      <c r="FY9" s="452" t="s">
        <v>39</v>
      </c>
      <c r="FZ9" s="452" t="s">
        <v>40</v>
      </c>
      <c r="GA9" s="6"/>
      <c r="GB9" s="452" t="s">
        <v>39</v>
      </c>
      <c r="GC9" s="454" t="s">
        <v>40</v>
      </c>
      <c r="GD9" s="736"/>
    </row>
    <row r="10" spans="1:186">
      <c r="A10" s="16">
        <f>+Chem!A10</f>
        <v>45839</v>
      </c>
      <c r="B10" s="6" t="str">
        <f>+Chem!B10</f>
        <v>Facial</v>
      </c>
      <c r="C10" s="16" t="str">
        <f>+Chem!C10</f>
        <v>12/11,5</v>
      </c>
      <c r="D10" s="8">
        <f>+Chem!D10</f>
        <v>26.224999999999998</v>
      </c>
      <c r="E10" s="7">
        <f>+Chem!E10</f>
        <v>20.062000000000001</v>
      </c>
      <c r="F10" s="7">
        <f>+E10</f>
        <v>20.062000000000001</v>
      </c>
      <c r="G10" s="99"/>
      <c r="H10" s="89">
        <f t="shared" ref="H10:H39" si="0">G10/FW10*100</f>
        <v>0</v>
      </c>
      <c r="I10" s="8">
        <f>G10</f>
        <v>0</v>
      </c>
      <c r="J10" s="89">
        <f t="shared" ref="J10:J39" si="1">I10/FX10*100</f>
        <v>0</v>
      </c>
      <c r="K10" s="99"/>
      <c r="L10" s="89">
        <f t="shared" ref="L10:L39" si="2">+K10/FW10*100</f>
        <v>0</v>
      </c>
      <c r="M10" s="89">
        <f>+K10</f>
        <v>0</v>
      </c>
      <c r="N10" s="89">
        <f t="shared" ref="N10:N39" si="3">+M10/FX10*100</f>
        <v>0</v>
      </c>
      <c r="O10" s="99"/>
      <c r="P10" s="89">
        <f t="shared" ref="P10:P39" si="4">+O10/FW10*100</f>
        <v>0</v>
      </c>
      <c r="Q10" s="89">
        <f>+O10</f>
        <v>0</v>
      </c>
      <c r="R10" s="89">
        <f t="shared" ref="R10:R39" si="5">+Q10/FX10*100</f>
        <v>0</v>
      </c>
      <c r="S10" s="99"/>
      <c r="T10" s="89">
        <f t="shared" ref="T10:T39" si="6">+S10/FW10*100</f>
        <v>0</v>
      </c>
      <c r="U10" s="89">
        <f>+S10</f>
        <v>0</v>
      </c>
      <c r="V10" s="89">
        <f t="shared" ref="V10:V39" si="7">+U10/FX10*100</f>
        <v>0</v>
      </c>
      <c r="W10" s="99"/>
      <c r="X10" s="89">
        <f t="shared" ref="X10:X39" si="8">+W10/FW10*100</f>
        <v>0</v>
      </c>
      <c r="Y10" s="89">
        <f>+W10</f>
        <v>0</v>
      </c>
      <c r="Z10" s="89">
        <f t="shared" ref="Z10:Z39" si="9">+Y10/FX10*100</f>
        <v>0</v>
      </c>
      <c r="AA10" s="99">
        <f>15*AA7</f>
        <v>3455.25</v>
      </c>
      <c r="AB10" s="89">
        <f t="shared" ref="AB10:AB39" si="10">AA10/FW10*100</f>
        <v>13.312335654636346</v>
      </c>
      <c r="AC10" s="89">
        <f>AA10</f>
        <v>3455.25</v>
      </c>
      <c r="AD10" s="89">
        <f t="shared" ref="AD10:AD39" si="11">AC10/FX10*100</f>
        <v>13.312335654636346</v>
      </c>
      <c r="AE10" s="99"/>
      <c r="AF10" s="89">
        <f t="shared" ref="AF10:AF39" si="12">+AE10/FW10*100</f>
        <v>0</v>
      </c>
      <c r="AG10" s="89">
        <f>+AE10</f>
        <v>0</v>
      </c>
      <c r="AH10" s="89">
        <f t="shared" ref="AH10:AH39" si="13">+AG10/FX10*100</f>
        <v>0</v>
      </c>
      <c r="AI10" s="99"/>
      <c r="AJ10" s="89">
        <f t="shared" ref="AJ10:AJ39" si="14">AI10/FW10*100</f>
        <v>0</v>
      </c>
      <c r="AK10" s="89">
        <f>AI10</f>
        <v>0</v>
      </c>
      <c r="AL10" s="89">
        <f t="shared" ref="AL10:AL39" si="15">AK10/FX10*100</f>
        <v>0</v>
      </c>
      <c r="AM10" s="99"/>
      <c r="AN10" s="89">
        <f t="shared" ref="AN10:AN39" si="16">AM10/FW10*100</f>
        <v>0</v>
      </c>
      <c r="AO10" s="89">
        <f>AM10</f>
        <v>0</v>
      </c>
      <c r="AP10" s="89">
        <f t="shared" ref="AP10:AP39" si="17">+AO10/FX10*100</f>
        <v>0</v>
      </c>
      <c r="AQ10" s="99"/>
      <c r="AR10" s="89">
        <f t="shared" ref="AR10:AR39" si="18">AQ10/FW10*100</f>
        <v>0</v>
      </c>
      <c r="AS10" s="89">
        <f>AQ10</f>
        <v>0</v>
      </c>
      <c r="AT10" s="89">
        <f t="shared" ref="AT10:AT39" si="19">AS10/FX10*100</f>
        <v>0</v>
      </c>
      <c r="AU10" s="250"/>
      <c r="AV10" s="89">
        <f t="shared" ref="AV10:AV39" si="20">AU10/FW10*100</f>
        <v>0</v>
      </c>
      <c r="AW10" s="8">
        <f>AU10</f>
        <v>0</v>
      </c>
      <c r="AX10" s="89">
        <f t="shared" ref="AX10:AX39" si="21">AW10/FX10*100</f>
        <v>0</v>
      </c>
      <c r="AY10" s="99">
        <v>0</v>
      </c>
      <c r="AZ10" s="89">
        <f t="shared" ref="AZ10:AZ39" si="22">AY10/FW10*100</f>
        <v>0</v>
      </c>
      <c r="BA10" s="89">
        <f>AY10</f>
        <v>0</v>
      </c>
      <c r="BB10" s="89">
        <f t="shared" ref="BB10:BB39" si="23">BA10/FX10*100</f>
        <v>0</v>
      </c>
      <c r="BC10" s="99"/>
      <c r="BD10" s="89">
        <f t="shared" ref="BD10:BD39" si="24">BC10/FW10*100</f>
        <v>0</v>
      </c>
      <c r="BE10" s="89">
        <f>BC10</f>
        <v>0</v>
      </c>
      <c r="BF10" s="89">
        <f t="shared" ref="BF10:BF39" si="25">BE10/FX10*100</f>
        <v>0</v>
      </c>
      <c r="BG10" s="99">
        <v>0</v>
      </c>
      <c r="BH10" s="89">
        <f t="shared" ref="BH10:BH39" si="26">BG10/FW10*100</f>
        <v>0</v>
      </c>
      <c r="BI10" s="89">
        <f>BG10</f>
        <v>0</v>
      </c>
      <c r="BJ10" s="89">
        <f t="shared" ref="BJ10:BJ39" si="27">BI10/FX10*100</f>
        <v>0</v>
      </c>
      <c r="BK10" s="99"/>
      <c r="BL10" s="89">
        <f>BK10/FW10*100</f>
        <v>0</v>
      </c>
      <c r="BM10" s="89">
        <f>BK10</f>
        <v>0</v>
      </c>
      <c r="BN10" s="89">
        <f>BM10/FX10*100</f>
        <v>0</v>
      </c>
      <c r="BO10" s="99"/>
      <c r="BP10" s="89">
        <f>BO10/FW10*100</f>
        <v>0</v>
      </c>
      <c r="BQ10" s="89">
        <f>+BO10</f>
        <v>0</v>
      </c>
      <c r="BR10" s="89">
        <f>BQ10/FX10*100</f>
        <v>0</v>
      </c>
      <c r="BS10" s="99"/>
      <c r="BT10" s="89">
        <v>0</v>
      </c>
      <c r="BU10" s="89">
        <f>BS10</f>
        <v>0</v>
      </c>
      <c r="BV10" s="89">
        <f>BU10/FX10*100</f>
        <v>0</v>
      </c>
      <c r="BW10" s="89">
        <f>G10+AY10+BK10+BG10+BS10+BO10+AU10+AI10+BC10+AQ10+AA10+AM10+AE10+K10+W10+S10+O10</f>
        <v>3455.25</v>
      </c>
      <c r="BX10" s="89">
        <f t="shared" ref="BX10:BX39" si="28">BW10/FW10*100</f>
        <v>13.312335654636346</v>
      </c>
      <c r="BY10" s="89">
        <f>BW10</f>
        <v>3455.25</v>
      </c>
      <c r="BZ10" s="89">
        <f t="shared" ref="BZ10:BZ39" si="29">BY10/FX10*100</f>
        <v>13.312335654636346</v>
      </c>
      <c r="CA10" s="99"/>
      <c r="CB10" s="89">
        <f t="shared" ref="CB10:CB39" si="30">CA10/FW10*100</f>
        <v>0</v>
      </c>
      <c r="CC10" s="89"/>
      <c r="CD10" s="89">
        <f t="shared" ref="CD10:CD39" si="31">CC10/FX10*100</f>
        <v>0</v>
      </c>
      <c r="CE10" s="99"/>
      <c r="CF10" s="89">
        <f t="shared" ref="CF10:CF39" si="32">CE10/FW10*100</f>
        <v>0</v>
      </c>
      <c r="CG10" s="89">
        <f>CE10</f>
        <v>0</v>
      </c>
      <c r="CH10" s="89">
        <f t="shared" ref="CH10:CH39" si="33">CG10/FX10*100</f>
        <v>0</v>
      </c>
      <c r="CI10" s="99"/>
      <c r="CJ10" s="89">
        <f t="shared" ref="CJ10:CJ39" si="34">CI10/FW10*100</f>
        <v>0</v>
      </c>
      <c r="CK10" s="89">
        <f>CI10</f>
        <v>0</v>
      </c>
      <c r="CL10" s="89">
        <f t="shared" ref="CL10:CL39" si="35">CK10/FX10*100</f>
        <v>0</v>
      </c>
      <c r="CM10" s="99"/>
      <c r="CN10" s="89">
        <f t="shared" ref="CN10:CN39" si="36">CM10/FW10*100</f>
        <v>0</v>
      </c>
      <c r="CO10" s="89">
        <f>CM10</f>
        <v>0</v>
      </c>
      <c r="CP10" s="89">
        <f t="shared" ref="CP10:CP39" si="37">CO10/FX10*100</f>
        <v>0</v>
      </c>
      <c r="CQ10" s="99"/>
      <c r="CR10" s="89">
        <f t="shared" ref="CR10:CR39" si="38">CQ10/FW10*100</f>
        <v>0</v>
      </c>
      <c r="CS10" s="89">
        <f>CQ10</f>
        <v>0</v>
      </c>
      <c r="CT10" s="89">
        <f t="shared" ref="CT10:CT39" si="39">CS10/FX10*100</f>
        <v>0</v>
      </c>
      <c r="CU10" s="99"/>
      <c r="CV10" s="89">
        <f t="shared" ref="CV10:CV39" si="40">CU10/FW10*100</f>
        <v>0</v>
      </c>
      <c r="CW10" s="89">
        <f>CU10</f>
        <v>0</v>
      </c>
      <c r="CX10" s="89">
        <f t="shared" ref="CX10:CX39" si="41">CW10/FX10*100</f>
        <v>0</v>
      </c>
      <c r="CY10" s="99"/>
      <c r="CZ10" s="89">
        <f t="shared" ref="CZ10:CZ39" si="42">CY10/FW10*100</f>
        <v>0</v>
      </c>
      <c r="DA10" s="89">
        <f>CY10</f>
        <v>0</v>
      </c>
      <c r="DB10" s="89">
        <f t="shared" ref="DB10:DB39" si="43">DA10/FX10</f>
        <v>0</v>
      </c>
      <c r="DC10" s="99"/>
      <c r="DD10" s="89">
        <f t="shared" ref="DD10:DD39" si="44">DC10/FW10*100</f>
        <v>0</v>
      </c>
      <c r="DE10" s="89">
        <f>DC10</f>
        <v>0</v>
      </c>
      <c r="DF10" s="89">
        <f t="shared" ref="DF10:DF39" si="45">DE10/FX10*100</f>
        <v>0</v>
      </c>
      <c r="DG10" s="99"/>
      <c r="DH10" s="89"/>
      <c r="DI10" s="89"/>
      <c r="DJ10" s="89"/>
      <c r="DK10" s="89">
        <f>CA10+CE10+CI10+CM10+CQ10+CU10+CY10+DC10</f>
        <v>0</v>
      </c>
      <c r="DL10" s="89">
        <f>DK10/FW10*100</f>
        <v>0</v>
      </c>
      <c r="DM10" s="89">
        <f>DK10</f>
        <v>0</v>
      </c>
      <c r="DN10" s="89">
        <f t="shared" ref="DN10:DN39" si="46">DM10/FX10*100</f>
        <v>0</v>
      </c>
      <c r="DO10" s="99"/>
      <c r="DP10" s="89">
        <f>DO10/FW10*100</f>
        <v>0</v>
      </c>
      <c r="DQ10" s="89">
        <f>DO10</f>
        <v>0</v>
      </c>
      <c r="DR10" s="89">
        <f>DQ10/FX10*100</f>
        <v>0</v>
      </c>
      <c r="DS10" s="99"/>
      <c r="DT10" s="90">
        <f>DS10/FW10*100</f>
        <v>0</v>
      </c>
      <c r="DU10" s="89">
        <f>DS10</f>
        <v>0</v>
      </c>
      <c r="DV10" s="89">
        <f>DU10/FX10*100</f>
        <v>0</v>
      </c>
      <c r="DW10" s="99"/>
      <c r="DX10" s="90">
        <f>DW10/FW10*100</f>
        <v>0</v>
      </c>
      <c r="DY10" s="89">
        <f>DW10</f>
        <v>0</v>
      </c>
      <c r="DZ10" s="457">
        <f>DY10/FX10*100</f>
        <v>0</v>
      </c>
      <c r="EA10" s="99">
        <f>90*EA7</f>
        <v>22500</v>
      </c>
      <c r="EB10" s="89">
        <f>+EA10/FW10*100</f>
        <v>86.687664345363658</v>
      </c>
      <c r="EC10" s="89">
        <f>+EA10</f>
        <v>22500</v>
      </c>
      <c r="ED10" s="89">
        <f>+EC10/FX10*100</f>
        <v>86.687664345363658</v>
      </c>
      <c r="EE10" s="89">
        <f t="shared" ref="EE10:EE39" si="47">EA10+DO10+DS10+DW10</f>
        <v>22500</v>
      </c>
      <c r="EF10" s="89">
        <f>EE10/FW10*100</f>
        <v>86.687664345363658</v>
      </c>
      <c r="EG10" s="89">
        <f>EE10</f>
        <v>22500</v>
      </c>
      <c r="EH10" s="89">
        <f>EG10/FX10*100</f>
        <v>86.687664345363658</v>
      </c>
      <c r="EI10" s="89"/>
      <c r="EJ10" s="89">
        <f>EI10/FW10*100</f>
        <v>0</v>
      </c>
      <c r="EK10" s="89">
        <f>EI10</f>
        <v>0</v>
      </c>
      <c r="EL10" s="89">
        <f>EK10/FX10*100</f>
        <v>0</v>
      </c>
      <c r="EM10" s="89"/>
      <c r="EN10" s="89">
        <f>EM10/FW10*100</f>
        <v>0</v>
      </c>
      <c r="EO10" s="89">
        <f>EM10</f>
        <v>0</v>
      </c>
      <c r="EP10" s="89">
        <f>EO10/FX10*100</f>
        <v>0</v>
      </c>
      <c r="EQ10" s="89"/>
      <c r="ER10" s="89">
        <f>EQ10/FW10*100</f>
        <v>0</v>
      </c>
      <c r="ES10" s="89">
        <f>EQ10</f>
        <v>0</v>
      </c>
      <c r="ET10" s="89">
        <f>ES10/FX10*100</f>
        <v>0</v>
      </c>
      <c r="EU10" s="89"/>
      <c r="EV10" s="89">
        <f>EU10/FW10*100</f>
        <v>0</v>
      </c>
      <c r="EW10" s="89">
        <f>EU10</f>
        <v>0</v>
      </c>
      <c r="EX10" s="89">
        <f>EW10/FX10*100</f>
        <v>0</v>
      </c>
      <c r="EY10" s="89"/>
      <c r="EZ10" s="89">
        <f>EY10/FW10*100</f>
        <v>0</v>
      </c>
      <c r="FA10" s="89">
        <f>EY10</f>
        <v>0</v>
      </c>
      <c r="FB10" s="89">
        <f>FA10/FX10*100</f>
        <v>0</v>
      </c>
      <c r="FC10" s="89"/>
      <c r="FD10" s="89">
        <f>FC10/FW10*100</f>
        <v>0</v>
      </c>
      <c r="FE10" s="89">
        <f>FC10</f>
        <v>0</v>
      </c>
      <c r="FF10" s="89">
        <f>FE10/FX10*100</f>
        <v>0</v>
      </c>
      <c r="FG10" s="89"/>
      <c r="FH10" s="89">
        <f>FG10/FW10*100</f>
        <v>0</v>
      </c>
      <c r="FI10" s="89">
        <f>FG10</f>
        <v>0</v>
      </c>
      <c r="FJ10" s="89">
        <f>FI10/FX10*100</f>
        <v>0</v>
      </c>
      <c r="FK10" s="89">
        <f>+EI10+EM10+EQ10+EU10</f>
        <v>0</v>
      </c>
      <c r="FL10" s="89">
        <f>FK10/FW10*100</f>
        <v>0</v>
      </c>
      <c r="FM10" s="89">
        <f>FK10</f>
        <v>0</v>
      </c>
      <c r="FN10" s="89">
        <f>FM10/FX10*100</f>
        <v>0</v>
      </c>
      <c r="FO10" s="89"/>
      <c r="FP10" s="89">
        <f>FO10/FW10*100</f>
        <v>0</v>
      </c>
      <c r="FQ10" s="89">
        <f>FO10</f>
        <v>0</v>
      </c>
      <c r="FR10" s="89">
        <f>FQ10/FX10*100</f>
        <v>0</v>
      </c>
      <c r="FS10" s="89"/>
      <c r="FT10" s="89">
        <f>FS10/FW10*100</f>
        <v>0</v>
      </c>
      <c r="FU10" s="89">
        <f>FS10</f>
        <v>0</v>
      </c>
      <c r="FV10" s="89">
        <f>FU10/FX10*100</f>
        <v>0</v>
      </c>
      <c r="FW10" s="89">
        <f>+EE10+DK10+BW10+FO10+FS10</f>
        <v>25955.25</v>
      </c>
      <c r="FX10" s="89">
        <f>FW10</f>
        <v>25955.25</v>
      </c>
      <c r="FY10" s="89">
        <f t="shared" ref="FY10:FY39" si="48">FW10/1000/E10</f>
        <v>1.293751869205463</v>
      </c>
      <c r="FZ10" s="89">
        <f t="shared" ref="FZ10:FZ39" si="49">(FX10/1000)/F10</f>
        <v>1.293751869205463</v>
      </c>
      <c r="GA10" s="6"/>
      <c r="GB10" s="456">
        <f>+GA10/EE10*100%</f>
        <v>0</v>
      </c>
      <c r="GC10" s="456">
        <f>(SUM($GA$10:GA10))/(SUM($EE$10:EE10))</f>
        <v>0</v>
      </c>
      <c r="GD10" s="3" t="s">
        <v>307</v>
      </c>
    </row>
    <row r="11" spans="1:186">
      <c r="A11" s="16">
        <f>+Chem!A11</f>
        <v>45840</v>
      </c>
      <c r="B11" s="6" t="str">
        <f>+Chem!B11</f>
        <v>Facial</v>
      </c>
      <c r="C11" s="16" t="str">
        <f>+Chem!C11</f>
        <v>11,5</v>
      </c>
      <c r="D11" s="8">
        <f>+Chem!D11</f>
        <v>34.292999999999999</v>
      </c>
      <c r="E11" s="7">
        <f>+Chem!E11</f>
        <v>35.039000000000001</v>
      </c>
      <c r="F11" s="7">
        <f>+E11+F10</f>
        <v>55.100999999999999</v>
      </c>
      <c r="G11" s="99"/>
      <c r="H11" s="89">
        <f t="shared" si="0"/>
        <v>0</v>
      </c>
      <c r="I11" s="8">
        <f t="shared" ref="I11:I39" si="50">G11+I10</f>
        <v>0</v>
      </c>
      <c r="J11" s="89">
        <f t="shared" si="1"/>
        <v>0</v>
      </c>
      <c r="K11" s="99"/>
      <c r="L11" s="89">
        <f t="shared" si="2"/>
        <v>0</v>
      </c>
      <c r="M11" s="89">
        <f t="shared" ref="M11:M39" si="51">+K11+M10</f>
        <v>0</v>
      </c>
      <c r="N11" s="89">
        <f t="shared" si="3"/>
        <v>0</v>
      </c>
      <c r="O11" s="99"/>
      <c r="P11" s="89">
        <f t="shared" si="4"/>
        <v>0</v>
      </c>
      <c r="Q11" s="89">
        <f t="shared" ref="Q11:Q39" si="52">+O11+Q10</f>
        <v>0</v>
      </c>
      <c r="R11" s="89">
        <f t="shared" si="5"/>
        <v>0</v>
      </c>
      <c r="S11" s="99"/>
      <c r="T11" s="89">
        <f t="shared" si="6"/>
        <v>0</v>
      </c>
      <c r="U11" s="89">
        <f t="shared" ref="U11:U39" si="53">+S11+U10</f>
        <v>0</v>
      </c>
      <c r="V11" s="89">
        <f t="shared" si="7"/>
        <v>0</v>
      </c>
      <c r="W11" s="99"/>
      <c r="X11" s="89">
        <f t="shared" si="8"/>
        <v>0</v>
      </c>
      <c r="Y11" s="89">
        <f t="shared" ref="Y11:Y39" si="54">+W11+Y10</f>
        <v>0</v>
      </c>
      <c r="Z11" s="89">
        <f t="shared" si="9"/>
        <v>0</v>
      </c>
      <c r="AA11" s="99">
        <f>17*AA7</f>
        <v>3915.95</v>
      </c>
      <c r="AB11" s="89">
        <f t="shared" si="10"/>
        <v>10.895510552726069</v>
      </c>
      <c r="AC11" s="89">
        <f t="shared" ref="AC11:AC39" si="55">AA11+AC10</f>
        <v>7371.2</v>
      </c>
      <c r="AD11" s="89">
        <f t="shared" si="11"/>
        <v>11.90897017910631</v>
      </c>
      <c r="AE11" s="99"/>
      <c r="AF11" s="89">
        <f t="shared" si="12"/>
        <v>0</v>
      </c>
      <c r="AG11" s="89">
        <f t="shared" ref="AG11:AG39" si="56">+AE11+AG10</f>
        <v>0</v>
      </c>
      <c r="AH11" s="89">
        <f t="shared" si="13"/>
        <v>0</v>
      </c>
      <c r="AI11" s="99"/>
      <c r="AJ11" s="89">
        <f t="shared" si="14"/>
        <v>0</v>
      </c>
      <c r="AK11" s="89">
        <f t="shared" ref="AK11:AK39" si="57">AI11+AK10</f>
        <v>0</v>
      </c>
      <c r="AL11" s="89">
        <f t="shared" si="15"/>
        <v>0</v>
      </c>
      <c r="AM11" s="99"/>
      <c r="AN11" s="89">
        <f t="shared" si="16"/>
        <v>0</v>
      </c>
      <c r="AO11" s="89">
        <f t="shared" ref="AO11:AO39" si="58">+AM11+AO10</f>
        <v>0</v>
      </c>
      <c r="AP11" s="89">
        <f t="shared" si="17"/>
        <v>0</v>
      </c>
      <c r="AQ11" s="99"/>
      <c r="AR11" s="89">
        <f t="shared" si="18"/>
        <v>0</v>
      </c>
      <c r="AS11" s="89">
        <f t="shared" ref="AS11:AS39" si="59">AQ11+AS10</f>
        <v>0</v>
      </c>
      <c r="AT11" s="89">
        <f t="shared" si="19"/>
        <v>0</v>
      </c>
      <c r="AU11" s="250"/>
      <c r="AV11" s="89">
        <f t="shared" si="20"/>
        <v>0</v>
      </c>
      <c r="AW11" s="8">
        <f t="shared" ref="AW11:AW39" si="60">AU11+AW10</f>
        <v>0</v>
      </c>
      <c r="AX11" s="89">
        <f t="shared" si="21"/>
        <v>0</v>
      </c>
      <c r="AY11" s="99"/>
      <c r="AZ11" s="89">
        <f t="shared" si="22"/>
        <v>0</v>
      </c>
      <c r="BA11" s="89">
        <f t="shared" ref="BA11:BA39" si="61">AY11+BA10</f>
        <v>0</v>
      </c>
      <c r="BB11" s="89">
        <f t="shared" si="23"/>
        <v>0</v>
      </c>
      <c r="BC11" s="99"/>
      <c r="BD11" s="89">
        <f t="shared" si="24"/>
        <v>0</v>
      </c>
      <c r="BE11" s="89">
        <f t="shared" ref="BE11:BE39" si="62">BC11+BE10</f>
        <v>0</v>
      </c>
      <c r="BF11" s="89">
        <f t="shared" si="25"/>
        <v>0</v>
      </c>
      <c r="BG11" s="99">
        <v>0</v>
      </c>
      <c r="BH11" s="89">
        <f t="shared" si="26"/>
        <v>0</v>
      </c>
      <c r="BI11" s="89">
        <f t="shared" ref="BI11:BI39" si="63">BG11+BI10</f>
        <v>0</v>
      </c>
      <c r="BJ11" s="89">
        <f t="shared" si="27"/>
        <v>0</v>
      </c>
      <c r="BK11" s="99"/>
      <c r="BL11" s="89"/>
      <c r="BM11" s="89"/>
      <c r="BN11" s="89"/>
      <c r="BO11" s="99"/>
      <c r="BP11" s="89"/>
      <c r="BQ11" s="89"/>
      <c r="BR11" s="89"/>
      <c r="BS11" s="99"/>
      <c r="BT11" s="89"/>
      <c r="BU11" s="89"/>
      <c r="BV11" s="89"/>
      <c r="BW11" s="89">
        <f t="shared" ref="BW11:BW39" si="64">G11+AY11+BK11+BG11+BS11+BO11+AU11+AI11+BC11+AQ11+AA11+AM11+AE11+K11+W11+S11+O11</f>
        <v>3915.95</v>
      </c>
      <c r="BX11" s="89">
        <f t="shared" si="28"/>
        <v>10.895510552726069</v>
      </c>
      <c r="BY11" s="89">
        <f t="shared" ref="BY11:BY39" si="65">BW11+BY10</f>
        <v>7371.2</v>
      </c>
      <c r="BZ11" s="89">
        <f t="shared" si="29"/>
        <v>11.90897017910631</v>
      </c>
      <c r="CA11" s="99"/>
      <c r="CB11" s="89">
        <f t="shared" si="30"/>
        <v>0</v>
      </c>
      <c r="CC11" s="89"/>
      <c r="CD11" s="89">
        <f t="shared" si="31"/>
        <v>0</v>
      </c>
      <c r="CE11" s="99"/>
      <c r="CF11" s="89">
        <f t="shared" si="32"/>
        <v>0</v>
      </c>
      <c r="CG11" s="89">
        <f t="shared" ref="CG11:CG39" si="66">CE11+CG10</f>
        <v>0</v>
      </c>
      <c r="CH11" s="89">
        <f t="shared" si="33"/>
        <v>0</v>
      </c>
      <c r="CI11" s="99"/>
      <c r="CJ11" s="89">
        <f t="shared" si="34"/>
        <v>0</v>
      </c>
      <c r="CK11" s="89">
        <f t="shared" ref="CK11:CK39" si="67">CI11+CK10</f>
        <v>0</v>
      </c>
      <c r="CL11" s="89">
        <f t="shared" si="35"/>
        <v>0</v>
      </c>
      <c r="CM11" s="99"/>
      <c r="CN11" s="89">
        <f t="shared" si="36"/>
        <v>0</v>
      </c>
      <c r="CO11" s="89">
        <f t="shared" ref="CO11:CO39" si="68">CM11+CO10</f>
        <v>0</v>
      </c>
      <c r="CP11" s="89">
        <f t="shared" si="37"/>
        <v>0</v>
      </c>
      <c r="CQ11" s="99"/>
      <c r="CR11" s="89">
        <f t="shared" si="38"/>
        <v>0</v>
      </c>
      <c r="CS11" s="89">
        <f t="shared" ref="CS11:CS39" si="69">CQ11+CS10</f>
        <v>0</v>
      </c>
      <c r="CT11" s="89">
        <f t="shared" si="39"/>
        <v>0</v>
      </c>
      <c r="CU11" s="99"/>
      <c r="CV11" s="89">
        <f t="shared" si="40"/>
        <v>0</v>
      </c>
      <c r="CW11" s="89">
        <f t="shared" ref="CW11:CW39" si="70">CU11+CW10</f>
        <v>0</v>
      </c>
      <c r="CX11" s="89">
        <f t="shared" si="41"/>
        <v>0</v>
      </c>
      <c r="CY11" s="99"/>
      <c r="CZ11" s="89">
        <f t="shared" si="42"/>
        <v>0</v>
      </c>
      <c r="DA11" s="89">
        <f t="shared" ref="DA11:DA39" si="71">CY11+DA10</f>
        <v>0</v>
      </c>
      <c r="DB11" s="89">
        <f t="shared" si="43"/>
        <v>0</v>
      </c>
      <c r="DC11" s="99"/>
      <c r="DD11" s="89">
        <f t="shared" si="44"/>
        <v>0</v>
      </c>
      <c r="DE11" s="89">
        <f t="shared" ref="DE11:DE39" si="72">DC11+DE10</f>
        <v>0</v>
      </c>
      <c r="DF11" s="89">
        <f t="shared" si="45"/>
        <v>0</v>
      </c>
      <c r="DG11" s="99"/>
      <c r="DH11" s="89"/>
      <c r="DI11" s="89"/>
      <c r="DJ11" s="89"/>
      <c r="DK11" s="89">
        <f t="shared" ref="DK11:DK39" si="73">CA11+CE11+CI11+CM11+CQ11+CU11+CY11+DC11</f>
        <v>0</v>
      </c>
      <c r="DL11" s="89">
        <f t="shared" ref="DL11:DL39" si="74">DK11/FW11*100</f>
        <v>0</v>
      </c>
      <c r="DM11" s="89">
        <f t="shared" ref="DM11:DM39" si="75">DK11+DM10</f>
        <v>0</v>
      </c>
      <c r="DN11" s="89">
        <f t="shared" si="46"/>
        <v>0</v>
      </c>
      <c r="DO11" s="99"/>
      <c r="DP11" s="89">
        <f t="shared" ref="DP11:DP39" si="76">DO11/FW11*100</f>
        <v>0</v>
      </c>
      <c r="DQ11" s="89">
        <f t="shared" ref="DQ11:DQ39" si="77">DO11+DQ10</f>
        <v>0</v>
      </c>
      <c r="DR11" s="89">
        <f t="shared" ref="DR11:DR39" si="78">DQ11/FX11*100</f>
        <v>0</v>
      </c>
      <c r="DS11" s="99"/>
      <c r="DT11" s="90">
        <f t="shared" ref="DT11:DT39" si="79">DS11/FW11*100</f>
        <v>0</v>
      </c>
      <c r="DU11" s="89">
        <f t="shared" ref="DU11:DU39" si="80">DS11+DU10</f>
        <v>0</v>
      </c>
      <c r="DV11" s="89">
        <f t="shared" ref="DV11:DV39" si="81">DU11/FX11*100</f>
        <v>0</v>
      </c>
      <c r="DW11" s="99"/>
      <c r="DX11" s="90">
        <f t="shared" ref="DX11:DX39" si="82">DW11/FW11*100</f>
        <v>0</v>
      </c>
      <c r="DY11" s="89">
        <f t="shared" ref="DY11:DY39" si="83">DW11</f>
        <v>0</v>
      </c>
      <c r="DZ11" s="457">
        <f t="shared" ref="DZ11:DZ39" si="84">DY11/FX11*100</f>
        <v>0</v>
      </c>
      <c r="EA11" s="99">
        <f>127.5*EA7</f>
        <v>31875</v>
      </c>
      <c r="EB11" s="89">
        <f t="shared" ref="EB11:EB39" si="85">+EA11/FW11*100</f>
        <v>88.687138208645024</v>
      </c>
      <c r="EC11" s="89">
        <f t="shared" ref="EC11:EC39" si="86">+EA11+EC10</f>
        <v>54375</v>
      </c>
      <c r="ED11" s="89">
        <f t="shared" ref="ED11:ED39" si="87">+EC11/FX11*100</f>
        <v>87.848688610932498</v>
      </c>
      <c r="EE11" s="89">
        <f t="shared" si="47"/>
        <v>31875</v>
      </c>
      <c r="EF11" s="89">
        <f t="shared" ref="EF11:EF39" si="88">EE11/FW11*100</f>
        <v>88.687138208645024</v>
      </c>
      <c r="EG11" s="89">
        <f t="shared" ref="EG11:EG39" si="89">EE11+EG10</f>
        <v>54375</v>
      </c>
      <c r="EH11" s="89">
        <f t="shared" ref="EH11:EH39" si="90">EG11/FX11*100</f>
        <v>87.848688610932498</v>
      </c>
      <c r="EI11" s="89"/>
      <c r="EJ11" s="89">
        <f t="shared" ref="EJ11:EJ40" si="91">EI11/FW11*100</f>
        <v>0</v>
      </c>
      <c r="EK11" s="89">
        <f t="shared" ref="EK11:EK40" si="92">EI11+EK10</f>
        <v>0</v>
      </c>
      <c r="EL11" s="89">
        <f t="shared" ref="EL11:EL40" si="93">EK11/FX11*100</f>
        <v>0</v>
      </c>
      <c r="EM11" s="89"/>
      <c r="EN11" s="89">
        <f t="shared" ref="EN11:EN40" si="94">EM11/FW11*100</f>
        <v>0</v>
      </c>
      <c r="EO11" s="89">
        <f t="shared" ref="EO11:EO40" si="95">EM11+EO10</f>
        <v>0</v>
      </c>
      <c r="EP11" s="89">
        <f t="shared" ref="EP11:EP40" si="96">EO11/FX11*100</f>
        <v>0</v>
      </c>
      <c r="EQ11" s="89"/>
      <c r="ER11" s="89">
        <f t="shared" ref="ER11:ER40" si="97">EQ11/FW11*100</f>
        <v>0</v>
      </c>
      <c r="ES11" s="89">
        <f t="shared" ref="ES11:ES40" si="98">EQ11+ES10</f>
        <v>0</v>
      </c>
      <c r="ET11" s="89">
        <f t="shared" ref="ET11:ET40" si="99">ES11/FX11*100</f>
        <v>0</v>
      </c>
      <c r="EU11" s="89"/>
      <c r="EV11" s="89">
        <f t="shared" ref="EV11:EV40" si="100">EU11/FW11*100</f>
        <v>0</v>
      </c>
      <c r="EW11" s="89">
        <f t="shared" ref="EW11:EW40" si="101">EU11+EW10</f>
        <v>0</v>
      </c>
      <c r="EX11" s="89">
        <f t="shared" ref="EX11:EX40" si="102">EW11/FX11*100</f>
        <v>0</v>
      </c>
      <c r="EY11" s="89"/>
      <c r="EZ11" s="89">
        <f t="shared" ref="EZ11:EZ40" si="103">EY11/FW11*100</f>
        <v>0</v>
      </c>
      <c r="FA11" s="89">
        <f t="shared" ref="FA11:FA40" si="104">EY11+FA10</f>
        <v>0</v>
      </c>
      <c r="FB11" s="89">
        <f t="shared" ref="FB11:FB40" si="105">FA11/FX11*100</f>
        <v>0</v>
      </c>
      <c r="FC11" s="89"/>
      <c r="FD11" s="89">
        <f t="shared" ref="FD11:FD40" si="106">FC11/FW11*100</f>
        <v>0</v>
      </c>
      <c r="FE11" s="89">
        <f t="shared" ref="FE11:FE40" si="107">FC11+FE10</f>
        <v>0</v>
      </c>
      <c r="FF11" s="89">
        <f t="shared" ref="FF11:FF40" si="108">FE11/FX11*100</f>
        <v>0</v>
      </c>
      <c r="FG11" s="89"/>
      <c r="FH11" s="89">
        <f t="shared" ref="FH11:FH40" si="109">FG11/FW11*100</f>
        <v>0</v>
      </c>
      <c r="FI11" s="89">
        <f t="shared" ref="FI11:FI40" si="110">FG11+FI10</f>
        <v>0</v>
      </c>
      <c r="FJ11" s="89">
        <f t="shared" ref="FJ11:FJ40" si="111">FI11/FX11*100</f>
        <v>0</v>
      </c>
      <c r="FK11" s="89">
        <f t="shared" ref="FK11:FK33" si="112">+EI11+EM11+EQ11+EU11</f>
        <v>0</v>
      </c>
      <c r="FL11" s="89">
        <f t="shared" ref="FL11:FL40" si="113">FK11/FW11*100</f>
        <v>0</v>
      </c>
      <c r="FM11" s="89">
        <f t="shared" ref="FM11:FM40" si="114">FK11+FM10</f>
        <v>0</v>
      </c>
      <c r="FN11" s="89">
        <f t="shared" ref="FN11:FN40" si="115">FM11/FX11*100</f>
        <v>0</v>
      </c>
      <c r="FO11" s="89">
        <v>150</v>
      </c>
      <c r="FP11" s="89">
        <f t="shared" ref="FP11:FP40" si="116">FO11/FW11*100</f>
        <v>0.41735123862891776</v>
      </c>
      <c r="FQ11" s="89">
        <f t="shared" ref="FQ11:FQ40" si="117">FO11+FQ10</f>
        <v>150</v>
      </c>
      <c r="FR11" s="89">
        <f t="shared" ref="FR11:FR40" si="118">FQ11/FX11*100</f>
        <v>0.2423412099611931</v>
      </c>
      <c r="FS11" s="89"/>
      <c r="FT11" s="89">
        <f t="shared" ref="FT11:FT40" si="119">FS11/FW11*100</f>
        <v>0</v>
      </c>
      <c r="FU11" s="89">
        <f t="shared" ref="FU11:FU40" si="120">FS11+FU10</f>
        <v>0</v>
      </c>
      <c r="FV11" s="89">
        <f t="shared" ref="FV11:FV40" si="121">FU11/FX11*100</f>
        <v>0</v>
      </c>
      <c r="FW11" s="89">
        <f t="shared" ref="FW11:FW31" si="122">+EE11+DK11+BW11+FO11+FS11</f>
        <v>35940.949999999997</v>
      </c>
      <c r="FX11" s="89">
        <f t="shared" ref="FX11:FX39" si="123">FW11+FX10</f>
        <v>61896.2</v>
      </c>
      <c r="FY11" s="89">
        <f t="shared" si="48"/>
        <v>1.0257413168184022</v>
      </c>
      <c r="FZ11" s="89">
        <f t="shared" si="49"/>
        <v>1.123322625723671</v>
      </c>
      <c r="GA11" s="6"/>
      <c r="GB11" s="456">
        <f t="shared" ref="GB11:GB39" si="124">+GA11/EE11*100%</f>
        <v>0</v>
      </c>
      <c r="GC11" s="456">
        <f>(SUM($GA$10:GA11))/(SUM($EE$10:EE11))</f>
        <v>0</v>
      </c>
      <c r="GD11" s="3" t="s">
        <v>307</v>
      </c>
    </row>
    <row r="12" spans="1:186">
      <c r="A12" s="16">
        <f>+Chem!A12</f>
        <v>45841</v>
      </c>
      <c r="B12" s="6" t="str">
        <f>+Chem!B12</f>
        <v>Facial</v>
      </c>
      <c r="C12" s="16" t="str">
        <f>+Chem!C12</f>
        <v>11,5</v>
      </c>
      <c r="D12" s="8">
        <f>+Chem!D12</f>
        <v>40.92</v>
      </c>
      <c r="E12" s="7">
        <f>+Chem!E12</f>
        <v>38.435000000000002</v>
      </c>
      <c r="F12" s="7">
        <f t="shared" ref="F12:F39" si="125">+E12+F11</f>
        <v>93.536000000000001</v>
      </c>
      <c r="G12" s="99"/>
      <c r="H12" s="89">
        <f t="shared" si="0"/>
        <v>0</v>
      </c>
      <c r="I12" s="8">
        <f t="shared" si="50"/>
        <v>0</v>
      </c>
      <c r="J12" s="89">
        <f t="shared" si="1"/>
        <v>0</v>
      </c>
      <c r="K12" s="99"/>
      <c r="L12" s="89">
        <f t="shared" si="2"/>
        <v>0</v>
      </c>
      <c r="M12" s="89">
        <f t="shared" si="51"/>
        <v>0</v>
      </c>
      <c r="N12" s="89">
        <f t="shared" si="3"/>
        <v>0</v>
      </c>
      <c r="O12" s="99"/>
      <c r="P12" s="89">
        <f t="shared" si="4"/>
        <v>0</v>
      </c>
      <c r="Q12" s="89">
        <f t="shared" si="52"/>
        <v>0</v>
      </c>
      <c r="R12" s="89">
        <f t="shared" si="5"/>
        <v>0</v>
      </c>
      <c r="S12" s="99"/>
      <c r="T12" s="89">
        <f t="shared" si="6"/>
        <v>0</v>
      </c>
      <c r="U12" s="89">
        <f t="shared" si="53"/>
        <v>0</v>
      </c>
      <c r="V12" s="89">
        <f t="shared" si="7"/>
        <v>0</v>
      </c>
      <c r="W12" s="99"/>
      <c r="X12" s="89">
        <f t="shared" si="8"/>
        <v>0</v>
      </c>
      <c r="Y12" s="89">
        <f t="shared" si="54"/>
        <v>0</v>
      </c>
      <c r="Z12" s="89">
        <f t="shared" si="9"/>
        <v>0</v>
      </c>
      <c r="AA12" s="99">
        <f>20*AA7</f>
        <v>4607</v>
      </c>
      <c r="AB12" s="89">
        <f t="shared" si="10"/>
        <v>10.504594477506442</v>
      </c>
      <c r="AC12" s="89">
        <f t="shared" si="55"/>
        <v>11978.2</v>
      </c>
      <c r="AD12" s="89">
        <f t="shared" si="11"/>
        <v>11.326560331034901</v>
      </c>
      <c r="AE12" s="99"/>
      <c r="AF12" s="89">
        <f t="shared" si="12"/>
        <v>0</v>
      </c>
      <c r="AG12" s="89">
        <f t="shared" si="56"/>
        <v>0</v>
      </c>
      <c r="AH12" s="89">
        <f t="shared" si="13"/>
        <v>0</v>
      </c>
      <c r="AI12" s="99"/>
      <c r="AJ12" s="89">
        <f t="shared" si="14"/>
        <v>0</v>
      </c>
      <c r="AK12" s="89">
        <f t="shared" si="57"/>
        <v>0</v>
      </c>
      <c r="AL12" s="89">
        <f t="shared" si="15"/>
        <v>0</v>
      </c>
      <c r="AM12" s="99"/>
      <c r="AN12" s="89">
        <f t="shared" si="16"/>
        <v>0</v>
      </c>
      <c r="AO12" s="89">
        <f t="shared" si="58"/>
        <v>0</v>
      </c>
      <c r="AP12" s="89">
        <f t="shared" si="17"/>
        <v>0</v>
      </c>
      <c r="AQ12" s="99"/>
      <c r="AR12" s="89">
        <f t="shared" si="18"/>
        <v>0</v>
      </c>
      <c r="AS12" s="89">
        <f t="shared" si="59"/>
        <v>0</v>
      </c>
      <c r="AT12" s="89">
        <f t="shared" si="19"/>
        <v>0</v>
      </c>
      <c r="AU12" s="250"/>
      <c r="AV12" s="89">
        <f t="shared" si="20"/>
        <v>0</v>
      </c>
      <c r="AW12" s="8">
        <f t="shared" si="60"/>
        <v>0</v>
      </c>
      <c r="AX12" s="89">
        <f t="shared" si="21"/>
        <v>0</v>
      </c>
      <c r="AY12" s="99"/>
      <c r="AZ12" s="89">
        <f t="shared" si="22"/>
        <v>0</v>
      </c>
      <c r="BA12" s="89">
        <f t="shared" si="61"/>
        <v>0</v>
      </c>
      <c r="BB12" s="89">
        <f t="shared" si="23"/>
        <v>0</v>
      </c>
      <c r="BC12" s="99"/>
      <c r="BD12" s="89">
        <f t="shared" si="24"/>
        <v>0</v>
      </c>
      <c r="BE12" s="89">
        <f t="shared" si="62"/>
        <v>0</v>
      </c>
      <c r="BF12" s="89">
        <f t="shared" si="25"/>
        <v>0</v>
      </c>
      <c r="BG12" s="99"/>
      <c r="BH12" s="89">
        <f t="shared" si="26"/>
        <v>0</v>
      </c>
      <c r="BI12" s="89">
        <f t="shared" si="63"/>
        <v>0</v>
      </c>
      <c r="BJ12" s="89">
        <f t="shared" si="27"/>
        <v>0</v>
      </c>
      <c r="BK12" s="99"/>
      <c r="BL12" s="89"/>
      <c r="BM12" s="89"/>
      <c r="BN12" s="89"/>
      <c r="BO12" s="99"/>
      <c r="BP12" s="89"/>
      <c r="BQ12" s="89"/>
      <c r="BR12" s="89"/>
      <c r="BS12" s="99"/>
      <c r="BT12" s="89"/>
      <c r="BU12" s="89"/>
      <c r="BV12" s="89"/>
      <c r="BW12" s="89">
        <f t="shared" si="64"/>
        <v>4607</v>
      </c>
      <c r="BX12" s="89">
        <f t="shared" si="28"/>
        <v>10.504594477506442</v>
      </c>
      <c r="BY12" s="89">
        <f t="shared" si="65"/>
        <v>11978.2</v>
      </c>
      <c r="BZ12" s="89">
        <f t="shared" si="29"/>
        <v>11.326560331034901</v>
      </c>
      <c r="CA12" s="99"/>
      <c r="CB12" s="89">
        <f t="shared" si="30"/>
        <v>0</v>
      </c>
      <c r="CC12" s="89"/>
      <c r="CD12" s="89">
        <f t="shared" si="31"/>
        <v>0</v>
      </c>
      <c r="CE12" s="99"/>
      <c r="CF12" s="89">
        <f t="shared" si="32"/>
        <v>0</v>
      </c>
      <c r="CG12" s="89">
        <f t="shared" si="66"/>
        <v>0</v>
      </c>
      <c r="CH12" s="89">
        <f t="shared" si="33"/>
        <v>0</v>
      </c>
      <c r="CI12" s="99"/>
      <c r="CJ12" s="89">
        <f t="shared" si="34"/>
        <v>0</v>
      </c>
      <c r="CK12" s="89">
        <f t="shared" si="67"/>
        <v>0</v>
      </c>
      <c r="CL12" s="89">
        <f t="shared" si="35"/>
        <v>0</v>
      </c>
      <c r="CM12" s="99"/>
      <c r="CN12" s="89">
        <f t="shared" si="36"/>
        <v>0</v>
      </c>
      <c r="CO12" s="89">
        <f t="shared" si="68"/>
        <v>0</v>
      </c>
      <c r="CP12" s="89">
        <f t="shared" si="37"/>
        <v>0</v>
      </c>
      <c r="CQ12" s="99"/>
      <c r="CR12" s="89">
        <f t="shared" si="38"/>
        <v>0</v>
      </c>
      <c r="CS12" s="89">
        <f t="shared" si="69"/>
        <v>0</v>
      </c>
      <c r="CT12" s="89">
        <f t="shared" si="39"/>
        <v>0</v>
      </c>
      <c r="CU12" s="99"/>
      <c r="CV12" s="89">
        <f t="shared" si="40"/>
        <v>0</v>
      </c>
      <c r="CW12" s="89">
        <f t="shared" si="70"/>
        <v>0</v>
      </c>
      <c r="CX12" s="89">
        <f t="shared" si="41"/>
        <v>0</v>
      </c>
      <c r="CY12" s="99"/>
      <c r="CZ12" s="89">
        <f t="shared" si="42"/>
        <v>0</v>
      </c>
      <c r="DA12" s="89">
        <f t="shared" si="71"/>
        <v>0</v>
      </c>
      <c r="DB12" s="89">
        <f t="shared" si="43"/>
        <v>0</v>
      </c>
      <c r="DC12" s="99"/>
      <c r="DD12" s="89">
        <f t="shared" si="44"/>
        <v>0</v>
      </c>
      <c r="DE12" s="89">
        <f t="shared" si="72"/>
        <v>0</v>
      </c>
      <c r="DF12" s="89">
        <f t="shared" si="45"/>
        <v>0</v>
      </c>
      <c r="DG12" s="99"/>
      <c r="DH12" s="89"/>
      <c r="DI12" s="89"/>
      <c r="DJ12" s="89"/>
      <c r="DK12" s="89">
        <f t="shared" si="73"/>
        <v>0</v>
      </c>
      <c r="DL12" s="89">
        <f t="shared" si="74"/>
        <v>0</v>
      </c>
      <c r="DM12" s="89">
        <f t="shared" si="75"/>
        <v>0</v>
      </c>
      <c r="DN12" s="89">
        <f t="shared" si="46"/>
        <v>0</v>
      </c>
      <c r="DO12" s="99"/>
      <c r="DP12" s="89">
        <f t="shared" si="76"/>
        <v>0</v>
      </c>
      <c r="DQ12" s="89">
        <f t="shared" si="77"/>
        <v>0</v>
      </c>
      <c r="DR12" s="89">
        <f t="shared" si="78"/>
        <v>0</v>
      </c>
      <c r="DS12" s="99"/>
      <c r="DT12" s="90">
        <f t="shared" si="79"/>
        <v>0</v>
      </c>
      <c r="DU12" s="89">
        <f t="shared" si="80"/>
        <v>0</v>
      </c>
      <c r="DV12" s="89">
        <f t="shared" si="81"/>
        <v>0</v>
      </c>
      <c r="DW12" s="99"/>
      <c r="DX12" s="90">
        <f t="shared" si="82"/>
        <v>0</v>
      </c>
      <c r="DY12" s="89">
        <f t="shared" si="83"/>
        <v>0</v>
      </c>
      <c r="DZ12" s="457">
        <f t="shared" si="84"/>
        <v>0</v>
      </c>
      <c r="EA12" s="99">
        <f>157*EA7</f>
        <v>39250</v>
      </c>
      <c r="EB12" s="89">
        <f t="shared" si="85"/>
        <v>89.495405522493556</v>
      </c>
      <c r="EC12" s="89">
        <f t="shared" si="86"/>
        <v>93625</v>
      </c>
      <c r="ED12" s="89">
        <f t="shared" si="87"/>
        <v>88.531599989409301</v>
      </c>
      <c r="EE12" s="89">
        <f t="shared" si="47"/>
        <v>39250</v>
      </c>
      <c r="EF12" s="89">
        <f t="shared" si="88"/>
        <v>89.495405522493556</v>
      </c>
      <c r="EG12" s="89">
        <f t="shared" si="89"/>
        <v>93625</v>
      </c>
      <c r="EH12" s="89">
        <f t="shared" si="90"/>
        <v>88.531599989409301</v>
      </c>
      <c r="EI12" s="89"/>
      <c r="EJ12" s="89">
        <f t="shared" si="91"/>
        <v>0</v>
      </c>
      <c r="EK12" s="89">
        <f t="shared" si="92"/>
        <v>0</v>
      </c>
      <c r="EL12" s="89">
        <f t="shared" si="93"/>
        <v>0</v>
      </c>
      <c r="EM12" s="89"/>
      <c r="EN12" s="89">
        <f t="shared" si="94"/>
        <v>0</v>
      </c>
      <c r="EO12" s="89">
        <f t="shared" si="95"/>
        <v>0</v>
      </c>
      <c r="EP12" s="89">
        <f t="shared" si="96"/>
        <v>0</v>
      </c>
      <c r="EQ12" s="89"/>
      <c r="ER12" s="89">
        <f t="shared" si="97"/>
        <v>0</v>
      </c>
      <c r="ES12" s="89">
        <f t="shared" si="98"/>
        <v>0</v>
      </c>
      <c r="ET12" s="89">
        <f t="shared" si="99"/>
        <v>0</v>
      </c>
      <c r="EU12" s="89"/>
      <c r="EV12" s="89">
        <f t="shared" si="100"/>
        <v>0</v>
      </c>
      <c r="EW12" s="89">
        <f t="shared" si="101"/>
        <v>0</v>
      </c>
      <c r="EX12" s="89">
        <f t="shared" si="102"/>
        <v>0</v>
      </c>
      <c r="EY12" s="89"/>
      <c r="EZ12" s="89">
        <f t="shared" si="103"/>
        <v>0</v>
      </c>
      <c r="FA12" s="89">
        <f t="shared" si="104"/>
        <v>0</v>
      </c>
      <c r="FB12" s="89">
        <f t="shared" si="105"/>
        <v>0</v>
      </c>
      <c r="FC12" s="89"/>
      <c r="FD12" s="89">
        <f t="shared" si="106"/>
        <v>0</v>
      </c>
      <c r="FE12" s="89">
        <f t="shared" si="107"/>
        <v>0</v>
      </c>
      <c r="FF12" s="89">
        <f t="shared" si="108"/>
        <v>0</v>
      </c>
      <c r="FG12" s="89"/>
      <c r="FH12" s="89">
        <f t="shared" si="109"/>
        <v>0</v>
      </c>
      <c r="FI12" s="89">
        <f t="shared" si="110"/>
        <v>0</v>
      </c>
      <c r="FJ12" s="89">
        <f t="shared" si="111"/>
        <v>0</v>
      </c>
      <c r="FK12" s="89">
        <f t="shared" si="112"/>
        <v>0</v>
      </c>
      <c r="FL12" s="89">
        <f t="shared" si="113"/>
        <v>0</v>
      </c>
      <c r="FM12" s="89">
        <f t="shared" si="114"/>
        <v>0</v>
      </c>
      <c r="FN12" s="89">
        <f t="shared" si="115"/>
        <v>0</v>
      </c>
      <c r="FO12" s="89"/>
      <c r="FP12" s="89">
        <f t="shared" si="116"/>
        <v>0</v>
      </c>
      <c r="FQ12" s="89">
        <f t="shared" si="117"/>
        <v>150</v>
      </c>
      <c r="FR12" s="89">
        <f t="shared" si="118"/>
        <v>0.14183967955579596</v>
      </c>
      <c r="FS12" s="89"/>
      <c r="FT12" s="89">
        <f t="shared" si="119"/>
        <v>0</v>
      </c>
      <c r="FU12" s="89">
        <f t="shared" si="120"/>
        <v>0</v>
      </c>
      <c r="FV12" s="89">
        <f t="shared" si="121"/>
        <v>0</v>
      </c>
      <c r="FW12" s="89">
        <f t="shared" si="122"/>
        <v>43857</v>
      </c>
      <c r="FX12" s="89">
        <f t="shared" si="123"/>
        <v>105753.2</v>
      </c>
      <c r="FY12" s="89">
        <f t="shared" si="48"/>
        <v>1.1410693378431116</v>
      </c>
      <c r="FZ12" s="89">
        <f t="shared" si="49"/>
        <v>1.1306149503934313</v>
      </c>
      <c r="GA12" s="6"/>
      <c r="GB12" s="456">
        <f t="shared" si="124"/>
        <v>0</v>
      </c>
      <c r="GC12" s="456">
        <f>(SUM($GA$10:GA12))/(SUM($EE$10:EE12))</f>
        <v>0</v>
      </c>
      <c r="GD12" s="3" t="s">
        <v>307</v>
      </c>
    </row>
    <row r="13" spans="1:186">
      <c r="A13" s="16">
        <f>+Chem!A13</f>
        <v>45842</v>
      </c>
      <c r="B13" s="6" t="str">
        <f>+Chem!B13</f>
        <v>Facial</v>
      </c>
      <c r="C13" s="16" t="str">
        <f>+Chem!C13</f>
        <v>11,5</v>
      </c>
      <c r="D13" s="8">
        <f>+Chem!D13</f>
        <v>42.158000000000001</v>
      </c>
      <c r="E13" s="7">
        <f>+Chem!E13</f>
        <v>42.110999999999997</v>
      </c>
      <c r="F13" s="7">
        <f t="shared" si="125"/>
        <v>135.64699999999999</v>
      </c>
      <c r="G13" s="99"/>
      <c r="H13" s="89">
        <f t="shared" si="0"/>
        <v>0</v>
      </c>
      <c r="I13" s="8">
        <f t="shared" si="50"/>
        <v>0</v>
      </c>
      <c r="J13" s="89">
        <f t="shared" si="1"/>
        <v>0</v>
      </c>
      <c r="K13" s="99"/>
      <c r="L13" s="89">
        <f t="shared" si="2"/>
        <v>0</v>
      </c>
      <c r="M13" s="89">
        <f t="shared" si="51"/>
        <v>0</v>
      </c>
      <c r="N13" s="89">
        <f t="shared" si="3"/>
        <v>0</v>
      </c>
      <c r="O13" s="99"/>
      <c r="P13" s="89">
        <f t="shared" si="4"/>
        <v>0</v>
      </c>
      <c r="Q13" s="89">
        <f t="shared" si="52"/>
        <v>0</v>
      </c>
      <c r="R13" s="89">
        <f t="shared" si="5"/>
        <v>0</v>
      </c>
      <c r="S13" s="99"/>
      <c r="T13" s="89">
        <f t="shared" si="6"/>
        <v>0</v>
      </c>
      <c r="U13" s="89">
        <f t="shared" si="53"/>
        <v>0</v>
      </c>
      <c r="V13" s="89">
        <f t="shared" si="7"/>
        <v>0</v>
      </c>
      <c r="W13" s="99"/>
      <c r="X13" s="89">
        <f t="shared" si="8"/>
        <v>0</v>
      </c>
      <c r="Y13" s="89">
        <f t="shared" si="54"/>
        <v>0</v>
      </c>
      <c r="Z13" s="89">
        <f t="shared" si="9"/>
        <v>0</v>
      </c>
      <c r="AA13" s="99">
        <f>26.5*AA7</f>
        <v>6104.2749999999996</v>
      </c>
      <c r="AB13" s="89">
        <f t="shared" si="10"/>
        <v>13.312335654636346</v>
      </c>
      <c r="AC13" s="89">
        <f t="shared" si="55"/>
        <v>18082.474999999999</v>
      </c>
      <c r="AD13" s="89">
        <f t="shared" si="11"/>
        <v>11.927165860390458</v>
      </c>
      <c r="AE13" s="99"/>
      <c r="AF13" s="89">
        <f t="shared" si="12"/>
        <v>0</v>
      </c>
      <c r="AG13" s="89">
        <f t="shared" si="56"/>
        <v>0</v>
      </c>
      <c r="AH13" s="89">
        <f t="shared" si="13"/>
        <v>0</v>
      </c>
      <c r="AI13" s="99"/>
      <c r="AJ13" s="89">
        <f t="shared" si="14"/>
        <v>0</v>
      </c>
      <c r="AK13" s="89">
        <f t="shared" si="57"/>
        <v>0</v>
      </c>
      <c r="AL13" s="89">
        <f t="shared" si="15"/>
        <v>0</v>
      </c>
      <c r="AM13" s="99"/>
      <c r="AN13" s="89">
        <f t="shared" si="16"/>
        <v>0</v>
      </c>
      <c r="AO13" s="89">
        <f t="shared" si="58"/>
        <v>0</v>
      </c>
      <c r="AP13" s="89">
        <f t="shared" si="17"/>
        <v>0</v>
      </c>
      <c r="AQ13" s="99"/>
      <c r="AR13" s="89">
        <f t="shared" si="18"/>
        <v>0</v>
      </c>
      <c r="AS13" s="89">
        <f t="shared" si="59"/>
        <v>0</v>
      </c>
      <c r="AT13" s="89">
        <f t="shared" si="19"/>
        <v>0</v>
      </c>
      <c r="AU13" s="250"/>
      <c r="AV13" s="89">
        <f t="shared" si="20"/>
        <v>0</v>
      </c>
      <c r="AW13" s="8">
        <f t="shared" si="60"/>
        <v>0</v>
      </c>
      <c r="AX13" s="89">
        <f t="shared" si="21"/>
        <v>0</v>
      </c>
      <c r="AY13" s="99"/>
      <c r="AZ13" s="89">
        <f t="shared" si="22"/>
        <v>0</v>
      </c>
      <c r="BA13" s="89">
        <f t="shared" si="61"/>
        <v>0</v>
      </c>
      <c r="BB13" s="89">
        <f t="shared" si="23"/>
        <v>0</v>
      </c>
      <c r="BC13" s="99"/>
      <c r="BD13" s="89">
        <f t="shared" si="24"/>
        <v>0</v>
      </c>
      <c r="BE13" s="89">
        <f t="shared" si="62"/>
        <v>0</v>
      </c>
      <c r="BF13" s="89">
        <f t="shared" si="25"/>
        <v>0</v>
      </c>
      <c r="BG13" s="99"/>
      <c r="BH13" s="89">
        <f t="shared" si="26"/>
        <v>0</v>
      </c>
      <c r="BI13" s="89">
        <f t="shared" si="63"/>
        <v>0</v>
      </c>
      <c r="BJ13" s="89">
        <f t="shared" si="27"/>
        <v>0</v>
      </c>
      <c r="BK13" s="99"/>
      <c r="BL13" s="89"/>
      <c r="BM13" s="89"/>
      <c r="BN13" s="89"/>
      <c r="BO13" s="99"/>
      <c r="BP13" s="89"/>
      <c r="BQ13" s="89"/>
      <c r="BR13" s="89"/>
      <c r="BS13" s="99"/>
      <c r="BT13" s="89"/>
      <c r="BU13" s="89"/>
      <c r="BV13" s="89"/>
      <c r="BW13" s="89">
        <f t="shared" si="64"/>
        <v>6104.2749999999996</v>
      </c>
      <c r="BX13" s="89">
        <f t="shared" si="28"/>
        <v>13.312335654636346</v>
      </c>
      <c r="BY13" s="89">
        <f t="shared" si="65"/>
        <v>18082.474999999999</v>
      </c>
      <c r="BZ13" s="89">
        <f t="shared" si="29"/>
        <v>11.927165860390458</v>
      </c>
      <c r="CA13" s="99"/>
      <c r="CB13" s="89">
        <f t="shared" si="30"/>
        <v>0</v>
      </c>
      <c r="CC13" s="89"/>
      <c r="CD13" s="89">
        <f t="shared" si="31"/>
        <v>0</v>
      </c>
      <c r="CE13" s="99"/>
      <c r="CF13" s="89">
        <f t="shared" si="32"/>
        <v>0</v>
      </c>
      <c r="CG13" s="89">
        <f t="shared" si="66"/>
        <v>0</v>
      </c>
      <c r="CH13" s="89">
        <f t="shared" si="33"/>
        <v>0</v>
      </c>
      <c r="CI13" s="99"/>
      <c r="CJ13" s="89">
        <f t="shared" si="34"/>
        <v>0</v>
      </c>
      <c r="CK13" s="89">
        <f t="shared" si="67"/>
        <v>0</v>
      </c>
      <c r="CL13" s="89">
        <f t="shared" si="35"/>
        <v>0</v>
      </c>
      <c r="CM13" s="99"/>
      <c r="CN13" s="89">
        <f t="shared" si="36"/>
        <v>0</v>
      </c>
      <c r="CO13" s="89">
        <f t="shared" si="68"/>
        <v>0</v>
      </c>
      <c r="CP13" s="89">
        <f t="shared" si="37"/>
        <v>0</v>
      </c>
      <c r="CQ13" s="99"/>
      <c r="CR13" s="89">
        <f t="shared" si="38"/>
        <v>0</v>
      </c>
      <c r="CS13" s="89">
        <f t="shared" si="69"/>
        <v>0</v>
      </c>
      <c r="CT13" s="89">
        <f t="shared" si="39"/>
        <v>0</v>
      </c>
      <c r="CU13" s="99"/>
      <c r="CV13" s="89">
        <f t="shared" si="40"/>
        <v>0</v>
      </c>
      <c r="CW13" s="89">
        <f t="shared" si="70"/>
        <v>0</v>
      </c>
      <c r="CX13" s="89">
        <f t="shared" si="41"/>
        <v>0</v>
      </c>
      <c r="CY13" s="99"/>
      <c r="CZ13" s="89">
        <f t="shared" si="42"/>
        <v>0</v>
      </c>
      <c r="DA13" s="89">
        <f t="shared" si="71"/>
        <v>0</v>
      </c>
      <c r="DB13" s="89">
        <f t="shared" si="43"/>
        <v>0</v>
      </c>
      <c r="DC13" s="99"/>
      <c r="DD13" s="89">
        <f t="shared" si="44"/>
        <v>0</v>
      </c>
      <c r="DE13" s="89">
        <f t="shared" si="72"/>
        <v>0</v>
      </c>
      <c r="DF13" s="89">
        <f t="shared" si="45"/>
        <v>0</v>
      </c>
      <c r="DG13" s="99"/>
      <c r="DH13" s="89"/>
      <c r="DI13" s="89"/>
      <c r="DJ13" s="89"/>
      <c r="DK13" s="89">
        <f t="shared" si="73"/>
        <v>0</v>
      </c>
      <c r="DL13" s="89">
        <f t="shared" si="74"/>
        <v>0</v>
      </c>
      <c r="DM13" s="89">
        <f t="shared" si="75"/>
        <v>0</v>
      </c>
      <c r="DN13" s="89">
        <f t="shared" si="46"/>
        <v>0</v>
      </c>
      <c r="DO13" s="99"/>
      <c r="DP13" s="89">
        <f t="shared" si="76"/>
        <v>0</v>
      </c>
      <c r="DQ13" s="89">
        <f t="shared" si="77"/>
        <v>0</v>
      </c>
      <c r="DR13" s="89">
        <f t="shared" si="78"/>
        <v>0</v>
      </c>
      <c r="DS13" s="99"/>
      <c r="DT13" s="90">
        <f t="shared" si="79"/>
        <v>0</v>
      </c>
      <c r="DU13" s="89">
        <f t="shared" si="80"/>
        <v>0</v>
      </c>
      <c r="DV13" s="89">
        <f t="shared" si="81"/>
        <v>0</v>
      </c>
      <c r="DW13" s="99"/>
      <c r="DX13" s="90">
        <f t="shared" si="82"/>
        <v>0</v>
      </c>
      <c r="DY13" s="89">
        <f t="shared" si="83"/>
        <v>0</v>
      </c>
      <c r="DZ13" s="457">
        <f t="shared" si="84"/>
        <v>0</v>
      </c>
      <c r="EA13" s="99">
        <f>159*EA7</f>
        <v>39750</v>
      </c>
      <c r="EB13" s="89">
        <f t="shared" si="85"/>
        <v>86.687664345363658</v>
      </c>
      <c r="EC13" s="89">
        <f t="shared" si="86"/>
        <v>133375</v>
      </c>
      <c r="ED13" s="89">
        <f t="shared" si="87"/>
        <v>87.973894427039298</v>
      </c>
      <c r="EE13" s="89">
        <f t="shared" si="47"/>
        <v>39750</v>
      </c>
      <c r="EF13" s="89">
        <f t="shared" si="88"/>
        <v>86.687664345363658</v>
      </c>
      <c r="EG13" s="89">
        <f t="shared" si="89"/>
        <v>133375</v>
      </c>
      <c r="EH13" s="89">
        <f t="shared" si="90"/>
        <v>87.973894427039298</v>
      </c>
      <c r="EI13" s="89"/>
      <c r="EJ13" s="89">
        <f t="shared" si="91"/>
        <v>0</v>
      </c>
      <c r="EK13" s="89">
        <f t="shared" si="92"/>
        <v>0</v>
      </c>
      <c r="EL13" s="89">
        <f t="shared" si="93"/>
        <v>0</v>
      </c>
      <c r="EM13" s="89"/>
      <c r="EN13" s="89">
        <f t="shared" si="94"/>
        <v>0</v>
      </c>
      <c r="EO13" s="89">
        <f t="shared" si="95"/>
        <v>0</v>
      </c>
      <c r="EP13" s="89">
        <f t="shared" si="96"/>
        <v>0</v>
      </c>
      <c r="EQ13" s="89"/>
      <c r="ER13" s="89">
        <f t="shared" si="97"/>
        <v>0</v>
      </c>
      <c r="ES13" s="89">
        <f t="shared" si="98"/>
        <v>0</v>
      </c>
      <c r="ET13" s="89">
        <f t="shared" si="99"/>
        <v>0</v>
      </c>
      <c r="EU13" s="89"/>
      <c r="EV13" s="89">
        <f t="shared" si="100"/>
        <v>0</v>
      </c>
      <c r="EW13" s="89">
        <f t="shared" si="101"/>
        <v>0</v>
      </c>
      <c r="EX13" s="89">
        <f t="shared" si="102"/>
        <v>0</v>
      </c>
      <c r="EY13" s="89"/>
      <c r="EZ13" s="89">
        <f t="shared" si="103"/>
        <v>0</v>
      </c>
      <c r="FA13" s="89">
        <f t="shared" si="104"/>
        <v>0</v>
      </c>
      <c r="FB13" s="89">
        <f t="shared" si="105"/>
        <v>0</v>
      </c>
      <c r="FC13" s="89"/>
      <c r="FD13" s="89">
        <f t="shared" si="106"/>
        <v>0</v>
      </c>
      <c r="FE13" s="89">
        <f t="shared" si="107"/>
        <v>0</v>
      </c>
      <c r="FF13" s="89">
        <f t="shared" si="108"/>
        <v>0</v>
      </c>
      <c r="FG13" s="89"/>
      <c r="FH13" s="89">
        <f t="shared" si="109"/>
        <v>0</v>
      </c>
      <c r="FI13" s="89">
        <f t="shared" si="110"/>
        <v>0</v>
      </c>
      <c r="FJ13" s="89">
        <f t="shared" si="111"/>
        <v>0</v>
      </c>
      <c r="FK13" s="89">
        <f t="shared" si="112"/>
        <v>0</v>
      </c>
      <c r="FL13" s="89">
        <f t="shared" si="113"/>
        <v>0</v>
      </c>
      <c r="FM13" s="89">
        <f t="shared" si="114"/>
        <v>0</v>
      </c>
      <c r="FN13" s="89">
        <f t="shared" si="115"/>
        <v>0</v>
      </c>
      <c r="FO13" s="89"/>
      <c r="FP13" s="89">
        <f t="shared" si="116"/>
        <v>0</v>
      </c>
      <c r="FQ13" s="89">
        <f t="shared" si="117"/>
        <v>150</v>
      </c>
      <c r="FR13" s="89">
        <f t="shared" si="118"/>
        <v>9.8939712570241006E-2</v>
      </c>
      <c r="FS13" s="89"/>
      <c r="FT13" s="89">
        <f t="shared" si="119"/>
        <v>0</v>
      </c>
      <c r="FU13" s="89">
        <f t="shared" si="120"/>
        <v>0</v>
      </c>
      <c r="FV13" s="89">
        <f t="shared" si="121"/>
        <v>0</v>
      </c>
      <c r="FW13" s="89">
        <f t="shared" si="122"/>
        <v>45854.275000000001</v>
      </c>
      <c r="FX13" s="89">
        <f t="shared" si="123"/>
        <v>151607.47500000001</v>
      </c>
      <c r="FY13" s="89">
        <f t="shared" si="48"/>
        <v>1.0888906698962268</v>
      </c>
      <c r="FZ13" s="89">
        <f t="shared" si="49"/>
        <v>1.1176618354994949</v>
      </c>
      <c r="GA13" s="6"/>
      <c r="GB13" s="456">
        <f t="shared" si="124"/>
        <v>0</v>
      </c>
      <c r="GC13" s="456">
        <f>(SUM($GA$10:GA13))/(SUM($EE$10:EE13))</f>
        <v>0</v>
      </c>
      <c r="GD13" s="3" t="s">
        <v>307</v>
      </c>
    </row>
    <row r="14" spans="1:186">
      <c r="A14" s="16">
        <f>+Chem!A14</f>
        <v>45843</v>
      </c>
      <c r="B14" s="6" t="str">
        <f>+Chem!B14</f>
        <v>Facial</v>
      </c>
      <c r="C14" s="16" t="str">
        <f>+Chem!C14</f>
        <v>11,5/12/13</v>
      </c>
      <c r="D14" s="8">
        <f>+Chem!D14</f>
        <v>44.183000000000007</v>
      </c>
      <c r="E14" s="7">
        <f>+Chem!E14</f>
        <v>41.948999999999998</v>
      </c>
      <c r="F14" s="7">
        <f t="shared" si="125"/>
        <v>177.596</v>
      </c>
      <c r="G14" s="99"/>
      <c r="H14" s="89">
        <f t="shared" si="0"/>
        <v>0</v>
      </c>
      <c r="I14" s="8">
        <f t="shared" si="50"/>
        <v>0</v>
      </c>
      <c r="J14" s="89">
        <f t="shared" si="1"/>
        <v>0</v>
      </c>
      <c r="K14" s="99"/>
      <c r="L14" s="89">
        <f t="shared" si="2"/>
        <v>0</v>
      </c>
      <c r="M14" s="89">
        <f t="shared" si="51"/>
        <v>0</v>
      </c>
      <c r="N14" s="89">
        <f t="shared" si="3"/>
        <v>0</v>
      </c>
      <c r="O14" s="99"/>
      <c r="P14" s="89">
        <f t="shared" si="4"/>
        <v>0</v>
      </c>
      <c r="Q14" s="89">
        <f t="shared" si="52"/>
        <v>0</v>
      </c>
      <c r="R14" s="89">
        <f t="shared" si="5"/>
        <v>0</v>
      </c>
      <c r="S14" s="99"/>
      <c r="T14" s="89">
        <f t="shared" si="6"/>
        <v>0</v>
      </c>
      <c r="U14" s="89">
        <f t="shared" si="53"/>
        <v>0</v>
      </c>
      <c r="V14" s="89">
        <f t="shared" si="7"/>
        <v>0</v>
      </c>
      <c r="W14" s="99"/>
      <c r="X14" s="89">
        <f t="shared" si="8"/>
        <v>0</v>
      </c>
      <c r="Y14" s="89">
        <f t="shared" si="54"/>
        <v>0</v>
      </c>
      <c r="Z14" s="89">
        <f t="shared" si="9"/>
        <v>0</v>
      </c>
      <c r="AA14" s="99">
        <f>27.5*AA7</f>
        <v>6334.625</v>
      </c>
      <c r="AB14" s="89">
        <f t="shared" si="10"/>
        <v>13.312335654636346</v>
      </c>
      <c r="AC14" s="89">
        <f t="shared" si="55"/>
        <v>24417.1</v>
      </c>
      <c r="AD14" s="89">
        <f t="shared" si="11"/>
        <v>12.258066459463</v>
      </c>
      <c r="AE14" s="99"/>
      <c r="AF14" s="89">
        <f t="shared" si="12"/>
        <v>0</v>
      </c>
      <c r="AG14" s="89">
        <f t="shared" si="56"/>
        <v>0</v>
      </c>
      <c r="AH14" s="89">
        <f t="shared" si="13"/>
        <v>0</v>
      </c>
      <c r="AI14" s="99"/>
      <c r="AJ14" s="89">
        <f t="shared" si="14"/>
        <v>0</v>
      </c>
      <c r="AK14" s="89">
        <f t="shared" si="57"/>
        <v>0</v>
      </c>
      <c r="AL14" s="89">
        <f t="shared" si="15"/>
        <v>0</v>
      </c>
      <c r="AM14" s="99"/>
      <c r="AN14" s="89">
        <f t="shared" si="16"/>
        <v>0</v>
      </c>
      <c r="AO14" s="89">
        <f t="shared" si="58"/>
        <v>0</v>
      </c>
      <c r="AP14" s="89">
        <f t="shared" si="17"/>
        <v>0</v>
      </c>
      <c r="AQ14" s="99"/>
      <c r="AR14" s="89">
        <f t="shared" si="18"/>
        <v>0</v>
      </c>
      <c r="AS14" s="89">
        <f t="shared" si="59"/>
        <v>0</v>
      </c>
      <c r="AT14" s="89">
        <f t="shared" si="19"/>
        <v>0</v>
      </c>
      <c r="AU14" s="250"/>
      <c r="AV14" s="89">
        <f t="shared" si="20"/>
        <v>0</v>
      </c>
      <c r="AW14" s="8">
        <f t="shared" si="60"/>
        <v>0</v>
      </c>
      <c r="AX14" s="89">
        <f t="shared" si="21"/>
        <v>0</v>
      </c>
      <c r="AY14" s="99"/>
      <c r="AZ14" s="89">
        <f t="shared" si="22"/>
        <v>0</v>
      </c>
      <c r="BA14" s="89">
        <f t="shared" si="61"/>
        <v>0</v>
      </c>
      <c r="BB14" s="89">
        <f t="shared" si="23"/>
        <v>0</v>
      </c>
      <c r="BC14" s="99"/>
      <c r="BD14" s="89">
        <f t="shared" si="24"/>
        <v>0</v>
      </c>
      <c r="BE14" s="89">
        <f t="shared" si="62"/>
        <v>0</v>
      </c>
      <c r="BF14" s="89">
        <f t="shared" si="25"/>
        <v>0</v>
      </c>
      <c r="BG14" s="99"/>
      <c r="BH14" s="89">
        <f t="shared" si="26"/>
        <v>0</v>
      </c>
      <c r="BI14" s="89">
        <f t="shared" si="63"/>
        <v>0</v>
      </c>
      <c r="BJ14" s="89">
        <f t="shared" si="27"/>
        <v>0</v>
      </c>
      <c r="BK14" s="99"/>
      <c r="BL14" s="89"/>
      <c r="BM14" s="89"/>
      <c r="BN14" s="89"/>
      <c r="BO14" s="99"/>
      <c r="BP14" s="89"/>
      <c r="BQ14" s="89"/>
      <c r="BR14" s="89"/>
      <c r="BS14" s="99"/>
      <c r="BT14" s="89"/>
      <c r="BU14" s="89"/>
      <c r="BV14" s="89"/>
      <c r="BW14" s="89">
        <f t="shared" si="64"/>
        <v>6334.625</v>
      </c>
      <c r="BX14" s="89">
        <f>BW14/FW14*100</f>
        <v>13.312335654636346</v>
      </c>
      <c r="BY14" s="89">
        <f t="shared" si="65"/>
        <v>24417.1</v>
      </c>
      <c r="BZ14" s="89">
        <f t="shared" si="29"/>
        <v>12.258066459463</v>
      </c>
      <c r="CA14" s="99"/>
      <c r="CB14" s="89">
        <f t="shared" si="30"/>
        <v>0</v>
      </c>
      <c r="CC14" s="89"/>
      <c r="CD14" s="89">
        <f t="shared" si="31"/>
        <v>0</v>
      </c>
      <c r="CE14" s="99"/>
      <c r="CF14" s="89">
        <f t="shared" si="32"/>
        <v>0</v>
      </c>
      <c r="CG14" s="89">
        <f t="shared" si="66"/>
        <v>0</v>
      </c>
      <c r="CH14" s="89">
        <f t="shared" si="33"/>
        <v>0</v>
      </c>
      <c r="CI14" s="99"/>
      <c r="CJ14" s="89">
        <f t="shared" si="34"/>
        <v>0</v>
      </c>
      <c r="CK14" s="89">
        <f t="shared" si="67"/>
        <v>0</v>
      </c>
      <c r="CL14" s="89">
        <f t="shared" si="35"/>
        <v>0</v>
      </c>
      <c r="CM14" s="99"/>
      <c r="CN14" s="89">
        <f t="shared" si="36"/>
        <v>0</v>
      </c>
      <c r="CO14" s="89">
        <f t="shared" si="68"/>
        <v>0</v>
      </c>
      <c r="CP14" s="89">
        <f t="shared" si="37"/>
        <v>0</v>
      </c>
      <c r="CQ14" s="99"/>
      <c r="CR14" s="89">
        <f t="shared" si="38"/>
        <v>0</v>
      </c>
      <c r="CS14" s="89">
        <f t="shared" si="69"/>
        <v>0</v>
      </c>
      <c r="CT14" s="89">
        <f t="shared" si="39"/>
        <v>0</v>
      </c>
      <c r="CU14" s="99"/>
      <c r="CV14" s="89">
        <f t="shared" si="40"/>
        <v>0</v>
      </c>
      <c r="CW14" s="89">
        <f t="shared" si="70"/>
        <v>0</v>
      </c>
      <c r="CX14" s="89">
        <f t="shared" si="41"/>
        <v>0</v>
      </c>
      <c r="CY14" s="99"/>
      <c r="CZ14" s="89">
        <f t="shared" si="42"/>
        <v>0</v>
      </c>
      <c r="DA14" s="89">
        <f t="shared" si="71"/>
        <v>0</v>
      </c>
      <c r="DB14" s="89">
        <f t="shared" si="43"/>
        <v>0</v>
      </c>
      <c r="DC14" s="99"/>
      <c r="DD14" s="89">
        <f t="shared" si="44"/>
        <v>0</v>
      </c>
      <c r="DE14" s="89">
        <f t="shared" si="72"/>
        <v>0</v>
      </c>
      <c r="DF14" s="89">
        <f t="shared" si="45"/>
        <v>0</v>
      </c>
      <c r="DG14" s="99"/>
      <c r="DH14" s="89"/>
      <c r="DI14" s="89"/>
      <c r="DJ14" s="89"/>
      <c r="DK14" s="89">
        <f t="shared" si="73"/>
        <v>0</v>
      </c>
      <c r="DL14" s="89">
        <f t="shared" si="74"/>
        <v>0</v>
      </c>
      <c r="DM14" s="89">
        <f t="shared" si="75"/>
        <v>0</v>
      </c>
      <c r="DN14" s="89">
        <f t="shared" si="46"/>
        <v>0</v>
      </c>
      <c r="DO14" s="99"/>
      <c r="DP14" s="89">
        <f t="shared" si="76"/>
        <v>0</v>
      </c>
      <c r="DQ14" s="89">
        <f t="shared" si="77"/>
        <v>0</v>
      </c>
      <c r="DR14" s="89">
        <f t="shared" si="78"/>
        <v>0</v>
      </c>
      <c r="DS14" s="99"/>
      <c r="DT14" s="90">
        <f t="shared" si="79"/>
        <v>0</v>
      </c>
      <c r="DU14" s="89">
        <f t="shared" si="80"/>
        <v>0</v>
      </c>
      <c r="DV14" s="89">
        <f t="shared" si="81"/>
        <v>0</v>
      </c>
      <c r="DW14" s="99"/>
      <c r="DX14" s="90">
        <f t="shared" si="82"/>
        <v>0</v>
      </c>
      <c r="DY14" s="89">
        <f t="shared" si="83"/>
        <v>0</v>
      </c>
      <c r="DZ14" s="457">
        <f t="shared" si="84"/>
        <v>0</v>
      </c>
      <c r="EA14" s="99">
        <f>165*EA7</f>
        <v>41250</v>
      </c>
      <c r="EB14" s="89">
        <f t="shared" si="85"/>
        <v>86.687664345363658</v>
      </c>
      <c r="EC14" s="89">
        <f t="shared" si="86"/>
        <v>174625</v>
      </c>
      <c r="ED14" s="89">
        <f t="shared" si="87"/>
        <v>87.666629349256326</v>
      </c>
      <c r="EE14" s="89">
        <f t="shared" si="47"/>
        <v>41250</v>
      </c>
      <c r="EF14" s="89">
        <f t="shared" si="88"/>
        <v>86.687664345363658</v>
      </c>
      <c r="EG14" s="89">
        <f t="shared" si="89"/>
        <v>174625</v>
      </c>
      <c r="EH14" s="89">
        <f t="shared" si="90"/>
        <v>87.666629349256326</v>
      </c>
      <c r="EI14" s="89"/>
      <c r="EJ14" s="89">
        <f t="shared" si="91"/>
        <v>0</v>
      </c>
      <c r="EK14" s="89">
        <f t="shared" si="92"/>
        <v>0</v>
      </c>
      <c r="EL14" s="89">
        <f t="shared" si="93"/>
        <v>0</v>
      </c>
      <c r="EM14" s="89"/>
      <c r="EN14" s="89">
        <f t="shared" si="94"/>
        <v>0</v>
      </c>
      <c r="EO14" s="89">
        <f t="shared" si="95"/>
        <v>0</v>
      </c>
      <c r="EP14" s="89">
        <f t="shared" si="96"/>
        <v>0</v>
      </c>
      <c r="EQ14" s="10"/>
      <c r="ER14" s="89">
        <f t="shared" si="97"/>
        <v>0</v>
      </c>
      <c r="ES14" s="89">
        <f t="shared" si="98"/>
        <v>0</v>
      </c>
      <c r="ET14" s="89">
        <f t="shared" si="99"/>
        <v>0</v>
      </c>
      <c r="EU14" s="10"/>
      <c r="EV14" s="89">
        <f t="shared" si="100"/>
        <v>0</v>
      </c>
      <c r="EW14" s="89">
        <f t="shared" si="101"/>
        <v>0</v>
      </c>
      <c r="EX14" s="89">
        <f t="shared" si="102"/>
        <v>0</v>
      </c>
      <c r="EY14" s="89"/>
      <c r="EZ14" s="89">
        <f t="shared" si="103"/>
        <v>0</v>
      </c>
      <c r="FA14" s="89">
        <f t="shared" si="104"/>
        <v>0</v>
      </c>
      <c r="FB14" s="89">
        <f t="shared" si="105"/>
        <v>0</v>
      </c>
      <c r="FC14" s="89"/>
      <c r="FD14" s="89">
        <f t="shared" si="106"/>
        <v>0</v>
      </c>
      <c r="FE14" s="89">
        <f t="shared" si="107"/>
        <v>0</v>
      </c>
      <c r="FF14" s="89">
        <f t="shared" si="108"/>
        <v>0</v>
      </c>
      <c r="FG14" s="89"/>
      <c r="FH14" s="89">
        <f t="shared" si="109"/>
        <v>0</v>
      </c>
      <c r="FI14" s="89">
        <f t="shared" si="110"/>
        <v>0</v>
      </c>
      <c r="FJ14" s="89">
        <f t="shared" si="111"/>
        <v>0</v>
      </c>
      <c r="FK14" s="89">
        <f t="shared" si="112"/>
        <v>0</v>
      </c>
      <c r="FL14" s="89">
        <f t="shared" si="113"/>
        <v>0</v>
      </c>
      <c r="FM14" s="89">
        <f t="shared" si="114"/>
        <v>0</v>
      </c>
      <c r="FN14" s="89">
        <f t="shared" si="115"/>
        <v>0</v>
      </c>
      <c r="FO14" s="89"/>
      <c r="FP14" s="89">
        <f t="shared" si="116"/>
        <v>0</v>
      </c>
      <c r="FQ14" s="89">
        <f t="shared" si="117"/>
        <v>150</v>
      </c>
      <c r="FR14" s="89">
        <f t="shared" si="118"/>
        <v>7.5304191280678293E-2</v>
      </c>
      <c r="FS14" s="89"/>
      <c r="FT14" s="89">
        <f t="shared" si="119"/>
        <v>0</v>
      </c>
      <c r="FU14" s="89">
        <f t="shared" si="120"/>
        <v>0</v>
      </c>
      <c r="FV14" s="89">
        <f t="shared" si="121"/>
        <v>0</v>
      </c>
      <c r="FW14" s="89">
        <f t="shared" si="122"/>
        <v>47584.625</v>
      </c>
      <c r="FX14" s="89">
        <f t="shared" si="123"/>
        <v>199192.1</v>
      </c>
      <c r="FY14" s="89">
        <f t="shared" si="48"/>
        <v>1.1343446804453028</v>
      </c>
      <c r="FZ14" s="89">
        <f t="shared" si="49"/>
        <v>1.1216024009549765</v>
      </c>
      <c r="GA14" s="6"/>
      <c r="GB14" s="456">
        <f t="shared" si="124"/>
        <v>0</v>
      </c>
      <c r="GC14" s="456">
        <f>(SUM($GA$10:GA14))/(SUM($EE$10:EE14))</f>
        <v>0</v>
      </c>
      <c r="GD14" s="3" t="s">
        <v>307</v>
      </c>
    </row>
    <row r="15" spans="1:186">
      <c r="A15" s="16">
        <f>+Chem!A15</f>
        <v>45844</v>
      </c>
      <c r="B15" s="6" t="str">
        <f>+Chem!B15</f>
        <v>Facial/Toilet</v>
      </c>
      <c r="C15" s="16" t="str">
        <f>+Chem!C15</f>
        <v>13/13</v>
      </c>
      <c r="D15" s="8">
        <f>+Chem!D15</f>
        <v>47.881999999999998</v>
      </c>
      <c r="E15" s="7">
        <f>+Chem!E15</f>
        <v>45.878999999999998</v>
      </c>
      <c r="F15" s="7">
        <f t="shared" si="125"/>
        <v>223.47499999999999</v>
      </c>
      <c r="G15" s="99"/>
      <c r="H15" s="89">
        <f t="shared" si="0"/>
        <v>0</v>
      </c>
      <c r="I15" s="8">
        <f t="shared" si="50"/>
        <v>0</v>
      </c>
      <c r="J15" s="89">
        <f t="shared" si="1"/>
        <v>0</v>
      </c>
      <c r="K15" s="99"/>
      <c r="L15" s="89">
        <f t="shared" si="2"/>
        <v>0</v>
      </c>
      <c r="M15" s="89">
        <f t="shared" si="51"/>
        <v>0</v>
      </c>
      <c r="N15" s="89">
        <f t="shared" si="3"/>
        <v>0</v>
      </c>
      <c r="O15" s="99"/>
      <c r="P15" s="89">
        <f t="shared" si="4"/>
        <v>0</v>
      </c>
      <c r="Q15" s="89">
        <f t="shared" si="52"/>
        <v>0</v>
      </c>
      <c r="R15" s="89">
        <f t="shared" si="5"/>
        <v>0</v>
      </c>
      <c r="S15" s="99"/>
      <c r="T15" s="89">
        <f t="shared" si="6"/>
        <v>0</v>
      </c>
      <c r="U15" s="89">
        <f t="shared" si="53"/>
        <v>0</v>
      </c>
      <c r="V15" s="89">
        <f t="shared" si="7"/>
        <v>0</v>
      </c>
      <c r="W15" s="99"/>
      <c r="X15" s="89">
        <f t="shared" si="8"/>
        <v>0</v>
      </c>
      <c r="Y15" s="89">
        <f t="shared" si="54"/>
        <v>0</v>
      </c>
      <c r="Z15" s="89">
        <f t="shared" si="9"/>
        <v>0</v>
      </c>
      <c r="AA15" s="99">
        <f>29*AA7</f>
        <v>6680.15</v>
      </c>
      <c r="AB15" s="89">
        <f t="shared" si="10"/>
        <v>13.312335654636346</v>
      </c>
      <c r="AC15" s="89">
        <f t="shared" si="55"/>
        <v>31097.25</v>
      </c>
      <c r="AD15" s="89">
        <f t="shared" si="11"/>
        <v>12.470212704099994</v>
      </c>
      <c r="AE15" s="99"/>
      <c r="AF15" s="89">
        <f t="shared" si="12"/>
        <v>0</v>
      </c>
      <c r="AG15" s="89">
        <f t="shared" si="56"/>
        <v>0</v>
      </c>
      <c r="AH15" s="89">
        <f t="shared" si="13"/>
        <v>0</v>
      </c>
      <c r="AI15" s="99"/>
      <c r="AJ15" s="89">
        <f t="shared" si="14"/>
        <v>0</v>
      </c>
      <c r="AK15" s="89">
        <f t="shared" si="57"/>
        <v>0</v>
      </c>
      <c r="AL15" s="89">
        <f t="shared" si="15"/>
        <v>0</v>
      </c>
      <c r="AM15" s="99"/>
      <c r="AN15" s="89">
        <f t="shared" si="16"/>
        <v>0</v>
      </c>
      <c r="AO15" s="89">
        <f t="shared" si="58"/>
        <v>0</v>
      </c>
      <c r="AP15" s="89">
        <f t="shared" si="17"/>
        <v>0</v>
      </c>
      <c r="AQ15" s="99"/>
      <c r="AR15" s="89">
        <f t="shared" si="18"/>
        <v>0</v>
      </c>
      <c r="AS15" s="89">
        <f t="shared" si="59"/>
        <v>0</v>
      </c>
      <c r="AT15" s="89">
        <f t="shared" si="19"/>
        <v>0</v>
      </c>
      <c r="AU15" s="250"/>
      <c r="AV15" s="89">
        <f t="shared" si="20"/>
        <v>0</v>
      </c>
      <c r="AW15" s="8">
        <f t="shared" si="60"/>
        <v>0</v>
      </c>
      <c r="AX15" s="89">
        <f t="shared" si="21"/>
        <v>0</v>
      </c>
      <c r="AY15" s="99"/>
      <c r="AZ15" s="89">
        <f t="shared" si="22"/>
        <v>0</v>
      </c>
      <c r="BA15" s="89">
        <f t="shared" si="61"/>
        <v>0</v>
      </c>
      <c r="BB15" s="89">
        <f t="shared" si="23"/>
        <v>0</v>
      </c>
      <c r="BC15" s="99"/>
      <c r="BD15" s="89">
        <f t="shared" si="24"/>
        <v>0</v>
      </c>
      <c r="BE15" s="89">
        <f t="shared" si="62"/>
        <v>0</v>
      </c>
      <c r="BF15" s="89">
        <f t="shared" si="25"/>
        <v>0</v>
      </c>
      <c r="BG15" s="99"/>
      <c r="BH15" s="89">
        <f t="shared" si="26"/>
        <v>0</v>
      </c>
      <c r="BI15" s="89">
        <f t="shared" si="63"/>
        <v>0</v>
      </c>
      <c r="BJ15" s="89">
        <f t="shared" si="27"/>
        <v>0</v>
      </c>
      <c r="BK15" s="99"/>
      <c r="BL15" s="89"/>
      <c r="BM15" s="89"/>
      <c r="BN15" s="89"/>
      <c r="BO15" s="99"/>
      <c r="BP15" s="89"/>
      <c r="BQ15" s="89"/>
      <c r="BR15" s="89"/>
      <c r="BS15" s="99"/>
      <c r="BT15" s="89"/>
      <c r="BU15" s="89"/>
      <c r="BV15" s="89"/>
      <c r="BW15" s="89">
        <f t="shared" si="64"/>
        <v>6680.15</v>
      </c>
      <c r="BX15" s="89">
        <f t="shared" si="28"/>
        <v>13.312335654636346</v>
      </c>
      <c r="BY15" s="89">
        <f t="shared" si="65"/>
        <v>31097.25</v>
      </c>
      <c r="BZ15" s="89">
        <f t="shared" si="29"/>
        <v>12.470212704099994</v>
      </c>
      <c r="CA15" s="99"/>
      <c r="CB15" s="10">
        <f t="shared" si="30"/>
        <v>0</v>
      </c>
      <c r="CC15" s="89"/>
      <c r="CD15" s="10">
        <f t="shared" si="31"/>
        <v>0</v>
      </c>
      <c r="CE15" s="99"/>
      <c r="CF15" s="89">
        <f t="shared" si="32"/>
        <v>0</v>
      </c>
      <c r="CG15" s="89">
        <f t="shared" si="66"/>
        <v>0</v>
      </c>
      <c r="CH15" s="89">
        <f t="shared" si="33"/>
        <v>0</v>
      </c>
      <c r="CI15" s="99"/>
      <c r="CJ15" s="89">
        <f t="shared" si="34"/>
        <v>0</v>
      </c>
      <c r="CK15" s="89">
        <f t="shared" si="67"/>
        <v>0</v>
      </c>
      <c r="CL15" s="89">
        <f t="shared" si="35"/>
        <v>0</v>
      </c>
      <c r="CM15" s="99"/>
      <c r="CN15" s="89">
        <f t="shared" si="36"/>
        <v>0</v>
      </c>
      <c r="CO15" s="89">
        <f t="shared" si="68"/>
        <v>0</v>
      </c>
      <c r="CP15" s="89">
        <f t="shared" si="37"/>
        <v>0</v>
      </c>
      <c r="CQ15" s="99"/>
      <c r="CR15" s="89">
        <f t="shared" si="38"/>
        <v>0</v>
      </c>
      <c r="CS15" s="89">
        <f t="shared" si="69"/>
        <v>0</v>
      </c>
      <c r="CT15" s="89">
        <f t="shared" si="39"/>
        <v>0</v>
      </c>
      <c r="CU15" s="99"/>
      <c r="CV15" s="89">
        <f t="shared" si="40"/>
        <v>0</v>
      </c>
      <c r="CW15" s="89">
        <f t="shared" si="70"/>
        <v>0</v>
      </c>
      <c r="CX15" s="89">
        <f t="shared" si="41"/>
        <v>0</v>
      </c>
      <c r="CY15" s="99">
        <f>156*CY7</f>
        <v>39000</v>
      </c>
      <c r="CZ15" s="89">
        <f t="shared" si="42"/>
        <v>77.719974930326032</v>
      </c>
      <c r="DA15" s="89">
        <f t="shared" si="71"/>
        <v>39000</v>
      </c>
      <c r="DB15" s="89">
        <f t="shared" si="43"/>
        <v>0.1563927020749101</v>
      </c>
      <c r="DC15" s="99"/>
      <c r="DD15" s="89">
        <f t="shared" si="44"/>
        <v>0</v>
      </c>
      <c r="DE15" s="89">
        <f t="shared" si="72"/>
        <v>0</v>
      </c>
      <c r="DF15" s="89">
        <f t="shared" si="45"/>
        <v>0</v>
      </c>
      <c r="DG15" s="99"/>
      <c r="DH15" s="89"/>
      <c r="DI15" s="89"/>
      <c r="DJ15" s="89"/>
      <c r="DK15" s="10">
        <f t="shared" si="73"/>
        <v>39000</v>
      </c>
      <c r="DL15" s="89">
        <f t="shared" si="74"/>
        <v>77.719974930326032</v>
      </c>
      <c r="DM15" s="89">
        <f t="shared" si="75"/>
        <v>39000</v>
      </c>
      <c r="DN15" s="89">
        <f t="shared" si="46"/>
        <v>15.639270207491011</v>
      </c>
      <c r="DO15" s="99"/>
      <c r="DP15" s="10">
        <f t="shared" si="76"/>
        <v>0</v>
      </c>
      <c r="DQ15" s="89">
        <f t="shared" si="77"/>
        <v>0</v>
      </c>
      <c r="DR15" s="10">
        <f t="shared" si="78"/>
        <v>0</v>
      </c>
      <c r="DS15" s="99"/>
      <c r="DT15" s="15">
        <f t="shared" si="79"/>
        <v>0</v>
      </c>
      <c r="DU15" s="89">
        <f t="shared" si="80"/>
        <v>0</v>
      </c>
      <c r="DV15" s="10">
        <f t="shared" si="81"/>
        <v>0</v>
      </c>
      <c r="DW15" s="99"/>
      <c r="DX15" s="15">
        <f t="shared" si="82"/>
        <v>0</v>
      </c>
      <c r="DY15" s="10">
        <f t="shared" si="83"/>
        <v>0</v>
      </c>
      <c r="DZ15" s="455">
        <f t="shared" si="84"/>
        <v>0</v>
      </c>
      <c r="EA15" s="99">
        <f>18*EA7</f>
        <v>4500</v>
      </c>
      <c r="EB15" s="10">
        <f t="shared" si="85"/>
        <v>8.9676894150376185</v>
      </c>
      <c r="EC15" s="89">
        <f t="shared" si="86"/>
        <v>179125</v>
      </c>
      <c r="ED15" s="10">
        <f t="shared" si="87"/>
        <v>71.830366049149418</v>
      </c>
      <c r="EE15" s="10">
        <f t="shared" si="47"/>
        <v>4500</v>
      </c>
      <c r="EF15" s="10">
        <f t="shared" si="88"/>
        <v>8.9676894150376185</v>
      </c>
      <c r="EG15" s="89">
        <f t="shared" si="89"/>
        <v>179125</v>
      </c>
      <c r="EH15" s="10">
        <f t="shared" si="90"/>
        <v>71.830366049149418</v>
      </c>
      <c r="EI15" s="10"/>
      <c r="EJ15" s="89">
        <f t="shared" si="91"/>
        <v>0</v>
      </c>
      <c r="EK15" s="89">
        <f t="shared" si="92"/>
        <v>0</v>
      </c>
      <c r="EL15" s="89">
        <f t="shared" si="93"/>
        <v>0</v>
      </c>
      <c r="EM15" s="10"/>
      <c r="EN15" s="89">
        <f t="shared" si="94"/>
        <v>0</v>
      </c>
      <c r="EO15" s="89">
        <f t="shared" si="95"/>
        <v>0</v>
      </c>
      <c r="EP15" s="89">
        <f t="shared" si="96"/>
        <v>0</v>
      </c>
      <c r="EQ15" s="10"/>
      <c r="ER15" s="89">
        <f t="shared" si="97"/>
        <v>0</v>
      </c>
      <c r="ES15" s="89">
        <f t="shared" si="98"/>
        <v>0</v>
      </c>
      <c r="ET15" s="89">
        <f t="shared" si="99"/>
        <v>0</v>
      </c>
      <c r="EU15" s="10"/>
      <c r="EV15" s="10">
        <f t="shared" si="100"/>
        <v>0</v>
      </c>
      <c r="EW15" s="89">
        <f t="shared" si="101"/>
        <v>0</v>
      </c>
      <c r="EX15" s="10">
        <f t="shared" si="102"/>
        <v>0</v>
      </c>
      <c r="EY15" s="89"/>
      <c r="EZ15" s="89">
        <f t="shared" si="103"/>
        <v>0</v>
      </c>
      <c r="FA15" s="89">
        <f t="shared" si="104"/>
        <v>0</v>
      </c>
      <c r="FB15" s="89">
        <f t="shared" si="105"/>
        <v>0</v>
      </c>
      <c r="FC15" s="89"/>
      <c r="FD15" s="89">
        <f t="shared" si="106"/>
        <v>0</v>
      </c>
      <c r="FE15" s="89">
        <f t="shared" si="107"/>
        <v>0</v>
      </c>
      <c r="FF15" s="89">
        <f t="shared" si="108"/>
        <v>0</v>
      </c>
      <c r="FG15" s="89"/>
      <c r="FH15" s="89">
        <f t="shared" si="109"/>
        <v>0</v>
      </c>
      <c r="FI15" s="89">
        <f t="shared" si="110"/>
        <v>0</v>
      </c>
      <c r="FJ15" s="89">
        <f t="shared" si="111"/>
        <v>0</v>
      </c>
      <c r="FK15" s="89">
        <f t="shared" si="112"/>
        <v>0</v>
      </c>
      <c r="FL15" s="89">
        <f t="shared" si="113"/>
        <v>0</v>
      </c>
      <c r="FM15" s="89">
        <f t="shared" si="114"/>
        <v>0</v>
      </c>
      <c r="FN15" s="89">
        <f t="shared" si="115"/>
        <v>0</v>
      </c>
      <c r="FO15" s="89"/>
      <c r="FP15" s="89">
        <f t="shared" si="116"/>
        <v>0</v>
      </c>
      <c r="FQ15" s="89">
        <f t="shared" si="117"/>
        <v>150</v>
      </c>
      <c r="FR15" s="89">
        <f t="shared" si="118"/>
        <v>6.0151039259580805E-2</v>
      </c>
      <c r="FS15" s="89"/>
      <c r="FT15" s="89">
        <f t="shared" si="119"/>
        <v>0</v>
      </c>
      <c r="FU15" s="89">
        <f t="shared" si="120"/>
        <v>0</v>
      </c>
      <c r="FV15" s="89">
        <f t="shared" si="121"/>
        <v>0</v>
      </c>
      <c r="FW15" s="89">
        <f t="shared" si="122"/>
        <v>50180.15</v>
      </c>
      <c r="FX15" s="89">
        <f t="shared" si="123"/>
        <v>249372.25</v>
      </c>
      <c r="FY15" s="89">
        <f t="shared" si="48"/>
        <v>1.0937498637720964</v>
      </c>
      <c r="FZ15" s="89">
        <f t="shared" si="49"/>
        <v>1.1158843271059404</v>
      </c>
      <c r="GA15" s="6"/>
      <c r="GB15" s="456">
        <f t="shared" si="124"/>
        <v>0</v>
      </c>
      <c r="GC15" s="456">
        <f>(SUM($GA$10:GA15))/(SUM($EE$10:EE15))</f>
        <v>0</v>
      </c>
      <c r="GD15" s="3" t="s">
        <v>307</v>
      </c>
    </row>
    <row r="16" spans="1:186">
      <c r="A16" s="16">
        <f>+Chem!A16</f>
        <v>45845</v>
      </c>
      <c r="B16" s="6" t="str">
        <f>+Chem!B16</f>
        <v>Toilet</v>
      </c>
      <c r="C16" s="16" t="str">
        <f>+Chem!C16</f>
        <v>13</v>
      </c>
      <c r="D16" s="8">
        <f>+Chem!D16</f>
        <v>51.512</v>
      </c>
      <c r="E16" s="7">
        <f>+Chem!E16</f>
        <v>48.341000000000001</v>
      </c>
      <c r="F16" s="7">
        <f t="shared" si="125"/>
        <v>271.81599999999997</v>
      </c>
      <c r="G16" s="99"/>
      <c r="H16" s="89">
        <f t="shared" si="0"/>
        <v>0</v>
      </c>
      <c r="I16" s="8">
        <f t="shared" si="50"/>
        <v>0</v>
      </c>
      <c r="J16" s="89">
        <f t="shared" si="1"/>
        <v>0</v>
      </c>
      <c r="K16" s="99"/>
      <c r="L16" s="89">
        <f t="shared" si="2"/>
        <v>0</v>
      </c>
      <c r="M16" s="89">
        <f t="shared" si="51"/>
        <v>0</v>
      </c>
      <c r="N16" s="89">
        <f t="shared" si="3"/>
        <v>0</v>
      </c>
      <c r="O16" s="99"/>
      <c r="P16" s="89">
        <f t="shared" si="4"/>
        <v>0</v>
      </c>
      <c r="Q16" s="89">
        <f t="shared" si="52"/>
        <v>0</v>
      </c>
      <c r="R16" s="89">
        <f t="shared" si="5"/>
        <v>0</v>
      </c>
      <c r="S16" s="99"/>
      <c r="T16" s="89">
        <f t="shared" si="6"/>
        <v>0</v>
      </c>
      <c r="U16" s="89">
        <f t="shared" si="53"/>
        <v>0</v>
      </c>
      <c r="V16" s="89">
        <f t="shared" si="7"/>
        <v>0</v>
      </c>
      <c r="W16" s="99"/>
      <c r="X16" s="89">
        <f t="shared" si="8"/>
        <v>0</v>
      </c>
      <c r="Y16" s="89">
        <f t="shared" si="54"/>
        <v>0</v>
      </c>
      <c r="Z16" s="89">
        <f t="shared" si="9"/>
        <v>0</v>
      </c>
      <c r="AA16" s="99">
        <f>29.5*AA7</f>
        <v>6795.3249999999998</v>
      </c>
      <c r="AB16" s="89">
        <f t="shared" si="10"/>
        <v>13.312335654636346</v>
      </c>
      <c r="AC16" s="89">
        <f t="shared" si="55"/>
        <v>37892.574999999997</v>
      </c>
      <c r="AD16" s="89">
        <f t="shared" si="11"/>
        <v>12.613301668519226</v>
      </c>
      <c r="AE16" s="99"/>
      <c r="AF16" s="89">
        <f t="shared" si="12"/>
        <v>0</v>
      </c>
      <c r="AG16" s="89">
        <f t="shared" si="56"/>
        <v>0</v>
      </c>
      <c r="AH16" s="89">
        <f t="shared" si="13"/>
        <v>0</v>
      </c>
      <c r="AI16" s="99"/>
      <c r="AJ16" s="89">
        <f t="shared" si="14"/>
        <v>0</v>
      </c>
      <c r="AK16" s="89">
        <f t="shared" si="57"/>
        <v>0</v>
      </c>
      <c r="AL16" s="89">
        <f t="shared" si="15"/>
        <v>0</v>
      </c>
      <c r="AM16" s="99"/>
      <c r="AN16" s="89">
        <f t="shared" si="16"/>
        <v>0</v>
      </c>
      <c r="AO16" s="89">
        <f t="shared" si="58"/>
        <v>0</v>
      </c>
      <c r="AP16" s="89">
        <f t="shared" si="17"/>
        <v>0</v>
      </c>
      <c r="AQ16" s="99"/>
      <c r="AR16" s="89">
        <f t="shared" si="18"/>
        <v>0</v>
      </c>
      <c r="AS16" s="89">
        <f t="shared" si="59"/>
        <v>0</v>
      </c>
      <c r="AT16" s="89">
        <f t="shared" si="19"/>
        <v>0</v>
      </c>
      <c r="AU16" s="250"/>
      <c r="AV16" s="89">
        <f t="shared" si="20"/>
        <v>0</v>
      </c>
      <c r="AW16" s="8">
        <f t="shared" si="60"/>
        <v>0</v>
      </c>
      <c r="AX16" s="89">
        <f t="shared" si="21"/>
        <v>0</v>
      </c>
      <c r="AY16" s="99"/>
      <c r="AZ16" s="89">
        <f t="shared" si="22"/>
        <v>0</v>
      </c>
      <c r="BA16" s="89">
        <f t="shared" si="61"/>
        <v>0</v>
      </c>
      <c r="BB16" s="89">
        <f t="shared" si="23"/>
        <v>0</v>
      </c>
      <c r="BC16" s="99"/>
      <c r="BD16" s="89">
        <f t="shared" si="24"/>
        <v>0</v>
      </c>
      <c r="BE16" s="89">
        <f t="shared" si="62"/>
        <v>0</v>
      </c>
      <c r="BF16" s="89">
        <f t="shared" si="25"/>
        <v>0</v>
      </c>
      <c r="BG16" s="99"/>
      <c r="BH16" s="89">
        <f t="shared" si="26"/>
        <v>0</v>
      </c>
      <c r="BI16" s="89">
        <f t="shared" si="63"/>
        <v>0</v>
      </c>
      <c r="BJ16" s="89">
        <f t="shared" si="27"/>
        <v>0</v>
      </c>
      <c r="BK16" s="99"/>
      <c r="BL16" s="89"/>
      <c r="BM16" s="89"/>
      <c r="BN16" s="89"/>
      <c r="BO16" s="99"/>
      <c r="BP16" s="89"/>
      <c r="BQ16" s="89"/>
      <c r="BR16" s="89"/>
      <c r="BS16" s="99"/>
      <c r="BT16" s="89"/>
      <c r="BU16" s="89"/>
      <c r="BV16" s="89"/>
      <c r="BW16" s="89">
        <f t="shared" si="64"/>
        <v>6795.3249999999998</v>
      </c>
      <c r="BX16" s="89">
        <f t="shared" si="28"/>
        <v>13.312335654636346</v>
      </c>
      <c r="BY16" s="89">
        <f t="shared" si="65"/>
        <v>37892.574999999997</v>
      </c>
      <c r="BZ16" s="89">
        <f t="shared" si="29"/>
        <v>12.613301668519226</v>
      </c>
      <c r="CA16" s="99"/>
      <c r="CB16" s="10">
        <f t="shared" si="30"/>
        <v>0</v>
      </c>
      <c r="CC16" s="89"/>
      <c r="CD16" s="10">
        <f t="shared" si="31"/>
        <v>0</v>
      </c>
      <c r="CE16" s="99"/>
      <c r="CF16" s="89">
        <f t="shared" si="32"/>
        <v>0</v>
      </c>
      <c r="CG16" s="89">
        <f t="shared" si="66"/>
        <v>0</v>
      </c>
      <c r="CH16" s="89">
        <f t="shared" si="33"/>
        <v>0</v>
      </c>
      <c r="CI16" s="99"/>
      <c r="CJ16" s="89">
        <f t="shared" si="34"/>
        <v>0</v>
      </c>
      <c r="CK16" s="89">
        <f t="shared" si="67"/>
        <v>0</v>
      </c>
      <c r="CL16" s="89">
        <f t="shared" si="35"/>
        <v>0</v>
      </c>
      <c r="CM16" s="99"/>
      <c r="CN16" s="89">
        <f t="shared" si="36"/>
        <v>0</v>
      </c>
      <c r="CO16" s="89">
        <f t="shared" si="68"/>
        <v>0</v>
      </c>
      <c r="CP16" s="89">
        <f t="shared" si="37"/>
        <v>0</v>
      </c>
      <c r="CQ16" s="99"/>
      <c r="CR16" s="89">
        <f t="shared" si="38"/>
        <v>0</v>
      </c>
      <c r="CS16" s="89">
        <f t="shared" si="69"/>
        <v>0</v>
      </c>
      <c r="CT16" s="89">
        <f t="shared" si="39"/>
        <v>0</v>
      </c>
      <c r="CU16" s="99"/>
      <c r="CV16" s="89">
        <f t="shared" si="40"/>
        <v>0</v>
      </c>
      <c r="CW16" s="89">
        <f t="shared" si="70"/>
        <v>0</v>
      </c>
      <c r="CX16" s="89">
        <f t="shared" si="41"/>
        <v>0</v>
      </c>
      <c r="CY16" s="99">
        <f>177*CY7</f>
        <v>44250</v>
      </c>
      <c r="CZ16" s="89">
        <f t="shared" si="42"/>
        <v>86.687664345363658</v>
      </c>
      <c r="DA16" s="89">
        <f t="shared" si="71"/>
        <v>83250</v>
      </c>
      <c r="DB16" s="89">
        <f t="shared" si="43"/>
        <v>0.27711428001507565</v>
      </c>
      <c r="DC16" s="99"/>
      <c r="DD16" s="89">
        <f t="shared" si="44"/>
        <v>0</v>
      </c>
      <c r="DE16" s="89">
        <f t="shared" si="72"/>
        <v>0</v>
      </c>
      <c r="DF16" s="89">
        <f t="shared" si="45"/>
        <v>0</v>
      </c>
      <c r="DG16" s="99"/>
      <c r="DH16" s="89"/>
      <c r="DI16" s="89"/>
      <c r="DJ16" s="89"/>
      <c r="DK16" s="10">
        <f t="shared" si="73"/>
        <v>44250</v>
      </c>
      <c r="DL16" s="89">
        <f t="shared" si="74"/>
        <v>86.687664345363658</v>
      </c>
      <c r="DM16" s="89">
        <f t="shared" si="75"/>
        <v>83250</v>
      </c>
      <c r="DN16" s="89">
        <f t="shared" si="46"/>
        <v>27.711428001507564</v>
      </c>
      <c r="DO16" s="99"/>
      <c r="DP16" s="10">
        <f t="shared" si="76"/>
        <v>0</v>
      </c>
      <c r="DQ16" s="89">
        <f t="shared" si="77"/>
        <v>0</v>
      </c>
      <c r="DR16" s="10">
        <f t="shared" si="78"/>
        <v>0</v>
      </c>
      <c r="DS16" s="99"/>
      <c r="DT16" s="15">
        <f t="shared" si="79"/>
        <v>0</v>
      </c>
      <c r="DU16" s="89">
        <f t="shared" si="80"/>
        <v>0</v>
      </c>
      <c r="DV16" s="10">
        <f t="shared" si="81"/>
        <v>0</v>
      </c>
      <c r="DW16" s="99"/>
      <c r="DX16" s="15">
        <f t="shared" si="82"/>
        <v>0</v>
      </c>
      <c r="DY16" s="10">
        <f t="shared" si="83"/>
        <v>0</v>
      </c>
      <c r="DZ16" s="455">
        <f t="shared" si="84"/>
        <v>0</v>
      </c>
      <c r="EA16" s="99"/>
      <c r="EB16" s="10">
        <f t="shared" si="85"/>
        <v>0</v>
      </c>
      <c r="EC16" s="89">
        <f t="shared" si="86"/>
        <v>179125</v>
      </c>
      <c r="ED16" s="10">
        <f t="shared" si="87"/>
        <v>59.625339829069588</v>
      </c>
      <c r="EE16" s="10">
        <f t="shared" si="47"/>
        <v>0</v>
      </c>
      <c r="EF16" s="10">
        <f t="shared" si="88"/>
        <v>0</v>
      </c>
      <c r="EG16" s="89">
        <f t="shared" si="89"/>
        <v>179125</v>
      </c>
      <c r="EH16" s="10">
        <f t="shared" si="90"/>
        <v>59.625339829069588</v>
      </c>
      <c r="EI16" s="10"/>
      <c r="EJ16" s="89">
        <f t="shared" si="91"/>
        <v>0</v>
      </c>
      <c r="EK16" s="89">
        <f t="shared" si="92"/>
        <v>0</v>
      </c>
      <c r="EL16" s="89">
        <f t="shared" si="93"/>
        <v>0</v>
      </c>
      <c r="EM16" s="10"/>
      <c r="EN16" s="89">
        <f t="shared" si="94"/>
        <v>0</v>
      </c>
      <c r="EO16" s="89">
        <f t="shared" si="95"/>
        <v>0</v>
      </c>
      <c r="EP16" s="89">
        <f t="shared" si="96"/>
        <v>0</v>
      </c>
      <c r="EQ16" s="10"/>
      <c r="ER16" s="89">
        <f t="shared" si="97"/>
        <v>0</v>
      </c>
      <c r="ES16" s="89">
        <f t="shared" si="98"/>
        <v>0</v>
      </c>
      <c r="ET16" s="89">
        <f t="shared" si="99"/>
        <v>0</v>
      </c>
      <c r="EU16" s="10"/>
      <c r="EV16" s="10">
        <f t="shared" si="100"/>
        <v>0</v>
      </c>
      <c r="EW16" s="89">
        <f t="shared" si="101"/>
        <v>0</v>
      </c>
      <c r="EX16" s="10">
        <f t="shared" si="102"/>
        <v>0</v>
      </c>
      <c r="EY16" s="89"/>
      <c r="EZ16" s="89">
        <f t="shared" si="103"/>
        <v>0</v>
      </c>
      <c r="FA16" s="89">
        <f t="shared" si="104"/>
        <v>0</v>
      </c>
      <c r="FB16" s="89">
        <f t="shared" si="105"/>
        <v>0</v>
      </c>
      <c r="FC16" s="89"/>
      <c r="FD16" s="89">
        <f t="shared" si="106"/>
        <v>0</v>
      </c>
      <c r="FE16" s="89">
        <f t="shared" si="107"/>
        <v>0</v>
      </c>
      <c r="FF16" s="89">
        <f t="shared" si="108"/>
        <v>0</v>
      </c>
      <c r="FG16" s="89"/>
      <c r="FH16" s="89">
        <f t="shared" si="109"/>
        <v>0</v>
      </c>
      <c r="FI16" s="89">
        <f t="shared" si="110"/>
        <v>0</v>
      </c>
      <c r="FJ16" s="89">
        <f t="shared" si="111"/>
        <v>0</v>
      </c>
      <c r="FK16" s="89">
        <f t="shared" si="112"/>
        <v>0</v>
      </c>
      <c r="FL16" s="89">
        <f t="shared" si="113"/>
        <v>0</v>
      </c>
      <c r="FM16" s="89">
        <f t="shared" si="114"/>
        <v>0</v>
      </c>
      <c r="FN16" s="89">
        <f t="shared" si="115"/>
        <v>0</v>
      </c>
      <c r="FO16" s="89"/>
      <c r="FP16" s="89">
        <f t="shared" si="116"/>
        <v>0</v>
      </c>
      <c r="FQ16" s="89">
        <f t="shared" si="117"/>
        <v>150</v>
      </c>
      <c r="FR16" s="89">
        <f t="shared" si="118"/>
        <v>4.9930500903617246E-2</v>
      </c>
      <c r="FS16" s="89"/>
      <c r="FT16" s="89">
        <f t="shared" si="119"/>
        <v>0</v>
      </c>
      <c r="FU16" s="89">
        <f t="shared" si="120"/>
        <v>0</v>
      </c>
      <c r="FV16" s="89">
        <f t="shared" si="121"/>
        <v>0</v>
      </c>
      <c r="FW16" s="89">
        <f t="shared" si="122"/>
        <v>51045.324999999997</v>
      </c>
      <c r="FX16" s="89">
        <f t="shared" si="123"/>
        <v>300417.57500000001</v>
      </c>
      <c r="FY16" s="89">
        <f t="shared" si="48"/>
        <v>1.0559426780579633</v>
      </c>
      <c r="FZ16" s="89">
        <f t="shared" si="49"/>
        <v>1.1052240302263296</v>
      </c>
      <c r="GA16" s="6"/>
      <c r="GB16" s="456" t="e">
        <f t="shared" si="124"/>
        <v>#DIV/0!</v>
      </c>
      <c r="GC16" s="456">
        <f>(SUM($GA$10:GA16))/(SUM($EE$10:EE16))</f>
        <v>0</v>
      </c>
      <c r="GD16" s="3" t="s">
        <v>307</v>
      </c>
    </row>
    <row r="17" spans="1:191">
      <c r="A17" s="16">
        <f>+Chem!A17</f>
        <v>45846</v>
      </c>
      <c r="B17" s="6" t="str">
        <f>+Chem!B17</f>
        <v>Toilet/Facial</v>
      </c>
      <c r="C17" s="16" t="str">
        <f>+Chem!C17</f>
        <v>13/13</v>
      </c>
      <c r="D17" s="8">
        <f>+Chem!D17</f>
        <v>48.932000000000002</v>
      </c>
      <c r="E17" s="7">
        <f>+Chem!E17</f>
        <v>50.698999999999998</v>
      </c>
      <c r="F17" s="7">
        <f t="shared" si="125"/>
        <v>322.51499999999999</v>
      </c>
      <c r="G17" s="99"/>
      <c r="H17" s="89">
        <f t="shared" si="0"/>
        <v>0</v>
      </c>
      <c r="I17" s="8">
        <f t="shared" si="50"/>
        <v>0</v>
      </c>
      <c r="J17" s="89">
        <f t="shared" si="1"/>
        <v>0</v>
      </c>
      <c r="K17" s="99"/>
      <c r="L17" s="89">
        <f t="shared" si="2"/>
        <v>0</v>
      </c>
      <c r="M17" s="89">
        <f t="shared" si="51"/>
        <v>0</v>
      </c>
      <c r="N17" s="89">
        <f t="shared" si="3"/>
        <v>0</v>
      </c>
      <c r="O17" s="99"/>
      <c r="P17" s="89">
        <f t="shared" si="4"/>
        <v>0</v>
      </c>
      <c r="Q17" s="89">
        <f t="shared" si="52"/>
        <v>0</v>
      </c>
      <c r="R17" s="89">
        <f t="shared" si="5"/>
        <v>0</v>
      </c>
      <c r="S17" s="99"/>
      <c r="T17" s="89">
        <f t="shared" si="6"/>
        <v>0</v>
      </c>
      <c r="U17" s="89">
        <f t="shared" si="53"/>
        <v>0</v>
      </c>
      <c r="V17" s="89">
        <f t="shared" si="7"/>
        <v>0</v>
      </c>
      <c r="W17" s="99"/>
      <c r="X17" s="89">
        <f t="shared" si="8"/>
        <v>0</v>
      </c>
      <c r="Y17" s="89">
        <f t="shared" si="54"/>
        <v>0</v>
      </c>
      <c r="Z17" s="89">
        <f t="shared" si="9"/>
        <v>0</v>
      </c>
      <c r="AA17" s="99">
        <f>28*AA7</f>
        <v>6449.8</v>
      </c>
      <c r="AB17" s="89">
        <f t="shared" si="10"/>
        <v>13.246240333436074</v>
      </c>
      <c r="AC17" s="89">
        <f t="shared" si="55"/>
        <v>44342.375</v>
      </c>
      <c r="AD17" s="89">
        <f t="shared" si="11"/>
        <v>12.70157998475932</v>
      </c>
      <c r="AE17" s="99"/>
      <c r="AF17" s="89">
        <f t="shared" si="12"/>
        <v>0</v>
      </c>
      <c r="AG17" s="89">
        <f t="shared" si="56"/>
        <v>0</v>
      </c>
      <c r="AH17" s="89">
        <f t="shared" si="13"/>
        <v>0</v>
      </c>
      <c r="AI17" s="99"/>
      <c r="AJ17" s="89">
        <f t="shared" si="14"/>
        <v>0</v>
      </c>
      <c r="AK17" s="89">
        <f t="shared" si="57"/>
        <v>0</v>
      </c>
      <c r="AL17" s="89">
        <f t="shared" si="15"/>
        <v>0</v>
      </c>
      <c r="AM17" s="99"/>
      <c r="AN17" s="89">
        <f t="shared" si="16"/>
        <v>0</v>
      </c>
      <c r="AO17" s="89">
        <f t="shared" si="58"/>
        <v>0</v>
      </c>
      <c r="AP17" s="89">
        <f t="shared" si="17"/>
        <v>0</v>
      </c>
      <c r="AQ17" s="99"/>
      <c r="AR17" s="89">
        <f t="shared" si="18"/>
        <v>0</v>
      </c>
      <c r="AS17" s="89">
        <f t="shared" si="59"/>
        <v>0</v>
      </c>
      <c r="AT17" s="89">
        <f t="shared" si="19"/>
        <v>0</v>
      </c>
      <c r="AU17" s="250"/>
      <c r="AV17" s="89">
        <f t="shared" si="20"/>
        <v>0</v>
      </c>
      <c r="AW17" s="8">
        <f t="shared" si="60"/>
        <v>0</v>
      </c>
      <c r="AX17" s="89">
        <f t="shared" si="21"/>
        <v>0</v>
      </c>
      <c r="AY17" s="99"/>
      <c r="AZ17" s="89">
        <f t="shared" si="22"/>
        <v>0</v>
      </c>
      <c r="BA17" s="89">
        <f t="shared" si="61"/>
        <v>0</v>
      </c>
      <c r="BB17" s="89">
        <f t="shared" si="23"/>
        <v>0</v>
      </c>
      <c r="BC17" s="99"/>
      <c r="BD17" s="89">
        <f t="shared" si="24"/>
        <v>0</v>
      </c>
      <c r="BE17" s="89">
        <f t="shared" si="62"/>
        <v>0</v>
      </c>
      <c r="BF17" s="89">
        <f t="shared" si="25"/>
        <v>0</v>
      </c>
      <c r="BG17" s="99"/>
      <c r="BH17" s="89">
        <f t="shared" si="26"/>
        <v>0</v>
      </c>
      <c r="BI17" s="89">
        <f t="shared" si="63"/>
        <v>0</v>
      </c>
      <c r="BJ17" s="89">
        <f t="shared" si="27"/>
        <v>0</v>
      </c>
      <c r="BK17" s="99"/>
      <c r="BL17" s="89"/>
      <c r="BM17" s="89"/>
      <c r="BN17" s="89"/>
      <c r="BO17" s="99"/>
      <c r="BP17" s="89"/>
      <c r="BQ17" s="89"/>
      <c r="BR17" s="89"/>
      <c r="BS17" s="99"/>
      <c r="BT17" s="89"/>
      <c r="BU17" s="89"/>
      <c r="BV17" s="89"/>
      <c r="BW17" s="89">
        <f t="shared" si="64"/>
        <v>6449.8</v>
      </c>
      <c r="BX17" s="89">
        <f t="shared" si="28"/>
        <v>13.246240333436074</v>
      </c>
      <c r="BY17" s="89">
        <f t="shared" si="65"/>
        <v>44342.375</v>
      </c>
      <c r="BZ17" s="89">
        <f t="shared" si="29"/>
        <v>12.70157998475932</v>
      </c>
      <c r="CA17" s="99"/>
      <c r="CB17" s="10">
        <f t="shared" si="30"/>
        <v>0</v>
      </c>
      <c r="CC17" s="89"/>
      <c r="CD17" s="10">
        <f t="shared" si="31"/>
        <v>0</v>
      </c>
      <c r="CE17" s="99"/>
      <c r="CF17" s="89">
        <f t="shared" si="32"/>
        <v>0</v>
      </c>
      <c r="CG17" s="89">
        <f t="shared" si="66"/>
        <v>0</v>
      </c>
      <c r="CH17" s="89">
        <f t="shared" si="33"/>
        <v>0</v>
      </c>
      <c r="CI17" s="99">
        <f>168*CI7</f>
        <v>42241.752</v>
      </c>
      <c r="CJ17" s="89">
        <f t="shared" si="34"/>
        <v>86.753759666563923</v>
      </c>
      <c r="CK17" s="89">
        <f t="shared" si="67"/>
        <v>42241.752</v>
      </c>
      <c r="CL17" s="89">
        <f t="shared" si="35"/>
        <v>12.099870422465351</v>
      </c>
      <c r="CM17" s="99"/>
      <c r="CN17" s="89">
        <f t="shared" si="36"/>
        <v>0</v>
      </c>
      <c r="CO17" s="89">
        <f t="shared" si="68"/>
        <v>0</v>
      </c>
      <c r="CP17" s="89">
        <f t="shared" si="37"/>
        <v>0</v>
      </c>
      <c r="CQ17" s="99"/>
      <c r="CR17" s="89">
        <f t="shared" si="38"/>
        <v>0</v>
      </c>
      <c r="CS17" s="89">
        <f t="shared" si="69"/>
        <v>0</v>
      </c>
      <c r="CT17" s="89">
        <f t="shared" si="39"/>
        <v>0</v>
      </c>
      <c r="CU17" s="99"/>
      <c r="CV17" s="89">
        <f t="shared" si="40"/>
        <v>0</v>
      </c>
      <c r="CW17" s="89">
        <f t="shared" si="70"/>
        <v>0</v>
      </c>
      <c r="CX17" s="89">
        <f t="shared" si="41"/>
        <v>0</v>
      </c>
      <c r="CY17" s="99"/>
      <c r="CZ17" s="89">
        <f t="shared" si="42"/>
        <v>0</v>
      </c>
      <c r="DA17" s="89">
        <f t="shared" si="71"/>
        <v>83250</v>
      </c>
      <c r="DB17" s="89">
        <f t="shared" si="43"/>
        <v>0.23846411784015029</v>
      </c>
      <c r="DC17" s="99"/>
      <c r="DD17" s="89">
        <f t="shared" si="44"/>
        <v>0</v>
      </c>
      <c r="DE17" s="89">
        <f t="shared" si="72"/>
        <v>0</v>
      </c>
      <c r="DF17" s="89">
        <f t="shared" si="45"/>
        <v>0</v>
      </c>
      <c r="DG17" s="99"/>
      <c r="DH17" s="89"/>
      <c r="DI17" s="89"/>
      <c r="DJ17" s="89"/>
      <c r="DK17" s="10">
        <f t="shared" si="73"/>
        <v>42241.752</v>
      </c>
      <c r="DL17" s="89">
        <f t="shared" si="74"/>
        <v>86.753759666563923</v>
      </c>
      <c r="DM17" s="89">
        <f t="shared" si="75"/>
        <v>125491.75200000001</v>
      </c>
      <c r="DN17" s="89">
        <f t="shared" si="46"/>
        <v>35.946282206480376</v>
      </c>
      <c r="DO17" s="99"/>
      <c r="DP17" s="10">
        <f t="shared" si="76"/>
        <v>0</v>
      </c>
      <c r="DQ17" s="89">
        <f t="shared" si="77"/>
        <v>0</v>
      </c>
      <c r="DR17" s="10">
        <f t="shared" si="78"/>
        <v>0</v>
      </c>
      <c r="DS17" s="99"/>
      <c r="DT17" s="15">
        <f t="shared" si="79"/>
        <v>0</v>
      </c>
      <c r="DU17" s="89">
        <f t="shared" si="80"/>
        <v>0</v>
      </c>
      <c r="DV17" s="10">
        <f t="shared" si="81"/>
        <v>0</v>
      </c>
      <c r="DW17" s="99"/>
      <c r="DX17" s="15">
        <f t="shared" si="82"/>
        <v>0</v>
      </c>
      <c r="DY17" s="10">
        <f t="shared" si="83"/>
        <v>0</v>
      </c>
      <c r="DZ17" s="455">
        <f t="shared" si="84"/>
        <v>0</v>
      </c>
      <c r="EA17" s="99"/>
      <c r="EB17" s="10">
        <f t="shared" si="85"/>
        <v>0</v>
      </c>
      <c r="EC17" s="89">
        <f t="shared" si="86"/>
        <v>179125</v>
      </c>
      <c r="ED17" s="10">
        <f t="shared" si="87"/>
        <v>51.309171301041346</v>
      </c>
      <c r="EE17" s="10">
        <f t="shared" si="47"/>
        <v>0</v>
      </c>
      <c r="EF17" s="10">
        <f t="shared" si="88"/>
        <v>0</v>
      </c>
      <c r="EG17" s="89">
        <f t="shared" si="89"/>
        <v>179125</v>
      </c>
      <c r="EH17" s="10">
        <f t="shared" si="90"/>
        <v>51.309171301041346</v>
      </c>
      <c r="EI17" s="10"/>
      <c r="EJ17" s="89">
        <f t="shared" si="91"/>
        <v>0</v>
      </c>
      <c r="EK17" s="89">
        <f t="shared" si="92"/>
        <v>0</v>
      </c>
      <c r="EL17" s="89">
        <f t="shared" si="93"/>
        <v>0</v>
      </c>
      <c r="EM17" s="10"/>
      <c r="EN17" s="89">
        <f t="shared" si="94"/>
        <v>0</v>
      </c>
      <c r="EO17" s="89">
        <f t="shared" si="95"/>
        <v>0</v>
      </c>
      <c r="EP17" s="89">
        <f t="shared" si="96"/>
        <v>0</v>
      </c>
      <c r="EQ17" s="10"/>
      <c r="ER17" s="89">
        <f t="shared" si="97"/>
        <v>0</v>
      </c>
      <c r="ES17" s="89">
        <f t="shared" si="98"/>
        <v>0</v>
      </c>
      <c r="ET17" s="89">
        <f t="shared" si="99"/>
        <v>0</v>
      </c>
      <c r="EU17" s="10"/>
      <c r="EV17" s="10">
        <f t="shared" si="100"/>
        <v>0</v>
      </c>
      <c r="EW17" s="89">
        <f t="shared" si="101"/>
        <v>0</v>
      </c>
      <c r="EX17" s="10">
        <f t="shared" si="102"/>
        <v>0</v>
      </c>
      <c r="EY17" s="89"/>
      <c r="EZ17" s="89">
        <f t="shared" si="103"/>
        <v>0</v>
      </c>
      <c r="FA17" s="89">
        <f t="shared" si="104"/>
        <v>0</v>
      </c>
      <c r="FB17" s="89">
        <f t="shared" si="105"/>
        <v>0</v>
      </c>
      <c r="FC17" s="89"/>
      <c r="FD17" s="89">
        <f t="shared" si="106"/>
        <v>0</v>
      </c>
      <c r="FE17" s="89">
        <f t="shared" si="107"/>
        <v>0</v>
      </c>
      <c r="FF17" s="89">
        <f t="shared" si="108"/>
        <v>0</v>
      </c>
      <c r="FG17" s="89"/>
      <c r="FH17" s="89">
        <f t="shared" si="109"/>
        <v>0</v>
      </c>
      <c r="FI17" s="89">
        <f t="shared" si="110"/>
        <v>0</v>
      </c>
      <c r="FJ17" s="89">
        <f t="shared" si="111"/>
        <v>0</v>
      </c>
      <c r="FK17" s="89">
        <f t="shared" si="112"/>
        <v>0</v>
      </c>
      <c r="FL17" s="89">
        <f t="shared" si="113"/>
        <v>0</v>
      </c>
      <c r="FM17" s="89">
        <f t="shared" si="114"/>
        <v>0</v>
      </c>
      <c r="FN17" s="89">
        <f t="shared" si="115"/>
        <v>0</v>
      </c>
      <c r="FO17" s="89"/>
      <c r="FP17" s="89">
        <f t="shared" si="116"/>
        <v>0</v>
      </c>
      <c r="FQ17" s="89">
        <f t="shared" si="117"/>
        <v>150</v>
      </c>
      <c r="FR17" s="89">
        <f t="shared" si="118"/>
        <v>4.2966507718946001E-2</v>
      </c>
      <c r="FS17" s="89"/>
      <c r="FT17" s="89">
        <f t="shared" si="119"/>
        <v>0</v>
      </c>
      <c r="FU17" s="89">
        <f t="shared" si="120"/>
        <v>0</v>
      </c>
      <c r="FV17" s="89">
        <f t="shared" si="121"/>
        <v>0</v>
      </c>
      <c r="FW17" s="89">
        <f t="shared" si="122"/>
        <v>48691.552000000003</v>
      </c>
      <c r="FX17" s="89">
        <f t="shared" si="123"/>
        <v>349109.12700000004</v>
      </c>
      <c r="FY17" s="89">
        <f t="shared" si="48"/>
        <v>0.96040458391684258</v>
      </c>
      <c r="FZ17" s="89">
        <f t="shared" si="49"/>
        <v>1.0824585740198132</v>
      </c>
      <c r="GA17" s="6"/>
      <c r="GB17" s="456" t="e">
        <f t="shared" si="124"/>
        <v>#DIV/0!</v>
      </c>
      <c r="GC17" s="456">
        <f>(SUM($GA$10:GA17))/(SUM($EE$10:EE17))</f>
        <v>0</v>
      </c>
      <c r="GD17" s="3" t="s">
        <v>307</v>
      </c>
    </row>
    <row r="18" spans="1:191">
      <c r="A18" s="16">
        <f>+Chem!A18</f>
        <v>45847</v>
      </c>
      <c r="B18" s="6" t="str">
        <f>+Chem!B18</f>
        <v>Facial</v>
      </c>
      <c r="C18" s="16" t="str">
        <f>+Chem!C18</f>
        <v>13/12</v>
      </c>
      <c r="D18" s="8">
        <f>+Chem!D18</f>
        <v>41.786999999999999</v>
      </c>
      <c r="E18" s="7">
        <f>+Chem!E18</f>
        <v>42.956000000000003</v>
      </c>
      <c r="F18" s="7">
        <f t="shared" si="125"/>
        <v>365.471</v>
      </c>
      <c r="G18" s="98"/>
      <c r="H18" s="10">
        <f t="shared" si="0"/>
        <v>0</v>
      </c>
      <c r="I18" s="8">
        <f t="shared" si="50"/>
        <v>0</v>
      </c>
      <c r="J18" s="10">
        <f t="shared" si="1"/>
        <v>0</v>
      </c>
      <c r="K18" s="98"/>
      <c r="L18" s="10">
        <f t="shared" si="2"/>
        <v>0</v>
      </c>
      <c r="M18" s="10">
        <f t="shared" si="51"/>
        <v>0</v>
      </c>
      <c r="N18" s="10">
        <f t="shared" si="3"/>
        <v>0</v>
      </c>
      <c r="O18" s="98"/>
      <c r="P18" s="10">
        <f t="shared" si="4"/>
        <v>0</v>
      </c>
      <c r="Q18" s="10">
        <f t="shared" si="52"/>
        <v>0</v>
      </c>
      <c r="R18" s="10">
        <f t="shared" si="5"/>
        <v>0</v>
      </c>
      <c r="S18" s="98"/>
      <c r="T18" s="10">
        <f t="shared" si="6"/>
        <v>0</v>
      </c>
      <c r="U18" s="10">
        <f t="shared" si="53"/>
        <v>0</v>
      </c>
      <c r="V18" s="10">
        <f t="shared" si="7"/>
        <v>0</v>
      </c>
      <c r="W18" s="98"/>
      <c r="X18" s="10">
        <f t="shared" si="8"/>
        <v>0</v>
      </c>
      <c r="Y18" s="10">
        <f t="shared" si="54"/>
        <v>0</v>
      </c>
      <c r="Z18" s="10">
        <f t="shared" si="9"/>
        <v>0</v>
      </c>
      <c r="AA18" s="98">
        <f>26*AA7</f>
        <v>5989.0999999999995</v>
      </c>
      <c r="AB18" s="10">
        <f t="shared" si="10"/>
        <v>13.515602790897166</v>
      </c>
      <c r="AC18" s="10">
        <f t="shared" si="55"/>
        <v>50331.474999999999</v>
      </c>
      <c r="AD18" s="10">
        <f t="shared" si="11"/>
        <v>12.793266295769573</v>
      </c>
      <c r="AE18" s="98"/>
      <c r="AF18" s="10">
        <f t="shared" si="12"/>
        <v>0</v>
      </c>
      <c r="AG18" s="10">
        <f t="shared" si="56"/>
        <v>0</v>
      </c>
      <c r="AH18" s="10">
        <f t="shared" si="13"/>
        <v>0</v>
      </c>
      <c r="AI18" s="98"/>
      <c r="AJ18" s="10">
        <f t="shared" si="14"/>
        <v>0</v>
      </c>
      <c r="AK18" s="10">
        <f t="shared" si="57"/>
        <v>0</v>
      </c>
      <c r="AL18" s="10">
        <f t="shared" si="15"/>
        <v>0</v>
      </c>
      <c r="AM18" s="98"/>
      <c r="AN18" s="10">
        <f t="shared" si="16"/>
        <v>0</v>
      </c>
      <c r="AO18" s="10">
        <f t="shared" si="58"/>
        <v>0</v>
      </c>
      <c r="AP18" s="10">
        <f t="shared" si="17"/>
        <v>0</v>
      </c>
      <c r="AQ18" s="98"/>
      <c r="AR18" s="10">
        <f t="shared" si="18"/>
        <v>0</v>
      </c>
      <c r="AS18" s="10">
        <f t="shared" si="59"/>
        <v>0</v>
      </c>
      <c r="AT18" s="10">
        <f t="shared" si="19"/>
        <v>0</v>
      </c>
      <c r="AU18" s="250"/>
      <c r="AV18" s="10">
        <f t="shared" si="20"/>
        <v>0</v>
      </c>
      <c r="AW18" s="8">
        <f t="shared" si="60"/>
        <v>0</v>
      </c>
      <c r="AX18" s="10">
        <f t="shared" si="21"/>
        <v>0</v>
      </c>
      <c r="AY18" s="98"/>
      <c r="AZ18" s="10">
        <f t="shared" si="22"/>
        <v>0</v>
      </c>
      <c r="BA18" s="10">
        <f t="shared" si="61"/>
        <v>0</v>
      </c>
      <c r="BB18" s="10">
        <f t="shared" si="23"/>
        <v>0</v>
      </c>
      <c r="BC18" s="98"/>
      <c r="BD18" s="10">
        <f t="shared" si="24"/>
        <v>0</v>
      </c>
      <c r="BE18" s="10">
        <f t="shared" si="62"/>
        <v>0</v>
      </c>
      <c r="BF18" s="10">
        <f t="shared" si="25"/>
        <v>0</v>
      </c>
      <c r="BG18" s="98"/>
      <c r="BH18" s="10">
        <f t="shared" si="26"/>
        <v>0</v>
      </c>
      <c r="BI18" s="10">
        <f t="shared" si="63"/>
        <v>0</v>
      </c>
      <c r="BJ18" s="10">
        <f t="shared" si="27"/>
        <v>0</v>
      </c>
      <c r="BK18" s="98"/>
      <c r="BL18" s="10"/>
      <c r="BM18" s="10"/>
      <c r="BN18" s="10"/>
      <c r="BO18" s="98"/>
      <c r="BP18" s="10"/>
      <c r="BQ18" s="10"/>
      <c r="BR18" s="10"/>
      <c r="BS18" s="98"/>
      <c r="BT18" s="10"/>
      <c r="BU18" s="10"/>
      <c r="BV18" s="10"/>
      <c r="BW18" s="10">
        <f t="shared" si="64"/>
        <v>5989.0999999999995</v>
      </c>
      <c r="BX18" s="10">
        <f t="shared" si="28"/>
        <v>13.515602790897166</v>
      </c>
      <c r="BY18" s="10">
        <f t="shared" si="65"/>
        <v>50331.474999999999</v>
      </c>
      <c r="BZ18" s="10">
        <f t="shared" si="29"/>
        <v>12.793266295769573</v>
      </c>
      <c r="CA18" s="98"/>
      <c r="CB18" s="10">
        <f t="shared" si="30"/>
        <v>0</v>
      </c>
      <c r="CC18" s="10"/>
      <c r="CD18" s="10">
        <f t="shared" si="31"/>
        <v>0</v>
      </c>
      <c r="CE18" s="98"/>
      <c r="CF18" s="10">
        <f t="shared" si="32"/>
        <v>0</v>
      </c>
      <c r="CG18" s="10">
        <f t="shared" si="66"/>
        <v>0</v>
      </c>
      <c r="CH18" s="10">
        <f t="shared" si="33"/>
        <v>0</v>
      </c>
      <c r="CI18" s="98">
        <f>51*CI7</f>
        <v>12823.388999999999</v>
      </c>
      <c r="CJ18" s="10">
        <f t="shared" si="34"/>
        <v>28.93854371394033</v>
      </c>
      <c r="CK18" s="10">
        <f t="shared" si="67"/>
        <v>55065.141000000003</v>
      </c>
      <c r="CL18" s="10">
        <f t="shared" si="35"/>
        <v>13.996470646391732</v>
      </c>
      <c r="CM18" s="98"/>
      <c r="CN18" s="10">
        <f t="shared" si="36"/>
        <v>0</v>
      </c>
      <c r="CO18" s="10">
        <f t="shared" si="68"/>
        <v>0</v>
      </c>
      <c r="CP18" s="10">
        <f t="shared" si="37"/>
        <v>0</v>
      </c>
      <c r="CQ18" s="98"/>
      <c r="CR18" s="10">
        <f t="shared" si="38"/>
        <v>0</v>
      </c>
      <c r="CS18" s="10">
        <f t="shared" si="69"/>
        <v>0</v>
      </c>
      <c r="CT18" s="10">
        <f t="shared" si="39"/>
        <v>0</v>
      </c>
      <c r="CU18" s="98"/>
      <c r="CV18" s="10">
        <f t="shared" si="40"/>
        <v>0</v>
      </c>
      <c r="CW18" s="10">
        <f t="shared" si="70"/>
        <v>0</v>
      </c>
      <c r="CX18" s="10">
        <f t="shared" si="41"/>
        <v>0</v>
      </c>
      <c r="CY18" s="98">
        <f>78*CY7</f>
        <v>19500</v>
      </c>
      <c r="CZ18" s="10">
        <f t="shared" si="42"/>
        <v>44.005652672771333</v>
      </c>
      <c r="DA18" s="10">
        <f t="shared" si="71"/>
        <v>102750</v>
      </c>
      <c r="DB18" s="10">
        <f t="shared" si="43"/>
        <v>0.26117019457314211</v>
      </c>
      <c r="DC18" s="98"/>
      <c r="DD18" s="10">
        <f t="shared" si="44"/>
        <v>0</v>
      </c>
      <c r="DE18" s="10">
        <f t="shared" si="72"/>
        <v>0</v>
      </c>
      <c r="DF18" s="10">
        <f t="shared" si="45"/>
        <v>0</v>
      </c>
      <c r="DG18" s="98"/>
      <c r="DH18" s="10"/>
      <c r="DI18" s="10"/>
      <c r="DJ18" s="10"/>
      <c r="DK18" s="10">
        <f t="shared" si="73"/>
        <v>32323.388999999999</v>
      </c>
      <c r="DL18" s="10">
        <f t="shared" si="74"/>
        <v>72.944196386711667</v>
      </c>
      <c r="DM18" s="10">
        <f t="shared" si="75"/>
        <v>157815.141</v>
      </c>
      <c r="DN18" s="10">
        <f t="shared" si="46"/>
        <v>40.113490103705942</v>
      </c>
      <c r="DO18" s="98"/>
      <c r="DP18" s="10">
        <f t="shared" si="76"/>
        <v>0</v>
      </c>
      <c r="DQ18" s="10">
        <f t="shared" si="77"/>
        <v>0</v>
      </c>
      <c r="DR18" s="10">
        <f t="shared" si="78"/>
        <v>0</v>
      </c>
      <c r="DS18" s="98"/>
      <c r="DT18" s="15">
        <f t="shared" si="79"/>
        <v>0</v>
      </c>
      <c r="DU18" s="10">
        <f t="shared" si="80"/>
        <v>0</v>
      </c>
      <c r="DV18" s="10">
        <f t="shared" si="81"/>
        <v>0</v>
      </c>
      <c r="DW18" s="98"/>
      <c r="DX18" s="15">
        <f t="shared" si="82"/>
        <v>0</v>
      </c>
      <c r="DY18" s="10">
        <f t="shared" si="83"/>
        <v>0</v>
      </c>
      <c r="DZ18" s="455">
        <f t="shared" si="84"/>
        <v>0</v>
      </c>
      <c r="EA18" s="98">
        <f>24*EA7</f>
        <v>6000</v>
      </c>
      <c r="EB18" s="10">
        <f t="shared" si="85"/>
        <v>13.54020082239118</v>
      </c>
      <c r="EC18" s="10">
        <f t="shared" si="86"/>
        <v>185125</v>
      </c>
      <c r="ED18" s="10">
        <f t="shared" si="87"/>
        <v>47.055116564820374</v>
      </c>
      <c r="EE18" s="10">
        <f t="shared" si="47"/>
        <v>6000</v>
      </c>
      <c r="EF18" s="10">
        <f t="shared" si="88"/>
        <v>13.54020082239118</v>
      </c>
      <c r="EG18" s="10">
        <f t="shared" si="89"/>
        <v>185125</v>
      </c>
      <c r="EH18" s="10">
        <f t="shared" si="90"/>
        <v>47.055116564820374</v>
      </c>
      <c r="EI18" s="10"/>
      <c r="EJ18" s="89">
        <f t="shared" si="91"/>
        <v>0</v>
      </c>
      <c r="EK18" s="10">
        <f t="shared" si="92"/>
        <v>0</v>
      </c>
      <c r="EL18" s="89">
        <f t="shared" si="93"/>
        <v>0</v>
      </c>
      <c r="EM18" s="10"/>
      <c r="EN18" s="89">
        <f t="shared" si="94"/>
        <v>0</v>
      </c>
      <c r="EO18" s="10">
        <f t="shared" si="95"/>
        <v>0</v>
      </c>
      <c r="EP18" s="89">
        <f t="shared" si="96"/>
        <v>0</v>
      </c>
      <c r="EQ18" s="10"/>
      <c r="ER18" s="89">
        <f t="shared" si="97"/>
        <v>0</v>
      </c>
      <c r="ES18" s="10">
        <f t="shared" si="98"/>
        <v>0</v>
      </c>
      <c r="ET18" s="89">
        <f t="shared" si="99"/>
        <v>0</v>
      </c>
      <c r="EU18" s="10"/>
      <c r="EV18" s="10">
        <f t="shared" si="100"/>
        <v>0</v>
      </c>
      <c r="EW18" s="10">
        <f t="shared" si="101"/>
        <v>0</v>
      </c>
      <c r="EX18" s="10">
        <f t="shared" si="102"/>
        <v>0</v>
      </c>
      <c r="EY18" s="89"/>
      <c r="EZ18" s="89">
        <f t="shared" si="103"/>
        <v>0</v>
      </c>
      <c r="FA18" s="10">
        <f t="shared" si="104"/>
        <v>0</v>
      </c>
      <c r="FB18" s="89">
        <f t="shared" si="105"/>
        <v>0</v>
      </c>
      <c r="FC18" s="89"/>
      <c r="FD18" s="89">
        <f t="shared" si="106"/>
        <v>0</v>
      </c>
      <c r="FE18" s="10">
        <f t="shared" si="107"/>
        <v>0</v>
      </c>
      <c r="FF18" s="89">
        <f t="shared" si="108"/>
        <v>0</v>
      </c>
      <c r="FG18" s="89"/>
      <c r="FH18" s="89">
        <f t="shared" si="109"/>
        <v>0</v>
      </c>
      <c r="FI18" s="10">
        <f t="shared" si="110"/>
        <v>0</v>
      </c>
      <c r="FJ18" s="89">
        <f t="shared" si="111"/>
        <v>0</v>
      </c>
      <c r="FK18" s="89">
        <f t="shared" si="112"/>
        <v>0</v>
      </c>
      <c r="FL18" s="89">
        <f t="shared" si="113"/>
        <v>0</v>
      </c>
      <c r="FM18" s="10">
        <f t="shared" si="114"/>
        <v>0</v>
      </c>
      <c r="FN18" s="89">
        <f t="shared" si="115"/>
        <v>0</v>
      </c>
      <c r="FO18" s="89"/>
      <c r="FP18" s="89">
        <f t="shared" si="116"/>
        <v>0</v>
      </c>
      <c r="FQ18" s="10">
        <f t="shared" si="117"/>
        <v>150</v>
      </c>
      <c r="FR18" s="89">
        <f t="shared" si="118"/>
        <v>3.8127035704108338E-2</v>
      </c>
      <c r="FS18" s="89"/>
      <c r="FT18" s="89">
        <f t="shared" si="119"/>
        <v>0</v>
      </c>
      <c r="FU18" s="10">
        <f t="shared" si="120"/>
        <v>0</v>
      </c>
      <c r="FV18" s="89">
        <f t="shared" si="121"/>
        <v>0</v>
      </c>
      <c r="FW18" s="89">
        <f t="shared" si="122"/>
        <v>44312.488999999994</v>
      </c>
      <c r="FX18" s="10">
        <f t="shared" si="123"/>
        <v>393421.61600000004</v>
      </c>
      <c r="FY18" s="10">
        <f t="shared" si="48"/>
        <v>1.0315785687680414</v>
      </c>
      <c r="FZ18" s="10">
        <f t="shared" si="49"/>
        <v>1.0764783416468064</v>
      </c>
      <c r="GA18" s="6"/>
      <c r="GB18" s="456">
        <f t="shared" si="124"/>
        <v>0</v>
      </c>
      <c r="GC18" s="456">
        <f>(SUM($GA$10:GA18))/(SUM($EE$10:EE18))</f>
        <v>0</v>
      </c>
      <c r="GD18" s="3" t="s">
        <v>307</v>
      </c>
    </row>
    <row r="19" spans="1:191">
      <c r="A19" s="16">
        <f>+Chem!A19</f>
        <v>45848</v>
      </c>
      <c r="B19" s="6" t="str">
        <f>+Chem!B19</f>
        <v>Facial</v>
      </c>
      <c r="C19" s="16" t="str">
        <f>+Chem!C19</f>
        <v>12</v>
      </c>
      <c r="D19" s="8">
        <f>+Chem!D19</f>
        <v>42.839999999999996</v>
      </c>
      <c r="E19" s="7">
        <f>+Chem!E19</f>
        <v>40.225999999999999</v>
      </c>
      <c r="F19" s="7">
        <f t="shared" si="125"/>
        <v>405.697</v>
      </c>
      <c r="G19" s="98"/>
      <c r="H19" s="10">
        <f t="shared" si="0"/>
        <v>0</v>
      </c>
      <c r="I19" s="8">
        <f t="shared" si="50"/>
        <v>0</v>
      </c>
      <c r="J19" s="10">
        <f t="shared" si="1"/>
        <v>0</v>
      </c>
      <c r="K19" s="98"/>
      <c r="L19" s="10">
        <f t="shared" si="2"/>
        <v>0</v>
      </c>
      <c r="M19" s="10">
        <f t="shared" si="51"/>
        <v>0</v>
      </c>
      <c r="N19" s="10">
        <f t="shared" si="3"/>
        <v>0</v>
      </c>
      <c r="O19" s="98"/>
      <c r="P19" s="10">
        <f t="shared" si="4"/>
        <v>0</v>
      </c>
      <c r="Q19" s="10">
        <f t="shared" si="52"/>
        <v>0</v>
      </c>
      <c r="R19" s="10">
        <f t="shared" si="5"/>
        <v>0</v>
      </c>
      <c r="S19" s="98"/>
      <c r="T19" s="10">
        <f t="shared" si="6"/>
        <v>0</v>
      </c>
      <c r="U19" s="10">
        <f t="shared" si="53"/>
        <v>0</v>
      </c>
      <c r="V19" s="10">
        <f t="shared" si="7"/>
        <v>0</v>
      </c>
      <c r="W19" s="98"/>
      <c r="X19" s="10">
        <f t="shared" si="8"/>
        <v>0</v>
      </c>
      <c r="Y19" s="10">
        <f t="shared" si="54"/>
        <v>0</v>
      </c>
      <c r="Z19" s="10">
        <f t="shared" si="9"/>
        <v>0</v>
      </c>
      <c r="AA19" s="98">
        <f>32*AA7</f>
        <v>7371.2</v>
      </c>
      <c r="AB19" s="10">
        <f t="shared" si="10"/>
        <v>16.995609990039473</v>
      </c>
      <c r="AC19" s="10">
        <f t="shared" si="55"/>
        <v>57702.674999999996</v>
      </c>
      <c r="AD19" s="10">
        <f t="shared" si="11"/>
        <v>13.210536640327891</v>
      </c>
      <c r="AE19" s="98"/>
      <c r="AF19" s="10">
        <f t="shared" si="12"/>
        <v>0</v>
      </c>
      <c r="AG19" s="10">
        <f t="shared" si="56"/>
        <v>0</v>
      </c>
      <c r="AH19" s="10">
        <f t="shared" si="13"/>
        <v>0</v>
      </c>
      <c r="AI19" s="98"/>
      <c r="AJ19" s="10">
        <f t="shared" si="14"/>
        <v>0</v>
      </c>
      <c r="AK19" s="10">
        <f t="shared" si="57"/>
        <v>0</v>
      </c>
      <c r="AL19" s="10">
        <f t="shared" si="15"/>
        <v>0</v>
      </c>
      <c r="AM19" s="98"/>
      <c r="AN19" s="10">
        <f t="shared" si="16"/>
        <v>0</v>
      </c>
      <c r="AO19" s="10">
        <f t="shared" si="58"/>
        <v>0</v>
      </c>
      <c r="AP19" s="10">
        <f t="shared" si="17"/>
        <v>0</v>
      </c>
      <c r="AQ19" s="98"/>
      <c r="AR19" s="10">
        <f t="shared" si="18"/>
        <v>0</v>
      </c>
      <c r="AS19" s="10">
        <f t="shared" si="59"/>
        <v>0</v>
      </c>
      <c r="AT19" s="10">
        <f t="shared" si="19"/>
        <v>0</v>
      </c>
      <c r="AU19" s="250"/>
      <c r="AV19" s="10">
        <f t="shared" si="20"/>
        <v>0</v>
      </c>
      <c r="AW19" s="8">
        <f t="shared" si="60"/>
        <v>0</v>
      </c>
      <c r="AX19" s="10">
        <f t="shared" si="21"/>
        <v>0</v>
      </c>
      <c r="AY19" s="98"/>
      <c r="AZ19" s="10">
        <f t="shared" si="22"/>
        <v>0</v>
      </c>
      <c r="BA19" s="10">
        <f t="shared" si="61"/>
        <v>0</v>
      </c>
      <c r="BB19" s="10">
        <f t="shared" si="23"/>
        <v>0</v>
      </c>
      <c r="BC19" s="98"/>
      <c r="BD19" s="10">
        <f t="shared" si="24"/>
        <v>0</v>
      </c>
      <c r="BE19" s="10">
        <f t="shared" si="62"/>
        <v>0</v>
      </c>
      <c r="BF19" s="10">
        <f t="shared" si="25"/>
        <v>0</v>
      </c>
      <c r="BG19" s="98"/>
      <c r="BH19" s="10">
        <f t="shared" si="26"/>
        <v>0</v>
      </c>
      <c r="BI19" s="10">
        <f t="shared" si="63"/>
        <v>0</v>
      </c>
      <c r="BJ19" s="10">
        <f t="shared" si="27"/>
        <v>0</v>
      </c>
      <c r="BK19" s="98"/>
      <c r="BL19" s="10"/>
      <c r="BM19" s="10"/>
      <c r="BN19" s="10"/>
      <c r="BO19" s="98"/>
      <c r="BP19" s="10"/>
      <c r="BQ19" s="10"/>
      <c r="BR19" s="10"/>
      <c r="BS19" s="98"/>
      <c r="BT19" s="10"/>
      <c r="BU19" s="10"/>
      <c r="BV19" s="10"/>
      <c r="BW19" s="10">
        <f t="shared" si="64"/>
        <v>7371.2</v>
      </c>
      <c r="BX19" s="10">
        <f t="shared" si="28"/>
        <v>16.995609990039473</v>
      </c>
      <c r="BY19" s="10">
        <f t="shared" si="65"/>
        <v>57702.674999999996</v>
      </c>
      <c r="BZ19" s="10">
        <f t="shared" si="29"/>
        <v>13.210536640327891</v>
      </c>
      <c r="CA19" s="98"/>
      <c r="CB19" s="10">
        <f t="shared" si="30"/>
        <v>0</v>
      </c>
      <c r="CC19" s="10"/>
      <c r="CD19" s="10">
        <f t="shared" si="31"/>
        <v>0</v>
      </c>
      <c r="CE19" s="98"/>
      <c r="CF19" s="10">
        <f t="shared" si="32"/>
        <v>0</v>
      </c>
      <c r="CG19" s="10">
        <f t="shared" si="66"/>
        <v>0</v>
      </c>
      <c r="CH19" s="10">
        <f t="shared" si="33"/>
        <v>0</v>
      </c>
      <c r="CI19" s="98"/>
      <c r="CJ19" s="10">
        <f t="shared" si="34"/>
        <v>0</v>
      </c>
      <c r="CK19" s="10">
        <f t="shared" si="67"/>
        <v>55065.141000000003</v>
      </c>
      <c r="CL19" s="10">
        <f t="shared" si="35"/>
        <v>12.606695665067896</v>
      </c>
      <c r="CM19" s="98"/>
      <c r="CN19" s="10">
        <f t="shared" si="36"/>
        <v>0</v>
      </c>
      <c r="CO19" s="10">
        <f t="shared" si="68"/>
        <v>0</v>
      </c>
      <c r="CP19" s="10">
        <f t="shared" si="37"/>
        <v>0</v>
      </c>
      <c r="CQ19" s="98"/>
      <c r="CR19" s="10">
        <f t="shared" si="38"/>
        <v>0</v>
      </c>
      <c r="CS19" s="10">
        <f t="shared" si="69"/>
        <v>0</v>
      </c>
      <c r="CT19" s="10">
        <f t="shared" si="39"/>
        <v>0</v>
      </c>
      <c r="CU19" s="98"/>
      <c r="CV19" s="10">
        <f t="shared" si="40"/>
        <v>0</v>
      </c>
      <c r="CW19" s="10">
        <f t="shared" si="70"/>
        <v>0</v>
      </c>
      <c r="CX19" s="10">
        <f t="shared" si="41"/>
        <v>0</v>
      </c>
      <c r="CY19" s="98"/>
      <c r="CZ19" s="10">
        <f t="shared" si="42"/>
        <v>0</v>
      </c>
      <c r="DA19" s="10">
        <f t="shared" si="71"/>
        <v>102750</v>
      </c>
      <c r="DB19" s="10">
        <f t="shared" si="43"/>
        <v>0.2352373854060823</v>
      </c>
      <c r="DC19" s="98"/>
      <c r="DD19" s="10">
        <f t="shared" si="44"/>
        <v>0</v>
      </c>
      <c r="DE19" s="10">
        <f t="shared" si="72"/>
        <v>0</v>
      </c>
      <c r="DF19" s="10">
        <f t="shared" si="45"/>
        <v>0</v>
      </c>
      <c r="DG19" s="98"/>
      <c r="DH19" s="10"/>
      <c r="DI19" s="10"/>
      <c r="DJ19" s="10"/>
      <c r="DK19" s="10">
        <f t="shared" si="73"/>
        <v>0</v>
      </c>
      <c r="DL19" s="10">
        <f t="shared" si="74"/>
        <v>0</v>
      </c>
      <c r="DM19" s="10">
        <f t="shared" si="75"/>
        <v>157815.141</v>
      </c>
      <c r="DN19" s="10">
        <f t="shared" si="46"/>
        <v>36.130434205676124</v>
      </c>
      <c r="DO19" s="98"/>
      <c r="DP19" s="10">
        <f t="shared" si="76"/>
        <v>0</v>
      </c>
      <c r="DQ19" s="10">
        <f t="shared" si="77"/>
        <v>0</v>
      </c>
      <c r="DR19" s="10">
        <f t="shared" si="78"/>
        <v>0</v>
      </c>
      <c r="DS19" s="98"/>
      <c r="DT19" s="15">
        <f t="shared" si="79"/>
        <v>0</v>
      </c>
      <c r="DU19" s="10">
        <f t="shared" si="80"/>
        <v>0</v>
      </c>
      <c r="DV19" s="10">
        <f t="shared" si="81"/>
        <v>0</v>
      </c>
      <c r="DW19" s="98"/>
      <c r="DX19" s="15">
        <f t="shared" si="82"/>
        <v>0</v>
      </c>
      <c r="DY19" s="10">
        <f t="shared" si="83"/>
        <v>0</v>
      </c>
      <c r="DZ19" s="455">
        <f t="shared" si="84"/>
        <v>0</v>
      </c>
      <c r="EA19" s="98">
        <f>144*EA7</f>
        <v>36000</v>
      </c>
      <c r="EB19" s="10">
        <f t="shared" si="85"/>
        <v>83.004390009960531</v>
      </c>
      <c r="EC19" s="10">
        <f t="shared" si="86"/>
        <v>221125</v>
      </c>
      <c r="ED19" s="10">
        <f t="shared" si="87"/>
        <v>50.624687929849102</v>
      </c>
      <c r="EE19" s="10">
        <f t="shared" si="47"/>
        <v>36000</v>
      </c>
      <c r="EF19" s="10">
        <f t="shared" si="88"/>
        <v>83.004390009960531</v>
      </c>
      <c r="EG19" s="10">
        <f t="shared" si="89"/>
        <v>221125</v>
      </c>
      <c r="EH19" s="10">
        <f t="shared" si="90"/>
        <v>50.624687929849102</v>
      </c>
      <c r="EI19" s="10"/>
      <c r="EJ19" s="89">
        <f t="shared" si="91"/>
        <v>0</v>
      </c>
      <c r="EK19" s="10">
        <f t="shared" si="92"/>
        <v>0</v>
      </c>
      <c r="EL19" s="89">
        <f t="shared" si="93"/>
        <v>0</v>
      </c>
      <c r="EM19" s="10"/>
      <c r="EN19" s="89">
        <f t="shared" si="94"/>
        <v>0</v>
      </c>
      <c r="EO19" s="10">
        <f t="shared" si="95"/>
        <v>0</v>
      </c>
      <c r="EP19" s="89">
        <f t="shared" si="96"/>
        <v>0</v>
      </c>
      <c r="EQ19" s="10"/>
      <c r="ER19" s="89">
        <f t="shared" si="97"/>
        <v>0</v>
      </c>
      <c r="ES19" s="10">
        <f t="shared" si="98"/>
        <v>0</v>
      </c>
      <c r="ET19" s="89">
        <f t="shared" si="99"/>
        <v>0</v>
      </c>
      <c r="EU19" s="10"/>
      <c r="EV19" s="10">
        <f t="shared" si="100"/>
        <v>0</v>
      </c>
      <c r="EW19" s="10">
        <f t="shared" si="101"/>
        <v>0</v>
      </c>
      <c r="EX19" s="10">
        <f t="shared" si="102"/>
        <v>0</v>
      </c>
      <c r="EY19" s="89"/>
      <c r="EZ19" s="89">
        <f t="shared" si="103"/>
        <v>0</v>
      </c>
      <c r="FA19" s="10">
        <f t="shared" si="104"/>
        <v>0</v>
      </c>
      <c r="FB19" s="89">
        <f t="shared" si="105"/>
        <v>0</v>
      </c>
      <c r="FC19" s="89"/>
      <c r="FD19" s="89">
        <f t="shared" si="106"/>
        <v>0</v>
      </c>
      <c r="FE19" s="10">
        <f t="shared" si="107"/>
        <v>0</v>
      </c>
      <c r="FF19" s="89">
        <f t="shared" si="108"/>
        <v>0</v>
      </c>
      <c r="FG19" s="89"/>
      <c r="FH19" s="89">
        <f t="shared" si="109"/>
        <v>0</v>
      </c>
      <c r="FI19" s="10">
        <f t="shared" si="110"/>
        <v>0</v>
      </c>
      <c r="FJ19" s="89">
        <f t="shared" si="111"/>
        <v>0</v>
      </c>
      <c r="FK19" s="89">
        <f t="shared" si="112"/>
        <v>0</v>
      </c>
      <c r="FL19" s="89">
        <f t="shared" si="113"/>
        <v>0</v>
      </c>
      <c r="FM19" s="10">
        <f t="shared" si="114"/>
        <v>0</v>
      </c>
      <c r="FN19" s="89">
        <f t="shared" si="115"/>
        <v>0</v>
      </c>
      <c r="FO19" s="89"/>
      <c r="FP19" s="89">
        <f t="shared" si="116"/>
        <v>0</v>
      </c>
      <c r="FQ19" s="10">
        <f t="shared" si="117"/>
        <v>150</v>
      </c>
      <c r="FR19" s="89">
        <f t="shared" si="118"/>
        <v>3.434122414687333E-2</v>
      </c>
      <c r="FS19" s="89"/>
      <c r="FT19" s="89">
        <f t="shared" si="119"/>
        <v>0</v>
      </c>
      <c r="FU19" s="10">
        <f t="shared" si="120"/>
        <v>0</v>
      </c>
      <c r="FV19" s="89">
        <f t="shared" si="121"/>
        <v>0</v>
      </c>
      <c r="FW19" s="89">
        <f t="shared" si="122"/>
        <v>43371.199999999997</v>
      </c>
      <c r="FX19" s="10">
        <f t="shared" si="123"/>
        <v>436792.81600000005</v>
      </c>
      <c r="FY19" s="10">
        <f t="shared" si="48"/>
        <v>1.0781882364639783</v>
      </c>
      <c r="FZ19" s="10">
        <f t="shared" si="49"/>
        <v>1.0766478825330237</v>
      </c>
      <c r="GA19" s="6"/>
      <c r="GB19" s="456">
        <f t="shared" si="124"/>
        <v>0</v>
      </c>
      <c r="GC19" s="456">
        <f>(SUM($GA$10:GA19))/(SUM($EE$10:EE19))</f>
        <v>0</v>
      </c>
      <c r="GD19" s="3" t="s">
        <v>307</v>
      </c>
    </row>
    <row r="20" spans="1:191">
      <c r="A20" s="16">
        <f>+Chem!A20</f>
        <v>45849</v>
      </c>
      <c r="B20" s="6" t="str">
        <f>+Chem!B20</f>
        <v>Facial</v>
      </c>
      <c r="C20" s="16" t="str">
        <f>+Chem!C20</f>
        <v>12</v>
      </c>
      <c r="D20" s="8">
        <f>+Chem!D20</f>
        <v>39.255000000000003</v>
      </c>
      <c r="E20" s="7">
        <f>+Chem!E20</f>
        <v>31.271999999999998</v>
      </c>
      <c r="F20" s="7">
        <f t="shared" si="125"/>
        <v>436.96899999999999</v>
      </c>
      <c r="G20" s="98"/>
      <c r="H20" s="10">
        <f t="shared" si="0"/>
        <v>0</v>
      </c>
      <c r="I20" s="8">
        <f t="shared" si="50"/>
        <v>0</v>
      </c>
      <c r="J20" s="10">
        <f t="shared" si="1"/>
        <v>0</v>
      </c>
      <c r="K20" s="98"/>
      <c r="L20" s="10">
        <f t="shared" si="2"/>
        <v>0</v>
      </c>
      <c r="M20" s="10">
        <f t="shared" si="51"/>
        <v>0</v>
      </c>
      <c r="N20" s="10">
        <f t="shared" si="3"/>
        <v>0</v>
      </c>
      <c r="O20" s="98"/>
      <c r="P20" s="10">
        <f t="shared" si="4"/>
        <v>0</v>
      </c>
      <c r="Q20" s="10">
        <f t="shared" si="52"/>
        <v>0</v>
      </c>
      <c r="R20" s="10">
        <f t="shared" si="5"/>
        <v>0</v>
      </c>
      <c r="S20" s="98"/>
      <c r="T20" s="10">
        <f t="shared" si="6"/>
        <v>0</v>
      </c>
      <c r="U20" s="10">
        <f t="shared" si="53"/>
        <v>0</v>
      </c>
      <c r="V20" s="10">
        <f t="shared" si="7"/>
        <v>0</v>
      </c>
      <c r="W20" s="98"/>
      <c r="X20" s="10">
        <f t="shared" si="8"/>
        <v>0</v>
      </c>
      <c r="Y20" s="10">
        <f t="shared" si="54"/>
        <v>0</v>
      </c>
      <c r="Z20" s="10">
        <f t="shared" si="9"/>
        <v>0</v>
      </c>
      <c r="AA20" s="98">
        <f>21.5*AA7</f>
        <v>4952.5249999999996</v>
      </c>
      <c r="AB20" s="10">
        <f t="shared" si="10"/>
        <v>11.557136948172833</v>
      </c>
      <c r="AC20" s="10">
        <f t="shared" si="55"/>
        <v>62655.199999999997</v>
      </c>
      <c r="AD20" s="10">
        <f t="shared" si="11"/>
        <v>13.062818429419496</v>
      </c>
      <c r="AE20" s="98"/>
      <c r="AF20" s="10">
        <f t="shared" si="12"/>
        <v>0</v>
      </c>
      <c r="AG20" s="10">
        <f t="shared" si="56"/>
        <v>0</v>
      </c>
      <c r="AH20" s="10">
        <f t="shared" si="13"/>
        <v>0</v>
      </c>
      <c r="AI20" s="98"/>
      <c r="AJ20" s="10">
        <f t="shared" si="14"/>
        <v>0</v>
      </c>
      <c r="AK20" s="10">
        <f t="shared" si="57"/>
        <v>0</v>
      </c>
      <c r="AL20" s="10">
        <f t="shared" si="15"/>
        <v>0</v>
      </c>
      <c r="AM20" s="98"/>
      <c r="AN20" s="10">
        <f t="shared" si="16"/>
        <v>0</v>
      </c>
      <c r="AO20" s="10">
        <f t="shared" si="58"/>
        <v>0</v>
      </c>
      <c r="AP20" s="10">
        <f t="shared" si="17"/>
        <v>0</v>
      </c>
      <c r="AQ20" s="98"/>
      <c r="AR20" s="10">
        <f t="shared" si="18"/>
        <v>0</v>
      </c>
      <c r="AS20" s="10">
        <f t="shared" si="59"/>
        <v>0</v>
      </c>
      <c r="AT20" s="10">
        <f t="shared" si="19"/>
        <v>0</v>
      </c>
      <c r="AU20" s="250"/>
      <c r="AV20" s="10">
        <f t="shared" si="20"/>
        <v>0</v>
      </c>
      <c r="AW20" s="8">
        <f t="shared" si="60"/>
        <v>0</v>
      </c>
      <c r="AX20" s="10">
        <f t="shared" si="21"/>
        <v>0</v>
      </c>
      <c r="AY20" s="98"/>
      <c r="AZ20" s="10">
        <f t="shared" si="22"/>
        <v>0</v>
      </c>
      <c r="BA20" s="10">
        <f t="shared" si="61"/>
        <v>0</v>
      </c>
      <c r="BB20" s="10">
        <f t="shared" si="23"/>
        <v>0</v>
      </c>
      <c r="BC20" s="98"/>
      <c r="BD20" s="10">
        <f t="shared" si="24"/>
        <v>0</v>
      </c>
      <c r="BE20" s="10">
        <f t="shared" si="62"/>
        <v>0</v>
      </c>
      <c r="BF20" s="10">
        <f t="shared" si="25"/>
        <v>0</v>
      </c>
      <c r="BG20" s="98"/>
      <c r="BH20" s="10">
        <f t="shared" si="26"/>
        <v>0</v>
      </c>
      <c r="BI20" s="10">
        <f t="shared" si="63"/>
        <v>0</v>
      </c>
      <c r="BJ20" s="10">
        <f t="shared" si="27"/>
        <v>0</v>
      </c>
      <c r="BK20" s="98"/>
      <c r="BL20" s="10"/>
      <c r="BM20" s="10"/>
      <c r="BN20" s="10"/>
      <c r="BO20" s="98"/>
      <c r="BP20" s="10"/>
      <c r="BQ20" s="10"/>
      <c r="BR20" s="10"/>
      <c r="BS20" s="98"/>
      <c r="BT20" s="10"/>
      <c r="BU20" s="10"/>
      <c r="BV20" s="10"/>
      <c r="BW20" s="10">
        <f t="shared" si="64"/>
        <v>4952.5249999999996</v>
      </c>
      <c r="BX20" s="10">
        <f t="shared" si="28"/>
        <v>11.557136948172833</v>
      </c>
      <c r="BY20" s="10">
        <f t="shared" si="65"/>
        <v>62655.199999999997</v>
      </c>
      <c r="BZ20" s="10">
        <f t="shared" si="29"/>
        <v>13.062818429419496</v>
      </c>
      <c r="CA20" s="98"/>
      <c r="CB20" s="10">
        <f t="shared" si="30"/>
        <v>0</v>
      </c>
      <c r="CC20" s="10"/>
      <c r="CD20" s="10">
        <f t="shared" si="31"/>
        <v>0</v>
      </c>
      <c r="CE20" s="98"/>
      <c r="CF20" s="10">
        <f t="shared" si="32"/>
        <v>0</v>
      </c>
      <c r="CG20" s="10">
        <f t="shared" si="66"/>
        <v>0</v>
      </c>
      <c r="CH20" s="10">
        <f t="shared" si="33"/>
        <v>0</v>
      </c>
      <c r="CI20" s="98"/>
      <c r="CJ20" s="10">
        <f t="shared" si="34"/>
        <v>0</v>
      </c>
      <c r="CK20" s="10">
        <f t="shared" si="67"/>
        <v>55065.141000000003</v>
      </c>
      <c r="CL20" s="10">
        <f t="shared" si="35"/>
        <v>11.480386921969496</v>
      </c>
      <c r="CM20" s="98"/>
      <c r="CN20" s="10">
        <f t="shared" si="36"/>
        <v>0</v>
      </c>
      <c r="CO20" s="10">
        <f t="shared" si="68"/>
        <v>0</v>
      </c>
      <c r="CP20" s="10">
        <f t="shared" si="37"/>
        <v>0</v>
      </c>
      <c r="CQ20" s="98"/>
      <c r="CR20" s="10">
        <f t="shared" si="38"/>
        <v>0</v>
      </c>
      <c r="CS20" s="10">
        <f t="shared" si="69"/>
        <v>0</v>
      </c>
      <c r="CT20" s="10">
        <f t="shared" si="39"/>
        <v>0</v>
      </c>
      <c r="CU20" s="98"/>
      <c r="CV20" s="10">
        <f t="shared" si="40"/>
        <v>0</v>
      </c>
      <c r="CW20" s="10">
        <f t="shared" si="70"/>
        <v>0</v>
      </c>
      <c r="CX20" s="10">
        <f t="shared" si="41"/>
        <v>0</v>
      </c>
      <c r="CY20" s="98"/>
      <c r="CZ20" s="10">
        <f t="shared" si="42"/>
        <v>0</v>
      </c>
      <c r="DA20" s="10">
        <f t="shared" si="71"/>
        <v>102750</v>
      </c>
      <c r="DB20" s="10">
        <f t="shared" si="43"/>
        <v>0.21422078193395813</v>
      </c>
      <c r="DC20" s="98"/>
      <c r="DD20" s="10">
        <f t="shared" si="44"/>
        <v>0</v>
      </c>
      <c r="DE20" s="10">
        <f t="shared" si="72"/>
        <v>0</v>
      </c>
      <c r="DF20" s="10">
        <f t="shared" si="45"/>
        <v>0</v>
      </c>
      <c r="DG20" s="98"/>
      <c r="DH20" s="10"/>
      <c r="DI20" s="10"/>
      <c r="DJ20" s="10"/>
      <c r="DK20" s="10">
        <f t="shared" si="73"/>
        <v>0</v>
      </c>
      <c r="DL20" s="10">
        <f t="shared" si="74"/>
        <v>0</v>
      </c>
      <c r="DM20" s="10">
        <f t="shared" si="75"/>
        <v>157815.141</v>
      </c>
      <c r="DN20" s="10">
        <f t="shared" si="46"/>
        <v>32.90246511536531</v>
      </c>
      <c r="DO20" s="98"/>
      <c r="DP20" s="10">
        <f t="shared" si="76"/>
        <v>0</v>
      </c>
      <c r="DQ20" s="10">
        <f t="shared" si="77"/>
        <v>0</v>
      </c>
      <c r="DR20" s="10">
        <f t="shared" si="78"/>
        <v>0</v>
      </c>
      <c r="DS20" s="98"/>
      <c r="DT20" s="15">
        <f t="shared" si="79"/>
        <v>0</v>
      </c>
      <c r="DU20" s="10">
        <f t="shared" si="80"/>
        <v>0</v>
      </c>
      <c r="DV20" s="10">
        <f t="shared" si="81"/>
        <v>0</v>
      </c>
      <c r="DW20" s="98"/>
      <c r="DX20" s="15">
        <f t="shared" si="82"/>
        <v>0</v>
      </c>
      <c r="DY20" s="10">
        <f t="shared" si="83"/>
        <v>0</v>
      </c>
      <c r="DZ20" s="455">
        <f t="shared" si="84"/>
        <v>0</v>
      </c>
      <c r="EA20" s="98">
        <f>151*EA7</f>
        <v>37750</v>
      </c>
      <c r="EB20" s="10">
        <f t="shared" si="85"/>
        <v>88.0928253352632</v>
      </c>
      <c r="EC20" s="10">
        <f t="shared" si="86"/>
        <v>258875</v>
      </c>
      <c r="ED20" s="10">
        <f t="shared" si="87"/>
        <v>53.972170241511833</v>
      </c>
      <c r="EE20" s="10">
        <f t="shared" si="47"/>
        <v>37750</v>
      </c>
      <c r="EF20" s="10">
        <f t="shared" si="88"/>
        <v>88.0928253352632</v>
      </c>
      <c r="EG20" s="10">
        <f t="shared" si="89"/>
        <v>258875</v>
      </c>
      <c r="EH20" s="10">
        <f t="shared" si="90"/>
        <v>53.972170241511833</v>
      </c>
      <c r="EI20" s="10"/>
      <c r="EJ20" s="89">
        <f t="shared" si="91"/>
        <v>0</v>
      </c>
      <c r="EK20" s="10">
        <f t="shared" si="92"/>
        <v>0</v>
      </c>
      <c r="EL20" s="89">
        <f t="shared" si="93"/>
        <v>0</v>
      </c>
      <c r="EM20" s="10"/>
      <c r="EN20" s="89">
        <f t="shared" si="94"/>
        <v>0</v>
      </c>
      <c r="EO20" s="10">
        <f t="shared" si="95"/>
        <v>0</v>
      </c>
      <c r="EP20" s="89">
        <f t="shared" si="96"/>
        <v>0</v>
      </c>
      <c r="EQ20" s="10"/>
      <c r="ER20" s="89">
        <f t="shared" si="97"/>
        <v>0</v>
      </c>
      <c r="ES20" s="10">
        <f t="shared" si="98"/>
        <v>0</v>
      </c>
      <c r="ET20" s="89">
        <f t="shared" si="99"/>
        <v>0</v>
      </c>
      <c r="EU20" s="10"/>
      <c r="EV20" s="10">
        <f t="shared" si="100"/>
        <v>0</v>
      </c>
      <c r="EW20" s="10">
        <f t="shared" si="101"/>
        <v>0</v>
      </c>
      <c r="EX20" s="10">
        <f t="shared" si="102"/>
        <v>0</v>
      </c>
      <c r="EY20" s="89"/>
      <c r="EZ20" s="89">
        <f t="shared" si="103"/>
        <v>0</v>
      </c>
      <c r="FA20" s="10">
        <f t="shared" si="104"/>
        <v>0</v>
      </c>
      <c r="FB20" s="89">
        <f t="shared" si="105"/>
        <v>0</v>
      </c>
      <c r="FC20" s="89"/>
      <c r="FD20" s="89">
        <f t="shared" si="106"/>
        <v>0</v>
      </c>
      <c r="FE20" s="10">
        <f t="shared" si="107"/>
        <v>0</v>
      </c>
      <c r="FF20" s="89">
        <f t="shared" si="108"/>
        <v>0</v>
      </c>
      <c r="FG20" s="89"/>
      <c r="FH20" s="89">
        <f t="shared" si="109"/>
        <v>0</v>
      </c>
      <c r="FI20" s="10">
        <f t="shared" si="110"/>
        <v>0</v>
      </c>
      <c r="FJ20" s="89">
        <f t="shared" si="111"/>
        <v>0</v>
      </c>
      <c r="FK20" s="89">
        <f t="shared" si="112"/>
        <v>0</v>
      </c>
      <c r="FL20" s="89">
        <f t="shared" si="113"/>
        <v>0</v>
      </c>
      <c r="FM20" s="10">
        <f t="shared" si="114"/>
        <v>0</v>
      </c>
      <c r="FN20" s="89">
        <f t="shared" si="115"/>
        <v>0</v>
      </c>
      <c r="FO20" s="89">
        <v>150</v>
      </c>
      <c r="FP20" s="89">
        <f t="shared" si="116"/>
        <v>0.35003771656395971</v>
      </c>
      <c r="FQ20" s="10">
        <f t="shared" si="117"/>
        <v>300</v>
      </c>
      <c r="FR20" s="89">
        <f t="shared" si="118"/>
        <v>6.2546213703345441E-2</v>
      </c>
      <c r="FS20" s="89"/>
      <c r="FT20" s="89">
        <f t="shared" si="119"/>
        <v>0</v>
      </c>
      <c r="FU20" s="10">
        <f t="shared" si="120"/>
        <v>0</v>
      </c>
      <c r="FV20" s="89">
        <f t="shared" si="121"/>
        <v>0</v>
      </c>
      <c r="FW20" s="89">
        <f t="shared" si="122"/>
        <v>42852.525000000001</v>
      </c>
      <c r="FX20" s="10">
        <f t="shared" si="123"/>
        <v>479645.34100000007</v>
      </c>
      <c r="FY20" s="10">
        <f t="shared" si="48"/>
        <v>1.3703160974673829</v>
      </c>
      <c r="FZ20" s="10">
        <f t="shared" si="49"/>
        <v>1.0976644590348517</v>
      </c>
      <c r="GA20" s="6"/>
      <c r="GB20" s="456">
        <f t="shared" si="124"/>
        <v>0</v>
      </c>
      <c r="GC20" s="456">
        <f>(SUM($GA$10:GA20))/(SUM($EE$10:EE20))</f>
        <v>0</v>
      </c>
      <c r="GD20" s="3" t="s">
        <v>307</v>
      </c>
    </row>
    <row r="21" spans="1:191">
      <c r="A21" s="16">
        <f>+Chem!A21</f>
        <v>45850</v>
      </c>
      <c r="B21" s="6" t="str">
        <f>+Chem!B21</f>
        <v>Facial</v>
      </c>
      <c r="C21" s="16" t="str">
        <f>+Chem!C21</f>
        <v>12</v>
      </c>
      <c r="D21" s="8">
        <f>+Chem!D21</f>
        <v>42.796999999999997</v>
      </c>
      <c r="E21" s="7">
        <f>+Chem!E21</f>
        <v>39.923000000000002</v>
      </c>
      <c r="F21" s="7">
        <f t="shared" si="125"/>
        <v>476.892</v>
      </c>
      <c r="G21" s="98"/>
      <c r="H21" s="10">
        <f t="shared" si="0"/>
        <v>0</v>
      </c>
      <c r="I21" s="8">
        <f t="shared" si="50"/>
        <v>0</v>
      </c>
      <c r="J21" s="10">
        <f t="shared" si="1"/>
        <v>0</v>
      </c>
      <c r="K21" s="98"/>
      <c r="L21" s="10">
        <f t="shared" si="2"/>
        <v>0</v>
      </c>
      <c r="M21" s="10">
        <f t="shared" si="51"/>
        <v>0</v>
      </c>
      <c r="N21" s="10">
        <f t="shared" si="3"/>
        <v>0</v>
      </c>
      <c r="O21" s="98"/>
      <c r="P21" s="10">
        <f t="shared" si="4"/>
        <v>0</v>
      </c>
      <c r="Q21" s="10">
        <f t="shared" si="52"/>
        <v>0</v>
      </c>
      <c r="R21" s="10">
        <f t="shared" si="5"/>
        <v>0</v>
      </c>
      <c r="S21" s="98"/>
      <c r="T21" s="10">
        <f t="shared" si="6"/>
        <v>0</v>
      </c>
      <c r="U21" s="10">
        <f t="shared" si="53"/>
        <v>0</v>
      </c>
      <c r="V21" s="10">
        <f t="shared" si="7"/>
        <v>0</v>
      </c>
      <c r="W21" s="98"/>
      <c r="X21" s="10">
        <f t="shared" si="8"/>
        <v>0</v>
      </c>
      <c r="Y21" s="10">
        <f t="shared" si="54"/>
        <v>0</v>
      </c>
      <c r="Z21" s="10">
        <f t="shared" si="9"/>
        <v>0</v>
      </c>
      <c r="AA21" s="98">
        <f>21.5*AA7</f>
        <v>4952.5249999999996</v>
      </c>
      <c r="AB21" s="10">
        <f t="shared" si="10"/>
        <v>10.327975429865267</v>
      </c>
      <c r="AC21" s="10">
        <f t="shared" si="55"/>
        <v>67607.724999999991</v>
      </c>
      <c r="AD21" s="10">
        <f t="shared" si="11"/>
        <v>12.81425292952189</v>
      </c>
      <c r="AE21" s="98"/>
      <c r="AF21" s="10">
        <f t="shared" si="12"/>
        <v>0</v>
      </c>
      <c r="AG21" s="10">
        <f t="shared" si="56"/>
        <v>0</v>
      </c>
      <c r="AH21" s="10">
        <f t="shared" si="13"/>
        <v>0</v>
      </c>
      <c r="AI21" s="98"/>
      <c r="AJ21" s="10">
        <f t="shared" si="14"/>
        <v>0</v>
      </c>
      <c r="AK21" s="10">
        <f t="shared" si="57"/>
        <v>0</v>
      </c>
      <c r="AL21" s="10">
        <f t="shared" si="15"/>
        <v>0</v>
      </c>
      <c r="AM21" s="98"/>
      <c r="AN21" s="10">
        <f t="shared" si="16"/>
        <v>0</v>
      </c>
      <c r="AO21" s="10">
        <f t="shared" si="58"/>
        <v>0</v>
      </c>
      <c r="AP21" s="10">
        <f t="shared" si="17"/>
        <v>0</v>
      </c>
      <c r="AQ21" s="98"/>
      <c r="AR21" s="10">
        <f t="shared" si="18"/>
        <v>0</v>
      </c>
      <c r="AS21" s="10">
        <f t="shared" si="59"/>
        <v>0</v>
      </c>
      <c r="AT21" s="10">
        <f t="shared" si="19"/>
        <v>0</v>
      </c>
      <c r="AU21" s="250"/>
      <c r="AV21" s="10">
        <f t="shared" si="20"/>
        <v>0</v>
      </c>
      <c r="AW21" s="8">
        <f t="shared" si="60"/>
        <v>0</v>
      </c>
      <c r="AX21" s="10">
        <f t="shared" si="21"/>
        <v>0</v>
      </c>
      <c r="AY21" s="98"/>
      <c r="AZ21" s="10">
        <f t="shared" si="22"/>
        <v>0</v>
      </c>
      <c r="BA21" s="10">
        <f t="shared" si="61"/>
        <v>0</v>
      </c>
      <c r="BB21" s="10">
        <f t="shared" si="23"/>
        <v>0</v>
      </c>
      <c r="BC21" s="98"/>
      <c r="BD21" s="10">
        <f t="shared" si="24"/>
        <v>0</v>
      </c>
      <c r="BE21" s="10">
        <f t="shared" si="62"/>
        <v>0</v>
      </c>
      <c r="BF21" s="10">
        <f t="shared" si="25"/>
        <v>0</v>
      </c>
      <c r="BG21" s="98"/>
      <c r="BH21" s="10">
        <f t="shared" si="26"/>
        <v>0</v>
      </c>
      <c r="BI21" s="10">
        <f t="shared" si="63"/>
        <v>0</v>
      </c>
      <c r="BJ21" s="10">
        <f t="shared" si="27"/>
        <v>0</v>
      </c>
      <c r="BK21" s="98"/>
      <c r="BL21" s="10"/>
      <c r="BM21" s="10"/>
      <c r="BN21" s="10"/>
      <c r="BO21" s="98"/>
      <c r="BP21" s="10"/>
      <c r="BQ21" s="10"/>
      <c r="BR21" s="10"/>
      <c r="BS21" s="98"/>
      <c r="BT21" s="10"/>
      <c r="BU21" s="10"/>
      <c r="BV21" s="10"/>
      <c r="BW21" s="10">
        <f t="shared" si="64"/>
        <v>4952.5249999999996</v>
      </c>
      <c r="BX21" s="10">
        <f t="shared" si="28"/>
        <v>10.327975429865267</v>
      </c>
      <c r="BY21" s="10">
        <f t="shared" si="65"/>
        <v>67607.724999999991</v>
      </c>
      <c r="BZ21" s="10">
        <f t="shared" si="29"/>
        <v>12.81425292952189</v>
      </c>
      <c r="CA21" s="98"/>
      <c r="CB21" s="10">
        <f t="shared" si="30"/>
        <v>0</v>
      </c>
      <c r="CC21" s="10"/>
      <c r="CD21" s="10">
        <f t="shared" si="31"/>
        <v>0</v>
      </c>
      <c r="CE21" s="98"/>
      <c r="CF21" s="10">
        <f t="shared" si="32"/>
        <v>0</v>
      </c>
      <c r="CG21" s="10">
        <f t="shared" si="66"/>
        <v>0</v>
      </c>
      <c r="CH21" s="10">
        <f t="shared" si="33"/>
        <v>0</v>
      </c>
      <c r="CI21" s="98"/>
      <c r="CJ21" s="10">
        <f t="shared" si="34"/>
        <v>0</v>
      </c>
      <c r="CK21" s="10">
        <f t="shared" si="67"/>
        <v>55065.141000000003</v>
      </c>
      <c r="CL21" s="10">
        <f t="shared" si="35"/>
        <v>10.436952942489725</v>
      </c>
      <c r="CM21" s="98"/>
      <c r="CN21" s="10">
        <f t="shared" si="36"/>
        <v>0</v>
      </c>
      <c r="CO21" s="10">
        <f t="shared" si="68"/>
        <v>0</v>
      </c>
      <c r="CP21" s="10">
        <f t="shared" si="37"/>
        <v>0</v>
      </c>
      <c r="CQ21" s="98"/>
      <c r="CR21" s="10">
        <f t="shared" si="38"/>
        <v>0</v>
      </c>
      <c r="CS21" s="10">
        <f t="shared" si="69"/>
        <v>0</v>
      </c>
      <c r="CT21" s="10">
        <f t="shared" si="39"/>
        <v>0</v>
      </c>
      <c r="CU21" s="98"/>
      <c r="CV21" s="10">
        <f t="shared" si="40"/>
        <v>0</v>
      </c>
      <c r="CW21" s="10">
        <f t="shared" si="70"/>
        <v>0</v>
      </c>
      <c r="CX21" s="10">
        <f t="shared" si="41"/>
        <v>0</v>
      </c>
      <c r="CY21" s="98"/>
      <c r="CZ21" s="10">
        <f t="shared" si="42"/>
        <v>0</v>
      </c>
      <c r="DA21" s="10">
        <f t="shared" si="71"/>
        <v>102750</v>
      </c>
      <c r="DB21" s="10">
        <f t="shared" si="43"/>
        <v>0.19475059817622536</v>
      </c>
      <c r="DC21" s="98"/>
      <c r="DD21" s="10">
        <f t="shared" si="44"/>
        <v>0</v>
      </c>
      <c r="DE21" s="10">
        <f t="shared" si="72"/>
        <v>0</v>
      </c>
      <c r="DF21" s="10">
        <f t="shared" si="45"/>
        <v>0</v>
      </c>
      <c r="DG21" s="98"/>
      <c r="DH21" s="10"/>
      <c r="DI21" s="10"/>
      <c r="DJ21" s="10"/>
      <c r="DK21" s="10">
        <f t="shared" si="73"/>
        <v>0</v>
      </c>
      <c r="DL21" s="10">
        <f t="shared" si="74"/>
        <v>0</v>
      </c>
      <c r="DM21" s="10">
        <f t="shared" si="75"/>
        <v>157815.141</v>
      </c>
      <c r="DN21" s="10">
        <f t="shared" si="46"/>
        <v>29.912012760112262</v>
      </c>
      <c r="DO21" s="98"/>
      <c r="DP21" s="10">
        <f t="shared" si="76"/>
        <v>0</v>
      </c>
      <c r="DQ21" s="10">
        <f t="shared" si="77"/>
        <v>0</v>
      </c>
      <c r="DR21" s="10">
        <f t="shared" si="78"/>
        <v>0</v>
      </c>
      <c r="DS21" s="98"/>
      <c r="DT21" s="15">
        <f t="shared" si="79"/>
        <v>0</v>
      </c>
      <c r="DU21" s="10">
        <f t="shared" si="80"/>
        <v>0</v>
      </c>
      <c r="DV21" s="10">
        <f t="shared" si="81"/>
        <v>0</v>
      </c>
      <c r="DW21" s="98"/>
      <c r="DX21" s="15">
        <f t="shared" si="82"/>
        <v>0</v>
      </c>
      <c r="DY21" s="10">
        <f t="shared" si="83"/>
        <v>0</v>
      </c>
      <c r="DZ21" s="455">
        <f t="shared" si="84"/>
        <v>0</v>
      </c>
      <c r="EA21" s="98">
        <f>172*EA7</f>
        <v>43000</v>
      </c>
      <c r="EB21" s="10">
        <f t="shared" si="85"/>
        <v>89.672024570134738</v>
      </c>
      <c r="EC21" s="10">
        <f t="shared" si="86"/>
        <v>301875</v>
      </c>
      <c r="ED21" s="10">
        <f t="shared" si="87"/>
        <v>57.216872821847232</v>
      </c>
      <c r="EE21" s="10">
        <f t="shared" si="47"/>
        <v>43000</v>
      </c>
      <c r="EF21" s="10">
        <f t="shared" si="88"/>
        <v>89.672024570134738</v>
      </c>
      <c r="EG21" s="10">
        <f t="shared" si="89"/>
        <v>301875</v>
      </c>
      <c r="EH21" s="10">
        <f t="shared" si="90"/>
        <v>57.216872821847232</v>
      </c>
      <c r="EI21" s="10"/>
      <c r="EJ21" s="89">
        <f t="shared" si="91"/>
        <v>0</v>
      </c>
      <c r="EK21" s="10">
        <f t="shared" si="92"/>
        <v>0</v>
      </c>
      <c r="EL21" s="89">
        <f t="shared" si="93"/>
        <v>0</v>
      </c>
      <c r="EM21" s="10"/>
      <c r="EN21" s="89">
        <f t="shared" si="94"/>
        <v>0</v>
      </c>
      <c r="EO21" s="10">
        <f t="shared" si="95"/>
        <v>0</v>
      </c>
      <c r="EP21" s="89">
        <f t="shared" si="96"/>
        <v>0</v>
      </c>
      <c r="EQ21" s="10"/>
      <c r="ER21" s="89">
        <f t="shared" si="97"/>
        <v>0</v>
      </c>
      <c r="ES21" s="10">
        <f t="shared" si="98"/>
        <v>0</v>
      </c>
      <c r="ET21" s="89">
        <f t="shared" si="99"/>
        <v>0</v>
      </c>
      <c r="EU21" s="10"/>
      <c r="EV21" s="10">
        <f t="shared" si="100"/>
        <v>0</v>
      </c>
      <c r="EW21" s="10">
        <f t="shared" si="101"/>
        <v>0</v>
      </c>
      <c r="EX21" s="10">
        <f t="shared" si="102"/>
        <v>0</v>
      </c>
      <c r="EY21" s="89"/>
      <c r="EZ21" s="89">
        <f t="shared" si="103"/>
        <v>0</v>
      </c>
      <c r="FA21" s="10">
        <f t="shared" si="104"/>
        <v>0</v>
      </c>
      <c r="FB21" s="89">
        <f t="shared" si="105"/>
        <v>0</v>
      </c>
      <c r="FC21" s="89"/>
      <c r="FD21" s="89">
        <f t="shared" si="106"/>
        <v>0</v>
      </c>
      <c r="FE21" s="10">
        <f t="shared" si="107"/>
        <v>0</v>
      </c>
      <c r="FF21" s="89">
        <f t="shared" si="108"/>
        <v>0</v>
      </c>
      <c r="FG21" s="89"/>
      <c r="FH21" s="89">
        <f t="shared" si="109"/>
        <v>0</v>
      </c>
      <c r="FI21" s="10">
        <f t="shared" si="110"/>
        <v>0</v>
      </c>
      <c r="FJ21" s="89">
        <f t="shared" si="111"/>
        <v>0</v>
      </c>
      <c r="FK21" s="89">
        <f t="shared" si="112"/>
        <v>0</v>
      </c>
      <c r="FL21" s="89">
        <f t="shared" si="113"/>
        <v>0</v>
      </c>
      <c r="FM21" s="10">
        <f t="shared" si="114"/>
        <v>0</v>
      </c>
      <c r="FN21" s="89">
        <f t="shared" si="115"/>
        <v>0</v>
      </c>
      <c r="FO21" s="89"/>
      <c r="FP21" s="89">
        <f t="shared" si="116"/>
        <v>0</v>
      </c>
      <c r="FQ21" s="10">
        <f t="shared" si="117"/>
        <v>300</v>
      </c>
      <c r="FR21" s="89">
        <f t="shared" si="118"/>
        <v>5.6861488518605952E-2</v>
      </c>
      <c r="FS21" s="89"/>
      <c r="FT21" s="89">
        <f t="shared" si="119"/>
        <v>0</v>
      </c>
      <c r="FU21" s="10">
        <f t="shared" si="120"/>
        <v>0</v>
      </c>
      <c r="FV21" s="89">
        <f t="shared" si="121"/>
        <v>0</v>
      </c>
      <c r="FW21" s="89">
        <f t="shared" si="122"/>
        <v>47952.525000000001</v>
      </c>
      <c r="FX21" s="10">
        <f t="shared" si="123"/>
        <v>527597.86600000004</v>
      </c>
      <c r="FY21" s="10">
        <f t="shared" si="48"/>
        <v>1.2011252911855321</v>
      </c>
      <c r="FZ21" s="10">
        <f t="shared" si="49"/>
        <v>1.1063256796088006</v>
      </c>
      <c r="GA21" s="6"/>
      <c r="GB21" s="456">
        <f t="shared" si="124"/>
        <v>0</v>
      </c>
      <c r="GC21" s="456">
        <f>(SUM($GA$10:GA21))/(SUM($EE$10:EE21))</f>
        <v>0</v>
      </c>
      <c r="GD21" s="3" t="s">
        <v>307</v>
      </c>
      <c r="GE21" s="14"/>
      <c r="GH21" s="14"/>
      <c r="GI21" s="14"/>
    </row>
    <row r="22" spans="1:191">
      <c r="A22" s="16">
        <f>+Chem!A22</f>
        <v>45851</v>
      </c>
      <c r="B22" s="6" t="str">
        <f>+Chem!B22</f>
        <v>Facial</v>
      </c>
      <c r="C22" s="16" t="str">
        <f>+Chem!C22</f>
        <v>12</v>
      </c>
      <c r="D22" s="8">
        <f>+Chem!D22</f>
        <v>41.662999999999997</v>
      </c>
      <c r="E22" s="7">
        <f>+Chem!E22</f>
        <v>37.549999999999997</v>
      </c>
      <c r="F22" s="7">
        <f t="shared" si="125"/>
        <v>514.44200000000001</v>
      </c>
      <c r="G22" s="98"/>
      <c r="H22" s="10">
        <f t="shared" si="0"/>
        <v>0</v>
      </c>
      <c r="I22" s="8">
        <f t="shared" si="50"/>
        <v>0</v>
      </c>
      <c r="J22" s="10">
        <f t="shared" si="1"/>
        <v>0</v>
      </c>
      <c r="K22" s="98"/>
      <c r="L22" s="10">
        <f t="shared" si="2"/>
        <v>0</v>
      </c>
      <c r="M22" s="10">
        <f t="shared" si="51"/>
        <v>0</v>
      </c>
      <c r="N22" s="10">
        <f t="shared" si="3"/>
        <v>0</v>
      </c>
      <c r="O22" s="98"/>
      <c r="P22" s="10">
        <f t="shared" si="4"/>
        <v>0</v>
      </c>
      <c r="Q22" s="10">
        <f t="shared" si="52"/>
        <v>0</v>
      </c>
      <c r="R22" s="10">
        <f t="shared" si="5"/>
        <v>0</v>
      </c>
      <c r="S22" s="98"/>
      <c r="T22" s="10">
        <f t="shared" si="6"/>
        <v>0</v>
      </c>
      <c r="U22" s="10">
        <f t="shared" si="53"/>
        <v>0</v>
      </c>
      <c r="V22" s="10">
        <f t="shared" si="7"/>
        <v>0</v>
      </c>
      <c r="W22" s="98"/>
      <c r="X22" s="10">
        <f t="shared" si="8"/>
        <v>0</v>
      </c>
      <c r="Y22" s="10">
        <f t="shared" si="54"/>
        <v>0</v>
      </c>
      <c r="Z22" s="10">
        <f t="shared" si="9"/>
        <v>0</v>
      </c>
      <c r="AA22" s="98">
        <f>27.5*AA7</f>
        <v>6334.625</v>
      </c>
      <c r="AB22" s="10">
        <f t="shared" si="10"/>
        <v>13.382645367952106</v>
      </c>
      <c r="AC22" s="10">
        <f t="shared" si="55"/>
        <v>73942.349999999991</v>
      </c>
      <c r="AD22" s="10">
        <f t="shared" si="11"/>
        <v>12.861049107068117</v>
      </c>
      <c r="AE22" s="98"/>
      <c r="AF22" s="10">
        <f t="shared" si="12"/>
        <v>0</v>
      </c>
      <c r="AG22" s="10">
        <f t="shared" si="56"/>
        <v>0</v>
      </c>
      <c r="AH22" s="10">
        <f t="shared" si="13"/>
        <v>0</v>
      </c>
      <c r="AI22" s="98"/>
      <c r="AJ22" s="10">
        <f t="shared" si="14"/>
        <v>0</v>
      </c>
      <c r="AK22" s="10">
        <f t="shared" si="57"/>
        <v>0</v>
      </c>
      <c r="AL22" s="10">
        <f t="shared" si="15"/>
        <v>0</v>
      </c>
      <c r="AM22" s="98"/>
      <c r="AN22" s="10">
        <f t="shared" si="16"/>
        <v>0</v>
      </c>
      <c r="AO22" s="10">
        <f t="shared" si="58"/>
        <v>0</v>
      </c>
      <c r="AP22" s="10">
        <f t="shared" si="17"/>
        <v>0</v>
      </c>
      <c r="AQ22" s="98"/>
      <c r="AR22" s="10">
        <f t="shared" si="18"/>
        <v>0</v>
      </c>
      <c r="AS22" s="10">
        <f t="shared" si="59"/>
        <v>0</v>
      </c>
      <c r="AT22" s="10">
        <f t="shared" si="19"/>
        <v>0</v>
      </c>
      <c r="AU22" s="250"/>
      <c r="AV22" s="10">
        <f t="shared" si="20"/>
        <v>0</v>
      </c>
      <c r="AW22" s="8">
        <f t="shared" si="60"/>
        <v>0</v>
      </c>
      <c r="AX22" s="10">
        <f t="shared" si="21"/>
        <v>0</v>
      </c>
      <c r="AY22" s="98"/>
      <c r="AZ22" s="10">
        <f t="shared" si="22"/>
        <v>0</v>
      </c>
      <c r="BA22" s="10">
        <f t="shared" si="61"/>
        <v>0</v>
      </c>
      <c r="BB22" s="10">
        <f t="shared" si="23"/>
        <v>0</v>
      </c>
      <c r="BC22" s="98"/>
      <c r="BD22" s="10">
        <f t="shared" si="24"/>
        <v>0</v>
      </c>
      <c r="BE22" s="10">
        <f t="shared" si="62"/>
        <v>0</v>
      </c>
      <c r="BF22" s="10">
        <f t="shared" si="25"/>
        <v>0</v>
      </c>
      <c r="BG22" s="98"/>
      <c r="BH22" s="10">
        <f t="shared" si="26"/>
        <v>0</v>
      </c>
      <c r="BI22" s="10">
        <f t="shared" si="63"/>
        <v>0</v>
      </c>
      <c r="BJ22" s="10">
        <f t="shared" si="27"/>
        <v>0</v>
      </c>
      <c r="BK22" s="98"/>
      <c r="BL22" s="10"/>
      <c r="BM22" s="10"/>
      <c r="BN22" s="10"/>
      <c r="BO22" s="98"/>
      <c r="BP22" s="10"/>
      <c r="BQ22" s="10"/>
      <c r="BR22" s="10"/>
      <c r="BS22" s="98"/>
      <c r="BT22" s="10"/>
      <c r="BU22" s="10"/>
      <c r="BV22" s="10"/>
      <c r="BW22" s="10">
        <f t="shared" si="64"/>
        <v>6334.625</v>
      </c>
      <c r="BX22" s="10">
        <f t="shared" si="28"/>
        <v>13.382645367952106</v>
      </c>
      <c r="BY22" s="10">
        <f t="shared" si="65"/>
        <v>73942.349999999991</v>
      </c>
      <c r="BZ22" s="10">
        <f t="shared" si="29"/>
        <v>12.861049107068117</v>
      </c>
      <c r="CA22" s="98"/>
      <c r="CB22" s="10">
        <f t="shared" si="30"/>
        <v>0</v>
      </c>
      <c r="CC22" s="10"/>
      <c r="CD22" s="10">
        <f t="shared" si="31"/>
        <v>0</v>
      </c>
      <c r="CE22" s="98"/>
      <c r="CF22" s="10">
        <f t="shared" si="32"/>
        <v>0</v>
      </c>
      <c r="CG22" s="10">
        <f t="shared" si="66"/>
        <v>0</v>
      </c>
      <c r="CH22" s="10">
        <f t="shared" si="33"/>
        <v>0</v>
      </c>
      <c r="CI22" s="98"/>
      <c r="CJ22" s="10">
        <f t="shared" si="34"/>
        <v>0</v>
      </c>
      <c r="CK22" s="10">
        <f t="shared" si="67"/>
        <v>55065.141000000003</v>
      </c>
      <c r="CL22" s="10">
        <f t="shared" si="35"/>
        <v>9.5776707460424255</v>
      </c>
      <c r="CM22" s="98"/>
      <c r="CN22" s="10">
        <f t="shared" si="36"/>
        <v>0</v>
      </c>
      <c r="CO22" s="10">
        <f t="shared" si="68"/>
        <v>0</v>
      </c>
      <c r="CP22" s="10">
        <f t="shared" si="37"/>
        <v>0</v>
      </c>
      <c r="CQ22" s="98"/>
      <c r="CR22" s="10">
        <f t="shared" si="38"/>
        <v>0</v>
      </c>
      <c r="CS22" s="10">
        <f t="shared" si="69"/>
        <v>0</v>
      </c>
      <c r="CT22" s="10">
        <f t="shared" si="39"/>
        <v>0</v>
      </c>
      <c r="CU22" s="98"/>
      <c r="CV22" s="10">
        <f t="shared" si="40"/>
        <v>0</v>
      </c>
      <c r="CW22" s="10">
        <f t="shared" si="70"/>
        <v>0</v>
      </c>
      <c r="CX22" s="10">
        <f t="shared" si="41"/>
        <v>0</v>
      </c>
      <c r="CY22" s="98"/>
      <c r="CZ22" s="10">
        <f t="shared" si="42"/>
        <v>0</v>
      </c>
      <c r="DA22" s="10">
        <f t="shared" si="71"/>
        <v>102750</v>
      </c>
      <c r="DB22" s="10">
        <f t="shared" si="43"/>
        <v>0.17871663475007885</v>
      </c>
      <c r="DC22" s="98"/>
      <c r="DD22" s="10">
        <f t="shared" si="44"/>
        <v>0</v>
      </c>
      <c r="DE22" s="10">
        <f t="shared" si="72"/>
        <v>0</v>
      </c>
      <c r="DF22" s="10">
        <f t="shared" si="45"/>
        <v>0</v>
      </c>
      <c r="DG22" s="98"/>
      <c r="DH22" s="10"/>
      <c r="DI22" s="10"/>
      <c r="DJ22" s="10"/>
      <c r="DK22" s="10">
        <f t="shared" si="73"/>
        <v>0</v>
      </c>
      <c r="DL22" s="10">
        <f t="shared" si="74"/>
        <v>0</v>
      </c>
      <c r="DM22" s="10">
        <f t="shared" si="75"/>
        <v>157815.141</v>
      </c>
      <c r="DN22" s="10">
        <f t="shared" si="46"/>
        <v>27.449334221050307</v>
      </c>
      <c r="DO22" s="98"/>
      <c r="DP22" s="10">
        <f t="shared" si="76"/>
        <v>0</v>
      </c>
      <c r="DQ22" s="10">
        <f t="shared" si="77"/>
        <v>0</v>
      </c>
      <c r="DR22" s="10">
        <f t="shared" si="78"/>
        <v>0</v>
      </c>
      <c r="DS22" s="98"/>
      <c r="DT22" s="15">
        <f t="shared" si="79"/>
        <v>0</v>
      </c>
      <c r="DU22" s="10">
        <f t="shared" si="80"/>
        <v>0</v>
      </c>
      <c r="DV22" s="10">
        <f t="shared" si="81"/>
        <v>0</v>
      </c>
      <c r="DW22" s="98"/>
      <c r="DX22" s="15">
        <f t="shared" si="82"/>
        <v>0</v>
      </c>
      <c r="DY22" s="10">
        <f t="shared" si="83"/>
        <v>0</v>
      </c>
      <c r="DZ22" s="455">
        <f t="shared" si="84"/>
        <v>0</v>
      </c>
      <c r="EA22" s="98">
        <f>164*EA7</f>
        <v>41000</v>
      </c>
      <c r="EB22" s="10">
        <f t="shared" si="85"/>
        <v>86.617354632047892</v>
      </c>
      <c r="EC22" s="10">
        <f t="shared" si="86"/>
        <v>342875</v>
      </c>
      <c r="ED22" s="10">
        <f t="shared" si="87"/>
        <v>59.637436632538474</v>
      </c>
      <c r="EE22" s="10">
        <f t="shared" si="47"/>
        <v>41000</v>
      </c>
      <c r="EF22" s="10">
        <f t="shared" si="88"/>
        <v>86.617354632047892</v>
      </c>
      <c r="EG22" s="10">
        <f t="shared" si="89"/>
        <v>342875</v>
      </c>
      <c r="EH22" s="10">
        <f t="shared" si="90"/>
        <v>59.637436632538474</v>
      </c>
      <c r="EI22" s="10"/>
      <c r="EJ22" s="89">
        <f t="shared" si="91"/>
        <v>0</v>
      </c>
      <c r="EK22" s="10">
        <f t="shared" si="92"/>
        <v>0</v>
      </c>
      <c r="EL22" s="89">
        <f t="shared" si="93"/>
        <v>0</v>
      </c>
      <c r="EM22" s="10"/>
      <c r="EN22" s="89">
        <f t="shared" si="94"/>
        <v>0</v>
      </c>
      <c r="EO22" s="10">
        <f t="shared" si="95"/>
        <v>0</v>
      </c>
      <c r="EP22" s="89">
        <f t="shared" si="96"/>
        <v>0</v>
      </c>
      <c r="EQ22" s="10"/>
      <c r="ER22" s="89">
        <f t="shared" si="97"/>
        <v>0</v>
      </c>
      <c r="ES22" s="10">
        <f t="shared" si="98"/>
        <v>0</v>
      </c>
      <c r="ET22" s="89">
        <f t="shared" si="99"/>
        <v>0</v>
      </c>
      <c r="EU22" s="10"/>
      <c r="EV22" s="10">
        <f t="shared" si="100"/>
        <v>0</v>
      </c>
      <c r="EW22" s="10">
        <f t="shared" si="101"/>
        <v>0</v>
      </c>
      <c r="EX22" s="10">
        <f t="shared" si="102"/>
        <v>0</v>
      </c>
      <c r="EY22" s="89"/>
      <c r="EZ22" s="89">
        <f t="shared" si="103"/>
        <v>0</v>
      </c>
      <c r="FA22" s="10">
        <f t="shared" si="104"/>
        <v>0</v>
      </c>
      <c r="FB22" s="89">
        <f t="shared" si="105"/>
        <v>0</v>
      </c>
      <c r="FC22" s="89"/>
      <c r="FD22" s="89">
        <f t="shared" si="106"/>
        <v>0</v>
      </c>
      <c r="FE22" s="10">
        <f t="shared" si="107"/>
        <v>0</v>
      </c>
      <c r="FF22" s="89">
        <f t="shared" si="108"/>
        <v>0</v>
      </c>
      <c r="FG22" s="89"/>
      <c r="FH22" s="89">
        <f t="shared" si="109"/>
        <v>0</v>
      </c>
      <c r="FI22" s="10">
        <f t="shared" si="110"/>
        <v>0</v>
      </c>
      <c r="FJ22" s="89">
        <f t="shared" si="111"/>
        <v>0</v>
      </c>
      <c r="FK22" s="89">
        <f t="shared" si="112"/>
        <v>0</v>
      </c>
      <c r="FL22" s="89">
        <f t="shared" si="113"/>
        <v>0</v>
      </c>
      <c r="FM22" s="10">
        <f t="shared" si="114"/>
        <v>0</v>
      </c>
      <c r="FN22" s="89">
        <f t="shared" si="115"/>
        <v>0</v>
      </c>
      <c r="FO22" s="89"/>
      <c r="FP22" s="89">
        <f t="shared" si="116"/>
        <v>0</v>
      </c>
      <c r="FQ22" s="10">
        <f t="shared" si="117"/>
        <v>300</v>
      </c>
      <c r="FR22" s="89">
        <f t="shared" si="118"/>
        <v>5.2180039343088715E-2</v>
      </c>
      <c r="FS22" s="89"/>
      <c r="FT22" s="89">
        <f t="shared" si="119"/>
        <v>0</v>
      </c>
      <c r="FU22" s="10">
        <f t="shared" si="120"/>
        <v>0</v>
      </c>
      <c r="FV22" s="89">
        <f t="shared" si="121"/>
        <v>0</v>
      </c>
      <c r="FW22" s="89">
        <f t="shared" si="122"/>
        <v>47334.625</v>
      </c>
      <c r="FX22" s="10">
        <f t="shared" si="123"/>
        <v>574932.49100000004</v>
      </c>
      <c r="FY22" s="10">
        <f t="shared" si="48"/>
        <v>1.260575898801598</v>
      </c>
      <c r="FZ22" s="10">
        <f t="shared" si="49"/>
        <v>1.1175846664930158</v>
      </c>
      <c r="GA22" s="6"/>
      <c r="GB22" s="456">
        <f t="shared" si="124"/>
        <v>0</v>
      </c>
      <c r="GC22" s="456">
        <f>(SUM($GA$10:GA22))/(SUM($EE$10:EE22))</f>
        <v>0</v>
      </c>
      <c r="GD22" s="3" t="s">
        <v>307</v>
      </c>
      <c r="GE22" s="14"/>
      <c r="GH22" s="14"/>
      <c r="GI22" s="14"/>
    </row>
    <row r="23" spans="1:191">
      <c r="A23" s="16">
        <f>+Chem!A23</f>
        <v>45852</v>
      </c>
      <c r="B23" s="6" t="str">
        <f>+Chem!B23</f>
        <v>Facial/Towel</v>
      </c>
      <c r="C23" s="16" t="str">
        <f>+Chem!C23</f>
        <v>12/15</v>
      </c>
      <c r="D23" s="8">
        <f>+Chem!D23</f>
        <v>49.626999999999995</v>
      </c>
      <c r="E23" s="7">
        <f>+Chem!E23</f>
        <v>49.134</v>
      </c>
      <c r="F23" s="7">
        <f t="shared" si="125"/>
        <v>563.57600000000002</v>
      </c>
      <c r="G23" s="98"/>
      <c r="H23" s="10">
        <f t="shared" si="0"/>
        <v>0</v>
      </c>
      <c r="I23" s="8">
        <f t="shared" si="50"/>
        <v>0</v>
      </c>
      <c r="J23" s="10">
        <f t="shared" si="1"/>
        <v>0</v>
      </c>
      <c r="K23" s="98"/>
      <c r="L23" s="10">
        <f t="shared" si="2"/>
        <v>0</v>
      </c>
      <c r="M23" s="10">
        <f t="shared" si="51"/>
        <v>0</v>
      </c>
      <c r="N23" s="10">
        <f t="shared" si="3"/>
        <v>0</v>
      </c>
      <c r="O23" s="98"/>
      <c r="P23" s="10">
        <f t="shared" si="4"/>
        <v>0</v>
      </c>
      <c r="Q23" s="10">
        <f t="shared" si="52"/>
        <v>0</v>
      </c>
      <c r="R23" s="10">
        <f t="shared" si="5"/>
        <v>0</v>
      </c>
      <c r="S23" s="98"/>
      <c r="T23" s="10">
        <f t="shared" si="6"/>
        <v>0</v>
      </c>
      <c r="U23" s="10">
        <f t="shared" si="53"/>
        <v>0</v>
      </c>
      <c r="V23" s="10">
        <f t="shared" si="7"/>
        <v>0</v>
      </c>
      <c r="W23" s="98"/>
      <c r="X23" s="10">
        <f t="shared" si="8"/>
        <v>0</v>
      </c>
      <c r="Y23" s="10">
        <f t="shared" si="54"/>
        <v>0</v>
      </c>
      <c r="Z23" s="10">
        <f t="shared" si="9"/>
        <v>0</v>
      </c>
      <c r="AA23" s="98">
        <f>39.5*AA7</f>
        <v>9098.8249999999989</v>
      </c>
      <c r="AB23" s="10">
        <f t="shared" si="10"/>
        <v>17.893874637221213</v>
      </c>
      <c r="AC23" s="10">
        <f t="shared" si="55"/>
        <v>83041.174999999988</v>
      </c>
      <c r="AD23" s="10">
        <f t="shared" si="11"/>
        <v>13.269999099813326</v>
      </c>
      <c r="AE23" s="98"/>
      <c r="AF23" s="10">
        <f t="shared" si="12"/>
        <v>0</v>
      </c>
      <c r="AG23" s="10">
        <f t="shared" si="56"/>
        <v>0</v>
      </c>
      <c r="AH23" s="10">
        <f t="shared" si="13"/>
        <v>0</v>
      </c>
      <c r="AI23" s="98"/>
      <c r="AJ23" s="10">
        <f t="shared" si="14"/>
        <v>0</v>
      </c>
      <c r="AK23" s="10">
        <f t="shared" si="57"/>
        <v>0</v>
      </c>
      <c r="AL23" s="10">
        <f t="shared" si="15"/>
        <v>0</v>
      </c>
      <c r="AM23" s="98"/>
      <c r="AN23" s="10">
        <f t="shared" si="16"/>
        <v>0</v>
      </c>
      <c r="AO23" s="10">
        <f t="shared" si="58"/>
        <v>0</v>
      </c>
      <c r="AP23" s="10">
        <f t="shared" si="17"/>
        <v>0</v>
      </c>
      <c r="AQ23" s="98"/>
      <c r="AR23" s="10">
        <f t="shared" si="18"/>
        <v>0</v>
      </c>
      <c r="AS23" s="10">
        <f t="shared" si="59"/>
        <v>0</v>
      </c>
      <c r="AT23" s="10">
        <f t="shared" si="19"/>
        <v>0</v>
      </c>
      <c r="AU23" s="250"/>
      <c r="AV23" s="10">
        <f t="shared" si="20"/>
        <v>0</v>
      </c>
      <c r="AW23" s="8">
        <f t="shared" si="60"/>
        <v>0</v>
      </c>
      <c r="AX23" s="10">
        <f t="shared" si="21"/>
        <v>0</v>
      </c>
      <c r="AY23" s="98"/>
      <c r="AZ23" s="10">
        <f t="shared" si="22"/>
        <v>0</v>
      </c>
      <c r="BA23" s="10">
        <f t="shared" si="61"/>
        <v>0</v>
      </c>
      <c r="BB23" s="10">
        <f t="shared" si="23"/>
        <v>0</v>
      </c>
      <c r="BC23" s="98"/>
      <c r="BD23" s="10">
        <f t="shared" si="24"/>
        <v>0</v>
      </c>
      <c r="BE23" s="10">
        <f t="shared" si="62"/>
        <v>0</v>
      </c>
      <c r="BF23" s="10">
        <f t="shared" si="25"/>
        <v>0</v>
      </c>
      <c r="BG23" s="98"/>
      <c r="BH23" s="10">
        <f t="shared" si="26"/>
        <v>0</v>
      </c>
      <c r="BI23" s="10">
        <f t="shared" si="63"/>
        <v>0</v>
      </c>
      <c r="BJ23" s="10">
        <f t="shared" si="27"/>
        <v>0</v>
      </c>
      <c r="BK23" s="98"/>
      <c r="BL23" s="10"/>
      <c r="BM23" s="10"/>
      <c r="BN23" s="10"/>
      <c r="BO23" s="98"/>
      <c r="BP23" s="10"/>
      <c r="BQ23" s="10"/>
      <c r="BR23" s="10"/>
      <c r="BS23" s="98"/>
      <c r="BT23" s="10"/>
      <c r="BU23" s="10"/>
      <c r="BV23" s="10"/>
      <c r="BW23" s="10">
        <f t="shared" si="64"/>
        <v>9098.8249999999989</v>
      </c>
      <c r="BX23" s="10">
        <f t="shared" si="28"/>
        <v>17.893874637221213</v>
      </c>
      <c r="BY23" s="10">
        <f t="shared" si="65"/>
        <v>83041.174999999988</v>
      </c>
      <c r="BZ23" s="10">
        <f t="shared" si="29"/>
        <v>13.269999099813326</v>
      </c>
      <c r="CA23" s="98"/>
      <c r="CB23" s="10">
        <f t="shared" si="30"/>
        <v>0</v>
      </c>
      <c r="CC23" s="10"/>
      <c r="CD23" s="10">
        <f t="shared" si="31"/>
        <v>0</v>
      </c>
      <c r="CE23" s="98"/>
      <c r="CF23" s="10">
        <f t="shared" si="32"/>
        <v>0</v>
      </c>
      <c r="CG23" s="10">
        <f t="shared" si="66"/>
        <v>0</v>
      </c>
      <c r="CH23" s="10">
        <f t="shared" si="33"/>
        <v>0</v>
      </c>
      <c r="CI23" s="98"/>
      <c r="CJ23" s="10">
        <f t="shared" si="34"/>
        <v>0</v>
      </c>
      <c r="CK23" s="10">
        <f t="shared" si="67"/>
        <v>55065.141000000003</v>
      </c>
      <c r="CL23" s="10">
        <f t="shared" si="35"/>
        <v>8.7994223528399509</v>
      </c>
      <c r="CM23" s="98"/>
      <c r="CN23" s="10">
        <f t="shared" si="36"/>
        <v>0</v>
      </c>
      <c r="CO23" s="10">
        <f t="shared" si="68"/>
        <v>0</v>
      </c>
      <c r="CP23" s="10">
        <f t="shared" si="37"/>
        <v>0</v>
      </c>
      <c r="CQ23" s="98"/>
      <c r="CR23" s="10">
        <f t="shared" si="38"/>
        <v>0</v>
      </c>
      <c r="CS23" s="10">
        <f t="shared" si="69"/>
        <v>0</v>
      </c>
      <c r="CT23" s="10">
        <f t="shared" si="39"/>
        <v>0</v>
      </c>
      <c r="CU23" s="98"/>
      <c r="CV23" s="10">
        <f t="shared" si="40"/>
        <v>0</v>
      </c>
      <c r="CW23" s="10">
        <f t="shared" si="70"/>
        <v>0</v>
      </c>
      <c r="CX23" s="10">
        <f t="shared" si="41"/>
        <v>0</v>
      </c>
      <c r="CY23" s="98"/>
      <c r="CZ23" s="10">
        <f t="shared" si="42"/>
        <v>0</v>
      </c>
      <c r="DA23" s="10">
        <f t="shared" si="71"/>
        <v>102750</v>
      </c>
      <c r="DB23" s="10">
        <f t="shared" si="43"/>
        <v>0.1641947392369893</v>
      </c>
      <c r="DC23" s="98"/>
      <c r="DD23" s="10">
        <f t="shared" si="44"/>
        <v>0</v>
      </c>
      <c r="DE23" s="10">
        <f t="shared" si="72"/>
        <v>0</v>
      </c>
      <c r="DF23" s="10">
        <f t="shared" si="45"/>
        <v>0</v>
      </c>
      <c r="DG23" s="98"/>
      <c r="DH23" s="10"/>
      <c r="DI23" s="10"/>
      <c r="DJ23" s="10"/>
      <c r="DK23" s="10">
        <f t="shared" si="73"/>
        <v>0</v>
      </c>
      <c r="DL23" s="10">
        <f t="shared" si="74"/>
        <v>0</v>
      </c>
      <c r="DM23" s="10">
        <f t="shared" si="75"/>
        <v>157815.141</v>
      </c>
      <c r="DN23" s="10">
        <f t="shared" si="46"/>
        <v>25.218896276538882</v>
      </c>
      <c r="DO23" s="98"/>
      <c r="DP23" s="10">
        <f t="shared" si="76"/>
        <v>0</v>
      </c>
      <c r="DQ23" s="10">
        <f t="shared" si="77"/>
        <v>0</v>
      </c>
      <c r="DR23" s="10">
        <f t="shared" si="78"/>
        <v>0</v>
      </c>
      <c r="DS23" s="98"/>
      <c r="DT23" s="15">
        <f t="shared" si="79"/>
        <v>0</v>
      </c>
      <c r="DU23" s="10">
        <f t="shared" si="80"/>
        <v>0</v>
      </c>
      <c r="DV23" s="10">
        <f t="shared" si="81"/>
        <v>0</v>
      </c>
      <c r="DW23" s="98"/>
      <c r="DX23" s="15">
        <f t="shared" si="82"/>
        <v>0</v>
      </c>
      <c r="DY23" s="10">
        <f t="shared" si="83"/>
        <v>0</v>
      </c>
      <c r="DZ23" s="455">
        <f t="shared" si="84"/>
        <v>0</v>
      </c>
      <c r="EA23" s="98">
        <f>167*EA7</f>
        <v>41750</v>
      </c>
      <c r="EB23" s="10">
        <f t="shared" si="85"/>
        <v>82.106125362778798</v>
      </c>
      <c r="EC23" s="10">
        <f t="shared" si="86"/>
        <v>384625</v>
      </c>
      <c r="ED23" s="10">
        <f t="shared" si="87"/>
        <v>61.463164553797576</v>
      </c>
      <c r="EE23" s="10">
        <f t="shared" si="47"/>
        <v>41750</v>
      </c>
      <c r="EF23" s="10">
        <f t="shared" si="88"/>
        <v>82.106125362778798</v>
      </c>
      <c r="EG23" s="10">
        <f t="shared" si="89"/>
        <v>384625</v>
      </c>
      <c r="EH23" s="10">
        <f t="shared" si="90"/>
        <v>61.463164553797576</v>
      </c>
      <c r="EI23" s="10"/>
      <c r="EJ23" s="89">
        <f t="shared" si="91"/>
        <v>0</v>
      </c>
      <c r="EK23" s="10">
        <f t="shared" si="92"/>
        <v>0</v>
      </c>
      <c r="EL23" s="89">
        <f t="shared" si="93"/>
        <v>0</v>
      </c>
      <c r="EM23" s="10"/>
      <c r="EN23" s="89">
        <f t="shared" si="94"/>
        <v>0</v>
      </c>
      <c r="EO23" s="10">
        <f t="shared" si="95"/>
        <v>0</v>
      </c>
      <c r="EP23" s="89">
        <f t="shared" si="96"/>
        <v>0</v>
      </c>
      <c r="EQ23" s="10"/>
      <c r="ER23" s="89">
        <f t="shared" si="97"/>
        <v>0</v>
      </c>
      <c r="ES23" s="10">
        <f t="shared" si="98"/>
        <v>0</v>
      </c>
      <c r="ET23" s="89">
        <f t="shared" si="99"/>
        <v>0</v>
      </c>
      <c r="EU23" s="10"/>
      <c r="EV23" s="10">
        <f t="shared" si="100"/>
        <v>0</v>
      </c>
      <c r="EW23" s="10">
        <f t="shared" si="101"/>
        <v>0</v>
      </c>
      <c r="EX23" s="10">
        <f t="shared" si="102"/>
        <v>0</v>
      </c>
      <c r="EY23" s="89"/>
      <c r="EZ23" s="89">
        <f t="shared" si="103"/>
        <v>0</v>
      </c>
      <c r="FA23" s="10">
        <f t="shared" si="104"/>
        <v>0</v>
      </c>
      <c r="FB23" s="89">
        <f t="shared" si="105"/>
        <v>0</v>
      </c>
      <c r="FC23" s="89"/>
      <c r="FD23" s="89">
        <f t="shared" si="106"/>
        <v>0</v>
      </c>
      <c r="FE23" s="10">
        <f t="shared" si="107"/>
        <v>0</v>
      </c>
      <c r="FF23" s="89">
        <f t="shared" si="108"/>
        <v>0</v>
      </c>
      <c r="FG23" s="89"/>
      <c r="FH23" s="89">
        <f t="shared" si="109"/>
        <v>0</v>
      </c>
      <c r="FI23" s="10">
        <f t="shared" si="110"/>
        <v>0</v>
      </c>
      <c r="FJ23" s="89">
        <f t="shared" si="111"/>
        <v>0</v>
      </c>
      <c r="FK23" s="89">
        <f t="shared" si="112"/>
        <v>0</v>
      </c>
      <c r="FL23" s="89">
        <f t="shared" si="113"/>
        <v>0</v>
      </c>
      <c r="FM23" s="10">
        <f t="shared" si="114"/>
        <v>0</v>
      </c>
      <c r="FN23" s="89">
        <f t="shared" si="115"/>
        <v>0</v>
      </c>
      <c r="FO23" s="89"/>
      <c r="FP23" s="89">
        <f t="shared" si="116"/>
        <v>0</v>
      </c>
      <c r="FQ23" s="10">
        <f t="shared" si="117"/>
        <v>300</v>
      </c>
      <c r="FR23" s="89">
        <f t="shared" si="118"/>
        <v>4.7940069850215858E-2</v>
      </c>
      <c r="FS23" s="89"/>
      <c r="FT23" s="89">
        <f t="shared" si="119"/>
        <v>0</v>
      </c>
      <c r="FU23" s="10">
        <f t="shared" si="120"/>
        <v>0</v>
      </c>
      <c r="FV23" s="89">
        <f t="shared" si="121"/>
        <v>0</v>
      </c>
      <c r="FW23" s="89">
        <f t="shared" si="122"/>
        <v>50848.824999999997</v>
      </c>
      <c r="FX23" s="10">
        <f t="shared" si="123"/>
        <v>625781.31599999999</v>
      </c>
      <c r="FY23" s="10">
        <f t="shared" si="48"/>
        <v>1.0349009850612609</v>
      </c>
      <c r="FZ23" s="10">
        <f t="shared" si="49"/>
        <v>1.1103760912459011</v>
      </c>
      <c r="GA23" s="6"/>
      <c r="GB23" s="456">
        <f t="shared" si="124"/>
        <v>0</v>
      </c>
      <c r="GC23" s="456">
        <f>(SUM($GA$10:GA23))/(SUM($EE$10:EE23))</f>
        <v>0</v>
      </c>
      <c r="GD23" s="3" t="s">
        <v>307</v>
      </c>
      <c r="GH23" s="14"/>
      <c r="GI23" s="14"/>
    </row>
    <row r="24" spans="1:191">
      <c r="A24" s="16">
        <f>+Chem!A24</f>
        <v>45853</v>
      </c>
      <c r="B24" s="6" t="str">
        <f>+Chem!B24</f>
        <v>Towel/Facial</v>
      </c>
      <c r="C24" s="16" t="str">
        <f>+Chem!C24</f>
        <v>15/12</v>
      </c>
      <c r="D24" s="8">
        <f>+Chem!D24</f>
        <v>48.793999999999997</v>
      </c>
      <c r="E24" s="7">
        <f>+Chem!E24</f>
        <v>51.405999999999999</v>
      </c>
      <c r="F24" s="7">
        <f t="shared" si="125"/>
        <v>614.98199999999997</v>
      </c>
      <c r="G24" s="98"/>
      <c r="H24" s="10">
        <f t="shared" si="0"/>
        <v>0</v>
      </c>
      <c r="I24" s="8">
        <f t="shared" si="50"/>
        <v>0</v>
      </c>
      <c r="J24" s="10">
        <f t="shared" si="1"/>
        <v>0</v>
      </c>
      <c r="K24" s="98"/>
      <c r="L24" s="10">
        <f t="shared" si="2"/>
        <v>0</v>
      </c>
      <c r="M24" s="10">
        <f t="shared" si="51"/>
        <v>0</v>
      </c>
      <c r="N24" s="10">
        <f t="shared" si="3"/>
        <v>0</v>
      </c>
      <c r="O24" s="98"/>
      <c r="P24" s="10">
        <f t="shared" si="4"/>
        <v>0</v>
      </c>
      <c r="Q24" s="10">
        <f t="shared" si="52"/>
        <v>0</v>
      </c>
      <c r="R24" s="10">
        <f t="shared" si="5"/>
        <v>0</v>
      </c>
      <c r="S24" s="98"/>
      <c r="T24" s="10">
        <f t="shared" si="6"/>
        <v>0</v>
      </c>
      <c r="U24" s="10">
        <f t="shared" si="53"/>
        <v>0</v>
      </c>
      <c r="V24" s="10">
        <f t="shared" si="7"/>
        <v>0</v>
      </c>
      <c r="W24" s="98"/>
      <c r="X24" s="10">
        <f t="shared" si="8"/>
        <v>0</v>
      </c>
      <c r="Y24" s="10">
        <f t="shared" si="54"/>
        <v>0</v>
      </c>
      <c r="Z24" s="10">
        <f t="shared" si="9"/>
        <v>0</v>
      </c>
      <c r="AA24" s="98">
        <f>10.5*AA7</f>
        <v>2418.6749999999997</v>
      </c>
      <c r="AB24" s="10">
        <f t="shared" si="10"/>
        <v>5.3001977158315645</v>
      </c>
      <c r="AC24" s="10">
        <f t="shared" si="55"/>
        <v>85459.849999999991</v>
      </c>
      <c r="AD24" s="10">
        <f t="shared" si="11"/>
        <v>12.728320211128558</v>
      </c>
      <c r="AE24" s="98"/>
      <c r="AF24" s="10">
        <f t="shared" si="12"/>
        <v>0</v>
      </c>
      <c r="AG24" s="10">
        <f t="shared" si="56"/>
        <v>0</v>
      </c>
      <c r="AH24" s="10">
        <f t="shared" si="13"/>
        <v>0</v>
      </c>
      <c r="AI24" s="98"/>
      <c r="AJ24" s="10">
        <f t="shared" si="14"/>
        <v>0</v>
      </c>
      <c r="AK24" s="10">
        <f t="shared" si="57"/>
        <v>0</v>
      </c>
      <c r="AL24" s="10">
        <f t="shared" si="15"/>
        <v>0</v>
      </c>
      <c r="AM24" s="98"/>
      <c r="AN24" s="10">
        <f t="shared" si="16"/>
        <v>0</v>
      </c>
      <c r="AO24" s="10">
        <f t="shared" si="58"/>
        <v>0</v>
      </c>
      <c r="AP24" s="10">
        <f t="shared" si="17"/>
        <v>0</v>
      </c>
      <c r="AQ24" s="98"/>
      <c r="AR24" s="10">
        <f t="shared" si="18"/>
        <v>0</v>
      </c>
      <c r="AS24" s="10">
        <f t="shared" si="59"/>
        <v>0</v>
      </c>
      <c r="AT24" s="10">
        <f t="shared" si="19"/>
        <v>0</v>
      </c>
      <c r="AU24" s="250"/>
      <c r="AV24" s="10">
        <f t="shared" si="20"/>
        <v>0</v>
      </c>
      <c r="AW24" s="8">
        <f t="shared" si="60"/>
        <v>0</v>
      </c>
      <c r="AX24" s="10">
        <f t="shared" si="21"/>
        <v>0</v>
      </c>
      <c r="AY24" s="98"/>
      <c r="AZ24" s="10">
        <f t="shared" si="22"/>
        <v>0</v>
      </c>
      <c r="BA24" s="10">
        <f t="shared" si="61"/>
        <v>0</v>
      </c>
      <c r="BB24" s="10">
        <f t="shared" si="23"/>
        <v>0</v>
      </c>
      <c r="BC24" s="98"/>
      <c r="BD24" s="10">
        <f t="shared" si="24"/>
        <v>0</v>
      </c>
      <c r="BE24" s="10">
        <f t="shared" si="62"/>
        <v>0</v>
      </c>
      <c r="BF24" s="10">
        <f t="shared" si="25"/>
        <v>0</v>
      </c>
      <c r="BG24" s="98"/>
      <c r="BH24" s="10">
        <f t="shared" si="26"/>
        <v>0</v>
      </c>
      <c r="BI24" s="10">
        <f t="shared" si="63"/>
        <v>0</v>
      </c>
      <c r="BJ24" s="10">
        <f t="shared" si="27"/>
        <v>0</v>
      </c>
      <c r="BK24" s="98"/>
      <c r="BL24" s="10"/>
      <c r="BM24" s="10"/>
      <c r="BN24" s="10"/>
      <c r="BO24" s="98"/>
      <c r="BP24" s="10"/>
      <c r="BQ24" s="10"/>
      <c r="BR24" s="10"/>
      <c r="BS24" s="98"/>
      <c r="BT24" s="10"/>
      <c r="BU24" s="10"/>
      <c r="BV24" s="10"/>
      <c r="BW24" s="10">
        <f t="shared" si="64"/>
        <v>2418.6749999999997</v>
      </c>
      <c r="BX24" s="10">
        <f t="shared" si="28"/>
        <v>5.3001977158315645</v>
      </c>
      <c r="BY24" s="10">
        <f t="shared" si="65"/>
        <v>85459.849999999991</v>
      </c>
      <c r="BZ24" s="10">
        <f t="shared" si="29"/>
        <v>12.728320211128558</v>
      </c>
      <c r="CA24" s="98"/>
      <c r="CB24" s="10">
        <f t="shared" si="30"/>
        <v>0</v>
      </c>
      <c r="CC24" s="10"/>
      <c r="CD24" s="10">
        <f t="shared" si="31"/>
        <v>0</v>
      </c>
      <c r="CE24" s="98"/>
      <c r="CF24" s="10">
        <f t="shared" si="32"/>
        <v>0</v>
      </c>
      <c r="CG24" s="10">
        <f t="shared" si="66"/>
        <v>0</v>
      </c>
      <c r="CH24" s="10">
        <f t="shared" si="33"/>
        <v>0</v>
      </c>
      <c r="CI24" s="98"/>
      <c r="CJ24" s="10">
        <f t="shared" si="34"/>
        <v>0</v>
      </c>
      <c r="CK24" s="10">
        <f t="shared" si="67"/>
        <v>55065.141000000003</v>
      </c>
      <c r="CL24" s="10">
        <f t="shared" si="35"/>
        <v>8.2013570948105325</v>
      </c>
      <c r="CM24" s="98"/>
      <c r="CN24" s="10">
        <f t="shared" si="36"/>
        <v>0</v>
      </c>
      <c r="CO24" s="10">
        <f t="shared" si="68"/>
        <v>0</v>
      </c>
      <c r="CP24" s="10">
        <f t="shared" si="37"/>
        <v>0</v>
      </c>
      <c r="CQ24" s="98"/>
      <c r="CR24" s="10">
        <f t="shared" si="38"/>
        <v>0</v>
      </c>
      <c r="CS24" s="10">
        <f t="shared" si="69"/>
        <v>0</v>
      </c>
      <c r="CT24" s="10">
        <f t="shared" si="39"/>
        <v>0</v>
      </c>
      <c r="CU24" s="98"/>
      <c r="CV24" s="10">
        <f t="shared" si="40"/>
        <v>0</v>
      </c>
      <c r="CW24" s="10">
        <f t="shared" si="70"/>
        <v>0</v>
      </c>
      <c r="CX24" s="10">
        <f t="shared" si="41"/>
        <v>0</v>
      </c>
      <c r="CY24" s="98"/>
      <c r="CZ24" s="10">
        <f t="shared" si="42"/>
        <v>0</v>
      </c>
      <c r="DA24" s="10">
        <f t="shared" si="71"/>
        <v>102750</v>
      </c>
      <c r="DB24" s="10">
        <f t="shared" si="43"/>
        <v>0.15303501020578195</v>
      </c>
      <c r="DC24" s="98"/>
      <c r="DD24" s="10">
        <f t="shared" si="44"/>
        <v>0</v>
      </c>
      <c r="DE24" s="10">
        <f t="shared" si="72"/>
        <v>0</v>
      </c>
      <c r="DF24" s="10">
        <f t="shared" si="45"/>
        <v>0</v>
      </c>
      <c r="DG24" s="98"/>
      <c r="DH24" s="10"/>
      <c r="DI24" s="10"/>
      <c r="DJ24" s="10"/>
      <c r="DK24" s="10">
        <f t="shared" si="73"/>
        <v>0</v>
      </c>
      <c r="DL24" s="10">
        <f t="shared" si="74"/>
        <v>0</v>
      </c>
      <c r="DM24" s="10">
        <f t="shared" si="75"/>
        <v>157815.141</v>
      </c>
      <c r="DN24" s="10">
        <f t="shared" si="46"/>
        <v>23.504858115388728</v>
      </c>
      <c r="DO24" s="98"/>
      <c r="DP24" s="10">
        <f t="shared" si="76"/>
        <v>0</v>
      </c>
      <c r="DQ24" s="10">
        <f t="shared" si="77"/>
        <v>0</v>
      </c>
      <c r="DR24" s="10">
        <f t="shared" si="78"/>
        <v>0</v>
      </c>
      <c r="DS24" s="98"/>
      <c r="DT24" s="15">
        <f t="shared" si="79"/>
        <v>0</v>
      </c>
      <c r="DU24" s="10">
        <f t="shared" si="80"/>
        <v>0</v>
      </c>
      <c r="DV24" s="10">
        <f t="shared" si="81"/>
        <v>0</v>
      </c>
      <c r="DW24" s="98"/>
      <c r="DX24" s="15">
        <f t="shared" si="82"/>
        <v>0</v>
      </c>
      <c r="DY24" s="10">
        <f t="shared" si="83"/>
        <v>0</v>
      </c>
      <c r="DZ24" s="455">
        <f t="shared" si="84"/>
        <v>0</v>
      </c>
      <c r="EA24" s="98">
        <f>58*EA7</f>
        <v>14500</v>
      </c>
      <c r="EB24" s="10">
        <f t="shared" si="85"/>
        <v>31.774780356830785</v>
      </c>
      <c r="EC24" s="10">
        <f t="shared" si="86"/>
        <v>399125</v>
      </c>
      <c r="ED24" s="10">
        <f t="shared" si="87"/>
        <v>59.445351287963724</v>
      </c>
      <c r="EE24" s="10">
        <f t="shared" si="47"/>
        <v>14500</v>
      </c>
      <c r="EF24" s="10">
        <f t="shared" si="88"/>
        <v>31.774780356830785</v>
      </c>
      <c r="EG24" s="10">
        <f t="shared" si="89"/>
        <v>399125</v>
      </c>
      <c r="EH24" s="10">
        <f t="shared" si="90"/>
        <v>59.445351287963724</v>
      </c>
      <c r="EI24" s="10"/>
      <c r="EJ24" s="89">
        <f t="shared" si="91"/>
        <v>0</v>
      </c>
      <c r="EK24" s="10">
        <f t="shared" si="92"/>
        <v>0</v>
      </c>
      <c r="EL24" s="89">
        <f t="shared" si="93"/>
        <v>0</v>
      </c>
      <c r="EM24" s="10"/>
      <c r="EN24" s="89">
        <f t="shared" si="94"/>
        <v>0</v>
      </c>
      <c r="EO24" s="10">
        <f t="shared" si="95"/>
        <v>0</v>
      </c>
      <c r="EP24" s="89">
        <f t="shared" si="96"/>
        <v>0</v>
      </c>
      <c r="EQ24" s="10"/>
      <c r="ER24" s="89">
        <f t="shared" si="97"/>
        <v>0</v>
      </c>
      <c r="ES24" s="10">
        <f t="shared" si="98"/>
        <v>0</v>
      </c>
      <c r="ET24" s="89">
        <f t="shared" si="99"/>
        <v>0</v>
      </c>
      <c r="EU24" s="10"/>
      <c r="EV24" s="10">
        <f t="shared" si="100"/>
        <v>0</v>
      </c>
      <c r="EW24" s="10">
        <f t="shared" si="101"/>
        <v>0</v>
      </c>
      <c r="EX24" s="10">
        <f t="shared" si="102"/>
        <v>0</v>
      </c>
      <c r="EY24" s="89"/>
      <c r="EZ24" s="89">
        <f t="shared" si="103"/>
        <v>0</v>
      </c>
      <c r="FA24" s="10">
        <f t="shared" si="104"/>
        <v>0</v>
      </c>
      <c r="FB24" s="89">
        <f t="shared" si="105"/>
        <v>0</v>
      </c>
      <c r="FC24" s="89"/>
      <c r="FD24" s="89">
        <f t="shared" si="106"/>
        <v>0</v>
      </c>
      <c r="FE24" s="10">
        <f t="shared" si="107"/>
        <v>0</v>
      </c>
      <c r="FF24" s="89">
        <f t="shared" si="108"/>
        <v>0</v>
      </c>
      <c r="FG24" s="89"/>
      <c r="FH24" s="89">
        <f t="shared" si="109"/>
        <v>0</v>
      </c>
      <c r="FI24" s="10">
        <f t="shared" si="110"/>
        <v>0</v>
      </c>
      <c r="FJ24" s="89">
        <f t="shared" si="111"/>
        <v>0</v>
      </c>
      <c r="FK24" s="89">
        <f t="shared" si="112"/>
        <v>0</v>
      </c>
      <c r="FL24" s="89">
        <f t="shared" si="113"/>
        <v>0</v>
      </c>
      <c r="FM24" s="10">
        <f t="shared" si="114"/>
        <v>0</v>
      </c>
      <c r="FN24" s="89">
        <f t="shared" si="115"/>
        <v>0</v>
      </c>
      <c r="FO24" s="89"/>
      <c r="FP24" s="89">
        <f t="shared" si="116"/>
        <v>0</v>
      </c>
      <c r="FQ24" s="10">
        <f t="shared" si="117"/>
        <v>300</v>
      </c>
      <c r="FR24" s="89">
        <f t="shared" si="118"/>
        <v>4.4681754804607871E-2</v>
      </c>
      <c r="FS24" s="89">
        <v>28715</v>
      </c>
      <c r="FT24" s="89">
        <f t="shared" si="119"/>
        <v>62.925021927337646</v>
      </c>
      <c r="FU24" s="10">
        <f t="shared" si="120"/>
        <v>28715</v>
      </c>
      <c r="FV24" s="89">
        <f t="shared" si="121"/>
        <v>4.2767886307143828</v>
      </c>
      <c r="FW24" s="89">
        <f t="shared" si="122"/>
        <v>45633.675000000003</v>
      </c>
      <c r="FX24" s="10">
        <f t="shared" si="123"/>
        <v>671414.99100000004</v>
      </c>
      <c r="FY24" s="10">
        <f t="shared" si="48"/>
        <v>0.88771106485624252</v>
      </c>
      <c r="FZ24" s="10">
        <f t="shared" si="49"/>
        <v>1.0917636467408802</v>
      </c>
      <c r="GA24" s="6"/>
      <c r="GB24" s="456">
        <f t="shared" si="124"/>
        <v>0</v>
      </c>
      <c r="GC24" s="456">
        <f>(SUM($GA$10:GA24))/(SUM($EE$10:EE24))</f>
        <v>0</v>
      </c>
      <c r="GD24" s="3" t="s">
        <v>307</v>
      </c>
      <c r="GH24" s="14"/>
      <c r="GI24" s="14"/>
    </row>
    <row r="25" spans="1:191">
      <c r="A25" s="16">
        <f>+Chem!A25</f>
        <v>45854</v>
      </c>
      <c r="B25" s="6" t="str">
        <f>+Chem!B25</f>
        <v>Facial</v>
      </c>
      <c r="C25" s="16" t="str">
        <f>+Chem!C25</f>
        <v>12/11,5</v>
      </c>
      <c r="D25" s="8">
        <f>+Chem!D25</f>
        <v>44.682000000000002</v>
      </c>
      <c r="E25" s="7">
        <f>+Chem!E25</f>
        <v>41.244999999999997</v>
      </c>
      <c r="F25" s="7">
        <f t="shared" si="125"/>
        <v>656.22699999999998</v>
      </c>
      <c r="G25" s="98"/>
      <c r="H25" s="10">
        <f t="shared" si="0"/>
        <v>0</v>
      </c>
      <c r="I25" s="8">
        <f t="shared" si="50"/>
        <v>0</v>
      </c>
      <c r="J25" s="10">
        <f t="shared" si="1"/>
        <v>0</v>
      </c>
      <c r="K25" s="98"/>
      <c r="L25" s="10">
        <f t="shared" si="2"/>
        <v>0</v>
      </c>
      <c r="M25" s="10">
        <f t="shared" si="51"/>
        <v>0</v>
      </c>
      <c r="N25" s="10">
        <f t="shared" si="3"/>
        <v>0</v>
      </c>
      <c r="O25" s="98"/>
      <c r="P25" s="10">
        <f t="shared" si="4"/>
        <v>0</v>
      </c>
      <c r="Q25" s="10">
        <f t="shared" si="52"/>
        <v>0</v>
      </c>
      <c r="R25" s="10">
        <f t="shared" si="5"/>
        <v>0</v>
      </c>
      <c r="S25" s="98"/>
      <c r="T25" s="10">
        <f t="shared" si="6"/>
        <v>0</v>
      </c>
      <c r="U25" s="10">
        <f t="shared" si="53"/>
        <v>0</v>
      </c>
      <c r="V25" s="10">
        <f t="shared" si="7"/>
        <v>0</v>
      </c>
      <c r="W25" s="98"/>
      <c r="X25" s="10">
        <f t="shared" si="8"/>
        <v>0</v>
      </c>
      <c r="Y25" s="10">
        <f t="shared" si="54"/>
        <v>0</v>
      </c>
      <c r="Z25" s="10">
        <f t="shared" si="9"/>
        <v>0</v>
      </c>
      <c r="AA25" s="98"/>
      <c r="AB25" s="10">
        <f t="shared" si="10"/>
        <v>0</v>
      </c>
      <c r="AC25" s="10">
        <f t="shared" si="55"/>
        <v>85459.849999999991</v>
      </c>
      <c r="AD25" s="10">
        <f t="shared" si="11"/>
        <v>11.845732294593576</v>
      </c>
      <c r="AE25" s="98"/>
      <c r="AF25" s="10">
        <f t="shared" si="12"/>
        <v>0</v>
      </c>
      <c r="AG25" s="10">
        <f t="shared" si="56"/>
        <v>0</v>
      </c>
      <c r="AH25" s="10">
        <f t="shared" si="13"/>
        <v>0</v>
      </c>
      <c r="AI25" s="98"/>
      <c r="AJ25" s="10">
        <f t="shared" si="14"/>
        <v>0</v>
      </c>
      <c r="AK25" s="10">
        <f t="shared" si="57"/>
        <v>0</v>
      </c>
      <c r="AL25" s="10">
        <f t="shared" si="15"/>
        <v>0</v>
      </c>
      <c r="AM25" s="98"/>
      <c r="AN25" s="10">
        <f t="shared" si="16"/>
        <v>0</v>
      </c>
      <c r="AO25" s="10">
        <f t="shared" si="58"/>
        <v>0</v>
      </c>
      <c r="AP25" s="10">
        <f t="shared" si="17"/>
        <v>0</v>
      </c>
      <c r="AQ25" s="98"/>
      <c r="AR25" s="10">
        <f t="shared" si="18"/>
        <v>0</v>
      </c>
      <c r="AS25" s="10">
        <f t="shared" si="59"/>
        <v>0</v>
      </c>
      <c r="AT25" s="10">
        <f t="shared" si="19"/>
        <v>0</v>
      </c>
      <c r="AU25" s="250"/>
      <c r="AV25" s="10">
        <f t="shared" si="20"/>
        <v>0</v>
      </c>
      <c r="AW25" s="8">
        <f t="shared" si="60"/>
        <v>0</v>
      </c>
      <c r="AX25" s="10">
        <f t="shared" si="21"/>
        <v>0</v>
      </c>
      <c r="AY25" s="98"/>
      <c r="AZ25" s="10">
        <f t="shared" si="22"/>
        <v>0</v>
      </c>
      <c r="BA25" s="10">
        <f t="shared" si="61"/>
        <v>0</v>
      </c>
      <c r="BB25" s="10">
        <f t="shared" si="23"/>
        <v>0</v>
      </c>
      <c r="BC25" s="98"/>
      <c r="BD25" s="10">
        <f t="shared" si="24"/>
        <v>0</v>
      </c>
      <c r="BE25" s="10">
        <f t="shared" si="62"/>
        <v>0</v>
      </c>
      <c r="BF25" s="10">
        <f t="shared" si="25"/>
        <v>0</v>
      </c>
      <c r="BG25" s="98"/>
      <c r="BH25" s="10">
        <f t="shared" si="26"/>
        <v>0</v>
      </c>
      <c r="BI25" s="10">
        <f t="shared" si="63"/>
        <v>0</v>
      </c>
      <c r="BJ25" s="10">
        <f t="shared" si="27"/>
        <v>0</v>
      </c>
      <c r="BK25" s="98"/>
      <c r="BL25" s="10"/>
      <c r="BM25" s="10"/>
      <c r="BN25" s="10"/>
      <c r="BO25" s="98"/>
      <c r="BP25" s="10"/>
      <c r="BQ25" s="10"/>
      <c r="BR25" s="10"/>
      <c r="BS25" s="98"/>
      <c r="BT25" s="10"/>
      <c r="BU25" s="10"/>
      <c r="BV25" s="10"/>
      <c r="BW25" s="10">
        <f t="shared" si="64"/>
        <v>0</v>
      </c>
      <c r="BX25" s="10">
        <f t="shared" si="28"/>
        <v>0</v>
      </c>
      <c r="BY25" s="10">
        <f t="shared" si="65"/>
        <v>85459.849999999991</v>
      </c>
      <c r="BZ25" s="10">
        <f t="shared" si="29"/>
        <v>11.845732294593576</v>
      </c>
      <c r="CA25" s="98"/>
      <c r="CB25" s="10">
        <f t="shared" si="30"/>
        <v>0</v>
      </c>
      <c r="CC25" s="10"/>
      <c r="CD25" s="10">
        <f t="shared" si="31"/>
        <v>0</v>
      </c>
      <c r="CE25" s="98"/>
      <c r="CF25" s="10">
        <f t="shared" si="32"/>
        <v>0</v>
      </c>
      <c r="CG25" s="10">
        <f t="shared" si="66"/>
        <v>0</v>
      </c>
      <c r="CH25" s="10">
        <f t="shared" si="33"/>
        <v>0</v>
      </c>
      <c r="CI25" s="98"/>
      <c r="CJ25" s="10">
        <f t="shared" si="34"/>
        <v>0</v>
      </c>
      <c r="CK25" s="10">
        <f t="shared" si="67"/>
        <v>55065.141000000003</v>
      </c>
      <c r="CL25" s="10">
        <f t="shared" si="35"/>
        <v>7.6326710034015841</v>
      </c>
      <c r="CM25" s="98"/>
      <c r="CN25" s="10">
        <f t="shared" si="36"/>
        <v>0</v>
      </c>
      <c r="CO25" s="10">
        <f t="shared" si="68"/>
        <v>0</v>
      </c>
      <c r="CP25" s="10">
        <f t="shared" si="37"/>
        <v>0</v>
      </c>
      <c r="CQ25" s="98"/>
      <c r="CR25" s="10">
        <f t="shared" si="38"/>
        <v>0</v>
      </c>
      <c r="CS25" s="10">
        <f t="shared" si="69"/>
        <v>0</v>
      </c>
      <c r="CT25" s="10">
        <f t="shared" si="39"/>
        <v>0</v>
      </c>
      <c r="CU25" s="98"/>
      <c r="CV25" s="10">
        <f t="shared" si="40"/>
        <v>0</v>
      </c>
      <c r="CW25" s="10">
        <f t="shared" si="70"/>
        <v>0</v>
      </c>
      <c r="CX25" s="10">
        <f t="shared" si="41"/>
        <v>0</v>
      </c>
      <c r="CY25" s="98"/>
      <c r="CZ25" s="10">
        <f t="shared" si="42"/>
        <v>0</v>
      </c>
      <c r="DA25" s="10">
        <f t="shared" si="71"/>
        <v>102750</v>
      </c>
      <c r="DB25" s="10">
        <f t="shared" si="43"/>
        <v>0.14242348813735223</v>
      </c>
      <c r="DC25" s="98"/>
      <c r="DD25" s="10">
        <f t="shared" si="44"/>
        <v>0</v>
      </c>
      <c r="DE25" s="10">
        <f t="shared" si="72"/>
        <v>0</v>
      </c>
      <c r="DF25" s="10">
        <f t="shared" si="45"/>
        <v>0</v>
      </c>
      <c r="DG25" s="98"/>
      <c r="DH25" s="10"/>
      <c r="DI25" s="10"/>
      <c r="DJ25" s="10"/>
      <c r="DK25" s="10">
        <f t="shared" si="73"/>
        <v>0</v>
      </c>
      <c r="DL25" s="10">
        <f t="shared" si="74"/>
        <v>0</v>
      </c>
      <c r="DM25" s="10">
        <f t="shared" si="75"/>
        <v>157815.141</v>
      </c>
      <c r="DN25" s="10">
        <f t="shared" si="46"/>
        <v>21.875019817136806</v>
      </c>
      <c r="DO25" s="98"/>
      <c r="DP25" s="10">
        <f t="shared" si="76"/>
        <v>0</v>
      </c>
      <c r="DQ25" s="10">
        <f t="shared" si="77"/>
        <v>0</v>
      </c>
      <c r="DR25" s="10">
        <f t="shared" si="78"/>
        <v>0</v>
      </c>
      <c r="DS25" s="98"/>
      <c r="DT25" s="15">
        <f t="shared" si="79"/>
        <v>0</v>
      </c>
      <c r="DU25" s="10">
        <f t="shared" si="80"/>
        <v>0</v>
      </c>
      <c r="DV25" s="10">
        <f t="shared" si="81"/>
        <v>0</v>
      </c>
      <c r="DW25" s="98"/>
      <c r="DX25" s="15">
        <f t="shared" si="82"/>
        <v>0</v>
      </c>
      <c r="DY25" s="10">
        <f t="shared" si="83"/>
        <v>0</v>
      </c>
      <c r="DZ25" s="455">
        <f t="shared" si="84"/>
        <v>0</v>
      </c>
      <c r="EA25" s="98"/>
      <c r="EB25" s="10">
        <f t="shared" si="85"/>
        <v>0</v>
      </c>
      <c r="EC25" s="10">
        <f t="shared" si="86"/>
        <v>399125</v>
      </c>
      <c r="ED25" s="10">
        <f t="shared" si="87"/>
        <v>55.323381705908226</v>
      </c>
      <c r="EE25" s="10">
        <f t="shared" si="47"/>
        <v>0</v>
      </c>
      <c r="EF25" s="10">
        <f t="shared" si="88"/>
        <v>0</v>
      </c>
      <c r="EG25" s="10">
        <f t="shared" si="89"/>
        <v>399125</v>
      </c>
      <c r="EH25" s="10">
        <f t="shared" si="90"/>
        <v>55.323381705908226</v>
      </c>
      <c r="EI25" s="10"/>
      <c r="EJ25" s="89">
        <f t="shared" si="91"/>
        <v>0</v>
      </c>
      <c r="EK25" s="10">
        <f t="shared" si="92"/>
        <v>0</v>
      </c>
      <c r="EL25" s="89">
        <f t="shared" si="93"/>
        <v>0</v>
      </c>
      <c r="EM25" s="10"/>
      <c r="EN25" s="89">
        <f t="shared" si="94"/>
        <v>0</v>
      </c>
      <c r="EO25" s="10">
        <f t="shared" si="95"/>
        <v>0</v>
      </c>
      <c r="EP25" s="89">
        <f t="shared" si="96"/>
        <v>0</v>
      </c>
      <c r="EQ25" s="10"/>
      <c r="ER25" s="89">
        <f t="shared" si="97"/>
        <v>0</v>
      </c>
      <c r="ES25" s="10">
        <f t="shared" si="98"/>
        <v>0</v>
      </c>
      <c r="ET25" s="89">
        <f t="shared" si="99"/>
        <v>0</v>
      </c>
      <c r="EU25" s="10"/>
      <c r="EV25" s="10">
        <f t="shared" si="100"/>
        <v>0</v>
      </c>
      <c r="EW25" s="10">
        <f t="shared" si="101"/>
        <v>0</v>
      </c>
      <c r="EX25" s="10">
        <f t="shared" si="102"/>
        <v>0</v>
      </c>
      <c r="EY25" s="89"/>
      <c r="EZ25" s="89">
        <f t="shared" si="103"/>
        <v>0</v>
      </c>
      <c r="FA25" s="10">
        <f t="shared" si="104"/>
        <v>0</v>
      </c>
      <c r="FB25" s="89">
        <f t="shared" si="105"/>
        <v>0</v>
      </c>
      <c r="FC25" s="89"/>
      <c r="FD25" s="89">
        <f t="shared" si="106"/>
        <v>0</v>
      </c>
      <c r="FE25" s="10">
        <f t="shared" si="107"/>
        <v>0</v>
      </c>
      <c r="FF25" s="89">
        <f t="shared" si="108"/>
        <v>0</v>
      </c>
      <c r="FG25" s="89"/>
      <c r="FH25" s="89">
        <f t="shared" si="109"/>
        <v>0</v>
      </c>
      <c r="FI25" s="10">
        <f t="shared" si="110"/>
        <v>0</v>
      </c>
      <c r="FJ25" s="89">
        <f t="shared" si="111"/>
        <v>0</v>
      </c>
      <c r="FK25" s="89">
        <f t="shared" si="112"/>
        <v>0</v>
      </c>
      <c r="FL25" s="89">
        <f t="shared" si="113"/>
        <v>0</v>
      </c>
      <c r="FM25" s="10">
        <f t="shared" si="114"/>
        <v>0</v>
      </c>
      <c r="FN25" s="89">
        <f t="shared" si="115"/>
        <v>0</v>
      </c>
      <c r="FO25" s="89"/>
      <c r="FP25" s="89">
        <f t="shared" si="116"/>
        <v>0</v>
      </c>
      <c r="FQ25" s="10">
        <f t="shared" si="117"/>
        <v>300</v>
      </c>
      <c r="FR25" s="89">
        <f t="shared" si="118"/>
        <v>4.1583500186088244E-2</v>
      </c>
      <c r="FS25" s="89">
        <v>50025</v>
      </c>
      <c r="FT25" s="89">
        <f t="shared" si="119"/>
        <v>100</v>
      </c>
      <c r="FU25" s="10">
        <f t="shared" si="120"/>
        <v>78740</v>
      </c>
      <c r="FV25" s="89">
        <f t="shared" si="121"/>
        <v>10.914282682175292</v>
      </c>
      <c r="FW25" s="89">
        <f t="shared" si="122"/>
        <v>50025</v>
      </c>
      <c r="FX25" s="10">
        <f t="shared" si="123"/>
        <v>721439.99100000004</v>
      </c>
      <c r="FY25" s="10">
        <f t="shared" si="48"/>
        <v>1.2128742877924596</v>
      </c>
      <c r="FZ25" s="10">
        <f t="shared" si="49"/>
        <v>1.0993756596421667</v>
      </c>
      <c r="GA25" s="6"/>
      <c r="GB25" s="456" t="e">
        <f t="shared" si="124"/>
        <v>#DIV/0!</v>
      </c>
      <c r="GC25" s="456">
        <f>(SUM($GA$10:GA25))/(SUM($EE$10:EE25))</f>
        <v>0</v>
      </c>
      <c r="GD25" s="3" t="s">
        <v>307</v>
      </c>
      <c r="GH25" s="14"/>
      <c r="GI25" s="14"/>
    </row>
    <row r="26" spans="1:191">
      <c r="A26" s="16">
        <f>+Chem!A26</f>
        <v>45855</v>
      </c>
      <c r="B26" s="6" t="str">
        <f>+Chem!B26</f>
        <v>Facial</v>
      </c>
      <c r="C26" s="16" t="str">
        <f>+Chem!C26</f>
        <v>11,5</v>
      </c>
      <c r="D26" s="8">
        <f>+Chem!D26</f>
        <v>42.198999999999998</v>
      </c>
      <c r="E26" s="7">
        <f>+Chem!E26</f>
        <v>40.045000000000002</v>
      </c>
      <c r="F26" s="7">
        <f t="shared" si="125"/>
        <v>696.27199999999993</v>
      </c>
      <c r="G26" s="98"/>
      <c r="H26" s="10">
        <f t="shared" si="0"/>
        <v>0</v>
      </c>
      <c r="I26" s="8">
        <f t="shared" si="50"/>
        <v>0</v>
      </c>
      <c r="J26" s="10">
        <f t="shared" si="1"/>
        <v>0</v>
      </c>
      <c r="K26" s="98"/>
      <c r="L26" s="10">
        <f t="shared" si="2"/>
        <v>0</v>
      </c>
      <c r="M26" s="10">
        <f t="shared" si="51"/>
        <v>0</v>
      </c>
      <c r="N26" s="10">
        <f t="shared" si="3"/>
        <v>0</v>
      </c>
      <c r="O26" s="98"/>
      <c r="P26" s="10">
        <f t="shared" si="4"/>
        <v>0</v>
      </c>
      <c r="Q26" s="10">
        <f t="shared" si="52"/>
        <v>0</v>
      </c>
      <c r="R26" s="10">
        <f t="shared" si="5"/>
        <v>0</v>
      </c>
      <c r="S26" s="98"/>
      <c r="T26" s="10">
        <f t="shared" si="6"/>
        <v>0</v>
      </c>
      <c r="U26" s="10">
        <f t="shared" si="53"/>
        <v>0</v>
      </c>
      <c r="V26" s="10">
        <f t="shared" si="7"/>
        <v>0</v>
      </c>
      <c r="W26" s="98"/>
      <c r="X26" s="10">
        <f t="shared" si="8"/>
        <v>0</v>
      </c>
      <c r="Y26" s="10">
        <f t="shared" si="54"/>
        <v>0</v>
      </c>
      <c r="Z26" s="10">
        <f t="shared" si="9"/>
        <v>0</v>
      </c>
      <c r="AA26" s="98"/>
      <c r="AB26" s="10">
        <f t="shared" si="10"/>
        <v>0</v>
      </c>
      <c r="AC26" s="10">
        <f t="shared" si="55"/>
        <v>85459.849999999991</v>
      </c>
      <c r="AD26" s="10">
        <f t="shared" si="11"/>
        <v>11.079760019859382</v>
      </c>
      <c r="AE26" s="98"/>
      <c r="AF26" s="10">
        <f t="shared" si="12"/>
        <v>0</v>
      </c>
      <c r="AG26" s="10">
        <f t="shared" si="56"/>
        <v>0</v>
      </c>
      <c r="AH26" s="10">
        <f t="shared" si="13"/>
        <v>0</v>
      </c>
      <c r="AI26" s="98"/>
      <c r="AJ26" s="10">
        <f t="shared" si="14"/>
        <v>0</v>
      </c>
      <c r="AK26" s="10">
        <f t="shared" si="57"/>
        <v>0</v>
      </c>
      <c r="AL26" s="10">
        <f t="shared" si="15"/>
        <v>0</v>
      </c>
      <c r="AM26" s="98"/>
      <c r="AN26" s="10">
        <f t="shared" si="16"/>
        <v>0</v>
      </c>
      <c r="AO26" s="10">
        <f t="shared" si="58"/>
        <v>0</v>
      </c>
      <c r="AP26" s="10">
        <f t="shared" si="17"/>
        <v>0</v>
      </c>
      <c r="AQ26" s="98"/>
      <c r="AR26" s="10">
        <f t="shared" si="18"/>
        <v>0</v>
      </c>
      <c r="AS26" s="10">
        <f t="shared" si="59"/>
        <v>0</v>
      </c>
      <c r="AT26" s="10">
        <f t="shared" si="19"/>
        <v>0</v>
      </c>
      <c r="AU26" s="250"/>
      <c r="AV26" s="10">
        <f t="shared" si="20"/>
        <v>0</v>
      </c>
      <c r="AW26" s="8">
        <f t="shared" si="60"/>
        <v>0</v>
      </c>
      <c r="AX26" s="10">
        <f t="shared" si="21"/>
        <v>0</v>
      </c>
      <c r="AY26" s="98"/>
      <c r="AZ26" s="10">
        <f t="shared" si="22"/>
        <v>0</v>
      </c>
      <c r="BA26" s="10">
        <f t="shared" si="61"/>
        <v>0</v>
      </c>
      <c r="BB26" s="10">
        <f t="shared" si="23"/>
        <v>0</v>
      </c>
      <c r="BC26" s="98"/>
      <c r="BD26" s="10">
        <f t="shared" si="24"/>
        <v>0</v>
      </c>
      <c r="BE26" s="10">
        <f t="shared" si="62"/>
        <v>0</v>
      </c>
      <c r="BF26" s="10">
        <f t="shared" si="25"/>
        <v>0</v>
      </c>
      <c r="BG26" s="98"/>
      <c r="BH26" s="10">
        <f t="shared" si="26"/>
        <v>0</v>
      </c>
      <c r="BI26" s="10">
        <f t="shared" si="63"/>
        <v>0</v>
      </c>
      <c r="BJ26" s="10">
        <f t="shared" si="27"/>
        <v>0</v>
      </c>
      <c r="BK26" s="98"/>
      <c r="BL26" s="10"/>
      <c r="BM26" s="10"/>
      <c r="BN26" s="10"/>
      <c r="BO26" s="98"/>
      <c r="BP26" s="10"/>
      <c r="BQ26" s="10"/>
      <c r="BR26" s="10"/>
      <c r="BS26" s="98"/>
      <c r="BT26" s="10"/>
      <c r="BU26" s="10"/>
      <c r="BV26" s="10"/>
      <c r="BW26" s="10">
        <f t="shared" si="64"/>
        <v>0</v>
      </c>
      <c r="BX26" s="10">
        <f t="shared" si="28"/>
        <v>0</v>
      </c>
      <c r="BY26" s="10">
        <f t="shared" si="65"/>
        <v>85459.849999999991</v>
      </c>
      <c r="BZ26" s="10">
        <f t="shared" si="29"/>
        <v>11.079760019859382</v>
      </c>
      <c r="CA26" s="98"/>
      <c r="CB26" s="10">
        <f t="shared" si="30"/>
        <v>0</v>
      </c>
      <c r="CC26" s="10"/>
      <c r="CD26" s="10">
        <f t="shared" si="31"/>
        <v>0</v>
      </c>
      <c r="CE26" s="98"/>
      <c r="CF26" s="10">
        <f t="shared" si="32"/>
        <v>0</v>
      </c>
      <c r="CG26" s="10">
        <f t="shared" si="66"/>
        <v>0</v>
      </c>
      <c r="CH26" s="10">
        <f t="shared" si="33"/>
        <v>0</v>
      </c>
      <c r="CI26" s="98"/>
      <c r="CJ26" s="10">
        <f t="shared" si="34"/>
        <v>0</v>
      </c>
      <c r="CK26" s="10">
        <f t="shared" si="67"/>
        <v>55065.141000000003</v>
      </c>
      <c r="CL26" s="10">
        <f t="shared" si="35"/>
        <v>7.1391249544636421</v>
      </c>
      <c r="CM26" s="98"/>
      <c r="CN26" s="10">
        <f t="shared" si="36"/>
        <v>0</v>
      </c>
      <c r="CO26" s="10">
        <f t="shared" si="68"/>
        <v>0</v>
      </c>
      <c r="CP26" s="10">
        <f t="shared" si="37"/>
        <v>0</v>
      </c>
      <c r="CQ26" s="98"/>
      <c r="CR26" s="10">
        <f t="shared" si="38"/>
        <v>0</v>
      </c>
      <c r="CS26" s="10">
        <f t="shared" si="69"/>
        <v>0</v>
      </c>
      <c r="CT26" s="10">
        <f t="shared" si="39"/>
        <v>0</v>
      </c>
      <c r="CU26" s="98"/>
      <c r="CV26" s="10">
        <f t="shared" si="40"/>
        <v>0</v>
      </c>
      <c r="CW26" s="10">
        <f t="shared" si="70"/>
        <v>0</v>
      </c>
      <c r="CX26" s="10">
        <f t="shared" si="41"/>
        <v>0</v>
      </c>
      <c r="CY26" s="98"/>
      <c r="CZ26" s="10">
        <f t="shared" si="42"/>
        <v>0</v>
      </c>
      <c r="DA26" s="10">
        <f t="shared" si="71"/>
        <v>102750</v>
      </c>
      <c r="DB26" s="10">
        <f t="shared" si="43"/>
        <v>0.1332140580682685</v>
      </c>
      <c r="DC26" s="98"/>
      <c r="DD26" s="10">
        <f t="shared" si="44"/>
        <v>0</v>
      </c>
      <c r="DE26" s="10">
        <f t="shared" si="72"/>
        <v>0</v>
      </c>
      <c r="DF26" s="10">
        <f t="shared" si="45"/>
        <v>0</v>
      </c>
      <c r="DG26" s="98"/>
      <c r="DH26" s="10"/>
      <c r="DI26" s="10"/>
      <c r="DJ26" s="10"/>
      <c r="DK26" s="10">
        <f t="shared" si="73"/>
        <v>0</v>
      </c>
      <c r="DL26" s="10">
        <f t="shared" si="74"/>
        <v>0</v>
      </c>
      <c r="DM26" s="10">
        <f t="shared" si="75"/>
        <v>157815.141</v>
      </c>
      <c r="DN26" s="10">
        <f t="shared" si="46"/>
        <v>20.460530761290492</v>
      </c>
      <c r="DO26" s="98"/>
      <c r="DP26" s="10">
        <f t="shared" si="76"/>
        <v>0</v>
      </c>
      <c r="DQ26" s="10">
        <f t="shared" si="77"/>
        <v>0</v>
      </c>
      <c r="DR26" s="10">
        <f t="shared" si="78"/>
        <v>0</v>
      </c>
      <c r="DS26" s="98"/>
      <c r="DT26" s="15">
        <f t="shared" si="79"/>
        <v>0</v>
      </c>
      <c r="DU26" s="10">
        <f t="shared" si="80"/>
        <v>0</v>
      </c>
      <c r="DV26" s="10">
        <f t="shared" si="81"/>
        <v>0</v>
      </c>
      <c r="DW26" s="98"/>
      <c r="DX26" s="15">
        <f t="shared" si="82"/>
        <v>0</v>
      </c>
      <c r="DY26" s="10">
        <f t="shared" si="83"/>
        <v>0</v>
      </c>
      <c r="DZ26" s="455">
        <f t="shared" si="84"/>
        <v>0</v>
      </c>
      <c r="EA26" s="98"/>
      <c r="EB26" s="10">
        <f t="shared" si="85"/>
        <v>0</v>
      </c>
      <c r="EC26" s="10">
        <f t="shared" si="86"/>
        <v>399125</v>
      </c>
      <c r="ED26" s="10">
        <f t="shared" si="87"/>
        <v>51.746044697321324</v>
      </c>
      <c r="EE26" s="10">
        <f t="shared" si="47"/>
        <v>0</v>
      </c>
      <c r="EF26" s="10">
        <f t="shared" si="88"/>
        <v>0</v>
      </c>
      <c r="EG26" s="10">
        <f t="shared" si="89"/>
        <v>399125</v>
      </c>
      <c r="EH26" s="10">
        <f t="shared" si="90"/>
        <v>51.746044697321324</v>
      </c>
      <c r="EI26" s="10"/>
      <c r="EJ26" s="89">
        <f t="shared" si="91"/>
        <v>0</v>
      </c>
      <c r="EK26" s="10">
        <f t="shared" si="92"/>
        <v>0</v>
      </c>
      <c r="EL26" s="89">
        <f t="shared" si="93"/>
        <v>0</v>
      </c>
      <c r="EM26" s="10"/>
      <c r="EN26" s="89">
        <f t="shared" si="94"/>
        <v>0</v>
      </c>
      <c r="EO26" s="10">
        <f t="shared" si="95"/>
        <v>0</v>
      </c>
      <c r="EP26" s="89">
        <f t="shared" si="96"/>
        <v>0</v>
      </c>
      <c r="EQ26" s="10"/>
      <c r="ER26" s="89">
        <f t="shared" si="97"/>
        <v>0</v>
      </c>
      <c r="ES26" s="10">
        <f t="shared" si="98"/>
        <v>0</v>
      </c>
      <c r="ET26" s="89">
        <f t="shared" si="99"/>
        <v>0</v>
      </c>
      <c r="EU26" s="10"/>
      <c r="EV26" s="10">
        <f t="shared" si="100"/>
        <v>0</v>
      </c>
      <c r="EW26" s="10">
        <f t="shared" si="101"/>
        <v>0</v>
      </c>
      <c r="EX26" s="10">
        <f t="shared" si="102"/>
        <v>0</v>
      </c>
      <c r="EY26" s="89"/>
      <c r="EZ26" s="89">
        <f t="shared" si="103"/>
        <v>0</v>
      </c>
      <c r="FA26" s="10">
        <f t="shared" si="104"/>
        <v>0</v>
      </c>
      <c r="FB26" s="89">
        <f t="shared" si="105"/>
        <v>0</v>
      </c>
      <c r="FC26" s="89"/>
      <c r="FD26" s="89">
        <f t="shared" si="106"/>
        <v>0</v>
      </c>
      <c r="FE26" s="10">
        <f t="shared" si="107"/>
        <v>0</v>
      </c>
      <c r="FF26" s="89">
        <f t="shared" si="108"/>
        <v>0</v>
      </c>
      <c r="FG26" s="89"/>
      <c r="FH26" s="89">
        <f t="shared" si="109"/>
        <v>0</v>
      </c>
      <c r="FI26" s="10">
        <f t="shared" si="110"/>
        <v>0</v>
      </c>
      <c r="FJ26" s="89">
        <f t="shared" si="111"/>
        <v>0</v>
      </c>
      <c r="FK26" s="89">
        <f t="shared" si="112"/>
        <v>0</v>
      </c>
      <c r="FL26" s="89">
        <f t="shared" si="113"/>
        <v>0</v>
      </c>
      <c r="FM26" s="10">
        <f t="shared" si="114"/>
        <v>0</v>
      </c>
      <c r="FN26" s="89">
        <f t="shared" si="115"/>
        <v>0</v>
      </c>
      <c r="FO26" s="89"/>
      <c r="FP26" s="89">
        <f t="shared" si="116"/>
        <v>0</v>
      </c>
      <c r="FQ26" s="10">
        <f t="shared" si="117"/>
        <v>300</v>
      </c>
      <c r="FR26" s="89">
        <f t="shared" si="118"/>
        <v>3.8894615494384964E-2</v>
      </c>
      <c r="FS26" s="89">
        <v>49875</v>
      </c>
      <c r="FT26" s="89">
        <f t="shared" si="119"/>
        <v>100</v>
      </c>
      <c r="FU26" s="10">
        <f t="shared" si="120"/>
        <v>128615</v>
      </c>
      <c r="FV26" s="89">
        <f t="shared" si="121"/>
        <v>16.674769906034406</v>
      </c>
      <c r="FW26" s="89">
        <f t="shared" si="122"/>
        <v>49875</v>
      </c>
      <c r="FX26" s="10">
        <f t="shared" si="123"/>
        <v>771314.99100000004</v>
      </c>
      <c r="FY26" s="10">
        <f t="shared" si="48"/>
        <v>1.2454738419278311</v>
      </c>
      <c r="FZ26" s="10">
        <f t="shared" si="49"/>
        <v>1.10777826912471</v>
      </c>
      <c r="GA26" s="6"/>
      <c r="GB26" s="456" t="e">
        <f t="shared" si="124"/>
        <v>#DIV/0!</v>
      </c>
      <c r="GC26" s="456">
        <f>(SUM($GA$10:GA26))/(SUM($EE$10:EE26))</f>
        <v>0</v>
      </c>
      <c r="GD26" s="3" t="s">
        <v>307</v>
      </c>
      <c r="GH26" s="14"/>
    </row>
    <row r="27" spans="1:191">
      <c r="A27" s="16">
        <f>+Chem!A27</f>
        <v>45856</v>
      </c>
      <c r="B27" s="6" t="str">
        <f>+Chem!B27</f>
        <v>Facial</v>
      </c>
      <c r="C27" s="16" t="str">
        <f>+Chem!C27</f>
        <v>11,5/12</v>
      </c>
      <c r="D27" s="8">
        <f>+Chem!D27</f>
        <v>47.164000000000001</v>
      </c>
      <c r="E27" s="7">
        <f>+Chem!E27</f>
        <v>48.408000000000001</v>
      </c>
      <c r="F27" s="7">
        <f t="shared" si="125"/>
        <v>744.68</v>
      </c>
      <c r="G27" s="98"/>
      <c r="H27" s="10">
        <f t="shared" si="0"/>
        <v>0</v>
      </c>
      <c r="I27" s="8">
        <f t="shared" si="50"/>
        <v>0</v>
      </c>
      <c r="J27" s="10">
        <f t="shared" si="1"/>
        <v>0</v>
      </c>
      <c r="K27" s="98"/>
      <c r="L27" s="10">
        <f t="shared" si="2"/>
        <v>0</v>
      </c>
      <c r="M27" s="10">
        <f t="shared" si="51"/>
        <v>0</v>
      </c>
      <c r="N27" s="10">
        <f t="shared" si="3"/>
        <v>0</v>
      </c>
      <c r="O27" s="98"/>
      <c r="P27" s="10">
        <f t="shared" si="4"/>
        <v>0</v>
      </c>
      <c r="Q27" s="10">
        <f t="shared" si="52"/>
        <v>0</v>
      </c>
      <c r="R27" s="10">
        <f t="shared" si="5"/>
        <v>0</v>
      </c>
      <c r="S27" s="98"/>
      <c r="T27" s="10">
        <f t="shared" si="6"/>
        <v>0</v>
      </c>
      <c r="U27" s="10">
        <f t="shared" si="53"/>
        <v>0</v>
      </c>
      <c r="V27" s="10">
        <f t="shared" si="7"/>
        <v>0</v>
      </c>
      <c r="W27" s="98"/>
      <c r="X27" s="10">
        <f t="shared" si="8"/>
        <v>0</v>
      </c>
      <c r="Y27" s="10">
        <f t="shared" si="54"/>
        <v>0</v>
      </c>
      <c r="Z27" s="10">
        <f t="shared" si="9"/>
        <v>0</v>
      </c>
      <c r="AA27" s="98"/>
      <c r="AB27" s="10">
        <f t="shared" si="10"/>
        <v>0</v>
      </c>
      <c r="AC27" s="10">
        <f t="shared" si="55"/>
        <v>85459.849999999991</v>
      </c>
      <c r="AD27" s="10">
        <f t="shared" si="11"/>
        <v>10.446903689333201</v>
      </c>
      <c r="AE27" s="98"/>
      <c r="AF27" s="10">
        <f t="shared" si="12"/>
        <v>0</v>
      </c>
      <c r="AG27" s="10">
        <f t="shared" si="56"/>
        <v>0</v>
      </c>
      <c r="AH27" s="10">
        <f t="shared" si="13"/>
        <v>0</v>
      </c>
      <c r="AI27" s="98"/>
      <c r="AJ27" s="10">
        <f t="shared" si="14"/>
        <v>0</v>
      </c>
      <c r="AK27" s="10">
        <f t="shared" si="57"/>
        <v>0</v>
      </c>
      <c r="AL27" s="10">
        <f t="shared" si="15"/>
        <v>0</v>
      </c>
      <c r="AM27" s="98"/>
      <c r="AN27" s="10">
        <f t="shared" si="16"/>
        <v>0</v>
      </c>
      <c r="AO27" s="10">
        <f t="shared" si="58"/>
        <v>0</v>
      </c>
      <c r="AP27" s="10">
        <f t="shared" si="17"/>
        <v>0</v>
      </c>
      <c r="AQ27" s="98"/>
      <c r="AR27" s="10">
        <f t="shared" si="18"/>
        <v>0</v>
      </c>
      <c r="AS27" s="10">
        <f t="shared" si="59"/>
        <v>0</v>
      </c>
      <c r="AT27" s="10">
        <f t="shared" si="19"/>
        <v>0</v>
      </c>
      <c r="AU27" s="250"/>
      <c r="AV27" s="10">
        <f t="shared" si="20"/>
        <v>0</v>
      </c>
      <c r="AW27" s="8">
        <f t="shared" si="60"/>
        <v>0</v>
      </c>
      <c r="AX27" s="10">
        <f t="shared" si="21"/>
        <v>0</v>
      </c>
      <c r="AY27" s="98"/>
      <c r="AZ27" s="10">
        <f t="shared" si="22"/>
        <v>0</v>
      </c>
      <c r="BA27" s="10">
        <f t="shared" si="61"/>
        <v>0</v>
      </c>
      <c r="BB27" s="10">
        <f t="shared" si="23"/>
        <v>0</v>
      </c>
      <c r="BC27" s="98"/>
      <c r="BD27" s="10">
        <f t="shared" si="24"/>
        <v>0</v>
      </c>
      <c r="BE27" s="10">
        <f t="shared" si="62"/>
        <v>0</v>
      </c>
      <c r="BF27" s="10">
        <f t="shared" si="25"/>
        <v>0</v>
      </c>
      <c r="BG27" s="98"/>
      <c r="BH27" s="10">
        <f t="shared" si="26"/>
        <v>0</v>
      </c>
      <c r="BI27" s="10">
        <f t="shared" si="63"/>
        <v>0</v>
      </c>
      <c r="BJ27" s="10">
        <f t="shared" si="27"/>
        <v>0</v>
      </c>
      <c r="BK27" s="98"/>
      <c r="BL27" s="10"/>
      <c r="BM27" s="10"/>
      <c r="BN27" s="10"/>
      <c r="BO27" s="98"/>
      <c r="BP27" s="10"/>
      <c r="BQ27" s="10"/>
      <c r="BR27" s="10"/>
      <c r="BS27" s="98"/>
      <c r="BT27" s="10"/>
      <c r="BU27" s="10"/>
      <c r="BV27" s="10"/>
      <c r="BW27" s="10">
        <f t="shared" si="64"/>
        <v>0</v>
      </c>
      <c r="BX27" s="10">
        <f t="shared" si="28"/>
        <v>0</v>
      </c>
      <c r="BY27" s="10">
        <f t="shared" si="65"/>
        <v>85459.849999999991</v>
      </c>
      <c r="BZ27" s="10">
        <f t="shared" si="29"/>
        <v>10.446903689333201</v>
      </c>
      <c r="CA27" s="98"/>
      <c r="CB27" s="10">
        <f t="shared" si="30"/>
        <v>0</v>
      </c>
      <c r="CC27" s="10"/>
      <c r="CD27" s="10">
        <f t="shared" si="31"/>
        <v>0</v>
      </c>
      <c r="CE27" s="98"/>
      <c r="CF27" s="10">
        <f t="shared" si="32"/>
        <v>0</v>
      </c>
      <c r="CG27" s="10">
        <f t="shared" si="66"/>
        <v>0</v>
      </c>
      <c r="CH27" s="10">
        <f t="shared" si="33"/>
        <v>0</v>
      </c>
      <c r="CI27" s="98"/>
      <c r="CJ27" s="10">
        <f t="shared" si="34"/>
        <v>0</v>
      </c>
      <c r="CK27" s="10">
        <f t="shared" si="67"/>
        <v>55065.141000000003</v>
      </c>
      <c r="CL27" s="10">
        <f t="shared" si="35"/>
        <v>6.73135074150672</v>
      </c>
      <c r="CM27" s="98"/>
      <c r="CN27" s="10">
        <f t="shared" si="36"/>
        <v>0</v>
      </c>
      <c r="CO27" s="10">
        <f t="shared" si="68"/>
        <v>0</v>
      </c>
      <c r="CP27" s="10">
        <f t="shared" si="37"/>
        <v>0</v>
      </c>
      <c r="CQ27" s="98"/>
      <c r="CR27" s="10">
        <f t="shared" si="38"/>
        <v>0</v>
      </c>
      <c r="CS27" s="10">
        <f t="shared" si="69"/>
        <v>0</v>
      </c>
      <c r="CT27" s="10">
        <f t="shared" si="39"/>
        <v>0</v>
      </c>
      <c r="CU27" s="98"/>
      <c r="CV27" s="10">
        <f t="shared" si="40"/>
        <v>0</v>
      </c>
      <c r="CW27" s="10">
        <f t="shared" si="70"/>
        <v>0</v>
      </c>
      <c r="CX27" s="10">
        <f t="shared" si="41"/>
        <v>0</v>
      </c>
      <c r="CY27" s="98"/>
      <c r="CZ27" s="10">
        <f t="shared" si="42"/>
        <v>0</v>
      </c>
      <c r="DA27" s="10">
        <f t="shared" si="71"/>
        <v>102750</v>
      </c>
      <c r="DB27" s="10">
        <f t="shared" si="43"/>
        <v>0.1256051062667424</v>
      </c>
      <c r="DC27" s="98"/>
      <c r="DD27" s="10">
        <f t="shared" si="44"/>
        <v>0</v>
      </c>
      <c r="DE27" s="10">
        <f t="shared" si="72"/>
        <v>0</v>
      </c>
      <c r="DF27" s="10">
        <f t="shared" si="45"/>
        <v>0</v>
      </c>
      <c r="DG27" s="98"/>
      <c r="DH27" s="10"/>
      <c r="DI27" s="10"/>
      <c r="DJ27" s="10"/>
      <c r="DK27" s="10">
        <f t="shared" si="73"/>
        <v>0</v>
      </c>
      <c r="DL27" s="10">
        <f t="shared" si="74"/>
        <v>0</v>
      </c>
      <c r="DM27" s="10">
        <f t="shared" si="75"/>
        <v>157815.141</v>
      </c>
      <c r="DN27" s="10">
        <f t="shared" si="46"/>
        <v>19.29186136818096</v>
      </c>
      <c r="DO27" s="98"/>
      <c r="DP27" s="10">
        <f t="shared" si="76"/>
        <v>0</v>
      </c>
      <c r="DQ27" s="10">
        <f t="shared" si="77"/>
        <v>0</v>
      </c>
      <c r="DR27" s="10">
        <f t="shared" si="78"/>
        <v>0</v>
      </c>
      <c r="DS27" s="98"/>
      <c r="DT27" s="15">
        <f t="shared" si="79"/>
        <v>0</v>
      </c>
      <c r="DU27" s="10">
        <f t="shared" si="80"/>
        <v>0</v>
      </c>
      <c r="DV27" s="10">
        <f t="shared" si="81"/>
        <v>0</v>
      </c>
      <c r="DW27" s="98"/>
      <c r="DX27" s="15">
        <f t="shared" si="82"/>
        <v>0</v>
      </c>
      <c r="DY27" s="10">
        <f t="shared" si="83"/>
        <v>0</v>
      </c>
      <c r="DZ27" s="455">
        <f t="shared" si="84"/>
        <v>0</v>
      </c>
      <c r="EA27" s="98"/>
      <c r="EB27" s="10">
        <f t="shared" si="85"/>
        <v>0</v>
      </c>
      <c r="EC27" s="10">
        <f t="shared" si="86"/>
        <v>399125</v>
      </c>
      <c r="ED27" s="10">
        <f t="shared" si="87"/>
        <v>48.790401984149447</v>
      </c>
      <c r="EE27" s="10">
        <f t="shared" si="47"/>
        <v>0</v>
      </c>
      <c r="EF27" s="10">
        <f t="shared" si="88"/>
        <v>0</v>
      </c>
      <c r="EG27" s="10">
        <f t="shared" si="89"/>
        <v>399125</v>
      </c>
      <c r="EH27" s="10">
        <f t="shared" si="90"/>
        <v>48.790401984149447</v>
      </c>
      <c r="EI27" s="10"/>
      <c r="EJ27" s="89">
        <f t="shared" si="91"/>
        <v>0</v>
      </c>
      <c r="EK27" s="10">
        <f t="shared" si="92"/>
        <v>0</v>
      </c>
      <c r="EL27" s="89">
        <f t="shared" si="93"/>
        <v>0</v>
      </c>
      <c r="EM27" s="10"/>
      <c r="EN27" s="89">
        <f t="shared" si="94"/>
        <v>0</v>
      </c>
      <c r="EO27" s="10">
        <f t="shared" si="95"/>
        <v>0</v>
      </c>
      <c r="EP27" s="89">
        <f t="shared" si="96"/>
        <v>0</v>
      </c>
      <c r="EQ27" s="10"/>
      <c r="ER27" s="89">
        <f t="shared" si="97"/>
        <v>0</v>
      </c>
      <c r="ES27" s="10">
        <f t="shared" si="98"/>
        <v>0</v>
      </c>
      <c r="ET27" s="89">
        <f t="shared" si="99"/>
        <v>0</v>
      </c>
      <c r="EU27" s="10"/>
      <c r="EV27" s="10">
        <f t="shared" si="100"/>
        <v>0</v>
      </c>
      <c r="EW27" s="10">
        <f t="shared" si="101"/>
        <v>0</v>
      </c>
      <c r="EX27" s="10">
        <f t="shared" si="102"/>
        <v>0</v>
      </c>
      <c r="EY27" s="89"/>
      <c r="EZ27" s="89">
        <f t="shared" si="103"/>
        <v>0</v>
      </c>
      <c r="FA27" s="10">
        <f t="shared" si="104"/>
        <v>0</v>
      </c>
      <c r="FB27" s="89">
        <f t="shared" si="105"/>
        <v>0</v>
      </c>
      <c r="FC27" s="89"/>
      <c r="FD27" s="89">
        <f t="shared" si="106"/>
        <v>0</v>
      </c>
      <c r="FE27" s="10">
        <f t="shared" si="107"/>
        <v>0</v>
      </c>
      <c r="FF27" s="89">
        <f t="shared" si="108"/>
        <v>0</v>
      </c>
      <c r="FG27" s="89"/>
      <c r="FH27" s="89">
        <f t="shared" si="109"/>
        <v>0</v>
      </c>
      <c r="FI27" s="10">
        <f t="shared" si="110"/>
        <v>0</v>
      </c>
      <c r="FJ27" s="89">
        <f t="shared" si="111"/>
        <v>0</v>
      </c>
      <c r="FK27" s="89">
        <f t="shared" si="112"/>
        <v>0</v>
      </c>
      <c r="FL27" s="89">
        <f t="shared" si="113"/>
        <v>0</v>
      </c>
      <c r="FM27" s="10">
        <f t="shared" si="114"/>
        <v>0</v>
      </c>
      <c r="FN27" s="89">
        <f t="shared" si="115"/>
        <v>0</v>
      </c>
      <c r="FO27" s="89"/>
      <c r="FP27" s="89">
        <f t="shared" si="116"/>
        <v>0</v>
      </c>
      <c r="FQ27" s="10">
        <f t="shared" si="117"/>
        <v>300</v>
      </c>
      <c r="FR27" s="89">
        <f t="shared" si="118"/>
        <v>3.6673023727516033E-2</v>
      </c>
      <c r="FS27" s="89">
        <v>46725</v>
      </c>
      <c r="FT27" s="89">
        <f t="shared" si="119"/>
        <v>100</v>
      </c>
      <c r="FU27" s="10">
        <f t="shared" si="120"/>
        <v>175340</v>
      </c>
      <c r="FV27" s="89">
        <f t="shared" si="121"/>
        <v>21.434159934608868</v>
      </c>
      <c r="FW27" s="89">
        <f t="shared" si="122"/>
        <v>46725</v>
      </c>
      <c r="FX27" s="10">
        <f t="shared" si="123"/>
        <v>818039.99100000004</v>
      </c>
      <c r="FY27" s="10">
        <f t="shared" si="48"/>
        <v>0.96523301933564698</v>
      </c>
      <c r="FZ27" s="10">
        <f t="shared" si="49"/>
        <v>1.0985121004995435</v>
      </c>
      <c r="GA27" s="6"/>
      <c r="GB27" s="456" t="e">
        <f t="shared" si="124"/>
        <v>#DIV/0!</v>
      </c>
      <c r="GC27" s="456">
        <f>(SUM($GA$10:GA27))/(SUM($EE$10:EE27))</f>
        <v>0</v>
      </c>
      <c r="GD27" s="3" t="s">
        <v>307</v>
      </c>
      <c r="GH27" s="14"/>
    </row>
    <row r="28" spans="1:191">
      <c r="A28" s="16">
        <f>+Chem!A28</f>
        <v>45857</v>
      </c>
      <c r="B28" s="6" t="str">
        <f>+Chem!B28</f>
        <v>Facial</v>
      </c>
      <c r="C28" s="16" t="str">
        <f>+Chem!C28</f>
        <v>12</v>
      </c>
      <c r="D28" s="8">
        <f>+Chem!D28</f>
        <v>46.22</v>
      </c>
      <c r="E28" s="7">
        <f>+Chem!E28</f>
        <v>40.988</v>
      </c>
      <c r="F28" s="7">
        <f t="shared" si="125"/>
        <v>785.66799999999989</v>
      </c>
      <c r="G28" s="98"/>
      <c r="H28" s="10">
        <f>G28/FW28*100</f>
        <v>0</v>
      </c>
      <c r="I28" s="8">
        <f t="shared" si="50"/>
        <v>0</v>
      </c>
      <c r="J28" s="10">
        <f t="shared" si="1"/>
        <v>0</v>
      </c>
      <c r="K28" s="98"/>
      <c r="L28" s="10">
        <f t="shared" si="2"/>
        <v>0</v>
      </c>
      <c r="M28" s="10">
        <f t="shared" si="51"/>
        <v>0</v>
      </c>
      <c r="N28" s="10">
        <f t="shared" si="3"/>
        <v>0</v>
      </c>
      <c r="O28" s="98"/>
      <c r="P28" s="10">
        <f t="shared" si="4"/>
        <v>0</v>
      </c>
      <c r="Q28" s="10">
        <f t="shared" si="52"/>
        <v>0</v>
      </c>
      <c r="R28" s="10">
        <f t="shared" si="5"/>
        <v>0</v>
      </c>
      <c r="S28" s="98"/>
      <c r="T28" s="10">
        <f t="shared" si="6"/>
        <v>0</v>
      </c>
      <c r="U28" s="10">
        <f t="shared" si="53"/>
        <v>0</v>
      </c>
      <c r="V28" s="10">
        <f t="shared" si="7"/>
        <v>0</v>
      </c>
      <c r="W28" s="98"/>
      <c r="X28" s="10">
        <f t="shared" si="8"/>
        <v>0</v>
      </c>
      <c r="Y28" s="10">
        <f t="shared" si="54"/>
        <v>0</v>
      </c>
      <c r="Z28" s="10">
        <f t="shared" si="9"/>
        <v>0</v>
      </c>
      <c r="AA28" s="98"/>
      <c r="AB28" s="10">
        <f>AA28/FW28*100</f>
        <v>0</v>
      </c>
      <c r="AC28" s="10">
        <f t="shared" si="55"/>
        <v>85459.849999999991</v>
      </c>
      <c r="AD28" s="10">
        <f t="shared" si="11"/>
        <v>9.9191989986452356</v>
      </c>
      <c r="AE28" s="98"/>
      <c r="AF28" s="10">
        <f t="shared" si="12"/>
        <v>0</v>
      </c>
      <c r="AG28" s="10">
        <f t="shared" si="56"/>
        <v>0</v>
      </c>
      <c r="AH28" s="10">
        <f t="shared" si="13"/>
        <v>0</v>
      </c>
      <c r="AI28" s="98"/>
      <c r="AJ28" s="10">
        <f t="shared" si="14"/>
        <v>0</v>
      </c>
      <c r="AK28" s="10">
        <f t="shared" si="57"/>
        <v>0</v>
      </c>
      <c r="AL28" s="10">
        <f t="shared" si="15"/>
        <v>0</v>
      </c>
      <c r="AM28" s="98"/>
      <c r="AN28" s="10">
        <f t="shared" si="16"/>
        <v>0</v>
      </c>
      <c r="AO28" s="10">
        <f t="shared" si="58"/>
        <v>0</v>
      </c>
      <c r="AP28" s="10">
        <f t="shared" si="17"/>
        <v>0</v>
      </c>
      <c r="AQ28" s="98"/>
      <c r="AR28" s="10">
        <f t="shared" si="18"/>
        <v>0</v>
      </c>
      <c r="AS28" s="10">
        <f t="shared" si="59"/>
        <v>0</v>
      </c>
      <c r="AT28" s="10">
        <f t="shared" si="19"/>
        <v>0</v>
      </c>
      <c r="AU28" s="250"/>
      <c r="AV28" s="10">
        <f t="shared" si="20"/>
        <v>0</v>
      </c>
      <c r="AW28" s="8">
        <f t="shared" si="60"/>
        <v>0</v>
      </c>
      <c r="AX28" s="10">
        <f t="shared" si="21"/>
        <v>0</v>
      </c>
      <c r="AY28" s="98"/>
      <c r="AZ28" s="10">
        <f t="shared" si="22"/>
        <v>0</v>
      </c>
      <c r="BA28" s="10">
        <f t="shared" si="61"/>
        <v>0</v>
      </c>
      <c r="BB28" s="10">
        <f t="shared" si="23"/>
        <v>0</v>
      </c>
      <c r="BC28" s="98"/>
      <c r="BD28" s="10">
        <f t="shared" si="24"/>
        <v>0</v>
      </c>
      <c r="BE28" s="10">
        <f t="shared" si="62"/>
        <v>0</v>
      </c>
      <c r="BF28" s="10">
        <f t="shared" si="25"/>
        <v>0</v>
      </c>
      <c r="BG28" s="98"/>
      <c r="BH28" s="10">
        <f t="shared" si="26"/>
        <v>0</v>
      </c>
      <c r="BI28" s="10">
        <f t="shared" si="63"/>
        <v>0</v>
      </c>
      <c r="BJ28" s="10">
        <f t="shared" si="27"/>
        <v>0</v>
      </c>
      <c r="BK28" s="98"/>
      <c r="BL28" s="10"/>
      <c r="BM28" s="10"/>
      <c r="BN28" s="10"/>
      <c r="BO28" s="98"/>
      <c r="BP28" s="10"/>
      <c r="BQ28" s="10"/>
      <c r="BR28" s="10"/>
      <c r="BS28" s="98"/>
      <c r="BT28" s="10"/>
      <c r="BU28" s="10"/>
      <c r="BV28" s="10"/>
      <c r="BW28" s="10">
        <f t="shared" si="64"/>
        <v>0</v>
      </c>
      <c r="BX28" s="10">
        <f t="shared" si="28"/>
        <v>0</v>
      </c>
      <c r="BY28" s="10">
        <f t="shared" si="65"/>
        <v>85459.849999999991</v>
      </c>
      <c r="BZ28" s="10">
        <f t="shared" si="29"/>
        <v>9.9191989986452356</v>
      </c>
      <c r="CA28" s="98"/>
      <c r="CB28" s="10">
        <f t="shared" si="30"/>
        <v>0</v>
      </c>
      <c r="CC28" s="10"/>
      <c r="CD28" s="10">
        <f t="shared" si="31"/>
        <v>0</v>
      </c>
      <c r="CE28" s="98"/>
      <c r="CF28" s="10">
        <f t="shared" si="32"/>
        <v>0</v>
      </c>
      <c r="CG28" s="10">
        <f t="shared" si="66"/>
        <v>0</v>
      </c>
      <c r="CH28" s="10">
        <f t="shared" si="33"/>
        <v>0</v>
      </c>
      <c r="CI28" s="98"/>
      <c r="CJ28" s="10">
        <f t="shared" si="34"/>
        <v>0</v>
      </c>
      <c r="CK28" s="10">
        <f t="shared" si="67"/>
        <v>55065.141000000003</v>
      </c>
      <c r="CL28" s="10">
        <f t="shared" si="35"/>
        <v>6.3913298638771172</v>
      </c>
      <c r="CM28" s="98"/>
      <c r="CN28" s="10">
        <f t="shared" si="36"/>
        <v>0</v>
      </c>
      <c r="CO28" s="10">
        <f t="shared" si="68"/>
        <v>0</v>
      </c>
      <c r="CP28" s="10">
        <f t="shared" si="37"/>
        <v>0</v>
      </c>
      <c r="CQ28" s="98"/>
      <c r="CR28" s="10">
        <f t="shared" si="38"/>
        <v>0</v>
      </c>
      <c r="CS28" s="10">
        <f t="shared" si="69"/>
        <v>0</v>
      </c>
      <c r="CT28" s="10">
        <f t="shared" si="39"/>
        <v>0</v>
      </c>
      <c r="CU28" s="98"/>
      <c r="CV28" s="10">
        <f t="shared" si="40"/>
        <v>0</v>
      </c>
      <c r="CW28" s="10">
        <f t="shared" si="70"/>
        <v>0</v>
      </c>
      <c r="CX28" s="10">
        <f t="shared" si="41"/>
        <v>0</v>
      </c>
      <c r="CY28" s="98"/>
      <c r="CZ28" s="10">
        <f t="shared" si="42"/>
        <v>0</v>
      </c>
      <c r="DA28" s="10">
        <f t="shared" si="71"/>
        <v>102750</v>
      </c>
      <c r="DB28" s="10">
        <f t="shared" si="43"/>
        <v>0.11926041259267342</v>
      </c>
      <c r="DC28" s="98"/>
      <c r="DD28" s="10">
        <f t="shared" si="44"/>
        <v>0</v>
      </c>
      <c r="DE28" s="10">
        <f t="shared" si="72"/>
        <v>0</v>
      </c>
      <c r="DF28" s="10">
        <f t="shared" si="45"/>
        <v>0</v>
      </c>
      <c r="DG28" s="98"/>
      <c r="DH28" s="10"/>
      <c r="DI28" s="10"/>
      <c r="DJ28" s="10"/>
      <c r="DK28" s="10">
        <f t="shared" si="73"/>
        <v>0</v>
      </c>
      <c r="DL28" s="10">
        <f t="shared" si="74"/>
        <v>0</v>
      </c>
      <c r="DM28" s="10">
        <f t="shared" si="75"/>
        <v>157815.141</v>
      </c>
      <c r="DN28" s="10">
        <f t="shared" si="46"/>
        <v>18.317371123144458</v>
      </c>
      <c r="DO28" s="98"/>
      <c r="DP28" s="10">
        <f t="shared" si="76"/>
        <v>0</v>
      </c>
      <c r="DQ28" s="10">
        <f t="shared" si="77"/>
        <v>0</v>
      </c>
      <c r="DR28" s="10">
        <f t="shared" si="78"/>
        <v>0</v>
      </c>
      <c r="DS28" s="98"/>
      <c r="DT28" s="15">
        <f t="shared" si="79"/>
        <v>0</v>
      </c>
      <c r="DU28" s="10">
        <f t="shared" si="80"/>
        <v>0</v>
      </c>
      <c r="DV28" s="10">
        <f t="shared" si="81"/>
        <v>0</v>
      </c>
      <c r="DW28" s="98"/>
      <c r="DX28" s="15">
        <f t="shared" si="82"/>
        <v>0</v>
      </c>
      <c r="DY28" s="10">
        <f t="shared" si="83"/>
        <v>0</v>
      </c>
      <c r="DZ28" s="455">
        <f t="shared" si="84"/>
        <v>0</v>
      </c>
      <c r="EA28" s="98"/>
      <c r="EB28" s="10">
        <f t="shared" si="85"/>
        <v>0</v>
      </c>
      <c r="EC28" s="10">
        <f t="shared" si="86"/>
        <v>399125</v>
      </c>
      <c r="ED28" s="10">
        <f t="shared" si="87"/>
        <v>46.325851266229471</v>
      </c>
      <c r="EE28" s="10">
        <f t="shared" si="47"/>
        <v>0</v>
      </c>
      <c r="EF28" s="10">
        <f t="shared" si="88"/>
        <v>0</v>
      </c>
      <c r="EG28" s="10">
        <f t="shared" si="89"/>
        <v>399125</v>
      </c>
      <c r="EH28" s="10">
        <f t="shared" si="90"/>
        <v>46.325851266229471</v>
      </c>
      <c r="EI28" s="10"/>
      <c r="EJ28" s="89">
        <f t="shared" si="91"/>
        <v>0</v>
      </c>
      <c r="EK28" s="10">
        <f t="shared" si="92"/>
        <v>0</v>
      </c>
      <c r="EL28" s="89">
        <f t="shared" si="93"/>
        <v>0</v>
      </c>
      <c r="EM28" s="10"/>
      <c r="EN28" s="89">
        <f t="shared" si="94"/>
        <v>0</v>
      </c>
      <c r="EO28" s="10">
        <f t="shared" si="95"/>
        <v>0</v>
      </c>
      <c r="EP28" s="89">
        <f t="shared" si="96"/>
        <v>0</v>
      </c>
      <c r="EQ28" s="10"/>
      <c r="ER28" s="89">
        <f t="shared" si="97"/>
        <v>0</v>
      </c>
      <c r="ES28" s="10">
        <f t="shared" si="98"/>
        <v>0</v>
      </c>
      <c r="ET28" s="89">
        <f t="shared" si="99"/>
        <v>0</v>
      </c>
      <c r="EU28" s="10"/>
      <c r="EV28" s="10">
        <f t="shared" si="100"/>
        <v>0</v>
      </c>
      <c r="EW28" s="10">
        <f t="shared" si="101"/>
        <v>0</v>
      </c>
      <c r="EX28" s="10">
        <f t="shared" si="102"/>
        <v>0</v>
      </c>
      <c r="EY28" s="89"/>
      <c r="EZ28" s="89">
        <f t="shared" si="103"/>
        <v>0</v>
      </c>
      <c r="FA28" s="10">
        <f t="shared" si="104"/>
        <v>0</v>
      </c>
      <c r="FB28" s="89">
        <f t="shared" si="105"/>
        <v>0</v>
      </c>
      <c r="FC28" s="89"/>
      <c r="FD28" s="89">
        <f t="shared" si="106"/>
        <v>0</v>
      </c>
      <c r="FE28" s="10">
        <f t="shared" si="107"/>
        <v>0</v>
      </c>
      <c r="FF28" s="89">
        <f t="shared" si="108"/>
        <v>0</v>
      </c>
      <c r="FG28" s="89"/>
      <c r="FH28" s="89">
        <f t="shared" si="109"/>
        <v>0</v>
      </c>
      <c r="FI28" s="10">
        <f t="shared" si="110"/>
        <v>0</v>
      </c>
      <c r="FJ28" s="89">
        <f t="shared" si="111"/>
        <v>0</v>
      </c>
      <c r="FK28" s="89">
        <f t="shared" si="112"/>
        <v>0</v>
      </c>
      <c r="FL28" s="89">
        <f t="shared" si="113"/>
        <v>0</v>
      </c>
      <c r="FM28" s="10">
        <f t="shared" si="114"/>
        <v>0</v>
      </c>
      <c r="FN28" s="89">
        <f t="shared" si="115"/>
        <v>0</v>
      </c>
      <c r="FO28" s="89"/>
      <c r="FP28" s="89">
        <f t="shared" si="116"/>
        <v>0</v>
      </c>
      <c r="FQ28" s="10">
        <f t="shared" si="117"/>
        <v>300</v>
      </c>
      <c r="FR28" s="89">
        <f t="shared" si="118"/>
        <v>3.482055842121852E-2</v>
      </c>
      <c r="FS28" s="89">
        <v>43520</v>
      </c>
      <c r="FT28" s="89">
        <f t="shared" si="119"/>
        <v>100</v>
      </c>
      <c r="FU28" s="10">
        <f t="shared" si="120"/>
        <v>218860</v>
      </c>
      <c r="FV28" s="89">
        <f t="shared" si="121"/>
        <v>25.402758053559616</v>
      </c>
      <c r="FW28" s="89">
        <f t="shared" si="122"/>
        <v>43520</v>
      </c>
      <c r="FX28" s="10">
        <f t="shared" si="123"/>
        <v>861559.99100000004</v>
      </c>
      <c r="FY28" s="10">
        <f t="shared" si="48"/>
        <v>1.0617741778081391</v>
      </c>
      <c r="FZ28" s="10">
        <f t="shared" si="49"/>
        <v>1.0965954970801919</v>
      </c>
      <c r="GA28" s="6"/>
      <c r="GB28" s="456" t="e">
        <f t="shared" si="124"/>
        <v>#DIV/0!</v>
      </c>
      <c r="GC28" s="456">
        <f>(SUM($GA$10:GA28))/(SUM($EE$10:EE28))</f>
        <v>0</v>
      </c>
      <c r="GD28" s="3" t="s">
        <v>307</v>
      </c>
      <c r="GH28" s="14"/>
    </row>
    <row r="29" spans="1:191">
      <c r="A29" s="16">
        <f>+Chem!A29</f>
        <v>45858</v>
      </c>
      <c r="B29" s="6" t="str">
        <f>+Chem!B29</f>
        <v>Facial</v>
      </c>
      <c r="C29" s="16" t="str">
        <f>+Chem!C29</f>
        <v>12</v>
      </c>
      <c r="D29" s="8">
        <f>+Chem!D29</f>
        <v>44.707000000000001</v>
      </c>
      <c r="E29" s="7">
        <f>+Chem!E29</f>
        <v>46.920999999999999</v>
      </c>
      <c r="F29" s="7">
        <f t="shared" si="125"/>
        <v>832.58899999999994</v>
      </c>
      <c r="G29" s="98"/>
      <c r="H29" s="10">
        <f t="shared" si="0"/>
        <v>0</v>
      </c>
      <c r="I29" s="8">
        <f t="shared" si="50"/>
        <v>0</v>
      </c>
      <c r="J29" s="10">
        <f t="shared" si="1"/>
        <v>0</v>
      </c>
      <c r="K29" s="98"/>
      <c r="L29" s="10">
        <f t="shared" si="2"/>
        <v>0</v>
      </c>
      <c r="M29" s="10">
        <f t="shared" si="51"/>
        <v>0</v>
      </c>
      <c r="N29" s="10">
        <f t="shared" si="3"/>
        <v>0</v>
      </c>
      <c r="O29" s="98"/>
      <c r="P29" s="10">
        <f t="shared" si="4"/>
        <v>0</v>
      </c>
      <c r="Q29" s="10">
        <f t="shared" si="52"/>
        <v>0</v>
      </c>
      <c r="R29" s="10">
        <f t="shared" si="5"/>
        <v>0</v>
      </c>
      <c r="S29" s="98"/>
      <c r="T29" s="10">
        <f t="shared" si="6"/>
        <v>0</v>
      </c>
      <c r="U29" s="10">
        <f t="shared" si="53"/>
        <v>0</v>
      </c>
      <c r="V29" s="10">
        <f t="shared" si="7"/>
        <v>0</v>
      </c>
      <c r="W29" s="98"/>
      <c r="X29" s="10">
        <f t="shared" si="8"/>
        <v>0</v>
      </c>
      <c r="Y29" s="10">
        <f t="shared" si="54"/>
        <v>0</v>
      </c>
      <c r="Z29" s="10">
        <f t="shared" si="9"/>
        <v>0</v>
      </c>
      <c r="AA29" s="98">
        <f>7.5*AA7</f>
        <v>1727.625</v>
      </c>
      <c r="AB29" s="10">
        <f t="shared" si="10"/>
        <v>3.5187547259159686</v>
      </c>
      <c r="AC29" s="10">
        <f t="shared" si="55"/>
        <v>87187.474999999991</v>
      </c>
      <c r="AD29" s="10">
        <f t="shared" si="11"/>
        <v>9.5741224218784762</v>
      </c>
      <c r="AE29" s="98"/>
      <c r="AF29" s="10">
        <f t="shared" si="12"/>
        <v>0</v>
      </c>
      <c r="AG29" s="10">
        <f t="shared" si="56"/>
        <v>0</v>
      </c>
      <c r="AH29" s="10">
        <f t="shared" si="13"/>
        <v>0</v>
      </c>
      <c r="AI29" s="98"/>
      <c r="AJ29" s="10">
        <f t="shared" si="14"/>
        <v>0</v>
      </c>
      <c r="AK29" s="10">
        <f t="shared" si="57"/>
        <v>0</v>
      </c>
      <c r="AL29" s="10">
        <f t="shared" si="15"/>
        <v>0</v>
      </c>
      <c r="AM29" s="98"/>
      <c r="AN29" s="10">
        <f t="shared" si="16"/>
        <v>0</v>
      </c>
      <c r="AO29" s="10">
        <f t="shared" si="58"/>
        <v>0</v>
      </c>
      <c r="AP29" s="10">
        <f t="shared" si="17"/>
        <v>0</v>
      </c>
      <c r="AQ29" s="98"/>
      <c r="AR29" s="10">
        <f t="shared" si="18"/>
        <v>0</v>
      </c>
      <c r="AS29" s="10">
        <f t="shared" si="59"/>
        <v>0</v>
      </c>
      <c r="AT29" s="10">
        <f t="shared" si="19"/>
        <v>0</v>
      </c>
      <c r="AU29" s="250"/>
      <c r="AV29" s="10">
        <f t="shared" si="20"/>
        <v>0</v>
      </c>
      <c r="AW29" s="8">
        <f t="shared" si="60"/>
        <v>0</v>
      </c>
      <c r="AX29" s="10">
        <f t="shared" si="21"/>
        <v>0</v>
      </c>
      <c r="AY29" s="98"/>
      <c r="AZ29" s="10">
        <f t="shared" si="22"/>
        <v>0</v>
      </c>
      <c r="BA29" s="10">
        <f t="shared" si="61"/>
        <v>0</v>
      </c>
      <c r="BB29" s="10">
        <f t="shared" si="23"/>
        <v>0</v>
      </c>
      <c r="BC29" s="98"/>
      <c r="BD29" s="10">
        <f t="shared" si="24"/>
        <v>0</v>
      </c>
      <c r="BE29" s="10">
        <f t="shared" si="62"/>
        <v>0</v>
      </c>
      <c r="BF29" s="10">
        <f t="shared" si="25"/>
        <v>0</v>
      </c>
      <c r="BG29" s="98"/>
      <c r="BH29" s="10">
        <f t="shared" si="26"/>
        <v>0</v>
      </c>
      <c r="BI29" s="10">
        <f t="shared" si="63"/>
        <v>0</v>
      </c>
      <c r="BJ29" s="10">
        <f t="shared" si="27"/>
        <v>0</v>
      </c>
      <c r="BK29" s="98"/>
      <c r="BL29" s="10"/>
      <c r="BM29" s="10"/>
      <c r="BN29" s="10"/>
      <c r="BO29" s="98"/>
      <c r="BP29" s="10"/>
      <c r="BQ29" s="10"/>
      <c r="BR29" s="10"/>
      <c r="BS29" s="98"/>
      <c r="BT29" s="10"/>
      <c r="BU29" s="10"/>
      <c r="BV29" s="10"/>
      <c r="BW29" s="10">
        <f t="shared" si="64"/>
        <v>1727.625</v>
      </c>
      <c r="BX29" s="10">
        <f t="shared" si="28"/>
        <v>3.5187547259159686</v>
      </c>
      <c r="BY29" s="10">
        <f t="shared" si="65"/>
        <v>87187.474999999991</v>
      </c>
      <c r="BZ29" s="10">
        <f t="shared" si="29"/>
        <v>9.5741224218784762</v>
      </c>
      <c r="CA29" s="98"/>
      <c r="CB29" s="10">
        <f t="shared" si="30"/>
        <v>0</v>
      </c>
      <c r="CC29" s="10"/>
      <c r="CD29" s="10">
        <f t="shared" si="31"/>
        <v>0</v>
      </c>
      <c r="CE29" s="98"/>
      <c r="CF29" s="10">
        <f t="shared" si="32"/>
        <v>0</v>
      </c>
      <c r="CG29" s="10">
        <f t="shared" si="66"/>
        <v>0</v>
      </c>
      <c r="CH29" s="10">
        <f t="shared" si="33"/>
        <v>0</v>
      </c>
      <c r="CI29" s="98"/>
      <c r="CJ29" s="10">
        <f t="shared" si="34"/>
        <v>0</v>
      </c>
      <c r="CK29" s="10">
        <f t="shared" si="67"/>
        <v>55065.141000000003</v>
      </c>
      <c r="CL29" s="10">
        <f t="shared" si="35"/>
        <v>6.0467446856558222</v>
      </c>
      <c r="CM29" s="98"/>
      <c r="CN29" s="10">
        <f t="shared" si="36"/>
        <v>0</v>
      </c>
      <c r="CO29" s="10">
        <f t="shared" si="68"/>
        <v>0</v>
      </c>
      <c r="CP29" s="10">
        <f t="shared" si="37"/>
        <v>0</v>
      </c>
      <c r="CQ29" s="98"/>
      <c r="CR29" s="10">
        <f t="shared" si="38"/>
        <v>0</v>
      </c>
      <c r="CS29" s="10">
        <f t="shared" si="69"/>
        <v>0</v>
      </c>
      <c r="CT29" s="10">
        <f t="shared" si="39"/>
        <v>0</v>
      </c>
      <c r="CU29" s="98"/>
      <c r="CV29" s="10">
        <f t="shared" si="40"/>
        <v>0</v>
      </c>
      <c r="CW29" s="10">
        <f t="shared" si="70"/>
        <v>0</v>
      </c>
      <c r="CX29" s="10">
        <f t="shared" si="41"/>
        <v>0</v>
      </c>
      <c r="CY29" s="98"/>
      <c r="CZ29" s="10">
        <f t="shared" si="42"/>
        <v>0</v>
      </c>
      <c r="DA29" s="10">
        <f t="shared" si="71"/>
        <v>102750</v>
      </c>
      <c r="DB29" s="10">
        <f t="shared" si="43"/>
        <v>0.1128305503569192</v>
      </c>
      <c r="DC29" s="98"/>
      <c r="DD29" s="10">
        <f t="shared" si="44"/>
        <v>0</v>
      </c>
      <c r="DE29" s="10">
        <f t="shared" si="72"/>
        <v>0</v>
      </c>
      <c r="DF29" s="10">
        <f t="shared" si="45"/>
        <v>0</v>
      </c>
      <c r="DG29" s="98"/>
      <c r="DH29" s="10"/>
      <c r="DI29" s="10"/>
      <c r="DJ29" s="10"/>
      <c r="DK29" s="10">
        <f t="shared" si="73"/>
        <v>0</v>
      </c>
      <c r="DL29" s="10">
        <f t="shared" si="74"/>
        <v>0</v>
      </c>
      <c r="DM29" s="10">
        <f t="shared" si="75"/>
        <v>157815.141</v>
      </c>
      <c r="DN29" s="10">
        <f t="shared" si="46"/>
        <v>17.329799721347744</v>
      </c>
      <c r="DO29" s="98"/>
      <c r="DP29" s="10">
        <f t="shared" si="76"/>
        <v>0</v>
      </c>
      <c r="DQ29" s="10">
        <f t="shared" si="77"/>
        <v>0</v>
      </c>
      <c r="DR29" s="10">
        <f t="shared" si="78"/>
        <v>0</v>
      </c>
      <c r="DS29" s="98"/>
      <c r="DT29" s="15">
        <f t="shared" si="79"/>
        <v>0</v>
      </c>
      <c r="DU29" s="10">
        <f t="shared" si="80"/>
        <v>0</v>
      </c>
      <c r="DV29" s="10">
        <f t="shared" si="81"/>
        <v>0</v>
      </c>
      <c r="DW29" s="98"/>
      <c r="DX29" s="15">
        <f t="shared" si="82"/>
        <v>0</v>
      </c>
      <c r="DY29" s="10">
        <f t="shared" si="83"/>
        <v>0</v>
      </c>
      <c r="DZ29" s="455">
        <f t="shared" si="84"/>
        <v>0</v>
      </c>
      <c r="EA29" s="98">
        <f>45*EA7</f>
        <v>11250</v>
      </c>
      <c r="EB29" s="10">
        <f t="shared" si="85"/>
        <v>22.913531968196018</v>
      </c>
      <c r="EC29" s="10">
        <f t="shared" si="86"/>
        <v>410375</v>
      </c>
      <c r="ED29" s="10">
        <f t="shared" si="87"/>
        <v>45.063588421139386</v>
      </c>
      <c r="EE29" s="10">
        <f t="shared" si="47"/>
        <v>11250</v>
      </c>
      <c r="EF29" s="10">
        <f t="shared" si="88"/>
        <v>22.913531968196018</v>
      </c>
      <c r="EG29" s="10">
        <f t="shared" si="89"/>
        <v>410375</v>
      </c>
      <c r="EH29" s="10">
        <f t="shared" si="90"/>
        <v>45.063588421139386</v>
      </c>
      <c r="EI29" s="10"/>
      <c r="EJ29" s="89">
        <f t="shared" si="91"/>
        <v>0</v>
      </c>
      <c r="EK29" s="10">
        <f t="shared" si="92"/>
        <v>0</v>
      </c>
      <c r="EL29" s="89">
        <f t="shared" si="93"/>
        <v>0</v>
      </c>
      <c r="EM29" s="10"/>
      <c r="EN29" s="89">
        <f t="shared" si="94"/>
        <v>0</v>
      </c>
      <c r="EO29" s="10">
        <f t="shared" si="95"/>
        <v>0</v>
      </c>
      <c r="EP29" s="89">
        <f t="shared" si="96"/>
        <v>0</v>
      </c>
      <c r="EQ29" s="10"/>
      <c r="ER29" s="89">
        <f t="shared" si="97"/>
        <v>0</v>
      </c>
      <c r="ES29" s="10">
        <f t="shared" si="98"/>
        <v>0</v>
      </c>
      <c r="ET29" s="89">
        <f t="shared" si="99"/>
        <v>0</v>
      </c>
      <c r="EU29" s="10"/>
      <c r="EV29" s="10">
        <f t="shared" si="100"/>
        <v>0</v>
      </c>
      <c r="EW29" s="10">
        <f t="shared" si="101"/>
        <v>0</v>
      </c>
      <c r="EX29" s="10">
        <f t="shared" si="102"/>
        <v>0</v>
      </c>
      <c r="EY29" s="89"/>
      <c r="EZ29" s="89">
        <f t="shared" si="103"/>
        <v>0</v>
      </c>
      <c r="FA29" s="10">
        <f t="shared" si="104"/>
        <v>0</v>
      </c>
      <c r="FB29" s="89">
        <f t="shared" si="105"/>
        <v>0</v>
      </c>
      <c r="FC29" s="89"/>
      <c r="FD29" s="89">
        <f t="shared" si="106"/>
        <v>0</v>
      </c>
      <c r="FE29" s="10">
        <f t="shared" si="107"/>
        <v>0</v>
      </c>
      <c r="FF29" s="89">
        <f t="shared" si="108"/>
        <v>0</v>
      </c>
      <c r="FG29" s="89"/>
      <c r="FH29" s="89">
        <f t="shared" si="109"/>
        <v>0</v>
      </c>
      <c r="FI29" s="10">
        <f t="shared" si="110"/>
        <v>0</v>
      </c>
      <c r="FJ29" s="89">
        <f t="shared" si="111"/>
        <v>0</v>
      </c>
      <c r="FK29" s="89">
        <f t="shared" si="112"/>
        <v>0</v>
      </c>
      <c r="FL29" s="89">
        <f t="shared" si="113"/>
        <v>0</v>
      </c>
      <c r="FM29" s="10">
        <f t="shared" si="114"/>
        <v>0</v>
      </c>
      <c r="FN29" s="89">
        <f t="shared" si="115"/>
        <v>0</v>
      </c>
      <c r="FO29" s="89"/>
      <c r="FP29" s="89">
        <f t="shared" si="116"/>
        <v>0</v>
      </c>
      <c r="FQ29" s="10">
        <f t="shared" si="117"/>
        <v>300</v>
      </c>
      <c r="FR29" s="89">
        <f t="shared" si="118"/>
        <v>3.2943226381582251E-2</v>
      </c>
      <c r="FS29" s="89">
        <v>36120</v>
      </c>
      <c r="FT29" s="89">
        <f t="shared" si="119"/>
        <v>73.56771330588802</v>
      </c>
      <c r="FU29" s="10">
        <f t="shared" si="120"/>
        <v>254980</v>
      </c>
      <c r="FV29" s="89">
        <f t="shared" si="121"/>
        <v>27.999546209252806</v>
      </c>
      <c r="FW29" s="89">
        <f t="shared" si="122"/>
        <v>49097.625</v>
      </c>
      <c r="FX29" s="10">
        <f t="shared" si="123"/>
        <v>910657.61600000004</v>
      </c>
      <c r="FY29" s="10">
        <f t="shared" si="48"/>
        <v>1.0463891434538906</v>
      </c>
      <c r="FZ29" s="10">
        <f t="shared" si="49"/>
        <v>1.0937660910725462</v>
      </c>
      <c r="GA29" s="6"/>
      <c r="GB29" s="456">
        <f t="shared" si="124"/>
        <v>0</v>
      </c>
      <c r="GC29" s="456">
        <f>(SUM($GA$10:GA29))/(SUM($EE$10:EE29))</f>
        <v>0</v>
      </c>
      <c r="GD29" s="3" t="s">
        <v>307</v>
      </c>
      <c r="GH29" s="14"/>
    </row>
    <row r="30" spans="1:191">
      <c r="A30" s="16">
        <f>+Chem!A30</f>
        <v>45859</v>
      </c>
      <c r="B30" s="6" t="str">
        <f>+Chem!B30</f>
        <v>Facial</v>
      </c>
      <c r="C30" s="16" t="str">
        <f>+Chem!C30</f>
        <v>12</v>
      </c>
      <c r="D30" s="8">
        <f>+Chem!D30</f>
        <v>46.042000000000002</v>
      </c>
      <c r="E30" s="7">
        <f>+Chem!E30</f>
        <v>45.506999999999998</v>
      </c>
      <c r="F30" s="7">
        <f t="shared" si="125"/>
        <v>878.09599999999989</v>
      </c>
      <c r="G30" s="98"/>
      <c r="H30" s="10">
        <f t="shared" si="0"/>
        <v>0</v>
      </c>
      <c r="I30" s="8">
        <f t="shared" si="50"/>
        <v>0</v>
      </c>
      <c r="J30" s="10">
        <f t="shared" si="1"/>
        <v>0</v>
      </c>
      <c r="K30" s="98"/>
      <c r="L30" s="10">
        <f t="shared" si="2"/>
        <v>0</v>
      </c>
      <c r="M30" s="10">
        <f t="shared" si="51"/>
        <v>0</v>
      </c>
      <c r="N30" s="10">
        <f t="shared" si="3"/>
        <v>0</v>
      </c>
      <c r="O30" s="98"/>
      <c r="P30" s="10">
        <f t="shared" si="4"/>
        <v>0</v>
      </c>
      <c r="Q30" s="10">
        <f t="shared" si="52"/>
        <v>0</v>
      </c>
      <c r="R30" s="10">
        <f t="shared" si="5"/>
        <v>0</v>
      </c>
      <c r="S30" s="98"/>
      <c r="T30" s="10">
        <f t="shared" si="6"/>
        <v>0</v>
      </c>
      <c r="U30" s="10">
        <f t="shared" si="53"/>
        <v>0</v>
      </c>
      <c r="V30" s="10">
        <f t="shared" si="7"/>
        <v>0</v>
      </c>
      <c r="W30" s="98"/>
      <c r="X30" s="10">
        <f t="shared" si="8"/>
        <v>0</v>
      </c>
      <c r="Y30" s="10">
        <f t="shared" si="54"/>
        <v>0</v>
      </c>
      <c r="Z30" s="10">
        <f t="shared" si="9"/>
        <v>0</v>
      </c>
      <c r="AA30" s="98">
        <f>26*AA7</f>
        <v>5989.0999999999995</v>
      </c>
      <c r="AB30" s="10">
        <f t="shared" si="10"/>
        <v>13.312335654636346</v>
      </c>
      <c r="AC30" s="10">
        <f t="shared" si="55"/>
        <v>93176.574999999997</v>
      </c>
      <c r="AD30" s="10">
        <f t="shared" si="11"/>
        <v>9.7501067538853974</v>
      </c>
      <c r="AE30" s="98"/>
      <c r="AF30" s="10">
        <f t="shared" si="12"/>
        <v>0</v>
      </c>
      <c r="AG30" s="10">
        <f t="shared" si="56"/>
        <v>0</v>
      </c>
      <c r="AH30" s="10">
        <f t="shared" si="13"/>
        <v>0</v>
      </c>
      <c r="AI30" s="98"/>
      <c r="AJ30" s="10">
        <f t="shared" si="14"/>
        <v>0</v>
      </c>
      <c r="AK30" s="10">
        <f t="shared" si="57"/>
        <v>0</v>
      </c>
      <c r="AL30" s="10">
        <f t="shared" si="15"/>
        <v>0</v>
      </c>
      <c r="AM30" s="98"/>
      <c r="AN30" s="10">
        <f t="shared" si="16"/>
        <v>0</v>
      </c>
      <c r="AO30" s="10">
        <f t="shared" si="58"/>
        <v>0</v>
      </c>
      <c r="AP30" s="10">
        <f t="shared" si="17"/>
        <v>0</v>
      </c>
      <c r="AQ30" s="98"/>
      <c r="AR30" s="10">
        <f t="shared" si="18"/>
        <v>0</v>
      </c>
      <c r="AS30" s="10">
        <f t="shared" si="59"/>
        <v>0</v>
      </c>
      <c r="AT30" s="10">
        <f t="shared" si="19"/>
        <v>0</v>
      </c>
      <c r="AU30" s="250"/>
      <c r="AV30" s="10">
        <f t="shared" si="20"/>
        <v>0</v>
      </c>
      <c r="AW30" s="8">
        <f t="shared" si="60"/>
        <v>0</v>
      </c>
      <c r="AX30" s="10">
        <f t="shared" si="21"/>
        <v>0</v>
      </c>
      <c r="AY30" s="98"/>
      <c r="AZ30" s="10">
        <f t="shared" si="22"/>
        <v>0</v>
      </c>
      <c r="BA30" s="10">
        <f t="shared" si="61"/>
        <v>0</v>
      </c>
      <c r="BB30" s="10">
        <f t="shared" si="23"/>
        <v>0</v>
      </c>
      <c r="BC30" s="98"/>
      <c r="BD30" s="10">
        <f t="shared" si="24"/>
        <v>0</v>
      </c>
      <c r="BE30" s="10">
        <f t="shared" si="62"/>
        <v>0</v>
      </c>
      <c r="BF30" s="10">
        <f t="shared" si="25"/>
        <v>0</v>
      </c>
      <c r="BG30" s="98">
        <v>0</v>
      </c>
      <c r="BH30" s="10">
        <f t="shared" si="26"/>
        <v>0</v>
      </c>
      <c r="BI30" s="10">
        <f t="shared" si="63"/>
        <v>0</v>
      </c>
      <c r="BJ30" s="10">
        <f t="shared" si="27"/>
        <v>0</v>
      </c>
      <c r="BK30" s="98"/>
      <c r="BL30" s="10"/>
      <c r="BM30" s="10"/>
      <c r="BN30" s="10"/>
      <c r="BO30" s="98"/>
      <c r="BP30" s="10"/>
      <c r="BQ30" s="10"/>
      <c r="BR30" s="10"/>
      <c r="BS30" s="98"/>
      <c r="BT30" s="10"/>
      <c r="BU30" s="10"/>
      <c r="BV30" s="10"/>
      <c r="BW30" s="10">
        <f t="shared" si="64"/>
        <v>5989.0999999999995</v>
      </c>
      <c r="BX30" s="10">
        <f t="shared" si="28"/>
        <v>13.312335654636346</v>
      </c>
      <c r="BY30" s="10">
        <f t="shared" si="65"/>
        <v>93176.574999999997</v>
      </c>
      <c r="BZ30" s="10">
        <f t="shared" si="29"/>
        <v>9.7501067538853974</v>
      </c>
      <c r="CA30" s="98"/>
      <c r="CB30" s="10">
        <f t="shared" si="30"/>
        <v>0</v>
      </c>
      <c r="CC30" s="10"/>
      <c r="CD30" s="10">
        <f t="shared" si="31"/>
        <v>0</v>
      </c>
      <c r="CE30" s="98"/>
      <c r="CF30" s="10">
        <f t="shared" si="32"/>
        <v>0</v>
      </c>
      <c r="CG30" s="10">
        <f t="shared" si="66"/>
        <v>0</v>
      </c>
      <c r="CH30" s="10">
        <f t="shared" si="33"/>
        <v>0</v>
      </c>
      <c r="CI30" s="98"/>
      <c r="CJ30" s="10">
        <f t="shared" si="34"/>
        <v>0</v>
      </c>
      <c r="CK30" s="10">
        <f t="shared" si="67"/>
        <v>55065.141000000003</v>
      </c>
      <c r="CL30" s="10">
        <f t="shared" si="35"/>
        <v>5.7620813296448352</v>
      </c>
      <c r="CM30" s="98"/>
      <c r="CN30" s="10">
        <f t="shared" si="36"/>
        <v>0</v>
      </c>
      <c r="CO30" s="10">
        <f t="shared" si="68"/>
        <v>0</v>
      </c>
      <c r="CP30" s="10">
        <f t="shared" si="37"/>
        <v>0</v>
      </c>
      <c r="CQ30" s="98"/>
      <c r="CR30" s="10">
        <f t="shared" si="38"/>
        <v>0</v>
      </c>
      <c r="CS30" s="10">
        <f t="shared" si="69"/>
        <v>0</v>
      </c>
      <c r="CT30" s="10">
        <f t="shared" si="39"/>
        <v>0</v>
      </c>
      <c r="CU30" s="98"/>
      <c r="CV30" s="10">
        <f t="shared" si="40"/>
        <v>0</v>
      </c>
      <c r="CW30" s="10">
        <f t="shared" si="70"/>
        <v>0</v>
      </c>
      <c r="CX30" s="10">
        <f t="shared" si="41"/>
        <v>0</v>
      </c>
      <c r="CY30" s="98"/>
      <c r="CZ30" s="10">
        <f t="shared" si="42"/>
        <v>0</v>
      </c>
      <c r="DA30" s="10">
        <f t="shared" si="71"/>
        <v>102750</v>
      </c>
      <c r="DB30" s="10">
        <f t="shared" si="43"/>
        <v>0.10751881242272798</v>
      </c>
      <c r="DC30" s="98"/>
      <c r="DD30" s="10">
        <f t="shared" si="44"/>
        <v>0</v>
      </c>
      <c r="DE30" s="10">
        <f t="shared" si="72"/>
        <v>0</v>
      </c>
      <c r="DF30" s="10">
        <f t="shared" si="45"/>
        <v>0</v>
      </c>
      <c r="DG30" s="98"/>
      <c r="DH30" s="10"/>
      <c r="DI30" s="10"/>
      <c r="DJ30" s="10"/>
      <c r="DK30" s="10">
        <f t="shared" si="73"/>
        <v>0</v>
      </c>
      <c r="DL30" s="10">
        <f t="shared" si="74"/>
        <v>0</v>
      </c>
      <c r="DM30" s="10">
        <f t="shared" si="75"/>
        <v>157815.141</v>
      </c>
      <c r="DN30" s="10">
        <f t="shared" si="46"/>
        <v>16.513962571917634</v>
      </c>
      <c r="DO30" s="98"/>
      <c r="DP30" s="10">
        <f t="shared" si="76"/>
        <v>0</v>
      </c>
      <c r="DQ30" s="10">
        <f t="shared" si="77"/>
        <v>0</v>
      </c>
      <c r="DR30" s="10">
        <f t="shared" si="78"/>
        <v>0</v>
      </c>
      <c r="DS30" s="98"/>
      <c r="DT30" s="15">
        <f t="shared" si="79"/>
        <v>0</v>
      </c>
      <c r="DU30" s="10">
        <f t="shared" si="80"/>
        <v>0</v>
      </c>
      <c r="DV30" s="10">
        <f t="shared" si="81"/>
        <v>0</v>
      </c>
      <c r="DW30" s="98"/>
      <c r="DX30" s="15">
        <f t="shared" si="82"/>
        <v>0</v>
      </c>
      <c r="DY30" s="10">
        <f t="shared" si="83"/>
        <v>0</v>
      </c>
      <c r="DZ30" s="455">
        <f t="shared" si="84"/>
        <v>0</v>
      </c>
      <c r="EA30" s="98">
        <f>156*EA7</f>
        <v>39000</v>
      </c>
      <c r="EB30" s="10">
        <f t="shared" si="85"/>
        <v>86.687664345363658</v>
      </c>
      <c r="EC30" s="10">
        <f t="shared" si="86"/>
        <v>449375</v>
      </c>
      <c r="ED30" s="10">
        <f t="shared" si="87"/>
        <v>47.023130250572635</v>
      </c>
      <c r="EE30" s="10">
        <f t="shared" si="47"/>
        <v>39000</v>
      </c>
      <c r="EF30" s="10">
        <f t="shared" si="88"/>
        <v>86.687664345363658</v>
      </c>
      <c r="EG30" s="10">
        <f t="shared" si="89"/>
        <v>449375</v>
      </c>
      <c r="EH30" s="10">
        <f t="shared" si="90"/>
        <v>47.023130250572635</v>
      </c>
      <c r="EI30" s="10"/>
      <c r="EJ30" s="89">
        <f t="shared" si="91"/>
        <v>0</v>
      </c>
      <c r="EK30" s="10">
        <f t="shared" si="92"/>
        <v>0</v>
      </c>
      <c r="EL30" s="89">
        <f t="shared" si="93"/>
        <v>0</v>
      </c>
      <c r="EM30" s="10"/>
      <c r="EN30" s="89">
        <f t="shared" si="94"/>
        <v>0</v>
      </c>
      <c r="EO30" s="10">
        <f t="shared" si="95"/>
        <v>0</v>
      </c>
      <c r="EP30" s="89">
        <f t="shared" si="96"/>
        <v>0</v>
      </c>
      <c r="EQ30" s="89"/>
      <c r="ER30" s="89">
        <f t="shared" si="97"/>
        <v>0</v>
      </c>
      <c r="ES30" s="10">
        <f t="shared" si="98"/>
        <v>0</v>
      </c>
      <c r="ET30" s="89">
        <f t="shared" si="99"/>
        <v>0</v>
      </c>
      <c r="EU30" s="89"/>
      <c r="EV30" s="10">
        <f t="shared" si="100"/>
        <v>0</v>
      </c>
      <c r="EW30" s="10">
        <f t="shared" si="101"/>
        <v>0</v>
      </c>
      <c r="EX30" s="10">
        <f t="shared" si="102"/>
        <v>0</v>
      </c>
      <c r="EY30" s="89"/>
      <c r="EZ30" s="89">
        <f t="shared" si="103"/>
        <v>0</v>
      </c>
      <c r="FA30" s="10">
        <f t="shared" si="104"/>
        <v>0</v>
      </c>
      <c r="FB30" s="89">
        <f t="shared" si="105"/>
        <v>0</v>
      </c>
      <c r="FC30" s="89"/>
      <c r="FD30" s="89">
        <f t="shared" si="106"/>
        <v>0</v>
      </c>
      <c r="FE30" s="10">
        <f t="shared" si="107"/>
        <v>0</v>
      </c>
      <c r="FF30" s="89">
        <f t="shared" si="108"/>
        <v>0</v>
      </c>
      <c r="FG30" s="89"/>
      <c r="FH30" s="89">
        <f t="shared" si="109"/>
        <v>0</v>
      </c>
      <c r="FI30" s="10">
        <f t="shared" si="110"/>
        <v>0</v>
      </c>
      <c r="FJ30" s="89">
        <f t="shared" si="111"/>
        <v>0</v>
      </c>
      <c r="FK30" s="89">
        <f t="shared" si="112"/>
        <v>0</v>
      </c>
      <c r="FL30" s="89">
        <f t="shared" si="113"/>
        <v>0</v>
      </c>
      <c r="FM30" s="10">
        <f t="shared" si="114"/>
        <v>0</v>
      </c>
      <c r="FN30" s="89">
        <f t="shared" si="115"/>
        <v>0</v>
      </c>
      <c r="FO30" s="89"/>
      <c r="FP30" s="89">
        <f t="shared" si="116"/>
        <v>0</v>
      </c>
      <c r="FQ30" s="10">
        <f t="shared" si="117"/>
        <v>300</v>
      </c>
      <c r="FR30" s="89">
        <f t="shared" si="118"/>
        <v>3.1392353992037367E-2</v>
      </c>
      <c r="FS30" s="89"/>
      <c r="FT30" s="89">
        <f t="shared" si="119"/>
        <v>0</v>
      </c>
      <c r="FU30" s="10">
        <f t="shared" si="120"/>
        <v>254980</v>
      </c>
      <c r="FV30" s="89">
        <f t="shared" si="121"/>
        <v>26.68140806963229</v>
      </c>
      <c r="FW30" s="89">
        <f t="shared" si="122"/>
        <v>44989.1</v>
      </c>
      <c r="FX30" s="10">
        <f t="shared" si="123"/>
        <v>955646.71600000001</v>
      </c>
      <c r="FY30" s="10">
        <f t="shared" si="48"/>
        <v>0.98861933328938412</v>
      </c>
      <c r="FZ30" s="10">
        <f t="shared" si="49"/>
        <v>1.0883168992911938</v>
      </c>
      <c r="GA30" s="6"/>
      <c r="GB30" s="456">
        <f t="shared" si="124"/>
        <v>0</v>
      </c>
      <c r="GC30" s="456">
        <f>(SUM($GA$10:GA30))/(SUM($EE$10:EE30))</f>
        <v>0</v>
      </c>
      <c r="GD30" s="3" t="s">
        <v>307</v>
      </c>
    </row>
    <row r="31" spans="1:191">
      <c r="A31" s="16">
        <f>+Chem!A31</f>
        <v>45860</v>
      </c>
      <c r="B31" s="6" t="str">
        <f>+Chem!B31</f>
        <v>Facial</v>
      </c>
      <c r="C31" s="16" t="str">
        <f>+Chem!C31</f>
        <v>12/13</v>
      </c>
      <c r="D31" s="8">
        <f>+Chem!D31</f>
        <v>46.715999999999994</v>
      </c>
      <c r="E31" s="7">
        <f>+Chem!E31</f>
        <v>44.314</v>
      </c>
      <c r="F31" s="7">
        <f t="shared" si="125"/>
        <v>922.40999999999985</v>
      </c>
      <c r="G31" s="99"/>
      <c r="H31" s="89">
        <f t="shared" si="0"/>
        <v>0</v>
      </c>
      <c r="I31" s="8">
        <f t="shared" si="50"/>
        <v>0</v>
      </c>
      <c r="J31" s="89">
        <f t="shared" si="1"/>
        <v>0</v>
      </c>
      <c r="K31" s="99"/>
      <c r="L31" s="89">
        <f t="shared" si="2"/>
        <v>0</v>
      </c>
      <c r="M31" s="89">
        <f t="shared" si="51"/>
        <v>0</v>
      </c>
      <c r="N31" s="89">
        <f t="shared" si="3"/>
        <v>0</v>
      </c>
      <c r="O31" s="99"/>
      <c r="P31" s="89">
        <f t="shared" si="4"/>
        <v>0</v>
      </c>
      <c r="Q31" s="89">
        <f t="shared" si="52"/>
        <v>0</v>
      </c>
      <c r="R31" s="89">
        <f t="shared" si="5"/>
        <v>0</v>
      </c>
      <c r="S31" s="99"/>
      <c r="T31" s="89">
        <f t="shared" si="6"/>
        <v>0</v>
      </c>
      <c r="U31" s="89">
        <f t="shared" si="53"/>
        <v>0</v>
      </c>
      <c r="V31" s="89">
        <f t="shared" si="7"/>
        <v>0</v>
      </c>
      <c r="W31" s="99"/>
      <c r="X31" s="89">
        <f t="shared" si="8"/>
        <v>0</v>
      </c>
      <c r="Y31" s="89">
        <f t="shared" si="54"/>
        <v>0</v>
      </c>
      <c r="Z31" s="89">
        <f t="shared" si="9"/>
        <v>0</v>
      </c>
      <c r="AA31" s="99">
        <f>27.5*AA7</f>
        <v>6334.625</v>
      </c>
      <c r="AB31" s="89">
        <f t="shared" si="10"/>
        <v>13.312335654636346</v>
      </c>
      <c r="AC31" s="89">
        <f t="shared" si="55"/>
        <v>99511.2</v>
      </c>
      <c r="AD31" s="89">
        <f t="shared" si="11"/>
        <v>9.9190681085390846</v>
      </c>
      <c r="AE31" s="99"/>
      <c r="AF31" s="89">
        <f t="shared" si="12"/>
        <v>0</v>
      </c>
      <c r="AG31" s="89">
        <f t="shared" si="56"/>
        <v>0</v>
      </c>
      <c r="AH31" s="89">
        <f t="shared" si="13"/>
        <v>0</v>
      </c>
      <c r="AI31" s="99"/>
      <c r="AJ31" s="89">
        <f t="shared" si="14"/>
        <v>0</v>
      </c>
      <c r="AK31" s="89">
        <f t="shared" si="57"/>
        <v>0</v>
      </c>
      <c r="AL31" s="89">
        <f t="shared" si="15"/>
        <v>0</v>
      </c>
      <c r="AM31" s="99"/>
      <c r="AN31" s="89">
        <f t="shared" si="16"/>
        <v>0</v>
      </c>
      <c r="AO31" s="89">
        <f t="shared" si="58"/>
        <v>0</v>
      </c>
      <c r="AP31" s="89">
        <f t="shared" si="17"/>
        <v>0</v>
      </c>
      <c r="AQ31" s="99"/>
      <c r="AR31" s="89">
        <f t="shared" si="18"/>
        <v>0</v>
      </c>
      <c r="AS31" s="89">
        <f t="shared" si="59"/>
        <v>0</v>
      </c>
      <c r="AT31" s="89">
        <f t="shared" si="19"/>
        <v>0</v>
      </c>
      <c r="AU31" s="250"/>
      <c r="AV31" s="89">
        <f t="shared" si="20"/>
        <v>0</v>
      </c>
      <c r="AW31" s="8">
        <f t="shared" si="60"/>
        <v>0</v>
      </c>
      <c r="AX31" s="89">
        <f t="shared" si="21"/>
        <v>0</v>
      </c>
      <c r="AY31" s="99"/>
      <c r="AZ31" s="89">
        <f t="shared" si="22"/>
        <v>0</v>
      </c>
      <c r="BA31" s="89">
        <f t="shared" si="61"/>
        <v>0</v>
      </c>
      <c r="BB31" s="89">
        <f t="shared" si="23"/>
        <v>0</v>
      </c>
      <c r="BC31" s="99"/>
      <c r="BD31" s="89">
        <f t="shared" si="24"/>
        <v>0</v>
      </c>
      <c r="BE31" s="89">
        <f t="shared" si="62"/>
        <v>0</v>
      </c>
      <c r="BF31" s="89">
        <f t="shared" si="25"/>
        <v>0</v>
      </c>
      <c r="BG31" s="99"/>
      <c r="BH31" s="89">
        <f t="shared" si="26"/>
        <v>0</v>
      </c>
      <c r="BI31" s="89">
        <f t="shared" si="63"/>
        <v>0</v>
      </c>
      <c r="BJ31" s="89">
        <f t="shared" si="27"/>
        <v>0</v>
      </c>
      <c r="BK31" s="99"/>
      <c r="BL31" s="89"/>
      <c r="BM31" s="89"/>
      <c r="BN31" s="89"/>
      <c r="BO31" s="99"/>
      <c r="BP31" s="89"/>
      <c r="BQ31" s="89"/>
      <c r="BR31" s="89"/>
      <c r="BS31" s="99"/>
      <c r="BT31" s="89"/>
      <c r="BU31" s="89"/>
      <c r="BV31" s="89"/>
      <c r="BW31" s="89">
        <f t="shared" si="64"/>
        <v>6334.625</v>
      </c>
      <c r="BX31" s="89">
        <f t="shared" si="28"/>
        <v>13.312335654636346</v>
      </c>
      <c r="BY31" s="89">
        <f t="shared" si="65"/>
        <v>99511.2</v>
      </c>
      <c r="BZ31" s="89">
        <f t="shared" si="29"/>
        <v>9.9190681085390846</v>
      </c>
      <c r="CA31" s="99"/>
      <c r="CB31" s="89">
        <f t="shared" si="30"/>
        <v>0</v>
      </c>
      <c r="CC31" s="89"/>
      <c r="CD31" s="89">
        <f t="shared" si="31"/>
        <v>0</v>
      </c>
      <c r="CE31" s="99"/>
      <c r="CF31" s="89">
        <f t="shared" si="32"/>
        <v>0</v>
      </c>
      <c r="CG31" s="89">
        <f t="shared" si="66"/>
        <v>0</v>
      </c>
      <c r="CH31" s="89">
        <f t="shared" si="33"/>
        <v>0</v>
      </c>
      <c r="CI31" s="99"/>
      <c r="CJ31" s="89">
        <f t="shared" si="34"/>
        <v>0</v>
      </c>
      <c r="CK31" s="89">
        <f t="shared" si="67"/>
        <v>55065.141000000003</v>
      </c>
      <c r="CL31" s="89">
        <f t="shared" si="35"/>
        <v>5.4887779866518347</v>
      </c>
      <c r="CM31" s="99"/>
      <c r="CN31" s="89">
        <f t="shared" si="36"/>
        <v>0</v>
      </c>
      <c r="CO31" s="89">
        <f t="shared" si="68"/>
        <v>0</v>
      </c>
      <c r="CP31" s="89">
        <f t="shared" si="37"/>
        <v>0</v>
      </c>
      <c r="CQ31" s="99"/>
      <c r="CR31" s="89">
        <f t="shared" si="38"/>
        <v>0</v>
      </c>
      <c r="CS31" s="89">
        <f t="shared" si="69"/>
        <v>0</v>
      </c>
      <c r="CT31" s="89">
        <f t="shared" si="39"/>
        <v>0</v>
      </c>
      <c r="CU31" s="99"/>
      <c r="CV31" s="89">
        <f t="shared" si="40"/>
        <v>0</v>
      </c>
      <c r="CW31" s="89">
        <f t="shared" si="70"/>
        <v>0</v>
      </c>
      <c r="CX31" s="89">
        <f t="shared" si="41"/>
        <v>0</v>
      </c>
      <c r="CY31" s="99"/>
      <c r="CZ31" s="89">
        <f t="shared" si="42"/>
        <v>0</v>
      </c>
      <c r="DA31" s="89">
        <f t="shared" si="71"/>
        <v>102750</v>
      </c>
      <c r="DB31" s="89">
        <f t="shared" si="43"/>
        <v>0.10241904912737371</v>
      </c>
      <c r="DC31" s="99"/>
      <c r="DD31" s="89">
        <f t="shared" si="44"/>
        <v>0</v>
      </c>
      <c r="DE31" s="89">
        <f t="shared" si="72"/>
        <v>0</v>
      </c>
      <c r="DF31" s="89">
        <f t="shared" si="45"/>
        <v>0</v>
      </c>
      <c r="DG31" s="99"/>
      <c r="DH31" s="89"/>
      <c r="DI31" s="89"/>
      <c r="DJ31" s="89"/>
      <c r="DK31" s="89">
        <f t="shared" si="73"/>
        <v>0</v>
      </c>
      <c r="DL31" s="89">
        <f t="shared" si="74"/>
        <v>0</v>
      </c>
      <c r="DM31" s="89">
        <f t="shared" si="75"/>
        <v>157815.141</v>
      </c>
      <c r="DN31" s="89">
        <f t="shared" si="46"/>
        <v>15.730682899389206</v>
      </c>
      <c r="DO31" s="99"/>
      <c r="DP31" s="89">
        <f t="shared" si="76"/>
        <v>0</v>
      </c>
      <c r="DQ31" s="89">
        <f t="shared" si="77"/>
        <v>0</v>
      </c>
      <c r="DR31" s="89">
        <f t="shared" si="78"/>
        <v>0</v>
      </c>
      <c r="DS31" s="99"/>
      <c r="DT31" s="90">
        <f t="shared" si="79"/>
        <v>0</v>
      </c>
      <c r="DU31" s="89">
        <f t="shared" si="80"/>
        <v>0</v>
      </c>
      <c r="DV31" s="89">
        <f t="shared" si="81"/>
        <v>0</v>
      </c>
      <c r="DW31" s="99"/>
      <c r="DX31" s="90">
        <f t="shared" si="82"/>
        <v>0</v>
      </c>
      <c r="DY31" s="89">
        <f t="shared" si="83"/>
        <v>0</v>
      </c>
      <c r="DZ31" s="457">
        <f t="shared" si="84"/>
        <v>0</v>
      </c>
      <c r="EA31" s="99">
        <f>165*EA7</f>
        <v>41250</v>
      </c>
      <c r="EB31" s="89">
        <f t="shared" si="85"/>
        <v>86.687664345363658</v>
      </c>
      <c r="EC31" s="89">
        <f t="shared" si="86"/>
        <v>490625</v>
      </c>
      <c r="ED31" s="89">
        <f t="shared" si="87"/>
        <v>48.904472971404111</v>
      </c>
      <c r="EE31" s="89">
        <f t="shared" si="47"/>
        <v>41250</v>
      </c>
      <c r="EF31" s="89">
        <f t="shared" si="88"/>
        <v>86.687664345363658</v>
      </c>
      <c r="EG31" s="89">
        <f t="shared" si="89"/>
        <v>490625</v>
      </c>
      <c r="EH31" s="89">
        <f t="shared" si="90"/>
        <v>48.904472971404111</v>
      </c>
      <c r="EI31" s="89"/>
      <c r="EJ31" s="89">
        <f t="shared" si="91"/>
        <v>0</v>
      </c>
      <c r="EK31" s="89">
        <f t="shared" si="92"/>
        <v>0</v>
      </c>
      <c r="EL31" s="89">
        <f t="shared" si="93"/>
        <v>0</v>
      </c>
      <c r="EM31" s="89"/>
      <c r="EN31" s="89">
        <f t="shared" si="94"/>
        <v>0</v>
      </c>
      <c r="EO31" s="89">
        <f t="shared" si="95"/>
        <v>0</v>
      </c>
      <c r="EP31" s="89">
        <f t="shared" si="96"/>
        <v>0</v>
      </c>
      <c r="EQ31" s="89"/>
      <c r="ER31" s="89">
        <f t="shared" si="97"/>
        <v>0</v>
      </c>
      <c r="ES31" s="89">
        <f t="shared" si="98"/>
        <v>0</v>
      </c>
      <c r="ET31" s="89">
        <f t="shared" si="99"/>
        <v>0</v>
      </c>
      <c r="EU31" s="89"/>
      <c r="EV31" s="89">
        <f t="shared" si="100"/>
        <v>0</v>
      </c>
      <c r="EW31" s="89">
        <f t="shared" si="101"/>
        <v>0</v>
      </c>
      <c r="EX31" s="89">
        <f t="shared" si="102"/>
        <v>0</v>
      </c>
      <c r="EY31" s="89"/>
      <c r="EZ31" s="89">
        <f t="shared" si="103"/>
        <v>0</v>
      </c>
      <c r="FA31" s="89">
        <f t="shared" si="104"/>
        <v>0</v>
      </c>
      <c r="FB31" s="89">
        <f t="shared" si="105"/>
        <v>0</v>
      </c>
      <c r="FC31" s="89"/>
      <c r="FD31" s="89">
        <f t="shared" si="106"/>
        <v>0</v>
      </c>
      <c r="FE31" s="89">
        <f t="shared" si="107"/>
        <v>0</v>
      </c>
      <c r="FF31" s="89">
        <f t="shared" si="108"/>
        <v>0</v>
      </c>
      <c r="FG31" s="89"/>
      <c r="FH31" s="89">
        <f t="shared" si="109"/>
        <v>0</v>
      </c>
      <c r="FI31" s="89">
        <f t="shared" si="110"/>
        <v>0</v>
      </c>
      <c r="FJ31" s="89">
        <f t="shared" si="111"/>
        <v>0</v>
      </c>
      <c r="FK31" s="89">
        <f t="shared" si="112"/>
        <v>0</v>
      </c>
      <c r="FL31" s="89">
        <f t="shared" si="113"/>
        <v>0</v>
      </c>
      <c r="FM31" s="89">
        <f t="shared" si="114"/>
        <v>0</v>
      </c>
      <c r="FN31" s="89">
        <f t="shared" si="115"/>
        <v>0</v>
      </c>
      <c r="FO31" s="89"/>
      <c r="FP31" s="89">
        <f t="shared" si="116"/>
        <v>0</v>
      </c>
      <c r="FQ31" s="89">
        <f t="shared" si="117"/>
        <v>300</v>
      </c>
      <c r="FR31" s="89">
        <f t="shared" si="118"/>
        <v>2.9903372007992323E-2</v>
      </c>
      <c r="FS31" s="89"/>
      <c r="FT31" s="89">
        <f t="shared" si="119"/>
        <v>0</v>
      </c>
      <c r="FU31" s="89">
        <f t="shared" si="120"/>
        <v>254980</v>
      </c>
      <c r="FV31" s="89">
        <f t="shared" si="121"/>
        <v>25.415872648659608</v>
      </c>
      <c r="FW31" s="89">
        <f t="shared" si="122"/>
        <v>47584.625</v>
      </c>
      <c r="FX31" s="89">
        <f t="shared" si="123"/>
        <v>1003231.341</v>
      </c>
      <c r="FY31" s="89">
        <f t="shared" si="48"/>
        <v>1.0738056821771902</v>
      </c>
      <c r="FZ31" s="89">
        <f t="shared" si="49"/>
        <v>1.0876197580251734</v>
      </c>
      <c r="GA31" s="6"/>
      <c r="GB31" s="456">
        <f t="shared" si="124"/>
        <v>0</v>
      </c>
      <c r="GC31" s="456">
        <f>(SUM($GA$10:GA31))/(SUM($EE$10:EE31))</f>
        <v>0</v>
      </c>
      <c r="GD31" s="3" t="s">
        <v>307</v>
      </c>
    </row>
    <row r="32" spans="1:191">
      <c r="A32" s="16">
        <f>+Chem!A32</f>
        <v>45861</v>
      </c>
      <c r="B32" s="6" t="str">
        <f>+Chem!B32</f>
        <v>Facial</v>
      </c>
      <c r="C32" s="16" t="str">
        <f>+Chem!C32</f>
        <v>13/12/12,5</v>
      </c>
      <c r="D32" s="8">
        <f>+Chem!D32</f>
        <v>45.536000000000001</v>
      </c>
      <c r="E32" s="7">
        <f>+Chem!E32</f>
        <v>44.328000000000003</v>
      </c>
      <c r="F32" s="7">
        <f t="shared" si="125"/>
        <v>966.73799999999983</v>
      </c>
      <c r="G32" s="99"/>
      <c r="H32" s="89">
        <f t="shared" si="0"/>
        <v>0</v>
      </c>
      <c r="I32" s="8">
        <f t="shared" si="50"/>
        <v>0</v>
      </c>
      <c r="J32" s="89">
        <f t="shared" si="1"/>
        <v>0</v>
      </c>
      <c r="K32" s="99"/>
      <c r="L32" s="89">
        <f t="shared" si="2"/>
        <v>0</v>
      </c>
      <c r="M32" s="89">
        <f t="shared" si="51"/>
        <v>0</v>
      </c>
      <c r="N32" s="89">
        <f t="shared" si="3"/>
        <v>0</v>
      </c>
      <c r="O32" s="99"/>
      <c r="P32" s="89">
        <f t="shared" si="4"/>
        <v>0</v>
      </c>
      <c r="Q32" s="89">
        <f t="shared" si="52"/>
        <v>0</v>
      </c>
      <c r="R32" s="89">
        <f t="shared" si="5"/>
        <v>0</v>
      </c>
      <c r="S32" s="99"/>
      <c r="T32" s="89">
        <f t="shared" si="6"/>
        <v>0</v>
      </c>
      <c r="U32" s="89">
        <f t="shared" si="53"/>
        <v>0</v>
      </c>
      <c r="V32" s="89">
        <f t="shared" si="7"/>
        <v>0</v>
      </c>
      <c r="W32" s="99"/>
      <c r="X32" s="89">
        <f t="shared" si="8"/>
        <v>0</v>
      </c>
      <c r="Y32" s="89">
        <f t="shared" si="54"/>
        <v>0</v>
      </c>
      <c r="Z32" s="89">
        <f t="shared" si="9"/>
        <v>0</v>
      </c>
      <c r="AA32" s="99">
        <f>25.5*AA7</f>
        <v>5873.9250000000002</v>
      </c>
      <c r="AB32" s="89">
        <f t="shared" si="10"/>
        <v>12.735093555025943</v>
      </c>
      <c r="AC32" s="89">
        <f t="shared" si="55"/>
        <v>105385.125</v>
      </c>
      <c r="AD32" s="89">
        <f t="shared" si="11"/>
        <v>10.042845203580461</v>
      </c>
      <c r="AE32" s="99"/>
      <c r="AF32" s="89">
        <f t="shared" si="12"/>
        <v>0</v>
      </c>
      <c r="AG32" s="89">
        <f t="shared" si="56"/>
        <v>0</v>
      </c>
      <c r="AH32" s="89">
        <f t="shared" si="13"/>
        <v>0</v>
      </c>
      <c r="AI32" s="99"/>
      <c r="AJ32" s="89">
        <f t="shared" si="14"/>
        <v>0</v>
      </c>
      <c r="AK32" s="89">
        <f t="shared" si="57"/>
        <v>0</v>
      </c>
      <c r="AL32" s="89">
        <f t="shared" si="15"/>
        <v>0</v>
      </c>
      <c r="AM32" s="99"/>
      <c r="AN32" s="89">
        <f t="shared" si="16"/>
        <v>0</v>
      </c>
      <c r="AO32" s="89">
        <f t="shared" si="58"/>
        <v>0</v>
      </c>
      <c r="AP32" s="89">
        <f t="shared" si="17"/>
        <v>0</v>
      </c>
      <c r="AQ32" s="99"/>
      <c r="AR32" s="89">
        <f t="shared" si="18"/>
        <v>0</v>
      </c>
      <c r="AS32" s="89">
        <f t="shared" si="59"/>
        <v>0</v>
      </c>
      <c r="AT32" s="89">
        <f t="shared" si="19"/>
        <v>0</v>
      </c>
      <c r="AU32" s="250"/>
      <c r="AV32" s="89">
        <f t="shared" si="20"/>
        <v>0</v>
      </c>
      <c r="AW32" s="8">
        <f t="shared" si="60"/>
        <v>0</v>
      </c>
      <c r="AX32" s="89">
        <f t="shared" si="21"/>
        <v>0</v>
      </c>
      <c r="AY32" s="99"/>
      <c r="AZ32" s="89">
        <f t="shared" si="22"/>
        <v>0</v>
      </c>
      <c r="BA32" s="89">
        <f t="shared" si="61"/>
        <v>0</v>
      </c>
      <c r="BB32" s="89">
        <f t="shared" si="23"/>
        <v>0</v>
      </c>
      <c r="BC32" s="99"/>
      <c r="BD32" s="89">
        <f t="shared" si="24"/>
        <v>0</v>
      </c>
      <c r="BE32" s="89">
        <f t="shared" si="62"/>
        <v>0</v>
      </c>
      <c r="BF32" s="89">
        <f t="shared" si="25"/>
        <v>0</v>
      </c>
      <c r="BG32" s="99"/>
      <c r="BH32" s="89">
        <f t="shared" si="26"/>
        <v>0</v>
      </c>
      <c r="BI32" s="89">
        <f t="shared" si="63"/>
        <v>0</v>
      </c>
      <c r="BJ32" s="89">
        <f t="shared" si="27"/>
        <v>0</v>
      </c>
      <c r="BK32" s="99"/>
      <c r="BL32" s="89"/>
      <c r="BM32" s="89"/>
      <c r="BN32" s="89"/>
      <c r="BO32" s="99"/>
      <c r="BP32" s="89"/>
      <c r="BQ32" s="89"/>
      <c r="BR32" s="89"/>
      <c r="BS32" s="99"/>
      <c r="BT32" s="89"/>
      <c r="BU32" s="89"/>
      <c r="BV32" s="89"/>
      <c r="BW32" s="89">
        <f t="shared" si="64"/>
        <v>5873.9250000000002</v>
      </c>
      <c r="BX32" s="89">
        <f t="shared" si="28"/>
        <v>12.735093555025943</v>
      </c>
      <c r="BY32" s="89">
        <f t="shared" si="65"/>
        <v>105385.125</v>
      </c>
      <c r="BZ32" s="89">
        <f t="shared" si="29"/>
        <v>10.042845203580461</v>
      </c>
      <c r="CA32" s="99"/>
      <c r="CB32" s="89">
        <f t="shared" si="30"/>
        <v>0</v>
      </c>
      <c r="CC32" s="89"/>
      <c r="CD32" s="89">
        <f t="shared" si="31"/>
        <v>0</v>
      </c>
      <c r="CE32" s="99"/>
      <c r="CF32" s="89">
        <f t="shared" si="32"/>
        <v>0</v>
      </c>
      <c r="CG32" s="89">
        <f t="shared" si="66"/>
        <v>0</v>
      </c>
      <c r="CH32" s="89">
        <f t="shared" si="33"/>
        <v>0</v>
      </c>
      <c r="CI32" s="99"/>
      <c r="CJ32" s="89">
        <f t="shared" si="34"/>
        <v>0</v>
      </c>
      <c r="CK32" s="89">
        <f t="shared" si="67"/>
        <v>55065.141000000003</v>
      </c>
      <c r="CL32" s="89">
        <f t="shared" si="35"/>
        <v>5.2475212908494617</v>
      </c>
      <c r="CM32" s="99"/>
      <c r="CN32" s="89">
        <f t="shared" si="36"/>
        <v>0</v>
      </c>
      <c r="CO32" s="89">
        <f t="shared" si="68"/>
        <v>0</v>
      </c>
      <c r="CP32" s="89">
        <f t="shared" si="37"/>
        <v>0</v>
      </c>
      <c r="CQ32" s="99"/>
      <c r="CR32" s="89">
        <f t="shared" si="38"/>
        <v>0</v>
      </c>
      <c r="CS32" s="89">
        <f t="shared" si="69"/>
        <v>0</v>
      </c>
      <c r="CT32" s="89">
        <f t="shared" si="39"/>
        <v>0</v>
      </c>
      <c r="CU32" s="99"/>
      <c r="CV32" s="89">
        <f t="shared" si="40"/>
        <v>0</v>
      </c>
      <c r="CW32" s="89">
        <f t="shared" si="70"/>
        <v>0</v>
      </c>
      <c r="CX32" s="89">
        <f t="shared" si="41"/>
        <v>0</v>
      </c>
      <c r="CY32" s="99"/>
      <c r="CZ32" s="89">
        <f t="shared" si="42"/>
        <v>0</v>
      </c>
      <c r="DA32" s="89">
        <f t="shared" si="71"/>
        <v>102750</v>
      </c>
      <c r="DB32" s="89">
        <f t="shared" si="43"/>
        <v>9.7917267229876356E-2</v>
      </c>
      <c r="DC32" s="99"/>
      <c r="DD32" s="89">
        <f t="shared" si="44"/>
        <v>0</v>
      </c>
      <c r="DE32" s="89">
        <f t="shared" si="72"/>
        <v>0</v>
      </c>
      <c r="DF32" s="89">
        <f t="shared" si="45"/>
        <v>0</v>
      </c>
      <c r="DG32" s="99"/>
      <c r="DH32" s="89"/>
      <c r="DI32" s="89"/>
      <c r="DJ32" s="89"/>
      <c r="DK32" s="89">
        <f t="shared" si="73"/>
        <v>0</v>
      </c>
      <c r="DL32" s="89">
        <f t="shared" si="74"/>
        <v>0</v>
      </c>
      <c r="DM32" s="89">
        <f t="shared" si="75"/>
        <v>157815.141</v>
      </c>
      <c r="DN32" s="89">
        <f t="shared" si="46"/>
        <v>15.039248013837097</v>
      </c>
      <c r="DO32" s="99"/>
      <c r="DP32" s="89">
        <f t="shared" si="76"/>
        <v>0</v>
      </c>
      <c r="DQ32" s="89">
        <f t="shared" si="77"/>
        <v>0</v>
      </c>
      <c r="DR32" s="89">
        <f t="shared" si="78"/>
        <v>0</v>
      </c>
      <c r="DS32" s="99"/>
      <c r="DT32" s="90">
        <f t="shared" si="79"/>
        <v>0</v>
      </c>
      <c r="DU32" s="89">
        <f t="shared" si="80"/>
        <v>0</v>
      </c>
      <c r="DV32" s="89">
        <f t="shared" si="81"/>
        <v>0</v>
      </c>
      <c r="DW32" s="99"/>
      <c r="DX32" s="90">
        <f t="shared" si="82"/>
        <v>0</v>
      </c>
      <c r="DY32" s="89">
        <f t="shared" si="83"/>
        <v>0</v>
      </c>
      <c r="DZ32" s="457">
        <f t="shared" si="84"/>
        <v>0</v>
      </c>
      <c r="EA32" s="99">
        <f>161*EA7</f>
        <v>40250</v>
      </c>
      <c r="EB32" s="89">
        <f t="shared" si="85"/>
        <v>87.264906444974059</v>
      </c>
      <c r="EC32" s="89">
        <f t="shared" si="86"/>
        <v>530875</v>
      </c>
      <c r="ED32" s="89">
        <f t="shared" si="87"/>
        <v>50.590588068769449</v>
      </c>
      <c r="EE32" s="89">
        <f t="shared" si="47"/>
        <v>40250</v>
      </c>
      <c r="EF32" s="89">
        <f t="shared" si="88"/>
        <v>87.264906444974059</v>
      </c>
      <c r="EG32" s="89">
        <f t="shared" si="89"/>
        <v>530875</v>
      </c>
      <c r="EH32" s="89">
        <f t="shared" si="90"/>
        <v>50.590588068769449</v>
      </c>
      <c r="EI32" s="89"/>
      <c r="EJ32" s="89">
        <f t="shared" si="91"/>
        <v>0</v>
      </c>
      <c r="EK32" s="89">
        <f t="shared" si="92"/>
        <v>0</v>
      </c>
      <c r="EL32" s="89">
        <f t="shared" si="93"/>
        <v>0</v>
      </c>
      <c r="EM32" s="89"/>
      <c r="EN32" s="89">
        <f t="shared" si="94"/>
        <v>0</v>
      </c>
      <c r="EO32" s="89">
        <f t="shared" si="95"/>
        <v>0</v>
      </c>
      <c r="EP32" s="89">
        <f t="shared" si="96"/>
        <v>0</v>
      </c>
      <c r="EQ32" s="89"/>
      <c r="ER32" s="89">
        <f t="shared" si="97"/>
        <v>0</v>
      </c>
      <c r="ES32" s="89">
        <f t="shared" si="98"/>
        <v>0</v>
      </c>
      <c r="ET32" s="89">
        <f t="shared" si="99"/>
        <v>0</v>
      </c>
      <c r="EU32" s="89"/>
      <c r="EV32" s="89">
        <f t="shared" si="100"/>
        <v>0</v>
      </c>
      <c r="EW32" s="89">
        <f t="shared" si="101"/>
        <v>0</v>
      </c>
      <c r="EX32" s="89">
        <f t="shared" si="102"/>
        <v>0</v>
      </c>
      <c r="EY32" s="89"/>
      <c r="EZ32" s="89">
        <f t="shared" si="103"/>
        <v>0</v>
      </c>
      <c r="FA32" s="89">
        <f t="shared" si="104"/>
        <v>0</v>
      </c>
      <c r="FB32" s="89">
        <f t="shared" si="105"/>
        <v>0</v>
      </c>
      <c r="FC32" s="89"/>
      <c r="FD32" s="89">
        <f t="shared" si="106"/>
        <v>0</v>
      </c>
      <c r="FE32" s="89">
        <f t="shared" si="107"/>
        <v>0</v>
      </c>
      <c r="FF32" s="89">
        <f t="shared" si="108"/>
        <v>0</v>
      </c>
      <c r="FG32" s="89"/>
      <c r="FH32" s="89">
        <f t="shared" si="109"/>
        <v>0</v>
      </c>
      <c r="FI32" s="89">
        <f t="shared" si="110"/>
        <v>0</v>
      </c>
      <c r="FJ32" s="89">
        <f t="shared" si="111"/>
        <v>0</v>
      </c>
      <c r="FK32" s="89">
        <f t="shared" si="112"/>
        <v>0</v>
      </c>
      <c r="FL32" s="89">
        <f t="shared" si="113"/>
        <v>0</v>
      </c>
      <c r="FM32" s="89">
        <f t="shared" si="114"/>
        <v>0</v>
      </c>
      <c r="FN32" s="89">
        <f t="shared" si="115"/>
        <v>0</v>
      </c>
      <c r="FO32" s="89"/>
      <c r="FP32" s="89">
        <f t="shared" si="116"/>
        <v>0</v>
      </c>
      <c r="FQ32" s="89">
        <f t="shared" si="117"/>
        <v>300</v>
      </c>
      <c r="FR32" s="89">
        <f t="shared" si="118"/>
        <v>2.8588983132810619E-2</v>
      </c>
      <c r="FS32" s="89"/>
      <c r="FT32" s="89">
        <f t="shared" si="119"/>
        <v>0</v>
      </c>
      <c r="FU32" s="89">
        <f t="shared" si="120"/>
        <v>254980</v>
      </c>
      <c r="FV32" s="89">
        <f t="shared" si="121"/>
        <v>24.298729730680172</v>
      </c>
      <c r="FW32" s="89">
        <f>+EE32+DK32+BW32+FO32+FS32</f>
        <v>46123.925000000003</v>
      </c>
      <c r="FX32" s="89">
        <f t="shared" si="123"/>
        <v>1049355.2660000001</v>
      </c>
      <c r="FY32" s="89">
        <f t="shared" si="48"/>
        <v>1.0405144603862118</v>
      </c>
      <c r="FZ32" s="89">
        <f t="shared" si="49"/>
        <v>1.0854598308952377</v>
      </c>
      <c r="GA32" s="6"/>
      <c r="GB32" s="456">
        <f t="shared" si="124"/>
        <v>0</v>
      </c>
      <c r="GC32" s="456">
        <f>(SUM($GA$10:GA32))/(SUM($EE$10:EE32))</f>
        <v>0</v>
      </c>
      <c r="GD32" s="3" t="s">
        <v>307</v>
      </c>
    </row>
    <row r="33" spans="1:186">
      <c r="A33" s="16">
        <f>+Chem!A33</f>
        <v>45862</v>
      </c>
      <c r="B33" s="6" t="str">
        <f>+Chem!B33</f>
        <v>Facial/Toilet</v>
      </c>
      <c r="C33" s="16" t="str">
        <f>+Chem!C33</f>
        <v>12,5/14,5/17</v>
      </c>
      <c r="D33" s="8">
        <f>+Chem!D33</f>
        <v>50.006</v>
      </c>
      <c r="E33" s="7">
        <f>+Chem!E33</f>
        <v>47.076999999999998</v>
      </c>
      <c r="F33" s="7">
        <f t="shared" si="125"/>
        <v>1013.8149999999998</v>
      </c>
      <c r="G33" s="99"/>
      <c r="H33" s="89">
        <f t="shared" si="0"/>
        <v>0</v>
      </c>
      <c r="I33" s="8">
        <f t="shared" si="50"/>
        <v>0</v>
      </c>
      <c r="J33" s="89">
        <f t="shared" si="1"/>
        <v>0</v>
      </c>
      <c r="K33" s="99"/>
      <c r="L33" s="89">
        <f t="shared" si="2"/>
        <v>0</v>
      </c>
      <c r="M33" s="89">
        <f t="shared" si="51"/>
        <v>0</v>
      </c>
      <c r="N33" s="89">
        <f t="shared" si="3"/>
        <v>0</v>
      </c>
      <c r="O33" s="99"/>
      <c r="P33" s="89">
        <f t="shared" si="4"/>
        <v>0</v>
      </c>
      <c r="Q33" s="89">
        <f t="shared" si="52"/>
        <v>0</v>
      </c>
      <c r="R33" s="89">
        <f t="shared" si="5"/>
        <v>0</v>
      </c>
      <c r="S33" s="99"/>
      <c r="T33" s="89">
        <f t="shared" si="6"/>
        <v>0</v>
      </c>
      <c r="U33" s="89">
        <f t="shared" si="53"/>
        <v>0</v>
      </c>
      <c r="V33" s="89">
        <f t="shared" si="7"/>
        <v>0</v>
      </c>
      <c r="W33" s="99"/>
      <c r="X33" s="89">
        <f t="shared" si="8"/>
        <v>0</v>
      </c>
      <c r="Y33" s="89">
        <f t="shared" si="54"/>
        <v>0</v>
      </c>
      <c r="Z33" s="89">
        <f t="shared" si="9"/>
        <v>0</v>
      </c>
      <c r="AA33" s="99"/>
      <c r="AB33" s="89">
        <f t="shared" si="10"/>
        <v>0</v>
      </c>
      <c r="AC33" s="89">
        <f t="shared" si="55"/>
        <v>105385.125</v>
      </c>
      <c r="AD33" s="89">
        <f t="shared" si="11"/>
        <v>9.5875157747155111</v>
      </c>
      <c r="AE33" s="99"/>
      <c r="AF33" s="89">
        <f t="shared" si="12"/>
        <v>0</v>
      </c>
      <c r="AG33" s="89">
        <f t="shared" si="56"/>
        <v>0</v>
      </c>
      <c r="AH33" s="89">
        <f t="shared" si="13"/>
        <v>0</v>
      </c>
      <c r="AI33" s="99"/>
      <c r="AJ33" s="89">
        <f t="shared" si="14"/>
        <v>0</v>
      </c>
      <c r="AK33" s="89">
        <f t="shared" si="57"/>
        <v>0</v>
      </c>
      <c r="AL33" s="89">
        <f t="shared" si="15"/>
        <v>0</v>
      </c>
      <c r="AM33" s="99"/>
      <c r="AN33" s="89">
        <f t="shared" si="16"/>
        <v>0</v>
      </c>
      <c r="AO33" s="89">
        <f t="shared" si="58"/>
        <v>0</v>
      </c>
      <c r="AP33" s="89">
        <f t="shared" si="17"/>
        <v>0</v>
      </c>
      <c r="AQ33" s="99"/>
      <c r="AR33" s="89">
        <f t="shared" si="18"/>
        <v>0</v>
      </c>
      <c r="AS33" s="89">
        <f t="shared" si="59"/>
        <v>0</v>
      </c>
      <c r="AT33" s="89">
        <f t="shared" si="19"/>
        <v>0</v>
      </c>
      <c r="AU33" s="250"/>
      <c r="AV33" s="89">
        <f t="shared" si="20"/>
        <v>0</v>
      </c>
      <c r="AW33" s="8">
        <f t="shared" si="60"/>
        <v>0</v>
      </c>
      <c r="AX33" s="89">
        <f t="shared" si="21"/>
        <v>0</v>
      </c>
      <c r="AY33" s="99"/>
      <c r="AZ33" s="89">
        <f t="shared" si="22"/>
        <v>0</v>
      </c>
      <c r="BA33" s="89">
        <f t="shared" si="61"/>
        <v>0</v>
      </c>
      <c r="BB33" s="89">
        <f t="shared" si="23"/>
        <v>0</v>
      </c>
      <c r="BC33" s="99"/>
      <c r="BD33" s="89">
        <f t="shared" si="24"/>
        <v>0</v>
      </c>
      <c r="BE33" s="89">
        <f t="shared" si="62"/>
        <v>0</v>
      </c>
      <c r="BF33" s="89">
        <f t="shared" si="25"/>
        <v>0</v>
      </c>
      <c r="BG33" s="99"/>
      <c r="BH33" s="89">
        <f t="shared" si="26"/>
        <v>0</v>
      </c>
      <c r="BI33" s="89">
        <f t="shared" si="63"/>
        <v>0</v>
      </c>
      <c r="BJ33" s="89">
        <f t="shared" si="27"/>
        <v>0</v>
      </c>
      <c r="BK33" s="99"/>
      <c r="BL33" s="89"/>
      <c r="BM33" s="89"/>
      <c r="BN33" s="89"/>
      <c r="BO33" s="99"/>
      <c r="BP33" s="89"/>
      <c r="BQ33" s="89"/>
      <c r="BR33" s="89"/>
      <c r="BS33" s="99"/>
      <c r="BT33" s="89"/>
      <c r="BU33" s="89"/>
      <c r="BV33" s="89"/>
      <c r="BW33" s="89">
        <f t="shared" si="64"/>
        <v>0</v>
      </c>
      <c r="BX33" s="89">
        <f t="shared" si="28"/>
        <v>0</v>
      </c>
      <c r="BY33" s="89">
        <f t="shared" si="65"/>
        <v>105385.125</v>
      </c>
      <c r="BZ33" s="89">
        <f t="shared" si="29"/>
        <v>9.5875157747155111</v>
      </c>
      <c r="CA33" s="99"/>
      <c r="CB33" s="89">
        <f t="shared" si="30"/>
        <v>0</v>
      </c>
      <c r="CC33" s="89"/>
      <c r="CD33" s="89">
        <f t="shared" si="31"/>
        <v>0</v>
      </c>
      <c r="CE33" s="99"/>
      <c r="CF33" s="89">
        <f t="shared" si="32"/>
        <v>0</v>
      </c>
      <c r="CG33" s="89">
        <f t="shared" si="66"/>
        <v>0</v>
      </c>
      <c r="CH33" s="89">
        <f t="shared" si="33"/>
        <v>0</v>
      </c>
      <c r="CI33" s="99"/>
      <c r="CJ33" s="89">
        <f t="shared" si="34"/>
        <v>0</v>
      </c>
      <c r="CK33" s="89">
        <f t="shared" si="67"/>
        <v>55065.141000000003</v>
      </c>
      <c r="CL33" s="89">
        <f t="shared" si="35"/>
        <v>5.0096055584166539</v>
      </c>
      <c r="CM33" s="99"/>
      <c r="CN33" s="89">
        <f t="shared" si="36"/>
        <v>0</v>
      </c>
      <c r="CO33" s="89">
        <f t="shared" si="68"/>
        <v>0</v>
      </c>
      <c r="CP33" s="89">
        <f t="shared" si="37"/>
        <v>0</v>
      </c>
      <c r="CQ33" s="99"/>
      <c r="CR33" s="89">
        <f t="shared" si="38"/>
        <v>0</v>
      </c>
      <c r="CS33" s="89">
        <f>CQ33+CS32</f>
        <v>0</v>
      </c>
      <c r="CT33" s="89">
        <f t="shared" si="39"/>
        <v>0</v>
      </c>
      <c r="CU33" s="99"/>
      <c r="CV33" s="89">
        <f t="shared" si="40"/>
        <v>0</v>
      </c>
      <c r="CW33" s="89">
        <f t="shared" si="70"/>
        <v>0</v>
      </c>
      <c r="CX33" s="89">
        <f t="shared" si="41"/>
        <v>0</v>
      </c>
      <c r="CY33" s="99"/>
      <c r="CZ33" s="89">
        <f t="shared" si="42"/>
        <v>0</v>
      </c>
      <c r="DA33" s="89">
        <f t="shared" si="71"/>
        <v>102750</v>
      </c>
      <c r="DB33" s="89">
        <f t="shared" si="43"/>
        <v>9.347782676654022E-2</v>
      </c>
      <c r="DC33" s="99"/>
      <c r="DD33" s="89">
        <f t="shared" si="44"/>
        <v>0</v>
      </c>
      <c r="DE33" s="89">
        <f t="shared" si="72"/>
        <v>0</v>
      </c>
      <c r="DF33" s="89">
        <f t="shared" si="45"/>
        <v>0</v>
      </c>
      <c r="DG33" s="99"/>
      <c r="DH33" s="89"/>
      <c r="DI33" s="89"/>
      <c r="DJ33" s="89"/>
      <c r="DK33" s="89">
        <f t="shared" si="73"/>
        <v>0</v>
      </c>
      <c r="DL33" s="89">
        <f t="shared" si="74"/>
        <v>0</v>
      </c>
      <c r="DM33" s="89">
        <f t="shared" si="75"/>
        <v>157815.141</v>
      </c>
      <c r="DN33" s="89">
        <f t="shared" si="46"/>
        <v>14.357388235070676</v>
      </c>
      <c r="DO33" s="99"/>
      <c r="DP33" s="89">
        <f t="shared" si="76"/>
        <v>0</v>
      </c>
      <c r="DQ33" s="89">
        <f t="shared" si="77"/>
        <v>0</v>
      </c>
      <c r="DR33" s="89">
        <f t="shared" si="78"/>
        <v>0</v>
      </c>
      <c r="DS33" s="99"/>
      <c r="DT33" s="90">
        <f t="shared" si="79"/>
        <v>0</v>
      </c>
      <c r="DU33" s="89">
        <f t="shared" si="80"/>
        <v>0</v>
      </c>
      <c r="DV33" s="89">
        <f t="shared" si="81"/>
        <v>0</v>
      </c>
      <c r="DW33" s="99"/>
      <c r="DX33" s="90">
        <f t="shared" si="82"/>
        <v>0</v>
      </c>
      <c r="DY33" s="89">
        <f t="shared" si="83"/>
        <v>0</v>
      </c>
      <c r="DZ33" s="457">
        <f t="shared" si="84"/>
        <v>0</v>
      </c>
      <c r="EA33" s="99"/>
      <c r="EB33" s="89">
        <f t="shared" si="85"/>
        <v>0</v>
      </c>
      <c r="EC33" s="89">
        <f t="shared" si="86"/>
        <v>530875</v>
      </c>
      <c r="ED33" s="89">
        <f t="shared" si="87"/>
        <v>48.296877162712441</v>
      </c>
      <c r="EE33" s="89">
        <f t="shared" si="47"/>
        <v>0</v>
      </c>
      <c r="EF33" s="89">
        <f t="shared" si="88"/>
        <v>0</v>
      </c>
      <c r="EG33" s="89">
        <f t="shared" si="89"/>
        <v>530875</v>
      </c>
      <c r="EH33" s="89">
        <f t="shared" si="90"/>
        <v>48.296877162712441</v>
      </c>
      <c r="EI33" s="89">
        <v>20430.855736426551</v>
      </c>
      <c r="EJ33" s="89">
        <f t="shared" si="91"/>
        <v>40.99627351062685</v>
      </c>
      <c r="EK33" s="89">
        <f t="shared" si="92"/>
        <v>20430.855736426551</v>
      </c>
      <c r="EL33" s="89">
        <f t="shared" si="93"/>
        <v>1.8587172683424384</v>
      </c>
      <c r="EM33" s="89">
        <v>15298.160736913929</v>
      </c>
      <c r="EN33" s="89">
        <f t="shared" si="94"/>
        <v>30.697078471454702</v>
      </c>
      <c r="EO33" s="89">
        <f t="shared" si="95"/>
        <v>15298.160736913929</v>
      </c>
      <c r="EP33" s="89">
        <f t="shared" si="96"/>
        <v>1.3917652741721922</v>
      </c>
      <c r="EQ33" s="89">
        <v>2359.1874451700946</v>
      </c>
      <c r="ER33" s="89">
        <f t="shared" si="97"/>
        <v>4.7339130094580453</v>
      </c>
      <c r="ES33" s="89">
        <f t="shared" si="98"/>
        <v>2359.1874451700946</v>
      </c>
      <c r="ET33" s="89">
        <f t="shared" si="99"/>
        <v>0.21462940662715979</v>
      </c>
      <c r="EU33" s="89">
        <v>11747.681119017447</v>
      </c>
      <c r="EV33" s="89">
        <f t="shared" si="100"/>
        <v>23.572735008460398</v>
      </c>
      <c r="EW33" s="89">
        <f t="shared" si="101"/>
        <v>11747.681119017447</v>
      </c>
      <c r="EX33" s="89">
        <f t="shared" si="102"/>
        <v>1.0687568861820615</v>
      </c>
      <c r="EY33" s="89"/>
      <c r="EZ33" s="89">
        <f t="shared" si="103"/>
        <v>0</v>
      </c>
      <c r="FA33" s="89">
        <f t="shared" si="104"/>
        <v>0</v>
      </c>
      <c r="FB33" s="89">
        <f t="shared" si="105"/>
        <v>0</v>
      </c>
      <c r="FC33" s="89"/>
      <c r="FD33" s="89">
        <f t="shared" si="106"/>
        <v>0</v>
      </c>
      <c r="FE33" s="89">
        <f t="shared" si="107"/>
        <v>0</v>
      </c>
      <c r="FF33" s="89">
        <f t="shared" si="108"/>
        <v>0</v>
      </c>
      <c r="FG33" s="89"/>
      <c r="FH33" s="89">
        <f t="shared" si="109"/>
        <v>0</v>
      </c>
      <c r="FI33" s="89">
        <f t="shared" si="110"/>
        <v>0</v>
      </c>
      <c r="FJ33" s="89">
        <f t="shared" si="111"/>
        <v>0</v>
      </c>
      <c r="FK33" s="89">
        <f t="shared" si="112"/>
        <v>49835.885037528024</v>
      </c>
      <c r="FL33" s="89">
        <f t="shared" si="113"/>
        <v>100</v>
      </c>
      <c r="FM33" s="89">
        <f t="shared" si="114"/>
        <v>49835.885037528024</v>
      </c>
      <c r="FN33" s="89">
        <f t="shared" si="115"/>
        <v>4.5338688353238528</v>
      </c>
      <c r="FO33" s="89"/>
      <c r="FP33" s="89">
        <f t="shared" si="116"/>
        <v>0</v>
      </c>
      <c r="FQ33" s="89">
        <f t="shared" si="117"/>
        <v>300</v>
      </c>
      <c r="FR33" s="89">
        <f t="shared" si="118"/>
        <v>2.7292796136216123E-2</v>
      </c>
      <c r="FS33" s="89"/>
      <c r="FT33" s="89">
        <f t="shared" si="119"/>
        <v>0</v>
      </c>
      <c r="FU33" s="89">
        <f t="shared" si="120"/>
        <v>254980</v>
      </c>
      <c r="FV33" s="89">
        <f t="shared" si="121"/>
        <v>23.197057196041289</v>
      </c>
      <c r="FW33" s="89">
        <f>+EE33+DK33+BW33+FO33+FS33+FK33</f>
        <v>49835.885037528024</v>
      </c>
      <c r="FX33" s="89">
        <f t="shared" si="123"/>
        <v>1099191.1510375282</v>
      </c>
      <c r="FY33" s="89">
        <f t="shared" si="48"/>
        <v>1.0586036713794003</v>
      </c>
      <c r="FZ33" s="89">
        <f t="shared" si="49"/>
        <v>1.0842127518704383</v>
      </c>
      <c r="GA33" s="6"/>
      <c r="GB33" s="456" t="e">
        <f t="shared" si="124"/>
        <v>#DIV/0!</v>
      </c>
      <c r="GC33" s="456">
        <f>(SUM($GA$10:GA33))/(SUM($EE$10:EE33))</f>
        <v>0</v>
      </c>
      <c r="GD33" s="369" t="s">
        <v>726</v>
      </c>
    </row>
    <row r="34" spans="1:186">
      <c r="A34" s="16">
        <f>+Chem!A34</f>
        <v>45863</v>
      </c>
      <c r="B34" s="6" t="str">
        <f>+Chem!B34</f>
        <v>Toilet</v>
      </c>
      <c r="C34" s="16" t="str">
        <f>+Chem!C34</f>
        <v>17/19/20</v>
      </c>
      <c r="D34" s="8">
        <f>+Chem!D34</f>
        <v>54.65</v>
      </c>
      <c r="E34" s="7">
        <f>+Chem!E34</f>
        <v>47.622999999999998</v>
      </c>
      <c r="F34" s="7">
        <f t="shared" si="125"/>
        <v>1061.4379999999999</v>
      </c>
      <c r="G34" s="99"/>
      <c r="H34" s="89">
        <f t="shared" si="0"/>
        <v>0</v>
      </c>
      <c r="I34" s="8">
        <f t="shared" si="50"/>
        <v>0</v>
      </c>
      <c r="J34" s="89">
        <f t="shared" si="1"/>
        <v>0</v>
      </c>
      <c r="K34" s="99"/>
      <c r="L34" s="89">
        <f t="shared" si="2"/>
        <v>0</v>
      </c>
      <c r="M34" s="89">
        <f t="shared" si="51"/>
        <v>0</v>
      </c>
      <c r="N34" s="89">
        <f t="shared" si="3"/>
        <v>0</v>
      </c>
      <c r="O34" s="99"/>
      <c r="P34" s="89">
        <f t="shared" si="4"/>
        <v>0</v>
      </c>
      <c r="Q34" s="89">
        <f t="shared" si="52"/>
        <v>0</v>
      </c>
      <c r="R34" s="89">
        <f t="shared" si="5"/>
        <v>0</v>
      </c>
      <c r="S34" s="99"/>
      <c r="T34" s="89">
        <f t="shared" si="6"/>
        <v>0</v>
      </c>
      <c r="U34" s="89">
        <f t="shared" si="53"/>
        <v>0</v>
      </c>
      <c r="V34" s="89">
        <f t="shared" si="7"/>
        <v>0</v>
      </c>
      <c r="W34" s="99"/>
      <c r="X34" s="89">
        <f t="shared" si="8"/>
        <v>0</v>
      </c>
      <c r="Y34" s="89">
        <f t="shared" si="54"/>
        <v>0</v>
      </c>
      <c r="Z34" s="89">
        <f t="shared" si="9"/>
        <v>0</v>
      </c>
      <c r="AA34" s="99"/>
      <c r="AB34" s="89">
        <f t="shared" si="10"/>
        <v>0</v>
      </c>
      <c r="AC34" s="89">
        <f t="shared" si="55"/>
        <v>105385.125</v>
      </c>
      <c r="AD34" s="89">
        <f t="shared" si="11"/>
        <v>9.111140343457059</v>
      </c>
      <c r="AE34" s="99"/>
      <c r="AF34" s="89">
        <f t="shared" si="12"/>
        <v>0</v>
      </c>
      <c r="AG34" s="89">
        <f t="shared" si="56"/>
        <v>0</v>
      </c>
      <c r="AH34" s="89">
        <f t="shared" si="13"/>
        <v>0</v>
      </c>
      <c r="AI34" s="99"/>
      <c r="AJ34" s="89">
        <f t="shared" si="14"/>
        <v>0</v>
      </c>
      <c r="AK34" s="89">
        <f t="shared" si="57"/>
        <v>0</v>
      </c>
      <c r="AL34" s="89">
        <f t="shared" si="15"/>
        <v>0</v>
      </c>
      <c r="AM34" s="99"/>
      <c r="AN34" s="89">
        <f t="shared" si="16"/>
        <v>0</v>
      </c>
      <c r="AO34" s="89">
        <f t="shared" si="58"/>
        <v>0</v>
      </c>
      <c r="AP34" s="89">
        <f t="shared" si="17"/>
        <v>0</v>
      </c>
      <c r="AQ34" s="99"/>
      <c r="AR34" s="89">
        <f t="shared" si="18"/>
        <v>0</v>
      </c>
      <c r="AS34" s="89">
        <f t="shared" si="59"/>
        <v>0</v>
      </c>
      <c r="AT34" s="89">
        <f t="shared" si="19"/>
        <v>0</v>
      </c>
      <c r="AU34" s="250"/>
      <c r="AV34" s="89">
        <f t="shared" si="20"/>
        <v>0</v>
      </c>
      <c r="AW34" s="8">
        <f t="shared" si="60"/>
        <v>0</v>
      </c>
      <c r="AX34" s="89">
        <f t="shared" si="21"/>
        <v>0</v>
      </c>
      <c r="AY34" s="99"/>
      <c r="AZ34" s="89">
        <f t="shared" si="22"/>
        <v>0</v>
      </c>
      <c r="BA34" s="89">
        <f t="shared" si="61"/>
        <v>0</v>
      </c>
      <c r="BB34" s="89">
        <f t="shared" si="23"/>
        <v>0</v>
      </c>
      <c r="BC34" s="99"/>
      <c r="BD34" s="89">
        <f t="shared" si="24"/>
        <v>0</v>
      </c>
      <c r="BE34" s="89">
        <f t="shared" si="62"/>
        <v>0</v>
      </c>
      <c r="BF34" s="89">
        <f t="shared" si="25"/>
        <v>0</v>
      </c>
      <c r="BG34" s="99"/>
      <c r="BH34" s="89">
        <f t="shared" si="26"/>
        <v>0</v>
      </c>
      <c r="BI34" s="89">
        <f t="shared" si="63"/>
        <v>0</v>
      </c>
      <c r="BJ34" s="89">
        <f t="shared" si="27"/>
        <v>0</v>
      </c>
      <c r="BK34" s="99"/>
      <c r="BL34" s="89"/>
      <c r="BM34" s="89"/>
      <c r="BN34" s="89"/>
      <c r="BO34" s="99"/>
      <c r="BP34" s="89"/>
      <c r="BQ34" s="89"/>
      <c r="BR34" s="89"/>
      <c r="BS34" s="99"/>
      <c r="BT34" s="89"/>
      <c r="BU34" s="89"/>
      <c r="BV34" s="89"/>
      <c r="BW34" s="89">
        <f t="shared" si="64"/>
        <v>0</v>
      </c>
      <c r="BX34" s="89">
        <f t="shared" si="28"/>
        <v>0</v>
      </c>
      <c r="BY34" s="89">
        <f t="shared" si="65"/>
        <v>105385.125</v>
      </c>
      <c r="BZ34" s="89">
        <f t="shared" si="29"/>
        <v>9.111140343457059</v>
      </c>
      <c r="CA34" s="99"/>
      <c r="CB34" s="89">
        <f t="shared" si="30"/>
        <v>0</v>
      </c>
      <c r="CC34" s="89"/>
      <c r="CD34" s="89">
        <f t="shared" si="31"/>
        <v>0</v>
      </c>
      <c r="CE34" s="99"/>
      <c r="CF34" s="89">
        <f t="shared" si="32"/>
        <v>0</v>
      </c>
      <c r="CG34" s="89">
        <f t="shared" si="66"/>
        <v>0</v>
      </c>
      <c r="CH34" s="89">
        <f t="shared" si="33"/>
        <v>0</v>
      </c>
      <c r="CI34" s="99"/>
      <c r="CJ34" s="89">
        <f t="shared" si="34"/>
        <v>0</v>
      </c>
      <c r="CK34" s="89">
        <f t="shared" si="67"/>
        <v>55065.141000000003</v>
      </c>
      <c r="CL34" s="89">
        <f t="shared" si="35"/>
        <v>4.7606930075117475</v>
      </c>
      <c r="CM34" s="99"/>
      <c r="CN34" s="89">
        <f t="shared" si="36"/>
        <v>0</v>
      </c>
      <c r="CO34" s="89">
        <f t="shared" si="68"/>
        <v>0</v>
      </c>
      <c r="CP34" s="89">
        <f t="shared" si="37"/>
        <v>0</v>
      </c>
      <c r="CQ34" s="99"/>
      <c r="CR34" s="89">
        <f t="shared" si="38"/>
        <v>0</v>
      </c>
      <c r="CS34" s="89">
        <f>CQ34+CS33</f>
        <v>0</v>
      </c>
      <c r="CT34" s="89">
        <f t="shared" si="39"/>
        <v>0</v>
      </c>
      <c r="CU34" s="99"/>
      <c r="CV34" s="89">
        <f t="shared" si="40"/>
        <v>0</v>
      </c>
      <c r="CW34" s="89">
        <f t="shared" si="70"/>
        <v>0</v>
      </c>
      <c r="CX34" s="89">
        <f t="shared" si="41"/>
        <v>0</v>
      </c>
      <c r="CY34" s="99"/>
      <c r="CZ34" s="89">
        <f t="shared" si="42"/>
        <v>0</v>
      </c>
      <c r="DA34" s="89">
        <f t="shared" si="71"/>
        <v>102750</v>
      </c>
      <c r="DB34" s="89">
        <f t="shared" si="43"/>
        <v>8.8833188772154792E-2</v>
      </c>
      <c r="DC34" s="99"/>
      <c r="DD34" s="89">
        <f t="shared" si="44"/>
        <v>0</v>
      </c>
      <c r="DE34" s="89">
        <f t="shared" si="72"/>
        <v>0</v>
      </c>
      <c r="DF34" s="89">
        <f t="shared" si="45"/>
        <v>0</v>
      </c>
      <c r="DG34" s="99"/>
      <c r="DH34" s="89"/>
      <c r="DI34" s="89"/>
      <c r="DJ34" s="89"/>
      <c r="DK34" s="89">
        <f t="shared" si="73"/>
        <v>0</v>
      </c>
      <c r="DL34" s="89">
        <f t="shared" si="74"/>
        <v>0</v>
      </c>
      <c r="DM34" s="89">
        <f t="shared" si="75"/>
        <v>157815.141</v>
      </c>
      <c r="DN34" s="89">
        <f t="shared" si="46"/>
        <v>13.644011884727226</v>
      </c>
      <c r="DO34" s="99"/>
      <c r="DP34" s="89">
        <f t="shared" si="76"/>
        <v>0</v>
      </c>
      <c r="DQ34" s="89">
        <f t="shared" si="77"/>
        <v>0</v>
      </c>
      <c r="DR34" s="89">
        <f t="shared" si="78"/>
        <v>0</v>
      </c>
      <c r="DS34" s="99"/>
      <c r="DT34" s="90">
        <f t="shared" si="79"/>
        <v>0</v>
      </c>
      <c r="DU34" s="89">
        <f t="shared" si="80"/>
        <v>0</v>
      </c>
      <c r="DV34" s="89">
        <f t="shared" si="81"/>
        <v>0</v>
      </c>
      <c r="DW34" s="99"/>
      <c r="DX34" s="90">
        <f t="shared" si="82"/>
        <v>0</v>
      </c>
      <c r="DY34" s="89">
        <f t="shared" si="83"/>
        <v>0</v>
      </c>
      <c r="DZ34" s="457">
        <f t="shared" si="84"/>
        <v>0</v>
      </c>
      <c r="EA34" s="458"/>
      <c r="EB34" s="89">
        <f t="shared" si="85"/>
        <v>0</v>
      </c>
      <c r="EC34" s="89">
        <f t="shared" si="86"/>
        <v>530875</v>
      </c>
      <c r="ED34" s="89">
        <f t="shared" si="87"/>
        <v>45.897147532279973</v>
      </c>
      <c r="EE34" s="89">
        <f t="shared" si="47"/>
        <v>0</v>
      </c>
      <c r="EF34" s="89">
        <f t="shared" si="88"/>
        <v>0</v>
      </c>
      <c r="EG34" s="89">
        <f t="shared" si="89"/>
        <v>530875</v>
      </c>
      <c r="EH34" s="89">
        <f t="shared" si="90"/>
        <v>45.897147532279973</v>
      </c>
      <c r="EI34" s="89">
        <v>23041.985978977533</v>
      </c>
      <c r="EJ34" s="89">
        <f t="shared" si="91"/>
        <v>40.093139580009478</v>
      </c>
      <c r="EK34" s="89">
        <f t="shared" si="92"/>
        <v>43472.84171540408</v>
      </c>
      <c r="EL34" s="89">
        <f t="shared" si="93"/>
        <v>3.7584731431304101</v>
      </c>
      <c r="EM34" s="89">
        <v>17537.979648658205</v>
      </c>
      <c r="EN34" s="89">
        <f t="shared" si="94"/>
        <v>30.516148505885898</v>
      </c>
      <c r="EO34" s="89">
        <f t="shared" si="95"/>
        <v>32836.140385572136</v>
      </c>
      <c r="EP34" s="89">
        <f t="shared" si="96"/>
        <v>2.8388701288764038</v>
      </c>
      <c r="EQ34" s="89">
        <v>2535.1636541722969</v>
      </c>
      <c r="ER34" s="89">
        <f t="shared" si="97"/>
        <v>4.4111939976715098</v>
      </c>
      <c r="ES34" s="89">
        <f t="shared" si="98"/>
        <v>4894.3510993423915</v>
      </c>
      <c r="ET34" s="89">
        <f t="shared" si="99"/>
        <v>0.42314434562052167</v>
      </c>
      <c r="EU34" s="89">
        <v>8628.9734543772611</v>
      </c>
      <c r="EV34" s="89">
        <f t="shared" si="100"/>
        <v>15.014445258936654</v>
      </c>
      <c r="EW34" s="89">
        <f t="shared" si="101"/>
        <v>20376.654573394706</v>
      </c>
      <c r="EX34" s="89">
        <f t="shared" si="102"/>
        <v>1.7616770824947572</v>
      </c>
      <c r="EY34" s="89">
        <v>1315.9060609633329</v>
      </c>
      <c r="EZ34" s="89">
        <f t="shared" si="103"/>
        <v>2.2896813418998745</v>
      </c>
      <c r="FA34" s="89">
        <f t="shared" si="104"/>
        <v>1315.9060609633329</v>
      </c>
      <c r="FB34" s="89">
        <f t="shared" si="105"/>
        <v>0.11376752459365293</v>
      </c>
      <c r="FC34" s="89">
        <v>3722.2050914631377</v>
      </c>
      <c r="FD34" s="89">
        <f t="shared" si="106"/>
        <v>6.476650424733732</v>
      </c>
      <c r="FE34" s="89">
        <f t="shared" si="107"/>
        <v>3722.2050914631377</v>
      </c>
      <c r="FF34" s="89">
        <f t="shared" si="108"/>
        <v>0.32180569103515383</v>
      </c>
      <c r="FG34" s="89">
        <v>688.93010347986171</v>
      </c>
      <c r="FH34" s="89">
        <f t="shared" si="109"/>
        <v>1.1987408908628345</v>
      </c>
      <c r="FI34" s="89">
        <f t="shared" si="110"/>
        <v>688.93010347986171</v>
      </c>
      <c r="FJ34" s="89">
        <f t="shared" si="111"/>
        <v>5.9561905531140324E-2</v>
      </c>
      <c r="FK34" s="89">
        <f>+EI34+EM34+EQ34+EU34+FG34+FC34+EY34</f>
        <v>57471.143992091638</v>
      </c>
      <c r="FL34" s="89">
        <f t="shared" si="113"/>
        <v>100</v>
      </c>
      <c r="FM34" s="89">
        <f t="shared" si="114"/>
        <v>107307.02902961966</v>
      </c>
      <c r="FN34" s="89">
        <f t="shared" si="115"/>
        <v>9.2772998212820408</v>
      </c>
      <c r="FO34" s="89"/>
      <c r="FP34" s="89">
        <f t="shared" si="116"/>
        <v>0</v>
      </c>
      <c r="FQ34" s="89">
        <f t="shared" si="117"/>
        <v>300</v>
      </c>
      <c r="FR34" s="89">
        <f t="shared" si="118"/>
        <v>2.5936697451724024E-2</v>
      </c>
      <c r="FS34" s="89"/>
      <c r="FT34" s="89">
        <f t="shared" si="119"/>
        <v>0</v>
      </c>
      <c r="FU34" s="89">
        <f t="shared" si="120"/>
        <v>254980</v>
      </c>
      <c r="FV34" s="89">
        <f t="shared" si="121"/>
        <v>22.044463720801975</v>
      </c>
      <c r="FW34" s="89">
        <f t="shared" ref="FW34:FW40" si="126">+EE34+DK34+BW34+FO34+FS34+FK34</f>
        <v>57471.143992091638</v>
      </c>
      <c r="FX34" s="89">
        <f t="shared" si="123"/>
        <v>1156662.2950296197</v>
      </c>
      <c r="FY34" s="89">
        <f t="shared" si="48"/>
        <v>1.2067938599435493</v>
      </c>
      <c r="FZ34" s="89">
        <f t="shared" si="49"/>
        <v>1.0897125362287949</v>
      </c>
      <c r="GA34" s="6"/>
      <c r="GB34" s="456" t="e">
        <f t="shared" si="124"/>
        <v>#DIV/0!</v>
      </c>
      <c r="GC34" s="456">
        <f>(SUM($GA$10:GA34))/(SUM($EE$10:EE34))</f>
        <v>0</v>
      </c>
      <c r="GD34" s="3" t="s">
        <v>737</v>
      </c>
    </row>
    <row r="35" spans="1:186">
      <c r="A35" s="16">
        <f>+Chem!A35</f>
        <v>45864</v>
      </c>
      <c r="B35" s="6" t="str">
        <f>+Chem!B35</f>
        <v>Toilet</v>
      </c>
      <c r="C35" s="16" t="str">
        <f>+Chem!C35</f>
        <v>20/15,5</v>
      </c>
      <c r="D35" s="8">
        <f>+Chem!D35</f>
        <v>56.113</v>
      </c>
      <c r="E35" s="7">
        <f>+Chem!E35</f>
        <v>56.981999999999999</v>
      </c>
      <c r="F35" s="7">
        <f t="shared" si="125"/>
        <v>1118.4199999999998</v>
      </c>
      <c r="G35" s="99"/>
      <c r="H35" s="89">
        <f t="shared" si="0"/>
        <v>0</v>
      </c>
      <c r="I35" s="8">
        <f t="shared" si="50"/>
        <v>0</v>
      </c>
      <c r="J35" s="89">
        <f t="shared" si="1"/>
        <v>0</v>
      </c>
      <c r="K35" s="99"/>
      <c r="L35" s="89">
        <f t="shared" si="2"/>
        <v>0</v>
      </c>
      <c r="M35" s="89">
        <f t="shared" si="51"/>
        <v>0</v>
      </c>
      <c r="N35" s="89">
        <f t="shared" si="3"/>
        <v>0</v>
      </c>
      <c r="O35" s="99"/>
      <c r="P35" s="89">
        <f t="shared" si="4"/>
        <v>0</v>
      </c>
      <c r="Q35" s="89">
        <f t="shared" si="52"/>
        <v>0</v>
      </c>
      <c r="R35" s="89">
        <f t="shared" si="5"/>
        <v>0</v>
      </c>
      <c r="S35" s="99"/>
      <c r="T35" s="89">
        <f t="shared" si="6"/>
        <v>0</v>
      </c>
      <c r="U35" s="89">
        <f t="shared" si="53"/>
        <v>0</v>
      </c>
      <c r="V35" s="89">
        <f t="shared" si="7"/>
        <v>0</v>
      </c>
      <c r="W35" s="99"/>
      <c r="X35" s="89">
        <f t="shared" si="8"/>
        <v>0</v>
      </c>
      <c r="Y35" s="89">
        <f t="shared" si="54"/>
        <v>0</v>
      </c>
      <c r="Z35" s="89">
        <f t="shared" si="9"/>
        <v>0</v>
      </c>
      <c r="AA35" s="99"/>
      <c r="AB35" s="89">
        <f t="shared" si="10"/>
        <v>0</v>
      </c>
      <c r="AC35" s="89">
        <f t="shared" si="55"/>
        <v>105385.125</v>
      </c>
      <c r="AD35" s="89">
        <f t="shared" si="11"/>
        <v>8.6557114250901108</v>
      </c>
      <c r="AE35" s="99"/>
      <c r="AF35" s="89">
        <f t="shared" si="12"/>
        <v>0</v>
      </c>
      <c r="AG35" s="89">
        <f t="shared" si="56"/>
        <v>0</v>
      </c>
      <c r="AH35" s="89">
        <f t="shared" si="13"/>
        <v>0</v>
      </c>
      <c r="AI35" s="99"/>
      <c r="AJ35" s="89">
        <f t="shared" si="14"/>
        <v>0</v>
      </c>
      <c r="AK35" s="89">
        <f t="shared" si="57"/>
        <v>0</v>
      </c>
      <c r="AL35" s="89">
        <f t="shared" si="15"/>
        <v>0</v>
      </c>
      <c r="AM35" s="99"/>
      <c r="AN35" s="89">
        <f t="shared" si="16"/>
        <v>0</v>
      </c>
      <c r="AO35" s="89">
        <f t="shared" si="58"/>
        <v>0</v>
      </c>
      <c r="AP35" s="89">
        <f t="shared" si="17"/>
        <v>0</v>
      </c>
      <c r="AQ35" s="99"/>
      <c r="AR35" s="89">
        <f t="shared" si="18"/>
        <v>0</v>
      </c>
      <c r="AS35" s="89">
        <f t="shared" si="59"/>
        <v>0</v>
      </c>
      <c r="AT35" s="89">
        <f t="shared" si="19"/>
        <v>0</v>
      </c>
      <c r="AU35" s="250"/>
      <c r="AV35" s="89">
        <f t="shared" si="20"/>
        <v>0</v>
      </c>
      <c r="AW35" s="8">
        <f t="shared" si="60"/>
        <v>0</v>
      </c>
      <c r="AX35" s="89">
        <f t="shared" si="21"/>
        <v>0</v>
      </c>
      <c r="AY35" s="99"/>
      <c r="AZ35" s="89">
        <f t="shared" si="22"/>
        <v>0</v>
      </c>
      <c r="BA35" s="89">
        <f t="shared" si="61"/>
        <v>0</v>
      </c>
      <c r="BB35" s="89">
        <f t="shared" si="23"/>
        <v>0</v>
      </c>
      <c r="BC35" s="99"/>
      <c r="BD35" s="89">
        <f t="shared" si="24"/>
        <v>0</v>
      </c>
      <c r="BE35" s="89">
        <f t="shared" si="62"/>
        <v>0</v>
      </c>
      <c r="BF35" s="89">
        <f t="shared" si="25"/>
        <v>0</v>
      </c>
      <c r="BG35" s="99"/>
      <c r="BH35" s="89">
        <f t="shared" si="26"/>
        <v>0</v>
      </c>
      <c r="BI35" s="89">
        <f t="shared" si="63"/>
        <v>0</v>
      </c>
      <c r="BJ35" s="89">
        <f t="shared" si="27"/>
        <v>0</v>
      </c>
      <c r="BK35" s="99"/>
      <c r="BL35" s="89"/>
      <c r="BM35" s="89"/>
      <c r="BN35" s="89"/>
      <c r="BO35" s="99"/>
      <c r="BP35" s="89"/>
      <c r="BQ35" s="89"/>
      <c r="BR35" s="89"/>
      <c r="BS35" s="99"/>
      <c r="BT35" s="89"/>
      <c r="BU35" s="89"/>
      <c r="BV35" s="89"/>
      <c r="BW35" s="89">
        <f t="shared" si="64"/>
        <v>0</v>
      </c>
      <c r="BX35" s="89">
        <f t="shared" si="28"/>
        <v>0</v>
      </c>
      <c r="BY35" s="89">
        <f t="shared" si="65"/>
        <v>105385.125</v>
      </c>
      <c r="BZ35" s="89">
        <f t="shared" si="29"/>
        <v>8.6557114250901108</v>
      </c>
      <c r="CA35" s="99"/>
      <c r="CB35" s="89">
        <f t="shared" si="30"/>
        <v>0</v>
      </c>
      <c r="CC35" s="89"/>
      <c r="CD35" s="89">
        <f t="shared" si="31"/>
        <v>0</v>
      </c>
      <c r="CE35" s="99"/>
      <c r="CF35" s="89">
        <f t="shared" si="32"/>
        <v>0</v>
      </c>
      <c r="CG35" s="89">
        <f t="shared" si="66"/>
        <v>0</v>
      </c>
      <c r="CH35" s="89">
        <f t="shared" si="33"/>
        <v>0</v>
      </c>
      <c r="CI35" s="99"/>
      <c r="CJ35" s="89">
        <f t="shared" si="34"/>
        <v>0</v>
      </c>
      <c r="CK35" s="89">
        <f t="shared" si="67"/>
        <v>55065.141000000003</v>
      </c>
      <c r="CL35" s="89">
        <f t="shared" si="35"/>
        <v>4.5227252904800164</v>
      </c>
      <c r="CM35" s="99"/>
      <c r="CN35" s="89">
        <f t="shared" si="36"/>
        <v>0</v>
      </c>
      <c r="CO35" s="89">
        <f t="shared" si="68"/>
        <v>0</v>
      </c>
      <c r="CP35" s="89">
        <f t="shared" si="37"/>
        <v>0</v>
      </c>
      <c r="CQ35" s="99"/>
      <c r="CR35" s="89">
        <f t="shared" si="38"/>
        <v>0</v>
      </c>
      <c r="CS35" s="89">
        <f>CQ35+CS34</f>
        <v>0</v>
      </c>
      <c r="CT35" s="89">
        <f t="shared" si="39"/>
        <v>0</v>
      </c>
      <c r="CU35" s="99"/>
      <c r="CV35" s="89">
        <f t="shared" si="40"/>
        <v>0</v>
      </c>
      <c r="CW35" s="89">
        <f t="shared" si="70"/>
        <v>0</v>
      </c>
      <c r="CX35" s="89">
        <f t="shared" si="41"/>
        <v>0</v>
      </c>
      <c r="CY35" s="99"/>
      <c r="CZ35" s="89">
        <f t="shared" si="42"/>
        <v>0</v>
      </c>
      <c r="DA35" s="89">
        <f t="shared" si="71"/>
        <v>102750</v>
      </c>
      <c r="DB35" s="89">
        <f t="shared" si="43"/>
        <v>8.4392778290864945E-2</v>
      </c>
      <c r="DC35" s="99"/>
      <c r="DD35" s="89">
        <f t="shared" si="44"/>
        <v>0</v>
      </c>
      <c r="DE35" s="89">
        <f t="shared" si="72"/>
        <v>0</v>
      </c>
      <c r="DF35" s="89">
        <f t="shared" si="45"/>
        <v>0</v>
      </c>
      <c r="DG35" s="99"/>
      <c r="DH35" s="89"/>
      <c r="DI35" s="89"/>
      <c r="DJ35" s="89"/>
      <c r="DK35" s="89">
        <f t="shared" si="73"/>
        <v>0</v>
      </c>
      <c r="DL35" s="89">
        <f t="shared" si="74"/>
        <v>0</v>
      </c>
      <c r="DM35" s="89">
        <f t="shared" si="75"/>
        <v>157815.141</v>
      </c>
      <c r="DN35" s="89">
        <f t="shared" si="46"/>
        <v>12.962003119566512</v>
      </c>
      <c r="DO35" s="99"/>
      <c r="DP35" s="89">
        <f t="shared" si="76"/>
        <v>0</v>
      </c>
      <c r="DQ35" s="89">
        <f t="shared" si="77"/>
        <v>0</v>
      </c>
      <c r="DR35" s="89">
        <f t="shared" si="78"/>
        <v>0</v>
      </c>
      <c r="DS35" s="99"/>
      <c r="DT35" s="90">
        <f t="shared" si="79"/>
        <v>0</v>
      </c>
      <c r="DU35" s="89">
        <f t="shared" si="80"/>
        <v>0</v>
      </c>
      <c r="DV35" s="89">
        <f t="shared" si="81"/>
        <v>0</v>
      </c>
      <c r="DW35" s="99"/>
      <c r="DX35" s="90">
        <f t="shared" si="82"/>
        <v>0</v>
      </c>
      <c r="DY35" s="89">
        <f t="shared" si="83"/>
        <v>0</v>
      </c>
      <c r="DZ35" s="457">
        <f t="shared" si="84"/>
        <v>0</v>
      </c>
      <c r="EA35" s="458"/>
      <c r="EB35" s="89">
        <f t="shared" si="85"/>
        <v>0</v>
      </c>
      <c r="EC35" s="89">
        <f t="shared" si="86"/>
        <v>530875</v>
      </c>
      <c r="ED35" s="89">
        <f t="shared" si="87"/>
        <v>43.602935450280221</v>
      </c>
      <c r="EE35" s="89">
        <f t="shared" si="47"/>
        <v>0</v>
      </c>
      <c r="EF35" s="89">
        <f t="shared" si="88"/>
        <v>0</v>
      </c>
      <c r="EG35" s="89">
        <f t="shared" si="89"/>
        <v>530875</v>
      </c>
      <c r="EH35" s="89">
        <f t="shared" si="90"/>
        <v>43.602935450280221</v>
      </c>
      <c r="EI35" s="89">
        <v>24522.66603053435</v>
      </c>
      <c r="EJ35" s="89">
        <f t="shared" si="91"/>
        <v>40.294267974896727</v>
      </c>
      <c r="EK35" s="89">
        <f t="shared" si="92"/>
        <v>67995.507745938434</v>
      </c>
      <c r="EL35" s="89">
        <f t="shared" si="93"/>
        <v>5.5847492067910194</v>
      </c>
      <c r="EM35" s="89">
        <v>18084.765039985461</v>
      </c>
      <c r="EN35" s="89">
        <f t="shared" si="94"/>
        <v>29.715870528794184</v>
      </c>
      <c r="EO35" s="89">
        <f t="shared" si="95"/>
        <v>50920.905425557597</v>
      </c>
      <c r="EP35" s="89">
        <f t="shared" si="96"/>
        <v>4.1823422695369192</v>
      </c>
      <c r="EQ35" s="89">
        <v>2006.5853780443476</v>
      </c>
      <c r="ER35" s="89">
        <f t="shared" si="97"/>
        <v>3.2971084317159205</v>
      </c>
      <c r="ES35" s="89">
        <f t="shared" si="98"/>
        <v>6900.9364773867392</v>
      </c>
      <c r="ET35" s="89">
        <f t="shared" si="99"/>
        <v>0.56680214319750999</v>
      </c>
      <c r="EU35" s="89">
        <v>12614.206479462015</v>
      </c>
      <c r="EV35" s="89">
        <f t="shared" si="100"/>
        <v>20.726955851424837</v>
      </c>
      <c r="EW35" s="89">
        <f t="shared" si="101"/>
        <v>32990.861052856722</v>
      </c>
      <c r="EX35" s="89">
        <f t="shared" si="102"/>
        <v>2.7096743770885339</v>
      </c>
      <c r="EY35" s="89"/>
      <c r="EZ35" s="89">
        <f t="shared" si="103"/>
        <v>0</v>
      </c>
      <c r="FA35" s="89">
        <f t="shared" si="104"/>
        <v>1315.9060609633329</v>
      </c>
      <c r="FB35" s="89">
        <f t="shared" si="105"/>
        <v>0.10808074788757563</v>
      </c>
      <c r="FC35" s="89">
        <v>3319.6622137404579</v>
      </c>
      <c r="FD35" s="89">
        <f t="shared" si="106"/>
        <v>5.4546825642873298</v>
      </c>
      <c r="FE35" s="89">
        <f t="shared" si="107"/>
        <v>7041.8673052035956</v>
      </c>
      <c r="FF35" s="89">
        <f t="shared" si="108"/>
        <v>0.57837736860509747</v>
      </c>
      <c r="FG35" s="89">
        <v>311.05897855325338</v>
      </c>
      <c r="FH35" s="89">
        <f t="shared" si="109"/>
        <v>0.51111464888099412</v>
      </c>
      <c r="FI35" s="89">
        <f t="shared" si="110"/>
        <v>999.9890820331151</v>
      </c>
      <c r="FJ35" s="89">
        <f t="shared" si="111"/>
        <v>8.2133194056745726E-2</v>
      </c>
      <c r="FK35" s="89">
        <f t="shared" ref="FK35:FK40" si="127">+EI35+EM35+EQ35+EU35+FG35+FC35+EY35</f>
        <v>60858.944120319888</v>
      </c>
      <c r="FL35" s="89">
        <f t="shared" si="113"/>
        <v>100</v>
      </c>
      <c r="FM35" s="89">
        <f t="shared" si="114"/>
        <v>168165.97314993956</v>
      </c>
      <c r="FN35" s="89">
        <f t="shared" si="115"/>
        <v>13.812159307163402</v>
      </c>
      <c r="FO35" s="89"/>
      <c r="FP35" s="89">
        <f t="shared" si="116"/>
        <v>0</v>
      </c>
      <c r="FQ35" s="89">
        <f t="shared" si="117"/>
        <v>300</v>
      </c>
      <c r="FR35" s="89">
        <f t="shared" si="118"/>
        <v>2.4640227238208742E-2</v>
      </c>
      <c r="FS35" s="89"/>
      <c r="FT35" s="89">
        <f t="shared" si="119"/>
        <v>0</v>
      </c>
      <c r="FU35" s="89">
        <f t="shared" si="120"/>
        <v>254980</v>
      </c>
      <c r="FV35" s="89">
        <f t="shared" si="121"/>
        <v>20.942550470661551</v>
      </c>
      <c r="FW35" s="89">
        <f t="shared" si="126"/>
        <v>60858.944120319888</v>
      </c>
      <c r="FX35" s="89">
        <f t="shared" si="123"/>
        <v>1217521.2391499395</v>
      </c>
      <c r="FY35" s="89">
        <f t="shared" si="48"/>
        <v>1.0680380492141359</v>
      </c>
      <c r="FZ35" s="89">
        <f t="shared" si="49"/>
        <v>1.088608250165358</v>
      </c>
      <c r="GA35" s="6"/>
      <c r="GB35" s="456" t="e">
        <f t="shared" si="124"/>
        <v>#DIV/0!</v>
      </c>
      <c r="GC35" s="456">
        <f>(SUM($GA$10:GA35))/(SUM($EE$10:EE35))</f>
        <v>0</v>
      </c>
      <c r="GD35" s="3" t="s">
        <v>737</v>
      </c>
    </row>
    <row r="36" spans="1:186">
      <c r="A36" s="16">
        <f>+Chem!A36</f>
        <v>45865</v>
      </c>
      <c r="B36" s="6" t="str">
        <f>+Chem!B36</f>
        <v>Toilet</v>
      </c>
      <c r="C36" s="16" t="str">
        <f>+Chem!C36</f>
        <v>15,5</v>
      </c>
      <c r="D36" s="8">
        <f>+Chem!D36</f>
        <v>55.828000000000003</v>
      </c>
      <c r="E36" s="7">
        <f>+Chem!E36</f>
        <v>53.844000000000001</v>
      </c>
      <c r="F36" s="7">
        <f t="shared" si="125"/>
        <v>1172.2639999999999</v>
      </c>
      <c r="G36" s="99"/>
      <c r="H36" s="89">
        <f t="shared" si="0"/>
        <v>0</v>
      </c>
      <c r="I36" s="8">
        <f t="shared" si="50"/>
        <v>0</v>
      </c>
      <c r="J36" s="89">
        <f t="shared" si="1"/>
        <v>0</v>
      </c>
      <c r="K36" s="99"/>
      <c r="L36" s="89">
        <f t="shared" si="2"/>
        <v>0</v>
      </c>
      <c r="M36" s="89">
        <f t="shared" si="51"/>
        <v>0</v>
      </c>
      <c r="N36" s="89">
        <f t="shared" si="3"/>
        <v>0</v>
      </c>
      <c r="O36" s="99"/>
      <c r="P36" s="89">
        <f t="shared" si="4"/>
        <v>0</v>
      </c>
      <c r="Q36" s="89">
        <f t="shared" si="52"/>
        <v>0</v>
      </c>
      <c r="R36" s="89">
        <f t="shared" si="5"/>
        <v>0</v>
      </c>
      <c r="S36" s="99"/>
      <c r="T36" s="89">
        <f t="shared" si="6"/>
        <v>0</v>
      </c>
      <c r="U36" s="89">
        <f t="shared" si="53"/>
        <v>0</v>
      </c>
      <c r="V36" s="89">
        <f t="shared" si="7"/>
        <v>0</v>
      </c>
      <c r="W36" s="99"/>
      <c r="X36" s="89">
        <f t="shared" si="8"/>
        <v>0</v>
      </c>
      <c r="Y36" s="89">
        <f t="shared" si="54"/>
        <v>0</v>
      </c>
      <c r="Z36" s="89">
        <f t="shared" si="9"/>
        <v>0</v>
      </c>
      <c r="AA36" s="99"/>
      <c r="AB36" s="89">
        <f t="shared" si="10"/>
        <v>0</v>
      </c>
      <c r="AC36" s="89">
        <f t="shared" si="55"/>
        <v>105385.125</v>
      </c>
      <c r="AD36" s="89">
        <f t="shared" si="11"/>
        <v>8.2505611083567434</v>
      </c>
      <c r="AE36" s="99"/>
      <c r="AF36" s="89">
        <f t="shared" si="12"/>
        <v>0</v>
      </c>
      <c r="AG36" s="89">
        <f t="shared" si="56"/>
        <v>0</v>
      </c>
      <c r="AH36" s="89">
        <f t="shared" si="13"/>
        <v>0</v>
      </c>
      <c r="AI36" s="99"/>
      <c r="AJ36" s="89">
        <f t="shared" si="14"/>
        <v>0</v>
      </c>
      <c r="AK36" s="89">
        <f t="shared" si="57"/>
        <v>0</v>
      </c>
      <c r="AL36" s="89">
        <f t="shared" si="15"/>
        <v>0</v>
      </c>
      <c r="AM36" s="99"/>
      <c r="AN36" s="89">
        <f t="shared" si="16"/>
        <v>0</v>
      </c>
      <c r="AO36" s="89">
        <f t="shared" si="58"/>
        <v>0</v>
      </c>
      <c r="AP36" s="89">
        <f t="shared" si="17"/>
        <v>0</v>
      </c>
      <c r="AQ36" s="99"/>
      <c r="AR36" s="89">
        <f t="shared" si="18"/>
        <v>0</v>
      </c>
      <c r="AS36" s="89">
        <f t="shared" si="59"/>
        <v>0</v>
      </c>
      <c r="AT36" s="89">
        <f t="shared" si="19"/>
        <v>0</v>
      </c>
      <c r="AU36" s="250"/>
      <c r="AV36" s="89">
        <f t="shared" si="20"/>
        <v>0</v>
      </c>
      <c r="AW36" s="8">
        <f t="shared" si="60"/>
        <v>0</v>
      </c>
      <c r="AX36" s="89">
        <f t="shared" si="21"/>
        <v>0</v>
      </c>
      <c r="AY36" s="99"/>
      <c r="AZ36" s="89">
        <f t="shared" si="22"/>
        <v>0</v>
      </c>
      <c r="BA36" s="89">
        <f t="shared" si="61"/>
        <v>0</v>
      </c>
      <c r="BB36" s="89">
        <f t="shared" si="23"/>
        <v>0</v>
      </c>
      <c r="BC36" s="99"/>
      <c r="BD36" s="89">
        <f t="shared" si="24"/>
        <v>0</v>
      </c>
      <c r="BE36" s="89">
        <f t="shared" si="62"/>
        <v>0</v>
      </c>
      <c r="BF36" s="89">
        <f t="shared" si="25"/>
        <v>0</v>
      </c>
      <c r="BG36" s="99"/>
      <c r="BH36" s="89">
        <f t="shared" si="26"/>
        <v>0</v>
      </c>
      <c r="BI36" s="89">
        <f t="shared" si="63"/>
        <v>0</v>
      </c>
      <c r="BJ36" s="89">
        <f t="shared" si="27"/>
        <v>0</v>
      </c>
      <c r="BK36" s="99"/>
      <c r="BL36" s="89"/>
      <c r="BM36" s="89"/>
      <c r="BN36" s="89"/>
      <c r="BO36" s="99"/>
      <c r="BP36" s="89"/>
      <c r="BQ36" s="89"/>
      <c r="BR36" s="89"/>
      <c r="BS36" s="99"/>
      <c r="BT36" s="89"/>
      <c r="BU36" s="89"/>
      <c r="BV36" s="89"/>
      <c r="BW36" s="89">
        <f t="shared" si="64"/>
        <v>0</v>
      </c>
      <c r="BX36" s="89">
        <f t="shared" si="28"/>
        <v>0</v>
      </c>
      <c r="BY36" s="89">
        <f t="shared" si="65"/>
        <v>105385.125</v>
      </c>
      <c r="BZ36" s="89">
        <f t="shared" si="29"/>
        <v>8.2505611083567434</v>
      </c>
      <c r="CA36" s="99"/>
      <c r="CB36" s="89">
        <f t="shared" si="30"/>
        <v>0</v>
      </c>
      <c r="CC36" s="89"/>
      <c r="CD36" s="89">
        <f t="shared" si="31"/>
        <v>0</v>
      </c>
      <c r="CE36" s="99"/>
      <c r="CF36" s="89">
        <f t="shared" si="32"/>
        <v>0</v>
      </c>
      <c r="CG36" s="89">
        <f t="shared" si="66"/>
        <v>0</v>
      </c>
      <c r="CH36" s="89">
        <f t="shared" si="33"/>
        <v>0</v>
      </c>
      <c r="CI36" s="99"/>
      <c r="CJ36" s="89">
        <f t="shared" si="34"/>
        <v>0</v>
      </c>
      <c r="CK36" s="89">
        <f t="shared" si="67"/>
        <v>55065.141000000003</v>
      </c>
      <c r="CL36" s="89">
        <f t="shared" si="35"/>
        <v>4.3110288170249875</v>
      </c>
      <c r="CM36" s="99"/>
      <c r="CN36" s="89">
        <f t="shared" si="36"/>
        <v>0</v>
      </c>
      <c r="CO36" s="89">
        <f t="shared" si="68"/>
        <v>0</v>
      </c>
      <c r="CP36" s="89">
        <f t="shared" si="37"/>
        <v>0</v>
      </c>
      <c r="CQ36" s="99"/>
      <c r="CR36" s="89">
        <f t="shared" si="38"/>
        <v>0</v>
      </c>
      <c r="CS36" s="89">
        <f t="shared" si="69"/>
        <v>0</v>
      </c>
      <c r="CT36" s="89">
        <f t="shared" si="39"/>
        <v>0</v>
      </c>
      <c r="CU36" s="99"/>
      <c r="CV36" s="89">
        <f t="shared" si="40"/>
        <v>0</v>
      </c>
      <c r="CW36" s="89">
        <f t="shared" si="70"/>
        <v>0</v>
      </c>
      <c r="CX36" s="89">
        <f t="shared" si="41"/>
        <v>0</v>
      </c>
      <c r="CY36" s="99"/>
      <c r="CZ36" s="89">
        <f t="shared" si="42"/>
        <v>0</v>
      </c>
      <c r="DA36" s="89">
        <f t="shared" si="71"/>
        <v>102750</v>
      </c>
      <c r="DB36" s="89">
        <f t="shared" si="43"/>
        <v>8.0442581804942154E-2</v>
      </c>
      <c r="DC36" s="99"/>
      <c r="DD36" s="89">
        <f t="shared" si="44"/>
        <v>0</v>
      </c>
      <c r="DE36" s="89">
        <f t="shared" si="72"/>
        <v>0</v>
      </c>
      <c r="DF36" s="89">
        <f t="shared" si="45"/>
        <v>0</v>
      </c>
      <c r="DG36" s="99"/>
      <c r="DH36" s="89"/>
      <c r="DI36" s="89"/>
      <c r="DJ36" s="89"/>
      <c r="DK36" s="89">
        <f t="shared" si="73"/>
        <v>0</v>
      </c>
      <c r="DL36" s="89">
        <f t="shared" si="74"/>
        <v>0</v>
      </c>
      <c r="DM36" s="89">
        <f t="shared" si="75"/>
        <v>157815.141</v>
      </c>
      <c r="DN36" s="89">
        <f t="shared" si="46"/>
        <v>12.355286997519203</v>
      </c>
      <c r="DO36" s="99"/>
      <c r="DP36" s="89">
        <f t="shared" si="76"/>
        <v>0</v>
      </c>
      <c r="DQ36" s="89">
        <f t="shared" si="77"/>
        <v>0</v>
      </c>
      <c r="DR36" s="89">
        <f t="shared" si="78"/>
        <v>0</v>
      </c>
      <c r="DS36" s="99"/>
      <c r="DT36" s="90">
        <f t="shared" si="79"/>
        <v>0</v>
      </c>
      <c r="DU36" s="89">
        <f t="shared" si="80"/>
        <v>0</v>
      </c>
      <c r="DV36" s="89">
        <f t="shared" si="81"/>
        <v>0</v>
      </c>
      <c r="DW36" s="99"/>
      <c r="DX36" s="90">
        <f t="shared" si="82"/>
        <v>0</v>
      </c>
      <c r="DY36" s="89">
        <f t="shared" si="83"/>
        <v>0</v>
      </c>
      <c r="DZ36" s="457">
        <f t="shared" si="84"/>
        <v>0</v>
      </c>
      <c r="EA36" s="458"/>
      <c r="EB36" s="89">
        <f t="shared" si="85"/>
        <v>0</v>
      </c>
      <c r="EC36" s="89">
        <f t="shared" si="86"/>
        <v>530875</v>
      </c>
      <c r="ED36" s="89">
        <f t="shared" si="87"/>
        <v>41.562000599220113</v>
      </c>
      <c r="EE36" s="89">
        <f t="shared" si="47"/>
        <v>0</v>
      </c>
      <c r="EF36" s="89">
        <f t="shared" si="88"/>
        <v>0</v>
      </c>
      <c r="EG36" s="89">
        <f t="shared" si="89"/>
        <v>530875</v>
      </c>
      <c r="EH36" s="89">
        <f t="shared" si="90"/>
        <v>41.562000599220113</v>
      </c>
      <c r="EI36" s="89">
        <v>24881.580505740625</v>
      </c>
      <c r="EJ36" s="89">
        <f t="shared" si="91"/>
        <v>41.616803532373211</v>
      </c>
      <c r="EK36" s="89">
        <f t="shared" si="92"/>
        <v>92877.088251679059</v>
      </c>
      <c r="EL36" s="89">
        <f t="shared" si="93"/>
        <v>7.2713116978009973</v>
      </c>
      <c r="EM36" s="89">
        <v>18644.531867316004</v>
      </c>
      <c r="EN36" s="89">
        <f t="shared" si="94"/>
        <v>31.184748070812528</v>
      </c>
      <c r="EO36" s="89">
        <f t="shared" si="95"/>
        <v>69565.437292873597</v>
      </c>
      <c r="EP36" s="89">
        <f t="shared" si="96"/>
        <v>5.4462514649426348</v>
      </c>
      <c r="EQ36" s="89">
        <v>2745.9790880405862</v>
      </c>
      <c r="ER36" s="89">
        <f t="shared" si="97"/>
        <v>4.5929104939545242</v>
      </c>
      <c r="ES36" s="89">
        <f t="shared" si="98"/>
        <v>9646.9155654273254</v>
      </c>
      <c r="ET36" s="89">
        <f t="shared" si="99"/>
        <v>0.75525332801679546</v>
      </c>
      <c r="EU36" s="89">
        <v>6076.6814859334809</v>
      </c>
      <c r="EV36" s="89">
        <f t="shared" si="100"/>
        <v>10.163826187430363</v>
      </c>
      <c r="EW36" s="89">
        <f t="shared" si="101"/>
        <v>39067.542538790207</v>
      </c>
      <c r="EX36" s="89">
        <f t="shared" si="102"/>
        <v>3.0585829553232977</v>
      </c>
      <c r="EY36" s="89">
        <v>3074.1149539070716</v>
      </c>
      <c r="EZ36" s="89">
        <f t="shared" si="103"/>
        <v>5.1417488548673296</v>
      </c>
      <c r="FA36" s="89">
        <f t="shared" si="104"/>
        <v>4390.0210148704045</v>
      </c>
      <c r="FB36" s="89">
        <f t="shared" si="105"/>
        <v>0.34369306531788579</v>
      </c>
      <c r="FC36" s="89">
        <v>4364.4537347203932</v>
      </c>
      <c r="FD36" s="89">
        <f t="shared" si="106"/>
        <v>7.2999628605620437</v>
      </c>
      <c r="FE36" s="89">
        <f t="shared" si="107"/>
        <v>11406.321039923989</v>
      </c>
      <c r="FF36" s="89">
        <f t="shared" si="108"/>
        <v>0.89299650934065045</v>
      </c>
      <c r="FG36" s="89"/>
      <c r="FH36" s="89">
        <f t="shared" si="109"/>
        <v>0</v>
      </c>
      <c r="FI36" s="89">
        <f t="shared" si="110"/>
        <v>999.9890820331151</v>
      </c>
      <c r="FJ36" s="89">
        <f t="shared" si="111"/>
        <v>7.8288762564961423E-2</v>
      </c>
      <c r="FK36" s="89">
        <f t="shared" si="127"/>
        <v>59787.341635658158</v>
      </c>
      <c r="FL36" s="89">
        <f t="shared" si="113"/>
        <v>100</v>
      </c>
      <c r="FM36" s="89">
        <f t="shared" si="114"/>
        <v>227953.31478559773</v>
      </c>
      <c r="FN36" s="89">
        <f t="shared" si="115"/>
        <v>17.846377783307226</v>
      </c>
      <c r="FO36" s="89"/>
      <c r="FP36" s="89">
        <f t="shared" si="116"/>
        <v>0</v>
      </c>
      <c r="FQ36" s="89">
        <f t="shared" si="117"/>
        <v>300</v>
      </c>
      <c r="FR36" s="89">
        <f t="shared" si="118"/>
        <v>2.3486885198523256E-2</v>
      </c>
      <c r="FS36" s="89"/>
      <c r="FT36" s="89">
        <f t="shared" si="119"/>
        <v>0</v>
      </c>
      <c r="FU36" s="89">
        <f t="shared" si="120"/>
        <v>254980</v>
      </c>
      <c r="FV36" s="89">
        <f t="shared" si="121"/>
        <v>19.9622866263982</v>
      </c>
      <c r="FW36" s="89">
        <f t="shared" si="126"/>
        <v>59787.341635658158</v>
      </c>
      <c r="FX36" s="89">
        <f t="shared" si="123"/>
        <v>1277308.5807855977</v>
      </c>
      <c r="FY36" s="89">
        <f t="shared" si="48"/>
        <v>1.1103807598926185</v>
      </c>
      <c r="FZ36" s="89">
        <f t="shared" si="49"/>
        <v>1.0896082970948506</v>
      </c>
      <c r="GA36" s="6"/>
      <c r="GB36" s="456" t="e">
        <f t="shared" si="124"/>
        <v>#DIV/0!</v>
      </c>
      <c r="GC36" s="456">
        <f>(SUM($GA$10:GA36))/(SUM($EE$10:EE36))</f>
        <v>0</v>
      </c>
      <c r="GD36" s="3" t="s">
        <v>737</v>
      </c>
    </row>
    <row r="37" spans="1:186">
      <c r="A37" s="16">
        <f>+Chem!A37</f>
        <v>45866</v>
      </c>
      <c r="B37" s="6" t="str">
        <f>+Chem!B37</f>
        <v>Toilet</v>
      </c>
      <c r="C37" s="16" t="str">
        <f>+Chem!C37</f>
        <v>15,5/20</v>
      </c>
      <c r="D37" s="8">
        <f>+Chem!D37</f>
        <v>55.852999999999994</v>
      </c>
      <c r="E37" s="7">
        <f>+Chem!E37</f>
        <v>57.405999999999999</v>
      </c>
      <c r="F37" s="7">
        <f t="shared" si="125"/>
        <v>1229.6699999999998</v>
      </c>
      <c r="G37" s="99"/>
      <c r="H37" s="89">
        <f t="shared" si="0"/>
        <v>0</v>
      </c>
      <c r="I37" s="8">
        <f t="shared" si="50"/>
        <v>0</v>
      </c>
      <c r="J37" s="89">
        <f t="shared" si="1"/>
        <v>0</v>
      </c>
      <c r="K37" s="99"/>
      <c r="L37" s="89">
        <f t="shared" si="2"/>
        <v>0</v>
      </c>
      <c r="M37" s="89">
        <f t="shared" si="51"/>
        <v>0</v>
      </c>
      <c r="N37" s="89">
        <f t="shared" si="3"/>
        <v>0</v>
      </c>
      <c r="O37" s="99"/>
      <c r="P37" s="89">
        <f t="shared" si="4"/>
        <v>0</v>
      </c>
      <c r="Q37" s="89">
        <f t="shared" si="52"/>
        <v>0</v>
      </c>
      <c r="R37" s="89">
        <f t="shared" si="5"/>
        <v>0</v>
      </c>
      <c r="S37" s="99"/>
      <c r="T37" s="89">
        <f t="shared" si="6"/>
        <v>0</v>
      </c>
      <c r="U37" s="89">
        <f t="shared" si="53"/>
        <v>0</v>
      </c>
      <c r="V37" s="89">
        <f t="shared" si="7"/>
        <v>0</v>
      </c>
      <c r="W37" s="99"/>
      <c r="X37" s="89">
        <f t="shared" si="8"/>
        <v>0</v>
      </c>
      <c r="Y37" s="89">
        <f t="shared" si="54"/>
        <v>0</v>
      </c>
      <c r="Z37" s="89">
        <f t="shared" si="9"/>
        <v>0</v>
      </c>
      <c r="AA37" s="99"/>
      <c r="AB37" s="89">
        <f t="shared" si="10"/>
        <v>0</v>
      </c>
      <c r="AC37" s="89">
        <f t="shared" si="55"/>
        <v>105385.125</v>
      </c>
      <c r="AD37" s="89">
        <f t="shared" si="11"/>
        <v>7.890941257014747</v>
      </c>
      <c r="AE37" s="99"/>
      <c r="AF37" s="89">
        <f t="shared" si="12"/>
        <v>0</v>
      </c>
      <c r="AG37" s="89">
        <f t="shared" si="56"/>
        <v>0</v>
      </c>
      <c r="AH37" s="89">
        <f t="shared" si="13"/>
        <v>0</v>
      </c>
      <c r="AI37" s="99"/>
      <c r="AJ37" s="89">
        <f t="shared" si="14"/>
        <v>0</v>
      </c>
      <c r="AK37" s="89">
        <f t="shared" si="57"/>
        <v>0</v>
      </c>
      <c r="AL37" s="89">
        <f t="shared" si="15"/>
        <v>0</v>
      </c>
      <c r="AM37" s="99"/>
      <c r="AN37" s="89">
        <f t="shared" si="16"/>
        <v>0</v>
      </c>
      <c r="AO37" s="89">
        <f t="shared" si="58"/>
        <v>0</v>
      </c>
      <c r="AP37" s="89">
        <f t="shared" si="17"/>
        <v>0</v>
      </c>
      <c r="AQ37" s="99"/>
      <c r="AR37" s="89">
        <f t="shared" si="18"/>
        <v>0</v>
      </c>
      <c r="AS37" s="89">
        <f t="shared" si="59"/>
        <v>0</v>
      </c>
      <c r="AT37" s="89">
        <f t="shared" si="19"/>
        <v>0</v>
      </c>
      <c r="AU37" s="250"/>
      <c r="AV37" s="89">
        <f t="shared" si="20"/>
        <v>0</v>
      </c>
      <c r="AW37" s="8">
        <f t="shared" si="60"/>
        <v>0</v>
      </c>
      <c r="AX37" s="89">
        <f t="shared" si="21"/>
        <v>0</v>
      </c>
      <c r="AY37" s="99"/>
      <c r="AZ37" s="89">
        <f t="shared" si="22"/>
        <v>0</v>
      </c>
      <c r="BA37" s="89">
        <f t="shared" si="61"/>
        <v>0</v>
      </c>
      <c r="BB37" s="89">
        <f t="shared" si="23"/>
        <v>0</v>
      </c>
      <c r="BC37" s="99"/>
      <c r="BD37" s="89">
        <f t="shared" si="24"/>
        <v>0</v>
      </c>
      <c r="BE37" s="89">
        <f t="shared" si="62"/>
        <v>0</v>
      </c>
      <c r="BF37" s="89">
        <f t="shared" si="25"/>
        <v>0</v>
      </c>
      <c r="BG37" s="99"/>
      <c r="BH37" s="89">
        <f t="shared" si="26"/>
        <v>0</v>
      </c>
      <c r="BI37" s="89">
        <f t="shared" si="63"/>
        <v>0</v>
      </c>
      <c r="BJ37" s="89">
        <f t="shared" si="27"/>
        <v>0</v>
      </c>
      <c r="BK37" s="99"/>
      <c r="BL37" s="89"/>
      <c r="BM37" s="89"/>
      <c r="BN37" s="89"/>
      <c r="BO37" s="99"/>
      <c r="BP37" s="89"/>
      <c r="BQ37" s="89"/>
      <c r="BR37" s="89"/>
      <c r="BS37" s="99"/>
      <c r="BT37" s="89"/>
      <c r="BU37" s="89"/>
      <c r="BV37" s="89"/>
      <c r="BW37" s="89">
        <f>G37+AY37+BK37+BG37+BS37+BO37+AU37+AI37+BC37+AQ37+AA37+AM37+AE37+K37+W37+S37+O37</f>
        <v>0</v>
      </c>
      <c r="BX37" s="89">
        <f t="shared" si="28"/>
        <v>0</v>
      </c>
      <c r="BY37" s="89">
        <f t="shared" si="65"/>
        <v>105385.125</v>
      </c>
      <c r="BZ37" s="89">
        <f t="shared" si="29"/>
        <v>7.890941257014747</v>
      </c>
      <c r="CA37" s="99"/>
      <c r="CB37" s="89">
        <f t="shared" si="30"/>
        <v>0</v>
      </c>
      <c r="CC37" s="89"/>
      <c r="CD37" s="89">
        <f t="shared" si="31"/>
        <v>0</v>
      </c>
      <c r="CE37" s="99"/>
      <c r="CF37" s="89">
        <f t="shared" si="32"/>
        <v>0</v>
      </c>
      <c r="CG37" s="89">
        <f t="shared" si="66"/>
        <v>0</v>
      </c>
      <c r="CH37" s="89">
        <f t="shared" si="33"/>
        <v>0</v>
      </c>
      <c r="CI37" s="99"/>
      <c r="CJ37" s="89">
        <f t="shared" si="34"/>
        <v>0</v>
      </c>
      <c r="CK37" s="89">
        <f t="shared" si="67"/>
        <v>55065.141000000003</v>
      </c>
      <c r="CL37" s="89">
        <f t="shared" si="35"/>
        <v>4.1231226222888129</v>
      </c>
      <c r="CM37" s="99"/>
      <c r="CN37" s="89">
        <f t="shared" si="36"/>
        <v>0</v>
      </c>
      <c r="CO37" s="89">
        <f t="shared" si="68"/>
        <v>0</v>
      </c>
      <c r="CP37" s="89">
        <f t="shared" si="37"/>
        <v>0</v>
      </c>
      <c r="CQ37" s="99"/>
      <c r="CR37" s="89">
        <f t="shared" si="38"/>
        <v>0</v>
      </c>
      <c r="CS37" s="89">
        <f t="shared" si="69"/>
        <v>0</v>
      </c>
      <c r="CT37" s="89">
        <f t="shared" si="39"/>
        <v>0</v>
      </c>
      <c r="CU37" s="99"/>
      <c r="CV37" s="89">
        <f t="shared" si="40"/>
        <v>0</v>
      </c>
      <c r="CW37" s="89">
        <f t="shared" si="70"/>
        <v>0</v>
      </c>
      <c r="CX37" s="89">
        <f t="shared" si="41"/>
        <v>0</v>
      </c>
      <c r="CY37" s="99"/>
      <c r="CZ37" s="89">
        <f t="shared" si="42"/>
        <v>0</v>
      </c>
      <c r="DA37" s="89">
        <f t="shared" si="71"/>
        <v>102750</v>
      </c>
      <c r="DB37" s="89">
        <f t="shared" si="43"/>
        <v>7.6936305209892308E-2</v>
      </c>
      <c r="DC37" s="99"/>
      <c r="DD37" s="89">
        <f t="shared" si="44"/>
        <v>0</v>
      </c>
      <c r="DE37" s="89">
        <f t="shared" si="72"/>
        <v>0</v>
      </c>
      <c r="DF37" s="89">
        <f t="shared" si="45"/>
        <v>0</v>
      </c>
      <c r="DG37" s="99"/>
      <c r="DH37" s="89"/>
      <c r="DI37" s="89"/>
      <c r="DJ37" s="89"/>
      <c r="DK37" s="89">
        <f t="shared" si="73"/>
        <v>0</v>
      </c>
      <c r="DL37" s="89">
        <f t="shared" si="74"/>
        <v>0</v>
      </c>
      <c r="DM37" s="89">
        <f t="shared" si="75"/>
        <v>157815.141</v>
      </c>
      <c r="DN37" s="89">
        <f t="shared" si="46"/>
        <v>11.816753143278044</v>
      </c>
      <c r="DO37" s="99"/>
      <c r="DP37" s="89">
        <f t="shared" si="76"/>
        <v>0</v>
      </c>
      <c r="DQ37" s="89">
        <f t="shared" si="77"/>
        <v>0</v>
      </c>
      <c r="DR37" s="89">
        <f t="shared" si="78"/>
        <v>0</v>
      </c>
      <c r="DS37" s="99"/>
      <c r="DT37" s="90">
        <f t="shared" si="79"/>
        <v>0</v>
      </c>
      <c r="DU37" s="89">
        <f t="shared" si="80"/>
        <v>0</v>
      </c>
      <c r="DV37" s="89">
        <f t="shared" si="81"/>
        <v>0</v>
      </c>
      <c r="DW37" s="99"/>
      <c r="DX37" s="90">
        <f t="shared" si="82"/>
        <v>0</v>
      </c>
      <c r="DY37" s="89">
        <f t="shared" si="83"/>
        <v>0</v>
      </c>
      <c r="DZ37" s="457">
        <f t="shared" si="84"/>
        <v>0</v>
      </c>
      <c r="EA37" s="458"/>
      <c r="EB37" s="89">
        <f t="shared" si="85"/>
        <v>0</v>
      </c>
      <c r="EC37" s="89">
        <f t="shared" si="86"/>
        <v>530875</v>
      </c>
      <c r="ED37" s="89">
        <f t="shared" si="87"/>
        <v>39.750424358444356</v>
      </c>
      <c r="EE37" s="89">
        <f t="shared" si="47"/>
        <v>0</v>
      </c>
      <c r="EF37" s="89">
        <f t="shared" si="88"/>
        <v>0</v>
      </c>
      <c r="EG37" s="89">
        <f t="shared" si="89"/>
        <v>530875</v>
      </c>
      <c r="EH37" s="89">
        <f t="shared" si="90"/>
        <v>39.750424358444356</v>
      </c>
      <c r="EI37" s="89">
        <v>23373.996184593023</v>
      </c>
      <c r="EJ37" s="89">
        <f t="shared" si="91"/>
        <v>40.153396958208042</v>
      </c>
      <c r="EK37" s="89">
        <f t="shared" si="92"/>
        <v>116251.08443627208</v>
      </c>
      <c r="EL37" s="89">
        <f t="shared" si="93"/>
        <v>8.7045536867834468</v>
      </c>
      <c r="EM37" s="89">
        <v>12212.113917151162</v>
      </c>
      <c r="EN37" s="89">
        <f t="shared" si="94"/>
        <v>20.978777182202464</v>
      </c>
      <c r="EO37" s="89">
        <f t="shared" si="95"/>
        <v>81777.551210024758</v>
      </c>
      <c r="EP37" s="89">
        <f t="shared" si="96"/>
        <v>6.123272641568918</v>
      </c>
      <c r="EQ37" s="89">
        <v>2780.3234011627906</v>
      </c>
      <c r="ER37" s="89">
        <f t="shared" si="97"/>
        <v>4.7762234714777518</v>
      </c>
      <c r="ES37" s="89">
        <f t="shared" si="98"/>
        <v>12427.238966590116</v>
      </c>
      <c r="ET37" s="89">
        <f t="shared" si="99"/>
        <v>0.93051664238427634</v>
      </c>
      <c r="EU37" s="89">
        <v>17125.87890625</v>
      </c>
      <c r="EV37" s="89">
        <f t="shared" si="100"/>
        <v>29.419967751775829</v>
      </c>
      <c r="EW37" s="89">
        <f t="shared" si="101"/>
        <v>56193.421445040207</v>
      </c>
      <c r="EX37" s="89">
        <f t="shared" si="102"/>
        <v>4.20760508329316</v>
      </c>
      <c r="EY37" s="89"/>
      <c r="EZ37" s="89">
        <f t="shared" si="103"/>
        <v>0</v>
      </c>
      <c r="FA37" s="89">
        <f t="shared" si="104"/>
        <v>4390.0210148704045</v>
      </c>
      <c r="FB37" s="89">
        <f t="shared" si="105"/>
        <v>0.3287124055259471</v>
      </c>
      <c r="FC37" s="89">
        <v>2719.4404069767443</v>
      </c>
      <c r="FD37" s="89">
        <f t="shared" si="106"/>
        <v>4.671634636335904</v>
      </c>
      <c r="FE37" s="89">
        <f t="shared" si="107"/>
        <v>14125.761446900733</v>
      </c>
      <c r="FF37" s="89">
        <f t="shared" si="108"/>
        <v>1.0576972204388173</v>
      </c>
      <c r="FG37" s="89"/>
      <c r="FH37" s="89">
        <f t="shared" si="109"/>
        <v>0</v>
      </c>
      <c r="FI37" s="89">
        <f t="shared" si="110"/>
        <v>999.9890820331151</v>
      </c>
      <c r="FJ37" s="89">
        <f t="shared" si="111"/>
        <v>7.4876365179425572E-2</v>
      </c>
      <c r="FK37" s="89">
        <f t="shared" si="127"/>
        <v>58211.752816133725</v>
      </c>
      <c r="FL37" s="89">
        <f t="shared" si="113"/>
        <v>100</v>
      </c>
      <c r="FM37" s="89">
        <f t="shared" si="114"/>
        <v>286165.06760173145</v>
      </c>
      <c r="FN37" s="89">
        <f t="shared" si="115"/>
        <v>21.427234045173993</v>
      </c>
      <c r="FO37" s="89"/>
      <c r="FP37" s="89">
        <f t="shared" si="116"/>
        <v>0</v>
      </c>
      <c r="FQ37" s="89">
        <f t="shared" si="117"/>
        <v>300</v>
      </c>
      <c r="FR37" s="89">
        <f t="shared" si="118"/>
        <v>2.2463154805807975E-2</v>
      </c>
      <c r="FS37" s="89"/>
      <c r="FT37" s="89">
        <f t="shared" si="119"/>
        <v>0</v>
      </c>
      <c r="FU37" s="89">
        <f t="shared" si="120"/>
        <v>254980</v>
      </c>
      <c r="FV37" s="89">
        <f t="shared" si="121"/>
        <v>19.092184041283058</v>
      </c>
      <c r="FW37" s="89">
        <f t="shared" si="126"/>
        <v>58211.752816133725</v>
      </c>
      <c r="FX37" s="89">
        <f t="shared" si="123"/>
        <v>1335520.3336017313</v>
      </c>
      <c r="FY37" s="89">
        <f t="shared" si="48"/>
        <v>1.0140360383258498</v>
      </c>
      <c r="FZ37" s="89">
        <f t="shared" si="49"/>
        <v>1.0860802764983546</v>
      </c>
      <c r="GA37" s="6"/>
      <c r="GB37" s="456" t="e">
        <f t="shared" si="124"/>
        <v>#DIV/0!</v>
      </c>
      <c r="GC37" s="456">
        <f>(SUM($GA$10:GA37))/(SUM($EE$10:EE37))</f>
        <v>0</v>
      </c>
      <c r="GD37" s="3" t="s">
        <v>737</v>
      </c>
    </row>
    <row r="38" spans="1:186">
      <c r="A38" s="16">
        <f>+Chem!A38</f>
        <v>45867</v>
      </c>
      <c r="B38" s="6" t="str">
        <f>+Chem!B38</f>
        <v>Toilet</v>
      </c>
      <c r="C38" s="16" t="str">
        <f>+Chem!C38</f>
        <v>15,5</v>
      </c>
      <c r="D38" s="8">
        <f>+Chem!D38</f>
        <v>55.658999999999999</v>
      </c>
      <c r="E38" s="7">
        <f>+Chem!E38</f>
        <v>51.796999999999997</v>
      </c>
      <c r="F38" s="7">
        <f t="shared" si="125"/>
        <v>1281.4669999999999</v>
      </c>
      <c r="G38" s="99"/>
      <c r="H38" s="89">
        <f t="shared" si="0"/>
        <v>0</v>
      </c>
      <c r="I38" s="8">
        <f t="shared" si="50"/>
        <v>0</v>
      </c>
      <c r="J38" s="89">
        <f t="shared" si="1"/>
        <v>0</v>
      </c>
      <c r="K38" s="99"/>
      <c r="L38" s="89">
        <f t="shared" si="2"/>
        <v>0</v>
      </c>
      <c r="M38" s="89">
        <f t="shared" si="51"/>
        <v>0</v>
      </c>
      <c r="N38" s="89">
        <f t="shared" si="3"/>
        <v>0</v>
      </c>
      <c r="O38" s="99"/>
      <c r="P38" s="89">
        <f t="shared" si="4"/>
        <v>0</v>
      </c>
      <c r="Q38" s="89">
        <f t="shared" si="52"/>
        <v>0</v>
      </c>
      <c r="R38" s="89">
        <f t="shared" si="5"/>
        <v>0</v>
      </c>
      <c r="S38" s="99"/>
      <c r="T38" s="89">
        <f t="shared" si="6"/>
        <v>0</v>
      </c>
      <c r="U38" s="89">
        <f t="shared" si="53"/>
        <v>0</v>
      </c>
      <c r="V38" s="89">
        <f t="shared" si="7"/>
        <v>0</v>
      </c>
      <c r="W38" s="99"/>
      <c r="X38" s="89">
        <f t="shared" si="8"/>
        <v>0</v>
      </c>
      <c r="Y38" s="89">
        <f t="shared" si="54"/>
        <v>0</v>
      </c>
      <c r="Z38" s="89">
        <f t="shared" si="9"/>
        <v>0</v>
      </c>
      <c r="AA38" s="99"/>
      <c r="AB38" s="89">
        <f t="shared" si="10"/>
        <v>0</v>
      </c>
      <c r="AC38" s="89">
        <f t="shared" si="55"/>
        <v>105385.125</v>
      </c>
      <c r="AD38" s="89">
        <f t="shared" si="11"/>
        <v>7.5712351309402806</v>
      </c>
      <c r="AE38" s="99"/>
      <c r="AF38" s="89">
        <f t="shared" si="12"/>
        <v>0</v>
      </c>
      <c r="AG38" s="89">
        <f t="shared" si="56"/>
        <v>0</v>
      </c>
      <c r="AH38" s="89">
        <f t="shared" si="13"/>
        <v>0</v>
      </c>
      <c r="AI38" s="99"/>
      <c r="AJ38" s="89">
        <f t="shared" si="14"/>
        <v>0</v>
      </c>
      <c r="AK38" s="89">
        <f t="shared" si="57"/>
        <v>0</v>
      </c>
      <c r="AL38" s="89">
        <f t="shared" si="15"/>
        <v>0</v>
      </c>
      <c r="AM38" s="99"/>
      <c r="AN38" s="89">
        <f t="shared" si="16"/>
        <v>0</v>
      </c>
      <c r="AO38" s="89">
        <f t="shared" si="58"/>
        <v>0</v>
      </c>
      <c r="AP38" s="89">
        <f t="shared" si="17"/>
        <v>0</v>
      </c>
      <c r="AQ38" s="99"/>
      <c r="AR38" s="89">
        <f t="shared" si="18"/>
        <v>0</v>
      </c>
      <c r="AS38" s="89">
        <f t="shared" si="59"/>
        <v>0</v>
      </c>
      <c r="AT38" s="89">
        <f t="shared" si="19"/>
        <v>0</v>
      </c>
      <c r="AU38" s="250"/>
      <c r="AV38" s="89">
        <f t="shared" si="20"/>
        <v>0</v>
      </c>
      <c r="AW38" s="8">
        <f t="shared" si="60"/>
        <v>0</v>
      </c>
      <c r="AX38" s="89">
        <f t="shared" si="21"/>
        <v>0</v>
      </c>
      <c r="AY38" s="99"/>
      <c r="AZ38" s="89">
        <f t="shared" si="22"/>
        <v>0</v>
      </c>
      <c r="BA38" s="89">
        <f t="shared" si="61"/>
        <v>0</v>
      </c>
      <c r="BB38" s="89">
        <f t="shared" si="23"/>
        <v>0</v>
      </c>
      <c r="BC38" s="99"/>
      <c r="BD38" s="89">
        <f t="shared" si="24"/>
        <v>0</v>
      </c>
      <c r="BE38" s="89">
        <f t="shared" si="62"/>
        <v>0</v>
      </c>
      <c r="BF38" s="89">
        <f t="shared" si="25"/>
        <v>0</v>
      </c>
      <c r="BG38" s="99"/>
      <c r="BH38" s="89">
        <f t="shared" si="26"/>
        <v>0</v>
      </c>
      <c r="BI38" s="89">
        <f t="shared" si="63"/>
        <v>0</v>
      </c>
      <c r="BJ38" s="89">
        <f t="shared" si="27"/>
        <v>0</v>
      </c>
      <c r="BK38" s="99"/>
      <c r="BL38" s="89"/>
      <c r="BM38" s="89"/>
      <c r="BN38" s="89"/>
      <c r="BO38" s="99"/>
      <c r="BP38" s="89"/>
      <c r="BQ38" s="89"/>
      <c r="BR38" s="89"/>
      <c r="BS38" s="99"/>
      <c r="BT38" s="89"/>
      <c r="BU38" s="89"/>
      <c r="BV38" s="89"/>
      <c r="BW38" s="89">
        <f t="shared" si="64"/>
        <v>0</v>
      </c>
      <c r="BX38" s="89">
        <f t="shared" si="28"/>
        <v>0</v>
      </c>
      <c r="BY38" s="89">
        <f t="shared" si="65"/>
        <v>105385.125</v>
      </c>
      <c r="BZ38" s="89">
        <f t="shared" si="29"/>
        <v>7.5712351309402806</v>
      </c>
      <c r="CA38" s="99"/>
      <c r="CB38" s="89">
        <f t="shared" si="30"/>
        <v>0</v>
      </c>
      <c r="CC38" s="89"/>
      <c r="CD38" s="89">
        <f t="shared" si="31"/>
        <v>0</v>
      </c>
      <c r="CE38" s="99"/>
      <c r="CF38" s="89">
        <f t="shared" si="32"/>
        <v>0</v>
      </c>
      <c r="CG38" s="89">
        <f t="shared" si="66"/>
        <v>0</v>
      </c>
      <c r="CH38" s="89">
        <f t="shared" si="33"/>
        <v>0</v>
      </c>
      <c r="CI38" s="99"/>
      <c r="CJ38" s="89">
        <f t="shared" si="34"/>
        <v>0</v>
      </c>
      <c r="CK38" s="89">
        <f t="shared" si="67"/>
        <v>55065.141000000003</v>
      </c>
      <c r="CL38" s="89">
        <f t="shared" si="35"/>
        <v>3.9560718842377427</v>
      </c>
      <c r="CM38" s="99"/>
      <c r="CN38" s="89">
        <f t="shared" si="36"/>
        <v>0</v>
      </c>
      <c r="CO38" s="89">
        <f t="shared" si="68"/>
        <v>0</v>
      </c>
      <c r="CP38" s="89">
        <f t="shared" si="37"/>
        <v>0</v>
      </c>
      <c r="CQ38" s="99"/>
      <c r="CR38" s="89">
        <f t="shared" si="38"/>
        <v>0</v>
      </c>
      <c r="CS38" s="89">
        <f t="shared" si="69"/>
        <v>0</v>
      </c>
      <c r="CT38" s="89">
        <f t="shared" si="39"/>
        <v>0</v>
      </c>
      <c r="CU38" s="99"/>
      <c r="CV38" s="89">
        <f t="shared" si="40"/>
        <v>0</v>
      </c>
      <c r="CW38" s="89">
        <f t="shared" si="70"/>
        <v>0</v>
      </c>
      <c r="CX38" s="89">
        <f t="shared" si="41"/>
        <v>0</v>
      </c>
      <c r="CY38" s="99"/>
      <c r="CZ38" s="89">
        <f t="shared" si="42"/>
        <v>0</v>
      </c>
      <c r="DA38" s="89">
        <f t="shared" si="71"/>
        <v>102750</v>
      </c>
      <c r="DB38" s="89">
        <f t="shared" si="43"/>
        <v>7.3819185554328828E-2</v>
      </c>
      <c r="DC38" s="99"/>
      <c r="DD38" s="89">
        <f t="shared" si="44"/>
        <v>0</v>
      </c>
      <c r="DE38" s="89">
        <f t="shared" si="72"/>
        <v>0</v>
      </c>
      <c r="DF38" s="89">
        <f t="shared" si="45"/>
        <v>0</v>
      </c>
      <c r="DG38" s="99"/>
      <c r="DH38" s="89"/>
      <c r="DI38" s="89"/>
      <c r="DJ38" s="89"/>
      <c r="DK38" s="89">
        <f t="shared" si="73"/>
        <v>0</v>
      </c>
      <c r="DL38" s="89">
        <f t="shared" si="74"/>
        <v>0</v>
      </c>
      <c r="DM38" s="89">
        <f t="shared" si="75"/>
        <v>157815.141</v>
      </c>
      <c r="DN38" s="89">
        <f t="shared" si="46"/>
        <v>11.337990439670627</v>
      </c>
      <c r="DO38" s="99"/>
      <c r="DP38" s="89">
        <f t="shared" si="76"/>
        <v>0</v>
      </c>
      <c r="DQ38" s="89">
        <f t="shared" si="77"/>
        <v>0</v>
      </c>
      <c r="DR38" s="89">
        <f t="shared" si="78"/>
        <v>0</v>
      </c>
      <c r="DS38" s="99"/>
      <c r="DT38" s="90">
        <f t="shared" si="79"/>
        <v>0</v>
      </c>
      <c r="DU38" s="89">
        <f t="shared" si="80"/>
        <v>0</v>
      </c>
      <c r="DV38" s="89">
        <f t="shared" si="81"/>
        <v>0</v>
      </c>
      <c r="DW38" s="99"/>
      <c r="DX38" s="90">
        <f t="shared" si="82"/>
        <v>0</v>
      </c>
      <c r="DY38" s="89">
        <f t="shared" si="83"/>
        <v>0</v>
      </c>
      <c r="DZ38" s="457">
        <f t="shared" si="84"/>
        <v>0</v>
      </c>
      <c r="EA38" s="99"/>
      <c r="EB38" s="89">
        <f t="shared" si="85"/>
        <v>0</v>
      </c>
      <c r="EC38" s="89">
        <f t="shared" si="86"/>
        <v>530875</v>
      </c>
      <c r="ED38" s="89">
        <f t="shared" si="87"/>
        <v>38.13991253640323</v>
      </c>
      <c r="EE38" s="89">
        <f t="shared" si="47"/>
        <v>0</v>
      </c>
      <c r="EF38" s="89">
        <f t="shared" si="88"/>
        <v>0</v>
      </c>
      <c r="EG38" s="89">
        <f t="shared" si="89"/>
        <v>530875</v>
      </c>
      <c r="EH38" s="89">
        <f t="shared" si="90"/>
        <v>38.13991253640323</v>
      </c>
      <c r="EI38" s="89">
        <v>22531.226450331607</v>
      </c>
      <c r="EJ38" s="89">
        <f t="shared" si="91"/>
        <v>39.953065151324424</v>
      </c>
      <c r="EK38" s="89">
        <f t="shared" si="92"/>
        <v>138782.31088660369</v>
      </c>
      <c r="EL38" s="89">
        <f t="shared" si="93"/>
        <v>9.9706055075394158</v>
      </c>
      <c r="EM38" s="89">
        <v>16889.165986444135</v>
      </c>
      <c r="EN38" s="89">
        <f t="shared" si="94"/>
        <v>29.948389649157509</v>
      </c>
      <c r="EO38" s="89">
        <f t="shared" si="95"/>
        <v>98666.71719646889</v>
      </c>
      <c r="EP38" s="89">
        <f t="shared" si="96"/>
        <v>7.0885612698419713</v>
      </c>
      <c r="EQ38" s="89">
        <v>2449.1014685518549</v>
      </c>
      <c r="ER38" s="89">
        <f t="shared" si="97"/>
        <v>4.342822205038753</v>
      </c>
      <c r="ES38" s="89">
        <f t="shared" si="98"/>
        <v>14876.34043514197</v>
      </c>
      <c r="ET38" s="89">
        <f t="shared" si="99"/>
        <v>1.0687682091981607</v>
      </c>
      <c r="EU38" s="89">
        <v>9892.7473398440343</v>
      </c>
      <c r="EV38" s="89">
        <f t="shared" si="100"/>
        <v>17.542124476253843</v>
      </c>
      <c r="EW38" s="89">
        <f t="shared" si="101"/>
        <v>66086.168784884241</v>
      </c>
      <c r="EX38" s="89">
        <f t="shared" si="102"/>
        <v>4.7478609791786512</v>
      </c>
      <c r="EY38" s="89"/>
      <c r="EZ38" s="89">
        <f t="shared" si="103"/>
        <v>0</v>
      </c>
      <c r="FA38" s="89">
        <f t="shared" si="104"/>
        <v>4390.0210148704045</v>
      </c>
      <c r="FB38" s="89">
        <f t="shared" si="105"/>
        <v>0.31539442908430304</v>
      </c>
      <c r="FC38" s="89">
        <v>4631.9962557393774</v>
      </c>
      <c r="FD38" s="89">
        <f t="shared" si="106"/>
        <v>8.2135985182254672</v>
      </c>
      <c r="FE38" s="89">
        <f t="shared" si="107"/>
        <v>18757.757702640112</v>
      </c>
      <c r="FF38" s="89">
        <f t="shared" si="108"/>
        <v>1.3476227702523906</v>
      </c>
      <c r="FG38" s="89"/>
      <c r="FH38" s="89">
        <f t="shared" si="109"/>
        <v>0</v>
      </c>
      <c r="FI38" s="89">
        <f t="shared" si="110"/>
        <v>999.9890820331151</v>
      </c>
      <c r="FJ38" s="89">
        <f t="shared" si="111"/>
        <v>7.1842705205747426E-2</v>
      </c>
      <c r="FK38" s="89">
        <f t="shared" si="127"/>
        <v>56394.237500911011</v>
      </c>
      <c r="FL38" s="89">
        <f t="shared" si="113"/>
        <v>100</v>
      </c>
      <c r="FM38" s="89">
        <f t="shared" si="114"/>
        <v>342559.30510264245</v>
      </c>
      <c r="FN38" s="89">
        <f t="shared" si="115"/>
        <v>24.61065587030064</v>
      </c>
      <c r="FO38" s="89"/>
      <c r="FP38" s="89">
        <f t="shared" si="116"/>
        <v>0</v>
      </c>
      <c r="FQ38" s="89">
        <f t="shared" si="117"/>
        <v>300</v>
      </c>
      <c r="FR38" s="89">
        <f t="shared" si="118"/>
        <v>2.1553046877176303E-2</v>
      </c>
      <c r="FS38" s="89"/>
      <c r="FT38" s="89">
        <f t="shared" si="119"/>
        <v>0</v>
      </c>
      <c r="FU38" s="89">
        <f t="shared" si="120"/>
        <v>254980</v>
      </c>
      <c r="FV38" s="89">
        <f t="shared" si="121"/>
        <v>18.318652975808046</v>
      </c>
      <c r="FW38" s="89">
        <f t="shared" si="126"/>
        <v>56394.237500911011</v>
      </c>
      <c r="FX38" s="89">
        <f t="shared" si="123"/>
        <v>1391914.5711026425</v>
      </c>
      <c r="FY38" s="89">
        <f t="shared" si="48"/>
        <v>1.0887548989499587</v>
      </c>
      <c r="FZ38" s="89">
        <f t="shared" si="49"/>
        <v>1.0861883849546203</v>
      </c>
      <c r="GA38" s="6"/>
      <c r="GB38" s="456" t="e">
        <f t="shared" si="124"/>
        <v>#DIV/0!</v>
      </c>
      <c r="GC38" s="456">
        <f>(SUM($GA$10:GA38))/(SUM($EE$10:EE38))</f>
        <v>0</v>
      </c>
      <c r="GD38" s="3" t="s">
        <v>737</v>
      </c>
    </row>
    <row r="39" spans="1:186">
      <c r="A39" s="16">
        <f>+Chem!A39</f>
        <v>45868</v>
      </c>
      <c r="B39" s="6" t="str">
        <f>+Chem!B39</f>
        <v>Toilet</v>
      </c>
      <c r="C39" s="16" t="str">
        <f>+Chem!C39</f>
        <v>15,5</v>
      </c>
      <c r="D39" s="8">
        <f>+Chem!D39</f>
        <v>55.137</v>
      </c>
      <c r="E39" s="7">
        <f>+Chem!E39</f>
        <v>50.341999999999999</v>
      </c>
      <c r="F39" s="7">
        <f t="shared" si="125"/>
        <v>1331.809</v>
      </c>
      <c r="G39" s="99"/>
      <c r="H39" s="89">
        <f t="shared" si="0"/>
        <v>0</v>
      </c>
      <c r="I39" s="8">
        <f t="shared" si="50"/>
        <v>0</v>
      </c>
      <c r="J39" s="89">
        <f t="shared" si="1"/>
        <v>0</v>
      </c>
      <c r="K39" s="99"/>
      <c r="L39" s="89">
        <f t="shared" si="2"/>
        <v>0</v>
      </c>
      <c r="M39" s="89">
        <f t="shared" si="51"/>
        <v>0</v>
      </c>
      <c r="N39" s="89">
        <f t="shared" si="3"/>
        <v>0</v>
      </c>
      <c r="O39" s="99"/>
      <c r="P39" s="89">
        <f t="shared" si="4"/>
        <v>0</v>
      </c>
      <c r="Q39" s="89">
        <f t="shared" si="52"/>
        <v>0</v>
      </c>
      <c r="R39" s="89">
        <f t="shared" si="5"/>
        <v>0</v>
      </c>
      <c r="S39" s="99"/>
      <c r="T39" s="89">
        <f t="shared" si="6"/>
        <v>0</v>
      </c>
      <c r="U39" s="89">
        <f t="shared" si="53"/>
        <v>0</v>
      </c>
      <c r="V39" s="89">
        <f t="shared" si="7"/>
        <v>0</v>
      </c>
      <c r="W39" s="99"/>
      <c r="X39" s="89">
        <f t="shared" si="8"/>
        <v>0</v>
      </c>
      <c r="Y39" s="89">
        <f t="shared" si="54"/>
        <v>0</v>
      </c>
      <c r="Z39" s="89">
        <f t="shared" si="9"/>
        <v>0</v>
      </c>
      <c r="AA39" s="99"/>
      <c r="AB39" s="89">
        <f t="shared" si="10"/>
        <v>0</v>
      </c>
      <c r="AC39" s="89">
        <f t="shared" si="55"/>
        <v>105385.125</v>
      </c>
      <c r="AD39" s="89">
        <f t="shared" si="11"/>
        <v>7.2822736369090784</v>
      </c>
      <c r="AE39" s="99"/>
      <c r="AF39" s="89">
        <f t="shared" si="12"/>
        <v>0</v>
      </c>
      <c r="AG39" s="89">
        <f t="shared" si="56"/>
        <v>0</v>
      </c>
      <c r="AH39" s="89">
        <f t="shared" si="13"/>
        <v>0</v>
      </c>
      <c r="AI39" s="99"/>
      <c r="AJ39" s="89">
        <f t="shared" si="14"/>
        <v>0</v>
      </c>
      <c r="AK39" s="89">
        <f t="shared" si="57"/>
        <v>0</v>
      </c>
      <c r="AL39" s="89">
        <f t="shared" si="15"/>
        <v>0</v>
      </c>
      <c r="AM39" s="99"/>
      <c r="AN39" s="89">
        <f t="shared" si="16"/>
        <v>0</v>
      </c>
      <c r="AO39" s="89">
        <f t="shared" si="58"/>
        <v>0</v>
      </c>
      <c r="AP39" s="89">
        <f t="shared" si="17"/>
        <v>0</v>
      </c>
      <c r="AQ39" s="99"/>
      <c r="AR39" s="89">
        <f t="shared" si="18"/>
        <v>0</v>
      </c>
      <c r="AS39" s="89">
        <f t="shared" si="59"/>
        <v>0</v>
      </c>
      <c r="AT39" s="89">
        <f t="shared" si="19"/>
        <v>0</v>
      </c>
      <c r="AU39" s="250"/>
      <c r="AV39" s="89">
        <f t="shared" si="20"/>
        <v>0</v>
      </c>
      <c r="AW39" s="8">
        <f t="shared" si="60"/>
        <v>0</v>
      </c>
      <c r="AX39" s="89">
        <f t="shared" si="21"/>
        <v>0</v>
      </c>
      <c r="AY39" s="99"/>
      <c r="AZ39" s="89">
        <f t="shared" si="22"/>
        <v>0</v>
      </c>
      <c r="BA39" s="89">
        <f t="shared" si="61"/>
        <v>0</v>
      </c>
      <c r="BB39" s="89">
        <f t="shared" si="23"/>
        <v>0</v>
      </c>
      <c r="BC39" s="99"/>
      <c r="BD39" s="89">
        <f t="shared" si="24"/>
        <v>0</v>
      </c>
      <c r="BE39" s="89">
        <f t="shared" si="62"/>
        <v>0</v>
      </c>
      <c r="BF39" s="89">
        <f t="shared" si="25"/>
        <v>0</v>
      </c>
      <c r="BG39" s="99"/>
      <c r="BH39" s="89">
        <f t="shared" si="26"/>
        <v>0</v>
      </c>
      <c r="BI39" s="89">
        <f t="shared" si="63"/>
        <v>0</v>
      </c>
      <c r="BJ39" s="89">
        <f t="shared" si="27"/>
        <v>0</v>
      </c>
      <c r="BK39" s="99"/>
      <c r="BL39" s="89"/>
      <c r="BM39" s="89"/>
      <c r="BN39" s="89"/>
      <c r="BO39" s="99"/>
      <c r="BP39" s="89"/>
      <c r="BQ39" s="89"/>
      <c r="BR39" s="89"/>
      <c r="BS39" s="99"/>
      <c r="BT39" s="89"/>
      <c r="BU39" s="89"/>
      <c r="BV39" s="89"/>
      <c r="BW39" s="89">
        <f t="shared" si="64"/>
        <v>0</v>
      </c>
      <c r="BX39" s="89">
        <f t="shared" si="28"/>
        <v>0</v>
      </c>
      <c r="BY39" s="89">
        <f t="shared" si="65"/>
        <v>105385.125</v>
      </c>
      <c r="BZ39" s="89">
        <f t="shared" si="29"/>
        <v>7.2822736369090784</v>
      </c>
      <c r="CA39" s="99"/>
      <c r="CB39" s="89">
        <f t="shared" si="30"/>
        <v>0</v>
      </c>
      <c r="CC39" s="89"/>
      <c r="CD39" s="89">
        <f t="shared" si="31"/>
        <v>0</v>
      </c>
      <c r="CE39" s="99"/>
      <c r="CF39" s="89">
        <f t="shared" si="32"/>
        <v>0</v>
      </c>
      <c r="CG39" s="89">
        <f t="shared" si="66"/>
        <v>0</v>
      </c>
      <c r="CH39" s="89">
        <f t="shared" si="33"/>
        <v>0</v>
      </c>
      <c r="CI39" s="99"/>
      <c r="CJ39" s="89">
        <f t="shared" si="34"/>
        <v>0</v>
      </c>
      <c r="CK39" s="89">
        <f t="shared" si="67"/>
        <v>55065.141000000003</v>
      </c>
      <c r="CL39" s="89">
        <f t="shared" si="35"/>
        <v>3.8050856287069097</v>
      </c>
      <c r="CM39" s="99"/>
      <c r="CN39" s="89">
        <f t="shared" si="36"/>
        <v>0</v>
      </c>
      <c r="CO39" s="89">
        <f t="shared" si="68"/>
        <v>0</v>
      </c>
      <c r="CP39" s="89">
        <f t="shared" si="37"/>
        <v>0</v>
      </c>
      <c r="CQ39" s="99"/>
      <c r="CR39" s="89">
        <f t="shared" si="38"/>
        <v>0</v>
      </c>
      <c r="CS39" s="89">
        <f t="shared" si="69"/>
        <v>0</v>
      </c>
      <c r="CT39" s="89">
        <f t="shared" si="39"/>
        <v>0</v>
      </c>
      <c r="CU39" s="99"/>
      <c r="CV39" s="89">
        <f t="shared" si="40"/>
        <v>0</v>
      </c>
      <c r="CW39" s="89">
        <f t="shared" si="70"/>
        <v>0</v>
      </c>
      <c r="CX39" s="89">
        <f t="shared" si="41"/>
        <v>0</v>
      </c>
      <c r="CY39" s="99"/>
      <c r="CZ39" s="89">
        <f t="shared" si="42"/>
        <v>0</v>
      </c>
      <c r="DA39" s="89">
        <f t="shared" si="71"/>
        <v>102750</v>
      </c>
      <c r="DB39" s="89">
        <f t="shared" si="43"/>
        <v>7.1001824611624062E-2</v>
      </c>
      <c r="DC39" s="99"/>
      <c r="DD39" s="89">
        <f t="shared" si="44"/>
        <v>0</v>
      </c>
      <c r="DE39" s="89">
        <f t="shared" si="72"/>
        <v>0</v>
      </c>
      <c r="DF39" s="89">
        <f t="shared" si="45"/>
        <v>0</v>
      </c>
      <c r="DG39" s="99"/>
      <c r="DH39" s="89"/>
      <c r="DI39" s="89"/>
      <c r="DJ39" s="89"/>
      <c r="DK39" s="89">
        <f t="shared" si="73"/>
        <v>0</v>
      </c>
      <c r="DL39" s="89">
        <f t="shared" si="74"/>
        <v>0</v>
      </c>
      <c r="DM39" s="89">
        <f t="shared" si="75"/>
        <v>157815.141</v>
      </c>
      <c r="DN39" s="89">
        <f t="shared" si="46"/>
        <v>10.905268089869317</v>
      </c>
      <c r="DO39" s="99"/>
      <c r="DP39" s="89">
        <f t="shared" si="76"/>
        <v>0</v>
      </c>
      <c r="DQ39" s="89">
        <f t="shared" si="77"/>
        <v>0</v>
      </c>
      <c r="DR39" s="89">
        <f t="shared" si="78"/>
        <v>0</v>
      </c>
      <c r="DS39" s="99"/>
      <c r="DT39" s="90">
        <f t="shared" si="79"/>
        <v>0</v>
      </c>
      <c r="DU39" s="89">
        <f t="shared" si="80"/>
        <v>0</v>
      </c>
      <c r="DV39" s="89">
        <f t="shared" si="81"/>
        <v>0</v>
      </c>
      <c r="DW39" s="99"/>
      <c r="DX39" s="90">
        <f t="shared" si="82"/>
        <v>0</v>
      </c>
      <c r="DY39" s="89">
        <f t="shared" si="83"/>
        <v>0</v>
      </c>
      <c r="DZ39" s="457">
        <f t="shared" si="84"/>
        <v>0</v>
      </c>
      <c r="EA39" s="99"/>
      <c r="EB39" s="89">
        <f t="shared" si="85"/>
        <v>0</v>
      </c>
      <c r="EC39" s="89">
        <f t="shared" si="86"/>
        <v>530875</v>
      </c>
      <c r="ED39" s="89">
        <f t="shared" si="87"/>
        <v>36.684276049339097</v>
      </c>
      <c r="EE39" s="89">
        <f t="shared" si="47"/>
        <v>0</v>
      </c>
      <c r="EF39" s="89">
        <f t="shared" si="88"/>
        <v>0</v>
      </c>
      <c r="EG39" s="89">
        <f t="shared" si="89"/>
        <v>530875</v>
      </c>
      <c r="EH39" s="89">
        <f t="shared" si="90"/>
        <v>36.684276049339097</v>
      </c>
      <c r="EI39" s="89">
        <v>19929.470908869924</v>
      </c>
      <c r="EJ39" s="89">
        <f t="shared" si="91"/>
        <v>36.083628896770584</v>
      </c>
      <c r="EK39" s="89">
        <f t="shared" si="92"/>
        <v>158711.78179547362</v>
      </c>
      <c r="EL39" s="89">
        <f t="shared" si="93"/>
        <v>10.967227342910528</v>
      </c>
      <c r="EM39" s="89">
        <v>18805.667324251805</v>
      </c>
      <c r="EN39" s="89">
        <f t="shared" si="94"/>
        <v>34.04890797087922</v>
      </c>
      <c r="EO39" s="89">
        <f t="shared" si="95"/>
        <v>117472.38452072069</v>
      </c>
      <c r="EP39" s="89">
        <f t="shared" si="96"/>
        <v>8.1175217931381738</v>
      </c>
      <c r="EQ39" s="89">
        <v>3175.518385893397</v>
      </c>
      <c r="ER39" s="89">
        <f t="shared" si="97"/>
        <v>5.7494866529774127</v>
      </c>
      <c r="ES39" s="89">
        <f t="shared" si="98"/>
        <v>18051.858821035366</v>
      </c>
      <c r="ET39" s="89">
        <f t="shared" si="99"/>
        <v>1.2474111084427757</v>
      </c>
      <c r="EU39" s="89">
        <v>7956.8386828351595</v>
      </c>
      <c r="EV39" s="89">
        <f t="shared" si="100"/>
        <v>14.406384170244538</v>
      </c>
      <c r="EW39" s="89">
        <f t="shared" si="101"/>
        <v>74043.007467719406</v>
      </c>
      <c r="EX39" s="89">
        <f t="shared" si="102"/>
        <v>5.1164852846133178</v>
      </c>
      <c r="EY39" s="89"/>
      <c r="EZ39" s="89">
        <f t="shared" si="103"/>
        <v>0</v>
      </c>
      <c r="FA39" s="89">
        <f t="shared" si="104"/>
        <v>4390.0210148704045</v>
      </c>
      <c r="FB39" s="89">
        <f t="shared" si="105"/>
        <v>0.30335717969749132</v>
      </c>
      <c r="FC39" s="89">
        <v>5363.8423385098695</v>
      </c>
      <c r="FD39" s="89">
        <f t="shared" si="106"/>
        <v>9.7115923091282426</v>
      </c>
      <c r="FE39" s="89">
        <f t="shared" si="107"/>
        <v>24121.600041149981</v>
      </c>
      <c r="FF39" s="89">
        <f t="shared" si="108"/>
        <v>1.666839528441338</v>
      </c>
      <c r="FG39" s="89"/>
      <c r="FH39" s="89">
        <f t="shared" si="109"/>
        <v>0</v>
      </c>
      <c r="FI39" s="89">
        <f t="shared" si="110"/>
        <v>999.9890820331151</v>
      </c>
      <c r="FJ39" s="89">
        <f t="shared" si="111"/>
        <v>6.9100778020490694E-2</v>
      </c>
      <c r="FK39" s="89">
        <f t="shared" si="127"/>
        <v>55231.337640360158</v>
      </c>
      <c r="FL39" s="89">
        <f t="shared" si="113"/>
        <v>100</v>
      </c>
      <c r="FM39" s="89">
        <f t="shared" si="114"/>
        <v>397790.64274300262</v>
      </c>
      <c r="FN39" s="89">
        <f t="shared" si="115"/>
        <v>27.487943015264115</v>
      </c>
      <c r="FO39" s="89"/>
      <c r="FP39" s="89">
        <f t="shared" si="116"/>
        <v>0</v>
      </c>
      <c r="FQ39" s="89">
        <f t="shared" si="117"/>
        <v>300</v>
      </c>
      <c r="FR39" s="89">
        <f t="shared" si="118"/>
        <v>2.0730459740620162E-2</v>
      </c>
      <c r="FS39" s="89"/>
      <c r="FT39" s="89">
        <f t="shared" si="119"/>
        <v>0</v>
      </c>
      <c r="FU39" s="89">
        <f t="shared" si="120"/>
        <v>254980</v>
      </c>
      <c r="FV39" s="89">
        <f t="shared" si="121"/>
        <v>17.619508748877767</v>
      </c>
      <c r="FW39" s="89">
        <f t="shared" si="126"/>
        <v>55231.337640360158</v>
      </c>
      <c r="FX39" s="89">
        <f t="shared" si="123"/>
        <v>1447145.9087430027</v>
      </c>
      <c r="FY39" s="89">
        <f t="shared" si="48"/>
        <v>1.0971224353494133</v>
      </c>
      <c r="FZ39" s="89">
        <f t="shared" si="49"/>
        <v>1.0866016889381307</v>
      </c>
      <c r="GA39" s="6"/>
      <c r="GB39" s="456" t="e">
        <f t="shared" si="124"/>
        <v>#DIV/0!</v>
      </c>
      <c r="GC39" s="456">
        <f>(SUM($GA$10:GA39))/(SUM($EE$10:EE39))</f>
        <v>0</v>
      </c>
      <c r="GD39" s="3" t="s">
        <v>737</v>
      </c>
    </row>
    <row r="40" spans="1:186">
      <c r="A40" s="16">
        <f>+Chem!A40</f>
        <v>45869</v>
      </c>
      <c r="B40" s="6" t="str">
        <f>+Chem!B40</f>
        <v>Toilet</v>
      </c>
      <c r="C40" s="16" t="str">
        <f>+Chem!C40</f>
        <v>15,5/13,5</v>
      </c>
      <c r="D40" s="8">
        <f>+Chem!D40</f>
        <v>53.825999999999993</v>
      </c>
      <c r="E40" s="7">
        <f>+Chem!E40</f>
        <v>53.884999999999998</v>
      </c>
      <c r="F40" s="7">
        <f t="shared" ref="F40" si="128">+E40+F39</f>
        <v>1385.694</v>
      </c>
      <c r="G40" s="99"/>
      <c r="H40" s="89">
        <f t="shared" ref="H40" si="129">G40/FW40*100</f>
        <v>0</v>
      </c>
      <c r="I40" s="8">
        <f t="shared" ref="I40" si="130">G40+I39</f>
        <v>0</v>
      </c>
      <c r="J40" s="89">
        <f t="shared" ref="J40" si="131">I40/FX40*100</f>
        <v>0</v>
      </c>
      <c r="K40" s="99"/>
      <c r="L40" s="89">
        <f t="shared" ref="L40" si="132">+K40/FW40*100</f>
        <v>0</v>
      </c>
      <c r="M40" s="89">
        <f t="shared" ref="M40" si="133">+K40+M39</f>
        <v>0</v>
      </c>
      <c r="N40" s="89">
        <f t="shared" ref="N40" si="134">+M40/FX40*100</f>
        <v>0</v>
      </c>
      <c r="O40" s="99"/>
      <c r="P40" s="89">
        <f t="shared" ref="P40" si="135">+O40/FW40*100</f>
        <v>0</v>
      </c>
      <c r="Q40" s="89">
        <f t="shared" ref="Q40" si="136">+O40+Q39</f>
        <v>0</v>
      </c>
      <c r="R40" s="89">
        <f t="shared" ref="R40" si="137">+Q40/FX40*100</f>
        <v>0</v>
      </c>
      <c r="S40" s="99"/>
      <c r="T40" s="89">
        <f t="shared" ref="T40" si="138">+S40/FW40*100</f>
        <v>0</v>
      </c>
      <c r="U40" s="89">
        <f t="shared" ref="U40" si="139">+S40+U39</f>
        <v>0</v>
      </c>
      <c r="V40" s="89">
        <f t="shared" ref="V40" si="140">+U40/FX40*100</f>
        <v>0</v>
      </c>
      <c r="W40" s="99"/>
      <c r="X40" s="89">
        <f t="shared" ref="X40" si="141">+W40/FW40*100</f>
        <v>0</v>
      </c>
      <c r="Y40" s="89">
        <f t="shared" ref="Y40" si="142">+W40+Y39</f>
        <v>0</v>
      </c>
      <c r="Z40" s="89">
        <f t="shared" ref="Z40" si="143">+Y40/FX40*100</f>
        <v>0</v>
      </c>
      <c r="AA40" s="99"/>
      <c r="AB40" s="89">
        <f t="shared" ref="AB40" si="144">AA40/FW40*100</f>
        <v>0</v>
      </c>
      <c r="AC40" s="89">
        <f t="shared" ref="AC40" si="145">AA40+AC39</f>
        <v>105385.125</v>
      </c>
      <c r="AD40" s="89">
        <f t="shared" ref="AD40" si="146">AC40/FX40*100</f>
        <v>7.0152442567989635</v>
      </c>
      <c r="AE40" s="99"/>
      <c r="AF40" s="89">
        <f t="shared" ref="AF40" si="147">+AE40/FW40*100</f>
        <v>0</v>
      </c>
      <c r="AG40" s="89">
        <f t="shared" ref="AG40" si="148">+AE40+AG39</f>
        <v>0</v>
      </c>
      <c r="AH40" s="89">
        <f t="shared" ref="AH40" si="149">+AG40/FX40*100</f>
        <v>0</v>
      </c>
      <c r="AI40" s="99"/>
      <c r="AJ40" s="89">
        <f t="shared" ref="AJ40" si="150">AI40/FW40*100</f>
        <v>0</v>
      </c>
      <c r="AK40" s="89">
        <f t="shared" ref="AK40" si="151">AI40+AK39</f>
        <v>0</v>
      </c>
      <c r="AL40" s="89">
        <f t="shared" ref="AL40" si="152">AK40/FX40*100</f>
        <v>0</v>
      </c>
      <c r="AM40" s="99"/>
      <c r="AN40" s="89">
        <f t="shared" ref="AN40" si="153">AM40/FW40*100</f>
        <v>0</v>
      </c>
      <c r="AO40" s="89">
        <f t="shared" ref="AO40" si="154">+AM40+AO39</f>
        <v>0</v>
      </c>
      <c r="AP40" s="89">
        <f t="shared" ref="AP40" si="155">+AO40/FX40*100</f>
        <v>0</v>
      </c>
      <c r="AQ40" s="99"/>
      <c r="AR40" s="89">
        <f t="shared" ref="AR40" si="156">AQ40/FW40*100</f>
        <v>0</v>
      </c>
      <c r="AS40" s="89">
        <f t="shared" ref="AS40" si="157">AQ40+AS39</f>
        <v>0</v>
      </c>
      <c r="AT40" s="89">
        <f t="shared" ref="AT40" si="158">AS40/FX40*100</f>
        <v>0</v>
      </c>
      <c r="AU40" s="250"/>
      <c r="AV40" s="89">
        <f t="shared" ref="AV40" si="159">AU40/FW40*100</f>
        <v>0</v>
      </c>
      <c r="AW40" s="8">
        <f t="shared" ref="AW40" si="160">AU40+AW39</f>
        <v>0</v>
      </c>
      <c r="AX40" s="89">
        <f t="shared" ref="AX40" si="161">AW40/FX40*100</f>
        <v>0</v>
      </c>
      <c r="AY40" s="99"/>
      <c r="AZ40" s="89">
        <f t="shared" ref="AZ40" si="162">AY40/FW40*100</f>
        <v>0</v>
      </c>
      <c r="BA40" s="89">
        <f t="shared" ref="BA40" si="163">AY40+BA39</f>
        <v>0</v>
      </c>
      <c r="BB40" s="89">
        <f t="shared" ref="BB40" si="164">BA40/FX40*100</f>
        <v>0</v>
      </c>
      <c r="BC40" s="99"/>
      <c r="BD40" s="89">
        <f t="shared" ref="BD40" si="165">BC40/FW40*100</f>
        <v>0</v>
      </c>
      <c r="BE40" s="89">
        <f t="shared" ref="BE40" si="166">BC40+BE39</f>
        <v>0</v>
      </c>
      <c r="BF40" s="89">
        <f t="shared" ref="BF40" si="167">BE40/FX40*100</f>
        <v>0</v>
      </c>
      <c r="BG40" s="99"/>
      <c r="BH40" s="89">
        <f t="shared" ref="BH40" si="168">BG40/FW40*100</f>
        <v>0</v>
      </c>
      <c r="BI40" s="89">
        <f t="shared" ref="BI40" si="169">BG40+BI39</f>
        <v>0</v>
      </c>
      <c r="BJ40" s="89">
        <f t="shared" ref="BJ40" si="170">BI40/FX40*100</f>
        <v>0</v>
      </c>
      <c r="BK40" s="99"/>
      <c r="BL40" s="89"/>
      <c r="BM40" s="89"/>
      <c r="BN40" s="89"/>
      <c r="BO40" s="99"/>
      <c r="BP40" s="89"/>
      <c r="BQ40" s="89"/>
      <c r="BR40" s="89"/>
      <c r="BS40" s="99"/>
      <c r="BT40" s="89"/>
      <c r="BU40" s="89"/>
      <c r="BV40" s="89"/>
      <c r="BW40" s="89">
        <f t="shared" ref="BW40" si="171">G40+AY40+BK40+BG40+BS40+BO40+AU40+AI40+BC40+AQ40+AA40+AM40+AE40+K40+W40+S40+O40</f>
        <v>0</v>
      </c>
      <c r="BX40" s="89">
        <f t="shared" ref="BX40" si="172">BW40/FW40*100</f>
        <v>0</v>
      </c>
      <c r="BY40" s="89">
        <f t="shared" ref="BY40" si="173">BW40+BY39</f>
        <v>105385.125</v>
      </c>
      <c r="BZ40" s="89">
        <f t="shared" ref="BZ40" si="174">BY40/FX40*100</f>
        <v>7.0152442567989635</v>
      </c>
      <c r="CA40" s="99"/>
      <c r="CB40" s="89">
        <f t="shared" ref="CB40" si="175">CA40/FW40*100</f>
        <v>0</v>
      </c>
      <c r="CC40" s="89"/>
      <c r="CD40" s="89">
        <f t="shared" ref="CD40" si="176">CC40/FX40*100</f>
        <v>0</v>
      </c>
      <c r="CE40" s="99"/>
      <c r="CF40" s="89">
        <f t="shared" ref="CF40" si="177">CE40/FW40*100</f>
        <v>0</v>
      </c>
      <c r="CG40" s="89">
        <f t="shared" ref="CG40" si="178">CE40+CG39</f>
        <v>0</v>
      </c>
      <c r="CH40" s="89">
        <f t="shared" ref="CH40" si="179">CG40/FX40*100</f>
        <v>0</v>
      </c>
      <c r="CI40" s="99"/>
      <c r="CJ40" s="89">
        <f t="shared" ref="CJ40" si="180">CI40/FW40*100</f>
        <v>0</v>
      </c>
      <c r="CK40" s="89">
        <f t="shared" ref="CK40" si="181">CI40+CK39</f>
        <v>55065.141000000003</v>
      </c>
      <c r="CL40" s="89">
        <f t="shared" ref="CL40" si="182">CK40/FX40*100</f>
        <v>3.665559196803867</v>
      </c>
      <c r="CM40" s="99"/>
      <c r="CN40" s="89">
        <f t="shared" ref="CN40" si="183">CM40/FW40*100</f>
        <v>0</v>
      </c>
      <c r="CO40" s="89">
        <f t="shared" ref="CO40" si="184">CM40+CO39</f>
        <v>0</v>
      </c>
      <c r="CP40" s="89">
        <f t="shared" ref="CP40" si="185">CO40/FX40*100</f>
        <v>0</v>
      </c>
      <c r="CQ40" s="99"/>
      <c r="CR40" s="89">
        <f t="shared" ref="CR40" si="186">CQ40/FW40*100</f>
        <v>0</v>
      </c>
      <c r="CS40" s="89">
        <f t="shared" ref="CS40" si="187">CQ40+CS39</f>
        <v>0</v>
      </c>
      <c r="CT40" s="89">
        <f t="shared" ref="CT40" si="188">CS40/FX40*100</f>
        <v>0</v>
      </c>
      <c r="CU40" s="99"/>
      <c r="CV40" s="89">
        <f t="shared" ref="CV40" si="189">CU40/FW40*100</f>
        <v>0</v>
      </c>
      <c r="CW40" s="89">
        <f t="shared" ref="CW40" si="190">CU40+CW39</f>
        <v>0</v>
      </c>
      <c r="CX40" s="89">
        <f t="shared" ref="CX40" si="191">CW40/FX40*100</f>
        <v>0</v>
      </c>
      <c r="CY40" s="99"/>
      <c r="CZ40" s="89">
        <f t="shared" ref="CZ40" si="192">CY40/FW40*100</f>
        <v>0</v>
      </c>
      <c r="DA40" s="89">
        <f t="shared" ref="DA40" si="193">CY40+DA39</f>
        <v>102750</v>
      </c>
      <c r="DB40" s="89">
        <f t="shared" ref="DB40" si="194">DA40/FX40</f>
        <v>6.8398300745583729E-2</v>
      </c>
      <c r="DC40" s="99"/>
      <c r="DD40" s="89">
        <f t="shared" ref="DD40" si="195">DC40/FW40*100</f>
        <v>0</v>
      </c>
      <c r="DE40" s="89">
        <f t="shared" ref="DE40" si="196">DC40+DE39</f>
        <v>0</v>
      </c>
      <c r="DF40" s="89">
        <f t="shared" ref="DF40" si="197">DE40/FX40*100</f>
        <v>0</v>
      </c>
      <c r="DG40" s="99"/>
      <c r="DH40" s="89"/>
      <c r="DI40" s="89"/>
      <c r="DJ40" s="89"/>
      <c r="DK40" s="89">
        <f t="shared" ref="DK40" si="198">CA40+CE40+CI40+CM40+CQ40+CU40+CY40+DC40</f>
        <v>0</v>
      </c>
      <c r="DL40" s="89">
        <f t="shared" ref="DL40" si="199">DK40/FW40*100</f>
        <v>0</v>
      </c>
      <c r="DM40" s="89">
        <f t="shared" ref="DM40" si="200">DK40+DM39</f>
        <v>157815.141</v>
      </c>
      <c r="DN40" s="89">
        <f t="shared" ref="DN40" si="201">DM40/FX40*100</f>
        <v>10.50538927136224</v>
      </c>
      <c r="DO40" s="99"/>
      <c r="DP40" s="89">
        <f t="shared" ref="DP40" si="202">DO40/FW40*100</f>
        <v>0</v>
      </c>
      <c r="DQ40" s="89">
        <f t="shared" ref="DQ40" si="203">DO40+DQ39</f>
        <v>0</v>
      </c>
      <c r="DR40" s="89">
        <f t="shared" ref="DR40" si="204">DQ40/FX40*100</f>
        <v>0</v>
      </c>
      <c r="DS40" s="99"/>
      <c r="DT40" s="90">
        <f t="shared" ref="DT40" si="205">DS40/FW40*100</f>
        <v>0</v>
      </c>
      <c r="DU40" s="89">
        <f t="shared" ref="DU40" si="206">DS40+DU39</f>
        <v>0</v>
      </c>
      <c r="DV40" s="89">
        <f t="shared" ref="DV40" si="207">DU40/FX40*100</f>
        <v>0</v>
      </c>
      <c r="DW40" s="99"/>
      <c r="DX40" s="90">
        <f t="shared" ref="DX40" si="208">DW40/FW40*100</f>
        <v>0</v>
      </c>
      <c r="DY40" s="89">
        <f t="shared" ref="DY40" si="209">DW40</f>
        <v>0</v>
      </c>
      <c r="DZ40" s="457">
        <f t="shared" ref="DZ40" si="210">DY40/FX40*100</f>
        <v>0</v>
      </c>
      <c r="EA40" s="99"/>
      <c r="EB40" s="89">
        <f t="shared" ref="EB40" si="211">+EA40/FW40*100</f>
        <v>0</v>
      </c>
      <c r="EC40" s="89">
        <f t="shared" ref="EC40" si="212">+EA40+EC39</f>
        <v>530875</v>
      </c>
      <c r="ED40" s="89">
        <f t="shared" ref="ED40" si="213">+EC40/FX40*100</f>
        <v>35.339122051884928</v>
      </c>
      <c r="EE40" s="89">
        <f t="shared" ref="EE40" si="214">EA40+DO40+DS40+DW40</f>
        <v>0</v>
      </c>
      <c r="EF40" s="89">
        <f t="shared" ref="EF40" si="215">EE40/FW40*100</f>
        <v>0</v>
      </c>
      <c r="EG40" s="89">
        <f t="shared" ref="EG40" si="216">EE40+EG39</f>
        <v>530875</v>
      </c>
      <c r="EH40" s="89">
        <f t="shared" ref="EH40" si="217">EG40/FX40*100</f>
        <v>35.339122051884928</v>
      </c>
      <c r="EI40" s="89">
        <v>19394.640973514124</v>
      </c>
      <c r="EJ40" s="89">
        <f t="shared" si="91"/>
        <v>35.208958020989513</v>
      </c>
      <c r="EK40" s="89">
        <f t="shared" si="92"/>
        <v>178106.42276898774</v>
      </c>
      <c r="EL40" s="89">
        <f t="shared" si="93"/>
        <v>11.856133011458207</v>
      </c>
      <c r="EM40" s="89">
        <v>19281.086189371126</v>
      </c>
      <c r="EN40" s="89">
        <f t="shared" si="94"/>
        <v>35.002811094452781</v>
      </c>
      <c r="EO40" s="89">
        <f t="shared" si="95"/>
        <v>136753.47071009182</v>
      </c>
      <c r="EP40" s="89">
        <f t="shared" si="96"/>
        <v>9.1033625475729796</v>
      </c>
      <c r="EQ40" s="89">
        <v>3370.5124566080431</v>
      </c>
      <c r="ER40" s="89">
        <f t="shared" si="97"/>
        <v>6.118815592203898</v>
      </c>
      <c r="ES40" s="89">
        <f t="shared" si="98"/>
        <v>21422.371277643411</v>
      </c>
      <c r="ET40" s="89">
        <f t="shared" si="99"/>
        <v>1.4260377550674539</v>
      </c>
      <c r="EU40" s="89">
        <v>7461.065476304635</v>
      </c>
      <c r="EV40" s="89">
        <f t="shared" si="100"/>
        <v>13.544790104947529</v>
      </c>
      <c r="EW40" s="89">
        <f t="shared" si="101"/>
        <v>81504.072944024039</v>
      </c>
      <c r="EX40" s="89">
        <f t="shared" si="102"/>
        <v>5.4255378036159128</v>
      </c>
      <c r="EY40" s="89"/>
      <c r="EZ40" s="89">
        <f t="shared" si="103"/>
        <v>0</v>
      </c>
      <c r="FA40" s="89">
        <f t="shared" si="104"/>
        <v>4390.0210148704045</v>
      </c>
      <c r="FB40" s="89">
        <f t="shared" si="105"/>
        <v>0.29223355489492814</v>
      </c>
      <c r="FC40" s="89">
        <v>5577.0883757503689</v>
      </c>
      <c r="FD40" s="89">
        <f t="shared" si="106"/>
        <v>10.124625187406298</v>
      </c>
      <c r="FE40" s="89">
        <f t="shared" si="107"/>
        <v>29698.68841690035</v>
      </c>
      <c r="FF40" s="89">
        <f t="shared" si="108"/>
        <v>1.9769730628598874</v>
      </c>
      <c r="FG40" s="89"/>
      <c r="FH40" s="89">
        <f t="shared" si="109"/>
        <v>0</v>
      </c>
      <c r="FI40" s="89">
        <f t="shared" si="110"/>
        <v>999.9890820331151</v>
      </c>
      <c r="FJ40" s="89">
        <f t="shared" si="111"/>
        <v>6.6566962506278554E-2</v>
      </c>
      <c r="FK40" s="89">
        <f t="shared" si="127"/>
        <v>55084.39347154829</v>
      </c>
      <c r="FL40" s="89">
        <f t="shared" si="113"/>
        <v>100</v>
      </c>
      <c r="FM40" s="89">
        <f t="shared" si="114"/>
        <v>452875.0362145509</v>
      </c>
      <c r="FN40" s="89">
        <f t="shared" si="115"/>
        <v>30.146844697975645</v>
      </c>
      <c r="FO40" s="89"/>
      <c r="FP40" s="89">
        <f t="shared" si="116"/>
        <v>0</v>
      </c>
      <c r="FQ40" s="89">
        <f t="shared" si="117"/>
        <v>300</v>
      </c>
      <c r="FR40" s="89">
        <f t="shared" si="118"/>
        <v>1.9970306787031745E-2</v>
      </c>
      <c r="FS40" s="89"/>
      <c r="FT40" s="89">
        <f t="shared" si="119"/>
        <v>0</v>
      </c>
      <c r="FU40" s="89">
        <f t="shared" si="120"/>
        <v>254980</v>
      </c>
      <c r="FV40" s="89">
        <f t="shared" si="121"/>
        <v>16.973429415191184</v>
      </c>
      <c r="FW40" s="89">
        <f t="shared" si="126"/>
        <v>55084.39347154829</v>
      </c>
      <c r="FX40" s="89">
        <f t="shared" ref="FX40" si="218">FW40+FX39</f>
        <v>1502230.302214551</v>
      </c>
      <c r="FY40" s="89">
        <f t="shared" ref="FY40" si="219">FW40/1000/E40</f>
        <v>1.0222583923457045</v>
      </c>
      <c r="FZ40" s="89">
        <f t="shared" ref="FZ40" si="220">(FX40/1000)/F40</f>
        <v>1.0840995935715614</v>
      </c>
      <c r="GA40" s="6"/>
      <c r="GB40" s="456"/>
      <c r="GC40" s="456"/>
      <c r="GD40" s="3" t="s">
        <v>737</v>
      </c>
    </row>
    <row r="41" spans="1:186">
      <c r="A41" s="16"/>
      <c r="B41" s="16"/>
      <c r="C41" s="16"/>
      <c r="D41" s="8"/>
      <c r="E41" s="7"/>
      <c r="F41" s="7"/>
      <c r="G41" s="98"/>
      <c r="H41" s="10"/>
      <c r="I41" s="8"/>
      <c r="J41" s="10"/>
      <c r="K41" s="98"/>
      <c r="L41" s="10"/>
      <c r="M41" s="10"/>
      <c r="N41" s="10"/>
      <c r="O41" s="98"/>
      <c r="P41" s="10"/>
      <c r="Q41" s="10"/>
      <c r="R41" s="10"/>
      <c r="S41" s="98"/>
      <c r="T41" s="10"/>
      <c r="U41" s="10"/>
      <c r="V41" s="10"/>
      <c r="W41" s="98"/>
      <c r="X41" s="10"/>
      <c r="Y41" s="10"/>
      <c r="Z41" s="10"/>
      <c r="AA41" s="98"/>
      <c r="AB41" s="10"/>
      <c r="AC41" s="10"/>
      <c r="AD41" s="10"/>
      <c r="AE41" s="98"/>
      <c r="AF41" s="10"/>
      <c r="AG41" s="10"/>
      <c r="AH41" s="10"/>
      <c r="AI41" s="98"/>
      <c r="AJ41" s="10"/>
      <c r="AK41" s="10"/>
      <c r="AL41" s="10"/>
      <c r="AM41" s="98"/>
      <c r="AN41" s="10"/>
      <c r="AO41" s="10"/>
      <c r="AP41" s="10"/>
      <c r="AQ41" s="98"/>
      <c r="AR41" s="10"/>
      <c r="AS41" s="10"/>
      <c r="AT41" s="10"/>
      <c r="AU41" s="250"/>
      <c r="AV41" s="10"/>
      <c r="AW41" s="8"/>
      <c r="AX41" s="10"/>
      <c r="AY41" s="98"/>
      <c r="AZ41" s="10"/>
      <c r="BA41" s="10"/>
      <c r="BB41" s="10"/>
      <c r="BC41" s="98"/>
      <c r="BD41" s="10"/>
      <c r="BE41" s="10"/>
      <c r="BF41" s="10"/>
      <c r="BG41" s="98"/>
      <c r="BH41" s="10"/>
      <c r="BI41" s="10"/>
      <c r="BJ41" s="10"/>
      <c r="BK41" s="98"/>
      <c r="BL41" s="10"/>
      <c r="BM41" s="10"/>
      <c r="BN41" s="10"/>
      <c r="BO41" s="98"/>
      <c r="BP41" s="10"/>
      <c r="BQ41" s="10"/>
      <c r="BR41" s="10"/>
      <c r="BS41" s="98"/>
      <c r="BT41" s="10"/>
      <c r="BU41" s="10"/>
      <c r="BV41" s="10"/>
      <c r="BW41" s="10"/>
      <c r="BX41" s="10"/>
      <c r="BY41" s="10"/>
      <c r="BZ41" s="10"/>
      <c r="CA41" s="98"/>
      <c r="CB41" s="10"/>
      <c r="CC41" s="10"/>
      <c r="CD41" s="10"/>
      <c r="CE41" s="98"/>
      <c r="CF41" s="10"/>
      <c r="CG41" s="10"/>
      <c r="CH41" s="10"/>
      <c r="CI41" s="98"/>
      <c r="CJ41" s="10"/>
      <c r="CK41" s="10"/>
      <c r="CL41" s="10"/>
      <c r="CM41" s="98"/>
      <c r="CN41" s="10"/>
      <c r="CO41" s="10"/>
      <c r="CP41" s="10"/>
      <c r="CQ41" s="98"/>
      <c r="CR41" s="10"/>
      <c r="CS41" s="10"/>
      <c r="CT41" s="10"/>
      <c r="CU41" s="98"/>
      <c r="CV41" s="10"/>
      <c r="CW41" s="10"/>
      <c r="CX41" s="10"/>
      <c r="CY41" s="98"/>
      <c r="CZ41" s="10"/>
      <c r="DA41" s="10"/>
      <c r="DB41" s="10"/>
      <c r="DC41" s="98"/>
      <c r="DD41" s="10"/>
      <c r="DE41" s="10"/>
      <c r="DF41" s="10"/>
      <c r="DG41" s="98"/>
      <c r="DH41" s="10"/>
      <c r="DI41" s="10"/>
      <c r="DJ41" s="10"/>
      <c r="DK41" s="10"/>
      <c r="DL41" s="10"/>
      <c r="DM41" s="10"/>
      <c r="DN41" s="10"/>
      <c r="DO41" s="98"/>
      <c r="DP41" s="10"/>
      <c r="DQ41" s="10"/>
      <c r="DR41" s="10"/>
      <c r="DS41" s="98"/>
      <c r="DT41" s="15"/>
      <c r="DU41" s="10"/>
      <c r="DV41" s="10"/>
      <c r="DW41" s="98"/>
      <c r="DX41" s="15"/>
      <c r="DY41" s="10"/>
      <c r="DZ41" s="10"/>
      <c r="EA41" s="98"/>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6"/>
      <c r="GB41" s="6"/>
      <c r="GC41" s="456"/>
      <c r="GD41" s="3"/>
    </row>
    <row r="42" spans="1:186" ht="13.5" thickBot="1">
      <c r="A42" s="11" t="s">
        <v>29</v>
      </c>
      <c r="B42" s="11"/>
      <c r="C42" s="12"/>
      <c r="D42" s="12">
        <f>SUM(D10:D41)</f>
        <v>1443.2060000000004</v>
      </c>
      <c r="E42" s="12">
        <f>SUM(E10:E41)</f>
        <v>1385.694</v>
      </c>
      <c r="F42" s="12"/>
      <c r="G42" s="12">
        <f>SUM(G10:G41)</f>
        <v>0</v>
      </c>
      <c r="H42" s="12">
        <f>G42/FW42*100</f>
        <v>0</v>
      </c>
      <c r="I42" s="12"/>
      <c r="J42" s="12"/>
      <c r="K42" s="12">
        <f>SUM(K10:K41)</f>
        <v>0</v>
      </c>
      <c r="L42" s="12"/>
      <c r="M42" s="12"/>
      <c r="N42" s="12"/>
      <c r="O42" s="12"/>
      <c r="P42" s="12"/>
      <c r="Q42" s="12"/>
      <c r="R42" s="12"/>
      <c r="S42" s="12"/>
      <c r="T42" s="12"/>
      <c r="U42" s="12"/>
      <c r="V42" s="12"/>
      <c r="W42" s="12"/>
      <c r="X42" s="12"/>
      <c r="Y42" s="12"/>
      <c r="Z42" s="12"/>
      <c r="AA42" s="12">
        <f>SUM(AA10:AA41)</f>
        <v>105385.125</v>
      </c>
      <c r="AB42" s="12">
        <f>+AA42/$FW$42*100</f>
        <v>7.0152442567989635</v>
      </c>
      <c r="AC42" s="12"/>
      <c r="AD42" s="12"/>
      <c r="AE42" s="12">
        <f>SUM(AE10:AE41)</f>
        <v>0</v>
      </c>
      <c r="AF42" s="12"/>
      <c r="AG42" s="12"/>
      <c r="AH42" s="12"/>
      <c r="AI42" s="12">
        <f>SUM(AI10:AI41)</f>
        <v>0</v>
      </c>
      <c r="AJ42" s="12"/>
      <c r="AK42" s="12"/>
      <c r="AL42" s="12"/>
      <c r="AM42" s="12">
        <f>SUM(AM10:AM41)</f>
        <v>0</v>
      </c>
      <c r="AN42" s="12">
        <f>AM42/$FW$42*100</f>
        <v>0</v>
      </c>
      <c r="AO42" s="12"/>
      <c r="AP42" s="12"/>
      <c r="AQ42" s="12">
        <f>SUM(AQ10:AQ41)</f>
        <v>0</v>
      </c>
      <c r="AR42" s="12">
        <f>AQ42/$FW$42*100</f>
        <v>0</v>
      </c>
      <c r="AS42" s="12"/>
      <c r="AT42" s="12"/>
      <c r="AU42" s="12">
        <f>SUM(AU10:AU41)</f>
        <v>0</v>
      </c>
      <c r="AV42" s="12">
        <f>AU42/$FW$42*100</f>
        <v>0</v>
      </c>
      <c r="AW42" s="12"/>
      <c r="AX42" s="12"/>
      <c r="AY42" s="12">
        <f>SUM(AY10:AY41)</f>
        <v>0</v>
      </c>
      <c r="AZ42" s="12">
        <f>AY42/$FW$42*100</f>
        <v>0</v>
      </c>
      <c r="BA42" s="12"/>
      <c r="BB42" s="12"/>
      <c r="BC42" s="12">
        <f>SUM(BC10:BC41)</f>
        <v>0</v>
      </c>
      <c r="BD42" s="12">
        <f>BC42/$FW$42*100</f>
        <v>0</v>
      </c>
      <c r="BE42" s="12"/>
      <c r="BF42" s="12"/>
      <c r="BG42" s="12">
        <f>SUM(BG10:BG41)</f>
        <v>0</v>
      </c>
      <c r="BH42" s="12">
        <f>BG42/FW42*100</f>
        <v>0</v>
      </c>
      <c r="BI42" s="12"/>
      <c r="BJ42" s="12"/>
      <c r="BK42" s="12">
        <f>SUM(BK10:BK41)</f>
        <v>0</v>
      </c>
      <c r="BL42" s="12">
        <f>BK42/FW42*100</f>
        <v>0</v>
      </c>
      <c r="BM42" s="12"/>
      <c r="BN42" s="12"/>
      <c r="BO42" s="12"/>
      <c r="BP42" s="12"/>
      <c r="BQ42" s="12"/>
      <c r="BR42" s="12"/>
      <c r="BS42" s="12">
        <f>SUM(BS10:BS41)</f>
        <v>0</v>
      </c>
      <c r="BT42" s="12">
        <f>BS42/FW42*100</f>
        <v>0</v>
      </c>
      <c r="BU42" s="12"/>
      <c r="BV42" s="12"/>
      <c r="BW42" s="12">
        <f>SUM(BW10:BW41)</f>
        <v>105385.125</v>
      </c>
      <c r="BX42" s="19">
        <f>BW42/$FW$42*100</f>
        <v>7.0152442567989635</v>
      </c>
      <c r="BY42" s="12"/>
      <c r="BZ42" s="12"/>
      <c r="CA42" s="12">
        <f>SUM(CA10:CA41)</f>
        <v>0</v>
      </c>
      <c r="CB42" s="12">
        <f>CA42/EE42*100</f>
        <v>0</v>
      </c>
      <c r="CC42" s="12"/>
      <c r="CD42" s="12"/>
      <c r="CE42" s="12">
        <f>SUM(CE10:CE41)</f>
        <v>0</v>
      </c>
      <c r="CF42" s="12">
        <f>CE42/$FW$42*100</f>
        <v>0</v>
      </c>
      <c r="CG42" s="12"/>
      <c r="CH42" s="12"/>
      <c r="CI42" s="12">
        <f>SUM(CI10:CI41)</f>
        <v>55065.141000000003</v>
      </c>
      <c r="CJ42" s="12">
        <f>CI42/$FW$42*100</f>
        <v>3.665559196803867</v>
      </c>
      <c r="CK42" s="12"/>
      <c r="CL42" s="12"/>
      <c r="CM42" s="12">
        <f>SUM(CM10:CM41)</f>
        <v>0</v>
      </c>
      <c r="CN42" s="12">
        <f>CM42/$FW$42*100</f>
        <v>0</v>
      </c>
      <c r="CO42" s="12"/>
      <c r="CP42" s="12"/>
      <c r="CQ42" s="12">
        <f>SUM(CQ10:CQ41)</f>
        <v>0</v>
      </c>
      <c r="CR42" s="12">
        <f>CQ42/$FW$42*100</f>
        <v>0</v>
      </c>
      <c r="CS42" s="12"/>
      <c r="CT42" s="12"/>
      <c r="CU42" s="12">
        <f>SUM(CU10:CU41)</f>
        <v>0</v>
      </c>
      <c r="CV42" s="12">
        <f>CU42/$FW$42*100</f>
        <v>0</v>
      </c>
      <c r="CW42" s="12"/>
      <c r="CX42" s="12"/>
      <c r="CY42" s="12">
        <f>SUM(CY10:CY41)</f>
        <v>102750</v>
      </c>
      <c r="CZ42" s="12">
        <f>CY42/$FW$42*100</f>
        <v>6.8398300745583729</v>
      </c>
      <c r="DA42" s="12"/>
      <c r="DB42" s="12"/>
      <c r="DC42" s="12">
        <f>SUM(DC10:DC41)</f>
        <v>0</v>
      </c>
      <c r="DD42" s="12">
        <f>DC42/$FW$42*100</f>
        <v>0</v>
      </c>
      <c r="DE42" s="12"/>
      <c r="DF42" s="12"/>
      <c r="DG42" s="12">
        <f>SUM(DG10:DG41)</f>
        <v>0</v>
      </c>
      <c r="DH42" s="12"/>
      <c r="DI42" s="12"/>
      <c r="DJ42" s="12"/>
      <c r="DK42" s="12">
        <f>SUM(DK10:DK41)</f>
        <v>157815.141</v>
      </c>
      <c r="DL42" s="12"/>
      <c r="DM42" s="12"/>
      <c r="DN42" s="12"/>
      <c r="DO42" s="12">
        <f>SUM(DO10:DO41)</f>
        <v>0</v>
      </c>
      <c r="DP42" s="12">
        <f>DO42/$FW$42*100</f>
        <v>0</v>
      </c>
      <c r="DQ42" s="12"/>
      <c r="DR42" s="12"/>
      <c r="DS42" s="12">
        <f>SUM(DS10:DS41)</f>
        <v>0</v>
      </c>
      <c r="DT42" s="12">
        <f>DS42/$FW$42*100</f>
        <v>0</v>
      </c>
      <c r="DU42" s="12"/>
      <c r="DV42" s="12"/>
      <c r="DW42" s="12">
        <f>SUM(DW10:DW41)</f>
        <v>0</v>
      </c>
      <c r="DX42" s="12">
        <f>DW42/$FW$42*100</f>
        <v>0</v>
      </c>
      <c r="DY42" s="12"/>
      <c r="DZ42" s="12"/>
      <c r="EA42" s="12">
        <f>SUM(EA10:EA41)</f>
        <v>530875</v>
      </c>
      <c r="EB42" s="12">
        <f>EA42/$FW$42*100</f>
        <v>35.339122051884928</v>
      </c>
      <c r="EC42" s="12"/>
      <c r="ED42" s="12"/>
      <c r="EE42" s="12">
        <f>SUM(EE10:EE41)</f>
        <v>530875</v>
      </c>
      <c r="EF42" s="21">
        <f>EE42/$FW$42*100</f>
        <v>35.339122051884928</v>
      </c>
      <c r="EG42" s="12"/>
      <c r="EH42" s="12"/>
      <c r="EI42" s="12">
        <f>SUM(EI10:EI41)</f>
        <v>178106.42276898774</v>
      </c>
      <c r="EJ42" s="21">
        <f>EI42/$FW$42*100</f>
        <v>11.856133011458207</v>
      </c>
      <c r="EK42" s="12"/>
      <c r="EL42" s="12"/>
      <c r="EM42" s="12">
        <f>SUM(EM10:EM41)</f>
        <v>136753.47071009182</v>
      </c>
      <c r="EN42" s="21">
        <f>EM42/$FW$42*100</f>
        <v>9.1033625475729796</v>
      </c>
      <c r="EO42" s="12"/>
      <c r="EP42" s="12"/>
      <c r="EQ42" s="12">
        <f>SUM(EQ10:EQ41)</f>
        <v>21422.371277643411</v>
      </c>
      <c r="ER42" s="21">
        <f>EQ42/$FW$42*100</f>
        <v>1.4260377550674539</v>
      </c>
      <c r="ES42" s="12"/>
      <c r="ET42" s="12"/>
      <c r="EU42" s="12">
        <f>SUM(EU10:EU41)</f>
        <v>81504.072944024039</v>
      </c>
      <c r="EV42" s="21">
        <f>EU42/$FW$42*100</f>
        <v>5.4255378036159128</v>
      </c>
      <c r="EW42" s="12"/>
      <c r="EX42" s="12"/>
      <c r="EY42" s="12">
        <f>SUM(EY10:EY41)</f>
        <v>4390.0210148704045</v>
      </c>
      <c r="EZ42" s="21">
        <f>EY42/$FW$42*100</f>
        <v>0.29223355489492814</v>
      </c>
      <c r="FA42" s="12"/>
      <c r="FB42" s="12"/>
      <c r="FC42" s="12">
        <f>SUM(FC10:FC41)</f>
        <v>29698.68841690035</v>
      </c>
      <c r="FD42" s="21">
        <f>FC42/$FW$42*100</f>
        <v>1.9769730628598874</v>
      </c>
      <c r="FE42" s="12"/>
      <c r="FF42" s="12"/>
      <c r="FG42" s="12">
        <f>SUM(FG10:FG41)</f>
        <v>999.9890820331151</v>
      </c>
      <c r="FH42" s="21">
        <f>FG42/$FW$42*100</f>
        <v>6.6566962506278554E-2</v>
      </c>
      <c r="FI42" s="12"/>
      <c r="FJ42" s="12"/>
      <c r="FK42" s="12">
        <f>SUM(FK10:FK41)</f>
        <v>452875.0362145509</v>
      </c>
      <c r="FL42" s="21">
        <f>FK42/$FW$42*100</f>
        <v>30.146844697975645</v>
      </c>
      <c r="FM42" s="12"/>
      <c r="FN42" s="12"/>
      <c r="FO42" s="12">
        <f>SUM(FO10:FO41)</f>
        <v>300</v>
      </c>
      <c r="FP42" s="21">
        <f>FO42/$FW$42*100</f>
        <v>1.9970306787031745E-2</v>
      </c>
      <c r="FQ42" s="12"/>
      <c r="FR42" s="12"/>
      <c r="FS42" s="12">
        <f>SUM(FS10:FS41)</f>
        <v>254980</v>
      </c>
      <c r="FT42" s="21">
        <f>FS42/$FW$42*100</f>
        <v>16.973429415191184</v>
      </c>
      <c r="FU42" s="12"/>
      <c r="FV42" s="12"/>
      <c r="FW42" s="12">
        <f>SUM(FW10:FW41)</f>
        <v>1502230.302214551</v>
      </c>
      <c r="FX42" s="12">
        <f>FW42/$FW$42*100</f>
        <v>100</v>
      </c>
      <c r="FY42" s="12">
        <f>FW42/1000/E42</f>
        <v>1.0840995935715614</v>
      </c>
      <c r="FZ42" s="12"/>
      <c r="GA42" s="6"/>
      <c r="GB42" s="6"/>
      <c r="GC42" s="456"/>
      <c r="GD42" s="3"/>
    </row>
    <row r="43" spans="1:186" ht="13.5" thickTop="1"/>
    <row r="44" spans="1:186">
      <c r="CA44" s="14"/>
      <c r="CQ44" s="14"/>
      <c r="CU44" s="14"/>
      <c r="EA44">
        <v>25</v>
      </c>
      <c r="EB44">
        <v>17853</v>
      </c>
      <c r="EC44">
        <f>+EB44/2</f>
        <v>8926.5</v>
      </c>
      <c r="EF44" s="14"/>
      <c r="EJ44" s="14"/>
      <c r="EN44" s="14"/>
      <c r="ER44" s="14"/>
      <c r="EV44" s="14"/>
      <c r="EZ44" s="14"/>
      <c r="FD44" s="14"/>
      <c r="FH44" s="14"/>
      <c r="FL44" s="14"/>
      <c r="FP44" s="14"/>
      <c r="FT44" s="14"/>
    </row>
    <row r="45" spans="1:186">
      <c r="E45" s="14"/>
      <c r="F45" s="14"/>
      <c r="G45" s="14"/>
      <c r="I45" s="14"/>
      <c r="AY45" s="14"/>
      <c r="CQ45" s="14"/>
      <c r="CU45" s="14"/>
      <c r="EA45">
        <v>26</v>
      </c>
      <c r="EB45">
        <v>2167</v>
      </c>
      <c r="EC45">
        <f>+EB45/2</f>
        <v>1083.5</v>
      </c>
    </row>
    <row r="46" spans="1:186">
      <c r="EA46">
        <v>27</v>
      </c>
      <c r="EB46">
        <v>3604</v>
      </c>
      <c r="EC46">
        <f>+EB46/2</f>
        <v>1802</v>
      </c>
    </row>
    <row r="47" spans="1:186">
      <c r="EA47">
        <v>28</v>
      </c>
      <c r="EB47">
        <v>10664</v>
      </c>
      <c r="EC47">
        <f>+EB47/2</f>
        <v>5332</v>
      </c>
    </row>
  </sheetData>
  <mergeCells count="52">
    <mergeCell ref="FS8:FV8"/>
    <mergeCell ref="FO8:FR8"/>
    <mergeCell ref="DW8:DZ8"/>
    <mergeCell ref="DO8:DR8"/>
    <mergeCell ref="DK8:DN8"/>
    <mergeCell ref="FK8:FN8"/>
    <mergeCell ref="EU8:EX8"/>
    <mergeCell ref="EQ8:ET8"/>
    <mergeCell ref="EM8:EP8"/>
    <mergeCell ref="EI8:EL8"/>
    <mergeCell ref="EY8:FB8"/>
    <mergeCell ref="FC8:FF8"/>
    <mergeCell ref="FG8:FJ8"/>
    <mergeCell ref="O8:R8"/>
    <mergeCell ref="W8:Z8"/>
    <mergeCell ref="AI8:AL8"/>
    <mergeCell ref="BW8:BZ8"/>
    <mergeCell ref="BS8:BV8"/>
    <mergeCell ref="S8:V8"/>
    <mergeCell ref="AA8:AD8"/>
    <mergeCell ref="AM8:AP8"/>
    <mergeCell ref="AE8:AH8"/>
    <mergeCell ref="BO8:BR8"/>
    <mergeCell ref="BK8:BN8"/>
    <mergeCell ref="AY8:BB8"/>
    <mergeCell ref="AQ8:AT8"/>
    <mergeCell ref="BG8:BJ8"/>
    <mergeCell ref="BC8:BF8"/>
    <mergeCell ref="AU8:AX8"/>
    <mergeCell ref="A8:A9"/>
    <mergeCell ref="B8:B9"/>
    <mergeCell ref="C8:C9"/>
    <mergeCell ref="K8:N8"/>
    <mergeCell ref="G8:J8"/>
    <mergeCell ref="D8:D9"/>
    <mergeCell ref="E8:F8"/>
    <mergeCell ref="GB8:GC8"/>
    <mergeCell ref="GD8:GD9"/>
    <mergeCell ref="CA8:CD8"/>
    <mergeCell ref="DC8:DF8"/>
    <mergeCell ref="CE8:CH8"/>
    <mergeCell ref="CM8:CP8"/>
    <mergeCell ref="CI8:CL8"/>
    <mergeCell ref="CQ8:CT8"/>
    <mergeCell ref="CY8:DB8"/>
    <mergeCell ref="CU8:CX8"/>
    <mergeCell ref="DG8:DJ8"/>
    <mergeCell ref="FY8:FZ8"/>
    <mergeCell ref="DS8:DV8"/>
    <mergeCell ref="EA8:ED8"/>
    <mergeCell ref="EE8:EH8"/>
    <mergeCell ref="FW8:FX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39"/>
  <sheetViews>
    <sheetView topLeftCell="Q1" workbookViewId="0">
      <selection activeCell="AF8" sqref="AF8"/>
    </sheetView>
  </sheetViews>
  <sheetFormatPr defaultRowHeight="12.75"/>
  <cols>
    <col min="1" max="1" width="21.28515625" customWidth="1"/>
    <col min="2" max="13" width="9.140625" customWidth="1"/>
    <col min="14" max="14" width="9.42578125" customWidth="1"/>
    <col min="15" max="18" width="9.140625" customWidth="1"/>
    <col min="19" max="19" width="13.5703125" bestFit="1" customWidth="1"/>
    <col min="20" max="32" width="9.140625" customWidth="1"/>
    <col min="34" max="34" width="10.85546875" bestFit="1" customWidth="1"/>
    <col min="35" max="35" width="16.28515625" bestFit="1" customWidth="1"/>
  </cols>
  <sheetData>
    <row r="1" spans="1:39">
      <c r="A1" s="362" t="s">
        <v>395</v>
      </c>
      <c r="B1">
        <v>3425</v>
      </c>
      <c r="C1">
        <v>3455</v>
      </c>
      <c r="D1">
        <v>4105</v>
      </c>
      <c r="E1">
        <v>3483</v>
      </c>
      <c r="F1">
        <v>3544</v>
      </c>
      <c r="G1">
        <v>3989</v>
      </c>
      <c r="H1">
        <v>4090</v>
      </c>
      <c r="I1">
        <v>3656</v>
      </c>
      <c r="J1">
        <v>4561</v>
      </c>
      <c r="K1">
        <v>4656</v>
      </c>
      <c r="L1">
        <v>3365</v>
      </c>
      <c r="M1">
        <v>4211</v>
      </c>
      <c r="N1">
        <v>4426</v>
      </c>
      <c r="O1">
        <v>5121</v>
      </c>
      <c r="P1">
        <v>4323</v>
      </c>
      <c r="Q1">
        <v>3887</v>
      </c>
      <c r="R1">
        <v>4212</v>
      </c>
      <c r="S1">
        <v>3635</v>
      </c>
      <c r="T1">
        <v>3774</v>
      </c>
      <c r="U1">
        <v>3721</v>
      </c>
      <c r="V1">
        <v>3687</v>
      </c>
      <c r="W1">
        <v>3422</v>
      </c>
      <c r="X1">
        <v>3215</v>
      </c>
      <c r="Y1">
        <v>3254</v>
      </c>
      <c r="Z1">
        <v>3208</v>
      </c>
      <c r="AA1">
        <v>3411</v>
      </c>
      <c r="AB1">
        <v>3411</v>
      </c>
      <c r="AC1">
        <v>3235</v>
      </c>
      <c r="AD1">
        <v>3371</v>
      </c>
      <c r="AE1">
        <v>3472</v>
      </c>
      <c r="AF1">
        <v>3576</v>
      </c>
    </row>
    <row r="2" spans="1:39" ht="15">
      <c r="A2" s="6"/>
      <c r="B2" s="6">
        <v>1</v>
      </c>
      <c r="C2" s="6">
        <v>2</v>
      </c>
      <c r="D2" s="6">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38" t="s">
        <v>281</v>
      </c>
      <c r="AH2" s="439" t="s">
        <v>282</v>
      </c>
      <c r="AI2" s="440" t="s">
        <v>283</v>
      </c>
    </row>
    <row r="3" spans="1:39">
      <c r="A3" s="404" t="s">
        <v>207</v>
      </c>
      <c r="B3" s="6">
        <f>6532/1000</f>
        <v>6.532</v>
      </c>
      <c r="C3" s="6">
        <f>3200/1000</f>
        <v>3.2</v>
      </c>
      <c r="D3" s="6">
        <f>4332/1000</f>
        <v>4.3319999999999999</v>
      </c>
      <c r="E3" s="6">
        <f>3421/1000</f>
        <v>3.4209999999999998</v>
      </c>
      <c r="F3" s="6">
        <f>4115/1000</f>
        <v>4.1150000000000002</v>
      </c>
      <c r="G3" s="6">
        <f>4995/1000</f>
        <v>4.9950000000000001</v>
      </c>
      <c r="H3" s="6">
        <f>7120/1000</f>
        <v>7.12</v>
      </c>
      <c r="I3" s="6">
        <f>4655/1000</f>
        <v>4.6550000000000002</v>
      </c>
      <c r="J3" s="6">
        <f>2450/1000</f>
        <v>2.4500000000000002</v>
      </c>
      <c r="K3" s="6">
        <f>3125/1000</f>
        <v>3.125</v>
      </c>
      <c r="L3" s="6">
        <v>6.5819999999999999</v>
      </c>
      <c r="M3" s="6">
        <v>6.7729999999999997</v>
      </c>
      <c r="N3" s="6">
        <f>5685/1000</f>
        <v>5.6849999999999996</v>
      </c>
      <c r="O3" s="6">
        <f>5825/1000</f>
        <v>5.8250000000000002</v>
      </c>
      <c r="P3" s="6">
        <f>3110/1000</f>
        <v>3.11</v>
      </c>
      <c r="Q3" s="6">
        <f>4740/1000</f>
        <v>4.74</v>
      </c>
      <c r="R3" s="6">
        <f>5125/1000</f>
        <v>5.125</v>
      </c>
      <c r="S3" s="6">
        <f>2809/1000</f>
        <v>2.8090000000000002</v>
      </c>
      <c r="T3" s="6">
        <v>6.6710000000000003</v>
      </c>
      <c r="U3" s="6">
        <v>3.0739999999999998</v>
      </c>
      <c r="V3" s="6">
        <v>2.1219999999999999</v>
      </c>
      <c r="W3" s="6">
        <f>3254/1000</f>
        <v>3.254</v>
      </c>
      <c r="X3" s="6">
        <v>2.8380000000000001</v>
      </c>
      <c r="Y3" s="6">
        <v>4.7530000000000001</v>
      </c>
      <c r="Z3" s="6">
        <f>9396/1000</f>
        <v>9.3960000000000008</v>
      </c>
      <c r="AA3" s="6">
        <v>6.2160000000000002</v>
      </c>
      <c r="AB3" s="6">
        <v>7.17</v>
      </c>
      <c r="AC3" s="6">
        <f>3684/1000</f>
        <v>3.6840000000000002</v>
      </c>
      <c r="AD3" s="6">
        <f>5550/1000</f>
        <v>5.55</v>
      </c>
      <c r="AE3" s="6">
        <f>8414/1000</f>
        <v>8.4139999999999997</v>
      </c>
      <c r="AF3" s="6">
        <v>9.3680000000000003</v>
      </c>
      <c r="AG3" s="6">
        <f>+AF3</f>
        <v>9.3680000000000003</v>
      </c>
      <c r="AH3" s="430">
        <f>+AG3/Efficiency1!$K$147</f>
        <v>6.0816328421664043E-3</v>
      </c>
      <c r="AI3" s="765">
        <f>SUM(AH3:AH4)</f>
        <v>6.8509256387043194E-3</v>
      </c>
    </row>
    <row r="4" spans="1:39">
      <c r="A4" s="404" t="s">
        <v>208</v>
      </c>
      <c r="B4" s="6">
        <f>966/1000</f>
        <v>0.96599999999999997</v>
      </c>
      <c r="C4" s="6">
        <f>880/1000</f>
        <v>0.88</v>
      </c>
      <c r="D4" s="6">
        <f>990/1000</f>
        <v>0.99</v>
      </c>
      <c r="E4" s="6">
        <f>550/1000</f>
        <v>0.55000000000000004</v>
      </c>
      <c r="F4" s="6">
        <f>1210/1000</f>
        <v>1.21</v>
      </c>
      <c r="G4" s="6">
        <f>2300/1000</f>
        <v>2.2999999999999998</v>
      </c>
      <c r="H4" s="6">
        <f>200/1000</f>
        <v>0.2</v>
      </c>
      <c r="I4" s="6">
        <f>1200/1000</f>
        <v>1.2</v>
      </c>
      <c r="J4" s="6">
        <f>250/1000</f>
        <v>0.25</v>
      </c>
      <c r="K4" s="6">
        <f>1340/1000</f>
        <v>1.34</v>
      </c>
      <c r="L4" s="6">
        <v>0</v>
      </c>
      <c r="M4" s="6">
        <f>882/1000</f>
        <v>0.88200000000000001</v>
      </c>
      <c r="N4" s="405">
        <f>790/1000</f>
        <v>0.79</v>
      </c>
      <c r="O4" s="405">
        <f>1750/1000</f>
        <v>1.75</v>
      </c>
      <c r="P4" s="6">
        <f>400/1000</f>
        <v>0.4</v>
      </c>
      <c r="Q4" s="6">
        <f>185/1000</f>
        <v>0.185</v>
      </c>
      <c r="R4" s="6">
        <f>200/1000</f>
        <v>0.2</v>
      </c>
      <c r="S4" s="6">
        <f>425/1000</f>
        <v>0.42499999999999999</v>
      </c>
      <c r="T4" s="6">
        <f>725/1000</f>
        <v>0.72499999999999998</v>
      </c>
      <c r="U4" s="6">
        <v>1.365</v>
      </c>
      <c r="V4" s="6">
        <f>487/1000</f>
        <v>0.48699999999999999</v>
      </c>
      <c r="W4" s="405">
        <f>402/1000</f>
        <v>0.40200000000000002</v>
      </c>
      <c r="X4" s="6">
        <v>0.62</v>
      </c>
      <c r="Y4" s="6">
        <v>0.625</v>
      </c>
      <c r="Z4" s="6">
        <f>2320/1000</f>
        <v>2.3199999999999998</v>
      </c>
      <c r="AA4" s="6">
        <f>2100/1000</f>
        <v>2.1</v>
      </c>
      <c r="AB4" s="6">
        <f>1995/1000</f>
        <v>1.9950000000000001</v>
      </c>
      <c r="AC4" s="6">
        <f>1225/1000</f>
        <v>1.2250000000000001</v>
      </c>
      <c r="AD4" s="6">
        <f>1040/1000</f>
        <v>1.04</v>
      </c>
      <c r="AE4" s="6">
        <f>985/1000</f>
        <v>0.98499999999999999</v>
      </c>
      <c r="AF4" s="6">
        <f>1185/1000</f>
        <v>1.1850000000000001</v>
      </c>
      <c r="AG4" s="6">
        <f>+AF4</f>
        <v>1.1850000000000001</v>
      </c>
      <c r="AH4" s="430">
        <f>+AG4/Efficiency1!$K$147</f>
        <v>7.6929279653791514E-4</v>
      </c>
      <c r="AI4" s="766"/>
    </row>
    <row r="5" spans="1:39">
      <c r="A5" s="441"/>
      <c r="B5" s="442"/>
      <c r="C5" s="442"/>
      <c r="D5" s="442"/>
      <c r="E5" s="442"/>
      <c r="F5" s="442"/>
      <c r="G5" s="442"/>
      <c r="H5" s="442"/>
      <c r="I5" s="442"/>
      <c r="J5" s="442"/>
      <c r="K5" s="442"/>
      <c r="L5" s="442"/>
      <c r="M5" s="442"/>
      <c r="N5" s="443"/>
      <c r="O5" s="443"/>
      <c r="P5" s="442"/>
      <c r="Q5" s="442"/>
      <c r="R5" s="442"/>
      <c r="S5" s="442"/>
      <c r="T5" s="442"/>
      <c r="U5" s="442"/>
      <c r="V5" s="442"/>
      <c r="W5" s="443"/>
      <c r="X5" s="442"/>
      <c r="Y5" s="442"/>
      <c r="Z5" s="442"/>
      <c r="AA5" s="442"/>
      <c r="AB5" s="442"/>
      <c r="AC5" s="442"/>
      <c r="AD5" s="442"/>
      <c r="AE5" s="442"/>
      <c r="AF5" s="442"/>
      <c r="AG5" s="442"/>
      <c r="AH5" s="444"/>
    </row>
    <row r="6" spans="1:39">
      <c r="A6" s="404" t="s">
        <v>376</v>
      </c>
      <c r="B6" s="405">
        <v>1.466</v>
      </c>
      <c r="C6" s="6">
        <v>0.55000000000000004</v>
      </c>
      <c r="D6" s="6">
        <v>0.71299999999999997</v>
      </c>
      <c r="E6" s="6">
        <v>0.46500000000000002</v>
      </c>
      <c r="F6" s="6">
        <v>0.54</v>
      </c>
      <c r="G6" s="6">
        <v>0.32100000000000001</v>
      </c>
      <c r="H6" s="6">
        <v>0.38500000000000001</v>
      </c>
      <c r="I6" s="6">
        <v>0.45</v>
      </c>
      <c r="J6" s="6">
        <f>889/1000</f>
        <v>0.88900000000000001</v>
      </c>
      <c r="K6" s="6">
        <v>1.6359999999999999</v>
      </c>
      <c r="L6" s="6">
        <v>1.603</v>
      </c>
      <c r="M6" s="6">
        <f>1070/1000</f>
        <v>1.07</v>
      </c>
      <c r="N6" s="6">
        <v>1.5309999999999999</v>
      </c>
      <c r="O6" s="6">
        <v>0.38600000000000001</v>
      </c>
      <c r="P6" s="6">
        <v>0.19</v>
      </c>
      <c r="Q6" s="6">
        <v>0.47499999999999998</v>
      </c>
      <c r="R6" s="6">
        <v>0.71699999999999997</v>
      </c>
      <c r="S6" s="6">
        <v>0.48399999999999999</v>
      </c>
      <c r="T6" s="6">
        <v>0.74099999999999999</v>
      </c>
      <c r="U6" s="6">
        <v>0.76900000000000002</v>
      </c>
      <c r="V6" s="6">
        <v>0.34499999999999997</v>
      </c>
      <c r="W6" s="405">
        <v>0.3</v>
      </c>
      <c r="X6" s="6">
        <v>0.59</v>
      </c>
      <c r="Y6" s="6">
        <v>0.32500000000000001</v>
      </c>
      <c r="Z6" s="405">
        <v>0.495</v>
      </c>
      <c r="AA6" s="6">
        <v>1.3560000000000001</v>
      </c>
      <c r="AB6" s="6">
        <v>0.4</v>
      </c>
      <c r="AC6" s="6">
        <v>0.39500000000000002</v>
      </c>
      <c r="AD6" s="6">
        <v>0.437</v>
      </c>
      <c r="AE6" s="6">
        <v>0.58499999999999996</v>
      </c>
      <c r="AF6" s="6">
        <v>0.59699999999999998</v>
      </c>
      <c r="AG6" s="6">
        <f>+SUM(B6:AF6)</f>
        <v>21.206000000000003</v>
      </c>
      <c r="AH6" s="445">
        <f t="shared" ref="AH6:AH36" si="0">+AG6/$AG$39</f>
        <v>0.41755601937541842</v>
      </c>
    </row>
    <row r="7" spans="1:39">
      <c r="A7" s="404" t="s">
        <v>377</v>
      </c>
      <c r="B7" s="405">
        <v>0.80600000000000005</v>
      </c>
      <c r="C7" s="405">
        <v>0.4</v>
      </c>
      <c r="D7" s="6">
        <v>0.47</v>
      </c>
      <c r="E7" s="6">
        <v>0.51800000000000002</v>
      </c>
      <c r="F7" s="6">
        <v>0.61499999999999999</v>
      </c>
      <c r="G7" s="6">
        <v>0.437</v>
      </c>
      <c r="H7" s="6">
        <v>0.437</v>
      </c>
      <c r="I7" s="6">
        <v>0.34100000000000003</v>
      </c>
      <c r="J7" s="6">
        <v>0.40500000000000003</v>
      </c>
      <c r="K7" s="6">
        <f>1025/1000</f>
        <v>1.0249999999999999</v>
      </c>
      <c r="L7" s="6">
        <f>1015/1000</f>
        <v>1.0149999999999999</v>
      </c>
      <c r="M7" s="6">
        <f>690/1000</f>
        <v>0.69</v>
      </c>
      <c r="N7" s="6">
        <v>0.96499999999999997</v>
      </c>
      <c r="O7" s="6">
        <v>0.74</v>
      </c>
      <c r="P7" s="6">
        <v>0.10299999999999999</v>
      </c>
      <c r="Q7" s="6">
        <v>0.77400000000000002</v>
      </c>
      <c r="R7" s="542">
        <v>0.63600000000000001</v>
      </c>
      <c r="S7" s="6">
        <v>0.34499999999999997</v>
      </c>
      <c r="T7" s="6">
        <v>0.627</v>
      </c>
      <c r="U7" s="6">
        <v>0.28999999999999998</v>
      </c>
      <c r="V7" s="6">
        <v>0.84499999999999997</v>
      </c>
      <c r="W7" s="6">
        <v>0.17799999999999999</v>
      </c>
      <c r="X7" s="6">
        <v>0.64</v>
      </c>
      <c r="Y7" s="6">
        <v>0.31</v>
      </c>
      <c r="Z7" s="6">
        <v>1.048</v>
      </c>
      <c r="AA7" s="6">
        <v>0.67500000000000004</v>
      </c>
      <c r="AB7" s="6">
        <v>0.63</v>
      </c>
      <c r="AC7" s="6">
        <v>0.36599999999999999</v>
      </c>
      <c r="AD7" s="6">
        <v>1.036</v>
      </c>
      <c r="AE7" s="6">
        <v>0.81200000000000006</v>
      </c>
      <c r="AF7" s="6">
        <v>0.76300000000000001</v>
      </c>
      <c r="AG7" s="6">
        <f t="shared" ref="AG7:AG37" si="1">+SUM(B7:AF7)</f>
        <v>18.942000000000007</v>
      </c>
      <c r="AH7" s="430">
        <f t="shared" si="0"/>
        <v>0.37297680463119764</v>
      </c>
      <c r="AL7" s="362"/>
    </row>
    <row r="8" spans="1:39">
      <c r="A8" s="406" t="s">
        <v>209</v>
      </c>
      <c r="B8" s="6"/>
      <c r="C8" s="6"/>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1"/>
        <v>0</v>
      </c>
      <c r="AH8" s="430">
        <f t="shared" si="0"/>
        <v>0</v>
      </c>
    </row>
    <row r="9" spans="1:39">
      <c r="A9" s="404" t="s">
        <v>210</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1"/>
        <v>0</v>
      </c>
      <c r="AH9" s="430">
        <f t="shared" si="0"/>
        <v>0</v>
      </c>
    </row>
    <row r="10" spans="1:39">
      <c r="A10" s="404" t="s">
        <v>211</v>
      </c>
      <c r="B10" s="6"/>
      <c r="C10" s="6"/>
      <c r="D10" s="6"/>
      <c r="E10" s="6"/>
      <c r="F10" s="6"/>
      <c r="G10" s="6"/>
      <c r="H10" s="6"/>
      <c r="I10" s="6">
        <v>0.38</v>
      </c>
      <c r="J10" s="6"/>
      <c r="K10" s="6"/>
      <c r="L10" s="6"/>
      <c r="M10" s="6"/>
      <c r="N10" s="6"/>
      <c r="O10" s="6"/>
      <c r="P10" s="6"/>
      <c r="Q10" s="6"/>
      <c r="R10" s="6">
        <v>0.39300000000000002</v>
      </c>
      <c r="S10" s="6"/>
      <c r="T10" s="6"/>
      <c r="U10" s="6"/>
      <c r="V10" s="6"/>
      <c r="W10" s="6">
        <v>0.36899999999999999</v>
      </c>
      <c r="X10" s="6"/>
      <c r="Y10" s="6">
        <v>0.3</v>
      </c>
      <c r="Z10" s="6"/>
      <c r="AA10" s="6"/>
      <c r="AB10" s="6"/>
      <c r="AC10" s="6"/>
      <c r="AD10" s="6"/>
      <c r="AE10" s="6"/>
      <c r="AF10" s="6"/>
      <c r="AG10" s="6">
        <f t="shared" si="1"/>
        <v>1.4419999999999999</v>
      </c>
      <c r="AH10" s="430">
        <f t="shared" si="0"/>
        <v>2.8393651793801437E-2</v>
      </c>
    </row>
    <row r="11" spans="1:39">
      <c r="A11" s="404" t="s">
        <v>15</v>
      </c>
      <c r="B11" s="6">
        <v>0.62</v>
      </c>
      <c r="C11" s="6">
        <v>0.96</v>
      </c>
      <c r="D11" s="6"/>
      <c r="E11" s="6"/>
      <c r="F11" s="6"/>
      <c r="G11" s="6">
        <v>0.2</v>
      </c>
      <c r="H11" s="6"/>
      <c r="I11" s="6">
        <v>0.122</v>
      </c>
      <c r="J11" s="6"/>
      <c r="K11" s="6"/>
      <c r="L11" s="6"/>
      <c r="M11" s="6"/>
      <c r="N11" s="6"/>
      <c r="O11" s="6">
        <v>0.42499999999999999</v>
      </c>
      <c r="P11" s="6">
        <f>50/1000</f>
        <v>0.05</v>
      </c>
      <c r="Q11" s="6"/>
      <c r="R11" s="6"/>
      <c r="S11" s="6"/>
      <c r="T11" s="6"/>
      <c r="U11" s="6"/>
      <c r="V11" s="6"/>
      <c r="W11" s="6"/>
      <c r="X11" s="6"/>
      <c r="Y11" s="6">
        <v>0.35</v>
      </c>
      <c r="Z11" s="6">
        <f>25/1000</f>
        <v>2.5000000000000001E-2</v>
      </c>
      <c r="AA11" s="6">
        <v>0.26</v>
      </c>
      <c r="AB11" s="6"/>
      <c r="AC11" s="6">
        <v>0.13</v>
      </c>
      <c r="AD11" s="6"/>
      <c r="AE11" s="6"/>
      <c r="AF11" s="6"/>
      <c r="AG11" s="6">
        <f t="shared" si="1"/>
        <v>3.1419999999999995</v>
      </c>
      <c r="AH11" s="430">
        <f t="shared" si="0"/>
        <v>6.1867443783719903E-2</v>
      </c>
    </row>
    <row r="12" spans="1:39">
      <c r="A12" s="404" t="s">
        <v>212</v>
      </c>
      <c r="B12" s="6"/>
      <c r="C12" s="6"/>
      <c r="D12" s="6"/>
      <c r="E12" s="6"/>
      <c r="F12" s="6"/>
      <c r="G12" s="6"/>
      <c r="H12" s="6"/>
      <c r="I12" s="6"/>
      <c r="J12" s="6"/>
      <c r="K12" s="6"/>
      <c r="L12" s="6"/>
      <c r="M12" s="6"/>
      <c r="N12" s="6"/>
      <c r="O12" s="6">
        <v>0.52800000000000002</v>
      </c>
      <c r="P12" s="6"/>
      <c r="Q12" s="6"/>
      <c r="R12" s="6"/>
      <c r="S12" s="6"/>
      <c r="T12" s="6"/>
      <c r="U12" s="6"/>
      <c r="V12" s="6"/>
      <c r="W12" s="6"/>
      <c r="X12" s="6"/>
      <c r="Y12" s="6"/>
      <c r="Z12" s="6"/>
      <c r="AA12" s="6"/>
      <c r="AB12" s="6"/>
      <c r="AC12" s="6"/>
      <c r="AD12" s="6"/>
      <c r="AE12" s="6"/>
      <c r="AF12" s="6"/>
      <c r="AG12" s="6">
        <f t="shared" si="1"/>
        <v>0.52800000000000002</v>
      </c>
      <c r="AH12" s="430">
        <f t="shared" si="0"/>
        <v>1.0396565982751151E-2</v>
      </c>
    </row>
    <row r="13" spans="1:39">
      <c r="A13" s="404" t="s">
        <v>213</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f t="shared" si="1"/>
        <v>0</v>
      </c>
      <c r="AH13" s="430">
        <f t="shared" si="0"/>
        <v>0</v>
      </c>
      <c r="AM13" s="362"/>
    </row>
    <row r="14" spans="1:39">
      <c r="A14" s="404" t="s">
        <v>378</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1"/>
        <v>0</v>
      </c>
      <c r="AH14" s="430">
        <f t="shared" si="0"/>
        <v>0</v>
      </c>
    </row>
    <row r="15" spans="1:39">
      <c r="A15" s="404" t="s">
        <v>284</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f t="shared" si="1"/>
        <v>0</v>
      </c>
      <c r="AH15" s="430">
        <f t="shared" si="0"/>
        <v>0</v>
      </c>
    </row>
    <row r="16" spans="1:39">
      <c r="A16" s="404" t="s">
        <v>379</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1"/>
        <v>0</v>
      </c>
      <c r="AH16" s="430">
        <f t="shared" si="0"/>
        <v>0</v>
      </c>
    </row>
    <row r="17" spans="1:34">
      <c r="A17" s="404" t="s">
        <v>214</v>
      </c>
      <c r="B17" s="6"/>
      <c r="C17" s="6"/>
      <c r="D17" s="6"/>
      <c r="E17" s="6"/>
      <c r="F17" s="6">
        <v>0.54600000000000004</v>
      </c>
      <c r="G17" s="6"/>
      <c r="H17" s="6"/>
      <c r="I17" s="6"/>
      <c r="J17" s="6"/>
      <c r="K17" s="6"/>
      <c r="L17" s="6">
        <v>1.306</v>
      </c>
      <c r="M17" s="6"/>
      <c r="N17" s="6"/>
      <c r="O17" s="6"/>
      <c r="P17" s="6"/>
      <c r="Q17" s="6"/>
      <c r="R17" s="6"/>
      <c r="S17" s="6"/>
      <c r="T17" s="6"/>
      <c r="U17" s="6"/>
      <c r="V17" s="6"/>
      <c r="W17" s="6"/>
      <c r="X17" s="6"/>
      <c r="Y17" s="6"/>
      <c r="Z17" s="6"/>
      <c r="AA17" s="6"/>
      <c r="AB17" s="6"/>
      <c r="AC17" s="6">
        <v>0.16</v>
      </c>
      <c r="AD17" s="6"/>
      <c r="AE17" s="6"/>
      <c r="AF17" s="6"/>
      <c r="AG17" s="6">
        <f t="shared" si="1"/>
        <v>2.012</v>
      </c>
      <c r="AH17" s="430">
        <f t="shared" si="0"/>
        <v>3.9617217343362335E-2</v>
      </c>
    </row>
    <row r="18" spans="1:34">
      <c r="A18" s="404" t="s">
        <v>215</v>
      </c>
      <c r="B18" s="6">
        <v>0.62</v>
      </c>
      <c r="C18" s="6"/>
      <c r="D18" s="6">
        <v>0.16700000000000001</v>
      </c>
      <c r="E18" s="6"/>
      <c r="F18" s="6"/>
      <c r="G18" s="6"/>
      <c r="H18" s="6"/>
      <c r="I18" s="6"/>
      <c r="J18" s="6"/>
      <c r="K18" s="6"/>
      <c r="L18" s="6"/>
      <c r="M18" s="6">
        <v>0.375</v>
      </c>
      <c r="N18" s="6">
        <v>0.42399999999999999</v>
      </c>
      <c r="O18" s="405"/>
      <c r="P18" s="6"/>
      <c r="Q18" s="6">
        <v>0.248</v>
      </c>
      <c r="R18" s="6"/>
      <c r="S18" s="6">
        <v>0.255</v>
      </c>
      <c r="T18" s="6"/>
      <c r="U18" s="6"/>
      <c r="V18" s="6"/>
      <c r="W18" s="6"/>
      <c r="X18" s="6"/>
      <c r="Y18" s="6"/>
      <c r="Z18" s="6"/>
      <c r="AA18" s="6"/>
      <c r="AB18" s="6"/>
      <c r="AC18" s="6"/>
      <c r="AD18" s="6"/>
      <c r="AE18" s="6"/>
      <c r="AF18" s="6"/>
      <c r="AG18" s="6">
        <f t="shared" si="1"/>
        <v>2.089</v>
      </c>
      <c r="AH18" s="430">
        <f t="shared" si="0"/>
        <v>4.1133383215846878E-2</v>
      </c>
    </row>
    <row r="19" spans="1:34">
      <c r="A19" s="404" t="s">
        <v>285</v>
      </c>
      <c r="B19" s="6"/>
      <c r="C19" s="6">
        <v>0.96</v>
      </c>
      <c r="D19" s="6"/>
      <c r="E19" s="6"/>
      <c r="F19" s="6"/>
      <c r="G19" s="6"/>
      <c r="H19" s="6"/>
      <c r="I19" s="6"/>
      <c r="J19" s="6"/>
      <c r="K19" s="6"/>
      <c r="L19" s="6"/>
      <c r="M19" s="6">
        <v>0.46500000000000002</v>
      </c>
      <c r="N19" s="6"/>
      <c r="O19" s="6"/>
      <c r="P19" s="6"/>
      <c r="Q19" s="6"/>
      <c r="R19" s="6"/>
      <c r="S19" s="6"/>
      <c r="T19" s="6"/>
      <c r="U19" s="6"/>
      <c r="V19" s="6"/>
      <c r="W19" s="6"/>
      <c r="X19" s="6"/>
      <c r="Y19" s="6"/>
      <c r="Z19" s="6"/>
      <c r="AA19" s="6"/>
      <c r="AB19" s="6"/>
      <c r="AC19" s="6"/>
      <c r="AD19" s="6"/>
      <c r="AE19" s="6"/>
      <c r="AF19" s="6"/>
      <c r="AG19" s="6">
        <f t="shared" si="1"/>
        <v>1.425</v>
      </c>
      <c r="AH19" s="430">
        <f t="shared" si="0"/>
        <v>2.8058913873902254E-2</v>
      </c>
    </row>
    <row r="20" spans="1:34">
      <c r="A20" s="404" t="s">
        <v>380</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1"/>
        <v>0</v>
      </c>
      <c r="AH20" s="430">
        <f t="shared" si="0"/>
        <v>0</v>
      </c>
    </row>
    <row r="21" spans="1:34">
      <c r="A21" s="404" t="s">
        <v>216</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1"/>
        <v>0</v>
      </c>
      <c r="AH21" s="430">
        <f t="shared" si="0"/>
        <v>0</v>
      </c>
    </row>
    <row r="22" spans="1:34">
      <c r="A22" s="404" t="s">
        <v>381</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1"/>
        <v>0</v>
      </c>
      <c r="AH22" s="430">
        <f t="shared" si="0"/>
        <v>0</v>
      </c>
    </row>
    <row r="23" spans="1:34">
      <c r="A23" s="404" t="s">
        <v>217</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1"/>
        <v>0</v>
      </c>
      <c r="AH23" s="430">
        <f t="shared" si="0"/>
        <v>0</v>
      </c>
    </row>
    <row r="24" spans="1:34">
      <c r="A24" s="404" t="s">
        <v>382</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1"/>
        <v>0</v>
      </c>
      <c r="AH24" s="430">
        <f t="shared" si="0"/>
        <v>0</v>
      </c>
    </row>
    <row r="25" spans="1:34">
      <c r="A25" s="404" t="s">
        <v>218</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1"/>
        <v>0</v>
      </c>
      <c r="AH25" s="430">
        <f t="shared" si="0"/>
        <v>0</v>
      </c>
    </row>
    <row r="26" spans="1:34">
      <c r="A26" s="404" t="s">
        <v>383</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1"/>
        <v>0</v>
      </c>
      <c r="AH26" s="430">
        <f t="shared" si="0"/>
        <v>0</v>
      </c>
    </row>
    <row r="27" spans="1:34">
      <c r="A27" s="404" t="s">
        <v>384</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1"/>
        <v>0</v>
      </c>
      <c r="AH27" s="430">
        <f t="shared" si="0"/>
        <v>0</v>
      </c>
    </row>
    <row r="28" spans="1:34">
      <c r="A28" s="404" t="s">
        <v>385</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1"/>
        <v>0</v>
      </c>
      <c r="AH28" s="430">
        <f t="shared" si="0"/>
        <v>0</v>
      </c>
    </row>
    <row r="29" spans="1:34">
      <c r="A29" s="404" t="s">
        <v>219</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1"/>
        <v>0</v>
      </c>
      <c r="AH29" s="430">
        <f t="shared" si="0"/>
        <v>0</v>
      </c>
    </row>
    <row r="30" spans="1:34">
      <c r="A30" s="404" t="s">
        <v>286</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1"/>
        <v>0</v>
      </c>
      <c r="AH30" s="430">
        <f t="shared" si="0"/>
        <v>0</v>
      </c>
    </row>
    <row r="31" spans="1:34">
      <c r="A31" s="404" t="s">
        <v>386</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1"/>
        <v>0</v>
      </c>
      <c r="AH31" s="430">
        <f t="shared" si="0"/>
        <v>0</v>
      </c>
    </row>
    <row r="32" spans="1:34">
      <c r="A32" s="404" t="s">
        <v>220</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1"/>
        <v>0</v>
      </c>
      <c r="AH32" s="430">
        <f t="shared" si="0"/>
        <v>0</v>
      </c>
    </row>
    <row r="33" spans="1:34">
      <c r="A33" s="404" t="s">
        <v>221</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f t="shared" si="1"/>
        <v>0</v>
      </c>
      <c r="AH33" s="430">
        <f t="shared" si="0"/>
        <v>0</v>
      </c>
    </row>
    <row r="34" spans="1:34">
      <c r="A34" s="404" t="s">
        <v>222</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1"/>
        <v>0</v>
      </c>
      <c r="AH34" s="430">
        <f t="shared" si="0"/>
        <v>0</v>
      </c>
    </row>
    <row r="35" spans="1:34">
      <c r="A35" s="404" t="s">
        <v>387</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1"/>
        <v>0</v>
      </c>
      <c r="AH35" s="430">
        <f t="shared" si="0"/>
        <v>0</v>
      </c>
    </row>
    <row r="36" spans="1:34">
      <c r="A36" s="404" t="s">
        <v>388</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1"/>
        <v>0</v>
      </c>
      <c r="AH36" s="430">
        <f t="shared" si="0"/>
        <v>0</v>
      </c>
    </row>
    <row r="37" spans="1:34">
      <c r="A37" s="404" t="s">
        <v>389</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1"/>
        <v>0</v>
      </c>
      <c r="AH37" s="430">
        <f>+AG37/$AG$39</f>
        <v>0</v>
      </c>
    </row>
    <row r="38" spans="1:34">
      <c r="A38" s="44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47">
        <f>+AG39/Efficiency1!$K$147</f>
        <v>3.2969876763691612E-2</v>
      </c>
    </row>
    <row r="39" spans="1:34">
      <c r="A39" s="407" t="s">
        <v>3</v>
      </c>
      <c r="B39" s="6">
        <f t="shared" ref="B39:AF39" si="2">SUM(B3:B37)</f>
        <v>11.009999999999998</v>
      </c>
      <c r="C39" s="6">
        <f t="shared" si="2"/>
        <v>6.95</v>
      </c>
      <c r="D39" s="6">
        <f t="shared" si="2"/>
        <v>6.6719999999999997</v>
      </c>
      <c r="E39" s="6">
        <f t="shared" si="2"/>
        <v>4.9539999999999997</v>
      </c>
      <c r="F39" s="6">
        <f t="shared" si="2"/>
        <v>7.0260000000000007</v>
      </c>
      <c r="G39" s="6">
        <f t="shared" si="2"/>
        <v>8.2529999999999983</v>
      </c>
      <c r="H39" s="6">
        <f t="shared" si="2"/>
        <v>8.1419999999999995</v>
      </c>
      <c r="I39" s="6">
        <f t="shared" si="2"/>
        <v>7.1480000000000006</v>
      </c>
      <c r="J39" s="6">
        <f t="shared" si="2"/>
        <v>3.9940000000000007</v>
      </c>
      <c r="K39" s="6">
        <f t="shared" si="2"/>
        <v>7.1259999999999994</v>
      </c>
      <c r="L39" s="6">
        <f t="shared" si="2"/>
        <v>10.506</v>
      </c>
      <c r="M39" s="6">
        <f t="shared" si="2"/>
        <v>10.254999999999999</v>
      </c>
      <c r="N39" s="6">
        <f t="shared" si="2"/>
        <v>9.3949999999999996</v>
      </c>
      <c r="O39" s="7">
        <f t="shared" si="2"/>
        <v>9.6540000000000017</v>
      </c>
      <c r="P39" s="6">
        <f t="shared" si="2"/>
        <v>3.8529999999999998</v>
      </c>
      <c r="Q39" s="6">
        <f t="shared" si="2"/>
        <v>6.4219999999999997</v>
      </c>
      <c r="R39" s="6">
        <f t="shared" si="2"/>
        <v>7.0709999999999997</v>
      </c>
      <c r="S39" s="6">
        <f t="shared" si="2"/>
        <v>4.3179999999999996</v>
      </c>
      <c r="T39" s="6">
        <f t="shared" si="2"/>
        <v>8.7640000000000011</v>
      </c>
      <c r="U39" s="6">
        <f t="shared" si="2"/>
        <v>5.4980000000000002</v>
      </c>
      <c r="V39" s="6">
        <f t="shared" si="2"/>
        <v>3.7989999999999995</v>
      </c>
      <c r="W39" s="6">
        <f t="shared" si="2"/>
        <v>4.5030000000000001</v>
      </c>
      <c r="X39" s="6">
        <f t="shared" si="2"/>
        <v>4.6879999999999997</v>
      </c>
      <c r="Y39" s="6">
        <f t="shared" si="2"/>
        <v>6.6629999999999994</v>
      </c>
      <c r="Z39" s="6">
        <f t="shared" si="2"/>
        <v>13.284000000000001</v>
      </c>
      <c r="AA39" s="6">
        <f t="shared" si="2"/>
        <v>10.607000000000001</v>
      </c>
      <c r="AB39" s="6">
        <f t="shared" si="2"/>
        <v>10.195</v>
      </c>
      <c r="AC39" s="6">
        <f t="shared" si="2"/>
        <v>5.96</v>
      </c>
      <c r="AD39" s="6">
        <f t="shared" si="2"/>
        <v>8.0630000000000006</v>
      </c>
      <c r="AE39" s="6">
        <f t="shared" si="2"/>
        <v>10.795999999999998</v>
      </c>
      <c r="AF39" s="6">
        <f t="shared" si="2"/>
        <v>11.913</v>
      </c>
      <c r="AG39" s="17">
        <f>SUM(AG6:AG38)</f>
        <v>50.786000000000008</v>
      </c>
      <c r="AH39" s="448">
        <f>SUM(AH6:AH37)</f>
        <v>1.0000000000000002</v>
      </c>
    </row>
  </sheetData>
  <mergeCells count="1">
    <mergeCell ref="AI3:A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3"/>
  <sheetViews>
    <sheetView topLeftCell="A82" workbookViewId="0">
      <selection activeCell="C24" sqref="C24"/>
    </sheetView>
  </sheetViews>
  <sheetFormatPr defaultRowHeight="12.75"/>
  <cols>
    <col min="2" max="2" width="10.85546875" style="432" bestFit="1" customWidth="1"/>
    <col min="3" max="3" width="11.85546875" style="4" customWidth="1"/>
    <col min="4" max="4" width="43.85546875" customWidth="1"/>
    <col min="5" max="6" width="23.140625" bestFit="1" customWidth="1"/>
    <col min="8" max="8" width="30.7109375" bestFit="1" customWidth="1"/>
    <col min="10" max="10" width="12" customWidth="1"/>
    <col min="13" max="13" width="10.85546875" style="432" bestFit="1" customWidth="1"/>
    <col min="14" max="14" width="11.85546875" style="4" customWidth="1"/>
    <col min="15" max="15" width="38.28515625" customWidth="1"/>
    <col min="16" max="16" width="30.42578125" customWidth="1"/>
    <col min="17" max="17" width="23.140625" bestFit="1" customWidth="1"/>
    <col min="19" max="19" width="30.7109375" bestFit="1" customWidth="1"/>
    <col min="21" max="21" width="12" customWidth="1"/>
  </cols>
  <sheetData>
    <row r="1" spans="1:21" ht="30">
      <c r="A1" s="408" t="s">
        <v>234</v>
      </c>
      <c r="B1" s="421" t="s">
        <v>9</v>
      </c>
      <c r="C1" s="422" t="s">
        <v>241</v>
      </c>
      <c r="D1" s="423" t="s">
        <v>139</v>
      </c>
      <c r="E1" s="423" t="s">
        <v>242</v>
      </c>
      <c r="F1" s="423" t="s">
        <v>243</v>
      </c>
      <c r="H1" s="424" t="s">
        <v>244</v>
      </c>
      <c r="I1" s="425" t="s">
        <v>245</v>
      </c>
      <c r="J1" s="425" t="s">
        <v>246</v>
      </c>
      <c r="L1" s="408" t="s">
        <v>372</v>
      </c>
      <c r="M1" s="421" t="s">
        <v>9</v>
      </c>
      <c r="N1" s="422" t="s">
        <v>241</v>
      </c>
      <c r="O1" s="423" t="s">
        <v>139</v>
      </c>
      <c r="P1" s="423" t="s">
        <v>242</v>
      </c>
      <c r="Q1" s="423" t="s">
        <v>243</v>
      </c>
      <c r="S1" s="424" t="s">
        <v>244</v>
      </c>
      <c r="T1" s="425" t="s">
        <v>245</v>
      </c>
      <c r="U1" s="425" t="s">
        <v>246</v>
      </c>
    </row>
    <row r="2" spans="1:21">
      <c r="B2" s="314">
        <v>45839</v>
      </c>
      <c r="C2" s="4">
        <v>80</v>
      </c>
      <c r="D2" s="431" t="s">
        <v>589</v>
      </c>
      <c r="E2" t="s">
        <v>247</v>
      </c>
      <c r="F2" t="s">
        <v>248</v>
      </c>
      <c r="H2" s="6" t="s">
        <v>158</v>
      </c>
      <c r="I2" s="293">
        <f>+Efficiency1!Z147</f>
        <v>7.5039999999999996</v>
      </c>
      <c r="J2" s="426">
        <f t="shared" ref="J2:J3" si="0">I2/$I$8</f>
        <v>4.8715385191734299E-3</v>
      </c>
      <c r="M2" s="314">
        <v>45839</v>
      </c>
      <c r="N2" s="4">
        <v>80</v>
      </c>
      <c r="O2" s="431" t="s">
        <v>589</v>
      </c>
      <c r="P2" t="s">
        <v>247</v>
      </c>
      <c r="Q2" t="s">
        <v>248</v>
      </c>
      <c r="S2" s="6" t="s">
        <v>158</v>
      </c>
      <c r="T2" s="293">
        <f>+Efficiency2!Z147</f>
        <v>7.5039999999999996</v>
      </c>
      <c r="U2" s="426">
        <f>T2/$T$8</f>
        <v>4.8986454637917802E-3</v>
      </c>
    </row>
    <row r="3" spans="1:21">
      <c r="B3" s="314"/>
      <c r="C3" s="4">
        <v>15</v>
      </c>
      <c r="D3" s="431" t="s">
        <v>403</v>
      </c>
      <c r="E3" t="s">
        <v>249</v>
      </c>
      <c r="F3" t="s">
        <v>248</v>
      </c>
      <c r="H3" s="6" t="s">
        <v>250</v>
      </c>
      <c r="I3" s="293">
        <f>+Efficiency1!Y147+Efficiency1!AA147</f>
        <v>59.35504066625542</v>
      </c>
      <c r="J3" s="426">
        <f t="shared" si="0"/>
        <v>3.8532831411616293E-2</v>
      </c>
      <c r="M3" s="314"/>
      <c r="N3" s="4">
        <v>15</v>
      </c>
      <c r="O3" s="431" t="s">
        <v>403</v>
      </c>
      <c r="P3" t="s">
        <v>249</v>
      </c>
      <c r="Q3" t="s">
        <v>248</v>
      </c>
      <c r="S3" s="6" t="s">
        <v>250</v>
      </c>
      <c r="T3" s="293">
        <f>+Efficiency2!Y147+Efficiency2!AA147</f>
        <v>59.35504066625542</v>
      </c>
      <c r="U3" s="426">
        <f t="shared" ref="U3:U5" si="1">T3/$T$8</f>
        <v>3.8747241566221849E-2</v>
      </c>
    </row>
    <row r="4" spans="1:21">
      <c r="B4" s="42"/>
      <c r="C4" s="4">
        <v>43</v>
      </c>
      <c r="D4" s="431" t="s">
        <v>404</v>
      </c>
      <c r="E4" t="s">
        <v>251</v>
      </c>
      <c r="F4" t="s">
        <v>248</v>
      </c>
      <c r="H4" s="6" t="s">
        <v>252</v>
      </c>
      <c r="I4" s="293">
        <f>+Efficiency1!AB147</f>
        <v>1.7344850428700096</v>
      </c>
      <c r="J4" s="426">
        <f>I4/$I$8</f>
        <v>1.1260142187195404E-3</v>
      </c>
      <c r="M4" s="42"/>
      <c r="N4" s="4">
        <v>43</v>
      </c>
      <c r="O4" s="431" t="s">
        <v>404</v>
      </c>
      <c r="P4" t="s">
        <v>251</v>
      </c>
      <c r="Q4" t="s">
        <v>248</v>
      </c>
      <c r="S4" s="6" t="s">
        <v>252</v>
      </c>
      <c r="T4" s="293">
        <f>+Efficiency2!AB147</f>
        <v>2.0443734170721446</v>
      </c>
      <c r="U4" s="426">
        <f t="shared" si="1"/>
        <v>1.3345763014175056E-3</v>
      </c>
    </row>
    <row r="5" spans="1:21" ht="15" customHeight="1">
      <c r="B5" s="42"/>
      <c r="C5" s="4">
        <v>120</v>
      </c>
      <c r="D5" s="431" t="s">
        <v>435</v>
      </c>
      <c r="E5" s="362" t="s">
        <v>625</v>
      </c>
      <c r="F5" s="362" t="s">
        <v>262</v>
      </c>
      <c r="H5" s="6" t="s">
        <v>254</v>
      </c>
      <c r="I5" s="293">
        <f>+Efficiency1!AC147</f>
        <v>7.6760035324184148</v>
      </c>
      <c r="J5" s="426">
        <f>I5/$I$8</f>
        <v>4.9832018765308666E-3</v>
      </c>
      <c r="M5" s="42"/>
      <c r="N5" s="4">
        <v>120</v>
      </c>
      <c r="O5" s="431" t="s">
        <v>435</v>
      </c>
      <c r="P5" s="362" t="s">
        <v>625</v>
      </c>
      <c r="Q5" s="362" t="s">
        <v>262</v>
      </c>
      <c r="S5" s="6" t="s">
        <v>254</v>
      </c>
      <c r="T5" s="293">
        <f>+Efficiency2!AC147</f>
        <v>7.2621813582162922</v>
      </c>
      <c r="U5" s="426">
        <f t="shared" si="1"/>
        <v>4.74078515027445E-3</v>
      </c>
    </row>
    <row r="6" spans="1:21" ht="15" customHeight="1">
      <c r="B6" s="314"/>
      <c r="C6" s="4">
        <v>238</v>
      </c>
      <c r="D6" t="s">
        <v>436</v>
      </c>
      <c r="E6" s="362" t="s">
        <v>626</v>
      </c>
      <c r="F6" t="s">
        <v>311</v>
      </c>
      <c r="M6" s="314"/>
      <c r="N6" s="4">
        <v>88</v>
      </c>
      <c r="O6" t="s">
        <v>436</v>
      </c>
      <c r="P6" s="362" t="s">
        <v>626</v>
      </c>
      <c r="Q6" t="s">
        <v>311</v>
      </c>
    </row>
    <row r="7" spans="1:21">
      <c r="B7" s="314"/>
      <c r="D7" s="431"/>
      <c r="I7" s="427"/>
      <c r="J7" s="428"/>
      <c r="M7" s="314"/>
      <c r="O7" s="431"/>
      <c r="T7" s="427"/>
      <c r="U7" s="428"/>
    </row>
    <row r="8" spans="1:21">
      <c r="B8" s="314">
        <v>45840</v>
      </c>
      <c r="C8" s="4">
        <v>4</v>
      </c>
      <c r="D8" s="431" t="s">
        <v>464</v>
      </c>
      <c r="E8" t="s">
        <v>247</v>
      </c>
      <c r="F8" t="s">
        <v>248</v>
      </c>
      <c r="H8" s="429" t="s">
        <v>255</v>
      </c>
      <c r="I8" s="7">
        <f>+Efficiency1!K147</f>
        <v>1540.3757910289967</v>
      </c>
      <c r="M8" s="314">
        <v>45840</v>
      </c>
      <c r="N8" s="4">
        <v>4</v>
      </c>
      <c r="O8" s="431" t="s">
        <v>464</v>
      </c>
      <c r="P8" t="s">
        <v>247</v>
      </c>
      <c r="Q8" t="s">
        <v>248</v>
      </c>
      <c r="S8" s="429" t="s">
        <v>255</v>
      </c>
      <c r="T8" s="7">
        <f>+Efficiency2!K147</f>
        <v>1531.8520304164967</v>
      </c>
    </row>
    <row r="9" spans="1:21">
      <c r="B9" s="314"/>
      <c r="C9" s="4">
        <v>10</v>
      </c>
      <c r="D9" s="431" t="s">
        <v>468</v>
      </c>
      <c r="E9" t="s">
        <v>249</v>
      </c>
      <c r="F9" t="s">
        <v>248</v>
      </c>
      <c r="H9" s="429" t="s">
        <v>256</v>
      </c>
      <c r="I9" s="7">
        <f>+Efficiency1!AD147</f>
        <v>2380</v>
      </c>
      <c r="M9" s="314"/>
      <c r="N9" s="4">
        <v>10</v>
      </c>
      <c r="O9" s="431" t="s">
        <v>468</v>
      </c>
      <c r="P9" t="s">
        <v>249</v>
      </c>
      <c r="Q9" t="s">
        <v>248</v>
      </c>
      <c r="S9" s="429" t="s">
        <v>256</v>
      </c>
      <c r="T9" s="7">
        <f>+Efficiency2!AD147</f>
        <v>2119</v>
      </c>
    </row>
    <row r="10" spans="1:21" ht="15" customHeight="1">
      <c r="B10" s="42"/>
      <c r="C10" s="4">
        <v>17</v>
      </c>
      <c r="D10" s="431" t="s">
        <v>469</v>
      </c>
      <c r="E10" t="s">
        <v>251</v>
      </c>
      <c r="F10" t="s">
        <v>248</v>
      </c>
      <c r="H10" s="429" t="s">
        <v>257</v>
      </c>
      <c r="I10" s="7">
        <f>+Efficiency1!V147</f>
        <v>78.412261787452479</v>
      </c>
      <c r="M10" s="42"/>
      <c r="N10" s="4">
        <v>17</v>
      </c>
      <c r="O10" s="431" t="s">
        <v>469</v>
      </c>
      <c r="P10" t="s">
        <v>251</v>
      </c>
      <c r="Q10" t="s">
        <v>248</v>
      </c>
      <c r="S10" s="429" t="s">
        <v>257</v>
      </c>
      <c r="T10" s="7">
        <f>+Efficiency2!V147</f>
        <v>69.992434974952474</v>
      </c>
    </row>
    <row r="11" spans="1:21">
      <c r="B11" s="314"/>
      <c r="C11" s="4">
        <v>130</v>
      </c>
      <c r="D11" t="s">
        <v>466</v>
      </c>
      <c r="E11" s="362" t="s">
        <v>625</v>
      </c>
      <c r="F11" s="362" t="s">
        <v>262</v>
      </c>
      <c r="G11" s="495">
        <f>+summary!H46</f>
        <v>0.99999999999999978</v>
      </c>
      <c r="H11" s="429" t="s">
        <v>258</v>
      </c>
      <c r="I11" s="430">
        <f>I10/I8</f>
        <v>5.0904631353023137E-2</v>
      </c>
      <c r="M11" s="314"/>
      <c r="N11" s="4">
        <v>130</v>
      </c>
      <c r="O11" t="s">
        <v>466</v>
      </c>
      <c r="P11" s="362" t="s">
        <v>625</v>
      </c>
      <c r="Q11" s="362" t="s">
        <v>262</v>
      </c>
      <c r="R11" s="495">
        <f>+summary!Q46</f>
        <v>0.99999999999999967</v>
      </c>
      <c r="S11" s="429" t="s">
        <v>258</v>
      </c>
      <c r="T11" s="430">
        <f>T10/T8</f>
        <v>4.5691381142029863E-2</v>
      </c>
    </row>
    <row r="12" spans="1:21">
      <c r="B12" s="314"/>
      <c r="C12" s="4">
        <v>135</v>
      </c>
      <c r="D12" s="431" t="s">
        <v>467</v>
      </c>
      <c r="E12" s="362" t="s">
        <v>626</v>
      </c>
      <c r="F12" t="s">
        <v>311</v>
      </c>
      <c r="M12" s="314"/>
      <c r="N12" s="4">
        <v>135</v>
      </c>
      <c r="O12" s="431" t="s">
        <v>467</v>
      </c>
      <c r="P12" s="362" t="s">
        <v>626</v>
      </c>
      <c r="Q12" t="s">
        <v>311</v>
      </c>
    </row>
    <row r="13" spans="1:21">
      <c r="B13" s="314"/>
      <c r="C13" s="4">
        <v>68</v>
      </c>
      <c r="D13" s="431" t="s">
        <v>494</v>
      </c>
      <c r="E13" s="362" t="s">
        <v>627</v>
      </c>
      <c r="F13" t="s">
        <v>312</v>
      </c>
      <c r="M13" s="314"/>
      <c r="N13" s="4">
        <v>0</v>
      </c>
      <c r="O13" s="431" t="s">
        <v>494</v>
      </c>
      <c r="P13" s="362" t="s">
        <v>627</v>
      </c>
      <c r="Q13" t="s">
        <v>312</v>
      </c>
    </row>
    <row r="14" spans="1:21" ht="15" customHeight="1">
      <c r="B14" s="42"/>
      <c r="D14" s="431"/>
      <c r="E14" s="494"/>
      <c r="F14" s="362"/>
      <c r="M14" s="42"/>
      <c r="O14" s="431"/>
      <c r="P14" s="494"/>
      <c r="Q14" s="362"/>
    </row>
    <row r="15" spans="1:21" ht="15" customHeight="1">
      <c r="B15" s="314">
        <v>45841</v>
      </c>
      <c r="C15" s="4">
        <v>20</v>
      </c>
      <c r="D15" s="431" t="s">
        <v>432</v>
      </c>
      <c r="E15" t="s">
        <v>247</v>
      </c>
      <c r="F15" t="s">
        <v>248</v>
      </c>
      <c r="M15" s="314">
        <v>45841</v>
      </c>
      <c r="N15" s="4">
        <v>20</v>
      </c>
      <c r="O15" s="431" t="s">
        <v>432</v>
      </c>
      <c r="P15" t="s">
        <v>247</v>
      </c>
      <c r="Q15" t="s">
        <v>248</v>
      </c>
    </row>
    <row r="16" spans="1:21">
      <c r="B16" s="314"/>
      <c r="C16" s="4">
        <v>10</v>
      </c>
      <c r="D16" t="s">
        <v>481</v>
      </c>
      <c r="E16" t="s">
        <v>249</v>
      </c>
      <c r="F16" t="s">
        <v>248</v>
      </c>
      <c r="M16" s="314"/>
      <c r="N16" s="4">
        <v>10</v>
      </c>
      <c r="O16" t="s">
        <v>481</v>
      </c>
      <c r="P16" t="s">
        <v>249</v>
      </c>
      <c r="Q16" t="s">
        <v>248</v>
      </c>
    </row>
    <row r="17" spans="2:17">
      <c r="B17" s="314"/>
      <c r="C17" s="4">
        <v>29</v>
      </c>
      <c r="D17" s="431" t="s">
        <v>469</v>
      </c>
      <c r="E17" t="s">
        <v>251</v>
      </c>
      <c r="F17" t="s">
        <v>248</v>
      </c>
      <c r="M17" s="314"/>
      <c r="N17" s="4">
        <v>29</v>
      </c>
      <c r="O17" s="431" t="s">
        <v>469</v>
      </c>
      <c r="P17" t="s">
        <v>251</v>
      </c>
      <c r="Q17" t="s">
        <v>248</v>
      </c>
    </row>
    <row r="18" spans="2:17">
      <c r="B18" s="314"/>
      <c r="C18" s="4">
        <v>30</v>
      </c>
      <c r="D18" s="431" t="s">
        <v>482</v>
      </c>
      <c r="E18" t="s">
        <v>628</v>
      </c>
      <c r="F18" t="s">
        <v>371</v>
      </c>
      <c r="M18" s="314"/>
      <c r="N18" s="4">
        <v>0</v>
      </c>
      <c r="O18" s="431" t="s">
        <v>482</v>
      </c>
      <c r="P18" t="s">
        <v>628</v>
      </c>
      <c r="Q18" t="s">
        <v>371</v>
      </c>
    </row>
    <row r="19" spans="2:17">
      <c r="B19" s="314"/>
      <c r="C19" s="4">
        <v>11</v>
      </c>
      <c r="D19" s="431" t="s">
        <v>483</v>
      </c>
      <c r="E19" t="s">
        <v>629</v>
      </c>
      <c r="F19" t="s">
        <v>261</v>
      </c>
      <c r="M19" s="314"/>
      <c r="N19" s="4">
        <v>11</v>
      </c>
      <c r="O19" s="431" t="s">
        <v>483</v>
      </c>
      <c r="P19" t="s">
        <v>629</v>
      </c>
      <c r="Q19" t="s">
        <v>261</v>
      </c>
    </row>
    <row r="20" spans="2:17">
      <c r="B20" s="42"/>
      <c r="D20" s="431"/>
      <c r="M20" s="42"/>
      <c r="O20" s="431"/>
    </row>
    <row r="21" spans="2:17">
      <c r="B21" s="314">
        <v>45842</v>
      </c>
      <c r="C21" s="4">
        <v>12</v>
      </c>
      <c r="D21" t="s">
        <v>401</v>
      </c>
      <c r="E21" t="s">
        <v>247</v>
      </c>
      <c r="F21" t="s">
        <v>248</v>
      </c>
      <c r="M21" s="314">
        <v>45842</v>
      </c>
      <c r="N21" s="4">
        <v>12</v>
      </c>
      <c r="O21" t="s">
        <v>401</v>
      </c>
      <c r="P21" t="s">
        <v>247</v>
      </c>
      <c r="Q21" t="s">
        <v>248</v>
      </c>
    </row>
    <row r="22" spans="2:17">
      <c r="B22" s="314"/>
      <c r="C22" s="4">
        <v>16</v>
      </c>
      <c r="D22" t="s">
        <v>503</v>
      </c>
      <c r="E22" t="s">
        <v>249</v>
      </c>
      <c r="F22" t="s">
        <v>248</v>
      </c>
      <c r="M22" s="314"/>
      <c r="N22" s="4">
        <v>16</v>
      </c>
      <c r="O22" t="s">
        <v>503</v>
      </c>
      <c r="P22" t="s">
        <v>249</v>
      </c>
      <c r="Q22" t="s">
        <v>248</v>
      </c>
    </row>
    <row r="23" spans="2:17">
      <c r="B23" s="314"/>
      <c r="C23" s="4">
        <v>17</v>
      </c>
      <c r="D23" t="s">
        <v>504</v>
      </c>
      <c r="E23" t="s">
        <v>251</v>
      </c>
      <c r="F23" t="s">
        <v>248</v>
      </c>
      <c r="M23" s="314"/>
      <c r="N23" s="4">
        <v>17</v>
      </c>
      <c r="O23" t="s">
        <v>504</v>
      </c>
      <c r="P23" t="s">
        <v>251</v>
      </c>
      <c r="Q23" t="s">
        <v>248</v>
      </c>
    </row>
    <row r="24" spans="2:17">
      <c r="B24" s="314"/>
      <c r="C24" s="4">
        <v>25</v>
      </c>
      <c r="D24" t="s">
        <v>505</v>
      </c>
      <c r="E24" t="s">
        <v>630</v>
      </c>
      <c r="F24" t="s">
        <v>261</v>
      </c>
      <c r="M24" s="314"/>
      <c r="N24" s="4">
        <v>25</v>
      </c>
      <c r="O24" t="s">
        <v>505</v>
      </c>
      <c r="P24" t="s">
        <v>630</v>
      </c>
      <c r="Q24" t="s">
        <v>261</v>
      </c>
    </row>
    <row r="25" spans="2:17">
      <c r="B25" s="314"/>
      <c r="M25" s="314"/>
    </row>
    <row r="26" spans="2:17">
      <c r="B26" s="42">
        <v>45843</v>
      </c>
      <c r="C26" s="4">
        <v>15</v>
      </c>
      <c r="D26" t="s">
        <v>402</v>
      </c>
      <c r="E26" t="s">
        <v>247</v>
      </c>
      <c r="F26" t="s">
        <v>248</v>
      </c>
      <c r="M26" s="42">
        <v>45843</v>
      </c>
      <c r="N26" s="4">
        <v>15</v>
      </c>
      <c r="O26" t="s">
        <v>402</v>
      </c>
      <c r="P26" t="s">
        <v>247</v>
      </c>
      <c r="Q26" t="s">
        <v>248</v>
      </c>
    </row>
    <row r="27" spans="2:17">
      <c r="B27" s="42"/>
      <c r="C27" s="4">
        <v>16</v>
      </c>
      <c r="D27" t="s">
        <v>530</v>
      </c>
      <c r="E27" t="s">
        <v>249</v>
      </c>
      <c r="F27" t="s">
        <v>248</v>
      </c>
      <c r="M27" s="42"/>
      <c r="N27" s="4">
        <v>16</v>
      </c>
      <c r="O27" t="s">
        <v>530</v>
      </c>
      <c r="P27" t="s">
        <v>249</v>
      </c>
      <c r="Q27" t="s">
        <v>248</v>
      </c>
    </row>
    <row r="28" spans="2:17">
      <c r="B28" s="314"/>
      <c r="C28" s="4">
        <v>25</v>
      </c>
      <c r="D28" t="s">
        <v>531</v>
      </c>
      <c r="E28" t="s">
        <v>251</v>
      </c>
      <c r="F28" t="s">
        <v>248</v>
      </c>
      <c r="M28" s="314"/>
      <c r="N28" s="4">
        <v>25</v>
      </c>
      <c r="O28" t="s">
        <v>531</v>
      </c>
      <c r="P28" t="s">
        <v>251</v>
      </c>
      <c r="Q28" t="s">
        <v>248</v>
      </c>
    </row>
    <row r="29" spans="2:17">
      <c r="B29" s="314"/>
      <c r="C29" s="4">
        <v>5</v>
      </c>
      <c r="D29" t="s">
        <v>529</v>
      </c>
      <c r="E29" t="s">
        <v>631</v>
      </c>
      <c r="F29" t="s">
        <v>277</v>
      </c>
      <c r="M29" s="314"/>
      <c r="N29" s="4">
        <v>5</v>
      </c>
      <c r="O29" t="s">
        <v>529</v>
      </c>
      <c r="P29" t="s">
        <v>631</v>
      </c>
      <c r="Q29" t="s">
        <v>277</v>
      </c>
    </row>
    <row r="30" spans="2:17">
      <c r="B30" s="314"/>
      <c r="M30" s="314"/>
    </row>
    <row r="31" spans="2:17">
      <c r="B31" s="42">
        <v>45844</v>
      </c>
      <c r="C31" s="4">
        <v>15</v>
      </c>
      <c r="D31" t="s">
        <v>402</v>
      </c>
      <c r="E31" t="s">
        <v>247</v>
      </c>
      <c r="F31" t="s">
        <v>248</v>
      </c>
      <c r="M31" s="42">
        <v>45844</v>
      </c>
      <c r="N31" s="4">
        <v>15</v>
      </c>
      <c r="O31" t="s">
        <v>402</v>
      </c>
      <c r="P31" t="s">
        <v>247</v>
      </c>
      <c r="Q31" t="s">
        <v>248</v>
      </c>
    </row>
    <row r="32" spans="2:17">
      <c r="B32" s="314"/>
      <c r="C32" s="4">
        <v>13</v>
      </c>
      <c r="D32" t="s">
        <v>532</v>
      </c>
      <c r="E32" t="s">
        <v>249</v>
      </c>
      <c r="F32" t="s">
        <v>248</v>
      </c>
      <c r="M32" s="314"/>
      <c r="N32" s="4">
        <v>13</v>
      </c>
      <c r="O32" t="s">
        <v>532</v>
      </c>
      <c r="P32" t="s">
        <v>249</v>
      </c>
      <c r="Q32" t="s">
        <v>248</v>
      </c>
    </row>
    <row r="33" spans="2:17">
      <c r="B33" s="314"/>
      <c r="C33" s="4">
        <v>24</v>
      </c>
      <c r="D33" t="s">
        <v>469</v>
      </c>
      <c r="E33" t="s">
        <v>251</v>
      </c>
      <c r="F33" t="s">
        <v>248</v>
      </c>
      <c r="M33" s="314"/>
      <c r="N33" s="4">
        <v>24</v>
      </c>
      <c r="O33" t="s">
        <v>469</v>
      </c>
      <c r="P33" t="s">
        <v>251</v>
      </c>
      <c r="Q33" t="s">
        <v>248</v>
      </c>
    </row>
    <row r="34" spans="2:17">
      <c r="B34" s="314"/>
      <c r="M34" s="314"/>
    </row>
    <row r="35" spans="2:17">
      <c r="B35" s="314">
        <v>45845</v>
      </c>
      <c r="C35" s="4">
        <v>0</v>
      </c>
      <c r="D35" t="s">
        <v>461</v>
      </c>
      <c r="E35" t="s">
        <v>247</v>
      </c>
      <c r="F35" t="s">
        <v>248</v>
      </c>
      <c r="M35" s="314">
        <v>45845</v>
      </c>
      <c r="N35" s="4">
        <v>0</v>
      </c>
      <c r="O35" t="s">
        <v>461</v>
      </c>
      <c r="P35" t="s">
        <v>247</v>
      </c>
      <c r="Q35" t="s">
        <v>248</v>
      </c>
    </row>
    <row r="36" spans="2:17">
      <c r="B36" s="42"/>
      <c r="C36" s="4">
        <v>12</v>
      </c>
      <c r="D36" t="s">
        <v>544</v>
      </c>
      <c r="E36" t="s">
        <v>249</v>
      </c>
      <c r="F36" t="s">
        <v>248</v>
      </c>
      <c r="M36" s="42"/>
      <c r="N36" s="4">
        <v>12</v>
      </c>
      <c r="O36" t="s">
        <v>544</v>
      </c>
      <c r="P36" t="s">
        <v>249</v>
      </c>
      <c r="Q36" t="s">
        <v>248</v>
      </c>
    </row>
    <row r="37" spans="2:17">
      <c r="B37" s="314"/>
      <c r="C37" s="4">
        <v>12</v>
      </c>
      <c r="D37" t="s">
        <v>504</v>
      </c>
      <c r="E37" t="s">
        <v>251</v>
      </c>
      <c r="F37" t="s">
        <v>248</v>
      </c>
      <c r="M37" s="314"/>
      <c r="N37" s="4">
        <v>12</v>
      </c>
      <c r="O37" t="s">
        <v>504</v>
      </c>
      <c r="P37" t="s">
        <v>251</v>
      </c>
      <c r="Q37" t="s">
        <v>248</v>
      </c>
    </row>
    <row r="38" spans="2:17">
      <c r="B38" s="314"/>
      <c r="M38" s="314"/>
    </row>
    <row r="39" spans="2:17">
      <c r="B39" s="314">
        <v>45846</v>
      </c>
      <c r="C39" s="4">
        <v>0</v>
      </c>
      <c r="D39" t="s">
        <v>461</v>
      </c>
      <c r="E39" t="s">
        <v>247</v>
      </c>
      <c r="F39" t="s">
        <v>248</v>
      </c>
      <c r="M39" s="314">
        <v>45846</v>
      </c>
      <c r="N39" s="4">
        <v>0</v>
      </c>
      <c r="O39" t="s">
        <v>461</v>
      </c>
      <c r="P39" t="s">
        <v>247</v>
      </c>
      <c r="Q39" t="s">
        <v>248</v>
      </c>
    </row>
    <row r="40" spans="2:17">
      <c r="B40" s="42"/>
      <c r="C40" s="4">
        <v>13</v>
      </c>
      <c r="D40" t="s">
        <v>532</v>
      </c>
      <c r="E40" t="s">
        <v>249</v>
      </c>
      <c r="F40" t="s">
        <v>248</v>
      </c>
      <c r="M40" s="42"/>
      <c r="N40" s="4">
        <v>13</v>
      </c>
      <c r="O40" t="s">
        <v>532</v>
      </c>
      <c r="P40" t="s">
        <v>249</v>
      </c>
      <c r="Q40" t="s">
        <v>248</v>
      </c>
    </row>
    <row r="41" spans="2:17">
      <c r="B41" s="314"/>
      <c r="C41" s="4">
        <v>16</v>
      </c>
      <c r="D41" t="s">
        <v>404</v>
      </c>
      <c r="E41" t="s">
        <v>251</v>
      </c>
      <c r="F41" t="s">
        <v>248</v>
      </c>
      <c r="M41" s="314"/>
      <c r="N41" s="4">
        <v>16</v>
      </c>
      <c r="O41" t="s">
        <v>404</v>
      </c>
      <c r="P41" t="s">
        <v>251</v>
      </c>
      <c r="Q41" t="s">
        <v>248</v>
      </c>
    </row>
    <row r="42" spans="2:17">
      <c r="B42" s="42"/>
      <c r="C42" s="4">
        <v>5</v>
      </c>
      <c r="D42" t="s">
        <v>555</v>
      </c>
      <c r="E42" s="362" t="s">
        <v>627</v>
      </c>
      <c r="F42" s="362" t="s">
        <v>312</v>
      </c>
      <c r="M42" s="42"/>
      <c r="N42" s="4">
        <v>0</v>
      </c>
      <c r="O42" t="s">
        <v>555</v>
      </c>
      <c r="P42" s="362" t="s">
        <v>627</v>
      </c>
      <c r="Q42" s="362" t="s">
        <v>312</v>
      </c>
    </row>
    <row r="43" spans="2:17">
      <c r="B43" s="314"/>
      <c r="M43" s="314"/>
    </row>
    <row r="44" spans="2:17">
      <c r="B44" s="314">
        <v>45847</v>
      </c>
      <c r="C44" s="4">
        <v>80</v>
      </c>
      <c r="D44" t="s">
        <v>567</v>
      </c>
      <c r="E44" t="s">
        <v>247</v>
      </c>
      <c r="F44" t="s">
        <v>248</v>
      </c>
      <c r="M44" s="314">
        <v>45847</v>
      </c>
      <c r="N44" s="4">
        <v>80</v>
      </c>
      <c r="O44" t="s">
        <v>567</v>
      </c>
      <c r="P44" t="s">
        <v>247</v>
      </c>
      <c r="Q44" t="s">
        <v>248</v>
      </c>
    </row>
    <row r="45" spans="2:17">
      <c r="B45" s="42"/>
      <c r="C45" s="4">
        <v>21</v>
      </c>
      <c r="D45" t="s">
        <v>530</v>
      </c>
      <c r="E45" t="s">
        <v>249</v>
      </c>
      <c r="F45" t="s">
        <v>248</v>
      </c>
      <c r="M45" s="42"/>
      <c r="N45" s="4">
        <v>21</v>
      </c>
      <c r="O45" t="s">
        <v>530</v>
      </c>
      <c r="P45" t="s">
        <v>249</v>
      </c>
      <c r="Q45" t="s">
        <v>248</v>
      </c>
    </row>
    <row r="46" spans="2:17">
      <c r="B46" s="314"/>
      <c r="C46" s="4">
        <v>44</v>
      </c>
      <c r="D46" t="s">
        <v>569</v>
      </c>
      <c r="E46" t="s">
        <v>251</v>
      </c>
      <c r="F46" t="s">
        <v>248</v>
      </c>
      <c r="M46" s="314"/>
      <c r="N46" s="4">
        <v>44</v>
      </c>
      <c r="O46" t="s">
        <v>569</v>
      </c>
      <c r="P46" t="s">
        <v>251</v>
      </c>
      <c r="Q46" t="s">
        <v>248</v>
      </c>
    </row>
    <row r="47" spans="2:17">
      <c r="B47" s="314"/>
      <c r="M47" s="314"/>
    </row>
    <row r="48" spans="2:17">
      <c r="B48" s="314">
        <v>45848</v>
      </c>
      <c r="C48" s="4">
        <v>8</v>
      </c>
      <c r="D48" t="s">
        <v>432</v>
      </c>
      <c r="E48" t="s">
        <v>247</v>
      </c>
      <c r="F48" t="s">
        <v>248</v>
      </c>
      <c r="M48" s="314">
        <v>45848</v>
      </c>
      <c r="N48" s="4">
        <v>8</v>
      </c>
      <c r="O48" t="s">
        <v>432</v>
      </c>
      <c r="P48" t="s">
        <v>247</v>
      </c>
      <c r="Q48" t="s">
        <v>248</v>
      </c>
    </row>
    <row r="49" spans="2:17">
      <c r="B49" s="314"/>
      <c r="C49" s="4">
        <v>14</v>
      </c>
      <c r="D49" t="s">
        <v>577</v>
      </c>
      <c r="E49" t="s">
        <v>249</v>
      </c>
      <c r="F49" t="s">
        <v>248</v>
      </c>
      <c r="M49" s="314"/>
      <c r="N49" s="4">
        <v>14</v>
      </c>
      <c r="O49" t="s">
        <v>577</v>
      </c>
      <c r="P49" t="s">
        <v>249</v>
      </c>
      <c r="Q49" t="s">
        <v>248</v>
      </c>
    </row>
    <row r="50" spans="2:17">
      <c r="B50" s="314"/>
      <c r="C50" s="4">
        <v>47</v>
      </c>
      <c r="D50" t="s">
        <v>579</v>
      </c>
      <c r="E50" t="s">
        <v>251</v>
      </c>
      <c r="F50" t="s">
        <v>248</v>
      </c>
      <c r="M50" s="314"/>
      <c r="N50" s="4">
        <v>47</v>
      </c>
      <c r="O50" t="s">
        <v>579</v>
      </c>
      <c r="P50" t="s">
        <v>251</v>
      </c>
      <c r="Q50" t="s">
        <v>248</v>
      </c>
    </row>
    <row r="51" spans="2:17">
      <c r="B51" s="314"/>
      <c r="M51" s="314"/>
    </row>
    <row r="52" spans="2:17">
      <c r="B52" s="42">
        <v>45849</v>
      </c>
      <c r="C52" s="4">
        <v>85</v>
      </c>
      <c r="D52" t="s">
        <v>591</v>
      </c>
      <c r="E52" t="s">
        <v>247</v>
      </c>
      <c r="F52" t="s">
        <v>248</v>
      </c>
      <c r="M52" s="42">
        <v>45849</v>
      </c>
      <c r="N52" s="4">
        <v>85</v>
      </c>
      <c r="O52" t="s">
        <v>591</v>
      </c>
      <c r="P52" t="s">
        <v>247</v>
      </c>
      <c r="Q52" t="s">
        <v>248</v>
      </c>
    </row>
    <row r="53" spans="2:17">
      <c r="B53" s="42"/>
      <c r="C53" s="4">
        <v>14</v>
      </c>
      <c r="D53" t="s">
        <v>532</v>
      </c>
      <c r="E53" t="s">
        <v>249</v>
      </c>
      <c r="F53" t="s">
        <v>248</v>
      </c>
      <c r="M53" s="42"/>
      <c r="N53" s="4">
        <v>14</v>
      </c>
      <c r="O53" t="s">
        <v>532</v>
      </c>
      <c r="P53" t="s">
        <v>249</v>
      </c>
      <c r="Q53" t="s">
        <v>248</v>
      </c>
    </row>
    <row r="54" spans="2:17">
      <c r="B54" s="314"/>
      <c r="C54" s="4">
        <v>41</v>
      </c>
      <c r="D54" t="s">
        <v>531</v>
      </c>
      <c r="E54" t="s">
        <v>251</v>
      </c>
      <c r="F54" t="s">
        <v>248</v>
      </c>
      <c r="M54" s="314"/>
      <c r="N54" s="4">
        <v>41</v>
      </c>
      <c r="O54" t="s">
        <v>531</v>
      </c>
      <c r="P54" t="s">
        <v>251</v>
      </c>
      <c r="Q54" t="s">
        <v>248</v>
      </c>
    </row>
    <row r="55" spans="2:17">
      <c r="B55" s="314"/>
      <c r="E55" s="362"/>
      <c r="F55" s="362"/>
      <c r="M55" s="314"/>
      <c r="P55" s="362"/>
      <c r="Q55" s="362"/>
    </row>
    <row r="56" spans="2:17">
      <c r="B56" s="42">
        <v>45850</v>
      </c>
      <c r="C56" s="4">
        <v>43</v>
      </c>
      <c r="D56" t="s">
        <v>607</v>
      </c>
      <c r="E56" t="s">
        <v>247</v>
      </c>
      <c r="F56" t="s">
        <v>248</v>
      </c>
      <c r="M56" s="42">
        <v>45850</v>
      </c>
      <c r="N56" s="4">
        <v>43</v>
      </c>
      <c r="O56" t="s">
        <v>607</v>
      </c>
      <c r="P56" t="s">
        <v>247</v>
      </c>
      <c r="Q56" t="s">
        <v>248</v>
      </c>
    </row>
    <row r="57" spans="2:17">
      <c r="B57" s="314"/>
      <c r="C57" s="4">
        <v>19</v>
      </c>
      <c r="D57" t="s">
        <v>544</v>
      </c>
      <c r="E57" t="s">
        <v>249</v>
      </c>
      <c r="F57" t="s">
        <v>248</v>
      </c>
      <c r="M57" s="314"/>
      <c r="N57" s="4">
        <v>19</v>
      </c>
      <c r="O57" t="s">
        <v>544</v>
      </c>
      <c r="P57" t="s">
        <v>249</v>
      </c>
      <c r="Q57" t="s">
        <v>248</v>
      </c>
    </row>
    <row r="58" spans="2:17">
      <c r="B58" s="42"/>
      <c r="C58" s="4">
        <v>36</v>
      </c>
      <c r="D58" t="s">
        <v>504</v>
      </c>
      <c r="E58" t="s">
        <v>251</v>
      </c>
      <c r="F58" t="s">
        <v>248</v>
      </c>
      <c r="M58" s="42"/>
      <c r="N58" s="4">
        <v>36</v>
      </c>
      <c r="O58" t="s">
        <v>504</v>
      </c>
      <c r="P58" t="s">
        <v>251</v>
      </c>
      <c r="Q58" t="s">
        <v>248</v>
      </c>
    </row>
    <row r="59" spans="2:17">
      <c r="B59" s="314"/>
      <c r="M59" s="314"/>
    </row>
    <row r="60" spans="2:17">
      <c r="B60" s="314">
        <v>45851</v>
      </c>
      <c r="C60" s="4">
        <v>18</v>
      </c>
      <c r="D60" t="s">
        <v>402</v>
      </c>
      <c r="E60" t="s">
        <v>247</v>
      </c>
      <c r="F60" t="s">
        <v>248</v>
      </c>
      <c r="M60" s="314">
        <v>45851</v>
      </c>
      <c r="N60" s="4">
        <v>18</v>
      </c>
      <c r="O60" t="s">
        <v>402</v>
      </c>
      <c r="P60" t="s">
        <v>247</v>
      </c>
      <c r="Q60" t="s">
        <v>248</v>
      </c>
    </row>
    <row r="61" spans="2:17">
      <c r="B61" s="42"/>
      <c r="C61" s="4">
        <v>25</v>
      </c>
      <c r="D61" t="s">
        <v>544</v>
      </c>
      <c r="E61" t="s">
        <v>249</v>
      </c>
      <c r="F61" t="s">
        <v>248</v>
      </c>
      <c r="M61" s="42"/>
      <c r="N61" s="4">
        <v>25</v>
      </c>
      <c r="O61" t="s">
        <v>544</v>
      </c>
      <c r="P61" t="s">
        <v>249</v>
      </c>
      <c r="Q61" t="s">
        <v>248</v>
      </c>
    </row>
    <row r="62" spans="2:17">
      <c r="B62" s="314"/>
      <c r="C62" s="4">
        <v>39</v>
      </c>
      <c r="D62" t="s">
        <v>569</v>
      </c>
      <c r="E62" t="s">
        <v>251</v>
      </c>
      <c r="F62" t="s">
        <v>248</v>
      </c>
      <c r="M62" s="314"/>
      <c r="N62" s="4">
        <v>39</v>
      </c>
      <c r="O62" t="s">
        <v>569</v>
      </c>
      <c r="P62" t="s">
        <v>251</v>
      </c>
      <c r="Q62" t="s">
        <v>248</v>
      </c>
    </row>
    <row r="63" spans="2:17">
      <c r="B63" s="42"/>
      <c r="C63" s="4">
        <v>23</v>
      </c>
      <c r="D63" t="s">
        <v>608</v>
      </c>
      <c r="E63" t="s">
        <v>632</v>
      </c>
      <c r="F63" t="s">
        <v>277</v>
      </c>
      <c r="M63" s="42"/>
      <c r="N63" s="4">
        <v>23</v>
      </c>
      <c r="O63" t="s">
        <v>608</v>
      </c>
      <c r="P63" t="s">
        <v>632</v>
      </c>
      <c r="Q63" t="s">
        <v>277</v>
      </c>
    </row>
    <row r="64" spans="2:17">
      <c r="B64" s="314"/>
      <c r="M64" s="314"/>
    </row>
    <row r="65" spans="2:17">
      <c r="B65" s="314">
        <v>45852</v>
      </c>
      <c r="C65" s="4">
        <v>0</v>
      </c>
      <c r="D65" t="s">
        <v>461</v>
      </c>
      <c r="E65" t="s">
        <v>247</v>
      </c>
      <c r="F65" t="s">
        <v>248</v>
      </c>
      <c r="M65" s="314">
        <v>45852</v>
      </c>
      <c r="N65" s="4">
        <v>0</v>
      </c>
      <c r="O65" t="s">
        <v>461</v>
      </c>
      <c r="P65" t="s">
        <v>247</v>
      </c>
      <c r="Q65" t="s">
        <v>248</v>
      </c>
    </row>
    <row r="66" spans="2:17">
      <c r="B66" s="42"/>
      <c r="C66" s="4">
        <v>10</v>
      </c>
      <c r="D66" t="s">
        <v>503</v>
      </c>
      <c r="E66" t="s">
        <v>249</v>
      </c>
      <c r="F66" t="s">
        <v>248</v>
      </c>
      <c r="M66" s="42"/>
      <c r="N66" s="4">
        <v>10</v>
      </c>
      <c r="O66" t="s">
        <v>503</v>
      </c>
      <c r="P66" t="s">
        <v>249</v>
      </c>
      <c r="Q66" t="s">
        <v>248</v>
      </c>
    </row>
    <row r="67" spans="2:17">
      <c r="B67" s="42"/>
      <c r="C67" s="4">
        <v>19</v>
      </c>
      <c r="D67" t="s">
        <v>622</v>
      </c>
      <c r="E67" t="s">
        <v>251</v>
      </c>
      <c r="F67" t="s">
        <v>248</v>
      </c>
      <c r="M67" s="42"/>
      <c r="N67" s="4">
        <v>19</v>
      </c>
      <c r="O67" t="s">
        <v>622</v>
      </c>
      <c r="P67" t="s">
        <v>251</v>
      </c>
      <c r="Q67" t="s">
        <v>248</v>
      </c>
    </row>
    <row r="68" spans="2:17">
      <c r="B68" s="314"/>
      <c r="M68" s="314"/>
    </row>
    <row r="69" spans="2:17">
      <c r="B69" s="314">
        <v>45853</v>
      </c>
      <c r="C69" s="4">
        <v>0</v>
      </c>
      <c r="D69" t="s">
        <v>461</v>
      </c>
      <c r="E69" t="s">
        <v>247</v>
      </c>
      <c r="F69" t="s">
        <v>248</v>
      </c>
      <c r="M69" s="314">
        <v>45853</v>
      </c>
      <c r="N69" s="4">
        <v>0</v>
      </c>
      <c r="O69" t="s">
        <v>461</v>
      </c>
      <c r="P69" t="s">
        <v>247</v>
      </c>
      <c r="Q69" t="s">
        <v>248</v>
      </c>
    </row>
    <row r="70" spans="2:17">
      <c r="B70" s="314"/>
      <c r="C70" s="4">
        <v>7</v>
      </c>
      <c r="D70" t="s">
        <v>530</v>
      </c>
      <c r="E70" t="s">
        <v>249</v>
      </c>
      <c r="F70" t="s">
        <v>248</v>
      </c>
      <c r="M70" s="314"/>
      <c r="N70" s="4">
        <v>7</v>
      </c>
      <c r="O70" t="s">
        <v>530</v>
      </c>
      <c r="P70" t="s">
        <v>249</v>
      </c>
      <c r="Q70" t="s">
        <v>248</v>
      </c>
    </row>
    <row r="71" spans="2:17">
      <c r="B71" s="42"/>
      <c r="C71" s="4">
        <v>13</v>
      </c>
      <c r="D71" t="s">
        <v>579</v>
      </c>
      <c r="E71" t="s">
        <v>251</v>
      </c>
      <c r="F71" t="s">
        <v>248</v>
      </c>
      <c r="M71" s="42"/>
      <c r="N71" s="4">
        <v>13</v>
      </c>
      <c r="O71" t="s">
        <v>579</v>
      </c>
      <c r="P71" t="s">
        <v>251</v>
      </c>
      <c r="Q71" t="s">
        <v>248</v>
      </c>
    </row>
    <row r="72" spans="2:17">
      <c r="B72" s="42"/>
      <c r="E72" s="362"/>
      <c r="M72" s="42"/>
      <c r="P72" s="362"/>
    </row>
    <row r="73" spans="2:17">
      <c r="B73" s="314">
        <v>45854</v>
      </c>
      <c r="C73" s="4">
        <v>0</v>
      </c>
      <c r="D73" t="s">
        <v>461</v>
      </c>
      <c r="E73" t="s">
        <v>247</v>
      </c>
      <c r="F73" t="s">
        <v>248</v>
      </c>
      <c r="M73" s="314">
        <v>45854</v>
      </c>
      <c r="N73" s="4">
        <v>0</v>
      </c>
      <c r="O73" t="s">
        <v>461</v>
      </c>
      <c r="P73" t="s">
        <v>247</v>
      </c>
      <c r="Q73" t="s">
        <v>248</v>
      </c>
    </row>
    <row r="74" spans="2:17">
      <c r="B74" s="314"/>
      <c r="C74" s="4">
        <v>9</v>
      </c>
      <c r="D74" t="s">
        <v>530</v>
      </c>
      <c r="E74" t="s">
        <v>249</v>
      </c>
      <c r="F74" t="s">
        <v>248</v>
      </c>
      <c r="M74" s="314"/>
      <c r="N74" s="4">
        <v>9</v>
      </c>
      <c r="O74" t="s">
        <v>530</v>
      </c>
      <c r="P74" t="s">
        <v>249</v>
      </c>
      <c r="Q74" t="s">
        <v>248</v>
      </c>
    </row>
    <row r="75" spans="2:17">
      <c r="B75" s="314"/>
      <c r="C75" s="4">
        <v>21</v>
      </c>
      <c r="D75" t="s">
        <v>651</v>
      </c>
      <c r="E75" t="s">
        <v>251</v>
      </c>
      <c r="F75" t="s">
        <v>248</v>
      </c>
      <c r="M75" s="314"/>
      <c r="N75" s="4">
        <v>21</v>
      </c>
      <c r="O75" t="s">
        <v>651</v>
      </c>
      <c r="P75" t="s">
        <v>251</v>
      </c>
      <c r="Q75" t="s">
        <v>248</v>
      </c>
    </row>
    <row r="76" spans="2:17">
      <c r="B76" s="42"/>
      <c r="M76" s="42"/>
    </row>
    <row r="77" spans="2:17">
      <c r="B77" s="42">
        <v>45855</v>
      </c>
      <c r="C77" s="4">
        <v>0</v>
      </c>
      <c r="D77" t="s">
        <v>461</v>
      </c>
      <c r="E77" t="s">
        <v>247</v>
      </c>
      <c r="F77" t="s">
        <v>248</v>
      </c>
      <c r="M77" s="42">
        <v>45855</v>
      </c>
      <c r="N77" s="4">
        <v>0</v>
      </c>
      <c r="O77" t="s">
        <v>461</v>
      </c>
      <c r="P77" t="s">
        <v>247</v>
      </c>
      <c r="Q77" t="s">
        <v>248</v>
      </c>
    </row>
    <row r="78" spans="2:17">
      <c r="B78" s="42"/>
      <c r="C78" s="4">
        <v>15</v>
      </c>
      <c r="D78" t="s">
        <v>481</v>
      </c>
      <c r="E78" t="s">
        <v>249</v>
      </c>
      <c r="F78" t="s">
        <v>248</v>
      </c>
      <c r="M78" s="42"/>
      <c r="N78" s="4">
        <v>15</v>
      </c>
      <c r="O78" t="s">
        <v>481</v>
      </c>
      <c r="P78" t="s">
        <v>249</v>
      </c>
      <c r="Q78" t="s">
        <v>248</v>
      </c>
    </row>
    <row r="79" spans="2:17">
      <c r="B79" s="314"/>
      <c r="C79" s="4">
        <v>23</v>
      </c>
      <c r="D79" t="s">
        <v>569</v>
      </c>
      <c r="E79" t="s">
        <v>251</v>
      </c>
      <c r="F79" t="s">
        <v>248</v>
      </c>
      <c r="M79" s="314"/>
      <c r="N79" s="4">
        <v>23</v>
      </c>
      <c r="O79" t="s">
        <v>569</v>
      </c>
      <c r="P79" t="s">
        <v>251</v>
      </c>
      <c r="Q79" t="s">
        <v>248</v>
      </c>
    </row>
    <row r="80" spans="2:17">
      <c r="B80" s="314"/>
      <c r="C80" s="4">
        <v>12</v>
      </c>
      <c r="D80" t="s">
        <v>658</v>
      </c>
      <c r="E80" t="s">
        <v>751</v>
      </c>
      <c r="F80" t="s">
        <v>261</v>
      </c>
      <c r="M80" s="314"/>
      <c r="N80" s="4">
        <v>12</v>
      </c>
      <c r="O80" t="s">
        <v>658</v>
      </c>
      <c r="P80" t="s">
        <v>751</v>
      </c>
      <c r="Q80" t="s">
        <v>261</v>
      </c>
    </row>
    <row r="81" spans="2:17">
      <c r="B81" s="42"/>
      <c r="M81" s="42"/>
    </row>
    <row r="82" spans="2:17">
      <c r="B82" s="42">
        <v>45856</v>
      </c>
      <c r="C82" s="4">
        <v>0</v>
      </c>
      <c r="D82" t="s">
        <v>461</v>
      </c>
      <c r="E82" t="s">
        <v>247</v>
      </c>
      <c r="F82" t="s">
        <v>248</v>
      </c>
      <c r="M82" s="42">
        <v>45856</v>
      </c>
      <c r="N82" s="4">
        <v>0</v>
      </c>
      <c r="O82" t="s">
        <v>461</v>
      </c>
      <c r="P82" t="s">
        <v>247</v>
      </c>
      <c r="Q82" t="s">
        <v>248</v>
      </c>
    </row>
    <row r="83" spans="2:17">
      <c r="B83" s="314"/>
      <c r="C83" s="4">
        <v>10</v>
      </c>
      <c r="D83" t="s">
        <v>532</v>
      </c>
      <c r="E83" t="s">
        <v>249</v>
      </c>
      <c r="F83" t="s">
        <v>248</v>
      </c>
      <c r="M83" s="314"/>
      <c r="N83" s="4">
        <v>10</v>
      </c>
      <c r="O83" t="s">
        <v>532</v>
      </c>
      <c r="P83" t="s">
        <v>249</v>
      </c>
      <c r="Q83" t="s">
        <v>248</v>
      </c>
    </row>
    <row r="84" spans="2:17">
      <c r="B84" s="314"/>
      <c r="C84" s="4">
        <v>19</v>
      </c>
      <c r="D84" t="s">
        <v>651</v>
      </c>
      <c r="E84" t="s">
        <v>251</v>
      </c>
      <c r="F84" t="s">
        <v>248</v>
      </c>
      <c r="M84" s="314"/>
      <c r="N84" s="4">
        <v>19</v>
      </c>
      <c r="O84" t="s">
        <v>651</v>
      </c>
      <c r="P84" t="s">
        <v>251</v>
      </c>
      <c r="Q84" t="s">
        <v>248</v>
      </c>
    </row>
    <row r="85" spans="2:17">
      <c r="B85" s="314"/>
      <c r="M85" s="314"/>
    </row>
    <row r="86" spans="2:17">
      <c r="B86" s="42">
        <v>45857</v>
      </c>
      <c r="C86" s="4">
        <v>0</v>
      </c>
      <c r="D86" t="s">
        <v>461</v>
      </c>
      <c r="E86" t="s">
        <v>247</v>
      </c>
      <c r="F86" t="s">
        <v>248</v>
      </c>
      <c r="M86" s="42">
        <v>45857</v>
      </c>
      <c r="N86" s="4">
        <v>0</v>
      </c>
      <c r="O86" t="s">
        <v>461</v>
      </c>
      <c r="P86" t="s">
        <v>247</v>
      </c>
      <c r="Q86" t="s">
        <v>248</v>
      </c>
    </row>
    <row r="87" spans="2:17">
      <c r="B87" s="314"/>
      <c r="C87" s="4">
        <v>10</v>
      </c>
      <c r="D87" t="s">
        <v>481</v>
      </c>
      <c r="E87" t="s">
        <v>249</v>
      </c>
      <c r="F87" t="s">
        <v>248</v>
      </c>
      <c r="M87" s="314"/>
      <c r="N87" s="4">
        <v>10</v>
      </c>
      <c r="O87" t="s">
        <v>481</v>
      </c>
      <c r="P87" t="s">
        <v>249</v>
      </c>
      <c r="Q87" t="s">
        <v>248</v>
      </c>
    </row>
    <row r="88" spans="2:17">
      <c r="B88" s="314"/>
      <c r="C88" s="4">
        <v>24</v>
      </c>
      <c r="D88" t="s">
        <v>579</v>
      </c>
      <c r="E88" t="s">
        <v>251</v>
      </c>
      <c r="F88" t="s">
        <v>248</v>
      </c>
      <c r="M88" s="314"/>
      <c r="N88" s="4">
        <v>24</v>
      </c>
      <c r="O88" t="s">
        <v>579</v>
      </c>
      <c r="P88" t="s">
        <v>251</v>
      </c>
      <c r="Q88" t="s">
        <v>248</v>
      </c>
    </row>
    <row r="89" spans="2:17">
      <c r="B89" s="314"/>
      <c r="M89" s="314"/>
    </row>
    <row r="90" spans="2:17">
      <c r="B90" s="314">
        <v>45858</v>
      </c>
      <c r="C90" s="4">
        <v>0</v>
      </c>
      <c r="D90" t="s">
        <v>461</v>
      </c>
      <c r="E90" t="s">
        <v>247</v>
      </c>
      <c r="F90" t="s">
        <v>248</v>
      </c>
      <c r="M90" s="314">
        <v>45858</v>
      </c>
      <c r="N90" s="4">
        <v>0</v>
      </c>
      <c r="O90" t="s">
        <v>461</v>
      </c>
      <c r="P90" t="s">
        <v>247</v>
      </c>
      <c r="Q90" t="s">
        <v>248</v>
      </c>
    </row>
    <row r="91" spans="2:17">
      <c r="B91" s="42"/>
      <c r="C91" s="4">
        <v>9</v>
      </c>
      <c r="D91" t="s">
        <v>481</v>
      </c>
      <c r="E91" t="s">
        <v>249</v>
      </c>
      <c r="F91" t="s">
        <v>248</v>
      </c>
      <c r="M91" s="42"/>
      <c r="N91" s="4">
        <v>9</v>
      </c>
      <c r="O91" t="s">
        <v>481</v>
      </c>
      <c r="P91" t="s">
        <v>249</v>
      </c>
      <c r="Q91" t="s">
        <v>248</v>
      </c>
    </row>
    <row r="92" spans="2:17">
      <c r="B92" s="314"/>
      <c r="C92" s="4">
        <v>19</v>
      </c>
      <c r="D92" t="s">
        <v>569</v>
      </c>
      <c r="E92" t="s">
        <v>251</v>
      </c>
      <c r="F92" t="s">
        <v>248</v>
      </c>
      <c r="M92" s="314"/>
      <c r="N92" s="4">
        <v>19</v>
      </c>
      <c r="O92" t="s">
        <v>569</v>
      </c>
      <c r="P92" t="s">
        <v>251</v>
      </c>
      <c r="Q92" t="s">
        <v>248</v>
      </c>
    </row>
    <row r="93" spans="2:17">
      <c r="B93" s="42"/>
      <c r="M93" s="42"/>
    </row>
    <row r="94" spans="2:17">
      <c r="B94" s="314">
        <v>45859</v>
      </c>
      <c r="C94" s="4">
        <v>6</v>
      </c>
      <c r="D94" t="s">
        <v>401</v>
      </c>
      <c r="E94" t="s">
        <v>247</v>
      </c>
      <c r="F94" t="s">
        <v>248</v>
      </c>
      <c r="M94" s="314">
        <v>45859</v>
      </c>
      <c r="N94" s="4">
        <v>6</v>
      </c>
      <c r="O94" t="s">
        <v>401</v>
      </c>
      <c r="P94" t="s">
        <v>247</v>
      </c>
      <c r="Q94" t="s">
        <v>248</v>
      </c>
    </row>
    <row r="95" spans="2:17">
      <c r="B95" s="314"/>
      <c r="C95" s="4">
        <v>12</v>
      </c>
      <c r="D95" t="s">
        <v>577</v>
      </c>
      <c r="E95" t="s">
        <v>249</v>
      </c>
      <c r="F95" t="s">
        <v>248</v>
      </c>
      <c r="M95" s="314"/>
      <c r="N95" s="4">
        <v>12</v>
      </c>
      <c r="O95" t="s">
        <v>577</v>
      </c>
      <c r="P95" t="s">
        <v>249</v>
      </c>
      <c r="Q95" t="s">
        <v>248</v>
      </c>
    </row>
    <row r="96" spans="2:17">
      <c r="B96" s="314"/>
      <c r="C96" s="4">
        <v>22</v>
      </c>
      <c r="D96" t="s">
        <v>579</v>
      </c>
      <c r="E96" t="s">
        <v>251</v>
      </c>
      <c r="F96" t="s">
        <v>248</v>
      </c>
      <c r="M96" s="314"/>
      <c r="N96" s="4">
        <v>22</v>
      </c>
      <c r="O96" t="s">
        <v>579</v>
      </c>
      <c r="P96" t="s">
        <v>251</v>
      </c>
      <c r="Q96" t="s">
        <v>248</v>
      </c>
    </row>
    <row r="97" spans="2:17">
      <c r="B97" s="42"/>
      <c r="C97"/>
      <c r="M97" s="42"/>
      <c r="N97"/>
    </row>
    <row r="98" spans="2:17">
      <c r="B98" s="314">
        <v>45860</v>
      </c>
      <c r="C98" s="4">
        <v>0</v>
      </c>
      <c r="D98" t="s">
        <v>461</v>
      </c>
      <c r="E98" t="s">
        <v>247</v>
      </c>
      <c r="F98" t="s">
        <v>248</v>
      </c>
      <c r="M98" s="314">
        <v>45860</v>
      </c>
      <c r="N98" s="4">
        <v>0</v>
      </c>
      <c r="O98" t="s">
        <v>461</v>
      </c>
      <c r="P98" t="s">
        <v>247</v>
      </c>
      <c r="Q98" t="s">
        <v>248</v>
      </c>
    </row>
    <row r="99" spans="2:17">
      <c r="B99" s="314"/>
      <c r="C99" s="4">
        <v>20</v>
      </c>
      <c r="D99" t="s">
        <v>686</v>
      </c>
      <c r="E99" t="s">
        <v>249</v>
      </c>
      <c r="F99" t="s">
        <v>248</v>
      </c>
      <c r="M99" s="314"/>
      <c r="N99" s="4">
        <v>20</v>
      </c>
      <c r="O99" t="s">
        <v>686</v>
      </c>
      <c r="P99" t="s">
        <v>249</v>
      </c>
      <c r="Q99" t="s">
        <v>248</v>
      </c>
    </row>
    <row r="100" spans="2:17">
      <c r="B100" s="314"/>
      <c r="C100">
        <v>21</v>
      </c>
      <c r="D100" t="s">
        <v>404</v>
      </c>
      <c r="E100" t="s">
        <v>251</v>
      </c>
      <c r="F100" t="s">
        <v>248</v>
      </c>
      <c r="M100" s="314"/>
      <c r="N100">
        <v>21</v>
      </c>
      <c r="O100" t="s">
        <v>404</v>
      </c>
      <c r="P100" t="s">
        <v>251</v>
      </c>
      <c r="Q100" t="s">
        <v>248</v>
      </c>
    </row>
    <row r="101" spans="2:17">
      <c r="B101" s="314"/>
      <c r="C101"/>
      <c r="M101" s="314"/>
      <c r="N101"/>
    </row>
    <row r="102" spans="2:17">
      <c r="B102" s="42">
        <v>45861</v>
      </c>
      <c r="C102">
        <v>18</v>
      </c>
      <c r="D102" t="s">
        <v>461</v>
      </c>
      <c r="E102" t="s">
        <v>247</v>
      </c>
      <c r="F102" t="s">
        <v>248</v>
      </c>
      <c r="M102" s="42">
        <v>45861</v>
      </c>
      <c r="N102">
        <v>18</v>
      </c>
      <c r="O102" t="s">
        <v>461</v>
      </c>
      <c r="P102" t="s">
        <v>247</v>
      </c>
      <c r="Q102" t="s">
        <v>248</v>
      </c>
    </row>
    <row r="103" spans="2:17">
      <c r="B103" s="314"/>
      <c r="C103" s="4">
        <v>17</v>
      </c>
      <c r="D103" t="s">
        <v>698</v>
      </c>
      <c r="E103" t="s">
        <v>249</v>
      </c>
      <c r="F103" t="s">
        <v>248</v>
      </c>
      <c r="M103" s="314"/>
      <c r="N103" s="4">
        <v>17</v>
      </c>
      <c r="O103" t="s">
        <v>698</v>
      </c>
      <c r="P103" t="s">
        <v>249</v>
      </c>
      <c r="Q103" t="s">
        <v>248</v>
      </c>
    </row>
    <row r="104" spans="2:17">
      <c r="B104" s="314"/>
      <c r="C104">
        <v>25</v>
      </c>
      <c r="D104" t="s">
        <v>569</v>
      </c>
      <c r="E104" t="s">
        <v>251</v>
      </c>
      <c r="F104" t="s">
        <v>248</v>
      </c>
      <c r="M104" s="314"/>
      <c r="N104">
        <v>25</v>
      </c>
      <c r="O104" t="s">
        <v>569</v>
      </c>
      <c r="P104" t="s">
        <v>251</v>
      </c>
      <c r="Q104" t="s">
        <v>248</v>
      </c>
    </row>
    <row r="105" spans="2:17">
      <c r="B105" s="314"/>
      <c r="C105">
        <v>11</v>
      </c>
      <c r="D105" t="s">
        <v>699</v>
      </c>
      <c r="E105" t="s">
        <v>752</v>
      </c>
      <c r="F105" t="s">
        <v>261</v>
      </c>
      <c r="M105" s="314"/>
      <c r="N105">
        <v>11</v>
      </c>
      <c r="O105" t="s">
        <v>699</v>
      </c>
      <c r="P105" t="s">
        <v>752</v>
      </c>
      <c r="Q105" t="s">
        <v>261</v>
      </c>
    </row>
    <row r="106" spans="2:17">
      <c r="B106" s="314"/>
      <c r="C106"/>
      <c r="M106" s="314"/>
      <c r="N106"/>
    </row>
    <row r="107" spans="2:17">
      <c r="B107" s="42">
        <v>45862</v>
      </c>
      <c r="C107" s="4">
        <v>0</v>
      </c>
      <c r="D107" t="s">
        <v>461</v>
      </c>
      <c r="E107" t="s">
        <v>247</v>
      </c>
      <c r="F107" t="s">
        <v>248</v>
      </c>
      <c r="M107" s="42">
        <v>45862</v>
      </c>
      <c r="N107" s="4">
        <v>0</v>
      </c>
      <c r="O107" t="s">
        <v>461</v>
      </c>
      <c r="P107" t="s">
        <v>247</v>
      </c>
      <c r="Q107" t="s">
        <v>248</v>
      </c>
    </row>
    <row r="108" spans="2:17">
      <c r="B108" s="314"/>
      <c r="C108" s="4">
        <v>15</v>
      </c>
      <c r="D108" t="s">
        <v>532</v>
      </c>
      <c r="E108" t="s">
        <v>249</v>
      </c>
      <c r="F108" t="s">
        <v>248</v>
      </c>
      <c r="M108" s="314"/>
      <c r="N108" s="4">
        <v>15</v>
      </c>
      <c r="O108" t="s">
        <v>532</v>
      </c>
      <c r="P108" t="s">
        <v>249</v>
      </c>
      <c r="Q108" t="s">
        <v>248</v>
      </c>
    </row>
    <row r="109" spans="2:17">
      <c r="B109" s="314"/>
      <c r="C109" s="4">
        <v>22</v>
      </c>
      <c r="D109" t="s">
        <v>504</v>
      </c>
      <c r="E109" t="s">
        <v>251</v>
      </c>
      <c r="F109" t="s">
        <v>248</v>
      </c>
      <c r="M109" s="314"/>
      <c r="N109" s="4">
        <v>22</v>
      </c>
      <c r="O109" t="s">
        <v>504</v>
      </c>
      <c r="P109" t="s">
        <v>251</v>
      </c>
      <c r="Q109" t="s">
        <v>248</v>
      </c>
    </row>
    <row r="110" spans="2:17">
      <c r="B110" s="314"/>
      <c r="C110" s="4">
        <v>14</v>
      </c>
      <c r="D110" t="s">
        <v>714</v>
      </c>
      <c r="E110" t="s">
        <v>753</v>
      </c>
      <c r="F110" t="s">
        <v>277</v>
      </c>
      <c r="M110" s="314"/>
      <c r="N110" s="4">
        <v>14</v>
      </c>
      <c r="O110" t="s">
        <v>714</v>
      </c>
      <c r="P110" t="s">
        <v>753</v>
      </c>
      <c r="Q110" t="s">
        <v>277</v>
      </c>
    </row>
    <row r="111" spans="2:17">
      <c r="B111" s="314"/>
      <c r="C111" s="4">
        <v>8</v>
      </c>
      <c r="D111" t="s">
        <v>720</v>
      </c>
      <c r="E111" t="s">
        <v>627</v>
      </c>
      <c r="F111" s="362" t="s">
        <v>312</v>
      </c>
      <c r="M111" s="314"/>
      <c r="N111" s="4">
        <v>0</v>
      </c>
      <c r="O111" t="s">
        <v>720</v>
      </c>
      <c r="P111" t="s">
        <v>627</v>
      </c>
      <c r="Q111" s="362" t="s">
        <v>312</v>
      </c>
    </row>
    <row r="112" spans="2:17">
      <c r="B112" s="42"/>
      <c r="M112" s="42"/>
    </row>
    <row r="113" spans="2:17">
      <c r="B113" s="314">
        <v>45863</v>
      </c>
      <c r="C113" s="4">
        <v>0</v>
      </c>
      <c r="D113" t="s">
        <v>461</v>
      </c>
      <c r="E113" t="s">
        <v>247</v>
      </c>
      <c r="F113" t="s">
        <v>248</v>
      </c>
      <c r="M113" s="314">
        <v>45863</v>
      </c>
      <c r="N113" s="4">
        <v>0</v>
      </c>
      <c r="O113" t="s">
        <v>461</v>
      </c>
      <c r="P113" t="s">
        <v>247</v>
      </c>
      <c r="Q113" t="s">
        <v>248</v>
      </c>
    </row>
    <row r="114" spans="2:17">
      <c r="B114" s="314"/>
      <c r="C114" s="4">
        <v>9</v>
      </c>
      <c r="D114" t="s">
        <v>577</v>
      </c>
      <c r="E114" t="s">
        <v>249</v>
      </c>
      <c r="F114" t="s">
        <v>248</v>
      </c>
      <c r="M114" s="314"/>
      <c r="N114" s="4">
        <v>9</v>
      </c>
      <c r="O114" t="s">
        <v>577</v>
      </c>
      <c r="P114" t="s">
        <v>249</v>
      </c>
      <c r="Q114" t="s">
        <v>248</v>
      </c>
    </row>
    <row r="115" spans="2:17">
      <c r="B115" s="314"/>
      <c r="C115" s="4">
        <v>26</v>
      </c>
      <c r="D115" t="s">
        <v>742</v>
      </c>
      <c r="E115" t="s">
        <v>251</v>
      </c>
      <c r="F115" t="s">
        <v>248</v>
      </c>
      <c r="M115" s="314"/>
      <c r="N115" s="4">
        <v>26</v>
      </c>
      <c r="O115" t="s">
        <v>742</v>
      </c>
      <c r="P115" t="s">
        <v>251</v>
      </c>
      <c r="Q115" t="s">
        <v>248</v>
      </c>
    </row>
    <row r="116" spans="2:17">
      <c r="B116" s="314"/>
      <c r="C116" s="4">
        <v>10</v>
      </c>
      <c r="D116" t="s">
        <v>743</v>
      </c>
      <c r="E116" t="s">
        <v>754</v>
      </c>
      <c r="F116" t="s">
        <v>277</v>
      </c>
      <c r="M116" s="314"/>
      <c r="N116" s="4">
        <v>10</v>
      </c>
      <c r="O116" t="s">
        <v>743</v>
      </c>
      <c r="P116" t="s">
        <v>754</v>
      </c>
      <c r="Q116" t="s">
        <v>277</v>
      </c>
    </row>
    <row r="117" spans="2:17">
      <c r="B117" s="314"/>
      <c r="M117" s="314"/>
    </row>
    <row r="118" spans="2:17">
      <c r="B118" s="42">
        <v>45864</v>
      </c>
      <c r="C118" s="4">
        <v>0</v>
      </c>
      <c r="D118" t="s">
        <v>461</v>
      </c>
      <c r="E118" t="s">
        <v>247</v>
      </c>
      <c r="F118" t="s">
        <v>248</v>
      </c>
      <c r="M118" s="42">
        <v>45864</v>
      </c>
      <c r="N118" s="4">
        <v>0</v>
      </c>
      <c r="O118" t="s">
        <v>461</v>
      </c>
      <c r="P118" t="s">
        <v>247</v>
      </c>
      <c r="Q118" t="s">
        <v>248</v>
      </c>
    </row>
    <row r="119" spans="2:17">
      <c r="B119" s="314"/>
      <c r="C119" s="4">
        <v>5</v>
      </c>
      <c r="D119" t="s">
        <v>566</v>
      </c>
      <c r="E119" t="s">
        <v>249</v>
      </c>
      <c r="F119" t="s">
        <v>248</v>
      </c>
      <c r="M119" s="314"/>
      <c r="N119" s="4">
        <v>5</v>
      </c>
      <c r="O119" t="s">
        <v>566</v>
      </c>
      <c r="P119" t="s">
        <v>249</v>
      </c>
      <c r="Q119" t="s">
        <v>248</v>
      </c>
    </row>
    <row r="120" spans="2:17">
      <c r="B120" s="314"/>
      <c r="C120" s="4">
        <v>12</v>
      </c>
      <c r="D120" t="s">
        <v>504</v>
      </c>
      <c r="E120" t="s">
        <v>251</v>
      </c>
      <c r="F120" t="s">
        <v>248</v>
      </c>
      <c r="M120" s="314"/>
      <c r="N120" s="4">
        <v>12</v>
      </c>
      <c r="O120" t="s">
        <v>504</v>
      </c>
      <c r="P120" t="s">
        <v>251</v>
      </c>
      <c r="Q120" t="s">
        <v>248</v>
      </c>
    </row>
    <row r="121" spans="2:17">
      <c r="B121" s="42"/>
      <c r="C121" s="4">
        <v>21</v>
      </c>
      <c r="D121" t="s">
        <v>776</v>
      </c>
      <c r="E121" t="s">
        <v>777</v>
      </c>
      <c r="F121" t="s">
        <v>277</v>
      </c>
      <c r="M121" s="42"/>
      <c r="N121" s="4">
        <v>21</v>
      </c>
      <c r="O121" t="s">
        <v>776</v>
      </c>
      <c r="P121" t="s">
        <v>777</v>
      </c>
      <c r="Q121" t="s">
        <v>277</v>
      </c>
    </row>
    <row r="122" spans="2:17">
      <c r="B122" s="314"/>
      <c r="M122" s="314"/>
    </row>
    <row r="123" spans="2:17">
      <c r="B123" s="314">
        <v>45865</v>
      </c>
      <c r="C123" s="4">
        <v>0</v>
      </c>
      <c r="D123" t="s">
        <v>461</v>
      </c>
      <c r="E123" t="s">
        <v>247</v>
      </c>
      <c r="F123" t="s">
        <v>248</v>
      </c>
      <c r="M123" s="314">
        <v>45865</v>
      </c>
      <c r="N123" s="4">
        <v>0</v>
      </c>
      <c r="O123" t="s">
        <v>461</v>
      </c>
      <c r="P123" t="s">
        <v>247</v>
      </c>
      <c r="Q123" t="s">
        <v>248</v>
      </c>
    </row>
    <row r="124" spans="2:17">
      <c r="B124" s="42"/>
      <c r="C124" s="4">
        <v>4</v>
      </c>
      <c r="D124" t="s">
        <v>468</v>
      </c>
      <c r="E124" t="s">
        <v>249</v>
      </c>
      <c r="F124" t="s">
        <v>248</v>
      </c>
      <c r="M124" s="42"/>
      <c r="N124" s="4">
        <v>4</v>
      </c>
      <c r="O124" t="s">
        <v>468</v>
      </c>
      <c r="P124" t="s">
        <v>249</v>
      </c>
      <c r="Q124" t="s">
        <v>248</v>
      </c>
    </row>
    <row r="125" spans="2:17">
      <c r="B125" s="314"/>
      <c r="C125" s="4">
        <v>9</v>
      </c>
      <c r="D125" t="s">
        <v>504</v>
      </c>
      <c r="E125" t="s">
        <v>251</v>
      </c>
      <c r="F125" t="s">
        <v>248</v>
      </c>
      <c r="M125" s="314"/>
      <c r="N125" s="4">
        <v>9</v>
      </c>
      <c r="O125" t="s">
        <v>504</v>
      </c>
      <c r="P125" t="s">
        <v>251</v>
      </c>
      <c r="Q125" t="s">
        <v>248</v>
      </c>
    </row>
    <row r="126" spans="2:17">
      <c r="B126" s="314"/>
      <c r="M126" s="314"/>
    </row>
    <row r="127" spans="2:17">
      <c r="B127" s="314">
        <v>45866</v>
      </c>
      <c r="C127" s="4">
        <v>0</v>
      </c>
      <c r="D127" t="s">
        <v>461</v>
      </c>
      <c r="E127" t="s">
        <v>247</v>
      </c>
      <c r="F127" t="s">
        <v>248</v>
      </c>
      <c r="M127" s="314">
        <v>45866</v>
      </c>
      <c r="N127" s="4">
        <v>0</v>
      </c>
      <c r="O127" t="s">
        <v>461</v>
      </c>
      <c r="P127" t="s">
        <v>247</v>
      </c>
      <c r="Q127" t="s">
        <v>248</v>
      </c>
    </row>
    <row r="128" spans="2:17">
      <c r="B128" s="42"/>
      <c r="C128" s="4">
        <v>9</v>
      </c>
      <c r="D128" t="s">
        <v>577</v>
      </c>
      <c r="E128" t="s">
        <v>249</v>
      </c>
      <c r="F128" t="s">
        <v>248</v>
      </c>
      <c r="M128" s="42"/>
      <c r="N128" s="4">
        <v>9</v>
      </c>
      <c r="O128" t="s">
        <v>577</v>
      </c>
      <c r="P128" t="s">
        <v>249</v>
      </c>
      <c r="Q128" t="s">
        <v>248</v>
      </c>
    </row>
    <row r="129" spans="2:17">
      <c r="B129" s="314"/>
      <c r="C129" s="4">
        <v>16</v>
      </c>
      <c r="D129" t="s">
        <v>504</v>
      </c>
      <c r="E129" t="s">
        <v>251</v>
      </c>
      <c r="F129" t="s">
        <v>248</v>
      </c>
      <c r="M129" s="314"/>
      <c r="N129" s="4">
        <v>16</v>
      </c>
      <c r="O129" t="s">
        <v>504</v>
      </c>
      <c r="P129" t="s">
        <v>251</v>
      </c>
      <c r="Q129" t="s">
        <v>248</v>
      </c>
    </row>
    <row r="130" spans="2:17">
      <c r="B130" s="42"/>
      <c r="E130" s="362"/>
      <c r="F130" s="362"/>
      <c r="M130" s="42"/>
      <c r="P130" s="362"/>
      <c r="Q130" s="362"/>
    </row>
    <row r="131" spans="2:17">
      <c r="B131" s="314">
        <v>45867</v>
      </c>
      <c r="C131" s="4">
        <v>0</v>
      </c>
      <c r="D131" t="s">
        <v>461</v>
      </c>
      <c r="E131" t="s">
        <v>247</v>
      </c>
      <c r="F131" t="s">
        <v>248</v>
      </c>
      <c r="M131" s="314">
        <v>45867</v>
      </c>
      <c r="N131" s="4">
        <v>0</v>
      </c>
      <c r="O131" t="s">
        <v>461</v>
      </c>
      <c r="P131" t="s">
        <v>247</v>
      </c>
      <c r="Q131" t="s">
        <v>248</v>
      </c>
    </row>
    <row r="132" spans="2:17">
      <c r="B132" s="314"/>
      <c r="C132" s="4">
        <v>7</v>
      </c>
      <c r="D132" t="s">
        <v>468</v>
      </c>
      <c r="E132" t="s">
        <v>249</v>
      </c>
      <c r="F132" t="s">
        <v>248</v>
      </c>
      <c r="M132" s="314"/>
      <c r="N132" s="4">
        <v>7</v>
      </c>
      <c r="O132" t="s">
        <v>468</v>
      </c>
      <c r="P132" t="s">
        <v>249</v>
      </c>
      <c r="Q132" t="s">
        <v>248</v>
      </c>
    </row>
    <row r="133" spans="2:17">
      <c r="B133" s="42"/>
      <c r="C133" s="4">
        <v>19</v>
      </c>
      <c r="D133" t="s">
        <v>569</v>
      </c>
      <c r="E133" t="s">
        <v>251</v>
      </c>
      <c r="F133" t="s">
        <v>248</v>
      </c>
      <c r="M133" s="42"/>
      <c r="N133" s="4">
        <v>19</v>
      </c>
      <c r="O133" t="s">
        <v>569</v>
      </c>
      <c r="P133" t="s">
        <v>251</v>
      </c>
      <c r="Q133" t="s">
        <v>248</v>
      </c>
    </row>
    <row r="134" spans="2:17">
      <c r="B134" s="42"/>
      <c r="M134" s="42"/>
    </row>
    <row r="135" spans="2:17">
      <c r="B135" s="314">
        <v>45868</v>
      </c>
      <c r="C135" s="4">
        <v>0</v>
      </c>
      <c r="D135" t="s">
        <v>461</v>
      </c>
      <c r="E135" t="s">
        <v>247</v>
      </c>
      <c r="F135" t="s">
        <v>248</v>
      </c>
      <c r="M135" s="314">
        <v>45868</v>
      </c>
      <c r="N135" s="4">
        <v>0</v>
      </c>
      <c r="O135" t="s">
        <v>461</v>
      </c>
      <c r="P135" t="s">
        <v>247</v>
      </c>
      <c r="Q135" t="s">
        <v>248</v>
      </c>
    </row>
    <row r="136" spans="2:17">
      <c r="B136" s="314"/>
      <c r="C136" s="4">
        <v>4</v>
      </c>
      <c r="D136" t="s">
        <v>468</v>
      </c>
      <c r="E136" t="s">
        <v>249</v>
      </c>
      <c r="F136" t="s">
        <v>248</v>
      </c>
      <c r="M136" s="314"/>
      <c r="N136" s="4">
        <v>4</v>
      </c>
      <c r="O136" t="s">
        <v>468</v>
      </c>
      <c r="P136" t="s">
        <v>249</v>
      </c>
      <c r="Q136" t="s">
        <v>248</v>
      </c>
    </row>
    <row r="137" spans="2:17">
      <c r="B137" s="314"/>
      <c r="C137" s="4">
        <v>15</v>
      </c>
      <c r="D137" t="s">
        <v>469</v>
      </c>
      <c r="E137" t="s">
        <v>251</v>
      </c>
      <c r="F137" t="s">
        <v>248</v>
      </c>
      <c r="M137" s="314"/>
      <c r="N137" s="4">
        <v>15</v>
      </c>
      <c r="O137" t="s">
        <v>469</v>
      </c>
      <c r="P137" t="s">
        <v>251</v>
      </c>
      <c r="Q137" t="s">
        <v>248</v>
      </c>
    </row>
    <row r="138" spans="2:17">
      <c r="B138" s="42"/>
      <c r="E138" s="362"/>
      <c r="F138" s="362"/>
      <c r="M138" s="42"/>
      <c r="P138" s="362"/>
      <c r="Q138" s="362"/>
    </row>
    <row r="139" spans="2:17">
      <c r="B139" s="42">
        <v>45869</v>
      </c>
      <c r="C139" s="4">
        <v>0</v>
      </c>
      <c r="D139" t="s">
        <v>461</v>
      </c>
      <c r="E139" t="s">
        <v>247</v>
      </c>
      <c r="F139" t="s">
        <v>248</v>
      </c>
      <c r="M139" s="42">
        <v>45869</v>
      </c>
      <c r="N139" s="4">
        <v>0</v>
      </c>
      <c r="O139" t="s">
        <v>461</v>
      </c>
      <c r="P139" t="s">
        <v>247</v>
      </c>
      <c r="Q139" t="s">
        <v>248</v>
      </c>
    </row>
    <row r="140" spans="2:17">
      <c r="B140" s="314"/>
      <c r="C140" s="4">
        <v>6</v>
      </c>
      <c r="D140" t="s">
        <v>468</v>
      </c>
      <c r="E140" t="s">
        <v>249</v>
      </c>
      <c r="F140" t="s">
        <v>248</v>
      </c>
      <c r="M140" s="314"/>
      <c r="N140" s="4">
        <v>6</v>
      </c>
      <c r="O140" t="s">
        <v>468</v>
      </c>
      <c r="P140" t="s">
        <v>249</v>
      </c>
      <c r="Q140" t="s">
        <v>248</v>
      </c>
    </row>
    <row r="141" spans="2:17">
      <c r="B141" s="314"/>
      <c r="C141" s="4">
        <v>19</v>
      </c>
      <c r="D141" t="s">
        <v>469</v>
      </c>
      <c r="E141" t="s">
        <v>251</v>
      </c>
      <c r="F141" t="s">
        <v>248</v>
      </c>
      <c r="M141" s="314"/>
      <c r="N141" s="4">
        <v>19</v>
      </c>
      <c r="O141" t="s">
        <v>469</v>
      </c>
      <c r="P141" t="s">
        <v>251</v>
      </c>
      <c r="Q141" t="s">
        <v>248</v>
      </c>
    </row>
    <row r="142" spans="2:17">
      <c r="B142" s="547"/>
      <c r="M142" s="547"/>
    </row>
    <row r="143" spans="2:17">
      <c r="B143" s="547"/>
      <c r="M143" s="547"/>
    </row>
    <row r="144" spans="2:17">
      <c r="B144" s="547"/>
      <c r="M144" s="547"/>
    </row>
    <row r="145" spans="2:17">
      <c r="B145" s="547"/>
      <c r="F145" s="362"/>
      <c r="M145" s="547"/>
      <c r="Q145" s="362"/>
    </row>
    <row r="146" spans="2:17">
      <c r="B146" s="314"/>
      <c r="M146" s="314"/>
    </row>
    <row r="147" spans="2:17">
      <c r="B147" s="547"/>
      <c r="M147" s="547"/>
    </row>
    <row r="148" spans="2:17">
      <c r="B148" s="547"/>
      <c r="M148" s="547"/>
    </row>
    <row r="149" spans="2:17">
      <c r="B149" s="547"/>
      <c r="E149" s="362"/>
      <c r="M149" s="547"/>
      <c r="P149" s="362"/>
    </row>
    <row r="150" spans="2:17">
      <c r="B150" s="314"/>
      <c r="M150" s="314"/>
    </row>
    <row r="151" spans="2:17">
      <c r="B151" s="547"/>
      <c r="M151" s="547"/>
    </row>
    <row r="152" spans="2:17">
      <c r="B152" s="547"/>
      <c r="M152" s="547"/>
    </row>
    <row r="153" spans="2:17">
      <c r="B153" s="547"/>
      <c r="E153" s="362"/>
      <c r="M153" s="547"/>
      <c r="P153" s="362"/>
    </row>
    <row r="154" spans="2:17">
      <c r="B154" s="547"/>
      <c r="E154" s="362"/>
      <c r="F154" s="362"/>
      <c r="M154" s="547"/>
      <c r="P154" s="362"/>
      <c r="Q154" s="362"/>
    </row>
    <row r="155" spans="2:17">
      <c r="B155" s="547"/>
      <c r="M155" s="547"/>
    </row>
    <row r="156" spans="2:17">
      <c r="B156" s="314"/>
      <c r="M156" s="314"/>
    </row>
    <row r="157" spans="2:17">
      <c r="B157" s="547"/>
      <c r="M157" s="547"/>
    </row>
    <row r="158" spans="2:17">
      <c r="B158" s="547"/>
      <c r="M158" s="547"/>
    </row>
    <row r="159" spans="2:17">
      <c r="B159" s="547"/>
      <c r="E159" s="362"/>
      <c r="F159" s="362"/>
      <c r="M159" s="547"/>
      <c r="P159" s="362"/>
      <c r="Q159" s="362"/>
    </row>
    <row r="160" spans="2:17">
      <c r="B160" s="547"/>
      <c r="M160" s="547"/>
    </row>
    <row r="161" spans="2:13">
      <c r="B161" s="547"/>
      <c r="M161" s="547"/>
    </row>
    <row r="162" spans="2:13">
      <c r="M162" s="547"/>
    </row>
    <row r="163" spans="2:13">
      <c r="M163" s="547"/>
    </row>
  </sheetData>
  <conditionalFormatting sqref="G1:G1048576">
    <cfRule type="cellIs" dxfId="3" priority="3" operator="greaterThan">
      <formula>0</formula>
    </cfRule>
  </conditionalFormatting>
  <conditionalFormatting sqref="R1:R1048576">
    <cfRule type="cellIs" dxfId="2"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6"/>
  <sheetViews>
    <sheetView topLeftCell="A10" workbookViewId="0">
      <selection activeCell="C20" sqref="C20"/>
    </sheetView>
  </sheetViews>
  <sheetFormatPr defaultRowHeight="12.75"/>
  <cols>
    <col min="1" max="1" width="15.28515625" bestFit="1" customWidth="1"/>
    <col min="2" max="2" width="23.28515625" bestFit="1" customWidth="1"/>
    <col min="3" max="3" width="34.28515625" style="548" customWidth="1"/>
    <col min="4" max="8" width="13.5703125" customWidth="1"/>
    <col min="10" max="10" width="15.28515625" bestFit="1" customWidth="1"/>
    <col min="11" max="11" width="23.28515625" bestFit="1" customWidth="1"/>
    <col min="12" max="12" width="34.28515625" style="548" customWidth="1"/>
    <col min="13" max="17" width="13.5703125" customWidth="1"/>
  </cols>
  <sheetData>
    <row r="1" spans="1:17" ht="15">
      <c r="A1" s="408" t="s">
        <v>278</v>
      </c>
      <c r="E1" s="433"/>
      <c r="F1" s="1"/>
      <c r="J1" s="408" t="s">
        <v>375</v>
      </c>
      <c r="N1" s="433"/>
      <c r="O1" s="1"/>
    </row>
    <row r="2" spans="1:17" ht="30">
      <c r="A2" s="780" t="s">
        <v>265</v>
      </c>
      <c r="B2" s="780" t="s">
        <v>266</v>
      </c>
      <c r="C2" s="781" t="s">
        <v>267</v>
      </c>
      <c r="D2" s="434" t="s">
        <v>268</v>
      </c>
      <c r="E2" s="425" t="s">
        <v>269</v>
      </c>
      <c r="F2" s="435" t="s">
        <v>270</v>
      </c>
      <c r="G2" s="425" t="s">
        <v>271</v>
      </c>
      <c r="H2" s="425" t="s">
        <v>272</v>
      </c>
      <c r="J2" s="780" t="s">
        <v>265</v>
      </c>
      <c r="K2" s="780" t="s">
        <v>266</v>
      </c>
      <c r="L2" s="779" t="s">
        <v>267</v>
      </c>
      <c r="M2" s="434" t="s">
        <v>268</v>
      </c>
      <c r="N2" s="425" t="s">
        <v>269</v>
      </c>
      <c r="O2" s="435" t="s">
        <v>270</v>
      </c>
      <c r="P2" s="425" t="s">
        <v>271</v>
      </c>
      <c r="Q2" s="425" t="s">
        <v>272</v>
      </c>
    </row>
    <row r="3" spans="1:17" ht="15">
      <c r="A3" s="780"/>
      <c r="B3" s="780"/>
      <c r="C3" s="782"/>
      <c r="D3" s="434" t="s">
        <v>817</v>
      </c>
      <c r="E3" s="434" t="str">
        <f>+D3</f>
        <v>JULI</v>
      </c>
      <c r="F3" s="434" t="str">
        <f>+E3</f>
        <v>JULI</v>
      </c>
      <c r="G3" s="434" t="str">
        <f>+F3</f>
        <v>JULI</v>
      </c>
      <c r="H3" s="434" t="str">
        <f>+G3</f>
        <v>JULI</v>
      </c>
      <c r="J3" s="780"/>
      <c r="K3" s="780"/>
      <c r="L3" s="779"/>
      <c r="M3" s="434" t="str">
        <f>+H3</f>
        <v>JULI</v>
      </c>
      <c r="N3" s="434" t="str">
        <f>+M3</f>
        <v>JULI</v>
      </c>
      <c r="O3" s="434" t="str">
        <f>+N3</f>
        <v>JULI</v>
      </c>
      <c r="P3" s="434" t="str">
        <f>+O3</f>
        <v>JULI</v>
      </c>
      <c r="Q3" s="434" t="str">
        <f>+P3</f>
        <v>JULI</v>
      </c>
    </row>
    <row r="4" spans="1:17" ht="15">
      <c r="A4" s="783" t="s">
        <v>273</v>
      </c>
      <c r="B4" s="513" t="s">
        <v>306</v>
      </c>
      <c r="C4" s="549"/>
      <c r="D4" s="7">
        <f>SUMIFS(Sheet1!$C$2:$C$180,Sheet1!$F$2:$F$180,B4,Sheet1!$E$2:$E$180,C4)</f>
        <v>0</v>
      </c>
      <c r="E4" s="7">
        <f>D4/Sheet1!$I$9*Sheet1!$I$10</f>
        <v>0</v>
      </c>
      <c r="F4" s="436">
        <f>D4/Sheet1!$I$9*Sheet1!$I$11</f>
        <v>0</v>
      </c>
      <c r="G4" s="514">
        <f>F4</f>
        <v>0</v>
      </c>
      <c r="H4" s="784">
        <f>SUM(G4:G11)</f>
        <v>1.0352034275152605E-2</v>
      </c>
      <c r="J4" s="783" t="s">
        <v>273</v>
      </c>
      <c r="K4" s="597" t="s">
        <v>306</v>
      </c>
      <c r="L4" s="549"/>
      <c r="M4" s="7">
        <f>SUMIFS(Sheet1!$N$2:$N$180,Sheet1!$Q$2:$Q$180,K4,Sheet1!$P$2:$P$180,L4)</f>
        <v>0</v>
      </c>
      <c r="N4" s="7">
        <f>M4/Sheet1!$T$9*Sheet1!$T$10</f>
        <v>0</v>
      </c>
      <c r="O4" s="436">
        <f>M4/Sheet1!$T$9*Sheet1!$T$11</f>
        <v>0</v>
      </c>
      <c r="P4" s="514">
        <f>O4</f>
        <v>0</v>
      </c>
      <c r="Q4" s="784">
        <f>SUM(P4:P11)</f>
        <v>4.8084841881418875E-3</v>
      </c>
    </row>
    <row r="5" spans="1:17" ht="15">
      <c r="A5" s="783"/>
      <c r="B5" s="513" t="s">
        <v>264</v>
      </c>
      <c r="C5" s="549"/>
      <c r="D5" s="7">
        <f>SUMIFS(Sheet1!$C$2:$C$180,Sheet1!$F$2:$F$180,B5,Sheet1!$E$2:$E$180,C5)</f>
        <v>0</v>
      </c>
      <c r="E5" s="7">
        <f>D5/Sheet1!$I$9*Sheet1!$I$10</f>
        <v>0</v>
      </c>
      <c r="F5" s="436">
        <f>D5/Sheet1!$I$9*Sheet1!$I$11</f>
        <v>0</v>
      </c>
      <c r="G5" s="550">
        <f t="shared" ref="G5:G14" si="0">F5</f>
        <v>0</v>
      </c>
      <c r="H5" s="783"/>
      <c r="J5" s="783"/>
      <c r="K5" s="597" t="s">
        <v>264</v>
      </c>
      <c r="L5" s="549"/>
      <c r="M5" s="7">
        <f>SUMIFS(Sheet1!$N$2:$N$180,Sheet1!$Q$2:$Q$180,K5,Sheet1!$P$2:$P$180,L5)</f>
        <v>0</v>
      </c>
      <c r="N5" s="7">
        <f>M5/Sheet1!$T$9*Sheet1!$T$10</f>
        <v>0</v>
      </c>
      <c r="O5" s="436">
        <f>M5/Sheet1!$T$9*Sheet1!$T$11</f>
        <v>0</v>
      </c>
      <c r="P5" s="550">
        <f t="shared" ref="P5:P14" si="1">O5</f>
        <v>0</v>
      </c>
      <c r="Q5" s="783"/>
    </row>
    <row r="6" spans="1:17" ht="15">
      <c r="A6" s="783"/>
      <c r="B6" s="773" t="s">
        <v>312</v>
      </c>
      <c r="C6" s="362" t="s">
        <v>627</v>
      </c>
      <c r="D6" s="7">
        <f>SUMIFS(Sheet1!$C$2:$C$180,Sheet1!$F$2:$F$180,B6,Sheet1!$E$2:$E$180,C6)</f>
        <v>81</v>
      </c>
      <c r="E6" s="7">
        <f>D6/Sheet1!$I$9*Sheet1!$I$10</f>
        <v>2.6686526070519538</v>
      </c>
      <c r="F6" s="436">
        <f>D6/Sheet1!$I$9*Sheet1!$I$11</f>
        <v>1.7324685460482663E-3</v>
      </c>
      <c r="G6" s="550">
        <f t="shared" si="0"/>
        <v>1.7324685460482663E-3</v>
      </c>
      <c r="H6" s="783"/>
      <c r="J6" s="783"/>
      <c r="K6" s="773" t="s">
        <v>312</v>
      </c>
      <c r="L6" s="362" t="s">
        <v>627</v>
      </c>
      <c r="M6" s="7">
        <f>SUMIFS(Sheet1!$N$2:$N$180,Sheet1!$Q$2:$Q$180,K6,Sheet1!$P$2:$P$180,L6)</f>
        <v>0</v>
      </c>
      <c r="N6" s="7">
        <f>M6/Sheet1!$T$9*Sheet1!$T$10</f>
        <v>0</v>
      </c>
      <c r="O6" s="436">
        <f>M6/Sheet1!$T$9*Sheet1!$T$11</f>
        <v>0</v>
      </c>
      <c r="P6" s="550">
        <f t="shared" si="1"/>
        <v>0</v>
      </c>
      <c r="Q6" s="783"/>
    </row>
    <row r="7" spans="1:17" ht="15">
      <c r="A7" s="783"/>
      <c r="B7" s="774"/>
      <c r="C7" s="549"/>
      <c r="D7" s="7">
        <f>SUMIFS(Sheet1!$C$2:$C$180,Sheet1!$F$2:$F$180,B6,Sheet1!$E$2:$E$180,C7)</f>
        <v>0</v>
      </c>
      <c r="E7" s="7">
        <f>D7/Sheet1!$I$9*Sheet1!$I$10</f>
        <v>0</v>
      </c>
      <c r="F7" s="436">
        <f>D7/Sheet1!$I$9*Sheet1!$I$11</f>
        <v>0</v>
      </c>
      <c r="G7" s="550">
        <f t="shared" si="0"/>
        <v>0</v>
      </c>
      <c r="H7" s="783"/>
      <c r="J7" s="783"/>
      <c r="K7" s="774"/>
      <c r="L7" s="549"/>
      <c r="M7" s="7">
        <f>SUMIFS(Sheet1!$N$2:$N$180,Sheet1!$Q$2:$Q$180,K6,Sheet1!$P$2:$P$180,L7)</f>
        <v>0</v>
      </c>
      <c r="N7" s="7">
        <f>M7/Sheet1!$T$9*Sheet1!$T$10</f>
        <v>0</v>
      </c>
      <c r="O7" s="436">
        <f>M7/Sheet1!$T$9*Sheet1!$T$11</f>
        <v>0</v>
      </c>
      <c r="P7" s="550">
        <f t="shared" si="1"/>
        <v>0</v>
      </c>
      <c r="Q7" s="783"/>
    </row>
    <row r="8" spans="1:17" ht="12.75" customHeight="1">
      <c r="A8" s="783"/>
      <c r="B8" s="773" t="s">
        <v>311</v>
      </c>
      <c r="C8" s="549" t="s">
        <v>626</v>
      </c>
      <c r="D8" s="7">
        <f>SUMIFS(Sheet1!$C$2:$C$180,Sheet1!$F$2:$F$180,B8,Sheet1!$E$2:$E$180,C8)</f>
        <v>373</v>
      </c>
      <c r="E8" s="7">
        <f>D8/Sheet1!$I$9*Sheet1!$I$10</f>
        <v>12.288980523831839</v>
      </c>
      <c r="F8" s="436">
        <f>D8/Sheet1!$I$9*Sheet1!$I$11</f>
        <v>7.9779107120494241E-3</v>
      </c>
      <c r="G8" s="551">
        <f t="shared" si="0"/>
        <v>7.9779107120494241E-3</v>
      </c>
      <c r="H8" s="783"/>
      <c r="J8" s="783"/>
      <c r="K8" s="773" t="s">
        <v>311</v>
      </c>
      <c r="L8" s="549" t="s">
        <v>626</v>
      </c>
      <c r="M8" s="7">
        <f>SUMIFS(Sheet1!$N$2:$N$180,Sheet1!$Q$2:$Q$180,K8,Sheet1!$P$2:$P$180,L8)</f>
        <v>223</v>
      </c>
      <c r="N8" s="7">
        <f>M8/Sheet1!$T$9*Sheet1!$T$10</f>
        <v>7.3658862668307705</v>
      </c>
      <c r="O8" s="436">
        <f>M8/Sheet1!$T$9*Sheet1!$T$11</f>
        <v>4.8084841881418875E-3</v>
      </c>
      <c r="P8" s="551">
        <f t="shared" si="1"/>
        <v>4.8084841881418875E-3</v>
      </c>
      <c r="Q8" s="783"/>
    </row>
    <row r="9" spans="1:17" ht="12.75" customHeight="1">
      <c r="A9" s="783"/>
      <c r="B9" s="774"/>
      <c r="C9" s="549"/>
      <c r="D9" s="7">
        <f>SUMIFS(Sheet1!$C$2:$C$180,Sheet1!$F$2:$F$180,B8,Sheet1!$E$2:$E$180,C9)</f>
        <v>0</v>
      </c>
      <c r="E9" s="7">
        <f>D9/Sheet1!$I$9*Sheet1!$I$10</f>
        <v>0</v>
      </c>
      <c r="F9" s="436">
        <f>D9/Sheet1!$I$9*Sheet1!$I$11</f>
        <v>0</v>
      </c>
      <c r="G9" s="551">
        <f t="shared" si="0"/>
        <v>0</v>
      </c>
      <c r="H9" s="783"/>
      <c r="J9" s="783"/>
      <c r="K9" s="774"/>
      <c r="L9" s="549"/>
      <c r="M9" s="7">
        <f>SUMIFS(Sheet1!$N$2:$N$180,Sheet1!$Q$2:$Q$180,K8,Sheet1!$P$2:$P$180,L9)</f>
        <v>0</v>
      </c>
      <c r="N9" s="7">
        <f>M9/Sheet1!$T$9*Sheet1!$T$10</f>
        <v>0</v>
      </c>
      <c r="O9" s="436">
        <f>M9/Sheet1!$T$9*Sheet1!$T$11</f>
        <v>0</v>
      </c>
      <c r="P9" s="551">
        <f t="shared" si="1"/>
        <v>0</v>
      </c>
      <c r="Q9" s="783"/>
    </row>
    <row r="10" spans="1:17" ht="15" customHeight="1">
      <c r="A10" s="783"/>
      <c r="B10" s="773" t="s">
        <v>371</v>
      </c>
      <c r="C10" t="s">
        <v>628</v>
      </c>
      <c r="D10" s="7">
        <f>SUMIFS(Sheet1!$C$2:$C$180,Sheet1!$F$2:$F$180,B10,Sheet1!$E$2:$E$180,C10)</f>
        <v>30</v>
      </c>
      <c r="E10" s="7">
        <f>D10/Sheet1!$I$9*Sheet1!$I$10</f>
        <v>0.98838985446368677</v>
      </c>
      <c r="F10" s="436">
        <f>D10/Sheet1!$I$9*Sheet1!$I$11</f>
        <v>6.4165501705491356E-4</v>
      </c>
      <c r="G10" s="551">
        <f t="shared" si="0"/>
        <v>6.4165501705491356E-4</v>
      </c>
      <c r="H10" s="783"/>
      <c r="J10" s="783"/>
      <c r="K10" s="773" t="s">
        <v>371</v>
      </c>
      <c r="L10" t="s">
        <v>628</v>
      </c>
      <c r="M10" s="7">
        <f>SUMIFS(Sheet1!$N$2:$N$180,Sheet1!$Q$2:$Q$180,K10,Sheet1!$P$2:$P$180,L10)</f>
        <v>0</v>
      </c>
      <c r="N10" s="7">
        <f>M10/Sheet1!$T$9*Sheet1!$T$10</f>
        <v>0</v>
      </c>
      <c r="O10" s="436">
        <f>M10/Sheet1!$T$9*Sheet1!$T$11</f>
        <v>0</v>
      </c>
      <c r="P10" s="551">
        <f t="shared" si="1"/>
        <v>0</v>
      </c>
      <c r="Q10" s="783"/>
    </row>
    <row r="11" spans="1:17" ht="15" customHeight="1">
      <c r="A11" s="783"/>
      <c r="B11" s="774"/>
      <c r="C11" s="549"/>
      <c r="D11" s="7">
        <f>SUMIFS(Sheet1!$C$2:$C$180,Sheet1!$F$2:$F$180,B10,Sheet1!$E$2:$E$180,C11)</f>
        <v>0</v>
      </c>
      <c r="E11" s="7">
        <f>D11/Sheet1!$I$9*Sheet1!$I$10</f>
        <v>0</v>
      </c>
      <c r="F11" s="436">
        <f>D11/Sheet1!$I$9*Sheet1!$I$11</f>
        <v>0</v>
      </c>
      <c r="G11" s="551">
        <f t="shared" si="0"/>
        <v>0</v>
      </c>
      <c r="H11" s="783"/>
      <c r="J11" s="783"/>
      <c r="K11" s="774"/>
      <c r="L11" s="549"/>
      <c r="M11" s="7">
        <f>SUMIFS(Sheet1!$N$2:$N$180,Sheet1!$Q$2:$Q$180,K10,Sheet1!$P$2:$P$180,L11)</f>
        <v>0</v>
      </c>
      <c r="N11" s="7">
        <f>M11/Sheet1!$T$9*Sheet1!$T$10</f>
        <v>0</v>
      </c>
      <c r="O11" s="436">
        <f>M11/Sheet1!$T$9*Sheet1!$T$11</f>
        <v>0</v>
      </c>
      <c r="P11" s="551">
        <f t="shared" si="1"/>
        <v>0</v>
      </c>
      <c r="Q11" s="783"/>
    </row>
    <row r="12" spans="1:17" ht="15">
      <c r="A12" s="783" t="s">
        <v>11</v>
      </c>
      <c r="B12" s="513" t="s">
        <v>158</v>
      </c>
      <c r="C12" s="549" t="s">
        <v>158</v>
      </c>
      <c r="D12" s="7"/>
      <c r="E12" s="7">
        <f>+Sheet1!I2</f>
        <v>7.5039999999999996</v>
      </c>
      <c r="F12" s="436">
        <f>E12/Sheet1!$I$8</f>
        <v>4.8715385191734299E-3</v>
      </c>
      <c r="G12" s="550">
        <f t="shared" si="0"/>
        <v>4.8715385191734299E-3</v>
      </c>
      <c r="H12" s="785">
        <f>SUM(G12:G13)</f>
        <v>4.3404369930789721E-2</v>
      </c>
      <c r="J12" s="783" t="s">
        <v>11</v>
      </c>
      <c r="K12" s="597" t="s">
        <v>158</v>
      </c>
      <c r="L12" s="549" t="s">
        <v>158</v>
      </c>
      <c r="M12" s="7"/>
      <c r="N12" s="7">
        <f>+Sheet1!T2</f>
        <v>7.5039999999999996</v>
      </c>
      <c r="O12" s="436">
        <f>+Sheet1!U2</f>
        <v>4.8986454637917802E-3</v>
      </c>
      <c r="P12" s="550">
        <f t="shared" si="1"/>
        <v>4.8986454637917802E-3</v>
      </c>
      <c r="Q12" s="785">
        <f>SUM(P12:P13)</f>
        <v>4.3645887030013632E-2</v>
      </c>
    </row>
    <row r="13" spans="1:17" ht="15">
      <c r="A13" s="783"/>
      <c r="B13" s="513" t="s">
        <v>250</v>
      </c>
      <c r="C13" s="549" t="s">
        <v>274</v>
      </c>
      <c r="D13" s="7"/>
      <c r="E13" s="7">
        <f>+Sheet1!I3</f>
        <v>59.35504066625542</v>
      </c>
      <c r="F13" s="436">
        <f>E13/Sheet1!$I$8</f>
        <v>3.8532831411616293E-2</v>
      </c>
      <c r="G13" s="550">
        <f t="shared" si="0"/>
        <v>3.8532831411616293E-2</v>
      </c>
      <c r="H13" s="786"/>
      <c r="J13" s="783"/>
      <c r="K13" s="597" t="s">
        <v>250</v>
      </c>
      <c r="L13" s="549" t="s">
        <v>274</v>
      </c>
      <c r="M13" s="7"/>
      <c r="N13" s="7">
        <f>+Sheet1!T3</f>
        <v>59.35504066625542</v>
      </c>
      <c r="O13" s="436">
        <f>+Sheet1!U3</f>
        <v>3.8747241566221849E-2</v>
      </c>
      <c r="P13" s="550">
        <f t="shared" si="1"/>
        <v>3.8747241566221849E-2</v>
      </c>
      <c r="Q13" s="786"/>
    </row>
    <row r="14" spans="1:17" ht="15">
      <c r="A14" s="775" t="s">
        <v>13</v>
      </c>
      <c r="B14" s="513" t="s">
        <v>275</v>
      </c>
      <c r="C14" s="549" t="s">
        <v>275</v>
      </c>
      <c r="D14" s="7"/>
      <c r="E14" s="7">
        <f>+Sheet1!I4</f>
        <v>1.7344850428700096</v>
      </c>
      <c r="F14" s="436">
        <f>E14/Sheet1!$I$8</f>
        <v>1.1260142187195404E-3</v>
      </c>
      <c r="G14" s="550">
        <f t="shared" si="0"/>
        <v>1.1260142187195404E-3</v>
      </c>
      <c r="H14" s="787">
        <f>SUM(G14:G23)</f>
        <v>4.3838531098079322E-2</v>
      </c>
      <c r="J14" s="775" t="s">
        <v>13</v>
      </c>
      <c r="K14" s="597" t="s">
        <v>275</v>
      </c>
      <c r="L14" s="549" t="s">
        <v>275</v>
      </c>
      <c r="M14" s="7"/>
      <c r="N14" s="7">
        <f>+Sheet1!T4</f>
        <v>2.0443734170721446</v>
      </c>
      <c r="O14" s="436">
        <f>+Sheet1!U4</f>
        <v>1.3345763014175056E-3</v>
      </c>
      <c r="P14" s="550">
        <f t="shared" si="1"/>
        <v>1.3345763014175056E-3</v>
      </c>
      <c r="Q14" s="787">
        <f>SUM(P14:P23)</f>
        <v>4.4111980769549752E-2</v>
      </c>
    </row>
    <row r="15" spans="1:17" ht="15">
      <c r="A15" s="776"/>
      <c r="B15" s="513" t="s">
        <v>254</v>
      </c>
      <c r="C15" s="549" t="s">
        <v>254</v>
      </c>
      <c r="D15" s="7"/>
      <c r="E15" s="7">
        <f>+Sheet1!I5</f>
        <v>7.6760035324184148</v>
      </c>
      <c r="F15" s="436">
        <f>E15/Sheet1!$I$8</f>
        <v>4.9832018765308666E-3</v>
      </c>
      <c r="G15" s="550">
        <f>F15</f>
        <v>4.9832018765308666E-3</v>
      </c>
      <c r="H15" s="787"/>
      <c r="J15" s="776"/>
      <c r="K15" s="597" t="s">
        <v>254</v>
      </c>
      <c r="L15" s="549" t="s">
        <v>254</v>
      </c>
      <c r="M15" s="7"/>
      <c r="N15" s="7">
        <f>+Sheet1!T5</f>
        <v>7.2621813582162922</v>
      </c>
      <c r="O15" s="436">
        <f>+Sheet1!U5</f>
        <v>4.74078515027445E-3</v>
      </c>
      <c r="P15" s="550">
        <f>O15</f>
        <v>4.74078515027445E-3</v>
      </c>
      <c r="Q15" s="787"/>
    </row>
    <row r="16" spans="1:17" ht="12.75" customHeight="1">
      <c r="A16" s="776"/>
      <c r="B16" s="788" t="s">
        <v>262</v>
      </c>
      <c r="C16" s="549" t="s">
        <v>625</v>
      </c>
      <c r="D16" s="7">
        <f>SUMIFS(Sheet1!$C$2:$C$180,Sheet1!$F$2:$F$180,B16,Sheet1!$E$2:$E$180,C16)</f>
        <v>250</v>
      </c>
      <c r="E16" s="7">
        <f>D16/Sheet1!$I$9*Sheet1!$I$10</f>
        <v>8.2365821205307235</v>
      </c>
      <c r="F16" s="436">
        <f>D16/Sheet1!$I$9*Sheet1!$I$11</f>
        <v>5.3471251421242788E-3</v>
      </c>
      <c r="G16" s="789">
        <f>SUM(F16:F17)</f>
        <v>5.3471251421242788E-3</v>
      </c>
      <c r="H16" s="787"/>
      <c r="J16" s="776"/>
      <c r="K16" s="788" t="s">
        <v>262</v>
      </c>
      <c r="L16" s="549" t="s">
        <v>625</v>
      </c>
      <c r="M16" s="7">
        <f>SUMIFS(Sheet1!$N$2:$N$180,Sheet1!$Q$2:$Q$180,K16,Sheet1!$P$2:$P$180,L16)</f>
        <v>250</v>
      </c>
      <c r="N16" s="7">
        <f>M16/Sheet1!$T$9*Sheet1!$T$10</f>
        <v>8.257720030079339</v>
      </c>
      <c r="O16" s="436">
        <f>M16/Sheet1!$T$9*Sheet1!$T$11</f>
        <v>5.3906773409662413E-3</v>
      </c>
      <c r="P16" s="789">
        <f>SUM(O16:O17)</f>
        <v>5.3906773409662413E-3</v>
      </c>
      <c r="Q16" s="787"/>
    </row>
    <row r="17" spans="1:17" ht="12.75" customHeight="1">
      <c r="A17" s="776"/>
      <c r="B17" s="788"/>
      <c r="C17" s="549"/>
      <c r="D17" s="7">
        <f>SUMIFS(Sheet1!$C$2:$C$180,Sheet1!$F$2:$F$180,B16,Sheet1!$E$2:$E$180,C17)</f>
        <v>0</v>
      </c>
      <c r="E17" s="7">
        <f>D17/Sheet1!$I$9*Sheet1!$I$10</f>
        <v>0</v>
      </c>
      <c r="F17" s="436">
        <f>D17/Sheet1!$I$9*Sheet1!$I$11</f>
        <v>0</v>
      </c>
      <c r="G17" s="789"/>
      <c r="H17" s="787"/>
      <c r="J17" s="776"/>
      <c r="K17" s="788"/>
      <c r="L17" s="549"/>
      <c r="M17" s="7">
        <f>SUMIFS(Sheet1!$N$2:$N$180,Sheet1!$Q$2:$Q$180,K16,Sheet1!$P$2:$P$180,L17)</f>
        <v>0</v>
      </c>
      <c r="N17" s="7">
        <f>M17/Sheet1!$T$9*Sheet1!$T$10</f>
        <v>0</v>
      </c>
      <c r="O17" s="436">
        <f>M17/Sheet1!$T$9*Sheet1!$T$11</f>
        <v>0</v>
      </c>
      <c r="P17" s="789"/>
      <c r="Q17" s="787"/>
    </row>
    <row r="18" spans="1:17" ht="15">
      <c r="A18" s="776"/>
      <c r="B18" s="513" t="s">
        <v>253</v>
      </c>
      <c r="C18" s="549" t="s">
        <v>230</v>
      </c>
      <c r="D18" s="7">
        <f>SUMIFS(Sheet1!$C$2:$C$180,Sheet1!$F$2:$F$180,B18,Sheet1!$E$2:$E$180,C18)</f>
        <v>0</v>
      </c>
      <c r="E18" s="7">
        <f>D18/Sheet1!$I$9*Sheet1!$I$10</f>
        <v>0</v>
      </c>
      <c r="F18" s="436">
        <f>D18/Sheet1!$I$9*Sheet1!$I$11</f>
        <v>0</v>
      </c>
      <c r="G18" s="550">
        <f>F18</f>
        <v>0</v>
      </c>
      <c r="H18" s="787"/>
      <c r="J18" s="776"/>
      <c r="K18" s="597" t="s">
        <v>253</v>
      </c>
      <c r="L18" s="549" t="s">
        <v>230</v>
      </c>
      <c r="M18" s="7">
        <f>SUMIFS(Sheet1!$N$2:$N$180,Sheet1!$Q$2:$Q$180,K18,Sheet1!$P$2:$P$180,L18)</f>
        <v>0</v>
      </c>
      <c r="N18" s="7">
        <f>M18/Sheet1!$T$9*Sheet1!$T$10</f>
        <v>0</v>
      </c>
      <c r="O18" s="436">
        <f>M18/Sheet1!$T$9*Sheet1!$T$11</f>
        <v>0</v>
      </c>
      <c r="P18" s="550">
        <f>O18</f>
        <v>0</v>
      </c>
      <c r="Q18" s="787"/>
    </row>
    <row r="19" spans="1:17" ht="12.75" customHeight="1">
      <c r="A19" s="776"/>
      <c r="B19" s="773" t="s">
        <v>248</v>
      </c>
      <c r="C19" s="549" t="s">
        <v>249</v>
      </c>
      <c r="D19" s="7">
        <f>SUMIFS(Sheet1!$C$2:$C$180,Sheet1!$F$2:$F$180,B19,Sheet1!$E$2:$E$180,C19)</f>
        <v>376</v>
      </c>
      <c r="E19" s="7">
        <f>D19/Sheet1!$I$9*Sheet1!$I$10</f>
        <v>12.387819509278206</v>
      </c>
      <c r="F19" s="436">
        <f>D19/Sheet1!$I$9*Sheet1!$I$11</f>
        <v>8.0420762137549152E-3</v>
      </c>
      <c r="G19" s="767">
        <f>SUM(F19:F23)</f>
        <v>3.2382189860704638E-2</v>
      </c>
      <c r="H19" s="787"/>
      <c r="J19" s="776"/>
      <c r="K19" s="773" t="s">
        <v>248</v>
      </c>
      <c r="L19" s="549" t="s">
        <v>249</v>
      </c>
      <c r="M19" s="7">
        <f>SUMIFS(Sheet1!$N$2:$N$180,Sheet1!$Q$2:$Q$180,$K$19,Sheet1!$P$2:$P$180,L19)</f>
        <v>376</v>
      </c>
      <c r="N19" s="7">
        <f>M19/Sheet1!$T$9*Sheet1!$T$10</f>
        <v>12.419610925239326</v>
      </c>
      <c r="O19" s="436">
        <f>M19/Sheet1!$T$9*Sheet1!$T$11</f>
        <v>8.1075787208132275E-3</v>
      </c>
      <c r="P19" s="767">
        <f>SUM(O19:O23)</f>
        <v>3.2645941976891558E-2</v>
      </c>
      <c r="Q19" s="787"/>
    </row>
    <row r="20" spans="1:17" ht="12.75" customHeight="1">
      <c r="A20" s="776"/>
      <c r="B20" s="778"/>
      <c r="C20" s="549" t="s">
        <v>251</v>
      </c>
      <c r="D20" s="7">
        <f>SUMIFS(Sheet1!$C$2:$C$180,Sheet1!$F$2:$F$180,B19,Sheet1!$E$2:$E$180,C20)</f>
        <v>734</v>
      </c>
      <c r="E20" s="7">
        <f>D20/Sheet1!$I$9*Sheet1!$I$10</f>
        <v>24.182605105878203</v>
      </c>
      <c r="F20" s="436">
        <f>D20/Sheet1!$I$9*Sheet1!$I$11</f>
        <v>1.5699159417276884E-2</v>
      </c>
      <c r="G20" s="768"/>
      <c r="H20" s="787"/>
      <c r="J20" s="776"/>
      <c r="K20" s="778"/>
      <c r="L20" s="549" t="s">
        <v>251</v>
      </c>
      <c r="M20" s="7">
        <f>SUMIFS(Sheet1!$N$2:$N$180,Sheet1!$Q$2:$Q$180,$K$19,Sheet1!$P$2:$P$180,L20)</f>
        <v>734</v>
      </c>
      <c r="N20" s="7">
        <f>M20/Sheet1!$T$9*Sheet1!$T$10</f>
        <v>24.244666008312937</v>
      </c>
      <c r="O20" s="436">
        <f>M20/Sheet1!$T$9*Sheet1!$T$11</f>
        <v>1.5827028673076886E-2</v>
      </c>
      <c r="P20" s="768"/>
      <c r="Q20" s="787"/>
    </row>
    <row r="21" spans="1:17" ht="12.75" customHeight="1">
      <c r="A21" s="776"/>
      <c r="B21" s="778"/>
      <c r="C21" s="549" t="s">
        <v>247</v>
      </c>
      <c r="D21" s="7">
        <f>SUMIFS(Sheet1!$C$2:$C$180,Sheet1!$F$2:$F$180,B19,Sheet1!$E$2:$E$180,C21)</f>
        <v>404</v>
      </c>
      <c r="E21" s="7">
        <f>D21/Sheet1!$I$9*Sheet1!$I$10</f>
        <v>13.310316706777648</v>
      </c>
      <c r="F21" s="436">
        <f>D21/Sheet1!$I$9*Sheet1!$I$11</f>
        <v>8.6409542296728356E-3</v>
      </c>
      <c r="G21" s="768"/>
      <c r="H21" s="787"/>
      <c r="J21" s="776"/>
      <c r="K21" s="778"/>
      <c r="L21" s="549" t="s">
        <v>247</v>
      </c>
      <c r="M21" s="7">
        <f>SUMIFS(Sheet1!$N$2:$N$180,Sheet1!$Q$2:$Q$180,$K$19,Sheet1!$P$2:$P$180,L21)</f>
        <v>404</v>
      </c>
      <c r="N21" s="7">
        <f>M21/Sheet1!$T$9*Sheet1!$T$10</f>
        <v>13.34447556860821</v>
      </c>
      <c r="O21" s="436">
        <f>M21/Sheet1!$T$9*Sheet1!$T$11</f>
        <v>8.7113345830014451E-3</v>
      </c>
      <c r="P21" s="768"/>
      <c r="Q21" s="787"/>
    </row>
    <row r="22" spans="1:17" ht="12.75" customHeight="1">
      <c r="A22" s="776"/>
      <c r="B22" s="778"/>
      <c r="C22" s="549"/>
      <c r="D22" s="7">
        <f>SUMIFS(Sheet1!$C$2:$C$180,Sheet1!$F$2:$F$180,B19,Sheet1!$E$2:$E$180,C22)</f>
        <v>0</v>
      </c>
      <c r="E22" s="7">
        <f>D22/Sheet1!$I$9*Sheet1!$I$10</f>
        <v>0</v>
      </c>
      <c r="F22" s="436">
        <f>D22/Sheet1!$I$9*Sheet1!$I$11</f>
        <v>0</v>
      </c>
      <c r="G22" s="768"/>
      <c r="H22" s="787"/>
      <c r="J22" s="776"/>
      <c r="K22" s="778"/>
      <c r="L22" s="549"/>
      <c r="M22" s="7">
        <f>SUMIFS(Sheet1!$N$2:$N$180,Sheet1!$Q$2:$Q$180,$K$19,Sheet1!$P$2:$P$180,L22)</f>
        <v>0</v>
      </c>
      <c r="N22" s="7">
        <f>M22/Sheet1!$T$9*Sheet1!$T$10</f>
        <v>0</v>
      </c>
      <c r="O22" s="436">
        <f>M22/Sheet1!$T$9*Sheet1!$T$11</f>
        <v>0</v>
      </c>
      <c r="P22" s="768"/>
      <c r="Q22" s="787"/>
    </row>
    <row r="23" spans="1:17" ht="12.75" customHeight="1">
      <c r="A23" s="776"/>
      <c r="B23" s="774"/>
      <c r="C23" s="549"/>
      <c r="D23" s="7">
        <f>SUMIFS(Sheet1!$C$2:$C$180,Sheet1!$F$2:$F$180,B19,Sheet1!$E$2:$E$180,C23)</f>
        <v>0</v>
      </c>
      <c r="E23" s="7">
        <f>D23/Sheet1!$I$9*Sheet1!$I$10</f>
        <v>0</v>
      </c>
      <c r="F23" s="436">
        <f>D23/Sheet1!$I$9*Sheet1!$I$11</f>
        <v>0</v>
      </c>
      <c r="G23" s="769"/>
      <c r="H23" s="787"/>
      <c r="J23" s="776"/>
      <c r="K23" s="774"/>
      <c r="L23" s="549"/>
      <c r="M23" s="7">
        <f>SUMIFS(Sheet1!$N$2:$N$180,Sheet1!$Q$2:$Q$180,$K$19,Sheet1!$P$2:$P$180,L23)</f>
        <v>0</v>
      </c>
      <c r="N23" s="7">
        <f>M23/Sheet1!$T$9*Sheet1!$T$10</f>
        <v>0</v>
      </c>
      <c r="O23" s="436">
        <f>M23/Sheet1!$T$9*Sheet1!$T$11</f>
        <v>0</v>
      </c>
      <c r="P23" s="769"/>
      <c r="Q23" s="787"/>
    </row>
    <row r="24" spans="1:17" ht="12.75" customHeight="1">
      <c r="A24" s="775" t="s">
        <v>276</v>
      </c>
      <c r="B24" s="788" t="s">
        <v>260</v>
      </c>
      <c r="C24" s="552"/>
      <c r="D24" s="7">
        <f>SUMIFS(Sheet1!$C$2:$C$180,Sheet1!$F$2:$F$180,B24,Sheet1!$E$2:$E$180,C24)</f>
        <v>0</v>
      </c>
      <c r="E24" s="7">
        <f>D24/Sheet1!$I$9*Sheet1!$I$10</f>
        <v>0</v>
      </c>
      <c r="F24" s="436">
        <f>D24/Sheet1!$I$9*Sheet1!$I$11</f>
        <v>0</v>
      </c>
      <c r="G24" s="789">
        <f>SUM(F24:F30)</f>
        <v>0</v>
      </c>
      <c r="H24" s="770">
        <f>SUM(G24:G40)</f>
        <v>2.8232820750416195E-3</v>
      </c>
      <c r="J24" s="775" t="s">
        <v>276</v>
      </c>
      <c r="K24" s="788" t="s">
        <v>260</v>
      </c>
      <c r="L24" s="552"/>
      <c r="M24" s="7">
        <f>SUMIFS(Sheet1!$N$2:$N$180,Sheet1!$Q$2:$Q$180,$K$24,Sheet1!$P$2:$P$180,L24)</f>
        <v>0</v>
      </c>
      <c r="N24" s="7">
        <f>M24/Sheet1!$T$9*Sheet1!$T$10</f>
        <v>0</v>
      </c>
      <c r="O24" s="436">
        <f>M24/Sheet1!$T$9*Sheet1!$T$11</f>
        <v>0</v>
      </c>
      <c r="P24" s="789">
        <f>SUM(O24:O30)</f>
        <v>0</v>
      </c>
      <c r="Q24" s="770">
        <f>SUM(P24:P40)</f>
        <v>2.8462776360301755E-3</v>
      </c>
    </row>
    <row r="25" spans="1:17" ht="12.75" customHeight="1">
      <c r="A25" s="776"/>
      <c r="B25" s="788"/>
      <c r="C25" s="552"/>
      <c r="D25" s="7">
        <f>SUMIFS(Sheet1!$C$2:$C$180,Sheet1!$F$2:$F$180,B24,Sheet1!$E$2:$E$180,C25)</f>
        <v>0</v>
      </c>
      <c r="E25" s="7">
        <f>D25/Sheet1!$I$9*Sheet1!$I$10</f>
        <v>0</v>
      </c>
      <c r="F25" s="436">
        <f>D25/Sheet1!$I$9*Sheet1!$I$11</f>
        <v>0</v>
      </c>
      <c r="G25" s="789"/>
      <c r="H25" s="771"/>
      <c r="J25" s="776"/>
      <c r="K25" s="788"/>
      <c r="L25" s="552"/>
      <c r="M25" s="7">
        <f>SUMIFS(Sheet1!$N$2:$N$180,Sheet1!$Q$2:$Q$180,$K$24,Sheet1!$P$2:$P$180,L25)</f>
        <v>0</v>
      </c>
      <c r="N25" s="7">
        <f>M25/Sheet1!$T$9*Sheet1!$T$10</f>
        <v>0</v>
      </c>
      <c r="O25" s="436">
        <f>M25/Sheet1!$T$9*Sheet1!$T$11</f>
        <v>0</v>
      </c>
      <c r="P25" s="789"/>
      <c r="Q25" s="771"/>
    </row>
    <row r="26" spans="1:17" ht="12.75" customHeight="1">
      <c r="A26" s="776"/>
      <c r="B26" s="788"/>
      <c r="C26" s="515"/>
      <c r="D26" s="7">
        <f>SUMIFS(Sheet1!$C$2:$C$180,Sheet1!$F$2:$F$180,B24,Sheet1!$E$2:$E$180,C26)</f>
        <v>0</v>
      </c>
      <c r="E26" s="7">
        <f>D26/Sheet1!$I$9*Sheet1!$I$10</f>
        <v>0</v>
      </c>
      <c r="F26" s="436">
        <f>D26/Sheet1!$I$9*Sheet1!$I$11</f>
        <v>0</v>
      </c>
      <c r="G26" s="789"/>
      <c r="H26" s="771"/>
      <c r="J26" s="776"/>
      <c r="K26" s="788"/>
      <c r="L26" s="515"/>
      <c r="M26" s="7">
        <f>SUMIFS(Sheet1!$N$2:$N$180,Sheet1!$Q$2:$Q$180,$K$24,Sheet1!$P$2:$P$180,L26)</f>
        <v>0</v>
      </c>
      <c r="N26" s="7">
        <f>M26/Sheet1!$T$9*Sheet1!$T$10</f>
        <v>0</v>
      </c>
      <c r="O26" s="436">
        <f>M26/Sheet1!$T$9*Sheet1!$T$11</f>
        <v>0</v>
      </c>
      <c r="P26" s="789"/>
      <c r="Q26" s="771"/>
    </row>
    <row r="27" spans="1:17" ht="12.75" customHeight="1">
      <c r="A27" s="776"/>
      <c r="B27" s="788"/>
      <c r="D27" s="7">
        <f>SUMIFS(Sheet1!$C$2:$C$180,Sheet1!$F$2:$F$180,B24,Sheet1!$E$2:$E$180,C27)</f>
        <v>0</v>
      </c>
      <c r="E27" s="7">
        <f>D27/Sheet1!$I$9*Sheet1!$I$10</f>
        <v>0</v>
      </c>
      <c r="F27" s="436">
        <f>D27/Sheet1!$I$9*Sheet1!$I$11</f>
        <v>0</v>
      </c>
      <c r="G27" s="789"/>
      <c r="H27" s="771"/>
      <c r="J27" s="776"/>
      <c r="K27" s="788"/>
      <c r="M27" s="7">
        <f>SUMIFS(Sheet1!$N$2:$N$180,Sheet1!$Q$2:$Q$180,$K$24,Sheet1!$P$2:$P$180,L27)</f>
        <v>0</v>
      </c>
      <c r="N27" s="7">
        <f>M27/Sheet1!$T$9*Sheet1!$T$10</f>
        <v>0</v>
      </c>
      <c r="O27" s="436">
        <f>M27/Sheet1!$T$9*Sheet1!$T$11</f>
        <v>0</v>
      </c>
      <c r="P27" s="789"/>
      <c r="Q27" s="771"/>
    </row>
    <row r="28" spans="1:17" ht="12.75" customHeight="1">
      <c r="A28" s="776"/>
      <c r="B28" s="788"/>
      <c r="C28" s="549"/>
      <c r="D28" s="7">
        <f>SUMIFS(Sheet1!$C$2:$C$180,Sheet1!$F$2:$F$180,B24,Sheet1!$E$2:$E$180,C28)</f>
        <v>0</v>
      </c>
      <c r="E28" s="7">
        <f>D28/Sheet1!$I$9*Sheet1!$I$10</f>
        <v>0</v>
      </c>
      <c r="F28" s="436">
        <f>D28/Sheet1!$I$9*Sheet1!$I$11</f>
        <v>0</v>
      </c>
      <c r="G28" s="789"/>
      <c r="H28" s="771"/>
      <c r="J28" s="776"/>
      <c r="K28" s="788"/>
      <c r="L28" s="549"/>
      <c r="M28" s="7">
        <f>SUMIFS(Sheet1!$N$2:$N$180,Sheet1!$Q$2:$Q$180,$K$24,Sheet1!$P$2:$P$180,L28)</f>
        <v>0</v>
      </c>
      <c r="N28" s="7">
        <f>M28/Sheet1!$T$9*Sheet1!$T$10</f>
        <v>0</v>
      </c>
      <c r="O28" s="436">
        <f>M28/Sheet1!$T$9*Sheet1!$T$11</f>
        <v>0</v>
      </c>
      <c r="P28" s="789"/>
      <c r="Q28" s="771"/>
    </row>
    <row r="29" spans="1:17" ht="12.75" customHeight="1">
      <c r="A29" s="776"/>
      <c r="B29" s="788"/>
      <c r="C29" s="549"/>
      <c r="D29" s="7">
        <f>SUMIFS(Sheet1!$C$2:$C$180,Sheet1!$F$2:$F$180,B24,Sheet1!$E$2:$E$180,C29)</f>
        <v>0</v>
      </c>
      <c r="E29" s="7">
        <f>D29/Sheet1!$I$9*Sheet1!$I$10</f>
        <v>0</v>
      </c>
      <c r="F29" s="436">
        <f>D29/Sheet1!$I$9*Sheet1!$I$11</f>
        <v>0</v>
      </c>
      <c r="G29" s="789"/>
      <c r="H29" s="771"/>
      <c r="J29" s="776"/>
      <c r="K29" s="788"/>
      <c r="L29" s="549"/>
      <c r="M29" s="7">
        <f>SUMIFS(Sheet1!$N$2:$N$180,Sheet1!$Q$2:$Q$180,$K$24,Sheet1!$P$2:$P$180,L29)</f>
        <v>0</v>
      </c>
      <c r="N29" s="7">
        <f>M29/Sheet1!$T$9*Sheet1!$T$10</f>
        <v>0</v>
      </c>
      <c r="O29" s="436">
        <f>M29/Sheet1!$T$9*Sheet1!$T$11</f>
        <v>0</v>
      </c>
      <c r="P29" s="789"/>
      <c r="Q29" s="771"/>
    </row>
    <row r="30" spans="1:17" ht="12.75" customHeight="1">
      <c r="A30" s="776"/>
      <c r="B30" s="788"/>
      <c r="C30" s="549"/>
      <c r="D30" s="7">
        <f>SUMIFS(Sheet1!$C$2:$C$180,Sheet1!$F$2:$F$180,B24,Sheet1!$E$2:$E$180,C30)</f>
        <v>0</v>
      </c>
      <c r="E30" s="7">
        <f>D30/Sheet1!$I$9*Sheet1!$I$10</f>
        <v>0</v>
      </c>
      <c r="F30" s="436">
        <f>D30/Sheet1!$I$9*Sheet1!$I$11</f>
        <v>0</v>
      </c>
      <c r="G30" s="789"/>
      <c r="H30" s="771"/>
      <c r="J30" s="776"/>
      <c r="K30" s="788"/>
      <c r="L30" s="549"/>
      <c r="M30" s="7">
        <f>SUMIFS(Sheet1!$N$2:$N$180,Sheet1!$Q$2:$Q$180,$K$24,Sheet1!$P$2:$P$180,L30)</f>
        <v>0</v>
      </c>
      <c r="N30" s="7">
        <f>M30/Sheet1!$T$9*Sheet1!$T$10</f>
        <v>0</v>
      </c>
      <c r="O30" s="436">
        <f>M30/Sheet1!$T$9*Sheet1!$T$11</f>
        <v>0</v>
      </c>
      <c r="P30" s="789"/>
      <c r="Q30" s="771"/>
    </row>
    <row r="31" spans="1:17" ht="12.75" customHeight="1">
      <c r="A31" s="776"/>
      <c r="B31" s="773" t="s">
        <v>259</v>
      </c>
      <c r="D31" s="7">
        <f>SUMIFS(Sheet1!$C$2:$C$180,Sheet1!$F$2:$F$180,B31,Sheet1!$E$2:$E$180,C31)</f>
        <v>0</v>
      </c>
      <c r="E31" s="7">
        <f>D31/Sheet1!$I$9*Sheet1!$I$10</f>
        <v>0</v>
      </c>
      <c r="F31" s="436">
        <f>D31/Sheet1!$I$9*Sheet1!$I$11</f>
        <v>0</v>
      </c>
      <c r="G31" s="767">
        <f>SUM(F31:F32)</f>
        <v>0</v>
      </c>
      <c r="H31" s="771"/>
      <c r="J31" s="776"/>
      <c r="K31" s="773" t="s">
        <v>259</v>
      </c>
      <c r="M31" s="7">
        <f>SUMIFS(Sheet1!$N$2:$N$180,Sheet1!$Q$2:$Q$180,$K$31,Sheet1!$P$2:$P$180,L31)</f>
        <v>0</v>
      </c>
      <c r="N31" s="7">
        <f>M31/Sheet1!$T$9*Sheet1!$T$10</f>
        <v>0</v>
      </c>
      <c r="O31" s="436">
        <f>M31/Sheet1!$T$9*Sheet1!$T$11</f>
        <v>0</v>
      </c>
      <c r="P31" s="767">
        <f>SUM(O31:O32)</f>
        <v>0</v>
      </c>
      <c r="Q31" s="771"/>
    </row>
    <row r="32" spans="1:17" ht="12.75" customHeight="1">
      <c r="A32" s="776"/>
      <c r="B32" s="774"/>
      <c r="C32" s="549"/>
      <c r="D32" s="7">
        <f>SUMIFS(Sheet1!$C$2:$C$180,Sheet1!$F$2:$F$180,B31,Sheet1!$E$2:$E$180,C32)</f>
        <v>0</v>
      </c>
      <c r="E32" s="7">
        <f>D32/Sheet1!$I$9*Sheet1!$I$10</f>
        <v>0</v>
      </c>
      <c r="F32" s="436">
        <f>D32/Sheet1!$I$9*Sheet1!$I$11</f>
        <v>0</v>
      </c>
      <c r="G32" s="769"/>
      <c r="H32" s="771"/>
      <c r="J32" s="776"/>
      <c r="K32" s="774"/>
      <c r="L32" s="549"/>
      <c r="M32" s="7">
        <f>SUMIFS(Sheet1!$N$2:$N$180,Sheet1!$Q$2:$Q$180,$K$31,Sheet1!$P$2:$P$180,L32)</f>
        <v>0</v>
      </c>
      <c r="N32" s="7">
        <f>M32/Sheet1!$T$9*Sheet1!$T$10</f>
        <v>0</v>
      </c>
      <c r="O32" s="436">
        <f>M32/Sheet1!$T$9*Sheet1!$T$11</f>
        <v>0</v>
      </c>
      <c r="P32" s="769"/>
      <c r="Q32" s="771"/>
    </row>
    <row r="33" spans="1:17" ht="12.75" customHeight="1">
      <c r="A33" s="776"/>
      <c r="B33" s="773" t="s">
        <v>261</v>
      </c>
      <c r="C33" s="6" t="s">
        <v>629</v>
      </c>
      <c r="D33" s="7">
        <f>SUMIFS(Sheet1!$C$2:$C$180,Sheet1!$F$2:$F$180,B33,Sheet1!$E$2:$E$180,C33)</f>
        <v>11</v>
      </c>
      <c r="E33" s="7">
        <f>D33/Sheet1!$I$9*Sheet1!$I$10</f>
        <v>0.36240961330335181</v>
      </c>
      <c r="F33" s="436">
        <f>D33/Sheet1!$I$9*Sheet1!$I$11</f>
        <v>2.3527350625346827E-4</v>
      </c>
      <c r="G33" s="767">
        <f>SUM(F33:F36)</f>
        <v>1.2619215335413299E-3</v>
      </c>
      <c r="H33" s="771"/>
      <c r="J33" s="776"/>
      <c r="K33" s="773" t="s">
        <v>261</v>
      </c>
      <c r="L33" s="6" t="s">
        <v>629</v>
      </c>
      <c r="M33" s="7">
        <f>SUMIFS(Sheet1!$N$2:$N$180,Sheet1!$Q$2:$Q$180,$K$33,Sheet1!$P$2:$P$180,L33)</f>
        <v>11</v>
      </c>
      <c r="N33" s="7">
        <f>M33/Sheet1!$T$9*Sheet1!$T$10</f>
        <v>0.36333968132349087</v>
      </c>
      <c r="O33" s="436">
        <f>M33/Sheet1!$T$9*Sheet1!$T$11</f>
        <v>2.3718980300251462E-4</v>
      </c>
      <c r="P33" s="767">
        <f>SUM(O33:O36)</f>
        <v>1.2721998524680329E-3</v>
      </c>
      <c r="Q33" s="771"/>
    </row>
    <row r="34" spans="1:17" ht="12.75" customHeight="1">
      <c r="A34" s="776"/>
      <c r="B34" s="778"/>
      <c r="C34" s="6" t="s">
        <v>630</v>
      </c>
      <c r="D34" s="7">
        <f>SUMIFS(Sheet1!$C$2:$C$180,Sheet1!$F$2:$F$180,B33,Sheet1!$E$2:$E$180,C34)</f>
        <v>25</v>
      </c>
      <c r="E34" s="7">
        <f>D34/Sheet1!$I$9*Sheet1!$I$10</f>
        <v>0.82365821205307232</v>
      </c>
      <c r="F34" s="436">
        <f>D34/Sheet1!$I$9*Sheet1!$I$11</f>
        <v>5.3471251421242797E-4</v>
      </c>
      <c r="G34" s="768"/>
      <c r="H34" s="771"/>
      <c r="J34" s="776"/>
      <c r="K34" s="778"/>
      <c r="L34" s="6" t="s">
        <v>630</v>
      </c>
      <c r="M34" s="7">
        <f>SUMIFS(Sheet1!$N$2:$N$180,Sheet1!$Q$2:$Q$180,$K$33,Sheet1!$P$2:$P$180,L34)</f>
        <v>25</v>
      </c>
      <c r="N34" s="7">
        <f>M34/Sheet1!$T$9*Sheet1!$T$10</f>
        <v>0.82577200300793385</v>
      </c>
      <c r="O34" s="436">
        <f>M34/Sheet1!$T$9*Sheet1!$T$11</f>
        <v>5.3906773409662415E-4</v>
      </c>
      <c r="P34" s="768"/>
      <c r="Q34" s="771"/>
    </row>
    <row r="35" spans="1:17" ht="12.75" customHeight="1">
      <c r="A35" s="776"/>
      <c r="B35" s="778"/>
      <c r="C35" s="6" t="s">
        <v>751</v>
      </c>
      <c r="D35" s="7">
        <f>SUMIFS(Sheet1!$C$2:$C$180,Sheet1!$F$2:$F$180,B33,Sheet1!$E$2:$E$180,C35)</f>
        <v>12</v>
      </c>
      <c r="E35" s="7">
        <f>D35/Sheet1!$I$9*Sheet1!$I$10</f>
        <v>0.39535594178547473</v>
      </c>
      <c r="F35" s="436">
        <f>D35/Sheet1!$I$9*Sheet1!$I$11</f>
        <v>2.5666200682196541E-4</v>
      </c>
      <c r="G35" s="768"/>
      <c r="H35" s="771"/>
      <c r="J35" s="776"/>
      <c r="K35" s="778"/>
      <c r="L35" s="6" t="s">
        <v>751</v>
      </c>
      <c r="M35" s="7">
        <f>SUMIFS(Sheet1!$N$2:$N$180,Sheet1!$Q$2:$Q$180,$K$33,Sheet1!$P$2:$P$180,L35)</f>
        <v>12</v>
      </c>
      <c r="N35" s="7">
        <f>M35/Sheet1!$T$9*Sheet1!$T$10</f>
        <v>0.39637056144380828</v>
      </c>
      <c r="O35" s="436">
        <f>M35/Sheet1!$T$9*Sheet1!$T$11</f>
        <v>2.5875251236637964E-4</v>
      </c>
      <c r="P35" s="768"/>
      <c r="Q35" s="771"/>
    </row>
    <row r="36" spans="1:17" ht="12.75" customHeight="1">
      <c r="A36" s="776"/>
      <c r="B36" s="774"/>
      <c r="C36" s="6" t="s">
        <v>752</v>
      </c>
      <c r="D36" s="7">
        <f>SUMIFS(Sheet1!$C$2:$C$180,Sheet1!$F$2:$F$180,B33,Sheet1!$E$2:$E$180,C36)</f>
        <v>11</v>
      </c>
      <c r="E36" s="7">
        <f>D36/Sheet1!$I$9*Sheet1!$I$10</f>
        <v>0.36240961330335181</v>
      </c>
      <c r="F36" s="436">
        <f>D36/Sheet1!$I$9*Sheet1!$I$11</f>
        <v>2.3527350625346827E-4</v>
      </c>
      <c r="G36" s="769"/>
      <c r="H36" s="771"/>
      <c r="J36" s="776"/>
      <c r="K36" s="778"/>
      <c r="L36" s="6" t="s">
        <v>752</v>
      </c>
      <c r="M36" s="7">
        <f>SUMIFS(Sheet1!$N$2:$N$180,Sheet1!$Q$2:$Q$180,$K$33,Sheet1!$P$2:$P$180,L36)</f>
        <v>11</v>
      </c>
      <c r="N36" s="7">
        <f>M36/Sheet1!$T$9*Sheet1!$T$10</f>
        <v>0.36333968132349087</v>
      </c>
      <c r="O36" s="436">
        <f>M36/Sheet1!$T$9*Sheet1!$T$11</f>
        <v>2.3718980300251462E-4</v>
      </c>
      <c r="P36" s="769"/>
      <c r="Q36" s="771"/>
    </row>
    <row r="37" spans="1:17" ht="12.75" customHeight="1">
      <c r="A37" s="776"/>
      <c r="B37" s="773" t="s">
        <v>277</v>
      </c>
      <c r="C37" s="549" t="s">
        <v>631</v>
      </c>
      <c r="D37" s="7">
        <f>SUMIFS(Sheet1!$C$2:$C$180,Sheet1!$F$2:$F$180,B37,Sheet1!$E$2:$E$180,C37)</f>
        <v>5</v>
      </c>
      <c r="E37" s="7">
        <f>D37/Sheet1!$I$9*Sheet1!$I$10</f>
        <v>0.16473164241061444</v>
      </c>
      <c r="F37" s="436">
        <f>D37/Sheet1!$I$9*Sheet1!$I$11</f>
        <v>1.0694250284248558E-4</v>
      </c>
      <c r="G37" s="767">
        <f>SUM(F37:F41)</f>
        <v>1.5613605415002894E-3</v>
      </c>
      <c r="H37" s="771"/>
      <c r="J37" s="776"/>
      <c r="K37" s="773" t="s">
        <v>277</v>
      </c>
      <c r="L37" s="549" t="s">
        <v>631</v>
      </c>
      <c r="M37" s="7">
        <f>SUMIFS(Sheet1!$N$2:$N$180,Sheet1!$Q$2:$Q$180,$K$37,Sheet1!$P$2:$P$180,L37)</f>
        <v>5</v>
      </c>
      <c r="N37" s="7">
        <f>M37/Sheet1!$T$9*Sheet1!$T$10</f>
        <v>0.16515440060158676</v>
      </c>
      <c r="O37" s="436">
        <f>M37/Sheet1!$T$9*Sheet1!$T$11</f>
        <v>1.0781354681932483E-4</v>
      </c>
      <c r="P37" s="767">
        <f>SUM(O37:O41)</f>
        <v>1.5740777835621426E-3</v>
      </c>
      <c r="Q37" s="771"/>
    </row>
    <row r="38" spans="1:17" ht="12.75" customHeight="1">
      <c r="A38" s="776"/>
      <c r="B38" s="778"/>
      <c r="C38" s="6" t="s">
        <v>632</v>
      </c>
      <c r="D38" s="7">
        <f>SUMIFS(Sheet1!$C$2:$C$180,Sheet1!$F$2:$F$180,B37,Sheet1!$E$2:$E$180,C38)</f>
        <v>23</v>
      </c>
      <c r="E38" s="7">
        <f>D38/Sheet1!$I$9*Sheet1!$I$10</f>
        <v>0.75776555508882648</v>
      </c>
      <c r="F38" s="436">
        <f>D38/Sheet1!$I$9*Sheet1!$I$11</f>
        <v>4.9193551307543369E-4</v>
      </c>
      <c r="G38" s="768"/>
      <c r="H38" s="771"/>
      <c r="J38" s="776"/>
      <c r="K38" s="778"/>
      <c r="L38" s="6" t="s">
        <v>632</v>
      </c>
      <c r="M38" s="7">
        <f>SUMIFS(Sheet1!$N$2:$N$180,Sheet1!$Q$2:$Q$180,$K$37,Sheet1!$P$2:$P$180,L38)</f>
        <v>23</v>
      </c>
      <c r="N38" s="7">
        <f>M38/Sheet1!$T$9*Sheet1!$T$10</f>
        <v>0.75971024276729915</v>
      </c>
      <c r="O38" s="436">
        <f>M38/Sheet1!$T$9*Sheet1!$T$11</f>
        <v>4.9594231536889428E-4</v>
      </c>
      <c r="P38" s="768"/>
      <c r="Q38" s="771"/>
    </row>
    <row r="39" spans="1:17" ht="12.75" customHeight="1">
      <c r="A39" s="776"/>
      <c r="B39" s="778"/>
      <c r="C39" s="6" t="s">
        <v>753</v>
      </c>
      <c r="D39" s="7">
        <f>SUMIFS(Sheet1!$C$2:$C$180,Sheet1!$F$2:$F$180,B37,Sheet1!$E$2:$E$180,C39)</f>
        <v>14</v>
      </c>
      <c r="E39" s="7">
        <f>D39/Sheet1!$I$9*Sheet1!$I$10</f>
        <v>0.46124859874972046</v>
      </c>
      <c r="F39" s="436">
        <f>D39/Sheet1!$I$9*Sheet1!$I$11</f>
        <v>2.9943900795895964E-4</v>
      </c>
      <c r="G39" s="768"/>
      <c r="H39" s="771"/>
      <c r="J39" s="776"/>
      <c r="K39" s="778"/>
      <c r="L39" s="6" t="s">
        <v>753</v>
      </c>
      <c r="M39" s="7">
        <f>SUMIFS(Sheet1!$N$2:$N$180,Sheet1!$Q$2:$Q$180,$K$37,Sheet1!$P$2:$P$180,L39)</f>
        <v>14</v>
      </c>
      <c r="N39" s="7">
        <f>M39/Sheet1!$T$9*Sheet1!$T$10</f>
        <v>0.46243232168444293</v>
      </c>
      <c r="O39" s="436">
        <f>M39/Sheet1!$T$9*Sheet1!$T$11</f>
        <v>3.0187793109410951E-4</v>
      </c>
      <c r="P39" s="768"/>
      <c r="Q39" s="771"/>
    </row>
    <row r="40" spans="1:17" ht="12.75" customHeight="1">
      <c r="A40" s="776"/>
      <c r="B40" s="778"/>
      <c r="C40" s="6" t="s">
        <v>754</v>
      </c>
      <c r="D40" s="7">
        <f>SUMIFS(Sheet1!$C$2:$C$180,Sheet1!$F$2:$F$180,B37,Sheet1!$E$2:$E$180,C40)</f>
        <v>10</v>
      </c>
      <c r="E40" s="7">
        <f>D40/Sheet1!$I$9*Sheet1!$I$10</f>
        <v>0.32946328482122889</v>
      </c>
      <c r="F40" s="436">
        <f>D40/Sheet1!$I$9*Sheet1!$I$11</f>
        <v>2.1388500568497116E-4</v>
      </c>
      <c r="G40" s="768"/>
      <c r="H40" s="771"/>
      <c r="J40" s="776"/>
      <c r="K40" s="778"/>
      <c r="L40" s="6" t="s">
        <v>754</v>
      </c>
      <c r="M40" s="7">
        <f>SUMIFS(Sheet1!$N$2:$N$180,Sheet1!$Q$2:$Q$180,$K$37,Sheet1!$P$2:$P$180,L40)</f>
        <v>10</v>
      </c>
      <c r="N40" s="7">
        <f>M40/Sheet1!$T$9*Sheet1!$T$10</f>
        <v>0.33030880120317352</v>
      </c>
      <c r="O40" s="436">
        <f>M40/Sheet1!$T$9*Sheet1!$T$11</f>
        <v>2.1562709363864965E-4</v>
      </c>
      <c r="P40" s="768"/>
      <c r="Q40" s="771"/>
    </row>
    <row r="41" spans="1:17" ht="12.75" customHeight="1">
      <c r="A41" s="777"/>
      <c r="B41" s="774"/>
      <c r="C41" s="6" t="s">
        <v>777</v>
      </c>
      <c r="D41" s="7">
        <f>SUMIFS(Sheet1!$C$2:$C$180,Sheet1!$F$2:$F$180,B37,Sheet1!$E$2:$E$180,C41)</f>
        <v>21</v>
      </c>
      <c r="E41" s="7">
        <f>D41/Sheet1!$I$9*Sheet1!$I$10</f>
        <v>0.69187289812458064</v>
      </c>
      <c r="F41" s="436">
        <f>D41/Sheet1!$I$9*Sheet1!$I$11</f>
        <v>4.4915851193843946E-4</v>
      </c>
      <c r="G41" s="769"/>
      <c r="H41" s="772"/>
      <c r="J41" s="777"/>
      <c r="K41" s="774"/>
      <c r="L41" s="6" t="s">
        <v>777</v>
      </c>
      <c r="M41" s="7">
        <f>SUMIFS(Sheet1!$N$2:$N$180,Sheet1!$Q$2:$Q$180,$K$37,Sheet1!$P$2:$P$180,L41)</f>
        <v>21</v>
      </c>
      <c r="N41" s="7">
        <f>M41/Sheet1!$T$9*Sheet1!$T$10</f>
        <v>0.69364848252666444</v>
      </c>
      <c r="O41" s="436">
        <f>M41/Sheet1!$T$9*Sheet1!$T$11</f>
        <v>4.5281689664116435E-4</v>
      </c>
      <c r="P41" s="769"/>
      <c r="Q41" s="772"/>
    </row>
    <row r="42" spans="1:17" ht="12.75" customHeight="1">
      <c r="A42" s="783" t="s">
        <v>411</v>
      </c>
      <c r="B42" s="773" t="s">
        <v>263</v>
      </c>
      <c r="C42" s="549"/>
      <c r="D42" s="7">
        <f>SUMIFS(Sheet1!$C$2:$C$180,Sheet1!$F$2:$F$180,B42,Sheet1!$E$2:$E$180,C42)</f>
        <v>0</v>
      </c>
      <c r="E42" s="7">
        <f>D42/Sheet1!$I$9*Sheet1!$I$10</f>
        <v>0</v>
      </c>
      <c r="F42" s="436">
        <f>D42/Sheet1!$I$9*Sheet1!$I$11</f>
        <v>0</v>
      </c>
      <c r="G42" s="767">
        <f>SUM(F42:F43)</f>
        <v>0</v>
      </c>
      <c r="H42" s="791">
        <f>SUM(G42:G43)</f>
        <v>0</v>
      </c>
      <c r="J42" s="783" t="s">
        <v>411</v>
      </c>
      <c r="K42" s="773" t="s">
        <v>263</v>
      </c>
      <c r="L42" s="549"/>
      <c r="M42" s="7">
        <f>SUMIFS(Sheet1!$N$2:$N$180,Sheet1!$Q$2:$Q$180,K42,Sheet1!$P$2:$P$180,L42)</f>
        <v>0</v>
      </c>
      <c r="N42" s="7">
        <f>M42/Sheet1!$T$9*Sheet1!$T$10</f>
        <v>0</v>
      </c>
      <c r="O42" s="436">
        <f>M42/Sheet1!$T$9*Sheet1!$T$11</f>
        <v>0</v>
      </c>
      <c r="P42" s="767">
        <f>SUM(O42:O43)</f>
        <v>0</v>
      </c>
      <c r="Q42" s="791">
        <f>SUM(P42:P43)</f>
        <v>0</v>
      </c>
    </row>
    <row r="43" spans="1:17" ht="12.75" customHeight="1">
      <c r="A43" s="783"/>
      <c r="B43" s="774"/>
      <c r="C43" s="552"/>
      <c r="D43" s="7">
        <f>SUMIFS(Sheet1!$C$2:$C$180,Sheet1!$F$2:$F$180,B42,Sheet1!$E$2:$E$180,C43)</f>
        <v>0</v>
      </c>
      <c r="E43" s="7">
        <f>D43/Sheet1!$I$9*Sheet1!$I$10</f>
        <v>0</v>
      </c>
      <c r="F43" s="436">
        <f>D43/Sheet1!$I$9*Sheet1!$I$11</f>
        <v>0</v>
      </c>
      <c r="G43" s="769"/>
      <c r="H43" s="792"/>
      <c r="J43" s="783"/>
      <c r="K43" s="774"/>
      <c r="L43" s="552"/>
      <c r="M43" s="7">
        <f>SUMIFS(Sheet1!$N$2:$N$180,Sheet1!$Q$2:$Q$180,K42,Sheet1!$P$2:$P$180,L43)</f>
        <v>0</v>
      </c>
      <c r="N43" s="7">
        <f>M43/Sheet1!$T$9*Sheet1!$T$10</f>
        <v>0</v>
      </c>
      <c r="O43" s="436">
        <f>M43/Sheet1!$T$9*Sheet1!$T$11</f>
        <v>0</v>
      </c>
      <c r="P43" s="769"/>
      <c r="Q43" s="792"/>
    </row>
    <row r="44" spans="1:17" ht="15">
      <c r="A44" s="553"/>
      <c r="B44" s="790" t="s">
        <v>3</v>
      </c>
      <c r="C44" s="790"/>
      <c r="D44" s="293">
        <f>SUM(D4:D43)</f>
        <v>2380</v>
      </c>
      <c r="E44" s="293">
        <f>SUM(E4:E43)</f>
        <v>154.68179102899634</v>
      </c>
      <c r="F44" s="426">
        <f>SUM(F4:F43)</f>
        <v>0.10041821737906326</v>
      </c>
      <c r="G44" s="426">
        <f>SUM(G4:G43)</f>
        <v>0.10041821737906327</v>
      </c>
      <c r="H44" s="426">
        <f>SUM(H4:H43)</f>
        <v>0.10041821737906327</v>
      </c>
      <c r="J44" s="553"/>
      <c r="K44" s="790" t="s">
        <v>3</v>
      </c>
      <c r="L44" s="790"/>
      <c r="M44" s="293">
        <f>SUM(M4:M43)</f>
        <v>2119</v>
      </c>
      <c r="N44" s="293">
        <f>SUM(N4:N43)</f>
        <v>146.1580304164963</v>
      </c>
      <c r="O44" s="426">
        <f>SUM(O4:O43)</f>
        <v>9.5412629623735437E-2</v>
      </c>
      <c r="P44" s="426">
        <f>SUM(P4:P43)</f>
        <v>9.5412629623735437E-2</v>
      </c>
      <c r="Q44" s="426">
        <f>SUM(Q4:Q43)</f>
        <v>9.5412629623735451E-2</v>
      </c>
    </row>
    <row r="45" spans="1:17" ht="15">
      <c r="A45" s="553"/>
      <c r="B45" s="790" t="s">
        <v>2</v>
      </c>
      <c r="C45" s="790"/>
      <c r="D45" s="790"/>
      <c r="E45" s="790"/>
      <c r="F45" s="554">
        <f>+Efficiency1!X147</f>
        <v>0.89958178262093647</v>
      </c>
      <c r="G45" s="554">
        <f>+F45</f>
        <v>0.89958178262093647</v>
      </c>
      <c r="H45" s="554">
        <f>+G45</f>
        <v>0.89958178262093647</v>
      </c>
      <c r="J45" s="553"/>
      <c r="K45" s="790" t="s">
        <v>2</v>
      </c>
      <c r="L45" s="790"/>
      <c r="M45" s="790"/>
      <c r="N45" s="790"/>
      <c r="O45" s="554">
        <f>+Efficiency2!X147</f>
        <v>0.90458737037626424</v>
      </c>
      <c r="P45" s="554">
        <f>+O45</f>
        <v>0.90458737037626424</v>
      </c>
      <c r="Q45" s="554">
        <f>+P45</f>
        <v>0.90458737037626424</v>
      </c>
    </row>
    <row r="46" spans="1:17" ht="15">
      <c r="A46" s="553"/>
      <c r="B46" s="790" t="s">
        <v>69</v>
      </c>
      <c r="C46" s="790"/>
      <c r="D46" s="790"/>
      <c r="E46" s="790"/>
      <c r="F46" s="437">
        <f>SUM(F44:F45)</f>
        <v>0.99999999999999978</v>
      </c>
      <c r="G46" s="437">
        <f>SUM(G44:G45)</f>
        <v>0.99999999999999978</v>
      </c>
      <c r="H46" s="514">
        <f>SUM(H44:H45)</f>
        <v>0.99999999999999978</v>
      </c>
      <c r="J46" s="553"/>
      <c r="K46" s="790" t="s">
        <v>69</v>
      </c>
      <c r="L46" s="790"/>
      <c r="M46" s="790"/>
      <c r="N46" s="790"/>
      <c r="O46" s="437">
        <f>SUM(O44:O45)</f>
        <v>0.99999999999999967</v>
      </c>
      <c r="P46" s="437">
        <f>SUM(P44:P45)</f>
        <v>0.99999999999999967</v>
      </c>
      <c r="Q46" s="514">
        <f>SUM(Q44:Q45)</f>
        <v>0.99999999999999967</v>
      </c>
    </row>
  </sheetData>
  <mergeCells count="66">
    <mergeCell ref="A24:A41"/>
    <mergeCell ref="B33:B36"/>
    <mergeCell ref="K33:K36"/>
    <mergeCell ref="Q42:Q43"/>
    <mergeCell ref="B44:C44"/>
    <mergeCell ref="K44:L44"/>
    <mergeCell ref="A42:A43"/>
    <mergeCell ref="P24:P30"/>
    <mergeCell ref="B24:B30"/>
    <mergeCell ref="G24:G30"/>
    <mergeCell ref="G33:G36"/>
    <mergeCell ref="B31:B32"/>
    <mergeCell ref="P42:P43"/>
    <mergeCell ref="P31:P32"/>
    <mergeCell ref="K24:K30"/>
    <mergeCell ref="B37:B41"/>
    <mergeCell ref="B45:E45"/>
    <mergeCell ref="K45:N45"/>
    <mergeCell ref="B46:E46"/>
    <mergeCell ref="K46:N46"/>
    <mergeCell ref="B42:B43"/>
    <mergeCell ref="G42:G43"/>
    <mergeCell ref="H42:H43"/>
    <mergeCell ref="K42:K43"/>
    <mergeCell ref="J42:J43"/>
    <mergeCell ref="A14:A23"/>
    <mergeCell ref="H14:H23"/>
    <mergeCell ref="J14:J23"/>
    <mergeCell ref="Q14:Q23"/>
    <mergeCell ref="B16:B17"/>
    <mergeCell ref="G16:G17"/>
    <mergeCell ref="K16:K17"/>
    <mergeCell ref="P16:P17"/>
    <mergeCell ref="B19:B23"/>
    <mergeCell ref="G19:G23"/>
    <mergeCell ref="K19:K23"/>
    <mergeCell ref="P19:P23"/>
    <mergeCell ref="J12:J13"/>
    <mergeCell ref="A4:A11"/>
    <mergeCell ref="H4:H11"/>
    <mergeCell ref="J4:J11"/>
    <mergeCell ref="Q4:Q11"/>
    <mergeCell ref="B6:B7"/>
    <mergeCell ref="K6:K7"/>
    <mergeCell ref="B8:B9"/>
    <mergeCell ref="K8:K9"/>
    <mergeCell ref="B10:B11"/>
    <mergeCell ref="K10:K11"/>
    <mergeCell ref="Q12:Q13"/>
    <mergeCell ref="A12:A13"/>
    <mergeCell ref="H12:H13"/>
    <mergeCell ref="L2:L3"/>
    <mergeCell ref="A2:A3"/>
    <mergeCell ref="B2:B3"/>
    <mergeCell ref="C2:C3"/>
    <mergeCell ref="J2:J3"/>
    <mergeCell ref="K2:K3"/>
    <mergeCell ref="G37:G41"/>
    <mergeCell ref="P37:P41"/>
    <mergeCell ref="Q24:Q41"/>
    <mergeCell ref="H24:H41"/>
    <mergeCell ref="G31:G32"/>
    <mergeCell ref="K31:K32"/>
    <mergeCell ref="P33:P36"/>
    <mergeCell ref="J24:J41"/>
    <mergeCell ref="K37:K41"/>
  </mergeCells>
  <conditionalFormatting sqref="D4:D43 M4:M43">
    <cfRule type="cellIs" dxfId="1" priority="5" operator="between">
      <formula>180</formula>
      <formula>360</formula>
    </cfRule>
    <cfRule type="cellIs" dxfId="0" priority="6" operator="greaterThan">
      <formula>360</formula>
    </cfRule>
  </conditionalFormatting>
  <pageMargins left="0.31496062992125984" right="0.31496062992125984" top="0.3543307086614173" bottom="0.3543307086614173" header="0.31496062992125984" footer="0.31496062992125984"/>
  <pageSetup paperSize="9" scale="33" fitToHeight="0"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F19" zoomScale="80" zoomScaleNormal="80" zoomScaleSheetLayoutView="80" workbookViewId="0">
      <selection activeCell="O36" sqref="O36:P36"/>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425781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31</v>
      </c>
      <c r="H4" s="156" t="str">
        <f>+'1'!H4</f>
        <v>.07.25</v>
      </c>
      <c r="J4" s="151">
        <f>541+375+436</f>
        <v>1352</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766</v>
      </c>
      <c r="O6" s="151">
        <v>1180</v>
      </c>
      <c r="P6" s="151">
        <f>+O6-O6*0.22</f>
        <v>920.4</v>
      </c>
      <c r="Q6" s="151">
        <v>480</v>
      </c>
      <c r="R6" s="151">
        <f>+O6*Q6</f>
        <v>566400</v>
      </c>
      <c r="S6" s="151">
        <f>+P6*Q6</f>
        <v>441792</v>
      </c>
    </row>
    <row r="7" spans="1:19" ht="13.5" customHeight="1" thickBot="1">
      <c r="A7" s="795" t="s">
        <v>803</v>
      </c>
      <c r="B7" s="215" t="s">
        <v>775</v>
      </c>
      <c r="C7" s="216">
        <v>12859</v>
      </c>
      <c r="D7" s="217"/>
      <c r="E7" s="218"/>
      <c r="F7" s="226"/>
      <c r="G7" s="555" t="s">
        <v>13</v>
      </c>
      <c r="H7" s="556" t="s">
        <v>461</v>
      </c>
      <c r="I7" s="798" t="s">
        <v>812</v>
      </c>
      <c r="J7" s="214" t="str">
        <f>+'30'!J7</f>
        <v>F 12 VP OW</v>
      </c>
      <c r="K7" s="235"/>
      <c r="L7" s="239"/>
      <c r="M7" s="119">
        <f>+L7+'30'!M7+K7</f>
        <v>473486</v>
      </c>
      <c r="P7" s="151">
        <f>+O7-O7*0.22</f>
        <v>0</v>
      </c>
      <c r="R7" s="151">
        <f>+O7*Q7</f>
        <v>0</v>
      </c>
      <c r="S7" s="151">
        <f>+P7*Q7</f>
        <v>0</v>
      </c>
    </row>
    <row r="8" spans="1:19" ht="13.5" thickBot="1">
      <c r="A8" s="796"/>
      <c r="B8" s="215"/>
      <c r="C8" s="216"/>
      <c r="D8" s="217"/>
      <c r="E8" s="219"/>
      <c r="F8" s="229">
        <v>2</v>
      </c>
      <c r="G8" s="557" t="s">
        <v>13</v>
      </c>
      <c r="H8" s="228" t="s">
        <v>501</v>
      </c>
      <c r="I8" s="799"/>
      <c r="J8" s="214" t="str">
        <f>+'30'!J8</f>
        <v>F 11,5 VP OW</v>
      </c>
      <c r="K8" s="236"/>
      <c r="L8" s="236"/>
      <c r="M8" s="119">
        <f>+L8+'30'!M8+K8</f>
        <v>226339</v>
      </c>
      <c r="P8" s="151">
        <f>+O8-O8*0.22</f>
        <v>0</v>
      </c>
      <c r="R8" s="151">
        <f>+O8*Q8</f>
        <v>0</v>
      </c>
      <c r="S8" s="151">
        <f>+P8*Q8</f>
        <v>0</v>
      </c>
    </row>
    <row r="9" spans="1:19" ht="13.5" thickBot="1">
      <c r="A9" s="796"/>
      <c r="B9" s="215"/>
      <c r="C9" s="216"/>
      <c r="D9" s="217"/>
      <c r="E9" s="220"/>
      <c r="F9" s="226">
        <v>8</v>
      </c>
      <c r="G9" s="557" t="s">
        <v>13</v>
      </c>
      <c r="H9" s="231" t="s">
        <v>480</v>
      </c>
      <c r="I9" s="799"/>
      <c r="J9" s="214" t="str">
        <f>+'30'!J9</f>
        <v>T 13 VP OW</v>
      </c>
      <c r="K9" s="236"/>
      <c r="L9" s="236"/>
      <c r="M9" s="119">
        <f>+L9+'30'!M9+K9</f>
        <v>113358</v>
      </c>
      <c r="P9" s="151">
        <f t="shared" ref="P9:P10" si="0">+O9-O9*0.23</f>
        <v>0</v>
      </c>
      <c r="R9" s="151">
        <f>+O9*Q9</f>
        <v>0</v>
      </c>
      <c r="S9" s="151">
        <f>+P9*Q9</f>
        <v>0</v>
      </c>
    </row>
    <row r="10" spans="1:19" ht="51.75" thickBot="1">
      <c r="A10" s="796"/>
      <c r="B10" s="215"/>
      <c r="C10" s="216"/>
      <c r="D10" s="217"/>
      <c r="E10" s="219"/>
      <c r="F10" s="226"/>
      <c r="G10" s="227"/>
      <c r="H10" s="558" t="s">
        <v>809</v>
      </c>
      <c r="I10" s="799"/>
      <c r="J10" s="214" t="str">
        <f>+'30'!J10</f>
        <v>F 13 VP OW</v>
      </c>
      <c r="K10" s="236"/>
      <c r="L10" s="236"/>
      <c r="M10" s="119">
        <f>+L10+'30'!M10+K10</f>
        <v>85076</v>
      </c>
      <c r="P10" s="151">
        <f t="shared" si="0"/>
        <v>0</v>
      </c>
      <c r="R10" s="151">
        <f>+O10*Q10</f>
        <v>0</v>
      </c>
      <c r="S10" s="151">
        <f>+P10*Q10</f>
        <v>0</v>
      </c>
    </row>
    <row r="11" spans="1:19" ht="39" thickBot="1">
      <c r="A11" s="796"/>
      <c r="B11" s="215"/>
      <c r="C11" s="216"/>
      <c r="D11" s="217"/>
      <c r="E11" s="219"/>
      <c r="F11" s="226"/>
      <c r="G11" s="230"/>
      <c r="H11" s="231" t="s">
        <v>810</v>
      </c>
      <c r="I11" s="799"/>
      <c r="J11" s="214" t="str">
        <f>+'30'!J11</f>
        <v xml:space="preserve">T 13 VP OW HB </v>
      </c>
      <c r="K11" s="236"/>
      <c r="L11" s="236"/>
      <c r="M11" s="119">
        <f>+L11+'30'!M11+K11</f>
        <v>10128</v>
      </c>
    </row>
    <row r="12" spans="1:19" ht="13.5" thickBot="1">
      <c r="A12" s="796"/>
      <c r="B12" s="215"/>
      <c r="C12" s="216"/>
      <c r="D12" s="217"/>
      <c r="E12" s="219"/>
      <c r="F12" s="226"/>
      <c r="G12" s="230"/>
      <c r="H12" s="231"/>
      <c r="I12" s="799"/>
      <c r="J12" s="214" t="str">
        <f>+'30'!J12</f>
        <v>TW 15 VP OW</v>
      </c>
      <c r="K12" s="236"/>
      <c r="L12" s="236"/>
      <c r="M12" s="119">
        <f>+L12+'30'!M12+K12</f>
        <v>51015</v>
      </c>
      <c r="Q12" s="151">
        <f>SUM(Q6:Q11)</f>
        <v>480</v>
      </c>
      <c r="R12" s="151">
        <f>SUM(R6:R9)</f>
        <v>566400</v>
      </c>
      <c r="S12" s="151">
        <f>SUM(S6:S9)</f>
        <v>441792</v>
      </c>
    </row>
    <row r="13" spans="1:19" ht="13.5" thickBot="1">
      <c r="A13" s="796"/>
      <c r="B13" s="215"/>
      <c r="C13" s="216"/>
      <c r="D13" s="216"/>
      <c r="E13" s="219"/>
      <c r="F13" s="226"/>
      <c r="G13" s="230"/>
      <c r="H13" s="231"/>
      <c r="I13" s="800"/>
      <c r="J13" s="214" t="str">
        <f>+'30'!J13</f>
        <v>F 12,5 VP OW</v>
      </c>
      <c r="K13" s="236"/>
      <c r="L13" s="236"/>
      <c r="M13" s="119">
        <f>+L13+'30'!M13+K13</f>
        <v>10854</v>
      </c>
      <c r="P13" s="151" t="s">
        <v>424</v>
      </c>
      <c r="Q13" s="151">
        <f>480-Q12</f>
        <v>0</v>
      </c>
      <c r="R13" s="151">
        <f>+R12/Q12</f>
        <v>1180</v>
      </c>
      <c r="S13" s="151">
        <f>+S12/Q12</f>
        <v>920.4</v>
      </c>
    </row>
    <row r="14" spans="1:19" ht="13.5" thickBot="1">
      <c r="A14" s="797"/>
      <c r="B14" s="167" t="s">
        <v>3</v>
      </c>
      <c r="C14" s="101">
        <f>SUM(C7:C13)</f>
        <v>12859</v>
      </c>
      <c r="D14" s="113">
        <f>SUM(D7:D13)</f>
        <v>0</v>
      </c>
      <c r="E14" s="114">
        <f>SUM(E5:E13)</f>
        <v>0</v>
      </c>
      <c r="F14" s="118">
        <f>SUM(F7:F13)</f>
        <v>10</v>
      </c>
      <c r="G14" s="161"/>
      <c r="H14" s="168"/>
      <c r="I14" s="169"/>
      <c r="J14" s="214" t="str">
        <f>+'30'!J14</f>
        <v>T 14,5 RC HW</v>
      </c>
      <c r="K14" s="236"/>
      <c r="L14" s="236"/>
      <c r="M14" s="119">
        <f>+L14+'30'!M14+K14</f>
        <v>30142</v>
      </c>
    </row>
    <row r="15" spans="1:19" ht="13.5" customHeight="1" thickBot="1">
      <c r="A15" s="801" t="s">
        <v>804</v>
      </c>
      <c r="B15" s="518"/>
      <c r="C15" s="115">
        <f>C14/($C$23+$D$23+$E$23)</f>
        <v>0.58988944446992986</v>
      </c>
      <c r="D15" s="116">
        <f>D14/($C$23+$D$23+$E$23)</f>
        <v>0</v>
      </c>
      <c r="E15" s="117">
        <f>E14/($C$23+$D$23+$E$23)</f>
        <v>0</v>
      </c>
      <c r="F15" s="226"/>
      <c r="G15" s="555" t="s">
        <v>13</v>
      </c>
      <c r="H15" s="556" t="s">
        <v>461</v>
      </c>
      <c r="I15" s="798" t="s">
        <v>812</v>
      </c>
      <c r="J15" s="214" t="str">
        <f>+'30'!J15</f>
        <v>T 17 RC HW</v>
      </c>
      <c r="K15" s="236"/>
      <c r="L15" s="236"/>
      <c r="M15" s="119">
        <f>+L15+'30'!M15+K15</f>
        <v>41659</v>
      </c>
      <c r="N15" s="151" t="s">
        <v>766</v>
      </c>
      <c r="O15" s="151">
        <v>1180</v>
      </c>
      <c r="P15" s="151">
        <f>+O15-O15*0.22</f>
        <v>920.4</v>
      </c>
      <c r="Q15" s="151">
        <v>480</v>
      </c>
      <c r="R15" s="151">
        <f>+O15*Q15</f>
        <v>566400</v>
      </c>
      <c r="S15" s="151">
        <f>+P15*Q15</f>
        <v>441792</v>
      </c>
    </row>
    <row r="16" spans="1:19" ht="13.5" thickBot="1">
      <c r="A16" s="796"/>
      <c r="B16" s="215" t="s">
        <v>775</v>
      </c>
      <c r="C16" s="516">
        <v>21193</v>
      </c>
      <c r="D16" s="221">
        <v>606</v>
      </c>
      <c r="E16" s="222"/>
      <c r="F16" s="226">
        <v>2</v>
      </c>
      <c r="G16" s="557" t="s">
        <v>13</v>
      </c>
      <c r="H16" s="228" t="s">
        <v>462</v>
      </c>
      <c r="I16" s="799"/>
      <c r="J16" s="214" t="str">
        <f>+'30'!J16</f>
        <v>T 19 RC HW</v>
      </c>
      <c r="K16" s="227"/>
      <c r="L16" s="227"/>
      <c r="M16" s="119">
        <f>+L16+'30'!M16+K16</f>
        <v>15992</v>
      </c>
      <c r="P16" s="151">
        <f>+O16-O16*0.22</f>
        <v>0</v>
      </c>
      <c r="R16" s="151">
        <f>+O16*Q16</f>
        <v>0</v>
      </c>
      <c r="S16" s="151">
        <f>+P16*Q16</f>
        <v>0</v>
      </c>
    </row>
    <row r="17" spans="1:19" ht="13.5" thickBot="1">
      <c r="A17" s="796"/>
      <c r="B17" s="215"/>
      <c r="C17" s="216"/>
      <c r="D17" s="217"/>
      <c r="E17" s="223"/>
      <c r="F17" s="226">
        <v>4</v>
      </c>
      <c r="G17" s="557" t="s">
        <v>13</v>
      </c>
      <c r="H17" s="231" t="s">
        <v>480</v>
      </c>
      <c r="I17" s="799"/>
      <c r="J17" s="214" t="str">
        <f>+'30'!J17</f>
        <v>T 20 RC HW</v>
      </c>
      <c r="K17" s="227"/>
      <c r="L17" s="227"/>
      <c r="M17" s="119">
        <f>+L17+'30'!M17+K17</f>
        <v>25912</v>
      </c>
      <c r="P17" s="151">
        <f>+O17-O17*0.22</f>
        <v>0</v>
      </c>
      <c r="R17" s="151">
        <f>+O17*Q17</f>
        <v>0</v>
      </c>
      <c r="S17" s="151">
        <f>+P17*Q17</f>
        <v>0</v>
      </c>
    </row>
    <row r="18" spans="1:19" ht="64.5" thickBot="1">
      <c r="A18" s="796"/>
      <c r="B18" s="215"/>
      <c r="C18" s="216"/>
      <c r="D18" s="217"/>
      <c r="E18" s="223"/>
      <c r="F18" s="226"/>
      <c r="G18" s="227"/>
      <c r="H18" s="558" t="s">
        <v>807</v>
      </c>
      <c r="I18" s="799"/>
      <c r="J18" s="214" t="str">
        <f>+'30'!J18</f>
        <v>T 15,5 RC HW</v>
      </c>
      <c r="K18" s="236">
        <f>+C34</f>
        <v>53885</v>
      </c>
      <c r="L18" s="236"/>
      <c r="M18" s="119">
        <f>+L18+'30'!M18+K18</f>
        <v>301733</v>
      </c>
      <c r="P18" s="151">
        <f t="shared" ref="P18:P19" si="1">+O18-O18*0.23</f>
        <v>0</v>
      </c>
      <c r="R18" s="151">
        <f>+O18*Q18</f>
        <v>0</v>
      </c>
      <c r="S18" s="151">
        <f>+P18*Q18</f>
        <v>0</v>
      </c>
    </row>
    <row r="19" spans="1:19" ht="39" thickBot="1">
      <c r="A19" s="796"/>
      <c r="B19" s="215"/>
      <c r="C19" s="216"/>
      <c r="D19" s="217"/>
      <c r="E19" s="223"/>
      <c r="F19" s="232"/>
      <c r="G19" s="230"/>
      <c r="H19" s="231" t="s">
        <v>808</v>
      </c>
      <c r="I19" s="799"/>
      <c r="J19" s="214">
        <f>+'30'!J19</f>
        <v>0</v>
      </c>
      <c r="K19" s="236"/>
      <c r="L19" s="236"/>
      <c r="M19" s="119">
        <f>+L19+'30'!M19+K19</f>
        <v>0</v>
      </c>
      <c r="P19" s="151">
        <f t="shared" si="1"/>
        <v>0</v>
      </c>
      <c r="R19" s="151">
        <f>+O19*Q19</f>
        <v>0</v>
      </c>
      <c r="S19" s="151">
        <f>+P19*Q19</f>
        <v>0</v>
      </c>
    </row>
    <row r="20" spans="1:19" ht="13.5" thickBot="1">
      <c r="A20" s="796"/>
      <c r="B20" s="215"/>
      <c r="C20" s="216"/>
      <c r="D20" s="217"/>
      <c r="E20" s="223"/>
      <c r="F20" s="226"/>
      <c r="G20" s="230"/>
      <c r="H20" s="231"/>
      <c r="I20" s="799"/>
      <c r="J20" s="214">
        <f>+'30'!J20</f>
        <v>0</v>
      </c>
      <c r="K20" s="237"/>
      <c r="L20" s="237"/>
      <c r="M20" s="119">
        <f>+L20+'30'!M20+K20</f>
        <v>0</v>
      </c>
    </row>
    <row r="21" spans="1:19" ht="13.5" thickBot="1">
      <c r="A21" s="796"/>
      <c r="B21" s="215"/>
      <c r="C21" s="216"/>
      <c r="D21" s="217"/>
      <c r="E21" s="223"/>
      <c r="F21" s="229"/>
      <c r="G21" s="230"/>
      <c r="H21" s="231"/>
      <c r="I21" s="799"/>
      <c r="J21" s="214">
        <f>+'30'!J21</f>
        <v>0</v>
      </c>
      <c r="K21" s="236"/>
      <c r="L21" s="236"/>
      <c r="M21" s="119">
        <f>+L21+'30'!M21+K21</f>
        <v>0</v>
      </c>
      <c r="Q21" s="151">
        <f>SUM(Q15:Q20)</f>
        <v>480</v>
      </c>
      <c r="R21" s="151">
        <f>SUM(R15:R18)</f>
        <v>566400</v>
      </c>
      <c r="S21" s="151">
        <f>SUM(S15:S18)</f>
        <v>441792</v>
      </c>
    </row>
    <row r="22" spans="1:19" ht="13.5" thickBot="1">
      <c r="A22" s="796"/>
      <c r="B22" s="215"/>
      <c r="C22" s="216"/>
      <c r="D22" s="217"/>
      <c r="E22" s="223"/>
      <c r="F22" s="233"/>
      <c r="G22" s="230"/>
      <c r="H22" s="231"/>
      <c r="I22" s="800"/>
      <c r="J22" s="214">
        <f>+'30'!J22</f>
        <v>0</v>
      </c>
      <c r="K22" s="236"/>
      <c r="L22" s="236"/>
      <c r="M22" s="119">
        <f>+L22+'30'!M22+K22</f>
        <v>0</v>
      </c>
      <c r="P22" s="151" t="s">
        <v>424</v>
      </c>
      <c r="Q22" s="151">
        <f>480-Q21</f>
        <v>0</v>
      </c>
      <c r="R22" s="151">
        <f>+R21/Q21</f>
        <v>1180</v>
      </c>
      <c r="S22" s="151">
        <f>+S21/Q21</f>
        <v>920.4</v>
      </c>
    </row>
    <row r="23" spans="1:19" ht="13.5" thickBot="1">
      <c r="A23" s="797"/>
      <c r="B23" s="167" t="s">
        <v>3</v>
      </c>
      <c r="C23" s="101">
        <f>SUM(C16:C22)</f>
        <v>21193</v>
      </c>
      <c r="D23" s="113">
        <f>SUM(D16:D22)</f>
        <v>606</v>
      </c>
      <c r="E23" s="114">
        <f>SUM(E18:E22)</f>
        <v>0</v>
      </c>
      <c r="F23" s="118">
        <f>SUM(F15:F22)</f>
        <v>6</v>
      </c>
      <c r="G23" s="161"/>
      <c r="H23" s="168"/>
      <c r="I23" s="170"/>
      <c r="J23" s="214">
        <f>+'30'!J23</f>
        <v>0</v>
      </c>
      <c r="K23" s="236"/>
      <c r="L23" s="236"/>
      <c r="M23" s="119">
        <f>+L23+'30'!M23+K23</f>
        <v>0</v>
      </c>
    </row>
    <row r="24" spans="1:19" ht="13.5" customHeight="1" thickBot="1">
      <c r="A24" s="801" t="s">
        <v>470</v>
      </c>
      <c r="B24" s="518"/>
      <c r="C24" s="105">
        <f>C23/($C$23+$D$23+$E$23)</f>
        <v>0.97220055965869989</v>
      </c>
      <c r="D24" s="106">
        <f>D23/($C$23+$D$23+$E$23)</f>
        <v>2.7799440341300059E-2</v>
      </c>
      <c r="E24" s="111">
        <f>E23/($C$23+$D$23+$E$23)</f>
        <v>0</v>
      </c>
      <c r="F24" s="233"/>
      <c r="G24" s="555" t="s">
        <v>13</v>
      </c>
      <c r="H24" s="556" t="s">
        <v>461</v>
      </c>
      <c r="I24" s="798" t="s">
        <v>814</v>
      </c>
      <c r="J24" s="214">
        <f>+'30'!J24</f>
        <v>0</v>
      </c>
      <c r="K24" s="236"/>
      <c r="L24" s="236"/>
      <c r="M24" s="119">
        <f>+L24+'30'!M24+K24</f>
        <v>0</v>
      </c>
    </row>
    <row r="25" spans="1:19" ht="13.5" thickBot="1">
      <c r="A25" s="796"/>
      <c r="B25" s="215" t="s">
        <v>775</v>
      </c>
      <c r="C25" s="224">
        <v>19833</v>
      </c>
      <c r="D25" s="217"/>
      <c r="E25" s="223"/>
      <c r="F25" s="229">
        <v>2</v>
      </c>
      <c r="G25" s="557" t="s">
        <v>13</v>
      </c>
      <c r="H25" s="228" t="s">
        <v>501</v>
      </c>
      <c r="I25" s="799"/>
      <c r="J25" s="214">
        <f>+'30'!J25</f>
        <v>0</v>
      </c>
      <c r="K25" s="236"/>
      <c r="L25" s="236"/>
      <c r="M25" s="119">
        <f>+L25+'30'!M25+K25</f>
        <v>0</v>
      </c>
      <c r="N25" s="151" t="s">
        <v>766</v>
      </c>
      <c r="O25" s="151">
        <v>1180</v>
      </c>
      <c r="P25" s="151">
        <f>+O25-O25*0.22</f>
        <v>920.4</v>
      </c>
      <c r="Q25" s="151">
        <f>60*5+45</f>
        <v>345</v>
      </c>
      <c r="R25" s="151">
        <f>+O25*Q25</f>
        <v>407100</v>
      </c>
      <c r="S25" s="151">
        <f>+P25*Q25</f>
        <v>317538</v>
      </c>
    </row>
    <row r="26" spans="1:19" ht="13.5" thickBot="1">
      <c r="A26" s="796"/>
      <c r="B26" s="215"/>
      <c r="C26" s="224"/>
      <c r="D26" s="217"/>
      <c r="E26" s="225"/>
      <c r="F26" s="229">
        <v>7</v>
      </c>
      <c r="G26" s="557" t="s">
        <v>13</v>
      </c>
      <c r="H26" s="231" t="s">
        <v>400</v>
      </c>
      <c r="I26" s="799"/>
      <c r="J26" s="214">
        <f>+'30'!J26</f>
        <v>0</v>
      </c>
      <c r="K26" s="236"/>
      <c r="L26" s="236"/>
      <c r="M26" s="119">
        <f>+L26+'30'!M26+K26</f>
        <v>0</v>
      </c>
      <c r="N26" s="151" t="s">
        <v>811</v>
      </c>
      <c r="O26" s="151">
        <v>1260</v>
      </c>
      <c r="P26" s="151">
        <f>+O26-O26*0.18</f>
        <v>1033.2</v>
      </c>
      <c r="Q26" s="151">
        <f>480-Q25</f>
        <v>135</v>
      </c>
      <c r="R26" s="151">
        <f>+O26*Q26</f>
        <v>170100</v>
      </c>
      <c r="S26" s="151">
        <f>+P26*Q26</f>
        <v>139482</v>
      </c>
    </row>
    <row r="27" spans="1:19" ht="77.25" thickBot="1">
      <c r="A27" s="796"/>
      <c r="B27" s="215"/>
      <c r="C27" s="216"/>
      <c r="D27" s="217"/>
      <c r="E27" s="223"/>
      <c r="F27" s="229"/>
      <c r="G27" s="227"/>
      <c r="H27" s="558" t="s">
        <v>805</v>
      </c>
      <c r="I27" s="799"/>
      <c r="J27" s="214">
        <f>+'30'!J27</f>
        <v>0</v>
      </c>
      <c r="K27" s="236"/>
      <c r="L27" s="236"/>
      <c r="M27" s="119">
        <f>+L27+'30'!M27+K27</f>
        <v>0</v>
      </c>
      <c r="P27" s="151">
        <f>+O27-O27*0.22</f>
        <v>0</v>
      </c>
      <c r="R27" s="151">
        <f>+O27*Q27</f>
        <v>0</v>
      </c>
      <c r="S27" s="151">
        <f>+P27*Q27</f>
        <v>0</v>
      </c>
    </row>
    <row r="28" spans="1:19" ht="39" thickBot="1">
      <c r="A28" s="796"/>
      <c r="B28" s="215"/>
      <c r="C28" s="216"/>
      <c r="D28" s="217"/>
      <c r="E28" s="223"/>
      <c r="F28" s="229"/>
      <c r="G28" s="230"/>
      <c r="H28" s="231" t="s">
        <v>806</v>
      </c>
      <c r="I28" s="799"/>
      <c r="J28" s="214">
        <f>+'30'!J28</f>
        <v>0</v>
      </c>
      <c r="K28" s="236"/>
      <c r="L28" s="236"/>
      <c r="M28" s="119">
        <f>+L28+'30'!M28+K28</f>
        <v>0</v>
      </c>
      <c r="P28" s="151">
        <f t="shared" ref="P28:P29" si="2">+O28-O28*0.23</f>
        <v>0</v>
      </c>
      <c r="R28" s="151">
        <f>+O28*Q28</f>
        <v>0</v>
      </c>
      <c r="S28" s="151">
        <f>+P28*Q28</f>
        <v>0</v>
      </c>
    </row>
    <row r="29" spans="1:19" ht="13.5" thickBot="1">
      <c r="A29" s="796"/>
      <c r="B29" s="215"/>
      <c r="C29" s="216"/>
      <c r="D29" s="217"/>
      <c r="E29" s="223"/>
      <c r="F29" s="233"/>
      <c r="G29" s="230"/>
      <c r="H29" s="231"/>
      <c r="I29" s="799"/>
      <c r="J29" s="214">
        <f>+'30'!J29</f>
        <v>0</v>
      </c>
      <c r="K29" s="236"/>
      <c r="L29" s="236"/>
      <c r="M29" s="119">
        <f>+L29+'30'!M29+K29</f>
        <v>0</v>
      </c>
      <c r="P29" s="151">
        <f t="shared" si="2"/>
        <v>0</v>
      </c>
      <c r="R29" s="151">
        <f>+O29*Q29</f>
        <v>0</v>
      </c>
      <c r="S29" s="151">
        <f>+P29*Q29</f>
        <v>0</v>
      </c>
    </row>
    <row r="30" spans="1:19" ht="13.5" thickBot="1">
      <c r="A30" s="796"/>
      <c r="B30" s="215"/>
      <c r="C30" s="224"/>
      <c r="D30" s="217"/>
      <c r="E30" s="223"/>
      <c r="F30" s="233"/>
      <c r="G30" s="230"/>
      <c r="H30" s="231"/>
      <c r="I30" s="799"/>
      <c r="J30" s="214">
        <f>+'30'!J30</f>
        <v>0</v>
      </c>
      <c r="K30" s="236"/>
      <c r="L30" s="236"/>
      <c r="M30" s="119">
        <f>+L30+'30'!M30+K30</f>
        <v>0</v>
      </c>
    </row>
    <row r="31" spans="1:19" ht="13.5" thickBot="1">
      <c r="A31" s="796"/>
      <c r="B31" s="215"/>
      <c r="C31" s="224"/>
      <c r="D31" s="217"/>
      <c r="E31" s="223"/>
      <c r="F31" s="233"/>
      <c r="G31" s="234"/>
      <c r="H31" s="409"/>
      <c r="I31" s="800"/>
      <c r="J31" s="214">
        <f>+'30'!J31</f>
        <v>0</v>
      </c>
      <c r="K31" s="236"/>
      <c r="L31" s="236"/>
      <c r="M31" s="119">
        <f>+L31+'30'!M31+K31</f>
        <v>0</v>
      </c>
      <c r="Q31" s="151">
        <f>SUM(Q25:Q30)</f>
        <v>480</v>
      </c>
      <c r="R31" s="151">
        <f>SUM(R25:R28)</f>
        <v>577200</v>
      </c>
      <c r="S31" s="151">
        <f>SUM(S25:S28)</f>
        <v>457020</v>
      </c>
    </row>
    <row r="32" spans="1:19" ht="13.5" thickBot="1">
      <c r="A32" s="797"/>
      <c r="B32" s="167" t="s">
        <v>3</v>
      </c>
      <c r="C32" s="101">
        <f>SUM(C25:C31)</f>
        <v>19833</v>
      </c>
      <c r="D32" s="102">
        <f>SUM(D25:D31)</f>
        <v>0</v>
      </c>
      <c r="E32" s="103">
        <f>SUM(E25:E31)</f>
        <v>0</v>
      </c>
      <c r="F32" s="101">
        <f>SUM(F24:F31)</f>
        <v>9</v>
      </c>
      <c r="G32" s="171"/>
      <c r="H32" s="172"/>
      <c r="I32" s="170"/>
      <c r="J32" s="214">
        <f>+'30'!J32</f>
        <v>0</v>
      </c>
      <c r="K32" s="238"/>
      <c r="L32" s="240"/>
      <c r="M32" s="119">
        <f>+L32+'30'!M32+K32</f>
        <v>0</v>
      </c>
      <c r="P32" s="151" t="s">
        <v>424</v>
      </c>
      <c r="Q32" s="151">
        <f>480-Q31</f>
        <v>0</v>
      </c>
      <c r="R32" s="151">
        <f>+R31/Q31</f>
        <v>1202.5</v>
      </c>
      <c r="S32" s="151">
        <f>+S31/Q31</f>
        <v>952.125</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02" t="s">
        <v>69</v>
      </c>
      <c r="B34" s="803"/>
      <c r="C34" s="109">
        <f>C14+C23+C32</f>
        <v>53885</v>
      </c>
      <c r="D34" s="109">
        <f>D14+D23+D32</f>
        <v>606</v>
      </c>
      <c r="E34" s="109">
        <f>E14+E23+E32</f>
        <v>0</v>
      </c>
      <c r="F34" s="110">
        <f>F14+F23+F32</f>
        <v>25</v>
      </c>
      <c r="H34" s="178"/>
      <c r="I34" s="178"/>
      <c r="J34" s="125" t="s">
        <v>29</v>
      </c>
      <c r="K34" s="126">
        <f>SUM(K7:K32)</f>
        <v>53885</v>
      </c>
      <c r="L34" s="212">
        <f>SUM(L7:L32)</f>
        <v>0</v>
      </c>
      <c r="M34" s="122">
        <f>SUM(M7:M32)</f>
        <v>1385694</v>
      </c>
      <c r="N34" s="157"/>
    </row>
    <row r="35" spans="1:17" ht="13.5" thickBot="1">
      <c r="A35" s="179"/>
      <c r="B35" s="180"/>
      <c r="C35" s="106">
        <f>C34/($C$34+$D$34+$E$34)</f>
        <v>0.9888788974326036</v>
      </c>
      <c r="D35" s="106">
        <f>D34/($C$34+$D$34+$E$34)</f>
        <v>1.112110256739645E-2</v>
      </c>
      <c r="E35" s="111">
        <f>E34/($C$34+$D$34+$E$34)</f>
        <v>0</v>
      </c>
      <c r="K35" s="157"/>
      <c r="N35" s="151" t="s">
        <v>766</v>
      </c>
      <c r="O35" s="151">
        <v>1180</v>
      </c>
      <c r="P35" s="151">
        <v>920.4</v>
      </c>
      <c r="Q35" s="151">
        <v>1305</v>
      </c>
    </row>
    <row r="36" spans="1:17" ht="13.5" thickBot="1">
      <c r="A36" s="178"/>
      <c r="B36" s="178"/>
      <c r="C36" s="157"/>
      <c r="D36" s="157"/>
      <c r="E36" s="157"/>
      <c r="G36" s="157"/>
      <c r="H36" s="181"/>
      <c r="I36" s="164" t="s">
        <v>39</v>
      </c>
      <c r="J36" s="164" t="s">
        <v>40</v>
      </c>
      <c r="K36" s="182"/>
      <c r="N36" s="151" t="s">
        <v>811</v>
      </c>
      <c r="O36" s="151">
        <v>1260</v>
      </c>
      <c r="P36" s="151">
        <v>1033.2</v>
      </c>
      <c r="Q36" s="151">
        <v>135</v>
      </c>
    </row>
    <row r="37" spans="1:17" ht="17.45" customHeight="1" thickBot="1">
      <c r="A37" s="804" t="s">
        <v>70</v>
      </c>
      <c r="B37" s="805"/>
      <c r="C37" s="164" t="s">
        <v>71</v>
      </c>
      <c r="D37" s="183" t="s">
        <v>72</v>
      </c>
      <c r="E37" s="184" t="s">
        <v>73</v>
      </c>
      <c r="F37" s="309"/>
      <c r="G37" s="311"/>
      <c r="H37" s="186" t="s">
        <v>74</v>
      </c>
      <c r="I37" s="241">
        <f>(15.5*1305+135*13.5)/1440*G42*2.74*1440/1000000</f>
        <v>56.246716575000001</v>
      </c>
      <c r="J37" s="127">
        <f>+I37+'30'!J37</f>
        <v>1573.6194783614073</v>
      </c>
      <c r="K37" s="128" t="s">
        <v>75</v>
      </c>
      <c r="Q37" s="151">
        <f>+Q35+Q36</f>
        <v>1440</v>
      </c>
    </row>
    <row r="38" spans="1:17" ht="17.45" customHeight="1">
      <c r="A38" s="806" t="s">
        <v>13</v>
      </c>
      <c r="B38" s="807"/>
      <c r="C38" s="166">
        <f>SUMIF($G$7:$G$31,"Process",$F$7:$F$31)</f>
        <v>25</v>
      </c>
      <c r="D38" s="120">
        <f>C38+'30'!D38</f>
        <v>1764</v>
      </c>
      <c r="E38" s="145">
        <f t="shared" ref="E38:E52" si="3">D38/60</f>
        <v>29.4</v>
      </c>
      <c r="F38" s="309">
        <v>1180</v>
      </c>
      <c r="G38" s="309">
        <v>920.4</v>
      </c>
      <c r="H38" s="187" t="s">
        <v>76</v>
      </c>
      <c r="I38" s="242">
        <f>17.841+17.679+18.306</f>
        <v>53.825999999999993</v>
      </c>
      <c r="J38" s="129">
        <f>+I38+'30'!J38</f>
        <v>1443.2060000000004</v>
      </c>
      <c r="K38" s="130" t="s">
        <v>75</v>
      </c>
    </row>
    <row r="39" spans="1:17" ht="17.45" customHeight="1">
      <c r="A39" s="793" t="s">
        <v>14</v>
      </c>
      <c r="B39" s="794"/>
      <c r="C39" s="166">
        <f>SUMIF($G$7:$G$31,"Cleaning",$F$7:$F$31)</f>
        <v>0</v>
      </c>
      <c r="D39" s="120">
        <f>C39+'30'!D39</f>
        <v>0</v>
      </c>
      <c r="E39" s="145">
        <f t="shared" si="3"/>
        <v>0</v>
      </c>
      <c r="F39" s="309">
        <v>1180</v>
      </c>
      <c r="G39" s="309">
        <v>920.4</v>
      </c>
      <c r="H39" s="187" t="s">
        <v>77</v>
      </c>
      <c r="I39" s="144"/>
      <c r="J39" s="131">
        <f>J37/G4</f>
        <v>50.761918656819589</v>
      </c>
      <c r="K39" s="132" t="s">
        <v>75</v>
      </c>
    </row>
    <row r="40" spans="1:17" ht="17.45" customHeight="1">
      <c r="A40" s="793" t="s">
        <v>78</v>
      </c>
      <c r="B40" s="794"/>
      <c r="C40" s="166">
        <f>SUMIF($G$7:$G$31,"Mechanical",$F$7:$F$31)</f>
        <v>0</v>
      </c>
      <c r="D40" s="120">
        <f>C40+'30'!D40</f>
        <v>73</v>
      </c>
      <c r="E40" s="145">
        <f t="shared" si="3"/>
        <v>1.2166666666666666</v>
      </c>
      <c r="F40" s="309">
        <v>1202.5</v>
      </c>
      <c r="G40" s="309">
        <v>952.125</v>
      </c>
      <c r="H40" s="187" t="s">
        <v>79</v>
      </c>
      <c r="I40" s="120">
        <f>(K34+L34)/1000</f>
        <v>53.884999999999998</v>
      </c>
      <c r="J40" s="133">
        <f>+I40+'30'!J40</f>
        <v>1385.694</v>
      </c>
      <c r="K40" s="132" t="s">
        <v>75</v>
      </c>
    </row>
    <row r="41" spans="1:17" ht="17.45" customHeight="1">
      <c r="A41" s="793" t="s">
        <v>80</v>
      </c>
      <c r="B41" s="794"/>
      <c r="C41" s="166">
        <f>SUMIF($G$7:$G$31,"Electrical",$F$7:$F$31)</f>
        <v>0</v>
      </c>
      <c r="D41" s="120">
        <f>C41+'30'!D41</f>
        <v>59</v>
      </c>
      <c r="E41" s="145">
        <f t="shared" si="3"/>
        <v>0.98333333333333328</v>
      </c>
      <c r="F41" s="309"/>
      <c r="G41" s="309"/>
      <c r="H41" s="187" t="s">
        <v>81</v>
      </c>
      <c r="I41" s="144"/>
      <c r="J41" s="131">
        <f>J40/G4</f>
        <v>44.699806451612901</v>
      </c>
      <c r="K41" s="132" t="s">
        <v>75</v>
      </c>
    </row>
    <row r="42" spans="1:17" ht="17.45" customHeight="1">
      <c r="A42" s="793" t="s">
        <v>17</v>
      </c>
      <c r="B42" s="794"/>
      <c r="C42" s="166">
        <f>SUMIF($G$7:$G$31,"Instrument",$F$7:$F$31)</f>
        <v>0</v>
      </c>
      <c r="D42" s="120">
        <f>C42+'30'!D42</f>
        <v>0</v>
      </c>
      <c r="E42" s="145">
        <f t="shared" si="3"/>
        <v>0</v>
      </c>
      <c r="F42" s="185">
        <f>+(F38*480+F39*480+F40*480)/1440</f>
        <v>1187.5</v>
      </c>
      <c r="G42" s="185">
        <f>+(G38*480+G39*480+G40*480)/1440</f>
        <v>930.97500000000002</v>
      </c>
      <c r="H42" s="187" t="s">
        <v>82</v>
      </c>
      <c r="I42" s="243" t="s">
        <v>812</v>
      </c>
      <c r="J42" s="134"/>
      <c r="K42" s="132" t="s">
        <v>83</v>
      </c>
    </row>
    <row r="43" spans="1:17" ht="17.45" customHeight="1">
      <c r="A43" s="793" t="s">
        <v>84</v>
      </c>
      <c r="B43" s="794"/>
      <c r="C43" s="166">
        <f>SUMIF($G$7:$G$31,"Water",$F$7:$F$31)</f>
        <v>0</v>
      </c>
      <c r="D43" s="120">
        <f>C43+'30'!D43</f>
        <v>0</v>
      </c>
      <c r="E43" s="145">
        <f t="shared" si="3"/>
        <v>0</v>
      </c>
      <c r="F43" s="309"/>
      <c r="G43" s="310"/>
      <c r="H43" s="188" t="s">
        <v>85</v>
      </c>
      <c r="I43" s="120">
        <f>+Report1!Z39</f>
        <v>98.5</v>
      </c>
      <c r="J43" s="135">
        <f>+I43+'30'!J43</f>
        <v>2738.2799999999997</v>
      </c>
      <c r="K43" s="132" t="s">
        <v>75</v>
      </c>
      <c r="L43" s="189"/>
    </row>
    <row r="44" spans="1:17" ht="17.45" customHeight="1">
      <c r="A44" s="793" t="s">
        <v>18</v>
      </c>
      <c r="B44" s="794"/>
      <c r="C44" s="166">
        <f>SUMIF($G$7:$G$31,"PLN",$F$7:$F$31)</f>
        <v>0</v>
      </c>
      <c r="D44" s="120">
        <f>C44+'30'!D44</f>
        <v>30</v>
      </c>
      <c r="E44" s="145">
        <f t="shared" si="3"/>
        <v>0.5</v>
      </c>
      <c r="F44" s="309"/>
      <c r="G44" s="310"/>
      <c r="H44" s="188" t="s">
        <v>86</v>
      </c>
      <c r="I44" s="120">
        <f>I43/I38</f>
        <v>1.8299706461561329</v>
      </c>
      <c r="J44" s="136">
        <f>J43/J38</f>
        <v>1.8973590741723629</v>
      </c>
      <c r="K44" s="132" t="s">
        <v>75</v>
      </c>
    </row>
    <row r="45" spans="1:17" ht="17.45" customHeight="1">
      <c r="A45" s="793" t="s">
        <v>19</v>
      </c>
      <c r="B45" s="794"/>
      <c r="C45" s="166">
        <f>SUMIF($G$7:$G$31,"Boiler",$F$7:$F$31)</f>
        <v>0</v>
      </c>
      <c r="D45" s="120">
        <f>C45+'30'!D45</f>
        <v>0</v>
      </c>
      <c r="E45" s="145">
        <f t="shared" si="3"/>
        <v>0</v>
      </c>
      <c r="F45" s="309"/>
      <c r="G45" s="312"/>
      <c r="H45" s="188" t="s">
        <v>87</v>
      </c>
      <c r="I45" s="120">
        <f>I43/I40</f>
        <v>1.8279669666883178</v>
      </c>
      <c r="J45" s="136">
        <f>J43/J40</f>
        <v>1.9761072790962506</v>
      </c>
      <c r="K45" s="132" t="s">
        <v>75</v>
      </c>
    </row>
    <row r="46" spans="1:17" ht="17.45" customHeight="1">
      <c r="A46" s="793" t="s">
        <v>88</v>
      </c>
      <c r="B46" s="794"/>
      <c r="C46" s="166">
        <f>SUMIF($G$7:$G$31,"Gas",$F$7:$F$31)</f>
        <v>0</v>
      </c>
      <c r="D46" s="120">
        <f>C46+'30'!D46</f>
        <v>0</v>
      </c>
      <c r="E46" s="145">
        <f t="shared" si="3"/>
        <v>0</v>
      </c>
      <c r="F46" s="309"/>
      <c r="G46" s="310"/>
      <c r="H46" s="188" t="s">
        <v>89</v>
      </c>
      <c r="I46" s="142">
        <f>+SUMIF(Listrik!X38,"&gt;0")</f>
        <v>37566.180000000124</v>
      </c>
      <c r="J46" s="137">
        <f>+I46+'30'!J46</f>
        <v>1228844.659999999</v>
      </c>
      <c r="K46" s="132" t="s">
        <v>90</v>
      </c>
    </row>
    <row r="47" spans="1:17" ht="17.45" customHeight="1">
      <c r="A47" s="793" t="s">
        <v>91</v>
      </c>
      <c r="B47" s="794"/>
      <c r="C47" s="166">
        <f>SUMIF($G$7:$G$31,"Gas",$F$7:$F$31)</f>
        <v>0</v>
      </c>
      <c r="D47" s="120">
        <f>C47+'30'!D47</f>
        <v>0</v>
      </c>
      <c r="E47" s="145">
        <f t="shared" si="3"/>
        <v>0</v>
      </c>
      <c r="F47" s="309"/>
      <c r="G47" s="310"/>
      <c r="H47" s="188" t="s">
        <v>92</v>
      </c>
      <c r="I47" s="120">
        <f>I46/I38</f>
        <v>697.91884962657696</v>
      </c>
      <c r="J47" s="137">
        <f>J46/J38</f>
        <v>851.46864688755363</v>
      </c>
      <c r="K47" s="132" t="s">
        <v>25</v>
      </c>
    </row>
    <row r="48" spans="1:17" ht="17.45" customHeight="1">
      <c r="A48" s="793" t="s">
        <v>15</v>
      </c>
      <c r="B48" s="794"/>
      <c r="C48" s="166">
        <f>SUMIF($G$7:$G$31,"Start Up",$F$7:$F$31)</f>
        <v>0</v>
      </c>
      <c r="D48" s="120">
        <f>C48+'30'!D48</f>
        <v>0</v>
      </c>
      <c r="E48" s="145">
        <f t="shared" si="3"/>
        <v>0</v>
      </c>
      <c r="F48" s="309"/>
      <c r="G48" s="310"/>
      <c r="H48" s="188" t="s">
        <v>93</v>
      </c>
      <c r="I48" s="120">
        <f>I46/I40</f>
        <v>697.15468126566066</v>
      </c>
      <c r="J48" s="137">
        <f>J46/J40</f>
        <v>886.80809760307761</v>
      </c>
      <c r="K48" s="132" t="s">
        <v>25</v>
      </c>
    </row>
    <row r="49" spans="1:11" ht="17.45" customHeight="1">
      <c r="A49" s="793" t="s">
        <v>21</v>
      </c>
      <c r="B49" s="794"/>
      <c r="C49" s="166">
        <f>SUMIF($G$7:$G$31,"Others",$F$7:$F$31)</f>
        <v>0</v>
      </c>
      <c r="D49" s="120">
        <f>C49+'30'!D49</f>
        <v>454</v>
      </c>
      <c r="E49" s="145">
        <f t="shared" si="3"/>
        <v>7.5666666666666664</v>
      </c>
      <c r="F49" s="185"/>
      <c r="H49" s="188" t="s">
        <v>280</v>
      </c>
      <c r="I49" s="120">
        <f>+Report1!T39</f>
        <v>4138.0038759689924</v>
      </c>
      <c r="J49" s="137">
        <f>+I49+'30'!J49</f>
        <v>114367.82571246242</v>
      </c>
      <c r="K49" s="132" t="s">
        <v>94</v>
      </c>
    </row>
    <row r="50" spans="1:11" ht="17.45" customHeight="1">
      <c r="A50" s="793" t="s">
        <v>20</v>
      </c>
      <c r="B50" s="794"/>
      <c r="C50" s="166">
        <f>SUMIF($G$7:$G$31,"Steam",$F$7:$F$31)</f>
        <v>0</v>
      </c>
      <c r="D50" s="120">
        <f>C50+'30'!D50</f>
        <v>0</v>
      </c>
      <c r="E50" s="145">
        <f t="shared" si="3"/>
        <v>0</v>
      </c>
      <c r="F50" s="185"/>
      <c r="H50" s="188" t="s">
        <v>95</v>
      </c>
      <c r="I50" s="142">
        <f>I49/I38</f>
        <v>76.877417529985379</v>
      </c>
      <c r="J50" s="135">
        <f>J49/J38</f>
        <v>79.245669511117882</v>
      </c>
      <c r="K50" s="132" t="s">
        <v>94</v>
      </c>
    </row>
    <row r="51" spans="1:11" ht="17.45" customHeight="1">
      <c r="A51" s="810" t="s">
        <v>96</v>
      </c>
      <c r="B51" s="810"/>
      <c r="C51" s="166">
        <f>SUMIF($G$7:$G$31,"Planned shut",$F$7:$F$31)</f>
        <v>0</v>
      </c>
      <c r="D51" s="120">
        <f>C51+'30'!D51</f>
        <v>0</v>
      </c>
      <c r="E51" s="145">
        <f t="shared" si="3"/>
        <v>0</v>
      </c>
      <c r="F51" s="185"/>
      <c r="H51" s="190" t="s">
        <v>97</v>
      </c>
      <c r="I51" s="143">
        <f>I49/I40</f>
        <v>76.793242571568939</v>
      </c>
      <c r="J51" s="138">
        <f>J49/J40</f>
        <v>82.534690712713214</v>
      </c>
      <c r="K51" s="139" t="s">
        <v>94</v>
      </c>
    </row>
    <row r="52" spans="1:11" ht="13.5" thickBot="1">
      <c r="A52" s="811" t="s">
        <v>230</v>
      </c>
      <c r="B52" s="812"/>
      <c r="C52" s="166">
        <f>SUMIF($G$7:$G$31,"Change Grade",$F$7:$F$31)</f>
        <v>0</v>
      </c>
      <c r="D52" s="120">
        <f>C52+'30'!D52</f>
        <v>0</v>
      </c>
      <c r="E52" s="145">
        <f t="shared" si="3"/>
        <v>0</v>
      </c>
      <c r="F52" s="185"/>
      <c r="H52" s="191"/>
      <c r="I52" s="192"/>
      <c r="J52" s="140"/>
      <c r="K52" s="141"/>
    </row>
    <row r="53" spans="1:11">
      <c r="A53" s="806" t="s">
        <v>29</v>
      </c>
      <c r="B53" s="807"/>
      <c r="C53" s="146">
        <f>SUM(C38:C52)</f>
        <v>25</v>
      </c>
      <c r="D53" s="146">
        <f>SUM(D38:D52)</f>
        <v>2380</v>
      </c>
      <c r="E53" s="147">
        <f>SUM(E38:E52)</f>
        <v>39.666666666666657</v>
      </c>
      <c r="F53" s="185"/>
    </row>
    <row r="54" spans="1:11" ht="13.5" thickBot="1">
      <c r="A54" s="808"/>
      <c r="B54" s="809"/>
      <c r="C54" s="148">
        <f>C53/(24*60)</f>
        <v>1.7361111111111112E-2</v>
      </c>
      <c r="D54" s="148">
        <f>D53/(24*60*G4)</f>
        <v>5.3315412186379925E-2</v>
      </c>
      <c r="E54" s="149">
        <f>E53/(G4*24)</f>
        <v>5.3315412186379918E-2</v>
      </c>
      <c r="F54" s="185"/>
    </row>
    <row r="55" spans="1:11">
      <c r="E55" s="193"/>
    </row>
    <row r="56" spans="1:11">
      <c r="A56" s="194" t="s">
        <v>98</v>
      </c>
      <c r="B56" s="195"/>
      <c r="C56" s="196"/>
      <c r="D56" s="196"/>
      <c r="E56" s="196"/>
      <c r="F56" s="197"/>
      <c r="G56" s="196"/>
      <c r="H56" s="198"/>
      <c r="I56" s="199" t="s">
        <v>99</v>
      </c>
      <c r="J56" s="200">
        <f>+D34+'30'!J56</f>
        <v>7504</v>
      </c>
      <c r="K56" s="201">
        <f>J56/(J40+J56/1000)/1000</f>
        <v>5.3861690872367037E-3</v>
      </c>
    </row>
    <row r="57" spans="1:11">
      <c r="A57" s="176"/>
      <c r="I57" s="199" t="s">
        <v>100</v>
      </c>
      <c r="J57" s="200">
        <f>+E34+'30'!J57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1406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30</v>
      </c>
      <c r="H4" s="156" t="str">
        <f>+'1'!H4</f>
        <v>.07.25</v>
      </c>
      <c r="J4" s="151">
        <f>481+410+369</f>
        <v>1260</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766</v>
      </c>
      <c r="O6" s="151">
        <v>1200</v>
      </c>
      <c r="P6" s="151">
        <f>+O6-O6*0.22</f>
        <v>936</v>
      </c>
      <c r="Q6" s="151">
        <v>480</v>
      </c>
      <c r="R6" s="151">
        <f>+O6*Q6</f>
        <v>576000</v>
      </c>
      <c r="S6" s="151">
        <f>+P6*Q6</f>
        <v>449280</v>
      </c>
    </row>
    <row r="7" spans="1:19" ht="13.5" customHeight="1" thickBot="1">
      <c r="A7" s="795" t="s">
        <v>803</v>
      </c>
      <c r="B7" s="215" t="s">
        <v>775</v>
      </c>
      <c r="C7" s="216">
        <v>15335</v>
      </c>
      <c r="D7" s="217"/>
      <c r="E7" s="218"/>
      <c r="F7" s="233"/>
      <c r="G7" s="555" t="s">
        <v>13</v>
      </c>
      <c r="H7" s="556" t="s">
        <v>461</v>
      </c>
      <c r="I7" s="798" t="s">
        <v>783</v>
      </c>
      <c r="J7" s="214" t="str">
        <f>+'29'!J7</f>
        <v>F 12 VP OW</v>
      </c>
      <c r="K7" s="235"/>
      <c r="L7" s="239"/>
      <c r="M7" s="119">
        <f>+K7+'29'!M7+L7</f>
        <v>473486</v>
      </c>
      <c r="O7" s="151">
        <v>1200</v>
      </c>
      <c r="P7" s="151">
        <f>+O7-O7*0.22</f>
        <v>936</v>
      </c>
      <c r="Q7" s="151">
        <v>480</v>
      </c>
      <c r="R7" s="151">
        <f>+O7*Q7</f>
        <v>576000</v>
      </c>
      <c r="S7" s="151">
        <f>+P7*Q7</f>
        <v>449280</v>
      </c>
    </row>
    <row r="8" spans="1:19" ht="13.5" thickBot="1">
      <c r="A8" s="796"/>
      <c r="B8" s="215"/>
      <c r="C8" s="216"/>
      <c r="D8" s="217"/>
      <c r="E8" s="219"/>
      <c r="F8" s="229">
        <v>1</v>
      </c>
      <c r="G8" s="557" t="s">
        <v>13</v>
      </c>
      <c r="H8" s="228" t="s">
        <v>501</v>
      </c>
      <c r="I8" s="799"/>
      <c r="J8" s="214" t="str">
        <f>+'29'!J8</f>
        <v>F 11,5 VP OW</v>
      </c>
      <c r="K8" s="236"/>
      <c r="L8" s="236"/>
      <c r="M8" s="119">
        <f>+K8+'29'!M8+L8</f>
        <v>226339</v>
      </c>
      <c r="O8" s="151">
        <v>1200</v>
      </c>
      <c r="P8" s="151">
        <f>+O8-O8*0.22</f>
        <v>936</v>
      </c>
      <c r="Q8" s="151">
        <v>480</v>
      </c>
      <c r="R8" s="151">
        <f>+O8*Q8</f>
        <v>576000</v>
      </c>
      <c r="S8" s="151">
        <f>+P8*Q8</f>
        <v>449280</v>
      </c>
    </row>
    <row r="9" spans="1:19" ht="13.5" thickBot="1">
      <c r="A9" s="796"/>
      <c r="B9" s="215"/>
      <c r="C9" s="216"/>
      <c r="D9" s="217"/>
      <c r="E9" s="220"/>
      <c r="F9" s="229">
        <v>7</v>
      </c>
      <c r="G9" s="557" t="s">
        <v>13</v>
      </c>
      <c r="H9" s="231" t="s">
        <v>480</v>
      </c>
      <c r="I9" s="799"/>
      <c r="J9" s="214" t="str">
        <f>+'29'!J9</f>
        <v>T 13 VP OW</v>
      </c>
      <c r="K9" s="236"/>
      <c r="L9" s="236"/>
      <c r="M9" s="119">
        <f>+K9+'29'!M9+L9</f>
        <v>113358</v>
      </c>
      <c r="P9" s="151">
        <f t="shared" ref="P9:P10" si="0">+O9-O9*0.23</f>
        <v>0</v>
      </c>
      <c r="R9" s="151">
        <f>+O9*Q9</f>
        <v>0</v>
      </c>
      <c r="S9" s="151">
        <f>+P9*Q9</f>
        <v>0</v>
      </c>
    </row>
    <row r="10" spans="1:19" ht="64.5" thickBot="1">
      <c r="A10" s="796"/>
      <c r="B10" s="215"/>
      <c r="C10" s="216"/>
      <c r="D10" s="217"/>
      <c r="E10" s="219"/>
      <c r="F10" s="229"/>
      <c r="G10" s="227"/>
      <c r="H10" s="558" t="s">
        <v>801</v>
      </c>
      <c r="I10" s="799"/>
      <c r="J10" s="214" t="str">
        <f>+'29'!J10</f>
        <v>F 13 VP OW</v>
      </c>
      <c r="K10" s="236"/>
      <c r="L10" s="236"/>
      <c r="M10" s="119">
        <f>+K10+'29'!M10+L10</f>
        <v>85076</v>
      </c>
      <c r="P10" s="151">
        <f t="shared" si="0"/>
        <v>0</v>
      </c>
      <c r="R10" s="151">
        <f>+O10*Q10</f>
        <v>0</v>
      </c>
      <c r="S10" s="151">
        <f>+P10*Q10</f>
        <v>0</v>
      </c>
    </row>
    <row r="11" spans="1:19" ht="64.5" thickBot="1">
      <c r="A11" s="796"/>
      <c r="B11" s="215"/>
      <c r="C11" s="216"/>
      <c r="D11" s="217"/>
      <c r="E11" s="219"/>
      <c r="F11" s="226"/>
      <c r="G11" s="230"/>
      <c r="H11" s="231" t="s">
        <v>802</v>
      </c>
      <c r="I11" s="799"/>
      <c r="J11" s="214" t="str">
        <f>+'29'!J11</f>
        <v xml:space="preserve">T 13 VP OW HB </v>
      </c>
      <c r="K11" s="236"/>
      <c r="L11" s="236"/>
      <c r="M11" s="119">
        <f>+K11+'29'!M11+L11</f>
        <v>10128</v>
      </c>
    </row>
    <row r="12" spans="1:19" ht="13.5" thickBot="1">
      <c r="A12" s="796"/>
      <c r="B12" s="215"/>
      <c r="C12" s="216"/>
      <c r="D12" s="217"/>
      <c r="E12" s="219"/>
      <c r="F12" s="226"/>
      <c r="G12" s="230"/>
      <c r="H12" s="231"/>
      <c r="I12" s="799"/>
      <c r="J12" s="214" t="str">
        <f>+'29'!J12</f>
        <v>TW 15 VP OW</v>
      </c>
      <c r="K12" s="236"/>
      <c r="L12" s="236"/>
      <c r="M12" s="119">
        <f>+K12+'29'!M12+L12</f>
        <v>51015</v>
      </c>
      <c r="Q12" s="151">
        <f>SUM(Q6:Q11)</f>
        <v>1440</v>
      </c>
      <c r="R12" s="151">
        <f>SUM(R6:R9)</f>
        <v>1728000</v>
      </c>
      <c r="S12" s="151">
        <f>SUM(S6:S9)</f>
        <v>1347840</v>
      </c>
    </row>
    <row r="13" spans="1:19" ht="13.5" thickBot="1">
      <c r="A13" s="796"/>
      <c r="B13" s="215"/>
      <c r="C13" s="216"/>
      <c r="D13" s="216"/>
      <c r="E13" s="219"/>
      <c r="F13" s="226"/>
      <c r="G13" s="230"/>
      <c r="H13" s="231"/>
      <c r="I13" s="800"/>
      <c r="J13" s="214" t="str">
        <f>+'29'!J13</f>
        <v>F 12,5 VP OW</v>
      </c>
      <c r="K13" s="236"/>
      <c r="L13" s="236"/>
      <c r="M13" s="119">
        <f>+K13+'29'!M13+L13</f>
        <v>10854</v>
      </c>
      <c r="P13" s="151" t="s">
        <v>424</v>
      </c>
      <c r="Q13" s="151">
        <f>480-Q12</f>
        <v>-960</v>
      </c>
      <c r="R13" s="151">
        <f>+R12/Q12</f>
        <v>1200</v>
      </c>
      <c r="S13" s="151">
        <f>+S12/Q12</f>
        <v>936</v>
      </c>
    </row>
    <row r="14" spans="1:19" ht="13.5" thickBot="1">
      <c r="A14" s="797"/>
      <c r="B14" s="167" t="s">
        <v>3</v>
      </c>
      <c r="C14" s="101">
        <f>SUM(C7:C13)</f>
        <v>15335</v>
      </c>
      <c r="D14" s="113">
        <f>SUM(D7:D13)</f>
        <v>0</v>
      </c>
      <c r="E14" s="114">
        <f>SUM(E5:E13)</f>
        <v>0</v>
      </c>
      <c r="F14" s="118">
        <f>SUM(F7:F13)</f>
        <v>8</v>
      </c>
      <c r="G14" s="161"/>
      <c r="H14" s="168"/>
      <c r="I14" s="169"/>
      <c r="J14" s="214" t="str">
        <f>+'29'!J14</f>
        <v>T 14,5 RC HW</v>
      </c>
      <c r="K14" s="236"/>
      <c r="L14" s="236"/>
      <c r="M14" s="119">
        <f>+K14+'29'!M14+L14</f>
        <v>30142</v>
      </c>
    </row>
    <row r="15" spans="1:19" ht="13.5" thickBot="1">
      <c r="A15" s="801" t="s">
        <v>804</v>
      </c>
      <c r="B15" s="518"/>
      <c r="C15" s="115">
        <f>C14/($C$23+$D$23+$E$23)</f>
        <v>0.62117713776481553</v>
      </c>
      <c r="D15" s="116">
        <f>D14/($C$23+$D$23+$E$23)</f>
        <v>0</v>
      </c>
      <c r="E15" s="117">
        <f>E14/($C$23+$D$23+$E$23)</f>
        <v>0</v>
      </c>
      <c r="F15" s="233"/>
      <c r="G15" s="555" t="s">
        <v>13</v>
      </c>
      <c r="H15" s="556" t="s">
        <v>461</v>
      </c>
      <c r="I15" s="798" t="s">
        <v>783</v>
      </c>
      <c r="J15" s="214" t="str">
        <f>+'29'!J15</f>
        <v>T 17 RC HW</v>
      </c>
      <c r="K15" s="236"/>
      <c r="L15" s="236"/>
      <c r="M15" s="119">
        <f>+K15+'29'!M15+L15</f>
        <v>41659</v>
      </c>
    </row>
    <row r="16" spans="1:19" ht="13.5" thickBot="1">
      <c r="A16" s="796"/>
      <c r="B16" s="517" t="s">
        <v>775</v>
      </c>
      <c r="C16" s="516">
        <v>24687</v>
      </c>
      <c r="D16" s="221"/>
      <c r="E16" s="222"/>
      <c r="F16" s="229">
        <v>2</v>
      </c>
      <c r="G16" s="557" t="s">
        <v>13</v>
      </c>
      <c r="H16" s="228" t="s">
        <v>462</v>
      </c>
      <c r="I16" s="799"/>
      <c r="J16" s="214" t="str">
        <f>+'29'!J16</f>
        <v>T 19 RC HW</v>
      </c>
      <c r="K16" s="227"/>
      <c r="L16" s="227"/>
      <c r="M16" s="119">
        <f>+K16+'29'!M16+L16</f>
        <v>15992</v>
      </c>
    </row>
    <row r="17" spans="1:14" ht="13.5" thickBot="1">
      <c r="A17" s="796"/>
      <c r="B17" s="215"/>
      <c r="C17" s="216"/>
      <c r="D17" s="217"/>
      <c r="E17" s="223"/>
      <c r="F17" s="229">
        <v>3</v>
      </c>
      <c r="G17" s="557" t="s">
        <v>13</v>
      </c>
      <c r="H17" s="231" t="s">
        <v>400</v>
      </c>
      <c r="I17" s="799"/>
      <c r="J17" s="214" t="str">
        <f>+'29'!J17</f>
        <v>T 20 RC HW</v>
      </c>
      <c r="K17" s="227"/>
      <c r="L17" s="227"/>
      <c r="M17" s="119">
        <f>+K17+'29'!M17+L17</f>
        <v>25912</v>
      </c>
    </row>
    <row r="18" spans="1:14" ht="64.5" thickBot="1">
      <c r="A18" s="796"/>
      <c r="B18" s="215"/>
      <c r="C18" s="216"/>
      <c r="D18" s="217"/>
      <c r="E18" s="223"/>
      <c r="F18" s="229"/>
      <c r="G18" s="227"/>
      <c r="H18" s="558" t="s">
        <v>799</v>
      </c>
      <c r="I18" s="799"/>
      <c r="J18" s="214" t="str">
        <f>+'29'!J18</f>
        <v>T 15,5 RC HW</v>
      </c>
      <c r="K18" s="236">
        <f>+C34</f>
        <v>50342</v>
      </c>
      <c r="L18" s="236"/>
      <c r="M18" s="119">
        <f>+K18+'29'!M18+L18</f>
        <v>247848</v>
      </c>
    </row>
    <row r="19" spans="1:14" ht="39" thickBot="1">
      <c r="A19" s="796"/>
      <c r="B19" s="215"/>
      <c r="C19" s="216"/>
      <c r="D19" s="217"/>
      <c r="E19" s="223"/>
      <c r="F19" s="232"/>
      <c r="G19" s="230"/>
      <c r="H19" s="231" t="s">
        <v>800</v>
      </c>
      <c r="I19" s="799"/>
      <c r="J19" s="214">
        <f>+'29'!J19</f>
        <v>0</v>
      </c>
      <c r="K19" s="236"/>
      <c r="L19" s="236"/>
      <c r="M19" s="119">
        <f>+K19+'29'!M19+L19</f>
        <v>0</v>
      </c>
    </row>
    <row r="20" spans="1:14" ht="13.5" thickBot="1">
      <c r="A20" s="796"/>
      <c r="B20" s="215"/>
      <c r="C20" s="216"/>
      <c r="D20" s="217"/>
      <c r="E20" s="223"/>
      <c r="F20" s="226"/>
      <c r="G20" s="230"/>
      <c r="H20" s="231"/>
      <c r="I20" s="799"/>
      <c r="J20" s="214">
        <f>+'29'!J20</f>
        <v>0</v>
      </c>
      <c r="K20" s="237"/>
      <c r="L20" s="237"/>
      <c r="M20" s="119">
        <f>+K20+'29'!M20+L20</f>
        <v>0</v>
      </c>
    </row>
    <row r="21" spans="1:14" ht="13.5" thickBot="1">
      <c r="A21" s="796"/>
      <c r="B21" s="215"/>
      <c r="C21" s="216"/>
      <c r="D21" s="217"/>
      <c r="E21" s="223"/>
      <c r="F21" s="229"/>
      <c r="G21" s="230"/>
      <c r="H21" s="231"/>
      <c r="I21" s="799"/>
      <c r="J21" s="214">
        <f>+'29'!J21</f>
        <v>0</v>
      </c>
      <c r="K21" s="236"/>
      <c r="L21" s="236"/>
      <c r="M21" s="119">
        <f>+K21+'29'!M21+L21</f>
        <v>0</v>
      </c>
    </row>
    <row r="22" spans="1:14" ht="13.5" thickBot="1">
      <c r="A22" s="796"/>
      <c r="B22" s="215"/>
      <c r="C22" s="216"/>
      <c r="D22" s="217"/>
      <c r="E22" s="223"/>
      <c r="F22" s="233"/>
      <c r="G22" s="230"/>
      <c r="H22" s="231"/>
      <c r="I22" s="800"/>
      <c r="J22" s="214">
        <f>+'29'!J22</f>
        <v>0</v>
      </c>
      <c r="K22" s="236"/>
      <c r="L22" s="236"/>
      <c r="M22" s="119">
        <f>+K22+'29'!M22+L22</f>
        <v>0</v>
      </c>
    </row>
    <row r="23" spans="1:14" ht="13.5" thickBot="1">
      <c r="A23" s="797"/>
      <c r="B23" s="167" t="s">
        <v>3</v>
      </c>
      <c r="C23" s="101">
        <f>SUM(C16:C22)</f>
        <v>24687</v>
      </c>
      <c r="D23" s="113">
        <f>SUM(D16:D22)</f>
        <v>0</v>
      </c>
      <c r="E23" s="114">
        <f>SUM(E18:E22)</f>
        <v>0</v>
      </c>
      <c r="F23" s="118">
        <f>SUM(F15:F22)</f>
        <v>5</v>
      </c>
      <c r="G23" s="161"/>
      <c r="H23" s="168"/>
      <c r="I23" s="170"/>
      <c r="J23" s="214">
        <f>+'29'!J23</f>
        <v>0</v>
      </c>
      <c r="K23" s="236"/>
      <c r="L23" s="236"/>
      <c r="M23" s="119">
        <f>+K23+'29'!M23+L23</f>
        <v>0</v>
      </c>
    </row>
    <row r="24" spans="1:14" ht="13.5" thickBot="1">
      <c r="A24" s="801" t="s">
        <v>470</v>
      </c>
      <c r="B24" s="518"/>
      <c r="C24" s="115">
        <f>C23/($C$23+$D$23+$E$23)</f>
        <v>1</v>
      </c>
      <c r="D24" s="116">
        <f>D23/($C$23+$D$23+$E$23)</f>
        <v>0</v>
      </c>
      <c r="E24" s="117">
        <f>E23/($C$23+$D$23+$E$23)</f>
        <v>0</v>
      </c>
      <c r="F24" s="233"/>
      <c r="G24" s="555" t="s">
        <v>13</v>
      </c>
      <c r="H24" s="556" t="s">
        <v>461</v>
      </c>
      <c r="I24" s="798" t="s">
        <v>783</v>
      </c>
      <c r="J24" s="214">
        <f>+'29'!J24</f>
        <v>0</v>
      </c>
      <c r="K24" s="236"/>
      <c r="L24" s="236"/>
      <c r="M24" s="119">
        <f>+K24+'29'!M24+L24</f>
        <v>0</v>
      </c>
    </row>
    <row r="25" spans="1:14" ht="13.5" thickBot="1">
      <c r="A25" s="796"/>
      <c r="B25" s="517" t="s">
        <v>775</v>
      </c>
      <c r="C25" s="224">
        <v>10320</v>
      </c>
      <c r="D25" s="217"/>
      <c r="E25" s="223"/>
      <c r="F25" s="229">
        <v>1</v>
      </c>
      <c r="G25" s="557" t="s">
        <v>13</v>
      </c>
      <c r="H25" s="228" t="s">
        <v>501</v>
      </c>
      <c r="I25" s="799"/>
      <c r="J25" s="214">
        <f>+'29'!J25</f>
        <v>0</v>
      </c>
      <c r="K25" s="236"/>
      <c r="L25" s="236"/>
      <c r="M25" s="119">
        <f>+K25+'29'!M25+L25</f>
        <v>0</v>
      </c>
    </row>
    <row r="26" spans="1:14" ht="13.5" thickBot="1">
      <c r="A26" s="796"/>
      <c r="B26" s="215"/>
      <c r="C26" s="224"/>
      <c r="D26" s="217"/>
      <c r="E26" s="225"/>
      <c r="F26" s="229">
        <v>5</v>
      </c>
      <c r="G26" s="557" t="s">
        <v>13</v>
      </c>
      <c r="H26" s="231" t="s">
        <v>480</v>
      </c>
      <c r="I26" s="799"/>
      <c r="J26" s="214">
        <f>+'29'!J26</f>
        <v>0</v>
      </c>
      <c r="K26" s="236"/>
      <c r="L26" s="236"/>
      <c r="M26" s="119">
        <f>+K26+'29'!M26+L26</f>
        <v>0</v>
      </c>
    </row>
    <row r="27" spans="1:14" ht="77.25" thickBot="1">
      <c r="A27" s="796"/>
      <c r="B27" s="215"/>
      <c r="C27" s="216"/>
      <c r="D27" s="217"/>
      <c r="E27" s="223"/>
      <c r="F27" s="229"/>
      <c r="G27" s="227"/>
      <c r="H27" s="558" t="s">
        <v>797</v>
      </c>
      <c r="I27" s="799"/>
      <c r="J27" s="214">
        <f>+'29'!J27</f>
        <v>0</v>
      </c>
      <c r="K27" s="236"/>
      <c r="L27" s="236"/>
      <c r="M27" s="119">
        <f>+K27+'29'!M27+L27</f>
        <v>0</v>
      </c>
    </row>
    <row r="28" spans="1:14" ht="26.25" thickBot="1">
      <c r="A28" s="796"/>
      <c r="B28" s="215"/>
      <c r="C28" s="216"/>
      <c r="D28" s="217"/>
      <c r="E28" s="223"/>
      <c r="F28" s="229"/>
      <c r="G28" s="227"/>
      <c r="H28" s="231" t="s">
        <v>798</v>
      </c>
      <c r="I28" s="799"/>
      <c r="J28" s="214">
        <f>+'29'!J28</f>
        <v>0</v>
      </c>
      <c r="K28" s="236"/>
      <c r="L28" s="236"/>
      <c r="M28" s="119">
        <f>+K28+'29'!M28+L28</f>
        <v>0</v>
      </c>
    </row>
    <row r="29" spans="1:14" ht="13.5" thickBot="1">
      <c r="A29" s="796"/>
      <c r="B29" s="215"/>
      <c r="C29" s="216"/>
      <c r="D29" s="217"/>
      <c r="E29" s="223"/>
      <c r="F29" s="233"/>
      <c r="G29" s="230"/>
      <c r="H29" s="231"/>
      <c r="I29" s="799"/>
      <c r="J29" s="214">
        <f>+'29'!J29</f>
        <v>0</v>
      </c>
      <c r="K29" s="236"/>
      <c r="L29" s="236"/>
      <c r="M29" s="119">
        <f>+K29+'29'!M29+L29</f>
        <v>0</v>
      </c>
    </row>
    <row r="30" spans="1:14" ht="13.5" thickBot="1">
      <c r="A30" s="796"/>
      <c r="B30" s="215"/>
      <c r="C30" s="224"/>
      <c r="D30" s="217"/>
      <c r="E30" s="223"/>
      <c r="F30" s="233"/>
      <c r="G30" s="230"/>
      <c r="H30" s="231"/>
      <c r="I30" s="799"/>
      <c r="J30" s="214">
        <f>+'29'!J30</f>
        <v>0</v>
      </c>
      <c r="K30" s="236"/>
      <c r="L30" s="236"/>
      <c r="M30" s="119">
        <f>+K30+'29'!M30+L30</f>
        <v>0</v>
      </c>
      <c r="N30" s="157"/>
    </row>
    <row r="31" spans="1:14" ht="13.5" thickBot="1">
      <c r="A31" s="796"/>
      <c r="B31" s="215"/>
      <c r="C31" s="224"/>
      <c r="D31" s="217"/>
      <c r="E31" s="223"/>
      <c r="F31" s="233"/>
      <c r="G31" s="234"/>
      <c r="H31" s="409"/>
      <c r="I31" s="800"/>
      <c r="J31" s="214">
        <f>+'29'!J31</f>
        <v>0</v>
      </c>
      <c r="K31" s="236"/>
      <c r="L31" s="236"/>
      <c r="M31" s="119">
        <f>+K31+'29'!M31+L31</f>
        <v>0</v>
      </c>
    </row>
    <row r="32" spans="1:14" ht="13.5" thickBot="1">
      <c r="A32" s="797"/>
      <c r="B32" s="167" t="s">
        <v>3</v>
      </c>
      <c r="C32" s="101">
        <f>SUM(C25:C31)</f>
        <v>10320</v>
      </c>
      <c r="D32" s="102">
        <f>SUM(D25:D31)</f>
        <v>0</v>
      </c>
      <c r="E32" s="103">
        <f>SUM(E25:E31)</f>
        <v>0</v>
      </c>
      <c r="F32" s="101">
        <f>SUM(F24:F31)</f>
        <v>6</v>
      </c>
      <c r="G32" s="171"/>
      <c r="H32" s="172"/>
      <c r="I32" s="170"/>
      <c r="J32" s="214">
        <f>+'29'!J32</f>
        <v>0</v>
      </c>
      <c r="K32" s="238"/>
      <c r="L32" s="240"/>
      <c r="M32" s="119">
        <f>+K32+'29'!M32+L32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50342</v>
      </c>
      <c r="D34" s="109">
        <f>D14+D23+D32</f>
        <v>0</v>
      </c>
      <c r="E34" s="109">
        <f>E14+E23+E32</f>
        <v>0</v>
      </c>
      <c r="F34" s="110">
        <f>F14+F23+F32</f>
        <v>19</v>
      </c>
      <c r="H34" s="178"/>
      <c r="I34" s="178"/>
      <c r="J34" s="125" t="s">
        <v>29</v>
      </c>
      <c r="K34" s="126">
        <f>SUM(K7:K32)</f>
        <v>50342</v>
      </c>
      <c r="L34" s="212">
        <f>SUM(L7:L32)</f>
        <v>0</v>
      </c>
      <c r="M34" s="122">
        <f>SUM(M7:M32)</f>
        <v>1331809</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(15.5*1440)/1440*G42*2.74*1440/1000000</f>
        <v>57.242764800000003</v>
      </c>
      <c r="J37" s="127">
        <f>+I37+'29'!J37</f>
        <v>1517.3727617864074</v>
      </c>
      <c r="K37" s="128" t="s">
        <v>75</v>
      </c>
    </row>
    <row r="38" spans="1:14" ht="17.45" customHeight="1">
      <c r="A38" s="806" t="s">
        <v>13</v>
      </c>
      <c r="B38" s="807"/>
      <c r="C38" s="166">
        <f>SUMIF($G$7:$G$31,"Process",$F$7:$F$31)</f>
        <v>19</v>
      </c>
      <c r="D38" s="120">
        <f>C38+'29'!D38</f>
        <v>1739</v>
      </c>
      <c r="E38" s="145">
        <f t="shared" ref="E38:E52" si="1">D38/60</f>
        <v>28.983333333333334</v>
      </c>
      <c r="F38" s="309">
        <v>1200</v>
      </c>
      <c r="G38" s="309">
        <v>936</v>
      </c>
      <c r="H38" s="187" t="s">
        <v>76</v>
      </c>
      <c r="I38" s="242">
        <f>17.954+19.042+18.141</f>
        <v>55.137</v>
      </c>
      <c r="J38" s="129">
        <f>+I38+'29'!J38</f>
        <v>1389.3800000000003</v>
      </c>
      <c r="K38" s="130" t="s">
        <v>75</v>
      </c>
    </row>
    <row r="39" spans="1:14" ht="17.45" customHeight="1">
      <c r="A39" s="793" t="s">
        <v>14</v>
      </c>
      <c r="B39" s="794"/>
      <c r="C39" s="166">
        <f>SUMIF($G$7:$G$31,"Cleaning",$F$7:$F$31)</f>
        <v>0</v>
      </c>
      <c r="D39" s="120">
        <f>C39+'29'!D39</f>
        <v>0</v>
      </c>
      <c r="E39" s="145">
        <f t="shared" si="1"/>
        <v>0</v>
      </c>
      <c r="F39" s="309">
        <v>1200</v>
      </c>
      <c r="G39" s="309">
        <v>936</v>
      </c>
      <c r="H39" s="187" t="s">
        <v>77</v>
      </c>
      <c r="I39" s="144"/>
      <c r="J39" s="131">
        <f>J37/G4</f>
        <v>50.579092059546916</v>
      </c>
      <c r="K39" s="132" t="s">
        <v>75</v>
      </c>
    </row>
    <row r="40" spans="1:14" ht="17.45" customHeight="1">
      <c r="A40" s="793" t="s">
        <v>78</v>
      </c>
      <c r="B40" s="794"/>
      <c r="C40" s="166">
        <f>SUMIF($G$7:$G$31,"Mechanical",$F$7:$F$31)</f>
        <v>0</v>
      </c>
      <c r="D40" s="120">
        <f>C40+'29'!D40</f>
        <v>73</v>
      </c>
      <c r="E40" s="145">
        <f t="shared" si="1"/>
        <v>1.2166666666666666</v>
      </c>
      <c r="F40" s="309">
        <v>1200</v>
      </c>
      <c r="G40" s="309">
        <v>936</v>
      </c>
      <c r="H40" s="187" t="s">
        <v>79</v>
      </c>
      <c r="I40" s="120">
        <f>(K34+L34)/1000</f>
        <v>50.341999999999999</v>
      </c>
      <c r="J40" s="133">
        <f>+I40+'29'!J40</f>
        <v>1331.809</v>
      </c>
      <c r="K40" s="132" t="s">
        <v>75</v>
      </c>
    </row>
    <row r="41" spans="1:14" ht="17.45" customHeight="1">
      <c r="A41" s="793" t="s">
        <v>80</v>
      </c>
      <c r="B41" s="794"/>
      <c r="C41" s="166">
        <f>SUMIF($G$7:$G$31,"Electrical",$F$7:$F$31)</f>
        <v>0</v>
      </c>
      <c r="D41" s="120">
        <f>C41+'29'!D41</f>
        <v>59</v>
      </c>
      <c r="E41" s="145">
        <f t="shared" si="1"/>
        <v>0.98333333333333328</v>
      </c>
      <c r="F41" s="309"/>
      <c r="G41" s="309"/>
      <c r="H41" s="187" t="s">
        <v>81</v>
      </c>
      <c r="I41" s="144"/>
      <c r="J41" s="131">
        <f>J40/G4</f>
        <v>44.393633333333334</v>
      </c>
      <c r="K41" s="132" t="s">
        <v>75</v>
      </c>
    </row>
    <row r="42" spans="1:14" ht="17.45" customHeight="1">
      <c r="A42" s="793" t="s">
        <v>17</v>
      </c>
      <c r="B42" s="794"/>
      <c r="C42" s="166">
        <f>SUMIF($G$7:$G$31,"Instrument",$F$7:$F$31)</f>
        <v>0</v>
      </c>
      <c r="D42" s="120">
        <f>C42+'29'!D42</f>
        <v>0</v>
      </c>
      <c r="E42" s="145">
        <f t="shared" si="1"/>
        <v>0</v>
      </c>
      <c r="F42" s="185">
        <f>+(F38*480+F39*480+F40*480)/1440</f>
        <v>1200</v>
      </c>
      <c r="G42" s="185">
        <f>+(G38*480+G39*480+G40*480)/1440</f>
        <v>936</v>
      </c>
      <c r="H42" s="187" t="s">
        <v>82</v>
      </c>
      <c r="I42" s="243" t="s">
        <v>783</v>
      </c>
      <c r="J42" s="134"/>
      <c r="K42" s="132" t="s">
        <v>83</v>
      </c>
    </row>
    <row r="43" spans="1:14" ht="17.45" customHeight="1">
      <c r="A43" s="793" t="s">
        <v>84</v>
      </c>
      <c r="B43" s="794"/>
      <c r="C43" s="166">
        <f>SUMIF($G$7:$G$31,"Water",$F$7:$F$31)</f>
        <v>0</v>
      </c>
      <c r="D43" s="120">
        <f>C43+'29'!D43</f>
        <v>0</v>
      </c>
      <c r="E43" s="145">
        <f t="shared" si="1"/>
        <v>0</v>
      </c>
      <c r="F43" s="309"/>
      <c r="G43" s="310"/>
      <c r="H43" s="188" t="s">
        <v>85</v>
      </c>
      <c r="I43" s="120">
        <f>+Report1!Z38</f>
        <v>99.2</v>
      </c>
      <c r="J43" s="135">
        <f>+I43+'29'!J43</f>
        <v>2639.7799999999997</v>
      </c>
      <c r="K43" s="132" t="s">
        <v>75</v>
      </c>
      <c r="L43" s="189"/>
    </row>
    <row r="44" spans="1:14" ht="17.45" customHeight="1">
      <c r="A44" s="793" t="s">
        <v>18</v>
      </c>
      <c r="B44" s="794"/>
      <c r="C44" s="166">
        <f>SUMIF($G$7:$G$31,"PLN",$F$7:$F$31)</f>
        <v>0</v>
      </c>
      <c r="D44" s="120">
        <f>C44+'29'!D44</f>
        <v>30</v>
      </c>
      <c r="E44" s="145">
        <f t="shared" si="1"/>
        <v>0.5</v>
      </c>
      <c r="F44" s="309"/>
      <c r="G44" s="310"/>
      <c r="H44" s="188" t="s">
        <v>86</v>
      </c>
      <c r="I44" s="120">
        <f>I43/I38</f>
        <v>1.7991548325081161</v>
      </c>
      <c r="J44" s="136">
        <f>J43/J38</f>
        <v>1.8999697706890837</v>
      </c>
      <c r="K44" s="132" t="s">
        <v>75</v>
      </c>
    </row>
    <row r="45" spans="1:14" ht="17.45" customHeight="1">
      <c r="A45" s="793" t="s">
        <v>19</v>
      </c>
      <c r="B45" s="794"/>
      <c r="C45" s="166">
        <f>SUMIF($G$7:$G$31,"Boiler",$F$7:$F$31)</f>
        <v>0</v>
      </c>
      <c r="D45" s="120">
        <f>C45+'29'!D45</f>
        <v>0</v>
      </c>
      <c r="E45" s="145">
        <f t="shared" si="1"/>
        <v>0</v>
      </c>
      <c r="F45" s="309"/>
      <c r="G45" s="312"/>
      <c r="H45" s="188" t="s">
        <v>87</v>
      </c>
      <c r="I45" s="120">
        <f>I43/I40</f>
        <v>1.9705216320368679</v>
      </c>
      <c r="J45" s="136">
        <f>J43/J40</f>
        <v>1.9821010370105623</v>
      </c>
      <c r="K45" s="132" t="s">
        <v>75</v>
      </c>
    </row>
    <row r="46" spans="1:14" ht="17.45" customHeight="1">
      <c r="A46" s="793" t="s">
        <v>88</v>
      </c>
      <c r="B46" s="794"/>
      <c r="C46" s="166">
        <f>SUMIF($G$7:$G$31,"Gas",$F$7:$F$31)</f>
        <v>0</v>
      </c>
      <c r="D46" s="120">
        <f>C46+'29'!D46</f>
        <v>0</v>
      </c>
      <c r="E46" s="145">
        <f t="shared" si="1"/>
        <v>0</v>
      </c>
      <c r="F46" s="309"/>
      <c r="G46" s="310"/>
      <c r="H46" s="188" t="s">
        <v>89</v>
      </c>
      <c r="I46" s="142">
        <f>+SUMIF(Listrik!X37,"&gt;0")</f>
        <v>36230.159999999349</v>
      </c>
      <c r="J46" s="137">
        <f>+I46+'29'!J46</f>
        <v>1191278.4799999988</v>
      </c>
      <c r="K46" s="132" t="s">
        <v>90</v>
      </c>
    </row>
    <row r="47" spans="1:14" ht="17.45" customHeight="1">
      <c r="A47" s="793" t="s">
        <v>91</v>
      </c>
      <c r="B47" s="794"/>
      <c r="C47" s="166">
        <f>SUMIF($G$7:$G$31,"Gas",$F$7:$F$31)</f>
        <v>0</v>
      </c>
      <c r="D47" s="120">
        <f>C47+'29'!D47</f>
        <v>0</v>
      </c>
      <c r="E47" s="145">
        <f t="shared" si="1"/>
        <v>0</v>
      </c>
      <c r="F47" s="309"/>
      <c r="G47" s="310"/>
      <c r="H47" s="188" t="s">
        <v>92</v>
      </c>
      <c r="I47" s="120">
        <f>I46/I38</f>
        <v>657.09342184013178</v>
      </c>
      <c r="J47" s="137">
        <f>J46/J38</f>
        <v>857.41732283464466</v>
      </c>
      <c r="K47" s="132" t="s">
        <v>25</v>
      </c>
    </row>
    <row r="48" spans="1:14" ht="17.45" customHeight="1">
      <c r="A48" s="793" t="s">
        <v>15</v>
      </c>
      <c r="B48" s="794"/>
      <c r="C48" s="166">
        <f>SUMIF($G$7:$G$31,"Start Up",$F$7:$F$31)</f>
        <v>0</v>
      </c>
      <c r="D48" s="120">
        <f>C48+'29'!D48</f>
        <v>0</v>
      </c>
      <c r="E48" s="145">
        <f t="shared" si="1"/>
        <v>0</v>
      </c>
      <c r="F48" s="309"/>
      <c r="G48" s="310"/>
      <c r="H48" s="188" t="s">
        <v>93</v>
      </c>
      <c r="I48" s="120">
        <f>I46/I40</f>
        <v>719.68058479995534</v>
      </c>
      <c r="J48" s="137">
        <f>J46/J40</f>
        <v>894.481475947376</v>
      </c>
      <c r="K48" s="132" t="s">
        <v>25</v>
      </c>
    </row>
    <row r="49" spans="1:11" ht="17.45" customHeight="1">
      <c r="A49" s="793" t="s">
        <v>21</v>
      </c>
      <c r="B49" s="794"/>
      <c r="C49" s="166">
        <f>SUMIF($G$7:$G$31,"Others",$F$7:$F$31)</f>
        <v>0</v>
      </c>
      <c r="D49" s="120">
        <f>C49+'29'!D49</f>
        <v>454</v>
      </c>
      <c r="E49" s="145">
        <f t="shared" si="1"/>
        <v>7.5666666666666664</v>
      </c>
      <c r="F49" s="185"/>
      <c r="H49" s="188" t="s">
        <v>280</v>
      </c>
      <c r="I49" s="120">
        <f>+Report1!T38</f>
        <v>4150.1940619798897</v>
      </c>
      <c r="J49" s="137">
        <f>+I49+'29'!J49</f>
        <v>110229.82183649343</v>
      </c>
      <c r="K49" s="132" t="s">
        <v>94</v>
      </c>
    </row>
    <row r="50" spans="1:11" ht="17.45" customHeight="1">
      <c r="A50" s="793" t="s">
        <v>20</v>
      </c>
      <c r="B50" s="794"/>
      <c r="C50" s="166">
        <f>SUMIF($G$7:$G$31,"Steam",$F$7:$F$31)</f>
        <v>0</v>
      </c>
      <c r="D50" s="120">
        <f>C50+'29'!D50</f>
        <v>0</v>
      </c>
      <c r="E50" s="145">
        <f t="shared" si="1"/>
        <v>0</v>
      </c>
      <c r="F50" s="185"/>
      <c r="H50" s="188" t="s">
        <v>95</v>
      </c>
      <c r="I50" s="142">
        <f>I49/I38</f>
        <v>75.27058167800007</v>
      </c>
      <c r="J50" s="135">
        <f>J49/J38</f>
        <v>79.337418011266465</v>
      </c>
      <c r="K50" s="132" t="s">
        <v>94</v>
      </c>
    </row>
    <row r="51" spans="1:11" ht="17.45" customHeight="1">
      <c r="A51" s="810" t="s">
        <v>96</v>
      </c>
      <c r="B51" s="810"/>
      <c r="C51" s="166">
        <f>SUMIF($G$7:$G$31,"Planned shut",$F$7:$F$31)</f>
        <v>0</v>
      </c>
      <c r="D51" s="120">
        <f>C51+'29'!D51</f>
        <v>0</v>
      </c>
      <c r="E51" s="145">
        <f t="shared" si="1"/>
        <v>0</v>
      </c>
      <c r="F51" s="185"/>
      <c r="H51" s="190" t="s">
        <v>97</v>
      </c>
      <c r="I51" s="143">
        <f>I49/I40</f>
        <v>82.439991696394458</v>
      </c>
      <c r="J51" s="138">
        <f>J49/J40</f>
        <v>82.766989738388489</v>
      </c>
      <c r="K51" s="139" t="s">
        <v>94</v>
      </c>
    </row>
    <row r="52" spans="1:11" ht="13.5" thickBot="1">
      <c r="A52" s="811" t="s">
        <v>230</v>
      </c>
      <c r="B52" s="812"/>
      <c r="C52" s="166">
        <f>SUMIF($G$7:$G$31,"Change Grade",$F$7:$F$31)</f>
        <v>0</v>
      </c>
      <c r="D52" s="120">
        <f>C52+'29'!D52</f>
        <v>0</v>
      </c>
      <c r="E52" s="145">
        <f t="shared" si="1"/>
        <v>0</v>
      </c>
      <c r="F52" s="185"/>
      <c r="H52" s="191"/>
      <c r="I52" s="192"/>
      <c r="J52" s="140"/>
      <c r="K52" s="141"/>
    </row>
    <row r="53" spans="1:11">
      <c r="A53" s="806" t="s">
        <v>29</v>
      </c>
      <c r="B53" s="807"/>
      <c r="C53" s="146">
        <f>SUM(C38:C52)</f>
        <v>19</v>
      </c>
      <c r="D53" s="146">
        <f>SUM(D38:D52)</f>
        <v>2355</v>
      </c>
      <c r="E53" s="147">
        <f>SUM(E38:E52)</f>
        <v>39.25</v>
      </c>
      <c r="F53" s="185"/>
    </row>
    <row r="54" spans="1:11" ht="13.5" thickBot="1">
      <c r="A54" s="808"/>
      <c r="B54" s="809"/>
      <c r="C54" s="148">
        <f>C53/(24*60)</f>
        <v>1.3194444444444444E-2</v>
      </c>
      <c r="D54" s="148">
        <f>D53/(24*60*G4)</f>
        <v>5.451388888888889E-2</v>
      </c>
      <c r="E54" s="149">
        <f>E53/(G4*24)</f>
        <v>5.451388888888889E-2</v>
      </c>
      <c r="F54" s="185"/>
    </row>
    <row r="55" spans="1:11">
      <c r="E55" s="193"/>
    </row>
    <row r="56" spans="1:11">
      <c r="A56" s="194" t="s">
        <v>98</v>
      </c>
      <c r="B56" s="195"/>
      <c r="C56" s="196"/>
      <c r="D56" s="196"/>
      <c r="E56" s="196"/>
      <c r="F56" s="197"/>
      <c r="G56" s="196"/>
      <c r="H56" s="198"/>
      <c r="I56" s="199" t="s">
        <v>99</v>
      </c>
      <c r="J56" s="200">
        <f>+D34+'29'!J56</f>
        <v>6898</v>
      </c>
      <c r="K56" s="201">
        <f>J56/(J40+J56/1000)/1000</f>
        <v>5.1527331970326598E-3</v>
      </c>
    </row>
    <row r="57" spans="1:11">
      <c r="A57" s="176"/>
      <c r="I57" s="199" t="s">
        <v>100</v>
      </c>
      <c r="J57" s="200">
        <f>+E34+'29'!J57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5625" right="0.19513888888888889" top="0.39027777777777778" bottom="0.39027777777777778" header="0" footer="0"/>
  <pageSetup paperSize="9" scale="46"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zoomScale="80" zoomScaleNormal="80" zoomScaleSheetLayoutView="80" workbookViewId="0">
      <selection activeCell="H12" sqref="H1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1406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29</v>
      </c>
      <c r="H4" s="156" t="str">
        <f>+'1'!H4</f>
        <v>.07.25</v>
      </c>
      <c r="J4" s="151">
        <f>334+353+359</f>
        <v>1046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766</v>
      </c>
      <c r="O6" s="151">
        <v>1200</v>
      </c>
      <c r="P6" s="151">
        <f>+O6-O6*0.22</f>
        <v>936</v>
      </c>
      <c r="Q6" s="151">
        <v>480</v>
      </c>
      <c r="R6" s="151">
        <f>+O6*Q6</f>
        <v>576000</v>
      </c>
      <c r="S6" s="151">
        <f>+P6*Q6</f>
        <v>449280</v>
      </c>
    </row>
    <row r="7" spans="1:19" ht="13.5" customHeight="1" thickBot="1">
      <c r="A7" s="795" t="s">
        <v>396</v>
      </c>
      <c r="B7" s="215" t="s">
        <v>775</v>
      </c>
      <c r="C7" s="216">
        <v>17455</v>
      </c>
      <c r="D7" s="217"/>
      <c r="E7" s="218"/>
      <c r="F7" s="233"/>
      <c r="G7" s="555" t="s">
        <v>13</v>
      </c>
      <c r="H7" s="556" t="s">
        <v>461</v>
      </c>
      <c r="I7" s="798" t="s">
        <v>783</v>
      </c>
      <c r="J7" s="214" t="str">
        <f>+'28'!J7</f>
        <v>F 12 VP OW</v>
      </c>
      <c r="K7" s="235"/>
      <c r="L7" s="239"/>
      <c r="M7" s="119">
        <f>+K7+'28'!M7+L7</f>
        <v>473486</v>
      </c>
      <c r="P7" s="151">
        <f>+O7-O7*0.22</f>
        <v>0</v>
      </c>
      <c r="R7" s="151">
        <f>+O7*Q7</f>
        <v>0</v>
      </c>
      <c r="S7" s="151">
        <f>+P7*Q7</f>
        <v>0</v>
      </c>
    </row>
    <row r="8" spans="1:19" ht="13.5" thickBot="1">
      <c r="A8" s="796"/>
      <c r="B8" s="215"/>
      <c r="C8" s="216"/>
      <c r="D8" s="217"/>
      <c r="E8" s="219"/>
      <c r="F8" s="229">
        <v>3</v>
      </c>
      <c r="G8" s="557" t="s">
        <v>13</v>
      </c>
      <c r="H8" s="228" t="s">
        <v>501</v>
      </c>
      <c r="I8" s="799"/>
      <c r="J8" s="214" t="str">
        <f>+'28'!J8</f>
        <v>F 11,5 VP OW</v>
      </c>
      <c r="K8" s="236"/>
      <c r="L8" s="236"/>
      <c r="M8" s="119">
        <f>+K8+'28'!M8+L8</f>
        <v>226339</v>
      </c>
      <c r="P8" s="151">
        <f>+O8-O8*0.22</f>
        <v>0</v>
      </c>
      <c r="R8" s="151">
        <f>+O8*Q8</f>
        <v>0</v>
      </c>
      <c r="S8" s="151">
        <f>+P8*Q8</f>
        <v>0</v>
      </c>
    </row>
    <row r="9" spans="1:19" ht="13.5" thickBot="1">
      <c r="A9" s="796"/>
      <c r="B9" s="215"/>
      <c r="C9" s="216"/>
      <c r="D9" s="217"/>
      <c r="E9" s="220"/>
      <c r="F9" s="229">
        <v>7</v>
      </c>
      <c r="G9" s="557" t="s">
        <v>13</v>
      </c>
      <c r="H9" s="231" t="s">
        <v>480</v>
      </c>
      <c r="I9" s="799"/>
      <c r="J9" s="214" t="str">
        <f>+'28'!J9</f>
        <v>T 13 VP OW</v>
      </c>
      <c r="K9" s="236"/>
      <c r="L9" s="236"/>
      <c r="M9" s="119">
        <f>+K9+'28'!M9+L9</f>
        <v>113358</v>
      </c>
      <c r="P9" s="151">
        <f t="shared" ref="P9:P10" si="0">+O9-O9*0.23</f>
        <v>0</v>
      </c>
      <c r="R9" s="151">
        <f>+O9*Q9</f>
        <v>0</v>
      </c>
      <c r="S9" s="151">
        <f>+P9*Q9</f>
        <v>0</v>
      </c>
    </row>
    <row r="10" spans="1:19" ht="51.75" thickBot="1">
      <c r="A10" s="796"/>
      <c r="B10" s="215"/>
      <c r="C10" s="216"/>
      <c r="D10" s="217"/>
      <c r="E10" s="219"/>
      <c r="F10" s="229"/>
      <c r="G10" s="227"/>
      <c r="H10" s="558" t="s">
        <v>795</v>
      </c>
      <c r="I10" s="799"/>
      <c r="J10" s="214" t="str">
        <f>+'28'!J10</f>
        <v>F 13 VP OW</v>
      </c>
      <c r="K10" s="236"/>
      <c r="L10" s="236"/>
      <c r="M10" s="119">
        <f>+K10+'28'!M10+L10</f>
        <v>85076</v>
      </c>
      <c r="P10" s="151">
        <f t="shared" si="0"/>
        <v>0</v>
      </c>
      <c r="R10" s="151">
        <f>+O10*Q10</f>
        <v>0</v>
      </c>
      <c r="S10" s="151">
        <f>+P10*Q10</f>
        <v>0</v>
      </c>
    </row>
    <row r="11" spans="1:19" ht="51.75" thickBot="1">
      <c r="A11" s="796"/>
      <c r="B11" s="215"/>
      <c r="C11" s="216"/>
      <c r="D11" s="217"/>
      <c r="E11" s="219"/>
      <c r="F11" s="226"/>
      <c r="G11" s="230"/>
      <c r="H11" s="231" t="s">
        <v>796</v>
      </c>
      <c r="I11" s="799"/>
      <c r="J11" s="214" t="str">
        <f>+'28'!J11</f>
        <v xml:space="preserve">T 13 VP OW HB </v>
      </c>
      <c r="K11" s="236"/>
      <c r="L11" s="236"/>
      <c r="M11" s="119">
        <f>+K11+'28'!M11+L11</f>
        <v>10128</v>
      </c>
    </row>
    <row r="12" spans="1:19" ht="13.5" thickBot="1">
      <c r="A12" s="796"/>
      <c r="B12" s="215"/>
      <c r="C12" s="216"/>
      <c r="D12" s="217"/>
      <c r="E12" s="219"/>
      <c r="F12" s="226"/>
      <c r="G12" s="230"/>
      <c r="H12" s="231"/>
      <c r="I12" s="799"/>
      <c r="J12" s="214" t="str">
        <f>+'28'!J12</f>
        <v>TW 15 VP OW</v>
      </c>
      <c r="K12" s="236"/>
      <c r="L12" s="236"/>
      <c r="M12" s="119">
        <f>+K12+'28'!M12+L12</f>
        <v>51015</v>
      </c>
      <c r="Q12" s="151">
        <f>SUM(Q6:Q11)</f>
        <v>480</v>
      </c>
      <c r="R12" s="151">
        <f>SUM(R6:R9)</f>
        <v>576000</v>
      </c>
      <c r="S12" s="151">
        <f>SUM(S6:S9)</f>
        <v>449280</v>
      </c>
    </row>
    <row r="13" spans="1:19" ht="13.5" thickBot="1">
      <c r="A13" s="796"/>
      <c r="B13" s="215"/>
      <c r="C13" s="216"/>
      <c r="D13" s="216"/>
      <c r="E13" s="219"/>
      <c r="F13" s="226"/>
      <c r="G13" s="230"/>
      <c r="H13" s="231"/>
      <c r="I13" s="800"/>
      <c r="J13" s="214" t="str">
        <f>+'28'!J13</f>
        <v>F 12,5 VP OW</v>
      </c>
      <c r="K13" s="236"/>
      <c r="L13" s="236"/>
      <c r="M13" s="119">
        <f>+K13+'28'!M13+L13</f>
        <v>10854</v>
      </c>
      <c r="P13" s="151" t="s">
        <v>424</v>
      </c>
      <c r="Q13" s="151">
        <f>480-Q12</f>
        <v>0</v>
      </c>
      <c r="R13" s="151">
        <f>+R12/Q12</f>
        <v>1200</v>
      </c>
      <c r="S13" s="151">
        <f>+S12/Q12</f>
        <v>936</v>
      </c>
    </row>
    <row r="14" spans="1:19" ht="13.5" thickBot="1">
      <c r="A14" s="797"/>
      <c r="B14" s="167" t="s">
        <v>3</v>
      </c>
      <c r="C14" s="101">
        <f>SUM(C7:C13)</f>
        <v>17455</v>
      </c>
      <c r="D14" s="113">
        <f>SUM(D7:D13)</f>
        <v>0</v>
      </c>
      <c r="E14" s="114">
        <f>SUM(E5:E13)</f>
        <v>0</v>
      </c>
      <c r="F14" s="118">
        <f>SUM(F7:F13)</f>
        <v>10</v>
      </c>
      <c r="G14" s="161"/>
      <c r="H14" s="168"/>
      <c r="I14" s="169"/>
      <c r="J14" s="214" t="str">
        <f>+'28'!J14</f>
        <v>T 14,5 RC HW</v>
      </c>
      <c r="K14" s="236"/>
      <c r="L14" s="236"/>
      <c r="M14" s="119">
        <f>+K14+'28'!M14+L14</f>
        <v>30142</v>
      </c>
      <c r="N14" s="151" t="s">
        <v>766</v>
      </c>
      <c r="O14" s="151">
        <v>1200</v>
      </c>
      <c r="P14" s="151">
        <f>+O14-O14*0.22</f>
        <v>936</v>
      </c>
      <c r="Q14" s="151">
        <v>480</v>
      </c>
      <c r="R14" s="151">
        <f>+O14*Q14</f>
        <v>576000</v>
      </c>
      <c r="S14" s="151">
        <f>+P14*Q14</f>
        <v>449280</v>
      </c>
    </row>
    <row r="15" spans="1:19" ht="13.5" thickBot="1">
      <c r="A15" s="801" t="s">
        <v>789</v>
      </c>
      <c r="B15" s="518"/>
      <c r="C15" s="115">
        <f>C14/($C$23+$D$23+$E$23)</f>
        <v>0.91387434554973823</v>
      </c>
      <c r="D15" s="116">
        <f>D14/($C$23+$D$23+$E$23)</f>
        <v>0</v>
      </c>
      <c r="E15" s="117">
        <f>E14/($C$23+$D$23+$E$23)</f>
        <v>0</v>
      </c>
      <c r="F15" s="233"/>
      <c r="G15" s="555" t="s">
        <v>13</v>
      </c>
      <c r="H15" s="556" t="s">
        <v>461</v>
      </c>
      <c r="I15" s="798" t="s">
        <v>783</v>
      </c>
      <c r="J15" s="214" t="str">
        <f>+'28'!J15</f>
        <v>T 17 RC HW</v>
      </c>
      <c r="K15" s="236"/>
      <c r="L15" s="236"/>
      <c r="M15" s="119">
        <f>+K15+'28'!M15+L15</f>
        <v>41659</v>
      </c>
      <c r="P15" s="151">
        <f>+O15-O15*0.22</f>
        <v>0</v>
      </c>
      <c r="R15" s="151">
        <f>+O15*Q15</f>
        <v>0</v>
      </c>
      <c r="S15" s="151">
        <f>+P15*Q15</f>
        <v>0</v>
      </c>
    </row>
    <row r="16" spans="1:19" ht="13.5" thickBot="1">
      <c r="A16" s="796"/>
      <c r="B16" s="215" t="s">
        <v>775</v>
      </c>
      <c r="C16" s="516">
        <v>19100</v>
      </c>
      <c r="D16" s="221"/>
      <c r="E16" s="222"/>
      <c r="F16" s="229">
        <v>2</v>
      </c>
      <c r="G16" s="557" t="s">
        <v>13</v>
      </c>
      <c r="H16" s="228" t="s">
        <v>501</v>
      </c>
      <c r="I16" s="799"/>
      <c r="J16" s="214" t="str">
        <f>+'28'!J16</f>
        <v>T 19 RC HW</v>
      </c>
      <c r="K16" s="227"/>
      <c r="L16" s="227"/>
      <c r="M16" s="119">
        <f>+K16+'28'!M16+L16</f>
        <v>15992</v>
      </c>
      <c r="P16" s="151">
        <f>+O16-O16*0.22</f>
        <v>0</v>
      </c>
      <c r="R16" s="151">
        <f>+O16*Q16</f>
        <v>0</v>
      </c>
      <c r="S16" s="151">
        <f>+P16*Q16</f>
        <v>0</v>
      </c>
    </row>
    <row r="17" spans="1:19" ht="13.5" thickBot="1">
      <c r="A17" s="796"/>
      <c r="B17" s="215"/>
      <c r="C17" s="216"/>
      <c r="D17" s="217"/>
      <c r="E17" s="223"/>
      <c r="F17" s="229">
        <v>6</v>
      </c>
      <c r="G17" s="557" t="s">
        <v>13</v>
      </c>
      <c r="H17" s="231" t="s">
        <v>463</v>
      </c>
      <c r="I17" s="799"/>
      <c r="J17" s="214" t="str">
        <f>+'28'!J17</f>
        <v>T 20 RC HW</v>
      </c>
      <c r="K17" s="227"/>
      <c r="L17" s="227"/>
      <c r="M17" s="119">
        <f>+K17+'28'!M17+L17</f>
        <v>25912</v>
      </c>
      <c r="P17" s="151">
        <f t="shared" ref="P17:P18" si="1">+O17-O17*0.23</f>
        <v>0</v>
      </c>
      <c r="R17" s="151">
        <f>+O17*Q17</f>
        <v>0</v>
      </c>
      <c r="S17" s="151">
        <f>+P17*Q17</f>
        <v>0</v>
      </c>
    </row>
    <row r="18" spans="1:19" ht="51.75" thickBot="1">
      <c r="A18" s="796"/>
      <c r="B18" s="215"/>
      <c r="C18" s="216"/>
      <c r="D18" s="217"/>
      <c r="E18" s="223"/>
      <c r="F18" s="229"/>
      <c r="G18" s="227"/>
      <c r="H18" s="558" t="s">
        <v>793</v>
      </c>
      <c r="I18" s="799"/>
      <c r="J18" s="214" t="str">
        <f>+'28'!J18</f>
        <v>T 15,5 RC HW</v>
      </c>
      <c r="K18" s="236">
        <f>+C34</f>
        <v>51797</v>
      </c>
      <c r="L18" s="236"/>
      <c r="M18" s="119">
        <f>+K18+'28'!M18+L18</f>
        <v>197506</v>
      </c>
      <c r="P18" s="151">
        <f t="shared" si="1"/>
        <v>0</v>
      </c>
      <c r="R18" s="151">
        <f>+O18*Q18</f>
        <v>0</v>
      </c>
      <c r="S18" s="151">
        <f>+P18*Q18</f>
        <v>0</v>
      </c>
    </row>
    <row r="19" spans="1:19" ht="13.5" thickBot="1">
      <c r="A19" s="796"/>
      <c r="B19" s="215"/>
      <c r="C19" s="216"/>
      <c r="D19" s="217"/>
      <c r="E19" s="223"/>
      <c r="F19" s="232"/>
      <c r="G19" s="230"/>
      <c r="H19" s="231" t="s">
        <v>794</v>
      </c>
      <c r="I19" s="799"/>
      <c r="J19" s="214">
        <f>+'28'!J19</f>
        <v>0</v>
      </c>
      <c r="K19" s="236"/>
      <c r="L19" s="236"/>
      <c r="M19" s="119">
        <f>+K19+'28'!M19+L19</f>
        <v>0</v>
      </c>
    </row>
    <row r="20" spans="1:19" ht="13.5" thickBot="1">
      <c r="A20" s="796"/>
      <c r="B20" s="215"/>
      <c r="C20" s="216"/>
      <c r="D20" s="217"/>
      <c r="E20" s="223"/>
      <c r="F20" s="226"/>
      <c r="G20" s="230"/>
      <c r="H20" s="231"/>
      <c r="I20" s="799"/>
      <c r="J20" s="214">
        <f>+'28'!J20</f>
        <v>0</v>
      </c>
      <c r="K20" s="237"/>
      <c r="L20" s="237"/>
      <c r="M20" s="119">
        <f>+K20+'28'!M20+L20</f>
        <v>0</v>
      </c>
      <c r="Q20" s="151">
        <f>SUM(Q14:Q19)</f>
        <v>480</v>
      </c>
      <c r="R20" s="151">
        <f>SUM(R14:R17)</f>
        <v>576000</v>
      </c>
      <c r="S20" s="151">
        <f>SUM(S14:S17)</f>
        <v>449280</v>
      </c>
    </row>
    <row r="21" spans="1:19" ht="13.5" thickBot="1">
      <c r="A21" s="796"/>
      <c r="B21" s="215"/>
      <c r="C21" s="216"/>
      <c r="D21" s="217"/>
      <c r="E21" s="223"/>
      <c r="F21" s="229"/>
      <c r="G21" s="230"/>
      <c r="H21" s="231"/>
      <c r="I21" s="799"/>
      <c r="J21" s="214">
        <f>+'28'!J21</f>
        <v>0</v>
      </c>
      <c r="K21" s="236"/>
      <c r="L21" s="236"/>
      <c r="M21" s="119">
        <f>+K21+'28'!M21+L21</f>
        <v>0</v>
      </c>
      <c r="P21" s="151" t="s">
        <v>424</v>
      </c>
      <c r="Q21" s="151">
        <f>480-Q20</f>
        <v>0</v>
      </c>
      <c r="R21" s="151">
        <f>+R20/Q20</f>
        <v>1200</v>
      </c>
      <c r="S21" s="151">
        <f>+S20/Q20</f>
        <v>936</v>
      </c>
    </row>
    <row r="22" spans="1:19" ht="13.5" thickBot="1">
      <c r="A22" s="796"/>
      <c r="B22" s="215"/>
      <c r="C22" s="216"/>
      <c r="D22" s="217"/>
      <c r="E22" s="223"/>
      <c r="F22" s="233"/>
      <c r="G22" s="230"/>
      <c r="H22" s="231"/>
      <c r="I22" s="800"/>
      <c r="J22" s="214">
        <f>+'28'!J22</f>
        <v>0</v>
      </c>
      <c r="K22" s="236"/>
      <c r="L22" s="236"/>
      <c r="M22" s="119">
        <f>+K22+'28'!M22+L22</f>
        <v>0</v>
      </c>
    </row>
    <row r="23" spans="1:19" ht="13.5" thickBot="1">
      <c r="A23" s="797"/>
      <c r="B23" s="167" t="s">
        <v>3</v>
      </c>
      <c r="C23" s="101">
        <f>SUM(C16:C22)</f>
        <v>19100</v>
      </c>
      <c r="D23" s="113">
        <f>SUM(D16:D22)</f>
        <v>0</v>
      </c>
      <c r="E23" s="114">
        <f>SUM(E18:E22)</f>
        <v>0</v>
      </c>
      <c r="F23" s="118">
        <f>SUM(F15:F22)</f>
        <v>8</v>
      </c>
      <c r="G23" s="161"/>
      <c r="H23" s="168"/>
      <c r="I23" s="170"/>
      <c r="J23" s="214">
        <f>+'28'!J23</f>
        <v>0</v>
      </c>
      <c r="K23" s="236"/>
      <c r="L23" s="236"/>
      <c r="M23" s="119">
        <f>+K23+'28'!M23+L23</f>
        <v>0</v>
      </c>
    </row>
    <row r="24" spans="1:19" ht="13.5" thickBot="1">
      <c r="A24" s="801" t="s">
        <v>442</v>
      </c>
      <c r="B24" s="518"/>
      <c r="C24" s="115">
        <f>C23/($C$23+$D$23+$E$23)</f>
        <v>1</v>
      </c>
      <c r="D24" s="116">
        <f>D23/($C$23+$D$23+$E$23)</f>
        <v>0</v>
      </c>
      <c r="E24" s="117">
        <f>E23/($C$23+$D$23+$E$23)</f>
        <v>0</v>
      </c>
      <c r="F24" s="233"/>
      <c r="G24" s="555" t="s">
        <v>13</v>
      </c>
      <c r="H24" s="556" t="s">
        <v>461</v>
      </c>
      <c r="I24" s="798" t="s">
        <v>783</v>
      </c>
      <c r="J24" s="214">
        <f>+'28'!J24</f>
        <v>0</v>
      </c>
      <c r="K24" s="236"/>
      <c r="L24" s="236"/>
      <c r="M24" s="119">
        <f>+K24+'28'!M24+L24</f>
        <v>0</v>
      </c>
      <c r="N24" s="151" t="s">
        <v>766</v>
      </c>
      <c r="O24" s="151">
        <v>1200</v>
      </c>
      <c r="P24" s="151">
        <f>+O24-O24*0.22</f>
        <v>936</v>
      </c>
      <c r="Q24" s="151">
        <v>480</v>
      </c>
      <c r="R24" s="151">
        <f>+O24*Q24</f>
        <v>576000</v>
      </c>
      <c r="S24" s="151">
        <f>+P24*Q24</f>
        <v>449280</v>
      </c>
    </row>
    <row r="25" spans="1:19" ht="13.5" thickBot="1">
      <c r="A25" s="796"/>
      <c r="B25" s="215" t="s">
        <v>775</v>
      </c>
      <c r="C25" s="224">
        <v>15242</v>
      </c>
      <c r="D25" s="217">
        <v>665</v>
      </c>
      <c r="E25" s="223"/>
      <c r="F25" s="229">
        <v>2</v>
      </c>
      <c r="G25" s="557" t="s">
        <v>13</v>
      </c>
      <c r="H25" s="228" t="s">
        <v>462</v>
      </c>
      <c r="I25" s="799"/>
      <c r="J25" s="214">
        <f>+'28'!J25</f>
        <v>0</v>
      </c>
      <c r="K25" s="236"/>
      <c r="L25" s="236"/>
      <c r="M25" s="119">
        <f>+K25+'28'!M25+L25</f>
        <v>0</v>
      </c>
      <c r="P25" s="151">
        <f>+O25-O25*0.22</f>
        <v>0</v>
      </c>
      <c r="R25" s="151">
        <f>+O25*Q25</f>
        <v>0</v>
      </c>
      <c r="S25" s="151">
        <f>+P25*Q25</f>
        <v>0</v>
      </c>
    </row>
    <row r="26" spans="1:19" ht="13.5" thickBot="1">
      <c r="A26" s="796"/>
      <c r="B26" s="215"/>
      <c r="C26" s="224"/>
      <c r="D26" s="217"/>
      <c r="E26" s="225"/>
      <c r="F26" s="229">
        <v>6</v>
      </c>
      <c r="G26" s="557" t="s">
        <v>13</v>
      </c>
      <c r="H26" s="231" t="s">
        <v>480</v>
      </c>
      <c r="I26" s="799"/>
      <c r="J26" s="214">
        <f>+'28'!J26</f>
        <v>0</v>
      </c>
      <c r="K26" s="236"/>
      <c r="L26" s="236"/>
      <c r="M26" s="119">
        <f>+K26+'28'!M26+L26</f>
        <v>0</v>
      </c>
      <c r="P26" s="151">
        <f>+O26-O26*0.22</f>
        <v>0</v>
      </c>
      <c r="R26" s="151">
        <f>+O26*Q26</f>
        <v>0</v>
      </c>
      <c r="S26" s="151">
        <f>+P26*Q26</f>
        <v>0</v>
      </c>
    </row>
    <row r="27" spans="1:19" ht="39" thickBot="1">
      <c r="A27" s="796"/>
      <c r="B27" s="215"/>
      <c r="C27" s="216"/>
      <c r="D27" s="217"/>
      <c r="E27" s="223"/>
      <c r="F27" s="229"/>
      <c r="G27" s="227"/>
      <c r="H27" s="558" t="s">
        <v>791</v>
      </c>
      <c r="I27" s="799"/>
      <c r="J27" s="214">
        <f>+'28'!J27</f>
        <v>0</v>
      </c>
      <c r="K27" s="236"/>
      <c r="L27" s="236"/>
      <c r="M27" s="119">
        <f>+K27+'28'!M27+L27</f>
        <v>0</v>
      </c>
      <c r="P27" s="151">
        <f t="shared" ref="P27:P28" si="2">+O27-O27*0.23</f>
        <v>0</v>
      </c>
      <c r="R27" s="151">
        <f>+O27*Q27</f>
        <v>0</v>
      </c>
      <c r="S27" s="151">
        <f>+P27*Q27</f>
        <v>0</v>
      </c>
    </row>
    <row r="28" spans="1:19" ht="26.25" thickBot="1">
      <c r="A28" s="796"/>
      <c r="B28" s="215"/>
      <c r="C28" s="216"/>
      <c r="D28" s="217"/>
      <c r="E28" s="223"/>
      <c r="F28" s="229"/>
      <c r="G28" s="227"/>
      <c r="H28" s="231" t="s">
        <v>792</v>
      </c>
      <c r="I28" s="799"/>
      <c r="J28" s="214">
        <f>+'28'!J28</f>
        <v>0</v>
      </c>
      <c r="K28" s="236"/>
      <c r="L28" s="236"/>
      <c r="M28" s="119">
        <f>+K28+'28'!M28+L28</f>
        <v>0</v>
      </c>
      <c r="P28" s="151">
        <f t="shared" si="2"/>
        <v>0</v>
      </c>
      <c r="R28" s="151">
        <f>+O28*Q28</f>
        <v>0</v>
      </c>
      <c r="S28" s="151">
        <f>+P28*Q28</f>
        <v>0</v>
      </c>
    </row>
    <row r="29" spans="1:19" ht="13.5" customHeight="1" thickBot="1">
      <c r="A29" s="796"/>
      <c r="B29" s="215"/>
      <c r="C29" s="216"/>
      <c r="D29" s="217"/>
      <c r="E29" s="223"/>
      <c r="F29" s="233"/>
      <c r="G29" s="230"/>
      <c r="H29" s="231"/>
      <c r="I29" s="799"/>
      <c r="J29" s="214">
        <f>+'28'!J29</f>
        <v>0</v>
      </c>
      <c r="K29" s="236"/>
      <c r="L29" s="236"/>
      <c r="M29" s="119">
        <f>+K29+'28'!M29+L29</f>
        <v>0</v>
      </c>
    </row>
    <row r="30" spans="1:19" ht="13.5" customHeight="1" thickBot="1">
      <c r="A30" s="796"/>
      <c r="B30" s="215"/>
      <c r="C30" s="224"/>
      <c r="D30" s="217"/>
      <c r="E30" s="223"/>
      <c r="F30" s="233"/>
      <c r="G30" s="230"/>
      <c r="H30" s="231"/>
      <c r="I30" s="799"/>
      <c r="J30" s="214">
        <f>+'28'!J30</f>
        <v>0</v>
      </c>
      <c r="K30" s="236"/>
      <c r="L30" s="236"/>
      <c r="M30" s="119">
        <f>+K30+'28'!M30+L30</f>
        <v>0</v>
      </c>
      <c r="Q30" s="151">
        <f>SUM(Q24:Q29)</f>
        <v>480</v>
      </c>
      <c r="R30" s="151">
        <f>SUM(R24:R27)</f>
        <v>576000</v>
      </c>
      <c r="S30" s="151">
        <f>SUM(S24:S27)</f>
        <v>449280</v>
      </c>
    </row>
    <row r="31" spans="1:19" ht="13.5" customHeight="1" thickBot="1">
      <c r="A31" s="796"/>
      <c r="B31" s="215"/>
      <c r="C31" s="224"/>
      <c r="D31" s="217"/>
      <c r="E31" s="223"/>
      <c r="F31" s="233"/>
      <c r="G31" s="234"/>
      <c r="H31" s="409"/>
      <c r="I31" s="800"/>
      <c r="J31" s="214">
        <f>+'28'!J31</f>
        <v>0</v>
      </c>
      <c r="K31" s="236"/>
      <c r="L31" s="236"/>
      <c r="M31" s="119">
        <f>+K31+'28'!M31+L31</f>
        <v>0</v>
      </c>
      <c r="P31" s="151" t="s">
        <v>424</v>
      </c>
      <c r="Q31" s="151">
        <f>480-Q30</f>
        <v>0</v>
      </c>
      <c r="R31" s="151">
        <f>+R30/Q30</f>
        <v>1200</v>
      </c>
      <c r="S31" s="151">
        <f>+S30/Q30</f>
        <v>936</v>
      </c>
    </row>
    <row r="32" spans="1:19" ht="13.5" customHeight="1" thickBot="1">
      <c r="A32" s="797"/>
      <c r="B32" s="167" t="s">
        <v>3</v>
      </c>
      <c r="C32" s="101">
        <f>SUM(C25:C31)</f>
        <v>15242</v>
      </c>
      <c r="D32" s="102">
        <f>SUM(D25:D31)</f>
        <v>665</v>
      </c>
      <c r="E32" s="103">
        <f>SUM(E25:E31)</f>
        <v>0</v>
      </c>
      <c r="F32" s="101">
        <f>SUM(F24:F31)</f>
        <v>8</v>
      </c>
      <c r="G32" s="171"/>
      <c r="H32" s="172"/>
      <c r="I32" s="170"/>
      <c r="J32" s="214">
        <f>+'28'!J32</f>
        <v>0</v>
      </c>
      <c r="K32" s="238"/>
      <c r="L32" s="240"/>
      <c r="M32" s="119">
        <f>+K32+'28'!M32+L32</f>
        <v>0</v>
      </c>
    </row>
    <row r="33" spans="1:14" ht="13.5" thickBot="1">
      <c r="A33" s="173"/>
      <c r="B33" s="174"/>
      <c r="C33" s="105">
        <f>C32/($C$32+$D$32+$E$32)</f>
        <v>0.95819450556358832</v>
      </c>
      <c r="D33" s="106">
        <f>D32/($C$32+$D$32+$E$32)</f>
        <v>4.1805494436411642E-2</v>
      </c>
      <c r="E33" s="107">
        <f>E32/($C$32+$D$32+$E$32)</f>
        <v>0</v>
      </c>
      <c r="F33" s="108"/>
      <c r="G33" s="175"/>
      <c r="H33" s="176"/>
      <c r="I33" s="177"/>
      <c r="J33" s="123"/>
      <c r="K33" s="124"/>
      <c r="L33" s="213"/>
      <c r="M33" s="121"/>
    </row>
    <row r="34" spans="1:14" ht="13.5" thickBot="1">
      <c r="A34" s="802" t="s">
        <v>69</v>
      </c>
      <c r="B34" s="803"/>
      <c r="C34" s="109">
        <f>C14+C23+C32</f>
        <v>51797</v>
      </c>
      <c r="D34" s="109">
        <f>D14+D23+D32</f>
        <v>665</v>
      </c>
      <c r="E34" s="109">
        <f>E14+E23+E32</f>
        <v>0</v>
      </c>
      <c r="F34" s="110">
        <f>F14+F23+F32</f>
        <v>26</v>
      </c>
      <c r="H34" s="178"/>
      <c r="I34" s="178"/>
      <c r="J34" s="125" t="s">
        <v>29</v>
      </c>
      <c r="K34" s="126">
        <f>SUM(K7:K32)</f>
        <v>51797</v>
      </c>
      <c r="L34" s="212">
        <f>SUM(L7:L32)</f>
        <v>0</v>
      </c>
      <c r="M34" s="122">
        <f>SUM(M7:M32)</f>
        <v>1281467</v>
      </c>
      <c r="N34" s="157"/>
    </row>
    <row r="35" spans="1:14" ht="13.5" thickBot="1">
      <c r="A35" s="179"/>
      <c r="B35" s="180"/>
      <c r="C35" s="106">
        <f>C34/($C$34+$D$34+$E$34)</f>
        <v>0.98732415843848886</v>
      </c>
      <c r="D35" s="106">
        <f>D34/($C$34+$D$34+$E$34)</f>
        <v>1.2675841561511188E-2</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(15.5*1440)/1440*G42*2.74*1440/1000000</f>
        <v>57.242764800000003</v>
      </c>
      <c r="J37" s="127">
        <f>+I37+'28'!J37</f>
        <v>1460.1299969864074</v>
      </c>
      <c r="K37" s="128" t="s">
        <v>75</v>
      </c>
    </row>
    <row r="38" spans="1:14" ht="17.45" customHeight="1">
      <c r="A38" s="806" t="s">
        <v>13</v>
      </c>
      <c r="B38" s="807"/>
      <c r="C38" s="166">
        <f>SUMIF($G$7:$G$31,"Process",$F$7:$F$31)</f>
        <v>26</v>
      </c>
      <c r="D38" s="120">
        <f>C38+'28'!D38</f>
        <v>1720</v>
      </c>
      <c r="E38" s="145">
        <f t="shared" ref="E38:E52" si="3">D38/60</f>
        <v>28.666666666666668</v>
      </c>
      <c r="F38" s="309">
        <v>1200</v>
      </c>
      <c r="G38" s="309">
        <v>936</v>
      </c>
      <c r="H38" s="187" t="s">
        <v>76</v>
      </c>
      <c r="I38" s="242">
        <f>18.121+19.894+17.644</f>
        <v>55.658999999999999</v>
      </c>
      <c r="J38" s="129">
        <f>+I38+'28'!J38</f>
        <v>1334.2430000000004</v>
      </c>
      <c r="K38" s="130" t="s">
        <v>75</v>
      </c>
    </row>
    <row r="39" spans="1:14" ht="17.45" customHeight="1">
      <c r="A39" s="793" t="s">
        <v>14</v>
      </c>
      <c r="B39" s="794"/>
      <c r="C39" s="166">
        <f>SUMIF($G$7:$G$31,"Cleaning",$F$7:$F$31)</f>
        <v>0</v>
      </c>
      <c r="D39" s="120">
        <f>C39+'28'!D39</f>
        <v>0</v>
      </c>
      <c r="E39" s="145">
        <f t="shared" si="3"/>
        <v>0</v>
      </c>
      <c r="F39" s="309">
        <v>1200</v>
      </c>
      <c r="G39" s="309">
        <v>936</v>
      </c>
      <c r="H39" s="187" t="s">
        <v>77</v>
      </c>
      <c r="I39" s="144"/>
      <c r="J39" s="131">
        <f>J37/G4</f>
        <v>50.349310240910597</v>
      </c>
      <c r="K39" s="132" t="s">
        <v>75</v>
      </c>
    </row>
    <row r="40" spans="1:14" ht="17.45" customHeight="1">
      <c r="A40" s="793" t="s">
        <v>78</v>
      </c>
      <c r="B40" s="794"/>
      <c r="C40" s="166">
        <f>SUMIF($G$7:$G$31,"Mechanical",$F$7:$F$31)</f>
        <v>0</v>
      </c>
      <c r="D40" s="120">
        <f>C40+'28'!D40</f>
        <v>73</v>
      </c>
      <c r="E40" s="145">
        <f t="shared" si="3"/>
        <v>1.2166666666666666</v>
      </c>
      <c r="F40" s="309">
        <v>1200</v>
      </c>
      <c r="G40" s="309">
        <v>936</v>
      </c>
      <c r="H40" s="187" t="s">
        <v>79</v>
      </c>
      <c r="I40" s="120">
        <f>(K34+L34)/1000</f>
        <v>51.796999999999997</v>
      </c>
      <c r="J40" s="133">
        <f>+I40+'28'!J40</f>
        <v>1281.4669999999999</v>
      </c>
      <c r="K40" s="132" t="s">
        <v>75</v>
      </c>
    </row>
    <row r="41" spans="1:14" ht="17.45" customHeight="1">
      <c r="A41" s="793" t="s">
        <v>80</v>
      </c>
      <c r="B41" s="794"/>
      <c r="C41" s="166">
        <f>SUMIF($G$7:$G$31,"Electrical",$F$7:$F$31)</f>
        <v>0</v>
      </c>
      <c r="D41" s="120">
        <f>C41+'28'!D41</f>
        <v>59</v>
      </c>
      <c r="E41" s="145">
        <f t="shared" si="3"/>
        <v>0.98333333333333328</v>
      </c>
      <c r="F41" s="309"/>
      <c r="G41" s="309"/>
      <c r="H41" s="187" t="s">
        <v>81</v>
      </c>
      <c r="I41" s="144"/>
      <c r="J41" s="131">
        <f>J40/G4</f>
        <v>44.188517241379309</v>
      </c>
      <c r="K41" s="132" t="s">
        <v>75</v>
      </c>
    </row>
    <row r="42" spans="1:14" ht="17.45" customHeight="1">
      <c r="A42" s="793" t="s">
        <v>17</v>
      </c>
      <c r="B42" s="794"/>
      <c r="C42" s="166">
        <f>SUMIF($G$7:$G$31,"Instrument",$F$7:$F$31)</f>
        <v>0</v>
      </c>
      <c r="D42" s="120">
        <f>C42+'28'!D42</f>
        <v>0</v>
      </c>
      <c r="E42" s="145">
        <f t="shared" si="3"/>
        <v>0</v>
      </c>
      <c r="F42" s="185">
        <f>+(F38*480+F39*480+F40*480)/1440</f>
        <v>1200</v>
      </c>
      <c r="G42" s="185">
        <f>+(G38*480+G39*480+G40*480)/1440</f>
        <v>936</v>
      </c>
      <c r="H42" s="187" t="s">
        <v>82</v>
      </c>
      <c r="I42" s="243" t="s">
        <v>783</v>
      </c>
      <c r="J42" s="134"/>
      <c r="K42" s="132" t="s">
        <v>83</v>
      </c>
    </row>
    <row r="43" spans="1:14" ht="17.45" customHeight="1">
      <c r="A43" s="793" t="s">
        <v>84</v>
      </c>
      <c r="B43" s="794"/>
      <c r="C43" s="166">
        <f>SUMIF($G$7:$G$31,"Water",$F$7:$F$31)</f>
        <v>0</v>
      </c>
      <c r="D43" s="120">
        <f>C43+'28'!D43</f>
        <v>0</v>
      </c>
      <c r="E43" s="145">
        <f t="shared" si="3"/>
        <v>0</v>
      </c>
      <c r="F43" s="309"/>
      <c r="G43" s="310"/>
      <c r="H43" s="188" t="s">
        <v>85</v>
      </c>
      <c r="I43" s="120">
        <f>+Report1!Z37</f>
        <v>97.1</v>
      </c>
      <c r="J43" s="135">
        <f>+I43+'28'!J43</f>
        <v>2540.58</v>
      </c>
      <c r="K43" s="132" t="s">
        <v>75</v>
      </c>
      <c r="L43" s="189"/>
    </row>
    <row r="44" spans="1:14" ht="17.45" customHeight="1">
      <c r="A44" s="793" t="s">
        <v>18</v>
      </c>
      <c r="B44" s="794"/>
      <c r="C44" s="166">
        <f>SUMIF($G$7:$G$31,"PLN",$F$7:$F$31)</f>
        <v>0</v>
      </c>
      <c r="D44" s="120">
        <f>C44+'28'!D44</f>
        <v>30</v>
      </c>
      <c r="E44" s="145">
        <f t="shared" si="3"/>
        <v>0.5</v>
      </c>
      <c r="F44" s="309"/>
      <c r="G44" s="310"/>
      <c r="H44" s="188" t="s">
        <v>86</v>
      </c>
      <c r="I44" s="120">
        <f>I43/I38</f>
        <v>1.7445516448373128</v>
      </c>
      <c r="J44" s="136">
        <f>J43/J38</f>
        <v>1.9041359032799867</v>
      </c>
      <c r="K44" s="132" t="s">
        <v>75</v>
      </c>
    </row>
    <row r="45" spans="1:14" ht="17.45" customHeight="1">
      <c r="A45" s="793" t="s">
        <v>19</v>
      </c>
      <c r="B45" s="794"/>
      <c r="C45" s="166">
        <f>SUMIF($G$7:$G$31,"Boiler",$F$7:$F$31)</f>
        <v>0</v>
      </c>
      <c r="D45" s="120">
        <f>C45+'28'!D45</f>
        <v>0</v>
      </c>
      <c r="E45" s="145">
        <f t="shared" si="3"/>
        <v>0</v>
      </c>
      <c r="F45" s="309"/>
      <c r="G45" s="312"/>
      <c r="H45" s="188" t="s">
        <v>87</v>
      </c>
      <c r="I45" s="120">
        <f>I43/I40</f>
        <v>1.8746259435874664</v>
      </c>
      <c r="J45" s="136">
        <f>J43/J40</f>
        <v>1.9825559300395563</v>
      </c>
      <c r="K45" s="132" t="s">
        <v>75</v>
      </c>
    </row>
    <row r="46" spans="1:14" ht="17.45" customHeight="1">
      <c r="A46" s="793" t="s">
        <v>88</v>
      </c>
      <c r="B46" s="794"/>
      <c r="C46" s="166">
        <f>SUMIF($G$7:$G$31,"Gas",$F$7:$F$31)</f>
        <v>0</v>
      </c>
      <c r="D46" s="120">
        <f>C46+'28'!D46</f>
        <v>0</v>
      </c>
      <c r="E46" s="145">
        <f t="shared" si="3"/>
        <v>0</v>
      </c>
      <c r="F46" s="309"/>
      <c r="G46" s="310"/>
      <c r="H46" s="188" t="s">
        <v>89</v>
      </c>
      <c r="I46" s="142">
        <f>+SUMIF(Listrik!X36,"&gt;0")</f>
        <v>40272.849999999642</v>
      </c>
      <c r="J46" s="137">
        <f>+I46+'28'!J46</f>
        <v>1155048.3199999994</v>
      </c>
      <c r="K46" s="132" t="s">
        <v>90</v>
      </c>
    </row>
    <row r="47" spans="1:14" ht="17.45" customHeight="1">
      <c r="A47" s="793" t="s">
        <v>91</v>
      </c>
      <c r="B47" s="794"/>
      <c r="C47" s="166">
        <f>SUMIF($G$7:$G$31,"Gas",$F$7:$F$31)</f>
        <v>0</v>
      </c>
      <c r="D47" s="120">
        <f>C47+'28'!D47</f>
        <v>0</v>
      </c>
      <c r="E47" s="145">
        <f t="shared" si="3"/>
        <v>0</v>
      </c>
      <c r="F47" s="309"/>
      <c r="G47" s="310"/>
      <c r="H47" s="188" t="s">
        <v>92</v>
      </c>
      <c r="I47" s="120">
        <f>I46/I38</f>
        <v>723.56402378770088</v>
      </c>
      <c r="J47" s="137">
        <f>J46/J38</f>
        <v>865.69561916382474</v>
      </c>
      <c r="K47" s="132" t="s">
        <v>25</v>
      </c>
    </row>
    <row r="48" spans="1:14" ht="17.45" customHeight="1">
      <c r="A48" s="793" t="s">
        <v>15</v>
      </c>
      <c r="B48" s="794"/>
      <c r="C48" s="166">
        <f>SUMIF($G$7:$G$31,"Start Up",$F$7:$F$31)</f>
        <v>0</v>
      </c>
      <c r="D48" s="120">
        <f>C48+'28'!D48</f>
        <v>0</v>
      </c>
      <c r="E48" s="145">
        <f t="shared" si="3"/>
        <v>0</v>
      </c>
      <c r="F48" s="309"/>
      <c r="G48" s="310"/>
      <c r="H48" s="188" t="s">
        <v>93</v>
      </c>
      <c r="I48" s="120">
        <f>I46/I40</f>
        <v>777.51317643878303</v>
      </c>
      <c r="J48" s="137">
        <f>J46/J40</f>
        <v>901.34847015178661</v>
      </c>
      <c r="K48" s="132" t="s">
        <v>25</v>
      </c>
    </row>
    <row r="49" spans="1:11" ht="17.45" customHeight="1">
      <c r="A49" s="793" t="s">
        <v>21</v>
      </c>
      <c r="B49" s="794"/>
      <c r="C49" s="166">
        <f>SUMIF($G$7:$G$31,"Others",$F$7:$F$31)</f>
        <v>0</v>
      </c>
      <c r="D49" s="120">
        <f>C49+'28'!D49</f>
        <v>454</v>
      </c>
      <c r="E49" s="145">
        <f t="shared" si="3"/>
        <v>7.5666666666666664</v>
      </c>
      <c r="F49" s="185"/>
      <c r="H49" s="188" t="s">
        <v>280</v>
      </c>
      <c r="I49" s="120">
        <f>+Report1!T37</f>
        <v>4004.5529454801062</v>
      </c>
      <c r="J49" s="137">
        <f>+I49+'28'!J49</f>
        <v>106079.62777451354</v>
      </c>
      <c r="K49" s="132" t="s">
        <v>94</v>
      </c>
    </row>
    <row r="50" spans="1:11" ht="17.45" customHeight="1">
      <c r="A50" s="793" t="s">
        <v>20</v>
      </c>
      <c r="B50" s="794"/>
      <c r="C50" s="166">
        <f>SUMIF($G$7:$G$31,"Steam",$F$7:$F$31)</f>
        <v>0</v>
      </c>
      <c r="D50" s="120">
        <f>C50+'28'!D50</f>
        <v>0</v>
      </c>
      <c r="E50" s="145">
        <f t="shared" si="3"/>
        <v>0</v>
      </c>
      <c r="F50" s="185"/>
      <c r="H50" s="188" t="s">
        <v>95</v>
      </c>
      <c r="I50" s="142">
        <f>I49/I38</f>
        <v>71.947985868953921</v>
      </c>
      <c r="J50" s="135">
        <f>J49/J38</f>
        <v>79.505478218370655</v>
      </c>
      <c r="K50" s="132" t="s">
        <v>94</v>
      </c>
    </row>
    <row r="51" spans="1:11" ht="17.45" customHeight="1">
      <c r="A51" s="810" t="s">
        <v>96</v>
      </c>
      <c r="B51" s="810"/>
      <c r="C51" s="166">
        <f>SUMIF($G$7:$G$31,"Planned shut",$F$7:$F$31)</f>
        <v>0</v>
      </c>
      <c r="D51" s="120">
        <f>C51+'28'!D51</f>
        <v>0</v>
      </c>
      <c r="E51" s="145">
        <f t="shared" si="3"/>
        <v>0</v>
      </c>
      <c r="F51" s="185"/>
      <c r="H51" s="190" t="s">
        <v>97</v>
      </c>
      <c r="I51" s="143">
        <f>I49/I40</f>
        <v>77.312449475454301</v>
      </c>
      <c r="J51" s="138">
        <f>J49/J40</f>
        <v>82.779835746463661</v>
      </c>
      <c r="K51" s="139" t="s">
        <v>94</v>
      </c>
    </row>
    <row r="52" spans="1:11" ht="13.5" thickBot="1">
      <c r="A52" s="811" t="s">
        <v>230</v>
      </c>
      <c r="B52" s="812"/>
      <c r="C52" s="166">
        <f>SUMIF($G$7:$G$31,"Change Grade",$F$7:$F$31)</f>
        <v>0</v>
      </c>
      <c r="D52" s="120">
        <f>C52+'28'!D52</f>
        <v>0</v>
      </c>
      <c r="E52" s="145">
        <f t="shared" si="3"/>
        <v>0</v>
      </c>
      <c r="F52" s="185"/>
      <c r="H52" s="191"/>
      <c r="I52" s="192"/>
      <c r="J52" s="140"/>
      <c r="K52" s="141"/>
    </row>
    <row r="53" spans="1:11">
      <c r="A53" s="806" t="s">
        <v>29</v>
      </c>
      <c r="B53" s="807"/>
      <c r="C53" s="146">
        <f>SUM(C38:C52)</f>
        <v>26</v>
      </c>
      <c r="D53" s="146">
        <f>SUM(D38:D52)</f>
        <v>2336</v>
      </c>
      <c r="E53" s="147">
        <f>SUM(E38:E52)</f>
        <v>38.933333333333337</v>
      </c>
      <c r="F53" s="185"/>
    </row>
    <row r="54" spans="1:11" ht="13.5" thickBot="1">
      <c r="A54" s="808"/>
      <c r="B54" s="809"/>
      <c r="C54" s="148">
        <f>C53/(24*60)</f>
        <v>1.8055555555555554E-2</v>
      </c>
      <c r="D54" s="148">
        <f>D53/(24*60*G4)</f>
        <v>5.5938697318007664E-2</v>
      </c>
      <c r="E54" s="149">
        <f>E53/(G4*24)</f>
        <v>5.5938697318007671E-2</v>
      </c>
      <c r="F54" s="185"/>
    </row>
    <row r="55" spans="1:11">
      <c r="E55" s="193"/>
    </row>
    <row r="56" spans="1:11">
      <c r="A56" s="194" t="s">
        <v>98</v>
      </c>
      <c r="B56" s="195"/>
      <c r="C56" s="196"/>
      <c r="D56" s="196"/>
      <c r="E56" s="196"/>
      <c r="F56" s="197"/>
      <c r="G56" s="196"/>
      <c r="H56" s="198"/>
      <c r="I56" s="199" t="s">
        <v>99</v>
      </c>
      <c r="J56" s="200">
        <f>+D34+'28'!J56</f>
        <v>6898</v>
      </c>
      <c r="K56" s="201">
        <f>J56/(J40+J56/1000)/1000</f>
        <v>5.3540727976932011E-3</v>
      </c>
    </row>
    <row r="57" spans="1:11">
      <c r="A57" s="176"/>
      <c r="I57" s="199" t="s">
        <v>100</v>
      </c>
      <c r="J57" s="200">
        <f>+E34+'28'!J57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51"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22"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5.425781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28</v>
      </c>
      <c r="H4" s="156" t="str">
        <f>+'1'!H4</f>
        <v>.07.25</v>
      </c>
      <c r="J4" s="151">
        <f>359+336+342</f>
        <v>1037</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766</v>
      </c>
      <c r="O6" s="151">
        <v>1200</v>
      </c>
      <c r="P6" s="151">
        <f>+O6-O6*0.22</f>
        <v>936</v>
      </c>
      <c r="Q6" s="151">
        <f>60*4+15</f>
        <v>255</v>
      </c>
      <c r="R6" s="151">
        <f>+O6*Q6</f>
        <v>306000</v>
      </c>
      <c r="S6" s="151">
        <f>+P6*Q6</f>
        <v>238680</v>
      </c>
    </row>
    <row r="7" spans="1:19" ht="13.5" customHeight="1" thickBot="1">
      <c r="A7" s="795" t="s">
        <v>396</v>
      </c>
      <c r="B7" s="215" t="s">
        <v>790</v>
      </c>
      <c r="C7" s="216">
        <f>16418-C8</f>
        <v>15630</v>
      </c>
      <c r="D7" s="217"/>
      <c r="E7" s="218"/>
      <c r="F7" s="233"/>
      <c r="G7" s="555" t="s">
        <v>13</v>
      </c>
      <c r="H7" s="556" t="s">
        <v>461</v>
      </c>
      <c r="I7" s="798" t="s">
        <v>786</v>
      </c>
      <c r="J7" s="214" t="str">
        <f>+'27'!J7</f>
        <v>F 12 VP OW</v>
      </c>
      <c r="K7" s="235"/>
      <c r="L7" s="239"/>
      <c r="M7" s="119">
        <f>+K7+'27'!M7+L7</f>
        <v>473486</v>
      </c>
      <c r="N7" s="151" t="s">
        <v>735</v>
      </c>
      <c r="O7" s="151">
        <v>950</v>
      </c>
      <c r="P7" s="151">
        <f>+O7-O7*0.22</f>
        <v>741</v>
      </c>
      <c r="Q7" s="151">
        <f>38-15</f>
        <v>23</v>
      </c>
      <c r="R7" s="151">
        <f>+O7*Q7</f>
        <v>21850</v>
      </c>
      <c r="S7" s="151">
        <f>+P7*Q7</f>
        <v>17043</v>
      </c>
    </row>
    <row r="8" spans="1:19" ht="13.5" thickBot="1">
      <c r="A8" s="796"/>
      <c r="B8" s="215" t="s">
        <v>747</v>
      </c>
      <c r="C8" s="216">
        <v>788</v>
      </c>
      <c r="D8" s="217"/>
      <c r="E8" s="219"/>
      <c r="F8" s="229">
        <v>4</v>
      </c>
      <c r="G8" s="557" t="s">
        <v>13</v>
      </c>
      <c r="H8" s="228" t="s">
        <v>462</v>
      </c>
      <c r="I8" s="799"/>
      <c r="J8" s="214" t="str">
        <f>+'27'!J8</f>
        <v>F 11,5 VP OW</v>
      </c>
      <c r="K8" s="236"/>
      <c r="L8" s="236"/>
      <c r="M8" s="119">
        <f>+K8+'27'!M8+L8</f>
        <v>226339</v>
      </c>
      <c r="N8" s="151" t="s">
        <v>785</v>
      </c>
      <c r="O8" s="151">
        <v>1200</v>
      </c>
      <c r="P8" s="151">
        <f>+O8-O8*0.22</f>
        <v>936</v>
      </c>
      <c r="Q8" s="151">
        <f>60-38+180</f>
        <v>202</v>
      </c>
      <c r="R8" s="151">
        <f>+O8*Q8</f>
        <v>242400</v>
      </c>
      <c r="S8" s="151">
        <f>+P8*Q8</f>
        <v>189072</v>
      </c>
    </row>
    <row r="9" spans="1:19" ht="13.5" thickBot="1">
      <c r="A9" s="796"/>
      <c r="B9" s="215"/>
      <c r="C9" s="216"/>
      <c r="D9" s="217"/>
      <c r="E9" s="220"/>
      <c r="F9" s="229">
        <v>7</v>
      </c>
      <c r="G9" s="557" t="s">
        <v>13</v>
      </c>
      <c r="H9" s="231" t="s">
        <v>480</v>
      </c>
      <c r="I9" s="799"/>
      <c r="J9" s="214" t="str">
        <f>+'27'!J9</f>
        <v>T 13 VP OW</v>
      </c>
      <c r="K9" s="236"/>
      <c r="L9" s="236"/>
      <c r="M9" s="119">
        <f>+K9+'27'!M9+L9</f>
        <v>113358</v>
      </c>
      <c r="P9" s="151">
        <f t="shared" ref="P9:P10" si="0">+O9-O9*0.23</f>
        <v>0</v>
      </c>
      <c r="R9" s="151">
        <f>+O9*Q9</f>
        <v>0</v>
      </c>
      <c r="S9" s="151">
        <f>+P9*Q9</f>
        <v>0</v>
      </c>
    </row>
    <row r="10" spans="1:19" ht="75" customHeight="1" thickBot="1">
      <c r="A10" s="796"/>
      <c r="B10" s="215"/>
      <c r="C10" s="216"/>
      <c r="D10" s="217"/>
      <c r="E10" s="219"/>
      <c r="F10" s="229"/>
      <c r="G10" s="227"/>
      <c r="H10" s="558" t="s">
        <v>781</v>
      </c>
      <c r="I10" s="799"/>
      <c r="J10" s="214" t="str">
        <f>+'27'!J10</f>
        <v>F 13 VP OW</v>
      </c>
      <c r="K10" s="236"/>
      <c r="L10" s="236"/>
      <c r="M10" s="119">
        <f>+K10+'27'!M10+L10</f>
        <v>85076</v>
      </c>
      <c r="P10" s="151">
        <f t="shared" si="0"/>
        <v>0</v>
      </c>
      <c r="R10" s="151">
        <f>+O10*Q10</f>
        <v>0</v>
      </c>
      <c r="S10" s="151">
        <f>+P10*Q10</f>
        <v>0</v>
      </c>
    </row>
    <row r="11" spans="1:19" ht="77.25" thickBot="1">
      <c r="A11" s="796"/>
      <c r="B11" s="215"/>
      <c r="C11" s="216"/>
      <c r="D11" s="217"/>
      <c r="E11" s="219"/>
      <c r="F11" s="226"/>
      <c r="G11" s="230"/>
      <c r="H11" s="231" t="s">
        <v>780</v>
      </c>
      <c r="I11" s="799"/>
      <c r="J11" s="214" t="str">
        <f>+'27'!J11</f>
        <v xml:space="preserve">T 13 VP OW HB </v>
      </c>
      <c r="K11" s="236"/>
      <c r="L11" s="236"/>
      <c r="M11" s="119">
        <f>+K11+'27'!M11+L11</f>
        <v>10128</v>
      </c>
    </row>
    <row r="12" spans="1:19" ht="13.5" thickBot="1">
      <c r="A12" s="796"/>
      <c r="B12" s="215"/>
      <c r="C12" s="216"/>
      <c r="D12" s="217"/>
      <c r="E12" s="219"/>
      <c r="F12" s="226"/>
      <c r="G12" s="230"/>
      <c r="H12" s="231"/>
      <c r="I12" s="799"/>
      <c r="J12" s="214" t="str">
        <f>+'27'!J12</f>
        <v>TW 15 VP OW</v>
      </c>
      <c r="K12" s="236"/>
      <c r="L12" s="236"/>
      <c r="M12" s="119">
        <f>+K12+'27'!M12+L12</f>
        <v>51015</v>
      </c>
      <c r="Q12" s="151">
        <f>SUM(Q6:Q11)</f>
        <v>480</v>
      </c>
      <c r="R12" s="151">
        <f>SUM(R6:R9)</f>
        <v>570250</v>
      </c>
      <c r="S12" s="151">
        <f>SUM(S6:S9)</f>
        <v>444795</v>
      </c>
    </row>
    <row r="13" spans="1:19" ht="13.5" thickBot="1">
      <c r="A13" s="796"/>
      <c r="B13" s="215"/>
      <c r="C13" s="216"/>
      <c r="D13" s="216"/>
      <c r="E13" s="219"/>
      <c r="F13" s="226"/>
      <c r="G13" s="230"/>
      <c r="H13" s="231"/>
      <c r="I13" s="800"/>
      <c r="J13" s="214" t="str">
        <f>+'27'!J13</f>
        <v>F 12,5 VP OW</v>
      </c>
      <c r="K13" s="236"/>
      <c r="L13" s="236"/>
      <c r="M13" s="119">
        <f>+K13+'27'!M13+L13</f>
        <v>10854</v>
      </c>
      <c r="P13" s="151" t="s">
        <v>424</v>
      </c>
      <c r="Q13" s="151">
        <f>480-Q12</f>
        <v>0</v>
      </c>
      <c r="R13" s="151">
        <f>+R12/Q12</f>
        <v>1188.0208333333333</v>
      </c>
      <c r="S13" s="151">
        <f>+S12/Q12</f>
        <v>926.65625</v>
      </c>
    </row>
    <row r="14" spans="1:19" ht="13.5" thickBot="1">
      <c r="A14" s="797"/>
      <c r="B14" s="167" t="s">
        <v>3</v>
      </c>
      <c r="C14" s="101">
        <f>SUM(C7:C13)</f>
        <v>16418</v>
      </c>
      <c r="D14" s="113">
        <f>SUM(D7:D13)</f>
        <v>0</v>
      </c>
      <c r="E14" s="114">
        <f>SUM(E5:E13)</f>
        <v>0</v>
      </c>
      <c r="F14" s="118">
        <f>SUM(F7:F13)</f>
        <v>11</v>
      </c>
      <c r="G14" s="161"/>
      <c r="H14" s="168"/>
      <c r="I14" s="169"/>
      <c r="J14" s="214" t="str">
        <f>+'27'!J14</f>
        <v>T 14,5 RC HW</v>
      </c>
      <c r="K14" s="236"/>
      <c r="L14" s="236"/>
      <c r="M14" s="119">
        <f>+K14+'27'!M14+L14</f>
        <v>30142</v>
      </c>
    </row>
    <row r="15" spans="1:19" ht="13.5" thickBot="1">
      <c r="A15" s="801" t="s">
        <v>789</v>
      </c>
      <c r="B15" s="518"/>
      <c r="C15" s="115">
        <f>C14/($C$23+$D$23+$E$23)</f>
        <v>0.73696022982314391</v>
      </c>
      <c r="D15" s="116">
        <f>D14/($C$23+$D$23+$E$23)</f>
        <v>0</v>
      </c>
      <c r="E15" s="117">
        <f>E14/($C$23+$D$23+$E$23)</f>
        <v>0</v>
      </c>
      <c r="F15" s="233"/>
      <c r="G15" s="555" t="s">
        <v>13</v>
      </c>
      <c r="H15" s="556" t="s">
        <v>461</v>
      </c>
      <c r="I15" s="798" t="s">
        <v>783</v>
      </c>
      <c r="J15" s="214" t="str">
        <f>+'27'!J15</f>
        <v>T 17 RC HW</v>
      </c>
      <c r="K15" s="236"/>
      <c r="L15" s="236"/>
      <c r="M15" s="119">
        <f>+K15+'27'!M15+L15</f>
        <v>41659</v>
      </c>
    </row>
    <row r="16" spans="1:19" ht="13.5" thickBot="1">
      <c r="A16" s="796"/>
      <c r="B16" s="517" t="s">
        <v>790</v>
      </c>
      <c r="C16" s="516">
        <v>22278</v>
      </c>
      <c r="D16" s="221"/>
      <c r="E16" s="222"/>
      <c r="F16" s="229">
        <v>3</v>
      </c>
      <c r="G16" s="557" t="s">
        <v>13</v>
      </c>
      <c r="H16" s="228" t="s">
        <v>399</v>
      </c>
      <c r="I16" s="799"/>
      <c r="J16" s="214" t="str">
        <f>+'27'!J16</f>
        <v>T 19 RC HW</v>
      </c>
      <c r="K16" s="227"/>
      <c r="L16" s="227"/>
      <c r="M16" s="119">
        <f>+K16+'27'!M16+L16</f>
        <v>15992</v>
      </c>
      <c r="N16" s="151" t="s">
        <v>766</v>
      </c>
      <c r="O16" s="151">
        <v>1200</v>
      </c>
      <c r="P16" s="151">
        <f>+O16-O16*0.22</f>
        <v>936</v>
      </c>
      <c r="Q16" s="151">
        <v>480</v>
      </c>
      <c r="R16" s="151">
        <f>+O16*Q16</f>
        <v>576000</v>
      </c>
      <c r="S16" s="151">
        <f>+P16*Q16</f>
        <v>449280</v>
      </c>
    </row>
    <row r="17" spans="1:19" ht="13.5" thickBot="1">
      <c r="A17" s="796"/>
      <c r="B17" s="215"/>
      <c r="C17" s="216"/>
      <c r="D17" s="217"/>
      <c r="E17" s="223"/>
      <c r="F17" s="229">
        <v>5</v>
      </c>
      <c r="G17" s="557" t="s">
        <v>13</v>
      </c>
      <c r="H17" s="231" t="s">
        <v>400</v>
      </c>
      <c r="I17" s="799"/>
      <c r="J17" s="214" t="str">
        <f>+'27'!J17</f>
        <v>T 20 RC HW</v>
      </c>
      <c r="K17" s="227">
        <f>+C8</f>
        <v>788</v>
      </c>
      <c r="L17" s="227"/>
      <c r="M17" s="119">
        <f>+K17+'27'!M17+L17</f>
        <v>25912</v>
      </c>
      <c r="O17" s="151">
        <v>1200</v>
      </c>
      <c r="P17" s="151">
        <f>+O17-O17*0.22</f>
        <v>936</v>
      </c>
      <c r="Q17" s="151">
        <v>480</v>
      </c>
      <c r="R17" s="151">
        <f>+O17*Q17</f>
        <v>576000</v>
      </c>
      <c r="S17" s="151">
        <f>+P17*Q17</f>
        <v>449280</v>
      </c>
    </row>
    <row r="18" spans="1:19" ht="103.5" customHeight="1" thickBot="1">
      <c r="A18" s="796"/>
      <c r="B18" s="215"/>
      <c r="C18" s="216"/>
      <c r="D18" s="217"/>
      <c r="E18" s="223"/>
      <c r="F18" s="229"/>
      <c r="G18" s="227"/>
      <c r="H18" s="558" t="s">
        <v>782</v>
      </c>
      <c r="I18" s="799"/>
      <c r="J18" s="214" t="str">
        <f>+'27'!J18</f>
        <v>T 15,5 RC HW</v>
      </c>
      <c r="K18" s="236">
        <f>+C7+C16+C25</f>
        <v>56618</v>
      </c>
      <c r="L18" s="236"/>
      <c r="M18" s="119">
        <f>+K18+'27'!M18+L18</f>
        <v>145709</v>
      </c>
      <c r="O18" s="151">
        <v>1200</v>
      </c>
      <c r="P18" s="151">
        <f>+O18-O18*0.22</f>
        <v>936</v>
      </c>
      <c r="Q18" s="151">
        <v>480</v>
      </c>
      <c r="R18" s="151">
        <f>+O18*Q18</f>
        <v>576000</v>
      </c>
      <c r="S18" s="151">
        <f>+P18*Q18</f>
        <v>449280</v>
      </c>
    </row>
    <row r="19" spans="1:19" ht="87" customHeight="1" thickBot="1">
      <c r="A19" s="796"/>
      <c r="B19" s="215"/>
      <c r="C19" s="216"/>
      <c r="D19" s="217"/>
      <c r="E19" s="223"/>
      <c r="F19" s="232"/>
      <c r="G19" s="230"/>
      <c r="H19" s="231" t="s">
        <v>779</v>
      </c>
      <c r="I19" s="799"/>
      <c r="J19" s="214">
        <f>+'27'!J19</f>
        <v>0</v>
      </c>
      <c r="K19" s="236"/>
      <c r="L19" s="236"/>
      <c r="M19" s="119">
        <f>+K19+'27'!M19+L19</f>
        <v>0</v>
      </c>
      <c r="P19" s="151">
        <f t="shared" ref="P19:P20" si="1">+O19-O19*0.23</f>
        <v>0</v>
      </c>
      <c r="R19" s="151">
        <f>+O19*Q19</f>
        <v>0</v>
      </c>
      <c r="S19" s="151">
        <f>+P19*Q19</f>
        <v>0</v>
      </c>
    </row>
    <row r="20" spans="1:19" ht="13.5" thickBot="1">
      <c r="A20" s="796"/>
      <c r="B20" s="215"/>
      <c r="C20" s="216"/>
      <c r="D20" s="217"/>
      <c r="E20" s="223"/>
      <c r="F20" s="226"/>
      <c r="G20" s="230"/>
      <c r="H20" s="231"/>
      <c r="I20" s="799"/>
      <c r="J20" s="214">
        <f>+'27'!J20</f>
        <v>0</v>
      </c>
      <c r="K20" s="237"/>
      <c r="L20" s="237"/>
      <c r="M20" s="119">
        <f>+K20+'27'!M20+L20</f>
        <v>0</v>
      </c>
      <c r="P20" s="151">
        <f t="shared" si="1"/>
        <v>0</v>
      </c>
      <c r="R20" s="151">
        <f>+O20*Q20</f>
        <v>0</v>
      </c>
      <c r="S20" s="151">
        <f>+P20*Q20</f>
        <v>0</v>
      </c>
    </row>
    <row r="21" spans="1:19" ht="13.5" thickBot="1">
      <c r="A21" s="796"/>
      <c r="B21" s="215"/>
      <c r="C21" s="216"/>
      <c r="D21" s="217"/>
      <c r="E21" s="223"/>
      <c r="F21" s="229"/>
      <c r="G21" s="230"/>
      <c r="H21" s="231"/>
      <c r="I21" s="799"/>
      <c r="J21" s="214">
        <f>+'27'!J21</f>
        <v>0</v>
      </c>
      <c r="K21" s="236"/>
      <c r="L21" s="236"/>
      <c r="M21" s="119">
        <f>+K21+'27'!M21+L21</f>
        <v>0</v>
      </c>
    </row>
    <row r="22" spans="1:19" ht="13.5" thickBot="1">
      <c r="A22" s="796"/>
      <c r="B22" s="215"/>
      <c r="C22" s="216"/>
      <c r="D22" s="217"/>
      <c r="E22" s="223"/>
      <c r="F22" s="233"/>
      <c r="G22" s="230"/>
      <c r="H22" s="231"/>
      <c r="I22" s="800"/>
      <c r="J22" s="214">
        <f>+'27'!J22</f>
        <v>0</v>
      </c>
      <c r="K22" s="236"/>
      <c r="L22" s="236"/>
      <c r="M22" s="119">
        <f>+K22+'27'!M22+L22</f>
        <v>0</v>
      </c>
      <c r="Q22" s="151">
        <f>SUM(Q16:Q21)</f>
        <v>1440</v>
      </c>
      <c r="R22" s="151">
        <f>SUM(R16:R19)</f>
        <v>1728000</v>
      </c>
      <c r="S22" s="151">
        <f>SUM(S16:S19)</f>
        <v>1347840</v>
      </c>
    </row>
    <row r="23" spans="1:19" ht="13.5" thickBot="1">
      <c r="A23" s="797"/>
      <c r="B23" s="167" t="s">
        <v>3</v>
      </c>
      <c r="C23" s="101">
        <f>SUM(C16:C22)</f>
        <v>22278</v>
      </c>
      <c r="D23" s="113">
        <f>SUM(D16:D22)</f>
        <v>0</v>
      </c>
      <c r="E23" s="114">
        <f>SUM(E18:E22)</f>
        <v>0</v>
      </c>
      <c r="F23" s="118">
        <f>SUM(F15:F22)</f>
        <v>8</v>
      </c>
      <c r="G23" s="161"/>
      <c r="H23" s="168"/>
      <c r="I23" s="170"/>
      <c r="J23" s="214">
        <f>+'27'!J23</f>
        <v>0</v>
      </c>
      <c r="K23" s="236"/>
      <c r="L23" s="236"/>
      <c r="M23" s="119">
        <f>+K23+'27'!M23+L23</f>
        <v>0</v>
      </c>
      <c r="P23" s="151" t="s">
        <v>424</v>
      </c>
      <c r="Q23" s="151">
        <f>480-Q22</f>
        <v>-960</v>
      </c>
      <c r="R23" s="151">
        <f>+R22/Q22</f>
        <v>1200</v>
      </c>
      <c r="S23" s="151">
        <f>+S22/Q22</f>
        <v>936</v>
      </c>
    </row>
    <row r="24" spans="1:19" ht="13.5" thickBot="1">
      <c r="A24" s="801" t="s">
        <v>442</v>
      </c>
      <c r="B24" s="518"/>
      <c r="C24" s="115">
        <f>C23/($C$23+$D$23+$E$23)</f>
        <v>1</v>
      </c>
      <c r="D24" s="116">
        <f>D23/($C$23+$D$23+$E$23)</f>
        <v>0</v>
      </c>
      <c r="E24" s="117">
        <f>E23/($C$23+$D$23+$E$23)</f>
        <v>0</v>
      </c>
      <c r="F24" s="233"/>
      <c r="G24" s="555" t="s">
        <v>13</v>
      </c>
      <c r="H24" s="556" t="s">
        <v>461</v>
      </c>
      <c r="I24" s="798" t="s">
        <v>783</v>
      </c>
      <c r="J24" s="214">
        <f>+'27'!J24</f>
        <v>0</v>
      </c>
      <c r="K24" s="236"/>
      <c r="L24" s="236"/>
      <c r="M24" s="119">
        <f>+K24+'27'!M24+L24</f>
        <v>0</v>
      </c>
    </row>
    <row r="25" spans="1:19" ht="13.5" thickBot="1">
      <c r="A25" s="796"/>
      <c r="B25" s="517" t="s">
        <v>790</v>
      </c>
      <c r="C25" s="224">
        <v>18710</v>
      </c>
      <c r="D25" s="217"/>
      <c r="E25" s="223"/>
      <c r="F25" s="229">
        <v>2</v>
      </c>
      <c r="G25" s="557" t="s">
        <v>13</v>
      </c>
      <c r="H25" s="228" t="s">
        <v>462</v>
      </c>
      <c r="I25" s="799"/>
      <c r="J25" s="214">
        <f>+'27'!J25</f>
        <v>0</v>
      </c>
      <c r="K25" s="236"/>
      <c r="L25" s="236"/>
      <c r="M25" s="119">
        <f>+K25+'27'!M25+L25</f>
        <v>0</v>
      </c>
    </row>
    <row r="26" spans="1:19" ht="13.5" thickBot="1">
      <c r="A26" s="796"/>
      <c r="B26" s="215"/>
      <c r="C26" s="224"/>
      <c r="D26" s="217"/>
      <c r="E26" s="225"/>
      <c r="F26" s="229">
        <v>4</v>
      </c>
      <c r="G26" s="557" t="s">
        <v>13</v>
      </c>
      <c r="H26" s="231" t="s">
        <v>400</v>
      </c>
      <c r="I26" s="799"/>
      <c r="J26" s="214">
        <f>+'27'!J26</f>
        <v>0</v>
      </c>
      <c r="K26" s="236"/>
      <c r="L26" s="236"/>
      <c r="M26" s="119">
        <f>+K26+'27'!M26+L26</f>
        <v>0</v>
      </c>
    </row>
    <row r="27" spans="1:19" ht="112.5" customHeight="1" thickBot="1">
      <c r="A27" s="796"/>
      <c r="B27" s="215"/>
      <c r="C27" s="216"/>
      <c r="D27" s="217"/>
      <c r="E27" s="223"/>
      <c r="F27" s="229"/>
      <c r="G27" s="227"/>
      <c r="H27" s="558" t="s">
        <v>784</v>
      </c>
      <c r="I27" s="799"/>
      <c r="J27" s="214">
        <f>+'27'!J27</f>
        <v>0</v>
      </c>
      <c r="K27" s="236"/>
      <c r="L27" s="236"/>
      <c r="M27" s="119">
        <f>+K27+'27'!M27+L27</f>
        <v>0</v>
      </c>
    </row>
    <row r="28" spans="1:19" ht="26.25" thickBot="1">
      <c r="A28" s="796"/>
      <c r="B28" s="215"/>
      <c r="C28" s="216"/>
      <c r="D28" s="217"/>
      <c r="E28" s="223"/>
      <c r="F28" s="229"/>
      <c r="G28" s="227"/>
      <c r="H28" s="231" t="s">
        <v>778</v>
      </c>
      <c r="I28" s="799"/>
      <c r="J28" s="214">
        <f>+'27'!J28</f>
        <v>0</v>
      </c>
      <c r="K28" s="236"/>
      <c r="L28" s="236"/>
      <c r="M28" s="119">
        <f>+K28+'27'!M28+L28</f>
        <v>0</v>
      </c>
    </row>
    <row r="29" spans="1:19" ht="13.5" thickBot="1">
      <c r="A29" s="796"/>
      <c r="B29" s="215"/>
      <c r="C29" s="216"/>
      <c r="D29" s="217"/>
      <c r="E29" s="223"/>
      <c r="F29" s="233"/>
      <c r="G29" s="230"/>
      <c r="H29" s="231"/>
      <c r="I29" s="799"/>
      <c r="J29" s="214">
        <f>+'27'!J29</f>
        <v>0</v>
      </c>
      <c r="K29" s="236"/>
      <c r="L29" s="236"/>
      <c r="M29" s="119">
        <f>+K29+'27'!M29+L29</f>
        <v>0</v>
      </c>
    </row>
    <row r="30" spans="1:19" ht="13.5" customHeight="1" thickBot="1">
      <c r="A30" s="796"/>
      <c r="B30" s="215"/>
      <c r="C30" s="224"/>
      <c r="D30" s="217"/>
      <c r="E30" s="223"/>
      <c r="F30" s="233"/>
      <c r="G30" s="230"/>
      <c r="H30" s="231"/>
      <c r="I30" s="799"/>
      <c r="J30" s="214">
        <f>+'27'!J30</f>
        <v>0</v>
      </c>
      <c r="K30" s="236"/>
      <c r="L30" s="236"/>
      <c r="M30" s="119">
        <f>+K30+'27'!M30+L30</f>
        <v>0</v>
      </c>
      <c r="N30" s="157"/>
    </row>
    <row r="31" spans="1:19" ht="13.5" customHeight="1" thickBot="1">
      <c r="A31" s="796"/>
      <c r="B31" s="215"/>
      <c r="C31" s="224"/>
      <c r="D31" s="217"/>
      <c r="E31" s="223"/>
      <c r="F31" s="233"/>
      <c r="G31" s="234"/>
      <c r="H31" s="409"/>
      <c r="I31" s="800"/>
      <c r="J31" s="214">
        <f>+'27'!J31</f>
        <v>0</v>
      </c>
      <c r="K31" s="236"/>
      <c r="L31" s="236"/>
      <c r="M31" s="119">
        <f>+K31+'27'!M31+L31</f>
        <v>0</v>
      </c>
    </row>
    <row r="32" spans="1:19" ht="13.5" customHeight="1" thickBot="1">
      <c r="A32" s="797"/>
      <c r="B32" s="167" t="s">
        <v>3</v>
      </c>
      <c r="C32" s="101">
        <f>SUM(C25:C31)</f>
        <v>18710</v>
      </c>
      <c r="D32" s="102">
        <f>SUM(D25:D31)</f>
        <v>0</v>
      </c>
      <c r="E32" s="103">
        <f>SUM(E25:E31)</f>
        <v>0</v>
      </c>
      <c r="F32" s="101">
        <f>SUM(F24:F31)</f>
        <v>6</v>
      </c>
      <c r="G32" s="171"/>
      <c r="H32" s="172"/>
      <c r="I32" s="170"/>
      <c r="J32" s="214">
        <f>+'27'!J32</f>
        <v>0</v>
      </c>
      <c r="K32" s="238"/>
      <c r="L32" s="240"/>
      <c r="M32" s="119">
        <f>+K32+'27'!M32+L32</f>
        <v>0</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02" t="s">
        <v>69</v>
      </c>
      <c r="B34" s="803"/>
      <c r="C34" s="109">
        <f>C14+C23+C32</f>
        <v>57406</v>
      </c>
      <c r="D34" s="109">
        <f>D14+D23+D32</f>
        <v>0</v>
      </c>
      <c r="E34" s="109">
        <f>E14+E23+E32</f>
        <v>0</v>
      </c>
      <c r="F34" s="110">
        <f>F14+F23+F32</f>
        <v>25</v>
      </c>
      <c r="H34" s="178"/>
      <c r="I34" s="178"/>
      <c r="J34" s="125" t="s">
        <v>29</v>
      </c>
      <c r="K34" s="126">
        <f>SUM(K7:K32)</f>
        <v>57406</v>
      </c>
      <c r="L34" s="212">
        <f>SUM(L7:L32)</f>
        <v>0</v>
      </c>
      <c r="M34" s="122">
        <f>SUM(M7:M32)</f>
        <v>1229670</v>
      </c>
      <c r="N34" s="157" t="s">
        <v>766</v>
      </c>
      <c r="O34" s="151">
        <v>1200</v>
      </c>
      <c r="P34" s="151">
        <v>936</v>
      </c>
      <c r="Q34" s="151">
        <f>1440-Q35</f>
        <v>1417</v>
      </c>
    </row>
    <row r="35" spans="1:17" ht="13.5" thickBot="1">
      <c r="A35" s="179"/>
      <c r="B35" s="180"/>
      <c r="C35" s="106">
        <f>C34/($C$34+$D$34+$E$34)</f>
        <v>1</v>
      </c>
      <c r="D35" s="106">
        <f>D34/($C$34+$D$34+$E$34)</f>
        <v>0</v>
      </c>
      <c r="E35" s="111">
        <f>E34/($C$34+$D$34+$E$34)</f>
        <v>0</v>
      </c>
      <c r="K35" s="157"/>
      <c r="N35" s="151" t="s">
        <v>735</v>
      </c>
      <c r="O35" s="151">
        <v>950</v>
      </c>
      <c r="P35" s="151">
        <v>741</v>
      </c>
      <c r="Q35" s="151">
        <v>23</v>
      </c>
    </row>
    <row r="36" spans="1:17" ht="13.5" thickBot="1">
      <c r="A36" s="178"/>
      <c r="B36" s="178"/>
      <c r="C36" s="157"/>
      <c r="D36" s="157"/>
      <c r="E36" s="157"/>
      <c r="G36" s="157"/>
      <c r="H36" s="181"/>
      <c r="I36" s="164" t="s">
        <v>39</v>
      </c>
      <c r="J36" s="164" t="s">
        <v>40</v>
      </c>
      <c r="K36" s="182"/>
    </row>
    <row r="37" spans="1:17" ht="17.45" customHeight="1" thickBot="1">
      <c r="A37" s="804" t="s">
        <v>70</v>
      </c>
      <c r="B37" s="805"/>
      <c r="C37" s="164" t="s">
        <v>71</v>
      </c>
      <c r="D37" s="183" t="s">
        <v>72</v>
      </c>
      <c r="E37" s="184" t="s">
        <v>73</v>
      </c>
      <c r="F37" s="309"/>
      <c r="G37" s="311"/>
      <c r="H37" s="186" t="s">
        <v>74</v>
      </c>
      <c r="I37" s="241">
        <f>(15.5*1417+23*20)/1440*G42*2.74*1440/1000000</f>
        <v>57.316843825312503</v>
      </c>
      <c r="J37" s="127">
        <f>+I37+'27'!J37</f>
        <v>1402.8872321864073</v>
      </c>
      <c r="K37" s="128" t="s">
        <v>75</v>
      </c>
    </row>
    <row r="38" spans="1:17" ht="17.45" customHeight="1">
      <c r="A38" s="806" t="s">
        <v>13</v>
      </c>
      <c r="B38" s="807"/>
      <c r="C38" s="166">
        <f>SUMIF($G$7:$G$31,"Process",$F$7:$F$31)</f>
        <v>25</v>
      </c>
      <c r="D38" s="120">
        <f>C38+'27'!D38</f>
        <v>1694</v>
      </c>
      <c r="E38" s="145">
        <f t="shared" ref="E38:E52" si="2">D38/60</f>
        <v>28.233333333333334</v>
      </c>
      <c r="F38" s="309">
        <v>1188.0208333333333</v>
      </c>
      <c r="G38" s="309">
        <v>926.65625</v>
      </c>
      <c r="H38" s="187" t="s">
        <v>76</v>
      </c>
      <c r="I38" s="242">
        <f>18.525+18.872+18.456</f>
        <v>55.852999999999994</v>
      </c>
      <c r="J38" s="129">
        <f>+I38+'27'!J38</f>
        <v>1278.5840000000003</v>
      </c>
      <c r="K38" s="130" t="s">
        <v>75</v>
      </c>
      <c r="N38" s="598">
        <f>+M34-1229670</f>
        <v>0</v>
      </c>
    </row>
    <row r="39" spans="1:17" ht="17.45" customHeight="1">
      <c r="A39" s="793" t="s">
        <v>14</v>
      </c>
      <c r="B39" s="794"/>
      <c r="C39" s="166">
        <f>SUMIF($G$7:$G$31,"Cleaning",$F$7:$F$31)</f>
        <v>0</v>
      </c>
      <c r="D39" s="120">
        <f>C39+'27'!D39</f>
        <v>0</v>
      </c>
      <c r="E39" s="145">
        <f t="shared" si="2"/>
        <v>0</v>
      </c>
      <c r="F39" s="309">
        <v>1200</v>
      </c>
      <c r="G39" s="309">
        <v>936</v>
      </c>
      <c r="H39" s="187" t="s">
        <v>77</v>
      </c>
      <c r="I39" s="144"/>
      <c r="J39" s="131">
        <f>J37/G4</f>
        <v>50.103115435228837</v>
      </c>
      <c r="K39" s="132" t="s">
        <v>75</v>
      </c>
    </row>
    <row r="40" spans="1:17" ht="17.45" customHeight="1">
      <c r="A40" s="793" t="s">
        <v>78</v>
      </c>
      <c r="B40" s="794"/>
      <c r="C40" s="166">
        <f>SUMIF($G$7:$G$31,"Mechanical",$F$7:$F$31)</f>
        <v>0</v>
      </c>
      <c r="D40" s="120">
        <f>C40+'27'!D40</f>
        <v>73</v>
      </c>
      <c r="E40" s="145">
        <f t="shared" si="2"/>
        <v>1.2166666666666666</v>
      </c>
      <c r="F40" s="309">
        <v>1200</v>
      </c>
      <c r="G40" s="309">
        <v>936</v>
      </c>
      <c r="H40" s="187" t="s">
        <v>79</v>
      </c>
      <c r="I40" s="120">
        <f>(K34+L34)/1000</f>
        <v>57.405999999999999</v>
      </c>
      <c r="J40" s="133">
        <f>+I40+'27'!J40</f>
        <v>1229.6699999999998</v>
      </c>
      <c r="K40" s="132" t="s">
        <v>75</v>
      </c>
    </row>
    <row r="41" spans="1:17" ht="17.45" customHeight="1">
      <c r="A41" s="793" t="s">
        <v>80</v>
      </c>
      <c r="B41" s="794"/>
      <c r="C41" s="166">
        <f>SUMIF($G$7:$G$31,"Electrical",$F$7:$F$31)</f>
        <v>0</v>
      </c>
      <c r="D41" s="120">
        <f>C41+'27'!D41</f>
        <v>59</v>
      </c>
      <c r="E41" s="145">
        <f t="shared" si="2"/>
        <v>0.98333333333333328</v>
      </c>
      <c r="F41" s="309"/>
      <c r="G41" s="309"/>
      <c r="H41" s="187" t="s">
        <v>81</v>
      </c>
      <c r="I41" s="144"/>
      <c r="J41" s="131">
        <f>J40/G4</f>
        <v>43.916785714285709</v>
      </c>
      <c r="K41" s="132" t="s">
        <v>75</v>
      </c>
    </row>
    <row r="42" spans="1:17" ht="17.45" customHeight="1">
      <c r="A42" s="793" t="s">
        <v>17</v>
      </c>
      <c r="B42" s="794"/>
      <c r="C42" s="166">
        <f>SUMIF($G$7:$G$31,"Instrument",$F$7:$F$31)</f>
        <v>0</v>
      </c>
      <c r="D42" s="120">
        <f>C42+'27'!D42</f>
        <v>0</v>
      </c>
      <c r="E42" s="145">
        <f t="shared" si="2"/>
        <v>0</v>
      </c>
      <c r="F42" s="185">
        <f>+(480*F38+480*F39+480*F40)/1440</f>
        <v>1196.0069444444443</v>
      </c>
      <c r="G42" s="185">
        <f>+(480*G38+480*G39+480*G40)/1440</f>
        <v>932.88541666666663</v>
      </c>
      <c r="H42" s="187" t="s">
        <v>82</v>
      </c>
      <c r="I42" s="243" t="s">
        <v>787</v>
      </c>
      <c r="J42" s="134"/>
      <c r="K42" s="132" t="s">
        <v>83</v>
      </c>
    </row>
    <row r="43" spans="1:17" ht="17.45" customHeight="1">
      <c r="A43" s="793" t="s">
        <v>84</v>
      </c>
      <c r="B43" s="794"/>
      <c r="C43" s="166">
        <f>SUMIF($G$7:$G$31,"Water",$F$7:$F$31)</f>
        <v>0</v>
      </c>
      <c r="D43" s="120">
        <f>C43+'27'!D43</f>
        <v>0</v>
      </c>
      <c r="E43" s="145">
        <f t="shared" si="2"/>
        <v>0</v>
      </c>
      <c r="F43" s="309"/>
      <c r="G43" s="310"/>
      <c r="H43" s="188" t="s">
        <v>85</v>
      </c>
      <c r="I43" s="120">
        <f>+Report1!Z36</f>
        <v>95.6</v>
      </c>
      <c r="J43" s="135">
        <f>+I43+'27'!J43</f>
        <v>2443.48</v>
      </c>
      <c r="K43" s="132" t="s">
        <v>75</v>
      </c>
      <c r="L43" s="189"/>
    </row>
    <row r="44" spans="1:17" ht="17.45" customHeight="1">
      <c r="A44" s="793" t="s">
        <v>18</v>
      </c>
      <c r="B44" s="794"/>
      <c r="C44" s="166">
        <f>SUMIF($G$7:$G$31,"PLN",$F$7:$F$31)</f>
        <v>0</v>
      </c>
      <c r="D44" s="120">
        <f>C44+'27'!D44</f>
        <v>30</v>
      </c>
      <c r="E44" s="145">
        <f t="shared" si="2"/>
        <v>0.5</v>
      </c>
      <c r="F44" s="309"/>
      <c r="G44" s="310"/>
      <c r="H44" s="188" t="s">
        <v>86</v>
      </c>
      <c r="I44" s="120">
        <f>I43/I38</f>
        <v>1.7116359013839901</v>
      </c>
      <c r="J44" s="136">
        <f>J43/J38</f>
        <v>1.9110828854420199</v>
      </c>
      <c r="K44" s="132" t="s">
        <v>75</v>
      </c>
    </row>
    <row r="45" spans="1:17" ht="17.45" customHeight="1">
      <c r="A45" s="793" t="s">
        <v>19</v>
      </c>
      <c r="B45" s="794"/>
      <c r="C45" s="166">
        <f>SUMIF($G$7:$G$31,"Boiler",$F$7:$F$31)</f>
        <v>0</v>
      </c>
      <c r="D45" s="120">
        <f>C45+'27'!D45</f>
        <v>0</v>
      </c>
      <c r="E45" s="145">
        <f t="shared" si="2"/>
        <v>0</v>
      </c>
      <c r="F45" s="309"/>
      <c r="G45" s="312"/>
      <c r="H45" s="188" t="s">
        <v>87</v>
      </c>
      <c r="I45" s="120">
        <f>I43/I40</f>
        <v>1.6653311500540013</v>
      </c>
      <c r="J45" s="136">
        <f>J43/J40</f>
        <v>1.9871022306797761</v>
      </c>
      <c r="K45" s="132" t="s">
        <v>75</v>
      </c>
    </row>
    <row r="46" spans="1:17" ht="17.45" customHeight="1">
      <c r="A46" s="793" t="s">
        <v>88</v>
      </c>
      <c r="B46" s="794"/>
      <c r="C46" s="166">
        <f>SUMIF($G$7:$G$31,"Gas",$F$7:$F$31)</f>
        <v>0</v>
      </c>
      <c r="D46" s="120">
        <f>C46+'27'!D46</f>
        <v>0</v>
      </c>
      <c r="E46" s="145">
        <f t="shared" si="2"/>
        <v>0</v>
      </c>
      <c r="F46" s="309"/>
      <c r="G46" s="310"/>
      <c r="H46" s="188" t="s">
        <v>89</v>
      </c>
      <c r="I46" s="142">
        <f>+SUMIF(Listrik!X35,"&gt;0")</f>
        <v>37975.250000000357</v>
      </c>
      <c r="J46" s="137">
        <f>+I46+'27'!J46</f>
        <v>1114775.4699999997</v>
      </c>
      <c r="K46" s="132" t="s">
        <v>90</v>
      </c>
    </row>
    <row r="47" spans="1:17" ht="17.45" customHeight="1">
      <c r="A47" s="793" t="s">
        <v>91</v>
      </c>
      <c r="B47" s="794"/>
      <c r="C47" s="166">
        <f>SUMIF($G$7:$G$31,"Gas",$F$7:$F$31)</f>
        <v>0</v>
      </c>
      <c r="D47" s="120">
        <f>C47+'27'!D47</f>
        <v>0</v>
      </c>
      <c r="E47" s="145">
        <f t="shared" si="2"/>
        <v>0</v>
      </c>
      <c r="F47" s="309"/>
      <c r="G47" s="310"/>
      <c r="H47" s="188" t="s">
        <v>92</v>
      </c>
      <c r="I47" s="120">
        <f>I46/I38</f>
        <v>679.91423916352494</v>
      </c>
      <c r="J47" s="137">
        <f>J46/J38</f>
        <v>871.88285634733381</v>
      </c>
      <c r="K47" s="132" t="s">
        <v>25</v>
      </c>
    </row>
    <row r="48" spans="1:17" ht="17.45" customHeight="1">
      <c r="A48" s="793" t="s">
        <v>15</v>
      </c>
      <c r="B48" s="794"/>
      <c r="C48" s="166">
        <f>SUMIF($G$7:$G$31,"Start Up",$F$7:$F$31)</f>
        <v>0</v>
      </c>
      <c r="D48" s="120">
        <f>C48+'27'!D48</f>
        <v>0</v>
      </c>
      <c r="E48" s="145">
        <f t="shared" si="2"/>
        <v>0</v>
      </c>
      <c r="F48" s="309"/>
      <c r="G48" s="310"/>
      <c r="H48" s="188" t="s">
        <v>93</v>
      </c>
      <c r="I48" s="120">
        <f>I46/I40</f>
        <v>661.52057276243522</v>
      </c>
      <c r="J48" s="137">
        <f>J46/J40</f>
        <v>906.56474501288949</v>
      </c>
      <c r="K48" s="132" t="s">
        <v>25</v>
      </c>
    </row>
    <row r="49" spans="1:11" ht="17.45" customHeight="1">
      <c r="A49" s="793" t="s">
        <v>21</v>
      </c>
      <c r="B49" s="794"/>
      <c r="C49" s="166">
        <f>SUMIF($G$7:$G$31,"Others",$F$7:$F$31)</f>
        <v>0</v>
      </c>
      <c r="D49" s="120">
        <f>C49+'27'!D49</f>
        <v>454</v>
      </c>
      <c r="E49" s="145">
        <f t="shared" si="2"/>
        <v>7.5666666666666664</v>
      </c>
      <c r="F49" s="185"/>
      <c r="H49" s="188" t="s">
        <v>280</v>
      </c>
      <c r="I49" s="120">
        <f>+Report1!T36</f>
        <v>3982.8700531008913</v>
      </c>
      <c r="J49" s="137">
        <f>+I49+'27'!J49</f>
        <v>102075.07482903344</v>
      </c>
      <c r="K49" s="132" t="s">
        <v>94</v>
      </c>
    </row>
    <row r="50" spans="1:11" ht="17.45" customHeight="1">
      <c r="A50" s="793" t="s">
        <v>20</v>
      </c>
      <c r="B50" s="794"/>
      <c r="C50" s="166">
        <f>SUMIF($G$7:$G$31,"Steam",$F$7:$F$31)</f>
        <v>0</v>
      </c>
      <c r="D50" s="120">
        <f>C50+'27'!D50</f>
        <v>0</v>
      </c>
      <c r="E50" s="145">
        <f t="shared" si="2"/>
        <v>0</v>
      </c>
      <c r="F50" s="185"/>
      <c r="H50" s="188" t="s">
        <v>95</v>
      </c>
      <c r="I50" s="142">
        <f>I49/I38</f>
        <v>71.309867922956542</v>
      </c>
      <c r="J50" s="135">
        <f>J49/J38</f>
        <v>79.834469091614963</v>
      </c>
      <c r="K50" s="132" t="s">
        <v>94</v>
      </c>
    </row>
    <row r="51" spans="1:11" ht="17.45" customHeight="1">
      <c r="A51" s="810" t="s">
        <v>96</v>
      </c>
      <c r="B51" s="810"/>
      <c r="C51" s="166">
        <f>SUMIF($G$7:$G$31,"Planned shut",$F$7:$F$31)</f>
        <v>0</v>
      </c>
      <c r="D51" s="120">
        <f>C51+'27'!D51</f>
        <v>0</v>
      </c>
      <c r="E51" s="145">
        <f t="shared" si="2"/>
        <v>0</v>
      </c>
      <c r="F51" s="185"/>
      <c r="H51" s="190" t="s">
        <v>97</v>
      </c>
      <c r="I51" s="143">
        <f>I49/I40</f>
        <v>69.380727678306997</v>
      </c>
      <c r="J51" s="138">
        <f>J49/J40</f>
        <v>83.010136726953945</v>
      </c>
      <c r="K51" s="139" t="s">
        <v>94</v>
      </c>
    </row>
    <row r="52" spans="1:11" ht="13.5" thickBot="1">
      <c r="A52" s="811" t="s">
        <v>230</v>
      </c>
      <c r="B52" s="812"/>
      <c r="C52" s="166">
        <f>SUMIF($G$7:$G$31,"Change Grade",$F$7:$F$31)</f>
        <v>0</v>
      </c>
      <c r="D52" s="120">
        <f>C52+'27'!D52</f>
        <v>0</v>
      </c>
      <c r="E52" s="145">
        <f t="shared" si="2"/>
        <v>0</v>
      </c>
      <c r="F52" s="185"/>
      <c r="H52" s="191"/>
      <c r="I52" s="192"/>
      <c r="J52" s="140"/>
      <c r="K52" s="141"/>
    </row>
    <row r="53" spans="1:11">
      <c r="A53" s="806" t="s">
        <v>29</v>
      </c>
      <c r="B53" s="807"/>
      <c r="C53" s="146">
        <f>SUM(C38:C52)</f>
        <v>25</v>
      </c>
      <c r="D53" s="146">
        <f>SUM(D38:D52)</f>
        <v>2310</v>
      </c>
      <c r="E53" s="147">
        <f>SUM(E38:E52)</f>
        <v>38.5</v>
      </c>
      <c r="F53" s="185"/>
    </row>
    <row r="54" spans="1:11" ht="13.5" thickBot="1">
      <c r="A54" s="808"/>
      <c r="B54" s="809"/>
      <c r="C54" s="148">
        <f>C53/(24*60)</f>
        <v>1.7361111111111112E-2</v>
      </c>
      <c r="D54" s="148">
        <f>D53/(24*60*G4)</f>
        <v>5.7291666666666664E-2</v>
      </c>
      <c r="E54" s="149">
        <f>E53/(G4*24)</f>
        <v>5.7291666666666664E-2</v>
      </c>
      <c r="F54" s="185"/>
    </row>
    <row r="55" spans="1:11">
      <c r="E55" s="193"/>
    </row>
    <row r="56" spans="1:11">
      <c r="A56" s="194" t="s">
        <v>98</v>
      </c>
      <c r="B56" s="195"/>
      <c r="C56" s="196"/>
      <c r="D56" s="196"/>
      <c r="E56" s="196"/>
      <c r="F56" s="197"/>
      <c r="G56" s="196"/>
      <c r="H56" s="198"/>
      <c r="I56" s="199" t="s">
        <v>99</v>
      </c>
      <c r="J56" s="200">
        <f>+D34+'27'!J56</f>
        <v>6233</v>
      </c>
      <c r="K56" s="201">
        <f>J56/(J40+J56/1000)/1000</f>
        <v>5.0432760499812693E-3</v>
      </c>
    </row>
    <row r="57" spans="1:11">
      <c r="A57" s="176"/>
      <c r="I57" s="199" t="s">
        <v>100</v>
      </c>
      <c r="J57" s="200">
        <f>+E34+'27'!J57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05" right="0.05" top="0.19513888888888889" bottom="0.39027777777777778" header="0" footer="0"/>
  <pageSetup paperSize="9" scale="42"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7" zoomScale="80" zoomScaleNormal="80" zoomScaleSheetLayoutView="80" workbookViewId="0">
      <selection activeCell="D26" sqref="D26"/>
    </sheetView>
  </sheetViews>
  <sheetFormatPr defaultColWidth="9.140625" defaultRowHeight="12.75"/>
  <cols>
    <col min="1" max="1" width="8" style="151" customWidth="1"/>
    <col min="2" max="2" width="7" style="15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285156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27</v>
      </c>
      <c r="H4" s="156" t="str">
        <f>+'1'!H4</f>
        <v>.07.25</v>
      </c>
      <c r="J4" s="151">
        <f>360+351+401</f>
        <v>1112</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766</v>
      </c>
      <c r="O6" s="151">
        <v>1200</v>
      </c>
      <c r="P6" s="151">
        <f>+O6-O6*0.23</f>
        <v>924</v>
      </c>
      <c r="Q6" s="151">
        <v>480</v>
      </c>
      <c r="R6" s="151">
        <f>+O6*Q6</f>
        <v>576000</v>
      </c>
      <c r="S6" s="151">
        <f>+P6*Q6</f>
        <v>443520</v>
      </c>
    </row>
    <row r="7" spans="1:19" ht="13.5" customHeight="1" thickBot="1">
      <c r="A7" s="795" t="s">
        <v>470</v>
      </c>
      <c r="B7" s="215" t="s">
        <v>775</v>
      </c>
      <c r="C7" s="216">
        <v>20258</v>
      </c>
      <c r="D7" s="217"/>
      <c r="E7" s="218"/>
      <c r="F7" s="233"/>
      <c r="G7" s="555" t="s">
        <v>13</v>
      </c>
      <c r="H7" s="556" t="s">
        <v>461</v>
      </c>
      <c r="I7" s="798" t="s">
        <v>768</v>
      </c>
      <c r="J7" s="214" t="str">
        <f>+'26'!J7</f>
        <v>F 12 VP OW</v>
      </c>
      <c r="K7" s="235"/>
      <c r="L7" s="239"/>
      <c r="M7" s="119">
        <f>+K7+'26'!M7+L7</f>
        <v>473486</v>
      </c>
      <c r="O7" s="151">
        <v>1200</v>
      </c>
      <c r="P7" s="151">
        <f>+O7-O7*0.23</f>
        <v>924</v>
      </c>
      <c r="Q7" s="151">
        <v>480</v>
      </c>
      <c r="R7" s="151">
        <f>+O7*Q7</f>
        <v>576000</v>
      </c>
      <c r="S7" s="151">
        <f>+P7*Q7</f>
        <v>443520</v>
      </c>
    </row>
    <row r="8" spans="1:19" ht="13.5" thickBot="1">
      <c r="A8" s="796"/>
      <c r="B8" s="215"/>
      <c r="C8" s="216"/>
      <c r="D8" s="217"/>
      <c r="E8" s="219"/>
      <c r="F8" s="229">
        <v>2</v>
      </c>
      <c r="G8" s="557" t="s">
        <v>13</v>
      </c>
      <c r="H8" s="228" t="s">
        <v>462</v>
      </c>
      <c r="I8" s="799"/>
      <c r="J8" s="214" t="str">
        <f>+'26'!J8</f>
        <v>F 11,5 VP OW</v>
      </c>
      <c r="K8" s="236"/>
      <c r="L8" s="236"/>
      <c r="M8" s="119">
        <f>+K8+'26'!M8+L8</f>
        <v>226339</v>
      </c>
      <c r="O8" s="151">
        <v>1200</v>
      </c>
      <c r="P8" s="151">
        <f>+O8-O8*0.23</f>
        <v>924</v>
      </c>
      <c r="Q8" s="151">
        <v>480</v>
      </c>
      <c r="R8" s="151">
        <f>+O8*Q8</f>
        <v>576000</v>
      </c>
      <c r="S8" s="151">
        <f>+P8*Q8</f>
        <v>443520</v>
      </c>
    </row>
    <row r="9" spans="1:19" ht="13.5" thickBot="1">
      <c r="A9" s="796"/>
      <c r="B9" s="215"/>
      <c r="C9" s="216"/>
      <c r="D9" s="217"/>
      <c r="E9" s="220"/>
      <c r="F9" s="229">
        <v>3</v>
      </c>
      <c r="G9" s="557" t="s">
        <v>13</v>
      </c>
      <c r="H9" s="231" t="s">
        <v>400</v>
      </c>
      <c r="I9" s="799"/>
      <c r="J9" s="214" t="str">
        <f>+'26'!J9</f>
        <v>T 13 VP OW</v>
      </c>
      <c r="K9" s="236"/>
      <c r="L9" s="236"/>
      <c r="M9" s="119">
        <f>+K9+'26'!M9+L9</f>
        <v>113358</v>
      </c>
      <c r="P9" s="151">
        <f t="shared" ref="P9:P10" si="0">+O9-O9*0.23</f>
        <v>0</v>
      </c>
      <c r="R9" s="151">
        <f>+O9*Q9</f>
        <v>0</v>
      </c>
      <c r="S9" s="151">
        <f>+P9*Q9</f>
        <v>0</v>
      </c>
    </row>
    <row r="10" spans="1:19" ht="64.5" thickBot="1">
      <c r="A10" s="796"/>
      <c r="B10" s="215"/>
      <c r="C10" s="216"/>
      <c r="D10" s="217"/>
      <c r="E10" s="219"/>
      <c r="F10" s="229"/>
      <c r="G10" s="227"/>
      <c r="H10" s="558" t="s">
        <v>770</v>
      </c>
      <c r="I10" s="799"/>
      <c r="J10" s="214" t="str">
        <f>+'26'!J10</f>
        <v>F 13 VP OW</v>
      </c>
      <c r="K10" s="236"/>
      <c r="L10" s="236"/>
      <c r="M10" s="119">
        <f>+K10+'26'!M10+L10</f>
        <v>85076</v>
      </c>
      <c r="P10" s="151">
        <f t="shared" si="0"/>
        <v>0</v>
      </c>
      <c r="R10" s="151">
        <f>+O10*Q10</f>
        <v>0</v>
      </c>
      <c r="S10" s="151">
        <f>+P10*Q10</f>
        <v>0</v>
      </c>
    </row>
    <row r="11" spans="1:19" ht="26.25" thickBot="1">
      <c r="A11" s="796"/>
      <c r="B11" s="215"/>
      <c r="C11" s="216"/>
      <c r="D11" s="217"/>
      <c r="E11" s="219"/>
      <c r="F11" s="226"/>
      <c r="G11" s="230"/>
      <c r="H11" s="231" t="s">
        <v>758</v>
      </c>
      <c r="I11" s="799"/>
      <c r="J11" s="214" t="str">
        <f>+'26'!J11</f>
        <v xml:space="preserve">T 13 VP OW HB </v>
      </c>
      <c r="K11" s="236"/>
      <c r="L11" s="236"/>
      <c r="M11" s="119">
        <f>+K11+'26'!M11+L11</f>
        <v>10128</v>
      </c>
    </row>
    <row r="12" spans="1:19" ht="13.5" thickBot="1">
      <c r="A12" s="796"/>
      <c r="B12" s="215"/>
      <c r="C12" s="216"/>
      <c r="D12" s="217"/>
      <c r="E12" s="219"/>
      <c r="F12" s="226"/>
      <c r="G12" s="230"/>
      <c r="H12" s="231"/>
      <c r="I12" s="799"/>
      <c r="J12" s="214" t="str">
        <f>+'26'!J12</f>
        <v>TW 15 VP OW</v>
      </c>
      <c r="K12" s="236"/>
      <c r="L12" s="236"/>
      <c r="M12" s="119">
        <f>+K12+'26'!M12+L12</f>
        <v>51015</v>
      </c>
      <c r="Q12" s="151">
        <f>SUM(Q6:Q11)</f>
        <v>1440</v>
      </c>
      <c r="R12" s="151">
        <f>SUM(R6:R9)</f>
        <v>1728000</v>
      </c>
      <c r="S12" s="151">
        <f>SUM(S6:S9)</f>
        <v>1330560</v>
      </c>
    </row>
    <row r="13" spans="1:19" ht="13.5" thickBot="1">
      <c r="A13" s="796"/>
      <c r="B13" s="215"/>
      <c r="C13" s="216"/>
      <c r="D13" s="216"/>
      <c r="E13" s="219"/>
      <c r="F13" s="226"/>
      <c r="G13" s="230"/>
      <c r="H13" s="231"/>
      <c r="I13" s="800"/>
      <c r="J13" s="214" t="str">
        <f>+'26'!J13</f>
        <v>F 12,5 VP OW</v>
      </c>
      <c r="K13" s="236"/>
      <c r="L13" s="236"/>
      <c r="M13" s="119">
        <f>+K13+'26'!M13+L13</f>
        <v>10854</v>
      </c>
      <c r="P13" s="151" t="s">
        <v>424</v>
      </c>
      <c r="Q13" s="151">
        <f>480-Q12</f>
        <v>-960</v>
      </c>
      <c r="R13" s="151">
        <f>+R12/Q12</f>
        <v>1200</v>
      </c>
      <c r="S13" s="151">
        <f>+S12/Q12</f>
        <v>924</v>
      </c>
    </row>
    <row r="14" spans="1:19" ht="13.5" thickBot="1">
      <c r="A14" s="797"/>
      <c r="B14" s="167" t="s">
        <v>3</v>
      </c>
      <c r="C14" s="101">
        <f>SUM(C7:C13)</f>
        <v>20258</v>
      </c>
      <c r="D14" s="113">
        <f>SUM(D7:D13)</f>
        <v>0</v>
      </c>
      <c r="E14" s="114">
        <f>SUM(E5:E13)</f>
        <v>0</v>
      </c>
      <c r="F14" s="118">
        <f>SUM(F7:F13)</f>
        <v>5</v>
      </c>
      <c r="G14" s="161"/>
      <c r="H14" s="168"/>
      <c r="I14" s="169"/>
      <c r="J14" s="214" t="str">
        <f>+'26'!J14</f>
        <v>T 14,5 RC HW</v>
      </c>
      <c r="K14" s="236"/>
      <c r="L14" s="236"/>
      <c r="M14" s="119">
        <f>+K14+'26'!M14+L14</f>
        <v>30142</v>
      </c>
    </row>
    <row r="15" spans="1:19" ht="13.5" thickBot="1">
      <c r="A15" s="801" t="s">
        <v>774</v>
      </c>
      <c r="B15" s="518"/>
      <c r="C15" s="115">
        <f>C14/($C$23+$D$23+$E$23)</f>
        <v>1.205116002379536</v>
      </c>
      <c r="D15" s="116">
        <f>D14/($C$23+$D$23+$E$23)</f>
        <v>0</v>
      </c>
      <c r="E15" s="117">
        <f>E14/($C$23+$D$23+$E$23)</f>
        <v>0</v>
      </c>
      <c r="F15" s="233"/>
      <c r="G15" s="555" t="s">
        <v>13</v>
      </c>
      <c r="H15" s="556" t="s">
        <v>461</v>
      </c>
      <c r="I15" s="798" t="s">
        <v>768</v>
      </c>
      <c r="J15" s="214" t="str">
        <f>+'26'!J15</f>
        <v>T 17 RC HW</v>
      </c>
      <c r="K15" s="236"/>
      <c r="L15" s="236"/>
      <c r="M15" s="119">
        <f>+K15+'26'!M15+L15</f>
        <v>41659</v>
      </c>
    </row>
    <row r="16" spans="1:19" ht="13.5" thickBot="1">
      <c r="A16" s="796"/>
      <c r="B16" s="215" t="s">
        <v>775</v>
      </c>
      <c r="C16" s="516">
        <v>16810</v>
      </c>
      <c r="D16" s="221"/>
      <c r="E16" s="222"/>
      <c r="F16" s="229">
        <v>1</v>
      </c>
      <c r="G16" s="557" t="s">
        <v>13</v>
      </c>
      <c r="H16" s="228" t="s">
        <v>501</v>
      </c>
      <c r="I16" s="799"/>
      <c r="J16" s="214" t="str">
        <f>+'26'!J16</f>
        <v>T 19 RC HW</v>
      </c>
      <c r="K16" s="227"/>
      <c r="L16" s="227"/>
      <c r="M16" s="119">
        <f>+K16+'26'!M16+L16</f>
        <v>15992</v>
      </c>
    </row>
    <row r="17" spans="1:14" ht="13.5" thickBot="1">
      <c r="A17" s="796"/>
      <c r="B17" s="215"/>
      <c r="C17" s="216"/>
      <c r="D17" s="217"/>
      <c r="E17" s="223"/>
      <c r="F17" s="229">
        <v>3</v>
      </c>
      <c r="G17" s="557" t="s">
        <v>13</v>
      </c>
      <c r="H17" s="231" t="s">
        <v>400</v>
      </c>
      <c r="I17" s="799"/>
      <c r="J17" s="214" t="str">
        <f>+'26'!J17</f>
        <v>T 20 RC HW</v>
      </c>
      <c r="K17" s="227"/>
      <c r="L17" s="227"/>
      <c r="M17" s="119">
        <f>+K17+'26'!M17+L17</f>
        <v>25124</v>
      </c>
    </row>
    <row r="18" spans="1:14" ht="64.5" thickBot="1">
      <c r="A18" s="796"/>
      <c r="B18" s="215"/>
      <c r="C18" s="216"/>
      <c r="D18" s="217"/>
      <c r="E18" s="223"/>
      <c r="F18" s="229"/>
      <c r="G18" s="227"/>
      <c r="H18" s="558" t="s">
        <v>755</v>
      </c>
      <c r="I18" s="799"/>
      <c r="J18" s="214" t="str">
        <f>+'26'!J18</f>
        <v>T 15,5 RC HW</v>
      </c>
      <c r="K18" s="236">
        <f>+C34</f>
        <v>53844</v>
      </c>
      <c r="L18" s="236"/>
      <c r="M18" s="119">
        <f>+K18+'26'!M18+L18</f>
        <v>89091</v>
      </c>
    </row>
    <row r="19" spans="1:14" ht="13.5" thickBot="1">
      <c r="A19" s="796"/>
      <c r="B19" s="215"/>
      <c r="C19" s="216"/>
      <c r="D19" s="217"/>
      <c r="E19" s="223"/>
      <c r="F19" s="232"/>
      <c r="G19" s="230"/>
      <c r="H19" s="231" t="s">
        <v>757</v>
      </c>
      <c r="I19" s="799"/>
      <c r="J19" s="214">
        <f>+'26'!J19</f>
        <v>0</v>
      </c>
      <c r="K19" s="236"/>
      <c r="L19" s="236"/>
      <c r="M19" s="119">
        <f>+K19+'26'!M19+L19</f>
        <v>0</v>
      </c>
    </row>
    <row r="20" spans="1:14" ht="13.5" thickBot="1">
      <c r="A20" s="796"/>
      <c r="B20" s="215"/>
      <c r="C20" s="216"/>
      <c r="D20" s="217"/>
      <c r="E20" s="223"/>
      <c r="F20" s="226"/>
      <c r="G20" s="230"/>
      <c r="H20" s="231"/>
      <c r="I20" s="799"/>
      <c r="J20" s="214">
        <f>+'26'!J20</f>
        <v>0</v>
      </c>
      <c r="K20" s="237"/>
      <c r="L20" s="237"/>
      <c r="M20" s="119">
        <f>+K20+'26'!M20+L20</f>
        <v>0</v>
      </c>
    </row>
    <row r="21" spans="1:14" ht="13.5" thickBot="1">
      <c r="A21" s="796"/>
      <c r="B21" s="215"/>
      <c r="C21" s="216"/>
      <c r="D21" s="217"/>
      <c r="E21" s="223"/>
      <c r="F21" s="229"/>
      <c r="G21" s="230"/>
      <c r="H21" s="231"/>
      <c r="I21" s="799"/>
      <c r="J21" s="214">
        <f>+'26'!J21</f>
        <v>0</v>
      </c>
      <c r="K21" s="236"/>
      <c r="L21" s="236"/>
      <c r="M21" s="119">
        <f>+K21+'26'!M21+L21</f>
        <v>0</v>
      </c>
    </row>
    <row r="22" spans="1:14" ht="13.5" thickBot="1">
      <c r="A22" s="796"/>
      <c r="B22" s="215"/>
      <c r="C22" s="216"/>
      <c r="D22" s="217"/>
      <c r="E22" s="223"/>
      <c r="F22" s="233"/>
      <c r="G22" s="230"/>
      <c r="H22" s="231"/>
      <c r="I22" s="800"/>
      <c r="J22" s="214">
        <f>+'26'!J22</f>
        <v>0</v>
      </c>
      <c r="K22" s="236"/>
      <c r="L22" s="236"/>
      <c r="M22" s="119">
        <f>+K22+'26'!M22+L22</f>
        <v>0</v>
      </c>
    </row>
    <row r="23" spans="1:14" ht="13.5" thickBot="1">
      <c r="A23" s="797"/>
      <c r="B23" s="167" t="s">
        <v>3</v>
      </c>
      <c r="C23" s="101">
        <f>SUM(C16:C22)</f>
        <v>16810</v>
      </c>
      <c r="D23" s="113">
        <f>SUM(D16:D22)</f>
        <v>0</v>
      </c>
      <c r="E23" s="114">
        <f>SUM(E18:E22)</f>
        <v>0</v>
      </c>
      <c r="F23" s="118">
        <f>SUM(F15:F22)</f>
        <v>4</v>
      </c>
      <c r="G23" s="161"/>
      <c r="H23" s="168"/>
      <c r="I23" s="170"/>
      <c r="J23" s="214">
        <f>+'26'!J23</f>
        <v>0</v>
      </c>
      <c r="K23" s="236"/>
      <c r="L23" s="236"/>
      <c r="M23" s="119">
        <f>+K23+'26'!M23+L23</f>
        <v>0</v>
      </c>
    </row>
    <row r="24" spans="1:14" ht="13.5" thickBot="1">
      <c r="A24" s="801" t="s">
        <v>442</v>
      </c>
      <c r="B24" s="518"/>
      <c r="C24" s="115">
        <f>C23/($C$23+$D$23+$E$23)</f>
        <v>1</v>
      </c>
      <c r="D24" s="116">
        <f>D23/($C$23+$D$23+$E$23)</f>
        <v>0</v>
      </c>
      <c r="E24" s="117">
        <f>E23/($C$23+$D$23+$E$23)</f>
        <v>0</v>
      </c>
      <c r="F24" s="233"/>
      <c r="G24" s="555" t="s">
        <v>13</v>
      </c>
      <c r="H24" s="556" t="s">
        <v>461</v>
      </c>
      <c r="I24" s="798" t="s">
        <v>768</v>
      </c>
      <c r="J24" s="214">
        <f>+'26'!J24</f>
        <v>0</v>
      </c>
      <c r="K24" s="236"/>
      <c r="L24" s="236"/>
      <c r="M24" s="119">
        <f>+K24+'26'!M24+L24</f>
        <v>0</v>
      </c>
    </row>
    <row r="25" spans="1:14" ht="13.5" thickBot="1">
      <c r="A25" s="796"/>
      <c r="B25" s="215" t="s">
        <v>775</v>
      </c>
      <c r="C25" s="224">
        <v>16776</v>
      </c>
      <c r="D25" s="217">
        <v>632</v>
      </c>
      <c r="E25" s="223"/>
      <c r="F25" s="229">
        <v>1</v>
      </c>
      <c r="G25" s="557" t="s">
        <v>13</v>
      </c>
      <c r="H25" s="228" t="s">
        <v>501</v>
      </c>
      <c r="I25" s="799"/>
      <c r="J25" s="214">
        <f>+'26'!J25</f>
        <v>0</v>
      </c>
      <c r="K25" s="236"/>
      <c r="L25" s="236"/>
      <c r="M25" s="119">
        <f>+K25+'26'!M25+L25</f>
        <v>0</v>
      </c>
    </row>
    <row r="26" spans="1:14" ht="13.5" thickBot="1">
      <c r="A26" s="796"/>
      <c r="B26" s="215"/>
      <c r="C26" s="224"/>
      <c r="D26" s="217"/>
      <c r="E26" s="225"/>
      <c r="F26" s="229">
        <v>3</v>
      </c>
      <c r="G26" s="557" t="s">
        <v>13</v>
      </c>
      <c r="H26" s="231" t="s">
        <v>480</v>
      </c>
      <c r="I26" s="799"/>
      <c r="J26" s="214">
        <f>+'26'!J26</f>
        <v>0</v>
      </c>
      <c r="K26" s="236"/>
      <c r="L26" s="236"/>
      <c r="M26" s="119">
        <f>+K26+'26'!M26+L26</f>
        <v>0</v>
      </c>
    </row>
    <row r="27" spans="1:14" ht="64.5" thickBot="1">
      <c r="A27" s="796"/>
      <c r="B27" s="215"/>
      <c r="C27" s="216"/>
      <c r="D27" s="217"/>
      <c r="E27" s="223"/>
      <c r="F27" s="229"/>
      <c r="G27" s="227"/>
      <c r="H27" s="558" t="s">
        <v>755</v>
      </c>
      <c r="I27" s="799"/>
      <c r="J27" s="214">
        <f>+'26'!J27</f>
        <v>0</v>
      </c>
      <c r="K27" s="236"/>
      <c r="L27" s="236"/>
      <c r="M27" s="119">
        <f>+K27+'26'!M27+L27</f>
        <v>0</v>
      </c>
    </row>
    <row r="28" spans="1:14" ht="13.5" thickBot="1">
      <c r="A28" s="796"/>
      <c r="B28" s="215"/>
      <c r="C28" s="216"/>
      <c r="D28" s="217"/>
      <c r="E28" s="223"/>
      <c r="F28" s="229"/>
      <c r="G28" s="227"/>
      <c r="H28" s="231" t="s">
        <v>756</v>
      </c>
      <c r="I28" s="799"/>
      <c r="J28" s="214">
        <f>+'26'!J28</f>
        <v>0</v>
      </c>
      <c r="K28" s="236"/>
      <c r="L28" s="236"/>
      <c r="M28" s="119">
        <f>+K28+'26'!M28+L28</f>
        <v>0</v>
      </c>
    </row>
    <row r="29" spans="1:14" ht="13.5" thickBot="1">
      <c r="A29" s="796"/>
      <c r="B29" s="215"/>
      <c r="C29" s="216"/>
      <c r="D29" s="217"/>
      <c r="E29" s="223"/>
      <c r="F29" s="233"/>
      <c r="G29" s="230"/>
      <c r="H29" s="231"/>
      <c r="I29" s="799"/>
      <c r="J29" s="214">
        <f>+'26'!J29</f>
        <v>0</v>
      </c>
      <c r="K29" s="236"/>
      <c r="L29" s="236"/>
      <c r="M29" s="119">
        <f>+K29+'26'!M29+L29</f>
        <v>0</v>
      </c>
    </row>
    <row r="30" spans="1:14" ht="13.5" thickBot="1">
      <c r="A30" s="796"/>
      <c r="B30" s="215"/>
      <c r="C30" s="224"/>
      <c r="D30" s="217"/>
      <c r="E30" s="223"/>
      <c r="F30" s="233"/>
      <c r="G30" s="230"/>
      <c r="H30" s="231"/>
      <c r="I30" s="799"/>
      <c r="J30" s="214">
        <f>+'26'!J30</f>
        <v>0</v>
      </c>
      <c r="K30" s="236"/>
      <c r="L30" s="236"/>
      <c r="M30" s="119">
        <f>+K30+'26'!M30+L30</f>
        <v>0</v>
      </c>
      <c r="N30" s="157"/>
    </row>
    <row r="31" spans="1:14" ht="13.5" thickBot="1">
      <c r="A31" s="796"/>
      <c r="B31" s="215"/>
      <c r="C31" s="224"/>
      <c r="D31" s="217"/>
      <c r="E31" s="223"/>
      <c r="F31" s="233"/>
      <c r="G31" s="234"/>
      <c r="H31" s="409"/>
      <c r="I31" s="800"/>
      <c r="J31" s="214">
        <f>+'26'!J31</f>
        <v>0</v>
      </c>
      <c r="K31" s="236"/>
      <c r="L31" s="236"/>
      <c r="M31" s="119">
        <f>+K31+'26'!M31+L31</f>
        <v>0</v>
      </c>
    </row>
    <row r="32" spans="1:14" ht="13.5" thickBot="1">
      <c r="A32" s="797"/>
      <c r="B32" s="167" t="s">
        <v>3</v>
      </c>
      <c r="C32" s="101">
        <f>SUM(C25:C31)</f>
        <v>16776</v>
      </c>
      <c r="D32" s="102">
        <f>SUM(D25:D31)</f>
        <v>632</v>
      </c>
      <c r="E32" s="103">
        <f>SUM(E25:E31)</f>
        <v>0</v>
      </c>
      <c r="F32" s="101">
        <f>SUM(F24:F31)</f>
        <v>4</v>
      </c>
      <c r="G32" s="171"/>
      <c r="H32" s="172"/>
      <c r="I32" s="170"/>
      <c r="J32" s="214">
        <f>+'26'!J32</f>
        <v>0</v>
      </c>
      <c r="K32" s="238"/>
      <c r="L32" s="240"/>
      <c r="M32" s="119">
        <f>+K32+'26'!M32+L32</f>
        <v>0</v>
      </c>
    </row>
    <row r="33" spans="1:14" ht="13.5" thickBot="1">
      <c r="A33" s="173"/>
      <c r="B33" s="174"/>
      <c r="C33" s="105">
        <f>C32/($C$32+$D$32+$E$32)</f>
        <v>0.96369485294117652</v>
      </c>
      <c r="D33" s="106">
        <f>D32/($C$32+$D$32+$E$32)</f>
        <v>3.6305147058823532E-2</v>
      </c>
      <c r="E33" s="107">
        <f>E32/($C$32+$D$32+$E$32)</f>
        <v>0</v>
      </c>
      <c r="F33" s="108"/>
      <c r="G33" s="175"/>
      <c r="H33" s="176"/>
      <c r="I33" s="177"/>
      <c r="J33" s="123"/>
      <c r="K33" s="124"/>
      <c r="L33" s="213"/>
      <c r="M33" s="121"/>
    </row>
    <row r="34" spans="1:14" ht="13.5" thickBot="1">
      <c r="A34" s="802" t="s">
        <v>69</v>
      </c>
      <c r="B34" s="803"/>
      <c r="C34" s="109">
        <f>C14+C23+C32</f>
        <v>53844</v>
      </c>
      <c r="D34" s="109">
        <f>D14+D23+D32</f>
        <v>632</v>
      </c>
      <c r="E34" s="109">
        <f>E14+E23+E32</f>
        <v>0</v>
      </c>
      <c r="F34" s="110">
        <f>F14+F23+F32</f>
        <v>13</v>
      </c>
      <c r="H34" s="178"/>
      <c r="I34" s="178"/>
      <c r="J34" s="125" t="s">
        <v>29</v>
      </c>
      <c r="K34" s="126">
        <f>SUM(K7:K32)</f>
        <v>53844</v>
      </c>
      <c r="L34" s="212">
        <f>SUM(L7:L32)</f>
        <v>0</v>
      </c>
      <c r="M34" s="122">
        <f>SUM(M7:M32)</f>
        <v>1172264</v>
      </c>
      <c r="N34" s="157"/>
    </row>
    <row r="35" spans="1:14" ht="13.5" thickBot="1">
      <c r="A35" s="179"/>
      <c r="B35" s="180"/>
      <c r="C35" s="106">
        <f>C34/($C$34+$D$34+$E$34)</f>
        <v>0.9883985608341288</v>
      </c>
      <c r="D35" s="106">
        <f>D34/($C$34+$D$34+$E$34)</f>
        <v>1.1601439165871209E-2</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15"/>
      <c r="G37" s="311"/>
      <c r="H37" s="186" t="s">
        <v>74</v>
      </c>
      <c r="I37" s="241">
        <f>(15.5*1440)/1440*G42*2.74*1440/1000000</f>
        <v>56.508883200000014</v>
      </c>
      <c r="J37" s="127">
        <f>+I37+'26'!J37</f>
        <v>1345.570388361095</v>
      </c>
      <c r="K37" s="128" t="s">
        <v>75</v>
      </c>
    </row>
    <row r="38" spans="1:14" ht="17.45" customHeight="1">
      <c r="A38" s="806" t="s">
        <v>13</v>
      </c>
      <c r="B38" s="807"/>
      <c r="C38" s="166">
        <f>SUMIF($G$7:$G$31,"Process",$F$7:$F$31)</f>
        <v>13</v>
      </c>
      <c r="D38" s="120">
        <f>C38+'26'!D38</f>
        <v>1669</v>
      </c>
      <c r="E38" s="145">
        <f t="shared" ref="E38:E52" si="1">D38/60</f>
        <v>27.816666666666666</v>
      </c>
      <c r="F38" s="309">
        <v>1200</v>
      </c>
      <c r="G38" s="309">
        <v>924</v>
      </c>
      <c r="H38" s="187" t="s">
        <v>76</v>
      </c>
      <c r="I38" s="242">
        <f>18.498+19.167+18.163</f>
        <v>55.828000000000003</v>
      </c>
      <c r="J38" s="129">
        <f>+I38+'26'!J38</f>
        <v>1222.7310000000002</v>
      </c>
      <c r="K38" s="130" t="s">
        <v>75</v>
      </c>
    </row>
    <row r="39" spans="1:14" ht="17.45" customHeight="1">
      <c r="A39" s="793" t="s">
        <v>14</v>
      </c>
      <c r="B39" s="794"/>
      <c r="C39" s="166">
        <f>SUMIF($G$7:$G$31,"Cleaning",$F$7:$F$31)</f>
        <v>0</v>
      </c>
      <c r="D39" s="120">
        <f>C39+'26'!D39</f>
        <v>0</v>
      </c>
      <c r="E39" s="145">
        <f t="shared" si="1"/>
        <v>0</v>
      </c>
      <c r="F39" s="309">
        <v>1200</v>
      </c>
      <c r="G39" s="309">
        <v>924</v>
      </c>
      <c r="H39" s="187" t="s">
        <v>77</v>
      </c>
      <c r="I39" s="144"/>
      <c r="J39" s="131">
        <f>J37/G4</f>
        <v>49.835940309670185</v>
      </c>
      <c r="K39" s="132" t="s">
        <v>75</v>
      </c>
    </row>
    <row r="40" spans="1:14" ht="17.45" customHeight="1">
      <c r="A40" s="793" t="s">
        <v>78</v>
      </c>
      <c r="B40" s="794"/>
      <c r="C40" s="166">
        <f>SUMIF($G$7:$G$31,"Mechanical",$F$7:$F$31)</f>
        <v>0</v>
      </c>
      <c r="D40" s="120">
        <f>C40+'26'!D40</f>
        <v>73</v>
      </c>
      <c r="E40" s="145">
        <f t="shared" si="1"/>
        <v>1.2166666666666666</v>
      </c>
      <c r="F40" s="309">
        <v>1200</v>
      </c>
      <c r="G40" s="309">
        <v>924</v>
      </c>
      <c r="H40" s="187" t="s">
        <v>79</v>
      </c>
      <c r="I40" s="120">
        <f>(K34+L34)/1000</f>
        <v>53.844000000000001</v>
      </c>
      <c r="J40" s="133">
        <f>+I40+'26'!J40</f>
        <v>1172.2639999999999</v>
      </c>
      <c r="K40" s="132" t="s">
        <v>75</v>
      </c>
    </row>
    <row r="41" spans="1:14" ht="17.45" customHeight="1">
      <c r="A41" s="793" t="s">
        <v>80</v>
      </c>
      <c r="B41" s="794"/>
      <c r="C41" s="166">
        <f>SUMIF($G$7:$G$31,"Electrical",$F$7:$F$31)</f>
        <v>0</v>
      </c>
      <c r="D41" s="120">
        <f>C41+'26'!D41</f>
        <v>59</v>
      </c>
      <c r="E41" s="145">
        <f t="shared" si="1"/>
        <v>0.98333333333333328</v>
      </c>
      <c r="F41" s="309"/>
      <c r="G41" s="309"/>
      <c r="H41" s="187" t="s">
        <v>81</v>
      </c>
      <c r="I41" s="144"/>
      <c r="J41" s="131">
        <f>J40/G4</f>
        <v>43.417185185185183</v>
      </c>
      <c r="K41" s="132" t="s">
        <v>75</v>
      </c>
    </row>
    <row r="42" spans="1:14" ht="17.45" customHeight="1">
      <c r="A42" s="793" t="s">
        <v>17</v>
      </c>
      <c r="B42" s="794"/>
      <c r="C42" s="166">
        <f>SUMIF($G$7:$G$31,"Instrument",$F$7:$F$31)</f>
        <v>0</v>
      </c>
      <c r="D42" s="120">
        <f>C42+'26'!D42</f>
        <v>0</v>
      </c>
      <c r="E42" s="145">
        <f t="shared" si="1"/>
        <v>0</v>
      </c>
      <c r="F42" s="185">
        <f>+(F38*480+F39*480+F40*480)/1440</f>
        <v>1200</v>
      </c>
      <c r="G42" s="185">
        <f>+(G38*480+G39*480+G40*480)/1440</f>
        <v>924</v>
      </c>
      <c r="H42" s="187" t="s">
        <v>82</v>
      </c>
      <c r="I42" s="243" t="s">
        <v>768</v>
      </c>
      <c r="J42" s="134"/>
      <c r="K42" s="132" t="s">
        <v>83</v>
      </c>
    </row>
    <row r="43" spans="1:14" ht="17.45" customHeight="1">
      <c r="A43" s="793" t="s">
        <v>84</v>
      </c>
      <c r="B43" s="794"/>
      <c r="C43" s="166">
        <f>SUMIF($G$7:$G$31,"Water",$F$7:$F$31)</f>
        <v>0</v>
      </c>
      <c r="D43" s="120">
        <f>C43+'26'!D43</f>
        <v>0</v>
      </c>
      <c r="E43" s="145">
        <f t="shared" si="1"/>
        <v>0</v>
      </c>
      <c r="F43" s="309"/>
      <c r="G43" s="310"/>
      <c r="H43" s="188" t="s">
        <v>85</v>
      </c>
      <c r="I43" s="120">
        <f>+Report1!Z35</f>
        <v>95.1</v>
      </c>
      <c r="J43" s="135">
        <f>+I43+'26'!J43</f>
        <v>2347.88</v>
      </c>
      <c r="K43" s="132" t="s">
        <v>75</v>
      </c>
      <c r="L43" s="189"/>
    </row>
    <row r="44" spans="1:14" ht="17.45" customHeight="1">
      <c r="A44" s="793" t="s">
        <v>18</v>
      </c>
      <c r="B44" s="794"/>
      <c r="C44" s="166">
        <f>SUMIF($G$7:$G$31,"PLN",$F$7:$F$31)</f>
        <v>0</v>
      </c>
      <c r="D44" s="120">
        <f>C44+'26'!D44</f>
        <v>30</v>
      </c>
      <c r="E44" s="145">
        <f t="shared" si="1"/>
        <v>0.5</v>
      </c>
      <c r="F44" s="309"/>
      <c r="G44" s="310"/>
      <c r="H44" s="188" t="s">
        <v>86</v>
      </c>
      <c r="I44" s="120">
        <f>I43/I38</f>
        <v>1.7034462993479973</v>
      </c>
      <c r="J44" s="136">
        <f>J43/J38</f>
        <v>1.9201934031279158</v>
      </c>
      <c r="K44" s="132" t="s">
        <v>75</v>
      </c>
    </row>
    <row r="45" spans="1:14" ht="17.45" customHeight="1">
      <c r="A45" s="793" t="s">
        <v>19</v>
      </c>
      <c r="B45" s="794"/>
      <c r="C45" s="166">
        <f>SUMIF($G$7:$G$31,"Boiler",$F$7:$F$31)</f>
        <v>0</v>
      </c>
      <c r="D45" s="120">
        <f>C45+'26'!D45</f>
        <v>0</v>
      </c>
      <c r="E45" s="145">
        <f t="shared" si="1"/>
        <v>0</v>
      </c>
      <c r="F45" s="309"/>
      <c r="G45" s="312"/>
      <c r="H45" s="188" t="s">
        <v>87</v>
      </c>
      <c r="I45" s="120">
        <f>I43/I40</f>
        <v>1.7662135056830843</v>
      </c>
      <c r="J45" s="136">
        <f>J43/J40</f>
        <v>2.0028594241570161</v>
      </c>
      <c r="K45" s="132" t="s">
        <v>75</v>
      </c>
    </row>
    <row r="46" spans="1:14" ht="17.45" customHeight="1">
      <c r="A46" s="793" t="s">
        <v>88</v>
      </c>
      <c r="B46" s="794"/>
      <c r="C46" s="166">
        <f>SUMIF($G$7:$G$31,"Gas",$F$7:$F$31)</f>
        <v>0</v>
      </c>
      <c r="D46" s="120">
        <f>C46+'26'!D46</f>
        <v>0</v>
      </c>
      <c r="E46" s="145">
        <f t="shared" si="1"/>
        <v>0</v>
      </c>
      <c r="F46" s="309"/>
      <c r="G46" s="310"/>
      <c r="H46" s="188" t="s">
        <v>89</v>
      </c>
      <c r="I46" s="142">
        <f>+SUMIF(Listrik!X34,"&gt;0")</f>
        <v>38171.184999999627</v>
      </c>
      <c r="J46" s="137">
        <f>+I46+'26'!J46</f>
        <v>1076800.2199999993</v>
      </c>
      <c r="K46" s="132" t="s">
        <v>90</v>
      </c>
    </row>
    <row r="47" spans="1:14" ht="17.45" customHeight="1">
      <c r="A47" s="793" t="s">
        <v>91</v>
      </c>
      <c r="B47" s="794"/>
      <c r="C47" s="166">
        <f>SUMIF($G$7:$G$31,"Gas",$F$7:$F$31)</f>
        <v>0</v>
      </c>
      <c r="D47" s="120">
        <f>C47+'26'!D47</f>
        <v>0</v>
      </c>
      <c r="E47" s="145">
        <f t="shared" si="1"/>
        <v>0</v>
      </c>
      <c r="F47" s="309"/>
      <c r="G47" s="310"/>
      <c r="H47" s="188" t="s">
        <v>92</v>
      </c>
      <c r="I47" s="120">
        <f>I46/I38</f>
        <v>683.72832628787751</v>
      </c>
      <c r="J47" s="137">
        <f>J46/J38</f>
        <v>880.65177050389582</v>
      </c>
      <c r="K47" s="132" t="s">
        <v>25</v>
      </c>
    </row>
    <row r="48" spans="1:14" ht="17.45" customHeight="1">
      <c r="A48" s="793" t="s">
        <v>15</v>
      </c>
      <c r="B48" s="794"/>
      <c r="C48" s="166">
        <f>SUMIF($G$7:$G$31,"Start Up",$F$7:$F$31)</f>
        <v>0</v>
      </c>
      <c r="D48" s="120">
        <f>C48+'26'!D48</f>
        <v>0</v>
      </c>
      <c r="E48" s="145">
        <f t="shared" si="1"/>
        <v>0</v>
      </c>
      <c r="F48" s="309"/>
      <c r="G48" s="310"/>
      <c r="H48" s="188" t="s">
        <v>93</v>
      </c>
      <c r="I48" s="120">
        <f>I46/I40</f>
        <v>708.92179258598219</v>
      </c>
      <c r="J48" s="137">
        <f>J46/J40</f>
        <v>918.5646066073848</v>
      </c>
      <c r="K48" s="132" t="s">
        <v>25</v>
      </c>
    </row>
    <row r="49" spans="1:11" ht="17.45" customHeight="1">
      <c r="A49" s="793" t="s">
        <v>21</v>
      </c>
      <c r="B49" s="794"/>
      <c r="C49" s="166">
        <f>SUMIF($G$7:$G$31,"Others",$F$7:$F$31)</f>
        <v>0</v>
      </c>
      <c r="D49" s="120">
        <f>C49+'26'!D49</f>
        <v>454</v>
      </c>
      <c r="E49" s="145">
        <f t="shared" si="1"/>
        <v>7.5666666666666664</v>
      </c>
      <c r="F49" s="185"/>
      <c r="H49" s="188" t="s">
        <v>280</v>
      </c>
      <c r="I49" s="120">
        <f>+Report1!T35</f>
        <v>3979.504052984415</v>
      </c>
      <c r="J49" s="137">
        <f>+I49+'26'!J49</f>
        <v>98092.204775932551</v>
      </c>
      <c r="K49" s="132" t="s">
        <v>94</v>
      </c>
    </row>
    <row r="50" spans="1:11" ht="17.45" customHeight="1">
      <c r="A50" s="793" t="s">
        <v>20</v>
      </c>
      <c r="B50" s="794"/>
      <c r="C50" s="166">
        <f>SUMIF($G$7:$G$31,"Steam",$F$7:$F$31)</f>
        <v>0</v>
      </c>
      <c r="D50" s="120">
        <f>C50+'26'!D50</f>
        <v>0</v>
      </c>
      <c r="E50" s="145">
        <f t="shared" si="1"/>
        <v>0</v>
      </c>
      <c r="F50" s="185"/>
      <c r="H50" s="188" t="s">
        <v>95</v>
      </c>
      <c r="I50" s="142">
        <f>I49/I38</f>
        <v>71.281508436347622</v>
      </c>
      <c r="J50" s="135">
        <f>J49/J38</f>
        <v>80.22386344660643</v>
      </c>
      <c r="K50" s="132" t="s">
        <v>94</v>
      </c>
    </row>
    <row r="51" spans="1:11" ht="17.45" customHeight="1">
      <c r="A51" s="810" t="s">
        <v>96</v>
      </c>
      <c r="B51" s="810"/>
      <c r="C51" s="166">
        <f>SUMIF($G$7:$G$31,"Planned shut",$F$7:$F$31)</f>
        <v>0</v>
      </c>
      <c r="D51" s="120">
        <f>C51+'26'!D51</f>
        <v>0</v>
      </c>
      <c r="E51" s="145">
        <f t="shared" si="1"/>
        <v>0</v>
      </c>
      <c r="F51" s="185"/>
      <c r="H51" s="190" t="s">
        <v>97</v>
      </c>
      <c r="I51" s="143">
        <f>I49/I40</f>
        <v>73.908031590974204</v>
      </c>
      <c r="J51" s="138">
        <f>J49/J40</f>
        <v>83.677571584500214</v>
      </c>
      <c r="K51" s="139" t="s">
        <v>94</v>
      </c>
    </row>
    <row r="52" spans="1:11" ht="13.5" thickBot="1">
      <c r="A52" s="811" t="s">
        <v>230</v>
      </c>
      <c r="B52" s="812"/>
      <c r="C52" s="166">
        <f>SUMIF($G$7:$G$31,"Change Grade",$F$7:$F$31)</f>
        <v>0</v>
      </c>
      <c r="D52" s="120">
        <f>C52+'26'!D52</f>
        <v>0</v>
      </c>
      <c r="E52" s="145">
        <f t="shared" si="1"/>
        <v>0</v>
      </c>
      <c r="F52" s="185"/>
      <c r="H52" s="191"/>
      <c r="I52" s="192"/>
      <c r="J52" s="140"/>
      <c r="K52" s="141"/>
    </row>
    <row r="53" spans="1:11">
      <c r="A53" s="806" t="s">
        <v>29</v>
      </c>
      <c r="B53" s="807"/>
      <c r="C53" s="146">
        <f>SUM(C38:C52)</f>
        <v>13</v>
      </c>
      <c r="D53" s="146">
        <f>SUM(D38:D52)</f>
        <v>2285</v>
      </c>
      <c r="E53" s="147">
        <f>SUM(E38:E52)</f>
        <v>38.083333333333329</v>
      </c>
      <c r="F53" s="185"/>
    </row>
    <row r="54" spans="1:11" ht="13.5" thickBot="1">
      <c r="A54" s="808"/>
      <c r="B54" s="809"/>
      <c r="C54" s="148">
        <f>C53/(24*60)</f>
        <v>9.0277777777777769E-3</v>
      </c>
      <c r="D54" s="148">
        <f>D53/(24*60*G4)</f>
        <v>5.8770576131687242E-2</v>
      </c>
      <c r="E54" s="149">
        <f>E53/(G4*24)</f>
        <v>5.8770576131687235E-2</v>
      </c>
      <c r="F54" s="185"/>
    </row>
    <row r="55" spans="1:11">
      <c r="E55" s="193"/>
    </row>
    <row r="56" spans="1:11">
      <c r="A56" s="194" t="s">
        <v>98</v>
      </c>
      <c r="B56" s="195"/>
      <c r="C56" s="196"/>
      <c r="D56" s="196"/>
      <c r="E56" s="196"/>
      <c r="F56" s="197"/>
      <c r="G56" s="196"/>
      <c r="H56" s="198"/>
      <c r="I56" s="199" t="s">
        <v>99</v>
      </c>
      <c r="J56" s="200">
        <f>+D34+'26'!J56</f>
        <v>6233</v>
      </c>
      <c r="K56" s="201">
        <f>J56/(J40+J56/1000)/1000</f>
        <v>5.2889400651847237E-3</v>
      </c>
    </row>
    <row r="57" spans="1:11">
      <c r="A57" s="176"/>
      <c r="I57" s="199" t="s">
        <v>100</v>
      </c>
      <c r="J57" s="200">
        <f>+E34+'26'!J57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39027777777777778" header="0" footer="0"/>
  <pageSetup paperSize="9" scale="50"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view="pageBreakPreview" topLeftCell="A10" zoomScale="80" zoomScaleNormal="80" zoomScaleSheetLayoutView="80" workbookViewId="0">
      <selection activeCell="H11" sqref="H11"/>
    </sheetView>
  </sheetViews>
  <sheetFormatPr defaultColWidth="9.140625" defaultRowHeight="12.75"/>
  <cols>
    <col min="1" max="1" width="8" style="151" customWidth="1"/>
    <col min="2" max="2" width="7" style="151" bestFit="1" customWidth="1"/>
    <col min="3" max="3" width="1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7.1406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26</v>
      </c>
      <c r="H4" s="156" t="str">
        <f>+'1'!H4</f>
        <v>.07.25</v>
      </c>
      <c r="J4" s="151">
        <f>438+458+538</f>
        <v>1434</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735</v>
      </c>
      <c r="O6" s="151">
        <v>950</v>
      </c>
      <c r="P6" s="151">
        <f>+O6-O6*0.2</f>
        <v>760</v>
      </c>
      <c r="Q6" s="151">
        <f>60*5+30</f>
        <v>330</v>
      </c>
      <c r="R6" s="151">
        <f>+O6*Q6</f>
        <v>313500</v>
      </c>
      <c r="S6" s="151">
        <f>+P6*Q6</f>
        <v>250800</v>
      </c>
    </row>
    <row r="7" spans="1:19" ht="13.5" customHeight="1" thickBot="1">
      <c r="A7" s="795" t="s">
        <v>470</v>
      </c>
      <c r="B7" s="215" t="s">
        <v>747</v>
      </c>
      <c r="C7" s="216">
        <v>16917</v>
      </c>
      <c r="D7" s="217"/>
      <c r="E7" s="218"/>
      <c r="F7" s="233"/>
      <c r="G7" s="555" t="s">
        <v>13</v>
      </c>
      <c r="H7" s="556" t="s">
        <v>461</v>
      </c>
      <c r="I7" s="798" t="s">
        <v>767</v>
      </c>
      <c r="J7" s="214" t="str">
        <f>+'25'!J7</f>
        <v>F 12 VP OW</v>
      </c>
      <c r="K7" s="235"/>
      <c r="L7" s="239"/>
      <c r="M7" s="119">
        <f>+K7+'25'!M7+L7</f>
        <v>473486</v>
      </c>
      <c r="N7" s="151" t="s">
        <v>766</v>
      </c>
      <c r="O7" s="151">
        <v>1200</v>
      </c>
      <c r="P7" s="151">
        <f>+O7-O7*0.23</f>
        <v>924</v>
      </c>
      <c r="Q7" s="151">
        <f>480-Q6</f>
        <v>150</v>
      </c>
      <c r="R7" s="151">
        <f>+O7*Q7</f>
        <v>180000</v>
      </c>
      <c r="S7" s="151">
        <f>+P7*Q7</f>
        <v>138600</v>
      </c>
    </row>
    <row r="8" spans="1:19" ht="13.5" thickBot="1">
      <c r="A8" s="796"/>
      <c r="B8" s="215"/>
      <c r="C8" s="216"/>
      <c r="D8" s="217"/>
      <c r="E8" s="219"/>
      <c r="F8" s="229">
        <v>2</v>
      </c>
      <c r="G8" s="557" t="s">
        <v>13</v>
      </c>
      <c r="H8" s="228" t="s">
        <v>462</v>
      </c>
      <c r="I8" s="799"/>
      <c r="J8" s="214" t="str">
        <f>+'25'!J8</f>
        <v>F 11,5 VP OW</v>
      </c>
      <c r="K8" s="236"/>
      <c r="L8" s="236"/>
      <c r="M8" s="119">
        <f>+K8+'25'!M8+L8</f>
        <v>226339</v>
      </c>
      <c r="P8" s="151">
        <f>+O8-O8*0.23</f>
        <v>0</v>
      </c>
      <c r="R8" s="151">
        <f>+O8*Q8</f>
        <v>0</v>
      </c>
      <c r="S8" s="151">
        <f>+P8*Q8</f>
        <v>0</v>
      </c>
    </row>
    <row r="9" spans="1:19" ht="13.5" thickBot="1">
      <c r="A9" s="796"/>
      <c r="B9" s="215"/>
      <c r="C9" s="216"/>
      <c r="D9" s="217"/>
      <c r="E9" s="220"/>
      <c r="F9" s="229">
        <v>6</v>
      </c>
      <c r="G9" s="557" t="s">
        <v>13</v>
      </c>
      <c r="H9" s="231" t="s">
        <v>400</v>
      </c>
      <c r="I9" s="799"/>
      <c r="J9" s="214" t="str">
        <f>+'25'!J9</f>
        <v>T 13 VP OW</v>
      </c>
      <c r="K9" s="236"/>
      <c r="L9" s="236"/>
      <c r="M9" s="119">
        <f>+K9+'25'!M9+L9</f>
        <v>113358</v>
      </c>
      <c r="P9" s="151">
        <f t="shared" ref="P9:P10" si="0">+O9-O9*0.23</f>
        <v>0</v>
      </c>
      <c r="R9" s="151">
        <f>+O9*Q9</f>
        <v>0</v>
      </c>
      <c r="S9" s="151">
        <f>+P9*Q9</f>
        <v>0</v>
      </c>
    </row>
    <row r="10" spans="1:19" ht="64.5" thickBot="1">
      <c r="A10" s="796"/>
      <c r="B10" s="215"/>
      <c r="C10" s="216"/>
      <c r="D10" s="217"/>
      <c r="E10" s="219"/>
      <c r="F10" s="229"/>
      <c r="G10" s="227"/>
      <c r="H10" s="558" t="s">
        <v>763</v>
      </c>
      <c r="I10" s="799"/>
      <c r="J10" s="214" t="str">
        <f>+'25'!J10</f>
        <v>F 13 VP OW</v>
      </c>
      <c r="K10" s="236"/>
      <c r="L10" s="236"/>
      <c r="M10" s="119">
        <f>+K10+'25'!M10+L10</f>
        <v>85076</v>
      </c>
      <c r="P10" s="151">
        <f t="shared" si="0"/>
        <v>0</v>
      </c>
      <c r="R10" s="151">
        <f>+O10*Q10</f>
        <v>0</v>
      </c>
      <c r="S10" s="151">
        <f>+P10*Q10</f>
        <v>0</v>
      </c>
    </row>
    <row r="11" spans="1:19" ht="13.5" thickBot="1">
      <c r="A11" s="796"/>
      <c r="B11" s="215"/>
      <c r="C11" s="216"/>
      <c r="D11" s="217"/>
      <c r="E11" s="219"/>
      <c r="F11" s="226"/>
      <c r="G11" s="230"/>
      <c r="H11" s="231" t="s">
        <v>764</v>
      </c>
      <c r="I11" s="799"/>
      <c r="J11" s="214" t="str">
        <f>+'25'!J11</f>
        <v xml:space="preserve">T 13 VP OW HB </v>
      </c>
      <c r="K11" s="236"/>
      <c r="L11" s="236"/>
      <c r="M11" s="119">
        <f>+K11+'25'!M11+L11</f>
        <v>10128</v>
      </c>
    </row>
    <row r="12" spans="1:19" ht="39" thickBot="1">
      <c r="A12" s="796"/>
      <c r="B12" s="215"/>
      <c r="C12" s="216"/>
      <c r="D12" s="217"/>
      <c r="E12" s="219"/>
      <c r="F12" s="226">
        <v>21</v>
      </c>
      <c r="G12" s="230" t="s">
        <v>78</v>
      </c>
      <c r="H12" s="231" t="s">
        <v>765</v>
      </c>
      <c r="I12" s="799"/>
      <c r="J12" s="214" t="str">
        <f>+'25'!J12</f>
        <v>TW 15 VP OW</v>
      </c>
      <c r="K12" s="236"/>
      <c r="L12" s="236"/>
      <c r="M12" s="119">
        <f>+K12+'25'!M12+L12</f>
        <v>51015</v>
      </c>
      <c r="Q12" s="151">
        <f>SUM(Q6:Q11)</f>
        <v>480</v>
      </c>
      <c r="R12" s="151">
        <f>SUM(R6:R9)</f>
        <v>493500</v>
      </c>
      <c r="S12" s="151">
        <f>SUM(S6:S9)</f>
        <v>389400</v>
      </c>
    </row>
    <row r="13" spans="1:19" ht="13.5" thickBot="1">
      <c r="A13" s="796"/>
      <c r="B13" s="215"/>
      <c r="C13" s="216"/>
      <c r="D13" s="216"/>
      <c r="E13" s="219"/>
      <c r="F13" s="226"/>
      <c r="G13" s="230"/>
      <c r="H13" s="231"/>
      <c r="I13" s="800"/>
      <c r="J13" s="214" t="str">
        <f>+'25'!J13</f>
        <v>F 12,5 VP OW</v>
      </c>
      <c r="K13" s="236"/>
      <c r="L13" s="236"/>
      <c r="M13" s="119">
        <f>+K13+'25'!M13+L13</f>
        <v>10854</v>
      </c>
      <c r="P13" s="151" t="s">
        <v>424</v>
      </c>
      <c r="Q13" s="151">
        <f>480-Q12</f>
        <v>0</v>
      </c>
      <c r="R13" s="151">
        <f>+R12/Q12</f>
        <v>1028.125</v>
      </c>
      <c r="S13" s="151">
        <f>+S12/Q12</f>
        <v>811.25</v>
      </c>
    </row>
    <row r="14" spans="1:19" ht="13.5" thickBot="1">
      <c r="A14" s="797"/>
      <c r="B14" s="167" t="s">
        <v>3</v>
      </c>
      <c r="C14" s="101">
        <f>SUM(C7:C13)</f>
        <v>16917</v>
      </c>
      <c r="D14" s="113">
        <f>SUM(D7:D13)</f>
        <v>0</v>
      </c>
      <c r="E14" s="114">
        <f>SUM(E5:E13)</f>
        <v>0</v>
      </c>
      <c r="F14" s="118">
        <f>SUM(F7:F13)</f>
        <v>29</v>
      </c>
      <c r="G14" s="161"/>
      <c r="H14" s="168"/>
      <c r="I14" s="169"/>
      <c r="J14" s="214" t="str">
        <f>+'25'!J14</f>
        <v>T 14,5 RC HW</v>
      </c>
      <c r="K14" s="236"/>
      <c r="L14" s="236"/>
      <c r="M14" s="119">
        <f>+K14+'25'!M14+L14</f>
        <v>30142</v>
      </c>
    </row>
    <row r="15" spans="1:19" ht="13.5" thickBot="1">
      <c r="A15" s="801" t="s">
        <v>774</v>
      </c>
      <c r="B15" s="518"/>
      <c r="C15" s="115">
        <f>C14/($C$23+$D$23+$E$23)</f>
        <v>0.73783147243545011</v>
      </c>
      <c r="D15" s="116">
        <f>D14/($C$23+$D$23+$E$23)</f>
        <v>0</v>
      </c>
      <c r="E15" s="117">
        <f>E14/($C$23+$D$23+$E$23)</f>
        <v>0</v>
      </c>
      <c r="F15" s="233"/>
      <c r="G15" s="555" t="s">
        <v>13</v>
      </c>
      <c r="H15" s="556" t="s">
        <v>461</v>
      </c>
      <c r="I15" s="798" t="s">
        <v>768</v>
      </c>
      <c r="J15" s="214" t="str">
        <f>+'25'!J15</f>
        <v>T 17 RC HW</v>
      </c>
      <c r="K15" s="236"/>
      <c r="L15" s="236"/>
      <c r="M15" s="119">
        <f>+K15+'25'!M15+L15</f>
        <v>41659</v>
      </c>
      <c r="N15" s="151" t="s">
        <v>766</v>
      </c>
      <c r="O15" s="151">
        <v>1200</v>
      </c>
      <c r="P15" s="151">
        <f>+O15-O15*0.23</f>
        <v>924</v>
      </c>
      <c r="Q15" s="151">
        <v>480</v>
      </c>
      <c r="R15" s="151">
        <f>+O15*Q15</f>
        <v>576000</v>
      </c>
      <c r="S15" s="151">
        <f>+P15*Q15</f>
        <v>443520</v>
      </c>
    </row>
    <row r="16" spans="1:19" ht="13.5" thickBot="1">
      <c r="A16" s="796"/>
      <c r="B16" s="517" t="s">
        <v>747</v>
      </c>
      <c r="C16" s="516">
        <v>4818</v>
      </c>
      <c r="D16" s="221">
        <v>846</v>
      </c>
      <c r="E16" s="222"/>
      <c r="F16" s="229">
        <v>2</v>
      </c>
      <c r="G16" s="557" t="s">
        <v>13</v>
      </c>
      <c r="H16" s="228" t="s">
        <v>462</v>
      </c>
      <c r="I16" s="799"/>
      <c r="J16" s="214" t="str">
        <f>+'25'!J16</f>
        <v>T 19 RC HW</v>
      </c>
      <c r="K16" s="227"/>
      <c r="L16" s="227"/>
      <c r="M16" s="119">
        <f>+K16+'25'!M16+L16</f>
        <v>15992</v>
      </c>
      <c r="P16" s="151">
        <f>+O16-O16*0.23</f>
        <v>0</v>
      </c>
      <c r="Q16" s="151">
        <f>480-Q15</f>
        <v>0</v>
      </c>
      <c r="R16" s="151">
        <f>+O16*Q16</f>
        <v>0</v>
      </c>
      <c r="S16" s="151">
        <f>+P16*Q16</f>
        <v>0</v>
      </c>
    </row>
    <row r="17" spans="1:19" ht="13.5" thickBot="1">
      <c r="A17" s="796"/>
      <c r="B17" s="215" t="s">
        <v>775</v>
      </c>
      <c r="C17" s="216">
        <f>2333+14931</f>
        <v>17264</v>
      </c>
      <c r="D17" s="217"/>
      <c r="E17" s="223"/>
      <c r="F17" s="229">
        <v>3</v>
      </c>
      <c r="G17" s="557" t="s">
        <v>13</v>
      </c>
      <c r="H17" s="231" t="s">
        <v>400</v>
      </c>
      <c r="I17" s="799"/>
      <c r="J17" s="214" t="str">
        <f>+'25'!J17</f>
        <v>T 20 RC HW</v>
      </c>
      <c r="K17" s="227">
        <f>+C7+C16</f>
        <v>21735</v>
      </c>
      <c r="L17" s="227"/>
      <c r="M17" s="119">
        <f>+K17+'25'!M17+L17</f>
        <v>25124</v>
      </c>
      <c r="P17" s="151">
        <f>+O17-O17*0.23</f>
        <v>0</v>
      </c>
      <c r="R17" s="151">
        <f>+O17*Q17</f>
        <v>0</v>
      </c>
      <c r="S17" s="151">
        <f>+P17*Q17</f>
        <v>0</v>
      </c>
    </row>
    <row r="18" spans="1:19" ht="77.25" thickBot="1">
      <c r="A18" s="796"/>
      <c r="B18" s="215"/>
      <c r="C18" s="216"/>
      <c r="D18" s="217"/>
      <c r="E18" s="223"/>
      <c r="F18" s="229"/>
      <c r="G18" s="227"/>
      <c r="H18" s="558" t="s">
        <v>761</v>
      </c>
      <c r="I18" s="799"/>
      <c r="J18" s="214" t="s">
        <v>775</v>
      </c>
      <c r="K18" s="236">
        <f>+C17+C25</f>
        <v>35247</v>
      </c>
      <c r="L18" s="236"/>
      <c r="M18" s="119">
        <f>+K18+'25'!M18+L18</f>
        <v>35247</v>
      </c>
      <c r="P18" s="151">
        <f t="shared" ref="P18:P19" si="1">+O18-O18*0.23</f>
        <v>0</v>
      </c>
      <c r="R18" s="151">
        <f>+O18*Q18</f>
        <v>0</v>
      </c>
      <c r="S18" s="151">
        <f>+P18*Q18</f>
        <v>0</v>
      </c>
    </row>
    <row r="19" spans="1:19" ht="77.25" thickBot="1">
      <c r="A19" s="796"/>
      <c r="B19" s="215"/>
      <c r="C19" s="216"/>
      <c r="D19" s="217"/>
      <c r="E19" s="223"/>
      <c r="F19" s="232"/>
      <c r="G19" s="230"/>
      <c r="H19" s="231" t="s">
        <v>762</v>
      </c>
      <c r="I19" s="799"/>
      <c r="J19" s="214">
        <f>+'25'!J19</f>
        <v>0</v>
      </c>
      <c r="K19" s="236"/>
      <c r="L19" s="236"/>
      <c r="M19" s="119">
        <f>+K19+'25'!M19+L19</f>
        <v>0</v>
      </c>
      <c r="P19" s="151">
        <f t="shared" si="1"/>
        <v>0</v>
      </c>
      <c r="R19" s="151">
        <f>+O19*Q19</f>
        <v>0</v>
      </c>
      <c r="S19" s="151">
        <f>+P19*Q19</f>
        <v>0</v>
      </c>
    </row>
    <row r="20" spans="1:19" ht="13.5" thickBot="1">
      <c r="A20" s="796"/>
      <c r="B20" s="215"/>
      <c r="C20" s="216"/>
      <c r="D20" s="217"/>
      <c r="E20" s="223"/>
      <c r="F20" s="226"/>
      <c r="G20" s="230"/>
      <c r="H20" s="231"/>
      <c r="I20" s="799"/>
      <c r="J20" s="214">
        <f>+'25'!J20</f>
        <v>0</v>
      </c>
      <c r="K20" s="237"/>
      <c r="L20" s="237"/>
      <c r="M20" s="119">
        <f>+K20+'25'!M20+L20</f>
        <v>0</v>
      </c>
    </row>
    <row r="21" spans="1:19" ht="13.5" thickBot="1">
      <c r="A21" s="796"/>
      <c r="B21" s="215"/>
      <c r="C21" s="216"/>
      <c r="D21" s="217"/>
      <c r="E21" s="223"/>
      <c r="F21" s="229"/>
      <c r="G21" s="230"/>
      <c r="H21" s="231"/>
      <c r="I21" s="799"/>
      <c r="J21" s="214">
        <f>+'25'!J21</f>
        <v>0</v>
      </c>
      <c r="K21" s="236"/>
      <c r="L21" s="236"/>
      <c r="M21" s="119">
        <f>+K21+'25'!M21+L21</f>
        <v>0</v>
      </c>
      <c r="Q21" s="151">
        <f>SUM(Q15:Q20)</f>
        <v>480</v>
      </c>
      <c r="R21" s="151">
        <f>SUM(R15:R18)</f>
        <v>576000</v>
      </c>
      <c r="S21" s="151">
        <f>SUM(S15:S18)</f>
        <v>443520</v>
      </c>
    </row>
    <row r="22" spans="1:19" ht="13.5" thickBot="1">
      <c r="A22" s="796"/>
      <c r="B22" s="215"/>
      <c r="C22" s="216"/>
      <c r="D22" s="217"/>
      <c r="E22" s="223"/>
      <c r="F22" s="233"/>
      <c r="G22" s="230"/>
      <c r="H22" s="231"/>
      <c r="I22" s="800"/>
      <c r="J22" s="214">
        <f>+'25'!J22</f>
        <v>0</v>
      </c>
      <c r="K22" s="236"/>
      <c r="L22" s="236"/>
      <c r="M22" s="119">
        <f>+K22+'25'!M22+L22</f>
        <v>0</v>
      </c>
      <c r="P22" s="151" t="s">
        <v>424</v>
      </c>
      <c r="Q22" s="151">
        <f>480-Q21</f>
        <v>0</v>
      </c>
      <c r="R22" s="151">
        <f>+R21/Q21</f>
        <v>1200</v>
      </c>
      <c r="S22" s="151">
        <f>+S21/Q21</f>
        <v>924</v>
      </c>
    </row>
    <row r="23" spans="1:19" ht="13.5" thickBot="1">
      <c r="A23" s="797"/>
      <c r="B23" s="167" t="s">
        <v>3</v>
      </c>
      <c r="C23" s="101">
        <f>SUM(C16:C22)</f>
        <v>22082</v>
      </c>
      <c r="D23" s="113">
        <f>SUM(D16:D22)</f>
        <v>846</v>
      </c>
      <c r="E23" s="114">
        <f>SUM(E18:E22)</f>
        <v>0</v>
      </c>
      <c r="F23" s="118">
        <f>SUM(F15:F22)</f>
        <v>5</v>
      </c>
      <c r="G23" s="161"/>
      <c r="H23" s="168"/>
      <c r="I23" s="170"/>
      <c r="J23" s="214">
        <f>+'25'!J23</f>
        <v>0</v>
      </c>
      <c r="K23" s="236"/>
      <c r="L23" s="236"/>
      <c r="M23" s="119">
        <f>+K23+'25'!M23+L23</f>
        <v>0</v>
      </c>
    </row>
    <row r="24" spans="1:19" ht="13.5" thickBot="1">
      <c r="A24" s="801" t="s">
        <v>442</v>
      </c>
      <c r="B24" s="518"/>
      <c r="C24" s="115">
        <f>C23/($C$23+$D$23+$E$23)</f>
        <v>0.9631018841591068</v>
      </c>
      <c r="D24" s="116">
        <f>D23/($C$23+$D$23+$E$23)</f>
        <v>3.6898115840893232E-2</v>
      </c>
      <c r="E24" s="117">
        <f>E23/($C$23+$D$23+$E$23)</f>
        <v>0</v>
      </c>
      <c r="F24" s="233"/>
      <c r="G24" s="555" t="s">
        <v>13</v>
      </c>
      <c r="H24" s="556" t="s">
        <v>461</v>
      </c>
      <c r="I24" s="798" t="s">
        <v>768</v>
      </c>
      <c r="J24" s="214">
        <f>+'25'!J24</f>
        <v>0</v>
      </c>
      <c r="K24" s="236"/>
      <c r="L24" s="236"/>
      <c r="M24" s="119">
        <f>+K24+'25'!M24+L24</f>
        <v>0</v>
      </c>
      <c r="N24" s="151" t="s">
        <v>766</v>
      </c>
      <c r="O24" s="151">
        <v>1200</v>
      </c>
      <c r="P24" s="151">
        <f>+O24-O24*0.23</f>
        <v>924</v>
      </c>
      <c r="Q24" s="151">
        <v>480</v>
      </c>
      <c r="R24" s="151">
        <f>+O24*Q24</f>
        <v>576000</v>
      </c>
      <c r="S24" s="151">
        <f>+P24*Q24</f>
        <v>443520</v>
      </c>
    </row>
    <row r="25" spans="1:19" ht="13.5" thickBot="1">
      <c r="A25" s="796"/>
      <c r="B25" s="517" t="s">
        <v>775</v>
      </c>
      <c r="C25" s="224">
        <v>17983</v>
      </c>
      <c r="D25" s="217"/>
      <c r="E25" s="223"/>
      <c r="F25" s="229">
        <v>1</v>
      </c>
      <c r="G25" s="557" t="s">
        <v>13</v>
      </c>
      <c r="H25" s="228" t="s">
        <v>501</v>
      </c>
      <c r="I25" s="799"/>
      <c r="J25" s="214">
        <f>+'25'!J25</f>
        <v>0</v>
      </c>
      <c r="K25" s="236"/>
      <c r="L25" s="236"/>
      <c r="M25" s="119">
        <f>+K25+'25'!M25+L25</f>
        <v>0</v>
      </c>
      <c r="P25" s="151">
        <f>+O25-O25*0.23</f>
        <v>0</v>
      </c>
      <c r="Q25" s="151">
        <f>480-Q24</f>
        <v>0</v>
      </c>
      <c r="R25" s="151">
        <f>+O25*Q25</f>
        <v>0</v>
      </c>
      <c r="S25" s="151">
        <f>+P25*Q25</f>
        <v>0</v>
      </c>
    </row>
    <row r="26" spans="1:19" ht="13.5" thickBot="1">
      <c r="A26" s="796"/>
      <c r="B26" s="215"/>
      <c r="C26" s="224"/>
      <c r="D26" s="217"/>
      <c r="E26" s="225"/>
      <c r="F26" s="229">
        <v>3</v>
      </c>
      <c r="G26" s="557" t="s">
        <v>13</v>
      </c>
      <c r="H26" s="231" t="s">
        <v>480</v>
      </c>
      <c r="I26" s="799"/>
      <c r="J26" s="214">
        <f>+'25'!J26</f>
        <v>0</v>
      </c>
      <c r="K26" s="236"/>
      <c r="L26" s="236"/>
      <c r="M26" s="119">
        <f>+K26+'25'!M26+L26</f>
        <v>0</v>
      </c>
      <c r="P26" s="151">
        <f>+O26-O26*0.23</f>
        <v>0</v>
      </c>
      <c r="R26" s="151">
        <f>+O26*Q26</f>
        <v>0</v>
      </c>
      <c r="S26" s="151">
        <f>+P26*Q26</f>
        <v>0</v>
      </c>
    </row>
    <row r="27" spans="1:19" ht="51.75" thickBot="1">
      <c r="A27" s="796"/>
      <c r="B27" s="215"/>
      <c r="C27" s="216"/>
      <c r="D27" s="217"/>
      <c r="E27" s="223"/>
      <c r="F27" s="229"/>
      <c r="G27" s="227"/>
      <c r="H27" s="558" t="s">
        <v>759</v>
      </c>
      <c r="I27" s="799"/>
      <c r="J27" s="214">
        <f>+'25'!J27</f>
        <v>0</v>
      </c>
      <c r="K27" s="236"/>
      <c r="L27" s="236"/>
      <c r="M27" s="119">
        <f>+K27+'25'!M27+L27</f>
        <v>0</v>
      </c>
      <c r="P27" s="151">
        <f t="shared" ref="P27:P28" si="2">+O27-O27*0.23</f>
        <v>0</v>
      </c>
      <c r="R27" s="151">
        <f>+O27*Q27</f>
        <v>0</v>
      </c>
      <c r="S27" s="151">
        <f>+P27*Q27</f>
        <v>0</v>
      </c>
    </row>
    <row r="28" spans="1:19" ht="13.5" thickBot="1">
      <c r="A28" s="796"/>
      <c r="B28" s="215"/>
      <c r="C28" s="216"/>
      <c r="D28" s="217"/>
      <c r="E28" s="223"/>
      <c r="F28" s="229"/>
      <c r="G28" s="227"/>
      <c r="H28" s="231" t="s">
        <v>760</v>
      </c>
      <c r="I28" s="799"/>
      <c r="J28" s="214">
        <f>+'25'!J28</f>
        <v>0</v>
      </c>
      <c r="K28" s="236"/>
      <c r="L28" s="236"/>
      <c r="M28" s="119">
        <f>+K28+'25'!M28+L28</f>
        <v>0</v>
      </c>
      <c r="P28" s="151">
        <f t="shared" si="2"/>
        <v>0</v>
      </c>
      <c r="R28" s="151">
        <f>+O28*Q28</f>
        <v>0</v>
      </c>
      <c r="S28" s="151">
        <f>+P28*Q28</f>
        <v>0</v>
      </c>
    </row>
    <row r="29" spans="1:19" ht="13.5" thickBot="1">
      <c r="A29" s="796"/>
      <c r="B29" s="215"/>
      <c r="C29" s="216"/>
      <c r="D29" s="217"/>
      <c r="E29" s="223"/>
      <c r="F29" s="233"/>
      <c r="G29" s="230"/>
      <c r="H29" s="231"/>
      <c r="I29" s="799"/>
      <c r="J29" s="214">
        <f>+'25'!J29</f>
        <v>0</v>
      </c>
      <c r="K29" s="236"/>
      <c r="L29" s="236"/>
      <c r="M29" s="119">
        <f>+K29+'25'!M29+L29</f>
        <v>0</v>
      </c>
    </row>
    <row r="30" spans="1:19" ht="13.5" thickBot="1">
      <c r="A30" s="796"/>
      <c r="B30" s="215"/>
      <c r="C30" s="224"/>
      <c r="D30" s="217"/>
      <c r="E30" s="223"/>
      <c r="F30" s="233"/>
      <c r="G30" s="230"/>
      <c r="H30" s="231"/>
      <c r="I30" s="799"/>
      <c r="J30" s="214">
        <f>+'25'!J30</f>
        <v>0</v>
      </c>
      <c r="K30" s="236"/>
      <c r="L30" s="236"/>
      <c r="M30" s="119">
        <f>+K30+'25'!M30+L30</f>
        <v>0</v>
      </c>
      <c r="Q30" s="151">
        <f>SUM(Q24:Q29)</f>
        <v>480</v>
      </c>
      <c r="R30" s="151">
        <f>SUM(R24:R27)</f>
        <v>576000</v>
      </c>
      <c r="S30" s="151">
        <f>SUM(S24:S27)</f>
        <v>443520</v>
      </c>
    </row>
    <row r="31" spans="1:19" ht="13.5" thickBot="1">
      <c r="A31" s="796"/>
      <c r="B31" s="215"/>
      <c r="C31" s="224"/>
      <c r="D31" s="217"/>
      <c r="E31" s="223"/>
      <c r="F31" s="233"/>
      <c r="G31" s="234"/>
      <c r="H31" s="409"/>
      <c r="I31" s="800"/>
      <c r="J31" s="214">
        <f>+'25'!J31</f>
        <v>0</v>
      </c>
      <c r="K31" s="236"/>
      <c r="L31" s="236"/>
      <c r="M31" s="119">
        <f>+K31+'25'!M31+L31</f>
        <v>0</v>
      </c>
      <c r="P31" s="151" t="s">
        <v>424</v>
      </c>
      <c r="Q31" s="151">
        <f>480-Q30</f>
        <v>0</v>
      </c>
      <c r="R31" s="151">
        <f>+R30/Q30</f>
        <v>1200</v>
      </c>
      <c r="S31" s="151">
        <f>+S30/Q30</f>
        <v>924</v>
      </c>
    </row>
    <row r="32" spans="1:19" ht="13.5" thickBot="1">
      <c r="A32" s="797"/>
      <c r="B32" s="167" t="s">
        <v>3</v>
      </c>
      <c r="C32" s="101">
        <f>SUM(C25:C31)</f>
        <v>17983</v>
      </c>
      <c r="D32" s="102">
        <f>SUM(D25:D31)</f>
        <v>0</v>
      </c>
      <c r="E32" s="103">
        <f>SUM(E25:E31)</f>
        <v>0</v>
      </c>
      <c r="F32" s="101">
        <f>SUM(F24:F31)</f>
        <v>4</v>
      </c>
      <c r="G32" s="171"/>
      <c r="H32" s="172"/>
      <c r="I32" s="170"/>
      <c r="J32" s="214">
        <f>+'25'!J32</f>
        <v>0</v>
      </c>
      <c r="K32" s="238"/>
      <c r="L32" s="240"/>
      <c r="M32" s="119">
        <f>+K32+'25'!M32+L32</f>
        <v>0</v>
      </c>
    </row>
    <row r="33" spans="1:23" ht="13.5" thickBot="1">
      <c r="A33" s="173"/>
      <c r="B33" s="174"/>
      <c r="C33" s="105">
        <f>C32/($C$32+$D$32+$E$32)</f>
        <v>1</v>
      </c>
      <c r="D33" s="106">
        <f>D32/($C$32+$D$32+$E$32)</f>
        <v>0</v>
      </c>
      <c r="E33" s="107">
        <f>E32/($C$32+$D$32+$E$32)</f>
        <v>0</v>
      </c>
      <c r="F33" s="108"/>
      <c r="G33" s="175"/>
      <c r="H33" s="176"/>
      <c r="I33" s="177"/>
      <c r="J33" s="123"/>
      <c r="K33" s="124"/>
      <c r="L33" s="213"/>
      <c r="M33" s="121"/>
    </row>
    <row r="34" spans="1:23" ht="13.5" thickBot="1">
      <c r="A34" s="802" t="s">
        <v>69</v>
      </c>
      <c r="B34" s="803"/>
      <c r="C34" s="109">
        <f>C14+C23+C32</f>
        <v>56982</v>
      </c>
      <c r="D34" s="109">
        <f>D14+D23+D32</f>
        <v>846</v>
      </c>
      <c r="E34" s="109">
        <f>E14+E23+E32</f>
        <v>0</v>
      </c>
      <c r="F34" s="110">
        <f>F14+F23+F32</f>
        <v>38</v>
      </c>
      <c r="H34" s="178"/>
      <c r="I34" s="178"/>
      <c r="J34" s="125" t="s">
        <v>29</v>
      </c>
      <c r="K34" s="126">
        <f>SUM(K7:K32)</f>
        <v>56982</v>
      </c>
      <c r="L34" s="212">
        <f>SUM(L7:L32)</f>
        <v>0</v>
      </c>
      <c r="M34" s="122">
        <f>SUM(M7:M32)</f>
        <v>1118420</v>
      </c>
      <c r="N34" s="157" t="s">
        <v>735</v>
      </c>
      <c r="O34" s="151">
        <v>950</v>
      </c>
      <c r="P34" s="151">
        <v>760</v>
      </c>
      <c r="Q34" s="151">
        <v>330</v>
      </c>
    </row>
    <row r="35" spans="1:23" ht="13.5" thickBot="1">
      <c r="A35" s="179"/>
      <c r="B35" s="180"/>
      <c r="C35" s="106">
        <f>C34/($C$34+$D$34+$E$34)</f>
        <v>0.9853704087985059</v>
      </c>
      <c r="D35" s="106">
        <f>D34/($C$34+$D$34+$E$34)</f>
        <v>1.4629591201494086E-2</v>
      </c>
      <c r="E35" s="111">
        <f>E34/($C$34+$D$34+$E$34)</f>
        <v>0</v>
      </c>
      <c r="K35" s="157"/>
      <c r="N35" s="151" t="s">
        <v>766</v>
      </c>
      <c r="O35" s="151">
        <v>1200</v>
      </c>
      <c r="P35" s="151">
        <v>924</v>
      </c>
      <c r="Q35" s="151">
        <f>1440-Q34</f>
        <v>1110</v>
      </c>
    </row>
    <row r="36" spans="1:23" ht="13.5" thickBot="1">
      <c r="A36" s="178"/>
      <c r="B36" s="178"/>
      <c r="C36" s="157"/>
      <c r="D36" s="157"/>
      <c r="E36" s="157"/>
      <c r="G36" s="157"/>
      <c r="H36" s="181"/>
      <c r="I36" s="164" t="s">
        <v>39</v>
      </c>
      <c r="J36" s="164" t="s">
        <v>40</v>
      </c>
      <c r="K36" s="182"/>
    </row>
    <row r="37" spans="1:23" ht="17.45" customHeight="1" thickBot="1">
      <c r="A37" s="804" t="s">
        <v>70</v>
      </c>
      <c r="B37" s="805"/>
      <c r="C37" s="164" t="s">
        <v>71</v>
      </c>
      <c r="D37" s="183" t="s">
        <v>72</v>
      </c>
      <c r="E37" s="184" t="s">
        <v>73</v>
      </c>
      <c r="F37" s="309"/>
      <c r="G37" s="311"/>
      <c r="H37" s="186" t="s">
        <v>74</v>
      </c>
      <c r="I37" s="241">
        <f>(20*330+1110*15.5)/1440*G42*2.74*1440/1000000</f>
        <v>57.817147575</v>
      </c>
      <c r="J37" s="127">
        <f>+I37+'25'!J37</f>
        <v>1289.0615051610948</v>
      </c>
      <c r="K37" s="128" t="s">
        <v>75</v>
      </c>
    </row>
    <row r="38" spans="1:23" ht="17.45" customHeight="1" thickBot="1">
      <c r="A38" s="806" t="s">
        <v>13</v>
      </c>
      <c r="B38" s="807"/>
      <c r="C38" s="166">
        <f>SUMIF($G$7:$G$31,"Process",$F$7:$F$31)</f>
        <v>17</v>
      </c>
      <c r="D38" s="120">
        <f>C38+'25'!D38</f>
        <v>1656</v>
      </c>
      <c r="E38" s="145">
        <f t="shared" ref="E38:E52" si="3">D38/60</f>
        <v>27.6</v>
      </c>
      <c r="F38" s="309">
        <v>1028.125</v>
      </c>
      <c r="G38" s="309">
        <v>811.25</v>
      </c>
      <c r="H38" s="187" t="s">
        <v>76</v>
      </c>
      <c r="I38" s="242">
        <f>20.531+17.419+18.163</f>
        <v>56.113</v>
      </c>
      <c r="J38" s="129">
        <f>+I38+'25'!J38</f>
        <v>1166.9030000000002</v>
      </c>
      <c r="K38" s="130" t="s">
        <v>75</v>
      </c>
      <c r="N38" s="151" t="s">
        <v>484</v>
      </c>
    </row>
    <row r="39" spans="1:23" ht="17.45" customHeight="1" thickBot="1">
      <c r="A39" s="793" t="s">
        <v>14</v>
      </c>
      <c r="B39" s="794"/>
      <c r="C39" s="166">
        <f>SUMIF($G$7:$G$31,"Cleaning",$F$7:$F$31)</f>
        <v>0</v>
      </c>
      <c r="D39" s="120">
        <f>C39+'25'!D39</f>
        <v>0</v>
      </c>
      <c r="E39" s="145">
        <f t="shared" si="3"/>
        <v>0</v>
      </c>
      <c r="F39" s="309">
        <v>1200</v>
      </c>
      <c r="G39" s="309">
        <v>924</v>
      </c>
      <c r="H39" s="187" t="s">
        <v>77</v>
      </c>
      <c r="I39" s="144"/>
      <c r="J39" s="131">
        <f>J37/G4</f>
        <v>49.57928866004211</v>
      </c>
      <c r="K39" s="132" t="s">
        <v>75</v>
      </c>
      <c r="N39" s="181" t="s">
        <v>104</v>
      </c>
      <c r="O39" s="582" t="s">
        <v>485</v>
      </c>
      <c r="P39" s="582" t="s">
        <v>486</v>
      </c>
      <c r="Q39" s="582" t="s">
        <v>487</v>
      </c>
      <c r="R39" s="582" t="s">
        <v>488</v>
      </c>
      <c r="S39" s="583" t="s">
        <v>489</v>
      </c>
      <c r="T39" s="582" t="s">
        <v>490</v>
      </c>
      <c r="U39" s="584" t="s">
        <v>491</v>
      </c>
      <c r="V39" s="582" t="s">
        <v>492</v>
      </c>
      <c r="W39" s="582" t="s">
        <v>493</v>
      </c>
    </row>
    <row r="40" spans="1:23" ht="17.45" customHeight="1" thickBot="1">
      <c r="A40" s="793" t="s">
        <v>78</v>
      </c>
      <c r="B40" s="794"/>
      <c r="C40" s="166">
        <f>SUMIF($G$7:$G$31,"Mechanical",$F$7:$F$31)</f>
        <v>21</v>
      </c>
      <c r="D40" s="120">
        <f>C40+'25'!D40</f>
        <v>73</v>
      </c>
      <c r="E40" s="145">
        <f t="shared" si="3"/>
        <v>1.2166666666666666</v>
      </c>
      <c r="F40" s="309">
        <v>1200</v>
      </c>
      <c r="G40" s="309">
        <v>924</v>
      </c>
      <c r="H40" s="187" t="s">
        <v>79</v>
      </c>
      <c r="I40" s="120">
        <f>(K34+L34)/1000</f>
        <v>56.981999999999999</v>
      </c>
      <c r="J40" s="133">
        <f>+I40+'25'!J40</f>
        <v>1118.4199999999998</v>
      </c>
      <c r="K40" s="132" t="s">
        <v>75</v>
      </c>
      <c r="N40" s="585">
        <v>20</v>
      </c>
      <c r="O40" s="199">
        <v>950</v>
      </c>
      <c r="P40" s="199">
        <v>875</v>
      </c>
      <c r="Q40" s="199">
        <v>760</v>
      </c>
      <c r="R40" s="586">
        <f>1-(Q40/O40)</f>
        <v>0.19999999999999996</v>
      </c>
      <c r="S40" s="587">
        <v>21</v>
      </c>
      <c r="T40" s="588">
        <v>270</v>
      </c>
      <c r="U40" s="589">
        <f>(O40*(1-R40)*N40*T40*S40)/100000000</f>
        <v>0.86184000000000005</v>
      </c>
      <c r="V40" s="590">
        <f>+C47/1000</f>
        <v>0</v>
      </c>
      <c r="W40" s="591">
        <f>SUM(V40:V42)/SUM(U40:U42)</f>
        <v>0</v>
      </c>
    </row>
    <row r="41" spans="1:23" ht="17.45" customHeight="1">
      <c r="A41" s="793" t="s">
        <v>80</v>
      </c>
      <c r="B41" s="794"/>
      <c r="C41" s="166">
        <f>SUMIF($G$7:$G$31,"Electrical",$F$7:$F$31)</f>
        <v>0</v>
      </c>
      <c r="D41" s="120">
        <f>C41+'25'!D41</f>
        <v>59</v>
      </c>
      <c r="E41" s="145">
        <f t="shared" si="3"/>
        <v>0.98333333333333328</v>
      </c>
      <c r="F41" s="309"/>
      <c r="G41" s="309"/>
      <c r="H41" s="187" t="s">
        <v>81</v>
      </c>
      <c r="I41" s="144"/>
      <c r="J41" s="131">
        <f>J40/G4</f>
        <v>43.016153846153841</v>
      </c>
      <c r="K41" s="132" t="s">
        <v>75</v>
      </c>
      <c r="N41" s="585"/>
      <c r="O41" s="199"/>
      <c r="P41" s="199"/>
      <c r="Q41" s="199"/>
      <c r="R41" s="586"/>
      <c r="S41" s="592"/>
      <c r="T41" s="588"/>
      <c r="U41" s="589"/>
      <c r="V41" s="590"/>
      <c r="W41" s="593"/>
    </row>
    <row r="42" spans="1:23" ht="17.45" customHeight="1">
      <c r="A42" s="793" t="s">
        <v>17</v>
      </c>
      <c r="B42" s="794"/>
      <c r="C42" s="166">
        <f>SUMIF($G$7:$G$31,"Instrument",$F$7:$F$31)</f>
        <v>0</v>
      </c>
      <c r="D42" s="120">
        <f>C42+'25'!D42</f>
        <v>0</v>
      </c>
      <c r="E42" s="145">
        <f t="shared" si="3"/>
        <v>0</v>
      </c>
      <c r="F42" s="185">
        <f>+(480*F38+480*F39+480*F40)/1440</f>
        <v>1142.7083333333333</v>
      </c>
      <c r="G42" s="185">
        <f>+(480*G38+480*G39+480*G40)/1440</f>
        <v>886.41666666666663</v>
      </c>
      <c r="H42" s="187" t="s">
        <v>82</v>
      </c>
      <c r="I42" s="243" t="s">
        <v>769</v>
      </c>
      <c r="J42" s="134"/>
      <c r="K42" s="132" t="s">
        <v>83</v>
      </c>
      <c r="U42" s="151">
        <f>863/1000</f>
        <v>0.86299999999999999</v>
      </c>
    </row>
    <row r="43" spans="1:23" ht="17.45" customHeight="1">
      <c r="A43" s="793" t="s">
        <v>84</v>
      </c>
      <c r="B43" s="794"/>
      <c r="C43" s="166">
        <f>SUMIF($G$7:$G$31,"Water",$F$7:$F$31)</f>
        <v>0</v>
      </c>
      <c r="D43" s="120">
        <f>C43+'25'!D43</f>
        <v>0</v>
      </c>
      <c r="E43" s="145">
        <f t="shared" si="3"/>
        <v>0</v>
      </c>
      <c r="F43" s="309"/>
      <c r="G43" s="310"/>
      <c r="H43" s="188" t="s">
        <v>85</v>
      </c>
      <c r="I43" s="120">
        <f>+Report1!Z34</f>
        <v>93.9</v>
      </c>
      <c r="J43" s="135">
        <f>+I43+'25'!J43</f>
        <v>2252.7800000000002</v>
      </c>
      <c r="K43" s="132" t="s">
        <v>75</v>
      </c>
      <c r="L43" s="189"/>
    </row>
    <row r="44" spans="1:23" ht="17.45" customHeight="1">
      <c r="A44" s="793" t="s">
        <v>18</v>
      </c>
      <c r="B44" s="794"/>
      <c r="C44" s="166">
        <f>SUMIF($G$7:$G$31,"PLN",$F$7:$F$31)</f>
        <v>0</v>
      </c>
      <c r="D44" s="120">
        <f>C44+'25'!D44</f>
        <v>30</v>
      </c>
      <c r="E44" s="145">
        <f t="shared" si="3"/>
        <v>0.5</v>
      </c>
      <c r="F44" s="309"/>
      <c r="G44" s="310"/>
      <c r="H44" s="188" t="s">
        <v>86</v>
      </c>
      <c r="I44" s="120">
        <f>I43/I38</f>
        <v>1.6734090139539859</v>
      </c>
      <c r="J44" s="136">
        <f>J43/J38</f>
        <v>1.9305632087671381</v>
      </c>
      <c r="K44" s="132" t="s">
        <v>75</v>
      </c>
    </row>
    <row r="45" spans="1:23" ht="17.45" customHeight="1">
      <c r="A45" s="793" t="s">
        <v>19</v>
      </c>
      <c r="B45" s="794"/>
      <c r="C45" s="166">
        <f>SUMIF($G$7:$G$31,"Boiler",$F$7:$F$31)</f>
        <v>0</v>
      </c>
      <c r="D45" s="120">
        <f>C45+'25'!D45</f>
        <v>0</v>
      </c>
      <c r="E45" s="145">
        <f t="shared" si="3"/>
        <v>0</v>
      </c>
      <c r="F45" s="309"/>
      <c r="G45" s="312"/>
      <c r="H45" s="188" t="s">
        <v>87</v>
      </c>
      <c r="I45" s="120">
        <f>I43/I40</f>
        <v>1.6478888069916817</v>
      </c>
      <c r="J45" s="136">
        <f>J43/J40</f>
        <v>2.0142522487079995</v>
      </c>
      <c r="K45" s="132" t="s">
        <v>75</v>
      </c>
    </row>
    <row r="46" spans="1:23" ht="17.45" customHeight="1">
      <c r="A46" s="793" t="s">
        <v>88</v>
      </c>
      <c r="B46" s="794"/>
      <c r="C46" s="166">
        <f>SUMIF($G$7:$G$31,"Gas",$F$7:$F$31)</f>
        <v>0</v>
      </c>
      <c r="D46" s="120">
        <f>C46+'25'!D46</f>
        <v>0</v>
      </c>
      <c r="E46" s="145">
        <f t="shared" si="3"/>
        <v>0</v>
      </c>
      <c r="F46" s="309"/>
      <c r="G46" s="310"/>
      <c r="H46" s="188" t="s">
        <v>89</v>
      </c>
      <c r="I46" s="142">
        <f>+SUMIF(Listrik!X33,"&gt;0")</f>
        <v>38514.509999999987</v>
      </c>
      <c r="J46" s="137">
        <f>+I46+'25'!J46</f>
        <v>1038629.0349999996</v>
      </c>
      <c r="K46" s="132" t="s">
        <v>90</v>
      </c>
    </row>
    <row r="47" spans="1:23" ht="17.45" customHeight="1">
      <c r="A47" s="793" t="s">
        <v>91</v>
      </c>
      <c r="B47" s="794"/>
      <c r="C47" s="166">
        <f>SUMIF($G$7:$G$31,"Gas",$F$7:$F$31)</f>
        <v>0</v>
      </c>
      <c r="D47" s="120">
        <f>C47+'25'!D47</f>
        <v>0</v>
      </c>
      <c r="E47" s="145">
        <f t="shared" si="3"/>
        <v>0</v>
      </c>
      <c r="F47" s="309"/>
      <c r="G47" s="310"/>
      <c r="H47" s="188" t="s">
        <v>92</v>
      </c>
      <c r="I47" s="120">
        <f>I46/I38</f>
        <v>686.3741022579436</v>
      </c>
      <c r="J47" s="137">
        <f>J46/J38</f>
        <v>890.07315518084999</v>
      </c>
      <c r="K47" s="132" t="s">
        <v>25</v>
      </c>
    </row>
    <row r="48" spans="1:23" ht="17.45" customHeight="1">
      <c r="A48" s="793" t="s">
        <v>15</v>
      </c>
      <c r="B48" s="794"/>
      <c r="C48" s="166">
        <f>SUMIF($G$7:$G$31,"Start Up",$F$7:$F$31)</f>
        <v>0</v>
      </c>
      <c r="D48" s="120">
        <f>C48+'25'!D48</f>
        <v>0</v>
      </c>
      <c r="E48" s="145">
        <f t="shared" si="3"/>
        <v>0</v>
      </c>
      <c r="F48" s="309"/>
      <c r="G48" s="310"/>
      <c r="H48" s="188" t="s">
        <v>93</v>
      </c>
      <c r="I48" s="120">
        <f>I46/I40</f>
        <v>675.90660208486872</v>
      </c>
      <c r="J48" s="137">
        <f>J46/J40</f>
        <v>928.65742297169197</v>
      </c>
      <c r="K48" s="132" t="s">
        <v>25</v>
      </c>
    </row>
    <row r="49" spans="1:11" ht="17.45" customHeight="1">
      <c r="A49" s="793" t="s">
        <v>21</v>
      </c>
      <c r="B49" s="794"/>
      <c r="C49" s="166">
        <f>SUMIF($G$7:$G$31,"Others",$F$7:$F$31)</f>
        <v>0</v>
      </c>
      <c r="D49" s="120">
        <f>C49+'25'!D49</f>
        <v>454</v>
      </c>
      <c r="E49" s="145">
        <f t="shared" si="3"/>
        <v>7.5666666666666664</v>
      </c>
      <c r="F49" s="185"/>
      <c r="H49" s="188" t="s">
        <v>280</v>
      </c>
      <c r="I49" s="120">
        <f>+Report1!T34</f>
        <v>3865.9014514553505</v>
      </c>
      <c r="J49" s="137">
        <f>+I49+'25'!J49</f>
        <v>94112.700722948139</v>
      </c>
      <c r="K49" s="132" t="s">
        <v>94</v>
      </c>
    </row>
    <row r="50" spans="1:11" ht="17.45" customHeight="1">
      <c r="A50" s="793" t="s">
        <v>20</v>
      </c>
      <c r="B50" s="794"/>
      <c r="C50" s="166">
        <f>SUMIF($G$7:$G$31,"Steam",$F$7:$F$31)</f>
        <v>0</v>
      </c>
      <c r="D50" s="120">
        <f>C50+'25'!D50</f>
        <v>0</v>
      </c>
      <c r="E50" s="145">
        <f t="shared" si="3"/>
        <v>0</v>
      </c>
      <c r="F50" s="185"/>
      <c r="H50" s="188" t="s">
        <v>95</v>
      </c>
      <c r="I50" s="142">
        <f>I49/I38</f>
        <v>68.894934354879453</v>
      </c>
      <c r="J50" s="135">
        <f>J49/J38</f>
        <v>80.651691462742079</v>
      </c>
      <c r="K50" s="132" t="s">
        <v>94</v>
      </c>
    </row>
    <row r="51" spans="1:11" ht="17.45" customHeight="1">
      <c r="A51" s="810" t="s">
        <v>96</v>
      </c>
      <c r="B51" s="810"/>
      <c r="C51" s="166">
        <f>SUMIF($G$7:$G$31,"Planned shut",$F$7:$F$31)</f>
        <v>0</v>
      </c>
      <c r="D51" s="120">
        <f>C51+'25'!D51</f>
        <v>0</v>
      </c>
      <c r="E51" s="145">
        <f t="shared" si="3"/>
        <v>0</v>
      </c>
      <c r="F51" s="185"/>
      <c r="H51" s="190" t="s">
        <v>97</v>
      </c>
      <c r="I51" s="143">
        <f>I49/I40</f>
        <v>67.844256983878253</v>
      </c>
      <c r="J51" s="138">
        <f>J49/J40</f>
        <v>84.147905726782554</v>
      </c>
      <c r="K51" s="139" t="s">
        <v>94</v>
      </c>
    </row>
    <row r="52" spans="1:11" ht="13.5" thickBot="1">
      <c r="A52" s="811" t="s">
        <v>230</v>
      </c>
      <c r="B52" s="812"/>
      <c r="C52" s="166">
        <f>SUMIF($G$7:$G$31,"Change Grade",$F$7:$F$31)</f>
        <v>0</v>
      </c>
      <c r="D52" s="120">
        <f>C52+'25'!D52</f>
        <v>0</v>
      </c>
      <c r="E52" s="145">
        <f t="shared" si="3"/>
        <v>0</v>
      </c>
      <c r="F52" s="185"/>
      <c r="H52" s="191"/>
      <c r="I52" s="192"/>
      <c r="J52" s="140"/>
      <c r="K52" s="141"/>
    </row>
    <row r="53" spans="1:11">
      <c r="A53" s="806" t="s">
        <v>29</v>
      </c>
      <c r="B53" s="807"/>
      <c r="C53" s="146">
        <f>SUM(C38:C52)</f>
        <v>38</v>
      </c>
      <c r="D53" s="146">
        <f>SUM(D38:D52)</f>
        <v>2272</v>
      </c>
      <c r="E53" s="147">
        <f>SUM(E38:E52)</f>
        <v>37.866666666666667</v>
      </c>
      <c r="F53" s="185"/>
    </row>
    <row r="54" spans="1:11" ht="13.5" thickBot="1">
      <c r="A54" s="808"/>
      <c r="B54" s="809"/>
      <c r="C54" s="148">
        <f>C53/(24*60)</f>
        <v>2.6388888888888889E-2</v>
      </c>
      <c r="D54" s="148">
        <f>D53/(24*60*G4)</f>
        <v>6.0683760683760683E-2</v>
      </c>
      <c r="E54" s="149">
        <f>E53/(G4*24)</f>
        <v>6.0683760683760683E-2</v>
      </c>
      <c r="F54" s="185"/>
    </row>
    <row r="55" spans="1:11">
      <c r="E55" s="193"/>
    </row>
    <row r="56" spans="1:11">
      <c r="A56" s="194" t="s">
        <v>98</v>
      </c>
      <c r="B56" s="195"/>
      <c r="C56" s="196"/>
      <c r="D56" s="196"/>
      <c r="E56" s="196"/>
      <c r="F56" s="197"/>
      <c r="G56" s="196"/>
      <c r="H56" s="198"/>
      <c r="I56" s="199" t="s">
        <v>99</v>
      </c>
      <c r="J56" s="200">
        <f>+D34+'25'!J56</f>
        <v>5601</v>
      </c>
      <c r="K56" s="201">
        <f>J56/(J40+J56/1000)/1000</f>
        <v>4.983002986599005E-3</v>
      </c>
    </row>
    <row r="57" spans="1:11">
      <c r="A57" s="176"/>
      <c r="I57" s="199" t="s">
        <v>100</v>
      </c>
      <c r="J57" s="200">
        <f>+E34+'25'!J57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B19" zoomScale="80" zoomScaleNormal="80" zoomScaleSheetLayoutView="80" workbookViewId="0">
      <selection activeCell="L27" sqref="C24:L3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42578125" style="151" bestFit="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25</v>
      </c>
      <c r="H4" s="156" t="str">
        <f>+'1'!H4</f>
        <v>.07.25</v>
      </c>
      <c r="J4" s="151">
        <f>529+576+534</f>
        <v>1639</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709</v>
      </c>
      <c r="O6" s="151">
        <v>1050</v>
      </c>
      <c r="P6" s="151">
        <f>+O6-O6*0.2</f>
        <v>840</v>
      </c>
      <c r="Q6" s="151">
        <v>480</v>
      </c>
      <c r="R6" s="151">
        <f>+O6*Q6</f>
        <v>504000</v>
      </c>
      <c r="S6" s="151">
        <f>+P6*Q6</f>
        <v>403200</v>
      </c>
    </row>
    <row r="7" spans="1:19" ht="13.5" customHeight="1" thickBot="1">
      <c r="A7" s="795" t="s">
        <v>470</v>
      </c>
      <c r="B7" s="215" t="s">
        <v>719</v>
      </c>
      <c r="C7" s="216">
        <v>11990</v>
      </c>
      <c r="D7" s="217"/>
      <c r="E7" s="218"/>
      <c r="F7" s="233"/>
      <c r="G7" s="555" t="s">
        <v>13</v>
      </c>
      <c r="H7" s="556" t="s">
        <v>461</v>
      </c>
      <c r="I7" s="798" t="s">
        <v>738</v>
      </c>
      <c r="J7" s="214" t="str">
        <f>+'24'!J7</f>
        <v>F 12 VP OW</v>
      </c>
      <c r="K7" s="235"/>
      <c r="L7" s="239"/>
      <c r="M7" s="119">
        <f>+K7+'24'!M7+L7</f>
        <v>473486</v>
      </c>
      <c r="P7" s="151">
        <f>+O7-O7*0.23</f>
        <v>0</v>
      </c>
      <c r="Q7" s="151">
        <v>0</v>
      </c>
      <c r="R7" s="151">
        <f>+O7*Q7</f>
        <v>0</v>
      </c>
      <c r="S7" s="151">
        <f>+P7*Q7</f>
        <v>0</v>
      </c>
    </row>
    <row r="8" spans="1:19" ht="13.5" thickBot="1">
      <c r="A8" s="796"/>
      <c r="B8" s="215"/>
      <c r="C8" s="216"/>
      <c r="D8" s="217"/>
      <c r="E8" s="219"/>
      <c r="F8" s="229">
        <v>4</v>
      </c>
      <c r="G8" s="557" t="s">
        <v>13</v>
      </c>
      <c r="H8" s="228" t="s">
        <v>462</v>
      </c>
      <c r="I8" s="799"/>
      <c r="J8" s="214" t="str">
        <f>+'24'!J8</f>
        <v>F 11,5 VP OW</v>
      </c>
      <c r="K8" s="236"/>
      <c r="L8" s="236"/>
      <c r="M8" s="119">
        <f>+K8+'24'!M8+L8</f>
        <v>226339</v>
      </c>
      <c r="P8" s="151">
        <f>+O8-O8*0.23</f>
        <v>0</v>
      </c>
      <c r="R8" s="151">
        <f>+O8*Q8</f>
        <v>0</v>
      </c>
      <c r="S8" s="151">
        <f>+P8*Q8</f>
        <v>0</v>
      </c>
    </row>
    <row r="9" spans="1:19" ht="13.5" thickBot="1">
      <c r="A9" s="796"/>
      <c r="B9" s="215"/>
      <c r="C9" s="216"/>
      <c r="D9" s="217"/>
      <c r="E9" s="220"/>
      <c r="F9" s="229">
        <v>16</v>
      </c>
      <c r="G9" s="557" t="s">
        <v>13</v>
      </c>
      <c r="H9" s="231" t="s">
        <v>431</v>
      </c>
      <c r="I9" s="799"/>
      <c r="J9" s="214" t="str">
        <f>+'24'!J9</f>
        <v>T 13 VP OW</v>
      </c>
      <c r="K9" s="236"/>
      <c r="L9" s="236"/>
      <c r="M9" s="119">
        <f>+K9+'24'!M9+L9</f>
        <v>113358</v>
      </c>
      <c r="P9" s="151">
        <f t="shared" ref="P9:P10" si="0">+O9-O9*0.23</f>
        <v>0</v>
      </c>
      <c r="R9" s="151">
        <f>+O9*Q9</f>
        <v>0</v>
      </c>
      <c r="S9" s="151">
        <f>+P9*Q9</f>
        <v>0</v>
      </c>
    </row>
    <row r="10" spans="1:19" ht="64.5" thickBot="1">
      <c r="A10" s="796"/>
      <c r="B10" s="215"/>
      <c r="C10" s="216"/>
      <c r="D10" s="217"/>
      <c r="E10" s="219"/>
      <c r="F10" s="229"/>
      <c r="G10" s="227"/>
      <c r="H10" s="558" t="s">
        <v>728</v>
      </c>
      <c r="I10" s="799"/>
      <c r="J10" s="214" t="str">
        <f>+'24'!J10</f>
        <v>F 13 VP OW</v>
      </c>
      <c r="K10" s="236"/>
      <c r="L10" s="236"/>
      <c r="M10" s="119">
        <f>+K10+'24'!M10+L10</f>
        <v>85076</v>
      </c>
      <c r="P10" s="151">
        <f t="shared" si="0"/>
        <v>0</v>
      </c>
      <c r="R10" s="151">
        <f>+O10*Q10</f>
        <v>0</v>
      </c>
      <c r="S10" s="151">
        <f>+P10*Q10</f>
        <v>0</v>
      </c>
    </row>
    <row r="11" spans="1:19" ht="51.75" thickBot="1">
      <c r="A11" s="796"/>
      <c r="B11" s="215"/>
      <c r="C11" s="216"/>
      <c r="D11" s="217"/>
      <c r="E11" s="219"/>
      <c r="F11" s="226"/>
      <c r="G11" s="230"/>
      <c r="H11" s="231" t="s">
        <v>729</v>
      </c>
      <c r="I11" s="799"/>
      <c r="J11" s="214" t="str">
        <f>+'24'!J11</f>
        <v xml:space="preserve">T 13 VP OW HB </v>
      </c>
      <c r="K11" s="236"/>
      <c r="L11" s="236"/>
      <c r="M11" s="119">
        <f>+K11+'24'!M11+L11</f>
        <v>10128</v>
      </c>
    </row>
    <row r="12" spans="1:19" ht="13.5" thickBot="1">
      <c r="A12" s="796"/>
      <c r="B12" s="215"/>
      <c r="C12" s="216"/>
      <c r="D12" s="217"/>
      <c r="E12" s="219"/>
      <c r="F12" s="226"/>
      <c r="G12" s="230"/>
      <c r="H12" s="231"/>
      <c r="I12" s="799"/>
      <c r="J12" s="214" t="str">
        <f>+'24'!J12</f>
        <v>TW 15 VP OW</v>
      </c>
      <c r="K12" s="236"/>
      <c r="L12" s="236"/>
      <c r="M12" s="119">
        <f>+K12+'24'!M12+L12</f>
        <v>51015</v>
      </c>
      <c r="Q12" s="151">
        <f>SUM(Q6:Q11)</f>
        <v>480</v>
      </c>
      <c r="R12" s="151">
        <f>SUM(R6:R9)</f>
        <v>504000</v>
      </c>
      <c r="S12" s="151">
        <f>SUM(S6:S9)</f>
        <v>403200</v>
      </c>
    </row>
    <row r="13" spans="1:19" ht="13.5" thickBot="1">
      <c r="A13" s="796"/>
      <c r="B13" s="215"/>
      <c r="C13" s="216"/>
      <c r="D13" s="216"/>
      <c r="E13" s="219"/>
      <c r="F13" s="226"/>
      <c r="G13" s="230"/>
      <c r="H13" s="231"/>
      <c r="I13" s="800"/>
      <c r="J13" s="214" t="str">
        <f>+'24'!J13</f>
        <v>F 12,5 VP OW</v>
      </c>
      <c r="K13" s="236"/>
      <c r="L13" s="236"/>
      <c r="M13" s="119">
        <f>+K13+'24'!M13+L13</f>
        <v>10854</v>
      </c>
      <c r="P13" s="151" t="s">
        <v>424</v>
      </c>
      <c r="Q13" s="151">
        <f>480-Q12</f>
        <v>0</v>
      </c>
      <c r="R13" s="151">
        <f>+R12/Q12</f>
        <v>1050</v>
      </c>
      <c r="S13" s="151">
        <f>+S12/Q12</f>
        <v>840</v>
      </c>
    </row>
    <row r="14" spans="1:19" ht="13.5" thickBot="1">
      <c r="A14" s="797"/>
      <c r="B14" s="167" t="s">
        <v>3</v>
      </c>
      <c r="C14" s="101">
        <f>SUM(C7:C13)</f>
        <v>11990</v>
      </c>
      <c r="D14" s="113">
        <f>SUM(D7:D13)</f>
        <v>0</v>
      </c>
      <c r="E14" s="114">
        <f>SUM(E5:E13)</f>
        <v>0</v>
      </c>
      <c r="F14" s="118">
        <f>SUM(F7:F13)</f>
        <v>20</v>
      </c>
      <c r="G14" s="161"/>
      <c r="H14" s="168"/>
      <c r="I14" s="169"/>
      <c r="J14" s="214" t="str">
        <f>+'24'!J14</f>
        <v>T 14,5 RC HW</v>
      </c>
      <c r="K14" s="236"/>
      <c r="L14" s="236"/>
      <c r="M14" s="119">
        <f>+K14+'24'!M14+L14</f>
        <v>30142</v>
      </c>
    </row>
    <row r="15" spans="1:19" ht="13.5" thickBot="1">
      <c r="A15" s="801" t="s">
        <v>717</v>
      </c>
      <c r="B15" s="518"/>
      <c r="C15" s="115">
        <f>C14/($C$23+$D$23+$E$23)</f>
        <v>0.69766088676829974</v>
      </c>
      <c r="D15" s="116">
        <f>D14/($C$23+$D$23+$E$23)</f>
        <v>0</v>
      </c>
      <c r="E15" s="117">
        <f>E14/($C$23+$D$23+$E$23)</f>
        <v>0</v>
      </c>
      <c r="F15" s="233"/>
      <c r="G15" s="555" t="s">
        <v>13</v>
      </c>
      <c r="H15" s="556" t="s">
        <v>461</v>
      </c>
      <c r="I15" s="798" t="s">
        <v>739</v>
      </c>
      <c r="J15" s="214" t="str">
        <f>+'24'!J15</f>
        <v>T 17 RC HW</v>
      </c>
      <c r="K15" s="236">
        <f>+C7+C16</f>
        <v>28242</v>
      </c>
      <c r="L15" s="236"/>
      <c r="M15" s="119">
        <f>+K15+'24'!M15+L15</f>
        <v>41659</v>
      </c>
    </row>
    <row r="16" spans="1:19" ht="13.5" thickBot="1">
      <c r="A16" s="796"/>
      <c r="B16" s="517" t="s">
        <v>719</v>
      </c>
      <c r="C16" s="516">
        <f>2528+13724</f>
        <v>16252</v>
      </c>
      <c r="D16" s="221"/>
      <c r="E16" s="222"/>
      <c r="F16" s="229">
        <v>3</v>
      </c>
      <c r="G16" s="557" t="s">
        <v>13</v>
      </c>
      <c r="H16" s="228" t="s">
        <v>399</v>
      </c>
      <c r="I16" s="799"/>
      <c r="J16" s="214" t="s">
        <v>746</v>
      </c>
      <c r="K16" s="227">
        <f>+C17+C25</f>
        <v>15992</v>
      </c>
      <c r="L16" s="227"/>
      <c r="M16" s="119">
        <f>+K16+'24'!M16+L16</f>
        <v>15992</v>
      </c>
      <c r="N16" s="151" t="s">
        <v>709</v>
      </c>
      <c r="O16" s="151">
        <v>1050</v>
      </c>
      <c r="P16" s="151">
        <f>+O16-O16*0.2</f>
        <v>840</v>
      </c>
      <c r="Q16" s="151">
        <f>60*3+5</f>
        <v>185</v>
      </c>
      <c r="R16" s="151">
        <f>+O16*Q16</f>
        <v>194250</v>
      </c>
      <c r="S16" s="151">
        <f>+P16*Q16</f>
        <v>155400</v>
      </c>
    </row>
    <row r="17" spans="1:19" ht="13.5" thickBot="1">
      <c r="A17" s="796"/>
      <c r="B17" s="215" t="s">
        <v>746</v>
      </c>
      <c r="C17" s="216">
        <v>934</v>
      </c>
      <c r="D17" s="217"/>
      <c r="E17" s="223"/>
      <c r="F17" s="229">
        <v>5</v>
      </c>
      <c r="G17" s="557" t="s">
        <v>13</v>
      </c>
      <c r="H17" s="231" t="s">
        <v>400</v>
      </c>
      <c r="I17" s="799"/>
      <c r="J17" s="214" t="s">
        <v>747</v>
      </c>
      <c r="K17" s="227">
        <f>+C26</f>
        <v>3389</v>
      </c>
      <c r="L17" s="227"/>
      <c r="M17" s="119">
        <f>+K17+'24'!M17+L17</f>
        <v>3389</v>
      </c>
      <c r="N17" s="151" t="s">
        <v>734</v>
      </c>
      <c r="O17" s="151">
        <v>980</v>
      </c>
      <c r="P17" s="151">
        <f>+O17-O17*0.2</f>
        <v>784</v>
      </c>
      <c r="Q17" s="151">
        <f>480-Q16</f>
        <v>295</v>
      </c>
      <c r="R17" s="151">
        <f>+O17*Q17</f>
        <v>289100</v>
      </c>
      <c r="S17" s="151">
        <f>+P17*Q17</f>
        <v>231280</v>
      </c>
    </row>
    <row r="18" spans="1:19" ht="87.75" customHeight="1" thickBot="1">
      <c r="A18" s="796"/>
      <c r="B18" s="215"/>
      <c r="C18" s="216"/>
      <c r="D18" s="217"/>
      <c r="E18" s="223"/>
      <c r="F18" s="229"/>
      <c r="G18" s="227"/>
      <c r="H18" s="558" t="s">
        <v>730</v>
      </c>
      <c r="I18" s="799"/>
      <c r="J18" s="214">
        <f>+'24'!J18</f>
        <v>0</v>
      </c>
      <c r="K18" s="236"/>
      <c r="L18" s="236"/>
      <c r="M18" s="119">
        <f>+K18+'24'!M18+L18</f>
        <v>0</v>
      </c>
      <c r="P18" s="151">
        <f>+O18-O18*0.23</f>
        <v>0</v>
      </c>
      <c r="R18" s="151">
        <f>+O18*Q18</f>
        <v>0</v>
      </c>
      <c r="S18" s="151">
        <f>+P18*Q18</f>
        <v>0</v>
      </c>
    </row>
    <row r="19" spans="1:19" ht="125.25" customHeight="1" thickBot="1">
      <c r="A19" s="796"/>
      <c r="B19" s="215"/>
      <c r="C19" s="216"/>
      <c r="D19" s="217"/>
      <c r="E19" s="223"/>
      <c r="F19" s="232">
        <v>10</v>
      </c>
      <c r="G19" s="230" t="s">
        <v>78</v>
      </c>
      <c r="H19" s="231" t="s">
        <v>731</v>
      </c>
      <c r="I19" s="799"/>
      <c r="J19" s="214">
        <f>+'24'!J19</f>
        <v>0</v>
      </c>
      <c r="K19" s="236"/>
      <c r="L19" s="236"/>
      <c r="M19" s="119">
        <f>+K19+'24'!M19+L19</f>
        <v>0</v>
      </c>
      <c r="P19" s="151">
        <f t="shared" ref="P19:P20" si="1">+O19-O19*0.23</f>
        <v>0</v>
      </c>
      <c r="R19" s="151">
        <f>+O19*Q19</f>
        <v>0</v>
      </c>
      <c r="S19" s="151">
        <f>+P19*Q19</f>
        <v>0</v>
      </c>
    </row>
    <row r="20" spans="1:19" ht="13.5" thickBot="1">
      <c r="A20" s="796"/>
      <c r="B20" s="215"/>
      <c r="C20" s="216"/>
      <c r="D20" s="217"/>
      <c r="E20" s="223"/>
      <c r="F20" s="226"/>
      <c r="G20" s="230"/>
      <c r="H20" s="231"/>
      <c r="I20" s="799"/>
      <c r="J20" s="214">
        <f>+'24'!J20</f>
        <v>0</v>
      </c>
      <c r="K20" s="237"/>
      <c r="L20" s="237"/>
      <c r="M20" s="119">
        <f>+K20+'24'!M20+L20</f>
        <v>0</v>
      </c>
      <c r="P20" s="151">
        <f t="shared" si="1"/>
        <v>0</v>
      </c>
      <c r="R20" s="151">
        <f>+O20*Q20</f>
        <v>0</v>
      </c>
      <c r="S20" s="151">
        <f>+P20*Q20</f>
        <v>0</v>
      </c>
    </row>
    <row r="21" spans="1:19" ht="13.5" thickBot="1">
      <c r="A21" s="796"/>
      <c r="B21" s="215"/>
      <c r="C21" s="216"/>
      <c r="D21" s="217"/>
      <c r="E21" s="223"/>
      <c r="F21" s="229"/>
      <c r="G21" s="230"/>
      <c r="H21" s="231"/>
      <c r="I21" s="799"/>
      <c r="J21" s="214">
        <f>+'24'!J21</f>
        <v>0</v>
      </c>
      <c r="K21" s="236"/>
      <c r="L21" s="236"/>
      <c r="M21" s="119">
        <f>+K21+'24'!M21+L21</f>
        <v>0</v>
      </c>
    </row>
    <row r="22" spans="1:19" ht="13.5" thickBot="1">
      <c r="A22" s="796"/>
      <c r="B22" s="215"/>
      <c r="C22" s="216"/>
      <c r="D22" s="217"/>
      <c r="E22" s="223"/>
      <c r="F22" s="233"/>
      <c r="G22" s="230"/>
      <c r="H22" s="231"/>
      <c r="I22" s="800"/>
      <c r="J22" s="214">
        <f>+'24'!J22</f>
        <v>0</v>
      </c>
      <c r="K22" s="236"/>
      <c r="L22" s="236"/>
      <c r="M22" s="119">
        <f>+K22+'24'!M22+L22</f>
        <v>0</v>
      </c>
      <c r="Q22" s="151">
        <f>SUM(Q16:Q21)</f>
        <v>480</v>
      </c>
      <c r="R22" s="151">
        <f>SUM(R16:R19)</f>
        <v>483350</v>
      </c>
      <c r="S22" s="151">
        <f>SUM(S16:S19)</f>
        <v>386680</v>
      </c>
    </row>
    <row r="23" spans="1:19" ht="13.5" thickBot="1">
      <c r="A23" s="797"/>
      <c r="B23" s="167" t="s">
        <v>3</v>
      </c>
      <c r="C23" s="101">
        <f>SUM(C16:C22)</f>
        <v>17186</v>
      </c>
      <c r="D23" s="113">
        <f>SUM(D16:D22)</f>
        <v>0</v>
      </c>
      <c r="E23" s="114">
        <f>SUM(E18:E22)</f>
        <v>0</v>
      </c>
      <c r="F23" s="118">
        <f>SUM(F15:F22)</f>
        <v>18</v>
      </c>
      <c r="G23" s="161"/>
      <c r="H23" s="168"/>
      <c r="I23" s="170"/>
      <c r="J23" s="214">
        <f>+'24'!J23</f>
        <v>0</v>
      </c>
      <c r="K23" s="236"/>
      <c r="L23" s="236"/>
      <c r="M23" s="119">
        <f>+K23+'24'!M23+L23</f>
        <v>0</v>
      </c>
      <c r="P23" s="151" t="s">
        <v>424</v>
      </c>
      <c r="Q23" s="151">
        <f>480-Q22</f>
        <v>0</v>
      </c>
      <c r="R23" s="151">
        <f>+R22/Q22</f>
        <v>1006.9791666666666</v>
      </c>
      <c r="S23" s="151">
        <f>+S22/Q22</f>
        <v>805.58333333333337</v>
      </c>
    </row>
    <row r="24" spans="1:19" ht="13.5" thickBot="1">
      <c r="A24" s="801" t="s">
        <v>687</v>
      </c>
      <c r="B24" s="518"/>
      <c r="C24" s="115">
        <f>C23/($C$23+$D$23+$E$23)</f>
        <v>1</v>
      </c>
      <c r="D24" s="116">
        <f>D23/($C$23+$D$23+$E$23)</f>
        <v>0</v>
      </c>
      <c r="E24" s="117">
        <f>E23/($C$23+$D$23+$E$23)</f>
        <v>0</v>
      </c>
      <c r="F24" s="233"/>
      <c r="G24" s="555" t="s">
        <v>13</v>
      </c>
      <c r="H24" s="556" t="s">
        <v>461</v>
      </c>
      <c r="I24" s="798" t="s">
        <v>740</v>
      </c>
      <c r="J24" s="214">
        <f>+'24'!J24</f>
        <v>0</v>
      </c>
      <c r="K24" s="236"/>
      <c r="L24" s="236"/>
      <c r="M24" s="119">
        <f>+K24+'24'!M24+L24</f>
        <v>0</v>
      </c>
    </row>
    <row r="25" spans="1:19" ht="13.5" thickBot="1">
      <c r="A25" s="796"/>
      <c r="B25" s="517" t="s">
        <v>746</v>
      </c>
      <c r="C25" s="224">
        <v>15058</v>
      </c>
      <c r="D25" s="217"/>
      <c r="E25" s="223"/>
      <c r="F25" s="229">
        <v>2</v>
      </c>
      <c r="G25" s="557" t="s">
        <v>13</v>
      </c>
      <c r="H25" s="228" t="s">
        <v>462</v>
      </c>
      <c r="I25" s="799"/>
      <c r="J25" s="214">
        <f>+'24'!J25</f>
        <v>0</v>
      </c>
      <c r="K25" s="236"/>
      <c r="L25" s="236"/>
      <c r="M25" s="119">
        <f>+K25+'24'!M25+L25</f>
        <v>0</v>
      </c>
      <c r="N25" s="151" t="s">
        <v>734</v>
      </c>
      <c r="O25" s="151">
        <v>980</v>
      </c>
      <c r="P25" s="151">
        <f>+O25-O25*0.2</f>
        <v>784</v>
      </c>
      <c r="Q25" s="151">
        <f>60*2</f>
        <v>120</v>
      </c>
      <c r="R25" s="151">
        <f>+O25*Q25</f>
        <v>117600</v>
      </c>
      <c r="S25" s="151">
        <f>+P25*Q25</f>
        <v>94080</v>
      </c>
    </row>
    <row r="26" spans="1:19" ht="13.5" thickBot="1">
      <c r="A26" s="796"/>
      <c r="B26" s="215" t="s">
        <v>747</v>
      </c>
      <c r="C26" s="224">
        <v>3389</v>
      </c>
      <c r="D26" s="217"/>
      <c r="E26" s="225"/>
      <c r="F26" s="229">
        <v>5</v>
      </c>
      <c r="G26" s="557" t="s">
        <v>13</v>
      </c>
      <c r="H26" s="231" t="s">
        <v>431</v>
      </c>
      <c r="I26" s="799"/>
      <c r="J26" s="214">
        <f>+'24'!J26</f>
        <v>0</v>
      </c>
      <c r="K26" s="236"/>
      <c r="L26" s="236"/>
      <c r="M26" s="119">
        <f>+K26+'24'!M26+L26</f>
        <v>0</v>
      </c>
      <c r="N26" s="151" t="s">
        <v>735</v>
      </c>
      <c r="O26" s="151">
        <v>950</v>
      </c>
      <c r="P26" s="151">
        <f>+O26-O26*0.2</f>
        <v>760</v>
      </c>
      <c r="Q26" s="151">
        <f>480-Q25</f>
        <v>360</v>
      </c>
      <c r="R26" s="151">
        <f>+O26*Q26</f>
        <v>342000</v>
      </c>
      <c r="S26" s="151">
        <f>+P26*Q26</f>
        <v>273600</v>
      </c>
    </row>
    <row r="27" spans="1:19" ht="77.25" thickBot="1">
      <c r="A27" s="796"/>
      <c r="B27" s="215"/>
      <c r="C27" s="216"/>
      <c r="D27" s="217"/>
      <c r="E27" s="223"/>
      <c r="F27" s="229"/>
      <c r="G27" s="227"/>
      <c r="H27" s="558" t="s">
        <v>732</v>
      </c>
      <c r="I27" s="799"/>
      <c r="J27" s="214">
        <f>+'24'!J27</f>
        <v>0</v>
      </c>
      <c r="K27" s="236"/>
      <c r="L27" s="236"/>
      <c r="M27" s="119">
        <f>+K27+'24'!M27+L27</f>
        <v>0</v>
      </c>
      <c r="P27" s="151">
        <f>+O27-O27*0.23</f>
        <v>0</v>
      </c>
      <c r="R27" s="151">
        <f>+O27*Q27</f>
        <v>0</v>
      </c>
      <c r="S27" s="151">
        <f>+P27*Q27</f>
        <v>0</v>
      </c>
    </row>
    <row r="28" spans="1:19" ht="39" thickBot="1">
      <c r="A28" s="796"/>
      <c r="B28" s="215"/>
      <c r="C28" s="216"/>
      <c r="D28" s="217"/>
      <c r="E28" s="223"/>
      <c r="F28" s="229"/>
      <c r="G28" s="227"/>
      <c r="H28" s="231" t="s">
        <v>733</v>
      </c>
      <c r="I28" s="799"/>
      <c r="J28" s="214">
        <f>+'24'!J28</f>
        <v>0</v>
      </c>
      <c r="K28" s="236"/>
      <c r="L28" s="236"/>
      <c r="M28" s="119">
        <f>+K28+'24'!M28+L28</f>
        <v>0</v>
      </c>
      <c r="P28" s="151">
        <f t="shared" ref="P28:P29" si="2">+O28-O28*0.23</f>
        <v>0</v>
      </c>
      <c r="R28" s="151">
        <f>+O28*Q28</f>
        <v>0</v>
      </c>
      <c r="S28" s="151">
        <f>+P28*Q28</f>
        <v>0</v>
      </c>
    </row>
    <row r="29" spans="1:19" ht="13.5" thickBot="1">
      <c r="A29" s="796"/>
      <c r="B29" s="215"/>
      <c r="C29" s="216"/>
      <c r="D29" s="217"/>
      <c r="E29" s="223"/>
      <c r="F29" s="233"/>
      <c r="G29" s="230"/>
      <c r="H29" s="231"/>
      <c r="I29" s="799"/>
      <c r="J29" s="214">
        <f>+'24'!J29</f>
        <v>0</v>
      </c>
      <c r="K29" s="236"/>
      <c r="L29" s="236"/>
      <c r="M29" s="119">
        <f>+K29+'24'!M29+L29</f>
        <v>0</v>
      </c>
      <c r="P29" s="151">
        <f t="shared" si="2"/>
        <v>0</v>
      </c>
      <c r="R29" s="151">
        <f>+O29*Q29</f>
        <v>0</v>
      </c>
      <c r="S29" s="151">
        <f>+P29*Q29</f>
        <v>0</v>
      </c>
    </row>
    <row r="30" spans="1:19" ht="13.5" thickBot="1">
      <c r="A30" s="796"/>
      <c r="B30" s="215"/>
      <c r="C30" s="224"/>
      <c r="D30" s="217"/>
      <c r="E30" s="223"/>
      <c r="F30" s="233"/>
      <c r="G30" s="230"/>
      <c r="H30" s="231"/>
      <c r="I30" s="799"/>
      <c r="J30" s="214">
        <f>+'24'!J30</f>
        <v>0</v>
      </c>
      <c r="K30" s="236"/>
      <c r="L30" s="236"/>
      <c r="M30" s="119">
        <f>+K30+'24'!M30+L30</f>
        <v>0</v>
      </c>
    </row>
    <row r="31" spans="1:19" ht="13.5" thickBot="1">
      <c r="A31" s="796"/>
      <c r="B31" s="215"/>
      <c r="C31" s="224"/>
      <c r="D31" s="217"/>
      <c r="E31" s="223"/>
      <c r="F31" s="233"/>
      <c r="G31" s="234"/>
      <c r="H31" s="409"/>
      <c r="I31" s="800"/>
      <c r="J31" s="214">
        <f>+'24'!J31</f>
        <v>0</v>
      </c>
      <c r="K31" s="236"/>
      <c r="L31" s="236"/>
      <c r="M31" s="119">
        <f>+K31+'24'!M31+L31</f>
        <v>0</v>
      </c>
      <c r="Q31" s="151">
        <f>SUM(Q25:Q30)</f>
        <v>480</v>
      </c>
      <c r="R31" s="151">
        <f>SUM(R25:R28)</f>
        <v>459600</v>
      </c>
      <c r="S31" s="151">
        <f>SUM(S25:S28)</f>
        <v>367680</v>
      </c>
    </row>
    <row r="32" spans="1:19" ht="13.5" thickBot="1">
      <c r="A32" s="797"/>
      <c r="B32" s="167" t="s">
        <v>3</v>
      </c>
      <c r="C32" s="101">
        <f>SUM(C25:C31)</f>
        <v>18447</v>
      </c>
      <c r="D32" s="102">
        <f>SUM(D25:D31)</f>
        <v>0</v>
      </c>
      <c r="E32" s="103">
        <f>SUM(E25:E31)</f>
        <v>0</v>
      </c>
      <c r="F32" s="101">
        <f>SUM(F24:F31)</f>
        <v>7</v>
      </c>
      <c r="G32" s="171"/>
      <c r="H32" s="172"/>
      <c r="I32" s="170"/>
      <c r="J32" s="214">
        <f>+'24'!J32</f>
        <v>0</v>
      </c>
      <c r="K32" s="238"/>
      <c r="L32" s="240"/>
      <c r="M32" s="119">
        <f>+K32+'24'!M32+L32</f>
        <v>0</v>
      </c>
      <c r="P32" s="151" t="s">
        <v>424</v>
      </c>
      <c r="Q32" s="151">
        <f>480-Q31</f>
        <v>0</v>
      </c>
      <c r="R32" s="151">
        <f>+R31/Q31</f>
        <v>957.5</v>
      </c>
      <c r="S32" s="151">
        <f>+S31/Q31</f>
        <v>766</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02" t="s">
        <v>69</v>
      </c>
      <c r="B34" s="803"/>
      <c r="C34" s="109">
        <f>C14+C23+C32</f>
        <v>47623</v>
      </c>
      <c r="D34" s="109">
        <f>D14+D23+D32</f>
        <v>0</v>
      </c>
      <c r="E34" s="109">
        <f>E14+E23+E32</f>
        <v>0</v>
      </c>
      <c r="F34" s="110">
        <f>F14+F23+F32</f>
        <v>45</v>
      </c>
      <c r="H34" s="178"/>
      <c r="I34" s="178"/>
      <c r="J34" s="125" t="s">
        <v>29</v>
      </c>
      <c r="K34" s="126">
        <f>SUM(K7:K32)</f>
        <v>47623</v>
      </c>
      <c r="L34" s="212">
        <f>SUM(L7:L32)</f>
        <v>0</v>
      </c>
      <c r="M34" s="122">
        <f>SUM(M7:M32)</f>
        <v>1061438</v>
      </c>
      <c r="N34" s="157"/>
    </row>
    <row r="35" spans="1:17" ht="13.5" thickBot="1">
      <c r="A35" s="179"/>
      <c r="B35" s="180"/>
      <c r="C35" s="106">
        <f>C34/($C$34+$D$34+$E$34)</f>
        <v>1</v>
      </c>
      <c r="D35" s="106">
        <f>D34/($C$34+$D$34+$E$34)</f>
        <v>0</v>
      </c>
      <c r="E35" s="111">
        <f>E34/($C$34+$D$34+$E$34)</f>
        <v>0</v>
      </c>
      <c r="H35" s="151" t="s">
        <v>0</v>
      </c>
      <c r="K35" s="157"/>
    </row>
    <row r="36" spans="1:17" ht="13.5" thickBot="1">
      <c r="A36" s="178"/>
      <c r="B36" s="178"/>
      <c r="C36" s="157"/>
      <c r="D36" s="157"/>
      <c r="E36" s="157"/>
      <c r="G36" s="157"/>
      <c r="H36" s="181"/>
      <c r="I36" s="164" t="s">
        <v>39</v>
      </c>
      <c r="J36" s="164" t="s">
        <v>40</v>
      </c>
      <c r="K36" s="182"/>
      <c r="N36" s="151" t="s">
        <v>709</v>
      </c>
      <c r="O36" s="151">
        <v>1050</v>
      </c>
      <c r="P36" s="151">
        <v>840</v>
      </c>
      <c r="Q36" s="151">
        <f>480+185</f>
        <v>665</v>
      </c>
    </row>
    <row r="37" spans="1:17" ht="17.45" customHeight="1" thickBot="1">
      <c r="A37" s="804" t="s">
        <v>70</v>
      </c>
      <c r="B37" s="805"/>
      <c r="C37" s="164" t="s">
        <v>71</v>
      </c>
      <c r="D37" s="183" t="s">
        <v>72</v>
      </c>
      <c r="E37" s="184" t="s">
        <v>73</v>
      </c>
      <c r="F37" s="309"/>
      <c r="G37" s="311"/>
      <c r="H37" s="186" t="s">
        <v>74</v>
      </c>
      <c r="I37" s="241">
        <f>(17*665+415*19+20*360)/1440*G42*2.74*1440/1000000</f>
        <v>58.126071538888894</v>
      </c>
      <c r="J37" s="127">
        <f>+I37+'24'!J37</f>
        <v>1231.2443575860948</v>
      </c>
      <c r="K37" s="128" t="s">
        <v>75</v>
      </c>
      <c r="N37" s="151" t="s">
        <v>734</v>
      </c>
      <c r="O37" s="151">
        <v>980</v>
      </c>
      <c r="P37" s="151">
        <v>784</v>
      </c>
      <c r="Q37" s="151">
        <f>295+120</f>
        <v>415</v>
      </c>
    </row>
    <row r="38" spans="1:17" ht="17.45" customHeight="1">
      <c r="A38" s="806" t="s">
        <v>13</v>
      </c>
      <c r="B38" s="807"/>
      <c r="C38" s="166">
        <f>SUMIF($G$7:$G$31,"Process",$F$7:$F$31)</f>
        <v>35</v>
      </c>
      <c r="D38" s="120">
        <f>C38+'24'!D38</f>
        <v>1639</v>
      </c>
      <c r="E38" s="145">
        <f t="shared" ref="E38:E52" si="3">D38/60</f>
        <v>27.316666666666666</v>
      </c>
      <c r="F38" s="309">
        <v>1050</v>
      </c>
      <c r="G38" s="309">
        <v>840</v>
      </c>
      <c r="H38" s="187" t="s">
        <v>76</v>
      </c>
      <c r="I38" s="242">
        <f>15.63+20.44+18.58</f>
        <v>54.65</v>
      </c>
      <c r="J38" s="129">
        <f>+I38+'24'!J38</f>
        <v>1110.7900000000002</v>
      </c>
      <c r="K38" s="130" t="s">
        <v>75</v>
      </c>
      <c r="N38" s="151" t="s">
        <v>735</v>
      </c>
      <c r="O38" s="151">
        <v>950</v>
      </c>
      <c r="P38" s="151">
        <v>760</v>
      </c>
      <c r="Q38" s="151">
        <v>360</v>
      </c>
    </row>
    <row r="39" spans="1:17" ht="17.45" customHeight="1">
      <c r="A39" s="793" t="s">
        <v>14</v>
      </c>
      <c r="B39" s="794"/>
      <c r="C39" s="166">
        <f>SUMIF($G$7:$G$31,"Cleaning",$F$7:$F$31)</f>
        <v>0</v>
      </c>
      <c r="D39" s="120">
        <f>C39+'24'!D39</f>
        <v>0</v>
      </c>
      <c r="E39" s="145">
        <f t="shared" si="3"/>
        <v>0</v>
      </c>
      <c r="F39" s="309">
        <v>1006.9791666666666</v>
      </c>
      <c r="G39" s="309">
        <v>805.58333333333337</v>
      </c>
      <c r="H39" s="187" t="s">
        <v>77</v>
      </c>
      <c r="I39" s="144"/>
      <c r="J39" s="131">
        <f>J37/G4</f>
        <v>49.249774303443793</v>
      </c>
      <c r="K39" s="132" t="s">
        <v>75</v>
      </c>
      <c r="Q39" s="151">
        <f>+Q36+Q37+Q38</f>
        <v>1440</v>
      </c>
    </row>
    <row r="40" spans="1:17" ht="17.45" customHeight="1">
      <c r="A40" s="793" t="s">
        <v>78</v>
      </c>
      <c r="B40" s="794"/>
      <c r="C40" s="166">
        <f>SUMIF($G$7:$G$31,"Mechanical",$F$7:$F$31)</f>
        <v>10</v>
      </c>
      <c r="D40" s="120">
        <f>C40+'24'!D40</f>
        <v>52</v>
      </c>
      <c r="E40" s="145">
        <f t="shared" si="3"/>
        <v>0.8666666666666667</v>
      </c>
      <c r="F40" s="309">
        <v>957.5</v>
      </c>
      <c r="G40" s="309">
        <v>766</v>
      </c>
      <c r="H40" s="187" t="s">
        <v>79</v>
      </c>
      <c r="I40" s="120">
        <f>(K34+L34)/1000</f>
        <v>47.622999999999998</v>
      </c>
      <c r="J40" s="133">
        <f>+I40+'24'!J40</f>
        <v>1061.4379999999999</v>
      </c>
      <c r="K40" s="132" t="s">
        <v>75</v>
      </c>
    </row>
    <row r="41" spans="1:17" ht="17.45" customHeight="1">
      <c r="A41" s="793" t="s">
        <v>80</v>
      </c>
      <c r="B41" s="794"/>
      <c r="C41" s="166">
        <f>SUMIF($G$7:$G$31,"Electrical",$F$7:$F$31)</f>
        <v>0</v>
      </c>
      <c r="D41" s="120">
        <f>C41+'24'!D41</f>
        <v>59</v>
      </c>
      <c r="E41" s="145">
        <f t="shared" si="3"/>
        <v>0.98333333333333328</v>
      </c>
      <c r="F41" s="309"/>
      <c r="G41" s="309"/>
      <c r="H41" s="187" t="s">
        <v>81</v>
      </c>
      <c r="I41" s="144"/>
      <c r="J41" s="131">
        <f>J40/G4</f>
        <v>42.457519999999995</v>
      </c>
      <c r="K41" s="132" t="s">
        <v>75</v>
      </c>
      <c r="N41" s="157">
        <f>+M34-1061438</f>
        <v>0</v>
      </c>
    </row>
    <row r="42" spans="1:17" ht="17.45" customHeight="1">
      <c r="A42" s="793" t="s">
        <v>17</v>
      </c>
      <c r="B42" s="794"/>
      <c r="C42" s="166">
        <f>SUMIF($G$7:$G$31,"Instrument",$F$7:$F$31)</f>
        <v>0</v>
      </c>
      <c r="D42" s="120">
        <f>C42+'24'!D42</f>
        <v>0</v>
      </c>
      <c r="E42" s="145">
        <f t="shared" si="3"/>
        <v>0</v>
      </c>
      <c r="F42" s="185">
        <f>+(F38*480+F39*480+F40*480)/1440</f>
        <v>1004.8263888888889</v>
      </c>
      <c r="G42" s="185">
        <f>+(G38*480+G39*480+G40*480)/1440</f>
        <v>803.86111111111109</v>
      </c>
      <c r="H42" s="187" t="s">
        <v>82</v>
      </c>
      <c r="I42" s="243" t="s">
        <v>741</v>
      </c>
      <c r="J42" s="134"/>
      <c r="K42" s="132" t="s">
        <v>83</v>
      </c>
    </row>
    <row r="43" spans="1:17" ht="17.45" customHeight="1">
      <c r="A43" s="793" t="s">
        <v>84</v>
      </c>
      <c r="B43" s="794"/>
      <c r="C43" s="166">
        <f>SUMIF($G$7:$G$31,"Water",$F$7:$F$31)</f>
        <v>0</v>
      </c>
      <c r="D43" s="120">
        <f>C43+'24'!D43</f>
        <v>0</v>
      </c>
      <c r="E43" s="145">
        <f t="shared" si="3"/>
        <v>0</v>
      </c>
      <c r="F43" s="309"/>
      <c r="G43" s="310"/>
      <c r="H43" s="188" t="s">
        <v>85</v>
      </c>
      <c r="I43" s="120">
        <f>+Report1!Z33</f>
        <v>89.8</v>
      </c>
      <c r="J43" s="135">
        <f>+I43+'24'!J43</f>
        <v>2158.88</v>
      </c>
      <c r="K43" s="132" t="s">
        <v>75</v>
      </c>
      <c r="L43" s="189"/>
    </row>
    <row r="44" spans="1:17" ht="17.45" customHeight="1">
      <c r="A44" s="793" t="s">
        <v>18</v>
      </c>
      <c r="B44" s="794"/>
      <c r="C44" s="166">
        <f>SUMIF($G$7:$G$31,"PLN",$F$7:$F$31)</f>
        <v>0</v>
      </c>
      <c r="D44" s="120">
        <f>C44+'24'!D44</f>
        <v>30</v>
      </c>
      <c r="E44" s="145">
        <f t="shared" si="3"/>
        <v>0.5</v>
      </c>
      <c r="F44" s="309"/>
      <c r="G44" s="310"/>
      <c r="H44" s="188" t="s">
        <v>86</v>
      </c>
      <c r="I44" s="120">
        <f>I43/I38</f>
        <v>1.6431838975297346</v>
      </c>
      <c r="J44" s="136">
        <f>J43/J38</f>
        <v>1.9435536870155472</v>
      </c>
      <c r="K44" s="132" t="s">
        <v>75</v>
      </c>
    </row>
    <row r="45" spans="1:17" ht="17.45" customHeight="1">
      <c r="A45" s="793" t="s">
        <v>19</v>
      </c>
      <c r="B45" s="794"/>
      <c r="C45" s="166">
        <f>SUMIF($G$7:$G$31,"Boiler",$F$7:$F$31)</f>
        <v>0</v>
      </c>
      <c r="D45" s="120">
        <f>C45+'24'!D45</f>
        <v>0</v>
      </c>
      <c r="E45" s="145">
        <f t="shared" si="3"/>
        <v>0</v>
      </c>
      <c r="F45" s="309"/>
      <c r="G45" s="312"/>
      <c r="H45" s="188" t="s">
        <v>87</v>
      </c>
      <c r="I45" s="120">
        <f>I43/I40</f>
        <v>1.8856434915901981</v>
      </c>
      <c r="J45" s="136">
        <f>J43/J40</f>
        <v>2.0339200217064026</v>
      </c>
      <c r="K45" s="132" t="s">
        <v>75</v>
      </c>
    </row>
    <row r="46" spans="1:17" ht="17.45" customHeight="1">
      <c r="A46" s="793" t="s">
        <v>88</v>
      </c>
      <c r="B46" s="794"/>
      <c r="C46" s="166">
        <f>SUMIF($G$7:$G$31,"Gas",$F$7:$F$31)</f>
        <v>0</v>
      </c>
      <c r="D46" s="120">
        <f>C46+'24'!D46</f>
        <v>0</v>
      </c>
      <c r="E46" s="145">
        <f t="shared" si="3"/>
        <v>0</v>
      </c>
      <c r="F46" s="309"/>
      <c r="G46" s="310"/>
      <c r="H46" s="188" t="s">
        <v>89</v>
      </c>
      <c r="I46" s="142">
        <f>+SUMIF(Listrik!X32,"&gt;0")</f>
        <v>33439.905000000741</v>
      </c>
      <c r="J46" s="137">
        <f>+I46+'24'!J46</f>
        <v>1000114.5249999996</v>
      </c>
      <c r="K46" s="132" t="s">
        <v>90</v>
      </c>
    </row>
    <row r="47" spans="1:17" ht="17.45" customHeight="1">
      <c r="A47" s="793" t="s">
        <v>91</v>
      </c>
      <c r="B47" s="794"/>
      <c r="C47" s="166">
        <f>SUMIF($G$7:$G$31,"Gas",$F$7:$F$31)</f>
        <v>0</v>
      </c>
      <c r="D47" s="120">
        <f>C47+'24'!D47</f>
        <v>0</v>
      </c>
      <c r="E47" s="145">
        <f t="shared" si="3"/>
        <v>0</v>
      </c>
      <c r="F47" s="309"/>
      <c r="G47" s="310"/>
      <c r="H47" s="188" t="s">
        <v>92</v>
      </c>
      <c r="I47" s="120">
        <f>I46/I38</f>
        <v>611.89213174749761</v>
      </c>
      <c r="J47" s="137">
        <f>J46/J38</f>
        <v>900.36327748719327</v>
      </c>
      <c r="K47" s="132" t="s">
        <v>25</v>
      </c>
    </row>
    <row r="48" spans="1:17" ht="17.45" customHeight="1">
      <c r="A48" s="793" t="s">
        <v>15</v>
      </c>
      <c r="B48" s="794"/>
      <c r="C48" s="166">
        <f>SUMIF($G$7:$G$31,"Start Up",$F$7:$F$31)</f>
        <v>0</v>
      </c>
      <c r="D48" s="120">
        <f>C48+'24'!D48</f>
        <v>0</v>
      </c>
      <c r="E48" s="145">
        <f t="shared" si="3"/>
        <v>0</v>
      </c>
      <c r="F48" s="309"/>
      <c r="G48" s="310"/>
      <c r="H48" s="188" t="s">
        <v>93</v>
      </c>
      <c r="I48" s="120">
        <f>I46/I40</f>
        <v>702.17972408291666</v>
      </c>
      <c r="J48" s="137">
        <f>J46/J40</f>
        <v>942.22604146450351</v>
      </c>
      <c r="K48" s="132" t="s">
        <v>25</v>
      </c>
    </row>
    <row r="49" spans="1:11" ht="17.45" customHeight="1">
      <c r="A49" s="793" t="s">
        <v>21</v>
      </c>
      <c r="B49" s="794"/>
      <c r="C49" s="166">
        <f>SUMIF($G$7:$G$31,"Others",$F$7:$F$31)</f>
        <v>0</v>
      </c>
      <c r="D49" s="120">
        <f>C49+'24'!D49</f>
        <v>454</v>
      </c>
      <c r="E49" s="145">
        <f t="shared" si="3"/>
        <v>7.5666666666666664</v>
      </c>
      <c r="F49" s="185"/>
      <c r="H49" s="188" t="s">
        <v>280</v>
      </c>
      <c r="I49" s="120">
        <f>+Report1!T33</f>
        <v>3718.3625044542728</v>
      </c>
      <c r="J49" s="137">
        <f>+I49+'24'!J49</f>
        <v>90246.799271492782</v>
      </c>
      <c r="K49" s="132" t="s">
        <v>94</v>
      </c>
    </row>
    <row r="50" spans="1:11" ht="17.45" customHeight="1">
      <c r="A50" s="793" t="s">
        <v>20</v>
      </c>
      <c r="B50" s="794"/>
      <c r="C50" s="166">
        <f>SUMIF($G$7:$G$31,"Steam",$F$7:$F$31)</f>
        <v>0</v>
      </c>
      <c r="D50" s="120">
        <f>C50+'24'!D50</f>
        <v>0</v>
      </c>
      <c r="E50" s="145">
        <f t="shared" si="3"/>
        <v>0</v>
      </c>
      <c r="F50" s="185"/>
      <c r="H50" s="188" t="s">
        <v>95</v>
      </c>
      <c r="I50" s="142">
        <f>I49/I38</f>
        <v>68.039570072356327</v>
      </c>
      <c r="J50" s="135">
        <f>J49/J38</f>
        <v>81.245599322547704</v>
      </c>
      <c r="K50" s="132" t="s">
        <v>94</v>
      </c>
    </row>
    <row r="51" spans="1:11" ht="17.45" customHeight="1">
      <c r="A51" s="810" t="s">
        <v>96</v>
      </c>
      <c r="B51" s="810"/>
      <c r="C51" s="166">
        <f>SUMIF($G$7:$G$31,"Planned shut",$F$7:$F$31)</f>
        <v>0</v>
      </c>
      <c r="D51" s="120">
        <f>C51+'24'!D51</f>
        <v>0</v>
      </c>
      <c r="E51" s="145">
        <f t="shared" si="3"/>
        <v>0</v>
      </c>
      <c r="F51" s="185"/>
      <c r="H51" s="190" t="s">
        <v>97</v>
      </c>
      <c r="I51" s="143">
        <f>I49/I40</f>
        <v>78.079132025581615</v>
      </c>
      <c r="J51" s="138">
        <f>J49/J40</f>
        <v>85.023147156492229</v>
      </c>
      <c r="K51" s="139" t="s">
        <v>94</v>
      </c>
    </row>
    <row r="52" spans="1:11" ht="13.5" thickBot="1">
      <c r="A52" s="811" t="s">
        <v>230</v>
      </c>
      <c r="B52" s="812"/>
      <c r="C52" s="166">
        <f>SUMIF($G$7:$G$31,"Change Grade",$F$7:$F$31)</f>
        <v>0</v>
      </c>
      <c r="D52" s="120">
        <f>C52+'24'!D52</f>
        <v>0</v>
      </c>
      <c r="E52" s="145">
        <f t="shared" si="3"/>
        <v>0</v>
      </c>
      <c r="F52" s="185"/>
      <c r="H52" s="191"/>
      <c r="I52" s="192"/>
      <c r="J52" s="140"/>
      <c r="K52" s="141"/>
    </row>
    <row r="53" spans="1:11">
      <c r="A53" s="806" t="s">
        <v>29</v>
      </c>
      <c r="B53" s="807"/>
      <c r="C53" s="146">
        <f>SUM(C38:C52)</f>
        <v>45</v>
      </c>
      <c r="D53" s="146">
        <f>SUM(D38:D52)</f>
        <v>2234</v>
      </c>
      <c r="E53" s="147">
        <f>SUM(E38:E52)</f>
        <v>37.233333333333334</v>
      </c>
      <c r="F53" s="185"/>
    </row>
    <row r="54" spans="1:11" ht="13.5" thickBot="1">
      <c r="A54" s="808"/>
      <c r="B54" s="809"/>
      <c r="C54" s="148">
        <f>C53/(24*60)</f>
        <v>3.125E-2</v>
      </c>
      <c r="D54" s="148">
        <f>D53/(24*60*G4)</f>
        <v>6.2055555555555558E-2</v>
      </c>
      <c r="E54" s="149">
        <f>E53/(G4*24)</f>
        <v>6.2055555555555558E-2</v>
      </c>
      <c r="F54" s="185"/>
    </row>
    <row r="55" spans="1:11">
      <c r="E55" s="193"/>
    </row>
    <row r="56" spans="1:11">
      <c r="A56" s="194" t="s">
        <v>98</v>
      </c>
      <c r="B56" s="195"/>
      <c r="C56" s="196"/>
      <c r="D56" s="196"/>
      <c r="E56" s="196"/>
      <c r="F56" s="197"/>
      <c r="G56" s="196"/>
      <c r="H56" s="198"/>
      <c r="I56" s="199" t="s">
        <v>99</v>
      </c>
      <c r="J56" s="200">
        <f>+D34+'24'!J56</f>
        <v>4755</v>
      </c>
      <c r="K56" s="201">
        <f>J56/(J40+J56/1000)/1000</f>
        <v>4.459792926796555E-3</v>
      </c>
    </row>
    <row r="57" spans="1:11">
      <c r="A57" s="176"/>
      <c r="I57" s="199" t="s">
        <v>100</v>
      </c>
      <c r="J57" s="200">
        <f>+E34+'24'!J57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view="pageBreakPreview" topLeftCell="F4" zoomScale="80" zoomScaleNormal="80" zoomScaleSheetLayoutView="80" workbookViewId="0">
      <selection activeCell="I23" sqref="I23"/>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3.57031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24</v>
      </c>
      <c r="H4" s="156" t="str">
        <f>+'1'!H4</f>
        <v>.07.25</v>
      </c>
      <c r="J4" s="151">
        <f>528+554+497</f>
        <v>1579</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696</v>
      </c>
      <c r="O6" s="151">
        <v>1350</v>
      </c>
      <c r="P6" s="151">
        <f>+O6-O6*0.23</f>
        <v>1039.5</v>
      </c>
      <c r="Q6" s="151">
        <v>15</v>
      </c>
      <c r="R6" s="151">
        <f>+O6*Q6</f>
        <v>20250</v>
      </c>
      <c r="S6" s="151">
        <f>+P6*Q6</f>
        <v>15592.5</v>
      </c>
    </row>
    <row r="7" spans="1:19" ht="13.5" thickBot="1">
      <c r="A7" s="795" t="s">
        <v>470</v>
      </c>
      <c r="B7" s="215" t="s">
        <v>700</v>
      </c>
      <c r="C7" s="216">
        <v>3518</v>
      </c>
      <c r="D7" s="217"/>
      <c r="E7" s="218"/>
      <c r="F7" s="233"/>
      <c r="G7" s="555" t="s">
        <v>13</v>
      </c>
      <c r="H7" s="556" t="s">
        <v>461</v>
      </c>
      <c r="I7" s="798" t="s">
        <v>815</v>
      </c>
      <c r="J7" s="214" t="str">
        <f>+'23'!J7</f>
        <v>F 12 VP OW</v>
      </c>
      <c r="K7" s="235"/>
      <c r="L7" s="239"/>
      <c r="M7" s="119">
        <f>+K7+'23'!M7+L7</f>
        <v>473486</v>
      </c>
      <c r="N7" s="151" t="s">
        <v>707</v>
      </c>
      <c r="O7" s="151">
        <v>1180</v>
      </c>
      <c r="P7" s="151">
        <f>+O7-O7*0.17</f>
        <v>979.4</v>
      </c>
      <c r="Q7" s="151">
        <f>480-Q6</f>
        <v>465</v>
      </c>
      <c r="R7" s="151">
        <f>+O7*Q7</f>
        <v>548700</v>
      </c>
      <c r="S7" s="151">
        <f>+P7*Q7</f>
        <v>455421</v>
      </c>
    </row>
    <row r="8" spans="1:19" ht="13.5" thickBot="1">
      <c r="A8" s="796"/>
      <c r="B8" s="215" t="s">
        <v>718</v>
      </c>
      <c r="C8" s="216">
        <v>8939</v>
      </c>
      <c r="D8" s="217"/>
      <c r="E8" s="219"/>
      <c r="F8" s="229">
        <v>4</v>
      </c>
      <c r="G8" s="557" t="s">
        <v>13</v>
      </c>
      <c r="H8" s="228" t="s">
        <v>566</v>
      </c>
      <c r="I8" s="799"/>
      <c r="J8" s="214" t="str">
        <f>+'23'!J8</f>
        <v>F 11,5 VP OW</v>
      </c>
      <c r="K8" s="236"/>
      <c r="L8" s="236"/>
      <c r="M8" s="119">
        <f>+K8+'23'!M8+L8</f>
        <v>226339</v>
      </c>
      <c r="P8" s="151">
        <f>+O8-O8*0.23</f>
        <v>0</v>
      </c>
      <c r="R8" s="151">
        <f>+O8*Q8</f>
        <v>0</v>
      </c>
      <c r="S8" s="151">
        <f>+P8*Q8</f>
        <v>0</v>
      </c>
    </row>
    <row r="9" spans="1:19" ht="13.5" thickBot="1">
      <c r="A9" s="796"/>
      <c r="B9" s="215"/>
      <c r="C9" s="216"/>
      <c r="D9" s="217"/>
      <c r="E9" s="220"/>
      <c r="F9" s="229">
        <v>4</v>
      </c>
      <c r="G9" s="557" t="s">
        <v>13</v>
      </c>
      <c r="H9" s="231" t="s">
        <v>400</v>
      </c>
      <c r="I9" s="799"/>
      <c r="J9" s="214" t="str">
        <f>+'23'!J9</f>
        <v>T 13 VP OW</v>
      </c>
      <c r="K9" s="236"/>
      <c r="L9" s="236"/>
      <c r="M9" s="119">
        <f>+K9+'23'!M9+L9</f>
        <v>113358</v>
      </c>
      <c r="P9" s="151">
        <f t="shared" ref="P9:P10" si="0">+O9-O9*0.23</f>
        <v>0</v>
      </c>
      <c r="R9" s="151">
        <f>+O9*Q9</f>
        <v>0</v>
      </c>
      <c r="S9" s="151">
        <f>+P9*Q9</f>
        <v>0</v>
      </c>
    </row>
    <row r="10" spans="1:19" ht="51.75" thickBot="1">
      <c r="A10" s="796"/>
      <c r="B10" s="215"/>
      <c r="C10" s="216"/>
      <c r="D10" s="217"/>
      <c r="E10" s="219"/>
      <c r="F10" s="229">
        <v>14</v>
      </c>
      <c r="G10" s="227" t="s">
        <v>78</v>
      </c>
      <c r="H10" s="558" t="s">
        <v>705</v>
      </c>
      <c r="I10" s="799"/>
      <c r="J10" s="214" t="str">
        <f>+'23'!J10</f>
        <v>F 13 VP OW</v>
      </c>
      <c r="K10" s="236"/>
      <c r="L10" s="236"/>
      <c r="M10" s="119">
        <f>+K10+'23'!M10+L10</f>
        <v>85076</v>
      </c>
      <c r="P10" s="151">
        <f t="shared" si="0"/>
        <v>0</v>
      </c>
      <c r="R10" s="151">
        <f>+O10*Q10</f>
        <v>0</v>
      </c>
      <c r="S10" s="151">
        <f>+P10*Q10</f>
        <v>0</v>
      </c>
    </row>
    <row r="11" spans="1:19" ht="105" customHeight="1" thickBot="1">
      <c r="A11" s="796"/>
      <c r="B11" s="215"/>
      <c r="C11" s="216"/>
      <c r="D11" s="217"/>
      <c r="E11" s="219"/>
      <c r="F11" s="226"/>
      <c r="G11" s="230"/>
      <c r="H11" s="231" t="s">
        <v>706</v>
      </c>
      <c r="I11" s="799"/>
      <c r="J11" s="214" t="str">
        <f>+'23'!J11</f>
        <v xml:space="preserve">T 13 VP OW HB </v>
      </c>
      <c r="K11" s="236"/>
      <c r="L11" s="236"/>
      <c r="M11" s="119">
        <f>+K11+'23'!M11+L11</f>
        <v>10128</v>
      </c>
    </row>
    <row r="12" spans="1:19" ht="13.5" thickBot="1">
      <c r="A12" s="796"/>
      <c r="B12" s="215"/>
      <c r="C12" s="216"/>
      <c r="D12" s="217"/>
      <c r="E12" s="219"/>
      <c r="F12" s="226"/>
      <c r="G12" s="230"/>
      <c r="H12" s="231" t="s">
        <v>708</v>
      </c>
      <c r="I12" s="799"/>
      <c r="J12" s="214" t="str">
        <f>+'23'!J12</f>
        <v>TW 15 VP OW</v>
      </c>
      <c r="K12" s="236"/>
      <c r="L12" s="236"/>
      <c r="M12" s="119">
        <f>+K12+'23'!M12+L12</f>
        <v>51015</v>
      </c>
      <c r="Q12" s="151">
        <f>SUM(Q6:Q11)</f>
        <v>480</v>
      </c>
      <c r="R12" s="151">
        <f>SUM(R6:R9)</f>
        <v>568950</v>
      </c>
      <c r="S12" s="151">
        <f>SUM(S6:S9)</f>
        <v>471013.5</v>
      </c>
    </row>
    <row r="13" spans="1:19" ht="13.5" thickBot="1">
      <c r="A13" s="796"/>
      <c r="B13" s="215"/>
      <c r="C13" s="216"/>
      <c r="D13" s="216"/>
      <c r="E13" s="219"/>
      <c r="F13" s="226"/>
      <c r="G13" s="230"/>
      <c r="H13" s="231"/>
      <c r="I13" s="800"/>
      <c r="J13" s="214" t="str">
        <f>+'23'!J13</f>
        <v>F 12,5 VP OW</v>
      </c>
      <c r="K13" s="236">
        <f>+C7</f>
        <v>3518</v>
      </c>
      <c r="L13" s="236"/>
      <c r="M13" s="119">
        <f>+K13+'23'!M13+L13</f>
        <v>10854</v>
      </c>
      <c r="P13" s="151" t="s">
        <v>424</v>
      </c>
      <c r="Q13" s="151">
        <f>480-Q12</f>
        <v>0</v>
      </c>
      <c r="R13" s="151">
        <f>+R12/Q12</f>
        <v>1185.3125</v>
      </c>
      <c r="S13" s="151">
        <f>+S12/Q12</f>
        <v>981.27812500000005</v>
      </c>
    </row>
    <row r="14" spans="1:19" ht="13.5" thickBot="1">
      <c r="A14" s="797"/>
      <c r="B14" s="167" t="s">
        <v>3</v>
      </c>
      <c r="C14" s="101">
        <f>SUM(C7:C13)</f>
        <v>12457</v>
      </c>
      <c r="D14" s="113">
        <f>SUM(D7:D13)</f>
        <v>0</v>
      </c>
      <c r="E14" s="114">
        <f>SUM(E5:E13)</f>
        <v>0</v>
      </c>
      <c r="F14" s="118">
        <f>SUM(F7:F13)</f>
        <v>22</v>
      </c>
      <c r="G14" s="161"/>
      <c r="H14" s="168"/>
      <c r="I14" s="169"/>
      <c r="J14" s="214" t="s">
        <v>718</v>
      </c>
      <c r="K14" s="236">
        <f>+C8+C16+C25</f>
        <v>30142</v>
      </c>
      <c r="L14" s="236"/>
      <c r="M14" s="119">
        <f>+K14+'23'!M14+L14</f>
        <v>30142</v>
      </c>
    </row>
    <row r="15" spans="1:19" ht="13.5" thickBot="1">
      <c r="A15" s="801" t="s">
        <v>717</v>
      </c>
      <c r="B15" s="518"/>
      <c r="C15" s="115">
        <f>C14/($C$23+$D$23+$E$23)</f>
        <v>0.66636353910345569</v>
      </c>
      <c r="D15" s="116">
        <f>D14/($C$23+$D$23+$E$23)</f>
        <v>0</v>
      </c>
      <c r="E15" s="117">
        <f>E14/($C$23+$D$23+$E$23)</f>
        <v>0</v>
      </c>
      <c r="F15" s="233"/>
      <c r="G15" s="555" t="s">
        <v>13</v>
      </c>
      <c r="H15" s="556" t="s">
        <v>461</v>
      </c>
      <c r="I15" s="798" t="s">
        <v>816</v>
      </c>
      <c r="J15" s="214" t="s">
        <v>719</v>
      </c>
      <c r="K15" s="236">
        <f>+C26</f>
        <v>13417</v>
      </c>
      <c r="L15" s="236"/>
      <c r="M15" s="119">
        <f>+K15+'23'!M15+L15</f>
        <v>13417</v>
      </c>
      <c r="N15" s="151" t="s">
        <v>707</v>
      </c>
      <c r="O15" s="151">
        <v>1180</v>
      </c>
      <c r="P15" s="151">
        <f>+O15-O15*0.17</f>
        <v>979.4</v>
      </c>
      <c r="Q15" s="151">
        <f>480-Q16</f>
        <v>425</v>
      </c>
      <c r="R15" s="151">
        <f>+O15*Q15</f>
        <v>501500</v>
      </c>
      <c r="S15" s="151">
        <f>+P15*Q15</f>
        <v>416245</v>
      </c>
    </row>
    <row r="16" spans="1:19" ht="13.5" thickBot="1">
      <c r="A16" s="796"/>
      <c r="B16" s="517" t="s">
        <v>718</v>
      </c>
      <c r="C16" s="516">
        <v>18694</v>
      </c>
      <c r="D16" s="221"/>
      <c r="E16" s="222"/>
      <c r="F16" s="229">
        <v>7</v>
      </c>
      <c r="G16" s="557" t="s">
        <v>13</v>
      </c>
      <c r="H16" s="228" t="s">
        <v>399</v>
      </c>
      <c r="I16" s="799"/>
      <c r="J16" s="214">
        <f>+'23'!J16</f>
        <v>0</v>
      </c>
      <c r="K16" s="227"/>
      <c r="L16" s="227"/>
      <c r="M16" s="119">
        <f>+K16+'23'!M16+L16</f>
        <v>0</v>
      </c>
      <c r="N16" s="151" t="s">
        <v>709</v>
      </c>
      <c r="O16" s="151">
        <v>1050</v>
      </c>
      <c r="P16" s="151">
        <f>+O16-O16*0.23</f>
        <v>808.5</v>
      </c>
      <c r="Q16" s="151">
        <f>60-5</f>
        <v>55</v>
      </c>
      <c r="R16" s="151">
        <f>+O16*Q16</f>
        <v>57750</v>
      </c>
      <c r="S16" s="151">
        <f>+P16*Q16</f>
        <v>44467.5</v>
      </c>
    </row>
    <row r="17" spans="1:19" ht="13.5" thickBot="1">
      <c r="A17" s="796"/>
      <c r="B17" s="215"/>
      <c r="C17" s="216"/>
      <c r="D17" s="217"/>
      <c r="E17" s="223"/>
      <c r="F17" s="229">
        <v>10</v>
      </c>
      <c r="G17" s="557" t="s">
        <v>13</v>
      </c>
      <c r="H17" s="231" t="s">
        <v>400</v>
      </c>
      <c r="I17" s="799"/>
      <c r="J17" s="214">
        <f>+'23'!J17</f>
        <v>0</v>
      </c>
      <c r="K17" s="227"/>
      <c r="L17" s="227"/>
      <c r="M17" s="119">
        <f>+K17+'23'!M17+L17</f>
        <v>0</v>
      </c>
      <c r="P17" s="151">
        <f>+O17-O17*0.23</f>
        <v>0</v>
      </c>
      <c r="R17" s="151">
        <f>+O17*Q17</f>
        <v>0</v>
      </c>
      <c r="S17" s="151">
        <f>+P17*Q17</f>
        <v>0</v>
      </c>
    </row>
    <row r="18" spans="1:19" ht="77.25" thickBot="1">
      <c r="A18" s="796"/>
      <c r="B18" s="215"/>
      <c r="C18" s="216"/>
      <c r="D18" s="217"/>
      <c r="E18" s="223"/>
      <c r="F18" s="229"/>
      <c r="G18" s="227"/>
      <c r="H18" s="558" t="s">
        <v>701</v>
      </c>
      <c r="I18" s="799"/>
      <c r="J18" s="214">
        <f>+'23'!J18</f>
        <v>0</v>
      </c>
      <c r="K18" s="236"/>
      <c r="L18" s="236"/>
      <c r="M18" s="119">
        <f>+K18+'23'!M18+L18</f>
        <v>0</v>
      </c>
      <c r="P18" s="151">
        <f t="shared" ref="P18:P19" si="1">+O18-O18*0.23</f>
        <v>0</v>
      </c>
      <c r="R18" s="151">
        <f>+O18*Q18</f>
        <v>0</v>
      </c>
      <c r="S18" s="151">
        <f>+P18*Q18</f>
        <v>0</v>
      </c>
    </row>
    <row r="19" spans="1:19" ht="77.25" thickBot="1">
      <c r="A19" s="796"/>
      <c r="B19" s="215"/>
      <c r="C19" s="216"/>
      <c r="D19" s="217"/>
      <c r="E19" s="223"/>
      <c r="F19" s="232"/>
      <c r="G19" s="230"/>
      <c r="H19" s="231" t="s">
        <v>702</v>
      </c>
      <c r="I19" s="799"/>
      <c r="J19" s="214">
        <f>+'23'!J19</f>
        <v>0</v>
      </c>
      <c r="K19" s="236"/>
      <c r="L19" s="236"/>
      <c r="M19" s="119">
        <f>+K19+'23'!M19+L19</f>
        <v>0</v>
      </c>
      <c r="P19" s="151">
        <f t="shared" si="1"/>
        <v>0</v>
      </c>
      <c r="R19" s="151">
        <f>+O19*Q19</f>
        <v>0</v>
      </c>
      <c r="S19" s="151">
        <f>+P19*Q19</f>
        <v>0</v>
      </c>
    </row>
    <row r="20" spans="1:19" ht="13.5" thickBot="1">
      <c r="A20" s="796"/>
      <c r="B20" s="215"/>
      <c r="C20" s="216"/>
      <c r="D20" s="217"/>
      <c r="E20" s="223"/>
      <c r="F20" s="226"/>
      <c r="G20" s="230"/>
      <c r="H20" s="231"/>
      <c r="I20" s="799"/>
      <c r="J20" s="214">
        <f>+'23'!J20</f>
        <v>0</v>
      </c>
      <c r="K20" s="237"/>
      <c r="L20" s="237"/>
      <c r="M20" s="119">
        <f>+K20+'23'!M20+L20</f>
        <v>0</v>
      </c>
    </row>
    <row r="21" spans="1:19" ht="13.5" thickBot="1">
      <c r="A21" s="796"/>
      <c r="B21" s="215"/>
      <c r="C21" s="216"/>
      <c r="D21" s="217"/>
      <c r="E21" s="223"/>
      <c r="F21" s="229"/>
      <c r="G21" s="230"/>
      <c r="H21" s="231"/>
      <c r="I21" s="799"/>
      <c r="J21" s="214">
        <f>+'23'!J21</f>
        <v>0</v>
      </c>
      <c r="K21" s="236"/>
      <c r="L21" s="236"/>
      <c r="M21" s="119">
        <f>+K21+'23'!M21+L21</f>
        <v>0</v>
      </c>
      <c r="Q21" s="151">
        <f>SUM(Q15:Q20)</f>
        <v>480</v>
      </c>
      <c r="R21" s="151">
        <f>SUM(R15:R18)</f>
        <v>559250</v>
      </c>
      <c r="S21" s="151">
        <f>SUM(S15:S18)</f>
        <v>460712.5</v>
      </c>
    </row>
    <row r="22" spans="1:19" ht="13.5" thickBot="1">
      <c r="A22" s="796"/>
      <c r="B22" s="215"/>
      <c r="C22" s="216"/>
      <c r="D22" s="217"/>
      <c r="E22" s="223"/>
      <c r="F22" s="233"/>
      <c r="G22" s="230"/>
      <c r="H22" s="231"/>
      <c r="I22" s="800"/>
      <c r="J22" s="214">
        <f>+'23'!J22</f>
        <v>0</v>
      </c>
      <c r="K22" s="236"/>
      <c r="L22" s="236"/>
      <c r="M22" s="119">
        <f>+K22+'23'!M22+L22</f>
        <v>0</v>
      </c>
      <c r="P22" s="151" t="s">
        <v>424</v>
      </c>
      <c r="Q22" s="151">
        <f>480-Q21</f>
        <v>0</v>
      </c>
      <c r="R22" s="151">
        <f>+R21/Q21</f>
        <v>1165.1041666666667</v>
      </c>
      <c r="S22" s="151">
        <f>+S21/Q21</f>
        <v>959.81770833333337</v>
      </c>
    </row>
    <row r="23" spans="1:19" ht="13.5" thickBot="1">
      <c r="A23" s="797"/>
      <c r="B23" s="167" t="s">
        <v>3</v>
      </c>
      <c r="C23" s="101">
        <f>SUM(C16:C22)</f>
        <v>18694</v>
      </c>
      <c r="D23" s="113">
        <f>SUM(D16:D22)</f>
        <v>0</v>
      </c>
      <c r="E23" s="114">
        <f>SUM(E18:E22)</f>
        <v>0</v>
      </c>
      <c r="F23" s="118">
        <f>SUM(F15:F22)</f>
        <v>17</v>
      </c>
      <c r="G23" s="161"/>
      <c r="H23" s="168"/>
      <c r="I23" s="170"/>
      <c r="J23" s="214">
        <f>+'23'!J23</f>
        <v>0</v>
      </c>
      <c r="K23" s="236"/>
      <c r="L23" s="236"/>
      <c r="M23" s="119">
        <f>+K23+'23'!M23+L23</f>
        <v>0</v>
      </c>
    </row>
    <row r="24" spans="1:19" ht="13.5" thickBot="1">
      <c r="A24" s="801" t="s">
        <v>687</v>
      </c>
      <c r="B24" s="518"/>
      <c r="C24" s="115">
        <f>C23/($C$23+$D$23+$E$23)</f>
        <v>1</v>
      </c>
      <c r="D24" s="116">
        <f>D23/($C$23+$D$23+$E$23)</f>
        <v>0</v>
      </c>
      <c r="E24" s="117">
        <f>E23/($C$23+$D$23+$E$23)</f>
        <v>0</v>
      </c>
      <c r="F24" s="233"/>
      <c r="G24" s="555" t="s">
        <v>13</v>
      </c>
      <c r="H24" s="556" t="s">
        <v>461</v>
      </c>
      <c r="I24" s="798" t="s">
        <v>711</v>
      </c>
      <c r="J24" s="214">
        <f>+'23'!J24</f>
        <v>0</v>
      </c>
      <c r="K24" s="236"/>
      <c r="L24" s="236"/>
      <c r="M24" s="119">
        <f>+K24+'23'!M24+L24</f>
        <v>0</v>
      </c>
      <c r="N24" s="151" t="s">
        <v>709</v>
      </c>
      <c r="O24" s="151">
        <v>1050</v>
      </c>
      <c r="P24" s="151">
        <f>+O24-O24*0.2</f>
        <v>840</v>
      </c>
      <c r="Q24" s="151">
        <v>480</v>
      </c>
      <c r="R24" s="151">
        <f>+O24*Q24</f>
        <v>504000</v>
      </c>
      <c r="S24" s="151">
        <f>+P24*Q24</f>
        <v>403200</v>
      </c>
    </row>
    <row r="25" spans="1:19" ht="13.5" thickBot="1">
      <c r="A25" s="796"/>
      <c r="B25" s="517" t="s">
        <v>718</v>
      </c>
      <c r="C25" s="224">
        <v>2509</v>
      </c>
      <c r="D25" s="217"/>
      <c r="E25" s="223"/>
      <c r="F25" s="229">
        <v>4</v>
      </c>
      <c r="G25" s="557" t="s">
        <v>13</v>
      </c>
      <c r="H25" s="228" t="s">
        <v>462</v>
      </c>
      <c r="I25" s="799"/>
      <c r="J25" s="214">
        <f>+'23'!J25</f>
        <v>0</v>
      </c>
      <c r="K25" s="236"/>
      <c r="L25" s="236"/>
      <c r="M25" s="119">
        <f>+K25+'23'!M25+L25</f>
        <v>0</v>
      </c>
      <c r="P25" s="151">
        <f>+O25-O25*0.23</f>
        <v>0</v>
      </c>
      <c r="Q25" s="151">
        <v>0</v>
      </c>
      <c r="R25" s="151">
        <f>+O25*Q25</f>
        <v>0</v>
      </c>
      <c r="S25" s="151">
        <f>+P25*Q25</f>
        <v>0</v>
      </c>
    </row>
    <row r="26" spans="1:19" ht="13.5" thickBot="1">
      <c r="A26" s="796"/>
      <c r="B26" s="215" t="s">
        <v>719</v>
      </c>
      <c r="C26" s="224">
        <v>13417</v>
      </c>
      <c r="D26" s="217"/>
      <c r="E26" s="225"/>
      <c r="F26" s="229">
        <v>8</v>
      </c>
      <c r="G26" s="557" t="s">
        <v>13</v>
      </c>
      <c r="H26" s="231" t="s">
        <v>480</v>
      </c>
      <c r="I26" s="799"/>
      <c r="J26" s="214">
        <f>+'23'!J26</f>
        <v>0</v>
      </c>
      <c r="K26" s="236"/>
      <c r="L26" s="236"/>
      <c r="M26" s="119">
        <f>+K26+'23'!M26+L26</f>
        <v>0</v>
      </c>
      <c r="P26" s="151">
        <f>+O26-O26*0.23</f>
        <v>0</v>
      </c>
      <c r="R26" s="151">
        <f>+O26*Q26</f>
        <v>0</v>
      </c>
      <c r="S26" s="151">
        <f>+P26*Q26</f>
        <v>0</v>
      </c>
    </row>
    <row r="27" spans="1:19" ht="51.75" thickBot="1">
      <c r="A27" s="796"/>
      <c r="B27" s="215"/>
      <c r="C27" s="216"/>
      <c r="D27" s="217"/>
      <c r="E27" s="223"/>
      <c r="F27" s="229"/>
      <c r="G27" s="227"/>
      <c r="H27" s="558" t="s">
        <v>703</v>
      </c>
      <c r="I27" s="799"/>
      <c r="J27" s="214">
        <f>+'23'!J27</f>
        <v>0</v>
      </c>
      <c r="K27" s="236"/>
      <c r="L27" s="236"/>
      <c r="M27" s="119">
        <f>+K27+'23'!M27+L27</f>
        <v>0</v>
      </c>
      <c r="P27" s="151">
        <f t="shared" ref="P27:P28" si="2">+O27-O27*0.23</f>
        <v>0</v>
      </c>
      <c r="R27" s="151">
        <f>+O27*Q27</f>
        <v>0</v>
      </c>
      <c r="S27" s="151">
        <f>+P27*Q27</f>
        <v>0</v>
      </c>
    </row>
    <row r="28" spans="1:19" ht="102.75" thickBot="1">
      <c r="A28" s="796"/>
      <c r="B28" s="215"/>
      <c r="C28" s="216"/>
      <c r="D28" s="217"/>
      <c r="E28" s="223"/>
      <c r="F28" s="229"/>
      <c r="G28" s="227"/>
      <c r="H28" s="231" t="s">
        <v>704</v>
      </c>
      <c r="I28" s="799"/>
      <c r="J28" s="214">
        <f>+'23'!J28</f>
        <v>0</v>
      </c>
      <c r="K28" s="236"/>
      <c r="L28" s="236"/>
      <c r="M28" s="119">
        <f>+K28+'23'!M28+L28</f>
        <v>0</v>
      </c>
      <c r="P28" s="151">
        <f t="shared" si="2"/>
        <v>0</v>
      </c>
      <c r="R28" s="151">
        <f>+O28*Q28</f>
        <v>0</v>
      </c>
      <c r="S28" s="151">
        <f>+P28*Q28</f>
        <v>0</v>
      </c>
    </row>
    <row r="29" spans="1:19" ht="13.5" thickBot="1">
      <c r="A29" s="796"/>
      <c r="B29" s="215"/>
      <c r="C29" s="216"/>
      <c r="D29" s="217"/>
      <c r="E29" s="223"/>
      <c r="F29" s="233">
        <v>8</v>
      </c>
      <c r="G29" s="230" t="s">
        <v>21</v>
      </c>
      <c r="H29" s="231" t="s">
        <v>710</v>
      </c>
      <c r="I29" s="799"/>
      <c r="J29" s="214">
        <f>+'23'!J29</f>
        <v>0</v>
      </c>
      <c r="K29" s="236"/>
      <c r="L29" s="236"/>
      <c r="M29" s="119">
        <f>+K29+'23'!M29+L29</f>
        <v>0</v>
      </c>
    </row>
    <row r="30" spans="1:19" ht="13.5" thickBot="1">
      <c r="A30" s="796"/>
      <c r="B30" s="215"/>
      <c r="C30" s="224"/>
      <c r="D30" s="217"/>
      <c r="E30" s="223"/>
      <c r="F30" s="233"/>
      <c r="G30" s="230"/>
      <c r="H30" s="231"/>
      <c r="I30" s="799"/>
      <c r="J30" s="214">
        <f>+'23'!J30</f>
        <v>0</v>
      </c>
      <c r="K30" s="236"/>
      <c r="L30" s="236"/>
      <c r="M30" s="119">
        <f>+K30+'23'!M30+L30</f>
        <v>0</v>
      </c>
      <c r="Q30" s="151">
        <f>SUM(Q24:Q29)</f>
        <v>480</v>
      </c>
      <c r="R30" s="151">
        <f>SUM(R24:R27)</f>
        <v>504000</v>
      </c>
      <c r="S30" s="151">
        <f>SUM(S24:S27)</f>
        <v>403200</v>
      </c>
    </row>
    <row r="31" spans="1:19" ht="13.5" thickBot="1">
      <c r="A31" s="796"/>
      <c r="B31" s="215"/>
      <c r="C31" s="224"/>
      <c r="D31" s="217"/>
      <c r="E31" s="223"/>
      <c r="F31" s="233"/>
      <c r="G31" s="234"/>
      <c r="H31" s="409"/>
      <c r="I31" s="800"/>
      <c r="J31" s="214">
        <f>+'23'!J31</f>
        <v>0</v>
      </c>
      <c r="K31" s="236"/>
      <c r="L31" s="236"/>
      <c r="M31" s="119">
        <f>+K31+'23'!M31+L31</f>
        <v>0</v>
      </c>
      <c r="P31" s="151" t="s">
        <v>424</v>
      </c>
      <c r="Q31" s="151">
        <f>480-Q30</f>
        <v>0</v>
      </c>
      <c r="R31" s="151">
        <f>+R30/Q30</f>
        <v>1050</v>
      </c>
      <c r="S31" s="151">
        <f>+S30/Q30</f>
        <v>840</v>
      </c>
    </row>
    <row r="32" spans="1:19" ht="13.5" thickBot="1">
      <c r="A32" s="797"/>
      <c r="B32" s="167" t="s">
        <v>3</v>
      </c>
      <c r="C32" s="101">
        <f>SUM(C25:C31)</f>
        <v>15926</v>
      </c>
      <c r="D32" s="102">
        <f>SUM(D25:D31)</f>
        <v>0</v>
      </c>
      <c r="E32" s="103">
        <f>SUM(E25:E31)</f>
        <v>0</v>
      </c>
      <c r="F32" s="101">
        <f>SUM(F24:F31)</f>
        <v>20</v>
      </c>
      <c r="G32" s="171"/>
      <c r="H32" s="172"/>
      <c r="I32" s="170"/>
      <c r="J32" s="214">
        <f>+'23'!J32</f>
        <v>0</v>
      </c>
      <c r="K32" s="238"/>
      <c r="L32" s="240"/>
      <c r="M32" s="119">
        <f>+K32+'23'!M32+L32</f>
        <v>0</v>
      </c>
    </row>
    <row r="33" spans="1:23" ht="13.5" thickBot="1">
      <c r="A33" s="173"/>
      <c r="B33" s="174"/>
      <c r="C33" s="105">
        <f>C32/($C$32+$D$32+$E$32)</f>
        <v>1</v>
      </c>
      <c r="D33" s="106">
        <f>D32/($C$32+$D$32+$E$32)</f>
        <v>0</v>
      </c>
      <c r="E33" s="107">
        <f>E32/($C$32+$D$32+$E$32)</f>
        <v>0</v>
      </c>
      <c r="F33" s="108"/>
      <c r="G33" s="175"/>
      <c r="H33" s="176"/>
      <c r="I33" s="177"/>
      <c r="J33" s="123"/>
      <c r="K33" s="124"/>
      <c r="L33" s="213"/>
      <c r="M33" s="121"/>
    </row>
    <row r="34" spans="1:23" ht="13.5" thickBot="1">
      <c r="A34" s="802" t="s">
        <v>69</v>
      </c>
      <c r="B34" s="803"/>
      <c r="C34" s="109">
        <f>C14+C23+C32</f>
        <v>47077</v>
      </c>
      <c r="D34" s="109">
        <f>D14+D23+D32</f>
        <v>0</v>
      </c>
      <c r="E34" s="109">
        <f>E14+E23+E32</f>
        <v>0</v>
      </c>
      <c r="F34" s="110">
        <f>F14+F23+F32</f>
        <v>59</v>
      </c>
      <c r="H34" s="178"/>
      <c r="I34" s="178"/>
      <c r="J34" s="125" t="s">
        <v>29</v>
      </c>
      <c r="K34" s="126">
        <f>SUM(K7:K32)</f>
        <v>47077</v>
      </c>
      <c r="L34" s="212">
        <f>SUM(L7:L32)</f>
        <v>0</v>
      </c>
      <c r="M34" s="122">
        <f>SUM(M7:M32)</f>
        <v>1013815</v>
      </c>
      <c r="N34" s="157" t="s">
        <v>696</v>
      </c>
      <c r="O34" s="151">
        <v>1350</v>
      </c>
      <c r="P34" s="151">
        <v>1039.5</v>
      </c>
      <c r="Q34" s="151">
        <v>15</v>
      </c>
    </row>
    <row r="35" spans="1:23" ht="13.5" thickBot="1">
      <c r="A35" s="179"/>
      <c r="B35" s="180"/>
      <c r="C35" s="106">
        <f>C34/($C$34+$D$34+$E$34)</f>
        <v>1</v>
      </c>
      <c r="D35" s="106">
        <f>D34/($C$34+$D$34+$E$34)</f>
        <v>0</v>
      </c>
      <c r="E35" s="111">
        <f>E34/($C$34+$D$34+$E$34)</f>
        <v>0</v>
      </c>
      <c r="H35" s="151" t="s">
        <v>0</v>
      </c>
      <c r="K35" s="157"/>
      <c r="N35" s="151" t="s">
        <v>707</v>
      </c>
      <c r="O35" s="151">
        <v>1180</v>
      </c>
      <c r="P35" s="151">
        <v>979.4</v>
      </c>
      <c r="Q35" s="151">
        <v>890</v>
      </c>
    </row>
    <row r="36" spans="1:23" ht="13.5" thickBot="1">
      <c r="A36" s="178"/>
      <c r="B36" s="178"/>
      <c r="C36" s="157"/>
      <c r="D36" s="157"/>
      <c r="E36" s="157"/>
      <c r="G36" s="157"/>
      <c r="H36" s="181"/>
      <c r="I36" s="164" t="s">
        <v>39</v>
      </c>
      <c r="J36" s="164" t="s">
        <v>40</v>
      </c>
      <c r="K36" s="182"/>
      <c r="N36" s="151" t="s">
        <v>709</v>
      </c>
      <c r="O36" s="151">
        <v>1050</v>
      </c>
      <c r="P36" s="151">
        <v>840</v>
      </c>
      <c r="Q36" s="151">
        <v>535</v>
      </c>
    </row>
    <row r="37" spans="1:23" ht="17.45" customHeight="1" thickBot="1">
      <c r="A37" s="804" t="s">
        <v>70</v>
      </c>
      <c r="B37" s="805"/>
      <c r="C37" s="164" t="s">
        <v>71</v>
      </c>
      <c r="D37" s="183" t="s">
        <v>72</v>
      </c>
      <c r="E37" s="184" t="s">
        <v>73</v>
      </c>
      <c r="F37" s="309"/>
      <c r="G37" s="311"/>
      <c r="H37" s="186" t="s">
        <v>74</v>
      </c>
      <c r="I37" s="241">
        <f>(15*12.5+14.5*890+535*17)/1440*G42*2.74*1440/1000000</f>
        <v>56.357748272569445</v>
      </c>
      <c r="J37" s="127">
        <f>+I37+'23'!J37</f>
        <v>1173.1182860472059</v>
      </c>
      <c r="K37" s="128" t="s">
        <v>75</v>
      </c>
      <c r="Q37" s="151">
        <f>+Q34+Q35+Q36</f>
        <v>1440</v>
      </c>
    </row>
    <row r="38" spans="1:23" ht="17.45" customHeight="1">
      <c r="A38" s="806" t="s">
        <v>13</v>
      </c>
      <c r="B38" s="807"/>
      <c r="C38" s="166">
        <f>SUMIF($G$7:$G$31,"Process",$F$7:$F$31)</f>
        <v>37</v>
      </c>
      <c r="D38" s="120">
        <f>C38+'23'!D38</f>
        <v>1604</v>
      </c>
      <c r="E38" s="145">
        <f t="shared" ref="E38:E52" si="3">D38/60</f>
        <v>26.733333333333334</v>
      </c>
      <c r="F38" s="309">
        <v>1185.3125</v>
      </c>
      <c r="G38" s="309">
        <v>981.27812500000005</v>
      </c>
      <c r="H38" s="187" t="s">
        <v>76</v>
      </c>
      <c r="I38" s="242">
        <f>16.446+16.782+16.778</f>
        <v>50.006</v>
      </c>
      <c r="J38" s="129">
        <f>+I38+'23'!J38</f>
        <v>1056.1400000000001</v>
      </c>
      <c r="K38" s="130" t="s">
        <v>75</v>
      </c>
    </row>
    <row r="39" spans="1:23" ht="17.45" customHeight="1" thickBot="1">
      <c r="A39" s="793" t="s">
        <v>14</v>
      </c>
      <c r="B39" s="794"/>
      <c r="C39" s="166">
        <f>SUMIF($G$7:$G$31,"Cleaning",$F$7:$F$31)</f>
        <v>0</v>
      </c>
      <c r="D39" s="120">
        <f>C39+'23'!D39</f>
        <v>0</v>
      </c>
      <c r="E39" s="145">
        <f t="shared" si="3"/>
        <v>0</v>
      </c>
      <c r="F39" s="309">
        <v>1165.1041666666667</v>
      </c>
      <c r="G39" s="309">
        <v>959.81770833333337</v>
      </c>
      <c r="H39" s="187" t="s">
        <v>77</v>
      </c>
      <c r="I39" s="144"/>
      <c r="J39" s="131">
        <f>J37/G4</f>
        <v>48.879928585300242</v>
      </c>
      <c r="K39" s="132" t="s">
        <v>75</v>
      </c>
      <c r="N39" s="151" t="s">
        <v>484</v>
      </c>
    </row>
    <row r="40" spans="1:23" ht="17.45" customHeight="1" thickBot="1">
      <c r="A40" s="793" t="s">
        <v>78</v>
      </c>
      <c r="B40" s="794"/>
      <c r="C40" s="166">
        <f>SUMIF($G$7:$G$31,"Mechanical",$F$7:$F$31)</f>
        <v>14</v>
      </c>
      <c r="D40" s="120">
        <f>C40+'23'!D40</f>
        <v>42</v>
      </c>
      <c r="E40" s="145">
        <f t="shared" si="3"/>
        <v>0.7</v>
      </c>
      <c r="F40" s="309">
        <v>1050</v>
      </c>
      <c r="G40" s="309">
        <v>840</v>
      </c>
      <c r="H40" s="187" t="s">
        <v>79</v>
      </c>
      <c r="I40" s="120">
        <f>(K34+L34)/1000</f>
        <v>47.076999999999998</v>
      </c>
      <c r="J40" s="133">
        <f>+I40+'23'!J40</f>
        <v>1013.8149999999998</v>
      </c>
      <c r="K40" s="132" t="s">
        <v>75</v>
      </c>
      <c r="N40" s="181" t="s">
        <v>104</v>
      </c>
      <c r="O40" s="582" t="s">
        <v>485</v>
      </c>
      <c r="P40" s="582" t="s">
        <v>486</v>
      </c>
      <c r="Q40" s="582" t="s">
        <v>487</v>
      </c>
      <c r="R40" s="582" t="s">
        <v>488</v>
      </c>
      <c r="S40" s="583" t="s">
        <v>489</v>
      </c>
      <c r="T40" s="582" t="s">
        <v>490</v>
      </c>
      <c r="U40" s="584" t="s">
        <v>491</v>
      </c>
      <c r="V40" s="582" t="s">
        <v>492</v>
      </c>
      <c r="W40" s="582" t="s">
        <v>493</v>
      </c>
    </row>
    <row r="41" spans="1:23" ht="17.45" customHeight="1" thickBot="1">
      <c r="A41" s="793" t="s">
        <v>80</v>
      </c>
      <c r="B41" s="794"/>
      <c r="C41" s="166">
        <f>SUMIF($G$7:$G$31,"Electrical",$F$7:$F$31)</f>
        <v>0</v>
      </c>
      <c r="D41" s="120">
        <f>C41+'23'!D41</f>
        <v>59</v>
      </c>
      <c r="E41" s="145">
        <f t="shared" si="3"/>
        <v>0.98333333333333328</v>
      </c>
      <c r="F41" s="309"/>
      <c r="G41" s="309"/>
      <c r="H41" s="187" t="s">
        <v>81</v>
      </c>
      <c r="I41" s="144"/>
      <c r="J41" s="131">
        <f>J40/G4</f>
        <v>42.242291666666659</v>
      </c>
      <c r="K41" s="132" t="s">
        <v>75</v>
      </c>
      <c r="N41" s="585">
        <v>17</v>
      </c>
      <c r="O41" s="199">
        <v>1050</v>
      </c>
      <c r="P41" s="199">
        <v>1065</v>
      </c>
      <c r="Q41" s="199">
        <v>840</v>
      </c>
      <c r="R41" s="586">
        <f>1-(Q41/O41)</f>
        <v>0.19999999999999996</v>
      </c>
      <c r="S41" s="587">
        <v>8</v>
      </c>
      <c r="T41" s="588">
        <v>256.5</v>
      </c>
      <c r="U41" s="589">
        <f>(O41*(1-R41)*N41*T41*S41)/100000000</f>
        <v>0.2930256</v>
      </c>
      <c r="V41" s="590">
        <f>+C48/1000</f>
        <v>0</v>
      </c>
      <c r="W41" s="591">
        <f>SUM(V41:V43)/SUM(U41:U43)</f>
        <v>0</v>
      </c>
    </row>
    <row r="42" spans="1:23" ht="17.45" customHeight="1">
      <c r="A42" s="793" t="s">
        <v>17</v>
      </c>
      <c r="B42" s="794"/>
      <c r="C42" s="166">
        <f>SUMIF($G$7:$G$31,"Instrument",$F$7:$F$31)</f>
        <v>0</v>
      </c>
      <c r="D42" s="120">
        <f>C42+'23'!D42</f>
        <v>0</v>
      </c>
      <c r="E42" s="145">
        <f t="shared" si="3"/>
        <v>0</v>
      </c>
      <c r="F42" s="185">
        <f>+(480*F38+480*F39+480*F40)/1440</f>
        <v>1133.4722222222222</v>
      </c>
      <c r="G42" s="185">
        <f>+(480*G38+480*G39+480*G40)/1440</f>
        <v>927.03194444444443</v>
      </c>
      <c r="H42" s="187" t="s">
        <v>82</v>
      </c>
      <c r="I42" s="243" t="s">
        <v>712</v>
      </c>
      <c r="J42" s="134"/>
      <c r="K42" s="132" t="s">
        <v>83</v>
      </c>
      <c r="N42" s="585"/>
      <c r="O42" s="199"/>
      <c r="P42" s="199"/>
      <c r="Q42" s="199"/>
      <c r="R42" s="586"/>
      <c r="S42" s="592"/>
      <c r="T42" s="588"/>
      <c r="U42" s="589"/>
      <c r="V42" s="590"/>
      <c r="W42" s="593"/>
    </row>
    <row r="43" spans="1:23" ht="17.45" customHeight="1">
      <c r="A43" s="793" t="s">
        <v>84</v>
      </c>
      <c r="B43" s="794"/>
      <c r="C43" s="166">
        <f>SUMIF($G$7:$G$31,"Water",$F$7:$F$31)</f>
        <v>0</v>
      </c>
      <c r="D43" s="120">
        <f>C43+'23'!D43</f>
        <v>0</v>
      </c>
      <c r="E43" s="145">
        <f t="shared" si="3"/>
        <v>0</v>
      </c>
      <c r="F43" s="309"/>
      <c r="G43" s="310"/>
      <c r="H43" s="188" t="s">
        <v>85</v>
      </c>
      <c r="I43" s="120">
        <f>+Report1!Z32</f>
        <v>91.05</v>
      </c>
      <c r="J43" s="135">
        <f>+I43+'23'!J43</f>
        <v>2069.08</v>
      </c>
      <c r="K43" s="132" t="s">
        <v>75</v>
      </c>
      <c r="L43" s="189"/>
      <c r="U43" s="151">
        <f>300/1000</f>
        <v>0.3</v>
      </c>
    </row>
    <row r="44" spans="1:23" ht="17.45" customHeight="1">
      <c r="A44" s="793" t="s">
        <v>18</v>
      </c>
      <c r="B44" s="794"/>
      <c r="C44" s="166">
        <f>SUMIF($G$7:$G$31,"PLN",$F$7:$F$31)</f>
        <v>0</v>
      </c>
      <c r="D44" s="120">
        <f>C44+'23'!D44</f>
        <v>30</v>
      </c>
      <c r="E44" s="145">
        <f t="shared" si="3"/>
        <v>0.5</v>
      </c>
      <c r="F44" s="309"/>
      <c r="G44" s="310"/>
      <c r="H44" s="188" t="s">
        <v>86</v>
      </c>
      <c r="I44" s="120">
        <f>I43/I38</f>
        <v>1.8207815062192536</v>
      </c>
      <c r="J44" s="136">
        <f>J43/J38</f>
        <v>1.9590963319256913</v>
      </c>
      <c r="K44" s="132" t="s">
        <v>75</v>
      </c>
    </row>
    <row r="45" spans="1:23" ht="17.45" customHeight="1">
      <c r="A45" s="793" t="s">
        <v>19</v>
      </c>
      <c r="B45" s="794"/>
      <c r="C45" s="166">
        <f>SUMIF($G$7:$G$31,"Boiler",$F$7:$F$31)</f>
        <v>0</v>
      </c>
      <c r="D45" s="120">
        <f>C45+'23'!D45</f>
        <v>0</v>
      </c>
      <c r="E45" s="145">
        <f t="shared" si="3"/>
        <v>0</v>
      </c>
      <c r="F45" s="309"/>
      <c r="G45" s="312"/>
      <c r="H45" s="188" t="s">
        <v>87</v>
      </c>
      <c r="I45" s="120">
        <f>I43/I40</f>
        <v>1.9340654672132889</v>
      </c>
      <c r="J45" s="136">
        <f>J43/J40</f>
        <v>2.0408851713576937</v>
      </c>
      <c r="K45" s="132" t="s">
        <v>75</v>
      </c>
    </row>
    <row r="46" spans="1:23" ht="17.45" customHeight="1">
      <c r="A46" s="793" t="s">
        <v>88</v>
      </c>
      <c r="B46" s="794"/>
      <c r="C46" s="166">
        <f>SUMIF($G$7:$G$31,"Gas",$F$7:$F$31)</f>
        <v>0</v>
      </c>
      <c r="D46" s="120">
        <f>C46+'23'!D46</f>
        <v>0</v>
      </c>
      <c r="E46" s="145">
        <f t="shared" si="3"/>
        <v>0</v>
      </c>
      <c r="F46" s="309"/>
      <c r="G46" s="310"/>
      <c r="H46" s="188" t="s">
        <v>89</v>
      </c>
      <c r="I46" s="142">
        <f>+SUMIF(Listrik!X31,"&gt;0")</f>
        <v>36466.874999998909</v>
      </c>
      <c r="J46" s="137">
        <f>+I46+'23'!J46</f>
        <v>966674.61999999883</v>
      </c>
      <c r="K46" s="132" t="s">
        <v>90</v>
      </c>
    </row>
    <row r="47" spans="1:23" ht="17.45" customHeight="1">
      <c r="A47" s="793" t="s">
        <v>91</v>
      </c>
      <c r="B47" s="794"/>
      <c r="C47" s="166">
        <f>SUMIF($G$7:$G$31,"Gas",$F$7:$F$31)</f>
        <v>0</v>
      </c>
      <c r="D47" s="120">
        <f>C47+'23'!D47</f>
        <v>0</v>
      </c>
      <c r="E47" s="145">
        <f t="shared" si="3"/>
        <v>0</v>
      </c>
      <c r="F47" s="309"/>
      <c r="G47" s="310"/>
      <c r="H47" s="188" t="s">
        <v>92</v>
      </c>
      <c r="I47" s="120">
        <f>I46/I38</f>
        <v>729.24999000117805</v>
      </c>
      <c r="J47" s="137">
        <f>J46/J38</f>
        <v>915.29022667449271</v>
      </c>
      <c r="K47" s="132" t="s">
        <v>25</v>
      </c>
    </row>
    <row r="48" spans="1:23" ht="17.45" customHeight="1">
      <c r="A48" s="793" t="s">
        <v>15</v>
      </c>
      <c r="B48" s="794"/>
      <c r="C48" s="166">
        <f>SUMIF($G$7:$G$31,"Start Up",$F$7:$F$31)</f>
        <v>0</v>
      </c>
      <c r="D48" s="120">
        <f>C48+'23'!D48</f>
        <v>0</v>
      </c>
      <c r="E48" s="145">
        <f t="shared" si="3"/>
        <v>0</v>
      </c>
      <c r="F48" s="309"/>
      <c r="G48" s="310"/>
      <c r="H48" s="188" t="s">
        <v>93</v>
      </c>
      <c r="I48" s="120">
        <f>I46/I40</f>
        <v>774.6218960426304</v>
      </c>
      <c r="J48" s="137">
        <f>J46/J40</f>
        <v>953.50199000803798</v>
      </c>
      <c r="K48" s="132" t="s">
        <v>25</v>
      </c>
    </row>
    <row r="49" spans="1:11" ht="17.45" customHeight="1">
      <c r="A49" s="793" t="s">
        <v>21</v>
      </c>
      <c r="B49" s="794"/>
      <c r="C49" s="166">
        <f>SUMIF($G$7:$G$31,"Others",$F$7:$F$31)</f>
        <v>8</v>
      </c>
      <c r="D49" s="120">
        <f>C49+'23'!D49</f>
        <v>454</v>
      </c>
      <c r="E49" s="145">
        <f t="shared" si="3"/>
        <v>7.5666666666666664</v>
      </c>
      <c r="F49" s="185"/>
      <c r="H49" s="188" t="s">
        <v>280</v>
      </c>
      <c r="I49" s="120">
        <f>+Report1!T32</f>
        <v>3759.7835223631778</v>
      </c>
      <c r="J49" s="137">
        <f>+I49+'23'!J49</f>
        <v>86528.436767038511</v>
      </c>
      <c r="K49" s="132" t="s">
        <v>94</v>
      </c>
    </row>
    <row r="50" spans="1:11" ht="17.45" customHeight="1">
      <c r="A50" s="793" t="s">
        <v>20</v>
      </c>
      <c r="B50" s="794"/>
      <c r="C50" s="166">
        <f>SUMIF($G$7:$G$31,"Steam",$F$7:$F$31)</f>
        <v>0</v>
      </c>
      <c r="D50" s="120">
        <f>C50+'23'!D50</f>
        <v>0</v>
      </c>
      <c r="E50" s="145">
        <f t="shared" si="3"/>
        <v>0</v>
      </c>
      <c r="F50" s="185"/>
      <c r="H50" s="188" t="s">
        <v>95</v>
      </c>
      <c r="I50" s="142">
        <f>I49/I38</f>
        <v>75.18664804949762</v>
      </c>
      <c r="J50" s="135">
        <f>J49/J38</f>
        <v>81.928945752493519</v>
      </c>
      <c r="K50" s="132" t="s">
        <v>94</v>
      </c>
    </row>
    <row r="51" spans="1:11" ht="17.45" customHeight="1">
      <c r="A51" s="810" t="s">
        <v>96</v>
      </c>
      <c r="B51" s="810"/>
      <c r="C51" s="166">
        <f>SUMIF($G$7:$G$31,"Planned shut",$F$7:$F$31)</f>
        <v>0</v>
      </c>
      <c r="D51" s="120">
        <f>C51+'23'!D51</f>
        <v>0</v>
      </c>
      <c r="E51" s="145">
        <f t="shared" si="3"/>
        <v>0</v>
      </c>
      <c r="F51" s="185"/>
      <c r="H51" s="190" t="s">
        <v>97</v>
      </c>
      <c r="I51" s="143">
        <f>I49/I40</f>
        <v>79.864552166943042</v>
      </c>
      <c r="J51" s="138">
        <f>J49/J40</f>
        <v>85.349335694420105</v>
      </c>
      <c r="K51" s="139" t="s">
        <v>94</v>
      </c>
    </row>
    <row r="52" spans="1:11" ht="13.5" thickBot="1">
      <c r="A52" s="811" t="s">
        <v>230</v>
      </c>
      <c r="B52" s="812"/>
      <c r="C52" s="166">
        <f>SUMIF($G$7:$G$31,"Change Grade",$F$7:$F$31)</f>
        <v>0</v>
      </c>
      <c r="D52" s="120">
        <f>C52+'23'!D52</f>
        <v>0</v>
      </c>
      <c r="E52" s="145">
        <f t="shared" si="3"/>
        <v>0</v>
      </c>
      <c r="F52" s="185"/>
      <c r="H52" s="191"/>
      <c r="I52" s="192"/>
      <c r="J52" s="140"/>
      <c r="K52" s="141"/>
    </row>
    <row r="53" spans="1:11">
      <c r="A53" s="806" t="s">
        <v>29</v>
      </c>
      <c r="B53" s="807"/>
      <c r="C53" s="146">
        <f>SUM(C38:C52)</f>
        <v>59</v>
      </c>
      <c r="D53" s="146">
        <f>SUM(D38:D52)</f>
        <v>2189</v>
      </c>
      <c r="E53" s="147">
        <f>SUM(E38:E52)</f>
        <v>36.483333333333334</v>
      </c>
      <c r="F53" s="185"/>
    </row>
    <row r="54" spans="1:11" ht="13.5" thickBot="1">
      <c r="A54" s="808"/>
      <c r="B54" s="809"/>
      <c r="C54" s="148">
        <f>C53/(24*60)</f>
        <v>4.0972222222222222E-2</v>
      </c>
      <c r="D54" s="148">
        <f>D53/(24*60*G4)</f>
        <v>6.3339120370370372E-2</v>
      </c>
      <c r="E54" s="149">
        <f>E53/(G4*24)</f>
        <v>6.3339120370370372E-2</v>
      </c>
      <c r="F54" s="185"/>
    </row>
    <row r="55" spans="1:11">
      <c r="E55" s="193"/>
    </row>
    <row r="56" spans="1:11">
      <c r="A56" s="194" t="s">
        <v>98</v>
      </c>
      <c r="B56" s="195"/>
      <c r="C56" s="196"/>
      <c r="D56" s="196"/>
      <c r="E56" s="196"/>
      <c r="F56" s="197"/>
      <c r="G56" s="196"/>
      <c r="H56" s="198"/>
      <c r="I56" s="199" t="s">
        <v>99</v>
      </c>
      <c r="J56" s="200">
        <f>+D34+'23'!J56</f>
        <v>4755</v>
      </c>
      <c r="K56" s="201">
        <f>J56/(J40+J56/1000)/1000</f>
        <v>4.6683094927201874E-3</v>
      </c>
    </row>
    <row r="57" spans="1:11">
      <c r="A57" s="176"/>
      <c r="I57" s="199" t="s">
        <v>100</v>
      </c>
      <c r="J57" s="200">
        <f>+E34+'23'!J57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3" zoomScale="80" zoomScaleNormal="80" zoomScaleSheetLayoutView="80" workbookViewId="0">
      <selection activeCell="H57" sqref="H5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7.28515625" style="151" bestFit="1" customWidth="1"/>
    <col min="11" max="11" width="12.5703125" style="151" bestFit="1" customWidth="1"/>
    <col min="12" max="12" width="8.28515625" style="151" customWidth="1"/>
    <col min="13" max="13" width="13.710937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23</v>
      </c>
      <c r="H4" s="156" t="str">
        <f>+'1'!H4</f>
        <v>.07.25</v>
      </c>
      <c r="J4" s="151">
        <f>490+498+503</f>
        <v>1491</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519</v>
      </c>
      <c r="O6" s="151">
        <v>1350</v>
      </c>
      <c r="P6" s="151">
        <f>+O6-O6*0.23</f>
        <v>1039.5</v>
      </c>
      <c r="Q6" s="151">
        <f>60*6+30</f>
        <v>390</v>
      </c>
      <c r="R6" s="151">
        <f>+O6*Q6</f>
        <v>526500</v>
      </c>
      <c r="S6" s="151">
        <f>+P6*Q6</f>
        <v>405405</v>
      </c>
    </row>
    <row r="7" spans="1:19" ht="13.5" thickBot="1">
      <c r="A7" s="795" t="s">
        <v>442</v>
      </c>
      <c r="B7" s="215" t="s">
        <v>536</v>
      </c>
      <c r="C7" s="216">
        <v>13544</v>
      </c>
      <c r="D7" s="217">
        <v>260</v>
      </c>
      <c r="E7" s="218"/>
      <c r="F7" s="233">
        <v>18</v>
      </c>
      <c r="G7" s="555" t="s">
        <v>13</v>
      </c>
      <c r="H7" s="556" t="s">
        <v>432</v>
      </c>
      <c r="I7" s="798" t="s">
        <v>459</v>
      </c>
      <c r="J7" s="214" t="str">
        <f>+'22'!J7</f>
        <v>F 12 VP OW</v>
      </c>
      <c r="K7" s="235">
        <f>+C17+C25</f>
        <v>21272</v>
      </c>
      <c r="L7" s="239"/>
      <c r="M7" s="119">
        <f>+K7+'22'!M7+L7</f>
        <v>473486</v>
      </c>
      <c r="N7" s="151" t="s">
        <v>409</v>
      </c>
      <c r="O7" s="151">
        <v>1350</v>
      </c>
      <c r="P7" s="151">
        <f>+O7-O7*0.23</f>
        <v>1039.5</v>
      </c>
      <c r="Q7" s="151">
        <f>480-Q6</f>
        <v>90</v>
      </c>
      <c r="R7" s="151">
        <f>+O7*Q7</f>
        <v>121500</v>
      </c>
      <c r="S7" s="151">
        <f>+P7*Q7</f>
        <v>93555</v>
      </c>
    </row>
    <row r="8" spans="1:19" ht="13.5" thickBot="1">
      <c r="A8" s="796"/>
      <c r="B8" s="215"/>
      <c r="C8" s="216"/>
      <c r="D8" s="217"/>
      <c r="E8" s="219"/>
      <c r="F8" s="229">
        <v>6</v>
      </c>
      <c r="G8" s="557" t="s">
        <v>13</v>
      </c>
      <c r="H8" s="228" t="s">
        <v>566</v>
      </c>
      <c r="I8" s="799"/>
      <c r="J8" s="214" t="str">
        <f>+'22'!J8</f>
        <v>F 11,5 VP OW</v>
      </c>
      <c r="K8" s="236"/>
      <c r="L8" s="236"/>
      <c r="M8" s="119">
        <f>+K8+'22'!M8+L8</f>
        <v>226339</v>
      </c>
      <c r="P8" s="151">
        <f>+O8-O8*0.23</f>
        <v>0</v>
      </c>
      <c r="R8" s="151">
        <f>+O8*Q8</f>
        <v>0</v>
      </c>
      <c r="S8" s="151">
        <f>+P8*Q8</f>
        <v>0</v>
      </c>
    </row>
    <row r="9" spans="1:19" ht="13.5" thickBot="1">
      <c r="A9" s="796"/>
      <c r="B9" s="215"/>
      <c r="C9" s="216"/>
      <c r="D9" s="217"/>
      <c r="E9" s="220"/>
      <c r="F9" s="229">
        <v>6</v>
      </c>
      <c r="G9" s="557" t="s">
        <v>13</v>
      </c>
      <c r="H9" s="231" t="s">
        <v>400</v>
      </c>
      <c r="I9" s="799"/>
      <c r="J9" s="214" t="str">
        <f>+'22'!J9</f>
        <v>T 13 VP OW</v>
      </c>
      <c r="K9" s="236"/>
      <c r="L9" s="236"/>
      <c r="M9" s="119">
        <f>+K9+'22'!M9+L9</f>
        <v>113358</v>
      </c>
      <c r="P9" s="151">
        <f t="shared" ref="P9:P10" si="0">+O9-O9*0.23</f>
        <v>0</v>
      </c>
      <c r="R9" s="151">
        <f>+O9*Q9</f>
        <v>0</v>
      </c>
      <c r="S9" s="151">
        <f>+P9*Q9</f>
        <v>0</v>
      </c>
    </row>
    <row r="10" spans="1:19" ht="99.75" customHeight="1" thickBot="1">
      <c r="A10" s="796"/>
      <c r="B10" s="215"/>
      <c r="C10" s="216"/>
      <c r="D10" s="217"/>
      <c r="E10" s="219"/>
      <c r="F10" s="229"/>
      <c r="G10" s="227"/>
      <c r="H10" s="558" t="s">
        <v>694</v>
      </c>
      <c r="I10" s="799"/>
      <c r="J10" s="214" t="str">
        <f>+'22'!J10</f>
        <v>F 13 VP OW</v>
      </c>
      <c r="K10" s="236">
        <f>+C7+C16</f>
        <v>15720</v>
      </c>
      <c r="L10" s="236"/>
      <c r="M10" s="119">
        <f>+K10+'22'!M10+L10</f>
        <v>85076</v>
      </c>
      <c r="P10" s="151">
        <f t="shared" si="0"/>
        <v>0</v>
      </c>
      <c r="R10" s="151">
        <f>+O10*Q10</f>
        <v>0</v>
      </c>
      <c r="S10" s="151">
        <f>+P10*Q10</f>
        <v>0</v>
      </c>
    </row>
    <row r="11" spans="1:19" ht="165.75" customHeight="1" thickBot="1">
      <c r="A11" s="796"/>
      <c r="B11" s="215"/>
      <c r="C11" s="216"/>
      <c r="D11" s="217"/>
      <c r="E11" s="219"/>
      <c r="F11" s="226">
        <v>11</v>
      </c>
      <c r="G11" s="230" t="s">
        <v>80</v>
      </c>
      <c r="H11" s="231" t="s">
        <v>695</v>
      </c>
      <c r="I11" s="799"/>
      <c r="J11" s="214" t="str">
        <f>+'22'!J11</f>
        <v xml:space="preserve">T 13 VP OW HB </v>
      </c>
      <c r="K11" s="236"/>
      <c r="L11" s="236"/>
      <c r="M11" s="119">
        <f>+K11+'22'!M11+L11</f>
        <v>10128</v>
      </c>
    </row>
    <row r="12" spans="1:19" ht="13.5" thickBot="1">
      <c r="A12" s="796"/>
      <c r="B12" s="215"/>
      <c r="C12" s="216"/>
      <c r="D12" s="217"/>
      <c r="E12" s="219"/>
      <c r="F12" s="226"/>
      <c r="G12" s="230"/>
      <c r="H12" s="231"/>
      <c r="I12" s="799"/>
      <c r="J12" s="214" t="str">
        <f>+'22'!J12</f>
        <v>TW 15 VP OW</v>
      </c>
      <c r="K12" s="236"/>
      <c r="L12" s="236"/>
      <c r="M12" s="119">
        <f>+K12+'22'!M12+L12</f>
        <v>51015</v>
      </c>
      <c r="Q12" s="151">
        <f>SUM(Q6:Q11)</f>
        <v>480</v>
      </c>
      <c r="R12" s="151">
        <f>SUM(R6:R9)</f>
        <v>648000</v>
      </c>
      <c r="S12" s="151">
        <f>SUM(S6:S9)</f>
        <v>498960</v>
      </c>
    </row>
    <row r="13" spans="1:19" ht="13.5" thickBot="1">
      <c r="A13" s="796"/>
      <c r="B13" s="215"/>
      <c r="C13" s="216"/>
      <c r="D13" s="216"/>
      <c r="E13" s="219"/>
      <c r="F13" s="226"/>
      <c r="G13" s="230"/>
      <c r="H13" s="231"/>
      <c r="I13" s="800"/>
      <c r="J13" s="214" t="s">
        <v>700</v>
      </c>
      <c r="K13" s="236">
        <f>+C26</f>
        <v>7336</v>
      </c>
      <c r="L13" s="236"/>
      <c r="M13" s="119">
        <f>+K13+'22'!M13+L13</f>
        <v>7336</v>
      </c>
      <c r="P13" s="151" t="s">
        <v>424</v>
      </c>
      <c r="Q13" s="151">
        <f>480-Q12</f>
        <v>0</v>
      </c>
      <c r="R13" s="151">
        <f>+R12/Q12</f>
        <v>1350</v>
      </c>
      <c r="S13" s="151">
        <f>+S12/Q12</f>
        <v>1039.5</v>
      </c>
    </row>
    <row r="14" spans="1:19" ht="13.5" thickBot="1">
      <c r="A14" s="797"/>
      <c r="B14" s="167" t="s">
        <v>3</v>
      </c>
      <c r="C14" s="101">
        <f>SUM(C7:C13)</f>
        <v>13544</v>
      </c>
      <c r="D14" s="113">
        <f>SUM(D7:D13)</f>
        <v>260</v>
      </c>
      <c r="E14" s="114">
        <f>SUM(E5:E13)</f>
        <v>0</v>
      </c>
      <c r="F14" s="118">
        <f>SUM(F7:F13)</f>
        <v>41</v>
      </c>
      <c r="G14" s="161"/>
      <c r="H14" s="168"/>
      <c r="I14" s="169"/>
      <c r="J14" s="214">
        <f>+'22'!J14</f>
        <v>0</v>
      </c>
      <c r="K14" s="236"/>
      <c r="L14" s="236"/>
      <c r="M14" s="119">
        <f>+K14+'22'!M14+L14</f>
        <v>0</v>
      </c>
    </row>
    <row r="15" spans="1:19" ht="13.5" thickBot="1">
      <c r="A15" s="801" t="s">
        <v>688</v>
      </c>
      <c r="B15" s="518"/>
      <c r="C15" s="115">
        <f>C14/($C$23+$D$23+$E$23)</f>
        <v>0.9896244337278971</v>
      </c>
      <c r="D15" s="116">
        <f>D14/($C$23+$D$23+$E$23)</f>
        <v>1.8997515709484145E-2</v>
      </c>
      <c r="E15" s="117">
        <f>E14/($C$23+$D$23+$E$23)</f>
        <v>0</v>
      </c>
      <c r="F15" s="233"/>
      <c r="G15" s="555" t="s">
        <v>13</v>
      </c>
      <c r="H15" s="556" t="s">
        <v>461</v>
      </c>
      <c r="I15" s="798" t="s">
        <v>459</v>
      </c>
      <c r="J15" s="214">
        <f>+'22'!J15</f>
        <v>0</v>
      </c>
      <c r="K15" s="236"/>
      <c r="L15" s="236"/>
      <c r="M15" s="119">
        <f>+K15+'22'!M15+L15</f>
        <v>0</v>
      </c>
    </row>
    <row r="16" spans="1:19" ht="13.5" thickBot="1">
      <c r="A16" s="796"/>
      <c r="B16" s="517" t="s">
        <v>536</v>
      </c>
      <c r="C16" s="516">
        <v>2176</v>
      </c>
      <c r="D16" s="221"/>
      <c r="E16" s="222"/>
      <c r="F16" s="229">
        <v>5</v>
      </c>
      <c r="G16" s="557" t="s">
        <v>13</v>
      </c>
      <c r="H16" s="228" t="s">
        <v>566</v>
      </c>
      <c r="I16" s="799"/>
      <c r="J16" s="214">
        <f>+'22'!J16</f>
        <v>0</v>
      </c>
      <c r="K16" s="227"/>
      <c r="L16" s="227"/>
      <c r="M16" s="119">
        <f>+K16+'22'!M16+L16</f>
        <v>0</v>
      </c>
      <c r="N16" s="151" t="s">
        <v>409</v>
      </c>
      <c r="O16" s="151">
        <v>1350</v>
      </c>
      <c r="P16" s="151">
        <f>+O16-O16*0.23</f>
        <v>1039.5</v>
      </c>
      <c r="Q16" s="151">
        <v>480</v>
      </c>
      <c r="R16" s="151">
        <f>+O16*Q16</f>
        <v>648000</v>
      </c>
      <c r="S16" s="151">
        <f>+P16*Q16</f>
        <v>498960</v>
      </c>
    </row>
    <row r="17" spans="1:19" ht="13.5" thickBot="1">
      <c r="A17" s="796"/>
      <c r="B17" s="215" t="s">
        <v>398</v>
      </c>
      <c r="C17" s="216">
        <v>11510</v>
      </c>
      <c r="D17" s="217"/>
      <c r="E17" s="223"/>
      <c r="F17" s="229">
        <v>9</v>
      </c>
      <c r="G17" s="557" t="s">
        <v>13</v>
      </c>
      <c r="H17" s="231" t="s">
        <v>400</v>
      </c>
      <c r="I17" s="799"/>
      <c r="J17" s="214">
        <f>+'22'!J17</f>
        <v>0</v>
      </c>
      <c r="K17" s="227"/>
      <c r="L17" s="227"/>
      <c r="M17" s="119">
        <f>+K17+'22'!M17+L17</f>
        <v>0</v>
      </c>
      <c r="P17" s="151">
        <f>+O17-O17*0.23</f>
        <v>0</v>
      </c>
      <c r="Q17" s="151">
        <f>480-Q16</f>
        <v>0</v>
      </c>
      <c r="R17" s="151">
        <f>+O17*Q17</f>
        <v>0</v>
      </c>
      <c r="S17" s="151">
        <f>+P17*Q17</f>
        <v>0</v>
      </c>
    </row>
    <row r="18" spans="1:19" ht="51.75" thickBot="1">
      <c r="A18" s="796"/>
      <c r="B18" s="215"/>
      <c r="C18" s="216"/>
      <c r="D18" s="217"/>
      <c r="E18" s="223"/>
      <c r="F18" s="229"/>
      <c r="G18" s="227"/>
      <c r="H18" s="558" t="s">
        <v>692</v>
      </c>
      <c r="I18" s="799"/>
      <c r="J18" s="214">
        <f>+'22'!J18</f>
        <v>0</v>
      </c>
      <c r="K18" s="236"/>
      <c r="L18" s="236"/>
      <c r="M18" s="119">
        <f>+K18+'22'!M18+L18</f>
        <v>0</v>
      </c>
      <c r="P18" s="151">
        <f>+O18-O18*0.23</f>
        <v>0</v>
      </c>
      <c r="R18" s="151">
        <f>+O18*Q18</f>
        <v>0</v>
      </c>
      <c r="S18" s="151">
        <f>+P18*Q18</f>
        <v>0</v>
      </c>
    </row>
    <row r="19" spans="1:19" ht="133.5" customHeight="1" thickBot="1">
      <c r="A19" s="796"/>
      <c r="B19" s="215"/>
      <c r="C19" s="216"/>
      <c r="D19" s="217"/>
      <c r="E19" s="223"/>
      <c r="F19" s="232"/>
      <c r="G19" s="230"/>
      <c r="H19" s="231" t="s">
        <v>693</v>
      </c>
      <c r="I19" s="799"/>
      <c r="J19" s="214">
        <f>+'22'!J19</f>
        <v>0</v>
      </c>
      <c r="K19" s="236"/>
      <c r="L19" s="236"/>
      <c r="M19" s="119">
        <f>+K19+'22'!M19+L19</f>
        <v>0</v>
      </c>
      <c r="P19" s="151">
        <f t="shared" ref="P19:P20" si="1">+O19-O19*0.23</f>
        <v>0</v>
      </c>
      <c r="R19" s="151">
        <f>+O19*Q19</f>
        <v>0</v>
      </c>
      <c r="S19" s="151">
        <f>+P19*Q19</f>
        <v>0</v>
      </c>
    </row>
    <row r="20" spans="1:19" ht="13.5" thickBot="1">
      <c r="A20" s="796"/>
      <c r="B20" s="215"/>
      <c r="C20" s="216"/>
      <c r="D20" s="217"/>
      <c r="E20" s="223"/>
      <c r="F20" s="226"/>
      <c r="G20" s="230"/>
      <c r="H20" s="231"/>
      <c r="I20" s="799"/>
      <c r="J20" s="214">
        <f>+'22'!J20</f>
        <v>0</v>
      </c>
      <c r="K20" s="237"/>
      <c r="L20" s="237"/>
      <c r="M20" s="119">
        <f>+K20+'22'!M20+L20</f>
        <v>0</v>
      </c>
      <c r="P20" s="151">
        <f t="shared" si="1"/>
        <v>0</v>
      </c>
      <c r="R20" s="151">
        <f>+O20*Q20</f>
        <v>0</v>
      </c>
      <c r="S20" s="151">
        <f>+P20*Q20</f>
        <v>0</v>
      </c>
    </row>
    <row r="21" spans="1:19" ht="13.5" thickBot="1">
      <c r="A21" s="796"/>
      <c r="B21" s="215"/>
      <c r="C21" s="216"/>
      <c r="D21" s="217"/>
      <c r="E21" s="223"/>
      <c r="F21" s="229"/>
      <c r="G21" s="230"/>
      <c r="H21" s="231"/>
      <c r="I21" s="799"/>
      <c r="J21" s="214">
        <f>+'22'!J21</f>
        <v>0</v>
      </c>
      <c r="K21" s="236"/>
      <c r="L21" s="236"/>
      <c r="M21" s="119">
        <f>+K21+'22'!M21+L21</f>
        <v>0</v>
      </c>
    </row>
    <row r="22" spans="1:19" ht="13.5" thickBot="1">
      <c r="A22" s="796"/>
      <c r="B22" s="215"/>
      <c r="C22" s="216"/>
      <c r="D22" s="217"/>
      <c r="E22" s="223"/>
      <c r="F22" s="233"/>
      <c r="G22" s="230"/>
      <c r="H22" s="231"/>
      <c r="I22" s="800"/>
      <c r="J22" s="214">
        <f>+'22'!J22</f>
        <v>0</v>
      </c>
      <c r="K22" s="236"/>
      <c r="L22" s="236"/>
      <c r="M22" s="119">
        <f>+K22+'22'!M22+L22</f>
        <v>0</v>
      </c>
      <c r="Q22" s="151">
        <f>SUM(Q16:Q21)</f>
        <v>480</v>
      </c>
      <c r="R22" s="151">
        <f>SUM(R16:R19)</f>
        <v>648000</v>
      </c>
      <c r="S22" s="151">
        <f>SUM(S16:S19)</f>
        <v>498960</v>
      </c>
    </row>
    <row r="23" spans="1:19" ht="13.5" thickBot="1">
      <c r="A23" s="797"/>
      <c r="B23" s="167" t="s">
        <v>3</v>
      </c>
      <c r="C23" s="101">
        <f>SUM(C16:C22)</f>
        <v>13686</v>
      </c>
      <c r="D23" s="113">
        <f>SUM(D16:D22)</f>
        <v>0</v>
      </c>
      <c r="E23" s="114">
        <f>SUM(E18:E22)</f>
        <v>0</v>
      </c>
      <c r="F23" s="118">
        <f>SUM(F15:F22)</f>
        <v>14</v>
      </c>
      <c r="G23" s="161"/>
      <c r="H23" s="168"/>
      <c r="I23" s="170"/>
      <c r="J23" s="214">
        <f>+'22'!J23</f>
        <v>0</v>
      </c>
      <c r="K23" s="236"/>
      <c r="L23" s="236"/>
      <c r="M23" s="119">
        <f>+K23+'22'!M23+L23</f>
        <v>0</v>
      </c>
      <c r="P23" s="151" t="s">
        <v>424</v>
      </c>
      <c r="Q23" s="151">
        <f>480-Q22</f>
        <v>0</v>
      </c>
      <c r="R23" s="151">
        <f>+R22/Q22</f>
        <v>1350</v>
      </c>
      <c r="S23" s="151">
        <f>+S22/Q22</f>
        <v>1039.5</v>
      </c>
    </row>
    <row r="24" spans="1:19" ht="13.5" thickBot="1">
      <c r="A24" s="801" t="s">
        <v>687</v>
      </c>
      <c r="B24" s="518"/>
      <c r="C24" s="115">
        <f>C23/($C$23+$D$23+$E$23)</f>
        <v>1</v>
      </c>
      <c r="D24" s="116">
        <f>D23/($C$23+$D$23+$E$23)</f>
        <v>0</v>
      </c>
      <c r="E24" s="117">
        <f>E23/($C$23+$D$23+$E$23)</f>
        <v>0</v>
      </c>
      <c r="F24" s="233"/>
      <c r="G24" s="555" t="s">
        <v>13</v>
      </c>
      <c r="H24" s="556" t="s">
        <v>461</v>
      </c>
      <c r="I24" s="798" t="s">
        <v>459</v>
      </c>
      <c r="J24" s="214">
        <f>+'22'!J24</f>
        <v>0</v>
      </c>
      <c r="K24" s="236"/>
      <c r="L24" s="236"/>
      <c r="M24" s="119">
        <f>+K24+'22'!M24+L24</f>
        <v>0</v>
      </c>
    </row>
    <row r="25" spans="1:19" ht="13.5" thickBot="1">
      <c r="A25" s="796"/>
      <c r="B25" s="517" t="s">
        <v>398</v>
      </c>
      <c r="C25" s="224">
        <v>9762</v>
      </c>
      <c r="D25" s="217"/>
      <c r="E25" s="223"/>
      <c r="F25" s="229">
        <v>6</v>
      </c>
      <c r="G25" s="557" t="s">
        <v>13</v>
      </c>
      <c r="H25" s="228" t="s">
        <v>468</v>
      </c>
      <c r="I25" s="799"/>
      <c r="J25" s="214">
        <f>+'22'!J25</f>
        <v>0</v>
      </c>
      <c r="K25" s="236"/>
      <c r="L25" s="236"/>
      <c r="M25" s="119">
        <f>+K25+'22'!M25+L25</f>
        <v>0</v>
      </c>
      <c r="N25" s="546"/>
      <c r="O25" s="543"/>
      <c r="P25" s="543"/>
      <c r="Q25" s="543"/>
    </row>
    <row r="26" spans="1:19" ht="13.5" thickBot="1">
      <c r="A26" s="796"/>
      <c r="B26" s="215" t="s">
        <v>700</v>
      </c>
      <c r="C26" s="224">
        <v>7336</v>
      </c>
      <c r="D26" s="217"/>
      <c r="E26" s="225"/>
      <c r="F26" s="229">
        <v>10</v>
      </c>
      <c r="G26" s="557" t="s">
        <v>13</v>
      </c>
      <c r="H26" s="231" t="s">
        <v>400</v>
      </c>
      <c r="I26" s="799"/>
      <c r="J26" s="214">
        <f>+'22'!J26</f>
        <v>0</v>
      </c>
      <c r="K26" s="236"/>
      <c r="L26" s="236"/>
      <c r="M26" s="119">
        <f>+K26+'22'!M26+L26</f>
        <v>0</v>
      </c>
      <c r="N26" s="151" t="s">
        <v>409</v>
      </c>
      <c r="O26" s="151">
        <v>1350</v>
      </c>
      <c r="P26" s="151">
        <f>+O26-O26*0.23</f>
        <v>1039.5</v>
      </c>
      <c r="Q26" s="151">
        <f>60*3</f>
        <v>180</v>
      </c>
      <c r="R26" s="151">
        <f>+O26*Q26</f>
        <v>243000</v>
      </c>
      <c r="S26" s="151">
        <f>+P26*Q26</f>
        <v>187110</v>
      </c>
    </row>
    <row r="27" spans="1:19" ht="77.25" thickBot="1">
      <c r="A27" s="796"/>
      <c r="B27" s="215"/>
      <c r="C27" s="216"/>
      <c r="D27" s="217"/>
      <c r="E27" s="223"/>
      <c r="F27" s="229"/>
      <c r="G27" s="227"/>
      <c r="H27" s="558" t="s">
        <v>690</v>
      </c>
      <c r="I27" s="799"/>
      <c r="J27" s="214">
        <f>+'22'!J27</f>
        <v>0</v>
      </c>
      <c r="K27" s="236"/>
      <c r="L27" s="236"/>
      <c r="M27" s="119">
        <f>+K27+'22'!M27+L27</f>
        <v>0</v>
      </c>
      <c r="N27" s="151" t="s">
        <v>696</v>
      </c>
      <c r="O27" s="151">
        <v>1350</v>
      </c>
      <c r="P27" s="151">
        <f>+O27-O27*0.23</f>
        <v>1039.5</v>
      </c>
      <c r="Q27" s="151">
        <f>480-Q26</f>
        <v>300</v>
      </c>
      <c r="R27" s="151">
        <f>+O27*Q27</f>
        <v>405000</v>
      </c>
      <c r="S27" s="151">
        <f>+P27*Q27</f>
        <v>311850</v>
      </c>
    </row>
    <row r="28" spans="1:19" ht="123" customHeight="1" thickBot="1">
      <c r="A28" s="796"/>
      <c r="B28" s="215"/>
      <c r="C28" s="216"/>
      <c r="D28" s="217"/>
      <c r="E28" s="223"/>
      <c r="F28" s="229"/>
      <c r="G28" s="227"/>
      <c r="H28" s="231" t="s">
        <v>691</v>
      </c>
      <c r="I28" s="799"/>
      <c r="J28" s="214">
        <f>+'22'!J28</f>
        <v>0</v>
      </c>
      <c r="K28" s="236"/>
      <c r="L28" s="236"/>
      <c r="M28" s="119">
        <f>+K28+'22'!M28+L28</f>
        <v>0</v>
      </c>
      <c r="P28" s="151">
        <f>+O28-O28*0.23</f>
        <v>0</v>
      </c>
      <c r="R28" s="151">
        <f>+O28*Q28</f>
        <v>0</v>
      </c>
      <c r="S28" s="151">
        <f>+P28*Q28</f>
        <v>0</v>
      </c>
    </row>
    <row r="29" spans="1:19" ht="13.5" thickBot="1">
      <c r="A29" s="796"/>
      <c r="B29" s="215"/>
      <c r="C29" s="216"/>
      <c r="D29" s="217"/>
      <c r="E29" s="223"/>
      <c r="F29" s="233"/>
      <c r="G29" s="230"/>
      <c r="H29" s="231"/>
      <c r="I29" s="799"/>
      <c r="J29" s="214">
        <f>+'22'!J29</f>
        <v>0</v>
      </c>
      <c r="K29" s="236"/>
      <c r="L29" s="236"/>
      <c r="M29" s="119">
        <f>+K29+'22'!M29+L29</f>
        <v>0</v>
      </c>
      <c r="P29" s="151">
        <f t="shared" ref="P29:P30" si="2">+O29-O29*0.23</f>
        <v>0</v>
      </c>
      <c r="R29" s="151">
        <f>+O29*Q29</f>
        <v>0</v>
      </c>
      <c r="S29" s="151">
        <f>+P29*Q29</f>
        <v>0</v>
      </c>
    </row>
    <row r="30" spans="1:19" ht="13.5" thickBot="1">
      <c r="A30" s="796"/>
      <c r="B30" s="215"/>
      <c r="C30" s="224"/>
      <c r="D30" s="217"/>
      <c r="E30" s="223"/>
      <c r="F30" s="233"/>
      <c r="G30" s="230"/>
      <c r="H30" s="231"/>
      <c r="I30" s="799"/>
      <c r="J30" s="214">
        <f>+'22'!J30</f>
        <v>0</v>
      </c>
      <c r="K30" s="236"/>
      <c r="L30" s="236"/>
      <c r="M30" s="119">
        <f>+K30+'22'!M30+L30</f>
        <v>0</v>
      </c>
      <c r="P30" s="151">
        <f t="shared" si="2"/>
        <v>0</v>
      </c>
      <c r="R30" s="151">
        <f>+O30*Q30</f>
        <v>0</v>
      </c>
      <c r="S30" s="151">
        <f>+P30*Q30</f>
        <v>0</v>
      </c>
    </row>
    <row r="31" spans="1:19" ht="13.5" thickBot="1">
      <c r="A31" s="796"/>
      <c r="B31" s="215"/>
      <c r="C31" s="224"/>
      <c r="D31" s="217"/>
      <c r="E31" s="223"/>
      <c r="F31" s="233"/>
      <c r="G31" s="234"/>
      <c r="H31" s="409"/>
      <c r="I31" s="800"/>
      <c r="J31" s="214">
        <f>+'22'!J31</f>
        <v>0</v>
      </c>
      <c r="K31" s="236"/>
      <c r="L31" s="236"/>
      <c r="M31" s="119">
        <f>+K31+'22'!M31+L31</f>
        <v>0</v>
      </c>
    </row>
    <row r="32" spans="1:19" ht="13.5" thickBot="1">
      <c r="A32" s="797"/>
      <c r="B32" s="167" t="s">
        <v>3</v>
      </c>
      <c r="C32" s="101">
        <f>SUM(C25:C31)</f>
        <v>17098</v>
      </c>
      <c r="D32" s="102">
        <f>SUM(D25:D31)</f>
        <v>0</v>
      </c>
      <c r="E32" s="103">
        <f>SUM(E25:E31)</f>
        <v>0</v>
      </c>
      <c r="F32" s="101">
        <f>SUM(F24:F31)</f>
        <v>16</v>
      </c>
      <c r="G32" s="171"/>
      <c r="H32" s="172"/>
      <c r="I32" s="170"/>
      <c r="J32" s="214">
        <f>+'22'!J32</f>
        <v>0</v>
      </c>
      <c r="K32" s="238"/>
      <c r="L32" s="240"/>
      <c r="M32" s="119">
        <f>+K32+'22'!M32+L32</f>
        <v>0</v>
      </c>
      <c r="Q32" s="151">
        <f>SUM(Q26:Q31)</f>
        <v>480</v>
      </c>
      <c r="R32" s="151">
        <f>SUM(R26:R29)</f>
        <v>648000</v>
      </c>
      <c r="S32" s="151">
        <f>SUM(S26:S29)</f>
        <v>498960</v>
      </c>
    </row>
    <row r="33" spans="1:19" ht="13.5" thickBot="1">
      <c r="A33" s="173"/>
      <c r="B33" s="174"/>
      <c r="C33" s="105">
        <f>C32/($C$32+$D$32+$E$32)</f>
        <v>1</v>
      </c>
      <c r="D33" s="106">
        <f>D32/($C$32+$D$32+$E$32)</f>
        <v>0</v>
      </c>
      <c r="E33" s="107">
        <f>E32/($C$32+$D$32+$E$32)</f>
        <v>0</v>
      </c>
      <c r="F33" s="108"/>
      <c r="G33" s="175"/>
      <c r="H33" s="176"/>
      <c r="I33" s="177"/>
      <c r="J33" s="123"/>
      <c r="K33" s="124"/>
      <c r="L33" s="213"/>
      <c r="M33" s="121"/>
      <c r="P33" s="151" t="s">
        <v>424</v>
      </c>
      <c r="Q33" s="151">
        <f>480-Q32</f>
        <v>0</v>
      </c>
      <c r="R33" s="151">
        <f>+R32/Q32</f>
        <v>1350</v>
      </c>
      <c r="S33" s="151">
        <f>+S32/Q32</f>
        <v>1039.5</v>
      </c>
    </row>
    <row r="34" spans="1:19" ht="13.5" thickBot="1">
      <c r="A34" s="802" t="s">
        <v>69</v>
      </c>
      <c r="B34" s="803"/>
      <c r="C34" s="109">
        <f>C14+C23+C32</f>
        <v>44328</v>
      </c>
      <c r="D34" s="109">
        <f>D14+D23+D32</f>
        <v>260</v>
      </c>
      <c r="E34" s="109">
        <f>E14+E23+E32</f>
        <v>0</v>
      </c>
      <c r="F34" s="110">
        <f>F14+F23+F32</f>
        <v>71</v>
      </c>
      <c r="H34" s="178"/>
      <c r="I34" s="178"/>
      <c r="J34" s="125" t="s">
        <v>29</v>
      </c>
      <c r="K34" s="126">
        <f>SUM(K7:K32)</f>
        <v>44328</v>
      </c>
      <c r="L34" s="212">
        <f>SUM(L7:L32)</f>
        <v>0</v>
      </c>
      <c r="M34" s="122">
        <f>SUM(M7:M32)</f>
        <v>966738</v>
      </c>
      <c r="N34" s="157"/>
    </row>
    <row r="35" spans="1:19" ht="13.5" thickBot="1">
      <c r="A35" s="179"/>
      <c r="B35" s="180"/>
      <c r="C35" s="106">
        <f>C34/($C$34+$D$34+$E$34)</f>
        <v>0.99416883466403516</v>
      </c>
      <c r="D35" s="106">
        <f>D34/($C$34+$D$34+$E$34)</f>
        <v>5.8311653359648333E-3</v>
      </c>
      <c r="E35" s="111">
        <f>E34/($C$34+$D$34+$E$34)</f>
        <v>0</v>
      </c>
      <c r="H35" s="151" t="s">
        <v>0</v>
      </c>
      <c r="K35" s="157"/>
    </row>
    <row r="36" spans="1:19" ht="13.5" thickBot="1">
      <c r="A36" s="178"/>
      <c r="B36" s="178"/>
      <c r="C36" s="157"/>
      <c r="D36" s="157"/>
      <c r="E36" s="157"/>
      <c r="G36" s="157"/>
      <c r="H36" s="181"/>
      <c r="I36" s="164" t="s">
        <v>39</v>
      </c>
      <c r="J36" s="164" t="s">
        <v>40</v>
      </c>
      <c r="K36" s="182"/>
      <c r="N36" s="151" t="s">
        <v>519</v>
      </c>
      <c r="O36" s="151">
        <v>1350</v>
      </c>
      <c r="P36" s="151">
        <v>1039.5</v>
      </c>
      <c r="Q36" s="151">
        <v>390</v>
      </c>
    </row>
    <row r="37" spans="1:19" ht="17.45" customHeight="1" thickBot="1">
      <c r="A37" s="804" t="s">
        <v>70</v>
      </c>
      <c r="B37" s="805"/>
      <c r="C37" s="164" t="s">
        <v>71</v>
      </c>
      <c r="D37" s="183" t="s">
        <v>72</v>
      </c>
      <c r="E37" s="184" t="s">
        <v>73</v>
      </c>
      <c r="F37" s="309"/>
      <c r="G37" s="311"/>
      <c r="H37" s="186" t="s">
        <v>74</v>
      </c>
      <c r="I37" s="241">
        <f>(13*390+12*750+12.5*300)/1440*G42*2.74*1440/1000000</f>
        <v>50.755458600000004</v>
      </c>
      <c r="J37" s="127">
        <f>+I37+'22'!J37</f>
        <v>1116.7605377746363</v>
      </c>
      <c r="K37" s="128" t="s">
        <v>75</v>
      </c>
      <c r="N37" s="151" t="s">
        <v>409</v>
      </c>
      <c r="O37" s="151">
        <v>1350</v>
      </c>
      <c r="P37" s="151">
        <v>1039.5</v>
      </c>
      <c r="Q37" s="151">
        <v>750</v>
      </c>
    </row>
    <row r="38" spans="1:19" ht="17.45" customHeight="1">
      <c r="A38" s="806" t="s">
        <v>13</v>
      </c>
      <c r="B38" s="807"/>
      <c r="C38" s="166">
        <f>SUMIF($G$7:$G$31,"Process",$F$7:$F$31)</f>
        <v>60</v>
      </c>
      <c r="D38" s="120">
        <f>C38+'22'!D38</f>
        <v>1567</v>
      </c>
      <c r="E38" s="145">
        <f t="shared" ref="E38:E52" si="3">D38/60</f>
        <v>26.116666666666667</v>
      </c>
      <c r="F38" s="309">
        <v>1350</v>
      </c>
      <c r="G38" s="309">
        <v>1039.5</v>
      </c>
      <c r="H38" s="187" t="s">
        <v>76</v>
      </c>
      <c r="I38" s="242">
        <f>14.579+15.641+15.316</f>
        <v>45.536000000000001</v>
      </c>
      <c r="J38" s="129">
        <f>+I38+'22'!J38</f>
        <v>1006.134</v>
      </c>
      <c r="K38" s="130" t="s">
        <v>75</v>
      </c>
      <c r="N38" s="151" t="s">
        <v>696</v>
      </c>
      <c r="O38" s="151">
        <v>1350</v>
      </c>
      <c r="P38" s="151">
        <v>1039.5</v>
      </c>
      <c r="Q38" s="151">
        <v>300</v>
      </c>
    </row>
    <row r="39" spans="1:19" ht="17.45" customHeight="1">
      <c r="A39" s="793" t="s">
        <v>14</v>
      </c>
      <c r="B39" s="794"/>
      <c r="C39" s="166">
        <f>SUMIF($G$7:$G$31,"Cleaning",$F$7:$F$31)</f>
        <v>0</v>
      </c>
      <c r="D39" s="120">
        <f>C39+'22'!D39</f>
        <v>0</v>
      </c>
      <c r="E39" s="145">
        <f t="shared" si="3"/>
        <v>0</v>
      </c>
      <c r="F39" s="309">
        <v>1350</v>
      </c>
      <c r="G39" s="309">
        <v>1039.5</v>
      </c>
      <c r="H39" s="187" t="s">
        <v>77</v>
      </c>
      <c r="I39" s="144"/>
      <c r="J39" s="131">
        <f>J37/G4</f>
        <v>48.554805990201579</v>
      </c>
      <c r="K39" s="132" t="s">
        <v>75</v>
      </c>
      <c r="Q39" s="151">
        <f>SUM(Q36:Q38)</f>
        <v>1440</v>
      </c>
    </row>
    <row r="40" spans="1:19" ht="17.45" customHeight="1">
      <c r="A40" s="793" t="s">
        <v>78</v>
      </c>
      <c r="B40" s="794"/>
      <c r="C40" s="166">
        <f>SUMIF($G$7:$G$31,"Mechanical",$F$7:$F$31)</f>
        <v>0</v>
      </c>
      <c r="D40" s="120">
        <f>C40+'22'!D40</f>
        <v>28</v>
      </c>
      <c r="E40" s="145">
        <f t="shared" si="3"/>
        <v>0.46666666666666667</v>
      </c>
      <c r="F40" s="309">
        <v>1350</v>
      </c>
      <c r="G40" s="309">
        <v>1039.5</v>
      </c>
      <c r="H40" s="187" t="s">
        <v>79</v>
      </c>
      <c r="I40" s="120">
        <f>(K34+L34)/1000</f>
        <v>44.328000000000003</v>
      </c>
      <c r="J40" s="133">
        <f>+I40+'22'!J40</f>
        <v>966.73799999999983</v>
      </c>
      <c r="K40" s="132" t="s">
        <v>75</v>
      </c>
    </row>
    <row r="41" spans="1:19" ht="17.45" customHeight="1">
      <c r="A41" s="793" t="s">
        <v>80</v>
      </c>
      <c r="B41" s="794"/>
      <c r="C41" s="166">
        <f>SUMIF($G$7:$G$31,"Electrical",$F$7:$F$31)</f>
        <v>11</v>
      </c>
      <c r="D41" s="120">
        <f>C41+'22'!D41</f>
        <v>59</v>
      </c>
      <c r="E41" s="145">
        <f t="shared" si="3"/>
        <v>0.98333333333333328</v>
      </c>
      <c r="F41" s="309"/>
      <c r="G41" s="309"/>
      <c r="H41" s="187" t="s">
        <v>81</v>
      </c>
      <c r="I41" s="144"/>
      <c r="J41" s="131">
        <f>J40/G4</f>
        <v>42.032086956521731</v>
      </c>
      <c r="K41" s="132" t="s">
        <v>75</v>
      </c>
    </row>
    <row r="42" spans="1:19" ht="17.45" customHeight="1">
      <c r="A42" s="793" t="s">
        <v>17</v>
      </c>
      <c r="B42" s="794"/>
      <c r="C42" s="166">
        <f>SUMIF($G$7:$G$31,"Instrument",$F$7:$F$31)</f>
        <v>0</v>
      </c>
      <c r="D42" s="120">
        <f>C42+'22'!D42</f>
        <v>0</v>
      </c>
      <c r="E42" s="145">
        <f t="shared" si="3"/>
        <v>0</v>
      </c>
      <c r="F42" s="185">
        <f>+(F38*480+F39*480+F40*480)/1440</f>
        <v>1350</v>
      </c>
      <c r="G42" s="185">
        <f>+(G38*480+G39*480+G40*480)/1440</f>
        <v>1039.5</v>
      </c>
      <c r="H42" s="187" t="s">
        <v>82</v>
      </c>
      <c r="I42" s="243" t="s">
        <v>459</v>
      </c>
      <c r="J42" s="134"/>
      <c r="K42" s="132" t="s">
        <v>83</v>
      </c>
    </row>
    <row r="43" spans="1:19" ht="17.45" customHeight="1">
      <c r="A43" s="793" t="s">
        <v>84</v>
      </c>
      <c r="B43" s="794"/>
      <c r="C43" s="166">
        <f>SUMIF($G$7:$G$31,"Water",$F$7:$F$31)</f>
        <v>0</v>
      </c>
      <c r="D43" s="120">
        <f>C43+'22'!D43</f>
        <v>0</v>
      </c>
      <c r="E43" s="145">
        <f t="shared" si="3"/>
        <v>0</v>
      </c>
      <c r="F43" s="309"/>
      <c r="G43" s="310"/>
      <c r="H43" s="188" t="s">
        <v>85</v>
      </c>
      <c r="I43" s="120">
        <f>+Report1!Z31</f>
        <v>89</v>
      </c>
      <c r="J43" s="135">
        <f>+I43+'22'!J43</f>
        <v>1978.03</v>
      </c>
      <c r="K43" s="132" t="s">
        <v>75</v>
      </c>
      <c r="L43" s="189"/>
    </row>
    <row r="44" spans="1:19" ht="17.45" customHeight="1">
      <c r="A44" s="793" t="s">
        <v>18</v>
      </c>
      <c r="B44" s="794"/>
      <c r="C44" s="166">
        <f>SUMIF($G$7:$G$31,"PLN",$F$7:$F$31)</f>
        <v>0</v>
      </c>
      <c r="D44" s="120">
        <f>C44+'22'!D44</f>
        <v>30</v>
      </c>
      <c r="E44" s="145">
        <f t="shared" si="3"/>
        <v>0.5</v>
      </c>
      <c r="F44" s="309"/>
      <c r="G44" s="310"/>
      <c r="H44" s="188" t="s">
        <v>86</v>
      </c>
      <c r="I44" s="120">
        <f>I43/I38</f>
        <v>1.9544975404075895</v>
      </c>
      <c r="J44" s="136">
        <f>J43/J38</f>
        <v>1.9659707355083915</v>
      </c>
      <c r="K44" s="132" t="s">
        <v>75</v>
      </c>
    </row>
    <row r="45" spans="1:19" ht="17.45" customHeight="1">
      <c r="A45" s="793" t="s">
        <v>19</v>
      </c>
      <c r="B45" s="794"/>
      <c r="C45" s="166">
        <f>SUMIF($G$7:$G$31,"Boiler",$F$7:$F$31)</f>
        <v>0</v>
      </c>
      <c r="D45" s="120">
        <f>C45+'22'!D45</f>
        <v>0</v>
      </c>
      <c r="E45" s="145">
        <f t="shared" si="3"/>
        <v>0</v>
      </c>
      <c r="F45" s="309"/>
      <c r="G45" s="312"/>
      <c r="H45" s="188" t="s">
        <v>87</v>
      </c>
      <c r="I45" s="120">
        <f>I43/I40</f>
        <v>2.0077603320700232</v>
      </c>
      <c r="J45" s="136">
        <f>J43/J40</f>
        <v>2.0460869439289655</v>
      </c>
      <c r="K45" s="132" t="s">
        <v>75</v>
      </c>
    </row>
    <row r="46" spans="1:19" ht="17.45" customHeight="1">
      <c r="A46" s="793" t="s">
        <v>88</v>
      </c>
      <c r="B46" s="794"/>
      <c r="C46" s="166">
        <f>SUMIF($G$7:$G$31,"Gas",$F$7:$F$31)</f>
        <v>0</v>
      </c>
      <c r="D46" s="120">
        <f>C46+'22'!D46</f>
        <v>0</v>
      </c>
      <c r="E46" s="145">
        <f t="shared" si="3"/>
        <v>0</v>
      </c>
      <c r="F46" s="309"/>
      <c r="G46" s="310"/>
      <c r="H46" s="188" t="s">
        <v>89</v>
      </c>
      <c r="I46" s="142">
        <f>+SUMIF(Listrik!X30,"&gt;0")</f>
        <v>40393.515000001229</v>
      </c>
      <c r="J46" s="137">
        <f>+I46+'22'!J46</f>
        <v>930207.74499999988</v>
      </c>
      <c r="K46" s="132" t="s">
        <v>90</v>
      </c>
    </row>
    <row r="47" spans="1:19" ht="17.45" customHeight="1">
      <c r="A47" s="793" t="s">
        <v>91</v>
      </c>
      <c r="B47" s="794"/>
      <c r="C47" s="166">
        <f>SUMIF($G$7:$G$31,"Gas",$F$7:$F$31)</f>
        <v>0</v>
      </c>
      <c r="D47" s="120">
        <f>C47+'22'!D47</f>
        <v>0</v>
      </c>
      <c r="E47" s="145">
        <f t="shared" si="3"/>
        <v>0</v>
      </c>
      <c r="F47" s="309"/>
      <c r="G47" s="310"/>
      <c r="H47" s="188" t="s">
        <v>92</v>
      </c>
      <c r="I47" s="120">
        <f>I46/I38</f>
        <v>887.06770467325259</v>
      </c>
      <c r="J47" s="137">
        <f>J46/J38</f>
        <v>924.53663726700404</v>
      </c>
      <c r="K47" s="132" t="s">
        <v>25</v>
      </c>
    </row>
    <row r="48" spans="1:19" ht="17.45" customHeight="1">
      <c r="A48" s="793" t="s">
        <v>15</v>
      </c>
      <c r="B48" s="794"/>
      <c r="C48" s="166">
        <f>SUMIF($G$7:$G$31,"Start Up",$F$7:$F$31)</f>
        <v>0</v>
      </c>
      <c r="D48" s="120">
        <f>C48+'22'!D48</f>
        <v>0</v>
      </c>
      <c r="E48" s="145">
        <f t="shared" si="3"/>
        <v>0</v>
      </c>
      <c r="F48" s="309"/>
      <c r="G48" s="310"/>
      <c r="H48" s="188" t="s">
        <v>93</v>
      </c>
      <c r="I48" s="120">
        <f>I46/I40</f>
        <v>911.2415403357071</v>
      </c>
      <c r="J48" s="137">
        <f>J46/J40</f>
        <v>962.21286946411544</v>
      </c>
      <c r="K48" s="132" t="s">
        <v>25</v>
      </c>
    </row>
    <row r="49" spans="1:11" ht="17.45" customHeight="1">
      <c r="A49" s="793" t="s">
        <v>21</v>
      </c>
      <c r="B49" s="794"/>
      <c r="C49" s="166">
        <f>SUMIF($G$7:$G$31,"Others",$F$7:$F$31)</f>
        <v>0</v>
      </c>
      <c r="D49" s="120">
        <f>C49+'22'!D49</f>
        <v>446</v>
      </c>
      <c r="E49" s="145">
        <f t="shared" si="3"/>
        <v>7.4333333333333336</v>
      </c>
      <c r="F49" s="185"/>
      <c r="H49" s="188" t="s">
        <v>280</v>
      </c>
      <c r="I49" s="120">
        <f>+Report1!T31</f>
        <v>3622.0686401389185</v>
      </c>
      <c r="J49" s="137">
        <f>+I49+'22'!J49</f>
        <v>82768.653244675326</v>
      </c>
      <c r="K49" s="132" t="s">
        <v>94</v>
      </c>
    </row>
    <row r="50" spans="1:11" ht="17.45" customHeight="1">
      <c r="A50" s="793" t="s">
        <v>20</v>
      </c>
      <c r="B50" s="794"/>
      <c r="C50" s="166">
        <f>SUMIF($G$7:$G$31,"Steam",$F$7:$F$31)</f>
        <v>0</v>
      </c>
      <c r="D50" s="120">
        <f>C50+'22'!D50</f>
        <v>0</v>
      </c>
      <c r="E50" s="145">
        <f t="shared" si="3"/>
        <v>0</v>
      </c>
      <c r="F50" s="185"/>
      <c r="H50" s="188" t="s">
        <v>95</v>
      </c>
      <c r="I50" s="142">
        <f>I49/I38</f>
        <v>79.542969082460431</v>
      </c>
      <c r="J50" s="135">
        <f>J49/J38</f>
        <v>82.264045589032207</v>
      </c>
      <c r="K50" s="132" t="s">
        <v>94</v>
      </c>
    </row>
    <row r="51" spans="1:11" ht="17.45" customHeight="1">
      <c r="A51" s="810" t="s">
        <v>96</v>
      </c>
      <c r="B51" s="810"/>
      <c r="C51" s="166">
        <f>SUMIF($G$7:$G$31,"Planned shut",$F$7:$F$31)</f>
        <v>0</v>
      </c>
      <c r="D51" s="120">
        <f>C51+'22'!D51</f>
        <v>0</v>
      </c>
      <c r="E51" s="145">
        <f t="shared" si="3"/>
        <v>0</v>
      </c>
      <c r="F51" s="185"/>
      <c r="H51" s="190" t="s">
        <v>97</v>
      </c>
      <c r="I51" s="143">
        <f>I49/I40</f>
        <v>81.710626243884633</v>
      </c>
      <c r="J51" s="138">
        <f>J49/J40</f>
        <v>85.6164268340288</v>
      </c>
      <c r="K51" s="139" t="s">
        <v>94</v>
      </c>
    </row>
    <row r="52" spans="1:11" ht="13.5" thickBot="1">
      <c r="A52" s="811" t="s">
        <v>230</v>
      </c>
      <c r="B52" s="812"/>
      <c r="C52" s="166">
        <f>SUMIF($G$7:$G$31,"Change Grade",$F$7:$F$31)</f>
        <v>0</v>
      </c>
      <c r="D52" s="120">
        <f>C52+'22'!D52</f>
        <v>0</v>
      </c>
      <c r="E52" s="145">
        <f t="shared" si="3"/>
        <v>0</v>
      </c>
      <c r="F52" s="185"/>
      <c r="H52" s="191"/>
      <c r="I52" s="192"/>
      <c r="J52" s="140"/>
      <c r="K52" s="141"/>
    </row>
    <row r="53" spans="1:11">
      <c r="A53" s="806" t="s">
        <v>29</v>
      </c>
      <c r="B53" s="807"/>
      <c r="C53" s="146">
        <f>SUM(C38:C52)</f>
        <v>71</v>
      </c>
      <c r="D53" s="146">
        <f>SUM(D38:D52)</f>
        <v>2130</v>
      </c>
      <c r="E53" s="147">
        <f>SUM(E38:E52)</f>
        <v>35.5</v>
      </c>
      <c r="F53" s="185"/>
    </row>
    <row r="54" spans="1:11" ht="13.5" thickBot="1">
      <c r="A54" s="808"/>
      <c r="B54" s="809"/>
      <c r="C54" s="148">
        <f>C53/(24*60)</f>
        <v>4.9305555555555554E-2</v>
      </c>
      <c r="D54" s="148">
        <f>D53/(24*60*G4)</f>
        <v>6.4311594202898545E-2</v>
      </c>
      <c r="E54" s="149">
        <f>E53/(G4*24)</f>
        <v>6.4311594202898545E-2</v>
      </c>
      <c r="F54" s="185"/>
    </row>
    <row r="55" spans="1:11">
      <c r="E55" s="193"/>
    </row>
    <row r="56" spans="1:11">
      <c r="A56" s="194" t="s">
        <v>98</v>
      </c>
      <c r="B56" s="195"/>
      <c r="C56" s="196"/>
      <c r="D56" s="196"/>
      <c r="E56" s="196"/>
      <c r="F56" s="197"/>
      <c r="G56" s="196"/>
      <c r="H56" s="198"/>
      <c r="I56" s="199" t="s">
        <v>99</v>
      </c>
      <c r="J56" s="200">
        <f>+D34+'22'!J56</f>
        <v>4755</v>
      </c>
      <c r="K56" s="201">
        <f>J56/(J40+J56/1000)/1000</f>
        <v>4.8945283187835642E-3</v>
      </c>
    </row>
    <row r="57" spans="1:11">
      <c r="A57" s="176"/>
      <c r="I57" s="199" t="s">
        <v>100</v>
      </c>
      <c r="J57" s="200">
        <f>+E34+'22'!J57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3" zoomScale="80" zoomScaleNormal="80" zoomScaleSheetLayoutView="80" workbookViewId="0">
      <selection activeCell="H12" sqref="H1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9.42578125" style="151" customWidth="1"/>
    <col min="11" max="11" width="12.7109375" style="151" bestFit="1" customWidth="1"/>
    <col min="12" max="12" width="8.28515625" style="151" customWidth="1"/>
    <col min="13" max="13" width="15.28515625" style="151" customWidth="1"/>
    <col min="14" max="16384" width="9.140625" style="151"/>
  </cols>
  <sheetData>
    <row r="1" spans="1:27" ht="15.75">
      <c r="A1" s="150"/>
      <c r="V1" s="520"/>
      <c r="X1" s="523"/>
    </row>
    <row r="2" spans="1:27" ht="15.75">
      <c r="A2" s="150" t="s">
        <v>231</v>
      </c>
      <c r="V2" s="520"/>
      <c r="X2" s="523"/>
    </row>
    <row r="3" spans="1:27" ht="15">
      <c r="A3" s="152"/>
      <c r="Y3" s="521"/>
    </row>
    <row r="4" spans="1:27" ht="20.25">
      <c r="A4" s="153" t="s">
        <v>4</v>
      </c>
      <c r="B4" s="154"/>
      <c r="F4" s="155" t="s">
        <v>31</v>
      </c>
      <c r="G4" s="156">
        <v>22</v>
      </c>
      <c r="H4" s="156" t="str">
        <f>+'1'!H4</f>
        <v>.07.25</v>
      </c>
      <c r="J4" s="151">
        <f>492+507+499</f>
        <v>1498</v>
      </c>
      <c r="Z4" s="521"/>
      <c r="AA4" s="521"/>
    </row>
    <row r="5" spans="1:27" ht="13.5" thickBot="1">
      <c r="C5" s="157"/>
      <c r="D5" s="157"/>
    </row>
    <row r="6" spans="1:27"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409</v>
      </c>
      <c r="O6" s="151">
        <v>1350</v>
      </c>
      <c r="P6" s="151">
        <f>+O6-O6*0.23</f>
        <v>1039.5</v>
      </c>
      <c r="Q6" s="151">
        <f>60*7+45</f>
        <v>465</v>
      </c>
      <c r="R6" s="151">
        <f>+O6*Q6</f>
        <v>627750</v>
      </c>
      <c r="S6" s="151">
        <f>+P6*Q6</f>
        <v>483367.5</v>
      </c>
    </row>
    <row r="7" spans="1:27" ht="13.5" customHeight="1" thickBot="1">
      <c r="A7" s="795" t="s">
        <v>442</v>
      </c>
      <c r="B7" s="215" t="s">
        <v>398</v>
      </c>
      <c r="C7" s="216">
        <v>13538</v>
      </c>
      <c r="D7" s="217"/>
      <c r="E7" s="218"/>
      <c r="F7" s="233"/>
      <c r="G7" s="555" t="s">
        <v>13</v>
      </c>
      <c r="H7" s="556" t="s">
        <v>461</v>
      </c>
      <c r="I7" s="798" t="s">
        <v>459</v>
      </c>
      <c r="J7" s="214" t="str">
        <f>+'21'!J7</f>
        <v>F 12 VP OW</v>
      </c>
      <c r="K7" s="235">
        <f>+C7+C16</f>
        <v>18165</v>
      </c>
      <c r="L7" s="239"/>
      <c r="M7" s="119">
        <f>+K7+'21'!M7+L7</f>
        <v>452214</v>
      </c>
      <c r="N7" s="151" t="s">
        <v>519</v>
      </c>
      <c r="O7" s="151">
        <v>1350</v>
      </c>
      <c r="P7" s="151">
        <f>+O7-O7*0.23</f>
        <v>1039.5</v>
      </c>
      <c r="Q7" s="151">
        <f>480-Q6</f>
        <v>15</v>
      </c>
      <c r="R7" s="151">
        <f>+O7*Q7</f>
        <v>20250</v>
      </c>
      <c r="S7" s="151">
        <f>+P7*Q7</f>
        <v>15592.5</v>
      </c>
    </row>
    <row r="8" spans="1:27" ht="13.5" thickBot="1">
      <c r="A8" s="796"/>
      <c r="B8" s="215"/>
      <c r="C8" s="216"/>
      <c r="D8" s="217"/>
      <c r="E8" s="219"/>
      <c r="F8" s="229">
        <v>2</v>
      </c>
      <c r="G8" s="557" t="s">
        <v>13</v>
      </c>
      <c r="H8" s="228" t="s">
        <v>501</v>
      </c>
      <c r="I8" s="799"/>
      <c r="J8" s="214" t="str">
        <f>+'21'!J8</f>
        <v>F 11,5 VP OW</v>
      </c>
      <c r="K8" s="236"/>
      <c r="L8" s="236"/>
      <c r="M8" s="119">
        <f>+K8+'21'!M8+L8</f>
        <v>226339</v>
      </c>
      <c r="P8" s="151">
        <f>+O8-O8*0.23</f>
        <v>0</v>
      </c>
      <c r="R8" s="151">
        <f>+O8*Q8</f>
        <v>0</v>
      </c>
      <c r="S8" s="151">
        <f>+P8*Q8</f>
        <v>0</v>
      </c>
      <c r="V8" s="544"/>
      <c r="X8" s="523"/>
    </row>
    <row r="9" spans="1:27" ht="13.5" thickBot="1">
      <c r="A9" s="796"/>
      <c r="B9" s="215"/>
      <c r="C9" s="216"/>
      <c r="D9" s="217"/>
      <c r="E9" s="220"/>
      <c r="F9" s="229">
        <v>3</v>
      </c>
      <c r="G9" s="557" t="s">
        <v>13</v>
      </c>
      <c r="H9" s="231" t="s">
        <v>520</v>
      </c>
      <c r="I9" s="799"/>
      <c r="J9" s="214" t="str">
        <f>+'21'!J9</f>
        <v>T 13 VP OW</v>
      </c>
      <c r="K9" s="236"/>
      <c r="L9" s="236"/>
      <c r="M9" s="119">
        <f>+K9+'21'!M9+L9</f>
        <v>113358</v>
      </c>
      <c r="P9" s="151">
        <f t="shared" ref="P9:P10" si="0">+O9-O9*0.23</f>
        <v>0</v>
      </c>
      <c r="R9" s="151">
        <f>+O9*Q9</f>
        <v>0</v>
      </c>
      <c r="S9" s="151">
        <f>+P9*Q9</f>
        <v>0</v>
      </c>
      <c r="V9" s="522"/>
      <c r="W9" s="523"/>
      <c r="X9" s="523"/>
      <c r="Y9" s="523"/>
    </row>
    <row r="10" spans="1:27" ht="51.75" thickBot="1">
      <c r="A10" s="796"/>
      <c r="B10" s="215"/>
      <c r="C10" s="216"/>
      <c r="D10" s="217"/>
      <c r="E10" s="219"/>
      <c r="F10" s="229"/>
      <c r="G10" s="227"/>
      <c r="H10" s="558" t="s">
        <v>678</v>
      </c>
      <c r="I10" s="799"/>
      <c r="J10" s="214" t="str">
        <f>+'21'!J10</f>
        <v>F 13 VP OW</v>
      </c>
      <c r="K10" s="236">
        <f>+C17+C25</f>
        <v>26149</v>
      </c>
      <c r="L10" s="236"/>
      <c r="M10" s="119">
        <f>+K10+'21'!M10+L10</f>
        <v>69356</v>
      </c>
      <c r="P10" s="151">
        <f t="shared" si="0"/>
        <v>0</v>
      </c>
      <c r="R10" s="151">
        <f>+O10*Q10</f>
        <v>0</v>
      </c>
      <c r="S10" s="151">
        <f>+P10*Q10</f>
        <v>0</v>
      </c>
      <c r="Y10" s="545"/>
    </row>
    <row r="11" spans="1:27" ht="90" thickBot="1">
      <c r="A11" s="796"/>
      <c r="B11" s="215"/>
      <c r="C11" s="216"/>
      <c r="D11" s="217"/>
      <c r="E11" s="219"/>
      <c r="F11" s="226"/>
      <c r="G11" s="230"/>
      <c r="H11" s="231" t="s">
        <v>684</v>
      </c>
      <c r="I11" s="799"/>
      <c r="J11" s="214" t="str">
        <f>+'21'!J11</f>
        <v xml:space="preserve">T 13 VP OW HB </v>
      </c>
      <c r="K11" s="236"/>
      <c r="L11" s="236"/>
      <c r="M11" s="119">
        <f>+K11+'21'!M11+L11</f>
        <v>10128</v>
      </c>
      <c r="Z11" s="545"/>
      <c r="AA11" s="545"/>
    </row>
    <row r="12" spans="1:27" ht="13.5" thickBot="1">
      <c r="A12" s="796"/>
      <c r="B12" s="215"/>
      <c r="C12" s="216"/>
      <c r="D12" s="217"/>
      <c r="E12" s="219"/>
      <c r="F12" s="226"/>
      <c r="G12" s="230"/>
      <c r="H12" s="231"/>
      <c r="I12" s="799"/>
      <c r="J12" s="214" t="str">
        <f>+'21'!J12</f>
        <v>TW 15 VP OW</v>
      </c>
      <c r="K12" s="236"/>
      <c r="L12" s="236"/>
      <c r="M12" s="119">
        <f>+K12+'21'!M12+L12</f>
        <v>51015</v>
      </c>
      <c r="Q12" s="151">
        <f>SUM(Q6:Q11)</f>
        <v>480</v>
      </c>
      <c r="R12" s="151">
        <f>SUM(R6:R9)</f>
        <v>648000</v>
      </c>
      <c r="S12" s="151">
        <f>SUM(S6:S9)</f>
        <v>498960</v>
      </c>
    </row>
    <row r="13" spans="1:27" ht="13.5" thickBot="1">
      <c r="A13" s="796"/>
      <c r="B13" s="215"/>
      <c r="C13" s="216"/>
      <c r="D13" s="216"/>
      <c r="E13" s="219"/>
      <c r="F13" s="226"/>
      <c r="G13" s="230"/>
      <c r="H13" s="231"/>
      <c r="I13" s="800"/>
      <c r="J13" s="214">
        <f>+'21'!J13</f>
        <v>0</v>
      </c>
      <c r="K13" s="236"/>
      <c r="L13" s="236"/>
      <c r="M13" s="119">
        <f>+K13+'21'!M13+L13</f>
        <v>0</v>
      </c>
      <c r="P13" s="151" t="s">
        <v>424</v>
      </c>
      <c r="Q13" s="151">
        <f>480-Q12</f>
        <v>0</v>
      </c>
      <c r="R13" s="151">
        <f>+R12/Q12</f>
        <v>1350</v>
      </c>
      <c r="S13" s="151">
        <f>+S12/Q12</f>
        <v>1039.5</v>
      </c>
    </row>
    <row r="14" spans="1:27" ht="13.5" thickBot="1">
      <c r="A14" s="797"/>
      <c r="B14" s="167" t="s">
        <v>3</v>
      </c>
      <c r="C14" s="101">
        <f>SUM(C7:C13)</f>
        <v>13538</v>
      </c>
      <c r="D14" s="113">
        <f>SUM(D7:D13)</f>
        <v>0</v>
      </c>
      <c r="E14" s="114">
        <f>SUM(E5:E13)</f>
        <v>0</v>
      </c>
      <c r="F14" s="118">
        <f>SUM(F7:F13)</f>
        <v>5</v>
      </c>
      <c r="G14" s="161"/>
      <c r="H14" s="168"/>
      <c r="I14" s="169"/>
      <c r="J14" s="214">
        <f>+'21'!J14</f>
        <v>0</v>
      </c>
      <c r="K14" s="236"/>
      <c r="L14" s="236"/>
      <c r="M14" s="119">
        <f>+K14+'21'!M14+L14</f>
        <v>0</v>
      </c>
    </row>
    <row r="15" spans="1:27" ht="13.5" customHeight="1" thickBot="1">
      <c r="A15" s="801" t="s">
        <v>688</v>
      </c>
      <c r="B15" s="518"/>
      <c r="C15" s="115">
        <f>C14/($C$23+$D$23+$E$23)</f>
        <v>0.90313542361574384</v>
      </c>
      <c r="D15" s="116">
        <f>D14/($C$23+$D$23+$E$23)</f>
        <v>0</v>
      </c>
      <c r="E15" s="117">
        <f>E14/($C$23+$D$23+$E$23)</f>
        <v>0</v>
      </c>
      <c r="F15" s="233"/>
      <c r="G15" s="555" t="s">
        <v>13</v>
      </c>
      <c r="H15" s="556" t="s">
        <v>461</v>
      </c>
      <c r="I15" s="798" t="s">
        <v>459</v>
      </c>
      <c r="J15" s="214">
        <f>+'21'!J15</f>
        <v>0</v>
      </c>
      <c r="K15" s="236"/>
      <c r="L15" s="236"/>
      <c r="M15" s="119">
        <f>+K15+'21'!M15+L15</f>
        <v>0</v>
      </c>
      <c r="N15" s="151" t="s">
        <v>519</v>
      </c>
      <c r="O15" s="151">
        <v>1350</v>
      </c>
      <c r="P15" s="151">
        <f>+O15-O15*0.23</f>
        <v>1039.5</v>
      </c>
      <c r="Q15" s="151">
        <v>480</v>
      </c>
      <c r="R15" s="151">
        <f>+O15*Q15</f>
        <v>648000</v>
      </c>
      <c r="S15" s="151">
        <f>+P15*Q15</f>
        <v>498960</v>
      </c>
    </row>
    <row r="16" spans="1:27" ht="13.5" thickBot="1">
      <c r="A16" s="796"/>
      <c r="B16" s="517" t="s">
        <v>398</v>
      </c>
      <c r="C16" s="516">
        <f>2140+2487</f>
        <v>4627</v>
      </c>
      <c r="D16" s="221"/>
      <c r="E16" s="222"/>
      <c r="F16" s="229">
        <v>12</v>
      </c>
      <c r="G16" s="557" t="s">
        <v>13</v>
      </c>
      <c r="H16" s="228" t="s">
        <v>468</v>
      </c>
      <c r="I16" s="799"/>
      <c r="J16" s="214">
        <f>+'21'!J16</f>
        <v>0</v>
      </c>
      <c r="K16" s="236"/>
      <c r="L16" s="227"/>
      <c r="M16" s="119">
        <f>+K16+'21'!M16+L16</f>
        <v>0</v>
      </c>
      <c r="P16" s="151">
        <f>+O16-O16*0.23</f>
        <v>0</v>
      </c>
      <c r="Q16" s="151">
        <f>480-Q15</f>
        <v>0</v>
      </c>
      <c r="R16" s="151">
        <f>+O16*Q16</f>
        <v>0</v>
      </c>
      <c r="S16" s="151">
        <f>+P16*Q16</f>
        <v>0</v>
      </c>
    </row>
    <row r="17" spans="1:19" ht="13.5" thickBot="1">
      <c r="A17" s="796"/>
      <c r="B17" s="215" t="s">
        <v>536</v>
      </c>
      <c r="C17" s="216">
        <v>9847</v>
      </c>
      <c r="D17" s="217">
        <v>516</v>
      </c>
      <c r="E17" s="223"/>
      <c r="F17" s="229">
        <v>12</v>
      </c>
      <c r="G17" s="557" t="s">
        <v>13</v>
      </c>
      <c r="H17" s="231" t="s">
        <v>520</v>
      </c>
      <c r="I17" s="799"/>
      <c r="J17" s="214">
        <f>+'21'!J17</f>
        <v>0</v>
      </c>
      <c r="K17" s="236"/>
      <c r="L17" s="227"/>
      <c r="M17" s="119">
        <f>+K17+'21'!M17+L17</f>
        <v>0</v>
      </c>
      <c r="P17" s="151">
        <f>+O17-O17*0.23</f>
        <v>0</v>
      </c>
      <c r="R17" s="151">
        <f>+O17*Q17</f>
        <v>0</v>
      </c>
      <c r="S17" s="151">
        <f>+P17*Q17</f>
        <v>0</v>
      </c>
    </row>
    <row r="18" spans="1:19" ht="39" thickBot="1">
      <c r="A18" s="796"/>
      <c r="B18" s="215"/>
      <c r="C18" s="216"/>
      <c r="D18" s="217"/>
      <c r="E18" s="223"/>
      <c r="F18" s="229"/>
      <c r="G18" s="227"/>
      <c r="H18" s="558" t="s">
        <v>681</v>
      </c>
      <c r="I18" s="799"/>
      <c r="J18" s="214">
        <f>+'21'!J18</f>
        <v>0</v>
      </c>
      <c r="K18" s="236"/>
      <c r="L18" s="236"/>
      <c r="M18" s="119">
        <f>+K18+'21'!M18+L18</f>
        <v>0</v>
      </c>
      <c r="P18" s="151">
        <f t="shared" ref="P18:P19" si="1">+O18-O18*0.23</f>
        <v>0</v>
      </c>
      <c r="R18" s="151">
        <f>+O18*Q18</f>
        <v>0</v>
      </c>
      <c r="S18" s="151">
        <f>+P18*Q18</f>
        <v>0</v>
      </c>
    </row>
    <row r="19" spans="1:19" ht="77.25" thickBot="1">
      <c r="A19" s="796"/>
      <c r="B19" s="215"/>
      <c r="C19" s="216"/>
      <c r="D19" s="217"/>
      <c r="E19" s="223"/>
      <c r="F19" s="232"/>
      <c r="G19" s="230"/>
      <c r="H19" s="231" t="s">
        <v>683</v>
      </c>
      <c r="I19" s="799"/>
      <c r="J19" s="214">
        <f>+'21'!J19</f>
        <v>0</v>
      </c>
      <c r="K19" s="236"/>
      <c r="L19" s="236"/>
      <c r="M19" s="119">
        <f>+K19+'21'!M19+L19</f>
        <v>0</v>
      </c>
      <c r="P19" s="151">
        <f t="shared" si="1"/>
        <v>0</v>
      </c>
      <c r="R19" s="151">
        <f>+O19*Q19</f>
        <v>0</v>
      </c>
      <c r="S19" s="151">
        <f>+P19*Q19</f>
        <v>0</v>
      </c>
    </row>
    <row r="20" spans="1:19" ht="13.5" thickBot="1">
      <c r="A20" s="796"/>
      <c r="B20" s="215"/>
      <c r="C20" s="216"/>
      <c r="D20" s="217"/>
      <c r="E20" s="223"/>
      <c r="F20" s="226"/>
      <c r="G20" s="230"/>
      <c r="H20" s="231"/>
      <c r="I20" s="799"/>
      <c r="J20" s="214">
        <f>+'21'!J20</f>
        <v>0</v>
      </c>
      <c r="K20" s="237"/>
      <c r="L20" s="237"/>
      <c r="M20" s="119">
        <f>+K20+'21'!M20+L20</f>
        <v>0</v>
      </c>
    </row>
    <row r="21" spans="1:19" ht="13.5" thickBot="1">
      <c r="A21" s="796"/>
      <c r="B21" s="215"/>
      <c r="C21" s="216"/>
      <c r="D21" s="217"/>
      <c r="E21" s="223"/>
      <c r="F21" s="229"/>
      <c r="G21" s="230"/>
      <c r="H21" s="231"/>
      <c r="I21" s="799"/>
      <c r="J21" s="214">
        <f>+'21'!J21</f>
        <v>0</v>
      </c>
      <c r="K21" s="236"/>
      <c r="L21" s="236"/>
      <c r="M21" s="119">
        <f>+K21+'21'!M21+L21</f>
        <v>0</v>
      </c>
      <c r="Q21" s="151">
        <f>SUM(Q15:Q20)</f>
        <v>480</v>
      </c>
      <c r="R21" s="151">
        <f>SUM(R15:R18)</f>
        <v>648000</v>
      </c>
      <c r="S21" s="151">
        <f>SUM(S15:S18)</f>
        <v>498960</v>
      </c>
    </row>
    <row r="22" spans="1:19" ht="13.5" thickBot="1">
      <c r="A22" s="796"/>
      <c r="B22" s="215"/>
      <c r="C22" s="216"/>
      <c r="D22" s="217"/>
      <c r="E22" s="223"/>
      <c r="F22" s="233"/>
      <c r="G22" s="230"/>
      <c r="H22" s="231"/>
      <c r="I22" s="800"/>
      <c r="J22" s="214">
        <f>+'21'!J22</f>
        <v>0</v>
      </c>
      <c r="K22" s="236"/>
      <c r="L22" s="236"/>
      <c r="M22" s="119">
        <f>+K22+'21'!M22+L22</f>
        <v>0</v>
      </c>
      <c r="P22" s="151" t="s">
        <v>424</v>
      </c>
      <c r="Q22" s="151">
        <f>480-Q21</f>
        <v>0</v>
      </c>
      <c r="R22" s="151">
        <f>+R21/Q21</f>
        <v>1350</v>
      </c>
      <c r="S22" s="151">
        <f>+S21/Q21</f>
        <v>1039.5</v>
      </c>
    </row>
    <row r="23" spans="1:19" ht="13.5" thickBot="1">
      <c r="A23" s="797"/>
      <c r="B23" s="167" t="s">
        <v>3</v>
      </c>
      <c r="C23" s="101">
        <f>SUM(C16:C22)</f>
        <v>14474</v>
      </c>
      <c r="D23" s="113">
        <f>SUM(D16:D22)</f>
        <v>516</v>
      </c>
      <c r="E23" s="114">
        <f>SUM(E18:E22)</f>
        <v>0</v>
      </c>
      <c r="F23" s="118">
        <f>SUM(F15:F22)</f>
        <v>24</v>
      </c>
      <c r="G23" s="161"/>
      <c r="H23" s="168"/>
      <c r="I23" s="170"/>
      <c r="J23" s="214">
        <f>+'21'!J23</f>
        <v>0</v>
      </c>
      <c r="K23" s="236"/>
      <c r="L23" s="236"/>
      <c r="M23" s="119">
        <f>+K23+'21'!M23+L23</f>
        <v>0</v>
      </c>
    </row>
    <row r="24" spans="1:19" ht="13.5" customHeight="1" thickBot="1">
      <c r="A24" s="801" t="s">
        <v>687</v>
      </c>
      <c r="B24" s="518"/>
      <c r="C24" s="115">
        <f>C23/($C$23+$D$23+$E$23)</f>
        <v>0.96557705136757843</v>
      </c>
      <c r="D24" s="116">
        <f>D23/($C$23+$D$23+$E$23)</f>
        <v>3.4422948632421617E-2</v>
      </c>
      <c r="E24" s="117">
        <f>E23/($C$23+$D$23+$E$23)</f>
        <v>0</v>
      </c>
      <c r="F24" s="233"/>
      <c r="G24" s="555" t="s">
        <v>13</v>
      </c>
      <c r="H24" s="556" t="s">
        <v>461</v>
      </c>
      <c r="I24" s="798" t="s">
        <v>459</v>
      </c>
      <c r="J24" s="214">
        <f>+'21'!J24</f>
        <v>0</v>
      </c>
      <c r="K24" s="236"/>
      <c r="L24" s="236"/>
      <c r="M24" s="119">
        <f>+K24+'21'!M24+L24</f>
        <v>0</v>
      </c>
      <c r="N24" s="151" t="s">
        <v>519</v>
      </c>
      <c r="O24" s="151">
        <v>1350</v>
      </c>
      <c r="P24" s="151">
        <f>+O24-O24*0.23</f>
        <v>1039.5</v>
      </c>
      <c r="Q24" s="151">
        <v>480</v>
      </c>
      <c r="R24" s="151">
        <f>+O24*Q24</f>
        <v>648000</v>
      </c>
      <c r="S24" s="151">
        <f>+P24*Q24</f>
        <v>498960</v>
      </c>
    </row>
    <row r="25" spans="1:19" ht="13.5" thickBot="1">
      <c r="A25" s="796"/>
      <c r="B25" s="517" t="s">
        <v>536</v>
      </c>
      <c r="C25" s="224">
        <v>16302</v>
      </c>
      <c r="D25" s="217"/>
      <c r="E25" s="223"/>
      <c r="F25" s="229">
        <v>6</v>
      </c>
      <c r="G25" s="557" t="s">
        <v>13</v>
      </c>
      <c r="H25" s="228" t="s">
        <v>481</v>
      </c>
      <c r="I25" s="799"/>
      <c r="J25" s="214">
        <f>+'21'!J25</f>
        <v>0</v>
      </c>
      <c r="K25" s="236"/>
      <c r="L25" s="236"/>
      <c r="M25" s="119">
        <f>+K25+'21'!M25+L25</f>
        <v>0</v>
      </c>
      <c r="P25" s="151">
        <f>+O25-O25*0.23</f>
        <v>0</v>
      </c>
      <c r="Q25" s="151">
        <f>480-Q24</f>
        <v>0</v>
      </c>
      <c r="R25" s="151">
        <f>+O25*Q25</f>
        <v>0</v>
      </c>
      <c r="S25" s="151">
        <f>+P25*Q25</f>
        <v>0</v>
      </c>
    </row>
    <row r="26" spans="1:19" ht="13.5" thickBot="1">
      <c r="A26" s="796"/>
      <c r="B26" s="215"/>
      <c r="C26" s="224"/>
      <c r="D26" s="217"/>
      <c r="E26" s="225"/>
      <c r="F26" s="229">
        <v>6</v>
      </c>
      <c r="G26" s="557" t="s">
        <v>13</v>
      </c>
      <c r="H26" s="231" t="s">
        <v>520</v>
      </c>
      <c r="I26" s="799"/>
      <c r="J26" s="214">
        <f>+'21'!J26</f>
        <v>0</v>
      </c>
      <c r="K26" s="236"/>
      <c r="L26" s="236"/>
      <c r="M26" s="119">
        <f>+K26+'21'!M26+L26</f>
        <v>0</v>
      </c>
      <c r="P26" s="151">
        <f>+O26-O26*0.23</f>
        <v>0</v>
      </c>
      <c r="R26" s="151">
        <f>+O26*Q26</f>
        <v>0</v>
      </c>
      <c r="S26" s="151">
        <f>+P26*Q26</f>
        <v>0</v>
      </c>
    </row>
    <row r="27" spans="1:19" ht="39" thickBot="1">
      <c r="A27" s="796"/>
      <c r="B27" s="215"/>
      <c r="C27" s="216"/>
      <c r="D27" s="217"/>
      <c r="E27" s="223"/>
      <c r="F27" s="229"/>
      <c r="G27" s="227"/>
      <c r="H27" s="558" t="s">
        <v>681</v>
      </c>
      <c r="I27" s="799"/>
      <c r="J27" s="214">
        <f>+'21'!J27</f>
        <v>0</v>
      </c>
      <c r="K27" s="236"/>
      <c r="L27" s="236"/>
      <c r="M27" s="119">
        <f>+K27+'21'!M27+L27</f>
        <v>0</v>
      </c>
      <c r="P27" s="151">
        <f t="shared" ref="P27:P28" si="2">+O27-O27*0.23</f>
        <v>0</v>
      </c>
      <c r="R27" s="151">
        <f>+O27*Q27</f>
        <v>0</v>
      </c>
      <c r="S27" s="151">
        <f>+P27*Q27</f>
        <v>0</v>
      </c>
    </row>
    <row r="28" spans="1:19" ht="160.5" customHeight="1" thickBot="1">
      <c r="A28" s="796"/>
      <c r="B28" s="215"/>
      <c r="C28" s="216"/>
      <c r="D28" s="217"/>
      <c r="E28" s="223"/>
      <c r="F28" s="229"/>
      <c r="G28" s="227"/>
      <c r="H28" s="231" t="s">
        <v>682</v>
      </c>
      <c r="I28" s="799"/>
      <c r="J28" s="214">
        <f>+'21'!J28</f>
        <v>0</v>
      </c>
      <c r="K28" s="236"/>
      <c r="L28" s="236"/>
      <c r="M28" s="119">
        <f>+K28+'21'!M28+L28</f>
        <v>0</v>
      </c>
      <c r="P28" s="151">
        <f t="shared" si="2"/>
        <v>0</v>
      </c>
      <c r="R28" s="151">
        <f>+O28*Q28</f>
        <v>0</v>
      </c>
      <c r="S28" s="151">
        <f>+P28*Q28</f>
        <v>0</v>
      </c>
    </row>
    <row r="29" spans="1:19" ht="13.5" thickBot="1">
      <c r="A29" s="796"/>
      <c r="B29" s="215"/>
      <c r="C29" s="216"/>
      <c r="D29" s="217"/>
      <c r="E29" s="223"/>
      <c r="F29" s="233"/>
      <c r="G29" s="230"/>
      <c r="H29" s="231"/>
      <c r="I29" s="799"/>
      <c r="J29" s="214">
        <f>+'21'!J29</f>
        <v>0</v>
      </c>
      <c r="K29" s="236"/>
      <c r="L29" s="236"/>
      <c r="M29" s="119">
        <f>+K29+'21'!M29+L29</f>
        <v>0</v>
      </c>
    </row>
    <row r="30" spans="1:19" ht="13.5" thickBot="1">
      <c r="A30" s="796"/>
      <c r="B30" s="215"/>
      <c r="C30" s="224"/>
      <c r="D30" s="217"/>
      <c r="E30" s="223"/>
      <c r="F30" s="233"/>
      <c r="G30" s="230"/>
      <c r="H30" s="231"/>
      <c r="I30" s="799"/>
      <c r="J30" s="214">
        <f>+'21'!J30</f>
        <v>0</v>
      </c>
      <c r="K30" s="236"/>
      <c r="L30" s="236"/>
      <c r="M30" s="119">
        <f>+K30+'21'!M30+L30</f>
        <v>0</v>
      </c>
      <c r="Q30" s="151">
        <f>SUM(Q24:Q29)</f>
        <v>480</v>
      </c>
      <c r="R30" s="151">
        <f>SUM(R24:R27)</f>
        <v>648000</v>
      </c>
      <c r="S30" s="151">
        <f>SUM(S24:S27)</f>
        <v>498960</v>
      </c>
    </row>
    <row r="31" spans="1:19" ht="13.5" thickBot="1">
      <c r="A31" s="796"/>
      <c r="B31" s="215"/>
      <c r="C31" s="224"/>
      <c r="D31" s="217"/>
      <c r="E31" s="223"/>
      <c r="F31" s="233"/>
      <c r="G31" s="234"/>
      <c r="H31" s="409"/>
      <c r="I31" s="800"/>
      <c r="J31" s="214">
        <f>+'21'!J31</f>
        <v>0</v>
      </c>
      <c r="K31" s="236"/>
      <c r="L31" s="236"/>
      <c r="M31" s="119">
        <f>+K31+'21'!M31+L31</f>
        <v>0</v>
      </c>
      <c r="P31" s="151" t="s">
        <v>424</v>
      </c>
      <c r="Q31" s="151">
        <f>480-Q30</f>
        <v>0</v>
      </c>
      <c r="R31" s="151">
        <f>+R30/Q30</f>
        <v>1350</v>
      </c>
      <c r="S31" s="151">
        <f>+S30/Q30</f>
        <v>1039.5</v>
      </c>
    </row>
    <row r="32" spans="1:19" ht="13.5" thickBot="1">
      <c r="A32" s="797"/>
      <c r="B32" s="167" t="s">
        <v>3</v>
      </c>
      <c r="C32" s="101">
        <f>SUM(C25:C31)</f>
        <v>16302</v>
      </c>
      <c r="D32" s="102">
        <f>SUM(D25:D31)</f>
        <v>0</v>
      </c>
      <c r="E32" s="103">
        <f>SUM(E25:E31)</f>
        <v>0</v>
      </c>
      <c r="F32" s="101">
        <f>SUM(F24:F31)</f>
        <v>12</v>
      </c>
      <c r="G32" s="171"/>
      <c r="H32" s="172"/>
      <c r="I32" s="170"/>
      <c r="J32" s="214">
        <f>+'21'!J32</f>
        <v>0</v>
      </c>
      <c r="K32" s="238"/>
      <c r="L32" s="240"/>
      <c r="M32" s="119">
        <f>+K32+'21'!M32+L32</f>
        <v>0</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02" t="s">
        <v>69</v>
      </c>
      <c r="B34" s="803"/>
      <c r="C34" s="109">
        <f>C14+C23+C32</f>
        <v>44314</v>
      </c>
      <c r="D34" s="109">
        <f>D14+D23+D32</f>
        <v>516</v>
      </c>
      <c r="E34" s="109">
        <f>E14+E23+E32</f>
        <v>0</v>
      </c>
      <c r="F34" s="110">
        <f>F14+F23+F32</f>
        <v>41</v>
      </c>
      <c r="H34" s="178"/>
      <c r="I34" s="178"/>
      <c r="J34" s="125" t="s">
        <v>29</v>
      </c>
      <c r="K34" s="126">
        <f>SUM(K7:K32)</f>
        <v>44314</v>
      </c>
      <c r="L34" s="212">
        <f>SUM(L7:L32)</f>
        <v>0</v>
      </c>
      <c r="M34" s="122">
        <f>SUM(M7:M32)</f>
        <v>922410</v>
      </c>
      <c r="N34" s="157"/>
    </row>
    <row r="35" spans="1:17" ht="13.5" thickBot="1">
      <c r="A35" s="179"/>
      <c r="B35" s="180"/>
      <c r="C35" s="106">
        <f>C34/($C$34+$D$34+$E$34)</f>
        <v>0.98848985054650906</v>
      </c>
      <c r="D35" s="106">
        <f>D34/($C$34+$D$34+$E$34)</f>
        <v>1.1510149453490966E-2</v>
      </c>
      <c r="E35" s="111">
        <f>E34/($C$34+$D$34+$E$34)</f>
        <v>0</v>
      </c>
      <c r="H35" s="151" t="s">
        <v>0</v>
      </c>
      <c r="K35" s="157"/>
      <c r="N35" s="151" t="s">
        <v>409</v>
      </c>
      <c r="O35" s="151">
        <v>1350</v>
      </c>
      <c r="P35" s="151">
        <v>1039.5</v>
      </c>
      <c r="Q35" s="151">
        <v>465</v>
      </c>
    </row>
    <row r="36" spans="1:17" ht="13.5" thickBot="1">
      <c r="A36" s="178"/>
      <c r="B36" s="178"/>
      <c r="C36" s="157"/>
      <c r="D36" s="157"/>
      <c r="E36" s="157"/>
      <c r="G36" s="157"/>
      <c r="H36" s="181"/>
      <c r="I36" s="164" t="s">
        <v>39</v>
      </c>
      <c r="J36" s="164" t="s">
        <v>40</v>
      </c>
      <c r="K36" s="182"/>
      <c r="N36" s="151" t="s">
        <v>519</v>
      </c>
      <c r="O36" s="151">
        <v>1350</v>
      </c>
      <c r="P36" s="151">
        <v>1039.5</v>
      </c>
      <c r="Q36" s="151">
        <f>1440-Q35</f>
        <v>975</v>
      </c>
    </row>
    <row r="37" spans="1:17" ht="17.45" customHeight="1" thickBot="1">
      <c r="A37" s="804" t="s">
        <v>70</v>
      </c>
      <c r="B37" s="805"/>
      <c r="C37" s="164" t="s">
        <v>71</v>
      </c>
      <c r="D37" s="183" t="s">
        <v>72</v>
      </c>
      <c r="E37" s="184" t="s">
        <v>73</v>
      </c>
      <c r="F37" s="309"/>
      <c r="G37" s="311"/>
      <c r="H37" s="186" t="s">
        <v>74</v>
      </c>
      <c r="I37" s="241">
        <f>(12*465+13*975)/1440*G42*2.74*1440/1000000</f>
        <v>51.994438650000006</v>
      </c>
      <c r="J37" s="127">
        <f>+I37+'21'!J37</f>
        <v>1066.0050791746362</v>
      </c>
      <c r="K37" s="128" t="s">
        <v>75</v>
      </c>
      <c r="Q37" s="151">
        <f>SUM(Q35:Q36)</f>
        <v>1440</v>
      </c>
    </row>
    <row r="38" spans="1:17" ht="17.45" customHeight="1">
      <c r="A38" s="806" t="s">
        <v>13</v>
      </c>
      <c r="B38" s="807"/>
      <c r="C38" s="166">
        <f>SUMIF($G$7:$G$31,"Process",$F$7:$F$31)</f>
        <v>41</v>
      </c>
      <c r="D38" s="120">
        <f>C38+'21'!D38</f>
        <v>1507</v>
      </c>
      <c r="E38" s="145">
        <f t="shared" ref="E38:E52" si="3">D38/60</f>
        <v>25.116666666666667</v>
      </c>
      <c r="F38" s="309">
        <v>1350</v>
      </c>
      <c r="G38" s="309">
        <v>1039.5</v>
      </c>
      <c r="H38" s="187" t="s">
        <v>76</v>
      </c>
      <c r="I38" s="242">
        <f>15.725+15.395+15.596</f>
        <v>46.715999999999994</v>
      </c>
      <c r="J38" s="129">
        <f>+I38+'21'!J38</f>
        <v>960.59799999999996</v>
      </c>
      <c r="K38" s="130" t="s">
        <v>75</v>
      </c>
    </row>
    <row r="39" spans="1:17" ht="17.45" customHeight="1">
      <c r="A39" s="793" t="s">
        <v>14</v>
      </c>
      <c r="B39" s="794"/>
      <c r="C39" s="166">
        <f>SUMIF($G$7:$G$31,"Cleaning",$F$7:$F$31)</f>
        <v>0</v>
      </c>
      <c r="D39" s="120">
        <f>C39+'21'!D39</f>
        <v>0</v>
      </c>
      <c r="E39" s="145">
        <f t="shared" si="3"/>
        <v>0</v>
      </c>
      <c r="F39" s="309">
        <v>1350</v>
      </c>
      <c r="G39" s="309">
        <v>1039.5</v>
      </c>
      <c r="H39" s="187" t="s">
        <v>77</v>
      </c>
      <c r="I39" s="144"/>
      <c r="J39" s="131">
        <f>J37/G4</f>
        <v>48.454776326119827</v>
      </c>
      <c r="K39" s="132" t="s">
        <v>75</v>
      </c>
    </row>
    <row r="40" spans="1:17" ht="17.45" customHeight="1">
      <c r="A40" s="793" t="s">
        <v>78</v>
      </c>
      <c r="B40" s="794"/>
      <c r="C40" s="166">
        <f>SUMIF($G$7:$G$31,"Mechanical",$F$7:$F$31)</f>
        <v>0</v>
      </c>
      <c r="D40" s="120">
        <f>C40+'21'!D40</f>
        <v>28</v>
      </c>
      <c r="E40" s="145">
        <f t="shared" si="3"/>
        <v>0.46666666666666667</v>
      </c>
      <c r="F40" s="309">
        <v>1350</v>
      </c>
      <c r="G40" s="309">
        <v>1039.5</v>
      </c>
      <c r="H40" s="187" t="s">
        <v>79</v>
      </c>
      <c r="I40" s="120">
        <f>(K34+L34)/1000</f>
        <v>44.314</v>
      </c>
      <c r="J40" s="133">
        <f>+I40+'21'!J40</f>
        <v>922.40999999999985</v>
      </c>
      <c r="K40" s="132" t="s">
        <v>75</v>
      </c>
    </row>
    <row r="41" spans="1:17" ht="17.45" customHeight="1">
      <c r="A41" s="793" t="s">
        <v>80</v>
      </c>
      <c r="B41" s="794"/>
      <c r="C41" s="166">
        <f>SUMIF($G$7:$G$31,"Electrical",$F$7:$F$31)</f>
        <v>0</v>
      </c>
      <c r="D41" s="120">
        <f>C41+'21'!D41</f>
        <v>48</v>
      </c>
      <c r="E41" s="145">
        <f t="shared" si="3"/>
        <v>0.8</v>
      </c>
      <c r="F41" s="309"/>
      <c r="G41" s="309"/>
      <c r="H41" s="187" t="s">
        <v>81</v>
      </c>
      <c r="I41" s="144"/>
      <c r="J41" s="131">
        <f>J40/G4</f>
        <v>41.927727272727267</v>
      </c>
      <c r="K41" s="132" t="s">
        <v>75</v>
      </c>
    </row>
    <row r="42" spans="1:17" ht="17.45" customHeight="1">
      <c r="A42" s="793" t="s">
        <v>17</v>
      </c>
      <c r="B42" s="794"/>
      <c r="C42" s="166">
        <f>SUMIF($G$7:$G$31,"Instrument",$F$7:$F$31)</f>
        <v>0</v>
      </c>
      <c r="D42" s="120">
        <f>C42+'21'!D42</f>
        <v>0</v>
      </c>
      <c r="E42" s="145">
        <f t="shared" si="3"/>
        <v>0</v>
      </c>
      <c r="F42" s="185">
        <f>+(480*F38+480*F39+480*F40)/1440</f>
        <v>1350</v>
      </c>
      <c r="G42" s="185">
        <f>+(480*G38+480*G39+480*G40)/1440</f>
        <v>1039.5</v>
      </c>
      <c r="H42" s="187" t="s">
        <v>82</v>
      </c>
      <c r="I42" s="243" t="s">
        <v>459</v>
      </c>
      <c r="J42" s="134"/>
      <c r="K42" s="132" t="s">
        <v>83</v>
      </c>
    </row>
    <row r="43" spans="1:17" ht="17.45" customHeight="1">
      <c r="A43" s="793" t="s">
        <v>84</v>
      </c>
      <c r="B43" s="794"/>
      <c r="C43" s="166">
        <f>SUMIF($G$7:$G$31,"Water",$F$7:$F$31)</f>
        <v>0</v>
      </c>
      <c r="D43" s="120">
        <f>C43+'21'!D43</f>
        <v>0</v>
      </c>
      <c r="E43" s="145">
        <f t="shared" si="3"/>
        <v>0</v>
      </c>
      <c r="F43" s="309"/>
      <c r="G43" s="310"/>
      <c r="H43" s="188" t="s">
        <v>85</v>
      </c>
      <c r="I43" s="120">
        <f>+Report1!Z30</f>
        <v>90</v>
      </c>
      <c r="J43" s="135">
        <f>+I43+'21'!J43</f>
        <v>1889.03</v>
      </c>
      <c r="K43" s="132" t="s">
        <v>75</v>
      </c>
      <c r="L43" s="189"/>
    </row>
    <row r="44" spans="1:17" ht="17.45" customHeight="1">
      <c r="A44" s="793" t="s">
        <v>18</v>
      </c>
      <c r="B44" s="794"/>
      <c r="C44" s="166">
        <f>SUMIF($G$7:$G$31,"PLN",$F$7:$F$31)</f>
        <v>0</v>
      </c>
      <c r="D44" s="120">
        <f>C44+'21'!D44</f>
        <v>30</v>
      </c>
      <c r="E44" s="145">
        <f t="shared" si="3"/>
        <v>0.5</v>
      </c>
      <c r="F44" s="309"/>
      <c r="G44" s="310"/>
      <c r="H44" s="188" t="s">
        <v>86</v>
      </c>
      <c r="I44" s="120">
        <f>I43/I38</f>
        <v>1.9265348060621632</v>
      </c>
      <c r="J44" s="136">
        <f>J43/J38</f>
        <v>1.9665146086083878</v>
      </c>
      <c r="K44" s="132" t="s">
        <v>75</v>
      </c>
    </row>
    <row r="45" spans="1:17" ht="17.45" customHeight="1">
      <c r="A45" s="793" t="s">
        <v>19</v>
      </c>
      <c r="B45" s="794"/>
      <c r="C45" s="166">
        <f>SUMIF($G$7:$G$31,"Boiler",$F$7:$F$31)</f>
        <v>0</v>
      </c>
      <c r="D45" s="120">
        <f>C45+'21'!D45</f>
        <v>0</v>
      </c>
      <c r="E45" s="145">
        <f t="shared" si="3"/>
        <v>0</v>
      </c>
      <c r="F45" s="309"/>
      <c r="G45" s="312"/>
      <c r="H45" s="188" t="s">
        <v>87</v>
      </c>
      <c r="I45" s="120">
        <f>I43/I40</f>
        <v>2.0309608701539017</v>
      </c>
      <c r="J45" s="136">
        <f>J43/J40</f>
        <v>2.0479287952212144</v>
      </c>
      <c r="K45" s="132" t="s">
        <v>75</v>
      </c>
    </row>
    <row r="46" spans="1:17" ht="17.45" customHeight="1">
      <c r="A46" s="793" t="s">
        <v>88</v>
      </c>
      <c r="B46" s="794"/>
      <c r="C46" s="166">
        <f>SUMIF($G$7:$G$31,"Gas",$F$7:$F$31)</f>
        <v>0</v>
      </c>
      <c r="D46" s="120">
        <f>C46+'21'!D46</f>
        <v>0</v>
      </c>
      <c r="E46" s="145">
        <f t="shared" si="3"/>
        <v>0</v>
      </c>
      <c r="F46" s="309"/>
      <c r="G46" s="310"/>
      <c r="H46" s="188" t="s">
        <v>89</v>
      </c>
      <c r="I46" s="142">
        <f>+SUMIF(Listrik!X29,"&gt;0")</f>
        <v>45912.469999999848</v>
      </c>
      <c r="J46" s="137">
        <f>+I46+'21'!J46</f>
        <v>889814.2299999987</v>
      </c>
      <c r="K46" s="132" t="s">
        <v>90</v>
      </c>
    </row>
    <row r="47" spans="1:17" ht="17.45" customHeight="1">
      <c r="A47" s="793" t="s">
        <v>91</v>
      </c>
      <c r="B47" s="794"/>
      <c r="C47" s="166">
        <f>SUMIF($G$7:$G$31,"Gas",$F$7:$F$31)</f>
        <v>0</v>
      </c>
      <c r="D47" s="120">
        <f>C47+'21'!D47</f>
        <v>0</v>
      </c>
      <c r="E47" s="145">
        <f t="shared" si="3"/>
        <v>0</v>
      </c>
      <c r="F47" s="309"/>
      <c r="G47" s="310"/>
      <c r="H47" s="188" t="s">
        <v>92</v>
      </c>
      <c r="I47" s="120">
        <f>I46/I38</f>
        <v>982.79968319205102</v>
      </c>
      <c r="J47" s="137">
        <f>J46/J38</f>
        <v>926.31280723049474</v>
      </c>
      <c r="K47" s="132" t="s">
        <v>25</v>
      </c>
    </row>
    <row r="48" spans="1:17" ht="17.45" customHeight="1">
      <c r="A48" s="793" t="s">
        <v>15</v>
      </c>
      <c r="B48" s="794"/>
      <c r="C48" s="166">
        <f>SUMIF($G$7:$G$31,"Start Up",$F$7:$F$31)</f>
        <v>0</v>
      </c>
      <c r="D48" s="120">
        <f>C48+'21'!D48</f>
        <v>0</v>
      </c>
      <c r="E48" s="145">
        <f t="shared" si="3"/>
        <v>0</v>
      </c>
      <c r="F48" s="309"/>
      <c r="G48" s="310"/>
      <c r="H48" s="188" t="s">
        <v>93</v>
      </c>
      <c r="I48" s="120">
        <f>I46/I40</f>
        <v>1036.0714446901623</v>
      </c>
      <c r="J48" s="137">
        <f>J46/J40</f>
        <v>964.66238440606548</v>
      </c>
      <c r="K48" s="132" t="s">
        <v>25</v>
      </c>
    </row>
    <row r="49" spans="1:11" ht="17.45" customHeight="1">
      <c r="A49" s="793" t="s">
        <v>21</v>
      </c>
      <c r="B49" s="794"/>
      <c r="C49" s="166">
        <f>SUMIF($G$7:$G$31,"Others",$F$7:$F$31)</f>
        <v>0</v>
      </c>
      <c r="D49" s="120">
        <f>C49+'21'!D49</f>
        <v>446</v>
      </c>
      <c r="E49" s="145">
        <f t="shared" si="3"/>
        <v>7.4333333333333336</v>
      </c>
      <c r="F49" s="185"/>
      <c r="H49" s="188" t="s">
        <v>280</v>
      </c>
      <c r="I49" s="120">
        <f>+Report1!T30</f>
        <v>3729.7432262619127</v>
      </c>
      <c r="J49" s="137">
        <f>+I49+'21'!J49</f>
        <v>79146.584604536401</v>
      </c>
      <c r="K49" s="132" t="s">
        <v>94</v>
      </c>
    </row>
    <row r="50" spans="1:11" ht="17.45" customHeight="1">
      <c r="A50" s="793" t="s">
        <v>20</v>
      </c>
      <c r="B50" s="794"/>
      <c r="C50" s="166">
        <f>SUMIF($G$7:$G$31,"Steam",$F$7:$F$31)</f>
        <v>0</v>
      </c>
      <c r="D50" s="120">
        <f>C50+'21'!D50</f>
        <v>0</v>
      </c>
      <c r="E50" s="145">
        <f t="shared" si="3"/>
        <v>0</v>
      </c>
      <c r="F50" s="185"/>
      <c r="H50" s="188" t="s">
        <v>95</v>
      </c>
      <c r="I50" s="142">
        <f>I49/I38</f>
        <v>79.8386682563129</v>
      </c>
      <c r="J50" s="135">
        <f>J49/J38</f>
        <v>82.393034968359714</v>
      </c>
      <c r="K50" s="132" t="s">
        <v>94</v>
      </c>
    </row>
    <row r="51" spans="1:11" ht="17.45" customHeight="1">
      <c r="A51" s="810" t="s">
        <v>96</v>
      </c>
      <c r="B51" s="810"/>
      <c r="C51" s="166">
        <f>SUMIF($G$7:$G$31,"Planned shut",$F$7:$F$31)</f>
        <v>0</v>
      </c>
      <c r="D51" s="120">
        <f>C51+'21'!D51</f>
        <v>0</v>
      </c>
      <c r="E51" s="145">
        <f t="shared" si="3"/>
        <v>0</v>
      </c>
      <c r="F51" s="185"/>
      <c r="H51" s="190" t="s">
        <v>97</v>
      </c>
      <c r="I51" s="143">
        <f>I49/I40</f>
        <v>84.166250536216836</v>
      </c>
      <c r="J51" s="138">
        <f>J49/J40</f>
        <v>85.804126803196425</v>
      </c>
      <c r="K51" s="139" t="s">
        <v>94</v>
      </c>
    </row>
    <row r="52" spans="1:11" ht="13.5" thickBot="1">
      <c r="A52" s="811" t="s">
        <v>230</v>
      </c>
      <c r="B52" s="812"/>
      <c r="C52" s="166">
        <f>SUMIF($G$7:$G$31,"Change Grade",$F$7:$F$31)</f>
        <v>0</v>
      </c>
      <c r="D52" s="120">
        <f>C52+'21'!D52</f>
        <v>0</v>
      </c>
      <c r="E52" s="145">
        <f t="shared" si="3"/>
        <v>0</v>
      </c>
      <c r="F52" s="185"/>
      <c r="H52" s="191"/>
      <c r="I52" s="192"/>
      <c r="J52" s="140"/>
      <c r="K52" s="141"/>
    </row>
    <row r="53" spans="1:11">
      <c r="A53" s="806" t="s">
        <v>29</v>
      </c>
      <c r="B53" s="807"/>
      <c r="C53" s="146">
        <f>SUM(C38:C52)</f>
        <v>41</v>
      </c>
      <c r="D53" s="146">
        <f>SUM(D38:D52)</f>
        <v>2059</v>
      </c>
      <c r="E53" s="147">
        <f>SUM(E38:E52)</f>
        <v>34.316666666666663</v>
      </c>
      <c r="F53" s="185"/>
    </row>
    <row r="54" spans="1:11" ht="13.5" thickBot="1">
      <c r="A54" s="808"/>
      <c r="B54" s="809"/>
      <c r="C54" s="148">
        <f>C53/(24*60)</f>
        <v>2.8472222222222222E-2</v>
      </c>
      <c r="D54" s="148">
        <f>D53/(24*60*G4)</f>
        <v>6.4993686868686867E-2</v>
      </c>
      <c r="E54" s="149">
        <f>E53/(G4*24)</f>
        <v>6.4993686868686867E-2</v>
      </c>
      <c r="F54" s="185"/>
    </row>
    <row r="55" spans="1:11">
      <c r="E55" s="193"/>
    </row>
    <row r="56" spans="1:11">
      <c r="A56" s="194" t="s">
        <v>98</v>
      </c>
      <c r="B56" s="195"/>
      <c r="C56" s="196"/>
      <c r="D56" s="196"/>
      <c r="E56" s="196"/>
      <c r="F56" s="197"/>
      <c r="G56" s="196"/>
      <c r="H56" s="198"/>
      <c r="I56" s="199" t="s">
        <v>99</v>
      </c>
      <c r="J56" s="200">
        <f>+D34+'21'!J56</f>
        <v>4495</v>
      </c>
      <c r="K56" s="201">
        <f>J56/(J40+J56/1000)/1000</f>
        <v>4.8494721681294215E-3</v>
      </c>
    </row>
    <row r="57" spans="1:11">
      <c r="A57" s="176"/>
      <c r="I57" s="199" t="s">
        <v>100</v>
      </c>
      <c r="J57" s="200">
        <f>+E34+'21'!J57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1388888888888889" bottom="0.39027777777777778" header="0" footer="0"/>
  <pageSetup paperSize="9" scale="58"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B10" zoomScale="80" zoomScaleNormal="80" zoomScaleSheetLayoutView="80" workbookViewId="0">
      <selection activeCell="H40" sqref="C39:H40"/>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7109375" style="112" bestFit="1" customWidth="1"/>
    <col min="7" max="7" width="11.42578125" style="151" bestFit="1" customWidth="1"/>
    <col min="8" max="8" width="64.85546875" style="151" customWidth="1"/>
    <col min="9" max="9" width="14.7109375" style="151" bestFit="1" customWidth="1"/>
    <col min="10" max="10" width="18.42578125" style="151" customWidth="1"/>
    <col min="11" max="11" width="12.5703125" style="151" bestFit="1" customWidth="1"/>
    <col min="12" max="12" width="8.28515625" style="151" customWidth="1"/>
    <col min="13" max="13" width="14.7109375" style="151" customWidth="1"/>
    <col min="14" max="14" width="12.28515625" style="151" bestFit="1" customWidth="1"/>
    <col min="15" max="16384" width="9.140625" style="151"/>
  </cols>
  <sheetData>
    <row r="1" spans="1:26" ht="15.75">
      <c r="A1" s="150"/>
      <c r="U1" s="538"/>
      <c r="V1" s="523"/>
      <c r="W1" s="523"/>
      <c r="X1" s="523"/>
      <c r="Y1" s="523"/>
    </row>
    <row r="2" spans="1:26" ht="15.75">
      <c r="A2" s="150" t="s">
        <v>231</v>
      </c>
      <c r="U2" s="538"/>
      <c r="V2" s="523"/>
      <c r="W2" s="523"/>
      <c r="X2" s="523"/>
      <c r="Y2" s="523"/>
    </row>
    <row r="3" spans="1:26" ht="15">
      <c r="A3" s="152"/>
      <c r="X3" s="539"/>
    </row>
    <row r="4" spans="1:26" ht="20.25">
      <c r="A4" s="153" t="s">
        <v>4</v>
      </c>
      <c r="B4" s="154"/>
      <c r="F4" s="155" t="s">
        <v>31</v>
      </c>
      <c r="G4" s="156">
        <v>21</v>
      </c>
      <c r="H4" s="156" t="str">
        <f>+'1'!H4</f>
        <v>.07.25</v>
      </c>
      <c r="J4" s="151">
        <f>540+477+473</f>
        <v>1490</v>
      </c>
      <c r="Y4" s="539"/>
      <c r="Z4" s="539"/>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row>
    <row r="7" spans="1:26" ht="13.5" customHeight="1" thickBot="1">
      <c r="A7" s="795" t="s">
        <v>442</v>
      </c>
      <c r="B7" s="215" t="s">
        <v>398</v>
      </c>
      <c r="C7" s="216">
        <v>10748</v>
      </c>
      <c r="D7" s="217"/>
      <c r="E7" s="218"/>
      <c r="F7" s="233">
        <v>6</v>
      </c>
      <c r="G7" s="555" t="s">
        <v>13</v>
      </c>
      <c r="H7" s="556" t="s">
        <v>401</v>
      </c>
      <c r="I7" s="798" t="s">
        <v>459</v>
      </c>
      <c r="J7" s="313" t="str">
        <f>+'20'!J7</f>
        <v>F 12 VP OW</v>
      </c>
      <c r="K7" s="235">
        <f>+C34</f>
        <v>45507</v>
      </c>
      <c r="L7" s="239"/>
      <c r="M7" s="119">
        <f>+K7+'20'!M7+L7</f>
        <v>434049</v>
      </c>
      <c r="U7" s="519"/>
      <c r="W7" s="523"/>
      <c r="Y7" s="523"/>
    </row>
    <row r="8" spans="1:26" ht="13.5" thickBot="1">
      <c r="A8" s="796"/>
      <c r="B8" s="215"/>
      <c r="C8" s="216"/>
      <c r="D8" s="217"/>
      <c r="E8" s="219"/>
      <c r="F8" s="229">
        <v>6</v>
      </c>
      <c r="G8" s="557" t="s">
        <v>13</v>
      </c>
      <c r="H8" s="228" t="s">
        <v>399</v>
      </c>
      <c r="I8" s="799"/>
      <c r="J8" s="313" t="str">
        <f>+'20'!J8</f>
        <v>F 11,5 VP OW</v>
      </c>
      <c r="K8" s="236"/>
      <c r="L8" s="236"/>
      <c r="M8" s="119">
        <f>+K8+'20'!M8+L8</f>
        <v>226339</v>
      </c>
      <c r="N8" s="538"/>
      <c r="O8" s="539"/>
      <c r="P8" s="539"/>
      <c r="Q8" s="539"/>
      <c r="U8" s="537"/>
      <c r="W8" s="523"/>
      <c r="Y8" s="523"/>
    </row>
    <row r="9" spans="1:26" ht="13.5" thickBot="1">
      <c r="A9" s="796"/>
      <c r="B9" s="215"/>
      <c r="C9" s="216"/>
      <c r="D9" s="217"/>
      <c r="E9" s="220"/>
      <c r="F9" s="229">
        <f>14-6</f>
        <v>8</v>
      </c>
      <c r="G9" s="557" t="s">
        <v>13</v>
      </c>
      <c r="H9" s="231" t="s">
        <v>400</v>
      </c>
      <c r="I9" s="799"/>
      <c r="J9" s="313" t="str">
        <f>+'20'!J9</f>
        <v>T 13 VP OW</v>
      </c>
      <c r="K9" s="236"/>
      <c r="L9" s="236"/>
      <c r="M9" s="119">
        <f>+K9+'20'!M9+L9</f>
        <v>113358</v>
      </c>
      <c r="X9" s="176"/>
    </row>
    <row r="10" spans="1:26" ht="39" thickBot="1">
      <c r="A10" s="796"/>
      <c r="B10" s="215"/>
      <c r="C10" s="216"/>
      <c r="D10" s="217"/>
      <c r="E10" s="219"/>
      <c r="F10" s="229"/>
      <c r="G10" s="227"/>
      <c r="H10" s="558" t="s">
        <v>676</v>
      </c>
      <c r="I10" s="799"/>
      <c r="J10" s="313" t="str">
        <f>+'20'!J10</f>
        <v>F 13 VP OW</v>
      </c>
      <c r="K10" s="236"/>
      <c r="L10" s="236"/>
      <c r="M10" s="119">
        <f>+K10+'20'!M10+L10</f>
        <v>43207</v>
      </c>
      <c r="Y10" s="176"/>
      <c r="Z10" s="176"/>
    </row>
    <row r="11" spans="1:26" ht="128.25" thickBot="1">
      <c r="A11" s="796"/>
      <c r="B11" s="215"/>
      <c r="C11" s="216"/>
      <c r="D11" s="217"/>
      <c r="E11" s="219"/>
      <c r="F11" s="226"/>
      <c r="G11" s="230"/>
      <c r="H11" s="231" t="s">
        <v>677</v>
      </c>
      <c r="I11" s="799"/>
      <c r="J11" s="313" t="str">
        <f>+'20'!J11</f>
        <v xml:space="preserve">T 13 VP OW HB </v>
      </c>
      <c r="K11" s="236"/>
      <c r="L11" s="236"/>
      <c r="M11" s="119">
        <f>+K11+'20'!M11+L11</f>
        <v>10128</v>
      </c>
    </row>
    <row r="12" spans="1:26" ht="13.5" thickBot="1">
      <c r="A12" s="796"/>
      <c r="B12" s="215"/>
      <c r="C12" s="216"/>
      <c r="D12" s="217"/>
      <c r="E12" s="219"/>
      <c r="F12" s="226"/>
      <c r="G12" s="230"/>
      <c r="H12" s="231"/>
      <c r="I12" s="799"/>
      <c r="J12" s="313" t="str">
        <f>+'20'!J12</f>
        <v>TW 15 VP OW</v>
      </c>
      <c r="K12" s="236"/>
      <c r="L12" s="236"/>
      <c r="M12" s="119">
        <f>+K12+'20'!M12+L12</f>
        <v>51015</v>
      </c>
    </row>
    <row r="13" spans="1:26" ht="13.5" thickBot="1">
      <c r="A13" s="796"/>
      <c r="B13" s="215"/>
      <c r="C13" s="216"/>
      <c r="D13" s="216"/>
      <c r="E13" s="219"/>
      <c r="F13" s="226"/>
      <c r="G13" s="230"/>
      <c r="H13" s="231"/>
      <c r="I13" s="800"/>
      <c r="J13" s="313">
        <f>+'20'!J13</f>
        <v>0</v>
      </c>
      <c r="K13" s="236"/>
      <c r="L13" s="236"/>
      <c r="M13" s="119">
        <f>+K13+'20'!M13+L13</f>
        <v>0</v>
      </c>
    </row>
    <row r="14" spans="1:26" ht="13.5" thickBot="1">
      <c r="A14" s="797"/>
      <c r="B14" s="167" t="s">
        <v>3</v>
      </c>
      <c r="C14" s="101">
        <f>SUM(C7:C13)</f>
        <v>10748</v>
      </c>
      <c r="D14" s="113">
        <f>SUM(D7:D13)</f>
        <v>0</v>
      </c>
      <c r="E14" s="114">
        <f>SUM(E5:E13)</f>
        <v>0</v>
      </c>
      <c r="F14" s="118">
        <f>SUM(F7:F13)</f>
        <v>20</v>
      </c>
      <c r="G14" s="161"/>
      <c r="H14" s="168"/>
      <c r="I14" s="169"/>
      <c r="J14" s="313">
        <f>+'20'!J14</f>
        <v>0</v>
      </c>
      <c r="K14" s="236"/>
      <c r="L14" s="236"/>
      <c r="M14" s="119">
        <f>+K14+'20'!M14+L14</f>
        <v>0</v>
      </c>
    </row>
    <row r="15" spans="1:26" ht="13.5" thickBot="1">
      <c r="A15" s="801" t="s">
        <v>674</v>
      </c>
      <c r="B15" s="518"/>
      <c r="C15" s="115">
        <f>C14/($C$23+$D$23+$E$23)</f>
        <v>0.63926723368821747</v>
      </c>
      <c r="D15" s="116">
        <f>D14/($C$23+$D$23+$E$23)</f>
        <v>0</v>
      </c>
      <c r="E15" s="117">
        <f>E14/($C$23+$D$23+$E$23)</f>
        <v>0</v>
      </c>
      <c r="F15" s="233"/>
      <c r="G15" s="555" t="s">
        <v>13</v>
      </c>
      <c r="H15" s="556" t="s">
        <v>461</v>
      </c>
      <c r="I15" s="798" t="s">
        <v>459</v>
      </c>
      <c r="J15" s="313">
        <f>+'20'!J15</f>
        <v>0</v>
      </c>
      <c r="K15" s="236"/>
      <c r="L15" s="236"/>
      <c r="M15" s="119">
        <f>+K15+'20'!M15+L15</f>
        <v>0</v>
      </c>
      <c r="N15" s="538"/>
      <c r="O15" s="523"/>
      <c r="P15" s="523"/>
      <c r="Q15" s="523"/>
      <c r="R15" s="523"/>
    </row>
    <row r="16" spans="1:26" ht="13.5" thickBot="1">
      <c r="A16" s="796"/>
      <c r="B16" s="215" t="s">
        <v>398</v>
      </c>
      <c r="C16" s="516">
        <v>16813</v>
      </c>
      <c r="D16" s="221"/>
      <c r="E16" s="222"/>
      <c r="F16" s="229">
        <v>4</v>
      </c>
      <c r="G16" s="557" t="s">
        <v>13</v>
      </c>
      <c r="H16" s="228" t="s">
        <v>462</v>
      </c>
      <c r="I16" s="799"/>
      <c r="J16" s="313">
        <f>+'20'!J16</f>
        <v>0</v>
      </c>
      <c r="K16" s="227"/>
      <c r="L16" s="227"/>
      <c r="M16" s="119">
        <f>+K16+'20'!M16+L16</f>
        <v>0</v>
      </c>
      <c r="N16" s="519"/>
      <c r="P16" s="523"/>
      <c r="R16" s="523"/>
    </row>
    <row r="17" spans="1:19" ht="13.5" thickBot="1">
      <c r="A17" s="796"/>
      <c r="B17" s="215"/>
      <c r="C17" s="216"/>
      <c r="D17" s="217"/>
      <c r="E17" s="223"/>
      <c r="F17" s="229">
        <v>9</v>
      </c>
      <c r="G17" s="557" t="s">
        <v>13</v>
      </c>
      <c r="H17" s="231" t="s">
        <v>480</v>
      </c>
      <c r="I17" s="799"/>
      <c r="J17" s="313">
        <f>+'20'!J17</f>
        <v>0</v>
      </c>
      <c r="K17" s="227"/>
      <c r="L17" s="227"/>
      <c r="M17" s="119">
        <f>+K17+'20'!M17+L17</f>
        <v>0</v>
      </c>
      <c r="Q17" s="176"/>
    </row>
    <row r="18" spans="1:19" ht="51.75" thickBot="1">
      <c r="A18" s="796"/>
      <c r="B18" s="215"/>
      <c r="C18" s="216"/>
      <c r="D18" s="217"/>
      <c r="E18" s="223"/>
      <c r="F18" s="229"/>
      <c r="G18" s="227"/>
      <c r="H18" s="558" t="s">
        <v>678</v>
      </c>
      <c r="I18" s="799"/>
      <c r="J18" s="313">
        <f>+'20'!J18</f>
        <v>0</v>
      </c>
      <c r="K18" s="236"/>
      <c r="L18" s="236"/>
      <c r="M18" s="119">
        <f>+K18+'20'!M18+L18</f>
        <v>0</v>
      </c>
      <c r="R18" s="176"/>
      <c r="S18" s="176"/>
    </row>
    <row r="19" spans="1:19" ht="39" thickBot="1">
      <c r="A19" s="796"/>
      <c r="B19" s="215"/>
      <c r="C19" s="216"/>
      <c r="D19" s="217"/>
      <c r="E19" s="223"/>
      <c r="F19" s="232"/>
      <c r="G19" s="230"/>
      <c r="H19" s="231" t="s">
        <v>680</v>
      </c>
      <c r="I19" s="799"/>
      <c r="J19" s="313">
        <f>+'20'!J19</f>
        <v>0</v>
      </c>
      <c r="K19" s="236"/>
      <c r="L19" s="236"/>
      <c r="M19" s="119">
        <f>+K19+'20'!M19+L19</f>
        <v>0</v>
      </c>
    </row>
    <row r="20" spans="1:19" ht="13.5" thickBot="1">
      <c r="A20" s="796"/>
      <c r="B20" s="215"/>
      <c r="C20" s="216"/>
      <c r="D20" s="217"/>
      <c r="E20" s="223"/>
      <c r="F20" s="226"/>
      <c r="G20" s="230"/>
      <c r="H20" s="231"/>
      <c r="I20" s="799"/>
      <c r="J20" s="313">
        <f>+'20'!J20</f>
        <v>0</v>
      </c>
      <c r="K20" s="237"/>
      <c r="L20" s="237"/>
      <c r="M20" s="119">
        <f>+K20+'20'!M20+L20</f>
        <v>0</v>
      </c>
    </row>
    <row r="21" spans="1:19" ht="13.5" thickBot="1">
      <c r="A21" s="796"/>
      <c r="B21" s="215"/>
      <c r="C21" s="216"/>
      <c r="D21" s="217"/>
      <c r="E21" s="223"/>
      <c r="F21" s="229"/>
      <c r="G21" s="230"/>
      <c r="H21" s="231"/>
      <c r="I21" s="799"/>
      <c r="J21" s="313">
        <f>+'20'!J21</f>
        <v>0</v>
      </c>
      <c r="K21" s="236"/>
      <c r="L21" s="236"/>
      <c r="M21" s="119">
        <f>+K21+'20'!M21+L21</f>
        <v>0</v>
      </c>
    </row>
    <row r="22" spans="1:19" ht="13.5" thickBot="1">
      <c r="A22" s="796"/>
      <c r="B22" s="215"/>
      <c r="C22" s="216"/>
      <c r="D22" s="217"/>
      <c r="E22" s="223"/>
      <c r="F22" s="233"/>
      <c r="G22" s="230"/>
      <c r="H22" s="231"/>
      <c r="I22" s="800"/>
      <c r="J22" s="313">
        <f>+'20'!J22</f>
        <v>0</v>
      </c>
      <c r="K22" s="236"/>
      <c r="L22" s="236"/>
      <c r="M22" s="119">
        <f>+K22+'20'!M22+L22</f>
        <v>0</v>
      </c>
    </row>
    <row r="23" spans="1:19" ht="13.5" thickBot="1">
      <c r="A23" s="797"/>
      <c r="B23" s="167" t="s">
        <v>3</v>
      </c>
      <c r="C23" s="101">
        <f>SUM(C16:C22)</f>
        <v>16813</v>
      </c>
      <c r="D23" s="113">
        <f>SUM(D16:D22)</f>
        <v>0</v>
      </c>
      <c r="E23" s="114">
        <f>SUM(E18:E22)</f>
        <v>0</v>
      </c>
      <c r="F23" s="118">
        <f>SUM(F15:F22)</f>
        <v>13</v>
      </c>
      <c r="G23" s="161"/>
      <c r="H23" s="168"/>
      <c r="I23" s="170"/>
      <c r="J23" s="313">
        <f>+'20'!J23</f>
        <v>0</v>
      </c>
      <c r="K23" s="236"/>
      <c r="L23" s="236"/>
      <c r="M23" s="119">
        <f>+K23+'20'!M23+L23</f>
        <v>0</v>
      </c>
    </row>
    <row r="24" spans="1:19" ht="13.5" thickBot="1">
      <c r="A24" s="801" t="s">
        <v>470</v>
      </c>
      <c r="B24" s="518"/>
      <c r="C24" s="115">
        <f>C23/($C$23+$D$23+$E$23)</f>
        <v>1</v>
      </c>
      <c r="D24" s="116">
        <f>D23/($C$23+$D$23+$E$23)</f>
        <v>0</v>
      </c>
      <c r="E24" s="117">
        <f>E23/($C$23+$D$23+$E$23)</f>
        <v>0</v>
      </c>
      <c r="F24" s="233"/>
      <c r="G24" s="555" t="s">
        <v>13</v>
      </c>
      <c r="H24" s="556" t="s">
        <v>461</v>
      </c>
      <c r="I24" s="798" t="s">
        <v>459</v>
      </c>
      <c r="J24" s="214">
        <f>+'20'!J24</f>
        <v>0</v>
      </c>
      <c r="K24" s="236"/>
      <c r="L24" s="236"/>
      <c r="M24" s="119">
        <f>+K24+'20'!M24+L24</f>
        <v>0</v>
      </c>
    </row>
    <row r="25" spans="1:19" ht="13.5" thickBot="1">
      <c r="A25" s="796"/>
      <c r="B25" s="215" t="s">
        <v>398</v>
      </c>
      <c r="C25" s="224">
        <f>18202-256</f>
        <v>17946</v>
      </c>
      <c r="D25" s="217"/>
      <c r="E25" s="223"/>
      <c r="F25" s="229">
        <v>2</v>
      </c>
      <c r="G25" s="557" t="s">
        <v>13</v>
      </c>
      <c r="H25" s="228" t="s">
        <v>462</v>
      </c>
      <c r="I25" s="799"/>
      <c r="J25" s="214">
        <f>+'20'!J25</f>
        <v>0</v>
      </c>
      <c r="K25" s="236"/>
      <c r="L25" s="236"/>
      <c r="M25" s="119">
        <f>+K25+'20'!M25+L25</f>
        <v>0</v>
      </c>
      <c r="N25" s="519"/>
      <c r="O25" s="176"/>
      <c r="P25" s="543"/>
      <c r="Q25" s="176"/>
    </row>
    <row r="26" spans="1:19" ht="13.5" thickBot="1">
      <c r="A26" s="796"/>
      <c r="B26" s="215"/>
      <c r="C26" s="224"/>
      <c r="D26" s="217"/>
      <c r="E26" s="225"/>
      <c r="F26" s="229">
        <v>5</v>
      </c>
      <c r="G26" s="557" t="s">
        <v>13</v>
      </c>
      <c r="H26" s="231" t="s">
        <v>554</v>
      </c>
      <c r="I26" s="799"/>
      <c r="J26" s="214">
        <f>+'20'!J26</f>
        <v>0</v>
      </c>
      <c r="K26" s="236"/>
      <c r="L26" s="236"/>
      <c r="M26" s="119">
        <f>+K26+'20'!M26+L26</f>
        <v>0</v>
      </c>
    </row>
    <row r="27" spans="1:19" ht="51.75" thickBot="1">
      <c r="A27" s="796"/>
      <c r="B27" s="215"/>
      <c r="C27" s="216"/>
      <c r="D27" s="217"/>
      <c r="E27" s="223"/>
      <c r="F27" s="229"/>
      <c r="G27" s="227"/>
      <c r="H27" s="558" t="s">
        <v>678</v>
      </c>
      <c r="I27" s="799"/>
      <c r="J27" s="214">
        <f>+'20'!J27</f>
        <v>0</v>
      </c>
      <c r="K27" s="236"/>
      <c r="L27" s="236"/>
      <c r="M27" s="119">
        <f>+K27+'20'!M27+L27</f>
        <v>0</v>
      </c>
    </row>
    <row r="28" spans="1:19" ht="39" thickBot="1">
      <c r="A28" s="796"/>
      <c r="B28" s="215"/>
      <c r="C28" s="216"/>
      <c r="D28" s="217"/>
      <c r="E28" s="223"/>
      <c r="F28" s="229"/>
      <c r="G28" s="227"/>
      <c r="H28" s="231" t="s">
        <v>679</v>
      </c>
      <c r="I28" s="799"/>
      <c r="J28" s="214">
        <f>+'20'!J28</f>
        <v>0</v>
      </c>
      <c r="K28" s="236"/>
      <c r="L28" s="236"/>
      <c r="M28" s="119">
        <f>+K28+'20'!M28+L28</f>
        <v>0</v>
      </c>
    </row>
    <row r="29" spans="1:19" ht="13.5" thickBot="1">
      <c r="A29" s="796"/>
      <c r="B29" s="215"/>
      <c r="C29" s="216"/>
      <c r="D29" s="217"/>
      <c r="E29" s="223"/>
      <c r="F29" s="233"/>
      <c r="G29" s="230"/>
      <c r="H29" s="231"/>
      <c r="I29" s="799"/>
      <c r="J29" s="214">
        <f>+'20'!J29</f>
        <v>0</v>
      </c>
      <c r="K29" s="236"/>
      <c r="L29" s="236"/>
      <c r="M29" s="119">
        <f>+K29+'20'!M29+L29</f>
        <v>0</v>
      </c>
    </row>
    <row r="30" spans="1:19" ht="13.5" thickBot="1">
      <c r="A30" s="796"/>
      <c r="B30" s="215"/>
      <c r="C30" s="224"/>
      <c r="D30" s="217"/>
      <c r="E30" s="223"/>
      <c r="F30" s="233"/>
      <c r="G30" s="230"/>
      <c r="H30" s="231"/>
      <c r="I30" s="799"/>
      <c r="J30" s="214">
        <f>+'20'!J30</f>
        <v>0</v>
      </c>
      <c r="K30" s="236"/>
      <c r="L30" s="236"/>
      <c r="M30" s="119">
        <f>+K30+'20'!M30+L30</f>
        <v>0</v>
      </c>
      <c r="N30" s="157"/>
    </row>
    <row r="31" spans="1:19" ht="13.5" thickBot="1">
      <c r="A31" s="796"/>
      <c r="B31" s="215"/>
      <c r="C31" s="224"/>
      <c r="D31" s="217"/>
      <c r="E31" s="223"/>
      <c r="F31" s="233"/>
      <c r="G31" s="234"/>
      <c r="H31" s="409"/>
      <c r="I31" s="800"/>
      <c r="J31" s="214">
        <f>+'20'!J31</f>
        <v>0</v>
      </c>
      <c r="K31" s="236"/>
      <c r="L31" s="236"/>
      <c r="M31" s="119">
        <f>+K31+'20'!M31+L31</f>
        <v>0</v>
      </c>
    </row>
    <row r="32" spans="1:19" ht="13.5" thickBot="1">
      <c r="A32" s="797"/>
      <c r="B32" s="167" t="s">
        <v>3</v>
      </c>
      <c r="C32" s="101">
        <f>SUM(C25:C31)</f>
        <v>17946</v>
      </c>
      <c r="D32" s="102">
        <f>SUM(D25:D31)</f>
        <v>0</v>
      </c>
      <c r="E32" s="103">
        <f>SUM(E25:E31)</f>
        <v>0</v>
      </c>
      <c r="F32" s="101">
        <f>SUM(F24:F31)</f>
        <v>7</v>
      </c>
      <c r="G32" s="171"/>
      <c r="H32" s="172"/>
      <c r="I32" s="170"/>
      <c r="J32" s="214">
        <f>+'20'!J32</f>
        <v>0</v>
      </c>
      <c r="K32" s="238"/>
      <c r="L32" s="240"/>
      <c r="M32" s="119">
        <f>+K32+'20'!M32+L32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45507</v>
      </c>
      <c r="D34" s="109">
        <f>D14+D23+D32</f>
        <v>0</v>
      </c>
      <c r="E34" s="109">
        <f>E14+E23+E32</f>
        <v>0</v>
      </c>
      <c r="F34" s="110">
        <f>F14+F23+F32</f>
        <v>40</v>
      </c>
      <c r="H34" s="178"/>
      <c r="I34" s="178"/>
      <c r="J34" s="125" t="s">
        <v>29</v>
      </c>
      <c r="K34" s="126">
        <f>SUM(K7:K32)</f>
        <v>45507</v>
      </c>
      <c r="L34" s="212">
        <f>SUM(L7:L32)</f>
        <v>0</v>
      </c>
      <c r="M34" s="122">
        <f>SUM(M7:M32)</f>
        <v>878096</v>
      </c>
      <c r="N34" s="157">
        <v>878096</v>
      </c>
    </row>
    <row r="35" spans="1:14" ht="13.5" thickBot="1">
      <c r="A35" s="179"/>
      <c r="B35" s="180"/>
      <c r="C35" s="106">
        <f>C34/($C$34+$D$34+$E$34)</f>
        <v>1</v>
      </c>
      <c r="D35" s="106">
        <f>D34/($C$34+$D$34+$E$34)</f>
        <v>0</v>
      </c>
      <c r="E35" s="111">
        <f>E34/($C$34+$D$34+$E$34)</f>
        <v>0</v>
      </c>
      <c r="K35" s="157"/>
      <c r="N35" s="598">
        <f>+N34-M34</f>
        <v>0</v>
      </c>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(12*1440)/1440*G42*2.74*1440/1000000</f>
        <v>49.217414400000003</v>
      </c>
      <c r="J37" s="127">
        <f>+I37+'20'!J37</f>
        <v>1014.0106405246361</v>
      </c>
      <c r="K37" s="128" t="s">
        <v>75</v>
      </c>
      <c r="N37" s="151">
        <v>45507</v>
      </c>
    </row>
    <row r="38" spans="1:14" ht="17.45" customHeight="1">
      <c r="A38" s="806" t="s">
        <v>13</v>
      </c>
      <c r="B38" s="807"/>
      <c r="C38" s="166">
        <f>SUMIF($G$7:$G$31,"Process",$F$7:$F$31)</f>
        <v>40</v>
      </c>
      <c r="D38" s="120">
        <f>C38+'20'!D38</f>
        <v>1466</v>
      </c>
      <c r="E38" s="145">
        <f t="shared" ref="E38:E52" si="0">D38/60</f>
        <v>24.433333333333334</v>
      </c>
      <c r="F38" s="309">
        <v>1350</v>
      </c>
      <c r="G38" s="309">
        <v>1039.5</v>
      </c>
      <c r="H38" s="187" t="s">
        <v>76</v>
      </c>
      <c r="I38" s="242">
        <f>15.725+13.837+16.48</f>
        <v>46.042000000000002</v>
      </c>
      <c r="J38" s="129">
        <f>+I38+'20'!J38</f>
        <v>913.88199999999995</v>
      </c>
      <c r="K38" s="130" t="s">
        <v>75</v>
      </c>
    </row>
    <row r="39" spans="1:14" ht="17.45" customHeight="1">
      <c r="A39" s="793" t="s">
        <v>14</v>
      </c>
      <c r="B39" s="794"/>
      <c r="C39" s="166">
        <f>SUMIF($G$7:$G$31,"Cleaning",$F$7:$F$31)</f>
        <v>0</v>
      </c>
      <c r="D39" s="120">
        <f>C39+'20'!D39</f>
        <v>0</v>
      </c>
      <c r="E39" s="145">
        <f t="shared" si="0"/>
        <v>0</v>
      </c>
      <c r="F39" s="309">
        <v>1350</v>
      </c>
      <c r="G39" s="309">
        <v>1039.5</v>
      </c>
      <c r="H39" s="187" t="s">
        <v>77</v>
      </c>
      <c r="I39" s="144"/>
      <c r="J39" s="131">
        <f>J37/G4</f>
        <v>48.28622097736362</v>
      </c>
      <c r="K39" s="132" t="s">
        <v>75</v>
      </c>
    </row>
    <row r="40" spans="1:14" ht="17.45" customHeight="1">
      <c r="A40" s="793" t="s">
        <v>78</v>
      </c>
      <c r="B40" s="794"/>
      <c r="C40" s="166">
        <f>SUMIF($G$7:$G$31,"Mechanical",$F$7:$F$31)</f>
        <v>0</v>
      </c>
      <c r="D40" s="120">
        <f>C40+'20'!D40</f>
        <v>28</v>
      </c>
      <c r="E40" s="145">
        <f t="shared" si="0"/>
        <v>0.46666666666666667</v>
      </c>
      <c r="F40" s="309">
        <v>1350</v>
      </c>
      <c r="G40" s="309">
        <v>1039.5</v>
      </c>
      <c r="H40" s="187" t="s">
        <v>79</v>
      </c>
      <c r="I40" s="120">
        <f>(K34+L34)/1000</f>
        <v>45.506999999999998</v>
      </c>
      <c r="J40" s="133">
        <f>+I40+'20'!J40</f>
        <v>878.09599999999989</v>
      </c>
      <c r="K40" s="132" t="s">
        <v>75</v>
      </c>
    </row>
    <row r="41" spans="1:14" ht="17.45" customHeight="1">
      <c r="A41" s="793" t="s">
        <v>80</v>
      </c>
      <c r="B41" s="794"/>
      <c r="C41" s="166">
        <f>SUMIF($G$7:$G$31,"Electrical",$F$7:$F$31)</f>
        <v>0</v>
      </c>
      <c r="D41" s="120">
        <f>C41+'20'!D41</f>
        <v>48</v>
      </c>
      <c r="E41" s="145">
        <f t="shared" si="0"/>
        <v>0.8</v>
      </c>
      <c r="F41" s="309"/>
      <c r="G41" s="309"/>
      <c r="H41" s="187" t="s">
        <v>81</v>
      </c>
      <c r="I41" s="144"/>
      <c r="J41" s="131">
        <f>J40/G4</f>
        <v>41.814095238095234</v>
      </c>
      <c r="K41" s="132" t="s">
        <v>75</v>
      </c>
    </row>
    <row r="42" spans="1:14" ht="17.45" customHeight="1">
      <c r="A42" s="793" t="s">
        <v>17</v>
      </c>
      <c r="B42" s="794"/>
      <c r="C42" s="166">
        <f>SUMIF($G$7:$G$31,"Instrument",$F$7:$F$31)</f>
        <v>0</v>
      </c>
      <c r="D42" s="120">
        <f>C42+'20'!D42</f>
        <v>0</v>
      </c>
      <c r="E42" s="145">
        <f t="shared" si="0"/>
        <v>0</v>
      </c>
      <c r="F42" s="185">
        <f>+(F38*480+F39*480+F40*480)/1440</f>
        <v>1350</v>
      </c>
      <c r="G42" s="185">
        <f>+(G38*480+G39*480+G40*480)/1440</f>
        <v>1039.5</v>
      </c>
      <c r="H42" s="187" t="s">
        <v>82</v>
      </c>
      <c r="I42" s="243" t="s">
        <v>459</v>
      </c>
      <c r="J42" s="134"/>
      <c r="K42" s="132" t="s">
        <v>83</v>
      </c>
    </row>
    <row r="43" spans="1:14" ht="17.45" customHeight="1">
      <c r="A43" s="793" t="s">
        <v>84</v>
      </c>
      <c r="B43" s="794"/>
      <c r="C43" s="166">
        <f>SUMIF($G$7:$G$31,"Water",$F$7:$F$31)</f>
        <v>0</v>
      </c>
      <c r="D43" s="120">
        <f>C43+'20'!D43</f>
        <v>0</v>
      </c>
      <c r="E43" s="145">
        <f t="shared" si="0"/>
        <v>0</v>
      </c>
      <c r="F43" s="309"/>
      <c r="G43" s="310"/>
      <c r="H43" s="188" t="s">
        <v>85</v>
      </c>
      <c r="I43" s="120">
        <f>+Report1!Z29</f>
        <v>87.2</v>
      </c>
      <c r="J43" s="135">
        <f>+I43+'20'!J43</f>
        <v>1799.03</v>
      </c>
      <c r="K43" s="132" t="s">
        <v>75</v>
      </c>
      <c r="L43" s="189"/>
    </row>
    <row r="44" spans="1:14" ht="17.45" customHeight="1">
      <c r="A44" s="793" t="s">
        <v>18</v>
      </c>
      <c r="B44" s="794"/>
      <c r="C44" s="166">
        <f>SUMIF($G$7:$G$31,"PLN",$F$7:$F$31)</f>
        <v>0</v>
      </c>
      <c r="D44" s="120">
        <f>C44+'20'!D44</f>
        <v>30</v>
      </c>
      <c r="E44" s="145">
        <f t="shared" si="0"/>
        <v>0.5</v>
      </c>
      <c r="F44" s="309"/>
      <c r="G44" s="310"/>
      <c r="H44" s="188" t="s">
        <v>86</v>
      </c>
      <c r="I44" s="120">
        <f>I43/I38</f>
        <v>1.8939229399244168</v>
      </c>
      <c r="J44" s="136">
        <f>J43/J38</f>
        <v>1.9685583040261216</v>
      </c>
      <c r="K44" s="132" t="s">
        <v>75</v>
      </c>
    </row>
    <row r="45" spans="1:14" ht="17.45" customHeight="1">
      <c r="A45" s="793" t="s">
        <v>19</v>
      </c>
      <c r="B45" s="794"/>
      <c r="C45" s="166">
        <f>SUMIF($G$7:$G$31,"Boiler",$F$7:$F$31)</f>
        <v>0</v>
      </c>
      <c r="D45" s="120">
        <f>C45+'20'!D45</f>
        <v>0</v>
      </c>
      <c r="E45" s="145">
        <f t="shared" si="0"/>
        <v>0</v>
      </c>
      <c r="F45" s="309"/>
      <c r="G45" s="312"/>
      <c r="H45" s="188" t="s">
        <v>87</v>
      </c>
      <c r="I45" s="120">
        <f>I43/I40</f>
        <v>1.9161887182191752</v>
      </c>
      <c r="J45" s="136">
        <f>J43/J40</f>
        <v>2.0487850986680276</v>
      </c>
      <c r="K45" s="132" t="s">
        <v>75</v>
      </c>
    </row>
    <row r="46" spans="1:14" ht="17.45" customHeight="1">
      <c r="A46" s="793" t="s">
        <v>88</v>
      </c>
      <c r="B46" s="794"/>
      <c r="C46" s="166">
        <f>SUMIF($G$7:$G$31,"Gas",$F$7:$F$31)</f>
        <v>0</v>
      </c>
      <c r="D46" s="120">
        <f>C46+'20'!D46</f>
        <v>0</v>
      </c>
      <c r="E46" s="145">
        <f t="shared" si="0"/>
        <v>0</v>
      </c>
      <c r="F46" s="309"/>
      <c r="G46" s="310"/>
      <c r="H46" s="188" t="s">
        <v>89</v>
      </c>
      <c r="I46" s="142">
        <f>+SUMIF(Listrik!X28,"&gt;0")</f>
        <v>43722.394999999407</v>
      </c>
      <c r="J46" s="137">
        <f>+I46+'20'!J46</f>
        <v>843901.75999999885</v>
      </c>
      <c r="K46" s="132" t="s">
        <v>90</v>
      </c>
    </row>
    <row r="47" spans="1:14" ht="17.45" customHeight="1">
      <c r="A47" s="793" t="s">
        <v>91</v>
      </c>
      <c r="B47" s="794"/>
      <c r="C47" s="166">
        <f>SUMIF($G$7:$G$31,"Gas",$F$7:$F$31)</f>
        <v>0</v>
      </c>
      <c r="D47" s="120">
        <f>C47+'20'!D47</f>
        <v>0</v>
      </c>
      <c r="E47" s="145">
        <f t="shared" si="0"/>
        <v>0</v>
      </c>
      <c r="F47" s="309"/>
      <c r="G47" s="310"/>
      <c r="H47" s="188" t="s">
        <v>92</v>
      </c>
      <c r="I47" s="120">
        <f>I46/I38</f>
        <v>949.6198036575172</v>
      </c>
      <c r="J47" s="137">
        <f>J46/J38</f>
        <v>923.42529998402301</v>
      </c>
      <c r="K47" s="132" t="s">
        <v>25</v>
      </c>
    </row>
    <row r="48" spans="1:14" ht="17.45" customHeight="1">
      <c r="A48" s="793" t="s">
        <v>15</v>
      </c>
      <c r="B48" s="794"/>
      <c r="C48" s="166">
        <f>SUMIF($G$7:$G$31,"Start Up",$F$7:$F$31)</f>
        <v>0</v>
      </c>
      <c r="D48" s="120">
        <f>C48+'20'!D48</f>
        <v>0</v>
      </c>
      <c r="E48" s="145">
        <f t="shared" si="0"/>
        <v>0</v>
      </c>
      <c r="F48" s="309"/>
      <c r="G48" s="310"/>
      <c r="H48" s="188" t="s">
        <v>93</v>
      </c>
      <c r="I48" s="120">
        <f>I46/I40</f>
        <v>960.78394532707955</v>
      </c>
      <c r="J48" s="137">
        <f>J46/J40</f>
        <v>961.05865417904079</v>
      </c>
      <c r="K48" s="132" t="s">
        <v>25</v>
      </c>
    </row>
    <row r="49" spans="1:11" ht="17.45" customHeight="1">
      <c r="A49" s="793" t="s">
        <v>21</v>
      </c>
      <c r="B49" s="794"/>
      <c r="C49" s="166">
        <f>SUMIF($G$7:$G$31,"Others",$F$7:$F$31)</f>
        <v>0</v>
      </c>
      <c r="D49" s="120">
        <f>C49+'20'!D49</f>
        <v>446</v>
      </c>
      <c r="E49" s="145">
        <f t="shared" si="0"/>
        <v>7.4333333333333336</v>
      </c>
      <c r="F49" s="185"/>
      <c r="H49" s="188" t="s">
        <v>280</v>
      </c>
      <c r="I49" s="120">
        <f>+Report1!T29</f>
        <v>3772.4843602302994</v>
      </c>
      <c r="J49" s="137">
        <f>+I49+'20'!J49</f>
        <v>75416.84137827449</v>
      </c>
      <c r="K49" s="132" t="s">
        <v>94</v>
      </c>
    </row>
    <row r="50" spans="1:11" ht="17.45" customHeight="1">
      <c r="A50" s="793" t="s">
        <v>20</v>
      </c>
      <c r="B50" s="794"/>
      <c r="C50" s="166">
        <f>SUMIF($G$7:$G$31,"Steam",$F$7:$F$31)</f>
        <v>0</v>
      </c>
      <c r="D50" s="120">
        <f>C50+'20'!D50</f>
        <v>0</v>
      </c>
      <c r="E50" s="145">
        <f t="shared" si="0"/>
        <v>0</v>
      </c>
      <c r="F50" s="185"/>
      <c r="H50" s="188" t="s">
        <v>95</v>
      </c>
      <c r="I50" s="142">
        <f>I49/I38</f>
        <v>81.935718696631326</v>
      </c>
      <c r="J50" s="135">
        <f>J49/J38</f>
        <v>82.52360958884681</v>
      </c>
      <c r="K50" s="132" t="s">
        <v>94</v>
      </c>
    </row>
    <row r="51" spans="1:11" ht="17.45" customHeight="1">
      <c r="A51" s="810" t="s">
        <v>96</v>
      </c>
      <c r="B51" s="810"/>
      <c r="C51" s="166">
        <f>SUMIF($G$7:$G$31,"Planned shut",$F$7:$F$31)</f>
        <v>0</v>
      </c>
      <c r="D51" s="120">
        <f>C51+'20'!D51</f>
        <v>0</v>
      </c>
      <c r="E51" s="145">
        <f t="shared" si="0"/>
        <v>0</v>
      </c>
      <c r="F51" s="185"/>
      <c r="H51" s="190" t="s">
        <v>97</v>
      </c>
      <c r="I51" s="143">
        <f>I49/I40</f>
        <v>82.898990490041086</v>
      </c>
      <c r="J51" s="138">
        <f>J49/J40</f>
        <v>85.886783880435061</v>
      </c>
      <c r="K51" s="139" t="s">
        <v>94</v>
      </c>
    </row>
    <row r="52" spans="1:11" ht="13.5" thickBot="1">
      <c r="A52" s="811" t="s">
        <v>230</v>
      </c>
      <c r="B52" s="812"/>
      <c r="C52" s="166">
        <f>SUMIF($G$7:$G$31,"Change Grade",$F$7:$F$31)</f>
        <v>0</v>
      </c>
      <c r="D52" s="120">
        <f>C52+'20'!D52</f>
        <v>0</v>
      </c>
      <c r="E52" s="145">
        <f t="shared" si="0"/>
        <v>0</v>
      </c>
      <c r="F52" s="185"/>
      <c r="H52" s="191"/>
      <c r="I52" s="192"/>
      <c r="J52" s="140"/>
      <c r="K52" s="141"/>
    </row>
    <row r="53" spans="1:11">
      <c r="A53" s="806" t="s">
        <v>29</v>
      </c>
      <c r="B53" s="807"/>
      <c r="C53" s="146">
        <f>SUM(C38:C52)</f>
        <v>40</v>
      </c>
      <c r="D53" s="146">
        <f>SUM(D38:D52)</f>
        <v>2018</v>
      </c>
      <c r="E53" s="147">
        <f>SUM(E38:E52)</f>
        <v>33.633333333333333</v>
      </c>
      <c r="F53" s="185"/>
    </row>
    <row r="54" spans="1:11" ht="13.5" thickBot="1">
      <c r="A54" s="808"/>
      <c r="B54" s="809"/>
      <c r="C54" s="148">
        <f>C53/(24*60)</f>
        <v>2.7777777777777776E-2</v>
      </c>
      <c r="D54" s="148">
        <f>D53/(24*60*G4)</f>
        <v>6.6732804232804227E-2</v>
      </c>
      <c r="E54" s="149">
        <f>E53/(G4*24)</f>
        <v>6.6732804232804227E-2</v>
      </c>
      <c r="F54" s="185"/>
    </row>
    <row r="55" spans="1:11">
      <c r="E55" s="193"/>
    </row>
    <row r="56" spans="1:11">
      <c r="A56" s="194" t="s">
        <v>98</v>
      </c>
      <c r="B56" s="195"/>
      <c r="C56" s="196"/>
      <c r="D56" s="196"/>
      <c r="E56" s="196"/>
      <c r="F56" s="197"/>
      <c r="G56" s="196"/>
      <c r="H56" s="198"/>
      <c r="I56" s="199" t="s">
        <v>99</v>
      </c>
      <c r="J56" s="200">
        <f>+D34+'20'!J56</f>
        <v>3979</v>
      </c>
      <c r="K56" s="201">
        <f>J56/(J40+J56/1000)/1000</f>
        <v>4.5109542839327724E-3</v>
      </c>
    </row>
    <row r="57" spans="1:11">
      <c r="A57" s="176"/>
      <c r="I57" s="199" t="s">
        <v>100</v>
      </c>
      <c r="J57" s="200">
        <f>+E34+'20'!J57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1"/>
  <sheetViews>
    <sheetView view="pageBreakPreview" topLeftCell="A7" zoomScale="80" zoomScaleNormal="80" zoomScaleSheetLayoutView="80" workbookViewId="0">
      <selection activeCell="M34" sqref="M34"/>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6.7109375" style="151" customWidth="1"/>
    <col min="11" max="11" width="12.5703125" style="151" bestFit="1" customWidth="1"/>
    <col min="12" max="12" width="8.28515625" style="151" customWidth="1"/>
    <col min="13" max="13" width="15.42578125" style="151" customWidth="1"/>
    <col min="14" max="16384" width="9.140625" style="151"/>
  </cols>
  <sheetData>
    <row r="1" spans="1:17" ht="15.75">
      <c r="A1" s="150"/>
    </row>
    <row r="2" spans="1:17" ht="15.75">
      <c r="A2" s="150" t="s">
        <v>231</v>
      </c>
    </row>
    <row r="3" spans="1:17" ht="15">
      <c r="A3" s="152"/>
    </row>
    <row r="4" spans="1:17" ht="20.25">
      <c r="A4" s="153" t="s">
        <v>4</v>
      </c>
      <c r="B4" s="154"/>
      <c r="F4" s="155" t="s">
        <v>31</v>
      </c>
      <c r="G4" s="156">
        <v>20</v>
      </c>
      <c r="H4" s="156" t="str">
        <f>+'1'!H4</f>
        <v>.07.25</v>
      </c>
      <c r="J4" s="151">
        <f>391+411+290</f>
        <v>1092</v>
      </c>
    </row>
    <row r="5" spans="1:17" ht="13.5" thickBot="1">
      <c r="C5" s="157"/>
      <c r="D5" s="157"/>
    </row>
    <row r="6" spans="1:17"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row>
    <row r="7" spans="1:17" ht="13.5" customHeight="1" thickBot="1">
      <c r="A7" s="795" t="s">
        <v>442</v>
      </c>
      <c r="B7" s="215" t="s">
        <v>398</v>
      </c>
      <c r="C7" s="216">
        <v>16186</v>
      </c>
      <c r="D7" s="217"/>
      <c r="E7" s="218"/>
      <c r="F7" s="233"/>
      <c r="G7" s="555" t="s">
        <v>13</v>
      </c>
      <c r="H7" s="556" t="s">
        <v>461</v>
      </c>
      <c r="I7" s="798" t="s">
        <v>459</v>
      </c>
      <c r="J7" s="214" t="str">
        <f>+'19'!J7</f>
        <v>F 12 VP OW</v>
      </c>
      <c r="K7" s="235">
        <f>+C34</f>
        <v>46921</v>
      </c>
      <c r="L7" s="239"/>
      <c r="M7" s="119">
        <f>+K7+'19'!M7+L7</f>
        <v>388542</v>
      </c>
    </row>
    <row r="8" spans="1:17" ht="13.5" thickBot="1">
      <c r="A8" s="796"/>
      <c r="B8" s="215"/>
      <c r="C8" s="216"/>
      <c r="D8" s="217"/>
      <c r="E8" s="219"/>
      <c r="F8" s="229">
        <v>2</v>
      </c>
      <c r="G8" s="557" t="s">
        <v>13</v>
      </c>
      <c r="H8" s="228" t="s">
        <v>462</v>
      </c>
      <c r="I8" s="799"/>
      <c r="J8" s="214" t="str">
        <f>+'19'!J8</f>
        <v>F 11,5 VP OW</v>
      </c>
      <c r="K8" s="236"/>
      <c r="L8" s="236"/>
      <c r="M8" s="119">
        <f>+K8+'19'!M8+L8</f>
        <v>226339</v>
      </c>
      <c r="N8" s="538"/>
      <c r="O8" s="539"/>
      <c r="P8" s="539"/>
      <c r="Q8" s="539"/>
    </row>
    <row r="9" spans="1:17" ht="13.5" thickBot="1">
      <c r="A9" s="796"/>
      <c r="B9" s="215"/>
      <c r="C9" s="216"/>
      <c r="D9" s="217"/>
      <c r="E9" s="220"/>
      <c r="F9" s="229">
        <v>4</v>
      </c>
      <c r="G9" s="557" t="s">
        <v>13</v>
      </c>
      <c r="H9" s="231" t="s">
        <v>400</v>
      </c>
      <c r="I9" s="799"/>
      <c r="J9" s="214" t="str">
        <f>+'19'!J9</f>
        <v>T 13 VP OW</v>
      </c>
      <c r="K9" s="236"/>
      <c r="L9" s="236"/>
      <c r="M9" s="119">
        <f>+K9+'19'!M9+L9</f>
        <v>113358</v>
      </c>
    </row>
    <row r="10" spans="1:17" ht="51.75" thickBot="1">
      <c r="A10" s="796"/>
      <c r="B10" s="215"/>
      <c r="C10" s="216"/>
      <c r="D10" s="217"/>
      <c r="E10" s="219"/>
      <c r="F10" s="229"/>
      <c r="G10" s="227"/>
      <c r="H10" s="558" t="s">
        <v>668</v>
      </c>
      <c r="I10" s="799"/>
      <c r="J10" s="214" t="str">
        <f>+'19'!J10</f>
        <v>F 13 VP OW</v>
      </c>
      <c r="K10" s="236"/>
      <c r="L10" s="236"/>
      <c r="M10" s="119">
        <f>+K10+'19'!M10+L10</f>
        <v>43207</v>
      </c>
    </row>
    <row r="11" spans="1:17" ht="77.25" thickBot="1">
      <c r="A11" s="796"/>
      <c r="B11" s="215"/>
      <c r="C11" s="216"/>
      <c r="D11" s="217"/>
      <c r="E11" s="219"/>
      <c r="F11" s="226"/>
      <c r="G11" s="230"/>
      <c r="H11" s="231" t="s">
        <v>669</v>
      </c>
      <c r="I11" s="799"/>
      <c r="J11" s="214" t="str">
        <f>+'19'!J11</f>
        <v xml:space="preserve">T 13 VP OW HB </v>
      </c>
      <c r="K11" s="236"/>
      <c r="L11" s="236"/>
      <c r="M11" s="119">
        <f>+K11+'19'!M11+L11</f>
        <v>10128</v>
      </c>
    </row>
    <row r="12" spans="1:17" ht="13.5" thickBot="1">
      <c r="A12" s="796"/>
      <c r="B12" s="215"/>
      <c r="C12" s="216"/>
      <c r="D12" s="217"/>
      <c r="E12" s="219"/>
      <c r="F12" s="226"/>
      <c r="G12" s="230"/>
      <c r="H12" s="231"/>
      <c r="I12" s="799"/>
      <c r="J12" s="214" t="str">
        <f>+'19'!J12</f>
        <v>TW 15 VP OW</v>
      </c>
      <c r="K12" s="236"/>
      <c r="L12" s="236"/>
      <c r="M12" s="119">
        <f>+K12+'19'!M12+L12</f>
        <v>51015</v>
      </c>
    </row>
    <row r="13" spans="1:17" ht="13.5" thickBot="1">
      <c r="A13" s="796"/>
      <c r="B13" s="215"/>
      <c r="C13" s="216"/>
      <c r="D13" s="216"/>
      <c r="E13" s="219"/>
      <c r="F13" s="226"/>
      <c r="G13" s="230"/>
      <c r="H13" s="231"/>
      <c r="I13" s="800"/>
      <c r="J13" s="214">
        <f>+'19'!J13</f>
        <v>0</v>
      </c>
      <c r="K13" s="236"/>
      <c r="L13" s="236"/>
      <c r="M13" s="119">
        <f>+K13+'19'!M13+L13</f>
        <v>0</v>
      </c>
    </row>
    <row r="14" spans="1:17" ht="13.5" thickBot="1">
      <c r="A14" s="797"/>
      <c r="B14" s="167" t="s">
        <v>3</v>
      </c>
      <c r="C14" s="101">
        <f>SUM(C7:C13)</f>
        <v>16186</v>
      </c>
      <c r="D14" s="113">
        <f>SUM(D7:D13)</f>
        <v>0</v>
      </c>
      <c r="E14" s="114">
        <f>SUM(E5:E13)</f>
        <v>0</v>
      </c>
      <c r="F14" s="118">
        <f>SUM(F7:F13)</f>
        <v>6</v>
      </c>
      <c r="G14" s="161"/>
      <c r="H14" s="168"/>
      <c r="I14" s="169"/>
      <c r="J14" s="214">
        <f>+'19'!J14</f>
        <v>0</v>
      </c>
      <c r="K14" s="236"/>
      <c r="L14" s="236"/>
      <c r="M14" s="119">
        <f>+K14+'19'!M14+L14</f>
        <v>0</v>
      </c>
    </row>
    <row r="15" spans="1:17" ht="13.5" thickBot="1">
      <c r="A15" s="801" t="s">
        <v>674</v>
      </c>
      <c r="B15" s="518"/>
      <c r="C15" s="115">
        <f>C14/($C$23+$D$23+$E$23)</f>
        <v>1.087695719373698</v>
      </c>
      <c r="D15" s="116">
        <f>D14/($C$23+$D$23+$E$23)</f>
        <v>0</v>
      </c>
      <c r="E15" s="117">
        <f>E14/($C$23+$D$23+$E$23)</f>
        <v>0</v>
      </c>
      <c r="F15" s="233"/>
      <c r="G15" s="555" t="s">
        <v>13</v>
      </c>
      <c r="H15" s="556" t="s">
        <v>461</v>
      </c>
      <c r="I15" s="798" t="s">
        <v>459</v>
      </c>
      <c r="J15" s="214">
        <f>+'19'!J15</f>
        <v>0</v>
      </c>
      <c r="K15" s="236"/>
      <c r="L15" s="236"/>
      <c r="M15" s="119">
        <f>+K15+'19'!M15+L15</f>
        <v>0</v>
      </c>
    </row>
    <row r="16" spans="1:17" ht="13.5" thickBot="1">
      <c r="A16" s="796"/>
      <c r="B16" s="517" t="s">
        <v>398</v>
      </c>
      <c r="C16" s="516">
        <v>14881</v>
      </c>
      <c r="D16" s="221"/>
      <c r="E16" s="222"/>
      <c r="F16" s="229">
        <v>3</v>
      </c>
      <c r="G16" s="557" t="s">
        <v>13</v>
      </c>
      <c r="H16" s="228" t="s">
        <v>468</v>
      </c>
      <c r="I16" s="799"/>
      <c r="J16" s="214">
        <f>+'19'!J16</f>
        <v>0</v>
      </c>
      <c r="K16" s="227"/>
      <c r="L16" s="227"/>
      <c r="M16" s="119">
        <f>+K16+'19'!M16+L16</f>
        <v>0</v>
      </c>
      <c r="N16" s="538"/>
      <c r="O16" s="539"/>
      <c r="P16" s="539"/>
      <c r="Q16" s="539"/>
    </row>
    <row r="17" spans="1:17" ht="13.5" thickBot="1">
      <c r="A17" s="796"/>
      <c r="B17" s="215"/>
      <c r="C17" s="216"/>
      <c r="D17" s="217"/>
      <c r="E17" s="223"/>
      <c r="F17" s="229">
        <v>4</v>
      </c>
      <c r="G17" s="557" t="s">
        <v>13</v>
      </c>
      <c r="H17" s="231" t="s">
        <v>400</v>
      </c>
      <c r="I17" s="799"/>
      <c r="J17" s="214">
        <f>+'19'!J17</f>
        <v>0</v>
      </c>
      <c r="K17" s="227"/>
      <c r="L17" s="227"/>
      <c r="M17" s="119">
        <f>+K17+'19'!M17+L17</f>
        <v>0</v>
      </c>
    </row>
    <row r="18" spans="1:17" ht="51.75" thickBot="1">
      <c r="A18" s="796"/>
      <c r="B18" s="215"/>
      <c r="C18" s="216"/>
      <c r="D18" s="217"/>
      <c r="E18" s="223"/>
      <c r="F18" s="229"/>
      <c r="G18" s="227"/>
      <c r="H18" s="558" t="s">
        <v>659</v>
      </c>
      <c r="I18" s="799"/>
      <c r="J18" s="214">
        <f>+'19'!J18</f>
        <v>0</v>
      </c>
      <c r="K18" s="236"/>
      <c r="L18" s="236"/>
      <c r="M18" s="119">
        <f>+K18+'19'!M18+L18</f>
        <v>0</v>
      </c>
    </row>
    <row r="19" spans="1:17" ht="64.5" thickBot="1">
      <c r="A19" s="796"/>
      <c r="B19" s="215"/>
      <c r="C19" s="216"/>
      <c r="D19" s="217"/>
      <c r="E19" s="223"/>
      <c r="F19" s="232"/>
      <c r="G19" s="230"/>
      <c r="H19" s="231" t="s">
        <v>667</v>
      </c>
      <c r="I19" s="799"/>
      <c r="J19" s="214">
        <f>+'19'!J19</f>
        <v>0</v>
      </c>
      <c r="K19" s="236"/>
      <c r="L19" s="236"/>
      <c r="M19" s="119">
        <f>+K19+'19'!M19+L19</f>
        <v>0</v>
      </c>
    </row>
    <row r="20" spans="1:17" ht="13.5" thickBot="1">
      <c r="A20" s="796"/>
      <c r="B20" s="215"/>
      <c r="C20" s="216"/>
      <c r="D20" s="217"/>
      <c r="E20" s="223"/>
      <c r="F20" s="226"/>
      <c r="G20" s="230"/>
      <c r="H20" s="231"/>
      <c r="I20" s="799"/>
      <c r="J20" s="214">
        <f>+'19'!J20</f>
        <v>0</v>
      </c>
      <c r="K20" s="237"/>
      <c r="L20" s="237"/>
      <c r="M20" s="119">
        <f>+K20+'19'!M20+L20</f>
        <v>0</v>
      </c>
    </row>
    <row r="21" spans="1:17" ht="13.5" thickBot="1">
      <c r="A21" s="796"/>
      <c r="B21" s="215"/>
      <c r="C21" s="216"/>
      <c r="D21" s="217"/>
      <c r="E21" s="223"/>
      <c r="F21" s="229"/>
      <c r="G21" s="230"/>
      <c r="H21" s="231"/>
      <c r="I21" s="799"/>
      <c r="J21" s="214">
        <f>+'19'!J21</f>
        <v>0</v>
      </c>
      <c r="K21" s="236"/>
      <c r="L21" s="236"/>
      <c r="M21" s="119">
        <f>+K21+'19'!M21+L21</f>
        <v>0</v>
      </c>
    </row>
    <row r="22" spans="1:17" ht="13.5" thickBot="1">
      <c r="A22" s="796"/>
      <c r="B22" s="215"/>
      <c r="C22" s="216"/>
      <c r="D22" s="217"/>
      <c r="E22" s="223"/>
      <c r="F22" s="233"/>
      <c r="G22" s="230"/>
      <c r="H22" s="231"/>
      <c r="I22" s="800"/>
      <c r="J22" s="214">
        <f>+'19'!J22</f>
        <v>0</v>
      </c>
      <c r="K22" s="236"/>
      <c r="L22" s="236"/>
      <c r="M22" s="119">
        <f>+K22+'19'!M22+L22</f>
        <v>0</v>
      </c>
    </row>
    <row r="23" spans="1:17" ht="13.5" thickBot="1">
      <c r="A23" s="797"/>
      <c r="B23" s="167" t="s">
        <v>3</v>
      </c>
      <c r="C23" s="101">
        <f>SUM(C16:C22)</f>
        <v>14881</v>
      </c>
      <c r="D23" s="113">
        <f>SUM(D16:D22)</f>
        <v>0</v>
      </c>
      <c r="E23" s="114">
        <f>SUM(E18:E22)</f>
        <v>0</v>
      </c>
      <c r="F23" s="118">
        <f>SUM(F15:F22)</f>
        <v>7</v>
      </c>
      <c r="G23" s="161"/>
      <c r="H23" s="168"/>
      <c r="I23" s="170"/>
      <c r="J23" s="214">
        <f>+'19'!J23</f>
        <v>0</v>
      </c>
      <c r="K23" s="236"/>
      <c r="L23" s="236"/>
      <c r="M23" s="119">
        <f>+K23+'19'!M23+L23</f>
        <v>0</v>
      </c>
    </row>
    <row r="24" spans="1:17" ht="13.5" thickBot="1">
      <c r="A24" s="801" t="s">
        <v>470</v>
      </c>
      <c r="B24" s="518"/>
      <c r="C24" s="115">
        <f>C23/($C$23+$D$23+$E$23)</f>
        <v>1</v>
      </c>
      <c r="D24" s="116">
        <f>D23/($C$23+$D$23+$E$23)</f>
        <v>0</v>
      </c>
      <c r="E24" s="117">
        <f>E23/($C$23+$D$23+$E$23)</f>
        <v>0</v>
      </c>
      <c r="F24" s="233"/>
      <c r="G24" s="555" t="s">
        <v>13</v>
      </c>
      <c r="H24" s="556" t="s">
        <v>461</v>
      </c>
      <c r="I24" s="798" t="s">
        <v>459</v>
      </c>
      <c r="J24" s="214">
        <f>+'19'!J24</f>
        <v>0</v>
      </c>
      <c r="K24" s="236"/>
      <c r="L24" s="236"/>
      <c r="M24" s="119">
        <f>+K24+'19'!M24+L24</f>
        <v>0</v>
      </c>
    </row>
    <row r="25" spans="1:17" ht="13.5" thickBot="1">
      <c r="A25" s="796"/>
      <c r="B25" s="517" t="s">
        <v>398</v>
      </c>
      <c r="C25" s="224">
        <v>15854</v>
      </c>
      <c r="D25" s="217"/>
      <c r="E25" s="223"/>
      <c r="F25" s="229">
        <v>4</v>
      </c>
      <c r="G25" s="557" t="s">
        <v>13</v>
      </c>
      <c r="H25" s="228" t="s">
        <v>462</v>
      </c>
      <c r="I25" s="799"/>
      <c r="J25" s="214">
        <f>+'19'!J25</f>
        <v>0</v>
      </c>
      <c r="K25" s="236"/>
      <c r="L25" s="236"/>
      <c r="M25" s="119">
        <f>+K25+'19'!M25+L25</f>
        <v>0</v>
      </c>
      <c r="N25" s="538"/>
      <c r="O25" s="539"/>
      <c r="P25" s="539"/>
      <c r="Q25" s="539"/>
    </row>
    <row r="26" spans="1:17" ht="13.5" thickBot="1">
      <c r="A26" s="796"/>
      <c r="B26" s="215"/>
      <c r="C26" s="224"/>
      <c r="D26" s="217"/>
      <c r="E26" s="225"/>
      <c r="F26" s="229">
        <v>11</v>
      </c>
      <c r="G26" s="557" t="s">
        <v>13</v>
      </c>
      <c r="H26" s="231" t="s">
        <v>400</v>
      </c>
      <c r="I26" s="799"/>
      <c r="J26" s="214">
        <f>+'19'!J26</f>
        <v>0</v>
      </c>
      <c r="K26" s="236"/>
      <c r="L26" s="236"/>
      <c r="M26" s="119">
        <f>+K26+'19'!M26+L26</f>
        <v>0</v>
      </c>
    </row>
    <row r="27" spans="1:17" ht="64.5" thickBot="1">
      <c r="A27" s="796"/>
      <c r="B27" s="215"/>
      <c r="C27" s="216"/>
      <c r="D27" s="217"/>
      <c r="E27" s="223"/>
      <c r="F27" s="229"/>
      <c r="G27" s="227"/>
      <c r="H27" s="558" t="s">
        <v>665</v>
      </c>
      <c r="I27" s="799"/>
      <c r="J27" s="214">
        <f>+'19'!J27</f>
        <v>0</v>
      </c>
      <c r="K27" s="236"/>
      <c r="L27" s="236"/>
      <c r="M27" s="119">
        <f>+K27+'19'!M27+L27</f>
        <v>0</v>
      </c>
    </row>
    <row r="28" spans="1:17" ht="84" customHeight="1" thickBot="1">
      <c r="A28" s="796"/>
      <c r="B28" s="215"/>
      <c r="C28" s="216"/>
      <c r="D28" s="217"/>
      <c r="E28" s="223"/>
      <c r="F28" s="229"/>
      <c r="G28" s="227"/>
      <c r="H28" s="231" t="s">
        <v>666</v>
      </c>
      <c r="I28" s="799"/>
      <c r="J28" s="214">
        <f>+'19'!J28</f>
        <v>0</v>
      </c>
      <c r="K28" s="236"/>
      <c r="L28" s="236"/>
      <c r="M28" s="119">
        <f>+K28+'19'!M28+L28</f>
        <v>0</v>
      </c>
    </row>
    <row r="29" spans="1:17" ht="13.5" thickBot="1">
      <c r="A29" s="796"/>
      <c r="B29" s="215"/>
      <c r="C29" s="216"/>
      <c r="D29" s="217"/>
      <c r="E29" s="223"/>
      <c r="F29" s="233"/>
      <c r="G29" s="230"/>
      <c r="H29" s="231"/>
      <c r="I29" s="799"/>
      <c r="J29" s="214">
        <f>+'19'!J29</f>
        <v>0</v>
      </c>
      <c r="K29" s="236"/>
      <c r="L29" s="236"/>
      <c r="M29" s="119">
        <f>+K29+'19'!M29+L29</f>
        <v>0</v>
      </c>
    </row>
    <row r="30" spans="1:17" ht="13.5" thickBot="1">
      <c r="A30" s="796"/>
      <c r="B30" s="215"/>
      <c r="C30" s="224"/>
      <c r="D30" s="217"/>
      <c r="E30" s="223"/>
      <c r="F30" s="233"/>
      <c r="G30" s="230"/>
      <c r="H30" s="231"/>
      <c r="I30" s="799"/>
      <c r="J30" s="214">
        <f>+'19'!J30</f>
        <v>0</v>
      </c>
      <c r="K30" s="236"/>
      <c r="L30" s="236"/>
      <c r="M30" s="119">
        <f>+K30+'19'!M30+L30</f>
        <v>0</v>
      </c>
      <c r="N30" s="157"/>
    </row>
    <row r="31" spans="1:17" ht="13.5" thickBot="1">
      <c r="A31" s="796"/>
      <c r="B31" s="215"/>
      <c r="C31" s="224"/>
      <c r="D31" s="217"/>
      <c r="E31" s="223"/>
      <c r="F31" s="233"/>
      <c r="G31" s="234"/>
      <c r="H31" s="409"/>
      <c r="I31" s="800"/>
      <c r="J31" s="214">
        <f>+'19'!J31</f>
        <v>0</v>
      </c>
      <c r="K31" s="236"/>
      <c r="L31" s="236"/>
      <c r="M31" s="119">
        <f>+K31+'19'!M31+L31</f>
        <v>0</v>
      </c>
    </row>
    <row r="32" spans="1:17" ht="13.5" thickBot="1">
      <c r="A32" s="797"/>
      <c r="B32" s="167" t="s">
        <v>3</v>
      </c>
      <c r="C32" s="101">
        <f>SUM(C25:C31)</f>
        <v>15854</v>
      </c>
      <c r="D32" s="102">
        <f>SUM(D25:D31)</f>
        <v>0</v>
      </c>
      <c r="E32" s="103">
        <f>SUM(E25:E31)</f>
        <v>0</v>
      </c>
      <c r="F32" s="101">
        <f>SUM(F24:F31)</f>
        <v>15</v>
      </c>
      <c r="G32" s="171"/>
      <c r="H32" s="172"/>
      <c r="I32" s="170"/>
      <c r="J32" s="214">
        <f>+'19'!J32</f>
        <v>0</v>
      </c>
      <c r="K32" s="238"/>
      <c r="L32" s="240"/>
      <c r="M32" s="119">
        <f>+K32+'19'!M32+L32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46921</v>
      </c>
      <c r="D34" s="109">
        <f>D14+D23+D32</f>
        <v>0</v>
      </c>
      <c r="E34" s="109">
        <f>E14+E23+E32</f>
        <v>0</v>
      </c>
      <c r="F34" s="110">
        <f>F14+F23+F32</f>
        <v>28</v>
      </c>
      <c r="H34" s="178"/>
      <c r="I34" s="178"/>
      <c r="J34" s="125" t="s">
        <v>29</v>
      </c>
      <c r="K34" s="126">
        <f>SUM(K7:K32)</f>
        <v>46921</v>
      </c>
      <c r="L34" s="212">
        <f>SUM(L7:L32)</f>
        <v>0</v>
      </c>
      <c r="M34" s="122">
        <f>SUM(M7:M32)</f>
        <v>832589</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(12*1440)/1440*G42*2.74*1440/1000000</f>
        <v>49.217414400000003</v>
      </c>
      <c r="J37" s="127">
        <f>+I37+'19'!J37</f>
        <v>964.79322612463602</v>
      </c>
      <c r="K37" s="128" t="s">
        <v>75</v>
      </c>
    </row>
    <row r="38" spans="1:14" ht="17.45" customHeight="1">
      <c r="A38" s="806" t="s">
        <v>13</v>
      </c>
      <c r="B38" s="807"/>
      <c r="C38" s="166">
        <f>SUMIF($G$7:$G$31,"Process",$F$7:$F$31)</f>
        <v>28</v>
      </c>
      <c r="D38" s="120">
        <f>C38+'19'!D38</f>
        <v>1426</v>
      </c>
      <c r="E38" s="145">
        <f t="shared" ref="E38:E52" si="0">D38/60</f>
        <v>23.766666666666666</v>
      </c>
      <c r="F38" s="309">
        <v>1350</v>
      </c>
      <c r="G38" s="309">
        <v>1039.5</v>
      </c>
      <c r="H38" s="187" t="s">
        <v>76</v>
      </c>
      <c r="I38" s="242">
        <f>15.705+15.414+13.588</f>
        <v>44.707000000000001</v>
      </c>
      <c r="J38" s="129">
        <f>+I38+'19'!J38</f>
        <v>867.83999999999992</v>
      </c>
      <c r="K38" s="130" t="s">
        <v>75</v>
      </c>
    </row>
    <row r="39" spans="1:14" ht="17.45" customHeight="1">
      <c r="A39" s="793" t="s">
        <v>14</v>
      </c>
      <c r="B39" s="794"/>
      <c r="C39" s="166">
        <f>SUMIF($G$7:$G$31,"Cleaning",$F$7:$F$31)</f>
        <v>0</v>
      </c>
      <c r="D39" s="120">
        <f>C39+'19'!D39</f>
        <v>0</v>
      </c>
      <c r="E39" s="145">
        <f t="shared" si="0"/>
        <v>0</v>
      </c>
      <c r="F39" s="309">
        <v>1350</v>
      </c>
      <c r="G39" s="309">
        <v>1039.5</v>
      </c>
      <c r="H39" s="187" t="s">
        <v>77</v>
      </c>
      <c r="I39" s="144"/>
      <c r="J39" s="131">
        <f>J37/G4</f>
        <v>48.239661306231802</v>
      </c>
      <c r="K39" s="132" t="s">
        <v>75</v>
      </c>
    </row>
    <row r="40" spans="1:14" ht="17.45" customHeight="1">
      <c r="A40" s="793" t="s">
        <v>78</v>
      </c>
      <c r="B40" s="794"/>
      <c r="C40" s="166">
        <f>SUMIF($G$7:$G$31,"Mechanical",$F$7:$F$31)</f>
        <v>0</v>
      </c>
      <c r="D40" s="120">
        <f>C40+'19'!D40</f>
        <v>28</v>
      </c>
      <c r="E40" s="145">
        <f t="shared" si="0"/>
        <v>0.46666666666666667</v>
      </c>
      <c r="F40" s="309">
        <v>1350</v>
      </c>
      <c r="G40" s="309">
        <v>1039.5</v>
      </c>
      <c r="H40" s="187" t="s">
        <v>79</v>
      </c>
      <c r="I40" s="120">
        <f>(K34+L34)/1000</f>
        <v>46.920999999999999</v>
      </c>
      <c r="J40" s="133">
        <f>+I40+'19'!J40</f>
        <v>832.58899999999994</v>
      </c>
      <c r="K40" s="132" t="s">
        <v>75</v>
      </c>
    </row>
    <row r="41" spans="1:14" ht="17.45" customHeight="1">
      <c r="A41" s="793" t="s">
        <v>80</v>
      </c>
      <c r="B41" s="794"/>
      <c r="C41" s="166">
        <f>SUMIF($G$7:$G$31,"Electrical",$F$7:$F$31)</f>
        <v>0</v>
      </c>
      <c r="D41" s="120">
        <f>C41+'19'!D41</f>
        <v>48</v>
      </c>
      <c r="E41" s="145">
        <f t="shared" si="0"/>
        <v>0.8</v>
      </c>
      <c r="F41" s="309"/>
      <c r="G41" s="309"/>
      <c r="H41" s="187" t="s">
        <v>81</v>
      </c>
      <c r="I41" s="144"/>
      <c r="J41" s="131">
        <f>J40/G4</f>
        <v>41.629449999999999</v>
      </c>
      <c r="K41" s="132" t="s">
        <v>75</v>
      </c>
    </row>
    <row r="42" spans="1:14" ht="17.45" customHeight="1">
      <c r="A42" s="793" t="s">
        <v>17</v>
      </c>
      <c r="B42" s="794"/>
      <c r="C42" s="166">
        <f>SUMIF($G$7:$G$31,"Instrument",$F$7:$F$31)</f>
        <v>0</v>
      </c>
      <c r="D42" s="120">
        <f>C42+'19'!D42</f>
        <v>0</v>
      </c>
      <c r="E42" s="145">
        <f t="shared" si="0"/>
        <v>0</v>
      </c>
      <c r="F42" s="185">
        <f>+(F38*480+F39*480+F40*480)/1440</f>
        <v>1350</v>
      </c>
      <c r="G42" s="185">
        <f>+(G38*480+G39*480+G40*480)/1440</f>
        <v>1039.5</v>
      </c>
      <c r="H42" s="187" t="s">
        <v>82</v>
      </c>
      <c r="I42" s="243"/>
      <c r="J42" s="134"/>
      <c r="K42" s="132" t="s">
        <v>83</v>
      </c>
    </row>
    <row r="43" spans="1:14" ht="17.45" customHeight="1">
      <c r="A43" s="793" t="s">
        <v>84</v>
      </c>
      <c r="B43" s="794"/>
      <c r="C43" s="166">
        <f>SUMIF($G$7:$G$31,"Water",$F$7:$F$31)</f>
        <v>0</v>
      </c>
      <c r="D43" s="120">
        <f>C43+'19'!D43</f>
        <v>0</v>
      </c>
      <c r="E43" s="145">
        <f t="shared" si="0"/>
        <v>0</v>
      </c>
      <c r="F43" s="309"/>
      <c r="G43" s="310"/>
      <c r="H43" s="188" t="s">
        <v>85</v>
      </c>
      <c r="I43" s="120">
        <f>+Report1!Z28</f>
        <v>87.2</v>
      </c>
      <c r="J43" s="135">
        <f>+I43+'19'!J43</f>
        <v>1711.83</v>
      </c>
      <c r="K43" s="132" t="s">
        <v>75</v>
      </c>
      <c r="L43" s="189"/>
    </row>
    <row r="44" spans="1:14" ht="17.45" customHeight="1">
      <c r="A44" s="793" t="s">
        <v>18</v>
      </c>
      <c r="B44" s="794"/>
      <c r="C44" s="166">
        <f>SUMIF($G$7:$G$31,"PLN",$F$7:$F$31)</f>
        <v>0</v>
      </c>
      <c r="D44" s="120">
        <f>C44+'19'!D44</f>
        <v>30</v>
      </c>
      <c r="E44" s="145">
        <f t="shared" si="0"/>
        <v>0.5</v>
      </c>
      <c r="F44" s="309"/>
      <c r="G44" s="310"/>
      <c r="H44" s="188" t="s">
        <v>86</v>
      </c>
      <c r="I44" s="120">
        <f>I43/I38</f>
        <v>1.9504775538506274</v>
      </c>
      <c r="J44" s="136">
        <f>J43/J38</f>
        <v>1.972517975663717</v>
      </c>
      <c r="K44" s="132" t="s">
        <v>75</v>
      </c>
    </row>
    <row r="45" spans="1:14" ht="17.45" customHeight="1">
      <c r="A45" s="793" t="s">
        <v>19</v>
      </c>
      <c r="B45" s="794"/>
      <c r="C45" s="166">
        <f>SUMIF($G$7:$G$31,"Boiler",$F$7:$F$31)</f>
        <v>0</v>
      </c>
      <c r="D45" s="120">
        <f>C45+'19'!D45</f>
        <v>0</v>
      </c>
      <c r="E45" s="145">
        <f t="shared" si="0"/>
        <v>0</v>
      </c>
      <c r="F45" s="309"/>
      <c r="G45" s="312"/>
      <c r="H45" s="188" t="s">
        <v>87</v>
      </c>
      <c r="I45" s="120">
        <f>I43/I40</f>
        <v>1.8584429146863879</v>
      </c>
      <c r="J45" s="136">
        <f>J43/J40</f>
        <v>2.0560324481827168</v>
      </c>
      <c r="K45" s="132" t="s">
        <v>75</v>
      </c>
    </row>
    <row r="46" spans="1:14" ht="17.45" customHeight="1">
      <c r="A46" s="793" t="s">
        <v>88</v>
      </c>
      <c r="B46" s="794"/>
      <c r="C46" s="166">
        <f>SUMIF($G$7:$G$31,"Gas",$F$7:$F$31)</f>
        <v>0</v>
      </c>
      <c r="D46" s="120">
        <f>C46+'19'!D46</f>
        <v>0</v>
      </c>
      <c r="E46" s="145">
        <f t="shared" si="0"/>
        <v>0</v>
      </c>
      <c r="F46" s="309"/>
      <c r="G46" s="310"/>
      <c r="H46" s="188" t="s">
        <v>89</v>
      </c>
      <c r="I46" s="142">
        <f>+SUMIF(Listrik!X27,"&gt;0")</f>
        <v>40534.329999999769</v>
      </c>
      <c r="J46" s="137">
        <f>+I46+'19'!J46</f>
        <v>800179.36499999941</v>
      </c>
      <c r="K46" s="132" t="s">
        <v>90</v>
      </c>
    </row>
    <row r="47" spans="1:14" ht="17.45" customHeight="1">
      <c r="A47" s="793" t="s">
        <v>91</v>
      </c>
      <c r="B47" s="794"/>
      <c r="C47" s="166">
        <f>SUMIF($G$7:$G$31,"Gas",$F$7:$F$31)</f>
        <v>0</v>
      </c>
      <c r="D47" s="120">
        <f>C47+'19'!D47</f>
        <v>0</v>
      </c>
      <c r="E47" s="145">
        <f t="shared" si="0"/>
        <v>0</v>
      </c>
      <c r="F47" s="309"/>
      <c r="G47" s="310"/>
      <c r="H47" s="188" t="s">
        <v>92</v>
      </c>
      <c r="I47" s="120">
        <f>I46/I38</f>
        <v>906.66629386896386</v>
      </c>
      <c r="J47" s="137">
        <f>J46/J38</f>
        <v>922.0355883573003</v>
      </c>
      <c r="K47" s="132" t="s">
        <v>25</v>
      </c>
    </row>
    <row r="48" spans="1:14" ht="17.45" customHeight="1">
      <c r="A48" s="793" t="s">
        <v>15</v>
      </c>
      <c r="B48" s="794"/>
      <c r="C48" s="166">
        <f>SUMIF($G$7:$G$31,"Start Up",$F$7:$F$31)</f>
        <v>0</v>
      </c>
      <c r="D48" s="120">
        <f>C48+'19'!D48</f>
        <v>0</v>
      </c>
      <c r="E48" s="145">
        <f t="shared" si="0"/>
        <v>0</v>
      </c>
      <c r="F48" s="309"/>
      <c r="G48" s="310"/>
      <c r="H48" s="188" t="s">
        <v>93</v>
      </c>
      <c r="I48" s="120">
        <f>I46/I40</f>
        <v>863.88461456490211</v>
      </c>
      <c r="J48" s="137">
        <f>J46/J40</f>
        <v>961.07366900115119</v>
      </c>
      <c r="K48" s="132" t="s">
        <v>25</v>
      </c>
    </row>
    <row r="49" spans="1:11" ht="17.45" customHeight="1">
      <c r="A49" s="793" t="s">
        <v>21</v>
      </c>
      <c r="B49" s="794"/>
      <c r="C49" s="166">
        <f>SUMIF($G$7:$G$31,"Others",$F$7:$F$31)</f>
        <v>0</v>
      </c>
      <c r="D49" s="120">
        <f>C49+'19'!D49</f>
        <v>446</v>
      </c>
      <c r="E49" s="145">
        <f t="shared" si="0"/>
        <v>7.4333333333333336</v>
      </c>
      <c r="F49" s="185"/>
      <c r="H49" s="188" t="s">
        <v>280</v>
      </c>
      <c r="I49" s="120">
        <f>+Report1!T28</f>
        <v>3848.9560032894742</v>
      </c>
      <c r="J49" s="137">
        <f>+I49+'19'!J49</f>
        <v>71644.357018044189</v>
      </c>
      <c r="K49" s="132" t="s">
        <v>94</v>
      </c>
    </row>
    <row r="50" spans="1:11" ht="17.45" customHeight="1">
      <c r="A50" s="793" t="s">
        <v>20</v>
      </c>
      <c r="B50" s="794"/>
      <c r="C50" s="166">
        <f>SUMIF($G$7:$G$31,"Steam",$F$7:$F$31)</f>
        <v>0</v>
      </c>
      <c r="D50" s="120">
        <f>C50+'19'!D50</f>
        <v>0</v>
      </c>
      <c r="E50" s="145">
        <f t="shared" si="0"/>
        <v>0</v>
      </c>
      <c r="F50" s="185"/>
      <c r="H50" s="188" t="s">
        <v>95</v>
      </c>
      <c r="I50" s="142">
        <f>I49/I38</f>
        <v>86.092916171728675</v>
      </c>
      <c r="J50" s="135">
        <f>J49/J38</f>
        <v>82.554799292547244</v>
      </c>
      <c r="K50" s="132" t="s">
        <v>94</v>
      </c>
    </row>
    <row r="51" spans="1:11" ht="17.45" customHeight="1">
      <c r="A51" s="810" t="s">
        <v>96</v>
      </c>
      <c r="B51" s="810"/>
      <c r="C51" s="166">
        <f>SUMIF($G$7:$G$31,"Planned shut",$F$7:$F$31)</f>
        <v>0</v>
      </c>
      <c r="D51" s="120">
        <f>C51+'19'!D51</f>
        <v>0</v>
      </c>
      <c r="E51" s="145">
        <f t="shared" si="0"/>
        <v>0</v>
      </c>
      <c r="F51" s="185"/>
      <c r="H51" s="190" t="s">
        <v>97</v>
      </c>
      <c r="I51" s="143">
        <f>I49/I40</f>
        <v>82.030562078589</v>
      </c>
      <c r="J51" s="138">
        <f>J49/J40</f>
        <v>86.050088360576694</v>
      </c>
      <c r="K51" s="139" t="s">
        <v>94</v>
      </c>
    </row>
    <row r="52" spans="1:11" ht="13.5" thickBot="1">
      <c r="A52" s="811" t="s">
        <v>230</v>
      </c>
      <c r="B52" s="812"/>
      <c r="C52" s="166">
        <f>SUMIF($G$7:$G$31,"Change Grade",$F$7:$F$31)</f>
        <v>0</v>
      </c>
      <c r="D52" s="120">
        <f>C52+'19'!D52</f>
        <v>0</v>
      </c>
      <c r="E52" s="145">
        <f t="shared" si="0"/>
        <v>0</v>
      </c>
      <c r="F52" s="185"/>
      <c r="H52" s="191"/>
      <c r="I52" s="192"/>
      <c r="J52" s="140"/>
      <c r="K52" s="141"/>
    </row>
    <row r="53" spans="1:11">
      <c r="A53" s="806" t="s">
        <v>29</v>
      </c>
      <c r="B53" s="807"/>
      <c r="C53" s="146">
        <f>SUM(C38:C52)</f>
        <v>28</v>
      </c>
      <c r="D53" s="146">
        <f>SUM(D38:D52)</f>
        <v>1978</v>
      </c>
      <c r="E53" s="147">
        <f>SUM(E38:E52)</f>
        <v>32.966666666666669</v>
      </c>
      <c r="F53" s="185"/>
    </row>
    <row r="54" spans="1:11" ht="13.5" thickBot="1">
      <c r="A54" s="808"/>
      <c r="B54" s="809"/>
      <c r="C54" s="148">
        <f>C53/(24*60)</f>
        <v>1.9444444444444445E-2</v>
      </c>
      <c r="D54" s="148">
        <f>D53/(24*60*G4)</f>
        <v>6.868055555555555E-2</v>
      </c>
      <c r="E54" s="149">
        <f>E53/(G4*24)</f>
        <v>6.8680555555555564E-2</v>
      </c>
      <c r="F54" s="185"/>
    </row>
    <row r="55" spans="1:11">
      <c r="E55" s="193"/>
    </row>
    <row r="56" spans="1:11">
      <c r="A56" s="194" t="s">
        <v>98</v>
      </c>
      <c r="B56" s="195"/>
      <c r="C56" s="196"/>
      <c r="D56" s="196"/>
      <c r="E56" s="196"/>
      <c r="F56" s="197"/>
      <c r="G56" s="196"/>
      <c r="H56" s="198"/>
      <c r="I56" s="199" t="s">
        <v>99</v>
      </c>
      <c r="J56" s="200">
        <f>+D34+'19'!J56</f>
        <v>3979</v>
      </c>
      <c r="K56" s="201">
        <f>J56/(J40+J56/1000)/1000</f>
        <v>4.7563377991986311E-3</v>
      </c>
    </row>
    <row r="57" spans="1:11">
      <c r="A57" s="176"/>
      <c r="I57" s="199" t="s">
        <v>100</v>
      </c>
      <c r="J57" s="200">
        <f>+E34+'19'!J57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 ref="I7:I13"/>
    <mergeCell ref="A15:A23"/>
    <mergeCell ref="I15:I22"/>
    <mergeCell ref="A34:B34"/>
    <mergeCell ref="A7:A14"/>
  </mergeCells>
  <phoneticPr fontId="30" type="noConversion"/>
  <printOptions horizontalCentered="1"/>
  <pageMargins left="0.74791666666666667" right="0.74791666666666667" top="0.39027777777777778" bottom="0.59027777777777779" header="0" footer="0"/>
  <pageSetup paperSize="9" scale="42"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2"/>
  <sheetViews>
    <sheetView view="pageBreakPreview" topLeftCell="A7" zoomScale="80" zoomScaleNormal="80" zoomScaleSheetLayoutView="80" workbookViewId="0">
      <selection activeCell="J19" sqref="J19"/>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140625" style="151" customWidth="1"/>
    <col min="14" max="16384" width="9.140625" style="151"/>
  </cols>
  <sheetData>
    <row r="1" spans="1:27" ht="15.75">
      <c r="A1" s="150"/>
      <c r="V1" s="520"/>
      <c r="W1" s="523"/>
      <c r="X1" s="523"/>
      <c r="Y1" s="523"/>
    </row>
    <row r="2" spans="1:27" ht="15.75">
      <c r="A2" s="150" t="s">
        <v>231</v>
      </c>
      <c r="V2" s="520"/>
      <c r="W2" s="523"/>
      <c r="X2" s="523"/>
      <c r="Y2" s="523"/>
    </row>
    <row r="3" spans="1:27" ht="15">
      <c r="A3" s="152"/>
      <c r="Y3" s="521"/>
    </row>
    <row r="4" spans="1:27" ht="20.25">
      <c r="A4" s="153" t="s">
        <v>4</v>
      </c>
      <c r="B4" s="154"/>
      <c r="F4" s="155" t="s">
        <v>31</v>
      </c>
      <c r="G4" s="156">
        <v>19</v>
      </c>
      <c r="H4" s="156" t="str">
        <f>+'1'!H4</f>
        <v>.07.25</v>
      </c>
      <c r="J4" s="151">
        <f>314+312+309</f>
        <v>935</v>
      </c>
      <c r="Z4" s="521"/>
      <c r="AA4" s="521"/>
    </row>
    <row r="5" spans="1:27" ht="13.5" thickBot="1">
      <c r="C5" s="157"/>
      <c r="D5" s="157"/>
    </row>
    <row r="6" spans="1:27"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row>
    <row r="7" spans="1:27" ht="13.5" customHeight="1" thickBot="1">
      <c r="A7" s="795" t="s">
        <v>396</v>
      </c>
      <c r="B7" s="215" t="s">
        <v>398</v>
      </c>
      <c r="C7" s="216">
        <v>15296</v>
      </c>
      <c r="D7" s="217"/>
      <c r="E7" s="218"/>
      <c r="F7" s="233"/>
      <c r="G7" s="555" t="s">
        <v>13</v>
      </c>
      <c r="H7" s="556" t="s">
        <v>461</v>
      </c>
      <c r="I7" s="798" t="s">
        <v>459</v>
      </c>
      <c r="J7" s="214" t="str">
        <f>+'18'!J7</f>
        <v>F 12 VP OW</v>
      </c>
      <c r="K7" s="235">
        <f>+C34</f>
        <v>40988</v>
      </c>
      <c r="L7" s="239"/>
      <c r="M7" s="119">
        <f>+K7+'18'!M7+L7</f>
        <v>341621</v>
      </c>
      <c r="V7" s="538"/>
      <c r="X7" s="523"/>
    </row>
    <row r="8" spans="1:27" ht="13.5" thickBot="1">
      <c r="A8" s="796"/>
      <c r="B8" s="215"/>
      <c r="C8" s="216"/>
      <c r="D8" s="217"/>
      <c r="E8" s="219"/>
      <c r="F8" s="229">
        <v>5</v>
      </c>
      <c r="G8" s="557" t="s">
        <v>13</v>
      </c>
      <c r="H8" s="228" t="s">
        <v>468</v>
      </c>
      <c r="I8" s="799"/>
      <c r="J8" s="214" t="str">
        <f>+'18'!J8</f>
        <v>F 11,5 VP OW</v>
      </c>
      <c r="K8" s="236"/>
      <c r="L8" s="236"/>
      <c r="M8" s="119">
        <f>+K8+'18'!M8+L8</f>
        <v>226339</v>
      </c>
      <c r="N8" s="520"/>
      <c r="O8" s="521"/>
      <c r="P8" s="521"/>
      <c r="Q8" s="521"/>
      <c r="V8" s="522"/>
      <c r="W8" s="523"/>
      <c r="X8" s="523"/>
      <c r="Y8" s="523"/>
    </row>
    <row r="9" spans="1:27" ht="13.5" thickBot="1">
      <c r="A9" s="796"/>
      <c r="B9" s="215"/>
      <c r="C9" s="216"/>
      <c r="D9" s="217"/>
      <c r="E9" s="220"/>
      <c r="F9" s="229">
        <v>10</v>
      </c>
      <c r="G9" s="557" t="s">
        <v>13</v>
      </c>
      <c r="H9" s="231" t="s">
        <v>463</v>
      </c>
      <c r="I9" s="799"/>
      <c r="J9" s="214" t="str">
        <f>+'18'!J9</f>
        <v>T 13 VP OW</v>
      </c>
      <c r="K9" s="236"/>
      <c r="L9" s="236"/>
      <c r="M9" s="119">
        <f>+K9+'18'!M9+L9</f>
        <v>113358</v>
      </c>
      <c r="Y9" s="539"/>
    </row>
    <row r="10" spans="1:27" ht="39" thickBot="1">
      <c r="A10" s="796"/>
      <c r="B10" s="215"/>
      <c r="C10" s="216"/>
      <c r="D10" s="217"/>
      <c r="E10" s="219"/>
      <c r="F10" s="229"/>
      <c r="G10" s="227"/>
      <c r="H10" s="558" t="s">
        <v>673</v>
      </c>
      <c r="I10" s="799"/>
      <c r="J10" s="214" t="str">
        <f>+'18'!J10</f>
        <v>F 13 VP OW</v>
      </c>
      <c r="K10" s="236"/>
      <c r="L10" s="236"/>
      <c r="M10" s="119">
        <f>+K10+'18'!M10+L10</f>
        <v>43207</v>
      </c>
      <c r="Z10" s="539"/>
      <c r="AA10" s="539"/>
    </row>
    <row r="11" spans="1:27" ht="59.25" customHeight="1" thickBot="1">
      <c r="A11" s="796"/>
      <c r="B11" s="215"/>
      <c r="C11" s="216"/>
      <c r="D11" s="217"/>
      <c r="E11" s="219"/>
      <c r="F11" s="226"/>
      <c r="G11" s="230"/>
      <c r="H11" s="231" t="s">
        <v>672</v>
      </c>
      <c r="I11" s="799"/>
      <c r="J11" s="214" t="str">
        <f>+'18'!J11</f>
        <v xml:space="preserve">T 13 VP OW HB </v>
      </c>
      <c r="K11" s="236"/>
      <c r="L11" s="236"/>
      <c r="M11" s="119">
        <f>+K11+'18'!M11+L11</f>
        <v>10128</v>
      </c>
    </row>
    <row r="12" spans="1:27" ht="13.5" thickBot="1">
      <c r="A12" s="796"/>
      <c r="B12" s="215"/>
      <c r="C12" s="216"/>
      <c r="D12" s="217"/>
      <c r="E12" s="219"/>
      <c r="F12" s="226"/>
      <c r="G12" s="230"/>
      <c r="H12" s="231"/>
      <c r="I12" s="799"/>
      <c r="J12" s="214" t="str">
        <f>+'18'!J12</f>
        <v>TW 15 VP OW</v>
      </c>
      <c r="K12" s="236"/>
      <c r="L12" s="236"/>
      <c r="M12" s="119">
        <f>+K12+'18'!M12+L12</f>
        <v>51015</v>
      </c>
    </row>
    <row r="13" spans="1:27" ht="13.5" thickBot="1">
      <c r="A13" s="796"/>
      <c r="B13" s="215"/>
      <c r="C13" s="216"/>
      <c r="D13" s="216"/>
      <c r="E13" s="219"/>
      <c r="F13" s="226"/>
      <c r="G13" s="230"/>
      <c r="H13" s="231"/>
      <c r="I13" s="800"/>
      <c r="J13" s="214">
        <f>+'18'!J13</f>
        <v>0</v>
      </c>
      <c r="K13" s="236"/>
      <c r="L13" s="236"/>
      <c r="M13" s="119">
        <f>+K13+'18'!M13+L13</f>
        <v>0</v>
      </c>
    </row>
    <row r="14" spans="1:27" ht="13.5" thickBot="1">
      <c r="A14" s="797"/>
      <c r="B14" s="167" t="s">
        <v>3</v>
      </c>
      <c r="C14" s="101">
        <f>SUM(C7:C13)</f>
        <v>15296</v>
      </c>
      <c r="D14" s="113">
        <f>SUM(D7:D13)</f>
        <v>0</v>
      </c>
      <c r="E14" s="114">
        <f>SUM(E5:E13)</f>
        <v>0</v>
      </c>
      <c r="F14" s="118">
        <f>SUM(F7:F13)</f>
        <v>15</v>
      </c>
      <c r="G14" s="161"/>
      <c r="H14" s="168"/>
      <c r="I14" s="169"/>
      <c r="J14" s="214">
        <f>+'18'!J14</f>
        <v>0</v>
      </c>
      <c r="K14" s="236"/>
      <c r="L14" s="236"/>
      <c r="M14" s="119">
        <f>+K14+'18'!M14+L14</f>
        <v>0</v>
      </c>
      <c r="O14" s="523"/>
      <c r="P14" s="523"/>
      <c r="Q14" s="523"/>
    </row>
    <row r="15" spans="1:27" ht="13.5" thickBot="1">
      <c r="A15" s="801" t="s">
        <v>664</v>
      </c>
      <c r="B15" s="518"/>
      <c r="C15" s="115">
        <f>C14/($C$23+$D$23+$E$23)</f>
        <v>1.2005337100698532</v>
      </c>
      <c r="D15" s="116">
        <f>D14/($C$23+$D$23+$E$23)</f>
        <v>0</v>
      </c>
      <c r="E15" s="117">
        <f>E14/($C$23+$D$23+$E$23)</f>
        <v>0</v>
      </c>
      <c r="F15" s="233"/>
      <c r="G15" s="555" t="s">
        <v>13</v>
      </c>
      <c r="H15" s="556" t="s">
        <v>461</v>
      </c>
      <c r="I15" s="798" t="s">
        <v>459</v>
      </c>
      <c r="J15" s="214">
        <f>+'18'!J15</f>
        <v>0</v>
      </c>
      <c r="K15" s="236"/>
      <c r="L15" s="236"/>
      <c r="M15" s="119">
        <f>+K15+'18'!M15+L15</f>
        <v>0</v>
      </c>
      <c r="N15" s="520"/>
      <c r="O15" s="523"/>
      <c r="P15" s="523"/>
      <c r="Q15" s="523"/>
    </row>
    <row r="16" spans="1:27" ht="13.5" thickBot="1">
      <c r="A16" s="796"/>
      <c r="B16" s="517" t="s">
        <v>398</v>
      </c>
      <c r="C16" s="516">
        <v>12741</v>
      </c>
      <c r="D16" s="221"/>
      <c r="E16" s="222"/>
      <c r="F16" s="229">
        <v>3</v>
      </c>
      <c r="G16" s="557" t="s">
        <v>13</v>
      </c>
      <c r="H16" s="228" t="s">
        <v>399</v>
      </c>
      <c r="I16" s="799"/>
      <c r="J16" s="214">
        <f>+'18'!J16</f>
        <v>0</v>
      </c>
      <c r="K16" s="227"/>
      <c r="L16" s="227"/>
      <c r="M16" s="119">
        <f>+K16+'18'!M16+L16</f>
        <v>0</v>
      </c>
      <c r="N16" s="538"/>
      <c r="P16" s="523"/>
    </row>
    <row r="17" spans="1:19" ht="13.5" thickBot="1">
      <c r="A17" s="796"/>
      <c r="B17" s="215"/>
      <c r="C17" s="216"/>
      <c r="D17" s="217"/>
      <c r="E17" s="223"/>
      <c r="F17" s="229">
        <v>4</v>
      </c>
      <c r="G17" s="557" t="s">
        <v>13</v>
      </c>
      <c r="H17" s="231" t="s">
        <v>400</v>
      </c>
      <c r="I17" s="799"/>
      <c r="J17" s="214">
        <f>+'18'!J17</f>
        <v>0</v>
      </c>
      <c r="K17" s="227"/>
      <c r="L17" s="227"/>
      <c r="M17" s="119">
        <f>+K17+'18'!M17+L17</f>
        <v>0</v>
      </c>
      <c r="Q17" s="176"/>
    </row>
    <row r="18" spans="1:19" ht="39" thickBot="1">
      <c r="A18" s="796"/>
      <c r="B18" s="215"/>
      <c r="C18" s="216"/>
      <c r="D18" s="217"/>
      <c r="E18" s="223"/>
      <c r="F18" s="229"/>
      <c r="G18" s="227"/>
      <c r="H18" s="558" t="s">
        <v>673</v>
      </c>
      <c r="I18" s="799"/>
      <c r="J18" s="214">
        <f>+'18'!J18</f>
        <v>0</v>
      </c>
      <c r="K18" s="236"/>
      <c r="L18" s="236"/>
      <c r="M18" s="119">
        <f>+K18+'18'!M18+L18</f>
        <v>0</v>
      </c>
      <c r="R18" s="176"/>
      <c r="S18" s="176"/>
    </row>
    <row r="19" spans="1:19" ht="51.75" thickBot="1">
      <c r="A19" s="796"/>
      <c r="B19" s="215"/>
      <c r="C19" s="216"/>
      <c r="D19" s="217"/>
      <c r="E19" s="223"/>
      <c r="F19" s="232"/>
      <c r="G19" s="230"/>
      <c r="H19" s="231" t="s">
        <v>671</v>
      </c>
      <c r="I19" s="799"/>
      <c r="J19" s="214">
        <f>+'18'!J19</f>
        <v>0</v>
      </c>
      <c r="K19" s="236"/>
      <c r="L19" s="236"/>
      <c r="M19" s="119">
        <f>+K19+'18'!M19+L19</f>
        <v>0</v>
      </c>
    </row>
    <row r="20" spans="1:19" ht="13.5" thickBot="1">
      <c r="A20" s="796"/>
      <c r="B20" s="215"/>
      <c r="C20" s="216"/>
      <c r="D20" s="217"/>
      <c r="E20" s="223"/>
      <c r="F20" s="226"/>
      <c r="G20" s="230"/>
      <c r="H20" s="231"/>
      <c r="I20" s="799"/>
      <c r="J20" s="214">
        <f>+'18'!J20</f>
        <v>0</v>
      </c>
      <c r="K20" s="237"/>
      <c r="L20" s="237"/>
      <c r="M20" s="119">
        <f>+K20+'18'!M20+L20</f>
        <v>0</v>
      </c>
    </row>
    <row r="21" spans="1:19" ht="13.5" thickBot="1">
      <c r="A21" s="796"/>
      <c r="B21" s="215"/>
      <c r="C21" s="216"/>
      <c r="D21" s="217"/>
      <c r="E21" s="223"/>
      <c r="F21" s="229"/>
      <c r="G21" s="230"/>
      <c r="H21" s="231"/>
      <c r="I21" s="799"/>
      <c r="J21" s="214">
        <f>+'18'!J21</f>
        <v>0</v>
      </c>
      <c r="K21" s="236"/>
      <c r="L21" s="236"/>
      <c r="M21" s="119">
        <f>+K21+'18'!M21+L21</f>
        <v>0</v>
      </c>
    </row>
    <row r="22" spans="1:19" ht="13.5" thickBot="1">
      <c r="A22" s="796"/>
      <c r="B22" s="215"/>
      <c r="C22" s="216"/>
      <c r="D22" s="217"/>
      <c r="E22" s="223"/>
      <c r="F22" s="233"/>
      <c r="G22" s="230"/>
      <c r="H22" s="231"/>
      <c r="I22" s="800"/>
      <c r="J22" s="214">
        <f>+'18'!J22</f>
        <v>0</v>
      </c>
      <c r="K22" s="236"/>
      <c r="L22" s="236"/>
      <c r="M22" s="119">
        <f>+K22+'18'!M22+L22</f>
        <v>0</v>
      </c>
    </row>
    <row r="23" spans="1:19" ht="13.5" thickBot="1">
      <c r="A23" s="797"/>
      <c r="B23" s="167" t="s">
        <v>3</v>
      </c>
      <c r="C23" s="101">
        <f>SUM(C16:C22)</f>
        <v>12741</v>
      </c>
      <c r="D23" s="113">
        <f>SUM(D16:D22)</f>
        <v>0</v>
      </c>
      <c r="E23" s="114">
        <f>SUM(E18:E22)</f>
        <v>0</v>
      </c>
      <c r="F23" s="118">
        <f>SUM(F15:F22)</f>
        <v>7</v>
      </c>
      <c r="G23" s="161"/>
      <c r="H23" s="168"/>
      <c r="I23" s="170"/>
      <c r="J23" s="214">
        <f>+'18'!J23</f>
        <v>0</v>
      </c>
      <c r="K23" s="236"/>
      <c r="L23" s="236"/>
      <c r="M23" s="119">
        <f>+K23+'18'!M23+L23</f>
        <v>0</v>
      </c>
    </row>
    <row r="24" spans="1:19" ht="13.5" thickBot="1">
      <c r="A24" s="801" t="s">
        <v>470</v>
      </c>
      <c r="B24" s="518"/>
      <c r="C24" s="115">
        <f>C23/($C$23+$D$23+$E$23)</f>
        <v>1</v>
      </c>
      <c r="D24" s="116">
        <f>D23/($C$23+$D$23+$E$23)</f>
        <v>0</v>
      </c>
      <c r="E24" s="117">
        <f>E23/($C$23+$D$23+$E$23)</f>
        <v>0</v>
      </c>
      <c r="F24" s="233"/>
      <c r="G24" s="555" t="s">
        <v>13</v>
      </c>
      <c r="H24" s="556" t="s">
        <v>461</v>
      </c>
      <c r="I24" s="798" t="s">
        <v>459</v>
      </c>
      <c r="J24" s="214">
        <f>+'18'!J24</f>
        <v>0</v>
      </c>
      <c r="K24" s="236"/>
      <c r="L24" s="236"/>
      <c r="M24" s="119">
        <f>+K24+'18'!M24+L24</f>
        <v>0</v>
      </c>
    </row>
    <row r="25" spans="1:19" ht="13.5" thickBot="1">
      <c r="A25" s="796"/>
      <c r="B25" s="517" t="s">
        <v>398</v>
      </c>
      <c r="C25" s="224">
        <v>12951</v>
      </c>
      <c r="D25" s="217"/>
      <c r="E25" s="223"/>
      <c r="F25" s="229">
        <v>2</v>
      </c>
      <c r="G25" s="557" t="s">
        <v>13</v>
      </c>
      <c r="H25" s="228" t="s">
        <v>501</v>
      </c>
      <c r="I25" s="799"/>
      <c r="J25" s="214">
        <f>+'18'!J25</f>
        <v>0</v>
      </c>
      <c r="K25" s="236"/>
      <c r="L25" s="236"/>
      <c r="M25" s="119">
        <f>+K25+'18'!M25+L25</f>
        <v>0</v>
      </c>
      <c r="N25" s="538"/>
      <c r="O25" s="539"/>
      <c r="P25" s="539"/>
      <c r="Q25" s="539"/>
    </row>
    <row r="26" spans="1:19" ht="13.5" thickBot="1">
      <c r="A26" s="796"/>
      <c r="B26" s="215"/>
      <c r="C26" s="224"/>
      <c r="D26" s="217"/>
      <c r="E26" s="225"/>
      <c r="F26" s="229">
        <v>10</v>
      </c>
      <c r="G26" s="557" t="s">
        <v>13</v>
      </c>
      <c r="H26" s="231" t="s">
        <v>400</v>
      </c>
      <c r="I26" s="799"/>
      <c r="J26" s="214">
        <f>+'18'!J26</f>
        <v>0</v>
      </c>
      <c r="K26" s="236"/>
      <c r="L26" s="236"/>
      <c r="M26" s="119">
        <f>+K26+'18'!M26+L26</f>
        <v>0</v>
      </c>
    </row>
    <row r="27" spans="1:19" ht="39" thickBot="1">
      <c r="A27" s="796"/>
      <c r="B27" s="215"/>
      <c r="C27" s="216"/>
      <c r="D27" s="217"/>
      <c r="E27" s="223"/>
      <c r="F27" s="229"/>
      <c r="G27" s="227"/>
      <c r="H27" s="558" t="s">
        <v>673</v>
      </c>
      <c r="I27" s="799"/>
      <c r="J27" s="214">
        <f>+'18'!J27</f>
        <v>0</v>
      </c>
      <c r="K27" s="236"/>
      <c r="L27" s="236"/>
      <c r="M27" s="119">
        <f>+K27+'18'!M27+L27</f>
        <v>0</v>
      </c>
    </row>
    <row r="28" spans="1:19" ht="51.75" thickBot="1">
      <c r="A28" s="796"/>
      <c r="B28" s="215"/>
      <c r="C28" s="216"/>
      <c r="D28" s="217"/>
      <c r="E28" s="223"/>
      <c r="F28" s="229"/>
      <c r="G28" s="227"/>
      <c r="H28" s="231" t="s">
        <v>670</v>
      </c>
      <c r="I28" s="799"/>
      <c r="J28" s="214">
        <f>+'18'!J28</f>
        <v>0</v>
      </c>
      <c r="K28" s="236"/>
      <c r="L28" s="236"/>
      <c r="M28" s="119">
        <f>+K28+'18'!M28+L28</f>
        <v>0</v>
      </c>
    </row>
    <row r="29" spans="1:19" ht="13.5" thickBot="1">
      <c r="A29" s="796"/>
      <c r="B29" s="215"/>
      <c r="C29" s="216"/>
      <c r="D29" s="217"/>
      <c r="E29" s="223"/>
      <c r="F29" s="233"/>
      <c r="G29" s="230"/>
      <c r="H29" s="231"/>
      <c r="I29" s="799"/>
      <c r="J29" s="214">
        <f>+'18'!J29</f>
        <v>0</v>
      </c>
      <c r="K29" s="236"/>
      <c r="L29" s="236"/>
      <c r="M29" s="119">
        <f>+K29+'18'!M29+L29</f>
        <v>0</v>
      </c>
    </row>
    <row r="30" spans="1:19" ht="13.5" thickBot="1">
      <c r="A30" s="796"/>
      <c r="B30" s="215"/>
      <c r="C30" s="224"/>
      <c r="D30" s="217"/>
      <c r="E30" s="223"/>
      <c r="F30" s="233"/>
      <c r="G30" s="230"/>
      <c r="H30" s="231"/>
      <c r="I30" s="799"/>
      <c r="J30" s="214">
        <f>+'18'!J30</f>
        <v>0</v>
      </c>
      <c r="K30" s="236"/>
      <c r="L30" s="236"/>
      <c r="M30" s="119">
        <f>+K30+'18'!M30+L30</f>
        <v>0</v>
      </c>
      <c r="N30" s="157"/>
    </row>
    <row r="31" spans="1:19" ht="13.5" thickBot="1">
      <c r="A31" s="796"/>
      <c r="B31" s="215"/>
      <c r="C31" s="224"/>
      <c r="D31" s="217"/>
      <c r="E31" s="223"/>
      <c r="F31" s="233"/>
      <c r="G31" s="234"/>
      <c r="H31" s="409"/>
      <c r="I31" s="800"/>
      <c r="J31" s="214">
        <f>+'18'!J31</f>
        <v>0</v>
      </c>
      <c r="K31" s="236"/>
      <c r="L31" s="236"/>
      <c r="M31" s="119">
        <f>+K31+'18'!M31+L31</f>
        <v>0</v>
      </c>
    </row>
    <row r="32" spans="1:19" ht="13.5" thickBot="1">
      <c r="A32" s="797"/>
      <c r="B32" s="167" t="s">
        <v>3</v>
      </c>
      <c r="C32" s="101">
        <f>SUM(C25:C31)</f>
        <v>12951</v>
      </c>
      <c r="D32" s="102">
        <f>SUM(D25:D31)</f>
        <v>0</v>
      </c>
      <c r="E32" s="103">
        <f>SUM(E25:E31)</f>
        <v>0</v>
      </c>
      <c r="F32" s="101">
        <f>SUM(F24:F31)</f>
        <v>12</v>
      </c>
      <c r="G32" s="171"/>
      <c r="H32" s="172"/>
      <c r="I32" s="170"/>
      <c r="J32" s="214">
        <f>+'18'!J32</f>
        <v>0</v>
      </c>
      <c r="K32" s="238"/>
      <c r="L32" s="240"/>
      <c r="M32" s="119">
        <f>+K32+'18'!M32+L32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40988</v>
      </c>
      <c r="D34" s="109">
        <f>D14+D23+D32</f>
        <v>0</v>
      </c>
      <c r="E34" s="109">
        <f>E14+E23+E32</f>
        <v>0</v>
      </c>
      <c r="F34" s="110">
        <f>F14+F23+F32</f>
        <v>34</v>
      </c>
      <c r="H34" s="178"/>
      <c r="I34" s="178"/>
      <c r="J34" s="125" t="s">
        <v>29</v>
      </c>
      <c r="K34" s="126">
        <f>SUM(K7:K32)</f>
        <v>40988</v>
      </c>
      <c r="L34" s="212">
        <f>SUM(L7:L32)</f>
        <v>0</v>
      </c>
      <c r="M34" s="122">
        <f>SUM(M7:M32)</f>
        <v>785668</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(12*1440)/1440*G42*2.74*1440/1000000</f>
        <v>49.217414400000003</v>
      </c>
      <c r="J37" s="127">
        <f>+I37+'18'!J37</f>
        <v>915.57581172463597</v>
      </c>
      <c r="K37" s="128" t="s">
        <v>75</v>
      </c>
    </row>
    <row r="38" spans="1:14" ht="17.45" customHeight="1">
      <c r="A38" s="806" t="s">
        <v>13</v>
      </c>
      <c r="B38" s="807"/>
      <c r="C38" s="166">
        <f>SUMIF($G$7:$G$31,"Process",$F$7:$F$31)</f>
        <v>34</v>
      </c>
      <c r="D38" s="120">
        <f>C38+'18'!D38</f>
        <v>1398</v>
      </c>
      <c r="E38" s="145">
        <f t="shared" ref="E38:E52" si="0">D38/60</f>
        <v>23.3</v>
      </c>
      <c r="F38" s="309">
        <v>1350</v>
      </c>
      <c r="G38" s="309">
        <v>1039.5</v>
      </c>
      <c r="H38" s="187" t="s">
        <v>76</v>
      </c>
      <c r="I38" s="242">
        <f>15.513+15.896+14.811</f>
        <v>46.22</v>
      </c>
      <c r="J38" s="129">
        <f>+I38+'18'!J38</f>
        <v>823.13299999999992</v>
      </c>
      <c r="K38" s="130" t="s">
        <v>75</v>
      </c>
    </row>
    <row r="39" spans="1:14" ht="17.45" customHeight="1">
      <c r="A39" s="793" t="s">
        <v>14</v>
      </c>
      <c r="B39" s="794"/>
      <c r="C39" s="166">
        <f>SUMIF($G$7:$G$31,"Cleaning",$F$7:$F$31)</f>
        <v>0</v>
      </c>
      <c r="D39" s="120">
        <f>C39+'18'!D39</f>
        <v>0</v>
      </c>
      <c r="E39" s="145">
        <f t="shared" si="0"/>
        <v>0</v>
      </c>
      <c r="F39" s="309">
        <v>1350</v>
      </c>
      <c r="G39" s="309">
        <v>1039.5</v>
      </c>
      <c r="H39" s="187" t="s">
        <v>77</v>
      </c>
      <c r="I39" s="144"/>
      <c r="J39" s="131">
        <f>J37/G4</f>
        <v>48.188200617086103</v>
      </c>
      <c r="K39" s="132" t="s">
        <v>75</v>
      </c>
    </row>
    <row r="40" spans="1:14" ht="17.45" customHeight="1">
      <c r="A40" s="793" t="s">
        <v>78</v>
      </c>
      <c r="B40" s="794"/>
      <c r="C40" s="166">
        <f>SUMIF($G$7:$G$31,"Mechanical",$F$7:$F$31)</f>
        <v>0</v>
      </c>
      <c r="D40" s="120">
        <f>C40+'18'!D40</f>
        <v>28</v>
      </c>
      <c r="E40" s="145">
        <f t="shared" si="0"/>
        <v>0.46666666666666667</v>
      </c>
      <c r="F40" s="309">
        <v>1350</v>
      </c>
      <c r="G40" s="309">
        <v>1039.5</v>
      </c>
      <c r="H40" s="187" t="s">
        <v>79</v>
      </c>
      <c r="I40" s="120">
        <f>(K34+L34)/1000</f>
        <v>40.988</v>
      </c>
      <c r="J40" s="133">
        <f>+I40+'18'!J40</f>
        <v>785.66799999999989</v>
      </c>
      <c r="K40" s="132" t="s">
        <v>75</v>
      </c>
    </row>
    <row r="41" spans="1:14" ht="17.45" customHeight="1">
      <c r="A41" s="793" t="s">
        <v>80</v>
      </c>
      <c r="B41" s="794"/>
      <c r="C41" s="166">
        <f>SUMIF($G$7:$G$31,"Electrical",$F$7:$F$31)</f>
        <v>0</v>
      </c>
      <c r="D41" s="120">
        <f>C41+'18'!D41</f>
        <v>48</v>
      </c>
      <c r="E41" s="145">
        <f t="shared" si="0"/>
        <v>0.8</v>
      </c>
      <c r="F41" s="309"/>
      <c r="G41" s="309"/>
      <c r="H41" s="187" t="s">
        <v>81</v>
      </c>
      <c r="I41" s="144"/>
      <c r="J41" s="131">
        <f>J40/G4</f>
        <v>41.350947368421046</v>
      </c>
      <c r="K41" s="132" t="s">
        <v>75</v>
      </c>
    </row>
    <row r="42" spans="1:14" ht="17.45" customHeight="1">
      <c r="A42" s="793" t="s">
        <v>17</v>
      </c>
      <c r="B42" s="794"/>
      <c r="C42" s="166">
        <f>SUMIF($G$7:$G$31,"Instrument",$F$7:$F$31)</f>
        <v>0</v>
      </c>
      <c r="D42" s="120">
        <f>C42+'18'!D42</f>
        <v>0</v>
      </c>
      <c r="E42" s="145">
        <f t="shared" si="0"/>
        <v>0</v>
      </c>
      <c r="F42" s="185">
        <f>+(F38*480+F39*480+F40*480)/1440</f>
        <v>1350</v>
      </c>
      <c r="G42" s="185">
        <f>+(G38*480+G39*480+G40*480)/1440</f>
        <v>1039.5</v>
      </c>
      <c r="H42" s="187" t="s">
        <v>82</v>
      </c>
      <c r="I42" s="243" t="s">
        <v>459</v>
      </c>
      <c r="J42" s="134"/>
      <c r="K42" s="132" t="s">
        <v>83</v>
      </c>
    </row>
    <row r="43" spans="1:14" ht="17.45" customHeight="1">
      <c r="A43" s="793" t="s">
        <v>84</v>
      </c>
      <c r="B43" s="794"/>
      <c r="C43" s="166">
        <f>SUMIF($G$7:$G$31,"Water",$F$7:$F$31)</f>
        <v>0</v>
      </c>
      <c r="D43" s="120">
        <f>C43+'18'!D43</f>
        <v>0</v>
      </c>
      <c r="E43" s="145">
        <f t="shared" si="0"/>
        <v>0</v>
      </c>
      <c r="F43" s="309"/>
      <c r="G43" s="310"/>
      <c r="H43" s="188" t="s">
        <v>85</v>
      </c>
      <c r="I43" s="120">
        <f>+Report1!Z27</f>
        <v>87.1</v>
      </c>
      <c r="J43" s="135">
        <f>+I43+'18'!J43</f>
        <v>1624.6299999999999</v>
      </c>
      <c r="K43" s="132" t="s">
        <v>75</v>
      </c>
      <c r="L43" s="189"/>
    </row>
    <row r="44" spans="1:14" ht="17.45" customHeight="1">
      <c r="A44" s="793" t="s">
        <v>18</v>
      </c>
      <c r="B44" s="794"/>
      <c r="C44" s="166">
        <f>SUMIF($G$7:$G$31,"PLN",$F$7:$F$31)</f>
        <v>0</v>
      </c>
      <c r="D44" s="120">
        <f>C44+'18'!D44</f>
        <v>30</v>
      </c>
      <c r="E44" s="145">
        <f t="shared" si="0"/>
        <v>0.5</v>
      </c>
      <c r="F44" s="309"/>
      <c r="G44" s="310"/>
      <c r="H44" s="188" t="s">
        <v>86</v>
      </c>
      <c r="I44" s="120">
        <f>I43/I38</f>
        <v>1.8844655993076589</v>
      </c>
      <c r="J44" s="136">
        <f>J43/J38</f>
        <v>1.9737150618429828</v>
      </c>
      <c r="K44" s="132" t="s">
        <v>75</v>
      </c>
    </row>
    <row r="45" spans="1:14" ht="17.45" customHeight="1">
      <c r="A45" s="793" t="s">
        <v>19</v>
      </c>
      <c r="B45" s="794"/>
      <c r="C45" s="166">
        <f>SUMIF($G$7:$G$31,"Boiler",$F$7:$F$31)</f>
        <v>0</v>
      </c>
      <c r="D45" s="120">
        <f>C45+'18'!D45</f>
        <v>0</v>
      </c>
      <c r="E45" s="145">
        <f t="shared" si="0"/>
        <v>0</v>
      </c>
      <c r="F45" s="309"/>
      <c r="G45" s="312"/>
      <c r="H45" s="188" t="s">
        <v>87</v>
      </c>
      <c r="I45" s="120">
        <f>I43/I40</f>
        <v>2.1250121986923003</v>
      </c>
      <c r="J45" s="136">
        <f>J43/J40</f>
        <v>2.067832723236787</v>
      </c>
      <c r="K45" s="132" t="s">
        <v>75</v>
      </c>
    </row>
    <row r="46" spans="1:14" ht="17.45" customHeight="1">
      <c r="A46" s="793" t="s">
        <v>88</v>
      </c>
      <c r="B46" s="794"/>
      <c r="C46" s="166">
        <f>SUMIF($G$7:$G$31,"Gas",$F$7:$F$31)</f>
        <v>0</v>
      </c>
      <c r="D46" s="120">
        <f>C46+'18'!D46</f>
        <v>0</v>
      </c>
      <c r="E46" s="145">
        <f t="shared" si="0"/>
        <v>0</v>
      </c>
      <c r="F46" s="309"/>
      <c r="G46" s="310"/>
      <c r="H46" s="188" t="s">
        <v>89</v>
      </c>
      <c r="I46" s="142">
        <f>+SUMIF(Listrik!X26,"&gt;0")</f>
        <v>40886.00499999999</v>
      </c>
      <c r="J46" s="137">
        <f>+I46+'18'!J46</f>
        <v>759645.03499999968</v>
      </c>
      <c r="K46" s="132" t="s">
        <v>90</v>
      </c>
    </row>
    <row r="47" spans="1:14" ht="17.45" customHeight="1">
      <c r="A47" s="793" t="s">
        <v>91</v>
      </c>
      <c r="B47" s="794"/>
      <c r="C47" s="166">
        <f>SUMIF($G$7:$G$31,"Gas",$F$7:$F$31)</f>
        <v>0</v>
      </c>
      <c r="D47" s="120">
        <f>C47+'18'!D47</f>
        <v>0</v>
      </c>
      <c r="E47" s="145">
        <f t="shared" si="0"/>
        <v>0</v>
      </c>
      <c r="F47" s="309"/>
      <c r="G47" s="310"/>
      <c r="H47" s="188" t="s">
        <v>92</v>
      </c>
      <c r="I47" s="120">
        <f>I46/I38</f>
        <v>884.59552141929885</v>
      </c>
      <c r="J47" s="137">
        <f>J46/J38</f>
        <v>922.87034416066388</v>
      </c>
      <c r="K47" s="132" t="s">
        <v>25</v>
      </c>
    </row>
    <row r="48" spans="1:14" ht="17.45" customHeight="1">
      <c r="A48" s="793" t="s">
        <v>15</v>
      </c>
      <c r="B48" s="794"/>
      <c r="C48" s="166">
        <f>SUMIF($G$7:$G$31,"Start Up",$F$7:$F$31)</f>
        <v>0</v>
      </c>
      <c r="D48" s="120">
        <f>C48+'18'!D48</f>
        <v>0</v>
      </c>
      <c r="E48" s="145">
        <f t="shared" si="0"/>
        <v>0</v>
      </c>
      <c r="F48" s="309"/>
      <c r="G48" s="310"/>
      <c r="H48" s="188" t="s">
        <v>93</v>
      </c>
      <c r="I48" s="120">
        <f>I46/I40</f>
        <v>997.51158875768499</v>
      </c>
      <c r="J48" s="137">
        <f>J46/J40</f>
        <v>966.87791153515195</v>
      </c>
      <c r="K48" s="132" t="s">
        <v>25</v>
      </c>
    </row>
    <row r="49" spans="1:11" ht="17.45" customHeight="1">
      <c r="A49" s="793" t="s">
        <v>21</v>
      </c>
      <c r="B49" s="794"/>
      <c r="C49" s="166">
        <f>SUMIF($G$7:$G$31,"Others",$F$7:$F$31)</f>
        <v>0</v>
      </c>
      <c r="D49" s="120">
        <f>C49+'18'!D49</f>
        <v>446</v>
      </c>
      <c r="E49" s="145">
        <f t="shared" si="0"/>
        <v>7.4333333333333336</v>
      </c>
      <c r="F49" s="185"/>
      <c r="H49" s="188" t="s">
        <v>280</v>
      </c>
      <c r="I49" s="120">
        <f>+Report1!T27</f>
        <v>3788.8914295765358</v>
      </c>
      <c r="J49" s="137">
        <f>+I49+'18'!J49</f>
        <v>67795.401014754709</v>
      </c>
      <c r="K49" s="132" t="s">
        <v>94</v>
      </c>
    </row>
    <row r="50" spans="1:11" ht="17.45" customHeight="1">
      <c r="A50" s="793" t="s">
        <v>20</v>
      </c>
      <c r="B50" s="794"/>
      <c r="C50" s="166">
        <f>SUMIF($G$7:$G$31,"Steam",$F$7:$F$31)</f>
        <v>0</v>
      </c>
      <c r="D50" s="120">
        <f>C50+'18'!D50</f>
        <v>0</v>
      </c>
      <c r="E50" s="145">
        <f t="shared" si="0"/>
        <v>0</v>
      </c>
      <c r="F50" s="185"/>
      <c r="H50" s="188" t="s">
        <v>95</v>
      </c>
      <c r="I50" s="142">
        <f>I49/I38</f>
        <v>81.975149925931106</v>
      </c>
      <c r="J50" s="135">
        <f>J49/J38</f>
        <v>82.362632788084937</v>
      </c>
      <c r="K50" s="132" t="s">
        <v>94</v>
      </c>
    </row>
    <row r="51" spans="1:11" ht="17.45" customHeight="1">
      <c r="A51" s="810" t="s">
        <v>96</v>
      </c>
      <c r="B51" s="810"/>
      <c r="C51" s="166">
        <f>SUMIF($G$7:$G$31,"Planned shut",$F$7:$F$31)</f>
        <v>0</v>
      </c>
      <c r="D51" s="120">
        <f>C51+'18'!D51</f>
        <v>0</v>
      </c>
      <c r="E51" s="145">
        <f t="shared" si="0"/>
        <v>0</v>
      </c>
      <c r="F51" s="185"/>
      <c r="H51" s="190" t="s">
        <v>97</v>
      </c>
      <c r="I51" s="143">
        <f>I49/I40</f>
        <v>92.439041416427628</v>
      </c>
      <c r="J51" s="138">
        <f>J49/J40</f>
        <v>86.290139110609971</v>
      </c>
      <c r="K51" s="139" t="s">
        <v>94</v>
      </c>
    </row>
    <row r="52" spans="1:11" ht="13.5" thickBot="1">
      <c r="A52" s="811" t="s">
        <v>230</v>
      </c>
      <c r="B52" s="812"/>
      <c r="C52" s="166">
        <f>SUMIF($G$7:$G$31,"Change Grade",$F$7:$F$31)</f>
        <v>0</v>
      </c>
      <c r="D52" s="120">
        <f>C52+'18'!D52</f>
        <v>0</v>
      </c>
      <c r="E52" s="145">
        <f t="shared" si="0"/>
        <v>0</v>
      </c>
      <c r="F52" s="185"/>
      <c r="H52" s="191"/>
      <c r="I52" s="192"/>
      <c r="J52" s="140"/>
      <c r="K52" s="141"/>
    </row>
    <row r="53" spans="1:11">
      <c r="A53" s="806" t="s">
        <v>29</v>
      </c>
      <c r="B53" s="807"/>
      <c r="C53" s="146">
        <f>SUM(C38:C52)</f>
        <v>34</v>
      </c>
      <c r="D53" s="146">
        <f>SUM(D38:D52)</f>
        <v>1950</v>
      </c>
      <c r="E53" s="147">
        <f>SUM(E38:E52)</f>
        <v>32.5</v>
      </c>
      <c r="F53" s="185"/>
    </row>
    <row r="54" spans="1:11" ht="13.5" thickBot="1">
      <c r="A54" s="808"/>
      <c r="B54" s="809"/>
      <c r="C54" s="148">
        <f>C53/(24*60)</f>
        <v>2.361111111111111E-2</v>
      </c>
      <c r="D54" s="148">
        <f>D53/(24*60*G4)</f>
        <v>7.1271929824561403E-2</v>
      </c>
      <c r="E54" s="149">
        <f>E53/(G4*24)</f>
        <v>7.1271929824561403E-2</v>
      </c>
      <c r="F54" s="185"/>
    </row>
    <row r="55" spans="1:11">
      <c r="E55" s="193"/>
    </row>
    <row r="56" spans="1:11">
      <c r="A56" s="194" t="s">
        <v>98</v>
      </c>
      <c r="B56" s="195"/>
      <c r="C56" s="196"/>
      <c r="D56" s="196"/>
      <c r="E56" s="196"/>
      <c r="F56" s="197"/>
      <c r="G56" s="196"/>
      <c r="H56" s="198"/>
      <c r="I56" s="199" t="s">
        <v>99</v>
      </c>
      <c r="J56" s="200">
        <f>+D34+'18'!J56</f>
        <v>3979</v>
      </c>
      <c r="K56" s="201">
        <f>J56/(J40+J56/1000)/1000</f>
        <v>5.0389604468832278E-3</v>
      </c>
    </row>
    <row r="57" spans="1:11">
      <c r="A57" s="176"/>
      <c r="I57" s="199" t="s">
        <v>100</v>
      </c>
      <c r="J57" s="200">
        <f>+E34+'18'!J57</f>
        <v>0</v>
      </c>
      <c r="K57" s="201">
        <f>J57/(J40+J57/1000)/1000</f>
        <v>0</v>
      </c>
    </row>
    <row r="58" spans="1:11">
      <c r="A58" s="202"/>
      <c r="B58" s="203"/>
      <c r="F58" s="185"/>
      <c r="H58" s="204"/>
    </row>
    <row r="59" spans="1:11">
      <c r="A59" s="205"/>
      <c r="B59" s="176"/>
      <c r="C59" s="176"/>
      <c r="D59" s="176"/>
      <c r="E59" s="176"/>
      <c r="F59" s="189"/>
      <c r="G59" s="176"/>
      <c r="H59" s="204"/>
    </row>
    <row r="61" spans="1:11">
      <c r="A61" s="206"/>
      <c r="B61" s="207"/>
      <c r="C61" s="207"/>
      <c r="D61" s="207"/>
      <c r="E61" s="207"/>
      <c r="F61" s="208"/>
      <c r="G61" s="207"/>
      <c r="H61" s="209"/>
    </row>
    <row r="62" spans="1:11">
      <c r="H62" s="204"/>
    </row>
  </sheetData>
  <mergeCells count="25">
    <mergeCell ref="A54:B5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16" zoomScale="80" zoomScaleNormal="80" zoomScaleSheetLayoutView="80" workbookViewId="0">
      <selection activeCell="E11" sqref="E11"/>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2.28515625" style="15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5.140625" style="151" customWidth="1"/>
    <col min="14" max="16384" width="9.140625" style="151"/>
  </cols>
  <sheetData>
    <row r="1" spans="1:26" ht="15.75">
      <c r="A1" s="150"/>
      <c r="U1" s="519"/>
    </row>
    <row r="2" spans="1:26" ht="15.75">
      <c r="A2" s="150" t="s">
        <v>231</v>
      </c>
      <c r="U2" s="537"/>
    </row>
    <row r="3" spans="1:26" ht="15">
      <c r="A3" s="152"/>
      <c r="U3" s="519"/>
    </row>
    <row r="4" spans="1:26" ht="20.25">
      <c r="A4" s="153" t="s">
        <v>4</v>
      </c>
      <c r="B4" s="154"/>
      <c r="F4" s="155" t="s">
        <v>31</v>
      </c>
      <c r="G4" s="156">
        <v>18</v>
      </c>
      <c r="H4" s="156" t="str">
        <f>+'1'!H4</f>
        <v>.07.25</v>
      </c>
      <c r="J4" s="151">
        <f>336+332+321</f>
        <v>989</v>
      </c>
      <c r="X4" s="176"/>
    </row>
    <row r="5" spans="1:26" ht="13.5" thickBot="1">
      <c r="C5" s="157"/>
      <c r="D5" s="157"/>
      <c r="Y5" s="176"/>
      <c r="Z5" s="176"/>
    </row>
    <row r="6" spans="1:26"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425</v>
      </c>
      <c r="O6" s="151">
        <v>1350</v>
      </c>
      <c r="P6" s="151">
        <f>+O6-O6*0.23</f>
        <v>1039.5</v>
      </c>
      <c r="Q6" s="151">
        <f>60+30</f>
        <v>90</v>
      </c>
      <c r="R6" s="151">
        <f>+O6*Q6</f>
        <v>121500</v>
      </c>
      <c r="S6" s="151">
        <f>+P6*Q6</f>
        <v>93555</v>
      </c>
    </row>
    <row r="7" spans="1:26" ht="13.5" customHeight="1" thickBot="1">
      <c r="A7" s="795" t="s">
        <v>396</v>
      </c>
      <c r="B7" s="215" t="s">
        <v>445</v>
      </c>
      <c r="C7" s="216">
        <f>3509+4018</f>
        <v>7527</v>
      </c>
      <c r="D7" s="217"/>
      <c r="E7" s="218"/>
      <c r="F7" s="233"/>
      <c r="G7" s="555" t="s">
        <v>13</v>
      </c>
      <c r="H7" s="556" t="s">
        <v>461</v>
      </c>
      <c r="I7" s="798" t="s">
        <v>459</v>
      </c>
      <c r="J7" s="214" t="str">
        <f>+'17'!J7</f>
        <v>F 12 VP OW</v>
      </c>
      <c r="K7" s="235">
        <f>+C8+C16+C25</f>
        <v>40881</v>
      </c>
      <c r="L7" s="239"/>
      <c r="M7" s="119">
        <f>+K7+'17'!M7+L7</f>
        <v>300633</v>
      </c>
      <c r="N7" s="151" t="s">
        <v>409</v>
      </c>
      <c r="O7" s="151">
        <v>1350</v>
      </c>
      <c r="P7" s="151">
        <f>+O7-O7*0.23</f>
        <v>1039.5</v>
      </c>
      <c r="Q7" s="151">
        <f>480-Q6</f>
        <v>390</v>
      </c>
      <c r="R7" s="151">
        <f>+O7*Q7</f>
        <v>526500</v>
      </c>
      <c r="S7" s="151">
        <f>+P7*Q7</f>
        <v>405405</v>
      </c>
    </row>
    <row r="8" spans="1:26" ht="13.5" thickBot="1">
      <c r="A8" s="796"/>
      <c r="B8" s="215" t="s">
        <v>398</v>
      </c>
      <c r="C8" s="216">
        <v>9681</v>
      </c>
      <c r="D8" s="217"/>
      <c r="E8" s="219"/>
      <c r="F8" s="229">
        <v>3</v>
      </c>
      <c r="G8" s="557" t="s">
        <v>13</v>
      </c>
      <c r="H8" s="228" t="s">
        <v>399</v>
      </c>
      <c r="I8" s="799"/>
      <c r="J8" s="214" t="str">
        <f>+'17'!J8</f>
        <v>F 11,5 VP OW</v>
      </c>
      <c r="K8" s="236">
        <f>+C7</f>
        <v>7527</v>
      </c>
      <c r="L8" s="236"/>
      <c r="M8" s="119">
        <f>+K8+'17'!M8+L8</f>
        <v>226339</v>
      </c>
      <c r="P8" s="151">
        <f>+O8-O8*0.23</f>
        <v>0</v>
      </c>
      <c r="R8" s="151">
        <f>+O8*Q8</f>
        <v>0</v>
      </c>
      <c r="S8" s="151">
        <f>+P8*Q8</f>
        <v>0</v>
      </c>
    </row>
    <row r="9" spans="1:26" ht="13.5" thickBot="1">
      <c r="A9" s="796"/>
      <c r="B9" s="215"/>
      <c r="C9" s="216"/>
      <c r="D9" s="217"/>
      <c r="E9" s="220"/>
      <c r="F9" s="229">
        <v>9</v>
      </c>
      <c r="G9" s="557" t="s">
        <v>13</v>
      </c>
      <c r="H9" s="231" t="s">
        <v>463</v>
      </c>
      <c r="I9" s="799"/>
      <c r="J9" s="214" t="str">
        <f>+'17'!J9</f>
        <v>T 13 VP OW</v>
      </c>
      <c r="K9" s="236"/>
      <c r="L9" s="236"/>
      <c r="M9" s="119">
        <f>+K9+'17'!M9+L9</f>
        <v>113358</v>
      </c>
      <c r="P9" s="151">
        <f t="shared" ref="P9:P10" si="0">+O9-O9*0.23</f>
        <v>0</v>
      </c>
      <c r="R9" s="151">
        <f>+O9*Q9</f>
        <v>0</v>
      </c>
      <c r="S9" s="151">
        <f>+P9*Q9</f>
        <v>0</v>
      </c>
    </row>
    <row r="10" spans="1:26" ht="77.25" thickBot="1">
      <c r="A10" s="796"/>
      <c r="B10" s="215"/>
      <c r="C10" s="216"/>
      <c r="D10" s="217"/>
      <c r="E10" s="219"/>
      <c r="F10" s="229"/>
      <c r="G10" s="227"/>
      <c r="H10" s="558" t="s">
        <v>661</v>
      </c>
      <c r="I10" s="799"/>
      <c r="J10" s="214" t="str">
        <f>+'17'!J10</f>
        <v>F 13 VP OW</v>
      </c>
      <c r="K10" s="236"/>
      <c r="L10" s="236"/>
      <c r="M10" s="119">
        <f>+K10+'17'!M10+L10</f>
        <v>43207</v>
      </c>
      <c r="P10" s="151">
        <f t="shared" si="0"/>
        <v>0</v>
      </c>
      <c r="R10" s="151">
        <f>+O10*Q10</f>
        <v>0</v>
      </c>
      <c r="S10" s="151">
        <f>+P10*Q10</f>
        <v>0</v>
      </c>
    </row>
    <row r="11" spans="1:26" ht="51.75" thickBot="1">
      <c r="A11" s="796"/>
      <c r="B11" s="215"/>
      <c r="C11" s="216"/>
      <c r="D11" s="217"/>
      <c r="E11" s="219"/>
      <c r="F11" s="226"/>
      <c r="G11" s="230"/>
      <c r="H11" s="231" t="s">
        <v>662</v>
      </c>
      <c r="I11" s="799"/>
      <c r="J11" s="214" t="str">
        <f>+'17'!J11</f>
        <v xml:space="preserve">T 13 VP OW HB </v>
      </c>
      <c r="K11" s="236"/>
      <c r="L11" s="236"/>
      <c r="M11" s="119">
        <f>+K11+'17'!M11+L11</f>
        <v>10128</v>
      </c>
    </row>
    <row r="12" spans="1:26" ht="13.5" thickBot="1">
      <c r="A12" s="796"/>
      <c r="B12" s="215"/>
      <c r="C12" s="216"/>
      <c r="D12" s="217"/>
      <c r="E12" s="219"/>
      <c r="F12" s="226"/>
      <c r="G12" s="230"/>
      <c r="H12" s="231"/>
      <c r="I12" s="799"/>
      <c r="J12" s="214" t="str">
        <f>+'17'!J12</f>
        <v>TW 15 VP OW</v>
      </c>
      <c r="K12" s="236">
        <f>+C26</f>
        <v>0</v>
      </c>
      <c r="L12" s="236"/>
      <c r="M12" s="119">
        <f>+K12+'17'!M12+L12</f>
        <v>51015</v>
      </c>
      <c r="Q12" s="151">
        <f>SUM(Q6:Q11)</f>
        <v>480</v>
      </c>
      <c r="R12" s="151">
        <f>SUM(R6:R9)</f>
        <v>648000</v>
      </c>
      <c r="S12" s="151">
        <f>SUM(S6:S9)</f>
        <v>498960</v>
      </c>
    </row>
    <row r="13" spans="1:26" ht="13.5" thickBot="1">
      <c r="A13" s="796"/>
      <c r="B13" s="215"/>
      <c r="C13" s="216"/>
      <c r="D13" s="216"/>
      <c r="E13" s="219"/>
      <c r="F13" s="226"/>
      <c r="G13" s="230"/>
      <c r="H13" s="231"/>
      <c r="I13" s="800"/>
      <c r="J13" s="214">
        <f>+'17'!J13</f>
        <v>0</v>
      </c>
      <c r="K13" s="236"/>
      <c r="L13" s="236"/>
      <c r="M13" s="119">
        <f>+K13+'17'!M13+L13</f>
        <v>0</v>
      </c>
      <c r="P13" s="151" t="s">
        <v>424</v>
      </c>
      <c r="Q13" s="151">
        <f>480-Q12</f>
        <v>0</v>
      </c>
      <c r="R13" s="151">
        <f>+R12/Q12</f>
        <v>1350</v>
      </c>
      <c r="S13" s="151">
        <f>+S12/Q12</f>
        <v>1039.5</v>
      </c>
    </row>
    <row r="14" spans="1:26" ht="13.5" thickBot="1">
      <c r="A14" s="797"/>
      <c r="B14" s="167" t="s">
        <v>3</v>
      </c>
      <c r="C14" s="101">
        <f>SUM(C7:C13)</f>
        <v>17208</v>
      </c>
      <c r="D14" s="113">
        <f>SUM(D7:D13)</f>
        <v>0</v>
      </c>
      <c r="E14" s="114">
        <f>SUM(E5:E13)</f>
        <v>0</v>
      </c>
      <c r="F14" s="118">
        <f>SUM(F7:F13)</f>
        <v>12</v>
      </c>
      <c r="G14" s="161"/>
      <c r="H14" s="168"/>
      <c r="I14" s="169"/>
      <c r="J14" s="214">
        <f>+'17'!J14</f>
        <v>0</v>
      </c>
      <c r="K14" s="236"/>
      <c r="L14" s="236"/>
      <c r="M14" s="119">
        <f>+K14+'17'!M14+L14</f>
        <v>0</v>
      </c>
    </row>
    <row r="15" spans="1:26" ht="13.5" thickBot="1">
      <c r="A15" s="801" t="s">
        <v>664</v>
      </c>
      <c r="B15" s="518"/>
      <c r="C15" s="115">
        <f>C14/($C$23+$D$23+$E$23)</f>
        <v>1.2694946514201402</v>
      </c>
      <c r="D15" s="116">
        <f>D14/($C$23+$D$23+$E$23)</f>
        <v>0</v>
      </c>
      <c r="E15" s="117">
        <f>E14/($C$23+$D$23+$E$23)</f>
        <v>0</v>
      </c>
      <c r="F15" s="233"/>
      <c r="G15" s="555" t="s">
        <v>13</v>
      </c>
      <c r="H15" s="556" t="s">
        <v>461</v>
      </c>
      <c r="I15" s="798" t="s">
        <v>459</v>
      </c>
      <c r="J15" s="214">
        <f>+'17'!J15</f>
        <v>0</v>
      </c>
      <c r="K15" s="236"/>
      <c r="L15" s="236"/>
      <c r="M15" s="119">
        <f>+K15+'17'!M15+L15</f>
        <v>0</v>
      </c>
    </row>
    <row r="16" spans="1:26" ht="13.5" thickBot="1">
      <c r="A16" s="796"/>
      <c r="B16" s="517" t="s">
        <v>398</v>
      </c>
      <c r="C16" s="516">
        <v>13555</v>
      </c>
      <c r="D16" s="221"/>
      <c r="E16" s="222"/>
      <c r="F16" s="229">
        <v>4</v>
      </c>
      <c r="G16" s="557" t="s">
        <v>13</v>
      </c>
      <c r="H16" s="228" t="s">
        <v>468</v>
      </c>
      <c r="I16" s="799"/>
      <c r="J16" s="214">
        <f>+'17'!J16</f>
        <v>0</v>
      </c>
      <c r="K16" s="227"/>
      <c r="L16" s="227"/>
      <c r="M16" s="119">
        <f>+K16+'17'!M16+L16</f>
        <v>0</v>
      </c>
      <c r="N16" s="151" t="s">
        <v>409</v>
      </c>
      <c r="O16" s="151">
        <v>1350</v>
      </c>
      <c r="P16" s="151">
        <f>+O16-O16*0.23</f>
        <v>1039.5</v>
      </c>
      <c r="Q16" s="151">
        <v>480</v>
      </c>
      <c r="R16" s="151">
        <f>+O16*Q16</f>
        <v>648000</v>
      </c>
      <c r="S16" s="151">
        <f>+P16*Q16</f>
        <v>498960</v>
      </c>
    </row>
    <row r="17" spans="1:19" ht="13.5" thickBot="1">
      <c r="A17" s="796"/>
      <c r="B17" s="215"/>
      <c r="C17" s="216"/>
      <c r="D17" s="217"/>
      <c r="E17" s="223"/>
      <c r="F17" s="229">
        <v>7</v>
      </c>
      <c r="G17" s="557" t="s">
        <v>13</v>
      </c>
      <c r="H17" s="231" t="s">
        <v>400</v>
      </c>
      <c r="I17" s="799"/>
      <c r="J17" s="214">
        <f>+'17'!J17</f>
        <v>0</v>
      </c>
      <c r="K17" s="227"/>
      <c r="L17" s="227"/>
      <c r="M17" s="119">
        <f>+K17+'17'!M17+L17</f>
        <v>0</v>
      </c>
      <c r="P17" s="151">
        <f>+O17-O17*0.23</f>
        <v>0</v>
      </c>
      <c r="Q17" s="151">
        <f>480-Q16</f>
        <v>0</v>
      </c>
      <c r="R17" s="151">
        <f>+O17*Q17</f>
        <v>0</v>
      </c>
      <c r="S17" s="151">
        <f>+P17*Q17</f>
        <v>0</v>
      </c>
    </row>
    <row r="18" spans="1:19" ht="51.75" thickBot="1">
      <c r="A18" s="796"/>
      <c r="B18" s="215"/>
      <c r="C18" s="216"/>
      <c r="D18" s="217"/>
      <c r="E18" s="223"/>
      <c r="F18" s="229"/>
      <c r="G18" s="227"/>
      <c r="H18" s="558" t="s">
        <v>659</v>
      </c>
      <c r="I18" s="799"/>
      <c r="J18" s="214">
        <f>+'17'!J18</f>
        <v>0</v>
      </c>
      <c r="K18" s="236"/>
      <c r="L18" s="236"/>
      <c r="M18" s="119">
        <f>+K18+'17'!M18+L18</f>
        <v>0</v>
      </c>
      <c r="P18" s="151">
        <f>+O18-O18*0.23</f>
        <v>0</v>
      </c>
      <c r="R18" s="151">
        <f>+O18*Q18</f>
        <v>0</v>
      </c>
      <c r="S18" s="151">
        <f>+P18*Q18</f>
        <v>0</v>
      </c>
    </row>
    <row r="19" spans="1:19" ht="39" thickBot="1">
      <c r="A19" s="796"/>
      <c r="B19" s="215"/>
      <c r="C19" s="216"/>
      <c r="D19" s="217"/>
      <c r="E19" s="223"/>
      <c r="F19" s="232"/>
      <c r="G19" s="230"/>
      <c r="H19" s="231" t="s">
        <v>660</v>
      </c>
      <c r="I19" s="799"/>
      <c r="J19" s="214">
        <f>+'17'!J19</f>
        <v>0</v>
      </c>
      <c r="K19" s="236"/>
      <c r="L19" s="236"/>
      <c r="M19" s="119">
        <f>+K19+'17'!M19+L19</f>
        <v>0</v>
      </c>
      <c r="P19" s="151">
        <f t="shared" ref="P19:P20" si="1">+O19-O19*0.23</f>
        <v>0</v>
      </c>
      <c r="R19" s="151">
        <f>+O19*Q19</f>
        <v>0</v>
      </c>
      <c r="S19" s="151">
        <f>+P19*Q19</f>
        <v>0</v>
      </c>
    </row>
    <row r="20" spans="1:19" ht="13.5" thickBot="1">
      <c r="A20" s="796"/>
      <c r="B20" s="215"/>
      <c r="C20" s="216"/>
      <c r="D20" s="217"/>
      <c r="E20" s="223"/>
      <c r="F20" s="226"/>
      <c r="G20" s="230"/>
      <c r="H20" s="231"/>
      <c r="I20" s="799"/>
      <c r="J20" s="214">
        <f>+'17'!J20</f>
        <v>0</v>
      </c>
      <c r="K20" s="237"/>
      <c r="L20" s="237"/>
      <c r="M20" s="119">
        <f>+K20+'17'!M20+L20</f>
        <v>0</v>
      </c>
      <c r="P20" s="151">
        <f t="shared" si="1"/>
        <v>0</v>
      </c>
      <c r="R20" s="151">
        <f>+O20*Q20</f>
        <v>0</v>
      </c>
      <c r="S20" s="151">
        <f>+P20*Q20</f>
        <v>0</v>
      </c>
    </row>
    <row r="21" spans="1:19" ht="13.5" thickBot="1">
      <c r="A21" s="796"/>
      <c r="B21" s="215"/>
      <c r="C21" s="216"/>
      <c r="D21" s="217"/>
      <c r="E21" s="223"/>
      <c r="F21" s="229"/>
      <c r="G21" s="230"/>
      <c r="H21" s="231"/>
      <c r="I21" s="799"/>
      <c r="J21" s="214">
        <f>+'17'!J21</f>
        <v>0</v>
      </c>
      <c r="K21" s="236"/>
      <c r="L21" s="236"/>
      <c r="M21" s="119">
        <f>+K21+'17'!M21+L21</f>
        <v>0</v>
      </c>
    </row>
    <row r="22" spans="1:19" ht="13.5" thickBot="1">
      <c r="A22" s="796"/>
      <c r="B22" s="215"/>
      <c r="C22" s="216"/>
      <c r="D22" s="217"/>
      <c r="E22" s="223"/>
      <c r="F22" s="233"/>
      <c r="G22" s="230"/>
      <c r="H22" s="231"/>
      <c r="I22" s="800"/>
      <c r="J22" s="214">
        <f>+'17'!J22</f>
        <v>0</v>
      </c>
      <c r="K22" s="236"/>
      <c r="L22" s="236"/>
      <c r="M22" s="119">
        <f>+K22+'17'!M22+L22</f>
        <v>0</v>
      </c>
      <c r="Q22" s="151">
        <f>SUM(Q16:Q21)</f>
        <v>480</v>
      </c>
      <c r="R22" s="151">
        <f>SUM(R16:R19)</f>
        <v>648000</v>
      </c>
      <c r="S22" s="151">
        <f>SUM(S16:S19)</f>
        <v>498960</v>
      </c>
    </row>
    <row r="23" spans="1:19" ht="13.5" thickBot="1">
      <c r="A23" s="797"/>
      <c r="B23" s="167" t="s">
        <v>3</v>
      </c>
      <c r="C23" s="101">
        <f>SUM(C16:C22)</f>
        <v>13555</v>
      </c>
      <c r="D23" s="113">
        <f>SUM(D16:D22)</f>
        <v>0</v>
      </c>
      <c r="E23" s="114">
        <f>SUM(E18:E22)</f>
        <v>0</v>
      </c>
      <c r="F23" s="118">
        <f>SUM(F15:F22)</f>
        <v>11</v>
      </c>
      <c r="G23" s="161"/>
      <c r="H23" s="168"/>
      <c r="I23" s="170"/>
      <c r="J23" s="214">
        <f>+'17'!J23</f>
        <v>0</v>
      </c>
      <c r="K23" s="236"/>
      <c r="L23" s="236"/>
      <c r="M23" s="119">
        <f>+K23+'17'!M23+L23</f>
        <v>0</v>
      </c>
      <c r="P23" s="151" t="s">
        <v>424</v>
      </c>
      <c r="Q23" s="151">
        <f>480-Q22</f>
        <v>0</v>
      </c>
      <c r="R23" s="151">
        <f>+R22/Q22</f>
        <v>1350</v>
      </c>
      <c r="S23" s="151">
        <f>+S22/Q22</f>
        <v>1039.5</v>
      </c>
    </row>
    <row r="24" spans="1:19" ht="13.5" thickBot="1">
      <c r="A24" s="801" t="s">
        <v>470</v>
      </c>
      <c r="B24" s="518"/>
      <c r="C24" s="115">
        <f>C23/($C$23+$D$23+$E$23)</f>
        <v>1</v>
      </c>
      <c r="D24" s="116">
        <f>D23/($C$23+$D$23+$E$23)</f>
        <v>0</v>
      </c>
      <c r="E24" s="117">
        <f>E23/($C$23+$D$23+$E$23)</f>
        <v>0</v>
      </c>
      <c r="F24" s="233"/>
      <c r="G24" s="555" t="s">
        <v>13</v>
      </c>
      <c r="H24" s="556" t="s">
        <v>461</v>
      </c>
      <c r="I24" s="798" t="s">
        <v>459</v>
      </c>
      <c r="J24" s="214">
        <f>+'17'!J24</f>
        <v>0</v>
      </c>
      <c r="K24" s="236"/>
      <c r="L24" s="236"/>
      <c r="M24" s="119">
        <f>+K24+'17'!M24+L24</f>
        <v>0</v>
      </c>
      <c r="N24" s="151" t="s">
        <v>409</v>
      </c>
      <c r="O24" s="151">
        <v>1350</v>
      </c>
      <c r="P24" s="151">
        <f>+O24-O24*0.23</f>
        <v>1039.5</v>
      </c>
      <c r="Q24" s="151">
        <v>480</v>
      </c>
      <c r="R24" s="151">
        <f>+O24*Q24</f>
        <v>648000</v>
      </c>
      <c r="S24" s="151">
        <f>+P24*Q24</f>
        <v>498960</v>
      </c>
    </row>
    <row r="25" spans="1:19" ht="13.5" thickBot="1">
      <c r="A25" s="796"/>
      <c r="B25" s="517" t="s">
        <v>398</v>
      </c>
      <c r="C25" s="224">
        <v>17645</v>
      </c>
      <c r="D25" s="217"/>
      <c r="E25" s="223"/>
      <c r="F25" s="229">
        <v>3</v>
      </c>
      <c r="G25" s="557" t="s">
        <v>13</v>
      </c>
      <c r="H25" s="228" t="s">
        <v>399</v>
      </c>
      <c r="I25" s="799"/>
      <c r="J25" s="214">
        <f>+'17'!J25</f>
        <v>0</v>
      </c>
      <c r="K25" s="236"/>
      <c r="L25" s="236"/>
      <c r="M25" s="119">
        <f>+K25+'17'!M25+L25</f>
        <v>0</v>
      </c>
      <c r="P25" s="151">
        <f>+O25-O25*0.23</f>
        <v>0</v>
      </c>
      <c r="Q25" s="151">
        <f>480-Q24</f>
        <v>0</v>
      </c>
      <c r="R25" s="151">
        <f>+O25*Q25</f>
        <v>0</v>
      </c>
      <c r="S25" s="151">
        <f>+P25*Q25</f>
        <v>0</v>
      </c>
    </row>
    <row r="26" spans="1:19" ht="13.5" thickBot="1">
      <c r="A26" s="796"/>
      <c r="B26" s="215"/>
      <c r="C26" s="224"/>
      <c r="D26" s="217"/>
      <c r="E26" s="225"/>
      <c r="F26" s="229">
        <v>3</v>
      </c>
      <c r="G26" s="557" t="s">
        <v>13</v>
      </c>
      <c r="H26" s="231" t="s">
        <v>463</v>
      </c>
      <c r="I26" s="799"/>
      <c r="J26" s="214">
        <f>+'17'!J26</f>
        <v>0</v>
      </c>
      <c r="K26" s="236"/>
      <c r="L26" s="236"/>
      <c r="M26" s="119">
        <f>+K26+'17'!M26+L26</f>
        <v>0</v>
      </c>
      <c r="P26" s="151">
        <f>+O26-O26*0.23</f>
        <v>0</v>
      </c>
      <c r="R26" s="151">
        <f>+O26*Q26</f>
        <v>0</v>
      </c>
      <c r="S26" s="151">
        <f>+P26*Q26</f>
        <v>0</v>
      </c>
    </row>
    <row r="27" spans="1:19" ht="51.75" thickBot="1">
      <c r="A27" s="796"/>
      <c r="B27" s="215"/>
      <c r="C27" s="216"/>
      <c r="D27" s="217"/>
      <c r="E27" s="223"/>
      <c r="F27" s="229"/>
      <c r="G27" s="227"/>
      <c r="H27" s="558" t="s">
        <v>659</v>
      </c>
      <c r="I27" s="799"/>
      <c r="J27" s="214">
        <f>+'17'!J27</f>
        <v>0</v>
      </c>
      <c r="K27" s="236"/>
      <c r="L27" s="236"/>
      <c r="M27" s="119">
        <f>+K27+'17'!M27+L27</f>
        <v>0</v>
      </c>
      <c r="P27" s="151">
        <f t="shared" ref="P27:P28" si="2">+O27-O27*0.23</f>
        <v>0</v>
      </c>
      <c r="R27" s="151">
        <f>+O27*Q27</f>
        <v>0</v>
      </c>
      <c r="S27" s="151">
        <f>+P27*Q27</f>
        <v>0</v>
      </c>
    </row>
    <row r="28" spans="1:19" ht="39" thickBot="1">
      <c r="A28" s="796"/>
      <c r="B28" s="215"/>
      <c r="C28" s="216"/>
      <c r="D28" s="217"/>
      <c r="E28" s="223"/>
      <c r="F28" s="229"/>
      <c r="G28" s="227"/>
      <c r="H28" s="231" t="s">
        <v>660</v>
      </c>
      <c r="I28" s="799"/>
      <c r="J28" s="214">
        <f>+'17'!J28</f>
        <v>0</v>
      </c>
      <c r="K28" s="236"/>
      <c r="L28" s="236"/>
      <c r="M28" s="119">
        <f>+K28+'17'!M28+L28</f>
        <v>0</v>
      </c>
      <c r="P28" s="151">
        <f t="shared" si="2"/>
        <v>0</v>
      </c>
      <c r="R28" s="151">
        <f>+O28*Q28</f>
        <v>0</v>
      </c>
      <c r="S28" s="151">
        <f>+P28*Q28</f>
        <v>0</v>
      </c>
    </row>
    <row r="29" spans="1:19" ht="13.5" thickBot="1">
      <c r="A29" s="796"/>
      <c r="B29" s="215"/>
      <c r="C29" s="216"/>
      <c r="D29" s="217"/>
      <c r="E29" s="223"/>
      <c r="F29" s="233"/>
      <c r="G29" s="230"/>
      <c r="H29" s="231"/>
      <c r="I29" s="799"/>
      <c r="J29" s="214">
        <f>+'17'!J29</f>
        <v>0</v>
      </c>
      <c r="K29" s="236"/>
      <c r="L29" s="236"/>
      <c r="M29" s="119">
        <f>+K29+'17'!M29+L29</f>
        <v>0</v>
      </c>
    </row>
    <row r="30" spans="1:19" ht="13.5" thickBot="1">
      <c r="A30" s="796"/>
      <c r="B30" s="215"/>
      <c r="C30" s="224"/>
      <c r="D30" s="217"/>
      <c r="E30" s="223"/>
      <c r="F30" s="233"/>
      <c r="G30" s="230"/>
      <c r="H30" s="231"/>
      <c r="I30" s="799"/>
      <c r="J30" s="214">
        <f>+'17'!J30</f>
        <v>0</v>
      </c>
      <c r="K30" s="236"/>
      <c r="L30" s="236"/>
      <c r="M30" s="119">
        <f>+K30+'17'!M30+L30</f>
        <v>0</v>
      </c>
      <c r="Q30" s="151">
        <f>SUM(Q24:Q29)</f>
        <v>480</v>
      </c>
      <c r="R30" s="151">
        <f>SUM(R24:R27)</f>
        <v>648000</v>
      </c>
      <c r="S30" s="151">
        <f>SUM(S24:S27)</f>
        <v>498960</v>
      </c>
    </row>
    <row r="31" spans="1:19" ht="13.5" thickBot="1">
      <c r="A31" s="796"/>
      <c r="B31" s="215"/>
      <c r="C31" s="224"/>
      <c r="D31" s="217"/>
      <c r="E31" s="223"/>
      <c r="F31" s="233"/>
      <c r="G31" s="234"/>
      <c r="H31" s="409"/>
      <c r="I31" s="800"/>
      <c r="J31" s="214">
        <f>+'17'!J31</f>
        <v>0</v>
      </c>
      <c r="K31" s="236"/>
      <c r="L31" s="236"/>
      <c r="M31" s="119">
        <f>+K31+'17'!M31+L31</f>
        <v>0</v>
      </c>
      <c r="P31" s="151" t="s">
        <v>424</v>
      </c>
      <c r="Q31" s="151">
        <f>480-Q30</f>
        <v>0</v>
      </c>
      <c r="R31" s="151">
        <f>+R30/Q30</f>
        <v>1350</v>
      </c>
      <c r="S31" s="151">
        <f>+S30/Q30</f>
        <v>1039.5</v>
      </c>
    </row>
    <row r="32" spans="1:19" ht="13.5" thickBot="1">
      <c r="A32" s="797"/>
      <c r="B32" s="167" t="s">
        <v>3</v>
      </c>
      <c r="C32" s="101">
        <f>SUM(C25:C31)</f>
        <v>17645</v>
      </c>
      <c r="D32" s="102">
        <f>SUM(D25:D31)</f>
        <v>0</v>
      </c>
      <c r="E32" s="103">
        <f>SUM(E25:E31)</f>
        <v>0</v>
      </c>
      <c r="F32" s="101">
        <f>SUM(F24:F31)</f>
        <v>6</v>
      </c>
      <c r="G32" s="171"/>
      <c r="H32" s="172"/>
      <c r="I32" s="170"/>
      <c r="J32" s="214">
        <f>+'17'!J32</f>
        <v>0</v>
      </c>
      <c r="K32" s="238"/>
      <c r="L32" s="240"/>
      <c r="M32" s="119">
        <f>+K32+'17'!M32+L32</f>
        <v>0</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02" t="s">
        <v>69</v>
      </c>
      <c r="B34" s="803"/>
      <c r="C34" s="109">
        <f>C14+C23+C32</f>
        <v>48408</v>
      </c>
      <c r="D34" s="109">
        <f>D14+D23+D32</f>
        <v>0</v>
      </c>
      <c r="E34" s="109">
        <f>E14+E23+E32</f>
        <v>0</v>
      </c>
      <c r="F34" s="110">
        <f>F14+F23+F32</f>
        <v>29</v>
      </c>
      <c r="H34" s="178"/>
      <c r="I34" s="178"/>
      <c r="J34" s="125" t="s">
        <v>29</v>
      </c>
      <c r="K34" s="126">
        <f>SUM(K7:K32)</f>
        <v>48408</v>
      </c>
      <c r="L34" s="212">
        <f>SUM(L7:L32)</f>
        <v>0</v>
      </c>
      <c r="M34" s="122">
        <f>SUM(M7:M32)</f>
        <v>744680</v>
      </c>
      <c r="N34" s="157"/>
    </row>
    <row r="35" spans="1:17" ht="13.5" thickBot="1">
      <c r="A35" s="179"/>
      <c r="B35" s="180"/>
      <c r="C35" s="106">
        <f>C34/($C$34+$D$34+$E$34)</f>
        <v>1</v>
      </c>
      <c r="D35" s="106">
        <f>D34/($C$34+$D$34+$E$34)</f>
        <v>0</v>
      </c>
      <c r="E35" s="111">
        <f>E34/($C$34+$D$34+$E$34)</f>
        <v>0</v>
      </c>
      <c r="K35" s="157"/>
      <c r="N35" s="151" t="s">
        <v>425</v>
      </c>
      <c r="O35" s="151">
        <v>1350</v>
      </c>
      <c r="P35" s="151">
        <v>1039.5</v>
      </c>
      <c r="Q35" s="151">
        <v>90</v>
      </c>
    </row>
    <row r="36" spans="1:17" ht="13.5" thickBot="1">
      <c r="A36" s="178"/>
      <c r="B36" s="178"/>
      <c r="C36" s="157"/>
      <c r="D36" s="157"/>
      <c r="E36" s="157"/>
      <c r="G36" s="157"/>
      <c r="H36" s="181"/>
      <c r="I36" s="164" t="s">
        <v>39</v>
      </c>
      <c r="J36" s="164" t="s">
        <v>40</v>
      </c>
      <c r="K36" s="182"/>
      <c r="N36" s="151" t="s">
        <v>409</v>
      </c>
      <c r="O36" s="151">
        <v>1350</v>
      </c>
      <c r="P36" s="151">
        <v>1039.5</v>
      </c>
      <c r="Q36" s="151">
        <f>390+480+480</f>
        <v>1350</v>
      </c>
    </row>
    <row r="37" spans="1:17" ht="17.45" customHeight="1" thickBot="1">
      <c r="A37" s="804" t="s">
        <v>70</v>
      </c>
      <c r="B37" s="805"/>
      <c r="C37" s="164" t="s">
        <v>71</v>
      </c>
      <c r="D37" s="183" t="s">
        <v>72</v>
      </c>
      <c r="E37" s="184" t="s">
        <v>73</v>
      </c>
      <c r="F37" s="309"/>
      <c r="G37" s="311"/>
      <c r="H37" s="186" t="s">
        <v>74</v>
      </c>
      <c r="I37" s="241">
        <f>(11.5*90+1350*12)/1440*G42*2.74*1440/1000000</f>
        <v>49.089244050000005</v>
      </c>
      <c r="J37" s="127">
        <f>+I37+'17'!J37</f>
        <v>866.35839732463592</v>
      </c>
      <c r="K37" s="128" t="s">
        <v>75</v>
      </c>
      <c r="Q37" s="151">
        <f>SUM(Q35:Q36)</f>
        <v>1440</v>
      </c>
    </row>
    <row r="38" spans="1:17" ht="17.45" customHeight="1">
      <c r="A38" s="806" t="s">
        <v>13</v>
      </c>
      <c r="B38" s="807"/>
      <c r="C38" s="166">
        <f>SUMIF($G$7:$G$31,"Process",$F$7:$F$31)</f>
        <v>29</v>
      </c>
      <c r="D38" s="120">
        <f>C38+'17'!D38</f>
        <v>1364</v>
      </c>
      <c r="E38" s="145">
        <f t="shared" ref="E38:E52" si="3">D38/60</f>
        <v>22.733333333333334</v>
      </c>
      <c r="F38" s="309">
        <v>1350</v>
      </c>
      <c r="G38" s="309">
        <v>1039.5</v>
      </c>
      <c r="H38" s="187" t="s">
        <v>76</v>
      </c>
      <c r="I38" s="242">
        <f>16.609+14.873+15.682</f>
        <v>47.164000000000001</v>
      </c>
      <c r="J38" s="129">
        <f>+I38+'17'!J38</f>
        <v>776.9129999999999</v>
      </c>
      <c r="K38" s="130" t="s">
        <v>75</v>
      </c>
    </row>
    <row r="39" spans="1:17" ht="17.45" customHeight="1">
      <c r="A39" s="793" t="s">
        <v>14</v>
      </c>
      <c r="B39" s="794"/>
      <c r="C39" s="166">
        <f>SUMIF($G$7:$G$31,"Cleaning",$F$7:$F$31)</f>
        <v>0</v>
      </c>
      <c r="D39" s="120">
        <f>C39+'17'!D39</f>
        <v>0</v>
      </c>
      <c r="E39" s="145">
        <f t="shared" si="3"/>
        <v>0</v>
      </c>
      <c r="F39" s="309">
        <v>1350</v>
      </c>
      <c r="G39" s="309">
        <v>1039.5</v>
      </c>
      <c r="H39" s="187" t="s">
        <v>77</v>
      </c>
      <c r="I39" s="144"/>
      <c r="J39" s="131">
        <f>J37/G4</f>
        <v>48.131022073590884</v>
      </c>
      <c r="K39" s="132" t="s">
        <v>75</v>
      </c>
    </row>
    <row r="40" spans="1:17" ht="17.45" customHeight="1">
      <c r="A40" s="793" t="s">
        <v>78</v>
      </c>
      <c r="B40" s="794"/>
      <c r="C40" s="166">
        <f>SUMIF($G$7:$G$31,"Mechanical",$F$7:$F$31)</f>
        <v>0</v>
      </c>
      <c r="D40" s="120">
        <f>C40+'17'!D40</f>
        <v>28</v>
      </c>
      <c r="E40" s="145">
        <f t="shared" si="3"/>
        <v>0.46666666666666667</v>
      </c>
      <c r="F40" s="309">
        <v>1350</v>
      </c>
      <c r="G40" s="309">
        <v>1039.5</v>
      </c>
      <c r="H40" s="187" t="s">
        <v>79</v>
      </c>
      <c r="I40" s="120">
        <f>(K34+L34)/1000</f>
        <v>48.408000000000001</v>
      </c>
      <c r="J40" s="133">
        <f>+I40+'17'!J40</f>
        <v>744.68</v>
      </c>
      <c r="K40" s="132" t="s">
        <v>75</v>
      </c>
    </row>
    <row r="41" spans="1:17" ht="17.45" customHeight="1">
      <c r="A41" s="793" t="s">
        <v>80</v>
      </c>
      <c r="B41" s="794"/>
      <c r="C41" s="166">
        <f>SUMIF($G$7:$G$31,"Electrical",$F$7:$F$31)</f>
        <v>0</v>
      </c>
      <c r="D41" s="120">
        <f>C41+'17'!D41</f>
        <v>48</v>
      </c>
      <c r="E41" s="145">
        <f t="shared" si="3"/>
        <v>0.8</v>
      </c>
      <c r="F41" s="309"/>
      <c r="G41" s="309"/>
      <c r="H41" s="187" t="s">
        <v>81</v>
      </c>
      <c r="I41" s="144"/>
      <c r="J41" s="131">
        <f>J40/G4</f>
        <v>41.371111111111105</v>
      </c>
      <c r="K41" s="132" t="s">
        <v>75</v>
      </c>
    </row>
    <row r="42" spans="1:17" ht="17.45" customHeight="1">
      <c r="A42" s="793" t="s">
        <v>17</v>
      </c>
      <c r="B42" s="794"/>
      <c r="C42" s="166">
        <f>SUMIF($G$7:$G$31,"Instrument",$F$7:$F$31)</f>
        <v>0</v>
      </c>
      <c r="D42" s="120">
        <f>C42+'17'!D42</f>
        <v>0</v>
      </c>
      <c r="E42" s="145">
        <f t="shared" si="3"/>
        <v>0</v>
      </c>
      <c r="F42" s="185">
        <f>+(F38*480+F39*480+F40*480)/1440</f>
        <v>1350</v>
      </c>
      <c r="G42" s="185">
        <f>+(G38*480+G39*480+G40*480)/1440</f>
        <v>1039.5</v>
      </c>
      <c r="H42" s="187" t="s">
        <v>82</v>
      </c>
      <c r="I42" s="243"/>
      <c r="J42" s="134"/>
      <c r="K42" s="132" t="s">
        <v>83</v>
      </c>
    </row>
    <row r="43" spans="1:17" ht="17.45" customHeight="1">
      <c r="A43" s="793" t="s">
        <v>84</v>
      </c>
      <c r="B43" s="794"/>
      <c r="C43" s="166">
        <f>SUMIF($G$7:$G$31,"Water",$F$7:$F$31)</f>
        <v>0</v>
      </c>
      <c r="D43" s="120">
        <f>C43+'17'!D43</f>
        <v>0</v>
      </c>
      <c r="E43" s="145">
        <f t="shared" si="3"/>
        <v>0</v>
      </c>
      <c r="F43" s="309"/>
      <c r="G43" s="310"/>
      <c r="H43" s="188" t="s">
        <v>85</v>
      </c>
      <c r="I43" s="120">
        <f>+Report1!Z26</f>
        <v>85.9</v>
      </c>
      <c r="J43" s="135">
        <f>+I43+'17'!J43</f>
        <v>1537.53</v>
      </c>
      <c r="K43" s="132" t="s">
        <v>75</v>
      </c>
      <c r="L43" s="189"/>
    </row>
    <row r="44" spans="1:17" ht="17.45" customHeight="1">
      <c r="A44" s="793" t="s">
        <v>18</v>
      </c>
      <c r="B44" s="794"/>
      <c r="C44" s="166">
        <f>SUMIF($G$7:$G$31,"PLN",$F$7:$F$31)</f>
        <v>0</v>
      </c>
      <c r="D44" s="120">
        <f>C44+'17'!D44</f>
        <v>30</v>
      </c>
      <c r="E44" s="145">
        <f t="shared" si="3"/>
        <v>0.5</v>
      </c>
      <c r="F44" s="309"/>
      <c r="G44" s="310"/>
      <c r="H44" s="188" t="s">
        <v>86</v>
      </c>
      <c r="I44" s="120">
        <f>I43/I38</f>
        <v>1.8213043847001951</v>
      </c>
      <c r="J44" s="136">
        <f>J43/J38</f>
        <v>1.9790246784388987</v>
      </c>
      <c r="K44" s="132" t="s">
        <v>75</v>
      </c>
    </row>
    <row r="45" spans="1:17" ht="17.45" customHeight="1">
      <c r="A45" s="793" t="s">
        <v>19</v>
      </c>
      <c r="B45" s="794"/>
      <c r="C45" s="166">
        <f>SUMIF($G$7:$G$31,"Boiler",$F$7:$F$31)</f>
        <v>0</v>
      </c>
      <c r="D45" s="120">
        <f>C45+'17'!D45</f>
        <v>0</v>
      </c>
      <c r="E45" s="145">
        <f t="shared" si="3"/>
        <v>0</v>
      </c>
      <c r="F45" s="309"/>
      <c r="G45" s="312"/>
      <c r="H45" s="188" t="s">
        <v>87</v>
      </c>
      <c r="I45" s="120">
        <f>I43/I40</f>
        <v>1.7745000826309703</v>
      </c>
      <c r="J45" s="136">
        <f>J43/J40</f>
        <v>2.0646855024977171</v>
      </c>
      <c r="K45" s="132" t="s">
        <v>75</v>
      </c>
    </row>
    <row r="46" spans="1:17" ht="17.45" customHeight="1">
      <c r="A46" s="793" t="s">
        <v>88</v>
      </c>
      <c r="B46" s="794"/>
      <c r="C46" s="166">
        <f>SUMIF($G$7:$G$31,"Gas",$F$7:$F$31)</f>
        <v>0</v>
      </c>
      <c r="D46" s="120">
        <f>C46+'17'!D46</f>
        <v>0</v>
      </c>
      <c r="E46" s="145">
        <f t="shared" si="3"/>
        <v>0</v>
      </c>
      <c r="F46" s="309"/>
      <c r="G46" s="310"/>
      <c r="H46" s="188" t="s">
        <v>89</v>
      </c>
      <c r="I46" s="142">
        <f>+SUMIF(Listrik!X25,"&gt;0")</f>
        <v>39345.434999999983</v>
      </c>
      <c r="J46" s="137">
        <f>+I46+'17'!J46</f>
        <v>718759.02999999968</v>
      </c>
      <c r="K46" s="132" t="s">
        <v>90</v>
      </c>
    </row>
    <row r="47" spans="1:17" ht="17.45" customHeight="1">
      <c r="A47" s="793" t="s">
        <v>91</v>
      </c>
      <c r="B47" s="794"/>
      <c r="C47" s="166">
        <f>SUMIF($G$7:$G$31,"Gas",$F$7:$F$31)</f>
        <v>0</v>
      </c>
      <c r="D47" s="120">
        <f>C47+'17'!D47</f>
        <v>0</v>
      </c>
      <c r="E47" s="145">
        <f t="shared" si="3"/>
        <v>0</v>
      </c>
      <c r="F47" s="309"/>
      <c r="G47" s="310"/>
      <c r="H47" s="188" t="s">
        <v>92</v>
      </c>
      <c r="I47" s="120">
        <f>I46/I38</f>
        <v>834.22599864303243</v>
      </c>
      <c r="J47" s="137">
        <f>J46/J38</f>
        <v>925.14738458488887</v>
      </c>
      <c r="K47" s="132" t="s">
        <v>25</v>
      </c>
    </row>
    <row r="48" spans="1:17" ht="17.45" customHeight="1">
      <c r="A48" s="793" t="s">
        <v>15</v>
      </c>
      <c r="B48" s="794"/>
      <c r="C48" s="166">
        <f>SUMIF($G$7:$G$31,"Start Up",$F$7:$F$31)</f>
        <v>0</v>
      </c>
      <c r="D48" s="120">
        <f>C48+'17'!D48</f>
        <v>0</v>
      </c>
      <c r="E48" s="145">
        <f t="shared" si="3"/>
        <v>0</v>
      </c>
      <c r="F48" s="309"/>
      <c r="G48" s="310"/>
      <c r="H48" s="188" t="s">
        <v>93</v>
      </c>
      <c r="I48" s="120">
        <f>I46/I40</f>
        <v>812.78786564204222</v>
      </c>
      <c r="J48" s="137">
        <f>J46/J40</f>
        <v>965.19180050491445</v>
      </c>
      <c r="K48" s="132" t="s">
        <v>25</v>
      </c>
    </row>
    <row r="49" spans="1:11" ht="17.45" customHeight="1">
      <c r="A49" s="793" t="s">
        <v>21</v>
      </c>
      <c r="B49" s="794"/>
      <c r="C49" s="166">
        <f>SUMIF($G$7:$G$31,"Others",$F$7:$F$31)</f>
        <v>0</v>
      </c>
      <c r="D49" s="120">
        <f>C49+'17'!D49</f>
        <v>446</v>
      </c>
      <c r="E49" s="145">
        <f t="shared" si="3"/>
        <v>7.4333333333333336</v>
      </c>
      <c r="F49" s="185"/>
      <c r="H49" s="188" t="s">
        <v>280</v>
      </c>
      <c r="I49" s="120">
        <f>+Report1!T26</f>
        <v>3780.6824635087773</v>
      </c>
      <c r="J49" s="137">
        <f>+I49+'17'!J49</f>
        <v>64006.509585178166</v>
      </c>
      <c r="K49" s="132" t="s">
        <v>94</v>
      </c>
    </row>
    <row r="50" spans="1:11" ht="17.45" customHeight="1">
      <c r="A50" s="793" t="s">
        <v>20</v>
      </c>
      <c r="B50" s="794"/>
      <c r="C50" s="166">
        <f>SUMIF($G$7:$G$31,"Steam",$F$7:$F$31)</f>
        <v>0</v>
      </c>
      <c r="D50" s="120">
        <f>C50+'17'!D50</f>
        <v>0</v>
      </c>
      <c r="E50" s="145">
        <f t="shared" si="3"/>
        <v>0</v>
      </c>
      <c r="F50" s="185"/>
      <c r="H50" s="188" t="s">
        <v>95</v>
      </c>
      <c r="I50" s="142">
        <f>I49/I38</f>
        <v>80.160343980764509</v>
      </c>
      <c r="J50" s="135">
        <f>J49/J38</f>
        <v>82.385684864557774</v>
      </c>
      <c r="K50" s="132" t="s">
        <v>94</v>
      </c>
    </row>
    <row r="51" spans="1:11" ht="17.45" customHeight="1">
      <c r="A51" s="810" t="s">
        <v>96</v>
      </c>
      <c r="B51" s="810"/>
      <c r="C51" s="166">
        <f>SUMIF($G$7:$G$31,"Planned shut",$F$7:$F$31)</f>
        <v>0</v>
      </c>
      <c r="D51" s="120">
        <f>C51+'17'!D51</f>
        <v>0</v>
      </c>
      <c r="E51" s="145">
        <f t="shared" si="3"/>
        <v>0</v>
      </c>
      <c r="F51" s="185"/>
      <c r="H51" s="190" t="s">
        <v>97</v>
      </c>
      <c r="I51" s="143">
        <f>I49/I40</f>
        <v>78.100364888216347</v>
      </c>
      <c r="J51" s="138">
        <f>J49/J40</f>
        <v>85.951696816321331</v>
      </c>
      <c r="K51" s="139" t="s">
        <v>94</v>
      </c>
    </row>
    <row r="52" spans="1:11" ht="13.5" thickBot="1">
      <c r="A52" s="811" t="s">
        <v>230</v>
      </c>
      <c r="B52" s="812"/>
      <c r="C52" s="166">
        <f>SUMIF($G$7:$G$31,"Change Grade",$F$7:$F$31)</f>
        <v>0</v>
      </c>
      <c r="D52" s="120">
        <f>C52+'17'!D52</f>
        <v>0</v>
      </c>
      <c r="E52" s="145">
        <f t="shared" si="3"/>
        <v>0</v>
      </c>
      <c r="F52" s="185"/>
      <c r="H52" s="191"/>
      <c r="I52" s="192"/>
      <c r="J52" s="140"/>
      <c r="K52" s="141"/>
    </row>
    <row r="53" spans="1:11">
      <c r="A53" s="806" t="s">
        <v>29</v>
      </c>
      <c r="B53" s="807"/>
      <c r="C53" s="146">
        <f>SUM(C38:C52)</f>
        <v>29</v>
      </c>
      <c r="D53" s="146">
        <f>SUM(D38:D52)</f>
        <v>1916</v>
      </c>
      <c r="E53" s="147">
        <f>SUM(E38:E52)</f>
        <v>31.933333333333334</v>
      </c>
      <c r="F53" s="185"/>
    </row>
    <row r="54" spans="1:11" ht="13.5" thickBot="1">
      <c r="A54" s="808"/>
      <c r="B54" s="809"/>
      <c r="C54" s="148">
        <f>C53/(24*60)</f>
        <v>2.013888888888889E-2</v>
      </c>
      <c r="D54" s="148">
        <f>D53/(24*60*G4)</f>
        <v>7.3919753086419751E-2</v>
      </c>
      <c r="E54" s="149">
        <f>E53/(G4*24)</f>
        <v>7.3919753086419751E-2</v>
      </c>
      <c r="F54" s="185"/>
    </row>
    <row r="55" spans="1:11">
      <c r="E55" s="193"/>
    </row>
    <row r="56" spans="1:11">
      <c r="A56" s="194" t="s">
        <v>98</v>
      </c>
      <c r="B56" s="195"/>
      <c r="C56" s="196"/>
      <c r="D56" s="196"/>
      <c r="E56" s="196"/>
      <c r="F56" s="197"/>
      <c r="G56" s="196"/>
      <c r="H56" s="198"/>
      <c r="I56" s="199" t="s">
        <v>99</v>
      </c>
      <c r="J56" s="200">
        <f>+D34+'17'!J56</f>
        <v>3979</v>
      </c>
      <c r="K56" s="201">
        <f>J56/(J40+J56/1000)/1000</f>
        <v>5.3148362605672283E-3</v>
      </c>
    </row>
    <row r="57" spans="1:11">
      <c r="A57" s="176"/>
      <c r="I57" s="199" t="s">
        <v>100</v>
      </c>
      <c r="J57" s="200">
        <f>+E34+'17'!J57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3"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27" ht="15.75">
      <c r="A1" s="150"/>
      <c r="V1" s="519"/>
    </row>
    <row r="2" spans="1:27" ht="15.75">
      <c r="A2" s="150" t="s">
        <v>231</v>
      </c>
      <c r="V2" s="519"/>
    </row>
    <row r="3" spans="1:27" ht="15">
      <c r="A3" s="152"/>
      <c r="Y3" s="176"/>
    </row>
    <row r="4" spans="1:27" ht="20.25">
      <c r="A4" s="153" t="s">
        <v>4</v>
      </c>
      <c r="B4" s="154"/>
      <c r="F4" s="155" t="s">
        <v>31</v>
      </c>
      <c r="G4" s="156">
        <v>17</v>
      </c>
      <c r="H4" s="156" t="str">
        <f>+'1'!H4</f>
        <v>.07.25</v>
      </c>
      <c r="J4" s="151" t="s">
        <v>655</v>
      </c>
      <c r="Z4" s="176"/>
      <c r="AA4" s="176"/>
    </row>
    <row r="5" spans="1:27" ht="13.5" thickBot="1">
      <c r="C5" s="157"/>
      <c r="D5" s="157"/>
    </row>
    <row r="6" spans="1:27"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425</v>
      </c>
      <c r="O6" s="151">
        <v>1350</v>
      </c>
      <c r="P6" s="151">
        <f>+O6-O6*0.23</f>
        <v>1039.5</v>
      </c>
      <c r="Q6" s="151">
        <v>480</v>
      </c>
      <c r="R6" s="151">
        <f>+O6*Q6</f>
        <v>648000</v>
      </c>
      <c r="S6" s="151">
        <f>+P6*Q6</f>
        <v>498960</v>
      </c>
      <c r="V6" s="520"/>
    </row>
    <row r="7" spans="1:27" ht="13.5" customHeight="1" thickBot="1">
      <c r="A7" s="795" t="s">
        <v>396</v>
      </c>
      <c r="B7" s="215" t="s">
        <v>445</v>
      </c>
      <c r="C7" s="216">
        <v>11216</v>
      </c>
      <c r="D7" s="217"/>
      <c r="E7" s="218"/>
      <c r="F7" s="233"/>
      <c r="G7" s="555" t="s">
        <v>13</v>
      </c>
      <c r="H7" s="556" t="s">
        <v>461</v>
      </c>
      <c r="I7" s="798" t="s">
        <v>459</v>
      </c>
      <c r="J7" s="214" t="str">
        <f>+'16'!J7</f>
        <v>F 12 VP OW</v>
      </c>
      <c r="K7" s="235"/>
      <c r="L7" s="239"/>
      <c r="M7" s="119">
        <f>+K7+'16'!M7+L7</f>
        <v>259752</v>
      </c>
      <c r="P7" s="151">
        <f>+O7-O7*0.23</f>
        <v>0</v>
      </c>
      <c r="Q7" s="151">
        <f>480-Q6</f>
        <v>0</v>
      </c>
      <c r="R7" s="151">
        <f>+O7*Q7</f>
        <v>0</v>
      </c>
      <c r="S7" s="151">
        <f>+P7*Q7</f>
        <v>0</v>
      </c>
      <c r="V7" s="522"/>
      <c r="W7" s="523"/>
      <c r="X7" s="523"/>
      <c r="Y7" s="523"/>
    </row>
    <row r="8" spans="1:27" ht="13.5" thickBot="1">
      <c r="A8" s="796"/>
      <c r="B8" s="215"/>
      <c r="C8" s="216"/>
      <c r="D8" s="217"/>
      <c r="E8" s="219"/>
      <c r="F8" s="229">
        <v>6</v>
      </c>
      <c r="G8" s="557" t="s">
        <v>13</v>
      </c>
      <c r="H8" s="228" t="s">
        <v>399</v>
      </c>
      <c r="I8" s="799"/>
      <c r="J8" s="214" t="str">
        <f>+'16'!J8</f>
        <v>F 11,5 VP OW</v>
      </c>
      <c r="K8" s="236">
        <f>+C34</f>
        <v>40045</v>
      </c>
      <c r="L8" s="236"/>
      <c r="M8" s="119">
        <f>+K8+'16'!M8+L8</f>
        <v>218812</v>
      </c>
      <c r="P8" s="151">
        <f>+O8-O8*0.23</f>
        <v>0</v>
      </c>
      <c r="R8" s="151">
        <f>+O8*Q8</f>
        <v>0</v>
      </c>
      <c r="S8" s="151">
        <f>+P8*Q8</f>
        <v>0</v>
      </c>
      <c r="Y8" s="521"/>
    </row>
    <row r="9" spans="1:27" ht="13.5" thickBot="1">
      <c r="A9" s="796"/>
      <c r="B9" s="215"/>
      <c r="C9" s="216"/>
      <c r="D9" s="217"/>
      <c r="E9" s="220"/>
      <c r="F9" s="229">
        <v>9</v>
      </c>
      <c r="G9" s="557" t="s">
        <v>13</v>
      </c>
      <c r="H9" s="231" t="s">
        <v>400</v>
      </c>
      <c r="I9" s="799"/>
      <c r="J9" s="214" t="str">
        <f>+'16'!J9</f>
        <v>T 13 VP OW</v>
      </c>
      <c r="K9" s="236"/>
      <c r="L9" s="236"/>
      <c r="M9" s="119">
        <f>+K9+'16'!M9+L9</f>
        <v>113358</v>
      </c>
      <c r="P9" s="151">
        <f t="shared" ref="P9:P10" si="0">+O9-O9*0.23</f>
        <v>0</v>
      </c>
      <c r="R9" s="151">
        <f>+O9*Q9</f>
        <v>0</v>
      </c>
      <c r="S9" s="151">
        <f>+P9*Q9</f>
        <v>0</v>
      </c>
      <c r="Z9" s="521"/>
      <c r="AA9" s="521"/>
    </row>
    <row r="10" spans="1:27" ht="39" thickBot="1">
      <c r="A10" s="796"/>
      <c r="B10" s="215"/>
      <c r="C10" s="216"/>
      <c r="D10" s="217"/>
      <c r="E10" s="219"/>
      <c r="F10" s="229"/>
      <c r="G10" s="227"/>
      <c r="H10" s="558" t="s">
        <v>649</v>
      </c>
      <c r="I10" s="799"/>
      <c r="J10" s="214" t="str">
        <f>+'16'!J10</f>
        <v>F 13 VP OW</v>
      </c>
      <c r="K10" s="236"/>
      <c r="L10" s="236"/>
      <c r="M10" s="119">
        <f>+K10+'16'!M10+L10</f>
        <v>43207</v>
      </c>
      <c r="P10" s="151">
        <f t="shared" si="0"/>
        <v>0</v>
      </c>
      <c r="R10" s="151">
        <f>+O10*Q10</f>
        <v>0</v>
      </c>
      <c r="S10" s="151">
        <f>+P10*Q10</f>
        <v>0</v>
      </c>
    </row>
    <row r="11" spans="1:27" ht="77.25" thickBot="1">
      <c r="A11" s="796"/>
      <c r="B11" s="215"/>
      <c r="C11" s="216"/>
      <c r="D11" s="217"/>
      <c r="E11" s="219"/>
      <c r="F11" s="226"/>
      <c r="G11" s="230"/>
      <c r="H11" s="231" t="s">
        <v>653</v>
      </c>
      <c r="I11" s="799"/>
      <c r="J11" s="214" t="str">
        <f>+'16'!J11</f>
        <v xml:space="preserve">T 13 VP OW HB </v>
      </c>
      <c r="K11" s="236"/>
      <c r="L11" s="236"/>
      <c r="M11" s="119">
        <f>+K11+'16'!M11+L11</f>
        <v>10128</v>
      </c>
    </row>
    <row r="12" spans="1:27" ht="13.5" thickBot="1">
      <c r="A12" s="796"/>
      <c r="B12" s="215"/>
      <c r="C12" s="216"/>
      <c r="D12" s="217"/>
      <c r="E12" s="219"/>
      <c r="F12" s="226"/>
      <c r="G12" s="230"/>
      <c r="H12" s="231"/>
      <c r="I12" s="799"/>
      <c r="J12" s="214" t="str">
        <f>+'16'!J12</f>
        <v>TW 15 VP OW</v>
      </c>
      <c r="K12" s="236"/>
      <c r="L12" s="236"/>
      <c r="M12" s="119">
        <f>+K12+'16'!M12+L12</f>
        <v>51015</v>
      </c>
      <c r="Q12" s="151">
        <f>SUM(Q6:Q11)</f>
        <v>480</v>
      </c>
      <c r="R12" s="151">
        <f>SUM(R6:R9)</f>
        <v>648000</v>
      </c>
      <c r="S12" s="151">
        <f>SUM(S6:S9)</f>
        <v>498960</v>
      </c>
    </row>
    <row r="13" spans="1:27" ht="13.5" thickBot="1">
      <c r="A13" s="796"/>
      <c r="B13" s="215"/>
      <c r="C13" s="216"/>
      <c r="D13" s="216"/>
      <c r="E13" s="219"/>
      <c r="F13" s="226"/>
      <c r="G13" s="230"/>
      <c r="H13" s="231"/>
      <c r="I13" s="800"/>
      <c r="J13" s="214">
        <f>+'16'!J13</f>
        <v>0</v>
      </c>
      <c r="K13" s="236"/>
      <c r="L13" s="236"/>
      <c r="M13" s="119">
        <f>+K13+'16'!M13+L13</f>
        <v>0</v>
      </c>
      <c r="P13" s="151" t="s">
        <v>424</v>
      </c>
      <c r="Q13" s="151">
        <f>480-Q12</f>
        <v>0</v>
      </c>
      <c r="R13" s="151">
        <f>+R12/Q12</f>
        <v>1350</v>
      </c>
      <c r="S13" s="151">
        <f>+S12/Q12</f>
        <v>1039.5</v>
      </c>
    </row>
    <row r="14" spans="1:27" ht="13.5" thickBot="1">
      <c r="A14" s="797"/>
      <c r="B14" s="167" t="s">
        <v>3</v>
      </c>
      <c r="C14" s="101">
        <f>SUM(C7:C13)</f>
        <v>11216</v>
      </c>
      <c r="D14" s="113">
        <f>SUM(D7:D13)</f>
        <v>0</v>
      </c>
      <c r="E14" s="114">
        <f>SUM(E5:E13)</f>
        <v>0</v>
      </c>
      <c r="F14" s="118">
        <f>SUM(F7:F13)</f>
        <v>15</v>
      </c>
      <c r="G14" s="161"/>
      <c r="H14" s="168"/>
      <c r="I14" s="169"/>
      <c r="J14" s="214">
        <f>+'16'!J14</f>
        <v>0</v>
      </c>
      <c r="K14" s="236"/>
      <c r="L14" s="236"/>
      <c r="M14" s="119">
        <f>+K14+'16'!M14+L14</f>
        <v>0</v>
      </c>
    </row>
    <row r="15" spans="1:27" ht="13.5" thickBot="1">
      <c r="A15" s="801" t="s">
        <v>652</v>
      </c>
      <c r="B15" s="518"/>
      <c r="C15" s="115">
        <f>C14/($C$23+$D$23+$E$23)</f>
        <v>0.69466121640034684</v>
      </c>
      <c r="D15" s="116">
        <f>D14/($C$23+$D$23+$E$23)</f>
        <v>0</v>
      </c>
      <c r="E15" s="117">
        <f>E14/($C$23+$D$23+$E$23)</f>
        <v>0</v>
      </c>
      <c r="F15" s="233"/>
      <c r="G15" s="555" t="s">
        <v>13</v>
      </c>
      <c r="H15" s="556" t="s">
        <v>461</v>
      </c>
      <c r="I15" s="798" t="s">
        <v>459</v>
      </c>
      <c r="J15" s="214">
        <f>+'16'!J15</f>
        <v>0</v>
      </c>
      <c r="K15" s="236"/>
      <c r="L15" s="236"/>
      <c r="M15" s="119">
        <f>+K15+'16'!M15+L15</f>
        <v>0</v>
      </c>
      <c r="N15" s="519"/>
    </row>
    <row r="16" spans="1:27" ht="13.5" thickBot="1">
      <c r="A16" s="796"/>
      <c r="B16" s="215" t="s">
        <v>445</v>
      </c>
      <c r="C16" s="516">
        <v>16146</v>
      </c>
      <c r="D16" s="221"/>
      <c r="E16" s="222"/>
      <c r="F16" s="229">
        <v>6</v>
      </c>
      <c r="G16" s="557" t="s">
        <v>13</v>
      </c>
      <c r="H16" s="228" t="s">
        <v>462</v>
      </c>
      <c r="I16" s="799"/>
      <c r="J16" s="214">
        <f>+'16'!J16</f>
        <v>0</v>
      </c>
      <c r="K16" s="227"/>
      <c r="L16" s="227"/>
      <c r="M16" s="119">
        <f>+K16+'16'!M16+L16</f>
        <v>0</v>
      </c>
      <c r="N16" s="151" t="s">
        <v>425</v>
      </c>
      <c r="O16" s="151">
        <v>1350</v>
      </c>
      <c r="P16" s="151">
        <f>+O16-O16*0.23</f>
        <v>1039.5</v>
      </c>
      <c r="Q16" s="151">
        <v>480</v>
      </c>
      <c r="R16" s="151">
        <f>+O16*Q16</f>
        <v>648000</v>
      </c>
      <c r="S16" s="151">
        <f>+P16*Q16</f>
        <v>498960</v>
      </c>
    </row>
    <row r="17" spans="1:19" ht="13.5" thickBot="1">
      <c r="A17" s="796"/>
      <c r="B17" s="215"/>
      <c r="C17" s="216"/>
      <c r="D17" s="217"/>
      <c r="E17" s="223"/>
      <c r="F17" s="229">
        <v>9</v>
      </c>
      <c r="G17" s="557" t="s">
        <v>13</v>
      </c>
      <c r="H17" s="231" t="s">
        <v>400</v>
      </c>
      <c r="I17" s="799"/>
      <c r="J17" s="214">
        <f>+'16'!J17</f>
        <v>0</v>
      </c>
      <c r="K17" s="227"/>
      <c r="L17" s="227"/>
      <c r="M17" s="119">
        <f>+K17+'16'!M17+L17</f>
        <v>0</v>
      </c>
      <c r="P17" s="151">
        <f>+O17-O17*0.23</f>
        <v>0</v>
      </c>
      <c r="Q17" s="151">
        <f>480-Q16</f>
        <v>0</v>
      </c>
      <c r="R17" s="151">
        <f>+O17*Q17</f>
        <v>0</v>
      </c>
      <c r="S17" s="151">
        <f>+P17*Q17</f>
        <v>0</v>
      </c>
    </row>
    <row r="18" spans="1:19" ht="39" thickBot="1">
      <c r="A18" s="796"/>
      <c r="B18" s="215"/>
      <c r="C18" s="216"/>
      <c r="D18" s="217"/>
      <c r="E18" s="223"/>
      <c r="F18" s="229"/>
      <c r="G18" s="227"/>
      <c r="H18" s="558" t="s">
        <v>649</v>
      </c>
      <c r="I18" s="799"/>
      <c r="J18" s="214">
        <f>+'16'!J18</f>
        <v>0</v>
      </c>
      <c r="K18" s="236"/>
      <c r="L18" s="236"/>
      <c r="M18" s="119">
        <f>+K18+'16'!M18+L18</f>
        <v>0</v>
      </c>
      <c r="P18" s="151">
        <f>+O18-O18*0.23</f>
        <v>0</v>
      </c>
      <c r="R18" s="151">
        <f>+O18*Q18</f>
        <v>0</v>
      </c>
      <c r="S18" s="151">
        <f>+P18*Q18</f>
        <v>0</v>
      </c>
    </row>
    <row r="19" spans="1:19" ht="128.25" thickBot="1">
      <c r="A19" s="796"/>
      <c r="B19" s="215"/>
      <c r="C19" s="216"/>
      <c r="D19" s="217"/>
      <c r="E19" s="223"/>
      <c r="F19" s="232"/>
      <c r="G19" s="230"/>
      <c r="H19" s="231" t="s">
        <v>654</v>
      </c>
      <c r="I19" s="799"/>
      <c r="J19" s="214">
        <f>+'16'!J19</f>
        <v>0</v>
      </c>
      <c r="K19" s="236"/>
      <c r="L19" s="236"/>
      <c r="M19" s="119">
        <f>+K19+'16'!M19+L19</f>
        <v>0</v>
      </c>
      <c r="P19" s="151">
        <f t="shared" ref="P19:P20" si="1">+O19-O19*0.23</f>
        <v>0</v>
      </c>
      <c r="R19" s="151">
        <f>+O19*Q19</f>
        <v>0</v>
      </c>
      <c r="S19" s="151">
        <f>+P19*Q19</f>
        <v>0</v>
      </c>
    </row>
    <row r="20" spans="1:19" ht="13.5" thickBot="1">
      <c r="A20" s="796"/>
      <c r="B20" s="215"/>
      <c r="C20" s="216"/>
      <c r="D20" s="217"/>
      <c r="E20" s="223"/>
      <c r="F20" s="226"/>
      <c r="G20" s="230"/>
      <c r="H20" s="231"/>
      <c r="I20" s="799"/>
      <c r="J20" s="214">
        <f>+'16'!J20</f>
        <v>0</v>
      </c>
      <c r="K20" s="237"/>
      <c r="L20" s="237"/>
      <c r="M20" s="119">
        <f>+K20+'16'!M20+L20</f>
        <v>0</v>
      </c>
      <c r="P20" s="151">
        <f t="shared" si="1"/>
        <v>0</v>
      </c>
      <c r="R20" s="151">
        <f>+O20*Q20</f>
        <v>0</v>
      </c>
      <c r="S20" s="151">
        <f>+P20*Q20</f>
        <v>0</v>
      </c>
    </row>
    <row r="21" spans="1:19" ht="13.5" thickBot="1">
      <c r="A21" s="796"/>
      <c r="B21" s="215"/>
      <c r="C21" s="216"/>
      <c r="D21" s="217"/>
      <c r="E21" s="223"/>
      <c r="F21" s="229"/>
      <c r="G21" s="230"/>
      <c r="H21" s="231"/>
      <c r="I21" s="799"/>
      <c r="J21" s="214">
        <f>+'16'!J21</f>
        <v>0</v>
      </c>
      <c r="K21" s="236"/>
      <c r="L21" s="236"/>
      <c r="M21" s="119">
        <f>+K21+'16'!M21+L21</f>
        <v>0</v>
      </c>
    </row>
    <row r="22" spans="1:19" ht="13.5" thickBot="1">
      <c r="A22" s="796"/>
      <c r="B22" s="215"/>
      <c r="C22" s="216"/>
      <c r="D22" s="217"/>
      <c r="E22" s="223"/>
      <c r="F22" s="233"/>
      <c r="G22" s="230"/>
      <c r="H22" s="231"/>
      <c r="I22" s="800"/>
      <c r="J22" s="214">
        <f>+'16'!J22</f>
        <v>0</v>
      </c>
      <c r="K22" s="236"/>
      <c r="L22" s="236"/>
      <c r="M22" s="119">
        <f>+K22+'16'!M22+L22</f>
        <v>0</v>
      </c>
      <c r="Q22" s="151">
        <f>SUM(Q16:Q21)</f>
        <v>480</v>
      </c>
      <c r="R22" s="151">
        <f>SUM(R16:R19)</f>
        <v>648000</v>
      </c>
      <c r="S22" s="151">
        <f>SUM(S16:S19)</f>
        <v>498960</v>
      </c>
    </row>
    <row r="23" spans="1:19" ht="13.5" thickBot="1">
      <c r="A23" s="797"/>
      <c r="B23" s="167" t="s">
        <v>3</v>
      </c>
      <c r="C23" s="101">
        <f>SUM(C16:C22)</f>
        <v>16146</v>
      </c>
      <c r="D23" s="113">
        <f>SUM(D16:D22)</f>
        <v>0</v>
      </c>
      <c r="E23" s="114">
        <f>SUM(E18:E22)</f>
        <v>0</v>
      </c>
      <c r="F23" s="118">
        <f>SUM(F15:F22)</f>
        <v>15</v>
      </c>
      <c r="G23" s="161"/>
      <c r="H23" s="168"/>
      <c r="I23" s="170"/>
      <c r="J23" s="214">
        <f>+'16'!J23</f>
        <v>0</v>
      </c>
      <c r="K23" s="236"/>
      <c r="L23" s="236"/>
      <c r="M23" s="119">
        <f>+K23+'16'!M23+L23</f>
        <v>0</v>
      </c>
      <c r="P23" s="151" t="s">
        <v>424</v>
      </c>
      <c r="Q23" s="151">
        <f>480-Q22</f>
        <v>0</v>
      </c>
      <c r="R23" s="151">
        <f>+R22/Q22</f>
        <v>1350</v>
      </c>
      <c r="S23" s="151">
        <f>+S22/Q22</f>
        <v>1039.5</v>
      </c>
    </row>
    <row r="24" spans="1:19" ht="13.5" thickBot="1">
      <c r="A24" s="801" t="s">
        <v>442</v>
      </c>
      <c r="B24" s="518"/>
      <c r="C24" s="115">
        <f>C23/($C$23+$D$23+$E$23)</f>
        <v>1</v>
      </c>
      <c r="D24" s="116">
        <f>D23/($C$23+$D$23+$E$23)</f>
        <v>0</v>
      </c>
      <c r="E24" s="117">
        <f>E23/($C$23+$D$23+$E$23)</f>
        <v>0</v>
      </c>
      <c r="F24" s="233"/>
      <c r="G24" s="555" t="s">
        <v>13</v>
      </c>
      <c r="H24" s="556" t="s">
        <v>461</v>
      </c>
      <c r="I24" s="798" t="s">
        <v>459</v>
      </c>
      <c r="J24" s="214">
        <f>+'16'!J24</f>
        <v>0</v>
      </c>
      <c r="K24" s="236"/>
      <c r="L24" s="236"/>
      <c r="M24" s="119">
        <f>+K24+'16'!M24+L24</f>
        <v>0</v>
      </c>
    </row>
    <row r="25" spans="1:19" ht="13.5" thickBot="1">
      <c r="A25" s="796"/>
      <c r="B25" s="215" t="s">
        <v>445</v>
      </c>
      <c r="C25" s="224">
        <v>12683</v>
      </c>
      <c r="D25" s="217"/>
      <c r="E25" s="223"/>
      <c r="F25" s="229">
        <v>3</v>
      </c>
      <c r="G25" s="557" t="s">
        <v>13</v>
      </c>
      <c r="H25" s="228" t="s">
        <v>399</v>
      </c>
      <c r="I25" s="799"/>
      <c r="J25" s="214">
        <f>+'16'!J25</f>
        <v>0</v>
      </c>
      <c r="K25" s="236"/>
      <c r="L25" s="236"/>
      <c r="M25" s="119">
        <f>+K25+'16'!M25+L25</f>
        <v>0</v>
      </c>
      <c r="N25" s="151" t="s">
        <v>425</v>
      </c>
      <c r="O25" s="151">
        <v>1350</v>
      </c>
      <c r="P25" s="151">
        <f>+O25-O25*0.23</f>
        <v>1039.5</v>
      </c>
      <c r="Q25" s="151">
        <v>480</v>
      </c>
      <c r="R25" s="151">
        <f>+O25*Q25</f>
        <v>648000</v>
      </c>
      <c r="S25" s="151">
        <f>+P25*Q25</f>
        <v>498960</v>
      </c>
    </row>
    <row r="26" spans="1:19" ht="13.5" thickBot="1">
      <c r="A26" s="796"/>
      <c r="B26" s="215"/>
      <c r="C26" s="224"/>
      <c r="D26" s="217"/>
      <c r="E26" s="225"/>
      <c r="F26" s="229">
        <v>5</v>
      </c>
      <c r="G26" s="557" t="s">
        <v>13</v>
      </c>
      <c r="H26" s="231" t="s">
        <v>400</v>
      </c>
      <c r="I26" s="799"/>
      <c r="J26" s="214">
        <f>+'16'!J26</f>
        <v>0</v>
      </c>
      <c r="K26" s="236"/>
      <c r="L26" s="236"/>
      <c r="M26" s="119">
        <f>+K26+'16'!M26+L26</f>
        <v>0</v>
      </c>
      <c r="P26" s="151">
        <f>+O26-O26*0.23</f>
        <v>0</v>
      </c>
      <c r="Q26" s="151">
        <f>480-Q25</f>
        <v>0</v>
      </c>
      <c r="R26" s="151">
        <f>+O26*Q26</f>
        <v>0</v>
      </c>
      <c r="S26" s="151">
        <f>+P26*Q26</f>
        <v>0</v>
      </c>
    </row>
    <row r="27" spans="1:19" ht="39" thickBot="1">
      <c r="A27" s="796"/>
      <c r="B27" s="215"/>
      <c r="C27" s="216"/>
      <c r="D27" s="217"/>
      <c r="E27" s="223"/>
      <c r="F27" s="229"/>
      <c r="G27" s="227"/>
      <c r="H27" s="558" t="s">
        <v>649</v>
      </c>
      <c r="I27" s="799"/>
      <c r="J27" s="214">
        <f>+'16'!J27</f>
        <v>0</v>
      </c>
      <c r="K27" s="236"/>
      <c r="L27" s="236"/>
      <c r="M27" s="119">
        <f>+K27+'16'!M27+L27</f>
        <v>0</v>
      </c>
      <c r="P27" s="151">
        <f>+O27-O27*0.23</f>
        <v>0</v>
      </c>
      <c r="R27" s="151">
        <f>+O27*Q27</f>
        <v>0</v>
      </c>
      <c r="S27" s="151">
        <f>+P27*Q27</f>
        <v>0</v>
      </c>
    </row>
    <row r="28" spans="1:19" ht="243" thickBot="1">
      <c r="A28" s="796"/>
      <c r="B28" s="215"/>
      <c r="C28" s="216"/>
      <c r="D28" s="217"/>
      <c r="E28" s="223"/>
      <c r="F28" s="229">
        <v>12</v>
      </c>
      <c r="G28" s="227" t="s">
        <v>80</v>
      </c>
      <c r="H28" s="231" t="s">
        <v>656</v>
      </c>
      <c r="I28" s="799"/>
      <c r="J28" s="214">
        <f>+'16'!J28</f>
        <v>0</v>
      </c>
      <c r="K28" s="236"/>
      <c r="L28" s="236"/>
      <c r="M28" s="119">
        <f>+K28+'16'!M28+L28</f>
        <v>0</v>
      </c>
      <c r="P28" s="151">
        <f t="shared" ref="P28:P29" si="2">+O28-O28*0.23</f>
        <v>0</v>
      </c>
      <c r="R28" s="151">
        <f>+O28*Q28</f>
        <v>0</v>
      </c>
      <c r="S28" s="151">
        <f>+P28*Q28</f>
        <v>0</v>
      </c>
    </row>
    <row r="29" spans="1:19" ht="13.5" thickBot="1">
      <c r="A29" s="796"/>
      <c r="B29" s="215"/>
      <c r="C29" s="216"/>
      <c r="D29" s="217"/>
      <c r="E29" s="223"/>
      <c r="F29" s="233"/>
      <c r="G29" s="230"/>
      <c r="H29" s="231" t="s">
        <v>657</v>
      </c>
      <c r="I29" s="799"/>
      <c r="J29" s="214">
        <f>+'16'!J29</f>
        <v>0</v>
      </c>
      <c r="K29" s="236"/>
      <c r="L29" s="236"/>
      <c r="M29" s="119">
        <f>+K29+'16'!M29+L29</f>
        <v>0</v>
      </c>
      <c r="P29" s="151">
        <f t="shared" si="2"/>
        <v>0</v>
      </c>
      <c r="R29" s="151">
        <f>+O29*Q29</f>
        <v>0</v>
      </c>
      <c r="S29" s="151">
        <f>+P29*Q29</f>
        <v>0</v>
      </c>
    </row>
    <row r="30" spans="1:19" ht="13.5" thickBot="1">
      <c r="A30" s="796"/>
      <c r="B30" s="215"/>
      <c r="C30" s="224"/>
      <c r="D30" s="217"/>
      <c r="E30" s="223"/>
      <c r="F30" s="233"/>
      <c r="G30" s="230"/>
      <c r="H30" s="231"/>
      <c r="I30" s="799"/>
      <c r="J30" s="214">
        <f>+'16'!J30</f>
        <v>0</v>
      </c>
      <c r="K30" s="236"/>
      <c r="L30" s="236"/>
      <c r="M30" s="119">
        <f>+K30+'16'!M30+L30</f>
        <v>0</v>
      </c>
    </row>
    <row r="31" spans="1:19" ht="13.5" thickBot="1">
      <c r="A31" s="796"/>
      <c r="B31" s="215"/>
      <c r="C31" s="224"/>
      <c r="D31" s="217"/>
      <c r="E31" s="223"/>
      <c r="F31" s="233"/>
      <c r="G31" s="234"/>
      <c r="H31" s="409"/>
      <c r="I31" s="800"/>
      <c r="J31" s="214">
        <f>+'16'!J31</f>
        <v>0</v>
      </c>
      <c r="K31" s="236"/>
      <c r="L31" s="236"/>
      <c r="M31" s="119">
        <f>+K31+'16'!M31+L31</f>
        <v>0</v>
      </c>
      <c r="Q31" s="151">
        <f>SUM(Q25:Q30)</f>
        <v>480</v>
      </c>
      <c r="R31" s="151">
        <f>SUM(R25:R28)</f>
        <v>648000</v>
      </c>
      <c r="S31" s="151">
        <f>SUM(S25:S28)</f>
        <v>498960</v>
      </c>
    </row>
    <row r="32" spans="1:19" ht="13.5" thickBot="1">
      <c r="A32" s="797"/>
      <c r="B32" s="167" t="s">
        <v>3</v>
      </c>
      <c r="C32" s="101">
        <f>SUM(C25:C31)</f>
        <v>12683</v>
      </c>
      <c r="D32" s="102">
        <f>SUM(D25:D31)</f>
        <v>0</v>
      </c>
      <c r="E32" s="103">
        <f>SUM(E25:E31)</f>
        <v>0</v>
      </c>
      <c r="F32" s="101">
        <f>SUM(F24:F31)</f>
        <v>20</v>
      </c>
      <c r="G32" s="171"/>
      <c r="H32" s="172"/>
      <c r="I32" s="170"/>
      <c r="J32" s="214">
        <f>+'16'!J32</f>
        <v>0</v>
      </c>
      <c r="K32" s="238"/>
      <c r="L32" s="240"/>
      <c r="M32" s="119">
        <f>+K32+'16'!M32+L32</f>
        <v>0</v>
      </c>
      <c r="P32" s="151" t="s">
        <v>424</v>
      </c>
      <c r="Q32" s="151">
        <f>480-Q31</f>
        <v>0</v>
      </c>
      <c r="R32" s="151">
        <f>+R31/Q31</f>
        <v>1350</v>
      </c>
      <c r="S32" s="151">
        <f>+S31/Q31</f>
        <v>1039.5</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40045</v>
      </c>
      <c r="D34" s="109">
        <f>D14+D23+D32</f>
        <v>0</v>
      </c>
      <c r="E34" s="109">
        <f>E14+E23+E32</f>
        <v>0</v>
      </c>
      <c r="F34" s="110">
        <f>F14+F23+F32</f>
        <v>50</v>
      </c>
      <c r="H34" s="178"/>
      <c r="I34" s="178"/>
      <c r="J34" s="125" t="s">
        <v>29</v>
      </c>
      <c r="K34" s="126">
        <f>SUM(K7:K32)</f>
        <v>40045</v>
      </c>
      <c r="L34" s="212">
        <f>SUM(L7:L32)</f>
        <v>0</v>
      </c>
      <c r="M34" s="122">
        <f>SUM(M7:M32)</f>
        <v>696272</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(11.5*1440)/1440*G42*2.74*1440/1000000</f>
        <v>47.166688800000003</v>
      </c>
      <c r="J37" s="127">
        <f>+I37+'16'!J37</f>
        <v>817.26915327463587</v>
      </c>
      <c r="K37" s="128" t="s">
        <v>75</v>
      </c>
    </row>
    <row r="38" spans="1:14" ht="17.45" customHeight="1">
      <c r="A38" s="806" t="s">
        <v>13</v>
      </c>
      <c r="B38" s="807"/>
      <c r="C38" s="166">
        <f>SUMIF($G$7:$G$31,"Process",$F$7:$F$31)</f>
        <v>38</v>
      </c>
      <c r="D38" s="120">
        <f>C38+'16'!D38</f>
        <v>1335</v>
      </c>
      <c r="E38" s="145">
        <f t="shared" ref="E38:E52" si="3">D38/60</f>
        <v>22.25</v>
      </c>
      <c r="F38" s="309">
        <v>1350</v>
      </c>
      <c r="G38" s="309">
        <v>1039.5</v>
      </c>
      <c r="H38" s="187" t="s">
        <v>76</v>
      </c>
      <c r="I38" s="242">
        <f>14.158+13.645+14.396</f>
        <v>42.198999999999998</v>
      </c>
      <c r="J38" s="129">
        <f>+I38+'16'!J38</f>
        <v>729.74899999999991</v>
      </c>
      <c r="K38" s="130" t="s">
        <v>75</v>
      </c>
    </row>
    <row r="39" spans="1:14" ht="17.45" customHeight="1">
      <c r="A39" s="793" t="s">
        <v>14</v>
      </c>
      <c r="B39" s="794"/>
      <c r="C39" s="166">
        <f>SUMIF($G$7:$G$31,"Cleaning",$F$7:$F$31)</f>
        <v>0</v>
      </c>
      <c r="D39" s="120">
        <f>C39+'16'!D39</f>
        <v>0</v>
      </c>
      <c r="E39" s="145">
        <f t="shared" si="3"/>
        <v>0</v>
      </c>
      <c r="F39" s="309">
        <v>1350</v>
      </c>
      <c r="G39" s="309">
        <v>1039.5</v>
      </c>
      <c r="H39" s="187" t="s">
        <v>77</v>
      </c>
      <c r="I39" s="144"/>
      <c r="J39" s="131">
        <f>J37/G4</f>
        <v>48.074656074978577</v>
      </c>
      <c r="K39" s="132" t="s">
        <v>75</v>
      </c>
    </row>
    <row r="40" spans="1:14" ht="17.45" customHeight="1">
      <c r="A40" s="793" t="s">
        <v>78</v>
      </c>
      <c r="B40" s="794"/>
      <c r="C40" s="166">
        <f>SUMIF($G$7:$G$31,"Mechanical",$F$7:$F$31)</f>
        <v>0</v>
      </c>
      <c r="D40" s="120">
        <f>C40+'16'!D40</f>
        <v>28</v>
      </c>
      <c r="E40" s="145">
        <f t="shared" si="3"/>
        <v>0.46666666666666667</v>
      </c>
      <c r="F40" s="309">
        <v>1350</v>
      </c>
      <c r="G40" s="309">
        <v>1039.5</v>
      </c>
      <c r="H40" s="187" t="s">
        <v>79</v>
      </c>
      <c r="I40" s="120">
        <f>(K34+L34)/1000</f>
        <v>40.045000000000002</v>
      </c>
      <c r="J40" s="133">
        <f>+I40+'16'!J40</f>
        <v>696.27199999999993</v>
      </c>
      <c r="K40" s="132" t="s">
        <v>75</v>
      </c>
    </row>
    <row r="41" spans="1:14" ht="17.45" customHeight="1">
      <c r="A41" s="793" t="s">
        <v>80</v>
      </c>
      <c r="B41" s="794"/>
      <c r="C41" s="166">
        <f>SUMIF($G$7:$G$31,"Electrical",$F$7:$F$31)</f>
        <v>12</v>
      </c>
      <c r="D41" s="120">
        <f>C41+'16'!D41</f>
        <v>48</v>
      </c>
      <c r="E41" s="145">
        <f t="shared" si="3"/>
        <v>0.8</v>
      </c>
      <c r="F41" s="309"/>
      <c r="G41" s="309"/>
      <c r="H41" s="187" t="s">
        <v>81</v>
      </c>
      <c r="I41" s="144"/>
      <c r="J41" s="131">
        <f>J40/G4</f>
        <v>40.95717647058823</v>
      </c>
      <c r="K41" s="132" t="s">
        <v>75</v>
      </c>
    </row>
    <row r="42" spans="1:14" ht="17.45" customHeight="1">
      <c r="A42" s="793" t="s">
        <v>17</v>
      </c>
      <c r="B42" s="794"/>
      <c r="C42" s="166">
        <f>SUMIF($G$7:$G$31,"Instrument",$F$7:$F$31)</f>
        <v>0</v>
      </c>
      <c r="D42" s="120">
        <f>C42+'16'!D42</f>
        <v>0</v>
      </c>
      <c r="E42" s="145">
        <f t="shared" si="3"/>
        <v>0</v>
      </c>
      <c r="F42" s="185">
        <f>+(F38*480+F39*480+F40*480)/1440</f>
        <v>1350</v>
      </c>
      <c r="G42" s="185">
        <f>+(G38*480+G39*480+G40*480)/1440</f>
        <v>1039.5</v>
      </c>
      <c r="H42" s="187" t="s">
        <v>82</v>
      </c>
      <c r="I42" s="243" t="s">
        <v>459</v>
      </c>
      <c r="J42" s="134"/>
      <c r="K42" s="132" t="s">
        <v>83</v>
      </c>
    </row>
    <row r="43" spans="1:14" ht="17.45" customHeight="1">
      <c r="A43" s="793" t="s">
        <v>84</v>
      </c>
      <c r="B43" s="794"/>
      <c r="C43" s="166">
        <f>SUMIF($G$7:$G$31,"Water",$F$7:$F$31)</f>
        <v>0</v>
      </c>
      <c r="D43" s="120">
        <f>C43+'16'!D43</f>
        <v>0</v>
      </c>
      <c r="E43" s="145">
        <f t="shared" si="3"/>
        <v>0</v>
      </c>
      <c r="F43" s="309"/>
      <c r="G43" s="310"/>
      <c r="H43" s="188" t="s">
        <v>85</v>
      </c>
      <c r="I43" s="120">
        <f>+Report1!Z25</f>
        <v>84.6</v>
      </c>
      <c r="J43" s="135">
        <f>+I43+'16'!J43</f>
        <v>1451.6299999999999</v>
      </c>
      <c r="K43" s="132" t="s">
        <v>75</v>
      </c>
      <c r="L43" s="189"/>
    </row>
    <row r="44" spans="1:14" ht="17.45" customHeight="1">
      <c r="A44" s="793" t="s">
        <v>18</v>
      </c>
      <c r="B44" s="794"/>
      <c r="C44" s="166">
        <f>SUMIF($G$7:$G$31,"PLN",$F$7:$F$31)</f>
        <v>0</v>
      </c>
      <c r="D44" s="120">
        <f>C44+'16'!D44</f>
        <v>30</v>
      </c>
      <c r="E44" s="145">
        <f t="shared" si="3"/>
        <v>0.5</v>
      </c>
      <c r="F44" s="309"/>
      <c r="G44" s="310"/>
      <c r="H44" s="188" t="s">
        <v>86</v>
      </c>
      <c r="I44" s="120">
        <f>I43/I38</f>
        <v>2.0047868432901255</v>
      </c>
      <c r="J44" s="136">
        <f>J43/J38</f>
        <v>1.98921821064503</v>
      </c>
      <c r="K44" s="132" t="s">
        <v>75</v>
      </c>
    </row>
    <row r="45" spans="1:14" ht="17.45" customHeight="1">
      <c r="A45" s="793" t="s">
        <v>19</v>
      </c>
      <c r="B45" s="794"/>
      <c r="C45" s="166">
        <f>SUMIF($G$7:$G$31,"Boiler",$F$7:$F$31)</f>
        <v>0</v>
      </c>
      <c r="D45" s="120">
        <f>C45+'16'!D45</f>
        <v>0</v>
      </c>
      <c r="E45" s="145">
        <f t="shared" si="3"/>
        <v>0</v>
      </c>
      <c r="F45" s="309"/>
      <c r="G45" s="312"/>
      <c r="H45" s="188" t="s">
        <v>87</v>
      </c>
      <c r="I45" s="120">
        <f>I43/I40</f>
        <v>2.1126232987888622</v>
      </c>
      <c r="J45" s="136">
        <f>J43/J40</f>
        <v>2.0848605142817749</v>
      </c>
      <c r="K45" s="132" t="s">
        <v>75</v>
      </c>
    </row>
    <row r="46" spans="1:14" ht="17.45" customHeight="1">
      <c r="A46" s="793" t="s">
        <v>88</v>
      </c>
      <c r="B46" s="794"/>
      <c r="C46" s="166">
        <f>SUMIF($G$7:$G$31,"Gas",$F$7:$F$31)</f>
        <v>0</v>
      </c>
      <c r="D46" s="120">
        <f>C46+'16'!D46</f>
        <v>0</v>
      </c>
      <c r="E46" s="145">
        <f t="shared" si="3"/>
        <v>0</v>
      </c>
      <c r="F46" s="309"/>
      <c r="G46" s="310"/>
      <c r="H46" s="188" t="s">
        <v>89</v>
      </c>
      <c r="I46" s="142">
        <f>+SUMIF(Listrik!X24,"&gt;0")</f>
        <v>40405.750000001084</v>
      </c>
      <c r="J46" s="137">
        <f>+I46+'16'!J46</f>
        <v>679413.59499999974</v>
      </c>
      <c r="K46" s="132" t="s">
        <v>90</v>
      </c>
    </row>
    <row r="47" spans="1:14" ht="17.45" customHeight="1">
      <c r="A47" s="793" t="s">
        <v>91</v>
      </c>
      <c r="B47" s="794"/>
      <c r="C47" s="166">
        <f>SUMIF($G$7:$G$31,"Gas",$F$7:$F$31)</f>
        <v>0</v>
      </c>
      <c r="D47" s="120">
        <f>C47+'16'!D47</f>
        <v>0</v>
      </c>
      <c r="E47" s="145">
        <f t="shared" si="3"/>
        <v>0</v>
      </c>
      <c r="F47" s="309"/>
      <c r="G47" s="310"/>
      <c r="H47" s="188" t="s">
        <v>92</v>
      </c>
      <c r="I47" s="120">
        <f>I46/I38</f>
        <v>957.50491717815794</v>
      </c>
      <c r="J47" s="137">
        <f>J46/J38</f>
        <v>931.02367389335211</v>
      </c>
      <c r="K47" s="132" t="s">
        <v>25</v>
      </c>
    </row>
    <row r="48" spans="1:14" ht="17.45" customHeight="1">
      <c r="A48" s="793" t="s">
        <v>15</v>
      </c>
      <c r="B48" s="794"/>
      <c r="C48" s="166">
        <f>SUMIF($G$7:$G$31,"Start Up",$F$7:$F$31)</f>
        <v>0</v>
      </c>
      <c r="D48" s="120">
        <f>C48+'16'!D48</f>
        <v>0</v>
      </c>
      <c r="E48" s="145">
        <f t="shared" si="3"/>
        <v>0</v>
      </c>
      <c r="F48" s="309"/>
      <c r="G48" s="310"/>
      <c r="H48" s="188" t="s">
        <v>93</v>
      </c>
      <c r="I48" s="120">
        <f>I46/I40</f>
        <v>1009.0086153078058</v>
      </c>
      <c r="J48" s="137">
        <f>J46/J40</f>
        <v>975.78761604660224</v>
      </c>
      <c r="K48" s="132" t="s">
        <v>25</v>
      </c>
    </row>
    <row r="49" spans="1:11" ht="17.45" customHeight="1">
      <c r="A49" s="793" t="s">
        <v>21</v>
      </c>
      <c r="B49" s="794"/>
      <c r="C49" s="166">
        <f>SUMIF($G$7:$G$31,"Others",$F$7:$F$31)</f>
        <v>0</v>
      </c>
      <c r="D49" s="120">
        <f>C49+'16'!D49</f>
        <v>446</v>
      </c>
      <c r="E49" s="145">
        <f t="shared" si="3"/>
        <v>7.4333333333333336</v>
      </c>
      <c r="F49" s="185"/>
      <c r="H49" s="188" t="s">
        <v>280</v>
      </c>
      <c r="I49" s="120">
        <f>+Report1!T25</f>
        <v>3692.4808910936013</v>
      </c>
      <c r="J49" s="137">
        <f>+I49+'16'!J49</f>
        <v>60225.82712166939</v>
      </c>
      <c r="K49" s="132" t="s">
        <v>94</v>
      </c>
    </row>
    <row r="50" spans="1:11" ht="17.45" customHeight="1">
      <c r="A50" s="793" t="s">
        <v>20</v>
      </c>
      <c r="B50" s="794"/>
      <c r="C50" s="166">
        <f>SUMIF($G$7:$G$31,"Steam",$F$7:$F$31)</f>
        <v>0</v>
      </c>
      <c r="D50" s="120">
        <f>C50+'16'!D50</f>
        <v>0</v>
      </c>
      <c r="E50" s="145">
        <f t="shared" si="3"/>
        <v>0</v>
      </c>
      <c r="F50" s="185"/>
      <c r="H50" s="188" t="s">
        <v>95</v>
      </c>
      <c r="I50" s="142">
        <f>I49/I38</f>
        <v>87.50162068043322</v>
      </c>
      <c r="J50" s="135">
        <f>J49/J38</f>
        <v>82.529509628200103</v>
      </c>
      <c r="K50" s="132" t="s">
        <v>94</v>
      </c>
    </row>
    <row r="51" spans="1:11" ht="17.45" customHeight="1">
      <c r="A51" s="810" t="s">
        <v>96</v>
      </c>
      <c r="B51" s="810"/>
      <c r="C51" s="166">
        <f>SUMIF($G$7:$G$31,"Planned shut",$F$7:$F$31)</f>
        <v>0</v>
      </c>
      <c r="D51" s="120">
        <f>C51+'16'!D51</f>
        <v>0</v>
      </c>
      <c r="E51" s="145">
        <f t="shared" si="3"/>
        <v>0</v>
      </c>
      <c r="F51" s="185"/>
      <c r="H51" s="190" t="s">
        <v>97</v>
      </c>
      <c r="I51" s="143">
        <f>I49/I40</f>
        <v>92.208287953392457</v>
      </c>
      <c r="J51" s="138">
        <f>J49/J40</f>
        <v>86.497557163966661</v>
      </c>
      <c r="K51" s="139" t="s">
        <v>94</v>
      </c>
    </row>
    <row r="52" spans="1:11" ht="13.5" thickBot="1">
      <c r="A52" s="811" t="s">
        <v>230</v>
      </c>
      <c r="B52" s="812"/>
      <c r="C52" s="166">
        <f>SUMIF($G$7:$G$31,"Change Grade",$F$7:$F$31)</f>
        <v>0</v>
      </c>
      <c r="D52" s="120">
        <f>C52+'16'!D52</f>
        <v>0</v>
      </c>
      <c r="E52" s="145">
        <f t="shared" si="3"/>
        <v>0</v>
      </c>
      <c r="F52" s="185"/>
      <c r="H52" s="191"/>
      <c r="I52" s="192"/>
      <c r="J52" s="140"/>
      <c r="K52" s="141"/>
    </row>
    <row r="53" spans="1:11">
      <c r="A53" s="806" t="s">
        <v>29</v>
      </c>
      <c r="B53" s="807"/>
      <c r="C53" s="146">
        <f>SUM(C38:C52)</f>
        <v>50</v>
      </c>
      <c r="D53" s="146">
        <f>SUM(D38:D52)</f>
        <v>1887</v>
      </c>
      <c r="E53" s="147">
        <f>SUM(E38:E52)</f>
        <v>31.45</v>
      </c>
      <c r="F53" s="185"/>
    </row>
    <row r="54" spans="1:11" ht="13.5" thickBot="1">
      <c r="A54" s="808"/>
      <c r="B54" s="809"/>
      <c r="C54" s="148">
        <f>C53/(24*60)</f>
        <v>3.4722222222222224E-2</v>
      </c>
      <c r="D54" s="148">
        <f>D53/(24*60*G4)</f>
        <v>7.7083333333333337E-2</v>
      </c>
      <c r="E54" s="149">
        <f>E53/(G4*24)</f>
        <v>7.7083333333333337E-2</v>
      </c>
      <c r="F54" s="185"/>
    </row>
    <row r="55" spans="1:11">
      <c r="E55" s="193"/>
    </row>
    <row r="56" spans="1:11">
      <c r="A56" s="194" t="s">
        <v>98</v>
      </c>
      <c r="B56" s="195"/>
      <c r="C56" s="196"/>
      <c r="D56" s="196"/>
      <c r="E56" s="196"/>
      <c r="F56" s="197"/>
      <c r="G56" s="196"/>
      <c r="H56" s="198"/>
      <c r="I56" s="199" t="s">
        <v>99</v>
      </c>
      <c r="J56" s="200">
        <f>+D34+'16'!J56</f>
        <v>3979</v>
      </c>
      <c r="K56" s="201">
        <f>J56/(J40+J56/1000)/1000</f>
        <v>5.6822482224231025E-3</v>
      </c>
    </row>
    <row r="57" spans="1:11">
      <c r="A57" s="176"/>
      <c r="I57" s="199" t="s">
        <v>100</v>
      </c>
      <c r="J57" s="200">
        <f>+E34+'16'!J57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7:B47"/>
    <mergeCell ref="A48:B48"/>
    <mergeCell ref="A49:B49"/>
    <mergeCell ref="A50:B50"/>
    <mergeCell ref="A51:B51"/>
    <mergeCell ref="A42:B42"/>
    <mergeCell ref="A43:B43"/>
    <mergeCell ref="A44:B44"/>
    <mergeCell ref="A45:B45"/>
    <mergeCell ref="A46:B46"/>
    <mergeCell ref="A41:B41"/>
    <mergeCell ref="A7:A14"/>
    <mergeCell ref="I7:I13"/>
    <mergeCell ref="A15:A23"/>
    <mergeCell ref="I15:I22"/>
    <mergeCell ref="A34:B34"/>
    <mergeCell ref="A37:B37"/>
    <mergeCell ref="A38:B38"/>
    <mergeCell ref="I24:I31"/>
    <mergeCell ref="A24:A32"/>
    <mergeCell ref="A39:B39"/>
    <mergeCell ref="A40:B4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3" zoomScale="80" zoomScaleNormal="8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28" ht="15.75">
      <c r="A1" s="150"/>
      <c r="W1" s="519"/>
    </row>
    <row r="2" spans="1:28" ht="15.75">
      <c r="A2" s="150" t="s">
        <v>231</v>
      </c>
    </row>
    <row r="3" spans="1:28" ht="15">
      <c r="A3" s="152"/>
    </row>
    <row r="4" spans="1:28" ht="20.25">
      <c r="A4" s="153" t="s">
        <v>4</v>
      </c>
      <c r="B4" s="154"/>
      <c r="F4" s="155" t="s">
        <v>31</v>
      </c>
      <c r="G4" s="156">
        <v>16</v>
      </c>
      <c r="H4" s="156" t="str">
        <f>+'1'!H4</f>
        <v>.07.25</v>
      </c>
      <c r="J4" s="151">
        <f>349+336+342</f>
        <v>1027</v>
      </c>
      <c r="W4" s="537"/>
    </row>
    <row r="5" spans="1:28" ht="13.5" thickBot="1">
      <c r="C5" s="157"/>
      <c r="D5" s="157"/>
      <c r="W5" s="519"/>
    </row>
    <row r="6" spans="1:28"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409</v>
      </c>
      <c r="O6" s="151">
        <v>1350</v>
      </c>
      <c r="P6" s="151">
        <f>+O6-O6*0.23</f>
        <v>1039.5</v>
      </c>
      <c r="Q6" s="151">
        <f>60*5+5</f>
        <v>305</v>
      </c>
      <c r="R6" s="151">
        <f>+O6*Q6</f>
        <v>411750</v>
      </c>
      <c r="S6" s="151">
        <f>+P6*Q6</f>
        <v>317047.5</v>
      </c>
      <c r="Z6" s="176"/>
    </row>
    <row r="7" spans="1:28" ht="13.5" customHeight="1" thickBot="1">
      <c r="A7" s="795" t="s">
        <v>396</v>
      </c>
      <c r="B7" s="215" t="s">
        <v>398</v>
      </c>
      <c r="C7" s="216">
        <f>6602+6735</f>
        <v>13337</v>
      </c>
      <c r="D7" s="217"/>
      <c r="E7" s="218"/>
      <c r="F7" s="233"/>
      <c r="G7" s="555" t="s">
        <v>13</v>
      </c>
      <c r="H7" s="556" t="s">
        <v>461</v>
      </c>
      <c r="I7" s="798" t="s">
        <v>459</v>
      </c>
      <c r="J7" s="214" t="str">
        <f>+'15'!J7</f>
        <v>F 12 VP OW</v>
      </c>
      <c r="K7" s="235">
        <f>+C7</f>
        <v>13337</v>
      </c>
      <c r="L7" s="239"/>
      <c r="M7" s="119">
        <f>+K7+'15'!M7+L7</f>
        <v>259752</v>
      </c>
      <c r="N7" s="151" t="s">
        <v>425</v>
      </c>
      <c r="O7" s="151">
        <v>1350</v>
      </c>
      <c r="P7" s="151">
        <f>+O7-O7*0.23</f>
        <v>1039.5</v>
      </c>
      <c r="Q7" s="151">
        <f>480-Q6</f>
        <v>175</v>
      </c>
      <c r="R7" s="151">
        <f>+O7*Q7</f>
        <v>236250</v>
      </c>
      <c r="S7" s="151">
        <f>+P7*Q7</f>
        <v>181912.5</v>
      </c>
      <c r="AA7" s="176"/>
      <c r="AB7" s="176"/>
    </row>
    <row r="8" spans="1:28" ht="13.5" thickBot="1">
      <c r="A8" s="796"/>
      <c r="B8" s="215" t="s">
        <v>445</v>
      </c>
      <c r="C8" s="216">
        <f>826+942</f>
        <v>1768</v>
      </c>
      <c r="D8" s="217"/>
      <c r="E8" s="219"/>
      <c r="F8" s="229">
        <v>3</v>
      </c>
      <c r="G8" s="557" t="s">
        <v>13</v>
      </c>
      <c r="H8" s="228" t="s">
        <v>399</v>
      </c>
      <c r="I8" s="799"/>
      <c r="J8" s="214" t="str">
        <f>+'15'!J8</f>
        <v>F 11,5 VP OW</v>
      </c>
      <c r="K8" s="236">
        <f>+C8+C16+C25</f>
        <v>27908</v>
      </c>
      <c r="L8" s="236"/>
      <c r="M8" s="119">
        <f>+K8+'15'!M8+L8</f>
        <v>178767</v>
      </c>
      <c r="P8" s="151">
        <f>+O8-O8*0.23</f>
        <v>0</v>
      </c>
      <c r="R8" s="151">
        <f>+O8*Q8</f>
        <v>0</v>
      </c>
      <c r="S8" s="151">
        <f>+P8*Q8</f>
        <v>0</v>
      </c>
    </row>
    <row r="9" spans="1:28" ht="13.5" thickBot="1">
      <c r="A9" s="796"/>
      <c r="B9" s="215"/>
      <c r="C9" s="216"/>
      <c r="D9" s="217"/>
      <c r="E9" s="220"/>
      <c r="F9" s="229">
        <v>9</v>
      </c>
      <c r="G9" s="557" t="s">
        <v>13</v>
      </c>
      <c r="H9" s="231" t="s">
        <v>463</v>
      </c>
      <c r="I9" s="799"/>
      <c r="J9" s="214" t="str">
        <f>+'15'!J9</f>
        <v>T 13 VP OW</v>
      </c>
      <c r="K9" s="236"/>
      <c r="L9" s="236"/>
      <c r="M9" s="119">
        <f>+K9+'15'!M9+L9</f>
        <v>113358</v>
      </c>
      <c r="P9" s="151">
        <f t="shared" ref="P9:P10" si="0">+O9-O9*0.23</f>
        <v>0</v>
      </c>
      <c r="R9" s="151">
        <f>+O9*Q9</f>
        <v>0</v>
      </c>
      <c r="S9" s="151">
        <f>+P9*Q9</f>
        <v>0</v>
      </c>
    </row>
    <row r="10" spans="1:28" ht="90" thickBot="1">
      <c r="A10" s="796"/>
      <c r="B10" s="215"/>
      <c r="C10" s="216"/>
      <c r="D10" s="217"/>
      <c r="E10" s="219"/>
      <c r="F10" s="229"/>
      <c r="G10" s="227"/>
      <c r="H10" s="558" t="s">
        <v>646</v>
      </c>
      <c r="I10" s="799"/>
      <c r="J10" s="214" t="str">
        <f>+'15'!J10</f>
        <v>F 13 VP OW</v>
      </c>
      <c r="K10" s="236"/>
      <c r="L10" s="236"/>
      <c r="M10" s="119">
        <f>+K10+'15'!M10+L10</f>
        <v>43207</v>
      </c>
      <c r="P10" s="151">
        <f t="shared" si="0"/>
        <v>0</v>
      </c>
      <c r="R10" s="151">
        <f>+O10*Q10</f>
        <v>0</v>
      </c>
      <c r="S10" s="151">
        <f>+P10*Q10</f>
        <v>0</v>
      </c>
    </row>
    <row r="11" spans="1:28" ht="68.25" customHeight="1" thickBot="1">
      <c r="A11" s="796"/>
      <c r="B11" s="215"/>
      <c r="C11" s="216"/>
      <c r="D11" s="217"/>
      <c r="E11" s="219"/>
      <c r="F11" s="226"/>
      <c r="G11" s="230"/>
      <c r="H11" s="231" t="s">
        <v>647</v>
      </c>
      <c r="I11" s="799"/>
      <c r="J11" s="214" t="str">
        <f>+'15'!J11</f>
        <v xml:space="preserve">T 13 VP OW HB </v>
      </c>
      <c r="K11" s="236"/>
      <c r="L11" s="236"/>
      <c r="M11" s="119">
        <f>+K11+'15'!M11+L11</f>
        <v>10128</v>
      </c>
    </row>
    <row r="12" spans="1:28" ht="13.5" thickBot="1">
      <c r="A12" s="796"/>
      <c r="B12" s="215"/>
      <c r="C12" s="216"/>
      <c r="D12" s="217"/>
      <c r="E12" s="219"/>
      <c r="F12" s="226"/>
      <c r="G12" s="230"/>
      <c r="H12" s="231"/>
      <c r="I12" s="799"/>
      <c r="J12" s="214" t="str">
        <f>+'15'!J12</f>
        <v>TW 15 VP OW</v>
      </c>
      <c r="K12" s="236"/>
      <c r="L12" s="236"/>
      <c r="M12" s="119">
        <f>+K12+'15'!M12+L12</f>
        <v>51015</v>
      </c>
      <c r="Q12" s="151">
        <f>SUM(Q6:Q11)</f>
        <v>480</v>
      </c>
      <c r="R12" s="151">
        <f>SUM(R6:R9)</f>
        <v>648000</v>
      </c>
      <c r="S12" s="151">
        <f>SUM(S6:S9)</f>
        <v>498960</v>
      </c>
    </row>
    <row r="13" spans="1:28" ht="13.5" thickBot="1">
      <c r="A13" s="796"/>
      <c r="B13" s="215"/>
      <c r="C13" s="216"/>
      <c r="D13" s="216"/>
      <c r="E13" s="219"/>
      <c r="F13" s="226"/>
      <c r="G13" s="230"/>
      <c r="H13" s="231"/>
      <c r="I13" s="800"/>
      <c r="J13" s="214">
        <f>+'15'!J13</f>
        <v>0</v>
      </c>
      <c r="K13" s="236"/>
      <c r="L13" s="236"/>
      <c r="M13" s="119">
        <f>+K13+'15'!M13+L13</f>
        <v>0</v>
      </c>
      <c r="P13" s="151" t="s">
        <v>424</v>
      </c>
      <c r="Q13" s="151">
        <f>480-Q12</f>
        <v>0</v>
      </c>
      <c r="R13" s="151">
        <f>+R12/Q12</f>
        <v>1350</v>
      </c>
      <c r="S13" s="151">
        <f>+S12/Q12</f>
        <v>1039.5</v>
      </c>
    </row>
    <row r="14" spans="1:28" ht="13.5" thickBot="1">
      <c r="A14" s="797"/>
      <c r="B14" s="167" t="s">
        <v>3</v>
      </c>
      <c r="C14" s="101">
        <f>SUM(C7:C13)</f>
        <v>15105</v>
      </c>
      <c r="D14" s="113">
        <f>SUM(D7:D13)</f>
        <v>0</v>
      </c>
      <c r="E14" s="114">
        <f>SUM(E5:E13)</f>
        <v>0</v>
      </c>
      <c r="F14" s="118">
        <f>SUM(F7:F13)</f>
        <v>12</v>
      </c>
      <c r="G14" s="161"/>
      <c r="H14" s="168"/>
      <c r="I14" s="169"/>
      <c r="J14" s="214">
        <f>+'15'!J14</f>
        <v>0</v>
      </c>
      <c r="K14" s="236"/>
      <c r="L14" s="236"/>
      <c r="M14" s="119">
        <f>+K14+'15'!M14+L14</f>
        <v>0</v>
      </c>
    </row>
    <row r="15" spans="1:28" ht="13.5" thickBot="1">
      <c r="A15" s="801" t="s">
        <v>652</v>
      </c>
      <c r="B15" s="518"/>
      <c r="C15" s="115">
        <f>C14/($C$23+$D$23+$E$23)</f>
        <v>1.1375960234975147</v>
      </c>
      <c r="D15" s="116">
        <f>D14/($C$23+$D$23+$E$23)</f>
        <v>0</v>
      </c>
      <c r="E15" s="117">
        <f>E14/($C$23+$D$23+$E$23)</f>
        <v>0</v>
      </c>
      <c r="F15" s="233"/>
      <c r="G15" s="555" t="s">
        <v>13</v>
      </c>
      <c r="H15" s="556" t="s">
        <v>461</v>
      </c>
      <c r="I15" s="798" t="s">
        <v>459</v>
      </c>
      <c r="J15" s="214">
        <f>+'15'!J15</f>
        <v>0</v>
      </c>
      <c r="K15" s="236"/>
      <c r="L15" s="236"/>
      <c r="M15" s="119">
        <f>+K15+'15'!M15+L15</f>
        <v>0</v>
      </c>
      <c r="N15" s="151" t="s">
        <v>425</v>
      </c>
      <c r="O15" s="151">
        <v>1350</v>
      </c>
      <c r="P15" s="151">
        <f>+O15-O15*0.23</f>
        <v>1039.5</v>
      </c>
      <c r="Q15" s="151">
        <v>480</v>
      </c>
      <c r="R15" s="151">
        <f>+O15*Q15</f>
        <v>648000</v>
      </c>
      <c r="S15" s="151">
        <f>+P15*Q15</f>
        <v>498960</v>
      </c>
    </row>
    <row r="16" spans="1:28" ht="13.5" thickBot="1">
      <c r="A16" s="796"/>
      <c r="B16" s="517" t="s">
        <v>445</v>
      </c>
      <c r="C16" s="516">
        <v>13278</v>
      </c>
      <c r="D16" s="221"/>
      <c r="E16" s="222"/>
      <c r="F16" s="229">
        <v>3</v>
      </c>
      <c r="G16" s="557" t="s">
        <v>13</v>
      </c>
      <c r="H16" s="228" t="s">
        <v>399</v>
      </c>
      <c r="I16" s="799"/>
      <c r="J16" s="214">
        <f>+'15'!J16</f>
        <v>0</v>
      </c>
      <c r="K16" s="236"/>
      <c r="L16" s="227"/>
      <c r="M16" s="119">
        <f>+K16+'15'!M16+L16</f>
        <v>0</v>
      </c>
      <c r="P16" s="151">
        <f>+O16-O16*0.23</f>
        <v>0</v>
      </c>
      <c r="Q16" s="151">
        <f>480-Q15</f>
        <v>0</v>
      </c>
      <c r="R16" s="151">
        <f>+O16*Q16</f>
        <v>0</v>
      </c>
      <c r="S16" s="151">
        <f>+P16*Q16</f>
        <v>0</v>
      </c>
    </row>
    <row r="17" spans="1:19" ht="13.5" thickBot="1">
      <c r="A17" s="796"/>
      <c r="B17" s="215"/>
      <c r="C17" s="216"/>
      <c r="D17" s="217"/>
      <c r="E17" s="223"/>
      <c r="F17" s="229">
        <v>7</v>
      </c>
      <c r="G17" s="557" t="s">
        <v>13</v>
      </c>
      <c r="H17" s="231" t="s">
        <v>520</v>
      </c>
      <c r="I17" s="799"/>
      <c r="J17" s="214">
        <f>+'15'!J17</f>
        <v>0</v>
      </c>
      <c r="K17" s="227"/>
      <c r="L17" s="227"/>
      <c r="M17" s="119">
        <f>+K17+'15'!M17+L17</f>
        <v>0</v>
      </c>
      <c r="P17" s="151">
        <f>+O17-O17*0.23</f>
        <v>0</v>
      </c>
      <c r="R17" s="151">
        <f>+O17*Q17</f>
        <v>0</v>
      </c>
      <c r="S17" s="151">
        <f>+P17*Q17</f>
        <v>0</v>
      </c>
    </row>
    <row r="18" spans="1:19" ht="39" thickBot="1">
      <c r="A18" s="796"/>
      <c r="B18" s="215"/>
      <c r="C18" s="216"/>
      <c r="D18" s="217"/>
      <c r="E18" s="223"/>
      <c r="F18" s="229"/>
      <c r="G18" s="227"/>
      <c r="H18" s="558" t="s">
        <v>649</v>
      </c>
      <c r="I18" s="799"/>
      <c r="J18" s="214">
        <f>+'15'!J18</f>
        <v>0</v>
      </c>
      <c r="K18" s="236"/>
      <c r="L18" s="236"/>
      <c r="M18" s="119">
        <f>+K18+'15'!M18+L18</f>
        <v>0</v>
      </c>
      <c r="P18" s="151">
        <f t="shared" ref="P18:P19" si="1">+O18-O18*0.23</f>
        <v>0</v>
      </c>
      <c r="R18" s="151">
        <f>+O18*Q18</f>
        <v>0</v>
      </c>
      <c r="S18" s="151">
        <f>+P18*Q18</f>
        <v>0</v>
      </c>
    </row>
    <row r="19" spans="1:19" ht="90" thickBot="1">
      <c r="A19" s="796"/>
      <c r="B19" s="215"/>
      <c r="C19" s="216"/>
      <c r="D19" s="217"/>
      <c r="E19" s="223"/>
      <c r="F19" s="232"/>
      <c r="G19" s="230"/>
      <c r="H19" s="231" t="s">
        <v>648</v>
      </c>
      <c r="I19" s="799"/>
      <c r="J19" s="214">
        <f>+'15'!J19</f>
        <v>0</v>
      </c>
      <c r="K19" s="236"/>
      <c r="L19" s="236"/>
      <c r="M19" s="119">
        <f>+K19+'15'!M19+L19</f>
        <v>0</v>
      </c>
      <c r="P19" s="151">
        <f t="shared" si="1"/>
        <v>0</v>
      </c>
      <c r="R19" s="151">
        <f>+O19*Q19</f>
        <v>0</v>
      </c>
      <c r="S19" s="151">
        <f>+P19*Q19</f>
        <v>0</v>
      </c>
    </row>
    <row r="20" spans="1:19" ht="13.5" thickBot="1">
      <c r="A20" s="796"/>
      <c r="B20" s="215"/>
      <c r="C20" s="216"/>
      <c r="D20" s="217"/>
      <c r="E20" s="223"/>
      <c r="F20" s="226"/>
      <c r="G20" s="230"/>
      <c r="H20" s="231"/>
      <c r="I20" s="799"/>
      <c r="J20" s="214">
        <f>+'15'!J20</f>
        <v>0</v>
      </c>
      <c r="K20" s="237"/>
      <c r="L20" s="237"/>
      <c r="M20" s="119">
        <f>+K20+'15'!M20+L20</f>
        <v>0</v>
      </c>
    </row>
    <row r="21" spans="1:19" ht="13.5" thickBot="1">
      <c r="A21" s="796"/>
      <c r="B21" s="215"/>
      <c r="C21" s="216"/>
      <c r="D21" s="217"/>
      <c r="E21" s="223"/>
      <c r="F21" s="229"/>
      <c r="G21" s="230"/>
      <c r="H21" s="231"/>
      <c r="I21" s="799"/>
      <c r="J21" s="214">
        <f>+'15'!J21</f>
        <v>0</v>
      </c>
      <c r="K21" s="236"/>
      <c r="L21" s="236"/>
      <c r="M21" s="119">
        <f>+K21+'15'!M21+L21</f>
        <v>0</v>
      </c>
      <c r="Q21" s="151">
        <f>SUM(Q15:Q20)</f>
        <v>480</v>
      </c>
      <c r="R21" s="151">
        <f>SUM(R15:R18)</f>
        <v>648000</v>
      </c>
      <c r="S21" s="151">
        <f>SUM(S15:S18)</f>
        <v>498960</v>
      </c>
    </row>
    <row r="22" spans="1:19" ht="13.5" thickBot="1">
      <c r="A22" s="796"/>
      <c r="B22" s="215"/>
      <c r="C22" s="216"/>
      <c r="D22" s="217"/>
      <c r="E22" s="223"/>
      <c r="F22" s="233"/>
      <c r="G22" s="230"/>
      <c r="H22" s="231"/>
      <c r="I22" s="800"/>
      <c r="J22" s="214">
        <f>+'15'!J22</f>
        <v>0</v>
      </c>
      <c r="K22" s="236"/>
      <c r="L22" s="236"/>
      <c r="M22" s="119">
        <f>+K22+'15'!M22+L22</f>
        <v>0</v>
      </c>
      <c r="P22" s="151" t="s">
        <v>424</v>
      </c>
      <c r="Q22" s="151">
        <f>480-Q21</f>
        <v>0</v>
      </c>
      <c r="R22" s="151">
        <f>+R21/Q21</f>
        <v>1350</v>
      </c>
      <c r="S22" s="151">
        <f>+S21/Q21</f>
        <v>1039.5</v>
      </c>
    </row>
    <row r="23" spans="1:19" ht="13.5" thickBot="1">
      <c r="A23" s="797"/>
      <c r="B23" s="167" t="s">
        <v>3</v>
      </c>
      <c r="C23" s="101">
        <f>SUM(C16:C22)</f>
        <v>13278</v>
      </c>
      <c r="D23" s="113">
        <f>SUM(D16:D22)</f>
        <v>0</v>
      </c>
      <c r="E23" s="114">
        <f>SUM(E18:E22)</f>
        <v>0</v>
      </c>
      <c r="F23" s="118">
        <f>SUM(F15:F22)</f>
        <v>10</v>
      </c>
      <c r="G23" s="161"/>
      <c r="H23" s="168"/>
      <c r="I23" s="170"/>
      <c r="J23" s="214">
        <f>+'15'!J23</f>
        <v>0</v>
      </c>
      <c r="K23" s="236"/>
      <c r="L23" s="236"/>
      <c r="M23" s="119">
        <f>+K23+'15'!M23+L23</f>
        <v>0</v>
      </c>
    </row>
    <row r="24" spans="1:19" ht="13.5" thickBot="1">
      <c r="A24" s="801" t="s">
        <v>442</v>
      </c>
      <c r="B24" s="518"/>
      <c r="C24" s="115">
        <f>C23/($C$23+$D$23+$E$23)</f>
        <v>1</v>
      </c>
      <c r="D24" s="116">
        <f>D23/($C$23+$D$23+$E$23)</f>
        <v>0</v>
      </c>
      <c r="E24" s="117">
        <f>E23/($C$23+$D$23+$E$23)</f>
        <v>0</v>
      </c>
      <c r="F24" s="233"/>
      <c r="G24" s="555" t="s">
        <v>13</v>
      </c>
      <c r="H24" s="556" t="s">
        <v>461</v>
      </c>
      <c r="I24" s="798" t="s">
        <v>459</v>
      </c>
      <c r="J24" s="214">
        <f>+'15'!J24</f>
        <v>0</v>
      </c>
      <c r="K24" s="236"/>
      <c r="L24" s="236"/>
      <c r="M24" s="119">
        <f>+K24+'15'!M24+L24</f>
        <v>0</v>
      </c>
      <c r="N24" s="519"/>
    </row>
    <row r="25" spans="1:19" ht="13.5" thickBot="1">
      <c r="A25" s="796"/>
      <c r="B25" s="517" t="s">
        <v>445</v>
      </c>
      <c r="C25" s="224">
        <v>12862</v>
      </c>
      <c r="D25" s="217">
        <v>290</v>
      </c>
      <c r="E25" s="223"/>
      <c r="F25" s="229">
        <v>3</v>
      </c>
      <c r="G25" s="557" t="s">
        <v>13</v>
      </c>
      <c r="H25" s="228" t="s">
        <v>399</v>
      </c>
      <c r="I25" s="799"/>
      <c r="J25" s="214">
        <f>+'15'!J25</f>
        <v>0</v>
      </c>
      <c r="K25" s="236"/>
      <c r="L25" s="236"/>
      <c r="M25" s="119">
        <f>+K25+'15'!M25+L25</f>
        <v>0</v>
      </c>
      <c r="N25" s="538"/>
      <c r="O25" s="539"/>
      <c r="P25" s="539"/>
      <c r="Q25" s="539"/>
    </row>
    <row r="26" spans="1:19" ht="13.5" thickBot="1">
      <c r="A26" s="796"/>
      <c r="B26" s="215"/>
      <c r="C26" s="224"/>
      <c r="D26" s="217"/>
      <c r="E26" s="225"/>
      <c r="F26" s="229">
        <v>5</v>
      </c>
      <c r="G26" s="557" t="s">
        <v>13</v>
      </c>
      <c r="H26" s="231" t="s">
        <v>520</v>
      </c>
      <c r="I26" s="799"/>
      <c r="J26" s="214">
        <f>+'15'!J26</f>
        <v>0</v>
      </c>
      <c r="K26" s="236"/>
      <c r="L26" s="236"/>
      <c r="M26" s="119">
        <f>+K26+'15'!M26+L26</f>
        <v>0</v>
      </c>
      <c r="N26" s="151" t="s">
        <v>425</v>
      </c>
      <c r="O26" s="151">
        <v>1350</v>
      </c>
      <c r="P26" s="151">
        <f>+O26-O26*0.23</f>
        <v>1039.5</v>
      </c>
      <c r="Q26" s="151">
        <v>480</v>
      </c>
      <c r="R26" s="151">
        <f>+O26*Q26</f>
        <v>648000</v>
      </c>
      <c r="S26" s="151">
        <f>+P26*Q26</f>
        <v>498960</v>
      </c>
    </row>
    <row r="27" spans="1:19" ht="39" thickBot="1">
      <c r="A27" s="796"/>
      <c r="B27" s="215"/>
      <c r="C27" s="216"/>
      <c r="D27" s="217"/>
      <c r="E27" s="223"/>
      <c r="F27" s="229"/>
      <c r="G27" s="227"/>
      <c r="H27" s="558" t="s">
        <v>649</v>
      </c>
      <c r="I27" s="799"/>
      <c r="J27" s="214">
        <f>+'15'!J27</f>
        <v>0</v>
      </c>
      <c r="K27" s="236"/>
      <c r="L27" s="236"/>
      <c r="M27" s="119">
        <f>+K27+'15'!M27+L27</f>
        <v>0</v>
      </c>
      <c r="P27" s="151">
        <f>+O27-O27*0.23</f>
        <v>0</v>
      </c>
      <c r="Q27" s="151">
        <f>480-Q26</f>
        <v>0</v>
      </c>
      <c r="R27" s="151">
        <f>+O27*Q27</f>
        <v>0</v>
      </c>
      <c r="S27" s="151">
        <f>+P27*Q27</f>
        <v>0</v>
      </c>
    </row>
    <row r="28" spans="1:19" ht="106.5" customHeight="1" thickBot="1">
      <c r="A28" s="796"/>
      <c r="B28" s="215"/>
      <c r="C28" s="216"/>
      <c r="D28" s="217"/>
      <c r="E28" s="223"/>
      <c r="F28" s="229"/>
      <c r="G28" s="227"/>
      <c r="H28" s="231" t="s">
        <v>650</v>
      </c>
      <c r="I28" s="799"/>
      <c r="J28" s="214">
        <f>+'15'!J28</f>
        <v>0</v>
      </c>
      <c r="K28" s="236"/>
      <c r="L28" s="236"/>
      <c r="M28" s="119">
        <f>+K28+'15'!M28+L28</f>
        <v>0</v>
      </c>
      <c r="P28" s="151">
        <f>+O28-O28*0.23</f>
        <v>0</v>
      </c>
      <c r="R28" s="151">
        <f>+O28*Q28</f>
        <v>0</v>
      </c>
      <c r="S28" s="151">
        <f>+P28*Q28</f>
        <v>0</v>
      </c>
    </row>
    <row r="29" spans="1:19" ht="13.5" thickBot="1">
      <c r="A29" s="796"/>
      <c r="B29" s="215"/>
      <c r="C29" s="216"/>
      <c r="D29" s="217"/>
      <c r="E29" s="223"/>
      <c r="F29" s="233"/>
      <c r="G29" s="230"/>
      <c r="H29" s="231"/>
      <c r="I29" s="799"/>
      <c r="J29" s="214">
        <f>+'15'!J29</f>
        <v>0</v>
      </c>
      <c r="K29" s="236"/>
      <c r="L29" s="236"/>
      <c r="M29" s="119">
        <f>+K29+'15'!M29+L29</f>
        <v>0</v>
      </c>
      <c r="P29" s="151">
        <f t="shared" ref="P29:P30" si="2">+O29-O29*0.23</f>
        <v>0</v>
      </c>
      <c r="R29" s="151">
        <f>+O29*Q29</f>
        <v>0</v>
      </c>
      <c r="S29" s="151">
        <f>+P29*Q29</f>
        <v>0</v>
      </c>
    </row>
    <row r="30" spans="1:19" ht="13.5" thickBot="1">
      <c r="A30" s="796"/>
      <c r="B30" s="215"/>
      <c r="C30" s="224"/>
      <c r="D30" s="217"/>
      <c r="E30" s="223"/>
      <c r="F30" s="233"/>
      <c r="G30" s="230"/>
      <c r="H30" s="231"/>
      <c r="I30" s="799"/>
      <c r="J30" s="214">
        <f>+'15'!J30</f>
        <v>0</v>
      </c>
      <c r="K30" s="236"/>
      <c r="L30" s="236"/>
      <c r="M30" s="119">
        <f>+K30+'15'!M30+L30</f>
        <v>0</v>
      </c>
      <c r="P30" s="151">
        <f t="shared" si="2"/>
        <v>0</v>
      </c>
      <c r="R30" s="151">
        <f>+O30*Q30</f>
        <v>0</v>
      </c>
      <c r="S30" s="151">
        <f>+P30*Q30</f>
        <v>0</v>
      </c>
    </row>
    <row r="31" spans="1:19" ht="13.5" thickBot="1">
      <c r="A31" s="796"/>
      <c r="B31" s="215"/>
      <c r="C31" s="224"/>
      <c r="D31" s="217"/>
      <c r="E31" s="223"/>
      <c r="F31" s="233"/>
      <c r="G31" s="234"/>
      <c r="H31" s="409"/>
      <c r="I31" s="800"/>
      <c r="J31" s="214">
        <f>+'15'!J31</f>
        <v>0</v>
      </c>
      <c r="K31" s="236"/>
      <c r="L31" s="236"/>
      <c r="M31" s="119">
        <f>+K31+'15'!M31+L31</f>
        <v>0</v>
      </c>
    </row>
    <row r="32" spans="1:19" ht="13.5" thickBot="1">
      <c r="A32" s="797"/>
      <c r="B32" s="167" t="s">
        <v>3</v>
      </c>
      <c r="C32" s="101">
        <f>SUM(C25:C31)</f>
        <v>12862</v>
      </c>
      <c r="D32" s="102">
        <f>SUM(D25:D31)</f>
        <v>290</v>
      </c>
      <c r="E32" s="103">
        <f>SUM(E25:E31)</f>
        <v>0</v>
      </c>
      <c r="F32" s="101">
        <f>SUM(F24:F31)</f>
        <v>8</v>
      </c>
      <c r="G32" s="171"/>
      <c r="H32" s="172"/>
      <c r="I32" s="170"/>
      <c r="J32" s="214">
        <f>+'15'!J32</f>
        <v>0</v>
      </c>
      <c r="K32" s="238"/>
      <c r="L32" s="240"/>
      <c r="M32" s="119">
        <f>+K32+'15'!M32+L32</f>
        <v>0</v>
      </c>
      <c r="Q32" s="151">
        <f>SUM(Q26:Q31)</f>
        <v>480</v>
      </c>
      <c r="R32" s="151">
        <f>SUM(R26:R29)</f>
        <v>648000</v>
      </c>
      <c r="S32" s="151">
        <f>SUM(S26:S29)</f>
        <v>498960</v>
      </c>
    </row>
    <row r="33" spans="1:19" ht="13.5" thickBot="1">
      <c r="A33" s="173"/>
      <c r="B33" s="174"/>
      <c r="C33" s="105">
        <f>C32/($C$32+$D$32+$E$32)</f>
        <v>0.97795012165450124</v>
      </c>
      <c r="D33" s="106">
        <f>D32/($C$32+$D$32+$E$32)</f>
        <v>2.2049878345498784E-2</v>
      </c>
      <c r="E33" s="107">
        <f>E32/($C$32+$D$32+$E$32)</f>
        <v>0</v>
      </c>
      <c r="F33" s="108"/>
      <c r="G33" s="175"/>
      <c r="H33" s="176"/>
      <c r="I33" s="177"/>
      <c r="J33" s="123"/>
      <c r="K33" s="124"/>
      <c r="L33" s="213"/>
      <c r="M33" s="121"/>
      <c r="P33" s="151" t="s">
        <v>424</v>
      </c>
      <c r="Q33" s="151">
        <f>480-Q32</f>
        <v>0</v>
      </c>
      <c r="R33" s="151">
        <f>+R32/Q32</f>
        <v>1350</v>
      </c>
      <c r="S33" s="151">
        <f>+S32/Q32</f>
        <v>1039.5</v>
      </c>
    </row>
    <row r="34" spans="1:19" ht="13.5" thickBot="1">
      <c r="A34" s="802" t="s">
        <v>69</v>
      </c>
      <c r="B34" s="803"/>
      <c r="C34" s="109">
        <f>C14+C23+C32</f>
        <v>41245</v>
      </c>
      <c r="D34" s="109">
        <f>D14+D23+D32</f>
        <v>290</v>
      </c>
      <c r="E34" s="109">
        <f>E14+E23+E32</f>
        <v>0</v>
      </c>
      <c r="F34" s="110">
        <f>F14+F23+F32</f>
        <v>30</v>
      </c>
      <c r="H34" s="178"/>
      <c r="I34" s="178"/>
      <c r="J34" s="125" t="s">
        <v>29</v>
      </c>
      <c r="K34" s="126">
        <f>SUM(K7:K32)</f>
        <v>41245</v>
      </c>
      <c r="L34" s="212">
        <f>SUM(L7:L32)</f>
        <v>0</v>
      </c>
      <c r="M34" s="122">
        <f>SUM(M7:M32)</f>
        <v>656227</v>
      </c>
    </row>
    <row r="35" spans="1:19" ht="13.5" thickBot="1">
      <c r="A35" s="179"/>
      <c r="B35" s="180"/>
      <c r="C35" s="106">
        <f>C34/($C$34+$D$34+$E$34)</f>
        <v>0.99301793667990856</v>
      </c>
      <c r="D35" s="106">
        <f>D34/($C$34+$D$34+$E$34)</f>
        <v>6.9820633200914891E-3</v>
      </c>
      <c r="E35" s="111">
        <f>E34/($C$34+$D$34+$E$34)</f>
        <v>0</v>
      </c>
      <c r="K35" s="157"/>
    </row>
    <row r="36" spans="1:19" ht="13.5" thickBot="1">
      <c r="A36" s="178"/>
      <c r="B36" s="178"/>
      <c r="C36" s="157"/>
      <c r="D36" s="157"/>
      <c r="E36" s="157"/>
      <c r="G36" s="157"/>
      <c r="H36" s="181"/>
      <c r="I36" s="164" t="s">
        <v>39</v>
      </c>
      <c r="J36" s="164" t="s">
        <v>40</v>
      </c>
      <c r="K36" s="182"/>
      <c r="N36" s="151" t="s">
        <v>409</v>
      </c>
      <c r="O36" s="151">
        <v>1180</v>
      </c>
      <c r="P36" s="151">
        <v>932.2</v>
      </c>
      <c r="Q36" s="151">
        <v>305</v>
      </c>
    </row>
    <row r="37" spans="1:19" ht="17.45" customHeight="1" thickBot="1">
      <c r="A37" s="804" t="s">
        <v>70</v>
      </c>
      <c r="B37" s="805"/>
      <c r="C37" s="164" t="s">
        <v>71</v>
      </c>
      <c r="D37" s="183" t="s">
        <v>72</v>
      </c>
      <c r="E37" s="184" t="s">
        <v>73</v>
      </c>
      <c r="F37" s="309"/>
      <c r="G37" s="311"/>
      <c r="H37" s="186" t="s">
        <v>74</v>
      </c>
      <c r="I37" s="241">
        <f>(305*12+11.5*1135)/1440*G42*2.74*1440/1000000</f>
        <v>47.601043875000009</v>
      </c>
      <c r="J37" s="127">
        <f>+I37+'15'!J37</f>
        <v>770.10246447463589</v>
      </c>
      <c r="K37" s="128" t="s">
        <v>75</v>
      </c>
      <c r="N37" s="151" t="s">
        <v>425</v>
      </c>
      <c r="O37" s="151">
        <v>1180</v>
      </c>
      <c r="P37" s="151">
        <v>932.2</v>
      </c>
      <c r="Q37" s="151">
        <f>1440-Q36</f>
        <v>1135</v>
      </c>
    </row>
    <row r="38" spans="1:19" ht="17.45" customHeight="1">
      <c r="A38" s="806" t="s">
        <v>13</v>
      </c>
      <c r="B38" s="807"/>
      <c r="C38" s="166">
        <f>SUMIF($G$7:$G$31,"Process",$F$7:$F$31)</f>
        <v>30</v>
      </c>
      <c r="D38" s="120">
        <f>C38+'15'!D38</f>
        <v>1297</v>
      </c>
      <c r="E38" s="145">
        <f t="shared" ref="E38:E52" si="3">D38/60</f>
        <v>21.616666666666667</v>
      </c>
      <c r="F38" s="309">
        <v>1350</v>
      </c>
      <c r="G38" s="309">
        <v>1039.5</v>
      </c>
      <c r="H38" s="187" t="s">
        <v>76</v>
      </c>
      <c r="I38" s="242">
        <f>14.691+14.037+15.954</f>
        <v>44.682000000000002</v>
      </c>
      <c r="J38" s="129">
        <f>+I38+'15'!J38</f>
        <v>687.55</v>
      </c>
      <c r="K38" s="130" t="s">
        <v>75</v>
      </c>
    </row>
    <row r="39" spans="1:19" ht="17.45" customHeight="1">
      <c r="A39" s="793" t="s">
        <v>14</v>
      </c>
      <c r="B39" s="794"/>
      <c r="C39" s="166">
        <f>SUMIF($G$7:$G$31,"Cleaning",$F$7:$F$31)</f>
        <v>0</v>
      </c>
      <c r="D39" s="120">
        <f>C39+'15'!D39</f>
        <v>0</v>
      </c>
      <c r="E39" s="145">
        <f t="shared" si="3"/>
        <v>0</v>
      </c>
      <c r="F39" s="309">
        <v>1350</v>
      </c>
      <c r="G39" s="309">
        <v>1039.5</v>
      </c>
      <c r="H39" s="187" t="s">
        <v>77</v>
      </c>
      <c r="I39" s="144"/>
      <c r="J39" s="131">
        <f>J37/G4</f>
        <v>48.131404029664743</v>
      </c>
      <c r="K39" s="132" t="s">
        <v>75</v>
      </c>
    </row>
    <row r="40" spans="1:19" ht="17.45" customHeight="1">
      <c r="A40" s="793" t="s">
        <v>78</v>
      </c>
      <c r="B40" s="794"/>
      <c r="C40" s="166">
        <f>SUMIF($G$7:$G$31,"Mechanical",$F$7:$F$31)</f>
        <v>0</v>
      </c>
      <c r="D40" s="120">
        <f>C40+'15'!D40</f>
        <v>28</v>
      </c>
      <c r="E40" s="145">
        <f t="shared" si="3"/>
        <v>0.46666666666666667</v>
      </c>
      <c r="F40" s="309">
        <v>1350</v>
      </c>
      <c r="G40" s="309">
        <v>1039.5</v>
      </c>
      <c r="H40" s="187" t="s">
        <v>79</v>
      </c>
      <c r="I40" s="120">
        <f>(K34+L34)/1000</f>
        <v>41.244999999999997</v>
      </c>
      <c r="J40" s="133">
        <f>+I40+'15'!J40</f>
        <v>656.22699999999998</v>
      </c>
      <c r="K40" s="132" t="s">
        <v>75</v>
      </c>
    </row>
    <row r="41" spans="1:19" ht="17.45" customHeight="1">
      <c r="A41" s="793" t="s">
        <v>80</v>
      </c>
      <c r="B41" s="794"/>
      <c r="C41" s="166">
        <f>SUMIF($G$7:$G$31,"Electrical",$F$7:$F$31)</f>
        <v>0</v>
      </c>
      <c r="D41" s="120">
        <f>C41+'15'!D41</f>
        <v>36</v>
      </c>
      <c r="E41" s="145">
        <f t="shared" si="3"/>
        <v>0.6</v>
      </c>
      <c r="F41" s="309"/>
      <c r="G41" s="309"/>
      <c r="H41" s="187" t="s">
        <v>81</v>
      </c>
      <c r="I41" s="144"/>
      <c r="J41" s="131">
        <f>J40/G4</f>
        <v>41.014187499999998</v>
      </c>
      <c r="K41" s="132" t="s">
        <v>75</v>
      </c>
    </row>
    <row r="42" spans="1:19" ht="17.45" customHeight="1">
      <c r="A42" s="793" t="s">
        <v>17</v>
      </c>
      <c r="B42" s="794"/>
      <c r="C42" s="166">
        <f>SUMIF($G$7:$G$31,"Instrument",$F$7:$F$31)</f>
        <v>0</v>
      </c>
      <c r="D42" s="120">
        <f>C42+'15'!D42</f>
        <v>0</v>
      </c>
      <c r="E42" s="145">
        <f t="shared" si="3"/>
        <v>0</v>
      </c>
      <c r="F42" s="185">
        <f>+(F38*480+F39*480+F40*480)/1440</f>
        <v>1350</v>
      </c>
      <c r="G42" s="185">
        <f>+(G38*480+G39*480+G40*480)/1440</f>
        <v>1039.5</v>
      </c>
      <c r="H42" s="187" t="s">
        <v>82</v>
      </c>
      <c r="I42" s="243" t="s">
        <v>459</v>
      </c>
      <c r="J42" s="134"/>
      <c r="K42" s="132" t="s">
        <v>83</v>
      </c>
    </row>
    <row r="43" spans="1:19" ht="17.45" customHeight="1">
      <c r="A43" s="793" t="s">
        <v>84</v>
      </c>
      <c r="B43" s="794"/>
      <c r="C43" s="166">
        <f>SUMIF($G$7:$G$31,"Water",$F$7:$F$31)</f>
        <v>0</v>
      </c>
      <c r="D43" s="120">
        <f>C43+'15'!D43</f>
        <v>0</v>
      </c>
      <c r="E43" s="145">
        <f t="shared" si="3"/>
        <v>0</v>
      </c>
      <c r="F43" s="309"/>
      <c r="G43" s="310"/>
      <c r="H43" s="188" t="s">
        <v>85</v>
      </c>
      <c r="I43" s="120">
        <f>+Report1!Z24</f>
        <v>84.93</v>
      </c>
      <c r="J43" s="135">
        <f>+I43+'15'!J43</f>
        <v>1367.03</v>
      </c>
      <c r="K43" s="132" t="s">
        <v>75</v>
      </c>
      <c r="L43" s="189"/>
    </row>
    <row r="44" spans="1:19" ht="17.45" customHeight="1">
      <c r="A44" s="793" t="s">
        <v>18</v>
      </c>
      <c r="B44" s="794"/>
      <c r="C44" s="166">
        <f>SUMIF($G$7:$G$31,"PLN",$F$7:$F$31)</f>
        <v>0</v>
      </c>
      <c r="D44" s="120">
        <f>C44+'15'!D44</f>
        <v>30</v>
      </c>
      <c r="E44" s="145">
        <f t="shared" si="3"/>
        <v>0.5</v>
      </c>
      <c r="F44" s="309"/>
      <c r="G44" s="310"/>
      <c r="H44" s="188" t="s">
        <v>86</v>
      </c>
      <c r="I44" s="120">
        <f>I43/I38</f>
        <v>1.9007654088894859</v>
      </c>
      <c r="J44" s="136">
        <f>J43/J38</f>
        <v>1.9882626718056871</v>
      </c>
      <c r="K44" s="132" t="s">
        <v>75</v>
      </c>
    </row>
    <row r="45" spans="1:19" ht="17.45" customHeight="1">
      <c r="A45" s="793" t="s">
        <v>19</v>
      </c>
      <c r="B45" s="794"/>
      <c r="C45" s="166">
        <f>SUMIF($G$7:$G$31,"Boiler",$F$7:$F$31)</f>
        <v>0</v>
      </c>
      <c r="D45" s="120">
        <f>C45+'15'!D45</f>
        <v>0</v>
      </c>
      <c r="E45" s="145">
        <f t="shared" si="3"/>
        <v>0</v>
      </c>
      <c r="F45" s="309"/>
      <c r="G45" s="312"/>
      <c r="H45" s="188" t="s">
        <v>87</v>
      </c>
      <c r="I45" s="120">
        <f>I43/I40</f>
        <v>2.0591586859013216</v>
      </c>
      <c r="J45" s="136">
        <f>J43/J40</f>
        <v>2.083166343353748</v>
      </c>
      <c r="K45" s="132" t="s">
        <v>75</v>
      </c>
    </row>
    <row r="46" spans="1:19" ht="17.45" customHeight="1">
      <c r="A46" s="793" t="s">
        <v>88</v>
      </c>
      <c r="B46" s="794"/>
      <c r="C46" s="166">
        <f>SUMIF($G$7:$G$31,"Gas",$F$7:$F$31)</f>
        <v>0</v>
      </c>
      <c r="D46" s="120">
        <f>C46+'15'!D46</f>
        <v>0</v>
      </c>
      <c r="E46" s="145">
        <f t="shared" si="3"/>
        <v>0</v>
      </c>
      <c r="F46" s="309"/>
      <c r="G46" s="310"/>
      <c r="H46" s="188" t="s">
        <v>89</v>
      </c>
      <c r="I46" s="142">
        <f>+SUMIF(Listrik!X23,"&gt;0")</f>
        <v>41299.889999998901</v>
      </c>
      <c r="J46" s="137">
        <f>+I46+'15'!J46</f>
        <v>639007.84499999869</v>
      </c>
      <c r="K46" s="132" t="s">
        <v>90</v>
      </c>
    </row>
    <row r="47" spans="1:19" ht="17.45" customHeight="1">
      <c r="A47" s="793" t="s">
        <v>91</v>
      </c>
      <c r="B47" s="794"/>
      <c r="C47" s="166">
        <f>SUMIF($G$7:$G$31,"Gas",$F$7:$F$31)</f>
        <v>0</v>
      </c>
      <c r="D47" s="120">
        <f>C47+'15'!D47</f>
        <v>0</v>
      </c>
      <c r="E47" s="145">
        <f t="shared" si="3"/>
        <v>0</v>
      </c>
      <c r="F47" s="309"/>
      <c r="G47" s="310"/>
      <c r="H47" s="188" t="s">
        <v>92</v>
      </c>
      <c r="I47" s="120">
        <f>I46/I38</f>
        <v>924.30710353159884</v>
      </c>
      <c r="J47" s="137">
        <f>J46/J38</f>
        <v>929.3983637553614</v>
      </c>
      <c r="K47" s="132" t="s">
        <v>25</v>
      </c>
    </row>
    <row r="48" spans="1:19" ht="17.45" customHeight="1">
      <c r="A48" s="793" t="s">
        <v>15</v>
      </c>
      <c r="B48" s="794"/>
      <c r="C48" s="166">
        <f>SUMIF($G$7:$G$31,"Start Up",$F$7:$F$31)</f>
        <v>0</v>
      </c>
      <c r="D48" s="120">
        <f>C48+'15'!D48</f>
        <v>0</v>
      </c>
      <c r="E48" s="145">
        <f t="shared" si="3"/>
        <v>0</v>
      </c>
      <c r="F48" s="309"/>
      <c r="G48" s="310"/>
      <c r="H48" s="188" t="s">
        <v>93</v>
      </c>
      <c r="I48" s="120">
        <f>I46/I40</f>
        <v>1001.3308279791224</v>
      </c>
      <c r="J48" s="137">
        <f>J46/J40</f>
        <v>973.76036798241876</v>
      </c>
      <c r="K48" s="132" t="s">
        <v>25</v>
      </c>
    </row>
    <row r="49" spans="1:11" ht="17.45" customHeight="1">
      <c r="A49" s="793" t="s">
        <v>21</v>
      </c>
      <c r="B49" s="794"/>
      <c r="C49" s="166">
        <f>SUMIF($G$7:$G$31,"Others",$F$7:$F$31)</f>
        <v>0</v>
      </c>
      <c r="D49" s="120">
        <f>C49+'15'!D49</f>
        <v>446</v>
      </c>
      <c r="E49" s="145">
        <f t="shared" si="3"/>
        <v>7.4333333333333336</v>
      </c>
      <c r="F49" s="185"/>
      <c r="H49" s="188" t="s">
        <v>280</v>
      </c>
      <c r="I49" s="120">
        <f>+Report1!T24</f>
        <v>3749.8233094199959</v>
      </c>
      <c r="J49" s="137">
        <f>+I49+'15'!J49</f>
        <v>56533.346230575786</v>
      </c>
      <c r="K49" s="132" t="s">
        <v>94</v>
      </c>
    </row>
    <row r="50" spans="1:11" ht="17.45" customHeight="1">
      <c r="A50" s="793" t="s">
        <v>20</v>
      </c>
      <c r="B50" s="794"/>
      <c r="C50" s="166">
        <f>SUMIF($G$7:$G$31,"Steam",$F$7:$F$31)</f>
        <v>0</v>
      </c>
      <c r="D50" s="120">
        <f>C50+'15'!D50</f>
        <v>0</v>
      </c>
      <c r="E50" s="145">
        <f t="shared" si="3"/>
        <v>0</v>
      </c>
      <c r="F50" s="185"/>
      <c r="H50" s="188" t="s">
        <v>95</v>
      </c>
      <c r="I50" s="142">
        <f>I49/I38</f>
        <v>83.922458919027704</v>
      </c>
      <c r="J50" s="135">
        <f>J49/J38</f>
        <v>82.224341837794768</v>
      </c>
      <c r="K50" s="132" t="s">
        <v>94</v>
      </c>
    </row>
    <row r="51" spans="1:11" ht="17.45" customHeight="1">
      <c r="A51" s="810" t="s">
        <v>96</v>
      </c>
      <c r="B51" s="810"/>
      <c r="C51" s="166">
        <f>SUMIF($G$7:$G$31,"Planned shut",$F$7:$F$31)</f>
        <v>0</v>
      </c>
      <c r="D51" s="120">
        <f>C51+'15'!D51</f>
        <v>0</v>
      </c>
      <c r="E51" s="145">
        <f t="shared" si="3"/>
        <v>0</v>
      </c>
      <c r="F51" s="185"/>
      <c r="H51" s="190" t="s">
        <v>97</v>
      </c>
      <c r="I51" s="143">
        <f>I49/I40</f>
        <v>90.915827601406136</v>
      </c>
      <c r="J51" s="138">
        <f>J49/J40</f>
        <v>86.149070718784486</v>
      </c>
      <c r="K51" s="139" t="s">
        <v>94</v>
      </c>
    </row>
    <row r="52" spans="1:11" ht="13.5" thickBot="1">
      <c r="A52" s="811" t="s">
        <v>230</v>
      </c>
      <c r="B52" s="812"/>
      <c r="C52" s="166">
        <f>SUMIF($G$7:$G$31,"Change Grade",$F$7:$F$31)</f>
        <v>0</v>
      </c>
      <c r="D52" s="120">
        <f>C52+'15'!D52</f>
        <v>0</v>
      </c>
      <c r="E52" s="145">
        <f t="shared" si="3"/>
        <v>0</v>
      </c>
      <c r="F52" s="185"/>
      <c r="H52" s="191"/>
      <c r="I52" s="192"/>
      <c r="J52" s="140"/>
      <c r="K52" s="141"/>
    </row>
    <row r="53" spans="1:11">
      <c r="A53" s="806" t="s">
        <v>29</v>
      </c>
      <c r="B53" s="807"/>
      <c r="C53" s="146">
        <f>SUM(C38:C52)</f>
        <v>30</v>
      </c>
      <c r="D53" s="146">
        <f>SUM(D38:D52)</f>
        <v>1837</v>
      </c>
      <c r="E53" s="147">
        <f>SUM(E38:E52)</f>
        <v>30.616666666666667</v>
      </c>
      <c r="F53" s="185"/>
    </row>
    <row r="54" spans="1:11" ht="13.5" thickBot="1">
      <c r="A54" s="808"/>
      <c r="B54" s="809"/>
      <c r="C54" s="148">
        <f>C53/(24*60)</f>
        <v>2.0833333333333332E-2</v>
      </c>
      <c r="D54" s="148">
        <f>D53/(24*60*G4)</f>
        <v>7.9730902777777779E-2</v>
      </c>
      <c r="E54" s="149">
        <f>E53/(G4*24)</f>
        <v>7.9730902777777779E-2</v>
      </c>
      <c r="F54" s="185"/>
    </row>
    <row r="55" spans="1:11">
      <c r="E55" s="193"/>
    </row>
    <row r="56" spans="1:11">
      <c r="A56" s="194" t="s">
        <v>98</v>
      </c>
      <c r="B56" s="195"/>
      <c r="C56" s="196"/>
      <c r="D56" s="196"/>
      <c r="E56" s="196"/>
      <c r="F56" s="197"/>
      <c r="G56" s="196"/>
      <c r="H56" s="198"/>
      <c r="I56" s="199" t="s">
        <v>99</v>
      </c>
      <c r="J56" s="200">
        <f>+D34+'15'!J56</f>
        <v>3979</v>
      </c>
      <c r="K56" s="201">
        <f>J56/(J40+J56/1000)/1000</f>
        <v>6.0269067533466822E-3</v>
      </c>
    </row>
    <row r="57" spans="1:11">
      <c r="A57" s="176"/>
      <c r="I57" s="199" t="s">
        <v>100</v>
      </c>
      <c r="J57" s="200">
        <f>+E34+'15'!J57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3"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4.710937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15</v>
      </c>
      <c r="H4" s="156" t="str">
        <f>+'1'!H4</f>
        <v>.07.25</v>
      </c>
      <c r="J4" s="151">
        <f>474+423+313</f>
        <v>1210</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615</v>
      </c>
      <c r="O6" s="151">
        <v>1180</v>
      </c>
      <c r="P6" s="151">
        <f>+O6-O6*0.21</f>
        <v>932.2</v>
      </c>
      <c r="Q6" s="151">
        <f>60*3+15</f>
        <v>195</v>
      </c>
      <c r="R6" s="151">
        <f>+O6*Q6</f>
        <v>230100</v>
      </c>
      <c r="S6" s="151">
        <f>+P6*Q6</f>
        <v>181779</v>
      </c>
    </row>
    <row r="7" spans="1:19" ht="13.5" customHeight="1" thickBot="1">
      <c r="A7" s="795" t="s">
        <v>470</v>
      </c>
      <c r="B7" s="215" t="s">
        <v>624</v>
      </c>
      <c r="C7" s="216">
        <v>14919</v>
      </c>
      <c r="D7" s="217"/>
      <c r="E7" s="218"/>
      <c r="F7" s="233"/>
      <c r="G7" s="555" t="s">
        <v>13</v>
      </c>
      <c r="H7" s="556" t="s">
        <v>461</v>
      </c>
      <c r="I7" s="798" t="s">
        <v>639</v>
      </c>
      <c r="J7" s="214" t="str">
        <f>+'14'!J7</f>
        <v>F 12 VP OW</v>
      </c>
      <c r="K7" s="235">
        <f>+C8+C16+C25</f>
        <v>36487</v>
      </c>
      <c r="L7" s="239"/>
      <c r="M7" s="119">
        <f>+K7+'14'!M7+L7</f>
        <v>246415</v>
      </c>
      <c r="N7" s="151" t="s">
        <v>409</v>
      </c>
      <c r="O7" s="151">
        <v>1350</v>
      </c>
      <c r="P7" s="151">
        <f>+O7-O7*0.23</f>
        <v>1039.5</v>
      </c>
      <c r="Q7" s="151">
        <f>480-Q6</f>
        <v>285</v>
      </c>
      <c r="R7" s="151">
        <f>+O7*Q7</f>
        <v>384750</v>
      </c>
      <c r="S7" s="151">
        <f>+P7*Q7</f>
        <v>296257.5</v>
      </c>
    </row>
    <row r="8" spans="1:19" ht="13.5" thickBot="1">
      <c r="A8" s="796"/>
      <c r="B8" s="215" t="s">
        <v>398</v>
      </c>
      <c r="C8" s="216">
        <f>20170-C7</f>
        <v>5251</v>
      </c>
      <c r="D8" s="217"/>
      <c r="E8" s="219"/>
      <c r="F8" s="229">
        <v>3</v>
      </c>
      <c r="G8" s="557" t="s">
        <v>13</v>
      </c>
      <c r="H8" s="228" t="s">
        <v>399</v>
      </c>
      <c r="I8" s="799"/>
      <c r="J8" s="214" t="str">
        <f>+'14'!J8</f>
        <v>F 11,5 VP OW</v>
      </c>
      <c r="K8" s="236"/>
      <c r="L8" s="236"/>
      <c r="M8" s="119">
        <f>+K8+'14'!M8+L8</f>
        <v>150859</v>
      </c>
      <c r="P8" s="151">
        <f>+O8-O8*0.23</f>
        <v>0</v>
      </c>
      <c r="R8" s="151">
        <f>+O8*Q8</f>
        <v>0</v>
      </c>
      <c r="S8" s="151">
        <f>+P8*Q8</f>
        <v>0</v>
      </c>
    </row>
    <row r="9" spans="1:19" ht="13.5" thickBot="1">
      <c r="A9" s="796"/>
      <c r="B9" s="215"/>
      <c r="C9" s="216"/>
      <c r="D9" s="217"/>
      <c r="E9" s="220"/>
      <c r="F9" s="229">
        <v>6</v>
      </c>
      <c r="G9" s="557" t="s">
        <v>13</v>
      </c>
      <c r="H9" s="231" t="s">
        <v>520</v>
      </c>
      <c r="I9" s="799"/>
      <c r="J9" s="214" t="str">
        <f>+'14'!J9</f>
        <v>T 13 VP OW</v>
      </c>
      <c r="K9" s="236"/>
      <c r="L9" s="236"/>
      <c r="M9" s="119">
        <f>+K9+'14'!M9+L9</f>
        <v>113358</v>
      </c>
      <c r="P9" s="151">
        <f t="shared" ref="P9:P10" si="0">+O9-O9*0.23</f>
        <v>0</v>
      </c>
      <c r="R9" s="151">
        <f>+O9*Q9</f>
        <v>0</v>
      </c>
      <c r="S9" s="151">
        <f>+P9*Q9</f>
        <v>0</v>
      </c>
    </row>
    <row r="10" spans="1:19" ht="64.5" thickBot="1">
      <c r="A10" s="796"/>
      <c r="B10" s="215"/>
      <c r="C10" s="216"/>
      <c r="D10" s="217"/>
      <c r="E10" s="219"/>
      <c r="F10" s="229"/>
      <c r="G10" s="227"/>
      <c r="H10" s="558" t="s">
        <v>634</v>
      </c>
      <c r="I10" s="799"/>
      <c r="J10" s="214" t="str">
        <f>+'14'!J10</f>
        <v>F 13 VP OW</v>
      </c>
      <c r="K10" s="236"/>
      <c r="L10" s="236"/>
      <c r="M10" s="119">
        <f>+K10+'14'!M10+L10</f>
        <v>43207</v>
      </c>
      <c r="P10" s="151">
        <f t="shared" si="0"/>
        <v>0</v>
      </c>
      <c r="R10" s="151">
        <f>+O10*Q10</f>
        <v>0</v>
      </c>
      <c r="S10" s="151">
        <f>+P10*Q10</f>
        <v>0</v>
      </c>
    </row>
    <row r="11" spans="1:19" ht="59.25" customHeight="1" thickBot="1">
      <c r="A11" s="796"/>
      <c r="B11" s="215"/>
      <c r="C11" s="216"/>
      <c r="D11" s="217"/>
      <c r="E11" s="219"/>
      <c r="F11" s="226"/>
      <c r="G11" s="230"/>
      <c r="H11" s="231" t="s">
        <v>635</v>
      </c>
      <c r="I11" s="799"/>
      <c r="J11" s="214" t="str">
        <f>+'14'!J11</f>
        <v xml:space="preserve">T 13 VP OW HB </v>
      </c>
      <c r="K11" s="236"/>
      <c r="L11" s="236"/>
      <c r="M11" s="119">
        <f>+K11+'14'!M11+L11</f>
        <v>10128</v>
      </c>
    </row>
    <row r="12" spans="1:19" ht="13.5" thickBot="1">
      <c r="A12" s="796"/>
      <c r="B12" s="215"/>
      <c r="C12" s="216"/>
      <c r="D12" s="217"/>
      <c r="E12" s="219"/>
      <c r="F12" s="226"/>
      <c r="G12" s="230"/>
      <c r="H12" s="231"/>
      <c r="I12" s="799"/>
      <c r="J12" s="214" t="str">
        <f>+'14'!J12</f>
        <v>TW 15 VP OW</v>
      </c>
      <c r="K12" s="236">
        <f>+C7</f>
        <v>14919</v>
      </c>
      <c r="L12" s="236"/>
      <c r="M12" s="119">
        <f>+K12+'14'!M12+L12</f>
        <v>51015</v>
      </c>
      <c r="Q12" s="151">
        <f>SUM(Q6:Q11)</f>
        <v>480</v>
      </c>
      <c r="R12" s="151">
        <f>SUM(R6:R9)</f>
        <v>614850</v>
      </c>
      <c r="S12" s="151">
        <f>SUM(S6:S9)</f>
        <v>478036.5</v>
      </c>
    </row>
    <row r="13" spans="1:19" ht="13.5" thickBot="1">
      <c r="A13" s="796"/>
      <c r="B13" s="215"/>
      <c r="C13" s="216"/>
      <c r="D13" s="216"/>
      <c r="E13" s="219"/>
      <c r="F13" s="226"/>
      <c r="G13" s="230"/>
      <c r="H13" s="231"/>
      <c r="I13" s="800"/>
      <c r="J13" s="214">
        <f>+'14'!J13</f>
        <v>0</v>
      </c>
      <c r="K13" s="236"/>
      <c r="L13" s="236"/>
      <c r="M13" s="119">
        <f>+K13+'14'!M13+L13</f>
        <v>0</v>
      </c>
      <c r="P13" s="151" t="s">
        <v>424</v>
      </c>
      <c r="Q13" s="151">
        <f>480-Q12</f>
        <v>0</v>
      </c>
      <c r="R13" s="151">
        <f>+R12/Q12</f>
        <v>1280.9375</v>
      </c>
      <c r="S13" s="151">
        <f>+S12/Q12</f>
        <v>995.90937499999995</v>
      </c>
    </row>
    <row r="14" spans="1:19" ht="13.5" thickBot="1">
      <c r="A14" s="797"/>
      <c r="B14" s="167" t="s">
        <v>3</v>
      </c>
      <c r="C14" s="101">
        <f>SUM(C7:C13)</f>
        <v>20170</v>
      </c>
      <c r="D14" s="113">
        <f>SUM(D7:D13)</f>
        <v>0</v>
      </c>
      <c r="E14" s="114">
        <f>SUM(E5:E13)</f>
        <v>0</v>
      </c>
      <c r="F14" s="118">
        <f>SUM(F7:F13)</f>
        <v>9</v>
      </c>
      <c r="G14" s="161"/>
      <c r="H14" s="168"/>
      <c r="I14" s="169"/>
      <c r="J14" s="214">
        <f>+'14'!J14</f>
        <v>0</v>
      </c>
      <c r="K14" s="236"/>
      <c r="L14" s="236"/>
      <c r="M14" s="119">
        <f>+K14+'14'!M14+L14</f>
        <v>0</v>
      </c>
    </row>
    <row r="15" spans="1:19" ht="13.5" customHeight="1" thickBot="1">
      <c r="A15" s="801" t="s">
        <v>623</v>
      </c>
      <c r="B15" s="518"/>
      <c r="C15" s="115">
        <f>C14/($C$23+$D$23+$E$23)</f>
        <v>1.2764207062397166</v>
      </c>
      <c r="D15" s="116">
        <f>D14/($C$23+$D$23+$E$23)</f>
        <v>0</v>
      </c>
      <c r="E15" s="117">
        <f>E14/($C$23+$D$23+$E$23)</f>
        <v>0</v>
      </c>
      <c r="F15" s="233"/>
      <c r="G15" s="555" t="s">
        <v>13</v>
      </c>
      <c r="H15" s="556" t="s">
        <v>461</v>
      </c>
      <c r="I15" s="798" t="s">
        <v>459</v>
      </c>
      <c r="J15" s="214">
        <f>+'14'!J15</f>
        <v>0</v>
      </c>
      <c r="K15" s="236"/>
      <c r="L15" s="236"/>
      <c r="M15" s="119">
        <f>+K15+'14'!M15+L15</f>
        <v>0</v>
      </c>
      <c r="P15" s="151">
        <f>+O15-O15*0.21</f>
        <v>0</v>
      </c>
      <c r="R15" s="151">
        <f>+O15*Q15</f>
        <v>0</v>
      </c>
      <c r="S15" s="151">
        <f>+P15*Q15</f>
        <v>0</v>
      </c>
    </row>
    <row r="16" spans="1:19" ht="13.5" thickBot="1">
      <c r="A16" s="796"/>
      <c r="B16" s="517" t="s">
        <v>398</v>
      </c>
      <c r="C16" s="516">
        <v>15802</v>
      </c>
      <c r="D16" s="221"/>
      <c r="E16" s="222"/>
      <c r="F16" s="229">
        <v>2</v>
      </c>
      <c r="G16" s="557" t="s">
        <v>13</v>
      </c>
      <c r="H16" s="228" t="s">
        <v>399</v>
      </c>
      <c r="I16" s="799"/>
      <c r="J16" s="214">
        <f>+'14'!J16</f>
        <v>0</v>
      </c>
      <c r="K16" s="227"/>
      <c r="L16" s="227"/>
      <c r="M16" s="119">
        <f>+K16+'14'!M16+L16</f>
        <v>0</v>
      </c>
      <c r="N16" s="151" t="s">
        <v>409</v>
      </c>
      <c r="O16" s="151">
        <v>1350</v>
      </c>
      <c r="P16" s="151">
        <f>+O16-O16*0.23</f>
        <v>1039.5</v>
      </c>
      <c r="Q16" s="151">
        <f>480-Q15</f>
        <v>480</v>
      </c>
      <c r="R16" s="151">
        <f>+O16*Q16</f>
        <v>648000</v>
      </c>
      <c r="S16" s="151">
        <f>+P16*Q16</f>
        <v>498960</v>
      </c>
    </row>
    <row r="17" spans="1:19" ht="13.5" thickBot="1">
      <c r="A17" s="796"/>
      <c r="B17" s="215"/>
      <c r="C17" s="216"/>
      <c r="D17" s="217"/>
      <c r="E17" s="223"/>
      <c r="F17" s="229">
        <v>4</v>
      </c>
      <c r="G17" s="557" t="s">
        <v>13</v>
      </c>
      <c r="H17" s="231" t="s">
        <v>400</v>
      </c>
      <c r="I17" s="799"/>
      <c r="J17" s="214">
        <f>+'14'!J17</f>
        <v>0</v>
      </c>
      <c r="K17" s="227"/>
      <c r="L17" s="227"/>
      <c r="M17" s="119">
        <f>+K17+'14'!M17+L17</f>
        <v>0</v>
      </c>
      <c r="N17" s="151" t="s">
        <v>409</v>
      </c>
      <c r="O17" s="151">
        <v>1350</v>
      </c>
      <c r="P17" s="151">
        <f>+O17-O17*0.23</f>
        <v>1039.5</v>
      </c>
      <c r="Q17" s="151">
        <v>480</v>
      </c>
      <c r="R17" s="151">
        <f>+O17*Q17</f>
        <v>648000</v>
      </c>
      <c r="S17" s="151">
        <f>+P17*Q17</f>
        <v>498960</v>
      </c>
    </row>
    <row r="18" spans="1:19" ht="51.75" thickBot="1">
      <c r="A18" s="796"/>
      <c r="B18" s="215"/>
      <c r="C18" s="216"/>
      <c r="D18" s="217"/>
      <c r="E18" s="223"/>
      <c r="F18" s="229"/>
      <c r="G18" s="227"/>
      <c r="H18" s="558" t="s">
        <v>636</v>
      </c>
      <c r="I18" s="799"/>
      <c r="J18" s="214">
        <f>+'14'!J18</f>
        <v>0</v>
      </c>
      <c r="K18" s="236"/>
      <c r="L18" s="236"/>
      <c r="M18" s="119">
        <f>+K18+'14'!M18+L18</f>
        <v>0</v>
      </c>
      <c r="P18" s="151">
        <f t="shared" ref="P18:P19" si="1">+O18-O18*0.23</f>
        <v>0</v>
      </c>
      <c r="R18" s="151">
        <f>+O18*Q18</f>
        <v>0</v>
      </c>
      <c r="S18" s="151">
        <f>+P18*Q18</f>
        <v>0</v>
      </c>
    </row>
    <row r="19" spans="1:19" ht="155.25" customHeight="1" thickBot="1">
      <c r="A19" s="796"/>
      <c r="B19" s="215"/>
      <c r="C19" s="216"/>
      <c r="D19" s="217"/>
      <c r="E19" s="223"/>
      <c r="F19" s="232"/>
      <c r="G19" s="230"/>
      <c r="H19" s="231" t="s">
        <v>637</v>
      </c>
      <c r="I19" s="799"/>
      <c r="J19" s="214">
        <f>+'14'!J19</f>
        <v>0</v>
      </c>
      <c r="K19" s="236"/>
      <c r="L19" s="236"/>
      <c r="M19" s="119">
        <f>+K19+'14'!M19+L19</f>
        <v>0</v>
      </c>
      <c r="P19" s="151">
        <f t="shared" si="1"/>
        <v>0</v>
      </c>
      <c r="R19" s="151">
        <f>+O19*Q19</f>
        <v>0</v>
      </c>
      <c r="S19" s="151">
        <f>+P19*Q19</f>
        <v>0</v>
      </c>
    </row>
    <row r="20" spans="1:19" ht="13.5" thickBot="1">
      <c r="A20" s="796"/>
      <c r="B20" s="215"/>
      <c r="C20" s="216"/>
      <c r="D20" s="217"/>
      <c r="E20" s="223"/>
      <c r="F20" s="226"/>
      <c r="G20" s="230"/>
      <c r="H20" s="231"/>
      <c r="I20" s="799"/>
      <c r="J20" s="214">
        <f>+'14'!J20</f>
        <v>0</v>
      </c>
      <c r="K20" s="237"/>
      <c r="L20" s="237"/>
      <c r="M20" s="119">
        <f>+K20+'14'!M20+L20</f>
        <v>0</v>
      </c>
    </row>
    <row r="21" spans="1:19" ht="13.5" thickBot="1">
      <c r="A21" s="796"/>
      <c r="B21" s="215"/>
      <c r="C21" s="216"/>
      <c r="D21" s="217"/>
      <c r="E21" s="223"/>
      <c r="F21" s="229"/>
      <c r="G21" s="230"/>
      <c r="H21" s="231"/>
      <c r="I21" s="799"/>
      <c r="J21" s="214">
        <f>+'14'!J21</f>
        <v>0</v>
      </c>
      <c r="K21" s="236"/>
      <c r="L21" s="236"/>
      <c r="M21" s="119">
        <f>+K21+'14'!M21+L21</f>
        <v>0</v>
      </c>
      <c r="Q21" s="151">
        <f>SUM(Q15:Q20)</f>
        <v>960</v>
      </c>
      <c r="R21" s="151">
        <f>SUM(R15:R18)</f>
        <v>1296000</v>
      </c>
      <c r="S21" s="151">
        <f>SUM(S15:S18)</f>
        <v>997920</v>
      </c>
    </row>
    <row r="22" spans="1:19" ht="13.5" thickBot="1">
      <c r="A22" s="796"/>
      <c r="B22" s="215"/>
      <c r="C22" s="216"/>
      <c r="D22" s="217"/>
      <c r="E22" s="223"/>
      <c r="F22" s="233"/>
      <c r="G22" s="230"/>
      <c r="H22" s="231"/>
      <c r="I22" s="800"/>
      <c r="J22" s="214">
        <f>+'14'!J22</f>
        <v>0</v>
      </c>
      <c r="K22" s="236"/>
      <c r="L22" s="236"/>
      <c r="M22" s="119">
        <f>+K22+'14'!M22+L22</f>
        <v>0</v>
      </c>
      <c r="P22" s="151" t="s">
        <v>424</v>
      </c>
      <c r="Q22" s="151">
        <f>480-Q21</f>
        <v>-480</v>
      </c>
      <c r="R22" s="151">
        <f>+R21/Q21</f>
        <v>1350</v>
      </c>
      <c r="S22" s="151">
        <f>+S21/Q21</f>
        <v>1039.5</v>
      </c>
    </row>
    <row r="23" spans="1:19" ht="13.5" thickBot="1">
      <c r="A23" s="797"/>
      <c r="B23" s="167" t="s">
        <v>3</v>
      </c>
      <c r="C23" s="101">
        <f>SUM(C16:C22)</f>
        <v>15802</v>
      </c>
      <c r="D23" s="113">
        <f>SUM(D16:D22)</f>
        <v>0</v>
      </c>
      <c r="E23" s="114">
        <f>SUM(E18:E22)</f>
        <v>0</v>
      </c>
      <c r="F23" s="118">
        <f>SUM(F15:F22)</f>
        <v>6</v>
      </c>
      <c r="G23" s="161"/>
      <c r="H23" s="168"/>
      <c r="I23" s="170"/>
      <c r="J23" s="214">
        <f>+'14'!J23</f>
        <v>0</v>
      </c>
      <c r="K23" s="236"/>
      <c r="L23" s="236"/>
      <c r="M23" s="119">
        <f>+K23+'14'!M23+L23</f>
        <v>0</v>
      </c>
    </row>
    <row r="24" spans="1:19" ht="13.5" customHeight="1" thickBot="1">
      <c r="A24" s="801" t="s">
        <v>442</v>
      </c>
      <c r="B24" s="518"/>
      <c r="C24" s="115">
        <f>C23/($C$23+$D$23+$E$23)</f>
        <v>1</v>
      </c>
      <c r="D24" s="116">
        <f>D23/($C$23+$D$23+$E$23)</f>
        <v>0</v>
      </c>
      <c r="E24" s="117">
        <f>E23/($C$23+$D$23+$E$23)</f>
        <v>0</v>
      </c>
      <c r="F24" s="233"/>
      <c r="G24" s="555" t="s">
        <v>13</v>
      </c>
      <c r="H24" s="556" t="s">
        <v>461</v>
      </c>
      <c r="I24" s="798" t="s">
        <v>459</v>
      </c>
      <c r="J24" s="214">
        <f>+'14'!J24</f>
        <v>0</v>
      </c>
      <c r="K24" s="236"/>
      <c r="L24" s="236"/>
      <c r="M24" s="119">
        <f>+K24+'14'!M24+L24</f>
        <v>0</v>
      </c>
    </row>
    <row r="25" spans="1:19" ht="13.5" thickBot="1">
      <c r="A25" s="796"/>
      <c r="B25" s="517" t="s">
        <v>398</v>
      </c>
      <c r="C25" s="224">
        <v>15434</v>
      </c>
      <c r="D25" s="217"/>
      <c r="E25" s="223"/>
      <c r="F25" s="229">
        <v>2</v>
      </c>
      <c r="G25" s="557" t="s">
        <v>13</v>
      </c>
      <c r="H25" s="228" t="s">
        <v>399</v>
      </c>
      <c r="I25" s="799"/>
      <c r="J25" s="214">
        <f>+'14'!J25</f>
        <v>0</v>
      </c>
      <c r="K25" s="236"/>
      <c r="L25" s="236"/>
      <c r="M25" s="119">
        <f>+K25+'14'!M25+L25</f>
        <v>0</v>
      </c>
    </row>
    <row r="26" spans="1:19" ht="13.5" thickBot="1">
      <c r="A26" s="796"/>
      <c r="B26" s="215"/>
      <c r="C26" s="224"/>
      <c r="D26" s="217"/>
      <c r="E26" s="225"/>
      <c r="F26" s="229">
        <v>3</v>
      </c>
      <c r="G26" s="557" t="s">
        <v>13</v>
      </c>
      <c r="H26" s="231" t="s">
        <v>520</v>
      </c>
      <c r="I26" s="799"/>
      <c r="J26" s="214">
        <f>+'14'!J26</f>
        <v>0</v>
      </c>
      <c r="K26" s="236"/>
      <c r="L26" s="236"/>
      <c r="M26" s="119">
        <f>+K26+'14'!M26+L26</f>
        <v>0</v>
      </c>
    </row>
    <row r="27" spans="1:19" ht="51.75" thickBot="1">
      <c r="A27" s="796"/>
      <c r="B27" s="215"/>
      <c r="C27" s="216"/>
      <c r="D27" s="217"/>
      <c r="E27" s="223"/>
      <c r="F27" s="229"/>
      <c r="G27" s="227"/>
      <c r="H27" s="558" t="s">
        <v>636</v>
      </c>
      <c r="I27" s="799"/>
      <c r="J27" s="214">
        <f>+'14'!J27</f>
        <v>0</v>
      </c>
      <c r="K27" s="236"/>
      <c r="L27" s="236"/>
      <c r="M27" s="119">
        <f>+K27+'14'!M27+L27</f>
        <v>0</v>
      </c>
    </row>
    <row r="28" spans="1:19" ht="168.75" customHeight="1" thickBot="1">
      <c r="A28" s="796"/>
      <c r="B28" s="215"/>
      <c r="C28" s="216"/>
      <c r="D28" s="217"/>
      <c r="E28" s="223"/>
      <c r="F28" s="229"/>
      <c r="G28" s="227"/>
      <c r="H28" s="231" t="s">
        <v>638</v>
      </c>
      <c r="I28" s="799"/>
      <c r="J28" s="214">
        <f>+'14'!J28</f>
        <v>0</v>
      </c>
      <c r="K28" s="236"/>
      <c r="L28" s="236"/>
      <c r="M28" s="119">
        <f>+K28+'14'!M28+L28</f>
        <v>0</v>
      </c>
    </row>
    <row r="29" spans="1:19" ht="13.5" thickBot="1">
      <c r="A29" s="796"/>
      <c r="B29" s="215"/>
      <c r="C29" s="216"/>
      <c r="D29" s="217"/>
      <c r="E29" s="223"/>
      <c r="F29" s="233"/>
      <c r="G29" s="230"/>
      <c r="H29" s="231"/>
      <c r="I29" s="799"/>
      <c r="J29" s="214">
        <f>+'14'!J29</f>
        <v>0</v>
      </c>
      <c r="K29" s="236"/>
      <c r="L29" s="236"/>
      <c r="M29" s="119">
        <f>+K29+'14'!M29+L29</f>
        <v>0</v>
      </c>
      <c r="P29" s="176"/>
    </row>
    <row r="30" spans="1:19" ht="13.5" thickBot="1">
      <c r="A30" s="796"/>
      <c r="B30" s="215"/>
      <c r="C30" s="224"/>
      <c r="D30" s="217"/>
      <c r="E30" s="223"/>
      <c r="F30" s="233"/>
      <c r="G30" s="230"/>
      <c r="H30" s="231"/>
      <c r="I30" s="799"/>
      <c r="J30" s="214">
        <f>+'14'!J30</f>
        <v>0</v>
      </c>
      <c r="K30" s="236"/>
      <c r="L30" s="236"/>
      <c r="M30" s="119">
        <f>+K30+'14'!M30+L30</f>
        <v>0</v>
      </c>
      <c r="N30" s="157"/>
      <c r="Q30" s="176"/>
      <c r="R30" s="176"/>
    </row>
    <row r="31" spans="1:19" ht="13.5" thickBot="1">
      <c r="A31" s="796"/>
      <c r="B31" s="215"/>
      <c r="C31" s="224"/>
      <c r="D31" s="217"/>
      <c r="E31" s="223"/>
      <c r="F31" s="233"/>
      <c r="G31" s="234"/>
      <c r="H31" s="409"/>
      <c r="I31" s="800"/>
      <c r="J31" s="214">
        <f>+'14'!J31</f>
        <v>0</v>
      </c>
      <c r="K31" s="236"/>
      <c r="L31" s="236"/>
      <c r="M31" s="119">
        <f>+K31+'14'!M31+L31</f>
        <v>0</v>
      </c>
    </row>
    <row r="32" spans="1:19" ht="13.5" thickBot="1">
      <c r="A32" s="797"/>
      <c r="B32" s="167" t="s">
        <v>3</v>
      </c>
      <c r="C32" s="101">
        <f>SUM(C25:C31)</f>
        <v>15434</v>
      </c>
      <c r="D32" s="102">
        <f>SUM(D25:D31)</f>
        <v>0</v>
      </c>
      <c r="E32" s="103">
        <f>SUM(E25:E31)</f>
        <v>0</v>
      </c>
      <c r="F32" s="101">
        <f>SUM(F24:F31)</f>
        <v>5</v>
      </c>
      <c r="G32" s="171"/>
      <c r="H32" s="172"/>
      <c r="I32" s="170"/>
      <c r="J32" s="214">
        <f>+'14'!J32</f>
        <v>0</v>
      </c>
      <c r="K32" s="238"/>
      <c r="L32" s="240"/>
      <c r="M32" s="119">
        <f>+K32+'14'!M32+L32</f>
        <v>0</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02" t="s">
        <v>69</v>
      </c>
      <c r="B34" s="803"/>
      <c r="C34" s="109">
        <f>C14+C23+C32</f>
        <v>51406</v>
      </c>
      <c r="D34" s="109">
        <f>D14+D23+D32</f>
        <v>0</v>
      </c>
      <c r="E34" s="109">
        <f>E14+E23+E32</f>
        <v>0</v>
      </c>
      <c r="F34" s="110">
        <f>F14+F23+F32</f>
        <v>20</v>
      </c>
      <c r="H34" s="178"/>
      <c r="I34" s="178"/>
      <c r="J34" s="125" t="s">
        <v>29</v>
      </c>
      <c r="K34" s="126">
        <f>SUM(K7:K32)</f>
        <v>51406</v>
      </c>
      <c r="L34" s="212">
        <f>SUM(L7:L32)</f>
        <v>0</v>
      </c>
      <c r="M34" s="122">
        <f>SUM(M7:M32)</f>
        <v>614982</v>
      </c>
      <c r="N34" s="157"/>
    </row>
    <row r="35" spans="1:17" ht="13.5" thickBot="1">
      <c r="A35" s="179"/>
      <c r="B35" s="180"/>
      <c r="C35" s="106">
        <f>C34/($C$34+$D$34+$E$34)</f>
        <v>1</v>
      </c>
      <c r="D35" s="106">
        <f>D34/($C$34+$D$34+$E$34)</f>
        <v>0</v>
      </c>
      <c r="E35" s="111">
        <f>E34/($C$34+$D$34+$E$34)</f>
        <v>0</v>
      </c>
      <c r="K35" s="157"/>
    </row>
    <row r="36" spans="1:17" ht="13.5" thickBot="1">
      <c r="A36" s="178"/>
      <c r="B36" s="178"/>
      <c r="C36" s="157"/>
      <c r="D36" s="157"/>
      <c r="E36" s="157"/>
      <c r="G36" s="157"/>
      <c r="H36" s="181"/>
      <c r="I36" s="164" t="s">
        <v>39</v>
      </c>
      <c r="J36" s="164" t="s">
        <v>40</v>
      </c>
      <c r="K36" s="182"/>
      <c r="N36" s="151" t="s">
        <v>615</v>
      </c>
      <c r="O36" s="151">
        <v>1180</v>
      </c>
      <c r="P36" s="151">
        <v>932.2</v>
      </c>
      <c r="Q36" s="151">
        <v>195</v>
      </c>
    </row>
    <row r="37" spans="1:17" ht="17.45" customHeight="1" thickBot="1">
      <c r="A37" s="804" t="s">
        <v>70</v>
      </c>
      <c r="B37" s="805"/>
      <c r="C37" s="164" t="s">
        <v>71</v>
      </c>
      <c r="D37" s="183" t="s">
        <v>72</v>
      </c>
      <c r="E37" s="184" t="s">
        <v>73</v>
      </c>
      <c r="F37" s="309"/>
      <c r="G37" s="311"/>
      <c r="H37" s="186" t="s">
        <v>74</v>
      </c>
      <c r="I37" s="241">
        <f>(15*195+12*1245)/1440*G42*2.74*1440/1000000</f>
        <v>49.132847040000009</v>
      </c>
      <c r="J37" s="127">
        <f>+I37+'14'!J37</f>
        <v>722.50142059963594</v>
      </c>
      <c r="K37" s="128" t="s">
        <v>75</v>
      </c>
      <c r="N37" s="151" t="s">
        <v>409</v>
      </c>
      <c r="O37" s="151">
        <v>1350</v>
      </c>
      <c r="P37" s="151">
        <v>1039.5</v>
      </c>
      <c r="Q37" s="151">
        <v>1245</v>
      </c>
    </row>
    <row r="38" spans="1:17" ht="17.45" customHeight="1">
      <c r="A38" s="806" t="s">
        <v>13</v>
      </c>
      <c r="B38" s="807"/>
      <c r="C38" s="166">
        <f>SUMIF($G$7:$G$31,"Process",$F$7:$F$31)</f>
        <v>20</v>
      </c>
      <c r="D38" s="120">
        <f>C38+'14'!D38</f>
        <v>1267</v>
      </c>
      <c r="E38" s="145">
        <f t="shared" ref="E38:E52" si="2">D38/60</f>
        <v>21.116666666666667</v>
      </c>
      <c r="F38" s="309">
        <v>1180</v>
      </c>
      <c r="G38" s="309">
        <v>932.2</v>
      </c>
      <c r="H38" s="187" t="s">
        <v>76</v>
      </c>
      <c r="I38" s="242">
        <f>17.581+14.581+16.632</f>
        <v>48.793999999999997</v>
      </c>
      <c r="J38" s="129">
        <f>+I38+'14'!J38</f>
        <v>642.86799999999994</v>
      </c>
      <c r="K38" s="130" t="s">
        <v>75</v>
      </c>
      <c r="Q38" s="151">
        <f>+Q36+Q37</f>
        <v>1440</v>
      </c>
    </row>
    <row r="39" spans="1:17" ht="17.45" customHeight="1">
      <c r="A39" s="793" t="s">
        <v>14</v>
      </c>
      <c r="B39" s="794"/>
      <c r="C39" s="166">
        <f>SUMIF($G$7:$G$31,"Cleaning",$F$7:$F$31)</f>
        <v>0</v>
      </c>
      <c r="D39" s="120">
        <f>C39+'14'!D39</f>
        <v>0</v>
      </c>
      <c r="E39" s="145">
        <f t="shared" si="2"/>
        <v>0</v>
      </c>
      <c r="F39" s="309">
        <v>1350</v>
      </c>
      <c r="G39" s="309">
        <v>1039.5</v>
      </c>
      <c r="H39" s="187" t="s">
        <v>77</v>
      </c>
      <c r="I39" s="144"/>
      <c r="J39" s="131">
        <f>J37/G4</f>
        <v>48.166761373309065</v>
      </c>
      <c r="K39" s="132" t="s">
        <v>75</v>
      </c>
    </row>
    <row r="40" spans="1:17" ht="17.45" customHeight="1">
      <c r="A40" s="793" t="s">
        <v>78</v>
      </c>
      <c r="B40" s="794"/>
      <c r="C40" s="166">
        <f>SUMIF($G$7:$G$31,"Mechanical",$F$7:$F$31)</f>
        <v>0</v>
      </c>
      <c r="D40" s="120">
        <f>C40+'14'!D40</f>
        <v>28</v>
      </c>
      <c r="E40" s="145">
        <f t="shared" si="2"/>
        <v>0.46666666666666667</v>
      </c>
      <c r="F40" s="309">
        <v>1350</v>
      </c>
      <c r="G40" s="309">
        <v>1039.5</v>
      </c>
      <c r="H40" s="187" t="s">
        <v>79</v>
      </c>
      <c r="I40" s="120">
        <f>(K34+L34)/1000</f>
        <v>51.405999999999999</v>
      </c>
      <c r="J40" s="133">
        <f>+I40+'14'!J40</f>
        <v>614.98199999999997</v>
      </c>
      <c r="K40" s="132" t="s">
        <v>75</v>
      </c>
    </row>
    <row r="41" spans="1:17" ht="17.45" customHeight="1">
      <c r="A41" s="793" t="s">
        <v>80</v>
      </c>
      <c r="B41" s="794"/>
      <c r="C41" s="166">
        <f>SUMIF($G$7:$G$31,"Electrical",$F$7:$F$31)</f>
        <v>0</v>
      </c>
      <c r="D41" s="120">
        <f>C41+'14'!D41</f>
        <v>36</v>
      </c>
      <c r="E41" s="145">
        <f t="shared" si="2"/>
        <v>0.6</v>
      </c>
      <c r="F41" s="309"/>
      <c r="G41" s="309"/>
      <c r="H41" s="187" t="s">
        <v>81</v>
      </c>
      <c r="I41" s="144"/>
      <c r="J41" s="131">
        <f>J40/G4</f>
        <v>40.998799999999996</v>
      </c>
      <c r="K41" s="132" t="s">
        <v>75</v>
      </c>
      <c r="N41" s="157">
        <f>+M34-614982</f>
        <v>0</v>
      </c>
    </row>
    <row r="42" spans="1:17" ht="17.45" customHeight="1">
      <c r="A42" s="793" t="s">
        <v>17</v>
      </c>
      <c r="B42" s="794"/>
      <c r="C42" s="166">
        <f>SUMIF($G$7:$G$31,"Instrument",$F$7:$F$31)</f>
        <v>0</v>
      </c>
      <c r="D42" s="120">
        <f>C42+'14'!D42</f>
        <v>0</v>
      </c>
      <c r="E42" s="145">
        <f t="shared" si="2"/>
        <v>0</v>
      </c>
      <c r="F42" s="185">
        <f>+(F38*480+F39*480+F40*480)/1440</f>
        <v>1293.3333333333333</v>
      </c>
      <c r="G42" s="185">
        <f>+(G38*480+G39*480+G40*480)/1440</f>
        <v>1003.7333333333333</v>
      </c>
      <c r="H42" s="187" t="s">
        <v>82</v>
      </c>
      <c r="I42" s="243" t="s">
        <v>640</v>
      </c>
      <c r="J42" s="134"/>
      <c r="K42" s="132" t="s">
        <v>83</v>
      </c>
    </row>
    <row r="43" spans="1:17" ht="17.45" customHeight="1">
      <c r="A43" s="793" t="s">
        <v>84</v>
      </c>
      <c r="B43" s="794"/>
      <c r="C43" s="166">
        <f>SUMIF($G$7:$G$31,"Water",$F$7:$F$31)</f>
        <v>0</v>
      </c>
      <c r="D43" s="120">
        <f>C43+'14'!D43</f>
        <v>0</v>
      </c>
      <c r="E43" s="145">
        <f t="shared" si="2"/>
        <v>0</v>
      </c>
      <c r="F43" s="309"/>
      <c r="G43" s="310"/>
      <c r="H43" s="188" t="s">
        <v>85</v>
      </c>
      <c r="I43" s="120">
        <f>+Report1!Z23</f>
        <v>89</v>
      </c>
      <c r="J43" s="135">
        <f>+I43+'14'!J43</f>
        <v>1282.0999999999999</v>
      </c>
      <c r="K43" s="132" t="s">
        <v>75</v>
      </c>
      <c r="L43" s="189"/>
    </row>
    <row r="44" spans="1:17" ht="17.45" customHeight="1">
      <c r="A44" s="793" t="s">
        <v>18</v>
      </c>
      <c r="B44" s="794"/>
      <c r="C44" s="166">
        <f>SUMIF($G$7:$G$31,"PLN",$F$7:$F$31)</f>
        <v>0</v>
      </c>
      <c r="D44" s="120">
        <f>C44+'14'!D44</f>
        <v>30</v>
      </c>
      <c r="E44" s="145">
        <f t="shared" si="2"/>
        <v>0.5</v>
      </c>
      <c r="F44" s="309"/>
      <c r="G44" s="310"/>
      <c r="H44" s="188" t="s">
        <v>86</v>
      </c>
      <c r="I44" s="120">
        <f>I43/I38</f>
        <v>1.8239947534532936</v>
      </c>
      <c r="J44" s="136">
        <f>J43/J38</f>
        <v>1.9943440955219423</v>
      </c>
      <c r="K44" s="132" t="s">
        <v>75</v>
      </c>
    </row>
    <row r="45" spans="1:17" ht="17.45" customHeight="1">
      <c r="A45" s="793" t="s">
        <v>19</v>
      </c>
      <c r="B45" s="794"/>
      <c r="C45" s="166">
        <f>SUMIF($G$7:$G$31,"Boiler",$F$7:$F$31)</f>
        <v>0</v>
      </c>
      <c r="D45" s="120">
        <f>C45+'14'!D45</f>
        <v>0</v>
      </c>
      <c r="E45" s="145">
        <f t="shared" si="2"/>
        <v>0</v>
      </c>
      <c r="F45" s="309"/>
      <c r="G45" s="312"/>
      <c r="H45" s="188" t="s">
        <v>87</v>
      </c>
      <c r="I45" s="120">
        <f>I43/I40</f>
        <v>1.7313154106524531</v>
      </c>
      <c r="J45" s="136">
        <f>J43/J40</f>
        <v>2.0847764650022276</v>
      </c>
      <c r="K45" s="132" t="s">
        <v>75</v>
      </c>
    </row>
    <row r="46" spans="1:17" ht="17.45" customHeight="1">
      <c r="A46" s="793" t="s">
        <v>88</v>
      </c>
      <c r="B46" s="794"/>
      <c r="C46" s="166">
        <f>SUMIF($G$7:$G$31,"Gas",$F$7:$F$31)</f>
        <v>0</v>
      </c>
      <c r="D46" s="120">
        <f>C46+'14'!D46</f>
        <v>0</v>
      </c>
      <c r="E46" s="145">
        <f t="shared" si="2"/>
        <v>0</v>
      </c>
      <c r="F46" s="309"/>
      <c r="G46" s="310"/>
      <c r="H46" s="188" t="s">
        <v>89</v>
      </c>
      <c r="I46" s="142">
        <f>+SUMIF(Listrik!X22,"&gt;0")</f>
        <v>40653.015000001004</v>
      </c>
      <c r="J46" s="137">
        <f>+I46+'14'!J46</f>
        <v>597707.95499999984</v>
      </c>
      <c r="K46" s="132" t="s">
        <v>90</v>
      </c>
    </row>
    <row r="47" spans="1:17" ht="17.45" customHeight="1">
      <c r="A47" s="793" t="s">
        <v>91</v>
      </c>
      <c r="B47" s="794"/>
      <c r="C47" s="166">
        <f>SUMIF($G$7:$G$31,"Gas",$F$7:$F$31)</f>
        <v>0</v>
      </c>
      <c r="D47" s="120">
        <f>C47+'14'!D47</f>
        <v>0</v>
      </c>
      <c r="E47" s="145">
        <f t="shared" si="2"/>
        <v>0</v>
      </c>
      <c r="F47" s="309"/>
      <c r="G47" s="310"/>
      <c r="H47" s="188" t="s">
        <v>92</v>
      </c>
      <c r="I47" s="120">
        <f>I46/I38</f>
        <v>833.15602328157161</v>
      </c>
      <c r="J47" s="137">
        <f>J46/J38</f>
        <v>929.75222751793513</v>
      </c>
      <c r="K47" s="132" t="s">
        <v>25</v>
      </c>
    </row>
    <row r="48" spans="1:17" ht="17.45" customHeight="1">
      <c r="A48" s="793" t="s">
        <v>15</v>
      </c>
      <c r="B48" s="794"/>
      <c r="C48" s="166">
        <f>SUMIF($G$7:$G$31,"Start Up",$F$7:$F$31)</f>
        <v>0</v>
      </c>
      <c r="D48" s="120">
        <f>C48+'14'!D48</f>
        <v>0</v>
      </c>
      <c r="E48" s="145">
        <f t="shared" si="2"/>
        <v>0</v>
      </c>
      <c r="F48" s="309"/>
      <c r="G48" s="310"/>
      <c r="H48" s="188" t="s">
        <v>93</v>
      </c>
      <c r="I48" s="120">
        <f>I46/I40</f>
        <v>790.8223748200794</v>
      </c>
      <c r="J48" s="137">
        <f>J46/J40</f>
        <v>971.91129984292206</v>
      </c>
      <c r="K48" s="132" t="s">
        <v>25</v>
      </c>
    </row>
    <row r="49" spans="1:11" ht="17.45" customHeight="1">
      <c r="A49" s="793" t="s">
        <v>21</v>
      </c>
      <c r="B49" s="794"/>
      <c r="C49" s="166">
        <f>SUMIF($G$7:$G$31,"Others",$F$7:$F$31)</f>
        <v>0</v>
      </c>
      <c r="D49" s="120">
        <f>C49+'14'!D49</f>
        <v>446</v>
      </c>
      <c r="E49" s="145">
        <f t="shared" si="2"/>
        <v>7.4333333333333336</v>
      </c>
      <c r="F49" s="185"/>
      <c r="H49" s="188" t="s">
        <v>280</v>
      </c>
      <c r="I49" s="120">
        <f>+Report1!T23</f>
        <v>3756.5645329160448</v>
      </c>
      <c r="J49" s="137">
        <f>+I49+'14'!J49</f>
        <v>52783.522921155789</v>
      </c>
      <c r="K49" s="132" t="s">
        <v>94</v>
      </c>
    </row>
    <row r="50" spans="1:11" ht="17.45" customHeight="1">
      <c r="A50" s="793" t="s">
        <v>20</v>
      </c>
      <c r="B50" s="794"/>
      <c r="C50" s="166">
        <f>SUMIF($G$7:$G$31,"Steam",$F$7:$F$31)</f>
        <v>0</v>
      </c>
      <c r="D50" s="120">
        <f>C50+'14'!D50</f>
        <v>0</v>
      </c>
      <c r="E50" s="145">
        <f t="shared" si="2"/>
        <v>0</v>
      </c>
      <c r="F50" s="185"/>
      <c r="H50" s="188" t="s">
        <v>95</v>
      </c>
      <c r="I50" s="142">
        <f>I49/I38</f>
        <v>76.988247180309983</v>
      </c>
      <c r="J50" s="135">
        <f>J49/J38</f>
        <v>82.106315637356033</v>
      </c>
      <c r="K50" s="132" t="s">
        <v>94</v>
      </c>
    </row>
    <row r="51" spans="1:11" ht="17.45" customHeight="1">
      <c r="A51" s="810" t="s">
        <v>96</v>
      </c>
      <c r="B51" s="810"/>
      <c r="C51" s="166">
        <f>SUMIF($G$7:$G$31,"Planned shut",$F$7:$F$31)</f>
        <v>0</v>
      </c>
      <c r="D51" s="120">
        <f>C51+'14'!D51</f>
        <v>0</v>
      </c>
      <c r="E51" s="145">
        <f t="shared" si="2"/>
        <v>0</v>
      </c>
      <c r="F51" s="185"/>
      <c r="H51" s="190" t="s">
        <v>97</v>
      </c>
      <c r="I51" s="143">
        <f>I49/I40</f>
        <v>73.076382774696427</v>
      </c>
      <c r="J51" s="138">
        <f>J49/J40</f>
        <v>85.829378617838884</v>
      </c>
      <c r="K51" s="139" t="s">
        <v>94</v>
      </c>
    </row>
    <row r="52" spans="1:11" ht="13.5" thickBot="1">
      <c r="A52" s="811" t="s">
        <v>230</v>
      </c>
      <c r="B52" s="812"/>
      <c r="C52" s="166">
        <f>SUMIF($G$7:$G$31,"Change Grade",$F$7:$F$31)</f>
        <v>0</v>
      </c>
      <c r="D52" s="120">
        <f>C52+'14'!D52</f>
        <v>0</v>
      </c>
      <c r="E52" s="145">
        <f t="shared" si="2"/>
        <v>0</v>
      </c>
      <c r="F52" s="185"/>
      <c r="H52" s="191"/>
      <c r="I52" s="192"/>
      <c r="J52" s="140"/>
      <c r="K52" s="141"/>
    </row>
    <row r="53" spans="1:11">
      <c r="A53" s="806" t="s">
        <v>29</v>
      </c>
      <c r="B53" s="807"/>
      <c r="C53" s="146">
        <f>SUM(C38:C52)</f>
        <v>20</v>
      </c>
      <c r="D53" s="146">
        <f>SUM(D38:D52)</f>
        <v>1807</v>
      </c>
      <c r="E53" s="147">
        <f>SUM(E38:E52)</f>
        <v>30.116666666666667</v>
      </c>
      <c r="F53" s="185"/>
    </row>
    <row r="54" spans="1:11" ht="13.5" thickBot="1">
      <c r="A54" s="808"/>
      <c r="B54" s="809"/>
      <c r="C54" s="148">
        <f>C53/(24*60)</f>
        <v>1.3888888888888888E-2</v>
      </c>
      <c r="D54" s="148">
        <f>D53/(24*60*G4)</f>
        <v>8.3657407407407403E-2</v>
      </c>
      <c r="E54" s="149">
        <f>E53/(G4*24)</f>
        <v>8.3657407407407403E-2</v>
      </c>
      <c r="F54" s="185"/>
    </row>
    <row r="55" spans="1:11">
      <c r="E55" s="193"/>
    </row>
    <row r="56" spans="1:11">
      <c r="A56" s="194" t="s">
        <v>98</v>
      </c>
      <c r="B56" s="195"/>
      <c r="C56" s="196"/>
      <c r="D56" s="196"/>
      <c r="E56" s="196"/>
      <c r="F56" s="197"/>
      <c r="G56" s="196"/>
      <c r="H56" s="198"/>
      <c r="I56" s="199" t="s">
        <v>99</v>
      </c>
      <c r="J56" s="200">
        <f>+D34+'14'!J56</f>
        <v>3689</v>
      </c>
      <c r="K56" s="201">
        <f>J56/(J40+J56/1000)/1000</f>
        <v>5.9627815106898501E-3</v>
      </c>
    </row>
    <row r="57" spans="1:11">
      <c r="A57" s="176"/>
      <c r="I57" s="199" t="s">
        <v>100</v>
      </c>
      <c r="J57" s="200">
        <f>+E34+'14'!J57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8:B48"/>
    <mergeCell ref="A49:B49"/>
    <mergeCell ref="A50:B50"/>
    <mergeCell ref="A51:B51"/>
    <mergeCell ref="A52:B52"/>
    <mergeCell ref="A47:B47"/>
    <mergeCell ref="A7:A14"/>
    <mergeCell ref="A34:B34"/>
    <mergeCell ref="A37:B37"/>
    <mergeCell ref="A38:B38"/>
    <mergeCell ref="A39:B39"/>
    <mergeCell ref="A46:B46"/>
    <mergeCell ref="A40:B40"/>
    <mergeCell ref="A41:B41"/>
    <mergeCell ref="A43:B43"/>
    <mergeCell ref="I7:I13"/>
    <mergeCell ref="A15:A23"/>
    <mergeCell ref="I15:I22"/>
    <mergeCell ref="A44:B44"/>
    <mergeCell ref="A45:B45"/>
    <mergeCell ref="A42:B42"/>
    <mergeCell ref="I24:I31"/>
    <mergeCell ref="A24:A32"/>
  </mergeCells>
  <phoneticPr fontId="30" type="noConversion"/>
  <printOptions horizontalCentered="1"/>
  <pageMargins left="0.17" right="0.16" top="0.17" bottom="0.16" header="0" footer="0"/>
  <pageSetup paperSize="9" scale="53"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view="pageBreakPreview" topLeftCell="A13"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14</v>
      </c>
      <c r="H4" s="156" t="str">
        <f>+'1'!H4</f>
        <v>.07.25</v>
      </c>
      <c r="J4" s="151">
        <f>435+424+425</f>
        <v>1284</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409</v>
      </c>
      <c r="O6" s="151">
        <v>1350</v>
      </c>
      <c r="P6" s="151">
        <f>+O6-O6*0.23</f>
        <v>1039.5</v>
      </c>
      <c r="Q6" s="151">
        <f>60*4</f>
        <v>240</v>
      </c>
      <c r="R6" s="151">
        <f>+O6*Q6</f>
        <v>324000</v>
      </c>
      <c r="S6" s="151">
        <f>+P6*Q6</f>
        <v>249480</v>
      </c>
    </row>
    <row r="7" spans="1:19" ht="13.5" customHeight="1" thickBot="1">
      <c r="A7" s="795" t="s">
        <v>470</v>
      </c>
      <c r="B7" s="215" t="s">
        <v>398</v>
      </c>
      <c r="C7" s="216">
        <v>13038</v>
      </c>
      <c r="D7" s="217">
        <v>636</v>
      </c>
      <c r="E7" s="218"/>
      <c r="F7" s="233"/>
      <c r="G7" s="555" t="s">
        <v>13</v>
      </c>
      <c r="H7" s="556" t="s">
        <v>461</v>
      </c>
      <c r="I7" s="798" t="s">
        <v>616</v>
      </c>
      <c r="J7" s="214" t="str">
        <f>+'13'!J7</f>
        <v>F 12 VP OW</v>
      </c>
      <c r="K7" s="235">
        <f>+C7</f>
        <v>13038</v>
      </c>
      <c r="L7" s="239"/>
      <c r="M7" s="119">
        <f>+K7+'13'!M7+L7</f>
        <v>209928</v>
      </c>
      <c r="N7" s="151" t="s">
        <v>615</v>
      </c>
      <c r="O7" s="151">
        <v>1180</v>
      </c>
      <c r="P7" s="151">
        <f>+O7-O7*0.21</f>
        <v>932.2</v>
      </c>
      <c r="Q7" s="151">
        <v>240</v>
      </c>
      <c r="R7" s="151">
        <f>+O7*Q7</f>
        <v>283200</v>
      </c>
      <c r="S7" s="151">
        <f>+P7*Q7</f>
        <v>223728</v>
      </c>
    </row>
    <row r="8" spans="1:19" ht="13.5" thickBot="1">
      <c r="A8" s="796"/>
      <c r="B8" s="215" t="s">
        <v>624</v>
      </c>
      <c r="C8" s="216">
        <v>1984</v>
      </c>
      <c r="D8" s="217"/>
      <c r="E8" s="219"/>
      <c r="F8" s="229">
        <v>6</v>
      </c>
      <c r="G8" s="557" t="s">
        <v>13</v>
      </c>
      <c r="H8" s="228" t="s">
        <v>462</v>
      </c>
      <c r="I8" s="799"/>
      <c r="J8" s="214" t="str">
        <f>+'13'!J8</f>
        <v>F 11,5 VP OW</v>
      </c>
      <c r="K8" s="236"/>
      <c r="L8" s="236"/>
      <c r="M8" s="119">
        <f>+K8+'13'!M8+L8</f>
        <v>150859</v>
      </c>
      <c r="P8" s="151">
        <f>+O8-O8*0.23</f>
        <v>0</v>
      </c>
      <c r="R8" s="151">
        <f>+O8*Q8</f>
        <v>0</v>
      </c>
      <c r="S8" s="151">
        <f>+P8*Q8</f>
        <v>0</v>
      </c>
    </row>
    <row r="9" spans="1:19" ht="13.5" thickBot="1">
      <c r="A9" s="796"/>
      <c r="B9" s="215"/>
      <c r="C9" s="216"/>
      <c r="D9" s="217"/>
      <c r="E9" s="220"/>
      <c r="F9" s="229">
        <v>9</v>
      </c>
      <c r="G9" s="557" t="s">
        <v>13</v>
      </c>
      <c r="H9" s="231" t="s">
        <v>480</v>
      </c>
      <c r="I9" s="799"/>
      <c r="J9" s="214" t="str">
        <f>+'13'!J9</f>
        <v>T 13 VP OW</v>
      </c>
      <c r="K9" s="236"/>
      <c r="L9" s="236"/>
      <c r="M9" s="119">
        <f>+K9+'13'!M9+L9</f>
        <v>113358</v>
      </c>
      <c r="P9" s="151">
        <f t="shared" ref="P9:P10" si="0">+O9-O9*0.23</f>
        <v>0</v>
      </c>
      <c r="R9" s="151">
        <f>+O9*Q9</f>
        <v>0</v>
      </c>
      <c r="S9" s="151">
        <f>+P9*Q9</f>
        <v>0</v>
      </c>
    </row>
    <row r="10" spans="1:19" ht="77.25" thickBot="1">
      <c r="A10" s="796"/>
      <c r="B10" s="215"/>
      <c r="C10" s="216"/>
      <c r="D10" s="217"/>
      <c r="E10" s="219"/>
      <c r="F10" s="229"/>
      <c r="G10" s="227"/>
      <c r="H10" s="558" t="s">
        <v>610</v>
      </c>
      <c r="I10" s="799"/>
      <c r="J10" s="214" t="str">
        <f>+'13'!J10</f>
        <v>F 13 VP OW</v>
      </c>
      <c r="K10" s="236"/>
      <c r="L10" s="236"/>
      <c r="M10" s="119">
        <f>+K10+'13'!M10+L10</f>
        <v>43207</v>
      </c>
      <c r="P10" s="151">
        <f t="shared" si="0"/>
        <v>0</v>
      </c>
      <c r="R10" s="151">
        <f>+O10*Q10</f>
        <v>0</v>
      </c>
      <c r="S10" s="151">
        <f>+P10*Q10</f>
        <v>0</v>
      </c>
    </row>
    <row r="11" spans="1:19" ht="71.25" customHeight="1" thickBot="1">
      <c r="A11" s="796"/>
      <c r="B11" s="215"/>
      <c r="C11" s="216"/>
      <c r="D11" s="217"/>
      <c r="E11" s="219"/>
      <c r="F11" s="226"/>
      <c r="G11" s="230"/>
      <c r="H11" s="231" t="s">
        <v>611</v>
      </c>
      <c r="I11" s="799"/>
      <c r="J11" s="214" t="str">
        <f>+'13'!J11</f>
        <v xml:space="preserve">T 13 VP OW HB </v>
      </c>
      <c r="K11" s="236"/>
      <c r="L11" s="236"/>
      <c r="M11" s="119">
        <f>+K11+'13'!M11+L11</f>
        <v>10128</v>
      </c>
    </row>
    <row r="12" spans="1:19" ht="13.5" thickBot="1">
      <c r="A12" s="796"/>
      <c r="B12" s="215"/>
      <c r="C12" s="216"/>
      <c r="D12" s="217"/>
      <c r="E12" s="219"/>
      <c r="F12" s="226"/>
      <c r="G12" s="230"/>
      <c r="H12" s="231"/>
      <c r="I12" s="799"/>
      <c r="J12" s="214" t="s">
        <v>624</v>
      </c>
      <c r="K12" s="236">
        <f>+C8+C16+C25</f>
        <v>36096</v>
      </c>
      <c r="L12" s="236"/>
      <c r="M12" s="119">
        <f>+K12+'13'!M12+L12</f>
        <v>36096</v>
      </c>
      <c r="Q12" s="151">
        <f>SUM(Q6:Q11)</f>
        <v>480</v>
      </c>
      <c r="R12" s="151">
        <f>SUM(R6:R9)</f>
        <v>607200</v>
      </c>
      <c r="S12" s="151">
        <f>SUM(S6:S9)</f>
        <v>473208</v>
      </c>
    </row>
    <row r="13" spans="1:19" ht="13.5" thickBot="1">
      <c r="A13" s="796"/>
      <c r="B13" s="215"/>
      <c r="C13" s="216"/>
      <c r="D13" s="216"/>
      <c r="E13" s="219"/>
      <c r="F13" s="226"/>
      <c r="G13" s="230"/>
      <c r="H13" s="231"/>
      <c r="I13" s="800"/>
      <c r="J13" s="214">
        <f>+'13'!J13</f>
        <v>0</v>
      </c>
      <c r="K13" s="236"/>
      <c r="L13" s="236"/>
      <c r="M13" s="119">
        <f>+K13+'13'!M13+L13</f>
        <v>0</v>
      </c>
      <c r="P13" s="151" t="s">
        <v>424</v>
      </c>
      <c r="Q13" s="151">
        <f>480-Q12</f>
        <v>0</v>
      </c>
      <c r="R13" s="151">
        <f>+R12/Q12</f>
        <v>1265</v>
      </c>
      <c r="S13" s="151">
        <f>+S12/Q12</f>
        <v>985.85</v>
      </c>
    </row>
    <row r="14" spans="1:19" ht="13.5" thickBot="1">
      <c r="A14" s="797"/>
      <c r="B14" s="167" t="s">
        <v>3</v>
      </c>
      <c r="C14" s="101">
        <f>SUM(C7:C13)</f>
        <v>15022</v>
      </c>
      <c r="D14" s="113">
        <f>SUM(D7:D13)</f>
        <v>636</v>
      </c>
      <c r="E14" s="114">
        <f>SUM(E5:E13)</f>
        <v>0</v>
      </c>
      <c r="F14" s="118">
        <f>SUM(F7:F13)</f>
        <v>15</v>
      </c>
      <c r="G14" s="161"/>
      <c r="H14" s="168"/>
      <c r="I14" s="169"/>
      <c r="J14" s="214">
        <f>+'13'!J14</f>
        <v>0</v>
      </c>
      <c r="K14" s="236"/>
      <c r="L14" s="236"/>
      <c r="M14" s="119">
        <f>+K14+'13'!M14+L14</f>
        <v>0</v>
      </c>
    </row>
    <row r="15" spans="1:19" ht="13.5" thickBot="1">
      <c r="A15" s="801" t="s">
        <v>623</v>
      </c>
      <c r="B15" s="518"/>
      <c r="C15" s="115">
        <f>C14/($C$23+$D$23+$E$23)</f>
        <v>1.0057579003749331</v>
      </c>
      <c r="D15" s="116">
        <f>D14/($C$23+$D$23+$E$23)</f>
        <v>4.258168184252812E-2</v>
      </c>
      <c r="E15" s="117">
        <f>E14/($C$23+$D$23+$E$23)</f>
        <v>0</v>
      </c>
      <c r="F15" s="233"/>
      <c r="G15" s="555" t="s">
        <v>13</v>
      </c>
      <c r="H15" s="556" t="s">
        <v>461</v>
      </c>
      <c r="I15" s="798" t="s">
        <v>617</v>
      </c>
      <c r="J15" s="214">
        <f>+'13'!J15</f>
        <v>0</v>
      </c>
      <c r="K15" s="236"/>
      <c r="L15" s="236"/>
      <c r="M15" s="119">
        <f>+K15+'13'!M15+L15</f>
        <v>0</v>
      </c>
      <c r="N15" s="151" t="s">
        <v>615</v>
      </c>
      <c r="O15" s="151">
        <v>1180</v>
      </c>
      <c r="P15" s="151">
        <f>+O15-O15*0.21</f>
        <v>932.2</v>
      </c>
      <c r="Q15" s="151">
        <v>480</v>
      </c>
      <c r="R15" s="151">
        <f>+O15*Q15</f>
        <v>566400</v>
      </c>
      <c r="S15" s="151">
        <f>+P15*Q15</f>
        <v>447456</v>
      </c>
    </row>
    <row r="16" spans="1:19" ht="13.5" thickBot="1">
      <c r="A16" s="796"/>
      <c r="B16" s="517" t="s">
        <v>624</v>
      </c>
      <c r="C16" s="516">
        <v>14936</v>
      </c>
      <c r="D16" s="221"/>
      <c r="E16" s="222"/>
      <c r="F16" s="229">
        <v>2</v>
      </c>
      <c r="G16" s="557" t="s">
        <v>13</v>
      </c>
      <c r="H16" s="228" t="s">
        <v>462</v>
      </c>
      <c r="I16" s="799"/>
      <c r="J16" s="214">
        <f>+'13'!J16</f>
        <v>0</v>
      </c>
      <c r="K16" s="227"/>
      <c r="L16" s="227"/>
      <c r="M16" s="119">
        <f>+K16+'13'!M16+L16</f>
        <v>0</v>
      </c>
      <c r="P16" s="151">
        <f>+O16-O16*0.21</f>
        <v>0</v>
      </c>
      <c r="R16" s="151">
        <f>+O16*Q16</f>
        <v>0</v>
      </c>
      <c r="S16" s="151">
        <f>+P16*Q16</f>
        <v>0</v>
      </c>
    </row>
    <row r="17" spans="1:23" ht="13.5" thickBot="1">
      <c r="A17" s="796"/>
      <c r="B17" s="215"/>
      <c r="C17" s="216"/>
      <c r="D17" s="217"/>
      <c r="E17" s="223"/>
      <c r="F17" s="229">
        <v>4</v>
      </c>
      <c r="G17" s="557" t="s">
        <v>13</v>
      </c>
      <c r="H17" s="231" t="s">
        <v>480</v>
      </c>
      <c r="I17" s="799"/>
      <c r="J17" s="214">
        <f>+'13'!J17</f>
        <v>0</v>
      </c>
      <c r="K17" s="227"/>
      <c r="L17" s="227"/>
      <c r="M17" s="119">
        <f>+K17+'13'!M17+L17</f>
        <v>0</v>
      </c>
      <c r="P17" s="151">
        <f>+O17-O17*0.23</f>
        <v>0</v>
      </c>
      <c r="R17" s="151">
        <f>+O17*Q17</f>
        <v>0</v>
      </c>
      <c r="S17" s="151">
        <f>+P17*Q17</f>
        <v>0</v>
      </c>
    </row>
    <row r="18" spans="1:23" ht="64.5" thickBot="1">
      <c r="A18" s="796"/>
      <c r="B18" s="215"/>
      <c r="C18" s="216"/>
      <c r="D18" s="217"/>
      <c r="E18" s="223"/>
      <c r="F18" s="229"/>
      <c r="G18" s="227"/>
      <c r="H18" s="558" t="s">
        <v>612</v>
      </c>
      <c r="I18" s="799"/>
      <c r="J18" s="214">
        <f>+'13'!J18</f>
        <v>0</v>
      </c>
      <c r="K18" s="236"/>
      <c r="L18" s="236"/>
      <c r="M18" s="119">
        <f>+K18+'13'!M18+L18</f>
        <v>0</v>
      </c>
      <c r="P18" s="151">
        <f t="shared" ref="P18:P19" si="1">+O18-O18*0.23</f>
        <v>0</v>
      </c>
      <c r="R18" s="151">
        <f>+O18*Q18</f>
        <v>0</v>
      </c>
      <c r="S18" s="151">
        <f>+P18*Q18</f>
        <v>0</v>
      </c>
    </row>
    <row r="19" spans="1:23" ht="77.25" thickBot="1">
      <c r="A19" s="796"/>
      <c r="B19" s="215"/>
      <c r="C19" s="216"/>
      <c r="D19" s="217"/>
      <c r="E19" s="223"/>
      <c r="F19" s="232"/>
      <c r="G19" s="230"/>
      <c r="H19" s="231" t="s">
        <v>613</v>
      </c>
      <c r="I19" s="799"/>
      <c r="J19" s="214">
        <f>+'13'!J19</f>
        <v>0</v>
      </c>
      <c r="K19" s="236"/>
      <c r="L19" s="236"/>
      <c r="M19" s="119">
        <f>+K19+'13'!M19+L19</f>
        <v>0</v>
      </c>
      <c r="P19" s="151">
        <f t="shared" si="1"/>
        <v>0</v>
      </c>
      <c r="R19" s="151">
        <f>+O19*Q19</f>
        <v>0</v>
      </c>
      <c r="S19" s="151">
        <f>+P19*Q19</f>
        <v>0</v>
      </c>
    </row>
    <row r="20" spans="1:23" ht="13.5" thickBot="1">
      <c r="A20" s="796"/>
      <c r="B20" s="215"/>
      <c r="C20" s="216"/>
      <c r="D20" s="217"/>
      <c r="E20" s="223"/>
      <c r="F20" s="226"/>
      <c r="G20" s="230"/>
      <c r="H20" s="231"/>
      <c r="I20" s="799"/>
      <c r="J20" s="214">
        <f>+'13'!J20</f>
        <v>0</v>
      </c>
      <c r="K20" s="237"/>
      <c r="L20" s="237"/>
      <c r="M20" s="119">
        <f>+K20+'13'!M20+L20</f>
        <v>0</v>
      </c>
    </row>
    <row r="21" spans="1:23" ht="13.5" thickBot="1">
      <c r="A21" s="796"/>
      <c r="B21" s="215"/>
      <c r="C21" s="216"/>
      <c r="D21" s="217"/>
      <c r="E21" s="223"/>
      <c r="F21" s="229"/>
      <c r="G21" s="230"/>
      <c r="H21" s="231"/>
      <c r="I21" s="799"/>
      <c r="J21" s="214">
        <f>+'13'!J21</f>
        <v>0</v>
      </c>
      <c r="K21" s="236"/>
      <c r="L21" s="236"/>
      <c r="M21" s="119">
        <f>+K21+'13'!M21+L21</f>
        <v>0</v>
      </c>
      <c r="Q21" s="151">
        <f>SUM(Q15:Q20)</f>
        <v>480</v>
      </c>
      <c r="R21" s="151">
        <f>SUM(R15:R18)</f>
        <v>566400</v>
      </c>
      <c r="S21" s="151">
        <f>SUM(S15:S18)</f>
        <v>447456</v>
      </c>
    </row>
    <row r="22" spans="1:23" ht="13.5" thickBot="1">
      <c r="A22" s="796"/>
      <c r="B22" s="215"/>
      <c r="C22" s="216"/>
      <c r="D22" s="217"/>
      <c r="E22" s="223"/>
      <c r="F22" s="233"/>
      <c r="G22" s="230"/>
      <c r="H22" s="231"/>
      <c r="I22" s="800"/>
      <c r="J22" s="214">
        <f>+'13'!J22</f>
        <v>0</v>
      </c>
      <c r="K22" s="236"/>
      <c r="L22" s="236"/>
      <c r="M22" s="119">
        <f>+K22+'13'!M22+L22</f>
        <v>0</v>
      </c>
      <c r="P22" s="151" t="s">
        <v>424</v>
      </c>
      <c r="Q22" s="151">
        <f>480-Q21</f>
        <v>0</v>
      </c>
      <c r="R22" s="151">
        <f>+R21/Q21</f>
        <v>1180</v>
      </c>
      <c r="S22" s="151">
        <f>+S21/Q21</f>
        <v>932.2</v>
      </c>
    </row>
    <row r="23" spans="1:23" ht="13.5" thickBot="1">
      <c r="A23" s="797"/>
      <c r="B23" s="167" t="s">
        <v>3</v>
      </c>
      <c r="C23" s="101">
        <f>SUM(C16:C22)</f>
        <v>14936</v>
      </c>
      <c r="D23" s="113">
        <f>SUM(D16:D22)</f>
        <v>0</v>
      </c>
      <c r="E23" s="114">
        <f>SUM(E18:E22)</f>
        <v>0</v>
      </c>
      <c r="F23" s="118">
        <f>SUM(F15:F22)</f>
        <v>6</v>
      </c>
      <c r="G23" s="161"/>
      <c r="H23" s="168"/>
      <c r="I23" s="170"/>
      <c r="J23" s="214">
        <f>+'13'!J23</f>
        <v>0</v>
      </c>
      <c r="K23" s="236"/>
      <c r="L23" s="236"/>
      <c r="M23" s="119">
        <f>+K23+'13'!M23+L23</f>
        <v>0</v>
      </c>
    </row>
    <row r="24" spans="1:23" ht="13.5" thickBot="1">
      <c r="A24" s="801" t="s">
        <v>442</v>
      </c>
      <c r="B24" s="518"/>
      <c r="C24" s="115">
        <f>C23/($C$23+$D$23+$E$23)</f>
        <v>1</v>
      </c>
      <c r="D24" s="116">
        <f>D23/($C$23+$D$23+$E$23)</f>
        <v>0</v>
      </c>
      <c r="E24" s="117">
        <f>E23/($C$23+$D$23+$E$23)</f>
        <v>0</v>
      </c>
      <c r="F24" s="233"/>
      <c r="G24" s="555" t="s">
        <v>13</v>
      </c>
      <c r="H24" s="556" t="s">
        <v>461</v>
      </c>
      <c r="I24" s="798" t="s">
        <v>617</v>
      </c>
      <c r="J24" s="214">
        <f>+'13'!J24</f>
        <v>0</v>
      </c>
      <c r="K24" s="236"/>
      <c r="L24" s="236"/>
      <c r="M24" s="119">
        <f>+K24+'13'!M24+L24</f>
        <v>0</v>
      </c>
      <c r="N24" s="151" t="s">
        <v>615</v>
      </c>
      <c r="O24" s="151">
        <v>1180</v>
      </c>
      <c r="P24" s="151">
        <f>+O24-O24*0.21</f>
        <v>932.2</v>
      </c>
      <c r="Q24" s="151">
        <v>480</v>
      </c>
      <c r="R24" s="151">
        <f>+O24*Q24</f>
        <v>566400</v>
      </c>
      <c r="S24" s="151">
        <f>+P24*Q24</f>
        <v>447456</v>
      </c>
    </row>
    <row r="25" spans="1:23" ht="13.5" thickBot="1">
      <c r="A25" s="796"/>
      <c r="B25" s="517" t="s">
        <v>624</v>
      </c>
      <c r="C25" s="224">
        <v>19176</v>
      </c>
      <c r="D25" s="217"/>
      <c r="E25" s="223"/>
      <c r="F25" s="229">
        <v>2</v>
      </c>
      <c r="G25" s="557" t="s">
        <v>13</v>
      </c>
      <c r="H25" s="228" t="s">
        <v>462</v>
      </c>
      <c r="I25" s="799"/>
      <c r="J25" s="214">
        <f>+'13'!J25</f>
        <v>0</v>
      </c>
      <c r="K25" s="236"/>
      <c r="L25" s="236"/>
      <c r="M25" s="119">
        <f>+K25+'13'!M25+L25</f>
        <v>0</v>
      </c>
      <c r="P25" s="151">
        <f>+O25-O25*0.21</f>
        <v>0</v>
      </c>
      <c r="R25" s="151">
        <f>+O25*Q25</f>
        <v>0</v>
      </c>
      <c r="S25" s="151">
        <f>+P25*Q25</f>
        <v>0</v>
      </c>
    </row>
    <row r="26" spans="1:23" ht="13.5" thickBot="1">
      <c r="A26" s="796"/>
      <c r="B26" s="215"/>
      <c r="C26" s="224"/>
      <c r="D26" s="217"/>
      <c r="E26" s="225"/>
      <c r="F26" s="229">
        <v>6</v>
      </c>
      <c r="G26" s="557" t="s">
        <v>13</v>
      </c>
      <c r="H26" s="231" t="s">
        <v>480</v>
      </c>
      <c r="I26" s="799"/>
      <c r="J26" s="214">
        <f>+'13'!J26</f>
        <v>0</v>
      </c>
      <c r="K26" s="236"/>
      <c r="L26" s="236"/>
      <c r="M26" s="562">
        <f>+K26+'13'!M26+L26</f>
        <v>0</v>
      </c>
      <c r="P26" s="151">
        <f>+O26-O26*0.23</f>
        <v>0</v>
      </c>
      <c r="R26" s="151">
        <f>+O26*Q26</f>
        <v>0</v>
      </c>
      <c r="S26" s="151">
        <f>+P26*Q26</f>
        <v>0</v>
      </c>
    </row>
    <row r="27" spans="1:23" ht="64.5" thickBot="1">
      <c r="A27" s="796"/>
      <c r="B27" s="215"/>
      <c r="C27" s="216"/>
      <c r="D27" s="217"/>
      <c r="E27" s="223"/>
      <c r="F27" s="229"/>
      <c r="G27" s="227"/>
      <c r="H27" s="558" t="s">
        <v>612</v>
      </c>
      <c r="I27" s="799"/>
      <c r="J27" s="214">
        <f>+'13'!J27</f>
        <v>0</v>
      </c>
      <c r="K27" s="236"/>
      <c r="L27" s="236"/>
      <c r="M27" s="562">
        <f>+K27+'13'!M27+L27</f>
        <v>0</v>
      </c>
      <c r="P27" s="151">
        <f t="shared" ref="P27:P28" si="2">+O27-O27*0.23</f>
        <v>0</v>
      </c>
      <c r="R27" s="151">
        <f>+O27*Q27</f>
        <v>0</v>
      </c>
      <c r="S27" s="151">
        <f>+P27*Q27</f>
        <v>0</v>
      </c>
    </row>
    <row r="28" spans="1:23" ht="77.25" thickBot="1">
      <c r="A28" s="796"/>
      <c r="B28" s="215"/>
      <c r="C28" s="216"/>
      <c r="D28" s="217"/>
      <c r="E28" s="223"/>
      <c r="F28" s="229"/>
      <c r="G28" s="227"/>
      <c r="H28" s="231" t="s">
        <v>614</v>
      </c>
      <c r="I28" s="799"/>
      <c r="J28" s="214">
        <f>+'13'!J28</f>
        <v>0</v>
      </c>
      <c r="K28" s="236"/>
      <c r="L28" s="236"/>
      <c r="M28" s="562">
        <f>+K28+'13'!M28+L28</f>
        <v>0</v>
      </c>
      <c r="P28" s="151">
        <f t="shared" si="2"/>
        <v>0</v>
      </c>
      <c r="R28" s="151">
        <f>+O28*Q28</f>
        <v>0</v>
      </c>
      <c r="S28" s="151">
        <f>+P28*Q28</f>
        <v>0</v>
      </c>
    </row>
    <row r="29" spans="1:23" ht="13.5" thickBot="1">
      <c r="A29" s="796"/>
      <c r="B29" s="215"/>
      <c r="C29" s="216"/>
      <c r="D29" s="217"/>
      <c r="E29" s="223"/>
      <c r="F29" s="233"/>
      <c r="G29" s="230"/>
      <c r="H29" s="231"/>
      <c r="I29" s="799"/>
      <c r="J29" s="214">
        <f>+'13'!J29</f>
        <v>0</v>
      </c>
      <c r="K29" s="236"/>
      <c r="L29" s="236"/>
      <c r="M29" s="562">
        <f>+K29+'13'!M29+L29</f>
        <v>0</v>
      </c>
    </row>
    <row r="30" spans="1:23" ht="13.5" thickBot="1">
      <c r="A30" s="796"/>
      <c r="B30" s="215"/>
      <c r="C30" s="224"/>
      <c r="D30" s="217"/>
      <c r="E30" s="223"/>
      <c r="F30" s="233"/>
      <c r="G30" s="230"/>
      <c r="H30" s="231"/>
      <c r="I30" s="799"/>
      <c r="J30" s="214">
        <f>+'13'!J30</f>
        <v>0</v>
      </c>
      <c r="K30" s="236"/>
      <c r="L30" s="236"/>
      <c r="M30" s="562">
        <f>+K30+'13'!M30+L30</f>
        <v>0</v>
      </c>
      <c r="Q30" s="151">
        <f>SUM(Q24:Q29)</f>
        <v>480</v>
      </c>
      <c r="R30" s="151">
        <f>SUM(R24:R27)</f>
        <v>566400</v>
      </c>
      <c r="S30" s="151">
        <f>SUM(S24:S27)</f>
        <v>447456</v>
      </c>
      <c r="U30" s="565"/>
    </row>
    <row r="31" spans="1:23" ht="13.5" thickBot="1">
      <c r="A31" s="796"/>
      <c r="B31" s="215"/>
      <c r="C31" s="224"/>
      <c r="D31" s="217"/>
      <c r="E31" s="223"/>
      <c r="F31" s="233"/>
      <c r="G31" s="234"/>
      <c r="H31" s="409"/>
      <c r="I31" s="800"/>
      <c r="J31" s="214">
        <f>+'13'!J31</f>
        <v>0</v>
      </c>
      <c r="K31" s="236"/>
      <c r="L31" s="236"/>
      <c r="M31" s="562">
        <f>+K31+'13'!M31+L31</f>
        <v>0</v>
      </c>
      <c r="P31" s="151" t="s">
        <v>424</v>
      </c>
      <c r="Q31" s="151">
        <f>480-Q30</f>
        <v>0</v>
      </c>
      <c r="R31" s="151">
        <f>+R30/Q30</f>
        <v>1180</v>
      </c>
      <c r="S31" s="151">
        <f>+S30/Q30</f>
        <v>932.2</v>
      </c>
      <c r="T31" s="193"/>
      <c r="U31" s="566"/>
      <c r="V31" s="157"/>
      <c r="W31" s="330"/>
    </row>
    <row r="32" spans="1:23" ht="13.5" thickBot="1">
      <c r="A32" s="797"/>
      <c r="B32" s="167" t="s">
        <v>3</v>
      </c>
      <c r="C32" s="101">
        <f>SUM(C25:C31)</f>
        <v>19176</v>
      </c>
      <c r="D32" s="102">
        <f>SUM(D25:D31)</f>
        <v>0</v>
      </c>
      <c r="E32" s="103">
        <f>SUM(E25:E31)</f>
        <v>0</v>
      </c>
      <c r="F32" s="101">
        <f>SUM(F24:F31)</f>
        <v>8</v>
      </c>
      <c r="G32" s="171"/>
      <c r="H32" s="172"/>
      <c r="I32" s="170"/>
      <c r="J32" s="214">
        <f>+'13'!J32</f>
        <v>0</v>
      </c>
      <c r="K32" s="238"/>
      <c r="L32" s="240"/>
      <c r="M32" s="562">
        <f>+K32+'13'!M32+L32</f>
        <v>0</v>
      </c>
      <c r="U32" s="567"/>
    </row>
    <row r="33" spans="1:17" ht="13.5" thickBot="1">
      <c r="A33" s="173"/>
      <c r="B33" s="174"/>
      <c r="C33" s="105">
        <f>C32/($C$32+$D$32+$E$32)</f>
        <v>1</v>
      </c>
      <c r="D33" s="106">
        <f>D32/($C$32+$D$32+$E$32)</f>
        <v>0</v>
      </c>
      <c r="E33" s="107">
        <f>E32/($C$32+$D$32+$E$32)</f>
        <v>0</v>
      </c>
      <c r="F33" s="108"/>
      <c r="G33" s="175"/>
      <c r="H33" s="176"/>
      <c r="I33" s="177"/>
      <c r="J33" s="123"/>
      <c r="K33" s="124"/>
      <c r="L33" s="213"/>
      <c r="M33" s="563"/>
    </row>
    <row r="34" spans="1:17" ht="13.5" thickBot="1">
      <c r="A34" s="802" t="s">
        <v>69</v>
      </c>
      <c r="B34" s="803"/>
      <c r="C34" s="109">
        <f>C14+C23+C32</f>
        <v>49134</v>
      </c>
      <c r="D34" s="109">
        <f>D14+D23+D32</f>
        <v>636</v>
      </c>
      <c r="E34" s="109">
        <f>E14+E23+E32</f>
        <v>0</v>
      </c>
      <c r="F34" s="110">
        <f>F14+F23+F32</f>
        <v>29</v>
      </c>
      <c r="H34" s="178"/>
      <c r="I34" s="178"/>
      <c r="J34" s="125" t="s">
        <v>29</v>
      </c>
      <c r="K34" s="126">
        <f>SUM(K7:K32)</f>
        <v>49134</v>
      </c>
      <c r="L34" s="212">
        <f>SUM(L7:L32)</f>
        <v>0</v>
      </c>
      <c r="M34" s="564">
        <f>SUM(M7:M32)</f>
        <v>563576</v>
      </c>
      <c r="N34" s="157"/>
    </row>
    <row r="35" spans="1:17" ht="13.5" thickBot="1">
      <c r="A35" s="179"/>
      <c r="B35" s="180"/>
      <c r="C35" s="106">
        <f>C34/($C$34+$D$34+$E$34)</f>
        <v>0.98722121760096448</v>
      </c>
      <c r="D35" s="106">
        <f>D34/($C$34+$D$34+$E$34)</f>
        <v>1.2778782399035564E-2</v>
      </c>
      <c r="E35" s="111">
        <f>E34/($C$34+$D$34+$E$34)</f>
        <v>0</v>
      </c>
      <c r="K35" s="157"/>
      <c r="N35" s="151" t="s">
        <v>409</v>
      </c>
      <c r="O35" s="151">
        <v>1350</v>
      </c>
      <c r="P35" s="151">
        <v>1039.5</v>
      </c>
      <c r="Q35" s="151">
        <v>240</v>
      </c>
    </row>
    <row r="36" spans="1:17" ht="13.5" thickBot="1">
      <c r="A36" s="178"/>
      <c r="B36" s="178"/>
      <c r="C36" s="157"/>
      <c r="D36" s="157"/>
      <c r="E36" s="157"/>
      <c r="G36" s="157"/>
      <c r="H36" s="181"/>
      <c r="I36" s="164" t="s">
        <v>39</v>
      </c>
      <c r="J36" s="164" t="s">
        <v>40</v>
      </c>
      <c r="K36" s="182"/>
      <c r="N36" s="151" t="s">
        <v>615</v>
      </c>
      <c r="O36" s="151">
        <v>1180</v>
      </c>
      <c r="P36" s="151">
        <v>932.2</v>
      </c>
      <c r="Q36" s="151">
        <v>1200</v>
      </c>
    </row>
    <row r="37" spans="1:17" ht="17.45" customHeight="1" thickBot="1">
      <c r="A37" s="804" t="s">
        <v>70</v>
      </c>
      <c r="B37" s="805"/>
      <c r="C37" s="164" t="s">
        <v>71</v>
      </c>
      <c r="D37" s="183" t="s">
        <v>72</v>
      </c>
      <c r="E37" s="184" t="s">
        <v>73</v>
      </c>
      <c r="F37" s="309"/>
      <c r="G37" s="311"/>
      <c r="H37" s="186" t="s">
        <v>74</v>
      </c>
      <c r="I37" s="241">
        <f>(12*240+1200*15)/1440*G42*2.74*1440/1000000</f>
        <v>54.355407599999999</v>
      </c>
      <c r="J37" s="127">
        <f>+I37+'13'!J37</f>
        <v>673.36857355963593</v>
      </c>
      <c r="K37" s="128" t="s">
        <v>75</v>
      </c>
      <c r="Q37" s="151">
        <f>+Q35+Q36</f>
        <v>1440</v>
      </c>
    </row>
    <row r="38" spans="1:17" ht="17.45" customHeight="1">
      <c r="A38" s="806" t="s">
        <v>13</v>
      </c>
      <c r="B38" s="807"/>
      <c r="C38" s="166">
        <f>SUMIF($G$7:$G$31,"Process",$F$7:$F$31)</f>
        <v>29</v>
      </c>
      <c r="D38" s="120">
        <f>C38+'13'!D38</f>
        <v>1247</v>
      </c>
      <c r="E38" s="145">
        <f t="shared" ref="E38:E52" si="3">D38/60</f>
        <v>20.783333333333335</v>
      </c>
      <c r="F38" s="540">
        <v>1265</v>
      </c>
      <c r="G38" s="540">
        <v>985.85</v>
      </c>
      <c r="H38" s="187" t="s">
        <v>76</v>
      </c>
      <c r="I38" s="242">
        <f>15.412+17.464+16.751</f>
        <v>49.626999999999995</v>
      </c>
      <c r="J38" s="129">
        <f>+I38+'13'!J38</f>
        <v>594.07399999999996</v>
      </c>
      <c r="K38" s="130" t="s">
        <v>75</v>
      </c>
    </row>
    <row r="39" spans="1:17" ht="17.45" customHeight="1">
      <c r="A39" s="793" t="s">
        <v>14</v>
      </c>
      <c r="B39" s="794"/>
      <c r="C39" s="166">
        <f>SUMIF($G$7:$G$31,"Cleaning",$F$7:$F$31)</f>
        <v>0</v>
      </c>
      <c r="D39" s="120">
        <f>C39+'13'!D39</f>
        <v>0</v>
      </c>
      <c r="E39" s="145">
        <f t="shared" si="3"/>
        <v>0</v>
      </c>
      <c r="F39" s="540">
        <v>1180</v>
      </c>
      <c r="G39" s="540">
        <v>932.2</v>
      </c>
      <c r="H39" s="187" t="s">
        <v>77</v>
      </c>
      <c r="I39" s="144"/>
      <c r="J39" s="131">
        <f>J37/G4</f>
        <v>48.09775525425971</v>
      </c>
      <c r="K39" s="132" t="s">
        <v>75</v>
      </c>
    </row>
    <row r="40" spans="1:17" ht="17.45" customHeight="1">
      <c r="A40" s="793" t="s">
        <v>78</v>
      </c>
      <c r="B40" s="794"/>
      <c r="C40" s="166">
        <f>SUMIF($G$7:$G$31,"Mechanical",$F$7:$F$31)</f>
        <v>0</v>
      </c>
      <c r="D40" s="120">
        <f>C40+'13'!D40</f>
        <v>28</v>
      </c>
      <c r="E40" s="145">
        <f t="shared" si="3"/>
        <v>0.46666666666666667</v>
      </c>
      <c r="F40" s="594">
        <v>1180</v>
      </c>
      <c r="G40" s="309">
        <v>932.2</v>
      </c>
      <c r="H40" s="187" t="s">
        <v>79</v>
      </c>
      <c r="I40" s="120">
        <f>(K34+L34)/1000</f>
        <v>49.134</v>
      </c>
      <c r="J40" s="133">
        <f>+I40+'13'!J40</f>
        <v>563.57600000000002</v>
      </c>
      <c r="K40" s="132" t="s">
        <v>75</v>
      </c>
    </row>
    <row r="41" spans="1:17" ht="17.45" customHeight="1">
      <c r="A41" s="793" t="s">
        <v>80</v>
      </c>
      <c r="B41" s="794"/>
      <c r="C41" s="166">
        <f>SUMIF($G$7:$G$31,"Electrical",$F$7:$F$31)</f>
        <v>0</v>
      </c>
      <c r="D41" s="120">
        <f>C41+'13'!D41</f>
        <v>36</v>
      </c>
      <c r="E41" s="145">
        <f t="shared" si="3"/>
        <v>0.6</v>
      </c>
      <c r="F41" s="309"/>
      <c r="G41" s="309"/>
      <c r="H41" s="187" t="s">
        <v>81</v>
      </c>
      <c r="I41" s="144"/>
      <c r="J41" s="131">
        <f>J40/G4</f>
        <v>40.255428571428574</v>
      </c>
      <c r="K41" s="132" t="s">
        <v>75</v>
      </c>
    </row>
    <row r="42" spans="1:17" ht="17.45" customHeight="1">
      <c r="A42" s="793" t="s">
        <v>17</v>
      </c>
      <c r="B42" s="794"/>
      <c r="C42" s="166">
        <f>SUMIF($G$7:$G$31,"Instrument",$F$7:$F$31)</f>
        <v>0</v>
      </c>
      <c r="D42" s="120">
        <f>C42+'13'!D42</f>
        <v>0</v>
      </c>
      <c r="E42" s="145">
        <f t="shared" si="3"/>
        <v>0</v>
      </c>
      <c r="F42" s="185">
        <f>+(480*F38+480*F40+480*F39)/1440</f>
        <v>1208.3333333333333</v>
      </c>
      <c r="G42" s="185">
        <f>+(480*G38+480*G40+480*G39)/1440</f>
        <v>950.08333333333337</v>
      </c>
      <c r="H42" s="187" t="s">
        <v>82</v>
      </c>
      <c r="I42" s="243" t="s">
        <v>618</v>
      </c>
      <c r="J42" s="134"/>
      <c r="K42" s="132" t="s">
        <v>83</v>
      </c>
    </row>
    <row r="43" spans="1:17" ht="17.45" customHeight="1">
      <c r="A43" s="793" t="s">
        <v>84</v>
      </c>
      <c r="B43" s="794"/>
      <c r="C43" s="166">
        <f>SUMIF($G$7:$G$31,"Water",$F$7:$F$31)</f>
        <v>0</v>
      </c>
      <c r="D43" s="120">
        <f>C43+'13'!D43</f>
        <v>0</v>
      </c>
      <c r="E43" s="145">
        <f t="shared" si="3"/>
        <v>0</v>
      </c>
      <c r="F43" s="309"/>
      <c r="G43" s="310"/>
      <c r="H43" s="188" t="s">
        <v>85</v>
      </c>
      <c r="I43" s="120">
        <f>+Report1!Z22</f>
        <v>90.8</v>
      </c>
      <c r="J43" s="135">
        <f>+I43+'13'!J43</f>
        <v>1193.0999999999999</v>
      </c>
      <c r="K43" s="132" t="s">
        <v>75</v>
      </c>
      <c r="L43" s="189"/>
    </row>
    <row r="44" spans="1:17" ht="17.45" customHeight="1">
      <c r="A44" s="793" t="s">
        <v>18</v>
      </c>
      <c r="B44" s="794"/>
      <c r="C44" s="166">
        <f>SUMIF($G$7:$G$31,"PLN",$F$7:$F$31)</f>
        <v>0</v>
      </c>
      <c r="D44" s="120">
        <f>C44+'13'!D44</f>
        <v>30</v>
      </c>
      <c r="E44" s="145">
        <f t="shared" si="3"/>
        <v>0.5</v>
      </c>
      <c r="F44" s="309"/>
      <c r="G44" s="310"/>
      <c r="H44" s="188" t="s">
        <v>86</v>
      </c>
      <c r="I44" s="120">
        <f>I43/I38</f>
        <v>1.8296491829044674</v>
      </c>
      <c r="J44" s="136">
        <f>J43/J38</f>
        <v>2.0083356618872394</v>
      </c>
      <c r="K44" s="132" t="s">
        <v>75</v>
      </c>
    </row>
    <row r="45" spans="1:17" ht="17.45" customHeight="1">
      <c r="A45" s="793" t="s">
        <v>19</v>
      </c>
      <c r="B45" s="794"/>
      <c r="C45" s="166">
        <f>SUMIF($G$7:$G$31,"Boiler",$F$7:$F$31)</f>
        <v>0</v>
      </c>
      <c r="D45" s="120">
        <f>C45+'13'!D45</f>
        <v>0</v>
      </c>
      <c r="E45" s="145">
        <f t="shared" si="3"/>
        <v>0</v>
      </c>
      <c r="F45" s="309"/>
      <c r="G45" s="312"/>
      <c r="H45" s="188" t="s">
        <v>87</v>
      </c>
      <c r="I45" s="120">
        <f>I43/I40</f>
        <v>1.8480074897219847</v>
      </c>
      <c r="J45" s="136">
        <f>J43/J40</f>
        <v>2.117017048277428</v>
      </c>
      <c r="K45" s="132" t="s">
        <v>75</v>
      </c>
    </row>
    <row r="46" spans="1:17" ht="17.45" customHeight="1">
      <c r="A46" s="793" t="s">
        <v>88</v>
      </c>
      <c r="B46" s="794"/>
      <c r="C46" s="166">
        <f>SUMIF($G$7:$G$31,"Gas",$F$7:$F$31)</f>
        <v>0</v>
      </c>
      <c r="D46" s="120">
        <f>C46+'13'!D46</f>
        <v>0</v>
      </c>
      <c r="E46" s="145">
        <f t="shared" si="3"/>
        <v>0</v>
      </c>
      <c r="F46" s="309"/>
      <c r="G46" s="310"/>
      <c r="H46" s="188" t="s">
        <v>89</v>
      </c>
      <c r="I46" s="142">
        <f>+SUMIF(Listrik!X21,"&gt;0")</f>
        <v>41816.960000000312</v>
      </c>
      <c r="J46" s="137">
        <f>+I46+'13'!J46</f>
        <v>557054.93999999878</v>
      </c>
      <c r="K46" s="132" t="s">
        <v>90</v>
      </c>
    </row>
    <row r="47" spans="1:17" ht="17.45" customHeight="1">
      <c r="A47" s="793" t="s">
        <v>91</v>
      </c>
      <c r="B47" s="794"/>
      <c r="C47" s="166">
        <f>SUMIF($G$7:$G$31,"Gas",$F$7:$F$31)</f>
        <v>0</v>
      </c>
      <c r="D47" s="120">
        <f>C47+'13'!D47</f>
        <v>0</v>
      </c>
      <c r="E47" s="145">
        <f t="shared" si="3"/>
        <v>0</v>
      </c>
      <c r="F47" s="309"/>
      <c r="G47" s="310"/>
      <c r="H47" s="188" t="s">
        <v>92</v>
      </c>
      <c r="I47" s="120">
        <f>I46/I38</f>
        <v>842.62518387168916</v>
      </c>
      <c r="J47" s="137">
        <f>J46/J38</f>
        <v>937.68611317781756</v>
      </c>
      <c r="K47" s="132" t="s">
        <v>25</v>
      </c>
    </row>
    <row r="48" spans="1:17" ht="17.45" customHeight="1">
      <c r="A48" s="793" t="s">
        <v>15</v>
      </c>
      <c r="B48" s="794"/>
      <c r="C48" s="166">
        <f>SUMIF($G$7:$G$31,"Start Up",$F$7:$F$31)</f>
        <v>0</v>
      </c>
      <c r="D48" s="120">
        <f>C48+'13'!D48</f>
        <v>0</v>
      </c>
      <c r="E48" s="145">
        <f t="shared" si="3"/>
        <v>0</v>
      </c>
      <c r="F48" s="309"/>
      <c r="G48" s="310"/>
      <c r="H48" s="188" t="s">
        <v>93</v>
      </c>
      <c r="I48" s="120">
        <f>I46/I40</f>
        <v>851.07990393618093</v>
      </c>
      <c r="J48" s="137">
        <f>J46/J40</f>
        <v>988.42913821738102</v>
      </c>
      <c r="K48" s="132" t="s">
        <v>25</v>
      </c>
    </row>
    <row r="49" spans="1:11" ht="17.45" customHeight="1">
      <c r="A49" s="793" t="s">
        <v>21</v>
      </c>
      <c r="B49" s="794"/>
      <c r="C49" s="166">
        <f>SUMIF($G$7:$G$31,"Others",$F$7:$F$31)</f>
        <v>0</v>
      </c>
      <c r="D49" s="120">
        <f>C49+'13'!D49</f>
        <v>446</v>
      </c>
      <c r="E49" s="145">
        <f t="shared" si="3"/>
        <v>7.4333333333333336</v>
      </c>
      <c r="F49" s="185"/>
      <c r="H49" s="188" t="s">
        <v>280</v>
      </c>
      <c r="I49" s="120">
        <f>+Report1!T22</f>
        <v>3897.9890222399181</v>
      </c>
      <c r="J49" s="137">
        <f>+I49+'13'!J49</f>
        <v>49026.958388239742</v>
      </c>
      <c r="K49" s="132" t="s">
        <v>94</v>
      </c>
    </row>
    <row r="50" spans="1:11" ht="17.45" customHeight="1">
      <c r="A50" s="793" t="s">
        <v>20</v>
      </c>
      <c r="B50" s="794"/>
      <c r="C50" s="166">
        <f>SUMIF($G$7:$G$31,"Steam",$F$7:$F$31)</f>
        <v>0</v>
      </c>
      <c r="D50" s="120">
        <f>C50+'13'!D50</f>
        <v>0</v>
      </c>
      <c r="E50" s="145">
        <f t="shared" si="3"/>
        <v>0</v>
      </c>
      <c r="F50" s="185"/>
      <c r="H50" s="188" t="s">
        <v>95</v>
      </c>
      <c r="I50" s="142">
        <f>I49/I38</f>
        <v>78.545731602553417</v>
      </c>
      <c r="J50" s="135">
        <f>J49/J38</f>
        <v>82.526685881287094</v>
      </c>
      <c r="K50" s="132" t="s">
        <v>94</v>
      </c>
    </row>
    <row r="51" spans="1:11" ht="17.45" customHeight="1">
      <c r="A51" s="810" t="s">
        <v>96</v>
      </c>
      <c r="B51" s="810"/>
      <c r="C51" s="166">
        <f>SUMIF($G$7:$G$31,"Planned shut",$F$7:$F$31)</f>
        <v>0</v>
      </c>
      <c r="D51" s="120">
        <f>C51+'13'!D51</f>
        <v>0</v>
      </c>
      <c r="E51" s="145">
        <f t="shared" si="3"/>
        <v>0</v>
      </c>
      <c r="F51" s="185"/>
      <c r="H51" s="190" t="s">
        <v>97</v>
      </c>
      <c r="I51" s="143">
        <f>I49/I40</f>
        <v>79.333842598606225</v>
      </c>
      <c r="J51" s="138">
        <f>J49/J40</f>
        <v>86.992629899498453</v>
      </c>
      <c r="K51" s="139" t="s">
        <v>94</v>
      </c>
    </row>
    <row r="52" spans="1:11" ht="13.5" thickBot="1">
      <c r="A52" s="811" t="s">
        <v>230</v>
      </c>
      <c r="B52" s="812"/>
      <c r="C52" s="166">
        <f>SUMIF($G$7:$G$31,"Change Grade",$F$7:$F$31)</f>
        <v>0</v>
      </c>
      <c r="D52" s="120">
        <f>C52+'13'!D52</f>
        <v>0</v>
      </c>
      <c r="E52" s="145">
        <f t="shared" si="3"/>
        <v>0</v>
      </c>
      <c r="F52" s="185"/>
      <c r="H52" s="191"/>
      <c r="I52" s="192"/>
      <c r="J52" s="140"/>
      <c r="K52" s="141"/>
    </row>
    <row r="53" spans="1:11">
      <c r="A53" s="806" t="s">
        <v>29</v>
      </c>
      <c r="B53" s="807"/>
      <c r="C53" s="146">
        <f>SUM(C38:C52)</f>
        <v>29</v>
      </c>
      <c r="D53" s="146">
        <f>SUM(D38:D52)</f>
        <v>1787</v>
      </c>
      <c r="E53" s="147">
        <f>SUM(E38:E52)</f>
        <v>29.783333333333335</v>
      </c>
      <c r="F53" s="185"/>
    </row>
    <row r="54" spans="1:11" ht="13.5" thickBot="1">
      <c r="A54" s="808"/>
      <c r="B54" s="809"/>
      <c r="C54" s="148">
        <f>C53/(24*60)</f>
        <v>2.013888888888889E-2</v>
      </c>
      <c r="D54" s="148">
        <f>D53/(24*60*G4)</f>
        <v>8.864087301587302E-2</v>
      </c>
      <c r="E54" s="149">
        <f>E53/(G4*24)</f>
        <v>8.864087301587302E-2</v>
      </c>
      <c r="F54" s="185"/>
    </row>
    <row r="55" spans="1:11">
      <c r="E55" s="193"/>
    </row>
    <row r="56" spans="1:11">
      <c r="A56" s="194" t="s">
        <v>98</v>
      </c>
      <c r="B56" s="195"/>
      <c r="C56" s="196"/>
      <c r="D56" s="196"/>
      <c r="E56" s="196"/>
      <c r="F56" s="197"/>
      <c r="G56" s="196"/>
      <c r="H56" s="198"/>
      <c r="I56" s="199" t="s">
        <v>99</v>
      </c>
      <c r="J56" s="200">
        <f>+D34+'13'!J56</f>
        <v>3689</v>
      </c>
      <c r="K56" s="201">
        <f>J56/(J40+J56/1000)/1000</f>
        <v>6.5031334561448358E-3</v>
      </c>
    </row>
    <row r="57" spans="1:11">
      <c r="A57" s="176"/>
      <c r="I57" s="199" t="s">
        <v>100</v>
      </c>
      <c r="J57" s="200">
        <f>+E34+'13'!J57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3" zoomScale="80" zoomScaleNormal="7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5703125" style="151" bestFit="1" customWidth="1"/>
    <col min="12" max="12" width="8.28515625" style="151" customWidth="1"/>
    <col min="13" max="13" width="12.1406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13</v>
      </c>
      <c r="H4" s="156" t="str">
        <f>+'1'!H4</f>
        <v>.07.25</v>
      </c>
      <c r="J4" s="151">
        <f>424+429+418</f>
        <v>1271</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409</v>
      </c>
      <c r="O6" s="151">
        <v>1330</v>
      </c>
      <c r="P6" s="151">
        <f>+O6-O6*0.23</f>
        <v>1024.0999999999999</v>
      </c>
      <c r="Q6" s="151">
        <f>60*3+20</f>
        <v>200</v>
      </c>
      <c r="R6" s="151">
        <f>+O6*Q6</f>
        <v>266000</v>
      </c>
      <c r="S6" s="151">
        <f>+P6*Q6</f>
        <v>204819.99999999997</v>
      </c>
    </row>
    <row r="7" spans="1:19" ht="13.5" customHeight="1" thickBot="1">
      <c r="A7" s="795" t="s">
        <v>470</v>
      </c>
      <c r="B7" s="215" t="s">
        <v>398</v>
      </c>
      <c r="C7" s="216">
        <v>13663</v>
      </c>
      <c r="D7" s="217">
        <v>505</v>
      </c>
      <c r="E7" s="218"/>
      <c r="F7" s="233"/>
      <c r="G7" s="555" t="s">
        <v>13</v>
      </c>
      <c r="H7" s="556" t="s">
        <v>461</v>
      </c>
      <c r="I7" s="798" t="s">
        <v>603</v>
      </c>
      <c r="J7" s="214" t="str">
        <f>+'12'!J7</f>
        <v>F 12 VP OW</v>
      </c>
      <c r="K7" s="235">
        <f>+C34</f>
        <v>37550</v>
      </c>
      <c r="L7" s="239"/>
      <c r="M7" s="119">
        <f>+K7+'12'!M7+L7</f>
        <v>196890</v>
      </c>
      <c r="O7" s="151">
        <v>1000</v>
      </c>
      <c r="P7" s="151">
        <f>+O7-O7*0.23</f>
        <v>770</v>
      </c>
      <c r="Q7" s="151">
        <f>60-20+50</f>
        <v>90</v>
      </c>
      <c r="R7" s="151">
        <f>+O7*Q7</f>
        <v>90000</v>
      </c>
      <c r="S7" s="151">
        <f>+P7*Q7</f>
        <v>69300</v>
      </c>
    </row>
    <row r="8" spans="1:19" ht="13.5" thickBot="1">
      <c r="A8" s="796"/>
      <c r="B8" s="215"/>
      <c r="C8" s="216"/>
      <c r="D8" s="217"/>
      <c r="E8" s="219"/>
      <c r="F8" s="229">
        <v>9</v>
      </c>
      <c r="G8" s="557" t="s">
        <v>13</v>
      </c>
      <c r="H8" s="228" t="s">
        <v>399</v>
      </c>
      <c r="I8" s="799"/>
      <c r="J8" s="214" t="str">
        <f>+'12'!J8</f>
        <v>F 11,5 VP OW</v>
      </c>
      <c r="K8" s="236"/>
      <c r="L8" s="236"/>
      <c r="M8" s="119">
        <f>+K8+'12'!M8+L8</f>
        <v>150859</v>
      </c>
      <c r="O8" s="151">
        <v>1330</v>
      </c>
      <c r="P8" s="151">
        <f>+O8-O8*0.23</f>
        <v>1024.0999999999999</v>
      </c>
      <c r="Q8" s="151">
        <f>60-50+180</f>
        <v>190</v>
      </c>
      <c r="R8" s="151">
        <f>+O8*Q8</f>
        <v>252700</v>
      </c>
      <c r="S8" s="151">
        <f>+P8*Q8</f>
        <v>194578.99999999997</v>
      </c>
    </row>
    <row r="9" spans="1:19" ht="13.5" thickBot="1">
      <c r="A9" s="796"/>
      <c r="B9" s="215"/>
      <c r="C9" s="216"/>
      <c r="D9" s="217"/>
      <c r="E9" s="220"/>
      <c r="F9" s="229">
        <f>25-9</f>
        <v>16</v>
      </c>
      <c r="G9" s="557" t="s">
        <v>13</v>
      </c>
      <c r="H9" s="231" t="s">
        <v>520</v>
      </c>
      <c r="I9" s="799"/>
      <c r="J9" s="214" t="str">
        <f>+'12'!J9</f>
        <v>T 13 VP OW</v>
      </c>
      <c r="K9" s="236"/>
      <c r="L9" s="236"/>
      <c r="M9" s="119">
        <f>+K9+'12'!M9+L9</f>
        <v>113358</v>
      </c>
      <c r="P9" s="151">
        <f t="shared" ref="P9:P10" si="0">+O9-O9*0.23</f>
        <v>0</v>
      </c>
      <c r="R9" s="151">
        <f>+O9*Q9</f>
        <v>0</v>
      </c>
      <c r="S9" s="151">
        <f>+P9*Q9</f>
        <v>0</v>
      </c>
    </row>
    <row r="10" spans="1:19" ht="51.75" thickBot="1">
      <c r="A10" s="796"/>
      <c r="B10" s="215"/>
      <c r="C10" s="216"/>
      <c r="D10" s="217"/>
      <c r="E10" s="219"/>
      <c r="F10" s="229">
        <v>23</v>
      </c>
      <c r="G10" s="227" t="s">
        <v>78</v>
      </c>
      <c r="H10" s="558" t="s">
        <v>597</v>
      </c>
      <c r="I10" s="799"/>
      <c r="J10" s="214" t="str">
        <f>+'12'!J10</f>
        <v>F 13 VP OW</v>
      </c>
      <c r="K10" s="236"/>
      <c r="L10" s="236"/>
      <c r="M10" s="119">
        <f>+K10+'12'!M10+L10</f>
        <v>43207</v>
      </c>
      <c r="P10" s="151">
        <f t="shared" si="0"/>
        <v>0</v>
      </c>
      <c r="R10" s="151">
        <f>+O10*Q10</f>
        <v>0</v>
      </c>
      <c r="S10" s="151">
        <f>+P10*Q10</f>
        <v>0</v>
      </c>
    </row>
    <row r="11" spans="1:19" ht="152.25" customHeight="1" thickBot="1">
      <c r="A11" s="796"/>
      <c r="B11" s="215"/>
      <c r="C11" s="216"/>
      <c r="D11" s="217"/>
      <c r="E11" s="219"/>
      <c r="F11" s="226"/>
      <c r="G11" s="230"/>
      <c r="H11" s="231" t="s">
        <v>598</v>
      </c>
      <c r="I11" s="799"/>
      <c r="J11" s="214" t="str">
        <f>+'12'!J11</f>
        <v xml:space="preserve">T 13 VP OW HB </v>
      </c>
      <c r="K11" s="236"/>
      <c r="L11" s="236"/>
      <c r="M11" s="119">
        <f>+K11+'12'!M11+L11</f>
        <v>10128</v>
      </c>
    </row>
    <row r="12" spans="1:19" ht="13.5" thickBot="1">
      <c r="A12" s="796"/>
      <c r="B12" s="215"/>
      <c r="C12" s="216"/>
      <c r="D12" s="217"/>
      <c r="E12" s="219"/>
      <c r="F12" s="226"/>
      <c r="G12" s="230"/>
      <c r="H12" s="231"/>
      <c r="I12" s="799"/>
      <c r="J12" s="214">
        <f>+'12'!J12</f>
        <v>0</v>
      </c>
      <c r="K12" s="236"/>
      <c r="L12" s="236"/>
      <c r="M12" s="119">
        <f>+K12+'12'!M12+L12</f>
        <v>0</v>
      </c>
      <c r="Q12" s="151">
        <f>SUM(Q6:Q11)</f>
        <v>480</v>
      </c>
      <c r="R12" s="151">
        <f>SUM(R6:R9)</f>
        <v>608700</v>
      </c>
      <c r="S12" s="151">
        <f>SUM(S6:S9)</f>
        <v>468699</v>
      </c>
    </row>
    <row r="13" spans="1:19" ht="13.5" thickBot="1">
      <c r="A13" s="796"/>
      <c r="B13" s="215"/>
      <c r="C13" s="216"/>
      <c r="D13" s="216"/>
      <c r="E13" s="219"/>
      <c r="F13" s="226"/>
      <c r="G13" s="230"/>
      <c r="H13" s="231"/>
      <c r="I13" s="800"/>
      <c r="J13" s="214">
        <f>+'12'!J13</f>
        <v>0</v>
      </c>
      <c r="K13" s="236"/>
      <c r="L13" s="236"/>
      <c r="M13" s="119">
        <f>+K13+'12'!M13+L13</f>
        <v>0</v>
      </c>
      <c r="P13" s="151" t="s">
        <v>424</v>
      </c>
      <c r="Q13" s="151">
        <f>480-Q12</f>
        <v>0</v>
      </c>
      <c r="R13" s="151">
        <f>+R12/Q12</f>
        <v>1268.125</v>
      </c>
      <c r="S13" s="151">
        <f>+S12/Q12</f>
        <v>976.45624999999995</v>
      </c>
    </row>
    <row r="14" spans="1:19" ht="13.5" thickBot="1">
      <c r="A14" s="797"/>
      <c r="B14" s="167" t="s">
        <v>3</v>
      </c>
      <c r="C14" s="101">
        <f>SUM(C7:C13)</f>
        <v>13663</v>
      </c>
      <c r="D14" s="113">
        <f>SUM(D7:D13)</f>
        <v>505</v>
      </c>
      <c r="E14" s="114">
        <f>SUM(E5:E13)</f>
        <v>0</v>
      </c>
      <c r="F14" s="118">
        <f>SUM(F7:F13)</f>
        <v>48</v>
      </c>
      <c r="G14" s="161"/>
      <c r="H14" s="168"/>
      <c r="I14" s="169"/>
      <c r="J14" s="214">
        <f>+'12'!J14</f>
        <v>0</v>
      </c>
      <c r="K14" s="236"/>
      <c r="L14" s="236"/>
      <c r="M14" s="119">
        <f>+K14+'12'!M14+L14</f>
        <v>0</v>
      </c>
      <c r="N14" s="151" t="s">
        <v>409</v>
      </c>
      <c r="O14" s="151">
        <v>1330</v>
      </c>
      <c r="P14" s="151">
        <f>+O14-O14*0.23</f>
        <v>1024.0999999999999</v>
      </c>
      <c r="Q14" s="151">
        <v>60</v>
      </c>
      <c r="R14" s="151">
        <f>+O14*Q14</f>
        <v>79800</v>
      </c>
      <c r="S14" s="151">
        <f>+P14*Q14</f>
        <v>61445.999999999993</v>
      </c>
    </row>
    <row r="15" spans="1:19" ht="13.5" customHeight="1" thickBot="1">
      <c r="A15" s="801" t="s">
        <v>609</v>
      </c>
      <c r="B15" s="518"/>
      <c r="C15" s="115">
        <f>C14/($C$23+$D$23+$E$23)</f>
        <v>1.6974779475711268</v>
      </c>
      <c r="D15" s="116">
        <f>D14/($C$23+$D$23+$E$23)</f>
        <v>6.2740713132066098E-2</v>
      </c>
      <c r="E15" s="117">
        <f>E14/($C$23+$D$23+$E$23)</f>
        <v>0</v>
      </c>
      <c r="F15" s="233">
        <v>6</v>
      </c>
      <c r="G15" s="555" t="s">
        <v>13</v>
      </c>
      <c r="H15" s="556" t="s">
        <v>401</v>
      </c>
      <c r="I15" s="798" t="s">
        <v>604</v>
      </c>
      <c r="J15" s="214">
        <f>+'12'!J15</f>
        <v>0</v>
      </c>
      <c r="K15" s="236"/>
      <c r="L15" s="236"/>
      <c r="M15" s="119">
        <f>+K15+'12'!M15+L15</f>
        <v>0</v>
      </c>
      <c r="O15" s="151">
        <v>1340</v>
      </c>
      <c r="P15" s="151">
        <f t="shared" ref="P15:P18" si="1">+O15-O15*0.23</f>
        <v>1031.8</v>
      </c>
      <c r="Q15" s="151">
        <v>43</v>
      </c>
      <c r="R15" s="151">
        <f>+O15*Q15</f>
        <v>57620</v>
      </c>
      <c r="S15" s="151">
        <f>+P15*Q15</f>
        <v>44367.4</v>
      </c>
    </row>
    <row r="16" spans="1:19" ht="13.5" thickBot="1">
      <c r="A16" s="796"/>
      <c r="B16" s="215" t="s">
        <v>398</v>
      </c>
      <c r="C16" s="516">
        <v>8049</v>
      </c>
      <c r="D16" s="221"/>
      <c r="E16" s="222"/>
      <c r="F16" s="229">
        <v>8</v>
      </c>
      <c r="G16" s="557" t="s">
        <v>13</v>
      </c>
      <c r="H16" s="228" t="s">
        <v>468</v>
      </c>
      <c r="I16" s="799"/>
      <c r="J16" s="214">
        <f>+'12'!J16</f>
        <v>0</v>
      </c>
      <c r="K16" s="227"/>
      <c r="L16" s="227"/>
      <c r="M16" s="119">
        <f>+K16+'12'!M16+L16</f>
        <v>0</v>
      </c>
      <c r="O16" s="151">
        <v>1350</v>
      </c>
      <c r="P16" s="151">
        <f t="shared" si="1"/>
        <v>1039.5</v>
      </c>
      <c r="Q16" s="151">
        <f>60-43+25</f>
        <v>42</v>
      </c>
      <c r="R16" s="151">
        <f>+O16*Q16</f>
        <v>56700</v>
      </c>
      <c r="S16" s="151">
        <f>+P16*Q16</f>
        <v>43659</v>
      </c>
    </row>
    <row r="17" spans="1:19" ht="13.5" thickBot="1">
      <c r="A17" s="796"/>
      <c r="B17" s="215"/>
      <c r="C17" s="216"/>
      <c r="D17" s="217"/>
      <c r="E17" s="223"/>
      <c r="F17" s="229">
        <f>22-14</f>
        <v>8</v>
      </c>
      <c r="G17" s="557" t="s">
        <v>13</v>
      </c>
      <c r="H17" s="231" t="s">
        <v>480</v>
      </c>
      <c r="I17" s="799"/>
      <c r="J17" s="214">
        <f>+'12'!J17</f>
        <v>0</v>
      </c>
      <c r="K17" s="227"/>
      <c r="L17" s="227"/>
      <c r="M17" s="119">
        <f>+K17+'12'!M17+L17</f>
        <v>0</v>
      </c>
      <c r="O17" s="151">
        <v>1330</v>
      </c>
      <c r="P17" s="151">
        <f t="shared" si="1"/>
        <v>1024.0999999999999</v>
      </c>
      <c r="Q17" s="151">
        <f>60-25+60+25</f>
        <v>120</v>
      </c>
      <c r="R17" s="151">
        <f>+O17*Q17</f>
        <v>159600</v>
      </c>
      <c r="S17" s="151">
        <f>+P17*Q17</f>
        <v>122891.99999999999</v>
      </c>
    </row>
    <row r="18" spans="1:19" ht="51.75" thickBot="1">
      <c r="A18" s="796"/>
      <c r="B18" s="215"/>
      <c r="C18" s="216"/>
      <c r="D18" s="217"/>
      <c r="E18" s="223"/>
      <c r="F18" s="229"/>
      <c r="G18" s="227"/>
      <c r="H18" s="558" t="s">
        <v>599</v>
      </c>
      <c r="I18" s="799"/>
      <c r="J18" s="214">
        <f>+'12'!J18</f>
        <v>0</v>
      </c>
      <c r="K18" s="236"/>
      <c r="L18" s="236"/>
      <c r="M18" s="119">
        <f>+K18+'12'!M18+L18</f>
        <v>0</v>
      </c>
      <c r="O18" s="151">
        <v>1350</v>
      </c>
      <c r="P18" s="151">
        <f t="shared" si="1"/>
        <v>1039.5</v>
      </c>
      <c r="Q18" s="151">
        <f>60-25+180</f>
        <v>215</v>
      </c>
      <c r="R18" s="151">
        <f>+O18*Q18</f>
        <v>290250</v>
      </c>
      <c r="S18" s="151">
        <f>+P18*Q18</f>
        <v>223492.5</v>
      </c>
    </row>
    <row r="19" spans="1:19" ht="129" customHeight="1" thickBot="1">
      <c r="A19" s="796"/>
      <c r="B19" s="215"/>
      <c r="C19" s="216"/>
      <c r="D19" s="217"/>
      <c r="E19" s="223"/>
      <c r="F19" s="232"/>
      <c r="G19" s="230"/>
      <c r="H19" s="231" t="s">
        <v>600</v>
      </c>
      <c r="I19" s="799"/>
      <c r="J19" s="214">
        <f>+'12'!J19</f>
        <v>0</v>
      </c>
      <c r="K19" s="236"/>
      <c r="L19" s="236"/>
      <c r="M19" s="119">
        <f>+K19+'12'!M19+L19</f>
        <v>0</v>
      </c>
    </row>
    <row r="20" spans="1:19" ht="13.5" thickBot="1">
      <c r="A20" s="796"/>
      <c r="B20" s="215"/>
      <c r="C20" s="216"/>
      <c r="D20" s="217"/>
      <c r="E20" s="223"/>
      <c r="F20" s="226"/>
      <c r="G20" s="230"/>
      <c r="H20" s="231"/>
      <c r="I20" s="799"/>
      <c r="J20" s="214">
        <f>+'12'!J20</f>
        <v>0</v>
      </c>
      <c r="K20" s="237"/>
      <c r="L20" s="237"/>
      <c r="M20" s="119">
        <f>+K20+'12'!M20+L20</f>
        <v>0</v>
      </c>
      <c r="Q20" s="151">
        <f>SUM(Q14:Q19)</f>
        <v>480</v>
      </c>
      <c r="R20" s="151">
        <f>SUM(R14:R19)</f>
        <v>643970</v>
      </c>
      <c r="S20" s="151">
        <f>SUM(S14:S19)</f>
        <v>495856.89999999997</v>
      </c>
    </row>
    <row r="21" spans="1:19" ht="13.5" thickBot="1">
      <c r="A21" s="796"/>
      <c r="B21" s="215"/>
      <c r="C21" s="216"/>
      <c r="D21" s="217"/>
      <c r="E21" s="223"/>
      <c r="F21" s="229"/>
      <c r="G21" s="230"/>
      <c r="H21" s="231"/>
      <c r="I21" s="799"/>
      <c r="J21" s="214">
        <f>+'12'!J21</f>
        <v>0</v>
      </c>
      <c r="K21" s="236"/>
      <c r="L21" s="236"/>
      <c r="M21" s="119">
        <f>+K21+'12'!M21+L21</f>
        <v>0</v>
      </c>
      <c r="P21" s="151" t="s">
        <v>424</v>
      </c>
      <c r="Q21" s="151">
        <f>480-Q20</f>
        <v>0</v>
      </c>
      <c r="R21" s="151">
        <f>+R20/Q20</f>
        <v>1341.6041666666667</v>
      </c>
      <c r="S21" s="151">
        <f>+S20/Q20</f>
        <v>1033.0352083333332</v>
      </c>
    </row>
    <row r="22" spans="1:19" ht="13.5" thickBot="1">
      <c r="A22" s="796"/>
      <c r="B22" s="215"/>
      <c r="C22" s="216"/>
      <c r="D22" s="217"/>
      <c r="E22" s="223"/>
      <c r="F22" s="233"/>
      <c r="G22" s="230"/>
      <c r="H22" s="231"/>
      <c r="I22" s="800"/>
      <c r="J22" s="214">
        <f>+'12'!J22</f>
        <v>0</v>
      </c>
      <c r="K22" s="236"/>
      <c r="L22" s="236"/>
      <c r="M22" s="119">
        <f>+K22+'12'!M22+L22</f>
        <v>0</v>
      </c>
    </row>
    <row r="23" spans="1:19" ht="13.5" thickBot="1">
      <c r="A23" s="797"/>
      <c r="B23" s="167" t="s">
        <v>3</v>
      </c>
      <c r="C23" s="101">
        <f>SUM(C16:C22)</f>
        <v>8049</v>
      </c>
      <c r="D23" s="113">
        <f>SUM(D16:D22)</f>
        <v>0</v>
      </c>
      <c r="E23" s="114">
        <f>SUM(E18:E22)</f>
        <v>0</v>
      </c>
      <c r="F23" s="118">
        <f>SUM(F15:F22)</f>
        <v>22</v>
      </c>
      <c r="G23" s="161"/>
      <c r="H23" s="168"/>
      <c r="I23" s="170"/>
      <c r="J23" s="214">
        <f>+'12'!J23</f>
        <v>0</v>
      </c>
      <c r="K23" s="236"/>
      <c r="L23" s="236"/>
      <c r="M23" s="119">
        <f>+K23+'12'!M23+L23</f>
        <v>0</v>
      </c>
    </row>
    <row r="24" spans="1:19" ht="13.5" customHeight="1" thickBot="1">
      <c r="A24" s="801" t="s">
        <v>444</v>
      </c>
      <c r="B24" s="518"/>
      <c r="C24" s="115">
        <f>C23/($C$23+$D$23+$E$23)</f>
        <v>1</v>
      </c>
      <c r="D24" s="116">
        <f>D23/($C$23+$D$23+$E$23)</f>
        <v>0</v>
      </c>
      <c r="E24" s="117">
        <f>E23/($C$23+$D$23+$E$23)</f>
        <v>0</v>
      </c>
      <c r="F24" s="233">
        <v>12</v>
      </c>
      <c r="G24" s="555" t="s">
        <v>13</v>
      </c>
      <c r="H24" s="556" t="s">
        <v>401</v>
      </c>
      <c r="I24" s="798" t="s">
        <v>605</v>
      </c>
      <c r="J24" s="214">
        <f>+'12'!J24</f>
        <v>0</v>
      </c>
      <c r="K24" s="236"/>
      <c r="L24" s="236"/>
      <c r="M24" s="119">
        <f>+K24+'12'!M24+L24</f>
        <v>0</v>
      </c>
    </row>
    <row r="25" spans="1:19" ht="13.5" thickBot="1">
      <c r="A25" s="796"/>
      <c r="B25" s="215" t="s">
        <v>398</v>
      </c>
      <c r="C25" s="224">
        <v>15838</v>
      </c>
      <c r="D25" s="217"/>
      <c r="E25" s="223"/>
      <c r="F25" s="229">
        <v>8</v>
      </c>
      <c r="G25" s="557" t="s">
        <v>13</v>
      </c>
      <c r="H25" s="228" t="s">
        <v>468</v>
      </c>
      <c r="I25" s="799"/>
      <c r="J25" s="214">
        <f>+'12'!J25</f>
        <v>0</v>
      </c>
      <c r="K25" s="236"/>
      <c r="L25" s="236"/>
      <c r="M25" s="119">
        <f>+K25+'12'!M25+L25</f>
        <v>0</v>
      </c>
      <c r="N25" s="151" t="s">
        <v>409</v>
      </c>
      <c r="O25" s="151">
        <v>1335</v>
      </c>
      <c r="P25" s="151">
        <f>+O25-O25*0.23</f>
        <v>1027.95</v>
      </c>
      <c r="Q25" s="151">
        <v>480</v>
      </c>
      <c r="R25" s="151">
        <f>+O25*Q25</f>
        <v>640800</v>
      </c>
      <c r="S25" s="151">
        <f>+P25*Q25</f>
        <v>493416</v>
      </c>
    </row>
    <row r="26" spans="1:19" ht="13.5" thickBot="1">
      <c r="A26" s="796"/>
      <c r="B26" s="215"/>
      <c r="C26" s="224"/>
      <c r="D26" s="217"/>
      <c r="E26" s="225"/>
      <c r="F26" s="229">
        <f>35-20</f>
        <v>15</v>
      </c>
      <c r="G26" s="557" t="s">
        <v>13</v>
      </c>
      <c r="H26" s="231" t="s">
        <v>400</v>
      </c>
      <c r="I26" s="799"/>
      <c r="J26" s="214">
        <f>+'12'!J26</f>
        <v>0</v>
      </c>
      <c r="K26" s="236"/>
      <c r="L26" s="236"/>
      <c r="M26" s="119">
        <f>+K26+'12'!M26+L26</f>
        <v>0</v>
      </c>
      <c r="P26" s="151">
        <f t="shared" ref="P26:P29" si="2">+O26-O26*0.23</f>
        <v>0</v>
      </c>
      <c r="R26" s="151">
        <f>+O26*Q26</f>
        <v>0</v>
      </c>
      <c r="S26" s="151">
        <f>+P26*Q26</f>
        <v>0</v>
      </c>
    </row>
    <row r="27" spans="1:19" ht="51.75" thickBot="1">
      <c r="A27" s="796"/>
      <c r="B27" s="215"/>
      <c r="C27" s="216"/>
      <c r="D27" s="217"/>
      <c r="E27" s="223"/>
      <c r="F27" s="229"/>
      <c r="G27" s="227"/>
      <c r="H27" s="558" t="s">
        <v>599</v>
      </c>
      <c r="I27" s="799"/>
      <c r="J27" s="214">
        <f>+'12'!J27</f>
        <v>0</v>
      </c>
      <c r="K27" s="236"/>
      <c r="L27" s="236"/>
      <c r="M27" s="119">
        <f>+K27+'12'!M27+L27</f>
        <v>0</v>
      </c>
      <c r="P27" s="151">
        <f t="shared" si="2"/>
        <v>0</v>
      </c>
      <c r="R27" s="151">
        <f>+O27*Q27</f>
        <v>0</v>
      </c>
      <c r="S27" s="151">
        <f>+P27*Q27</f>
        <v>0</v>
      </c>
    </row>
    <row r="28" spans="1:19" ht="132.75" customHeight="1" thickBot="1">
      <c r="A28" s="796"/>
      <c r="B28" s="215"/>
      <c r="C28" s="216"/>
      <c r="D28" s="217"/>
      <c r="E28" s="223"/>
      <c r="F28" s="229"/>
      <c r="G28" s="227"/>
      <c r="H28" s="231" t="s">
        <v>601</v>
      </c>
      <c r="I28" s="799"/>
      <c r="J28" s="214">
        <f>+'12'!J28</f>
        <v>0</v>
      </c>
      <c r="K28" s="236"/>
      <c r="L28" s="236"/>
      <c r="M28" s="119">
        <f>+K28+'12'!M28+L28</f>
        <v>0</v>
      </c>
      <c r="P28" s="151">
        <f t="shared" si="2"/>
        <v>0</v>
      </c>
      <c r="R28" s="151">
        <f>+O28*Q28</f>
        <v>0</v>
      </c>
      <c r="S28" s="151">
        <f>+P28*Q28</f>
        <v>0</v>
      </c>
    </row>
    <row r="29" spans="1:19" ht="13.5" thickBot="1">
      <c r="A29" s="796"/>
      <c r="B29" s="215"/>
      <c r="C29" s="216"/>
      <c r="D29" s="217"/>
      <c r="E29" s="223"/>
      <c r="F29" s="233"/>
      <c r="G29" s="230"/>
      <c r="H29" s="231"/>
      <c r="I29" s="799"/>
      <c r="J29" s="214">
        <f>+'12'!J29</f>
        <v>0</v>
      </c>
      <c r="K29" s="236"/>
      <c r="L29" s="236"/>
      <c r="M29" s="119">
        <f>+K29+'12'!M29+L29</f>
        <v>0</v>
      </c>
      <c r="P29" s="151">
        <f t="shared" si="2"/>
        <v>0</v>
      </c>
      <c r="R29" s="151">
        <f>+O29*Q29</f>
        <v>0</v>
      </c>
      <c r="S29" s="151">
        <f>+P29*Q29</f>
        <v>0</v>
      </c>
    </row>
    <row r="30" spans="1:19" ht="13.5" thickBot="1">
      <c r="A30" s="796"/>
      <c r="B30" s="215"/>
      <c r="C30" s="224"/>
      <c r="D30" s="217"/>
      <c r="E30" s="223"/>
      <c r="F30" s="233"/>
      <c r="G30" s="230"/>
      <c r="H30" s="231"/>
      <c r="I30" s="799"/>
      <c r="J30" s="214">
        <f>+'12'!J30</f>
        <v>0</v>
      </c>
      <c r="K30" s="236"/>
      <c r="L30" s="236"/>
      <c r="M30" s="119">
        <f>+K30+'12'!M30+L30</f>
        <v>0</v>
      </c>
    </row>
    <row r="31" spans="1:19" ht="13.5" thickBot="1">
      <c r="A31" s="796"/>
      <c r="B31" s="215"/>
      <c r="C31" s="224"/>
      <c r="D31" s="217"/>
      <c r="E31" s="223"/>
      <c r="F31" s="233"/>
      <c r="G31" s="234"/>
      <c r="H31" s="409"/>
      <c r="I31" s="800"/>
      <c r="J31" s="214">
        <f>+'12'!J31</f>
        <v>0</v>
      </c>
      <c r="K31" s="236"/>
      <c r="L31" s="236"/>
      <c r="M31" s="119">
        <f>+K31+'12'!M31+L31</f>
        <v>0</v>
      </c>
      <c r="Q31" s="151">
        <f>SUM(Q25:Q30)</f>
        <v>480</v>
      </c>
      <c r="R31" s="151">
        <f>SUM(R25:R30)</f>
        <v>640800</v>
      </c>
      <c r="S31" s="151">
        <f>SUM(S25:S30)</f>
        <v>493416</v>
      </c>
    </row>
    <row r="32" spans="1:19" ht="13.5" thickBot="1">
      <c r="A32" s="797"/>
      <c r="B32" s="167" t="s">
        <v>3</v>
      </c>
      <c r="C32" s="101">
        <f>SUM(C25:C31)</f>
        <v>15838</v>
      </c>
      <c r="D32" s="102">
        <f>SUM(D25:D31)</f>
        <v>0</v>
      </c>
      <c r="E32" s="103">
        <f>SUM(E25:E31)</f>
        <v>0</v>
      </c>
      <c r="F32" s="101">
        <f>SUM(F24:F31)</f>
        <v>35</v>
      </c>
      <c r="G32" s="171"/>
      <c r="H32" s="172"/>
      <c r="I32" s="170"/>
      <c r="J32" s="214">
        <f>+'12'!J32</f>
        <v>0</v>
      </c>
      <c r="K32" s="238"/>
      <c r="L32" s="240"/>
      <c r="M32" s="119">
        <f>+K32+'12'!M32+L32</f>
        <v>0</v>
      </c>
      <c r="P32" s="151" t="s">
        <v>424</v>
      </c>
      <c r="Q32" s="151">
        <f>480-Q31</f>
        <v>0</v>
      </c>
      <c r="R32" s="151">
        <f>+R31/Q31</f>
        <v>1335</v>
      </c>
      <c r="S32" s="151">
        <f>+S31/Q31</f>
        <v>1027.95</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37550</v>
      </c>
      <c r="D34" s="109">
        <f>D14+D23+D32</f>
        <v>505</v>
      </c>
      <c r="E34" s="109">
        <f>E14+E23+E32</f>
        <v>0</v>
      </c>
      <c r="F34" s="110">
        <f>F14+F23+F32</f>
        <v>105</v>
      </c>
      <c r="H34" s="178"/>
      <c r="I34" s="178"/>
      <c r="J34" s="125" t="s">
        <v>29</v>
      </c>
      <c r="K34" s="126">
        <f>SUM(K7:K32)</f>
        <v>37550</v>
      </c>
      <c r="L34" s="212">
        <f>SUM(L7:L32)</f>
        <v>0</v>
      </c>
      <c r="M34" s="122">
        <f>SUM(M7:M32)</f>
        <v>514442</v>
      </c>
      <c r="N34" s="157"/>
    </row>
    <row r="35" spans="1:14" ht="13.5" thickBot="1">
      <c r="A35" s="179"/>
      <c r="B35" s="180"/>
      <c r="C35" s="106">
        <f>C34/($C$34+$D$34+$E$34)</f>
        <v>0.98672973328077784</v>
      </c>
      <c r="D35" s="106">
        <f>D34/($C$34+$D$34+$E$34)</f>
        <v>1.3270266719222178E-2</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(12*1440)/1440*G42*2.74*1440/1000000</f>
        <v>47.938116072</v>
      </c>
      <c r="J37" s="127">
        <f>+I37+'12'!J37</f>
        <v>619.0131659596359</v>
      </c>
      <c r="K37" s="128" t="s">
        <v>75</v>
      </c>
    </row>
    <row r="38" spans="1:14" ht="17.45" customHeight="1">
      <c r="A38" s="806" t="s">
        <v>13</v>
      </c>
      <c r="B38" s="807"/>
      <c r="C38" s="166">
        <f>SUMIF($G$7:$G$31,"Process",$F$7:$F$31)</f>
        <v>82</v>
      </c>
      <c r="D38" s="120">
        <f>C38+'12'!D38</f>
        <v>1218</v>
      </c>
      <c r="E38" s="145">
        <f t="shared" ref="E38:E52" si="3">D38/60</f>
        <v>20.3</v>
      </c>
      <c r="F38" s="540">
        <v>1268.125</v>
      </c>
      <c r="G38" s="540">
        <v>976.45624999999995</v>
      </c>
      <c r="H38" s="187" t="s">
        <v>76</v>
      </c>
      <c r="I38" s="242">
        <f>+(13920+14034+13709)/1000</f>
        <v>41.662999999999997</v>
      </c>
      <c r="J38" s="129">
        <f>+I38+'12'!J38</f>
        <v>544.447</v>
      </c>
      <c r="K38" s="130" t="s">
        <v>75</v>
      </c>
    </row>
    <row r="39" spans="1:14" ht="17.45" customHeight="1">
      <c r="A39" s="793" t="s">
        <v>14</v>
      </c>
      <c r="B39" s="794"/>
      <c r="C39" s="166">
        <f>SUMIF($G$7:$G$31,"Cleaning",$F$7:$F$31)</f>
        <v>0</v>
      </c>
      <c r="D39" s="120">
        <f>C39+'12'!D39</f>
        <v>0</v>
      </c>
      <c r="E39" s="145">
        <f t="shared" si="3"/>
        <v>0</v>
      </c>
      <c r="F39" s="540">
        <v>1341.6041666666667</v>
      </c>
      <c r="G39" s="540">
        <v>1033.0352083333332</v>
      </c>
      <c r="H39" s="187" t="s">
        <v>77</v>
      </c>
      <c r="I39" s="144"/>
      <c r="J39" s="131">
        <f>J37/G4</f>
        <v>47.616397381510453</v>
      </c>
      <c r="K39" s="132" t="s">
        <v>75</v>
      </c>
    </row>
    <row r="40" spans="1:14" ht="17.45" customHeight="1">
      <c r="A40" s="793" t="s">
        <v>78</v>
      </c>
      <c r="B40" s="794"/>
      <c r="C40" s="166">
        <f>SUMIF($G$7:$G$31,"Mechanical",$F$7:$F$31)</f>
        <v>23</v>
      </c>
      <c r="D40" s="120">
        <f>C40+'12'!D40</f>
        <v>28</v>
      </c>
      <c r="E40" s="145">
        <f t="shared" si="3"/>
        <v>0.46666666666666667</v>
      </c>
      <c r="F40" s="540">
        <v>1335</v>
      </c>
      <c r="G40" s="540">
        <v>1027.95</v>
      </c>
      <c r="H40" s="187" t="s">
        <v>79</v>
      </c>
      <c r="I40" s="120">
        <f>(K34+L34)/1000</f>
        <v>37.549999999999997</v>
      </c>
      <c r="J40" s="133">
        <f>+I40+'12'!J40</f>
        <v>514.44200000000001</v>
      </c>
      <c r="K40" s="132" t="s">
        <v>75</v>
      </c>
    </row>
    <row r="41" spans="1:14" ht="17.45" customHeight="1">
      <c r="A41" s="793" t="s">
        <v>80</v>
      </c>
      <c r="B41" s="794"/>
      <c r="C41" s="166">
        <f>SUMIF($G$7:$G$31,"Electrical",$F$7:$F$31)</f>
        <v>0</v>
      </c>
      <c r="D41" s="120">
        <f>C41+'12'!D41</f>
        <v>36</v>
      </c>
      <c r="E41" s="145">
        <f t="shared" si="3"/>
        <v>0.6</v>
      </c>
      <c r="F41" s="309"/>
      <c r="G41" s="309"/>
      <c r="H41" s="187" t="s">
        <v>81</v>
      </c>
      <c r="I41" s="144"/>
      <c r="J41" s="131">
        <f>J40/G4</f>
        <v>39.572461538461539</v>
      </c>
      <c r="K41" s="132" t="s">
        <v>75</v>
      </c>
    </row>
    <row r="42" spans="1:14" ht="17.45" customHeight="1">
      <c r="A42" s="793" t="s">
        <v>17</v>
      </c>
      <c r="B42" s="794"/>
      <c r="C42" s="166">
        <f>SUMIF($G$7:$G$31,"Instrument",$F$7:$F$31)</f>
        <v>0</v>
      </c>
      <c r="D42" s="120">
        <f>C42+'12'!D42</f>
        <v>0</v>
      </c>
      <c r="E42" s="145">
        <f t="shared" si="3"/>
        <v>0</v>
      </c>
      <c r="F42" s="541">
        <f>+(F38*480+F39*480+F40*480)/1440</f>
        <v>1314.9097222222222</v>
      </c>
      <c r="G42" s="541">
        <f>+(G38*480+G39*480+G40*480)/1440</f>
        <v>1012.4804861111111</v>
      </c>
      <c r="H42" s="187" t="s">
        <v>82</v>
      </c>
      <c r="I42" s="243" t="s">
        <v>606</v>
      </c>
      <c r="J42" s="134"/>
      <c r="K42" s="132" t="s">
        <v>83</v>
      </c>
    </row>
    <row r="43" spans="1:14" ht="17.45" customHeight="1">
      <c r="A43" s="793" t="s">
        <v>84</v>
      </c>
      <c r="B43" s="794"/>
      <c r="C43" s="166">
        <f>SUMIF($G$7:$G$31,"Water",$F$7:$F$31)</f>
        <v>0</v>
      </c>
      <c r="D43" s="120">
        <f>C43+'12'!D43</f>
        <v>0</v>
      </c>
      <c r="E43" s="145">
        <f t="shared" si="3"/>
        <v>0</v>
      </c>
      <c r="F43" s="309"/>
      <c r="G43" s="310"/>
      <c r="H43" s="188" t="s">
        <v>85</v>
      </c>
      <c r="I43" s="120">
        <f>+Report1!Z21</f>
        <v>83.1</v>
      </c>
      <c r="J43" s="135">
        <f>+I43+'12'!J43</f>
        <v>1102.3</v>
      </c>
      <c r="K43" s="132" t="s">
        <v>75</v>
      </c>
      <c r="L43" s="189"/>
    </row>
    <row r="44" spans="1:14" ht="17.45" customHeight="1">
      <c r="A44" s="793" t="s">
        <v>18</v>
      </c>
      <c r="B44" s="794"/>
      <c r="C44" s="166">
        <f>SUMIF($G$7:$G$31,"PLN",$F$7:$F$31)</f>
        <v>0</v>
      </c>
      <c r="D44" s="120">
        <f>C44+'12'!D44</f>
        <v>30</v>
      </c>
      <c r="E44" s="145">
        <f t="shared" si="3"/>
        <v>0.5</v>
      </c>
      <c r="F44" s="309"/>
      <c r="G44" s="310"/>
      <c r="H44" s="188" t="s">
        <v>86</v>
      </c>
      <c r="I44" s="120">
        <f>I43/I38</f>
        <v>1.9945755226459929</v>
      </c>
      <c r="J44" s="136">
        <f>J43/J38</f>
        <v>2.0246231497280727</v>
      </c>
      <c r="K44" s="132" t="s">
        <v>75</v>
      </c>
    </row>
    <row r="45" spans="1:14" ht="17.45" customHeight="1">
      <c r="A45" s="793" t="s">
        <v>19</v>
      </c>
      <c r="B45" s="794"/>
      <c r="C45" s="166">
        <f>SUMIF($G$7:$G$31,"Boiler",$F$7:$F$31)</f>
        <v>0</v>
      </c>
      <c r="D45" s="120">
        <f>C45+'12'!D45</f>
        <v>0</v>
      </c>
      <c r="E45" s="145">
        <f t="shared" si="3"/>
        <v>0</v>
      </c>
      <c r="F45" s="309"/>
      <c r="G45" s="312"/>
      <c r="H45" s="188" t="s">
        <v>87</v>
      </c>
      <c r="I45" s="120">
        <f>I43/I40</f>
        <v>2.2130492676431426</v>
      </c>
      <c r="J45" s="136">
        <f>J43/J40</f>
        <v>2.1427099653605266</v>
      </c>
      <c r="K45" s="132" t="s">
        <v>75</v>
      </c>
    </row>
    <row r="46" spans="1:14" ht="17.45" customHeight="1">
      <c r="A46" s="793" t="s">
        <v>88</v>
      </c>
      <c r="B46" s="794"/>
      <c r="C46" s="166">
        <f>SUMIF($G$7:$G$31,"Gas",$F$7:$F$31)</f>
        <v>0</v>
      </c>
      <c r="D46" s="120">
        <f>C46+'12'!D46</f>
        <v>0</v>
      </c>
      <c r="E46" s="145">
        <f t="shared" si="3"/>
        <v>0</v>
      </c>
      <c r="F46" s="309"/>
      <c r="G46" s="310"/>
      <c r="H46" s="188" t="s">
        <v>89</v>
      </c>
      <c r="I46" s="142">
        <f>+SUMIF(Listrik!X20,"&gt;0")</f>
        <v>40934.564999999093</v>
      </c>
      <c r="J46" s="137">
        <f>+I46+'12'!J46</f>
        <v>515237.97999999853</v>
      </c>
      <c r="K46" s="132" t="s">
        <v>90</v>
      </c>
    </row>
    <row r="47" spans="1:14" ht="17.45" customHeight="1">
      <c r="A47" s="793" t="s">
        <v>91</v>
      </c>
      <c r="B47" s="794"/>
      <c r="C47" s="166">
        <f>SUMIF($G$7:$G$31,"Gas",$F$7:$F$31)</f>
        <v>0</v>
      </c>
      <c r="D47" s="120">
        <f>C47+'12'!D47</f>
        <v>0</v>
      </c>
      <c r="E47" s="145">
        <f t="shared" si="3"/>
        <v>0</v>
      </c>
      <c r="F47" s="309"/>
      <c r="G47" s="310"/>
      <c r="H47" s="188" t="s">
        <v>92</v>
      </c>
      <c r="I47" s="120">
        <f>I46/I38</f>
        <v>982.51602140986233</v>
      </c>
      <c r="J47" s="137">
        <f>J46/J38</f>
        <v>946.35103141352329</v>
      </c>
      <c r="K47" s="132" t="s">
        <v>25</v>
      </c>
    </row>
    <row r="48" spans="1:14" ht="17.45" customHeight="1">
      <c r="A48" s="793" t="s">
        <v>15</v>
      </c>
      <c r="B48" s="794"/>
      <c r="C48" s="166">
        <f>SUMIF($G$7:$G$31,"Start Up",$F$7:$F$31)</f>
        <v>0</v>
      </c>
      <c r="D48" s="120">
        <f>C48+'12'!D48</f>
        <v>0</v>
      </c>
      <c r="E48" s="145">
        <f t="shared" si="3"/>
        <v>0</v>
      </c>
      <c r="F48" s="309"/>
      <c r="G48" s="310"/>
      <c r="H48" s="188" t="s">
        <v>93</v>
      </c>
      <c r="I48" s="120">
        <f>I46/I40</f>
        <v>1090.1348868175526</v>
      </c>
      <c r="J48" s="137">
        <f>J46/J40</f>
        <v>1001.5472686911227</v>
      </c>
      <c r="K48" s="132" t="s">
        <v>25</v>
      </c>
    </row>
    <row r="49" spans="1:11" ht="17.45" customHeight="1">
      <c r="A49" s="793" t="s">
        <v>21</v>
      </c>
      <c r="B49" s="794"/>
      <c r="C49" s="166">
        <f>SUMIF($G$7:$G$31,"Others",$F$7:$F$31)</f>
        <v>0</v>
      </c>
      <c r="D49" s="120">
        <f>C49+'12'!D49</f>
        <v>446</v>
      </c>
      <c r="E49" s="145">
        <f t="shared" si="3"/>
        <v>7.4333333333333336</v>
      </c>
      <c r="F49" s="185"/>
      <c r="H49" s="188" t="s">
        <v>280</v>
      </c>
      <c r="I49" s="120">
        <f>+Report1!T21</f>
        <v>3941.5255092733355</v>
      </c>
      <c r="J49" s="137">
        <f>+I49+'12'!J49</f>
        <v>45128.969365999823</v>
      </c>
      <c r="K49" s="132" t="s">
        <v>94</v>
      </c>
    </row>
    <row r="50" spans="1:11" ht="17.45" customHeight="1">
      <c r="A50" s="793" t="s">
        <v>20</v>
      </c>
      <c r="B50" s="794"/>
      <c r="C50" s="166">
        <f>SUMIF($G$7:$G$31,"Steam",$F$7:$F$31)</f>
        <v>0</v>
      </c>
      <c r="D50" s="120">
        <f>C50+'12'!D50</f>
        <v>0</v>
      </c>
      <c r="E50" s="145">
        <f t="shared" si="3"/>
        <v>0</v>
      </c>
      <c r="F50" s="185"/>
      <c r="H50" s="188" t="s">
        <v>95</v>
      </c>
      <c r="I50" s="142">
        <f>I49/I38</f>
        <v>94.60493745705628</v>
      </c>
      <c r="J50" s="135">
        <f>J49/J38</f>
        <v>82.889554660049228</v>
      </c>
      <c r="K50" s="132" t="s">
        <v>94</v>
      </c>
    </row>
    <row r="51" spans="1:11" ht="17.45" customHeight="1">
      <c r="A51" s="810" t="s">
        <v>96</v>
      </c>
      <c r="B51" s="810"/>
      <c r="C51" s="166">
        <f>SUMIF($G$7:$G$31,"Planned shut",$F$7:$F$31)</f>
        <v>0</v>
      </c>
      <c r="D51" s="120">
        <f>C51+'12'!D51</f>
        <v>0</v>
      </c>
      <c r="E51" s="145">
        <f t="shared" si="3"/>
        <v>0</v>
      </c>
      <c r="F51" s="185"/>
      <c r="H51" s="190" t="s">
        <v>97</v>
      </c>
      <c r="I51" s="143">
        <f>I49/I40</f>
        <v>104.96739039343105</v>
      </c>
      <c r="J51" s="138">
        <f>J49/J40</f>
        <v>87.724115383269293</v>
      </c>
      <c r="K51" s="139" t="s">
        <v>94</v>
      </c>
    </row>
    <row r="52" spans="1:11" ht="13.5" thickBot="1">
      <c r="A52" s="811" t="s">
        <v>230</v>
      </c>
      <c r="B52" s="812"/>
      <c r="C52" s="166">
        <f>SUMIF($G$7:$G$31,"Change Grade",$F$7:$F$31)</f>
        <v>0</v>
      </c>
      <c r="D52" s="120">
        <f>C52+'12'!D52</f>
        <v>0</v>
      </c>
      <c r="E52" s="145">
        <f t="shared" si="3"/>
        <v>0</v>
      </c>
      <c r="F52" s="185"/>
      <c r="H52" s="191"/>
      <c r="I52" s="192"/>
      <c r="J52" s="140"/>
      <c r="K52" s="141"/>
    </row>
    <row r="53" spans="1:11">
      <c r="A53" s="806" t="s">
        <v>29</v>
      </c>
      <c r="B53" s="807"/>
      <c r="C53" s="146">
        <f>SUM(C38:C52)</f>
        <v>105</v>
      </c>
      <c r="D53" s="146">
        <f>SUM(D38:D52)</f>
        <v>1758</v>
      </c>
      <c r="E53" s="147">
        <f>SUM(E38:E52)</f>
        <v>29.3</v>
      </c>
      <c r="F53" s="185"/>
    </row>
    <row r="54" spans="1:11" ht="13.5" thickBot="1">
      <c r="A54" s="808"/>
      <c r="B54" s="809"/>
      <c r="C54" s="148">
        <f>C53/(24*60)</f>
        <v>7.2916666666666671E-2</v>
      </c>
      <c r="D54" s="148">
        <f>D53/(24*60*G4)</f>
        <v>9.391025641025641E-2</v>
      </c>
      <c r="E54" s="149">
        <f>E53/(G4*24)</f>
        <v>9.391025641025641E-2</v>
      </c>
      <c r="F54" s="185"/>
    </row>
    <row r="55" spans="1:11">
      <c r="E55" s="193"/>
    </row>
    <row r="56" spans="1:11">
      <c r="A56" s="194" t="s">
        <v>98</v>
      </c>
      <c r="B56" s="195"/>
      <c r="C56" s="196"/>
      <c r="D56" s="196"/>
      <c r="E56" s="196"/>
      <c r="F56" s="197"/>
      <c r="G56" s="196"/>
      <c r="H56" s="198"/>
      <c r="I56" s="199" t="s">
        <v>99</v>
      </c>
      <c r="J56" s="200">
        <f>+D34+'12'!J56</f>
        <v>3053</v>
      </c>
      <c r="K56" s="201">
        <f>J56/(J40+J56/1000)/1000</f>
        <v>5.8995739089266561E-3</v>
      </c>
    </row>
    <row r="57" spans="1:11">
      <c r="A57" s="176"/>
      <c r="I57" s="199" t="s">
        <v>100</v>
      </c>
      <c r="J57" s="200">
        <f>+E34+'12'!J57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13" zoomScale="80" zoomScaleNormal="80" zoomScaleSheetLayoutView="80" workbookViewId="0">
      <selection activeCell="C17" sqref="C17"/>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5" style="151" bestFit="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12</v>
      </c>
      <c r="H4" s="156" t="str">
        <f>+'1'!H4</f>
        <v>.07.25</v>
      </c>
      <c r="J4" s="151">
        <f>424+415+417</f>
        <v>1256</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409</v>
      </c>
      <c r="O6" s="151">
        <v>1350</v>
      </c>
      <c r="P6" s="151">
        <f>+O6-O6*0.23</f>
        <v>1039.5</v>
      </c>
      <c r="Q6" s="151">
        <v>480</v>
      </c>
      <c r="R6" s="151">
        <f>+O6*Q6</f>
        <v>648000</v>
      </c>
      <c r="S6" s="151">
        <f>+P6*Q6</f>
        <v>498960</v>
      </c>
    </row>
    <row r="7" spans="1:19" ht="13.5" customHeight="1" thickBot="1">
      <c r="A7" s="795" t="s">
        <v>470</v>
      </c>
      <c r="B7" s="215" t="s">
        <v>398</v>
      </c>
      <c r="C7" s="216">
        <v>13794</v>
      </c>
      <c r="D7" s="217">
        <v>520</v>
      </c>
      <c r="E7" s="218"/>
      <c r="F7" s="233">
        <v>25</v>
      </c>
      <c r="G7" s="555" t="s">
        <v>13</v>
      </c>
      <c r="H7" s="556" t="s">
        <v>602</v>
      </c>
      <c r="I7" s="798" t="s">
        <v>459</v>
      </c>
      <c r="J7" s="214" t="str">
        <f>+'11'!J7</f>
        <v>F 12 VP OW</v>
      </c>
      <c r="K7" s="235">
        <f>+C34</f>
        <v>39923</v>
      </c>
      <c r="L7" s="239"/>
      <c r="M7" s="119">
        <f>+K7+'11'!M7+L7</f>
        <v>159340</v>
      </c>
      <c r="N7" s="151" t="s">
        <v>409</v>
      </c>
      <c r="O7" s="151">
        <v>1350</v>
      </c>
      <c r="P7" s="151">
        <f>+O7-O7*0.23</f>
        <v>1039.5</v>
      </c>
      <c r="Q7" s="151">
        <v>480</v>
      </c>
      <c r="R7" s="151">
        <f>+O7*Q7</f>
        <v>648000</v>
      </c>
      <c r="S7" s="151">
        <f>+P7*Q7</f>
        <v>498960</v>
      </c>
    </row>
    <row r="8" spans="1:19" ht="13.5" thickBot="1">
      <c r="A8" s="796"/>
      <c r="B8" s="215"/>
      <c r="C8" s="216"/>
      <c r="D8" s="217"/>
      <c r="E8" s="219"/>
      <c r="F8" s="229">
        <v>8</v>
      </c>
      <c r="G8" s="557" t="s">
        <v>13</v>
      </c>
      <c r="H8" s="228" t="s">
        <v>468</v>
      </c>
      <c r="I8" s="799"/>
      <c r="J8" s="214" t="str">
        <f>+'11'!J8</f>
        <v>F 11,5 VP OW</v>
      </c>
      <c r="K8" s="236"/>
      <c r="L8" s="236"/>
      <c r="M8" s="119">
        <f>+K8+'11'!M8+L8</f>
        <v>150859</v>
      </c>
      <c r="N8" s="151" t="s">
        <v>409</v>
      </c>
      <c r="O8" s="151">
        <v>1350</v>
      </c>
      <c r="P8" s="151">
        <f>+O8-O8*0.23</f>
        <v>1039.5</v>
      </c>
      <c r="Q8" s="151">
        <v>480</v>
      </c>
      <c r="R8" s="151">
        <f>+O8*Q8</f>
        <v>648000</v>
      </c>
      <c r="S8" s="151">
        <f>+P8*Q8</f>
        <v>498960</v>
      </c>
    </row>
    <row r="9" spans="1:19" ht="13.5" thickBot="1">
      <c r="A9" s="796"/>
      <c r="B9" s="215"/>
      <c r="C9" s="216"/>
      <c r="D9" s="217"/>
      <c r="E9" s="220"/>
      <c r="F9" s="229">
        <f>48-F7-F8</f>
        <v>15</v>
      </c>
      <c r="G9" s="557" t="s">
        <v>13</v>
      </c>
      <c r="H9" s="231" t="s">
        <v>480</v>
      </c>
      <c r="I9" s="799"/>
      <c r="J9" s="214" t="str">
        <f>+'11'!J9</f>
        <v>T 13 VP OW</v>
      </c>
      <c r="K9" s="236"/>
      <c r="L9" s="236"/>
      <c r="M9" s="119">
        <f>+K9+'11'!M9+L9</f>
        <v>113358</v>
      </c>
      <c r="P9" s="151">
        <f t="shared" ref="P9:P10" si="0">+O9-O9*0.23</f>
        <v>0</v>
      </c>
      <c r="R9" s="151">
        <f>+O9*Q9</f>
        <v>0</v>
      </c>
      <c r="S9" s="151">
        <f>+P9*Q9</f>
        <v>0</v>
      </c>
    </row>
    <row r="10" spans="1:19" ht="64.5" thickBot="1">
      <c r="A10" s="796"/>
      <c r="B10" s="215"/>
      <c r="C10" s="216"/>
      <c r="D10" s="217"/>
      <c r="E10" s="219"/>
      <c r="F10" s="229"/>
      <c r="G10" s="227"/>
      <c r="H10" s="558" t="s">
        <v>592</v>
      </c>
      <c r="I10" s="799"/>
      <c r="J10" s="214" t="str">
        <f>+'11'!J10</f>
        <v>F 13 VP OW</v>
      </c>
      <c r="K10" s="236"/>
      <c r="L10" s="236"/>
      <c r="M10" s="119">
        <f>+K10+'11'!M10+L10</f>
        <v>43207</v>
      </c>
      <c r="P10" s="151">
        <f t="shared" si="0"/>
        <v>0</v>
      </c>
      <c r="R10" s="151">
        <f>+O10*Q10</f>
        <v>0</v>
      </c>
      <c r="S10" s="151">
        <f>+P10*Q10</f>
        <v>0</v>
      </c>
    </row>
    <row r="11" spans="1:19" ht="64.5" thickBot="1">
      <c r="A11" s="796"/>
      <c r="B11" s="215"/>
      <c r="C11" s="216"/>
      <c r="D11" s="217"/>
      <c r="E11" s="219"/>
      <c r="F11" s="226"/>
      <c r="G11" s="230"/>
      <c r="H11" s="231" t="s">
        <v>593</v>
      </c>
      <c r="I11" s="799"/>
      <c r="J11" s="214" t="str">
        <f>+'11'!J11</f>
        <v xml:space="preserve">T 13 VP OW HB </v>
      </c>
      <c r="K11" s="236"/>
      <c r="L11" s="236"/>
      <c r="M11" s="119">
        <f>+K11+'11'!M11+L11</f>
        <v>10128</v>
      </c>
    </row>
    <row r="12" spans="1:19" ht="13.5" thickBot="1">
      <c r="A12" s="796"/>
      <c r="B12" s="215"/>
      <c r="C12" s="216"/>
      <c r="D12" s="217"/>
      <c r="E12" s="219"/>
      <c r="F12" s="226"/>
      <c r="G12" s="230"/>
      <c r="H12" s="231"/>
      <c r="I12" s="799"/>
      <c r="J12" s="214">
        <f>+'11'!J12</f>
        <v>0</v>
      </c>
      <c r="K12" s="236"/>
      <c r="L12" s="236"/>
      <c r="M12" s="119">
        <f>+K12+'11'!M12+L12</f>
        <v>0</v>
      </c>
      <c r="Q12" s="151">
        <f>SUM(Q6:Q11)</f>
        <v>1440</v>
      </c>
      <c r="R12" s="151">
        <f>SUM(R6:R9)</f>
        <v>1944000</v>
      </c>
      <c r="S12" s="151">
        <f>SUM(S6:S9)</f>
        <v>1496880</v>
      </c>
    </row>
    <row r="13" spans="1:19" ht="13.5" thickBot="1">
      <c r="A13" s="796"/>
      <c r="B13" s="215"/>
      <c r="C13" s="216"/>
      <c r="D13" s="216"/>
      <c r="E13" s="219"/>
      <c r="F13" s="226"/>
      <c r="G13" s="230"/>
      <c r="H13" s="231"/>
      <c r="I13" s="800"/>
      <c r="J13" s="214">
        <f>+'11'!J13</f>
        <v>0</v>
      </c>
      <c r="K13" s="236"/>
      <c r="L13" s="236"/>
      <c r="M13" s="119">
        <f>+K13+'11'!M13+L13</f>
        <v>0</v>
      </c>
      <c r="P13" s="151" t="s">
        <v>424</v>
      </c>
      <c r="Q13" s="151">
        <f>480-Q12</f>
        <v>-960</v>
      </c>
      <c r="R13" s="151">
        <f>+R12/Q12</f>
        <v>1350</v>
      </c>
      <c r="S13" s="151">
        <f>+S12/Q12</f>
        <v>1039.5</v>
      </c>
    </row>
    <row r="14" spans="1:19" ht="13.5" thickBot="1">
      <c r="A14" s="797"/>
      <c r="B14" s="167" t="s">
        <v>3</v>
      </c>
      <c r="C14" s="101">
        <f>SUM(C7:C13)</f>
        <v>13794</v>
      </c>
      <c r="D14" s="113">
        <f>SUM(D7:D13)</f>
        <v>520</v>
      </c>
      <c r="E14" s="114">
        <f>SUM(E5:E13)</f>
        <v>0</v>
      </c>
      <c r="F14" s="118">
        <f>SUM(F7:F13)</f>
        <v>48</v>
      </c>
      <c r="G14" s="161"/>
      <c r="H14" s="168"/>
      <c r="I14" s="169"/>
      <c r="J14" s="214">
        <f>+'11'!J14</f>
        <v>0</v>
      </c>
      <c r="K14" s="236"/>
      <c r="L14" s="236"/>
      <c r="M14" s="119">
        <f>+K14+'11'!M14+L14</f>
        <v>0</v>
      </c>
    </row>
    <row r="15" spans="1:19" ht="13.5" customHeight="1" thickBot="1">
      <c r="A15" s="801" t="s">
        <v>609</v>
      </c>
      <c r="B15" s="518"/>
      <c r="C15" s="115">
        <f>C14/($C$23+$D$23+$E$23)</f>
        <v>1.1428334714167356</v>
      </c>
      <c r="D15" s="116">
        <f>D14/($C$23+$D$23+$E$23)</f>
        <v>4.3082021541010769E-2</v>
      </c>
      <c r="E15" s="117">
        <f>E14/($C$23+$D$23+$E$23)</f>
        <v>0</v>
      </c>
      <c r="F15" s="233">
        <v>9</v>
      </c>
      <c r="G15" s="555" t="s">
        <v>13</v>
      </c>
      <c r="H15" s="556" t="s">
        <v>401</v>
      </c>
      <c r="I15" s="798" t="s">
        <v>459</v>
      </c>
      <c r="J15" s="214">
        <f>+'11'!J15</f>
        <v>0</v>
      </c>
      <c r="K15" s="236"/>
      <c r="L15" s="236"/>
      <c r="M15" s="119">
        <f>+K15+'11'!M15+L15</f>
        <v>0</v>
      </c>
    </row>
    <row r="16" spans="1:19" ht="13.5" thickBot="1">
      <c r="A16" s="796"/>
      <c r="B16" s="517" t="s">
        <v>398</v>
      </c>
      <c r="C16" s="516">
        <v>12070</v>
      </c>
      <c r="D16" s="221"/>
      <c r="E16" s="222"/>
      <c r="F16" s="229">
        <v>3</v>
      </c>
      <c r="G16" s="557" t="s">
        <v>13</v>
      </c>
      <c r="H16" s="228" t="s">
        <v>399</v>
      </c>
      <c r="I16" s="799"/>
      <c r="J16" s="214">
        <f>+'11'!J16</f>
        <v>0</v>
      </c>
      <c r="K16" s="227"/>
      <c r="L16" s="227"/>
      <c r="M16" s="119">
        <f>+K16+'11'!M16+L16</f>
        <v>0</v>
      </c>
    </row>
    <row r="17" spans="1:14" ht="13.5" thickBot="1">
      <c r="A17" s="796"/>
      <c r="B17" s="215"/>
      <c r="C17" s="216"/>
      <c r="D17" s="217"/>
      <c r="E17" s="223"/>
      <c r="F17" s="229">
        <f>20-12</f>
        <v>8</v>
      </c>
      <c r="G17" s="557" t="s">
        <v>13</v>
      </c>
      <c r="H17" s="231" t="s">
        <v>400</v>
      </c>
      <c r="I17" s="799"/>
      <c r="J17" s="214">
        <f>+'11'!J17</f>
        <v>0</v>
      </c>
      <c r="K17" s="227"/>
      <c r="L17" s="227"/>
      <c r="M17" s="119">
        <f>+K17+'11'!M17+L17</f>
        <v>0</v>
      </c>
    </row>
    <row r="18" spans="1:14" ht="51.75" thickBot="1">
      <c r="A18" s="796"/>
      <c r="B18" s="215"/>
      <c r="C18" s="216"/>
      <c r="D18" s="217"/>
      <c r="E18" s="223"/>
      <c r="F18" s="229"/>
      <c r="G18" s="227"/>
      <c r="H18" s="558" t="s">
        <v>583</v>
      </c>
      <c r="I18" s="799"/>
      <c r="J18" s="214">
        <f>+'11'!J18</f>
        <v>0</v>
      </c>
      <c r="K18" s="236"/>
      <c r="L18" s="236"/>
      <c r="M18" s="119">
        <f>+K18+'11'!M18+L18</f>
        <v>0</v>
      </c>
    </row>
    <row r="19" spans="1:14" ht="77.25" thickBot="1">
      <c r="A19" s="796"/>
      <c r="B19" s="215"/>
      <c r="C19" s="216"/>
      <c r="D19" s="217"/>
      <c r="E19" s="223"/>
      <c r="F19" s="232"/>
      <c r="G19" s="230"/>
      <c r="H19" s="231" t="s">
        <v>594</v>
      </c>
      <c r="I19" s="799"/>
      <c r="J19" s="214">
        <f>+'11'!J19</f>
        <v>0</v>
      </c>
      <c r="K19" s="236"/>
      <c r="L19" s="236"/>
      <c r="M19" s="119">
        <f>+K19+'11'!M19+L19</f>
        <v>0</v>
      </c>
    </row>
    <row r="20" spans="1:14" ht="13.5" thickBot="1">
      <c r="A20" s="796"/>
      <c r="B20" s="215"/>
      <c r="C20" s="216"/>
      <c r="D20" s="217"/>
      <c r="E20" s="223"/>
      <c r="F20" s="226"/>
      <c r="G20" s="230"/>
      <c r="H20" s="231"/>
      <c r="I20" s="799"/>
      <c r="J20" s="214">
        <f>+'11'!J20</f>
        <v>0</v>
      </c>
      <c r="K20" s="237"/>
      <c r="L20" s="237"/>
      <c r="M20" s="119">
        <f>+K20+'11'!M20+L20</f>
        <v>0</v>
      </c>
    </row>
    <row r="21" spans="1:14" ht="13.5" thickBot="1">
      <c r="A21" s="796"/>
      <c r="B21" s="215"/>
      <c r="C21" s="216"/>
      <c r="D21" s="217"/>
      <c r="E21" s="223"/>
      <c r="F21" s="229"/>
      <c r="G21" s="230"/>
      <c r="H21" s="231"/>
      <c r="I21" s="799"/>
      <c r="J21" s="214">
        <f>+'11'!J21</f>
        <v>0</v>
      </c>
      <c r="K21" s="236"/>
      <c r="L21" s="236"/>
      <c r="M21" s="119">
        <f>+K21+'11'!M21+L21</f>
        <v>0</v>
      </c>
    </row>
    <row r="22" spans="1:14" ht="13.5" thickBot="1">
      <c r="A22" s="796"/>
      <c r="B22" s="215"/>
      <c r="C22" s="216"/>
      <c r="D22" s="217"/>
      <c r="E22" s="223"/>
      <c r="F22" s="233"/>
      <c r="G22" s="230"/>
      <c r="H22" s="231"/>
      <c r="I22" s="800"/>
      <c r="J22" s="214">
        <f>+'11'!J22</f>
        <v>0</v>
      </c>
      <c r="K22" s="236"/>
      <c r="L22" s="236"/>
      <c r="M22" s="119">
        <f>+K22+'11'!M22+L22</f>
        <v>0</v>
      </c>
    </row>
    <row r="23" spans="1:14" ht="13.5" thickBot="1">
      <c r="A23" s="797"/>
      <c r="B23" s="167" t="s">
        <v>3</v>
      </c>
      <c r="C23" s="101">
        <f>SUM(C16:C22)</f>
        <v>12070</v>
      </c>
      <c r="D23" s="113">
        <f>SUM(D16:D22)</f>
        <v>0</v>
      </c>
      <c r="E23" s="114">
        <f>SUM(E18:E22)</f>
        <v>0</v>
      </c>
      <c r="F23" s="118">
        <f>SUM(F15:F22)</f>
        <v>20</v>
      </c>
      <c r="G23" s="161"/>
      <c r="H23" s="168"/>
      <c r="I23" s="170"/>
      <c r="J23" s="214">
        <f>+'11'!J23</f>
        <v>0</v>
      </c>
      <c r="K23" s="236"/>
      <c r="L23" s="236"/>
      <c r="M23" s="119">
        <f>+K23+'11'!M23+L23</f>
        <v>0</v>
      </c>
    </row>
    <row r="24" spans="1:14" ht="13.5" thickBot="1">
      <c r="A24" s="801" t="s">
        <v>444</v>
      </c>
      <c r="B24" s="518"/>
      <c r="C24" s="115">
        <f>C23/($C$23+$D$23+$E$23)</f>
        <v>1</v>
      </c>
      <c r="D24" s="116">
        <f>D23/($C$23+$D$23+$E$23)</f>
        <v>0</v>
      </c>
      <c r="E24" s="117">
        <f>E23/($C$23+$D$23+$E$23)</f>
        <v>0</v>
      </c>
      <c r="F24" s="233">
        <v>9</v>
      </c>
      <c r="G24" s="555" t="s">
        <v>13</v>
      </c>
      <c r="H24" s="556" t="s">
        <v>401</v>
      </c>
      <c r="I24" s="798" t="s">
        <v>459</v>
      </c>
      <c r="J24" s="214">
        <f>+'11'!J24</f>
        <v>0</v>
      </c>
      <c r="K24" s="236"/>
      <c r="L24" s="236"/>
      <c r="M24" s="119">
        <f>+K24+'11'!M24+L24</f>
        <v>0</v>
      </c>
    </row>
    <row r="25" spans="1:14" ht="13.5" thickBot="1">
      <c r="A25" s="796"/>
      <c r="B25" s="517" t="s">
        <v>398</v>
      </c>
      <c r="C25" s="224">
        <v>14059</v>
      </c>
      <c r="D25" s="217"/>
      <c r="E25" s="223"/>
      <c r="F25" s="229">
        <v>8</v>
      </c>
      <c r="G25" s="557" t="s">
        <v>13</v>
      </c>
      <c r="H25" s="228" t="s">
        <v>468</v>
      </c>
      <c r="I25" s="799"/>
      <c r="J25" s="214">
        <f>+'11'!J25</f>
        <v>0</v>
      </c>
      <c r="K25" s="236"/>
      <c r="L25" s="236"/>
      <c r="M25" s="119">
        <f>+K25+'11'!M25+L25</f>
        <v>0</v>
      </c>
    </row>
    <row r="26" spans="1:14" ht="13.5" thickBot="1">
      <c r="A26" s="796"/>
      <c r="B26" s="215"/>
      <c r="C26" s="224"/>
      <c r="D26" s="217"/>
      <c r="E26" s="225"/>
      <c r="F26" s="229">
        <f>30-F24-F25</f>
        <v>13</v>
      </c>
      <c r="G26" s="557" t="s">
        <v>13</v>
      </c>
      <c r="H26" s="231" t="s">
        <v>400</v>
      </c>
      <c r="I26" s="799"/>
      <c r="J26" s="214">
        <f>+'11'!J26</f>
        <v>0</v>
      </c>
      <c r="K26" s="236"/>
      <c r="L26" s="236"/>
      <c r="M26" s="119">
        <f>+K26+'11'!M26+L26</f>
        <v>0</v>
      </c>
    </row>
    <row r="27" spans="1:14" ht="87" customHeight="1" thickBot="1">
      <c r="A27" s="796"/>
      <c r="B27" s="215"/>
      <c r="C27" s="216"/>
      <c r="D27" s="217"/>
      <c r="E27" s="223"/>
      <c r="F27" s="229"/>
      <c r="G27" s="227"/>
      <c r="H27" s="558" t="s">
        <v>595</v>
      </c>
      <c r="I27" s="799"/>
      <c r="J27" s="214">
        <f>+'11'!J27</f>
        <v>0</v>
      </c>
      <c r="K27" s="236"/>
      <c r="L27" s="236"/>
      <c r="M27" s="119">
        <f>+K27+'11'!M27+L27</f>
        <v>0</v>
      </c>
    </row>
    <row r="28" spans="1:14" ht="123" customHeight="1" thickBot="1">
      <c r="A28" s="796"/>
      <c r="B28" s="215"/>
      <c r="C28" s="216"/>
      <c r="D28" s="217"/>
      <c r="E28" s="223"/>
      <c r="F28" s="229"/>
      <c r="G28" s="227"/>
      <c r="H28" s="231" t="s">
        <v>596</v>
      </c>
      <c r="I28" s="799"/>
      <c r="J28" s="214">
        <f>+'11'!J28</f>
        <v>0</v>
      </c>
      <c r="K28" s="236"/>
      <c r="L28" s="236"/>
      <c r="M28" s="119">
        <f>+K28+'11'!M28+L28</f>
        <v>0</v>
      </c>
    </row>
    <row r="29" spans="1:14" ht="13.5" thickBot="1">
      <c r="A29" s="796"/>
      <c r="B29" s="215"/>
      <c r="C29" s="216"/>
      <c r="D29" s="217"/>
      <c r="E29" s="223"/>
      <c r="F29" s="233"/>
      <c r="G29" s="230"/>
      <c r="H29" s="231"/>
      <c r="I29" s="799"/>
      <c r="J29" s="214">
        <f>+'11'!J29</f>
        <v>0</v>
      </c>
      <c r="K29" s="236"/>
      <c r="L29" s="236"/>
      <c r="M29" s="119">
        <f>+K29+'11'!M29+L29</f>
        <v>0</v>
      </c>
    </row>
    <row r="30" spans="1:14" ht="13.5" thickBot="1">
      <c r="A30" s="796"/>
      <c r="B30" s="215"/>
      <c r="C30" s="224"/>
      <c r="D30" s="217"/>
      <c r="E30" s="223"/>
      <c r="F30" s="233"/>
      <c r="G30" s="230"/>
      <c r="H30" s="231"/>
      <c r="I30" s="799"/>
      <c r="J30" s="214">
        <f>+'11'!J30</f>
        <v>0</v>
      </c>
      <c r="K30" s="236"/>
      <c r="L30" s="236"/>
      <c r="M30" s="119">
        <f>+K30+'11'!M30+L30</f>
        <v>0</v>
      </c>
      <c r="N30" s="157"/>
    </row>
    <row r="31" spans="1:14" ht="13.5" thickBot="1">
      <c r="A31" s="796"/>
      <c r="B31" s="215"/>
      <c r="C31" s="224"/>
      <c r="D31" s="217"/>
      <c r="E31" s="223"/>
      <c r="F31" s="233"/>
      <c r="G31" s="234"/>
      <c r="H31" s="409"/>
      <c r="I31" s="800"/>
      <c r="J31" s="214">
        <f>+'11'!J31</f>
        <v>0</v>
      </c>
      <c r="K31" s="236"/>
      <c r="L31" s="236"/>
      <c r="M31" s="119">
        <f>+K31+'11'!M31+L31</f>
        <v>0</v>
      </c>
    </row>
    <row r="32" spans="1:14" ht="13.5" customHeight="1" thickBot="1">
      <c r="A32" s="797"/>
      <c r="B32" s="167" t="s">
        <v>3</v>
      </c>
      <c r="C32" s="101">
        <f>SUM(C25:C31)</f>
        <v>14059</v>
      </c>
      <c r="D32" s="102">
        <f>SUM(D25:D31)</f>
        <v>0</v>
      </c>
      <c r="E32" s="103">
        <f>SUM(E25:E31)</f>
        <v>0</v>
      </c>
      <c r="F32" s="101">
        <f>SUM(F24:F31)</f>
        <v>30</v>
      </c>
      <c r="G32" s="171"/>
      <c r="H32" s="172"/>
      <c r="I32" s="170"/>
      <c r="J32" s="214">
        <f>+'1'!J32</f>
        <v>0</v>
      </c>
      <c r="K32" s="238"/>
      <c r="L32" s="240"/>
      <c r="M32" s="119">
        <f>+K32+'11'!M32+L32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39923</v>
      </c>
      <c r="D34" s="109">
        <f>D14+D23+D32</f>
        <v>520</v>
      </c>
      <c r="E34" s="109">
        <f>E14+E23+E32</f>
        <v>0</v>
      </c>
      <c r="F34" s="110">
        <f>F14+F23+F32</f>
        <v>98</v>
      </c>
      <c r="H34" s="178"/>
      <c r="I34" s="178"/>
      <c r="J34" s="125" t="s">
        <v>29</v>
      </c>
      <c r="K34" s="126">
        <f>SUM(K7:K32)</f>
        <v>39923</v>
      </c>
      <c r="L34" s="212">
        <f>SUM(L7:L32)</f>
        <v>0</v>
      </c>
      <c r="M34" s="122">
        <f>SUM(M7:M32)</f>
        <v>476892</v>
      </c>
      <c r="N34" s="157"/>
    </row>
    <row r="35" spans="1:14" ht="13.5" thickBot="1">
      <c r="A35" s="179"/>
      <c r="B35" s="180"/>
      <c r="C35" s="106">
        <f>C34/($C$34+$D$34+$E$34)</f>
        <v>0.98714239794278369</v>
      </c>
      <c r="D35" s="106">
        <f>D34/($C$34+$D$34+$E$34)</f>
        <v>1.285760205721633E-2</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(12.5*1440)/1440*G42*2.74*1440/1000000</f>
        <v>51.268140000000002</v>
      </c>
      <c r="J37" s="127">
        <f>+I37+'11'!J37</f>
        <v>571.07504988763594</v>
      </c>
      <c r="K37" s="128" t="s">
        <v>75</v>
      </c>
    </row>
    <row r="38" spans="1:14" ht="17.45" customHeight="1">
      <c r="A38" s="806" t="s">
        <v>13</v>
      </c>
      <c r="B38" s="807"/>
      <c r="C38" s="166">
        <f>SUMIF($G$7:$G$31,"Process",$F$7:$F$31)</f>
        <v>98</v>
      </c>
      <c r="D38" s="120">
        <f>C38+'11'!D38</f>
        <v>1136</v>
      </c>
      <c r="E38" s="145">
        <f t="shared" ref="E38:E52" si="1">D38/60</f>
        <v>18.933333333333334</v>
      </c>
      <c r="F38" s="540">
        <v>1350</v>
      </c>
      <c r="G38" s="540">
        <v>1039.5</v>
      </c>
      <c r="H38" s="187" t="s">
        <v>76</v>
      </c>
      <c r="I38" s="242">
        <f>(12836+15372+14589)/1000</f>
        <v>42.796999999999997</v>
      </c>
      <c r="J38" s="129">
        <f>+I38+'11'!J38</f>
        <v>502.78399999999999</v>
      </c>
      <c r="K38" s="130" t="s">
        <v>75</v>
      </c>
    </row>
    <row r="39" spans="1:14" ht="17.45" customHeight="1">
      <c r="A39" s="793" t="s">
        <v>14</v>
      </c>
      <c r="B39" s="794"/>
      <c r="C39" s="166">
        <f>SUMIF($G$7:$G$31,"Cleaning",$F$7:$F$31)</f>
        <v>0</v>
      </c>
      <c r="D39" s="120">
        <f>C39+'11'!D39</f>
        <v>0</v>
      </c>
      <c r="E39" s="145">
        <f t="shared" si="1"/>
        <v>0</v>
      </c>
      <c r="F39" s="540">
        <v>1350</v>
      </c>
      <c r="G39" s="540">
        <v>1039.5</v>
      </c>
      <c r="H39" s="187" t="s">
        <v>77</v>
      </c>
      <c r="I39" s="144"/>
      <c r="J39" s="131">
        <f>J37/G4</f>
        <v>47.589587490636326</v>
      </c>
      <c r="K39" s="132" t="s">
        <v>75</v>
      </c>
    </row>
    <row r="40" spans="1:14" ht="17.45" customHeight="1">
      <c r="A40" s="793" t="s">
        <v>78</v>
      </c>
      <c r="B40" s="794"/>
      <c r="C40" s="166">
        <f>SUMIF($G$7:$G$31,"Mechanical",$F$7:$F$31)</f>
        <v>0</v>
      </c>
      <c r="D40" s="120">
        <f>C40+'11'!D40</f>
        <v>5</v>
      </c>
      <c r="E40" s="145">
        <f t="shared" si="1"/>
        <v>8.3333333333333329E-2</v>
      </c>
      <c r="F40" s="540">
        <v>1350</v>
      </c>
      <c r="G40" s="540">
        <v>1039.5</v>
      </c>
      <c r="H40" s="187" t="s">
        <v>79</v>
      </c>
      <c r="I40" s="120">
        <f>(K34+L34)/1000</f>
        <v>39.923000000000002</v>
      </c>
      <c r="J40" s="133">
        <f>+I40+'11'!J40</f>
        <v>476.892</v>
      </c>
      <c r="K40" s="132" t="s">
        <v>75</v>
      </c>
    </row>
    <row r="41" spans="1:14" ht="17.45" customHeight="1">
      <c r="A41" s="793" t="s">
        <v>80</v>
      </c>
      <c r="B41" s="794"/>
      <c r="C41" s="166">
        <f>SUMIF($G$7:$G$31,"Electrical",$F$7:$F$31)</f>
        <v>0</v>
      </c>
      <c r="D41" s="120">
        <f>C41+'11'!D41</f>
        <v>36</v>
      </c>
      <c r="E41" s="145">
        <f t="shared" si="1"/>
        <v>0.6</v>
      </c>
      <c r="F41" s="309"/>
      <c r="G41" s="309"/>
      <c r="H41" s="187" t="s">
        <v>81</v>
      </c>
      <c r="I41" s="144"/>
      <c r="J41" s="131">
        <f>J40/G4</f>
        <v>39.741</v>
      </c>
      <c r="K41" s="132" t="s">
        <v>75</v>
      </c>
    </row>
    <row r="42" spans="1:14" ht="17.45" customHeight="1">
      <c r="A42" s="793" t="s">
        <v>17</v>
      </c>
      <c r="B42" s="794"/>
      <c r="C42" s="166">
        <f>SUMIF($G$7:$G$31,"Instrument",$F$7:$F$31)</f>
        <v>0</v>
      </c>
      <c r="D42" s="120">
        <f>C42+'11'!D42</f>
        <v>0</v>
      </c>
      <c r="E42" s="145">
        <f t="shared" si="1"/>
        <v>0</v>
      </c>
      <c r="F42" s="541">
        <f>+(F38*480+F39*480+F40*480)/1440</f>
        <v>1350</v>
      </c>
      <c r="G42" s="541">
        <f>+(G38*480+G39*480+G40*480)/1440</f>
        <v>1039.5</v>
      </c>
      <c r="H42" s="187" t="s">
        <v>82</v>
      </c>
      <c r="I42" s="243" t="s">
        <v>459</v>
      </c>
      <c r="J42" s="134"/>
      <c r="K42" s="132" t="s">
        <v>83</v>
      </c>
    </row>
    <row r="43" spans="1:14" ht="17.45" customHeight="1">
      <c r="A43" s="793" t="s">
        <v>84</v>
      </c>
      <c r="B43" s="794"/>
      <c r="C43" s="166">
        <f>SUMIF($G$7:$G$31,"Water",$F$7:$F$31)</f>
        <v>0</v>
      </c>
      <c r="D43" s="120">
        <f>C43+'11'!D43</f>
        <v>0</v>
      </c>
      <c r="E43" s="145">
        <f t="shared" si="1"/>
        <v>0</v>
      </c>
      <c r="F43" s="309"/>
      <c r="G43" s="310"/>
      <c r="H43" s="188" t="s">
        <v>85</v>
      </c>
      <c r="I43" s="120">
        <f>+Report1!Z20</f>
        <v>85.2</v>
      </c>
      <c r="J43" s="135">
        <f>+I43+'11'!J43</f>
        <v>1019.2</v>
      </c>
      <c r="K43" s="132" t="s">
        <v>75</v>
      </c>
      <c r="L43" s="189"/>
    </row>
    <row r="44" spans="1:14" ht="17.45" customHeight="1">
      <c r="A44" s="793" t="s">
        <v>18</v>
      </c>
      <c r="B44" s="794"/>
      <c r="C44" s="166">
        <f>SUMIF($G$7:$G$31,"PLN",$F$7:$F$31)</f>
        <v>0</v>
      </c>
      <c r="D44" s="120">
        <f>C44+'11'!D44</f>
        <v>30</v>
      </c>
      <c r="E44" s="145">
        <f t="shared" si="1"/>
        <v>0.5</v>
      </c>
      <c r="F44" s="309"/>
      <c r="G44" s="310"/>
      <c r="H44" s="188" t="s">
        <v>86</v>
      </c>
      <c r="I44" s="120">
        <f>I43/I38</f>
        <v>1.990793747225273</v>
      </c>
      <c r="J44" s="136">
        <f>J43/J38</f>
        <v>2.027113034623218</v>
      </c>
      <c r="K44" s="132" t="s">
        <v>75</v>
      </c>
    </row>
    <row r="45" spans="1:14" ht="17.45" customHeight="1">
      <c r="A45" s="793" t="s">
        <v>19</v>
      </c>
      <c r="B45" s="794"/>
      <c r="C45" s="166">
        <f>SUMIF($G$7:$G$31,"Boiler",$F$7:$F$31)</f>
        <v>0</v>
      </c>
      <c r="D45" s="120">
        <f>C45+'11'!D45</f>
        <v>0</v>
      </c>
      <c r="E45" s="145">
        <f t="shared" si="1"/>
        <v>0</v>
      </c>
      <c r="F45" s="309"/>
      <c r="G45" s="312"/>
      <c r="H45" s="188" t="s">
        <v>87</v>
      </c>
      <c r="I45" s="120">
        <f>I43/I40</f>
        <v>2.1341081582045436</v>
      </c>
      <c r="J45" s="136">
        <f>J43/J40</f>
        <v>2.1371715189183296</v>
      </c>
      <c r="K45" s="132" t="s">
        <v>75</v>
      </c>
      <c r="M45" s="151" t="s">
        <v>1</v>
      </c>
    </row>
    <row r="46" spans="1:14" ht="17.45" customHeight="1">
      <c r="A46" s="793" t="s">
        <v>88</v>
      </c>
      <c r="B46" s="794"/>
      <c r="C46" s="166">
        <f>SUMIF($G$7:$G$31,"Gas",$F$7:$F$31)</f>
        <v>0</v>
      </c>
      <c r="D46" s="120">
        <f>C46+'11'!D46</f>
        <v>0</v>
      </c>
      <c r="E46" s="145">
        <f t="shared" si="1"/>
        <v>0</v>
      </c>
      <c r="F46" s="309"/>
      <c r="G46" s="310"/>
      <c r="H46" s="188" t="s">
        <v>89</v>
      </c>
      <c r="I46" s="142">
        <f>+SUMIF(Listrik!X19,"&gt;0")</f>
        <v>43096.130000001081</v>
      </c>
      <c r="J46" s="137">
        <f>+I46+'11'!J46</f>
        <v>474303.41499999946</v>
      </c>
      <c r="K46" s="132" t="s">
        <v>90</v>
      </c>
    </row>
    <row r="47" spans="1:14" ht="17.45" customHeight="1">
      <c r="A47" s="793" t="s">
        <v>91</v>
      </c>
      <c r="B47" s="794"/>
      <c r="C47" s="166">
        <f>SUMIF($G$7:$G$31,"Gas",$F$7:$F$31)</f>
        <v>0</v>
      </c>
      <c r="D47" s="120">
        <f>C47+'11'!D47</f>
        <v>0</v>
      </c>
      <c r="E47" s="145">
        <f t="shared" si="1"/>
        <v>0</v>
      </c>
      <c r="F47" s="309"/>
      <c r="G47" s="310"/>
      <c r="H47" s="188" t="s">
        <v>92</v>
      </c>
      <c r="I47" s="120">
        <f>I46/I38</f>
        <v>1006.9895086104419</v>
      </c>
      <c r="J47" s="137">
        <f>J46/J38</f>
        <v>943.3542336271629</v>
      </c>
      <c r="K47" s="132" t="s">
        <v>25</v>
      </c>
    </row>
    <row r="48" spans="1:14" ht="17.45" customHeight="1">
      <c r="A48" s="793" t="s">
        <v>15</v>
      </c>
      <c r="B48" s="794"/>
      <c r="C48" s="166">
        <f>SUMIF($G$7:$G$31,"Start Up",$F$7:$F$31)</f>
        <v>0</v>
      </c>
      <c r="D48" s="120">
        <f>C48+'11'!D48</f>
        <v>0</v>
      </c>
      <c r="E48" s="145">
        <f t="shared" si="1"/>
        <v>0</v>
      </c>
      <c r="F48" s="309"/>
      <c r="G48" s="310"/>
      <c r="H48" s="188" t="s">
        <v>93</v>
      </c>
      <c r="I48" s="120">
        <f>I46/I40</f>
        <v>1079.4812514089892</v>
      </c>
      <c r="J48" s="137">
        <f>J46/J40</f>
        <v>994.57196807662842</v>
      </c>
      <c r="K48" s="132" t="s">
        <v>25</v>
      </c>
    </row>
    <row r="49" spans="1:11" ht="17.45" customHeight="1">
      <c r="A49" s="793" t="s">
        <v>21</v>
      </c>
      <c r="B49" s="794"/>
      <c r="C49" s="166">
        <f>SUMIF($G$7:$G$31,"Others",$F$7:$F$31)</f>
        <v>0</v>
      </c>
      <c r="D49" s="120">
        <f>C49+'11'!D49</f>
        <v>446</v>
      </c>
      <c r="E49" s="145">
        <f t="shared" si="1"/>
        <v>7.4333333333333336</v>
      </c>
      <c r="F49" s="185"/>
      <c r="H49" s="188" t="s">
        <v>280</v>
      </c>
      <c r="I49" s="120">
        <f>+Report1!T20</f>
        <v>3793.5072553257182</v>
      </c>
      <c r="J49" s="137">
        <f>+I49+'11'!J49</f>
        <v>41187.443856726488</v>
      </c>
      <c r="K49" s="132" t="s">
        <v>94</v>
      </c>
    </row>
    <row r="50" spans="1:11" ht="17.45" customHeight="1">
      <c r="A50" s="793" t="s">
        <v>20</v>
      </c>
      <c r="B50" s="794"/>
      <c r="C50" s="166">
        <f>SUMIF($G$7:$G$31,"Steam",$F$7:$F$31)</f>
        <v>0</v>
      </c>
      <c r="D50" s="120">
        <f>C50+'11'!D50</f>
        <v>0</v>
      </c>
      <c r="E50" s="145">
        <f t="shared" si="1"/>
        <v>0</v>
      </c>
      <c r="F50" s="185"/>
      <c r="H50" s="188" t="s">
        <v>95</v>
      </c>
      <c r="I50" s="142">
        <f>I49/I38</f>
        <v>88.63956014033036</v>
      </c>
      <c r="J50" s="135">
        <f>J49/J38</f>
        <v>81.918764035304406</v>
      </c>
      <c r="K50" s="132" t="s">
        <v>94</v>
      </c>
    </row>
    <row r="51" spans="1:11" ht="17.45" customHeight="1">
      <c r="A51" s="810" t="s">
        <v>96</v>
      </c>
      <c r="B51" s="810"/>
      <c r="C51" s="166">
        <f>SUMIF($G$7:$G$31,"Planned shut",$F$7:$F$31)</f>
        <v>0</v>
      </c>
      <c r="D51" s="120">
        <f>C51+'11'!D51</f>
        <v>0</v>
      </c>
      <c r="E51" s="145">
        <f t="shared" si="1"/>
        <v>0</v>
      </c>
      <c r="F51" s="185"/>
      <c r="H51" s="190" t="s">
        <v>97</v>
      </c>
      <c r="I51" s="143">
        <f>I49/I40</f>
        <v>95.020596030501665</v>
      </c>
      <c r="J51" s="138">
        <f>J49/J40</f>
        <v>86.366397122884194</v>
      </c>
      <c r="K51" s="139" t="s">
        <v>94</v>
      </c>
    </row>
    <row r="52" spans="1:11" ht="13.5" thickBot="1">
      <c r="A52" s="811" t="s">
        <v>230</v>
      </c>
      <c r="B52" s="812"/>
      <c r="C52" s="166">
        <f>SUMIF($G$7:$G$31,"Change Grade",$F$7:$F$31)</f>
        <v>0</v>
      </c>
      <c r="D52" s="120">
        <f>C52+'11'!D52</f>
        <v>0</v>
      </c>
      <c r="E52" s="145">
        <f t="shared" si="1"/>
        <v>0</v>
      </c>
      <c r="F52" s="185"/>
      <c r="H52" s="191"/>
      <c r="I52" s="192"/>
      <c r="J52" s="140"/>
      <c r="K52" s="141"/>
    </row>
    <row r="53" spans="1:11">
      <c r="A53" s="806" t="s">
        <v>29</v>
      </c>
      <c r="B53" s="807"/>
      <c r="C53" s="146">
        <f>SUM(C38:C52)</f>
        <v>98</v>
      </c>
      <c r="D53" s="146">
        <f>SUM(D38:D52)</f>
        <v>1653</v>
      </c>
      <c r="E53" s="147">
        <f>SUM(E38:E52)</f>
        <v>27.55</v>
      </c>
      <c r="F53" s="185"/>
    </row>
    <row r="54" spans="1:11" ht="13.5" thickBot="1">
      <c r="A54" s="808"/>
      <c r="B54" s="809"/>
      <c r="C54" s="148">
        <f>C53/(24*60)</f>
        <v>6.805555555555555E-2</v>
      </c>
      <c r="D54" s="148">
        <f>D53/(24*60*G4)</f>
        <v>9.5659722222222215E-2</v>
      </c>
      <c r="E54" s="149">
        <f>E53/(G4*24)</f>
        <v>9.5659722222222229E-2</v>
      </c>
      <c r="F54" s="185"/>
    </row>
    <row r="55" spans="1:11">
      <c r="E55" s="193"/>
    </row>
    <row r="56" spans="1:11">
      <c r="A56" s="194" t="s">
        <v>98</v>
      </c>
      <c r="B56" s="195"/>
      <c r="C56" s="196"/>
      <c r="D56" s="196"/>
      <c r="E56" s="196"/>
      <c r="F56" s="197"/>
      <c r="G56" s="196"/>
      <c r="H56" s="198"/>
      <c r="I56" s="199" t="s">
        <v>99</v>
      </c>
      <c r="J56" s="200">
        <f>+D34+'11'!J56</f>
        <v>2548</v>
      </c>
      <c r="K56" s="201">
        <f>J56/(J40+J56/1000)/1000</f>
        <v>5.3145336225596529E-3</v>
      </c>
    </row>
    <row r="57" spans="1:11">
      <c r="A57" s="176"/>
      <c r="I57" s="199" t="s">
        <v>100</v>
      </c>
      <c r="J57" s="200">
        <f>+E34+'11'!J57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2:B52"/>
    <mergeCell ref="A53:B53"/>
    <mergeCell ref="A48:B48"/>
    <mergeCell ref="A49:B49"/>
    <mergeCell ref="A50:B50"/>
    <mergeCell ref="A51:B51"/>
    <mergeCell ref="A7:A14"/>
    <mergeCell ref="I7:I13"/>
    <mergeCell ref="A15:A23"/>
    <mergeCell ref="I15:I22"/>
    <mergeCell ref="A46:B46"/>
    <mergeCell ref="A47:B47"/>
    <mergeCell ref="A39:B39"/>
    <mergeCell ref="I24:I31"/>
    <mergeCell ref="A37:B37"/>
    <mergeCell ref="A38:B38"/>
    <mergeCell ref="A24:A32"/>
    <mergeCell ref="A34:B34"/>
    <mergeCell ref="A42:B42"/>
    <mergeCell ref="A43:B43"/>
    <mergeCell ref="A44:B44"/>
    <mergeCell ref="A45:B45"/>
    <mergeCell ref="A40:B40"/>
    <mergeCell ref="A41:B41"/>
  </mergeCells>
  <phoneticPr fontId="30" type="noConversion"/>
  <printOptions horizontalCentered="1"/>
  <pageMargins left="0.15625" right="0.15625" top="0.39027777777777778" bottom="0.39027777777777778" header="0" footer="0"/>
  <pageSetup paperSize="9" scale="41"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16" zoomScale="80" zoomScaleNormal="70"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5.5703125" style="151" bestFit="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11</v>
      </c>
      <c r="H4" s="156" t="str">
        <f>+'1'!H4</f>
        <v>.07.25</v>
      </c>
      <c r="J4" s="151">
        <f>382+431+442</f>
        <v>1255</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409</v>
      </c>
      <c r="O6" s="151">
        <v>1350</v>
      </c>
      <c r="P6" s="151">
        <f>+O6-O6*0.23</f>
        <v>1039.5</v>
      </c>
      <c r="Q6" s="151">
        <v>480</v>
      </c>
      <c r="R6" s="151">
        <f>+O6*Q6</f>
        <v>648000</v>
      </c>
      <c r="S6" s="151">
        <f>+P6*Q6</f>
        <v>498960</v>
      </c>
    </row>
    <row r="7" spans="1:19" ht="13.5" customHeight="1" thickBot="1">
      <c r="A7" s="795" t="s">
        <v>470</v>
      </c>
      <c r="B7" s="215" t="s">
        <v>398</v>
      </c>
      <c r="C7" s="216">
        <v>9535</v>
      </c>
      <c r="D7" s="217"/>
      <c r="E7" s="218"/>
      <c r="F7" s="233">
        <v>20</v>
      </c>
      <c r="G7" s="555" t="s">
        <v>13</v>
      </c>
      <c r="H7" s="556" t="s">
        <v>432</v>
      </c>
      <c r="I7" s="798" t="s">
        <v>459</v>
      </c>
      <c r="J7" s="214" t="str">
        <f>+'10'!J7</f>
        <v>F 12 VP OW</v>
      </c>
      <c r="K7" s="235">
        <f>+C34</f>
        <v>31272</v>
      </c>
      <c r="L7" s="239"/>
      <c r="M7" s="119">
        <f>+K7+'10'!M7+L7</f>
        <v>119417</v>
      </c>
      <c r="N7" s="151" t="s">
        <v>409</v>
      </c>
      <c r="O7" s="151">
        <v>1350</v>
      </c>
      <c r="P7" s="151">
        <f>+O7-O7*0.23</f>
        <v>1039.5</v>
      </c>
      <c r="Q7" s="151">
        <v>480</v>
      </c>
      <c r="R7" s="151">
        <f>+O7*Q7</f>
        <v>648000</v>
      </c>
      <c r="S7" s="151">
        <f>+P7*Q7</f>
        <v>498960</v>
      </c>
    </row>
    <row r="8" spans="1:19" ht="13.5" thickBot="1">
      <c r="A8" s="796"/>
      <c r="B8" s="215"/>
      <c r="C8" s="216"/>
      <c r="D8" s="217"/>
      <c r="E8" s="219"/>
      <c r="F8" s="229">
        <v>4</v>
      </c>
      <c r="G8" s="557" t="s">
        <v>13</v>
      </c>
      <c r="H8" s="228" t="s">
        <v>462</v>
      </c>
      <c r="I8" s="799"/>
      <c r="J8" s="214" t="str">
        <f>+'10'!J8</f>
        <v>F 11,5 VP OW</v>
      </c>
      <c r="K8" s="236"/>
      <c r="L8" s="236"/>
      <c r="M8" s="119">
        <f>+K8+'10'!M8+L8</f>
        <v>150859</v>
      </c>
      <c r="P8" s="151">
        <f>+O8-O8*0.23</f>
        <v>0</v>
      </c>
      <c r="R8" s="151">
        <f>+O8*Q8</f>
        <v>0</v>
      </c>
      <c r="S8" s="151">
        <f>+P8*Q8</f>
        <v>0</v>
      </c>
    </row>
    <row r="9" spans="1:19" ht="13.5" thickBot="1">
      <c r="A9" s="796"/>
      <c r="B9" s="215"/>
      <c r="C9" s="216"/>
      <c r="D9" s="217"/>
      <c r="E9" s="220"/>
      <c r="F9" s="229">
        <f>55-24</f>
        <v>31</v>
      </c>
      <c r="G9" s="557" t="s">
        <v>13</v>
      </c>
      <c r="H9" s="231" t="s">
        <v>400</v>
      </c>
      <c r="I9" s="799"/>
      <c r="J9" s="214" t="str">
        <f>+'10'!J9</f>
        <v>T 13 VP OW</v>
      </c>
      <c r="K9" s="236"/>
      <c r="L9" s="236"/>
      <c r="M9" s="119">
        <f>+K9+'10'!M9+L9</f>
        <v>113358</v>
      </c>
      <c r="P9" s="151">
        <f t="shared" ref="P9:P10" si="0">+O9-O9*0.23</f>
        <v>0</v>
      </c>
      <c r="R9" s="151">
        <f>+O9*Q9</f>
        <v>0</v>
      </c>
      <c r="S9" s="151">
        <f>+P9*Q9</f>
        <v>0</v>
      </c>
    </row>
    <row r="10" spans="1:19" ht="51.75" thickBot="1">
      <c r="A10" s="796"/>
      <c r="B10" s="215"/>
      <c r="C10" s="216"/>
      <c r="D10" s="217"/>
      <c r="E10" s="219"/>
      <c r="F10" s="229"/>
      <c r="G10" s="227"/>
      <c r="H10" s="558" t="s">
        <v>585</v>
      </c>
      <c r="I10" s="799"/>
      <c r="J10" s="214" t="str">
        <f>+'10'!J10</f>
        <v>F 13 VP OW</v>
      </c>
      <c r="K10" s="236"/>
      <c r="L10" s="236"/>
      <c r="M10" s="119">
        <f>+K10+'10'!M10+L10</f>
        <v>43207</v>
      </c>
      <c r="P10" s="151">
        <f t="shared" si="0"/>
        <v>0</v>
      </c>
      <c r="R10" s="151">
        <f>+O10*Q10</f>
        <v>0</v>
      </c>
      <c r="S10" s="151">
        <f>+P10*Q10</f>
        <v>0</v>
      </c>
    </row>
    <row r="11" spans="1:19" ht="127.5" customHeight="1" thickBot="1">
      <c r="A11" s="796"/>
      <c r="B11" s="215"/>
      <c r="C11" s="216"/>
      <c r="D11" s="217"/>
      <c r="E11" s="219"/>
      <c r="F11" s="226"/>
      <c r="G11" s="230"/>
      <c r="H11" s="231" t="s">
        <v>586</v>
      </c>
      <c r="I11" s="799"/>
      <c r="J11" s="214" t="str">
        <f>+'10'!J11</f>
        <v xml:space="preserve">T 13 VP OW HB </v>
      </c>
      <c r="K11" s="236"/>
      <c r="L11" s="236"/>
      <c r="M11" s="119">
        <f>+K11+'10'!M11+L11</f>
        <v>10128</v>
      </c>
    </row>
    <row r="12" spans="1:19" ht="13.5" thickBot="1">
      <c r="A12" s="796"/>
      <c r="B12" s="215"/>
      <c r="C12" s="216"/>
      <c r="D12" s="217"/>
      <c r="E12" s="219"/>
      <c r="F12" s="226"/>
      <c r="G12" s="230"/>
      <c r="H12" s="231"/>
      <c r="I12" s="799"/>
      <c r="J12" s="214">
        <f>+'10'!J12</f>
        <v>0</v>
      </c>
      <c r="K12" s="236"/>
      <c r="L12" s="236"/>
      <c r="M12" s="119">
        <f>+K12+'10'!M12+L12</f>
        <v>0</v>
      </c>
      <c r="Q12" s="151">
        <f>SUM(Q6:Q11)</f>
        <v>960</v>
      </c>
      <c r="R12" s="151">
        <f>SUM(R6:R9)</f>
        <v>1296000</v>
      </c>
      <c r="S12" s="151">
        <f>SUM(S6:S9)</f>
        <v>997920</v>
      </c>
    </row>
    <row r="13" spans="1:19" ht="13.5" thickBot="1">
      <c r="A13" s="796"/>
      <c r="B13" s="215"/>
      <c r="C13" s="216"/>
      <c r="D13" s="216"/>
      <c r="E13" s="219"/>
      <c r="F13" s="226"/>
      <c r="G13" s="230"/>
      <c r="H13" s="231"/>
      <c r="I13" s="800"/>
      <c r="J13" s="214">
        <f>+'10'!J13</f>
        <v>0</v>
      </c>
      <c r="K13" s="236"/>
      <c r="L13" s="236"/>
      <c r="M13" s="119">
        <f>+K13+'10'!M13+L13</f>
        <v>0</v>
      </c>
      <c r="P13" s="151" t="s">
        <v>424</v>
      </c>
      <c r="Q13" s="151">
        <f>480-Q12</f>
        <v>-480</v>
      </c>
      <c r="R13" s="151">
        <f>+R12/Q12</f>
        <v>1350</v>
      </c>
      <c r="S13" s="151">
        <f>+S12/Q12</f>
        <v>1039.5</v>
      </c>
    </row>
    <row r="14" spans="1:19" ht="13.5" thickBot="1">
      <c r="A14" s="797"/>
      <c r="B14" s="167" t="s">
        <v>3</v>
      </c>
      <c r="C14" s="101">
        <f>SUM(C7:C13)</f>
        <v>9535</v>
      </c>
      <c r="D14" s="113">
        <f>SUM(D7:D13)</f>
        <v>0</v>
      </c>
      <c r="E14" s="114">
        <f>SUM(E5:E13)</f>
        <v>0</v>
      </c>
      <c r="F14" s="118">
        <f>SUM(F7:F13)</f>
        <v>55</v>
      </c>
      <c r="G14" s="161"/>
      <c r="H14" s="168"/>
      <c r="I14" s="169"/>
      <c r="J14" s="214">
        <f>+'10'!J14</f>
        <v>0</v>
      </c>
      <c r="K14" s="236"/>
      <c r="L14" s="236"/>
      <c r="M14" s="119">
        <f>+K14+'10'!M14+L14</f>
        <v>0</v>
      </c>
    </row>
    <row r="15" spans="1:19" ht="13.5" customHeight="1" thickBot="1">
      <c r="A15" s="801" t="s">
        <v>444</v>
      </c>
      <c r="B15" s="518"/>
      <c r="C15" s="115">
        <f>C14/($C$23+$D$23+$E$23)</f>
        <v>0.7283629974791842</v>
      </c>
      <c r="D15" s="116">
        <f>D14/($C$23+$D$23+$E$23)</f>
        <v>0</v>
      </c>
      <c r="E15" s="117">
        <f>E14/($C$23+$D$23+$E$23)</f>
        <v>0</v>
      </c>
      <c r="F15" s="233">
        <v>35</v>
      </c>
      <c r="G15" s="555" t="s">
        <v>13</v>
      </c>
      <c r="H15" s="556" t="s">
        <v>589</v>
      </c>
      <c r="I15" s="798" t="s">
        <v>459</v>
      </c>
      <c r="J15" s="214">
        <f>+'10'!J15</f>
        <v>0</v>
      </c>
      <c r="K15" s="236"/>
      <c r="L15" s="236"/>
      <c r="M15" s="119">
        <f>+K15+'10'!M15+L15</f>
        <v>0</v>
      </c>
    </row>
    <row r="16" spans="1:19" ht="13.5" thickBot="1">
      <c r="A16" s="796"/>
      <c r="B16" s="215" t="s">
        <v>398</v>
      </c>
      <c r="C16" s="516">
        <v>12284</v>
      </c>
      <c r="D16" s="221">
        <v>807</v>
      </c>
      <c r="E16" s="222"/>
      <c r="F16" s="229">
        <v>5</v>
      </c>
      <c r="G16" s="557" t="s">
        <v>13</v>
      </c>
      <c r="H16" s="228" t="s">
        <v>468</v>
      </c>
      <c r="I16" s="799"/>
      <c r="J16" s="214">
        <f>+'10'!J16</f>
        <v>0</v>
      </c>
      <c r="K16" s="227"/>
      <c r="L16" s="227"/>
      <c r="M16" s="119">
        <f>+K16+'10'!M16+L16</f>
        <v>0</v>
      </c>
    </row>
    <row r="17" spans="1:19" ht="13.5" thickBot="1">
      <c r="A17" s="796"/>
      <c r="B17" s="215"/>
      <c r="C17" s="216"/>
      <c r="D17" s="217"/>
      <c r="E17" s="223"/>
      <c r="F17" s="229">
        <v>5</v>
      </c>
      <c r="G17" s="557" t="s">
        <v>13</v>
      </c>
      <c r="H17" s="231" t="s">
        <v>400</v>
      </c>
      <c r="I17" s="799"/>
      <c r="J17" s="214">
        <f>+'10'!J17</f>
        <v>0</v>
      </c>
      <c r="K17" s="227"/>
      <c r="L17" s="227"/>
      <c r="M17" s="119">
        <f>+K17+'10'!M17+L17</f>
        <v>0</v>
      </c>
    </row>
    <row r="18" spans="1:19" ht="51.75" thickBot="1">
      <c r="A18" s="796"/>
      <c r="B18" s="215"/>
      <c r="C18" s="216"/>
      <c r="D18" s="217"/>
      <c r="E18" s="223"/>
      <c r="F18" s="229"/>
      <c r="G18" s="227"/>
      <c r="H18" s="558" t="s">
        <v>583</v>
      </c>
      <c r="I18" s="799"/>
      <c r="J18" s="214">
        <f>+'10'!J18</f>
        <v>0</v>
      </c>
      <c r="K18" s="236"/>
      <c r="L18" s="236"/>
      <c r="M18" s="119">
        <f>+K18+'10'!M18+L18</f>
        <v>0</v>
      </c>
    </row>
    <row r="19" spans="1:19" ht="178.5" customHeight="1" thickBot="1">
      <c r="A19" s="796"/>
      <c r="B19" s="215"/>
      <c r="C19" s="216"/>
      <c r="D19" s="217"/>
      <c r="E19" s="223"/>
      <c r="F19" s="232"/>
      <c r="G19" s="230"/>
      <c r="H19" s="231" t="s">
        <v>584</v>
      </c>
      <c r="I19" s="799"/>
      <c r="J19" s="214">
        <f>+'10'!J19</f>
        <v>0</v>
      </c>
      <c r="K19" s="236"/>
      <c r="L19" s="236"/>
      <c r="M19" s="119">
        <f>+K19+'10'!M19+L19</f>
        <v>0</v>
      </c>
    </row>
    <row r="20" spans="1:19" ht="13.5" thickBot="1">
      <c r="A20" s="796"/>
      <c r="B20" s="215"/>
      <c r="C20" s="216"/>
      <c r="D20" s="217"/>
      <c r="E20" s="223"/>
      <c r="F20" s="226"/>
      <c r="G20" s="230"/>
      <c r="H20" s="231"/>
      <c r="I20" s="799"/>
      <c r="J20" s="214">
        <f>+'10'!J20</f>
        <v>0</v>
      </c>
      <c r="K20" s="237"/>
      <c r="L20" s="237"/>
      <c r="M20" s="119">
        <f>+K20+'10'!M20+L20</f>
        <v>0</v>
      </c>
    </row>
    <row r="21" spans="1:19" ht="13.5" thickBot="1">
      <c r="A21" s="796"/>
      <c r="B21" s="215"/>
      <c r="C21" s="216"/>
      <c r="D21" s="217"/>
      <c r="E21" s="223"/>
      <c r="F21" s="229"/>
      <c r="G21" s="230"/>
      <c r="H21" s="231"/>
      <c r="I21" s="799"/>
      <c r="J21" s="214">
        <f>+'10'!J21</f>
        <v>0</v>
      </c>
      <c r="K21" s="236"/>
      <c r="L21" s="236"/>
      <c r="M21" s="119">
        <f>+K21+'10'!M21+L21</f>
        <v>0</v>
      </c>
    </row>
    <row r="22" spans="1:19" ht="13.5" thickBot="1">
      <c r="A22" s="796"/>
      <c r="B22" s="215"/>
      <c r="C22" s="216"/>
      <c r="D22" s="217"/>
      <c r="E22" s="223"/>
      <c r="F22" s="233"/>
      <c r="G22" s="230"/>
      <c r="H22" s="231"/>
      <c r="I22" s="800"/>
      <c r="J22" s="214">
        <f>+'10'!J22</f>
        <v>0</v>
      </c>
      <c r="K22" s="236"/>
      <c r="L22" s="236"/>
      <c r="M22" s="119">
        <f>+K22+'10'!M22+L22</f>
        <v>0</v>
      </c>
    </row>
    <row r="23" spans="1:19" ht="13.5" thickBot="1">
      <c r="A23" s="797"/>
      <c r="B23" s="167" t="s">
        <v>3</v>
      </c>
      <c r="C23" s="101">
        <f>SUM(C16:C22)</f>
        <v>12284</v>
      </c>
      <c r="D23" s="113">
        <f>SUM(D16:D22)</f>
        <v>807</v>
      </c>
      <c r="E23" s="114">
        <f>SUM(E18:E22)</f>
        <v>0</v>
      </c>
      <c r="F23" s="118">
        <f>SUM(F15:F22)</f>
        <v>45</v>
      </c>
      <c r="G23" s="161"/>
      <c r="H23" s="168"/>
      <c r="I23" s="170"/>
      <c r="J23" s="214">
        <f>+'10'!J23</f>
        <v>0</v>
      </c>
      <c r="K23" s="236"/>
      <c r="L23" s="236"/>
      <c r="M23" s="119">
        <f>+K23+'10'!M23+L23</f>
        <v>0</v>
      </c>
    </row>
    <row r="24" spans="1:19" ht="13.5" customHeight="1" thickBot="1">
      <c r="A24" s="801" t="s">
        <v>442</v>
      </c>
      <c r="B24" s="518"/>
      <c r="C24" s="115">
        <f>C23/($C$23+$D$23+$E$23)</f>
        <v>0.93835459475975858</v>
      </c>
      <c r="D24" s="116">
        <f>D23/($C$23+$D$23+$E$23)</f>
        <v>6.164540524024139E-2</v>
      </c>
      <c r="E24" s="117">
        <f>E23/($C$23+$D$23+$E$23)</f>
        <v>0</v>
      </c>
      <c r="F24" s="233">
        <v>30</v>
      </c>
      <c r="G24" s="555" t="s">
        <v>13</v>
      </c>
      <c r="H24" s="556" t="s">
        <v>590</v>
      </c>
      <c r="I24" s="798" t="s">
        <v>587</v>
      </c>
      <c r="J24" s="214">
        <f>+'10'!J24</f>
        <v>0</v>
      </c>
      <c r="K24" s="236"/>
      <c r="L24" s="236"/>
      <c r="M24" s="119">
        <f>+K24+'10'!M24+L24</f>
        <v>0</v>
      </c>
      <c r="N24" s="151" t="s">
        <v>409</v>
      </c>
      <c r="O24" s="151">
        <v>1350</v>
      </c>
      <c r="P24" s="151">
        <f>+O24-O24*0.23</f>
        <v>1039.5</v>
      </c>
      <c r="Q24" s="151">
        <f>60+13</f>
        <v>73</v>
      </c>
      <c r="R24" s="151">
        <f>+O24*Q24</f>
        <v>98550</v>
      </c>
      <c r="S24" s="151">
        <f>+P24*Q24</f>
        <v>75883.5</v>
      </c>
    </row>
    <row r="25" spans="1:19" ht="13.5" thickBot="1">
      <c r="A25" s="796"/>
      <c r="B25" s="215" t="s">
        <v>398</v>
      </c>
      <c r="C25" s="224">
        <v>9453</v>
      </c>
      <c r="D25" s="217">
        <v>225</v>
      </c>
      <c r="E25" s="223"/>
      <c r="F25" s="229">
        <v>5</v>
      </c>
      <c r="G25" s="557" t="s">
        <v>13</v>
      </c>
      <c r="H25" s="228" t="s">
        <v>468</v>
      </c>
      <c r="I25" s="799"/>
      <c r="J25" s="214">
        <f>+'10'!J25</f>
        <v>0</v>
      </c>
      <c r="K25" s="236"/>
      <c r="L25" s="236"/>
      <c r="M25" s="119">
        <f>+K25+'10'!M25+L25</f>
        <v>0</v>
      </c>
      <c r="O25" s="151">
        <v>1300</v>
      </c>
      <c r="P25" s="151">
        <f>+O25-O25*0.23</f>
        <v>1001</v>
      </c>
      <c r="Q25" s="151">
        <f>60-13+40</f>
        <v>87</v>
      </c>
      <c r="R25" s="151">
        <f>+O25*Q25</f>
        <v>113100</v>
      </c>
      <c r="S25" s="151">
        <f>+P25*Q25</f>
        <v>87087</v>
      </c>
    </row>
    <row r="26" spans="1:19" ht="13.5" thickBot="1">
      <c r="A26" s="796"/>
      <c r="B26" s="215"/>
      <c r="C26" s="224"/>
      <c r="D26" s="217"/>
      <c r="E26" s="225"/>
      <c r="F26" s="229">
        <v>5</v>
      </c>
      <c r="G26" s="557" t="s">
        <v>13</v>
      </c>
      <c r="H26" s="231" t="s">
        <v>520</v>
      </c>
      <c r="I26" s="799"/>
      <c r="J26" s="214">
        <f>+'10'!J26</f>
        <v>0</v>
      </c>
      <c r="K26" s="227"/>
      <c r="L26" s="227"/>
      <c r="M26" s="119">
        <f>+K26+'10'!M26+L26</f>
        <v>0</v>
      </c>
      <c r="O26" s="151">
        <v>1350</v>
      </c>
      <c r="P26" s="151">
        <f>+O26-O26*0.23</f>
        <v>1039.5</v>
      </c>
      <c r="Q26" s="151">
        <f>60-40+300</f>
        <v>320</v>
      </c>
      <c r="R26" s="151">
        <f>+O26*Q26</f>
        <v>432000</v>
      </c>
      <c r="S26" s="151">
        <f>+P26*Q26</f>
        <v>332640</v>
      </c>
    </row>
    <row r="27" spans="1:19" ht="64.5" thickBot="1">
      <c r="A27" s="796"/>
      <c r="B27" s="215"/>
      <c r="C27" s="216"/>
      <c r="D27" s="217"/>
      <c r="E27" s="223"/>
      <c r="F27" s="229"/>
      <c r="G27" s="227"/>
      <c r="H27" s="558" t="s">
        <v>581</v>
      </c>
      <c r="I27" s="799"/>
      <c r="J27" s="214">
        <f>+'10'!J27</f>
        <v>0</v>
      </c>
      <c r="K27" s="227"/>
      <c r="L27" s="227"/>
      <c r="M27" s="119">
        <f>+K27+'10'!M27+L27</f>
        <v>0</v>
      </c>
      <c r="P27" s="151">
        <f t="shared" ref="P27:P28" si="1">+O27-O27*0.23</f>
        <v>0</v>
      </c>
      <c r="R27" s="151">
        <f>+O27*Q27</f>
        <v>0</v>
      </c>
      <c r="S27" s="151">
        <f>+P27*Q27</f>
        <v>0</v>
      </c>
    </row>
    <row r="28" spans="1:19" ht="197.25" customHeight="1" thickBot="1">
      <c r="A28" s="796"/>
      <c r="B28" s="215"/>
      <c r="C28" s="216"/>
      <c r="D28" s="217"/>
      <c r="E28" s="223"/>
      <c r="F28" s="229"/>
      <c r="G28" s="227"/>
      <c r="H28" s="231" t="s">
        <v>582</v>
      </c>
      <c r="I28" s="799"/>
      <c r="J28" s="214">
        <f>+'10'!J28</f>
        <v>0</v>
      </c>
      <c r="K28" s="236"/>
      <c r="L28" s="236"/>
      <c r="M28" s="119">
        <f>+K28+'10'!M28+L28</f>
        <v>0</v>
      </c>
      <c r="P28" s="151">
        <f t="shared" si="1"/>
        <v>0</v>
      </c>
      <c r="R28" s="151">
        <f>+O28*Q28</f>
        <v>0</v>
      </c>
      <c r="S28" s="151">
        <f>+P28*Q28</f>
        <v>0</v>
      </c>
    </row>
    <row r="29" spans="1:19" ht="13.5" thickBot="1">
      <c r="A29" s="796"/>
      <c r="B29" s="215"/>
      <c r="C29" s="216"/>
      <c r="D29" s="217"/>
      <c r="E29" s="223"/>
      <c r="F29" s="233"/>
      <c r="G29" s="230"/>
      <c r="H29" s="231"/>
      <c r="I29" s="799"/>
      <c r="J29" s="214">
        <f>+'10'!J29</f>
        <v>0</v>
      </c>
      <c r="K29" s="236"/>
      <c r="L29" s="236"/>
      <c r="M29" s="119">
        <f>+K29+'10'!M29+L29</f>
        <v>0</v>
      </c>
    </row>
    <row r="30" spans="1:19" ht="13.5" thickBot="1">
      <c r="A30" s="796"/>
      <c r="B30" s="215"/>
      <c r="C30" s="224"/>
      <c r="D30" s="217"/>
      <c r="E30" s="223"/>
      <c r="F30" s="233"/>
      <c r="G30" s="230"/>
      <c r="H30" s="231"/>
      <c r="I30" s="799"/>
      <c r="J30" s="214">
        <f>+'10'!J30</f>
        <v>0</v>
      </c>
      <c r="K30" s="237"/>
      <c r="L30" s="237"/>
      <c r="M30" s="119">
        <f>+K30+'10'!M30+L30</f>
        <v>0</v>
      </c>
      <c r="Q30" s="151">
        <f>SUM(Q24:Q29)</f>
        <v>480</v>
      </c>
      <c r="R30" s="151">
        <f>SUM(R24:R27)</f>
        <v>643650</v>
      </c>
      <c r="S30" s="151">
        <f>SUM(S24:S27)</f>
        <v>495610.5</v>
      </c>
    </row>
    <row r="31" spans="1:19" ht="13.5" thickBot="1">
      <c r="A31" s="796"/>
      <c r="B31" s="215"/>
      <c r="C31" s="224"/>
      <c r="D31" s="217"/>
      <c r="E31" s="223"/>
      <c r="F31" s="233"/>
      <c r="G31" s="234"/>
      <c r="H31" s="409"/>
      <c r="I31" s="800"/>
      <c r="J31" s="214">
        <f>+'10'!J31</f>
        <v>0</v>
      </c>
      <c r="K31" s="236"/>
      <c r="L31" s="236"/>
      <c r="M31" s="119">
        <f>+K31+'10'!M31+L31</f>
        <v>0</v>
      </c>
      <c r="P31" s="151" t="s">
        <v>424</v>
      </c>
      <c r="Q31" s="151">
        <f>480-Q30</f>
        <v>0</v>
      </c>
      <c r="R31" s="151">
        <f>+R30/Q30</f>
        <v>1340.9375</v>
      </c>
      <c r="S31" s="151">
        <f>+S30/Q30</f>
        <v>1032.5218749999999</v>
      </c>
    </row>
    <row r="32" spans="1:19" ht="13.5" thickBot="1">
      <c r="A32" s="797"/>
      <c r="B32" s="167" t="s">
        <v>3</v>
      </c>
      <c r="C32" s="101">
        <f>SUM(C25:C31)</f>
        <v>9453</v>
      </c>
      <c r="D32" s="102">
        <f>SUM(D25:D31)</f>
        <v>225</v>
      </c>
      <c r="E32" s="103">
        <f>SUM(E25:E31)</f>
        <v>0</v>
      </c>
      <c r="F32" s="101">
        <f>SUM(F24:F31)</f>
        <v>40</v>
      </c>
      <c r="G32" s="171"/>
      <c r="H32" s="172"/>
      <c r="I32" s="170"/>
      <c r="J32" s="214">
        <f>+'10'!J32</f>
        <v>0</v>
      </c>
      <c r="K32" s="236"/>
      <c r="L32" s="236"/>
      <c r="M32" s="119">
        <f>+K32+'10'!M32+L32</f>
        <v>0</v>
      </c>
    </row>
    <row r="33" spans="1:14" ht="13.5" thickBot="1">
      <c r="A33" s="173"/>
      <c r="B33" s="174"/>
      <c r="C33" s="105">
        <f>C32/($C$32+$D$32+$E$32)</f>
        <v>0.97675139491630503</v>
      </c>
      <c r="D33" s="106">
        <f>D32/($C$32+$D$32+$E$32)</f>
        <v>2.3248605083694977E-2</v>
      </c>
      <c r="E33" s="107">
        <f>E32/($C$32+$D$32+$E$32)</f>
        <v>0</v>
      </c>
      <c r="F33" s="108"/>
      <c r="G33" s="175"/>
      <c r="H33" s="176"/>
      <c r="I33" s="177"/>
      <c r="J33" s="123"/>
      <c r="K33" s="124"/>
      <c r="L33" s="213"/>
      <c r="M33" s="121"/>
    </row>
    <row r="34" spans="1:14" ht="13.5" thickBot="1">
      <c r="A34" s="802" t="s">
        <v>69</v>
      </c>
      <c r="B34" s="803"/>
      <c r="C34" s="109">
        <f>C14+C23+C32</f>
        <v>31272</v>
      </c>
      <c r="D34" s="109">
        <f>D14+D23+D32</f>
        <v>1032</v>
      </c>
      <c r="E34" s="109">
        <f>E14+E23+E32</f>
        <v>0</v>
      </c>
      <c r="F34" s="110">
        <f>F14+F23+F32</f>
        <v>140</v>
      </c>
      <c r="H34" s="178"/>
      <c r="I34" s="178"/>
      <c r="J34" s="125" t="s">
        <v>29</v>
      </c>
      <c r="K34" s="126">
        <f>SUM(K7:K32)</f>
        <v>31272</v>
      </c>
      <c r="L34" s="212">
        <f>SUM(L7:L32)</f>
        <v>0</v>
      </c>
      <c r="M34" s="122">
        <f>SUM(M7:M32)</f>
        <v>436969</v>
      </c>
      <c r="N34" s="157"/>
    </row>
    <row r="35" spans="1:14" ht="13.5" thickBot="1">
      <c r="A35" s="179"/>
      <c r="B35" s="180"/>
      <c r="C35" s="106">
        <f>C34/($C$34+$D$34+$E$34)</f>
        <v>0.96805349182763745</v>
      </c>
      <c r="D35" s="106">
        <f>D34/($C$34+$D$34+$E$34)</f>
        <v>3.1946508172362553E-2</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(12*1440)/1440*G42*2.74*1440/1000000</f>
        <v>49.107282840000003</v>
      </c>
      <c r="J37" s="127">
        <f>+I37+'10'!J37</f>
        <v>519.80690988763592</v>
      </c>
      <c r="K37" s="128" t="s">
        <v>75</v>
      </c>
    </row>
    <row r="38" spans="1:14" ht="17.45" customHeight="1">
      <c r="A38" s="806" t="s">
        <v>13</v>
      </c>
      <c r="B38" s="807"/>
      <c r="C38" s="166">
        <f>SUMIF($G$7:$G$31,"Process",$F$7:$F$31)</f>
        <v>140</v>
      </c>
      <c r="D38" s="120">
        <f>C38+'10'!D38</f>
        <v>1038</v>
      </c>
      <c r="E38" s="145">
        <f t="shared" ref="E38:E52" si="2">D38/60</f>
        <v>17.3</v>
      </c>
      <c r="F38" s="309">
        <v>1350</v>
      </c>
      <c r="G38" s="309">
        <v>1039.5</v>
      </c>
      <c r="H38" s="187" t="s">
        <v>76</v>
      </c>
      <c r="I38" s="242">
        <f>13.11+11.938+14.207</f>
        <v>39.255000000000003</v>
      </c>
      <c r="J38" s="129">
        <f>+I38+'10'!J38</f>
        <v>459.98699999999997</v>
      </c>
      <c r="K38" s="130" t="s">
        <v>75</v>
      </c>
    </row>
    <row r="39" spans="1:14" ht="17.45" customHeight="1">
      <c r="A39" s="793" t="s">
        <v>14</v>
      </c>
      <c r="B39" s="794"/>
      <c r="C39" s="166">
        <f>SUMIF($G$7:$G$31,"Cleaning",$F$7:$F$31)</f>
        <v>0</v>
      </c>
      <c r="D39" s="120">
        <f>C39+'10'!D39</f>
        <v>0</v>
      </c>
      <c r="E39" s="145">
        <f t="shared" si="2"/>
        <v>0</v>
      </c>
      <c r="F39" s="309">
        <v>1350</v>
      </c>
      <c r="G39" s="309">
        <v>1039.5</v>
      </c>
      <c r="H39" s="187" t="s">
        <v>77</v>
      </c>
      <c r="I39" s="144"/>
      <c r="J39" s="131">
        <f>J37/G4</f>
        <v>47.255173626148718</v>
      </c>
      <c r="K39" s="132" t="s">
        <v>75</v>
      </c>
    </row>
    <row r="40" spans="1:14" ht="17.45" customHeight="1">
      <c r="A40" s="793" t="s">
        <v>78</v>
      </c>
      <c r="B40" s="794"/>
      <c r="C40" s="166">
        <f>SUMIF($G$7:$G$31,"Mechanical",$F$7:$F$31)</f>
        <v>0</v>
      </c>
      <c r="D40" s="120">
        <f>C40+'10'!D40</f>
        <v>5</v>
      </c>
      <c r="E40" s="145">
        <f t="shared" si="2"/>
        <v>8.3333333333333329E-2</v>
      </c>
      <c r="F40" s="309">
        <v>1340.9375</v>
      </c>
      <c r="G40" s="309">
        <v>1032.5218749999999</v>
      </c>
      <c r="H40" s="187" t="s">
        <v>79</v>
      </c>
      <c r="I40" s="120">
        <f>(K34+L34)/1000</f>
        <v>31.271999999999998</v>
      </c>
      <c r="J40" s="133">
        <f>+I40+'10'!J40</f>
        <v>436.96899999999999</v>
      </c>
      <c r="K40" s="132" t="s">
        <v>75</v>
      </c>
    </row>
    <row r="41" spans="1:14" ht="17.45" customHeight="1">
      <c r="A41" s="793" t="s">
        <v>80</v>
      </c>
      <c r="B41" s="794"/>
      <c r="C41" s="166">
        <f>SUMIF($G$7:$G$31,"Electrical",$F$7:$F$31)</f>
        <v>0</v>
      </c>
      <c r="D41" s="120">
        <f>C41+'10'!D41</f>
        <v>36</v>
      </c>
      <c r="E41" s="145">
        <f t="shared" si="2"/>
        <v>0.6</v>
      </c>
      <c r="F41" s="309"/>
      <c r="G41" s="309"/>
      <c r="H41" s="187" t="s">
        <v>81</v>
      </c>
      <c r="I41" s="144"/>
      <c r="J41" s="131">
        <f>J40/G4</f>
        <v>39.724454545454542</v>
      </c>
      <c r="K41" s="132" t="s">
        <v>75</v>
      </c>
    </row>
    <row r="42" spans="1:14" ht="17.45" customHeight="1">
      <c r="A42" s="793" t="s">
        <v>17</v>
      </c>
      <c r="B42" s="794"/>
      <c r="C42" s="166">
        <f>SUMIF($G$7:$G$31,"Instrument",$F$7:$F$31)</f>
        <v>0</v>
      </c>
      <c r="D42" s="120">
        <f>C42+'10'!D42</f>
        <v>0</v>
      </c>
      <c r="E42" s="145">
        <f t="shared" si="2"/>
        <v>0</v>
      </c>
      <c r="F42" s="185">
        <f>+(480*F38+480*F39+480*F40)/1440</f>
        <v>1346.9791666666667</v>
      </c>
      <c r="G42" s="185">
        <f>+(480*G38+480*G39+480*G40)/1440</f>
        <v>1037.1739583333333</v>
      </c>
      <c r="H42" s="187" t="s">
        <v>82</v>
      </c>
      <c r="I42" s="243" t="s">
        <v>588</v>
      </c>
      <c r="J42" s="134"/>
      <c r="K42" s="132" t="s">
        <v>83</v>
      </c>
    </row>
    <row r="43" spans="1:14" ht="17.45" customHeight="1">
      <c r="A43" s="793" t="s">
        <v>84</v>
      </c>
      <c r="B43" s="794"/>
      <c r="C43" s="166">
        <f>SUMIF($G$7:$G$31,"Water",$F$7:$F$31)</f>
        <v>0</v>
      </c>
      <c r="D43" s="120">
        <f>C43+'10'!D43</f>
        <v>0</v>
      </c>
      <c r="E43" s="145">
        <f t="shared" si="2"/>
        <v>0</v>
      </c>
      <c r="F43" s="309"/>
      <c r="G43" s="310"/>
      <c r="H43" s="188" t="s">
        <v>85</v>
      </c>
      <c r="I43" s="120">
        <f>+Report1!Z19</f>
        <v>84.9</v>
      </c>
      <c r="J43" s="135">
        <f>+I43+'10'!J43</f>
        <v>934</v>
      </c>
      <c r="K43" s="132" t="s">
        <v>75</v>
      </c>
      <c r="L43" s="189"/>
    </row>
    <row r="44" spans="1:14" ht="17.45" customHeight="1">
      <c r="A44" s="793" t="s">
        <v>18</v>
      </c>
      <c r="B44" s="794"/>
      <c r="C44" s="166">
        <f>SUMIF($G$7:$G$31,"PLN",$F$7:$F$31)</f>
        <v>0</v>
      </c>
      <c r="D44" s="120">
        <f>C44+'10'!D44</f>
        <v>30</v>
      </c>
      <c r="E44" s="145">
        <f t="shared" si="2"/>
        <v>0.5</v>
      </c>
      <c r="F44" s="309"/>
      <c r="G44" s="310"/>
      <c r="H44" s="188" t="s">
        <v>86</v>
      </c>
      <c r="I44" s="120">
        <f>I43/I38</f>
        <v>2.1627818112342378</v>
      </c>
      <c r="J44" s="136">
        <f>J43/J38</f>
        <v>2.0304921660829547</v>
      </c>
      <c r="K44" s="132" t="s">
        <v>75</v>
      </c>
    </row>
    <row r="45" spans="1:14" ht="17.45" customHeight="1">
      <c r="A45" s="793" t="s">
        <v>19</v>
      </c>
      <c r="B45" s="794"/>
      <c r="C45" s="166">
        <f>SUMIF($G$7:$G$31,"Boiler",$F$7:$F$31)</f>
        <v>0</v>
      </c>
      <c r="D45" s="120">
        <f>C45+'10'!D45</f>
        <v>0</v>
      </c>
      <c r="E45" s="145">
        <f t="shared" si="2"/>
        <v>0</v>
      </c>
      <c r="F45" s="309"/>
      <c r="G45" s="312"/>
      <c r="H45" s="188" t="s">
        <v>87</v>
      </c>
      <c r="I45" s="120">
        <f>I43/I40</f>
        <v>2.7148887183422872</v>
      </c>
      <c r="J45" s="136">
        <f>J43/J40</f>
        <v>2.1374513981541026</v>
      </c>
      <c r="K45" s="132" t="s">
        <v>75</v>
      </c>
    </row>
    <row r="46" spans="1:14" ht="17.45" customHeight="1">
      <c r="A46" s="793" t="s">
        <v>88</v>
      </c>
      <c r="B46" s="794"/>
      <c r="C46" s="166">
        <f>SUMIF($G$7:$G$31,"Gas",$F$7:$F$31)</f>
        <v>0</v>
      </c>
      <c r="D46" s="120">
        <f>C46+'10'!D46</f>
        <v>0</v>
      </c>
      <c r="E46" s="145">
        <f t="shared" si="2"/>
        <v>0</v>
      </c>
      <c r="F46" s="309"/>
      <c r="G46" s="310"/>
      <c r="H46" s="188" t="s">
        <v>89</v>
      </c>
      <c r="I46" s="142">
        <f>+SUMIF(Listrik!X18,"&gt;0")</f>
        <v>42169.324999998818</v>
      </c>
      <c r="J46" s="137">
        <f>+I46+'10'!J46</f>
        <v>431207.2849999984</v>
      </c>
      <c r="K46" s="132" t="s">
        <v>90</v>
      </c>
    </row>
    <row r="47" spans="1:14" ht="17.45" customHeight="1">
      <c r="A47" s="793" t="s">
        <v>91</v>
      </c>
      <c r="B47" s="794"/>
      <c r="C47" s="166">
        <f>SUMIF($G$7:$G$31,"Gas",$F$7:$F$31)</f>
        <v>0</v>
      </c>
      <c r="D47" s="120">
        <f>C47+'10'!D47</f>
        <v>0</v>
      </c>
      <c r="E47" s="145">
        <f t="shared" si="2"/>
        <v>0</v>
      </c>
      <c r="F47" s="309"/>
      <c r="G47" s="310"/>
      <c r="H47" s="188" t="s">
        <v>92</v>
      </c>
      <c r="I47" s="120">
        <f>I46/I38</f>
        <v>1074.2408610367804</v>
      </c>
      <c r="J47" s="137">
        <f>J46/J38</f>
        <v>937.43363399400073</v>
      </c>
      <c r="K47" s="132" t="s">
        <v>25</v>
      </c>
    </row>
    <row r="48" spans="1:14" ht="17.45" customHeight="1">
      <c r="A48" s="793" t="s">
        <v>15</v>
      </c>
      <c r="B48" s="794"/>
      <c r="C48" s="166">
        <f>SUMIF($G$7:$G$31,"Start Up",$F$7:$F$31)</f>
        <v>0</v>
      </c>
      <c r="D48" s="120">
        <f>C48+'10'!D48</f>
        <v>0</v>
      </c>
      <c r="E48" s="145">
        <f t="shared" si="2"/>
        <v>0</v>
      </c>
      <c r="F48" s="309"/>
      <c r="G48" s="310"/>
      <c r="H48" s="188" t="s">
        <v>93</v>
      </c>
      <c r="I48" s="120">
        <f>I46/I40</f>
        <v>1348.4690777692126</v>
      </c>
      <c r="J48" s="137">
        <f>J46/J40</f>
        <v>986.81436211721746</v>
      </c>
      <c r="K48" s="132" t="s">
        <v>25</v>
      </c>
    </row>
    <row r="49" spans="1:11" ht="17.45" customHeight="1">
      <c r="A49" s="793" t="s">
        <v>21</v>
      </c>
      <c r="B49" s="794"/>
      <c r="C49" s="166">
        <f>SUMIF($G$7:$G$31,"Others",$F$7:$F$31)</f>
        <v>0</v>
      </c>
      <c r="D49" s="120">
        <f>C49+'10'!D49</f>
        <v>446</v>
      </c>
      <c r="E49" s="145">
        <f t="shared" si="2"/>
        <v>7.4333333333333336</v>
      </c>
      <c r="F49" s="185"/>
      <c r="H49" s="188" t="s">
        <v>279</v>
      </c>
      <c r="I49" s="120">
        <f>+Report1!T19</f>
        <v>3789.1460104872667</v>
      </c>
      <c r="J49" s="137">
        <f>+I49+'10'!J49</f>
        <v>37393.936601400768</v>
      </c>
      <c r="K49" s="132" t="s">
        <v>94</v>
      </c>
    </row>
    <row r="50" spans="1:11" ht="17.45" customHeight="1">
      <c r="A50" s="793" t="s">
        <v>20</v>
      </c>
      <c r="B50" s="794"/>
      <c r="C50" s="166">
        <f>SUMIF($G$7:$G$31,"Steam",$F$7:$F$31)</f>
        <v>0</v>
      </c>
      <c r="D50" s="120">
        <f>C50+'10'!D50</f>
        <v>0</v>
      </c>
      <c r="E50" s="145">
        <f t="shared" si="2"/>
        <v>0</v>
      </c>
      <c r="F50" s="185"/>
      <c r="H50" s="188" t="s">
        <v>95</v>
      </c>
      <c r="I50" s="142">
        <f>I49/I38</f>
        <v>96.526455495790771</v>
      </c>
      <c r="J50" s="135">
        <f>J49/J38</f>
        <v>81.293463948765449</v>
      </c>
      <c r="K50" s="132" t="s">
        <v>94</v>
      </c>
    </row>
    <row r="51" spans="1:11" ht="17.45" customHeight="1">
      <c r="A51" s="810" t="s">
        <v>96</v>
      </c>
      <c r="B51" s="810"/>
      <c r="C51" s="166">
        <f>SUMIF($G$7:$G$31,"Planned shut",$F$7:$F$31)</f>
        <v>0</v>
      </c>
      <c r="D51" s="120">
        <f>C51+'10'!D51</f>
        <v>0</v>
      </c>
      <c r="E51" s="145">
        <f t="shared" si="2"/>
        <v>0</v>
      </c>
      <c r="F51" s="185"/>
      <c r="H51" s="190" t="s">
        <v>97</v>
      </c>
      <c r="I51" s="143">
        <f>I49/I40</f>
        <v>121.16737050675579</v>
      </c>
      <c r="J51" s="138">
        <f>J49/J40</f>
        <v>85.575719562259039</v>
      </c>
      <c r="K51" s="139" t="s">
        <v>94</v>
      </c>
    </row>
    <row r="52" spans="1:11" ht="13.5" thickBot="1">
      <c r="A52" s="811" t="s">
        <v>230</v>
      </c>
      <c r="B52" s="812"/>
      <c r="C52" s="166">
        <f>SUMIF($G$7:$G$31,"Change Grade",$F$7:$F$31)</f>
        <v>0</v>
      </c>
      <c r="D52" s="120">
        <f>C52+'10'!D52</f>
        <v>0</v>
      </c>
      <c r="E52" s="145">
        <f t="shared" si="2"/>
        <v>0</v>
      </c>
      <c r="F52" s="185"/>
      <c r="H52" s="191"/>
      <c r="I52" s="192"/>
      <c r="J52" s="140"/>
      <c r="K52" s="141"/>
    </row>
    <row r="53" spans="1:11">
      <c r="A53" s="806" t="s">
        <v>29</v>
      </c>
      <c r="B53" s="807"/>
      <c r="C53" s="146">
        <f>SUM(C38:C52)</f>
        <v>140</v>
      </c>
      <c r="D53" s="146">
        <f>SUM(D38:D52)</f>
        <v>1555</v>
      </c>
      <c r="E53" s="147">
        <f>SUM(E38:E52)</f>
        <v>25.916666666666668</v>
      </c>
      <c r="F53" s="185"/>
    </row>
    <row r="54" spans="1:11" ht="13.5" thickBot="1">
      <c r="A54" s="808"/>
      <c r="B54" s="809"/>
      <c r="C54" s="148">
        <f>C53/(24*60)</f>
        <v>9.7222222222222224E-2</v>
      </c>
      <c r="D54" s="148">
        <f>D53/(24*60*G4)</f>
        <v>9.816919191919192E-2</v>
      </c>
      <c r="E54" s="149">
        <f>E53/(G4*24)</f>
        <v>9.816919191919192E-2</v>
      </c>
      <c r="F54" s="185"/>
    </row>
    <row r="55" spans="1:11">
      <c r="E55" s="193"/>
    </row>
    <row r="56" spans="1:11">
      <c r="A56" s="194" t="s">
        <v>98</v>
      </c>
      <c r="B56" s="195"/>
      <c r="C56" s="196"/>
      <c r="D56" s="196"/>
      <c r="E56" s="196"/>
      <c r="F56" s="197"/>
      <c r="G56" s="196"/>
      <c r="H56" s="198"/>
      <c r="I56" s="199" t="s">
        <v>99</v>
      </c>
      <c r="J56" s="200">
        <f>+D34+'10'!J56</f>
        <v>2028</v>
      </c>
      <c r="K56" s="201">
        <f>J56/(J40+J56/1000)/1000</f>
        <v>4.619621546388699E-3</v>
      </c>
    </row>
    <row r="57" spans="1:11">
      <c r="A57" s="176"/>
      <c r="I57" s="199" t="s">
        <v>100</v>
      </c>
      <c r="J57" s="200">
        <f>+E34+'10'!J57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 ref="A53:B53"/>
    <mergeCell ref="A52:B52"/>
    <mergeCell ref="A46:B46"/>
    <mergeCell ref="A51:B51"/>
    <mergeCell ref="A50:B50"/>
    <mergeCell ref="A49:B49"/>
    <mergeCell ref="A47:B47"/>
    <mergeCell ref="A48:B48"/>
  </mergeCells>
  <phoneticPr fontId="30" type="noConversion"/>
  <pageMargins left="0.17" right="0.16" top="0.17" bottom="0.16" header="0" footer="0"/>
  <pageSetup paperSize="9" scale="56"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7"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7.28515625" style="151" bestFit="1" customWidth="1"/>
    <col min="11" max="11" width="12.5703125" style="151" bestFit="1" customWidth="1"/>
    <col min="12" max="12" width="8.28515625" style="151" customWidth="1"/>
    <col min="13" max="13" width="12.140625" style="15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10</v>
      </c>
      <c r="H4" s="156" t="str">
        <f>+'1'!H4</f>
        <v>.07.25</v>
      </c>
      <c r="J4" s="151">
        <f>431+424+419</f>
        <v>1274</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409</v>
      </c>
      <c r="O6" s="151">
        <v>1330</v>
      </c>
      <c r="P6" s="151">
        <f>+O6-O6*0.23</f>
        <v>1024.0999999999999</v>
      </c>
      <c r="Q6" s="151">
        <v>480</v>
      </c>
      <c r="R6" s="151">
        <f>+O6*Q6</f>
        <v>638400</v>
      </c>
      <c r="S6" s="151">
        <f>+P6*Q6</f>
        <v>491567.99999999994</v>
      </c>
    </row>
    <row r="7" spans="1:19" ht="13.5" customHeight="1" thickBot="1">
      <c r="A7" s="795" t="s">
        <v>470</v>
      </c>
      <c r="B7" s="215" t="s">
        <v>398</v>
      </c>
      <c r="C7" s="216">
        <v>10043</v>
      </c>
      <c r="D7" s="217">
        <v>710</v>
      </c>
      <c r="E7" s="218"/>
      <c r="F7" s="233"/>
      <c r="G7" s="555" t="s">
        <v>13</v>
      </c>
      <c r="H7" s="556" t="s">
        <v>461</v>
      </c>
      <c r="I7" s="798" t="s">
        <v>575</v>
      </c>
      <c r="J7" s="214" t="str">
        <f>+'9'!J7</f>
        <v>F 12 VP OW</v>
      </c>
      <c r="K7" s="235">
        <f>+C34</f>
        <v>40226</v>
      </c>
      <c r="L7" s="239"/>
      <c r="M7" s="119">
        <f>+K7+'9'!M7+L7</f>
        <v>88145</v>
      </c>
      <c r="N7" s="151" t="s">
        <v>409</v>
      </c>
      <c r="O7" s="151">
        <v>1350</v>
      </c>
      <c r="P7" s="151">
        <f>+O7-O7*0.23</f>
        <v>1039.5</v>
      </c>
      <c r="Q7" s="151">
        <v>480</v>
      </c>
      <c r="R7" s="151">
        <f>+O7*Q7</f>
        <v>648000</v>
      </c>
      <c r="S7" s="151">
        <f>+P7*Q7</f>
        <v>498960</v>
      </c>
    </row>
    <row r="8" spans="1:19" ht="13.5" thickBot="1">
      <c r="A8" s="796"/>
      <c r="B8" s="215"/>
      <c r="C8" s="216"/>
      <c r="D8" s="217"/>
      <c r="E8" s="219"/>
      <c r="F8" s="229">
        <v>4</v>
      </c>
      <c r="G8" s="557" t="s">
        <v>13</v>
      </c>
      <c r="H8" s="228" t="s">
        <v>462</v>
      </c>
      <c r="I8" s="799"/>
      <c r="J8" s="214" t="str">
        <f>+'9'!J8</f>
        <v>F 11,5 VP OW</v>
      </c>
      <c r="K8" s="236"/>
      <c r="L8" s="236"/>
      <c r="M8" s="119">
        <f>+K8+'9'!M8+L8</f>
        <v>150859</v>
      </c>
      <c r="N8" s="151" t="s">
        <v>409</v>
      </c>
      <c r="O8" s="151">
        <v>1350</v>
      </c>
      <c r="P8" s="151">
        <f>+O8-O8*0.23</f>
        <v>1039.5</v>
      </c>
      <c r="Q8" s="151">
        <v>480</v>
      </c>
      <c r="R8" s="151">
        <f>+O8*Q8</f>
        <v>648000</v>
      </c>
      <c r="S8" s="151">
        <f>+P8*Q8</f>
        <v>498960</v>
      </c>
    </row>
    <row r="9" spans="1:19" ht="13.5" thickBot="1">
      <c r="A9" s="796"/>
      <c r="B9" s="215"/>
      <c r="C9" s="216"/>
      <c r="D9" s="217"/>
      <c r="E9" s="220"/>
      <c r="F9" s="229">
        <v>14</v>
      </c>
      <c r="G9" s="557" t="s">
        <v>13</v>
      </c>
      <c r="H9" s="231" t="s">
        <v>480</v>
      </c>
      <c r="I9" s="799"/>
      <c r="J9" s="214" t="str">
        <f>+'9'!J9</f>
        <v>T 13 VP OW</v>
      </c>
      <c r="K9" s="236"/>
      <c r="L9" s="236"/>
      <c r="M9" s="119">
        <f>+K9+'9'!M9+L9</f>
        <v>113358</v>
      </c>
      <c r="P9" s="151">
        <f t="shared" ref="P9:P10" si="0">+O9-O9*0.23</f>
        <v>0</v>
      </c>
      <c r="R9" s="151">
        <f>+O9*Q9</f>
        <v>0</v>
      </c>
      <c r="S9" s="151">
        <f>+P9*Q9</f>
        <v>0</v>
      </c>
    </row>
    <row r="10" spans="1:19" ht="64.5" thickBot="1">
      <c r="A10" s="796"/>
      <c r="B10" s="215"/>
      <c r="C10" s="216"/>
      <c r="D10" s="217"/>
      <c r="E10" s="219"/>
      <c r="F10" s="229"/>
      <c r="G10" s="227"/>
      <c r="H10" s="558" t="s">
        <v>574</v>
      </c>
      <c r="I10" s="799"/>
      <c r="J10" s="214" t="str">
        <f>+'9'!J10</f>
        <v>F 13 VP OW</v>
      </c>
      <c r="K10" s="236"/>
      <c r="L10" s="236"/>
      <c r="M10" s="119">
        <f>+K10+'9'!M10+L10</f>
        <v>43207</v>
      </c>
      <c r="P10" s="151">
        <f t="shared" si="0"/>
        <v>0</v>
      </c>
      <c r="R10" s="151">
        <f>+O10*Q10</f>
        <v>0</v>
      </c>
      <c r="S10" s="151">
        <f>+P10*Q10</f>
        <v>0</v>
      </c>
    </row>
    <row r="11" spans="1:19" ht="39" thickBot="1">
      <c r="A11" s="796"/>
      <c r="B11" s="215"/>
      <c r="C11" s="216"/>
      <c r="D11" s="217"/>
      <c r="E11" s="219"/>
      <c r="F11" s="226"/>
      <c r="G11" s="230"/>
      <c r="H11" s="231" t="s">
        <v>571</v>
      </c>
      <c r="I11" s="799"/>
      <c r="J11" s="214" t="str">
        <f>+'9'!J11</f>
        <v xml:space="preserve">T 13 VP OW HB </v>
      </c>
      <c r="K11" s="236"/>
      <c r="L11" s="236"/>
      <c r="M11" s="119">
        <f>+K11+'9'!M11+L11</f>
        <v>10128</v>
      </c>
    </row>
    <row r="12" spans="1:19" ht="13.5" thickBot="1">
      <c r="A12" s="796"/>
      <c r="B12" s="215"/>
      <c r="C12" s="216"/>
      <c r="D12" s="217"/>
      <c r="E12" s="219"/>
      <c r="F12" s="226"/>
      <c r="G12" s="230"/>
      <c r="H12" s="231"/>
      <c r="I12" s="799"/>
      <c r="J12" s="214">
        <f>+'9'!J12</f>
        <v>0</v>
      </c>
      <c r="K12" s="236"/>
      <c r="L12" s="236"/>
      <c r="M12" s="119">
        <f>+K12+'9'!M12+L12</f>
        <v>0</v>
      </c>
      <c r="Q12" s="151">
        <f>SUM(Q6:Q11)</f>
        <v>1440</v>
      </c>
      <c r="R12" s="151">
        <f>SUM(R6:R9)</f>
        <v>1934400</v>
      </c>
      <c r="S12" s="151">
        <f>SUM(S6:S9)</f>
        <v>1489488</v>
      </c>
    </row>
    <row r="13" spans="1:19" ht="13.5" thickBot="1">
      <c r="A13" s="796"/>
      <c r="B13" s="215"/>
      <c r="C13" s="216"/>
      <c r="D13" s="216"/>
      <c r="E13" s="219"/>
      <c r="F13" s="226"/>
      <c r="G13" s="230"/>
      <c r="H13" s="231"/>
      <c r="I13" s="800"/>
      <c r="J13" s="214">
        <f>+'9'!J13</f>
        <v>0</v>
      </c>
      <c r="K13" s="236"/>
      <c r="L13" s="236"/>
      <c r="M13" s="119">
        <f>+K13+'9'!M13+L13</f>
        <v>0</v>
      </c>
      <c r="P13" s="151" t="s">
        <v>424</v>
      </c>
      <c r="Q13" s="151">
        <f>480-Q12</f>
        <v>-960</v>
      </c>
      <c r="R13" s="151">
        <f>+R12/Q12</f>
        <v>1343.3333333333333</v>
      </c>
      <c r="S13" s="151">
        <f>+S12/Q12</f>
        <v>1034.3666666666666</v>
      </c>
    </row>
    <row r="14" spans="1:19" ht="13.5" thickBot="1">
      <c r="A14" s="797"/>
      <c r="B14" s="167" t="s">
        <v>3</v>
      </c>
      <c r="C14" s="101">
        <f>SUM(C7:C13)</f>
        <v>10043</v>
      </c>
      <c r="D14" s="113">
        <f>SUM(D7:D13)</f>
        <v>710</v>
      </c>
      <c r="E14" s="114">
        <f>SUM(E5:E13)</f>
        <v>0</v>
      </c>
      <c r="F14" s="118">
        <f>SUM(F7:F13)</f>
        <v>18</v>
      </c>
      <c r="G14" s="161"/>
      <c r="H14" s="168"/>
      <c r="I14" s="169"/>
      <c r="J14" s="214">
        <f>+'9'!J14</f>
        <v>0</v>
      </c>
      <c r="K14" s="236"/>
      <c r="L14" s="236"/>
      <c r="M14" s="119">
        <f>+K14+'9'!M14+L14</f>
        <v>0</v>
      </c>
    </row>
    <row r="15" spans="1:19" ht="13.5" customHeight="1" thickBot="1">
      <c r="A15" s="801" t="s">
        <v>444</v>
      </c>
      <c r="B15" s="518"/>
      <c r="C15" s="115">
        <f>C14/($C$23+$D$23+$E$23)</f>
        <v>0.56487991450587771</v>
      </c>
      <c r="D15" s="116">
        <f>D14/($C$23+$D$23+$E$23)</f>
        <v>3.9934754485629116E-2</v>
      </c>
      <c r="E15" s="117">
        <f>E14/($C$23+$D$23+$E$23)</f>
        <v>0</v>
      </c>
      <c r="F15" s="233"/>
      <c r="G15" s="555" t="s">
        <v>13</v>
      </c>
      <c r="H15" s="556" t="s">
        <v>461</v>
      </c>
      <c r="I15" s="798" t="s">
        <v>459</v>
      </c>
      <c r="J15" s="214">
        <f>+'9'!J15</f>
        <v>0</v>
      </c>
      <c r="K15" s="236"/>
      <c r="L15" s="236"/>
      <c r="M15" s="119">
        <f>+K15+'9'!M15+L15</f>
        <v>0</v>
      </c>
    </row>
    <row r="16" spans="1:19" ht="13.5" thickBot="1">
      <c r="A16" s="796"/>
      <c r="B16" s="215" t="s">
        <v>398</v>
      </c>
      <c r="C16" s="516">
        <v>17493</v>
      </c>
      <c r="D16" s="221">
        <v>286</v>
      </c>
      <c r="E16" s="222"/>
      <c r="F16" s="229">
        <v>4</v>
      </c>
      <c r="G16" s="557" t="s">
        <v>13</v>
      </c>
      <c r="H16" s="228" t="s">
        <v>462</v>
      </c>
      <c r="I16" s="799"/>
      <c r="J16" s="214">
        <f>+'9'!J16</f>
        <v>0</v>
      </c>
      <c r="K16" s="236"/>
      <c r="L16" s="227"/>
      <c r="M16" s="119">
        <f>+K16+'9'!M16+L16</f>
        <v>0</v>
      </c>
    </row>
    <row r="17" spans="1:16" ht="13.5" thickBot="1">
      <c r="A17" s="796"/>
      <c r="B17" s="215"/>
      <c r="C17" s="216"/>
      <c r="D17" s="217"/>
      <c r="E17" s="223"/>
      <c r="F17" s="229">
        <v>8</v>
      </c>
      <c r="G17" s="557" t="s">
        <v>13</v>
      </c>
      <c r="H17" s="231" t="s">
        <v>463</v>
      </c>
      <c r="I17" s="799"/>
      <c r="J17" s="214">
        <f>+'9'!J17</f>
        <v>0</v>
      </c>
      <c r="K17" s="236"/>
      <c r="L17" s="227"/>
      <c r="M17" s="119">
        <f>+K17+'9'!M17+L17</f>
        <v>0</v>
      </c>
    </row>
    <row r="18" spans="1:16" ht="64.5" thickBot="1">
      <c r="A18" s="796"/>
      <c r="B18" s="215"/>
      <c r="C18" s="216"/>
      <c r="D18" s="217"/>
      <c r="E18" s="223"/>
      <c r="F18" s="229"/>
      <c r="G18" s="227"/>
      <c r="H18" s="558" t="s">
        <v>562</v>
      </c>
      <c r="I18" s="799"/>
      <c r="J18" s="214">
        <f>+'9'!J18</f>
        <v>0</v>
      </c>
      <c r="K18" s="236"/>
      <c r="L18" s="236"/>
      <c r="M18" s="119">
        <f>+K18+'9'!M18+L18</f>
        <v>0</v>
      </c>
    </row>
    <row r="19" spans="1:16" ht="64.5" thickBot="1">
      <c r="A19" s="796"/>
      <c r="B19" s="215"/>
      <c r="C19" s="216"/>
      <c r="D19" s="217"/>
      <c r="E19" s="223"/>
      <c r="F19" s="232"/>
      <c r="G19" s="230"/>
      <c r="H19" s="231" t="s">
        <v>572</v>
      </c>
      <c r="I19" s="799"/>
      <c r="J19" s="214">
        <f>+'9'!J19</f>
        <v>0</v>
      </c>
      <c r="K19" s="236"/>
      <c r="L19" s="236"/>
      <c r="M19" s="119">
        <f>+K19+'9'!M19+L19</f>
        <v>0</v>
      </c>
      <c r="P19" s="176"/>
    </row>
    <row r="20" spans="1:16" ht="13.5" thickBot="1">
      <c r="A20" s="796"/>
      <c r="B20" s="215"/>
      <c r="C20" s="216"/>
      <c r="D20" s="217"/>
      <c r="E20" s="223"/>
      <c r="F20" s="226"/>
      <c r="G20" s="230"/>
      <c r="H20" s="231"/>
      <c r="I20" s="799"/>
      <c r="J20" s="214">
        <f>+'9'!J20</f>
        <v>0</v>
      </c>
      <c r="K20" s="237"/>
      <c r="L20" s="237"/>
      <c r="M20" s="119">
        <f>+K20+'9'!M20+L20</f>
        <v>0</v>
      </c>
      <c r="P20" s="176"/>
    </row>
    <row r="21" spans="1:16" ht="13.5" thickBot="1">
      <c r="A21" s="796"/>
      <c r="B21" s="215"/>
      <c r="C21" s="216"/>
      <c r="D21" s="217"/>
      <c r="E21" s="223"/>
      <c r="F21" s="229"/>
      <c r="G21" s="230"/>
      <c r="H21" s="231"/>
      <c r="I21" s="799"/>
      <c r="J21" s="214">
        <f>+'9'!J21</f>
        <v>0</v>
      </c>
      <c r="K21" s="236"/>
      <c r="L21" s="236"/>
      <c r="M21" s="119">
        <f>+K21+'9'!M21+L21</f>
        <v>0</v>
      </c>
      <c r="P21" s="176"/>
    </row>
    <row r="22" spans="1:16" ht="13.5" thickBot="1">
      <c r="A22" s="796"/>
      <c r="B22" s="215"/>
      <c r="C22" s="216"/>
      <c r="D22" s="217"/>
      <c r="E22" s="223"/>
      <c r="F22" s="233"/>
      <c r="G22" s="230"/>
      <c r="H22" s="231"/>
      <c r="I22" s="800"/>
      <c r="J22" s="214">
        <f>+'9'!J22</f>
        <v>0</v>
      </c>
      <c r="K22" s="236"/>
      <c r="L22" s="236"/>
      <c r="M22" s="119">
        <f>+K22+'9'!M22+L22</f>
        <v>0</v>
      </c>
      <c r="P22" s="176"/>
    </row>
    <row r="23" spans="1:16" ht="13.5" thickBot="1">
      <c r="A23" s="797"/>
      <c r="B23" s="167" t="s">
        <v>3</v>
      </c>
      <c r="C23" s="101">
        <f>SUM(C16:C22)</f>
        <v>17493</v>
      </c>
      <c r="D23" s="113">
        <f>SUM(D16:D22)</f>
        <v>286</v>
      </c>
      <c r="E23" s="114">
        <f>SUM(E18:E22)</f>
        <v>0</v>
      </c>
      <c r="F23" s="118">
        <f>SUM(F15:F22)</f>
        <v>12</v>
      </c>
      <c r="G23" s="161"/>
      <c r="H23" s="168"/>
      <c r="I23" s="170"/>
      <c r="J23" s="214">
        <f>+'9'!J23</f>
        <v>0</v>
      </c>
      <c r="K23" s="236"/>
      <c r="L23" s="236"/>
      <c r="M23" s="119">
        <f>+K23+'9'!M23+L23</f>
        <v>0</v>
      </c>
      <c r="P23" s="176"/>
    </row>
    <row r="24" spans="1:16" ht="13.5" customHeight="1" thickBot="1">
      <c r="A24" s="801" t="s">
        <v>442</v>
      </c>
      <c r="B24" s="518"/>
      <c r="C24" s="115">
        <f>C23/($C$23+$D$23+$E$23)</f>
        <v>0.98391360593959165</v>
      </c>
      <c r="D24" s="116">
        <f>D23/($C$23+$D$23+$E$23)</f>
        <v>1.6086394060408345E-2</v>
      </c>
      <c r="E24" s="117">
        <f>E23/($C$23+$D$23+$E$23)</f>
        <v>0</v>
      </c>
      <c r="F24" s="233">
        <v>8</v>
      </c>
      <c r="G24" s="555" t="s">
        <v>13</v>
      </c>
      <c r="H24" s="556" t="s">
        <v>432</v>
      </c>
      <c r="I24" s="798" t="s">
        <v>459</v>
      </c>
      <c r="J24" s="214">
        <f>+'9'!J24</f>
        <v>0</v>
      </c>
      <c r="K24" s="236"/>
      <c r="L24" s="236"/>
      <c r="M24" s="119">
        <f>+K24+'9'!M24+L24</f>
        <v>0</v>
      </c>
      <c r="P24" s="176"/>
    </row>
    <row r="25" spans="1:16" ht="13.5" customHeight="1" thickBot="1">
      <c r="A25" s="796"/>
      <c r="B25" s="215" t="s">
        <v>398</v>
      </c>
      <c r="C25" s="224">
        <v>12690</v>
      </c>
      <c r="D25" s="217"/>
      <c r="E25" s="223"/>
      <c r="F25" s="229">
        <v>6</v>
      </c>
      <c r="G25" s="557" t="s">
        <v>13</v>
      </c>
      <c r="H25" s="228" t="s">
        <v>399</v>
      </c>
      <c r="I25" s="799"/>
      <c r="J25" s="214">
        <f>+'8'!J25</f>
        <v>0</v>
      </c>
      <c r="K25" s="236"/>
      <c r="L25" s="236"/>
      <c r="M25" s="119">
        <f>+K25+'9'!M25+L25</f>
        <v>0</v>
      </c>
      <c r="P25" s="176"/>
    </row>
    <row r="26" spans="1:16" ht="13.5" customHeight="1" thickBot="1">
      <c r="A26" s="796"/>
      <c r="B26" s="215"/>
      <c r="C26" s="224"/>
      <c r="D26" s="217"/>
      <c r="E26" s="225"/>
      <c r="F26" s="229">
        <f>39-14</f>
        <v>25</v>
      </c>
      <c r="G26" s="557" t="s">
        <v>13</v>
      </c>
      <c r="H26" s="231" t="s">
        <v>520</v>
      </c>
      <c r="I26" s="799"/>
      <c r="J26" s="214">
        <f>+'8'!J26</f>
        <v>0</v>
      </c>
      <c r="K26" s="236"/>
      <c r="L26" s="236"/>
      <c r="M26" s="119">
        <f>+K26+'9'!M26+L26</f>
        <v>0</v>
      </c>
      <c r="P26" s="176"/>
    </row>
    <row r="27" spans="1:16" ht="64.5" thickBot="1">
      <c r="A27" s="796"/>
      <c r="B27" s="215"/>
      <c r="C27" s="216"/>
      <c r="D27" s="217"/>
      <c r="E27" s="223"/>
      <c r="F27" s="229"/>
      <c r="G27" s="227"/>
      <c r="H27" s="558" t="s">
        <v>573</v>
      </c>
      <c r="I27" s="799"/>
      <c r="J27" s="214">
        <f>+'8'!J27</f>
        <v>0</v>
      </c>
      <c r="K27" s="236"/>
      <c r="L27" s="236"/>
      <c r="M27" s="119">
        <f>+K27+'9'!M27+L27</f>
        <v>0</v>
      </c>
    </row>
    <row r="28" spans="1:16" ht="13.5" thickBot="1">
      <c r="A28" s="796"/>
      <c r="B28" s="215"/>
      <c r="C28" s="216"/>
      <c r="D28" s="217"/>
      <c r="E28" s="223"/>
      <c r="F28" s="229"/>
      <c r="G28" s="227"/>
      <c r="H28" s="231"/>
      <c r="I28" s="799"/>
      <c r="J28" s="214">
        <f>+'8'!J28</f>
        <v>0</v>
      </c>
      <c r="K28" s="236"/>
      <c r="L28" s="236"/>
      <c r="M28" s="119">
        <f>+K28+'9'!M28+L28</f>
        <v>0</v>
      </c>
    </row>
    <row r="29" spans="1:16" ht="13.5" customHeight="1" thickBot="1">
      <c r="A29" s="796"/>
      <c r="B29" s="215"/>
      <c r="C29" s="216"/>
      <c r="D29" s="217"/>
      <c r="E29" s="223"/>
      <c r="F29" s="233"/>
      <c r="G29" s="230"/>
      <c r="H29" s="231"/>
      <c r="I29" s="799"/>
      <c r="J29" s="214">
        <f>+'8'!J29</f>
        <v>0</v>
      </c>
      <c r="K29" s="236"/>
      <c r="L29" s="236"/>
      <c r="M29" s="119">
        <f>+K29+'9'!M29+L29</f>
        <v>0</v>
      </c>
    </row>
    <row r="30" spans="1:16" ht="13.5" customHeight="1" thickBot="1">
      <c r="A30" s="796"/>
      <c r="B30" s="215"/>
      <c r="C30" s="224"/>
      <c r="D30" s="217"/>
      <c r="E30" s="223"/>
      <c r="F30" s="233"/>
      <c r="G30" s="230"/>
      <c r="H30" s="231"/>
      <c r="I30" s="799"/>
      <c r="J30" s="214">
        <f>+'8'!J30</f>
        <v>0</v>
      </c>
      <c r="K30" s="236"/>
      <c r="L30" s="236"/>
      <c r="M30" s="119">
        <f>+K30+'9'!M30+L30</f>
        <v>0</v>
      </c>
      <c r="N30" s="157"/>
    </row>
    <row r="31" spans="1:16" ht="13.5" customHeight="1" thickBot="1">
      <c r="A31" s="796"/>
      <c r="B31" s="215"/>
      <c r="C31" s="224"/>
      <c r="D31" s="217"/>
      <c r="E31" s="223"/>
      <c r="F31" s="233"/>
      <c r="G31" s="234"/>
      <c r="H31" s="409"/>
      <c r="I31" s="800"/>
      <c r="J31" s="214">
        <f>+'8'!J31</f>
        <v>0</v>
      </c>
      <c r="K31" s="236"/>
      <c r="L31" s="236"/>
      <c r="M31" s="119">
        <f>+K31+'9'!M31+L31</f>
        <v>0</v>
      </c>
    </row>
    <row r="32" spans="1:16" ht="13.5" customHeight="1" thickBot="1">
      <c r="A32" s="797"/>
      <c r="B32" s="167" t="s">
        <v>3</v>
      </c>
      <c r="C32" s="101">
        <f>SUM(C25:C31)</f>
        <v>12690</v>
      </c>
      <c r="D32" s="102">
        <f>SUM(D25:D31)</f>
        <v>0</v>
      </c>
      <c r="E32" s="103">
        <f>SUM(E25:E31)</f>
        <v>0</v>
      </c>
      <c r="F32" s="101">
        <f>SUM(F24:F31)</f>
        <v>39</v>
      </c>
      <c r="G32" s="171"/>
      <c r="H32" s="172"/>
      <c r="I32" s="170"/>
      <c r="J32" s="214">
        <f>+'8'!J32</f>
        <v>0</v>
      </c>
      <c r="K32" s="238"/>
      <c r="L32" s="240"/>
      <c r="M32" s="119">
        <f>+K32+'9'!M32+L32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40226</v>
      </c>
      <c r="D34" s="109">
        <f>D14+D23+D32</f>
        <v>996</v>
      </c>
      <c r="E34" s="109">
        <f>E14+E23+E32</f>
        <v>0</v>
      </c>
      <c r="F34" s="110">
        <f>F14+F23+F32</f>
        <v>69</v>
      </c>
      <c r="H34" s="178"/>
      <c r="I34" s="178"/>
      <c r="J34" s="125" t="s">
        <v>29</v>
      </c>
      <c r="K34" s="126">
        <f>SUM(K7:K32)</f>
        <v>40226</v>
      </c>
      <c r="L34" s="212">
        <f>SUM(L7:L32)</f>
        <v>0</v>
      </c>
      <c r="M34" s="122">
        <f>SUM(M7:M32)</f>
        <v>405697</v>
      </c>
      <c r="N34" s="157"/>
    </row>
    <row r="35" spans="1:14" ht="13.5" thickBot="1">
      <c r="A35" s="179"/>
      <c r="B35" s="180"/>
      <c r="C35" s="106">
        <f>C34/($C$34+$D$34+$E$34)</f>
        <v>0.97583814468002528</v>
      </c>
      <c r="D35" s="106">
        <f>D34/($C$34+$D$34+$E$34)</f>
        <v>2.4161855319974772E-2</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(12*1440)/1440*G42*2.74*1440/1000000</f>
        <v>48.974365439999993</v>
      </c>
      <c r="J37" s="320">
        <f>+I37+'9'!J37</f>
        <v>470.69962704763589</v>
      </c>
      <c r="K37" s="128" t="s">
        <v>75</v>
      </c>
    </row>
    <row r="38" spans="1:14" ht="17.45" customHeight="1">
      <c r="A38" s="806" t="s">
        <v>13</v>
      </c>
      <c r="B38" s="807"/>
      <c r="C38" s="166">
        <f>SUMIF($G$7:$G$31,"Process",$F$7:$F$31)</f>
        <v>69</v>
      </c>
      <c r="D38" s="120">
        <f>C38+'9'!D38</f>
        <v>898</v>
      </c>
      <c r="E38" s="145">
        <f t="shared" ref="E38:E52" si="1">D38/60</f>
        <v>14.966666666666667</v>
      </c>
      <c r="F38" s="309">
        <v>1330</v>
      </c>
      <c r="G38" s="309">
        <v>1024.0999999999999</v>
      </c>
      <c r="H38" s="187" t="s">
        <v>76</v>
      </c>
      <c r="I38" s="242">
        <f>13.697+16.115+13.028</f>
        <v>42.839999999999996</v>
      </c>
      <c r="J38" s="321">
        <f>+I38+'9'!J38</f>
        <v>420.73199999999997</v>
      </c>
      <c r="K38" s="130" t="s">
        <v>75</v>
      </c>
    </row>
    <row r="39" spans="1:14" ht="17.45" customHeight="1">
      <c r="A39" s="793" t="s">
        <v>14</v>
      </c>
      <c r="B39" s="794"/>
      <c r="C39" s="166">
        <f>SUMIF($G$7:$G$31,"Cleaning",$F$7:$F$31)</f>
        <v>0</v>
      </c>
      <c r="D39" s="120">
        <f>C39+'9'!D39</f>
        <v>0</v>
      </c>
      <c r="E39" s="145">
        <f t="shared" si="1"/>
        <v>0</v>
      </c>
      <c r="F39" s="309">
        <v>1350</v>
      </c>
      <c r="G39" s="309">
        <v>1039.5</v>
      </c>
      <c r="H39" s="187" t="s">
        <v>77</v>
      </c>
      <c r="I39" s="144"/>
      <c r="J39" s="322">
        <f>J37/G4</f>
        <v>47.06996270476359</v>
      </c>
      <c r="K39" s="132" t="s">
        <v>75</v>
      </c>
    </row>
    <row r="40" spans="1:14" ht="17.45" customHeight="1">
      <c r="A40" s="793" t="s">
        <v>78</v>
      </c>
      <c r="B40" s="794"/>
      <c r="C40" s="166">
        <f>SUMIF($G$7:$G$31,"Mechanical",$F$7:$F$31)</f>
        <v>0</v>
      </c>
      <c r="D40" s="120">
        <f>C40+'9'!D40</f>
        <v>5</v>
      </c>
      <c r="E40" s="145">
        <f t="shared" si="1"/>
        <v>8.3333333333333329E-2</v>
      </c>
      <c r="F40" s="309">
        <v>1350</v>
      </c>
      <c r="G40" s="309">
        <v>1039.5</v>
      </c>
      <c r="H40" s="187" t="s">
        <v>79</v>
      </c>
      <c r="I40" s="120">
        <f>+(K34+L34)/1000</f>
        <v>40.225999999999999</v>
      </c>
      <c r="J40" s="323">
        <f>+I40+'9'!J40</f>
        <v>405.697</v>
      </c>
      <c r="K40" s="132" t="s">
        <v>75</v>
      </c>
    </row>
    <row r="41" spans="1:14" ht="17.45" customHeight="1">
      <c r="A41" s="793" t="s">
        <v>80</v>
      </c>
      <c r="B41" s="794"/>
      <c r="C41" s="166">
        <f>SUMIF($G$7:$G$31,"Electrical",$F$7:$F$31)</f>
        <v>0</v>
      </c>
      <c r="D41" s="120">
        <f>C41+'9'!D41</f>
        <v>36</v>
      </c>
      <c r="E41" s="145">
        <f t="shared" si="1"/>
        <v>0.6</v>
      </c>
      <c r="F41" s="309"/>
      <c r="G41" s="309"/>
      <c r="H41" s="187" t="s">
        <v>81</v>
      </c>
      <c r="I41" s="144"/>
      <c r="J41" s="322">
        <f>J40/G4</f>
        <v>40.569699999999997</v>
      </c>
      <c r="K41" s="132" t="s">
        <v>75</v>
      </c>
    </row>
    <row r="42" spans="1:14" ht="17.45" customHeight="1">
      <c r="A42" s="793" t="s">
        <v>17</v>
      </c>
      <c r="B42" s="794"/>
      <c r="C42" s="166">
        <f>SUMIF($G$7:$G$31,"Instrument",$F$7:$F$31)</f>
        <v>0</v>
      </c>
      <c r="D42" s="120">
        <f>C42+'9'!D42</f>
        <v>0</v>
      </c>
      <c r="E42" s="145">
        <f t="shared" si="1"/>
        <v>0</v>
      </c>
      <c r="F42" s="185">
        <f>+(F38*480+F39*480+F40*480)/1440</f>
        <v>1343.3333333333333</v>
      </c>
      <c r="G42" s="185">
        <f>+(G38*480+G39*480+G40*480)/1440</f>
        <v>1034.3666666666666</v>
      </c>
      <c r="H42" s="187" t="s">
        <v>82</v>
      </c>
      <c r="I42" s="243" t="s">
        <v>576</v>
      </c>
      <c r="J42" s="324"/>
      <c r="K42" s="132" t="s">
        <v>83</v>
      </c>
    </row>
    <row r="43" spans="1:14" ht="17.45" customHeight="1">
      <c r="A43" s="793" t="s">
        <v>84</v>
      </c>
      <c r="B43" s="794"/>
      <c r="C43" s="166">
        <f>SUMIF($G$7:$G$31,"Water",$F$7:$F$31)</f>
        <v>0</v>
      </c>
      <c r="D43" s="120">
        <f>C43+'9'!D43</f>
        <v>0</v>
      </c>
      <c r="E43" s="145">
        <f t="shared" si="1"/>
        <v>0</v>
      </c>
      <c r="F43" s="309"/>
      <c r="G43" s="310"/>
      <c r="H43" s="188" t="s">
        <v>85</v>
      </c>
      <c r="I43" s="120">
        <f>+Report1!Z18</f>
        <v>85.6</v>
      </c>
      <c r="J43" s="325">
        <f>+I43+'9'!J43</f>
        <v>849.1</v>
      </c>
      <c r="K43" s="132" t="s">
        <v>75</v>
      </c>
      <c r="L43" s="189"/>
    </row>
    <row r="44" spans="1:14" ht="17.45" customHeight="1">
      <c r="A44" s="793" t="s">
        <v>18</v>
      </c>
      <c r="B44" s="794"/>
      <c r="C44" s="166">
        <f>SUMIF($G$7:$G$31,"PLN",$F$7:$F$31)</f>
        <v>0</v>
      </c>
      <c r="D44" s="120">
        <f>C44+'9'!D44</f>
        <v>30</v>
      </c>
      <c r="E44" s="145">
        <f t="shared" si="1"/>
        <v>0.5</v>
      </c>
      <c r="F44" s="309"/>
      <c r="G44" s="310"/>
      <c r="H44" s="188" t="s">
        <v>86</v>
      </c>
      <c r="I44" s="120">
        <f>I43/I38</f>
        <v>1.9981325863678805</v>
      </c>
      <c r="J44" s="325">
        <f>J43/J38</f>
        <v>2.0181493207077192</v>
      </c>
      <c r="K44" s="132" t="s">
        <v>75</v>
      </c>
    </row>
    <row r="45" spans="1:14" ht="17.45" customHeight="1">
      <c r="A45" s="793" t="s">
        <v>19</v>
      </c>
      <c r="B45" s="794"/>
      <c r="C45" s="166">
        <f>SUMIF($G$7:$G$31,"Boiler",$F$7:$F$31)</f>
        <v>0</v>
      </c>
      <c r="D45" s="120">
        <f>C45+'9'!D45</f>
        <v>0</v>
      </c>
      <c r="E45" s="145">
        <f t="shared" si="1"/>
        <v>0</v>
      </c>
      <c r="F45" s="309"/>
      <c r="G45" s="312"/>
      <c r="H45" s="188" t="s">
        <v>87</v>
      </c>
      <c r="I45" s="120">
        <f>I43/I40</f>
        <v>2.1279769303435589</v>
      </c>
      <c r="J45" s="325">
        <f>J43/J40</f>
        <v>2.0929412837659633</v>
      </c>
      <c r="K45" s="132" t="s">
        <v>75</v>
      </c>
    </row>
    <row r="46" spans="1:14" ht="17.45" customHeight="1">
      <c r="A46" s="793" t="s">
        <v>88</v>
      </c>
      <c r="B46" s="794"/>
      <c r="C46" s="166">
        <f>SUMIF($G$7:$G$31,"Gas",$F$7:$F$31)</f>
        <v>0</v>
      </c>
      <c r="D46" s="120">
        <f>C46+'9'!D46</f>
        <v>0</v>
      </c>
      <c r="E46" s="145">
        <f t="shared" si="1"/>
        <v>0</v>
      </c>
      <c r="F46" s="309"/>
      <c r="G46" s="310"/>
      <c r="H46" s="188" t="s">
        <v>89</v>
      </c>
      <c r="I46" s="142">
        <f>+SUMIF(Listrik!X17,"&gt;0")</f>
        <v>41126.405000000799</v>
      </c>
      <c r="J46" s="325">
        <f>+I46+'9'!J46</f>
        <v>389037.95999999956</v>
      </c>
      <c r="K46" s="132" t="s">
        <v>90</v>
      </c>
    </row>
    <row r="47" spans="1:14" ht="17.45" customHeight="1">
      <c r="A47" s="793" t="s">
        <v>91</v>
      </c>
      <c r="B47" s="794"/>
      <c r="C47" s="166">
        <f>SUMIF($G$7:$G$31,"Gas",$F$7:$F$31)</f>
        <v>0</v>
      </c>
      <c r="D47" s="120">
        <f>C47+'9'!D47</f>
        <v>0</v>
      </c>
      <c r="E47" s="145">
        <f t="shared" si="1"/>
        <v>0</v>
      </c>
      <c r="F47" s="309"/>
      <c r="G47" s="310"/>
      <c r="H47" s="188" t="s">
        <v>92</v>
      </c>
      <c r="I47" s="120">
        <f>I46/I38</f>
        <v>960.00011671337074</v>
      </c>
      <c r="J47" s="325">
        <f>J46/J38</f>
        <v>924.66929066484033</v>
      </c>
      <c r="K47" s="132" t="s">
        <v>25</v>
      </c>
    </row>
    <row r="48" spans="1:14" ht="17.45" customHeight="1">
      <c r="A48" s="793" t="s">
        <v>15</v>
      </c>
      <c r="B48" s="794"/>
      <c r="C48" s="166">
        <f>SUMIF($G$7:$G$31,"Start Up",$F$7:$F$31)</f>
        <v>0</v>
      </c>
      <c r="D48" s="120">
        <f>C48+'9'!D48</f>
        <v>0</v>
      </c>
      <c r="E48" s="145">
        <f t="shared" si="1"/>
        <v>0</v>
      </c>
      <c r="F48" s="309"/>
      <c r="G48" s="310"/>
      <c r="H48" s="188" t="s">
        <v>93</v>
      </c>
      <c r="I48" s="120">
        <f>I46/I40</f>
        <v>1022.3836573360712</v>
      </c>
      <c r="J48" s="325">
        <f>J46/J40</f>
        <v>958.93723641042345</v>
      </c>
      <c r="K48" s="132" t="s">
        <v>25</v>
      </c>
    </row>
    <row r="49" spans="1:11" ht="17.45" customHeight="1">
      <c r="A49" s="793" t="s">
        <v>21</v>
      </c>
      <c r="B49" s="794"/>
      <c r="C49" s="166">
        <f>SUMIF($G$7:$G$31,"Others",$F$7:$F$31)</f>
        <v>0</v>
      </c>
      <c r="D49" s="120">
        <f>C49+'9'!D49</f>
        <v>446</v>
      </c>
      <c r="E49" s="145">
        <f t="shared" si="1"/>
        <v>7.4333333333333336</v>
      </c>
      <c r="F49" s="185"/>
      <c r="H49" s="188" t="s">
        <v>279</v>
      </c>
      <c r="I49" s="120">
        <f>+Report1!T18</f>
        <v>3746.3635317976809</v>
      </c>
      <c r="J49" s="325">
        <f>+I49+'9'!J49</f>
        <v>33604.790590913501</v>
      </c>
      <c r="K49" s="132" t="s">
        <v>94</v>
      </c>
    </row>
    <row r="50" spans="1:11" ht="17.45" customHeight="1">
      <c r="A50" s="793" t="s">
        <v>20</v>
      </c>
      <c r="B50" s="794"/>
      <c r="C50" s="166">
        <f>SUMIF($G$7:$G$31,"Steam",$F$7:$F$31)</f>
        <v>0</v>
      </c>
      <c r="D50" s="120">
        <f>C50+'9'!D50</f>
        <v>0</v>
      </c>
      <c r="E50" s="145">
        <f t="shared" si="1"/>
        <v>0</v>
      </c>
      <c r="F50" s="185"/>
      <c r="H50" s="188" t="s">
        <v>95</v>
      </c>
      <c r="I50" s="142">
        <f>I49/I38</f>
        <v>87.450129126930008</v>
      </c>
      <c r="J50" s="325">
        <f>J49/J38</f>
        <v>79.872200333973893</v>
      </c>
      <c r="K50" s="132" t="s">
        <v>94</v>
      </c>
    </row>
    <row r="51" spans="1:11" ht="17.45" customHeight="1">
      <c r="A51" s="810" t="s">
        <v>96</v>
      </c>
      <c r="B51" s="810"/>
      <c r="C51" s="166">
        <f>SUMIF($G$7:$G$31,"Planned shut",$F$7:$F$31)</f>
        <v>0</v>
      </c>
      <c r="D51" s="120">
        <f>C51+'9'!D51</f>
        <v>0</v>
      </c>
      <c r="E51" s="145">
        <f t="shared" si="1"/>
        <v>0</v>
      </c>
      <c r="F51" s="185"/>
      <c r="H51" s="190" t="s">
        <v>97</v>
      </c>
      <c r="I51" s="143">
        <f>I49/I40</f>
        <v>93.132887480676203</v>
      </c>
      <c r="J51" s="326">
        <f>J49/J40</f>
        <v>82.832238322968863</v>
      </c>
      <c r="K51" s="139" t="s">
        <v>94</v>
      </c>
    </row>
    <row r="52" spans="1:11" ht="13.5" thickBot="1">
      <c r="A52" s="811" t="s">
        <v>230</v>
      </c>
      <c r="B52" s="812"/>
      <c r="C52" s="166">
        <f>SUMIF($G$7:$G$31,"Change Grade",$F$7:$F$31)</f>
        <v>0</v>
      </c>
      <c r="D52" s="120">
        <f>C52+'9'!D52</f>
        <v>0</v>
      </c>
      <c r="E52" s="145">
        <f t="shared" si="1"/>
        <v>0</v>
      </c>
      <c r="F52" s="185"/>
      <c r="H52" s="191"/>
      <c r="I52" s="192"/>
      <c r="J52" s="327"/>
      <c r="K52" s="141"/>
    </row>
    <row r="53" spans="1:11">
      <c r="A53" s="806" t="s">
        <v>29</v>
      </c>
      <c r="B53" s="807"/>
      <c r="C53" s="146">
        <f>SUM(C38:C52)</f>
        <v>69</v>
      </c>
      <c r="D53" s="146">
        <f>SUM(D38:D52)</f>
        <v>1415</v>
      </c>
      <c r="E53" s="147">
        <f>SUM(E38:E52)</f>
        <v>23.583333333333332</v>
      </c>
      <c r="F53" s="185"/>
    </row>
    <row r="54" spans="1:11" ht="13.5" thickBot="1">
      <c r="A54" s="808"/>
      <c r="B54" s="809"/>
      <c r="C54" s="148">
        <f>C53/(24*60)</f>
        <v>4.791666666666667E-2</v>
      </c>
      <c r="D54" s="148">
        <f>D53/(24*60*G4)</f>
        <v>9.8263888888888887E-2</v>
      </c>
      <c r="E54" s="149">
        <f>E53/(G4*24)</f>
        <v>9.8263888888888887E-2</v>
      </c>
      <c r="F54" s="185"/>
    </row>
    <row r="55" spans="1:11">
      <c r="E55" s="193"/>
    </row>
    <row r="56" spans="1:11">
      <c r="A56" s="194" t="s">
        <v>98</v>
      </c>
      <c r="B56" s="195"/>
      <c r="C56" s="196"/>
      <c r="D56" s="196"/>
      <c r="E56" s="196"/>
      <c r="F56" s="197"/>
      <c r="G56" s="196"/>
      <c r="H56" s="198"/>
      <c r="I56" s="199" t="s">
        <v>99</v>
      </c>
      <c r="J56" s="200">
        <f>+D34+'9'!J56</f>
        <v>996</v>
      </c>
      <c r="K56" s="201">
        <f>J56/(J40+J56/1000)/1000</f>
        <v>2.4490217436739753E-3</v>
      </c>
    </row>
    <row r="57" spans="1:11">
      <c r="A57" s="176"/>
      <c r="I57" s="199" t="s">
        <v>100</v>
      </c>
      <c r="J57" s="200"/>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41:B41"/>
    <mergeCell ref="A40:B40"/>
    <mergeCell ref="A7:A14"/>
    <mergeCell ref="I7:I13"/>
    <mergeCell ref="A15:A23"/>
    <mergeCell ref="I15:I22"/>
    <mergeCell ref="A24:A32"/>
    <mergeCell ref="I24:I31"/>
    <mergeCell ref="A37:B37"/>
    <mergeCell ref="A34:B34"/>
    <mergeCell ref="A38:B38"/>
    <mergeCell ref="A39:B39"/>
    <mergeCell ref="A50:B50"/>
    <mergeCell ref="A52:B52"/>
    <mergeCell ref="A51:B51"/>
    <mergeCell ref="A46:B46"/>
    <mergeCell ref="A54:B54"/>
    <mergeCell ref="A53:B53"/>
    <mergeCell ref="A49:B49"/>
    <mergeCell ref="A47:B47"/>
    <mergeCell ref="A42:B42"/>
    <mergeCell ref="A43:B43"/>
    <mergeCell ref="A44:B44"/>
    <mergeCell ref="A45:B45"/>
    <mergeCell ref="A48:B48"/>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0"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7.28515625" style="151" bestFit="1" customWidth="1"/>
    <col min="11" max="11" width="12.5703125" style="151" bestFit="1" customWidth="1"/>
    <col min="12" max="12" width="10.5703125" style="151" bestFit="1" customWidth="1"/>
    <col min="13" max="13" width="12.140625" style="151" customWidth="1"/>
    <col min="14" max="16384" width="9.140625" style="151"/>
  </cols>
  <sheetData>
    <row r="1" spans="1:28" ht="15.75">
      <c r="A1" s="150"/>
      <c r="W1" s="519"/>
      <c r="X1" s="523"/>
      <c r="Y1" s="523"/>
      <c r="AA1" s="523"/>
      <c r="AB1" s="523"/>
    </row>
    <row r="2" spans="1:28" ht="15.75">
      <c r="A2" s="150" t="s">
        <v>231</v>
      </c>
      <c r="W2" s="519"/>
      <c r="X2" s="523"/>
      <c r="Y2" s="523"/>
    </row>
    <row r="3" spans="1:28" ht="15">
      <c r="A3" s="152"/>
      <c r="W3" s="538"/>
      <c r="Y3" s="523"/>
    </row>
    <row r="4" spans="1:28" ht="20.25">
      <c r="A4" s="153" t="s">
        <v>4</v>
      </c>
      <c r="B4" s="154"/>
      <c r="F4" s="155" t="s">
        <v>31</v>
      </c>
      <c r="G4" s="156">
        <v>9</v>
      </c>
      <c r="H4" s="156" t="str">
        <f>+'1'!H4</f>
        <v>.07.25</v>
      </c>
      <c r="J4" s="151">
        <f>467+415+417</f>
        <v>1299</v>
      </c>
      <c r="W4" s="538"/>
      <c r="Y4" s="523"/>
    </row>
    <row r="5" spans="1:28" ht="13.5" thickBot="1">
      <c r="C5" s="157"/>
      <c r="D5" s="157"/>
      <c r="Y5" s="523"/>
    </row>
    <row r="6" spans="1:28"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519</v>
      </c>
      <c r="O6" s="151">
        <v>1350</v>
      </c>
      <c r="P6" s="151">
        <f>+O6-O6*0.23</f>
        <v>1039.5</v>
      </c>
      <c r="Q6" s="151">
        <f>60+58</f>
        <v>118</v>
      </c>
      <c r="R6" s="151">
        <f>+O6*Q6</f>
        <v>159300</v>
      </c>
      <c r="S6" s="151">
        <f>+P6*Q6</f>
        <v>122661</v>
      </c>
      <c r="Z6" s="176"/>
    </row>
    <row r="7" spans="1:28" ht="13.5" customHeight="1" thickBot="1">
      <c r="A7" s="795" t="s">
        <v>506</v>
      </c>
      <c r="B7" s="215" t="s">
        <v>536</v>
      </c>
      <c r="C7" s="216">
        <f>4854+5377</f>
        <v>10231</v>
      </c>
      <c r="D7" s="217"/>
      <c r="E7" s="218"/>
      <c r="F7" s="233"/>
      <c r="G7" s="555" t="s">
        <v>13</v>
      </c>
      <c r="H7" s="556" t="s">
        <v>461</v>
      </c>
      <c r="I7" s="798" t="s">
        <v>459</v>
      </c>
      <c r="J7" s="214" t="str">
        <f>+'8'!J7</f>
        <v>F 12 VP OW</v>
      </c>
      <c r="K7" s="235">
        <f>+C8+C16+C25</f>
        <v>32725</v>
      </c>
      <c r="L7" s="239"/>
      <c r="M7" s="119">
        <f>+K7+'8'!M7+L7</f>
        <v>47919</v>
      </c>
      <c r="N7" s="151" t="s">
        <v>409</v>
      </c>
      <c r="O7" s="151">
        <v>1350</v>
      </c>
      <c r="P7" s="151">
        <f>+O7-O7*0.23</f>
        <v>1039.5</v>
      </c>
      <c r="Q7" s="151">
        <f>480-Q6</f>
        <v>362</v>
      </c>
      <c r="R7" s="151">
        <f>+O7*Q7</f>
        <v>488700</v>
      </c>
      <c r="S7" s="151">
        <f>+P7*Q7</f>
        <v>376299</v>
      </c>
      <c r="AA7" s="176"/>
      <c r="AB7" s="176"/>
    </row>
    <row r="8" spans="1:28" ht="13.5" thickBot="1">
      <c r="A8" s="796"/>
      <c r="B8" s="215" t="s">
        <v>398</v>
      </c>
      <c r="C8" s="216">
        <f>15481-C7</f>
        <v>5250</v>
      </c>
      <c r="D8" s="217"/>
      <c r="E8" s="219"/>
      <c r="F8" s="229">
        <v>2</v>
      </c>
      <c r="G8" s="557" t="s">
        <v>13</v>
      </c>
      <c r="H8" s="228" t="s">
        <v>462</v>
      </c>
      <c r="I8" s="799"/>
      <c r="J8" s="214" t="str">
        <f>+'8'!J8</f>
        <v>F 11,5 VP OW</v>
      </c>
      <c r="K8" s="236"/>
      <c r="L8" s="236"/>
      <c r="M8" s="119">
        <f>+K8+'8'!M8+L8</f>
        <v>150859</v>
      </c>
      <c r="P8" s="151">
        <f t="shared" ref="P8:P10" si="0">+O8-O8*0.23</f>
        <v>0</v>
      </c>
      <c r="Q8" s="151">
        <f>480-Q6-Q7</f>
        <v>0</v>
      </c>
      <c r="R8" s="151">
        <f>+O8*Q8</f>
        <v>0</v>
      </c>
      <c r="S8" s="151">
        <f>+P8*Q8</f>
        <v>0</v>
      </c>
    </row>
    <row r="9" spans="1:28" ht="13.5" thickBot="1">
      <c r="A9" s="796"/>
      <c r="B9" s="215"/>
      <c r="C9" s="216"/>
      <c r="D9" s="217"/>
      <c r="E9" s="220"/>
      <c r="F9" s="229">
        <v>8</v>
      </c>
      <c r="G9" s="557" t="s">
        <v>13</v>
      </c>
      <c r="H9" s="231" t="s">
        <v>400</v>
      </c>
      <c r="I9" s="799"/>
      <c r="J9" s="214" t="str">
        <f>+'8'!J9</f>
        <v>T 13 VP OW</v>
      </c>
      <c r="K9" s="236"/>
      <c r="L9" s="236"/>
      <c r="M9" s="119">
        <f>+K9+'8'!M9+L9</f>
        <v>113358</v>
      </c>
      <c r="P9" s="151">
        <f t="shared" si="0"/>
        <v>0</v>
      </c>
      <c r="R9" s="151">
        <f>+O9*Q9</f>
        <v>0</v>
      </c>
      <c r="S9" s="151">
        <f>+P9*Q9</f>
        <v>0</v>
      </c>
    </row>
    <row r="10" spans="1:28" ht="64.5" thickBot="1">
      <c r="A10" s="796"/>
      <c r="B10" s="215"/>
      <c r="C10" s="216"/>
      <c r="D10" s="217"/>
      <c r="E10" s="219"/>
      <c r="F10" s="229"/>
      <c r="G10" s="227"/>
      <c r="H10" s="558" t="s">
        <v>560</v>
      </c>
      <c r="I10" s="799"/>
      <c r="J10" s="214" t="str">
        <f>+'8'!J10</f>
        <v>F 13 VP OW</v>
      </c>
      <c r="K10" s="236">
        <f>+C7</f>
        <v>10231</v>
      </c>
      <c r="L10" s="236"/>
      <c r="M10" s="119">
        <f>+K10+'8'!M10+L10</f>
        <v>43207</v>
      </c>
      <c r="P10" s="151">
        <f t="shared" si="0"/>
        <v>0</v>
      </c>
      <c r="R10" s="151">
        <f>+O10*Q10</f>
        <v>0</v>
      </c>
      <c r="S10" s="151">
        <f>+P10*Q10</f>
        <v>0</v>
      </c>
    </row>
    <row r="11" spans="1:28" ht="51.75" thickBot="1">
      <c r="A11" s="796"/>
      <c r="B11" s="215"/>
      <c r="C11" s="216"/>
      <c r="D11" s="217"/>
      <c r="E11" s="219"/>
      <c r="F11" s="226"/>
      <c r="G11" s="230"/>
      <c r="H11" s="231" t="s">
        <v>561</v>
      </c>
      <c r="I11" s="799"/>
      <c r="J11" s="214" t="str">
        <f>+'8'!J11</f>
        <v xml:space="preserve">T 13 VP OW HB </v>
      </c>
      <c r="K11" s="236"/>
      <c r="L11" s="236"/>
      <c r="M11" s="119">
        <f>+K11+'8'!M11+L11</f>
        <v>10128</v>
      </c>
    </row>
    <row r="12" spans="1:28" ht="13.5" thickBot="1">
      <c r="A12" s="796"/>
      <c r="B12" s="215"/>
      <c r="C12" s="216"/>
      <c r="D12" s="217"/>
      <c r="E12" s="219"/>
      <c r="F12" s="226"/>
      <c r="G12" s="230"/>
      <c r="H12" s="231"/>
      <c r="I12" s="799"/>
      <c r="J12" s="214">
        <f>+'8'!J12</f>
        <v>0</v>
      </c>
      <c r="K12" s="236"/>
      <c r="L12" s="236"/>
      <c r="M12" s="119">
        <f>+K12+'8'!M12+L12</f>
        <v>0</v>
      </c>
      <c r="Q12" s="151">
        <f>SUM(Q6:Q11)</f>
        <v>480</v>
      </c>
      <c r="R12" s="151">
        <f>SUM(R6:R9)</f>
        <v>648000</v>
      </c>
      <c r="S12" s="151">
        <f>SUM(S6:S9)</f>
        <v>498960</v>
      </c>
    </row>
    <row r="13" spans="1:28" ht="13.5" thickBot="1">
      <c r="A13" s="796"/>
      <c r="B13" s="215"/>
      <c r="C13" s="216"/>
      <c r="D13" s="216"/>
      <c r="E13" s="219"/>
      <c r="F13" s="226"/>
      <c r="G13" s="230"/>
      <c r="H13" s="231"/>
      <c r="I13" s="800"/>
      <c r="J13" s="214">
        <f>+'8'!J13</f>
        <v>0</v>
      </c>
      <c r="K13" s="236"/>
      <c r="L13" s="236"/>
      <c r="M13" s="119">
        <f>+K13+'8'!M13+L13</f>
        <v>0</v>
      </c>
      <c r="P13" s="151" t="s">
        <v>424</v>
      </c>
      <c r="Q13" s="151">
        <f>480-Q12</f>
        <v>0</v>
      </c>
      <c r="R13" s="151">
        <f>+R12/Q12</f>
        <v>1350</v>
      </c>
      <c r="S13" s="151">
        <f>+S12/Q12</f>
        <v>1039.5</v>
      </c>
    </row>
    <row r="14" spans="1:28" ht="13.5" thickBot="1">
      <c r="A14" s="797"/>
      <c r="B14" s="167" t="s">
        <v>3</v>
      </c>
      <c r="C14" s="101">
        <f>SUM(C7:C13)</f>
        <v>15481</v>
      </c>
      <c r="D14" s="113">
        <f>SUM(D7:D13)</f>
        <v>0</v>
      </c>
      <c r="E14" s="114">
        <f>SUM(E5:E13)</f>
        <v>0</v>
      </c>
      <c r="F14" s="118">
        <f>SUM(F7:F13)</f>
        <v>10</v>
      </c>
      <c r="G14" s="161"/>
      <c r="H14" s="168"/>
      <c r="I14" s="169"/>
      <c r="J14" s="214">
        <f>+'8'!J14</f>
        <v>0</v>
      </c>
      <c r="K14" s="236"/>
      <c r="L14" s="236"/>
      <c r="M14" s="119">
        <f>+K14+'8'!M14+L14</f>
        <v>0</v>
      </c>
    </row>
    <row r="15" spans="1:28" ht="13.5" customHeight="1" thickBot="1">
      <c r="A15" s="801" t="s">
        <v>444</v>
      </c>
      <c r="B15" s="518"/>
      <c r="C15" s="115">
        <f>C14/($C$23+$D$23+$E$23)</f>
        <v>1.0132870794606623</v>
      </c>
      <c r="D15" s="116">
        <f>D14/($C$23+$D$23+$E$23)</f>
        <v>0</v>
      </c>
      <c r="E15" s="117">
        <f>E14/($C$23+$D$23+$E$23)</f>
        <v>0</v>
      </c>
      <c r="F15" s="233"/>
      <c r="G15" s="555" t="s">
        <v>13</v>
      </c>
      <c r="H15" s="556" t="s">
        <v>461</v>
      </c>
      <c r="I15" s="798" t="s">
        <v>459</v>
      </c>
      <c r="J15" s="214">
        <f>+'8'!J15</f>
        <v>0</v>
      </c>
      <c r="K15" s="236"/>
      <c r="L15" s="236"/>
      <c r="M15" s="119">
        <f>+K15+'8'!M15+L15</f>
        <v>0</v>
      </c>
      <c r="N15" s="151" t="s">
        <v>409</v>
      </c>
      <c r="O15" s="151">
        <v>1350</v>
      </c>
      <c r="P15" s="151">
        <f>+O15-O15*0.23</f>
        <v>1039.5</v>
      </c>
      <c r="Q15" s="151">
        <v>480</v>
      </c>
      <c r="R15" s="151">
        <f>+O15*Q15</f>
        <v>648000</v>
      </c>
      <c r="S15" s="151">
        <f>+P15*Q15</f>
        <v>498960</v>
      </c>
    </row>
    <row r="16" spans="1:28" ht="13.5" thickBot="1">
      <c r="A16" s="796"/>
      <c r="B16" s="215" t="s">
        <v>398</v>
      </c>
      <c r="C16" s="516">
        <v>15278</v>
      </c>
      <c r="D16" s="221"/>
      <c r="E16" s="222"/>
      <c r="F16" s="229">
        <v>4</v>
      </c>
      <c r="G16" s="557" t="s">
        <v>13</v>
      </c>
      <c r="H16" s="228" t="s">
        <v>462</v>
      </c>
      <c r="I16" s="799"/>
      <c r="J16" s="214">
        <f>+'8'!J16</f>
        <v>0</v>
      </c>
      <c r="K16" s="227"/>
      <c r="L16" s="227"/>
      <c r="M16" s="119">
        <f>+K16+'8'!M16+L16</f>
        <v>0</v>
      </c>
      <c r="O16" s="151">
        <v>1350</v>
      </c>
      <c r="P16" s="151">
        <f>+O16-O16*0.23</f>
        <v>1039.5</v>
      </c>
      <c r="Q16" s="151">
        <v>480</v>
      </c>
      <c r="R16" s="151">
        <f>+O16*Q16</f>
        <v>648000</v>
      </c>
      <c r="S16" s="151">
        <f>+P16*Q16</f>
        <v>498960</v>
      </c>
    </row>
    <row r="17" spans="1:19" ht="13.5" thickBot="1">
      <c r="A17" s="796"/>
      <c r="B17" s="215"/>
      <c r="C17" s="216"/>
      <c r="D17" s="217"/>
      <c r="E17" s="223"/>
      <c r="F17" s="229">
        <v>11</v>
      </c>
      <c r="G17" s="557" t="s">
        <v>13</v>
      </c>
      <c r="H17" s="231" t="s">
        <v>400</v>
      </c>
      <c r="I17" s="799"/>
      <c r="J17" s="214">
        <f>+'8'!J17</f>
        <v>0</v>
      </c>
      <c r="K17" s="227"/>
      <c r="L17" s="227"/>
      <c r="M17" s="119">
        <f>+K17+'8'!M17+L17</f>
        <v>0</v>
      </c>
      <c r="P17" s="151">
        <f>+O17-O17*0.23</f>
        <v>0</v>
      </c>
      <c r="R17" s="151">
        <f>+O17*Q17</f>
        <v>0</v>
      </c>
      <c r="S17" s="151">
        <f>+P17*Q17</f>
        <v>0</v>
      </c>
    </row>
    <row r="18" spans="1:19" ht="64.5" thickBot="1">
      <c r="A18" s="796"/>
      <c r="B18" s="215"/>
      <c r="C18" s="216"/>
      <c r="D18" s="217"/>
      <c r="E18" s="223"/>
      <c r="F18" s="229"/>
      <c r="G18" s="227"/>
      <c r="H18" s="558" t="s">
        <v>562</v>
      </c>
      <c r="I18" s="799"/>
      <c r="J18" s="214">
        <f>+'8'!J18</f>
        <v>0</v>
      </c>
      <c r="K18" s="236"/>
      <c r="L18" s="236"/>
      <c r="M18" s="119">
        <f>+K18+'8'!M18+L18</f>
        <v>0</v>
      </c>
      <c r="P18" s="151">
        <f t="shared" ref="P18:P19" si="1">+O18-O18*0.23</f>
        <v>0</v>
      </c>
      <c r="R18" s="151">
        <f>+O18*Q18</f>
        <v>0</v>
      </c>
      <c r="S18" s="151">
        <f>+P18*Q18</f>
        <v>0</v>
      </c>
    </row>
    <row r="19" spans="1:19" ht="51.75" thickBot="1">
      <c r="A19" s="796"/>
      <c r="B19" s="215"/>
      <c r="C19" s="216"/>
      <c r="D19" s="217"/>
      <c r="E19" s="223"/>
      <c r="F19" s="232"/>
      <c r="G19" s="230"/>
      <c r="H19" s="231" t="s">
        <v>563</v>
      </c>
      <c r="I19" s="799"/>
      <c r="J19" s="214">
        <f>+'8'!J19</f>
        <v>0</v>
      </c>
      <c r="K19" s="236"/>
      <c r="L19" s="236"/>
      <c r="M19" s="119">
        <f>+K19+'8'!M19+L19</f>
        <v>0</v>
      </c>
      <c r="P19" s="151">
        <f t="shared" si="1"/>
        <v>0</v>
      </c>
      <c r="R19" s="151">
        <f>+O19*Q19</f>
        <v>0</v>
      </c>
      <c r="S19" s="151">
        <f>+P19*Q19</f>
        <v>0</v>
      </c>
    </row>
    <row r="20" spans="1:19" ht="13.5" thickBot="1">
      <c r="A20" s="796"/>
      <c r="B20" s="215"/>
      <c r="C20" s="216"/>
      <c r="D20" s="217"/>
      <c r="E20" s="223"/>
      <c r="F20" s="226"/>
      <c r="G20" s="230"/>
      <c r="H20" s="231"/>
      <c r="I20" s="799"/>
      <c r="J20" s="214">
        <f>+'8'!J20</f>
        <v>0</v>
      </c>
      <c r="K20" s="237"/>
      <c r="L20" s="237"/>
      <c r="M20" s="119">
        <f>+K20+'8'!M20+L20</f>
        <v>0</v>
      </c>
    </row>
    <row r="21" spans="1:19" ht="13.5" thickBot="1">
      <c r="A21" s="796"/>
      <c r="B21" s="215"/>
      <c r="C21" s="216"/>
      <c r="D21" s="217"/>
      <c r="E21" s="223"/>
      <c r="F21" s="229"/>
      <c r="G21" s="230"/>
      <c r="H21" s="231"/>
      <c r="I21" s="799"/>
      <c r="J21" s="214">
        <f>+'8'!J21</f>
        <v>0</v>
      </c>
      <c r="K21" s="236"/>
      <c r="L21" s="236"/>
      <c r="M21" s="119">
        <f>+K21+'8'!M21+L21</f>
        <v>0</v>
      </c>
      <c r="Q21" s="151">
        <f>SUM(Q15:Q20)</f>
        <v>960</v>
      </c>
      <c r="R21" s="151">
        <f>SUM(R15:R18)</f>
        <v>1296000</v>
      </c>
      <c r="S21" s="151">
        <f>SUM(S15:S18)</f>
        <v>997920</v>
      </c>
    </row>
    <row r="22" spans="1:19" ht="13.5" thickBot="1">
      <c r="A22" s="796"/>
      <c r="B22" s="215"/>
      <c r="C22" s="216"/>
      <c r="D22" s="217"/>
      <c r="E22" s="223"/>
      <c r="F22" s="233"/>
      <c r="G22" s="230"/>
      <c r="H22" s="231"/>
      <c r="I22" s="800"/>
      <c r="J22" s="214">
        <f>+'8'!J22</f>
        <v>0</v>
      </c>
      <c r="K22" s="236"/>
      <c r="L22" s="236"/>
      <c r="M22" s="119">
        <f>+K22+'8'!M22+L22</f>
        <v>0</v>
      </c>
      <c r="P22" s="151" t="s">
        <v>424</v>
      </c>
      <c r="Q22" s="151">
        <f>480-Q21</f>
        <v>-480</v>
      </c>
      <c r="R22" s="151">
        <f>+R21/Q21</f>
        <v>1350</v>
      </c>
      <c r="S22" s="151">
        <f>+S21/Q21</f>
        <v>1039.5</v>
      </c>
    </row>
    <row r="23" spans="1:19" ht="13.5" thickBot="1">
      <c r="A23" s="797"/>
      <c r="B23" s="167" t="s">
        <v>3</v>
      </c>
      <c r="C23" s="101">
        <f>SUM(C16:C22)</f>
        <v>15278</v>
      </c>
      <c r="D23" s="113">
        <f>SUM(D16:D22)</f>
        <v>0</v>
      </c>
      <c r="E23" s="114">
        <f>SUM(E18:E22)</f>
        <v>0</v>
      </c>
      <c r="F23" s="118">
        <f>SUM(F15:F22)</f>
        <v>15</v>
      </c>
      <c r="G23" s="161"/>
      <c r="H23" s="168"/>
      <c r="I23" s="170"/>
      <c r="J23" s="214">
        <f>+'8'!J23</f>
        <v>0</v>
      </c>
      <c r="K23" s="236"/>
      <c r="L23" s="236"/>
      <c r="M23" s="119">
        <f>+K23+'8'!M23+L23</f>
        <v>0</v>
      </c>
    </row>
    <row r="24" spans="1:19" ht="13.5" customHeight="1" thickBot="1">
      <c r="A24" s="801" t="s">
        <v>442</v>
      </c>
      <c r="B24" s="518"/>
      <c r="C24" s="115">
        <f>C23/($C$23+$D$23+$E$23)</f>
        <v>1</v>
      </c>
      <c r="D24" s="116">
        <f>D23/($C$23+$D$23+$E$23)</f>
        <v>0</v>
      </c>
      <c r="E24" s="117">
        <f>E23/($C$23+$D$23+$E$23)</f>
        <v>0</v>
      </c>
      <c r="F24" s="233">
        <v>80</v>
      </c>
      <c r="G24" s="555" t="s">
        <v>13</v>
      </c>
      <c r="H24" s="556" t="s">
        <v>567</v>
      </c>
      <c r="I24" s="798" t="s">
        <v>459</v>
      </c>
      <c r="J24" s="214">
        <f>+'8'!J24</f>
        <v>0</v>
      </c>
      <c r="K24" s="236"/>
      <c r="L24" s="236"/>
      <c r="M24" s="119">
        <f>+K24+'8'!M24+L24</f>
        <v>0</v>
      </c>
    </row>
    <row r="25" spans="1:19" ht="13.5" thickBot="1">
      <c r="A25" s="796"/>
      <c r="B25" s="517" t="s">
        <v>398</v>
      </c>
      <c r="C25" s="224">
        <v>12197</v>
      </c>
      <c r="D25" s="217"/>
      <c r="E25" s="223"/>
      <c r="F25" s="229">
        <v>15</v>
      </c>
      <c r="G25" s="557" t="s">
        <v>13</v>
      </c>
      <c r="H25" s="228" t="s">
        <v>566</v>
      </c>
      <c r="I25" s="799"/>
      <c r="J25" s="214">
        <f>+'8'!J25</f>
        <v>0</v>
      </c>
      <c r="K25" s="236"/>
      <c r="L25" s="236"/>
      <c r="M25" s="119">
        <f>+K25+'8'!M25+L25</f>
        <v>0</v>
      </c>
      <c r="N25" s="538"/>
      <c r="P25" s="523"/>
    </row>
    <row r="26" spans="1:19" ht="13.5" thickBot="1">
      <c r="A26" s="796"/>
      <c r="B26" s="215"/>
      <c r="C26" s="224"/>
      <c r="D26" s="217"/>
      <c r="E26" s="225"/>
      <c r="F26" s="229">
        <f>120-95</f>
        <v>25</v>
      </c>
      <c r="G26" s="557" t="s">
        <v>13</v>
      </c>
      <c r="H26" s="231" t="s">
        <v>400</v>
      </c>
      <c r="I26" s="799"/>
      <c r="J26" s="214">
        <f>+'8'!J26</f>
        <v>0</v>
      </c>
      <c r="K26" s="236"/>
      <c r="L26" s="236"/>
      <c r="M26" s="119">
        <f>+K26+'8'!M26+L26</f>
        <v>0</v>
      </c>
      <c r="P26" s="523"/>
    </row>
    <row r="27" spans="1:19" ht="64.5" thickBot="1">
      <c r="A27" s="796"/>
      <c r="B27" s="215"/>
      <c r="C27" s="216"/>
      <c r="D27" s="217"/>
      <c r="E27" s="223"/>
      <c r="F27" s="229"/>
      <c r="G27" s="227"/>
      <c r="H27" s="558" t="s">
        <v>564</v>
      </c>
      <c r="I27" s="799"/>
      <c r="J27" s="214">
        <f>+'8'!J27</f>
        <v>0</v>
      </c>
      <c r="K27" s="236"/>
      <c r="L27" s="236"/>
      <c r="M27" s="119">
        <f>+K27+'8'!M27+L27</f>
        <v>0</v>
      </c>
      <c r="N27" s="151" t="s">
        <v>519</v>
      </c>
      <c r="O27" s="151">
        <v>1350</v>
      </c>
      <c r="P27" s="151">
        <v>1039.5</v>
      </c>
      <c r="Q27" s="176">
        <v>118</v>
      </c>
    </row>
    <row r="28" spans="1:19" ht="165.75" customHeight="1" thickBot="1">
      <c r="A28" s="796"/>
      <c r="B28" s="215"/>
      <c r="C28" s="216"/>
      <c r="D28" s="217"/>
      <c r="E28" s="223"/>
      <c r="F28" s="229"/>
      <c r="G28" s="227"/>
      <c r="H28" s="231" t="s">
        <v>565</v>
      </c>
      <c r="I28" s="799"/>
      <c r="J28" s="214">
        <f>+'8'!J28</f>
        <v>0</v>
      </c>
      <c r="K28" s="236"/>
      <c r="L28" s="236"/>
      <c r="M28" s="119">
        <f>+K28+'8'!M28+L28</f>
        <v>0</v>
      </c>
      <c r="N28" s="151" t="s">
        <v>409</v>
      </c>
      <c r="O28" s="151">
        <v>1350</v>
      </c>
      <c r="P28" s="151">
        <v>1039.5</v>
      </c>
      <c r="Q28" s="151">
        <f>1440-Q27</f>
        <v>1322</v>
      </c>
      <c r="R28" s="176"/>
      <c r="S28" s="176"/>
    </row>
    <row r="29" spans="1:19" ht="13.5" thickBot="1">
      <c r="A29" s="796"/>
      <c r="B29" s="215"/>
      <c r="C29" s="216"/>
      <c r="D29" s="217"/>
      <c r="E29" s="223"/>
      <c r="F29" s="233"/>
      <c r="G29" s="230"/>
      <c r="H29" s="231"/>
      <c r="I29" s="799"/>
      <c r="J29" s="214">
        <f>+'8'!J29</f>
        <v>0</v>
      </c>
      <c r="K29" s="236"/>
      <c r="L29" s="236"/>
      <c r="M29" s="119">
        <f>+K29+'8'!M29+L29</f>
        <v>0</v>
      </c>
    </row>
    <row r="30" spans="1:19" ht="13.5" thickBot="1">
      <c r="A30" s="796"/>
      <c r="B30" s="215"/>
      <c r="C30" s="224"/>
      <c r="D30" s="217"/>
      <c r="E30" s="223"/>
      <c r="F30" s="233"/>
      <c r="G30" s="230"/>
      <c r="H30" s="231"/>
      <c r="I30" s="799"/>
      <c r="J30" s="214">
        <f>+'8'!J30</f>
        <v>0</v>
      </c>
      <c r="K30" s="236"/>
      <c r="L30" s="236"/>
      <c r="M30" s="119">
        <f>+K30+'8'!M30+L30</f>
        <v>0</v>
      </c>
      <c r="N30" s="157"/>
    </row>
    <row r="31" spans="1:19" ht="13.5" thickBot="1">
      <c r="A31" s="796"/>
      <c r="B31" s="215"/>
      <c r="C31" s="224"/>
      <c r="D31" s="217"/>
      <c r="E31" s="223"/>
      <c r="F31" s="233"/>
      <c r="G31" s="234"/>
      <c r="H31" s="409"/>
      <c r="I31" s="800"/>
      <c r="J31" s="214">
        <f>+'8'!J31</f>
        <v>0</v>
      </c>
      <c r="K31" s="236"/>
      <c r="L31" s="236"/>
      <c r="M31" s="119">
        <f>+K31+'8'!M31+L31</f>
        <v>0</v>
      </c>
    </row>
    <row r="32" spans="1:19" ht="13.5" thickBot="1">
      <c r="A32" s="797"/>
      <c r="B32" s="167" t="s">
        <v>3</v>
      </c>
      <c r="C32" s="101">
        <f>SUM(C25:C31)</f>
        <v>12197</v>
      </c>
      <c r="D32" s="102">
        <f>SUM(D25:D31)</f>
        <v>0</v>
      </c>
      <c r="E32" s="103">
        <f>SUM(E25:E31)</f>
        <v>0</v>
      </c>
      <c r="F32" s="101">
        <f>SUM(F24:F31)</f>
        <v>120</v>
      </c>
      <c r="G32" s="171"/>
      <c r="H32" s="172"/>
      <c r="I32" s="170"/>
      <c r="J32" s="214">
        <f>+'8'!J32</f>
        <v>0</v>
      </c>
      <c r="K32" s="238"/>
      <c r="L32" s="240"/>
      <c r="M32" s="119">
        <f>+K32+'8'!M32+L32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42956</v>
      </c>
      <c r="D34" s="109">
        <f>D14+D23+D32</f>
        <v>0</v>
      </c>
      <c r="E34" s="109">
        <f>E14+E23+E32</f>
        <v>0</v>
      </c>
      <c r="F34" s="110">
        <f>F14+F23+F32</f>
        <v>145</v>
      </c>
      <c r="H34" s="178"/>
      <c r="I34" s="178"/>
      <c r="J34" s="125" t="s">
        <v>29</v>
      </c>
      <c r="K34" s="126">
        <f>SUM(K7:K32)</f>
        <v>42956</v>
      </c>
      <c r="L34" s="212">
        <f>SUM(L7:L32)</f>
        <v>0</v>
      </c>
      <c r="M34" s="122">
        <f>SUM(M7:M32)</f>
        <v>365471</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(13*118+12*1322)/1440*G42*2.74*1440/1000000</f>
        <v>49.553505540000003</v>
      </c>
      <c r="J37" s="127">
        <f>+I37+'8'!J37</f>
        <v>421.7252616076359</v>
      </c>
      <c r="K37" s="128" t="s">
        <v>75</v>
      </c>
    </row>
    <row r="38" spans="1:14" ht="17.45" customHeight="1">
      <c r="A38" s="806" t="s">
        <v>13</v>
      </c>
      <c r="B38" s="807"/>
      <c r="C38" s="166">
        <f>SUMIF($G$7:$G$31,"Process",$F$7:$F$31)</f>
        <v>145</v>
      </c>
      <c r="D38" s="120">
        <f>C38+'8'!D38</f>
        <v>829</v>
      </c>
      <c r="E38" s="145">
        <f t="shared" ref="E38:E52" si="2">D38/60</f>
        <v>13.816666666666666</v>
      </c>
      <c r="F38" s="309">
        <v>1350</v>
      </c>
      <c r="G38" s="309">
        <v>1039.5</v>
      </c>
      <c r="H38" s="187" t="s">
        <v>76</v>
      </c>
      <c r="I38" s="242">
        <f>15.048+14.789+11.95</f>
        <v>41.786999999999999</v>
      </c>
      <c r="J38" s="129">
        <f>+I38+'8'!J38</f>
        <v>377.892</v>
      </c>
      <c r="K38" s="130" t="s">
        <v>75</v>
      </c>
    </row>
    <row r="39" spans="1:14" ht="17.45" customHeight="1">
      <c r="A39" s="793" t="s">
        <v>14</v>
      </c>
      <c r="B39" s="794"/>
      <c r="C39" s="166">
        <f>SUMIF($G$7:$G$31,"Cleaning",$F$7:$F$31)</f>
        <v>0</v>
      </c>
      <c r="D39" s="120">
        <f>C39+'8'!D39</f>
        <v>0</v>
      </c>
      <c r="E39" s="145">
        <f t="shared" si="2"/>
        <v>0</v>
      </c>
      <c r="F39" s="309">
        <v>1350</v>
      </c>
      <c r="G39" s="309">
        <v>1039.5</v>
      </c>
      <c r="H39" s="187" t="s">
        <v>77</v>
      </c>
      <c r="I39" s="144"/>
      <c r="J39" s="131">
        <f>J37/G4</f>
        <v>46.858362400848435</v>
      </c>
      <c r="K39" s="132" t="s">
        <v>75</v>
      </c>
    </row>
    <row r="40" spans="1:14" ht="17.45" customHeight="1">
      <c r="A40" s="793" t="s">
        <v>78</v>
      </c>
      <c r="B40" s="794"/>
      <c r="C40" s="166">
        <f>SUMIF($G$7:$G$31,"Mechanical",$F$7:$F$31)</f>
        <v>0</v>
      </c>
      <c r="D40" s="120">
        <f>C40+'8'!D40</f>
        <v>5</v>
      </c>
      <c r="E40" s="145">
        <f t="shared" si="2"/>
        <v>8.3333333333333329E-2</v>
      </c>
      <c r="F40" s="309">
        <v>1350</v>
      </c>
      <c r="G40" s="309">
        <v>1039.5</v>
      </c>
      <c r="H40" s="187" t="s">
        <v>79</v>
      </c>
      <c r="I40" s="120">
        <f>(K34+L34)/1000</f>
        <v>42.956000000000003</v>
      </c>
      <c r="J40" s="133">
        <f>+I40+'8'!J40</f>
        <v>365.471</v>
      </c>
      <c r="K40" s="132" t="s">
        <v>75</v>
      </c>
    </row>
    <row r="41" spans="1:14" ht="17.45" customHeight="1">
      <c r="A41" s="793" t="s">
        <v>80</v>
      </c>
      <c r="B41" s="794"/>
      <c r="C41" s="166">
        <f>SUMIF($G$7:$G$31,"Electrical",$F$7:$F$31)</f>
        <v>0</v>
      </c>
      <c r="D41" s="120">
        <f>C41+'8'!D41</f>
        <v>36</v>
      </c>
      <c r="E41" s="145">
        <f t="shared" si="2"/>
        <v>0.6</v>
      </c>
      <c r="F41" s="309"/>
      <c r="G41" s="309"/>
      <c r="H41" s="187" t="s">
        <v>81</v>
      </c>
      <c r="I41" s="144"/>
      <c r="J41" s="131">
        <f>J40/G4</f>
        <v>40.607888888888887</v>
      </c>
      <c r="K41" s="132" t="s">
        <v>75</v>
      </c>
    </row>
    <row r="42" spans="1:14" ht="17.45" customHeight="1">
      <c r="A42" s="793" t="s">
        <v>17</v>
      </c>
      <c r="B42" s="794"/>
      <c r="C42" s="166">
        <f>SUMIF($G$7:$G$31,"Instrument",$F$7:$F$31)</f>
        <v>0</v>
      </c>
      <c r="D42" s="120">
        <f>C42+'8'!D42</f>
        <v>0</v>
      </c>
      <c r="E42" s="145">
        <f t="shared" si="2"/>
        <v>0</v>
      </c>
      <c r="F42" s="185">
        <f>+(F38*480+F39*480+F40*480)/1440</f>
        <v>1350</v>
      </c>
      <c r="G42" s="185">
        <f>+(G38*480+G39*480+G40*480)/1440</f>
        <v>1039.5</v>
      </c>
      <c r="H42" s="187" t="s">
        <v>82</v>
      </c>
      <c r="I42" s="243" t="s">
        <v>459</v>
      </c>
      <c r="J42" s="134"/>
      <c r="K42" s="132" t="s">
        <v>83</v>
      </c>
    </row>
    <row r="43" spans="1:14" ht="17.45" customHeight="1">
      <c r="A43" s="793" t="s">
        <v>84</v>
      </c>
      <c r="B43" s="794"/>
      <c r="C43" s="166">
        <f>SUMIF($G$7:$G$31,"Water",$F$7:$F$31)</f>
        <v>0</v>
      </c>
      <c r="D43" s="120">
        <f>C43+'8'!D43</f>
        <v>0</v>
      </c>
      <c r="E43" s="145">
        <f t="shared" si="2"/>
        <v>0</v>
      </c>
      <c r="F43" s="309"/>
      <c r="G43" s="310"/>
      <c r="H43" s="188" t="s">
        <v>85</v>
      </c>
      <c r="I43" s="120">
        <f>+Report1!Z17</f>
        <v>86.6</v>
      </c>
      <c r="J43" s="135">
        <f>+I43+'8'!J43</f>
        <v>763.5</v>
      </c>
      <c r="K43" s="132" t="s">
        <v>75</v>
      </c>
      <c r="L43" s="189"/>
    </row>
    <row r="44" spans="1:14" ht="17.45" customHeight="1">
      <c r="A44" s="793" t="s">
        <v>18</v>
      </c>
      <c r="B44" s="794"/>
      <c r="C44" s="166">
        <f>SUMIF($G$7:$G$31,"PLN",$F$7:$F$31)</f>
        <v>0</v>
      </c>
      <c r="D44" s="120">
        <f>C44+'8'!D44</f>
        <v>30</v>
      </c>
      <c r="E44" s="145">
        <f t="shared" si="2"/>
        <v>0.5</v>
      </c>
      <c r="F44" s="309"/>
      <c r="G44" s="310"/>
      <c r="H44" s="188" t="s">
        <v>86</v>
      </c>
      <c r="I44" s="120">
        <f>I43/I38</f>
        <v>2.0724148658673749</v>
      </c>
      <c r="J44" s="136">
        <f>J43/J38</f>
        <v>2.0204185322790638</v>
      </c>
      <c r="K44" s="132" t="s">
        <v>75</v>
      </c>
    </row>
    <row r="45" spans="1:14" ht="17.45" customHeight="1">
      <c r="A45" s="793" t="s">
        <v>19</v>
      </c>
      <c r="B45" s="794"/>
      <c r="C45" s="166">
        <f>SUMIF($G$7:$G$31,"Boiler",$F$7:$F$31)</f>
        <v>0</v>
      </c>
      <c r="D45" s="120">
        <f>C45+'8'!D45</f>
        <v>0</v>
      </c>
      <c r="E45" s="145">
        <f t="shared" si="2"/>
        <v>0</v>
      </c>
      <c r="F45" s="309"/>
      <c r="G45" s="312"/>
      <c r="H45" s="188" t="s">
        <v>87</v>
      </c>
      <c r="I45" s="120">
        <f>I43/I40</f>
        <v>2.0160163888630223</v>
      </c>
      <c r="J45" s="136">
        <f>J43/J40</f>
        <v>2.0890850436833563</v>
      </c>
      <c r="K45" s="132" t="s">
        <v>75</v>
      </c>
    </row>
    <row r="46" spans="1:14" ht="17.45" customHeight="1">
      <c r="A46" s="793" t="s">
        <v>88</v>
      </c>
      <c r="B46" s="794"/>
      <c r="C46" s="166">
        <f>SUMIF($G$7:$G$31,"Gas",$F$7:$F$31)</f>
        <v>0</v>
      </c>
      <c r="D46" s="120">
        <f>C46+'8'!D46</f>
        <v>0</v>
      </c>
      <c r="E46" s="145">
        <f t="shared" si="2"/>
        <v>0</v>
      </c>
      <c r="F46" s="309"/>
      <c r="G46" s="310"/>
      <c r="H46" s="188" t="s">
        <v>89</v>
      </c>
      <c r="I46" s="142">
        <f>+SUMIF(Listrik!X16,"&gt;0")</f>
        <v>38975.189999998925</v>
      </c>
      <c r="J46" s="137">
        <f>+I46+'8'!J46</f>
        <v>347911.55499999877</v>
      </c>
      <c r="K46" s="132" t="s">
        <v>90</v>
      </c>
    </row>
    <row r="47" spans="1:14" ht="17.45" customHeight="1">
      <c r="A47" s="793" t="s">
        <v>91</v>
      </c>
      <c r="B47" s="794"/>
      <c r="C47" s="166">
        <f>SUMIF($G$7:$G$31,"Gas",$F$7:$F$31)</f>
        <v>0</v>
      </c>
      <c r="D47" s="120">
        <f>C47+'8'!D47</f>
        <v>0</v>
      </c>
      <c r="E47" s="145">
        <f t="shared" si="2"/>
        <v>0</v>
      </c>
      <c r="F47" s="309"/>
      <c r="G47" s="310"/>
      <c r="H47" s="188" t="s">
        <v>92</v>
      </c>
      <c r="I47" s="120">
        <f>I46/I38</f>
        <v>932.71089094691956</v>
      </c>
      <c r="J47" s="137">
        <f>J46/J38</f>
        <v>920.66398600658067</v>
      </c>
      <c r="K47" s="132" t="s">
        <v>25</v>
      </c>
    </row>
    <row r="48" spans="1:14" ht="17.45" customHeight="1">
      <c r="A48" s="793" t="s">
        <v>15</v>
      </c>
      <c r="B48" s="794"/>
      <c r="C48" s="166">
        <f>SUMIF($G$7:$G$31,"Start Up",$F$7:$F$31)</f>
        <v>0</v>
      </c>
      <c r="D48" s="120">
        <f>C48+'8'!D48</f>
        <v>0</v>
      </c>
      <c r="E48" s="145">
        <f t="shared" si="2"/>
        <v>0</v>
      </c>
      <c r="F48" s="309"/>
      <c r="G48" s="310"/>
      <c r="H48" s="188" t="s">
        <v>93</v>
      </c>
      <c r="I48" s="120">
        <f>I46/I40</f>
        <v>907.32819629385699</v>
      </c>
      <c r="J48" s="137">
        <f>J46/J40</f>
        <v>951.95393068122712</v>
      </c>
      <c r="K48" s="132" t="s">
        <v>25</v>
      </c>
    </row>
    <row r="49" spans="1:11" ht="17.45" customHeight="1">
      <c r="A49" s="793" t="s">
        <v>21</v>
      </c>
      <c r="B49" s="794"/>
      <c r="C49" s="166">
        <f>SUMIF($G$7:$G$31,"Others",$F$7:$F$31)</f>
        <v>0</v>
      </c>
      <c r="D49" s="120">
        <f>C49+'8'!D49</f>
        <v>446</v>
      </c>
      <c r="E49" s="145">
        <f t="shared" si="2"/>
        <v>7.4333333333333336</v>
      </c>
      <c r="F49" s="185"/>
      <c r="H49" s="188" t="s">
        <v>279</v>
      </c>
      <c r="I49" s="120">
        <f>+Report1!T17</f>
        <v>3585.9666150312487</v>
      </c>
      <c r="J49" s="137">
        <f>+I49+'8'!J49</f>
        <v>29858.42705911582</v>
      </c>
      <c r="K49" s="132" t="s">
        <v>94</v>
      </c>
    </row>
    <row r="50" spans="1:11" ht="17.45" customHeight="1">
      <c r="A50" s="793" t="s">
        <v>20</v>
      </c>
      <c r="B50" s="794"/>
      <c r="C50" s="166">
        <f>SUMIF($G$7:$G$31,"Steam",$F$7:$F$31)</f>
        <v>0</v>
      </c>
      <c r="D50" s="120">
        <f>C50+'8'!D50</f>
        <v>0</v>
      </c>
      <c r="E50" s="145">
        <f t="shared" si="2"/>
        <v>0</v>
      </c>
      <c r="F50" s="185"/>
      <c r="H50" s="188" t="s">
        <v>95</v>
      </c>
      <c r="I50" s="142">
        <f>I49/I38</f>
        <v>85.81536398954816</v>
      </c>
      <c r="J50" s="135">
        <f>J49/J38</f>
        <v>79.013122953425366</v>
      </c>
      <c r="K50" s="132" t="s">
        <v>94</v>
      </c>
    </row>
    <row r="51" spans="1:11" ht="17.45" customHeight="1">
      <c r="A51" s="810" t="s">
        <v>96</v>
      </c>
      <c r="B51" s="810"/>
      <c r="C51" s="166">
        <f>SUMIF($G$7:$G$31,"Planned shut",$F$7:$F$31)</f>
        <v>0</v>
      </c>
      <c r="D51" s="120">
        <f>C51+'8'!D51</f>
        <v>0</v>
      </c>
      <c r="E51" s="145">
        <f t="shared" si="2"/>
        <v>0</v>
      </c>
      <c r="F51" s="185"/>
      <c r="H51" s="190" t="s">
        <v>97</v>
      </c>
      <c r="I51" s="143">
        <f>I49/I40</f>
        <v>83.479993831624185</v>
      </c>
      <c r="J51" s="138">
        <f>J49/J40</f>
        <v>81.698485130464036</v>
      </c>
      <c r="K51" s="139" t="s">
        <v>94</v>
      </c>
    </row>
    <row r="52" spans="1:11" ht="13.5" thickBot="1">
      <c r="A52" s="811" t="s">
        <v>230</v>
      </c>
      <c r="B52" s="812"/>
      <c r="C52" s="166">
        <f>SUMIF($G$7:$G$31,"Change Grade",$F$7:$F$31)</f>
        <v>0</v>
      </c>
      <c r="D52" s="120">
        <f>C52+'8'!D52</f>
        <v>0</v>
      </c>
      <c r="E52" s="145">
        <f t="shared" si="2"/>
        <v>0</v>
      </c>
      <c r="F52" s="185"/>
      <c r="H52" s="191"/>
      <c r="I52" s="192"/>
      <c r="J52" s="140"/>
      <c r="K52" s="141"/>
    </row>
    <row r="53" spans="1:11">
      <c r="A53" s="806" t="s">
        <v>29</v>
      </c>
      <c r="B53" s="807"/>
      <c r="C53" s="146">
        <f>SUM(C38:C52)</f>
        <v>145</v>
      </c>
      <c r="D53" s="146">
        <f>SUM(D38:D52)</f>
        <v>1346</v>
      </c>
      <c r="E53" s="147">
        <f>SUM(E38:E52)</f>
        <v>22.433333333333334</v>
      </c>
      <c r="F53" s="185"/>
    </row>
    <row r="54" spans="1:11" ht="13.5" thickBot="1">
      <c r="A54" s="808"/>
      <c r="B54" s="809"/>
      <c r="C54" s="148">
        <f>C53/(24*60)</f>
        <v>0.10069444444444445</v>
      </c>
      <c r="D54" s="148">
        <f>D53/(24*60*G4)</f>
        <v>0.10385802469135802</v>
      </c>
      <c r="E54" s="149">
        <f>E53/(G4*24)</f>
        <v>0.10385802469135802</v>
      </c>
      <c r="F54" s="185"/>
    </row>
    <row r="55" spans="1:11">
      <c r="E55" s="193"/>
    </row>
    <row r="56" spans="1:11">
      <c r="A56" s="194" t="s">
        <v>98</v>
      </c>
      <c r="B56" s="195"/>
      <c r="C56" s="196"/>
      <c r="D56" s="196"/>
      <c r="E56" s="196"/>
      <c r="F56" s="197"/>
      <c r="G56" s="196"/>
      <c r="H56" s="198"/>
      <c r="I56" s="199" t="s">
        <v>99</v>
      </c>
      <c r="J56" s="200">
        <f>+D34+'8'!J56</f>
        <v>0</v>
      </c>
      <c r="K56" s="201">
        <f>J56/(J40+J56/1000)/1000</f>
        <v>0</v>
      </c>
    </row>
    <row r="57" spans="1:11">
      <c r="A57" s="176"/>
      <c r="I57" s="199" t="s">
        <v>100</v>
      </c>
      <c r="J57" s="200">
        <f>+E34+'8'!J57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0" type="noConversion"/>
  <printOptions horizontalCentered="1"/>
  <pageMargins left="0.17" right="0.16" top="0.17" bottom="0.16" header="0" footer="0"/>
  <pageSetup paperSize="9" scale="57"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6" zoomScale="80" zoomScaleNormal="75" zoomScaleSheetLayoutView="80" workbookViewId="0">
      <selection activeCell="B26" sqref="B26"/>
    </sheetView>
  </sheetViews>
  <sheetFormatPr defaultColWidth="9.140625" defaultRowHeight="12.75"/>
  <cols>
    <col min="1" max="1" width="8" style="151" customWidth="1"/>
    <col min="2" max="2" width="7" style="151" bestFit="1" customWidth="1"/>
    <col min="3" max="3" width="14.85546875" style="151" bestFit="1" customWidth="1"/>
    <col min="4" max="4" width="1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13.7109375" style="151" bestFit="1" customWidth="1"/>
    <col min="13" max="13" width="14.5703125" style="151" customWidth="1"/>
    <col min="14" max="16384" width="9.140625" style="151"/>
  </cols>
  <sheetData>
    <row r="1" spans="1:27" ht="15.75">
      <c r="A1" s="150"/>
      <c r="V1" s="538"/>
    </row>
    <row r="2" spans="1:27" ht="15.75">
      <c r="A2" s="150" t="s">
        <v>231</v>
      </c>
      <c r="V2" s="522"/>
      <c r="W2" s="523"/>
      <c r="X2" s="523"/>
      <c r="Y2" s="523"/>
    </row>
    <row r="3" spans="1:27" ht="15">
      <c r="A3" s="152"/>
      <c r="V3" s="538"/>
    </row>
    <row r="4" spans="1:27" ht="20.25">
      <c r="A4" s="153" t="s">
        <v>4</v>
      </c>
      <c r="B4" s="154"/>
      <c r="F4" s="155" t="s">
        <v>31</v>
      </c>
      <c r="G4" s="156">
        <v>8</v>
      </c>
      <c r="H4" s="156" t="str">
        <f>+'1'!H4</f>
        <v>.07.25</v>
      </c>
      <c r="J4" s="151">
        <f>473+516+480</f>
        <v>1469</v>
      </c>
      <c r="Y4" s="539"/>
    </row>
    <row r="5" spans="1:27" ht="13.5" thickBot="1">
      <c r="C5" s="157"/>
      <c r="D5" s="157"/>
      <c r="Z5" s="539"/>
      <c r="AA5" s="539"/>
    </row>
    <row r="6" spans="1:27"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521</v>
      </c>
      <c r="O6" s="151">
        <v>1300</v>
      </c>
      <c r="P6" s="151">
        <f>+O6-O6*0.18</f>
        <v>1066</v>
      </c>
      <c r="Q6" s="151">
        <v>480</v>
      </c>
      <c r="R6" s="151">
        <f>+O6*Q6</f>
        <v>624000</v>
      </c>
      <c r="S6" s="151">
        <f>+P6*Q6</f>
        <v>511680</v>
      </c>
    </row>
    <row r="7" spans="1:27" ht="13.5" customHeight="1" thickBot="1">
      <c r="A7" s="795" t="s">
        <v>506</v>
      </c>
      <c r="B7" s="215" t="s">
        <v>410</v>
      </c>
      <c r="C7" s="216">
        <v>19440</v>
      </c>
      <c r="D7" s="217"/>
      <c r="E7" s="218"/>
      <c r="F7" s="233"/>
      <c r="G7" s="555" t="s">
        <v>13</v>
      </c>
      <c r="H7" s="556" t="s">
        <v>461</v>
      </c>
      <c r="I7" s="798" t="s">
        <v>523</v>
      </c>
      <c r="J7" s="415" t="str">
        <f>+'7'!J7</f>
        <v>F 12 VP OW</v>
      </c>
      <c r="K7" s="416"/>
      <c r="L7" s="417"/>
      <c r="M7" s="418">
        <f>+K7+'7'!M7+L7</f>
        <v>15194</v>
      </c>
      <c r="P7" s="151">
        <f>+O7-O7*0.17</f>
        <v>0</v>
      </c>
      <c r="Q7" s="151">
        <f>480-Q6</f>
        <v>0</v>
      </c>
      <c r="R7" s="151">
        <f>+O7*Q7</f>
        <v>0</v>
      </c>
      <c r="S7" s="151">
        <f>+P7*Q7</f>
        <v>0</v>
      </c>
    </row>
    <row r="8" spans="1:27" ht="13.5" thickBot="1">
      <c r="A8" s="796"/>
      <c r="B8" s="215"/>
      <c r="C8" s="216"/>
      <c r="D8" s="217"/>
      <c r="E8" s="219"/>
      <c r="F8" s="229">
        <v>3</v>
      </c>
      <c r="G8" s="557" t="s">
        <v>13</v>
      </c>
      <c r="H8" s="228" t="s">
        <v>399</v>
      </c>
      <c r="I8" s="799"/>
      <c r="J8" s="415" t="str">
        <f>+'7'!J8</f>
        <v>F 11,5 VP OW</v>
      </c>
      <c r="K8" s="419"/>
      <c r="L8" s="419"/>
      <c r="M8" s="418">
        <f>+K8+'7'!M8+L8</f>
        <v>150859</v>
      </c>
      <c r="P8" s="151">
        <f t="shared" ref="P8:P10" si="0">+O8-O8*0.23</f>
        <v>0</v>
      </c>
      <c r="Q8" s="151">
        <f>480-Q6-Q7</f>
        <v>0</v>
      </c>
      <c r="R8" s="151">
        <f>+O8*Q8</f>
        <v>0</v>
      </c>
      <c r="S8" s="151">
        <f>+P8*Q8</f>
        <v>0</v>
      </c>
    </row>
    <row r="9" spans="1:27" ht="13.5" thickBot="1">
      <c r="A9" s="796"/>
      <c r="B9" s="215"/>
      <c r="C9" s="216"/>
      <c r="D9" s="217"/>
      <c r="E9" s="220"/>
      <c r="F9" s="229">
        <v>3</v>
      </c>
      <c r="G9" s="557" t="s">
        <v>13</v>
      </c>
      <c r="H9" s="231" t="s">
        <v>400</v>
      </c>
      <c r="I9" s="799"/>
      <c r="J9" s="415" t="str">
        <f>+'7'!J9</f>
        <v>T 13 VP OW</v>
      </c>
      <c r="K9" s="419">
        <f>+C7+C16</f>
        <v>28852</v>
      </c>
      <c r="L9" s="419"/>
      <c r="M9" s="418">
        <f>+K9+'7'!M9+L9</f>
        <v>113358</v>
      </c>
      <c r="P9" s="151">
        <f t="shared" si="0"/>
        <v>0</v>
      </c>
      <c r="R9" s="151">
        <f>+O9*Q9</f>
        <v>0</v>
      </c>
      <c r="S9" s="151">
        <f>+P9*Q9</f>
        <v>0</v>
      </c>
    </row>
    <row r="10" spans="1:27" ht="51.75" thickBot="1">
      <c r="A10" s="796"/>
      <c r="B10" s="215"/>
      <c r="C10" s="216"/>
      <c r="D10" s="217"/>
      <c r="E10" s="219"/>
      <c r="F10" s="229">
        <v>5</v>
      </c>
      <c r="G10" s="227" t="s">
        <v>21</v>
      </c>
      <c r="H10" s="558" t="s">
        <v>547</v>
      </c>
      <c r="I10" s="799"/>
      <c r="J10" s="415" t="str">
        <f>+'7'!J10</f>
        <v>F 13 VP OW</v>
      </c>
      <c r="K10" s="419">
        <f>+C26</f>
        <v>11719</v>
      </c>
      <c r="L10" s="419"/>
      <c r="M10" s="418">
        <f>+K10+'7'!M10+L10</f>
        <v>32976</v>
      </c>
      <c r="P10" s="151">
        <f t="shared" si="0"/>
        <v>0</v>
      </c>
      <c r="R10" s="151">
        <f>+O10*Q10</f>
        <v>0</v>
      </c>
      <c r="S10" s="151">
        <f>+P10*Q10</f>
        <v>0</v>
      </c>
    </row>
    <row r="11" spans="1:27" ht="102.75" thickBot="1">
      <c r="A11" s="796"/>
      <c r="B11" s="215"/>
      <c r="C11" s="216"/>
      <c r="D11" s="217"/>
      <c r="E11" s="219"/>
      <c r="F11" s="226"/>
      <c r="G11" s="230"/>
      <c r="H11" s="231" t="s">
        <v>548</v>
      </c>
      <c r="I11" s="799"/>
      <c r="J11" s="415" t="s">
        <v>558</v>
      </c>
      <c r="K11" s="419">
        <f>+C17+C25</f>
        <v>10128</v>
      </c>
      <c r="L11" s="419"/>
      <c r="M11" s="418">
        <f>+K11+'7'!M11+L11</f>
        <v>10128</v>
      </c>
    </row>
    <row r="12" spans="1:27" ht="13.5" thickBot="1">
      <c r="A12" s="796"/>
      <c r="B12" s="215"/>
      <c r="C12" s="216"/>
      <c r="D12" s="217"/>
      <c r="E12" s="219"/>
      <c r="F12" s="226"/>
      <c r="G12" s="230"/>
      <c r="H12" s="231"/>
      <c r="I12" s="799"/>
      <c r="J12" s="415">
        <f>+'7'!J12</f>
        <v>0</v>
      </c>
      <c r="K12" s="419"/>
      <c r="L12" s="419"/>
      <c r="M12" s="418">
        <f>+K12+'7'!M12+L12</f>
        <v>0</v>
      </c>
      <c r="Q12" s="151">
        <f>SUM(Q6:Q11)</f>
        <v>480</v>
      </c>
      <c r="R12" s="151">
        <f>SUM(R6:R9)</f>
        <v>624000</v>
      </c>
      <c r="S12" s="151">
        <f>SUM(S6:S9)</f>
        <v>511680</v>
      </c>
    </row>
    <row r="13" spans="1:27" ht="13.5" thickBot="1">
      <c r="A13" s="796"/>
      <c r="B13" s="215"/>
      <c r="C13" s="216"/>
      <c r="D13" s="216"/>
      <c r="E13" s="219"/>
      <c r="F13" s="226"/>
      <c r="G13" s="230"/>
      <c r="H13" s="231"/>
      <c r="I13" s="800"/>
      <c r="J13" s="415">
        <f>+'7'!J13</f>
        <v>0</v>
      </c>
      <c r="K13" s="419"/>
      <c r="L13" s="419"/>
      <c r="M13" s="418">
        <f>+K13+'7'!M13+L13</f>
        <v>0</v>
      </c>
      <c r="P13" s="151" t="s">
        <v>424</v>
      </c>
      <c r="Q13" s="151">
        <f>480-Q12</f>
        <v>0</v>
      </c>
      <c r="R13" s="151">
        <f>+R12/Q12</f>
        <v>1300</v>
      </c>
      <c r="S13" s="151">
        <f>+S12/Q12</f>
        <v>1066</v>
      </c>
    </row>
    <row r="14" spans="1:27" ht="13.5" thickBot="1">
      <c r="A14" s="797"/>
      <c r="B14" s="167" t="s">
        <v>3</v>
      </c>
      <c r="C14" s="101">
        <f>SUM(C7:C13)</f>
        <v>19440</v>
      </c>
      <c r="D14" s="113">
        <f>SUM(D7:D13)</f>
        <v>0</v>
      </c>
      <c r="E14" s="114">
        <f>SUM(E5:E13)</f>
        <v>0</v>
      </c>
      <c r="F14" s="118">
        <f>SUM(F7:F13)</f>
        <v>11</v>
      </c>
      <c r="G14" s="161"/>
      <c r="H14" s="168"/>
      <c r="I14" s="169"/>
      <c r="J14" s="415">
        <f>+'7'!J14</f>
        <v>0</v>
      </c>
      <c r="K14" s="419"/>
      <c r="L14" s="419"/>
      <c r="M14" s="418">
        <f>+K14+'7'!M14+L14</f>
        <v>0</v>
      </c>
    </row>
    <row r="15" spans="1:27" ht="13.5" customHeight="1" thickBot="1">
      <c r="A15" s="801" t="s">
        <v>444</v>
      </c>
      <c r="B15" s="518"/>
      <c r="C15" s="115">
        <f>C14/($C$23+$D$23+$E$23)</f>
        <v>1.1123826962691692</v>
      </c>
      <c r="D15" s="116">
        <f>D14/($C$23+$D$23+$E$23)</f>
        <v>0</v>
      </c>
      <c r="E15" s="117">
        <f>E14/($C$23+$D$23+$E$23)</f>
        <v>0</v>
      </c>
      <c r="F15" s="233"/>
      <c r="G15" s="555" t="s">
        <v>13</v>
      </c>
      <c r="H15" s="556" t="s">
        <v>461</v>
      </c>
      <c r="I15" s="798" t="s">
        <v>552</v>
      </c>
      <c r="J15" s="415">
        <f>+'7'!J15</f>
        <v>0</v>
      </c>
      <c r="K15" s="419"/>
      <c r="L15" s="419"/>
      <c r="M15" s="418">
        <f>+K15+'7'!M15+L15</f>
        <v>0</v>
      </c>
      <c r="N15" s="151" t="s">
        <v>521</v>
      </c>
      <c r="O15" s="151">
        <v>1300</v>
      </c>
      <c r="P15" s="151">
        <f>+O15-O15*0.18</f>
        <v>1066</v>
      </c>
      <c r="Q15" s="151">
        <f>60*2+20</f>
        <v>140</v>
      </c>
      <c r="R15" s="151">
        <f>+O15*Q15</f>
        <v>182000</v>
      </c>
      <c r="S15" s="151">
        <f>+P15*Q15</f>
        <v>149240</v>
      </c>
    </row>
    <row r="16" spans="1:27" ht="13.5" thickBot="1">
      <c r="A16" s="796"/>
      <c r="B16" s="517" t="s">
        <v>556</v>
      </c>
      <c r="C16" s="516">
        <v>9412</v>
      </c>
      <c r="D16" s="221"/>
      <c r="E16" s="222"/>
      <c r="F16" s="229">
        <v>7</v>
      </c>
      <c r="G16" s="557" t="s">
        <v>13</v>
      </c>
      <c r="H16" s="228" t="s">
        <v>468</v>
      </c>
      <c r="I16" s="799"/>
      <c r="J16" s="415">
        <f>+'7'!J16</f>
        <v>0</v>
      </c>
      <c r="K16" s="420"/>
      <c r="L16" s="420"/>
      <c r="M16" s="418">
        <f>+K16+'7'!M16+L16</f>
        <v>0</v>
      </c>
      <c r="N16" s="151" t="s">
        <v>521</v>
      </c>
      <c r="O16" s="151">
        <v>1350</v>
      </c>
      <c r="P16" s="151">
        <f>+O16-O16*0.23</f>
        <v>1039.5</v>
      </c>
      <c r="Q16" s="151">
        <f>60-20+240+25</f>
        <v>305</v>
      </c>
      <c r="R16" s="151">
        <f>+O16*Q16</f>
        <v>411750</v>
      </c>
      <c r="S16" s="151">
        <f>+P16*Q16</f>
        <v>317047.5</v>
      </c>
    </row>
    <row r="17" spans="1:19" ht="13.5" thickBot="1">
      <c r="A17" s="796"/>
      <c r="B17" s="215" t="s">
        <v>557</v>
      </c>
      <c r="C17" s="216">
        <v>8064</v>
      </c>
      <c r="D17" s="217"/>
      <c r="E17" s="223"/>
      <c r="F17" s="229">
        <v>10</v>
      </c>
      <c r="G17" s="557" t="s">
        <v>13</v>
      </c>
      <c r="H17" s="231" t="s">
        <v>554</v>
      </c>
      <c r="I17" s="799"/>
      <c r="J17" s="415">
        <f>+'7'!J17</f>
        <v>0</v>
      </c>
      <c r="K17" s="420"/>
      <c r="L17" s="420"/>
      <c r="M17" s="418">
        <f>+K17+'7'!M17+L17</f>
        <v>0</v>
      </c>
      <c r="N17" s="151" t="s">
        <v>519</v>
      </c>
      <c r="O17" s="151">
        <v>1350</v>
      </c>
      <c r="P17" s="151">
        <f>+O17-O17*0.23</f>
        <v>1039.5</v>
      </c>
      <c r="Q17" s="151">
        <f>60-25</f>
        <v>35</v>
      </c>
      <c r="R17" s="151">
        <f>+O17*Q17</f>
        <v>47250</v>
      </c>
      <c r="S17" s="151">
        <f>+P17*Q17</f>
        <v>36382.5</v>
      </c>
    </row>
    <row r="18" spans="1:19" ht="149.25" customHeight="1" thickBot="1">
      <c r="A18" s="796"/>
      <c r="B18" s="215"/>
      <c r="C18" s="216"/>
      <c r="D18" s="217"/>
      <c r="E18" s="223"/>
      <c r="F18" s="229"/>
      <c r="G18" s="227"/>
      <c r="H18" s="558" t="s">
        <v>545</v>
      </c>
      <c r="I18" s="799"/>
      <c r="J18" s="415">
        <f>+'7'!J18</f>
        <v>0</v>
      </c>
      <c r="K18" s="236"/>
      <c r="L18" s="236"/>
      <c r="M18" s="119">
        <f>+K18+'7'!M18+L18</f>
        <v>0</v>
      </c>
      <c r="P18" s="151">
        <f t="shared" ref="P18:P19" si="1">+O18-O18*0.23</f>
        <v>0</v>
      </c>
      <c r="R18" s="151">
        <f>+O18*Q18</f>
        <v>0</v>
      </c>
      <c r="S18" s="151">
        <f>+P18*Q18</f>
        <v>0</v>
      </c>
    </row>
    <row r="19" spans="1:19" ht="77.25" thickBot="1">
      <c r="A19" s="796"/>
      <c r="B19" s="215"/>
      <c r="C19" s="216"/>
      <c r="D19" s="217"/>
      <c r="E19" s="223"/>
      <c r="F19" s="232"/>
      <c r="G19" s="230"/>
      <c r="H19" s="231" t="s">
        <v>546</v>
      </c>
      <c r="I19" s="799"/>
      <c r="J19" s="415">
        <f>+'7'!J19</f>
        <v>0</v>
      </c>
      <c r="K19" s="236"/>
      <c r="L19" s="236"/>
      <c r="M19" s="119">
        <f>+K19+'7'!M19+L19</f>
        <v>0</v>
      </c>
      <c r="P19" s="151">
        <f t="shared" si="1"/>
        <v>0</v>
      </c>
      <c r="R19" s="151">
        <f>+O19*Q19</f>
        <v>0</v>
      </c>
      <c r="S19" s="151">
        <f>+P19*Q19</f>
        <v>0</v>
      </c>
    </row>
    <row r="20" spans="1:19" ht="13.5" thickBot="1">
      <c r="A20" s="796"/>
      <c r="B20" s="215"/>
      <c r="C20" s="216"/>
      <c r="D20" s="217"/>
      <c r="E20" s="223"/>
      <c r="F20" s="226"/>
      <c r="G20" s="230"/>
      <c r="H20" s="231"/>
      <c r="I20" s="799"/>
      <c r="J20" s="415">
        <f>+'7'!J20</f>
        <v>0</v>
      </c>
      <c r="K20" s="237"/>
      <c r="L20" s="237"/>
      <c r="M20" s="119">
        <f>+K20+'7'!M20+L20</f>
        <v>0</v>
      </c>
    </row>
    <row r="21" spans="1:19" ht="13.5" thickBot="1">
      <c r="A21" s="796"/>
      <c r="B21" s="215"/>
      <c r="C21" s="216"/>
      <c r="D21" s="217"/>
      <c r="E21" s="223"/>
      <c r="F21" s="229"/>
      <c r="G21" s="230"/>
      <c r="H21" s="231"/>
      <c r="I21" s="799"/>
      <c r="J21" s="415">
        <f>+'7'!J21</f>
        <v>0</v>
      </c>
      <c r="K21" s="236"/>
      <c r="L21" s="236"/>
      <c r="M21" s="119">
        <f>+K21+'7'!M21+L21</f>
        <v>0</v>
      </c>
      <c r="Q21" s="151">
        <f>SUM(Q15:Q20)</f>
        <v>480</v>
      </c>
      <c r="R21" s="151">
        <f>SUM(R15:R18)</f>
        <v>641000</v>
      </c>
      <c r="S21" s="151">
        <f>SUM(S15:S18)</f>
        <v>502670</v>
      </c>
    </row>
    <row r="22" spans="1:19" ht="13.5" thickBot="1">
      <c r="A22" s="796"/>
      <c r="B22" s="215"/>
      <c r="C22" s="216"/>
      <c r="D22" s="217"/>
      <c r="E22" s="223"/>
      <c r="F22" s="233"/>
      <c r="G22" s="230"/>
      <c r="H22" s="231"/>
      <c r="I22" s="800"/>
      <c r="J22" s="415">
        <f>+'7'!J22</f>
        <v>0</v>
      </c>
      <c r="K22" s="236"/>
      <c r="L22" s="236"/>
      <c r="M22" s="119">
        <f>+K22+'7'!M22+L22</f>
        <v>0</v>
      </c>
      <c r="P22" s="151" t="s">
        <v>424</v>
      </c>
      <c r="Q22" s="151">
        <f>480-Q21</f>
        <v>0</v>
      </c>
      <c r="R22" s="151">
        <f>+R21/Q21</f>
        <v>1335.4166666666667</v>
      </c>
      <c r="S22" s="151">
        <f>+S21/Q21</f>
        <v>1047.2291666666667</v>
      </c>
    </row>
    <row r="23" spans="1:19" ht="13.5" thickBot="1">
      <c r="A23" s="797"/>
      <c r="B23" s="167" t="s">
        <v>3</v>
      </c>
      <c r="C23" s="101">
        <f>SUM(C16:C22)</f>
        <v>17476</v>
      </c>
      <c r="D23" s="113">
        <f>SUM(D16:D22)</f>
        <v>0</v>
      </c>
      <c r="E23" s="114">
        <f>SUM(E18:E22)</f>
        <v>0</v>
      </c>
      <c r="F23" s="118">
        <f>SUM(F15:F22)</f>
        <v>17</v>
      </c>
      <c r="G23" s="161"/>
      <c r="H23" s="168"/>
      <c r="I23" s="170"/>
      <c r="J23" s="415">
        <f>+'7'!J23</f>
        <v>0</v>
      </c>
      <c r="K23" s="236"/>
      <c r="L23" s="236"/>
      <c r="M23" s="119">
        <f>+K23+'7'!M23+L23</f>
        <v>0</v>
      </c>
    </row>
    <row r="24" spans="1:19" ht="13.5" customHeight="1" thickBot="1">
      <c r="A24" s="801" t="s">
        <v>442</v>
      </c>
      <c r="B24" s="518"/>
      <c r="C24" s="115">
        <f>C23/($C$23+$D$23+$E$23)</f>
        <v>1</v>
      </c>
      <c r="D24" s="116">
        <f>D23/($C$23+$D$23+$E$23)</f>
        <v>0</v>
      </c>
      <c r="E24" s="117">
        <f>E23/($C$23+$D$23+$E$23)</f>
        <v>0</v>
      </c>
      <c r="F24" s="233"/>
      <c r="G24" s="555" t="s">
        <v>13</v>
      </c>
      <c r="H24" s="556" t="s">
        <v>461</v>
      </c>
      <c r="I24" s="798" t="s">
        <v>459</v>
      </c>
      <c r="J24" s="415">
        <f>+'7'!J24</f>
        <v>0</v>
      </c>
      <c r="K24" s="236"/>
      <c r="L24" s="236"/>
      <c r="M24" s="119">
        <f>+K24+'7'!M24+L24</f>
        <v>0</v>
      </c>
      <c r="N24" s="151" t="s">
        <v>519</v>
      </c>
      <c r="O24" s="151">
        <v>1350</v>
      </c>
      <c r="P24" s="151">
        <f>+O24-O24*0.23</f>
        <v>1039.5</v>
      </c>
      <c r="Q24" s="151">
        <v>480</v>
      </c>
      <c r="R24" s="151">
        <f>+O24*Q24</f>
        <v>648000</v>
      </c>
      <c r="S24" s="151">
        <f>+P24*Q24</f>
        <v>498960</v>
      </c>
    </row>
    <row r="25" spans="1:19" ht="13.5" thickBot="1">
      <c r="A25" s="796"/>
      <c r="B25" s="215" t="s">
        <v>557</v>
      </c>
      <c r="C25" s="224">
        <v>2064</v>
      </c>
      <c r="D25" s="217"/>
      <c r="E25" s="223"/>
      <c r="F25" s="229">
        <v>3</v>
      </c>
      <c r="G25" s="557" t="s">
        <v>13</v>
      </c>
      <c r="H25" s="228" t="s">
        <v>399</v>
      </c>
      <c r="I25" s="799"/>
      <c r="J25" s="415">
        <f>+'7'!J25</f>
        <v>0</v>
      </c>
      <c r="K25" s="236"/>
      <c r="L25" s="236"/>
      <c r="M25" s="119">
        <f>+K25+'7'!M25+L25</f>
        <v>0</v>
      </c>
      <c r="P25" s="151">
        <f>+O25-O25*0.17</f>
        <v>0</v>
      </c>
      <c r="Q25" s="151">
        <f>480-Q24</f>
        <v>0</v>
      </c>
      <c r="R25" s="151">
        <f>+O25*Q25</f>
        <v>0</v>
      </c>
      <c r="S25" s="151">
        <f>+P25*Q25</f>
        <v>0</v>
      </c>
    </row>
    <row r="26" spans="1:19" ht="13.5" thickBot="1">
      <c r="A26" s="796"/>
      <c r="B26" s="215" t="s">
        <v>536</v>
      </c>
      <c r="C26" s="224">
        <f>13783-C25</f>
        <v>11719</v>
      </c>
      <c r="D26" s="217"/>
      <c r="E26" s="225"/>
      <c r="F26" s="229">
        <v>3</v>
      </c>
      <c r="G26" s="557" t="s">
        <v>13</v>
      </c>
      <c r="H26" s="231" t="s">
        <v>400</v>
      </c>
      <c r="I26" s="799"/>
      <c r="J26" s="415">
        <f>+'7'!J26</f>
        <v>0</v>
      </c>
      <c r="K26" s="236"/>
      <c r="L26" s="236"/>
      <c r="M26" s="119">
        <f>+K26+'7'!M26+L26</f>
        <v>0</v>
      </c>
      <c r="P26" s="151">
        <f t="shared" ref="P26:P28" si="2">+O26-O26*0.23</f>
        <v>0</v>
      </c>
      <c r="Q26" s="151">
        <f>480-Q24-Q25</f>
        <v>0</v>
      </c>
      <c r="R26" s="151">
        <f>+O26*Q26</f>
        <v>0</v>
      </c>
      <c r="S26" s="151">
        <f>+P26*Q26</f>
        <v>0</v>
      </c>
    </row>
    <row r="27" spans="1:19" ht="64.5" thickBot="1">
      <c r="A27" s="796"/>
      <c r="B27" s="215"/>
      <c r="C27" s="216"/>
      <c r="D27" s="217"/>
      <c r="E27" s="223"/>
      <c r="F27" s="229"/>
      <c r="G27" s="227"/>
      <c r="H27" s="558" t="s">
        <v>550</v>
      </c>
      <c r="I27" s="799"/>
      <c r="J27" s="415">
        <f>+'7'!J27</f>
        <v>0</v>
      </c>
      <c r="K27" s="236"/>
      <c r="L27" s="236"/>
      <c r="M27" s="119">
        <f>+K27+'7'!M27+L27</f>
        <v>0</v>
      </c>
      <c r="P27" s="151">
        <f t="shared" si="2"/>
        <v>0</v>
      </c>
      <c r="R27" s="151">
        <f>+O27*Q27</f>
        <v>0</v>
      </c>
      <c r="S27" s="151">
        <f>+P27*Q27</f>
        <v>0</v>
      </c>
    </row>
    <row r="28" spans="1:19" ht="39" thickBot="1">
      <c r="A28" s="796"/>
      <c r="B28" s="215"/>
      <c r="C28" s="216"/>
      <c r="D28" s="217"/>
      <c r="E28" s="223"/>
      <c r="F28" s="229"/>
      <c r="G28" s="227"/>
      <c r="H28" s="231" t="s">
        <v>551</v>
      </c>
      <c r="I28" s="799"/>
      <c r="J28" s="415">
        <f>+'7'!J28</f>
        <v>0</v>
      </c>
      <c r="K28" s="236"/>
      <c r="L28" s="236"/>
      <c r="M28" s="119">
        <f>+K28+'7'!M28+L28</f>
        <v>0</v>
      </c>
      <c r="P28" s="151">
        <f t="shared" si="2"/>
        <v>0</v>
      </c>
      <c r="R28" s="151">
        <f>+O28*Q28</f>
        <v>0</v>
      </c>
      <c r="S28" s="151">
        <f>+P28*Q28</f>
        <v>0</v>
      </c>
    </row>
    <row r="29" spans="1:19" ht="13.5" thickBot="1">
      <c r="A29" s="796"/>
      <c r="B29" s="215"/>
      <c r="C29" s="216"/>
      <c r="D29" s="217"/>
      <c r="E29" s="223"/>
      <c r="F29" s="233"/>
      <c r="G29" s="230"/>
      <c r="H29" s="231"/>
      <c r="I29" s="799"/>
      <c r="J29" s="415">
        <f>+'7'!J29</f>
        <v>0</v>
      </c>
      <c r="K29" s="236"/>
      <c r="L29" s="236"/>
      <c r="M29" s="119">
        <f>+K29+'7'!M29+L29</f>
        <v>0</v>
      </c>
    </row>
    <row r="30" spans="1:19" ht="13.5" thickBot="1">
      <c r="A30" s="796"/>
      <c r="B30" s="215"/>
      <c r="C30" s="224"/>
      <c r="D30" s="217"/>
      <c r="E30" s="223"/>
      <c r="F30" s="233"/>
      <c r="G30" s="230"/>
      <c r="H30" s="231"/>
      <c r="I30" s="799"/>
      <c r="J30" s="415">
        <f>+'7'!J30</f>
        <v>0</v>
      </c>
      <c r="K30" s="236"/>
      <c r="L30" s="236"/>
      <c r="M30" s="119">
        <f>+K30+'7'!M30+L30</f>
        <v>0</v>
      </c>
      <c r="Q30" s="151">
        <f>SUM(Q24:Q29)</f>
        <v>480</v>
      </c>
      <c r="R30" s="151">
        <f>SUM(R24:R27)</f>
        <v>648000</v>
      </c>
      <c r="S30" s="151">
        <f>SUM(S24:S27)</f>
        <v>498960</v>
      </c>
    </row>
    <row r="31" spans="1:19" ht="13.5" thickBot="1">
      <c r="A31" s="796"/>
      <c r="B31" s="215"/>
      <c r="C31" s="224"/>
      <c r="D31" s="217"/>
      <c r="E31" s="223"/>
      <c r="F31" s="233"/>
      <c r="G31" s="234"/>
      <c r="H31" s="409"/>
      <c r="I31" s="800"/>
      <c r="J31" s="415">
        <f>+'7'!J31</f>
        <v>0</v>
      </c>
      <c r="K31" s="236"/>
      <c r="L31" s="236"/>
      <c r="M31" s="119">
        <f>+K31+'7'!M31+L31</f>
        <v>0</v>
      </c>
      <c r="P31" s="151" t="s">
        <v>424</v>
      </c>
      <c r="Q31" s="151">
        <f>480-Q30</f>
        <v>0</v>
      </c>
      <c r="R31" s="151">
        <f>+R30/Q30</f>
        <v>1350</v>
      </c>
      <c r="S31" s="151">
        <f>+S30/Q30</f>
        <v>1039.5</v>
      </c>
    </row>
    <row r="32" spans="1:19" ht="13.5" thickBot="1">
      <c r="A32" s="797"/>
      <c r="B32" s="167" t="s">
        <v>3</v>
      </c>
      <c r="C32" s="101">
        <f>SUM(C25:C31)</f>
        <v>13783</v>
      </c>
      <c r="D32" s="102">
        <f>SUM(D25:D31)</f>
        <v>0</v>
      </c>
      <c r="E32" s="103">
        <f>SUM(E25:E31)</f>
        <v>0</v>
      </c>
      <c r="F32" s="101">
        <f>SUM(F24:F31)</f>
        <v>6</v>
      </c>
      <c r="G32" s="171"/>
      <c r="H32" s="172"/>
      <c r="I32" s="170"/>
      <c r="J32" s="415">
        <f>+'7'!J32</f>
        <v>0</v>
      </c>
      <c r="K32" s="238"/>
      <c r="L32" s="240"/>
      <c r="M32" s="119">
        <f>+K32+'7'!M32+L32</f>
        <v>0</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02" t="s">
        <v>69</v>
      </c>
      <c r="B34" s="803"/>
      <c r="C34" s="109">
        <f>C14+C23+C32</f>
        <v>50699</v>
      </c>
      <c r="D34" s="109">
        <f>D14+D23+D32</f>
        <v>0</v>
      </c>
      <c r="E34" s="109">
        <f>E14+E23+E32</f>
        <v>0</v>
      </c>
      <c r="F34" s="110">
        <f>F14+F23+F32</f>
        <v>34</v>
      </c>
      <c r="H34" s="178"/>
      <c r="I34" s="178"/>
      <c r="J34" s="125" t="s">
        <v>29</v>
      </c>
      <c r="K34" s="126">
        <f>SUM(K7:K32)</f>
        <v>50699</v>
      </c>
      <c r="L34" s="212">
        <f>SUM(L7:L32)</f>
        <v>0</v>
      </c>
      <c r="M34" s="122">
        <f>SUM(M7:M32)</f>
        <v>322515</v>
      </c>
      <c r="N34" s="157" t="s">
        <v>521</v>
      </c>
      <c r="O34" s="151">
        <v>1300</v>
      </c>
      <c r="P34" s="151">
        <v>1066</v>
      </c>
      <c r="Q34" s="151">
        <f>480+140</f>
        <v>620</v>
      </c>
    </row>
    <row r="35" spans="1:17" ht="13.5" thickBot="1">
      <c r="A35" s="179"/>
      <c r="B35" s="180"/>
      <c r="C35" s="106">
        <f>C34/($C$34+$D$34+$E$34)</f>
        <v>1</v>
      </c>
      <c r="D35" s="106">
        <f>D34/($C$34+$D$34+$E$34)</f>
        <v>0</v>
      </c>
      <c r="E35" s="111">
        <f>E34/($C$34+$D$34+$E$34)</f>
        <v>0</v>
      </c>
      <c r="K35" s="157"/>
      <c r="N35" s="151" t="s">
        <v>521</v>
      </c>
      <c r="O35" s="151">
        <v>1350</v>
      </c>
      <c r="P35" s="151">
        <v>1039.5</v>
      </c>
      <c r="Q35" s="151">
        <v>305</v>
      </c>
    </row>
    <row r="36" spans="1:17" ht="13.5" thickBot="1">
      <c r="A36" s="178"/>
      <c r="B36" s="178"/>
      <c r="C36" s="157"/>
      <c r="D36" s="157"/>
      <c r="E36" s="157"/>
      <c r="G36" s="157"/>
      <c r="H36" s="181"/>
      <c r="I36" s="164" t="s">
        <v>39</v>
      </c>
      <c r="J36" s="164" t="s">
        <v>40</v>
      </c>
      <c r="K36" s="182"/>
      <c r="M36" s="157"/>
      <c r="N36" s="151" t="s">
        <v>519</v>
      </c>
      <c r="O36" s="151">
        <v>1350</v>
      </c>
      <c r="P36" s="151">
        <v>1039.5</v>
      </c>
      <c r="Q36" s="151">
        <f>35+480</f>
        <v>515</v>
      </c>
    </row>
    <row r="37" spans="1:17" ht="17.45" customHeight="1" thickBot="1">
      <c r="A37" s="804" t="s">
        <v>70</v>
      </c>
      <c r="B37" s="805"/>
      <c r="C37" s="164" t="s">
        <v>71</v>
      </c>
      <c r="D37" s="183" t="s">
        <v>72</v>
      </c>
      <c r="E37" s="184" t="s">
        <v>73</v>
      </c>
      <c r="F37" s="309"/>
      <c r="G37" s="311"/>
      <c r="H37" s="186" t="s">
        <v>74</v>
      </c>
      <c r="I37" s="241">
        <f>(13*620+305*13+13*515)/1440*G42*2.74*1440/1000000</f>
        <v>53.904102200000004</v>
      </c>
      <c r="J37" s="127">
        <f>+I37+'7'!J37</f>
        <v>372.1717560676359</v>
      </c>
      <c r="K37" s="128" t="s">
        <v>75</v>
      </c>
      <c r="Q37" s="151">
        <f>SUM(Q34:Q36)</f>
        <v>1440</v>
      </c>
    </row>
    <row r="38" spans="1:17" ht="17.45" customHeight="1">
      <c r="A38" s="806" t="s">
        <v>13</v>
      </c>
      <c r="B38" s="807"/>
      <c r="C38" s="166">
        <f>SUMIF($G$7:$G$31,"Process",$F$7:$F$31)</f>
        <v>29</v>
      </c>
      <c r="D38" s="120">
        <f>C38+'7'!D38</f>
        <v>684</v>
      </c>
      <c r="E38" s="145">
        <f t="shared" ref="E38:E52" si="3">D38/60</f>
        <v>11.4</v>
      </c>
      <c r="F38" s="309">
        <v>1300</v>
      </c>
      <c r="G38" s="309">
        <v>1066</v>
      </c>
      <c r="H38" s="187" t="s">
        <v>76</v>
      </c>
      <c r="I38" s="242">
        <f>15.536+17.04+16.356</f>
        <v>48.932000000000002</v>
      </c>
      <c r="J38" s="129">
        <f>+I38+'7'!J38</f>
        <v>336.10500000000002</v>
      </c>
      <c r="K38" s="130" t="s">
        <v>75</v>
      </c>
    </row>
    <row r="39" spans="1:17" ht="17.45" customHeight="1">
      <c r="A39" s="793" t="s">
        <v>14</v>
      </c>
      <c r="B39" s="794"/>
      <c r="C39" s="166">
        <f>SUMIF($G$7:$G$31,"Cleaning",$F$7:$F$31)</f>
        <v>0</v>
      </c>
      <c r="D39" s="120">
        <f>C39+'7'!D39</f>
        <v>0</v>
      </c>
      <c r="E39" s="145">
        <f t="shared" si="3"/>
        <v>0</v>
      </c>
      <c r="F39" s="309">
        <v>1335.4166666666667</v>
      </c>
      <c r="G39" s="309">
        <v>1047.2291666666667</v>
      </c>
      <c r="H39" s="187" t="s">
        <v>77</v>
      </c>
      <c r="I39" s="144"/>
      <c r="J39" s="131">
        <f>J37/G4</f>
        <v>46.521469508454487</v>
      </c>
      <c r="K39" s="132" t="s">
        <v>75</v>
      </c>
    </row>
    <row r="40" spans="1:17" ht="17.45" customHeight="1">
      <c r="A40" s="793" t="s">
        <v>78</v>
      </c>
      <c r="B40" s="794"/>
      <c r="C40" s="166">
        <f>SUMIF($G$7:$G$31,"Mechanical",$F$7:$F$31)</f>
        <v>0</v>
      </c>
      <c r="D40" s="120">
        <f>C40+'7'!D40</f>
        <v>5</v>
      </c>
      <c r="E40" s="145">
        <f t="shared" si="3"/>
        <v>8.3333333333333329E-2</v>
      </c>
      <c r="F40" s="309">
        <v>1350</v>
      </c>
      <c r="G40" s="309">
        <v>1039.5</v>
      </c>
      <c r="H40" s="187" t="s">
        <v>79</v>
      </c>
      <c r="I40" s="120">
        <f>(K34+L34)/1000</f>
        <v>50.698999999999998</v>
      </c>
      <c r="J40" s="133">
        <f>+I40+'7'!J40</f>
        <v>322.51499999999999</v>
      </c>
      <c r="K40" s="132" t="s">
        <v>75</v>
      </c>
    </row>
    <row r="41" spans="1:17" ht="17.45" customHeight="1">
      <c r="A41" s="793" t="s">
        <v>80</v>
      </c>
      <c r="B41" s="794"/>
      <c r="C41" s="166">
        <f>SUMIF($G$7:$G$31,"Electrical",$F$7:$F$31)</f>
        <v>0</v>
      </c>
      <c r="D41" s="120">
        <f>C41+'7'!D41</f>
        <v>36</v>
      </c>
      <c r="E41" s="145">
        <f t="shared" si="3"/>
        <v>0.6</v>
      </c>
      <c r="F41" s="309"/>
      <c r="G41" s="309"/>
      <c r="H41" s="187" t="s">
        <v>81</v>
      </c>
      <c r="I41" s="144"/>
      <c r="J41" s="131">
        <f>J40/G4</f>
        <v>40.314374999999998</v>
      </c>
      <c r="K41" s="132" t="s">
        <v>75</v>
      </c>
    </row>
    <row r="42" spans="1:17" ht="17.45" customHeight="1">
      <c r="A42" s="793" t="s">
        <v>17</v>
      </c>
      <c r="B42" s="794"/>
      <c r="C42" s="166">
        <f>SUMIF($G$7:$G$31,"Instrument",$F$7:$F$31)</f>
        <v>0</v>
      </c>
      <c r="D42" s="120">
        <f>C42+'7'!D42</f>
        <v>0</v>
      </c>
      <c r="E42" s="145">
        <f t="shared" si="3"/>
        <v>0</v>
      </c>
      <c r="F42" s="185">
        <f>+(F38*480+F39*480+F40*480)/1440</f>
        <v>1328.4722222222222</v>
      </c>
      <c r="G42" s="185">
        <f>+(G38*480+G39*480+G40*480)/1440</f>
        <v>1050.9097222222222</v>
      </c>
      <c r="H42" s="187" t="s">
        <v>82</v>
      </c>
      <c r="I42" s="243" t="s">
        <v>553</v>
      </c>
      <c r="J42" s="134"/>
      <c r="K42" s="132" t="s">
        <v>83</v>
      </c>
    </row>
    <row r="43" spans="1:17" ht="17.45" customHeight="1">
      <c r="A43" s="793" t="s">
        <v>84</v>
      </c>
      <c r="B43" s="794"/>
      <c r="C43" s="166">
        <f>SUMIF($G$7:$G$31,"Water",$F$7:$F$31)</f>
        <v>0</v>
      </c>
      <c r="D43" s="120">
        <f>C43+'7'!D43</f>
        <v>0</v>
      </c>
      <c r="E43" s="145">
        <f t="shared" si="3"/>
        <v>0</v>
      </c>
      <c r="F43" s="309"/>
      <c r="G43" s="310"/>
      <c r="H43" s="188" t="s">
        <v>85</v>
      </c>
      <c r="I43" s="120">
        <f>+Report1!Z16</f>
        <v>93.4</v>
      </c>
      <c r="J43" s="135">
        <f>+I43+'7'!J43</f>
        <v>676.9</v>
      </c>
      <c r="K43" s="132" t="s">
        <v>75</v>
      </c>
      <c r="L43" s="189"/>
    </row>
    <row r="44" spans="1:17" ht="17.45" customHeight="1">
      <c r="A44" s="793" t="s">
        <v>18</v>
      </c>
      <c r="B44" s="794"/>
      <c r="C44" s="166">
        <f>SUMIF($G$7:$G$31,"PLN",$F$7:$F$31)</f>
        <v>0</v>
      </c>
      <c r="D44" s="120">
        <f>C44+'7'!D44</f>
        <v>30</v>
      </c>
      <c r="E44" s="145">
        <f t="shared" si="3"/>
        <v>0.5</v>
      </c>
      <c r="F44" s="309"/>
      <c r="G44" s="310"/>
      <c r="H44" s="188" t="s">
        <v>86</v>
      </c>
      <c r="I44" s="120">
        <f>I43/I38</f>
        <v>1.9087713561677431</v>
      </c>
      <c r="J44" s="136">
        <f>J43/J38</f>
        <v>2.0139539727168589</v>
      </c>
      <c r="K44" s="132" t="s">
        <v>75</v>
      </c>
    </row>
    <row r="45" spans="1:17" ht="17.45" customHeight="1">
      <c r="A45" s="793" t="s">
        <v>19</v>
      </c>
      <c r="B45" s="794"/>
      <c r="C45" s="166">
        <f>SUMIF($G$7:$G$31,"Boiler",$F$7:$F$31)</f>
        <v>0</v>
      </c>
      <c r="D45" s="120">
        <f>C45+'7'!D45</f>
        <v>0</v>
      </c>
      <c r="E45" s="145">
        <f t="shared" si="3"/>
        <v>0</v>
      </c>
      <c r="F45" s="309"/>
      <c r="G45" s="312"/>
      <c r="H45" s="188" t="s">
        <v>87</v>
      </c>
      <c r="I45" s="120">
        <f>I43/I40</f>
        <v>1.8422454091796685</v>
      </c>
      <c r="J45" s="136">
        <f>J43/J40</f>
        <v>2.0988171092817387</v>
      </c>
      <c r="K45" s="132" t="s">
        <v>75</v>
      </c>
    </row>
    <row r="46" spans="1:17" ht="17.45" customHeight="1">
      <c r="A46" s="793" t="s">
        <v>88</v>
      </c>
      <c r="B46" s="794"/>
      <c r="C46" s="166">
        <f>SUMIF($G$7:$G$31,"Gas",$F$7:$F$31)</f>
        <v>0</v>
      </c>
      <c r="D46" s="120">
        <f>C46+'7'!D46</f>
        <v>0</v>
      </c>
      <c r="E46" s="145">
        <f t="shared" si="3"/>
        <v>0</v>
      </c>
      <c r="F46" s="309"/>
      <c r="G46" s="310"/>
      <c r="H46" s="188" t="s">
        <v>89</v>
      </c>
      <c r="I46" s="142">
        <f>+SUMIF(Listrik!X15,"&gt;0")</f>
        <v>40532.104999999952</v>
      </c>
      <c r="J46" s="137">
        <f>+I46+'7'!J46</f>
        <v>308936.36499999987</v>
      </c>
      <c r="K46" s="132" t="s">
        <v>90</v>
      </c>
    </row>
    <row r="47" spans="1:17" ht="17.45" customHeight="1">
      <c r="A47" s="793" t="s">
        <v>91</v>
      </c>
      <c r="B47" s="794"/>
      <c r="C47" s="166">
        <f>SUMIF($G$7:$G$31,"Gas",$F$7:$F$31)</f>
        <v>0</v>
      </c>
      <c r="D47" s="120">
        <f>C47+'7'!D47</f>
        <v>0</v>
      </c>
      <c r="E47" s="145">
        <f t="shared" si="3"/>
        <v>0</v>
      </c>
      <c r="F47" s="309"/>
      <c r="G47" s="310"/>
      <c r="H47" s="188" t="s">
        <v>92</v>
      </c>
      <c r="I47" s="120">
        <f>I46/I38</f>
        <v>828.33534292487434</v>
      </c>
      <c r="J47" s="137">
        <f>J46/J38</f>
        <v>919.16622781571198</v>
      </c>
      <c r="K47" s="132" t="s">
        <v>25</v>
      </c>
    </row>
    <row r="48" spans="1:17" ht="17.45" customHeight="1">
      <c r="A48" s="793" t="s">
        <v>15</v>
      </c>
      <c r="B48" s="794"/>
      <c r="C48" s="166">
        <f>SUMIF($G$7:$G$31,"Start Up",$F$7:$F$31)</f>
        <v>0</v>
      </c>
      <c r="D48" s="120">
        <f>C48+'7'!D48</f>
        <v>0</v>
      </c>
      <c r="E48" s="145">
        <f t="shared" si="3"/>
        <v>0</v>
      </c>
      <c r="F48" s="309"/>
      <c r="G48" s="310"/>
      <c r="H48" s="188" t="s">
        <v>93</v>
      </c>
      <c r="I48" s="120">
        <f>I46/I40</f>
        <v>799.46557131304269</v>
      </c>
      <c r="J48" s="137">
        <f>J46/J40</f>
        <v>957.89766367455741</v>
      </c>
      <c r="K48" s="132" t="s">
        <v>25</v>
      </c>
    </row>
    <row r="49" spans="1:11" ht="17.45" customHeight="1">
      <c r="A49" s="793" t="s">
        <v>21</v>
      </c>
      <c r="B49" s="794"/>
      <c r="C49" s="166">
        <f>SUMIF($G$7:$G$31,"Others",$F$7:$F$31)</f>
        <v>5</v>
      </c>
      <c r="D49" s="120">
        <f>C49+'7'!D49</f>
        <v>446</v>
      </c>
      <c r="E49" s="145">
        <f t="shared" si="3"/>
        <v>7.4333333333333336</v>
      </c>
      <c r="F49" s="185"/>
      <c r="H49" s="188" t="s">
        <v>279</v>
      </c>
      <c r="I49" s="120">
        <f>+Report1!T16</f>
        <v>3734.6585709257306</v>
      </c>
      <c r="J49" s="137">
        <f>+I49+'7'!J49</f>
        <v>26272.460444084572</v>
      </c>
      <c r="K49" s="132" t="s">
        <v>94</v>
      </c>
    </row>
    <row r="50" spans="1:11" ht="17.45" customHeight="1">
      <c r="A50" s="793" t="s">
        <v>20</v>
      </c>
      <c r="B50" s="794"/>
      <c r="C50" s="166">
        <f>SUMIF($G$7:$G$31,"Steam",$F$7:$F$31)</f>
        <v>0</v>
      </c>
      <c r="D50" s="120">
        <f>C50+'7'!D50</f>
        <v>0</v>
      </c>
      <c r="E50" s="145">
        <f t="shared" si="3"/>
        <v>0</v>
      </c>
      <c r="F50" s="185"/>
      <c r="H50" s="188" t="s">
        <v>95</v>
      </c>
      <c r="I50" s="142">
        <f>I49/I38</f>
        <v>76.323440099029881</v>
      </c>
      <c r="J50" s="135">
        <f>J49/J38</f>
        <v>78.167419241262621</v>
      </c>
      <c r="K50" s="132" t="s">
        <v>94</v>
      </c>
    </row>
    <row r="51" spans="1:11" ht="17.45" customHeight="1">
      <c r="A51" s="810" t="s">
        <v>96</v>
      </c>
      <c r="B51" s="810"/>
      <c r="C51" s="166">
        <f>SUMIF($G$7:$G$31,"Planned shut",$F$7:$F$31)</f>
        <v>0</v>
      </c>
      <c r="D51" s="120">
        <f>C51+'7'!D51</f>
        <v>0</v>
      </c>
      <c r="E51" s="145">
        <f t="shared" si="3"/>
        <v>0</v>
      </c>
      <c r="F51" s="185"/>
      <c r="H51" s="190" t="s">
        <v>97</v>
      </c>
      <c r="I51" s="143">
        <f>I49/I40</f>
        <v>73.663357678173739</v>
      </c>
      <c r="J51" s="138">
        <f>J49/J40</f>
        <v>81.461204731825106</v>
      </c>
      <c r="K51" s="139" t="s">
        <v>94</v>
      </c>
    </row>
    <row r="52" spans="1:11" ht="13.5" thickBot="1">
      <c r="A52" s="811" t="s">
        <v>230</v>
      </c>
      <c r="B52" s="812"/>
      <c r="C52" s="166">
        <f>SUMIF($G$7:$G$31,"Change Grade",$F$7:$F$31)</f>
        <v>0</v>
      </c>
      <c r="D52" s="120">
        <f>C52+'7'!D52</f>
        <v>0</v>
      </c>
      <c r="E52" s="145">
        <f t="shared" si="3"/>
        <v>0</v>
      </c>
      <c r="F52" s="185"/>
      <c r="H52" s="191"/>
      <c r="I52" s="192"/>
      <c r="J52" s="140"/>
      <c r="K52" s="141"/>
    </row>
    <row r="53" spans="1:11">
      <c r="A53" s="806" t="s">
        <v>29</v>
      </c>
      <c r="B53" s="807"/>
      <c r="C53" s="146">
        <f>SUM(C38:C52)</f>
        <v>34</v>
      </c>
      <c r="D53" s="146">
        <f>SUM(D38:D52)</f>
        <v>1201</v>
      </c>
      <c r="E53" s="147">
        <f>SUM(E38:E52)</f>
        <v>20.016666666666666</v>
      </c>
      <c r="F53" s="185"/>
    </row>
    <row r="54" spans="1:11" ht="13.5" thickBot="1">
      <c r="A54" s="808"/>
      <c r="B54" s="809"/>
      <c r="C54" s="148">
        <f>C53/(24*60)</f>
        <v>2.361111111111111E-2</v>
      </c>
      <c r="D54" s="148">
        <f>D53/(24*60*G4)</f>
        <v>0.10425347222222223</v>
      </c>
      <c r="E54" s="149">
        <f>E53/(G4*24)</f>
        <v>0.10425347222222221</v>
      </c>
      <c r="F54" s="185"/>
    </row>
    <row r="55" spans="1:11">
      <c r="E55" s="193"/>
    </row>
    <row r="56" spans="1:11">
      <c r="A56" s="194" t="s">
        <v>98</v>
      </c>
      <c r="B56" s="195"/>
      <c r="C56" s="196"/>
      <c r="D56" s="196"/>
      <c r="E56" s="196"/>
      <c r="F56" s="197"/>
      <c r="G56" s="196"/>
      <c r="H56" s="198"/>
      <c r="I56" s="199" t="s">
        <v>99</v>
      </c>
      <c r="J56" s="200">
        <f>+D34+'7'!J56</f>
        <v>0</v>
      </c>
      <c r="K56" s="201">
        <f>J56/(J40+J56/1000)/1000</f>
        <v>0</v>
      </c>
    </row>
    <row r="57" spans="1:11">
      <c r="A57" s="176"/>
      <c r="I57" s="199" t="s">
        <v>100</v>
      </c>
      <c r="J57" s="200">
        <f>+E34+'7'!J57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34:B34"/>
    <mergeCell ref="A38:B38"/>
    <mergeCell ref="A39:B39"/>
    <mergeCell ref="A7:A14"/>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 ref="I7:I13"/>
    <mergeCell ref="A15:A23"/>
    <mergeCell ref="I15:I22"/>
    <mergeCell ref="A24:A32"/>
    <mergeCell ref="I24:I31"/>
  </mergeCells>
  <phoneticPr fontId="30" type="noConversion"/>
  <printOptions horizontalCentered="1"/>
  <pageMargins left="0.17" right="0.16" top="0.17" bottom="0.16" header="0" footer="0"/>
  <pageSetup paperSize="9" scale="57"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0" zoomScale="80" zoomScaleNormal="75" zoomScaleSheetLayoutView="80" workbookViewId="0">
      <selection activeCell="A7" sqref="A7:A32"/>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3.28515625" style="151" bestFit="1" customWidth="1"/>
    <col min="12" max="12" width="12" style="151" bestFit="1" customWidth="1"/>
    <col min="13" max="13" width="14.7109375" style="151" customWidth="1"/>
    <col min="14" max="16384" width="9.140625" style="151"/>
  </cols>
  <sheetData>
    <row r="1" spans="1:28" ht="15.75">
      <c r="A1" s="150"/>
      <c r="W1" s="519"/>
    </row>
    <row r="2" spans="1:28" ht="15.75">
      <c r="A2" s="150" t="s">
        <v>231</v>
      </c>
      <c r="W2" s="537"/>
    </row>
    <row r="3" spans="1:28" ht="15">
      <c r="A3" s="152"/>
      <c r="W3" s="537"/>
    </row>
    <row r="4" spans="1:28" ht="20.25">
      <c r="A4" s="153" t="s">
        <v>4</v>
      </c>
      <c r="B4" s="154"/>
      <c r="F4" s="155" t="s">
        <v>31</v>
      </c>
      <c r="G4" s="156">
        <v>7</v>
      </c>
      <c r="H4" s="156" t="str">
        <f>+'1'!H4</f>
        <v>.07.25</v>
      </c>
      <c r="J4" s="151">
        <f>422+505+435</f>
        <v>1362</v>
      </c>
      <c r="Z4" s="176"/>
    </row>
    <row r="5" spans="1:28" ht="13.5" thickBot="1">
      <c r="C5" s="157"/>
      <c r="D5" s="157"/>
      <c r="AA5" s="176"/>
      <c r="AB5" s="176"/>
    </row>
    <row r="6" spans="1:28"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521</v>
      </c>
      <c r="O6" s="151">
        <v>1300</v>
      </c>
      <c r="P6" s="151">
        <f>+O6-O6*0.18</f>
        <v>1066</v>
      </c>
      <c r="Q6" s="151">
        <v>480</v>
      </c>
      <c r="R6" s="151">
        <f>+O6*Q6</f>
        <v>624000</v>
      </c>
      <c r="S6" s="151">
        <f>+P6*Q6</f>
        <v>511680</v>
      </c>
    </row>
    <row r="7" spans="1:28" ht="13.5" customHeight="1" thickBot="1">
      <c r="A7" s="795" t="s">
        <v>506</v>
      </c>
      <c r="B7" s="215" t="s">
        <v>410</v>
      </c>
      <c r="C7" s="216">
        <v>17036</v>
      </c>
      <c r="D7" s="217"/>
      <c r="E7" s="218"/>
      <c r="F7" s="233"/>
      <c r="G7" s="555" t="s">
        <v>13</v>
      </c>
      <c r="H7" s="556" t="s">
        <v>461</v>
      </c>
      <c r="I7" s="798" t="s">
        <v>523</v>
      </c>
      <c r="J7" s="214" t="str">
        <f>+'6'!J7</f>
        <v>F 12 VP OW</v>
      </c>
      <c r="K7" s="235"/>
      <c r="L7" s="239"/>
      <c r="M7" s="119">
        <f>+K7+'6'!M7+L7</f>
        <v>15194</v>
      </c>
      <c r="P7" s="151">
        <f>+O7-O7*0.17</f>
        <v>0</v>
      </c>
      <c r="Q7" s="151">
        <f>480-Q6</f>
        <v>0</v>
      </c>
      <c r="R7" s="151">
        <f>+O7*Q7</f>
        <v>0</v>
      </c>
      <c r="S7" s="151">
        <f>+P7*Q7</f>
        <v>0</v>
      </c>
    </row>
    <row r="8" spans="1:28" ht="13.5" thickBot="1">
      <c r="A8" s="796"/>
      <c r="B8" s="215"/>
      <c r="C8" s="216"/>
      <c r="D8" s="217"/>
      <c r="E8" s="219"/>
      <c r="F8" s="229">
        <v>4</v>
      </c>
      <c r="G8" s="557" t="s">
        <v>13</v>
      </c>
      <c r="H8" s="228" t="s">
        <v>468</v>
      </c>
      <c r="I8" s="799"/>
      <c r="J8" s="214" t="str">
        <f>+'6'!J8</f>
        <v>F 11,5 VP OW</v>
      </c>
      <c r="K8" s="236"/>
      <c r="L8" s="236"/>
      <c r="M8" s="119">
        <f>+K8+'6'!M8+L8</f>
        <v>150859</v>
      </c>
      <c r="P8" s="151">
        <f t="shared" ref="P8:P10" si="0">+O8-O8*0.23</f>
        <v>0</v>
      </c>
      <c r="Q8" s="151">
        <f>480-Q6-Q7</f>
        <v>0</v>
      </c>
      <c r="R8" s="151">
        <f>+O8*Q8</f>
        <v>0</v>
      </c>
      <c r="S8" s="151">
        <f>+P8*Q8</f>
        <v>0</v>
      </c>
    </row>
    <row r="9" spans="1:28" ht="13.5" thickBot="1">
      <c r="A9" s="796"/>
      <c r="B9" s="215"/>
      <c r="C9" s="216"/>
      <c r="D9" s="217"/>
      <c r="E9" s="220"/>
      <c r="F9" s="229">
        <v>4</v>
      </c>
      <c r="G9" s="557" t="s">
        <v>13</v>
      </c>
      <c r="H9" s="231" t="s">
        <v>400</v>
      </c>
      <c r="I9" s="799"/>
      <c r="J9" s="214" t="str">
        <f>+'6'!J9</f>
        <v>T 13 VP OW</v>
      </c>
      <c r="K9" s="236">
        <f>+C34</f>
        <v>48341</v>
      </c>
      <c r="L9" s="236"/>
      <c r="M9" s="119">
        <f>+K9+'6'!M9+L9</f>
        <v>84506</v>
      </c>
      <c r="P9" s="151">
        <f t="shared" si="0"/>
        <v>0</v>
      </c>
      <c r="R9" s="151">
        <f>+O9*Q9</f>
        <v>0</v>
      </c>
      <c r="S9" s="151">
        <f>+P9*Q9</f>
        <v>0</v>
      </c>
    </row>
    <row r="10" spans="1:28" ht="51.75" thickBot="1">
      <c r="A10" s="796"/>
      <c r="B10" s="215"/>
      <c r="C10" s="216"/>
      <c r="D10" s="217"/>
      <c r="E10" s="219"/>
      <c r="F10" s="229"/>
      <c r="G10" s="227"/>
      <c r="H10" s="558" t="s">
        <v>539</v>
      </c>
      <c r="I10" s="799"/>
      <c r="J10" s="214" t="str">
        <f>+'6'!J10</f>
        <v>F 13 VP OW</v>
      </c>
      <c r="K10" s="236"/>
      <c r="L10" s="236"/>
      <c r="M10" s="119">
        <f>+K10+'6'!M10+L10</f>
        <v>21257</v>
      </c>
      <c r="P10" s="151">
        <f t="shared" si="0"/>
        <v>0</v>
      </c>
      <c r="R10" s="151">
        <f>+O10*Q10</f>
        <v>0</v>
      </c>
      <c r="S10" s="151">
        <f>+P10*Q10</f>
        <v>0</v>
      </c>
    </row>
    <row r="11" spans="1:28" ht="77.25" thickBot="1">
      <c r="A11" s="796"/>
      <c r="B11" s="215"/>
      <c r="C11" s="216"/>
      <c r="D11" s="217"/>
      <c r="E11" s="219"/>
      <c r="F11" s="226"/>
      <c r="G11" s="230"/>
      <c r="H11" s="231" t="s">
        <v>538</v>
      </c>
      <c r="I11" s="799"/>
      <c r="J11" s="214">
        <f>+'6'!J11</f>
        <v>0</v>
      </c>
      <c r="K11" s="236"/>
      <c r="L11" s="236"/>
      <c r="M11" s="119">
        <f>+K11+'6'!M11+L11</f>
        <v>0</v>
      </c>
    </row>
    <row r="12" spans="1:28" ht="13.5" thickBot="1">
      <c r="A12" s="796"/>
      <c r="B12" s="215"/>
      <c r="C12" s="216"/>
      <c r="D12" s="217"/>
      <c r="E12" s="219"/>
      <c r="F12" s="226"/>
      <c r="G12" s="230"/>
      <c r="H12" s="231"/>
      <c r="I12" s="799"/>
      <c r="J12" s="214">
        <f>+'6'!J12</f>
        <v>0</v>
      </c>
      <c r="K12" s="236"/>
      <c r="L12" s="236"/>
      <c r="M12" s="119">
        <f>+K12+'6'!M12+L12</f>
        <v>0</v>
      </c>
      <c r="Q12" s="151">
        <f>SUM(Q6:Q11)</f>
        <v>480</v>
      </c>
      <c r="R12" s="151">
        <f>SUM(R6:R9)</f>
        <v>624000</v>
      </c>
      <c r="S12" s="151">
        <f>SUM(S6:S9)</f>
        <v>511680</v>
      </c>
    </row>
    <row r="13" spans="1:28" ht="13.5" thickBot="1">
      <c r="A13" s="796"/>
      <c r="B13" s="215"/>
      <c r="C13" s="216"/>
      <c r="D13" s="216"/>
      <c r="E13" s="219"/>
      <c r="F13" s="226"/>
      <c r="G13" s="230"/>
      <c r="H13" s="231"/>
      <c r="I13" s="800"/>
      <c r="J13" s="214">
        <f>+'6'!J13</f>
        <v>0</v>
      </c>
      <c r="K13" s="236"/>
      <c r="L13" s="236"/>
      <c r="M13" s="119">
        <f>+K13+'6'!M13+L13</f>
        <v>0</v>
      </c>
      <c r="P13" s="151" t="s">
        <v>424</v>
      </c>
      <c r="Q13" s="151">
        <f>480-Q12</f>
        <v>0</v>
      </c>
      <c r="R13" s="151">
        <f>+R12/Q12</f>
        <v>1300</v>
      </c>
      <c r="S13" s="151">
        <f>+S12/Q12</f>
        <v>1066</v>
      </c>
    </row>
    <row r="14" spans="1:28" ht="13.5" thickBot="1">
      <c r="A14" s="797"/>
      <c r="B14" s="167" t="s">
        <v>3</v>
      </c>
      <c r="C14" s="101">
        <f>SUM(C7:C13)</f>
        <v>17036</v>
      </c>
      <c r="D14" s="113">
        <f>SUM(D7:D13)</f>
        <v>0</v>
      </c>
      <c r="E14" s="114">
        <f>SUM(E5:E13)</f>
        <v>0</v>
      </c>
      <c r="F14" s="118">
        <f>SUM(F7:F13)</f>
        <v>8</v>
      </c>
      <c r="G14" s="161"/>
      <c r="H14" s="168"/>
      <c r="I14" s="169"/>
      <c r="J14" s="214">
        <f>+'6'!J14</f>
        <v>0</v>
      </c>
      <c r="K14" s="236"/>
      <c r="L14" s="236"/>
      <c r="M14" s="119">
        <f>+K14+'6'!M14+L14</f>
        <v>0</v>
      </c>
    </row>
    <row r="15" spans="1:28" ht="13.5" customHeight="1" thickBot="1">
      <c r="A15" s="801" t="s">
        <v>470</v>
      </c>
      <c r="B15" s="518"/>
      <c r="C15" s="115">
        <f>C14/($C$23+$D$23+$E$23)</f>
        <v>0.94413655508756378</v>
      </c>
      <c r="D15" s="116">
        <f>D14/($C$23+$D$23+$E$23)</f>
        <v>0</v>
      </c>
      <c r="E15" s="117">
        <f>E14/($C$23+$D$23+$E$23)</f>
        <v>0</v>
      </c>
      <c r="F15" s="233"/>
      <c r="G15" s="555" t="s">
        <v>13</v>
      </c>
      <c r="H15" s="556" t="s">
        <v>461</v>
      </c>
      <c r="I15" s="798" t="s">
        <v>523</v>
      </c>
      <c r="J15" s="214">
        <f>+'6'!J15</f>
        <v>0</v>
      </c>
      <c r="K15" s="236"/>
      <c r="L15" s="236"/>
      <c r="M15" s="119">
        <f>+K15+'6'!M15+L15</f>
        <v>0</v>
      </c>
    </row>
    <row r="16" spans="1:28" ht="13.5" thickBot="1">
      <c r="A16" s="796"/>
      <c r="B16" s="215" t="s">
        <v>410</v>
      </c>
      <c r="C16" s="516">
        <v>18044</v>
      </c>
      <c r="D16" s="221"/>
      <c r="E16" s="222"/>
      <c r="F16" s="229">
        <v>3</v>
      </c>
      <c r="G16" s="557" t="s">
        <v>13</v>
      </c>
      <c r="H16" s="228" t="s">
        <v>399</v>
      </c>
      <c r="I16" s="799"/>
      <c r="J16" s="214">
        <f>+'6'!J16</f>
        <v>0</v>
      </c>
      <c r="K16" s="227"/>
      <c r="L16" s="227"/>
      <c r="M16" s="119">
        <f>+K16+'6'!M16+L16</f>
        <v>0</v>
      </c>
      <c r="N16" s="519"/>
      <c r="O16" s="176"/>
      <c r="P16" s="176"/>
      <c r="Q16" s="176"/>
    </row>
    <row r="17" spans="1:17" ht="13.5" thickBot="1">
      <c r="A17" s="796"/>
      <c r="B17" s="215"/>
      <c r="C17" s="216"/>
      <c r="D17" s="217"/>
      <c r="E17" s="223"/>
      <c r="F17" s="229">
        <v>3</v>
      </c>
      <c r="G17" s="557" t="s">
        <v>13</v>
      </c>
      <c r="H17" s="231" t="s">
        <v>480</v>
      </c>
      <c r="I17" s="799"/>
      <c r="J17" s="214">
        <f>+'6'!J17</f>
        <v>0</v>
      </c>
      <c r="K17" s="227"/>
      <c r="L17" s="227"/>
      <c r="M17" s="119">
        <f>+K17+'6'!M17+L17</f>
        <v>0</v>
      </c>
    </row>
    <row r="18" spans="1:17" ht="64.5" thickBot="1">
      <c r="A18" s="796"/>
      <c r="B18" s="215"/>
      <c r="C18" s="216"/>
      <c r="D18" s="217"/>
      <c r="E18" s="223"/>
      <c r="F18" s="229"/>
      <c r="G18" s="227"/>
      <c r="H18" s="558" t="s">
        <v>540</v>
      </c>
      <c r="I18" s="799"/>
      <c r="J18" s="214">
        <f>+'6'!J18</f>
        <v>0</v>
      </c>
      <c r="K18" s="236"/>
      <c r="L18" s="236"/>
      <c r="M18" s="119">
        <f>+K18+'6'!M18+L18</f>
        <v>0</v>
      </c>
    </row>
    <row r="19" spans="1:17" ht="39" thickBot="1">
      <c r="A19" s="796"/>
      <c r="B19" s="215"/>
      <c r="C19" s="216"/>
      <c r="D19" s="217"/>
      <c r="E19" s="223"/>
      <c r="F19" s="232"/>
      <c r="G19" s="230"/>
      <c r="H19" s="231" t="s">
        <v>541</v>
      </c>
      <c r="I19" s="799"/>
      <c r="J19" s="214">
        <f>+'6'!J19</f>
        <v>0</v>
      </c>
      <c r="K19" s="236"/>
      <c r="L19" s="236"/>
      <c r="M19" s="119">
        <f>+K19+'6'!M19+L19</f>
        <v>0</v>
      </c>
    </row>
    <row r="20" spans="1:17" ht="13.5" thickBot="1">
      <c r="A20" s="796"/>
      <c r="B20" s="215"/>
      <c r="C20" s="216"/>
      <c r="D20" s="217"/>
      <c r="E20" s="223"/>
      <c r="F20" s="226"/>
      <c r="G20" s="230"/>
      <c r="H20" s="231"/>
      <c r="I20" s="799"/>
      <c r="J20" s="214">
        <f>+'6'!J20</f>
        <v>0</v>
      </c>
      <c r="K20" s="237"/>
      <c r="L20" s="237"/>
      <c r="M20" s="119">
        <f>+K20+'6'!M20+L20</f>
        <v>0</v>
      </c>
    </row>
    <row r="21" spans="1:17" ht="13.5" thickBot="1">
      <c r="A21" s="796"/>
      <c r="B21" s="215"/>
      <c r="C21" s="216"/>
      <c r="D21" s="217"/>
      <c r="E21" s="223"/>
      <c r="F21" s="229"/>
      <c r="G21" s="230"/>
      <c r="H21" s="231"/>
      <c r="I21" s="799"/>
      <c r="J21" s="214">
        <f>+'6'!J21</f>
        <v>0</v>
      </c>
      <c r="K21" s="236"/>
      <c r="L21" s="236"/>
      <c r="M21" s="119">
        <f>+K21+'6'!M21+L21</f>
        <v>0</v>
      </c>
    </row>
    <row r="22" spans="1:17" ht="13.5" thickBot="1">
      <c r="A22" s="796"/>
      <c r="B22" s="215"/>
      <c r="C22" s="216"/>
      <c r="D22" s="217"/>
      <c r="E22" s="223"/>
      <c r="F22" s="233"/>
      <c r="G22" s="230"/>
      <c r="H22" s="231"/>
      <c r="I22" s="800"/>
      <c r="J22" s="214">
        <f>+'6'!J22</f>
        <v>0</v>
      </c>
      <c r="K22" s="236"/>
      <c r="L22" s="236"/>
      <c r="M22" s="119">
        <f>+K22+'6'!M22+L22</f>
        <v>0</v>
      </c>
    </row>
    <row r="23" spans="1:17" ht="13.5" thickBot="1">
      <c r="A23" s="797"/>
      <c r="B23" s="167" t="s">
        <v>3</v>
      </c>
      <c r="C23" s="101">
        <f>SUM(C16:C22)</f>
        <v>18044</v>
      </c>
      <c r="D23" s="113">
        <f>SUM(D16:D22)</f>
        <v>0</v>
      </c>
      <c r="E23" s="114">
        <f>SUM(E18:E22)</f>
        <v>0</v>
      </c>
      <c r="F23" s="118">
        <f>SUM(F15:F22)</f>
        <v>6</v>
      </c>
      <c r="G23" s="161"/>
      <c r="H23" s="168"/>
      <c r="I23" s="170"/>
      <c r="J23" s="214">
        <f>+'6'!J23</f>
        <v>0</v>
      </c>
      <c r="K23" s="236"/>
      <c r="L23" s="236"/>
      <c r="M23" s="119">
        <f>+K23+'6'!M23+L23</f>
        <v>0</v>
      </c>
    </row>
    <row r="24" spans="1:17" ht="13.5" customHeight="1" thickBot="1">
      <c r="A24" s="801" t="s">
        <v>442</v>
      </c>
      <c r="B24" s="518"/>
      <c r="C24" s="115">
        <f>C23/($C$23+$D$23+$E$23)</f>
        <v>1</v>
      </c>
      <c r="D24" s="116">
        <f>D23/($C$23+$D$23+$E$23)</f>
        <v>0</v>
      </c>
      <c r="E24" s="117">
        <f>E23/($C$23+$D$23+$E$23)</f>
        <v>0</v>
      </c>
      <c r="F24" s="233"/>
      <c r="G24" s="555" t="s">
        <v>13</v>
      </c>
      <c r="H24" s="556" t="s">
        <v>461</v>
      </c>
      <c r="I24" s="798" t="s">
        <v>523</v>
      </c>
      <c r="J24" s="214">
        <f>+'6'!J24</f>
        <v>0</v>
      </c>
      <c r="K24" s="236"/>
      <c r="L24" s="236"/>
      <c r="M24" s="119">
        <f>+K24+'6'!M24+L24</f>
        <v>0</v>
      </c>
    </row>
    <row r="25" spans="1:17" ht="13.5" thickBot="1">
      <c r="A25" s="796"/>
      <c r="B25" s="215" t="s">
        <v>410</v>
      </c>
      <c r="C25" s="224">
        <v>13261</v>
      </c>
      <c r="D25" s="217"/>
      <c r="E25" s="223"/>
      <c r="F25" s="229">
        <v>5</v>
      </c>
      <c r="G25" s="557" t="s">
        <v>13</v>
      </c>
      <c r="H25" s="228" t="s">
        <v>468</v>
      </c>
      <c r="I25" s="799"/>
      <c r="J25" s="214">
        <f>+'6'!J25</f>
        <v>0</v>
      </c>
      <c r="K25" s="236"/>
      <c r="L25" s="236"/>
      <c r="M25" s="119">
        <f>+K25+'6'!M25+L25</f>
        <v>0</v>
      </c>
      <c r="N25" s="519"/>
      <c r="O25" s="176"/>
      <c r="P25" s="176"/>
      <c r="Q25" s="176"/>
    </row>
    <row r="26" spans="1:17" ht="13.5" thickBot="1">
      <c r="A26" s="796"/>
      <c r="B26" s="215"/>
      <c r="C26" s="224"/>
      <c r="D26" s="217"/>
      <c r="E26" s="225"/>
      <c r="F26" s="229">
        <v>5</v>
      </c>
      <c r="G26" s="557" t="s">
        <v>13</v>
      </c>
      <c r="H26" s="231" t="s">
        <v>400</v>
      </c>
      <c r="I26" s="799"/>
      <c r="J26" s="214">
        <f>+'6'!J26</f>
        <v>0</v>
      </c>
      <c r="K26" s="236"/>
      <c r="L26" s="236"/>
      <c r="M26" s="119">
        <f>+K26+'6'!M26+L26</f>
        <v>0</v>
      </c>
    </row>
    <row r="27" spans="1:17" ht="64.5" thickBot="1">
      <c r="A27" s="796"/>
      <c r="B27" s="215"/>
      <c r="C27" s="216"/>
      <c r="D27" s="217"/>
      <c r="E27" s="223"/>
      <c r="F27" s="229"/>
      <c r="G27" s="227"/>
      <c r="H27" s="558" t="s">
        <v>511</v>
      </c>
      <c r="I27" s="799"/>
      <c r="J27" s="214">
        <f>+'6'!J27</f>
        <v>0</v>
      </c>
      <c r="K27" s="236"/>
      <c r="L27" s="236"/>
      <c r="M27" s="119">
        <f>+K27+'6'!M27+L27</f>
        <v>0</v>
      </c>
    </row>
    <row r="28" spans="1:17" ht="121.5" customHeight="1" thickBot="1">
      <c r="A28" s="796"/>
      <c r="B28" s="215"/>
      <c r="C28" s="216"/>
      <c r="D28" s="217"/>
      <c r="E28" s="223"/>
      <c r="F28" s="229"/>
      <c r="G28" s="227"/>
      <c r="H28" s="231" t="s">
        <v>542</v>
      </c>
      <c r="I28" s="799"/>
      <c r="J28" s="214">
        <f>+'6'!J28</f>
        <v>0</v>
      </c>
      <c r="K28" s="236"/>
      <c r="L28" s="236"/>
      <c r="M28" s="119">
        <f>+K28+'6'!M28+L28</f>
        <v>0</v>
      </c>
    </row>
    <row r="29" spans="1:17" ht="13.5" thickBot="1">
      <c r="A29" s="796"/>
      <c r="B29" s="215"/>
      <c r="C29" s="216"/>
      <c r="D29" s="217"/>
      <c r="E29" s="223"/>
      <c r="F29" s="233"/>
      <c r="G29" s="230"/>
      <c r="H29" s="231"/>
      <c r="I29" s="799"/>
      <c r="J29" s="214">
        <f>+'6'!J29</f>
        <v>0</v>
      </c>
      <c r="K29" s="236"/>
      <c r="L29" s="236"/>
      <c r="M29" s="119">
        <f>+K29+'6'!M29+L29</f>
        <v>0</v>
      </c>
    </row>
    <row r="30" spans="1:17" ht="13.5" thickBot="1">
      <c r="A30" s="796"/>
      <c r="B30" s="215"/>
      <c r="C30" s="224"/>
      <c r="D30" s="217"/>
      <c r="E30" s="223"/>
      <c r="F30" s="233"/>
      <c r="G30" s="230"/>
      <c r="H30" s="231"/>
      <c r="I30" s="799"/>
      <c r="J30" s="214">
        <f>+'6'!J30</f>
        <v>0</v>
      </c>
      <c r="K30" s="236"/>
      <c r="L30" s="236"/>
      <c r="M30" s="119">
        <f>+K30+'6'!M30+L30</f>
        <v>0</v>
      </c>
      <c r="N30" s="157"/>
    </row>
    <row r="31" spans="1:17" ht="13.5" thickBot="1">
      <c r="A31" s="796"/>
      <c r="B31" s="215"/>
      <c r="C31" s="224"/>
      <c r="D31" s="217"/>
      <c r="E31" s="223"/>
      <c r="F31" s="233"/>
      <c r="G31" s="234"/>
      <c r="H31" s="409"/>
      <c r="I31" s="800"/>
      <c r="J31" s="214">
        <f>+'6'!J31</f>
        <v>0</v>
      </c>
      <c r="K31" s="236"/>
      <c r="L31" s="236"/>
      <c r="M31" s="119">
        <f>+K31+'6'!M31+L31</f>
        <v>0</v>
      </c>
    </row>
    <row r="32" spans="1:17" ht="13.5" thickBot="1">
      <c r="A32" s="797"/>
      <c r="B32" s="167" t="s">
        <v>3</v>
      </c>
      <c r="C32" s="101">
        <f>SUM(C25:C31)</f>
        <v>13261</v>
      </c>
      <c r="D32" s="102">
        <f>SUM(D25:D31)</f>
        <v>0</v>
      </c>
      <c r="E32" s="103">
        <f>SUM(E25:E31)</f>
        <v>0</v>
      </c>
      <c r="F32" s="101">
        <f>SUM(F24:F31)</f>
        <v>10</v>
      </c>
      <c r="G32" s="171"/>
      <c r="H32" s="172"/>
      <c r="I32" s="170"/>
      <c r="J32" s="214">
        <f>+'6'!J32</f>
        <v>0</v>
      </c>
      <c r="K32" s="238"/>
      <c r="L32" s="240"/>
      <c r="M32" s="119">
        <f>+K32+'6'!M32+L32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48341</v>
      </c>
      <c r="D34" s="109">
        <f>D14+D23+D32</f>
        <v>0</v>
      </c>
      <c r="E34" s="109">
        <f>E14+E23+E32</f>
        <v>0</v>
      </c>
      <c r="F34" s="110">
        <f>F14+F23+F32</f>
        <v>24</v>
      </c>
      <c r="H34" s="178"/>
      <c r="I34" s="178"/>
      <c r="J34" s="125" t="s">
        <v>29</v>
      </c>
      <c r="K34" s="126">
        <f>SUM(K7:K32)</f>
        <v>48341</v>
      </c>
      <c r="L34" s="212">
        <f>SUM(L7:L32)</f>
        <v>0</v>
      </c>
      <c r="M34" s="122">
        <f>SUM(M7:M32)</f>
        <v>271816</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row>
    <row r="37" spans="1:14" ht="17.45" customHeight="1" thickBot="1">
      <c r="A37" s="804" t="s">
        <v>70</v>
      </c>
      <c r="B37" s="805"/>
      <c r="C37" s="164" t="s">
        <v>71</v>
      </c>
      <c r="D37" s="183" t="s">
        <v>72</v>
      </c>
      <c r="E37" s="184" t="s">
        <v>73</v>
      </c>
      <c r="F37" s="309"/>
      <c r="G37" s="311"/>
      <c r="H37" s="186" t="s">
        <v>74</v>
      </c>
      <c r="I37" s="241">
        <f>(13*1440)/1440*G42*2.74*1440/1000000</f>
        <v>54.678124800000006</v>
      </c>
      <c r="J37" s="127">
        <f>+I37+'6'!J37</f>
        <v>318.26765386763589</v>
      </c>
      <c r="K37" s="128" t="s">
        <v>75</v>
      </c>
    </row>
    <row r="38" spans="1:14" ht="17.45" customHeight="1">
      <c r="A38" s="806" t="s">
        <v>13</v>
      </c>
      <c r="B38" s="807"/>
      <c r="C38" s="166">
        <f>SUMIF($G$7:$G$31,"Process",$F$7:$F$31)</f>
        <v>24</v>
      </c>
      <c r="D38" s="120">
        <f>C38+'6'!D38</f>
        <v>655</v>
      </c>
      <c r="E38" s="145">
        <f t="shared" ref="E38:E52" si="1">D38/60</f>
        <v>10.916666666666666</v>
      </c>
      <c r="F38" s="309">
        <v>1300</v>
      </c>
      <c r="G38" s="309">
        <v>1066</v>
      </c>
      <c r="H38" s="187" t="s">
        <v>76</v>
      </c>
      <c r="I38" s="242">
        <f>17.701+16.237+17.574</f>
        <v>51.512</v>
      </c>
      <c r="J38" s="129">
        <f>+I38+'6'!J38</f>
        <v>287.173</v>
      </c>
      <c r="K38" s="130" t="s">
        <v>75</v>
      </c>
    </row>
    <row r="39" spans="1:14" ht="17.45" customHeight="1">
      <c r="A39" s="793" t="s">
        <v>14</v>
      </c>
      <c r="B39" s="794"/>
      <c r="C39" s="166">
        <f>SUMIF($G$7:$G$31,"Cleaning",$F$7:$F$31)</f>
        <v>0</v>
      </c>
      <c r="D39" s="120">
        <f>C39+'6'!D39</f>
        <v>0</v>
      </c>
      <c r="E39" s="145">
        <f t="shared" si="1"/>
        <v>0</v>
      </c>
      <c r="F39" s="309">
        <v>1300</v>
      </c>
      <c r="G39" s="309">
        <v>1066</v>
      </c>
      <c r="H39" s="187" t="s">
        <v>77</v>
      </c>
      <c r="I39" s="144"/>
      <c r="J39" s="131">
        <f>J37/G4</f>
        <v>45.466807695376552</v>
      </c>
      <c r="K39" s="132" t="s">
        <v>75</v>
      </c>
    </row>
    <row r="40" spans="1:14" ht="17.45" customHeight="1">
      <c r="A40" s="793" t="s">
        <v>78</v>
      </c>
      <c r="B40" s="794"/>
      <c r="C40" s="166">
        <f>SUMIF($G$7:$G$31,"Mechanical",$F$7:$F$31)</f>
        <v>0</v>
      </c>
      <c r="D40" s="120">
        <f>C40+'6'!D40</f>
        <v>5</v>
      </c>
      <c r="E40" s="145">
        <f t="shared" si="1"/>
        <v>8.3333333333333329E-2</v>
      </c>
      <c r="F40" s="309">
        <v>1300</v>
      </c>
      <c r="G40" s="309">
        <v>1066</v>
      </c>
      <c r="H40" s="187" t="s">
        <v>79</v>
      </c>
      <c r="I40" s="120">
        <f>(K34+L34)/1000</f>
        <v>48.341000000000001</v>
      </c>
      <c r="J40" s="133">
        <f>+I40+'6'!J40</f>
        <v>271.81599999999997</v>
      </c>
      <c r="K40" s="132" t="s">
        <v>75</v>
      </c>
    </row>
    <row r="41" spans="1:14" ht="17.45" customHeight="1">
      <c r="A41" s="793" t="s">
        <v>80</v>
      </c>
      <c r="B41" s="794"/>
      <c r="C41" s="166">
        <f>SUMIF($G$7:$G$31,"Electrical",$F$7:$F$31)</f>
        <v>0</v>
      </c>
      <c r="D41" s="120">
        <f>C41+'6'!D41</f>
        <v>36</v>
      </c>
      <c r="E41" s="145">
        <f t="shared" si="1"/>
        <v>0.6</v>
      </c>
      <c r="F41" s="309"/>
      <c r="G41" s="309"/>
      <c r="H41" s="187" t="s">
        <v>81</v>
      </c>
      <c r="I41" s="144"/>
      <c r="J41" s="131">
        <f>J40/G4</f>
        <v>38.830857142857141</v>
      </c>
      <c r="K41" s="132" t="s">
        <v>75</v>
      </c>
    </row>
    <row r="42" spans="1:14" ht="17.45" customHeight="1">
      <c r="A42" s="793" t="s">
        <v>17</v>
      </c>
      <c r="B42" s="794"/>
      <c r="C42" s="166">
        <f>SUMIF($G$7:$G$31,"Instrument",$F$7:$F$31)</f>
        <v>0</v>
      </c>
      <c r="D42" s="120">
        <f>C42+'6'!D42</f>
        <v>0</v>
      </c>
      <c r="E42" s="145">
        <f t="shared" si="1"/>
        <v>0</v>
      </c>
      <c r="F42" s="185">
        <f>+(F38*480+F39*480+F40*480)/1440</f>
        <v>1300</v>
      </c>
      <c r="G42" s="185">
        <f>+(G38*480+G39*480+G40*480)/1440</f>
        <v>1066</v>
      </c>
      <c r="H42" s="187" t="s">
        <v>82</v>
      </c>
      <c r="I42" s="243" t="s">
        <v>523</v>
      </c>
      <c r="J42" s="134"/>
      <c r="K42" s="132" t="s">
        <v>83</v>
      </c>
    </row>
    <row r="43" spans="1:14" ht="17.45" customHeight="1">
      <c r="A43" s="793" t="s">
        <v>84</v>
      </c>
      <c r="B43" s="794"/>
      <c r="C43" s="166">
        <f>SUMIF($G$7:$G$31,"Water",$F$7:$F$31)</f>
        <v>0</v>
      </c>
      <c r="D43" s="120">
        <f>C43+'6'!D43</f>
        <v>0</v>
      </c>
      <c r="E43" s="145">
        <f t="shared" si="1"/>
        <v>0</v>
      </c>
      <c r="F43" s="309"/>
      <c r="G43" s="310"/>
      <c r="H43" s="188" t="s">
        <v>85</v>
      </c>
      <c r="I43" s="120">
        <f>+Report1!Z15</f>
        <v>95.8</v>
      </c>
      <c r="J43" s="135">
        <f>+I43+'6'!J43</f>
        <v>583.5</v>
      </c>
      <c r="K43" s="132" t="s">
        <v>75</v>
      </c>
      <c r="L43" s="189"/>
    </row>
    <row r="44" spans="1:14" ht="17.45" customHeight="1">
      <c r="A44" s="793" t="s">
        <v>18</v>
      </c>
      <c r="B44" s="794"/>
      <c r="C44" s="166">
        <f>SUMIF($G$7:$G$31,"PLN",$F$7:$F$31)</f>
        <v>0</v>
      </c>
      <c r="D44" s="120">
        <f>C44+'6'!D44</f>
        <v>30</v>
      </c>
      <c r="E44" s="145">
        <f t="shared" si="1"/>
        <v>0.5</v>
      </c>
      <c r="F44" s="309"/>
      <c r="G44" s="310"/>
      <c r="H44" s="188" t="s">
        <v>86</v>
      </c>
      <c r="I44" s="120">
        <f>I43/I38</f>
        <v>1.8597608324273955</v>
      </c>
      <c r="J44" s="136">
        <f>J43/J38</f>
        <v>2.031876255776135</v>
      </c>
      <c r="K44" s="132" t="s">
        <v>75</v>
      </c>
    </row>
    <row r="45" spans="1:14" ht="17.45" customHeight="1">
      <c r="A45" s="793" t="s">
        <v>19</v>
      </c>
      <c r="B45" s="794"/>
      <c r="C45" s="166">
        <f>SUMIF($G$7:$G$31,"Boiler",$F$7:$F$31)</f>
        <v>0</v>
      </c>
      <c r="D45" s="120">
        <f>C45+'6'!D45</f>
        <v>0</v>
      </c>
      <c r="E45" s="145">
        <f t="shared" si="1"/>
        <v>0</v>
      </c>
      <c r="F45" s="309"/>
      <c r="G45" s="312"/>
      <c r="H45" s="188" t="s">
        <v>87</v>
      </c>
      <c r="I45" s="120">
        <f>I43/I40</f>
        <v>1.9817546182329699</v>
      </c>
      <c r="J45" s="136">
        <f>J43/J40</f>
        <v>2.1466727492127031</v>
      </c>
      <c r="K45" s="132" t="s">
        <v>75</v>
      </c>
    </row>
    <row r="46" spans="1:14" ht="17.45" customHeight="1">
      <c r="A46" s="793" t="s">
        <v>88</v>
      </c>
      <c r="B46" s="794"/>
      <c r="C46" s="166">
        <f>SUMIF($G$7:$G$31,"Gas",$F$7:$F$31)</f>
        <v>0</v>
      </c>
      <c r="D46" s="120">
        <f>C46+'6'!D46</f>
        <v>0</v>
      </c>
      <c r="E46" s="145">
        <f t="shared" si="1"/>
        <v>0</v>
      </c>
      <c r="F46" s="309"/>
      <c r="G46" s="310"/>
      <c r="H46" s="188" t="s">
        <v>89</v>
      </c>
      <c r="I46" s="142">
        <f>+SUMIF(Listrik!X14,"&gt;0")</f>
        <v>39058.43000000059</v>
      </c>
      <c r="J46" s="137">
        <f>+I46+'6'!J46</f>
        <v>268404.25999999989</v>
      </c>
      <c r="K46" s="132" t="s">
        <v>90</v>
      </c>
    </row>
    <row r="47" spans="1:14" ht="17.45" customHeight="1">
      <c r="A47" s="793" t="s">
        <v>91</v>
      </c>
      <c r="B47" s="794"/>
      <c r="C47" s="166">
        <f>SUMIF($G$7:$G$31,"Gas",$F$7:$F$31)</f>
        <v>0</v>
      </c>
      <c r="D47" s="120">
        <f>C47+'6'!D47</f>
        <v>0</v>
      </c>
      <c r="E47" s="145">
        <f t="shared" si="1"/>
        <v>0</v>
      </c>
      <c r="F47" s="309"/>
      <c r="G47" s="310"/>
      <c r="H47" s="188" t="s">
        <v>92</v>
      </c>
      <c r="I47" s="120">
        <f>I46/I38</f>
        <v>758.23943935394834</v>
      </c>
      <c r="J47" s="137">
        <f>J46/J38</f>
        <v>934.64308970550815</v>
      </c>
      <c r="K47" s="132" t="s">
        <v>25</v>
      </c>
    </row>
    <row r="48" spans="1:14" ht="17.45" customHeight="1">
      <c r="A48" s="793" t="s">
        <v>15</v>
      </c>
      <c r="B48" s="794"/>
      <c r="C48" s="166">
        <f>SUMIF($G$7:$G$31,"Start Up",$F$7:$F$31)</f>
        <v>0</v>
      </c>
      <c r="D48" s="120">
        <f>C48+'6'!D48</f>
        <v>0</v>
      </c>
      <c r="E48" s="145">
        <f t="shared" si="1"/>
        <v>0</v>
      </c>
      <c r="F48" s="309"/>
      <c r="G48" s="310"/>
      <c r="H48" s="188" t="s">
        <v>93</v>
      </c>
      <c r="I48" s="120">
        <f>I46/I40</f>
        <v>807.97728636148588</v>
      </c>
      <c r="J48" s="137">
        <f>J46/J40</f>
        <v>987.44834741148395</v>
      </c>
      <c r="K48" s="132" t="s">
        <v>25</v>
      </c>
    </row>
    <row r="49" spans="1:11" ht="17.45" customHeight="1">
      <c r="A49" s="793" t="s">
        <v>21</v>
      </c>
      <c r="B49" s="794"/>
      <c r="C49" s="166">
        <f>SUMIF($G$7:$G$31,"Others",$F$7:$F$31)</f>
        <v>0</v>
      </c>
      <c r="D49" s="120">
        <f>C49+'6'!D49</f>
        <v>441</v>
      </c>
      <c r="E49" s="145">
        <f t="shared" si="1"/>
        <v>7.35</v>
      </c>
      <c r="F49" s="185"/>
      <c r="H49" s="188" t="s">
        <v>279</v>
      </c>
      <c r="I49" s="120">
        <f>+Report1!T15</f>
        <v>3795.8919970672837</v>
      </c>
      <c r="J49" s="137">
        <f>+I49+'6'!J49</f>
        <v>22537.801873158842</v>
      </c>
      <c r="K49" s="132" t="s">
        <v>94</v>
      </c>
    </row>
    <row r="50" spans="1:11" ht="17.45" customHeight="1">
      <c r="A50" s="793" t="s">
        <v>20</v>
      </c>
      <c r="B50" s="794"/>
      <c r="C50" s="166">
        <f>SUMIF($G$7:$G$31,"Steam",$F$7:$F$31)</f>
        <v>0</v>
      </c>
      <c r="D50" s="120">
        <f>C50+'6'!D50</f>
        <v>0</v>
      </c>
      <c r="E50" s="145">
        <f t="shared" si="1"/>
        <v>0</v>
      </c>
      <c r="F50" s="185"/>
      <c r="H50" s="188" t="s">
        <v>95</v>
      </c>
      <c r="I50" s="142">
        <f>I49/I38</f>
        <v>73.689470357727984</v>
      </c>
      <c r="J50" s="135">
        <f>J49/J38</f>
        <v>78.481618652028018</v>
      </c>
      <c r="K50" s="132" t="s">
        <v>94</v>
      </c>
    </row>
    <row r="51" spans="1:11" ht="17.45" customHeight="1">
      <c r="A51" s="810" t="s">
        <v>96</v>
      </c>
      <c r="B51" s="810"/>
      <c r="C51" s="166">
        <f>SUMIF($G$7:$G$31,"Planned shut",$F$7:$F$31)</f>
        <v>0</v>
      </c>
      <c r="D51" s="120">
        <f>C51+'6'!D51</f>
        <v>0</v>
      </c>
      <c r="E51" s="145">
        <f t="shared" si="1"/>
        <v>0</v>
      </c>
      <c r="F51" s="185"/>
      <c r="H51" s="190" t="s">
        <v>97</v>
      </c>
      <c r="I51" s="143">
        <f>I49/I40</f>
        <v>78.52324108039312</v>
      </c>
      <c r="J51" s="138">
        <f>J49/J40</f>
        <v>82.915655712536577</v>
      </c>
      <c r="K51" s="139" t="s">
        <v>94</v>
      </c>
    </row>
    <row r="52" spans="1:11" ht="13.5" thickBot="1">
      <c r="A52" s="811" t="s">
        <v>230</v>
      </c>
      <c r="B52" s="812"/>
      <c r="C52" s="166">
        <f>SUMIF($G$7:$G$31,"Change Grade",$F$7:$F$31)</f>
        <v>0</v>
      </c>
      <c r="D52" s="120">
        <f>C52+'6'!D52</f>
        <v>0</v>
      </c>
      <c r="E52" s="145">
        <f t="shared" si="1"/>
        <v>0</v>
      </c>
      <c r="F52" s="185"/>
      <c r="H52" s="191"/>
      <c r="I52" s="192"/>
      <c r="J52" s="140"/>
      <c r="K52" s="141"/>
    </row>
    <row r="53" spans="1:11">
      <c r="A53" s="806" t="s">
        <v>29</v>
      </c>
      <c r="B53" s="807"/>
      <c r="C53" s="146">
        <f>SUM(C38:C52)</f>
        <v>24</v>
      </c>
      <c r="D53" s="146">
        <f>SUM(D38:D52)</f>
        <v>1167</v>
      </c>
      <c r="E53" s="147">
        <f>SUM(E38:E52)</f>
        <v>19.45</v>
      </c>
      <c r="F53" s="185"/>
    </row>
    <row r="54" spans="1:11" ht="13.5" thickBot="1">
      <c r="A54" s="808"/>
      <c r="B54" s="809"/>
      <c r="C54" s="148">
        <f>C53/(24*60)</f>
        <v>1.6666666666666666E-2</v>
      </c>
      <c r="D54" s="148">
        <f>D53/(24*60*G4)</f>
        <v>0.11577380952380953</v>
      </c>
      <c r="E54" s="149">
        <f>E53/(G4*24)</f>
        <v>0.11577380952380951</v>
      </c>
      <c r="F54" s="185"/>
    </row>
    <row r="55" spans="1:11">
      <c r="E55" s="193"/>
    </row>
    <row r="56" spans="1:11">
      <c r="A56" s="194" t="s">
        <v>98</v>
      </c>
      <c r="B56" s="195"/>
      <c r="C56" s="196"/>
      <c r="D56" s="196"/>
      <c r="E56" s="196"/>
      <c r="F56" s="197"/>
      <c r="G56" s="196"/>
      <c r="H56" s="198"/>
      <c r="I56" s="199" t="s">
        <v>99</v>
      </c>
      <c r="J56" s="200">
        <f>+D34+'6'!J56</f>
        <v>0</v>
      </c>
      <c r="K56" s="201">
        <f>J56/(J40+J56/1000)/1000</f>
        <v>0</v>
      </c>
    </row>
    <row r="57" spans="1:11">
      <c r="A57" s="176"/>
      <c r="I57" s="199" t="s">
        <v>100</v>
      </c>
      <c r="J57" s="200">
        <f>+E34+'6'!J57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B7" zoomScale="80" zoomScaleNormal="75" zoomScaleSheetLayoutView="80" workbookViewId="0">
      <selection activeCell="H19" sqref="H19"/>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2.85546875" style="151" bestFit="1" customWidth="1"/>
    <col min="12" max="12" width="8.28515625" style="151" customWidth="1"/>
    <col min="13" max="13" width="14.5703125" style="151" bestFit="1" customWidth="1"/>
    <col min="14" max="16384" width="9.140625" style="151"/>
  </cols>
  <sheetData>
    <row r="1" spans="1:26" ht="15.75">
      <c r="A1" s="150"/>
    </row>
    <row r="2" spans="1:26" ht="15.75">
      <c r="A2" s="150" t="s">
        <v>231</v>
      </c>
    </row>
    <row r="3" spans="1:26" ht="15">
      <c r="A3" s="152"/>
    </row>
    <row r="4" spans="1:26" ht="20.25">
      <c r="A4" s="153" t="s">
        <v>4</v>
      </c>
      <c r="B4" s="154"/>
      <c r="F4" s="155" t="s">
        <v>31</v>
      </c>
      <c r="G4" s="156">
        <v>6</v>
      </c>
      <c r="H4" s="156" t="str">
        <f>+'1'!H4</f>
        <v>.07.25</v>
      </c>
      <c r="J4" s="151">
        <f>418+442+300</f>
        <v>1160</v>
      </c>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519</v>
      </c>
      <c r="O6" s="151">
        <v>1350</v>
      </c>
      <c r="P6" s="151">
        <f>+O6-O6*0.23</f>
        <v>1039.5</v>
      </c>
      <c r="Q6" s="151">
        <f>60*2+30</f>
        <v>150</v>
      </c>
      <c r="R6" s="151">
        <f>+O6*Q6</f>
        <v>202500</v>
      </c>
      <c r="S6" s="151">
        <f>+P6*Q6</f>
        <v>155925</v>
      </c>
      <c r="U6" s="151" t="s">
        <v>521</v>
      </c>
      <c r="V6" s="151">
        <v>1300</v>
      </c>
      <c r="W6" s="151">
        <v>1066</v>
      </c>
      <c r="X6" s="151">
        <v>480</v>
      </c>
      <c r="Y6" s="151">
        <f>+V6*X6</f>
        <v>624000</v>
      </c>
      <c r="Z6" s="151">
        <f>+W6*X6</f>
        <v>511680</v>
      </c>
    </row>
    <row r="7" spans="1:26" ht="13.5" customHeight="1" thickBot="1">
      <c r="A7" s="795" t="s">
        <v>506</v>
      </c>
      <c r="B7" s="215" t="s">
        <v>536</v>
      </c>
      <c r="C7" s="216">
        <f>4595+5119</f>
        <v>9714</v>
      </c>
      <c r="D7" s="217"/>
      <c r="E7" s="218"/>
      <c r="F7" s="233">
        <v>3</v>
      </c>
      <c r="G7" s="555" t="s">
        <v>13</v>
      </c>
      <c r="H7" s="556" t="s">
        <v>633</v>
      </c>
      <c r="I7" s="798" t="s">
        <v>522</v>
      </c>
      <c r="J7" s="214" t="str">
        <f>+'5'!J7</f>
        <v>F 12 VP OW</v>
      </c>
      <c r="K7" s="235"/>
      <c r="L7" s="239"/>
      <c r="M7" s="119">
        <f>+K7+'5'!M7+L7</f>
        <v>15194</v>
      </c>
      <c r="N7" s="151" t="s">
        <v>521</v>
      </c>
      <c r="O7" s="151">
        <v>1350</v>
      </c>
      <c r="P7" s="151">
        <f>+O7-O7*0.17</f>
        <v>1120.5</v>
      </c>
      <c r="Q7" s="151">
        <f>480-Q6</f>
        <v>330</v>
      </c>
      <c r="R7" s="151">
        <f>+O7*Q7</f>
        <v>445500</v>
      </c>
      <c r="S7" s="151">
        <f>+P7*Q7</f>
        <v>369765</v>
      </c>
      <c r="U7" s="151" t="s">
        <v>521</v>
      </c>
      <c r="V7" s="151">
        <v>1350</v>
      </c>
      <c r="W7" s="151">
        <v>1120.5</v>
      </c>
      <c r="X7" s="151">
        <v>330</v>
      </c>
      <c r="Y7" s="151">
        <f>+V7*X7</f>
        <v>445500</v>
      </c>
      <c r="Z7" s="151">
        <f>+W7*X7</f>
        <v>369765</v>
      </c>
    </row>
    <row r="8" spans="1:26" ht="13.5" thickBot="1">
      <c r="A8" s="796"/>
      <c r="B8" s="215" t="s">
        <v>410</v>
      </c>
      <c r="C8" s="216">
        <v>4166</v>
      </c>
      <c r="D8" s="217"/>
      <c r="E8" s="219"/>
      <c r="F8" s="229">
        <v>9</v>
      </c>
      <c r="G8" s="557" t="s">
        <v>13</v>
      </c>
      <c r="H8" s="228" t="s">
        <v>399</v>
      </c>
      <c r="I8" s="799"/>
      <c r="J8" s="214" t="str">
        <f>+'5'!J8</f>
        <v>F 11,5 VP OW</v>
      </c>
      <c r="K8" s="236"/>
      <c r="L8" s="236"/>
      <c r="M8" s="119">
        <f>+K8+'5'!M8+L8</f>
        <v>150859</v>
      </c>
      <c r="P8" s="151">
        <f t="shared" ref="P8:P10" si="0">+O8-O8*0.23</f>
        <v>0</v>
      </c>
      <c r="Q8" s="151">
        <f>480-Q6-Q7</f>
        <v>0</v>
      </c>
      <c r="R8" s="151">
        <f>+O8*Q8</f>
        <v>0</v>
      </c>
      <c r="S8" s="151">
        <f>+P8*Q8</f>
        <v>0</v>
      </c>
      <c r="U8" s="151" t="s">
        <v>521</v>
      </c>
      <c r="V8" s="151">
        <v>1300</v>
      </c>
      <c r="W8" s="151">
        <v>1066</v>
      </c>
      <c r="X8" s="151">
        <v>480</v>
      </c>
      <c r="Y8" s="151">
        <f>+V8*X8</f>
        <v>624000</v>
      </c>
      <c r="Z8" s="151">
        <f>+W8*X8</f>
        <v>511680</v>
      </c>
    </row>
    <row r="9" spans="1:26" ht="13.5" thickBot="1">
      <c r="A9" s="796"/>
      <c r="B9" s="215"/>
      <c r="C9" s="216"/>
      <c r="D9" s="217"/>
      <c r="E9" s="220"/>
      <c r="F9" s="229">
        <f>23-9</f>
        <v>14</v>
      </c>
      <c r="G9" s="557" t="s">
        <v>13</v>
      </c>
      <c r="H9" s="231" t="s">
        <v>400</v>
      </c>
      <c r="I9" s="799"/>
      <c r="J9" s="214" t="str">
        <f>+'5'!J9</f>
        <v>T 13 VP OW</v>
      </c>
      <c r="K9" s="236">
        <f>+C8+C16+C25</f>
        <v>36165</v>
      </c>
      <c r="L9" s="236"/>
      <c r="M9" s="119">
        <f>+K9+'5'!M9+L9</f>
        <v>36165</v>
      </c>
      <c r="P9" s="151">
        <f t="shared" si="0"/>
        <v>0</v>
      </c>
      <c r="R9" s="151">
        <f>+O9*Q9</f>
        <v>0</v>
      </c>
      <c r="S9" s="151">
        <f>+P9*Q9</f>
        <v>0</v>
      </c>
      <c r="W9" s="151">
        <f t="shared" ref="W9:W10" si="1">+V9-V9*0.23</f>
        <v>0</v>
      </c>
      <c r="Y9" s="151">
        <f>+V9*X9</f>
        <v>0</v>
      </c>
      <c r="Z9" s="151">
        <f>+W9*X9</f>
        <v>0</v>
      </c>
    </row>
    <row r="10" spans="1:26" ht="64.5" thickBot="1">
      <c r="A10" s="796"/>
      <c r="B10" s="215"/>
      <c r="C10" s="216"/>
      <c r="D10" s="217"/>
      <c r="E10" s="219"/>
      <c r="F10" s="229"/>
      <c r="G10" s="227"/>
      <c r="H10" s="558" t="s">
        <v>507</v>
      </c>
      <c r="I10" s="799"/>
      <c r="J10" s="214" t="str">
        <f>+'5'!J10</f>
        <v>F 13 VP OW</v>
      </c>
      <c r="K10" s="236">
        <f>+C7</f>
        <v>9714</v>
      </c>
      <c r="L10" s="236"/>
      <c r="M10" s="119">
        <f>+K10+'5'!M10+L10</f>
        <v>21257</v>
      </c>
      <c r="P10" s="151">
        <f t="shared" si="0"/>
        <v>0</v>
      </c>
      <c r="R10" s="151">
        <f>+O10*Q10</f>
        <v>0</v>
      </c>
      <c r="S10" s="151">
        <f>+P10*Q10</f>
        <v>0</v>
      </c>
      <c r="W10" s="151">
        <f t="shared" si="1"/>
        <v>0</v>
      </c>
      <c r="Y10" s="151">
        <f>+V10*X10</f>
        <v>0</v>
      </c>
      <c r="Z10" s="151">
        <f>+W10*X10</f>
        <v>0</v>
      </c>
    </row>
    <row r="11" spans="1:26" ht="54.75" customHeight="1" thickBot="1">
      <c r="A11" s="796"/>
      <c r="B11" s="215"/>
      <c r="C11" s="216"/>
      <c r="D11" s="217"/>
      <c r="E11" s="219"/>
      <c r="F11" s="226"/>
      <c r="G11" s="230"/>
      <c r="H11" s="231" t="s">
        <v>508</v>
      </c>
      <c r="I11" s="799"/>
      <c r="J11" s="214">
        <f>+'5'!J11</f>
        <v>0</v>
      </c>
      <c r="K11" s="236"/>
      <c r="L11" s="236"/>
      <c r="M11" s="119">
        <f>+K11+'5'!M11+L11</f>
        <v>0</v>
      </c>
    </row>
    <row r="12" spans="1:26" ht="13.5" thickBot="1">
      <c r="A12" s="796"/>
      <c r="B12" s="215"/>
      <c r="C12" s="216"/>
      <c r="D12" s="217"/>
      <c r="E12" s="219"/>
      <c r="F12" s="226"/>
      <c r="G12" s="230"/>
      <c r="H12" s="231"/>
      <c r="I12" s="799"/>
      <c r="J12" s="214">
        <f>+'5'!J12</f>
        <v>0</v>
      </c>
      <c r="K12" s="236"/>
      <c r="L12" s="236"/>
      <c r="M12" s="119">
        <f>+K12+'5'!M12+L12</f>
        <v>0</v>
      </c>
      <c r="Q12" s="151">
        <f>SUM(Q6:Q11)</f>
        <v>480</v>
      </c>
      <c r="R12" s="151">
        <f>SUM(R6:R9)</f>
        <v>648000</v>
      </c>
      <c r="S12" s="151">
        <f>SUM(S6:S9)</f>
        <v>525690</v>
      </c>
      <c r="X12" s="151">
        <f>SUM(X6:X11)</f>
        <v>1290</v>
      </c>
      <c r="Y12" s="151">
        <f>SUM(Y6:Y11)</f>
        <v>1693500</v>
      </c>
      <c r="Z12" s="151">
        <f>SUM(Z6:Z11)</f>
        <v>1393125</v>
      </c>
    </row>
    <row r="13" spans="1:26" ht="13.5" thickBot="1">
      <c r="A13" s="796"/>
      <c r="B13" s="215"/>
      <c r="C13" s="216"/>
      <c r="D13" s="216"/>
      <c r="E13" s="219"/>
      <c r="F13" s="226"/>
      <c r="G13" s="230"/>
      <c r="H13" s="231"/>
      <c r="I13" s="800"/>
      <c r="J13" s="214">
        <f>+'5'!J13</f>
        <v>0</v>
      </c>
      <c r="K13" s="236"/>
      <c r="L13" s="236"/>
      <c r="M13" s="119">
        <f>+K13+'5'!M13+L13</f>
        <v>0</v>
      </c>
      <c r="P13" s="151" t="s">
        <v>424</v>
      </c>
      <c r="Q13" s="151">
        <f>480-Q12</f>
        <v>0</v>
      </c>
      <c r="R13" s="151">
        <f>+R12/Q12</f>
        <v>1350</v>
      </c>
      <c r="S13" s="151">
        <f>+S12/Q12</f>
        <v>1095.1875</v>
      </c>
      <c r="W13" s="151" t="s">
        <v>424</v>
      </c>
      <c r="X13" s="151">
        <f>480-X12</f>
        <v>-810</v>
      </c>
      <c r="Y13" s="151">
        <f>+Y12/X12</f>
        <v>1312.7906976744187</v>
      </c>
      <c r="Z13" s="151">
        <f>+Z12/X12</f>
        <v>1079.9418604651162</v>
      </c>
    </row>
    <row r="14" spans="1:26" ht="13.5" thickBot="1">
      <c r="A14" s="797"/>
      <c r="B14" s="167" t="s">
        <v>3</v>
      </c>
      <c r="C14" s="101">
        <f>SUM(C7:C13)</f>
        <v>13880</v>
      </c>
      <c r="D14" s="113">
        <f>SUM(D7:D13)</f>
        <v>0</v>
      </c>
      <c r="E14" s="114">
        <f>SUM(E5:E13)</f>
        <v>0</v>
      </c>
      <c r="F14" s="118">
        <f>SUM(F7:F13)</f>
        <v>26</v>
      </c>
      <c r="G14" s="161"/>
      <c r="H14" s="168"/>
      <c r="I14" s="169"/>
      <c r="J14" s="214">
        <f>+'5'!J14</f>
        <v>0</v>
      </c>
      <c r="K14" s="236"/>
      <c r="L14" s="236"/>
      <c r="M14" s="119">
        <f>+K14+'5'!M14+L14</f>
        <v>0</v>
      </c>
    </row>
    <row r="15" spans="1:26" ht="13.5" customHeight="1" thickBot="1">
      <c r="A15" s="801" t="s">
        <v>470</v>
      </c>
      <c r="B15" s="518"/>
      <c r="C15" s="115">
        <f>C14/($C$23+$D$23+$E$23)</f>
        <v>0.85557541761696354</v>
      </c>
      <c r="D15" s="116">
        <f>D14/($C$23+$D$23+$E$23)</f>
        <v>0</v>
      </c>
      <c r="E15" s="117">
        <f>E14/($C$23+$D$23+$E$23)</f>
        <v>0</v>
      </c>
      <c r="F15" s="233">
        <v>9</v>
      </c>
      <c r="G15" s="555" t="s">
        <v>13</v>
      </c>
      <c r="H15" s="556" t="s">
        <v>401</v>
      </c>
      <c r="I15" s="798" t="s">
        <v>523</v>
      </c>
      <c r="J15" s="214">
        <f>+'5'!J15</f>
        <v>0</v>
      </c>
      <c r="K15" s="236"/>
      <c r="L15" s="236"/>
      <c r="M15" s="119">
        <f>+K15+'5'!M15+L15</f>
        <v>0</v>
      </c>
      <c r="N15" s="151" t="s">
        <v>521</v>
      </c>
      <c r="O15" s="151">
        <v>1300</v>
      </c>
      <c r="P15" s="151">
        <f>+O15-O15*0.18</f>
        <v>1066</v>
      </c>
      <c r="Q15" s="151">
        <v>480</v>
      </c>
      <c r="R15" s="151">
        <f>+O15*Q15</f>
        <v>624000</v>
      </c>
      <c r="S15" s="151">
        <f>+P15*Q15</f>
        <v>511680</v>
      </c>
    </row>
    <row r="16" spans="1:26" ht="13.5" thickBot="1">
      <c r="A16" s="796"/>
      <c r="B16" s="517" t="s">
        <v>410</v>
      </c>
      <c r="C16" s="516">
        <v>16223</v>
      </c>
      <c r="D16" s="221"/>
      <c r="E16" s="222"/>
      <c r="F16" s="229">
        <v>2</v>
      </c>
      <c r="G16" s="557" t="s">
        <v>13</v>
      </c>
      <c r="H16" s="228" t="s">
        <v>468</v>
      </c>
      <c r="I16" s="799"/>
      <c r="J16" s="214">
        <f>+'5'!J16</f>
        <v>0</v>
      </c>
      <c r="K16" s="227"/>
      <c r="L16" s="227"/>
      <c r="M16" s="119">
        <f>+K16+'5'!M16+L16</f>
        <v>0</v>
      </c>
      <c r="P16" s="151">
        <f>+O16-O16*0.17</f>
        <v>0</v>
      </c>
      <c r="Q16" s="151">
        <f>480-Q15</f>
        <v>0</v>
      </c>
      <c r="R16" s="151">
        <f>+O16*Q16</f>
        <v>0</v>
      </c>
      <c r="S16" s="151">
        <f>+P16*Q16</f>
        <v>0</v>
      </c>
    </row>
    <row r="17" spans="1:19" ht="13.5" thickBot="1">
      <c r="A17" s="796"/>
      <c r="B17" s="215"/>
      <c r="C17" s="216"/>
      <c r="D17" s="217"/>
      <c r="E17" s="223"/>
      <c r="F17" s="229">
        <v>6</v>
      </c>
      <c r="G17" s="557" t="s">
        <v>13</v>
      </c>
      <c r="H17" s="231" t="s">
        <v>480</v>
      </c>
      <c r="I17" s="799"/>
      <c r="J17" s="214">
        <f>+'5'!J17</f>
        <v>0</v>
      </c>
      <c r="K17" s="227"/>
      <c r="L17" s="227"/>
      <c r="M17" s="119">
        <f>+K17+'5'!M17+L17</f>
        <v>0</v>
      </c>
      <c r="P17" s="151">
        <f t="shared" ref="P17:P19" si="2">+O17-O17*0.23</f>
        <v>0</v>
      </c>
      <c r="Q17" s="151">
        <f>480-Q15-Q16</f>
        <v>0</v>
      </c>
      <c r="R17" s="151">
        <f>+O17*Q17</f>
        <v>0</v>
      </c>
      <c r="S17" s="151">
        <f>+P17*Q17</f>
        <v>0</v>
      </c>
    </row>
    <row r="18" spans="1:19" ht="64.5" thickBot="1">
      <c r="A18" s="796"/>
      <c r="B18" s="215"/>
      <c r="C18" s="216"/>
      <c r="D18" s="217"/>
      <c r="E18" s="223"/>
      <c r="F18" s="229"/>
      <c r="G18" s="227"/>
      <c r="H18" s="558" t="s">
        <v>509</v>
      </c>
      <c r="I18" s="799"/>
      <c r="J18" s="214">
        <f>+'5'!J18</f>
        <v>0</v>
      </c>
      <c r="K18" s="236"/>
      <c r="L18" s="236"/>
      <c r="M18" s="119">
        <f>+K18+'5'!M18+L18</f>
        <v>0</v>
      </c>
      <c r="P18" s="151">
        <f t="shared" si="2"/>
        <v>0</v>
      </c>
      <c r="R18" s="151">
        <f>+O18*Q18</f>
        <v>0</v>
      </c>
      <c r="S18" s="151">
        <f>+P18*Q18</f>
        <v>0</v>
      </c>
    </row>
    <row r="19" spans="1:19" ht="54.75" customHeight="1" thickBot="1">
      <c r="A19" s="796"/>
      <c r="B19" s="215"/>
      <c r="C19" s="216"/>
      <c r="D19" s="217"/>
      <c r="E19" s="220"/>
      <c r="F19" s="232"/>
      <c r="G19" s="230"/>
      <c r="H19" s="231" t="s">
        <v>510</v>
      </c>
      <c r="I19" s="799"/>
      <c r="J19" s="214">
        <f>+'5'!J19</f>
        <v>0</v>
      </c>
      <c r="K19" s="236"/>
      <c r="L19" s="236"/>
      <c r="M19" s="119">
        <f>+K19+'5'!M19+L19</f>
        <v>0</v>
      </c>
      <c r="P19" s="151">
        <f t="shared" si="2"/>
        <v>0</v>
      </c>
      <c r="R19" s="151">
        <f>+O19*Q19</f>
        <v>0</v>
      </c>
      <c r="S19" s="151">
        <f>+P19*Q19</f>
        <v>0</v>
      </c>
    </row>
    <row r="20" spans="1:19" ht="13.5" thickBot="1">
      <c r="A20" s="796"/>
      <c r="B20" s="215"/>
      <c r="C20" s="216"/>
      <c r="D20" s="217"/>
      <c r="E20" s="223"/>
      <c r="F20" s="226"/>
      <c r="G20" s="230"/>
      <c r="H20" s="231"/>
      <c r="I20" s="799"/>
      <c r="J20" s="214">
        <f>+'5'!J20</f>
        <v>0</v>
      </c>
      <c r="K20" s="237"/>
      <c r="L20" s="237"/>
      <c r="M20" s="119">
        <f>+K20+'5'!M20+L20</f>
        <v>0</v>
      </c>
    </row>
    <row r="21" spans="1:19" ht="13.5" thickBot="1">
      <c r="A21" s="796"/>
      <c r="B21" s="215"/>
      <c r="C21" s="216"/>
      <c r="D21" s="217"/>
      <c r="E21" s="223"/>
      <c r="F21" s="229"/>
      <c r="G21" s="230"/>
      <c r="H21" s="231"/>
      <c r="I21" s="799"/>
      <c r="J21" s="214">
        <f>+'5'!J21</f>
        <v>0</v>
      </c>
      <c r="K21" s="236"/>
      <c r="L21" s="236"/>
      <c r="M21" s="119">
        <f>+K21+'5'!M21+L21</f>
        <v>0</v>
      </c>
      <c r="Q21" s="151">
        <f>SUM(Q15:Q20)</f>
        <v>480</v>
      </c>
      <c r="R21" s="151">
        <f>SUM(R15:R18)</f>
        <v>624000</v>
      </c>
      <c r="S21" s="151">
        <f>SUM(S15:S18)</f>
        <v>511680</v>
      </c>
    </row>
    <row r="22" spans="1:19" ht="13.5" thickBot="1">
      <c r="A22" s="796"/>
      <c r="B22" s="215"/>
      <c r="C22" s="216"/>
      <c r="D22" s="217"/>
      <c r="E22" s="223"/>
      <c r="F22" s="233"/>
      <c r="G22" s="230"/>
      <c r="H22" s="231"/>
      <c r="I22" s="800"/>
      <c r="J22" s="214">
        <f>+'5'!J22</f>
        <v>0</v>
      </c>
      <c r="K22" s="236"/>
      <c r="L22" s="236"/>
      <c r="M22" s="119">
        <f>+K22+'5'!M22+L22</f>
        <v>0</v>
      </c>
      <c r="P22" s="151" t="s">
        <v>424</v>
      </c>
      <c r="Q22" s="151">
        <f>480-Q21</f>
        <v>0</v>
      </c>
      <c r="R22" s="151">
        <f>+R21/Q21</f>
        <v>1300</v>
      </c>
      <c r="S22" s="151">
        <f>+S21/Q21</f>
        <v>1066</v>
      </c>
    </row>
    <row r="23" spans="1:19" ht="13.5" thickBot="1">
      <c r="A23" s="797"/>
      <c r="B23" s="167" t="s">
        <v>3</v>
      </c>
      <c r="C23" s="101">
        <f>SUM(C16:C22)</f>
        <v>16223</v>
      </c>
      <c r="D23" s="113">
        <f>SUM(D16:D22)</f>
        <v>0</v>
      </c>
      <c r="E23" s="114">
        <f>SUM(E18:E22)</f>
        <v>0</v>
      </c>
      <c r="F23" s="118">
        <f>SUM(F15:F22)</f>
        <v>17</v>
      </c>
      <c r="G23" s="161"/>
      <c r="H23" s="168"/>
      <c r="I23" s="170"/>
      <c r="J23" s="214">
        <f>+'5'!J23</f>
        <v>0</v>
      </c>
      <c r="K23" s="236"/>
      <c r="L23" s="236"/>
      <c r="M23" s="119">
        <f>+K23+'5'!M23+L23</f>
        <v>0</v>
      </c>
      <c r="N23" s="151" t="s">
        <v>521</v>
      </c>
      <c r="O23" s="151">
        <v>1300</v>
      </c>
      <c r="P23" s="151">
        <f>+O23-O23*0.18</f>
        <v>1066</v>
      </c>
      <c r="Q23" s="151">
        <v>480</v>
      </c>
      <c r="R23" s="151">
        <f>+O23*Q23</f>
        <v>624000</v>
      </c>
      <c r="S23" s="151">
        <f>+P23*Q23</f>
        <v>511680</v>
      </c>
    </row>
    <row r="24" spans="1:19" ht="13.5" customHeight="1" thickBot="1">
      <c r="A24" s="801" t="s">
        <v>537</v>
      </c>
      <c r="B24" s="518"/>
      <c r="C24" s="115">
        <f>C23/($C$23+$D$23+$E$23)</f>
        <v>1</v>
      </c>
      <c r="D24" s="116">
        <f>D23/($C$23+$D$23+$E$23)</f>
        <v>0</v>
      </c>
      <c r="E24" s="117">
        <f>E23/($C$23+$D$23+$E$23)</f>
        <v>0</v>
      </c>
      <c r="F24" s="233">
        <v>3</v>
      </c>
      <c r="G24" s="555" t="s">
        <v>13</v>
      </c>
      <c r="H24" s="556" t="s">
        <v>464</v>
      </c>
      <c r="I24" s="798" t="s">
        <v>523</v>
      </c>
      <c r="J24" s="214">
        <f>+'5'!J24</f>
        <v>0</v>
      </c>
      <c r="K24" s="236"/>
      <c r="L24" s="236"/>
      <c r="M24" s="119">
        <f>+K24+'5'!M24+L24</f>
        <v>0</v>
      </c>
      <c r="P24" s="151">
        <f>+O24-O24*0.17</f>
        <v>0</v>
      </c>
      <c r="Q24" s="151">
        <f>480-Q23</f>
        <v>0</v>
      </c>
      <c r="R24" s="151">
        <f>+O24*Q24</f>
        <v>0</v>
      </c>
      <c r="S24" s="151">
        <f>+P24*Q24</f>
        <v>0</v>
      </c>
    </row>
    <row r="25" spans="1:19" ht="13.5" thickBot="1">
      <c r="A25" s="796"/>
      <c r="B25" s="517" t="s">
        <v>410</v>
      </c>
      <c r="C25" s="224">
        <v>15776</v>
      </c>
      <c r="D25" s="217"/>
      <c r="E25" s="223"/>
      <c r="F25" s="229">
        <v>2</v>
      </c>
      <c r="G25" s="557" t="s">
        <v>13</v>
      </c>
      <c r="H25" s="228" t="s">
        <v>399</v>
      </c>
      <c r="I25" s="799"/>
      <c r="J25" s="214">
        <f>+'5'!J25</f>
        <v>0</v>
      </c>
      <c r="K25" s="236"/>
      <c r="L25" s="236"/>
      <c r="M25" s="119">
        <f>+K25+'5'!M25+L25</f>
        <v>0</v>
      </c>
      <c r="P25" s="151">
        <f t="shared" ref="P25:P27" si="3">+O25-O25*0.23</f>
        <v>0</v>
      </c>
      <c r="Q25" s="151">
        <f>480-Q23-Q24</f>
        <v>0</v>
      </c>
      <c r="R25" s="151">
        <f>+O25*Q25</f>
        <v>0</v>
      </c>
      <c r="S25" s="151">
        <f>+P25*Q25</f>
        <v>0</v>
      </c>
    </row>
    <row r="26" spans="1:19" ht="13.5" thickBot="1">
      <c r="A26" s="796"/>
      <c r="B26" s="215"/>
      <c r="C26" s="224"/>
      <c r="D26" s="217"/>
      <c r="E26" s="225"/>
      <c r="F26" s="229">
        <v>4</v>
      </c>
      <c r="G26" s="557" t="s">
        <v>13</v>
      </c>
      <c r="H26" s="231" t="s">
        <v>480</v>
      </c>
      <c r="I26" s="799"/>
      <c r="J26" s="214">
        <f>+'5'!J26</f>
        <v>0</v>
      </c>
      <c r="K26" s="236"/>
      <c r="L26" s="236"/>
      <c r="M26" s="119">
        <f>+K26+'5'!M26+L26</f>
        <v>0</v>
      </c>
      <c r="P26" s="151">
        <f t="shared" si="3"/>
        <v>0</v>
      </c>
      <c r="R26" s="151">
        <f>+O26*Q26</f>
        <v>0</v>
      </c>
      <c r="S26" s="151">
        <f>+P26*Q26</f>
        <v>0</v>
      </c>
    </row>
    <row r="27" spans="1:19" ht="64.5" thickBot="1">
      <c r="A27" s="796"/>
      <c r="B27" s="215"/>
      <c r="C27" s="216"/>
      <c r="D27" s="217"/>
      <c r="E27" s="223"/>
      <c r="F27" s="229"/>
      <c r="G27" s="227"/>
      <c r="H27" s="558" t="s">
        <v>511</v>
      </c>
      <c r="I27" s="799"/>
      <c r="J27" s="214">
        <f>+'5'!J27</f>
        <v>0</v>
      </c>
      <c r="K27" s="236"/>
      <c r="L27" s="236"/>
      <c r="M27" s="119">
        <f>+K27+'5'!M27+L27</f>
        <v>0</v>
      </c>
      <c r="P27" s="151">
        <f t="shared" si="3"/>
        <v>0</v>
      </c>
      <c r="R27" s="151">
        <f>+O27*Q27</f>
        <v>0</v>
      </c>
      <c r="S27" s="151">
        <f>+P27*Q27</f>
        <v>0</v>
      </c>
    </row>
    <row r="28" spans="1:19" ht="67.5" customHeight="1" thickBot="1">
      <c r="A28" s="796"/>
      <c r="B28" s="215"/>
      <c r="C28" s="216"/>
      <c r="D28" s="217"/>
      <c r="E28" s="223"/>
      <c r="F28" s="229"/>
      <c r="G28" s="227"/>
      <c r="H28" s="231" t="s">
        <v>512</v>
      </c>
      <c r="I28" s="799"/>
      <c r="J28" s="214">
        <f>+'5'!J28</f>
        <v>0</v>
      </c>
      <c r="K28" s="236"/>
      <c r="L28" s="236"/>
      <c r="M28" s="119">
        <f>+K28+'5'!M28+L28</f>
        <v>0</v>
      </c>
    </row>
    <row r="29" spans="1:19" ht="13.5" thickBot="1">
      <c r="A29" s="796"/>
      <c r="B29" s="215"/>
      <c r="C29" s="216"/>
      <c r="D29" s="217"/>
      <c r="E29" s="223"/>
      <c r="F29" s="233"/>
      <c r="G29" s="230"/>
      <c r="H29" s="231"/>
      <c r="I29" s="799"/>
      <c r="J29" s="214">
        <f>+'5'!J29</f>
        <v>0</v>
      </c>
      <c r="K29" s="236"/>
      <c r="L29" s="236"/>
      <c r="M29" s="119">
        <f>+K29+'5'!M29+L29</f>
        <v>0</v>
      </c>
      <c r="Q29" s="151">
        <f>SUM(Q23:Q28)</f>
        <v>480</v>
      </c>
      <c r="R29" s="151">
        <f>SUM(R23:R26)</f>
        <v>624000</v>
      </c>
      <c r="S29" s="151">
        <f>SUM(S23:S26)</f>
        <v>511680</v>
      </c>
    </row>
    <row r="30" spans="1:19" ht="13.5" thickBot="1">
      <c r="A30" s="796"/>
      <c r="B30" s="215"/>
      <c r="C30" s="224"/>
      <c r="D30" s="217"/>
      <c r="E30" s="223"/>
      <c r="F30" s="233"/>
      <c r="G30" s="230"/>
      <c r="H30" s="231"/>
      <c r="I30" s="799"/>
      <c r="J30" s="214">
        <f>+'5'!J30</f>
        <v>0</v>
      </c>
      <c r="K30" s="236"/>
      <c r="L30" s="236"/>
      <c r="M30" s="119">
        <f>+K30+'5'!M30+L30</f>
        <v>0</v>
      </c>
      <c r="P30" s="151" t="s">
        <v>424</v>
      </c>
      <c r="Q30" s="151">
        <f>480-Q29</f>
        <v>0</v>
      </c>
      <c r="R30" s="151">
        <f>+R29/Q29</f>
        <v>1300</v>
      </c>
      <c r="S30" s="151">
        <f>+S29/Q29</f>
        <v>1066</v>
      </c>
    </row>
    <row r="31" spans="1:19" ht="13.5" thickBot="1">
      <c r="A31" s="796"/>
      <c r="B31" s="215"/>
      <c r="C31" s="224"/>
      <c r="D31" s="217"/>
      <c r="E31" s="223"/>
      <c r="F31" s="233"/>
      <c r="G31" s="234"/>
      <c r="H31" s="409"/>
      <c r="I31" s="800"/>
      <c r="J31" s="214">
        <f>+'5'!J31</f>
        <v>0</v>
      </c>
      <c r="K31" s="236"/>
      <c r="L31" s="236"/>
      <c r="M31" s="119">
        <f>+K31+'5'!M31+L31</f>
        <v>0</v>
      </c>
    </row>
    <row r="32" spans="1:19" ht="13.5" thickBot="1">
      <c r="A32" s="797"/>
      <c r="B32" s="167" t="s">
        <v>3</v>
      </c>
      <c r="C32" s="101">
        <f>SUM(C25:C31)</f>
        <v>15776</v>
      </c>
      <c r="D32" s="102">
        <f>SUM(D25:D31)</f>
        <v>0</v>
      </c>
      <c r="E32" s="103">
        <f>SUM(E25:E31)</f>
        <v>0</v>
      </c>
      <c r="F32" s="101">
        <f>SUM(F24:F31)</f>
        <v>9</v>
      </c>
      <c r="G32" s="171"/>
      <c r="H32" s="172"/>
      <c r="I32" s="170"/>
      <c r="J32" s="214">
        <f>+'5'!J32</f>
        <v>0</v>
      </c>
      <c r="K32" s="238"/>
      <c r="L32" s="240"/>
      <c r="M32" s="119">
        <f>+K32+'5'!M32+L32</f>
        <v>0</v>
      </c>
    </row>
    <row r="33" spans="1:17" ht="13.5" thickBot="1">
      <c r="A33" s="173"/>
      <c r="B33" s="174"/>
      <c r="C33" s="105">
        <f>C32/($C$32+$D$32+$E$32)</f>
        <v>1</v>
      </c>
      <c r="D33" s="106">
        <f>D32/($C$32+$D$32+$E$32)</f>
        <v>0</v>
      </c>
      <c r="E33" s="107">
        <f>E32/($C$32+$D$32+$E$32)</f>
        <v>0</v>
      </c>
      <c r="F33" s="108"/>
      <c r="G33" s="175"/>
      <c r="H33" s="176"/>
      <c r="I33" s="177"/>
      <c r="J33" s="123"/>
      <c r="K33" s="124"/>
      <c r="L33" s="213"/>
      <c r="M33" s="121"/>
      <c r="N33" s="151" t="s">
        <v>519</v>
      </c>
      <c r="O33" s="151">
        <v>1350</v>
      </c>
      <c r="P33" s="151">
        <v>1039.5</v>
      </c>
      <c r="Q33" s="151">
        <v>150</v>
      </c>
    </row>
    <row r="34" spans="1:17" ht="13.5" thickBot="1">
      <c r="A34" s="802" t="s">
        <v>69</v>
      </c>
      <c r="B34" s="803"/>
      <c r="C34" s="109">
        <f>C14+C23+C32</f>
        <v>45879</v>
      </c>
      <c r="D34" s="109">
        <f>D14+D23+D32</f>
        <v>0</v>
      </c>
      <c r="E34" s="109">
        <f>E14+E23+E32</f>
        <v>0</v>
      </c>
      <c r="F34" s="110">
        <f>F14+F23+F32</f>
        <v>52</v>
      </c>
      <c r="H34" s="178"/>
      <c r="I34" s="178"/>
      <c r="J34" s="125" t="s">
        <v>29</v>
      </c>
      <c r="K34" s="126">
        <f>SUM(K7:K32)</f>
        <v>45879</v>
      </c>
      <c r="L34" s="212">
        <f>SUM(L7:L32)</f>
        <v>0</v>
      </c>
      <c r="M34" s="122">
        <f>SUM(M7:M32)</f>
        <v>223475</v>
      </c>
      <c r="N34" s="157" t="s">
        <v>521</v>
      </c>
      <c r="O34" s="151">
        <v>1312.7906976744187</v>
      </c>
      <c r="P34" s="151">
        <v>1079.9418604651162</v>
      </c>
      <c r="Q34" s="151">
        <v>1290</v>
      </c>
    </row>
    <row r="35" spans="1:17" ht="13.5" thickBot="1">
      <c r="A35" s="179"/>
      <c r="B35" s="180"/>
      <c r="C35" s="106">
        <f>C34/($C$34+$D$34+$E$34)</f>
        <v>1</v>
      </c>
      <c r="D35" s="106">
        <f>D34/($C$34+$D$34+$E$34)</f>
        <v>0</v>
      </c>
      <c r="E35" s="111">
        <f>E34/($C$34+$D$34+$E$34)</f>
        <v>0</v>
      </c>
      <c r="K35" s="157"/>
      <c r="Q35" s="151">
        <f>SUM(Q33:Q34)</f>
        <v>1440</v>
      </c>
    </row>
    <row r="36" spans="1:17" ht="13.5" thickBot="1">
      <c r="A36" s="178"/>
      <c r="B36" s="178"/>
      <c r="C36" s="157"/>
      <c r="D36" s="157"/>
      <c r="E36" s="157"/>
      <c r="G36" s="157"/>
      <c r="H36" s="181"/>
      <c r="I36" s="164" t="s">
        <v>39</v>
      </c>
      <c r="J36" s="164" t="s">
        <v>40</v>
      </c>
      <c r="K36" s="182"/>
    </row>
    <row r="37" spans="1:17" ht="17.45" customHeight="1" thickBot="1">
      <c r="A37" s="804" t="s">
        <v>70</v>
      </c>
      <c r="B37" s="805"/>
      <c r="C37" s="164" t="s">
        <v>71</v>
      </c>
      <c r="D37" s="183" t="s">
        <v>72</v>
      </c>
      <c r="E37" s="184" t="s">
        <v>73</v>
      </c>
      <c r="F37" s="309"/>
      <c r="G37" s="311"/>
      <c r="H37" s="186" t="s">
        <v>74</v>
      </c>
      <c r="I37" s="241">
        <f>(13*150+13*1290)/1440*G42*2.74*1440/1000000</f>
        <v>55.177161000000005</v>
      </c>
      <c r="J37" s="127">
        <f>+I37+'5'!J37</f>
        <v>263.58952906763585</v>
      </c>
      <c r="K37" s="128" t="s">
        <v>75</v>
      </c>
    </row>
    <row r="38" spans="1:17" ht="17.45" customHeight="1">
      <c r="A38" s="806" t="s">
        <v>13</v>
      </c>
      <c r="B38" s="807"/>
      <c r="C38" s="166">
        <f>SUMIF($G$7:$G$31,"Process",$F$7:$F$31)</f>
        <v>52</v>
      </c>
      <c r="D38" s="120">
        <f>C38+'5'!D38</f>
        <v>631</v>
      </c>
      <c r="E38" s="145">
        <f t="shared" ref="E38:E52" si="4">D38/60</f>
        <v>10.516666666666667</v>
      </c>
      <c r="F38" s="309">
        <v>1350</v>
      </c>
      <c r="G38" s="309">
        <v>1095.1875</v>
      </c>
      <c r="H38" s="187" t="s">
        <v>76</v>
      </c>
      <c r="I38" s="242">
        <f>15.441+16.605+15.836</f>
        <v>47.881999999999998</v>
      </c>
      <c r="J38" s="129">
        <f>+I38+'5'!J38</f>
        <v>235.661</v>
      </c>
      <c r="K38" s="130" t="s">
        <v>75</v>
      </c>
    </row>
    <row r="39" spans="1:17" ht="17.45" customHeight="1">
      <c r="A39" s="793" t="s">
        <v>14</v>
      </c>
      <c r="B39" s="794"/>
      <c r="C39" s="166">
        <f>SUMIF($G$7:$G$31,"Cleaning",$F$7:$F$31)</f>
        <v>0</v>
      </c>
      <c r="D39" s="120">
        <f>C39+'5'!D39</f>
        <v>0</v>
      </c>
      <c r="E39" s="145">
        <f t="shared" si="4"/>
        <v>0</v>
      </c>
      <c r="F39" s="309">
        <v>1300</v>
      </c>
      <c r="G39" s="309">
        <v>1066</v>
      </c>
      <c r="H39" s="187" t="s">
        <v>77</v>
      </c>
      <c r="I39" s="144"/>
      <c r="J39" s="131">
        <f>J37/G4</f>
        <v>43.931588177939311</v>
      </c>
      <c r="K39" s="132" t="s">
        <v>75</v>
      </c>
    </row>
    <row r="40" spans="1:17" ht="17.45" customHeight="1">
      <c r="A40" s="793" t="s">
        <v>78</v>
      </c>
      <c r="B40" s="794"/>
      <c r="C40" s="166">
        <f>SUMIF($G$7:$G$31,"Mechanical",$F$7:$F$31)</f>
        <v>0</v>
      </c>
      <c r="D40" s="120">
        <f>C40+'5'!D40</f>
        <v>5</v>
      </c>
      <c r="E40" s="145">
        <f t="shared" si="4"/>
        <v>8.3333333333333329E-2</v>
      </c>
      <c r="F40" s="309">
        <v>1300</v>
      </c>
      <c r="G40" s="309">
        <v>1066</v>
      </c>
      <c r="H40" s="187" t="s">
        <v>79</v>
      </c>
      <c r="I40" s="120">
        <f>(K34+L34)/1000</f>
        <v>45.878999999999998</v>
      </c>
      <c r="J40" s="133">
        <f>+I40+'5'!J40</f>
        <v>223.47499999999999</v>
      </c>
      <c r="K40" s="132" t="s">
        <v>75</v>
      </c>
    </row>
    <row r="41" spans="1:17" ht="17.45" customHeight="1">
      <c r="A41" s="793" t="s">
        <v>80</v>
      </c>
      <c r="B41" s="794"/>
      <c r="C41" s="166">
        <f>SUMIF($G$7:$G$31,"Electrical",$F$7:$F$31)</f>
        <v>0</v>
      </c>
      <c r="D41" s="120">
        <f>C41+'5'!D41</f>
        <v>36</v>
      </c>
      <c r="E41" s="145">
        <f t="shared" si="4"/>
        <v>0.6</v>
      </c>
      <c r="F41" s="309"/>
      <c r="G41" s="309"/>
      <c r="H41" s="187" t="s">
        <v>81</v>
      </c>
      <c r="I41" s="144"/>
      <c r="J41" s="131">
        <f>J40/G4</f>
        <v>37.24583333333333</v>
      </c>
      <c r="K41" s="132" t="s">
        <v>75</v>
      </c>
    </row>
    <row r="42" spans="1:17" ht="17.45" customHeight="1">
      <c r="A42" s="793" t="s">
        <v>17</v>
      </c>
      <c r="B42" s="794"/>
      <c r="C42" s="166">
        <f>SUMIF($G$7:$G$31,"Instrument",$F$7:$F$31)</f>
        <v>0</v>
      </c>
      <c r="D42" s="120">
        <f>C42+'5'!D42</f>
        <v>0</v>
      </c>
      <c r="E42" s="145">
        <f t="shared" si="4"/>
        <v>0</v>
      </c>
      <c r="F42" s="185">
        <f>+(F38*480+F39*480+F40*480)/1440</f>
        <v>1316.6666666666667</v>
      </c>
      <c r="G42" s="185">
        <f>+(G38*480+G39*480+G40*480)/1440</f>
        <v>1075.7291666666667</v>
      </c>
      <c r="H42" s="187" t="s">
        <v>82</v>
      </c>
      <c r="I42" s="243" t="s">
        <v>524</v>
      </c>
      <c r="J42" s="134"/>
      <c r="K42" s="132" t="s">
        <v>83</v>
      </c>
    </row>
    <row r="43" spans="1:17" ht="17.45" customHeight="1">
      <c r="A43" s="793" t="s">
        <v>84</v>
      </c>
      <c r="B43" s="794"/>
      <c r="C43" s="166">
        <f>SUMIF($G$7:$G$31,"Water",$F$7:$F$31)</f>
        <v>0</v>
      </c>
      <c r="D43" s="120">
        <f>C43+'5'!D43</f>
        <v>0</v>
      </c>
      <c r="E43" s="145">
        <f t="shared" si="4"/>
        <v>0</v>
      </c>
      <c r="F43" s="309"/>
      <c r="G43" s="310"/>
      <c r="H43" s="188" t="s">
        <v>85</v>
      </c>
      <c r="I43" s="120">
        <f>+Report1!Z14</f>
        <v>95.3</v>
      </c>
      <c r="J43" s="135">
        <f>+I43+'5'!J43</f>
        <v>487.7</v>
      </c>
      <c r="K43" s="132" t="s">
        <v>75</v>
      </c>
      <c r="L43" s="189"/>
    </row>
    <row r="44" spans="1:17" ht="17.45" customHeight="1">
      <c r="A44" s="793" t="s">
        <v>18</v>
      </c>
      <c r="B44" s="794"/>
      <c r="C44" s="166">
        <f>SUMIF($G$7:$G$31,"PLN",$F$7:$F$31)</f>
        <v>0</v>
      </c>
      <c r="D44" s="120">
        <f>C44+'5'!D44</f>
        <v>30</v>
      </c>
      <c r="E44" s="145">
        <f t="shared" si="4"/>
        <v>0.5</v>
      </c>
      <c r="F44" s="309"/>
      <c r="G44" s="310"/>
      <c r="H44" s="188" t="s">
        <v>86</v>
      </c>
      <c r="I44" s="120">
        <f>I43/I38</f>
        <v>1.9903095108809157</v>
      </c>
      <c r="J44" s="136">
        <f>J43/J38</f>
        <v>2.06949813503295</v>
      </c>
      <c r="K44" s="132" t="s">
        <v>75</v>
      </c>
    </row>
    <row r="45" spans="1:17" ht="17.45" customHeight="1">
      <c r="A45" s="793" t="s">
        <v>19</v>
      </c>
      <c r="B45" s="794"/>
      <c r="C45" s="166">
        <f>SUMIF($G$7:$G$31,"Boiler",$F$7:$F$31)</f>
        <v>0</v>
      </c>
      <c r="D45" s="120">
        <f>C45+'5'!D45</f>
        <v>0</v>
      </c>
      <c r="E45" s="145">
        <f t="shared" si="4"/>
        <v>0</v>
      </c>
      <c r="F45" s="309"/>
      <c r="G45" s="312"/>
      <c r="H45" s="188" t="s">
        <v>87</v>
      </c>
      <c r="I45" s="120">
        <f>I43/I40</f>
        <v>2.0772030776608035</v>
      </c>
      <c r="J45" s="136">
        <f>J43/J40</f>
        <v>2.1823470186821794</v>
      </c>
      <c r="K45" s="132" t="s">
        <v>75</v>
      </c>
    </row>
    <row r="46" spans="1:17" ht="17.45" customHeight="1">
      <c r="A46" s="793" t="s">
        <v>88</v>
      </c>
      <c r="B46" s="794"/>
      <c r="C46" s="166">
        <f>SUMIF($G$7:$G$31,"Gas",$F$7:$F$31)</f>
        <v>0</v>
      </c>
      <c r="D46" s="120">
        <f>C46+'5'!D46</f>
        <v>0</v>
      </c>
      <c r="E46" s="145">
        <f t="shared" si="4"/>
        <v>0</v>
      </c>
      <c r="F46" s="309"/>
      <c r="G46" s="310"/>
      <c r="H46" s="188" t="s">
        <v>89</v>
      </c>
      <c r="I46" s="142">
        <f>+SUMIF(Listrik!X13,"&gt;0")</f>
        <v>38551.815000000097</v>
      </c>
      <c r="J46" s="137">
        <f>+I46+'5'!J46</f>
        <v>229345.82999999929</v>
      </c>
      <c r="K46" s="132" t="s">
        <v>90</v>
      </c>
    </row>
    <row r="47" spans="1:17" ht="17.45" customHeight="1">
      <c r="A47" s="793" t="s">
        <v>91</v>
      </c>
      <c r="B47" s="794"/>
      <c r="C47" s="166">
        <f>SUMIF($G$7:$G$31,"Gas",$F$7:$F$31)</f>
        <v>0</v>
      </c>
      <c r="D47" s="120">
        <f>C47+'5'!D47</f>
        <v>0</v>
      </c>
      <c r="E47" s="145">
        <f t="shared" si="4"/>
        <v>0</v>
      </c>
      <c r="F47" s="309"/>
      <c r="G47" s="310"/>
      <c r="H47" s="188" t="s">
        <v>92</v>
      </c>
      <c r="I47" s="120">
        <f>I46/I38</f>
        <v>805.14212021219032</v>
      </c>
      <c r="J47" s="137">
        <f>J46/J38</f>
        <v>973.20231179533005</v>
      </c>
      <c r="K47" s="132" t="s">
        <v>25</v>
      </c>
    </row>
    <row r="48" spans="1:17" ht="17.45" customHeight="1">
      <c r="A48" s="793" t="s">
        <v>15</v>
      </c>
      <c r="B48" s="794"/>
      <c r="C48" s="166">
        <f>SUMIF($G$7:$G$31,"Start Up",$F$7:$F$31)</f>
        <v>0</v>
      </c>
      <c r="D48" s="120">
        <f>C48+'5'!D48</f>
        <v>0</v>
      </c>
      <c r="E48" s="145">
        <f t="shared" si="4"/>
        <v>0</v>
      </c>
      <c r="F48" s="309"/>
      <c r="G48" s="310"/>
      <c r="H48" s="188" t="s">
        <v>93</v>
      </c>
      <c r="I48" s="120">
        <f>I46/I40</f>
        <v>840.29327143137596</v>
      </c>
      <c r="J48" s="137">
        <f>J46/J40</f>
        <v>1026.2706342991355</v>
      </c>
      <c r="K48" s="132" t="s">
        <v>25</v>
      </c>
    </row>
    <row r="49" spans="1:11" ht="17.45" customHeight="1">
      <c r="A49" s="793" t="s">
        <v>21</v>
      </c>
      <c r="B49" s="794"/>
      <c r="C49" s="166">
        <f>SUMIF($G$7:$G$31,"Others",$F$7:$F$31)</f>
        <v>0</v>
      </c>
      <c r="D49" s="120">
        <f>C49+'5'!D49</f>
        <v>441</v>
      </c>
      <c r="E49" s="145">
        <f t="shared" si="4"/>
        <v>7.35</v>
      </c>
      <c r="F49" s="185"/>
      <c r="H49" s="188" t="s">
        <v>279</v>
      </c>
      <c r="I49" s="120">
        <f>+Report1!T14</f>
        <v>3665.4814158579311</v>
      </c>
      <c r="J49" s="137">
        <f>+I49+'5'!J49</f>
        <v>18741.909876091559</v>
      </c>
      <c r="K49" s="132" t="s">
        <v>94</v>
      </c>
    </row>
    <row r="50" spans="1:11" ht="17.45" customHeight="1">
      <c r="A50" s="793" t="s">
        <v>20</v>
      </c>
      <c r="B50" s="794"/>
      <c r="C50" s="166">
        <f>SUMIF($G$7:$G$31,"Steam",$F$7:$F$31)</f>
        <v>0</v>
      </c>
      <c r="D50" s="120">
        <f>C50+'5'!D50</f>
        <v>0</v>
      </c>
      <c r="E50" s="145">
        <f t="shared" si="4"/>
        <v>0</v>
      </c>
      <c r="F50" s="185"/>
      <c r="H50" s="188" t="s">
        <v>95</v>
      </c>
      <c r="I50" s="142">
        <f>I49/I38</f>
        <v>76.55238744952031</v>
      </c>
      <c r="J50" s="135">
        <f>J49/J38</f>
        <v>79.529111206740012</v>
      </c>
      <c r="K50" s="132" t="s">
        <v>94</v>
      </c>
    </row>
    <row r="51" spans="1:11" ht="17.45" customHeight="1">
      <c r="A51" s="810" t="s">
        <v>96</v>
      </c>
      <c r="B51" s="810"/>
      <c r="C51" s="166">
        <f>SUMIF($G$7:$G$31,"Planned shut",$F$7:$F$31)</f>
        <v>0</v>
      </c>
      <c r="D51" s="120">
        <f>C51+'5'!D51</f>
        <v>0</v>
      </c>
      <c r="E51" s="145">
        <f t="shared" si="4"/>
        <v>0</v>
      </c>
      <c r="F51" s="185"/>
      <c r="H51" s="190" t="s">
        <v>97</v>
      </c>
      <c r="I51" s="143">
        <f>I49/I40</f>
        <v>79.894535971968253</v>
      </c>
      <c r="J51" s="138">
        <f>J49/J40</f>
        <v>83.865800989334645</v>
      </c>
      <c r="K51" s="139" t="s">
        <v>94</v>
      </c>
    </row>
    <row r="52" spans="1:11" ht="13.5" thickBot="1">
      <c r="A52" s="811" t="s">
        <v>230</v>
      </c>
      <c r="B52" s="812"/>
      <c r="C52" s="166">
        <f>SUMIF($G$7:$G$31,"Change Grade",$F$7:$F$31)</f>
        <v>0</v>
      </c>
      <c r="D52" s="120">
        <f>C52+'5'!D52</f>
        <v>0</v>
      </c>
      <c r="E52" s="145">
        <f t="shared" si="4"/>
        <v>0</v>
      </c>
      <c r="F52" s="185"/>
      <c r="H52" s="191"/>
      <c r="I52" s="192"/>
      <c r="J52" s="140"/>
      <c r="K52" s="141"/>
    </row>
    <row r="53" spans="1:11">
      <c r="A53" s="806" t="s">
        <v>29</v>
      </c>
      <c r="B53" s="807"/>
      <c r="C53" s="146">
        <f>SUM(C38:C52)</f>
        <v>52</v>
      </c>
      <c r="D53" s="146">
        <f>SUM(D38:D52)</f>
        <v>1143</v>
      </c>
      <c r="E53" s="147">
        <f>SUM(E38:E52)</f>
        <v>19.05</v>
      </c>
      <c r="F53" s="185"/>
    </row>
    <row r="54" spans="1:11" ht="13.5" thickBot="1">
      <c r="A54" s="808"/>
      <c r="B54" s="809"/>
      <c r="C54" s="148">
        <f>C53/(24*60)</f>
        <v>3.6111111111111108E-2</v>
      </c>
      <c r="D54" s="148">
        <f>D53/(24*60*G4)</f>
        <v>0.13229166666666667</v>
      </c>
      <c r="E54" s="149">
        <f>E53/(G4*24)</f>
        <v>0.13229166666666667</v>
      </c>
      <c r="F54" s="185"/>
    </row>
    <row r="55" spans="1:11">
      <c r="E55" s="193"/>
    </row>
    <row r="56" spans="1:11">
      <c r="A56" s="194" t="s">
        <v>98</v>
      </c>
      <c r="B56" s="195"/>
      <c r="C56" s="196"/>
      <c r="D56" s="196"/>
      <c r="E56" s="196"/>
      <c r="F56" s="197"/>
      <c r="G56" s="196"/>
      <c r="H56" s="198"/>
      <c r="I56" s="199" t="s">
        <v>99</v>
      </c>
      <c r="J56" s="200">
        <f>+D34+'5'!J56</f>
        <v>0</v>
      </c>
      <c r="K56" s="201">
        <f>J56/(J40+J56/1000)/1000</f>
        <v>0</v>
      </c>
    </row>
    <row r="57" spans="1:11">
      <c r="A57" s="176"/>
      <c r="I57" s="199" t="s">
        <v>100</v>
      </c>
      <c r="J57" s="200">
        <f>+E34+'5'!J57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Views>
    <sheetView view="pageBreakPreview" topLeftCell="A13" zoomScale="80" zoomScaleNormal="75" zoomScaleSheetLayoutView="80" workbookViewId="0">
      <selection activeCell="D36" sqref="D36:E36"/>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customWidth="1"/>
    <col min="12" max="12" width="8.28515625" style="151" customWidth="1"/>
    <col min="13" max="13" width="15.140625" style="151" customWidth="1"/>
    <col min="14" max="16384" width="9.140625" style="151"/>
  </cols>
  <sheetData>
    <row r="1" spans="1:27" ht="15.75">
      <c r="A1" s="150"/>
      <c r="V1" s="519"/>
    </row>
    <row r="2" spans="1:27" ht="15.75">
      <c r="A2" s="150" t="s">
        <v>231</v>
      </c>
      <c r="V2" s="538"/>
    </row>
    <row r="3" spans="1:27" ht="15">
      <c r="A3" s="152"/>
      <c r="Y3" s="176"/>
    </row>
    <row r="4" spans="1:27" ht="20.25">
      <c r="A4" s="153" t="s">
        <v>4</v>
      </c>
      <c r="B4" s="154"/>
      <c r="F4" s="155" t="s">
        <v>31</v>
      </c>
      <c r="G4" s="156">
        <v>5</v>
      </c>
      <c r="H4" s="156" t="s">
        <v>535</v>
      </c>
      <c r="J4" s="151">
        <f>399+402+409</f>
        <v>1210</v>
      </c>
      <c r="Z4" s="176"/>
      <c r="AA4" s="176"/>
    </row>
    <row r="5" spans="1:27" ht="13.5" thickBot="1">
      <c r="C5" s="157"/>
      <c r="D5" s="157"/>
    </row>
    <row r="6" spans="1:27"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425</v>
      </c>
      <c r="O6" s="151">
        <v>1350</v>
      </c>
      <c r="P6" s="151">
        <f>+O6-O6*0.23</f>
        <v>1039.5</v>
      </c>
      <c r="Q6" s="151">
        <v>480</v>
      </c>
      <c r="R6" s="151">
        <f>+O6*Q6</f>
        <v>648000</v>
      </c>
      <c r="S6" s="151">
        <f>+P6*Q6</f>
        <v>498960</v>
      </c>
      <c r="V6" s="520"/>
    </row>
    <row r="7" spans="1:27" ht="13.5" customHeight="1" thickBot="1">
      <c r="A7" s="795" t="s">
        <v>506</v>
      </c>
      <c r="B7" s="215" t="s">
        <v>445</v>
      </c>
      <c r="C7" s="216">
        <v>12872</v>
      </c>
      <c r="D7" s="217"/>
      <c r="E7" s="218"/>
      <c r="F7" s="233">
        <v>3</v>
      </c>
      <c r="G7" s="555" t="s">
        <v>13</v>
      </c>
      <c r="H7" s="556" t="s">
        <v>633</v>
      </c>
      <c r="I7" s="798" t="s">
        <v>459</v>
      </c>
      <c r="J7" s="214" t="str">
        <f>+'4'!J7</f>
        <v>F 12 VP OW</v>
      </c>
      <c r="K7" s="235">
        <f>+C17+C25</f>
        <v>4596</v>
      </c>
      <c r="L7" s="239"/>
      <c r="M7" s="119">
        <f>+K7+'4'!M7+L7</f>
        <v>15194</v>
      </c>
      <c r="P7" s="151">
        <f t="shared" ref="P7:P10" si="0">+O7-O7*0.23</f>
        <v>0</v>
      </c>
      <c r="R7" s="151">
        <f>+O7*Q7</f>
        <v>0</v>
      </c>
      <c r="S7" s="151">
        <f>+P7*Q7</f>
        <v>0</v>
      </c>
      <c r="V7" s="520"/>
    </row>
    <row r="8" spans="1:27" ht="13.5" thickBot="1">
      <c r="A8" s="796"/>
      <c r="B8" s="215"/>
      <c r="C8" s="216"/>
      <c r="D8" s="217"/>
      <c r="E8" s="219"/>
      <c r="F8" s="229">
        <v>2</v>
      </c>
      <c r="G8" s="557" t="s">
        <v>13</v>
      </c>
      <c r="H8" s="228" t="s">
        <v>462</v>
      </c>
      <c r="I8" s="799"/>
      <c r="J8" s="214" t="str">
        <f>+'4'!J8</f>
        <v>F 11,5 VP OW</v>
      </c>
      <c r="K8" s="236">
        <f>+C7+C16</f>
        <v>25810</v>
      </c>
      <c r="L8" s="236"/>
      <c r="M8" s="119">
        <f>+K8+'4'!M8+L8</f>
        <v>150859</v>
      </c>
      <c r="P8" s="151">
        <f t="shared" si="0"/>
        <v>0</v>
      </c>
      <c r="R8" s="151">
        <f>+O8*Q8</f>
        <v>0</v>
      </c>
      <c r="S8" s="151">
        <f>+P8*Q8</f>
        <v>0</v>
      </c>
      <c r="Y8" s="521"/>
    </row>
    <row r="9" spans="1:27" ht="13.5" thickBot="1">
      <c r="A9" s="796"/>
      <c r="B9" s="215"/>
      <c r="C9" s="216"/>
      <c r="D9" s="217"/>
      <c r="E9" s="220"/>
      <c r="F9" s="229">
        <v>5</v>
      </c>
      <c r="G9" s="557" t="s">
        <v>13</v>
      </c>
      <c r="H9" s="231" t="s">
        <v>400</v>
      </c>
      <c r="I9" s="799"/>
      <c r="J9" s="214" t="str">
        <f>+'4'!J9</f>
        <v>T 13 VP OW</v>
      </c>
      <c r="K9" s="236"/>
      <c r="L9" s="236"/>
      <c r="M9" s="119">
        <f>+K9+'4'!M9+L9</f>
        <v>0</v>
      </c>
      <c r="P9" s="151">
        <f t="shared" si="0"/>
        <v>0</v>
      </c>
      <c r="R9" s="151">
        <f>+O9*Q9</f>
        <v>0</v>
      </c>
      <c r="S9" s="151">
        <f>+P9*Q9</f>
        <v>0</v>
      </c>
      <c r="Z9" s="521"/>
      <c r="AA9" s="521"/>
    </row>
    <row r="10" spans="1:27" ht="51.75" thickBot="1">
      <c r="A10" s="796"/>
      <c r="B10" s="215"/>
      <c r="C10" s="216"/>
      <c r="D10" s="217"/>
      <c r="E10" s="219"/>
      <c r="F10" s="229"/>
      <c r="G10" s="227"/>
      <c r="H10" s="558" t="s">
        <v>516</v>
      </c>
      <c r="I10" s="799"/>
      <c r="J10" s="214" t="s">
        <v>536</v>
      </c>
      <c r="K10" s="236">
        <f>+C26</f>
        <v>11543</v>
      </c>
      <c r="L10" s="236"/>
      <c r="M10" s="119">
        <f>+K10+'4'!M10+L10</f>
        <v>11543</v>
      </c>
      <c r="P10" s="151">
        <f t="shared" si="0"/>
        <v>0</v>
      </c>
      <c r="R10" s="151">
        <f>+O10*Q10</f>
        <v>0</v>
      </c>
      <c r="S10" s="151">
        <f>+P10*Q10</f>
        <v>0</v>
      </c>
    </row>
    <row r="11" spans="1:27" ht="90" thickBot="1">
      <c r="A11" s="796"/>
      <c r="B11" s="215"/>
      <c r="C11" s="216"/>
      <c r="D11" s="217"/>
      <c r="E11" s="219"/>
      <c r="F11" s="226">
        <v>5</v>
      </c>
      <c r="G11" s="230" t="s">
        <v>78</v>
      </c>
      <c r="H11" s="231" t="s">
        <v>517</v>
      </c>
      <c r="I11" s="799"/>
      <c r="J11" s="214">
        <f>+'4'!J11</f>
        <v>0</v>
      </c>
      <c r="K11" s="236"/>
      <c r="L11" s="236"/>
      <c r="M11" s="119">
        <f>+K11+'4'!M11+L11</f>
        <v>0</v>
      </c>
    </row>
    <row r="12" spans="1:27" ht="13.5" thickBot="1">
      <c r="A12" s="796"/>
      <c r="B12" s="215"/>
      <c r="C12" s="216"/>
      <c r="D12" s="217"/>
      <c r="E12" s="219"/>
      <c r="F12" s="226"/>
      <c r="G12" s="230"/>
      <c r="H12" s="231"/>
      <c r="I12" s="799"/>
      <c r="J12" s="214">
        <f>+'4'!J12</f>
        <v>0</v>
      </c>
      <c r="K12" s="236"/>
      <c r="L12" s="236"/>
      <c r="M12" s="119">
        <f>+K12+'4'!M12+L12</f>
        <v>0</v>
      </c>
      <c r="Q12" s="151">
        <f>SUM(Q6:Q11)</f>
        <v>480</v>
      </c>
      <c r="R12" s="151">
        <f>SUM(R6:R9)</f>
        <v>648000</v>
      </c>
      <c r="S12" s="151">
        <f>SUM(S6:S9)</f>
        <v>498960</v>
      </c>
      <c r="U12" s="151" t="s">
        <v>425</v>
      </c>
      <c r="V12" s="151">
        <v>1</v>
      </c>
      <c r="W12" s="151" t="s">
        <v>440</v>
      </c>
    </row>
    <row r="13" spans="1:27" ht="13.5" thickBot="1">
      <c r="A13" s="796"/>
      <c r="B13" s="215"/>
      <c r="C13" s="216"/>
      <c r="D13" s="216"/>
      <c r="E13" s="219"/>
      <c r="F13" s="226"/>
      <c r="G13" s="230"/>
      <c r="H13" s="231"/>
      <c r="I13" s="800"/>
      <c r="J13" s="214">
        <f>+'4'!J13</f>
        <v>0</v>
      </c>
      <c r="K13" s="236"/>
      <c r="L13" s="236"/>
      <c r="M13" s="119">
        <f>+K13+'4'!M13+L13</f>
        <v>0</v>
      </c>
      <c r="P13" s="151" t="s">
        <v>424</v>
      </c>
      <c r="Q13" s="151">
        <f>480-Q12</f>
        <v>0</v>
      </c>
      <c r="R13" s="151">
        <f>+R12/Q12</f>
        <v>1350</v>
      </c>
      <c r="S13" s="151">
        <f>+S12/Q12</f>
        <v>1039.5</v>
      </c>
      <c r="U13" s="151" t="s">
        <v>409</v>
      </c>
      <c r="V13" s="559">
        <v>1</v>
      </c>
      <c r="W13" s="151" t="s">
        <v>441</v>
      </c>
    </row>
    <row r="14" spans="1:27" ht="13.5" thickBot="1">
      <c r="A14" s="797"/>
      <c r="B14" s="167" t="s">
        <v>3</v>
      </c>
      <c r="C14" s="101">
        <f>SUM(C7:C13)</f>
        <v>12872</v>
      </c>
      <c r="D14" s="113">
        <f>SUM(D7:D13)</f>
        <v>0</v>
      </c>
      <c r="E14" s="114">
        <f>SUM(E5:E13)</f>
        <v>0</v>
      </c>
      <c r="F14" s="118">
        <f>SUM(F7:F13)</f>
        <v>15</v>
      </c>
      <c r="G14" s="161"/>
      <c r="H14" s="168"/>
      <c r="I14" s="169"/>
      <c r="J14" s="214">
        <f>+'4'!J14</f>
        <v>0</v>
      </c>
      <c r="K14" s="236"/>
      <c r="L14" s="236"/>
      <c r="M14" s="119">
        <f>+K14+'4'!M14+L14</f>
        <v>0</v>
      </c>
      <c r="U14" s="151" t="s">
        <v>519</v>
      </c>
      <c r="V14" s="559">
        <v>1</v>
      </c>
      <c r="W14" s="151" t="s">
        <v>533</v>
      </c>
    </row>
    <row r="15" spans="1:27" ht="13.5" customHeight="1" thickBot="1">
      <c r="A15" s="801" t="s">
        <v>470</v>
      </c>
      <c r="B15" s="518"/>
      <c r="C15" s="115">
        <f>C14/($C$23+$D$23+$E$23)</f>
        <v>0.82602836424308546</v>
      </c>
      <c r="D15" s="116">
        <f>D14/($C$23+$D$23+$E$23)</f>
        <v>0</v>
      </c>
      <c r="E15" s="117">
        <f>E14/($C$23+$D$23+$E$23)</f>
        <v>0</v>
      </c>
      <c r="F15" s="233">
        <v>9</v>
      </c>
      <c r="G15" s="555" t="s">
        <v>13</v>
      </c>
      <c r="H15" s="556" t="s">
        <v>401</v>
      </c>
      <c r="I15" s="798" t="s">
        <v>459</v>
      </c>
      <c r="J15" s="214">
        <f>+'4'!J15</f>
        <v>0</v>
      </c>
      <c r="K15" s="236"/>
      <c r="L15" s="236"/>
      <c r="M15" s="119">
        <f>+K15+'4'!M15+L15</f>
        <v>0</v>
      </c>
      <c r="N15" s="151" t="s">
        <v>425</v>
      </c>
      <c r="O15" s="151">
        <v>1350</v>
      </c>
      <c r="P15" s="151">
        <f>+O15-O15*0.23</f>
        <v>1039.5</v>
      </c>
      <c r="Q15" s="151">
        <f>60*5</f>
        <v>300</v>
      </c>
      <c r="R15" s="151">
        <f>+O15*Q15</f>
        <v>405000</v>
      </c>
      <c r="S15" s="151">
        <f>+P15*Q15</f>
        <v>311850</v>
      </c>
      <c r="Y15" s="560"/>
    </row>
    <row r="16" spans="1:27" ht="13.5" thickBot="1">
      <c r="A16" s="796"/>
      <c r="B16" s="517" t="s">
        <v>445</v>
      </c>
      <c r="C16" s="516">
        <f>6037+6901</f>
        <v>12938</v>
      </c>
      <c r="D16" s="221"/>
      <c r="E16" s="222"/>
      <c r="F16" s="229">
        <v>7</v>
      </c>
      <c r="G16" s="557" t="s">
        <v>13</v>
      </c>
      <c r="H16" s="228" t="s">
        <v>399</v>
      </c>
      <c r="I16" s="799"/>
      <c r="J16" s="214">
        <f>+'4'!J16</f>
        <v>0</v>
      </c>
      <c r="K16" s="227"/>
      <c r="L16" s="227"/>
      <c r="M16" s="119">
        <f>+K16+'4'!M16+L16</f>
        <v>0</v>
      </c>
      <c r="N16" s="151" t="s">
        <v>409</v>
      </c>
      <c r="O16" s="151">
        <v>1350</v>
      </c>
      <c r="P16" s="151">
        <f t="shared" ref="P16:P19" si="1">+O16-O16*0.23</f>
        <v>1039.5</v>
      </c>
      <c r="Q16" s="151">
        <f>60*2+20</f>
        <v>140</v>
      </c>
      <c r="R16" s="151">
        <f>+O16*Q16</f>
        <v>189000</v>
      </c>
      <c r="S16" s="151">
        <f>+P16*Q16</f>
        <v>145530</v>
      </c>
      <c r="Z16" s="560"/>
      <c r="AA16" s="560"/>
    </row>
    <row r="17" spans="1:19" ht="13.5" thickBot="1">
      <c r="A17" s="796"/>
      <c r="B17" s="215" t="s">
        <v>398</v>
      </c>
      <c r="C17" s="216">
        <v>2645</v>
      </c>
      <c r="D17" s="217"/>
      <c r="E17" s="223"/>
      <c r="F17" s="229">
        <v>10</v>
      </c>
      <c r="G17" s="557" t="s">
        <v>13</v>
      </c>
      <c r="H17" s="231" t="s">
        <v>520</v>
      </c>
      <c r="I17" s="799"/>
      <c r="J17" s="214">
        <f>+'4'!J17</f>
        <v>0</v>
      </c>
      <c r="K17" s="227"/>
      <c r="L17" s="227"/>
      <c r="M17" s="119">
        <f>+K17+'4'!M17+L17</f>
        <v>0</v>
      </c>
      <c r="N17" s="151" t="s">
        <v>519</v>
      </c>
      <c r="O17" s="151">
        <v>1350</v>
      </c>
      <c r="P17" s="151">
        <f t="shared" si="1"/>
        <v>1039.5</v>
      </c>
      <c r="Q17" s="151">
        <f>480-Q15-Q16</f>
        <v>40</v>
      </c>
      <c r="R17" s="151">
        <f>+O17*Q17</f>
        <v>54000</v>
      </c>
      <c r="S17" s="151">
        <f>+P17*Q17</f>
        <v>41580</v>
      </c>
    </row>
    <row r="18" spans="1:19" ht="115.5" thickBot="1">
      <c r="A18" s="796"/>
      <c r="B18" s="215"/>
      <c r="C18" s="216"/>
      <c r="D18" s="217"/>
      <c r="E18" s="223"/>
      <c r="F18" s="229"/>
      <c r="G18" s="227"/>
      <c r="H18" s="558" t="s">
        <v>515</v>
      </c>
      <c r="I18" s="799"/>
      <c r="J18" s="214">
        <f>+'4'!J18</f>
        <v>0</v>
      </c>
      <c r="K18" s="236"/>
      <c r="L18" s="236"/>
      <c r="M18" s="119">
        <f>+K18+'4'!M18+L18</f>
        <v>0</v>
      </c>
      <c r="P18" s="151">
        <f t="shared" si="1"/>
        <v>0</v>
      </c>
      <c r="R18" s="151">
        <f>+O18*Q18</f>
        <v>0</v>
      </c>
      <c r="S18" s="151">
        <f>+P18*Q18</f>
        <v>0</v>
      </c>
    </row>
    <row r="19" spans="1:19" ht="77.25" thickBot="1">
      <c r="A19" s="796"/>
      <c r="B19" s="215"/>
      <c r="C19" s="216"/>
      <c r="D19" s="217"/>
      <c r="E19" s="220"/>
      <c r="F19" s="232"/>
      <c r="G19" s="230"/>
      <c r="H19" s="231" t="s">
        <v>518</v>
      </c>
      <c r="I19" s="799"/>
      <c r="J19" s="214">
        <f>+'4'!J19</f>
        <v>0</v>
      </c>
      <c r="K19" s="236"/>
      <c r="L19" s="236"/>
      <c r="M19" s="119">
        <f>+K19+'4'!M19+L19</f>
        <v>0</v>
      </c>
      <c r="P19" s="151">
        <f t="shared" si="1"/>
        <v>0</v>
      </c>
      <c r="R19" s="151">
        <f>+O19*Q19</f>
        <v>0</v>
      </c>
      <c r="S19" s="151">
        <f>+P19*Q19</f>
        <v>0</v>
      </c>
    </row>
    <row r="20" spans="1:19" ht="13.5" thickBot="1">
      <c r="A20" s="796"/>
      <c r="B20" s="215"/>
      <c r="C20" s="216"/>
      <c r="D20" s="217"/>
      <c r="E20" s="223"/>
      <c r="F20" s="226"/>
      <c r="G20" s="230"/>
      <c r="H20" s="231"/>
      <c r="I20" s="799"/>
      <c r="J20" s="214">
        <f>+'4'!J20</f>
        <v>0</v>
      </c>
      <c r="K20" s="237"/>
      <c r="L20" s="237"/>
      <c r="M20" s="119">
        <f>+K20+'4'!M20+L20</f>
        <v>0</v>
      </c>
    </row>
    <row r="21" spans="1:19" ht="13.5" thickBot="1">
      <c r="A21" s="796"/>
      <c r="B21" s="215"/>
      <c r="C21" s="216"/>
      <c r="D21" s="217"/>
      <c r="E21" s="223"/>
      <c r="F21" s="229"/>
      <c r="G21" s="230"/>
      <c r="H21" s="231"/>
      <c r="I21" s="799"/>
      <c r="J21" s="214">
        <f>+'4'!J21</f>
        <v>0</v>
      </c>
      <c r="K21" s="236"/>
      <c r="L21" s="236"/>
      <c r="M21" s="119">
        <f>+K21+'4'!M21+L21</f>
        <v>0</v>
      </c>
      <c r="Q21" s="151">
        <f>SUM(Q15:Q20)</f>
        <v>480</v>
      </c>
      <c r="R21" s="151">
        <f>SUM(R15:R18)</f>
        <v>648000</v>
      </c>
      <c r="S21" s="151">
        <f>SUM(S15:S18)</f>
        <v>498960</v>
      </c>
    </row>
    <row r="22" spans="1:19" ht="13.5" thickBot="1">
      <c r="A22" s="796"/>
      <c r="B22" s="215"/>
      <c r="C22" s="216"/>
      <c r="D22" s="217"/>
      <c r="E22" s="223"/>
      <c r="F22" s="233"/>
      <c r="G22" s="230"/>
      <c r="H22" s="231"/>
      <c r="I22" s="800"/>
      <c r="J22" s="214">
        <f>+'4'!J22</f>
        <v>0</v>
      </c>
      <c r="K22" s="236"/>
      <c r="L22" s="236"/>
      <c r="M22" s="119">
        <f>+K22+'4'!M22+L22</f>
        <v>0</v>
      </c>
      <c r="P22" s="151" t="s">
        <v>424</v>
      </c>
      <c r="Q22" s="151">
        <f>480-Q21</f>
        <v>0</v>
      </c>
      <c r="R22" s="151">
        <f>+R21/Q21</f>
        <v>1350</v>
      </c>
      <c r="S22" s="151">
        <f>+S21/Q21</f>
        <v>1039.5</v>
      </c>
    </row>
    <row r="23" spans="1:19" ht="13.5" thickBot="1">
      <c r="A23" s="797"/>
      <c r="B23" s="167" t="s">
        <v>3</v>
      </c>
      <c r="C23" s="101">
        <f>SUM(C16:C22)</f>
        <v>15583</v>
      </c>
      <c r="D23" s="113">
        <f>SUM(D16:D22)</f>
        <v>0</v>
      </c>
      <c r="E23" s="114">
        <f>SUM(E18:E22)</f>
        <v>0</v>
      </c>
      <c r="F23" s="118">
        <f>SUM(F15:F22)</f>
        <v>26</v>
      </c>
      <c r="G23" s="161"/>
      <c r="H23" s="168"/>
      <c r="I23" s="170"/>
      <c r="J23" s="214">
        <f>+'4'!J23</f>
        <v>0</v>
      </c>
      <c r="K23" s="236"/>
      <c r="L23" s="236"/>
      <c r="M23" s="119">
        <f>+K23+'4'!M23+L23</f>
        <v>0</v>
      </c>
    </row>
    <row r="24" spans="1:19" ht="13.5" customHeight="1" thickBot="1">
      <c r="A24" s="801" t="s">
        <v>444</v>
      </c>
      <c r="B24" s="518"/>
      <c r="C24" s="115">
        <f>C23/($C$23+$D$23+$E$23)</f>
        <v>1</v>
      </c>
      <c r="D24" s="116">
        <f>D23/($C$23+$D$23+$E$23)</f>
        <v>0</v>
      </c>
      <c r="E24" s="117">
        <f>E23/($C$23+$D$23+$E$23)</f>
        <v>0</v>
      </c>
      <c r="F24" s="233">
        <v>3</v>
      </c>
      <c r="G24" s="555" t="s">
        <v>13</v>
      </c>
      <c r="H24" s="556" t="s">
        <v>464</v>
      </c>
      <c r="I24" s="798" t="s">
        <v>459</v>
      </c>
      <c r="J24" s="214">
        <f>+'4'!J24</f>
        <v>0</v>
      </c>
      <c r="K24" s="236"/>
      <c r="L24" s="236"/>
      <c r="M24" s="119">
        <f>+K24+'4'!M24+L24</f>
        <v>0</v>
      </c>
      <c r="N24" s="559"/>
    </row>
    <row r="25" spans="1:19" ht="13.5" thickBot="1">
      <c r="A25" s="796"/>
      <c r="B25" s="517" t="s">
        <v>398</v>
      </c>
      <c r="C25" s="224">
        <v>1951</v>
      </c>
      <c r="D25" s="217"/>
      <c r="E25" s="223"/>
      <c r="F25" s="229">
        <v>7</v>
      </c>
      <c r="G25" s="557" t="s">
        <v>13</v>
      </c>
      <c r="H25" s="228" t="s">
        <v>468</v>
      </c>
      <c r="I25" s="799"/>
      <c r="J25" s="214">
        <f>+'4'!J25</f>
        <v>0</v>
      </c>
      <c r="K25" s="236"/>
      <c r="L25" s="236"/>
      <c r="M25" s="119">
        <f>+K25+'4'!M25+L25</f>
        <v>0</v>
      </c>
      <c r="N25" s="151" t="s">
        <v>519</v>
      </c>
      <c r="O25" s="151">
        <v>1350</v>
      </c>
      <c r="P25" s="151">
        <f>+O25-O25*0.23</f>
        <v>1039.5</v>
      </c>
      <c r="Q25" s="151">
        <v>480</v>
      </c>
      <c r="R25" s="151">
        <f>+O25*Q25</f>
        <v>648000</v>
      </c>
      <c r="S25" s="151">
        <f>+P25*Q25</f>
        <v>498960</v>
      </c>
    </row>
    <row r="26" spans="1:19" ht="13.5" thickBot="1">
      <c r="A26" s="796"/>
      <c r="B26" s="215" t="s">
        <v>536</v>
      </c>
      <c r="C26" s="224">
        <f>5454+6089</f>
        <v>11543</v>
      </c>
      <c r="D26" s="217"/>
      <c r="E26" s="225"/>
      <c r="F26" s="229">
        <v>10</v>
      </c>
      <c r="G26" s="557" t="s">
        <v>13</v>
      </c>
      <c r="H26" s="231" t="s">
        <v>400</v>
      </c>
      <c r="I26" s="799"/>
      <c r="J26" s="214">
        <f>+'4'!J26</f>
        <v>0</v>
      </c>
      <c r="K26" s="236"/>
      <c r="L26" s="236"/>
      <c r="M26" s="119">
        <f>+K26+'4'!M26+L26</f>
        <v>0</v>
      </c>
      <c r="P26" s="151">
        <f t="shared" ref="P26:P29" si="2">+O26-O26*0.23</f>
        <v>0</v>
      </c>
      <c r="R26" s="151">
        <f>+O26*Q26</f>
        <v>0</v>
      </c>
      <c r="S26" s="151">
        <f>+P26*Q26</f>
        <v>0</v>
      </c>
    </row>
    <row r="27" spans="1:19" ht="64.5" thickBot="1">
      <c r="A27" s="796"/>
      <c r="B27" s="215"/>
      <c r="C27" s="216"/>
      <c r="D27" s="217"/>
      <c r="E27" s="223"/>
      <c r="F27" s="229"/>
      <c r="G27" s="227"/>
      <c r="H27" s="558" t="s">
        <v>513</v>
      </c>
      <c r="I27" s="799"/>
      <c r="J27" s="214">
        <f>+'4'!J27</f>
        <v>0</v>
      </c>
      <c r="K27" s="236"/>
      <c r="L27" s="236"/>
      <c r="M27" s="119">
        <f>+K27+'4'!M27+L27</f>
        <v>0</v>
      </c>
      <c r="P27" s="151">
        <f t="shared" si="2"/>
        <v>0</v>
      </c>
      <c r="Q27" s="151">
        <f>480-Q25-Q26</f>
        <v>0</v>
      </c>
      <c r="R27" s="151">
        <f>+O27*Q27</f>
        <v>0</v>
      </c>
      <c r="S27" s="151">
        <f>+P27*Q27</f>
        <v>0</v>
      </c>
    </row>
    <row r="28" spans="1:19" ht="159" customHeight="1" thickBot="1">
      <c r="A28" s="796"/>
      <c r="B28" s="215"/>
      <c r="C28" s="216"/>
      <c r="D28" s="217"/>
      <c r="E28" s="223"/>
      <c r="F28" s="229"/>
      <c r="G28" s="227"/>
      <c r="H28" s="231" t="s">
        <v>514</v>
      </c>
      <c r="I28" s="799"/>
      <c r="J28" s="214">
        <f>+'4'!J28</f>
        <v>0</v>
      </c>
      <c r="K28" s="236"/>
      <c r="L28" s="236"/>
      <c r="M28" s="119">
        <f>+K28+'4'!M28+L28</f>
        <v>0</v>
      </c>
      <c r="P28" s="151">
        <f t="shared" si="2"/>
        <v>0</v>
      </c>
      <c r="R28" s="151">
        <f>+O28*Q28</f>
        <v>0</v>
      </c>
      <c r="S28" s="151">
        <f>+P28*Q28</f>
        <v>0</v>
      </c>
    </row>
    <row r="29" spans="1:19" ht="13.5" thickBot="1">
      <c r="A29" s="796"/>
      <c r="B29" s="215"/>
      <c r="C29" s="216"/>
      <c r="D29" s="217"/>
      <c r="E29" s="223"/>
      <c r="F29" s="233"/>
      <c r="G29" s="230"/>
      <c r="H29" s="231"/>
      <c r="I29" s="799"/>
      <c r="J29" s="214">
        <f>+'4'!J29</f>
        <v>0</v>
      </c>
      <c r="K29" s="236"/>
      <c r="L29" s="236"/>
      <c r="M29" s="119">
        <f>+K29+'4'!M29+L29</f>
        <v>0</v>
      </c>
      <c r="P29" s="151">
        <f t="shared" si="2"/>
        <v>0</v>
      </c>
      <c r="R29" s="151">
        <f>+O29*Q29</f>
        <v>0</v>
      </c>
      <c r="S29" s="151">
        <f>+P29*Q29</f>
        <v>0</v>
      </c>
    </row>
    <row r="30" spans="1:19" ht="13.5" thickBot="1">
      <c r="A30" s="796"/>
      <c r="B30" s="215"/>
      <c r="C30" s="224"/>
      <c r="D30" s="217"/>
      <c r="E30" s="223"/>
      <c r="F30" s="233"/>
      <c r="G30" s="230"/>
      <c r="H30" s="231"/>
      <c r="I30" s="799"/>
      <c r="J30" s="214">
        <f>+'4'!J30</f>
        <v>0</v>
      </c>
      <c r="K30" s="236"/>
      <c r="L30" s="236"/>
      <c r="M30" s="119">
        <f>+K30+'4'!M30+L30</f>
        <v>0</v>
      </c>
    </row>
    <row r="31" spans="1:19" ht="13.5" thickBot="1">
      <c r="A31" s="796"/>
      <c r="B31" s="215"/>
      <c r="C31" s="224"/>
      <c r="D31" s="217"/>
      <c r="E31" s="223"/>
      <c r="F31" s="233"/>
      <c r="G31" s="234"/>
      <c r="H31" s="409"/>
      <c r="I31" s="800"/>
      <c r="J31" s="214">
        <f>+'4'!J31</f>
        <v>0</v>
      </c>
      <c r="K31" s="236"/>
      <c r="L31" s="236"/>
      <c r="M31" s="119">
        <f>+K31+'4'!M31+L31</f>
        <v>0</v>
      </c>
      <c r="Q31" s="151">
        <f>SUM(Q25:Q30)</f>
        <v>480</v>
      </c>
      <c r="R31" s="151">
        <f>SUM(R25:R28)</f>
        <v>648000</v>
      </c>
      <c r="S31" s="151">
        <f>SUM(S25:S28)</f>
        <v>498960</v>
      </c>
    </row>
    <row r="32" spans="1:19" ht="13.5" thickBot="1">
      <c r="A32" s="797"/>
      <c r="B32" s="167" t="s">
        <v>3</v>
      </c>
      <c r="C32" s="101">
        <f>SUM(C25:C31)</f>
        <v>13494</v>
      </c>
      <c r="D32" s="102">
        <f>SUM(D25:D31)</f>
        <v>0</v>
      </c>
      <c r="E32" s="103">
        <f>SUM(E25:E31)</f>
        <v>0</v>
      </c>
      <c r="F32" s="101">
        <f>SUM(F24:F31)</f>
        <v>20</v>
      </c>
      <c r="G32" s="171"/>
      <c r="H32" s="172"/>
      <c r="I32" s="170"/>
      <c r="J32" s="214">
        <f>+'4'!J32</f>
        <v>0</v>
      </c>
      <c r="K32" s="238"/>
      <c r="L32" s="240"/>
      <c r="M32" s="119">
        <v>0</v>
      </c>
      <c r="P32" s="151" t="s">
        <v>424</v>
      </c>
      <c r="Q32" s="151">
        <f>480-Q31</f>
        <v>0</v>
      </c>
      <c r="R32" s="151">
        <f>+R31/Q31</f>
        <v>1350</v>
      </c>
      <c r="S32" s="151">
        <f>+S31/Q31</f>
        <v>1039.5</v>
      </c>
    </row>
    <row r="33" spans="1:17" ht="13.5" thickBot="1">
      <c r="A33" s="173"/>
      <c r="B33" s="174"/>
      <c r="C33" s="105">
        <f>C32/($C$32+$D$32+$E$32)</f>
        <v>1</v>
      </c>
      <c r="D33" s="106">
        <f>D32/($C$32+$D$32+$E$32)</f>
        <v>0</v>
      </c>
      <c r="E33" s="107">
        <f>E32/($C$32+$D$32+$E$32)</f>
        <v>0</v>
      </c>
      <c r="F33" s="108"/>
      <c r="G33" s="175"/>
      <c r="H33" s="176"/>
      <c r="I33" s="177"/>
      <c r="J33" s="123"/>
      <c r="K33" s="124"/>
      <c r="L33" s="213"/>
      <c r="M33" s="121"/>
    </row>
    <row r="34" spans="1:17" ht="13.5" thickBot="1">
      <c r="A34" s="802" t="s">
        <v>69</v>
      </c>
      <c r="B34" s="803"/>
      <c r="C34" s="109">
        <f>C14+C23+C32</f>
        <v>41949</v>
      </c>
      <c r="D34" s="109">
        <f>D14+D23+D32</f>
        <v>0</v>
      </c>
      <c r="E34" s="109">
        <f>E14+E23+E32</f>
        <v>0</v>
      </c>
      <c r="F34" s="110">
        <f>F14+F23+F32</f>
        <v>61</v>
      </c>
      <c r="H34" s="178"/>
      <c r="I34" s="178"/>
      <c r="J34" s="125" t="s">
        <v>29</v>
      </c>
      <c r="K34" s="126">
        <f>SUM(K7:K32)</f>
        <v>41949</v>
      </c>
      <c r="L34" s="212">
        <f>SUM(L7:L32)</f>
        <v>0</v>
      </c>
      <c r="M34" s="122">
        <f>SUM(M7:M32)</f>
        <v>177596</v>
      </c>
      <c r="N34" s="157"/>
    </row>
    <row r="35" spans="1:17" ht="13.5" thickBot="1">
      <c r="A35" s="179"/>
      <c r="B35" s="180"/>
      <c r="C35" s="106">
        <f>C34/($C$34+$D$34+$E$34)</f>
        <v>1</v>
      </c>
      <c r="D35" s="106">
        <f>D34/($C$34+$D$34+$E$34)</f>
        <v>0</v>
      </c>
      <c r="E35" s="111">
        <f>E34/($C$34+$D$34+$E$34)</f>
        <v>0</v>
      </c>
      <c r="K35" s="157"/>
    </row>
    <row r="36" spans="1:17" ht="13.5" thickBot="1">
      <c r="A36" s="178"/>
      <c r="B36" s="178"/>
      <c r="C36" s="157"/>
      <c r="D36" s="157"/>
      <c r="E36" s="157"/>
      <c r="G36" s="157"/>
      <c r="H36" s="181"/>
      <c r="I36" s="164" t="s">
        <v>39</v>
      </c>
      <c r="J36" s="164" t="s">
        <v>40</v>
      </c>
      <c r="K36" s="182"/>
      <c r="N36" s="151" t="s">
        <v>425</v>
      </c>
      <c r="O36" s="151">
        <v>1350</v>
      </c>
      <c r="P36" s="151">
        <v>1039.5</v>
      </c>
      <c r="Q36" s="151">
        <v>780</v>
      </c>
    </row>
    <row r="37" spans="1:17" ht="17.45" customHeight="1" thickBot="1">
      <c r="A37" s="804" t="s">
        <v>70</v>
      </c>
      <c r="B37" s="805"/>
      <c r="C37" s="164" t="s">
        <v>71</v>
      </c>
      <c r="D37" s="183" t="s">
        <v>72</v>
      </c>
      <c r="E37" s="184" t="s">
        <v>73</v>
      </c>
      <c r="F37" s="309"/>
      <c r="G37" s="311"/>
      <c r="H37" s="186" t="s">
        <v>74</v>
      </c>
      <c r="I37" s="241">
        <f>(11.5*780+12*140+13*520)/1440*G42*2.74*1440/1000000</f>
        <v>49.587684300000006</v>
      </c>
      <c r="J37" s="127">
        <f>+I37+'4'!J37</f>
        <v>208.41236806763587</v>
      </c>
      <c r="K37" s="128" t="s">
        <v>75</v>
      </c>
      <c r="N37" s="151" t="s">
        <v>409</v>
      </c>
      <c r="O37" s="151">
        <v>1350</v>
      </c>
      <c r="P37" s="151">
        <v>1039.5</v>
      </c>
      <c r="Q37" s="151">
        <v>140</v>
      </c>
    </row>
    <row r="38" spans="1:17" ht="17.45" customHeight="1">
      <c r="A38" s="806" t="s">
        <v>13</v>
      </c>
      <c r="B38" s="807"/>
      <c r="C38" s="166">
        <f>SUMIF($G$7:$G$31,"Process",$F$7:$F$31)</f>
        <v>56</v>
      </c>
      <c r="D38" s="120">
        <f>C38+'4'!D38</f>
        <v>579</v>
      </c>
      <c r="E38" s="145">
        <f t="shared" ref="E38:E52" si="3">D38/60</f>
        <v>9.65</v>
      </c>
      <c r="F38" s="309">
        <v>1350</v>
      </c>
      <c r="G38" s="309">
        <v>1039.5</v>
      </c>
      <c r="H38" s="187" t="s">
        <v>76</v>
      </c>
      <c r="I38" s="242">
        <f>14.158+13.582+16.443</f>
        <v>44.183000000000007</v>
      </c>
      <c r="J38" s="129">
        <f>+I38+'4'!J38</f>
        <v>187.779</v>
      </c>
      <c r="K38" s="130" t="s">
        <v>75</v>
      </c>
      <c r="N38" s="151" t="s">
        <v>519</v>
      </c>
      <c r="O38" s="151">
        <v>1350</v>
      </c>
      <c r="P38" s="151">
        <v>1039.5</v>
      </c>
      <c r="Q38" s="151">
        <v>520</v>
      </c>
    </row>
    <row r="39" spans="1:17" ht="17.45" customHeight="1">
      <c r="A39" s="793" t="s">
        <v>14</v>
      </c>
      <c r="B39" s="794"/>
      <c r="C39" s="166">
        <f>SUMIF($G$7:$G$31,"Cleaning",$F$7:$F$31)</f>
        <v>0</v>
      </c>
      <c r="D39" s="120">
        <f>C39+'4'!D39</f>
        <v>0</v>
      </c>
      <c r="E39" s="145">
        <f t="shared" si="3"/>
        <v>0</v>
      </c>
      <c r="F39" s="309">
        <v>1350</v>
      </c>
      <c r="G39" s="309">
        <v>1039.5</v>
      </c>
      <c r="H39" s="187" t="s">
        <v>77</v>
      </c>
      <c r="I39" s="144"/>
      <c r="J39" s="131">
        <f>J37/G4</f>
        <v>41.682473613527172</v>
      </c>
      <c r="K39" s="132" t="s">
        <v>75</v>
      </c>
      <c r="M39" s="157"/>
      <c r="Q39" s="151">
        <f>SUM(Q36:Q38)</f>
        <v>1440</v>
      </c>
    </row>
    <row r="40" spans="1:17" ht="17.45" customHeight="1">
      <c r="A40" s="793" t="s">
        <v>78</v>
      </c>
      <c r="B40" s="794"/>
      <c r="C40" s="166">
        <f>SUMIF($G$7:$G$31,"Mechanical",$F$7:$F$31)</f>
        <v>5</v>
      </c>
      <c r="D40" s="120">
        <f>C40+'4'!D40</f>
        <v>5</v>
      </c>
      <c r="E40" s="145">
        <f t="shared" si="3"/>
        <v>8.3333333333333329E-2</v>
      </c>
      <c r="F40" s="309">
        <v>1350</v>
      </c>
      <c r="G40" s="309">
        <v>1039.5</v>
      </c>
      <c r="H40" s="187" t="s">
        <v>79</v>
      </c>
      <c r="I40" s="120">
        <f>(K34+L34)/1000</f>
        <v>41.948999999999998</v>
      </c>
      <c r="J40" s="133">
        <f>+I40+'4'!J40</f>
        <v>177.596</v>
      </c>
      <c r="K40" s="132" t="s">
        <v>75</v>
      </c>
    </row>
    <row r="41" spans="1:17" ht="17.45" customHeight="1">
      <c r="A41" s="793" t="s">
        <v>80</v>
      </c>
      <c r="B41" s="794"/>
      <c r="C41" s="166">
        <f>SUMIF($G$7:$G$31,"Electrical",$F$7:$F$31)</f>
        <v>0</v>
      </c>
      <c r="D41" s="120">
        <f>C41+'4'!D41</f>
        <v>36</v>
      </c>
      <c r="E41" s="145">
        <f t="shared" si="3"/>
        <v>0.6</v>
      </c>
      <c r="F41" s="309"/>
      <c r="G41" s="309"/>
      <c r="H41" s="187" t="s">
        <v>81</v>
      </c>
      <c r="I41" s="144"/>
      <c r="J41" s="131">
        <f>J40/G4</f>
        <v>35.519199999999998</v>
      </c>
      <c r="K41" s="132" t="s">
        <v>75</v>
      </c>
    </row>
    <row r="42" spans="1:17" ht="17.45" customHeight="1">
      <c r="A42" s="793" t="s">
        <v>17</v>
      </c>
      <c r="B42" s="794"/>
      <c r="C42" s="166">
        <f>SUMIF($G$7:$G$31,"Instrument",$F$7:$F$31)</f>
        <v>0</v>
      </c>
      <c r="D42" s="120">
        <f>C42+'4'!D42</f>
        <v>0</v>
      </c>
      <c r="E42" s="145">
        <f t="shared" si="3"/>
        <v>0</v>
      </c>
      <c r="F42" s="185">
        <f>+(F38*480+F39*480+F40*480)/1440</f>
        <v>1350</v>
      </c>
      <c r="G42" s="185">
        <f>+(G38*480+G39*480+G40*480)/1440</f>
        <v>1039.5</v>
      </c>
      <c r="H42" s="187" t="s">
        <v>82</v>
      </c>
      <c r="I42" s="243" t="s">
        <v>459</v>
      </c>
      <c r="J42" s="134"/>
      <c r="K42" s="132" t="s">
        <v>83</v>
      </c>
    </row>
    <row r="43" spans="1:17" ht="17.45" customHeight="1">
      <c r="A43" s="793" t="s">
        <v>84</v>
      </c>
      <c r="B43" s="794"/>
      <c r="C43" s="166">
        <f>SUMIF($G$7:$G$31,"Water",$F$7:$F$31)</f>
        <v>0</v>
      </c>
      <c r="D43" s="120">
        <f>C43+'4'!D43</f>
        <v>0</v>
      </c>
      <c r="E43" s="145">
        <f t="shared" si="3"/>
        <v>0</v>
      </c>
      <c r="F43" s="309"/>
      <c r="G43" s="310"/>
      <c r="H43" s="188" t="s">
        <v>85</v>
      </c>
      <c r="I43" s="120">
        <f>+Report1!Z13</f>
        <v>87.1</v>
      </c>
      <c r="J43" s="135">
        <f>+I43+'4'!J43</f>
        <v>392.4</v>
      </c>
      <c r="K43" s="132" t="s">
        <v>75</v>
      </c>
      <c r="L43" s="189"/>
    </row>
    <row r="44" spans="1:17" ht="17.45" customHeight="1">
      <c r="A44" s="793" t="s">
        <v>18</v>
      </c>
      <c r="B44" s="794"/>
      <c r="C44" s="166">
        <f>SUMIF($G$7:$G$31,"PLN",$F$7:$F$31)</f>
        <v>0</v>
      </c>
      <c r="D44" s="120">
        <f>C44+'4'!D44</f>
        <v>30</v>
      </c>
      <c r="E44" s="145">
        <f t="shared" si="3"/>
        <v>0.5</v>
      </c>
      <c r="F44" s="309"/>
      <c r="G44" s="310"/>
      <c r="H44" s="188" t="s">
        <v>86</v>
      </c>
      <c r="I44" s="120">
        <f>I43/I38</f>
        <v>1.9713464454654501</v>
      </c>
      <c r="J44" s="136">
        <f>J43/J38</f>
        <v>2.0896905404757722</v>
      </c>
      <c r="K44" s="132" t="s">
        <v>75</v>
      </c>
    </row>
    <row r="45" spans="1:17" ht="17.45" customHeight="1">
      <c r="A45" s="793" t="s">
        <v>19</v>
      </c>
      <c r="B45" s="794"/>
      <c r="C45" s="166">
        <f>SUMIF($G$7:$G$31,"Boiler",$F$7:$F$31)</f>
        <v>0</v>
      </c>
      <c r="D45" s="120">
        <f>C45+'4'!D45</f>
        <v>0</v>
      </c>
      <c r="E45" s="145">
        <f t="shared" si="3"/>
        <v>0</v>
      </c>
      <c r="F45" s="309"/>
      <c r="G45" s="312"/>
      <c r="H45" s="188" t="s">
        <v>87</v>
      </c>
      <c r="I45" s="120">
        <f>I43/I40</f>
        <v>2.0763307826169872</v>
      </c>
      <c r="J45" s="136">
        <f>J43/J40</f>
        <v>2.2095092231807021</v>
      </c>
      <c r="K45" s="132" t="s">
        <v>75</v>
      </c>
    </row>
    <row r="46" spans="1:17" ht="17.45" customHeight="1">
      <c r="A46" s="793" t="s">
        <v>88</v>
      </c>
      <c r="B46" s="794"/>
      <c r="C46" s="166">
        <f>SUMIF($G$7:$G$31,"Gas",$F$7:$F$31)</f>
        <v>0</v>
      </c>
      <c r="D46" s="120">
        <f>C46+'4'!D46</f>
        <v>0</v>
      </c>
      <c r="E46" s="145">
        <f t="shared" si="3"/>
        <v>0</v>
      </c>
      <c r="F46" s="309"/>
      <c r="G46" s="310"/>
      <c r="H46" s="188" t="s">
        <v>89</v>
      </c>
      <c r="I46" s="142">
        <f>+SUMIF(Listrik!X12,"&gt;0")</f>
        <v>42146.729999999952</v>
      </c>
      <c r="J46" s="137">
        <f>+I46+'4'!J46</f>
        <v>190794.0149999992</v>
      </c>
      <c r="K46" s="132" t="s">
        <v>90</v>
      </c>
    </row>
    <row r="47" spans="1:17" ht="17.45" customHeight="1">
      <c r="A47" s="793" t="s">
        <v>91</v>
      </c>
      <c r="B47" s="794"/>
      <c r="C47" s="166">
        <f>SUMIF($G$7:$G$31,"Gas",$F$7:$F$31)</f>
        <v>0</v>
      </c>
      <c r="D47" s="120">
        <f>C47+'4'!D47</f>
        <v>0</v>
      </c>
      <c r="E47" s="145">
        <f t="shared" si="3"/>
        <v>0</v>
      </c>
      <c r="F47" s="309"/>
      <c r="G47" s="310"/>
      <c r="H47" s="188" t="s">
        <v>92</v>
      </c>
      <c r="I47" s="120">
        <f>I46/I38</f>
        <v>953.91281714686522</v>
      </c>
      <c r="J47" s="137">
        <f>J46/J38</f>
        <v>1016.0561883916689</v>
      </c>
      <c r="K47" s="132" t="s">
        <v>25</v>
      </c>
    </row>
    <row r="48" spans="1:17" ht="17.45" customHeight="1">
      <c r="A48" s="793" t="s">
        <v>15</v>
      </c>
      <c r="B48" s="794"/>
      <c r="C48" s="166">
        <f>SUMIF($G$7:$G$31,"Start Up",$F$7:$F$31)</f>
        <v>0</v>
      </c>
      <c r="D48" s="120">
        <f>C48+'4'!D48</f>
        <v>0</v>
      </c>
      <c r="E48" s="145">
        <f t="shared" si="3"/>
        <v>0</v>
      </c>
      <c r="F48" s="309"/>
      <c r="G48" s="310"/>
      <c r="H48" s="188" t="s">
        <v>93</v>
      </c>
      <c r="I48" s="120">
        <f>I46/I40</f>
        <v>1004.7135807766563</v>
      </c>
      <c r="J48" s="137">
        <f>J46/J40</f>
        <v>1074.3148212797539</v>
      </c>
      <c r="K48" s="132" t="s">
        <v>25</v>
      </c>
    </row>
    <row r="49" spans="1:11" ht="17.45" customHeight="1">
      <c r="A49" s="793" t="s">
        <v>21</v>
      </c>
      <c r="B49" s="794"/>
      <c r="C49" s="166">
        <f>SUMIF($G$7:$G$31,"Others",$F$7:$F$31)</f>
        <v>0</v>
      </c>
      <c r="D49" s="120">
        <f>C49+'4'!D49</f>
        <v>441</v>
      </c>
      <c r="E49" s="145">
        <f t="shared" si="3"/>
        <v>7.35</v>
      </c>
      <c r="F49" s="185"/>
      <c r="H49" s="188" t="s">
        <v>279</v>
      </c>
      <c r="I49" s="120">
        <f>+Report1!T13</f>
        <v>3510.7815441831635</v>
      </c>
      <c r="J49" s="137">
        <f>+I49+'4'!J49</f>
        <v>15076.428460233627</v>
      </c>
      <c r="K49" s="132" t="s">
        <v>94</v>
      </c>
    </row>
    <row r="50" spans="1:11" ht="17.45" customHeight="1">
      <c r="A50" s="793" t="s">
        <v>20</v>
      </c>
      <c r="B50" s="794"/>
      <c r="C50" s="166">
        <f>SUMIF($G$7:$G$31,"Steam",$F$7:$F$31)</f>
        <v>0</v>
      </c>
      <c r="D50" s="120">
        <f>C50+'4'!D50</f>
        <v>0</v>
      </c>
      <c r="E50" s="145">
        <f t="shared" si="3"/>
        <v>0</v>
      </c>
      <c r="F50" s="185"/>
      <c r="H50" s="188" t="s">
        <v>95</v>
      </c>
      <c r="I50" s="142">
        <f>I49/I38</f>
        <v>79.460008242608311</v>
      </c>
      <c r="J50" s="135">
        <f>J49/J38</f>
        <v>80.288149687843827</v>
      </c>
      <c r="K50" s="132" t="s">
        <v>94</v>
      </c>
    </row>
    <row r="51" spans="1:11" ht="17.45" customHeight="1">
      <c r="A51" s="810" t="s">
        <v>96</v>
      </c>
      <c r="B51" s="810"/>
      <c r="C51" s="166">
        <f>SUMIF($G$7:$G$31,"Planned shut",$F$7:$F$31)</f>
        <v>0</v>
      </c>
      <c r="D51" s="120">
        <f>C51+'4'!D51</f>
        <v>0</v>
      </c>
      <c r="E51" s="145">
        <f t="shared" si="3"/>
        <v>0</v>
      </c>
      <c r="F51" s="185"/>
      <c r="H51" s="190" t="s">
        <v>97</v>
      </c>
      <c r="I51" s="143">
        <f>I49/I40</f>
        <v>83.691662356269845</v>
      </c>
      <c r="J51" s="138">
        <f>J49/J40</f>
        <v>84.891711864195287</v>
      </c>
      <c r="K51" s="139" t="s">
        <v>94</v>
      </c>
    </row>
    <row r="52" spans="1:11" ht="13.5" thickBot="1">
      <c r="A52" s="811" t="s">
        <v>230</v>
      </c>
      <c r="B52" s="812"/>
      <c r="C52" s="166">
        <f>SUMIF($G$7:$G$31,"Change Grade",$F$7:$F$31)</f>
        <v>0</v>
      </c>
      <c r="D52" s="120">
        <f>C52+'4'!D52</f>
        <v>0</v>
      </c>
      <c r="E52" s="145">
        <f t="shared" si="3"/>
        <v>0</v>
      </c>
      <c r="F52" s="185"/>
      <c r="H52" s="191"/>
      <c r="I52" s="192"/>
      <c r="J52" s="140"/>
      <c r="K52" s="141"/>
    </row>
    <row r="53" spans="1:11">
      <c r="A53" s="806" t="s">
        <v>29</v>
      </c>
      <c r="B53" s="807"/>
      <c r="C53" s="146">
        <f>SUM(C38:C52)</f>
        <v>61</v>
      </c>
      <c r="D53" s="146">
        <f>SUM(D38:D52)</f>
        <v>1091</v>
      </c>
      <c r="E53" s="147">
        <f>SUM(E38:E52)</f>
        <v>18.183333333333334</v>
      </c>
      <c r="F53" s="185"/>
    </row>
    <row r="54" spans="1:11" ht="13.5" thickBot="1">
      <c r="A54" s="808"/>
      <c r="B54" s="809"/>
      <c r="C54" s="148">
        <f>C53/(24*60)</f>
        <v>4.2361111111111113E-2</v>
      </c>
      <c r="D54" s="148">
        <f>D53/(24*60*G4)</f>
        <v>0.15152777777777779</v>
      </c>
      <c r="E54" s="149">
        <f>E53/(G4*24)</f>
        <v>0.15152777777777779</v>
      </c>
      <c r="F54" s="185"/>
    </row>
    <row r="55" spans="1:11">
      <c r="E55" s="193"/>
    </row>
    <row r="56" spans="1:11">
      <c r="A56" s="194" t="s">
        <v>98</v>
      </c>
      <c r="B56" s="195"/>
      <c r="C56" s="196"/>
      <c r="D56" s="196"/>
      <c r="E56" s="196"/>
      <c r="F56" s="197"/>
      <c r="G56" s="196"/>
      <c r="H56" s="198"/>
      <c r="I56" s="199" t="s">
        <v>99</v>
      </c>
      <c r="J56" s="200">
        <f>+D34+'4'!J56</f>
        <v>0</v>
      </c>
      <c r="K56" s="201">
        <f>J56/(J40+J56/1000)/1000</f>
        <v>0</v>
      </c>
    </row>
    <row r="57" spans="1:11">
      <c r="A57" s="176"/>
      <c r="I57" s="199" t="s">
        <v>100</v>
      </c>
      <c r="J57" s="200">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4027777777777778" header="0" footer="0"/>
  <pageSetup paperSize="9" scale="41"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6" zoomScale="80" zoomScaleNormal="80" zoomScaleSheetLayoutView="80" workbookViewId="0">
      <selection activeCell="A7" sqref="A7:A32"/>
    </sheetView>
  </sheetViews>
  <sheetFormatPr defaultRowHeight="12.75"/>
  <cols>
    <col min="1" max="1" width="8" customWidth="1"/>
    <col min="2" max="2" width="7" customWidth="1"/>
    <col min="3" max="3" width="14.85546875" customWidth="1"/>
    <col min="4" max="4" width="12.7109375" customWidth="1"/>
    <col min="5" max="5" width="13.85546875" customWidth="1"/>
    <col min="6" max="6" width="12.140625" customWidth="1"/>
    <col min="7" max="7" width="11.42578125" customWidth="1"/>
    <col min="8" max="8" width="64.85546875" customWidth="1"/>
    <col min="9" max="9" width="14.7109375" customWidth="1"/>
    <col min="10" max="10" width="14.5703125" customWidth="1"/>
    <col min="11" max="11" width="14" customWidth="1"/>
    <col min="12" max="12" width="8.140625" customWidth="1"/>
    <col min="13" max="13" width="15.28515625" customWidth="1"/>
  </cols>
  <sheetData>
    <row r="1" spans="1:27" ht="15.75">
      <c r="A1" s="150"/>
      <c r="B1" s="151"/>
      <c r="C1" s="151"/>
      <c r="D1" s="151"/>
      <c r="E1" s="151"/>
      <c r="F1" s="112"/>
      <c r="G1" s="151"/>
      <c r="H1" s="151"/>
      <c r="I1" s="151"/>
      <c r="J1" s="151"/>
      <c r="K1" s="151"/>
      <c r="L1" s="151"/>
      <c r="M1" s="151"/>
      <c r="V1" s="559"/>
      <c r="W1" s="151"/>
      <c r="X1" s="151"/>
      <c r="Y1" s="151"/>
      <c r="Z1" s="151"/>
      <c r="AA1" s="151"/>
    </row>
    <row r="2" spans="1:27" ht="15.75">
      <c r="A2" s="150" t="s">
        <v>231</v>
      </c>
      <c r="B2" s="151"/>
      <c r="C2" s="151"/>
      <c r="D2" s="151"/>
      <c r="E2" s="151"/>
      <c r="F2" s="112"/>
      <c r="G2" s="151"/>
      <c r="H2" s="151"/>
      <c r="I2" s="151"/>
      <c r="J2" s="151"/>
      <c r="K2" s="151"/>
      <c r="L2" s="151"/>
      <c r="M2" s="151"/>
      <c r="V2" s="522"/>
      <c r="W2" s="523"/>
      <c r="X2" s="523"/>
      <c r="Y2" s="523"/>
      <c r="Z2" s="151"/>
      <c r="AA2" s="151"/>
    </row>
    <row r="3" spans="1:27" ht="15">
      <c r="A3" s="152"/>
      <c r="B3" s="151"/>
      <c r="C3" s="151"/>
      <c r="D3" s="151"/>
      <c r="E3" s="151"/>
      <c r="F3" s="112"/>
      <c r="G3" s="151"/>
      <c r="H3" s="151"/>
      <c r="I3" s="151"/>
      <c r="J3" s="151"/>
      <c r="K3" s="151"/>
      <c r="L3" s="151"/>
      <c r="M3" s="151"/>
      <c r="V3" s="522"/>
      <c r="W3" s="523"/>
      <c r="X3" s="523"/>
      <c r="Y3" s="523"/>
      <c r="Z3" s="151"/>
      <c r="AA3" s="151"/>
    </row>
    <row r="4" spans="1:27" ht="20.25">
      <c r="A4" s="153" t="s">
        <v>4</v>
      </c>
      <c r="B4" s="154"/>
      <c r="C4" s="151"/>
      <c r="D4" s="151"/>
      <c r="E4" s="151"/>
      <c r="F4" s="155" t="s">
        <v>31</v>
      </c>
      <c r="G4" s="156">
        <v>4</v>
      </c>
      <c r="H4" s="156" t="str">
        <f>+'1'!H4</f>
        <v>.07.25</v>
      </c>
      <c r="I4" s="151"/>
      <c r="J4" s="151">
        <f>419+415+436</f>
        <v>1270</v>
      </c>
      <c r="K4" s="151"/>
      <c r="L4" s="151"/>
      <c r="M4" s="151"/>
      <c r="V4" s="362"/>
      <c r="W4" s="362"/>
      <c r="X4" s="362"/>
      <c r="Y4" s="561"/>
      <c r="Z4" s="362"/>
      <c r="AA4" s="362"/>
    </row>
    <row r="5" spans="1:27" ht="13.5" thickBot="1">
      <c r="A5" s="151"/>
      <c r="B5" s="151"/>
      <c r="C5" s="157"/>
      <c r="D5" s="157"/>
      <c r="E5" s="151"/>
      <c r="F5" s="112"/>
      <c r="G5" s="151"/>
      <c r="H5" s="151"/>
      <c r="I5" s="151"/>
      <c r="J5" s="151"/>
      <c r="K5" s="151"/>
      <c r="L5" s="151"/>
      <c r="M5" s="151"/>
      <c r="V5" s="362"/>
      <c r="W5" s="362"/>
      <c r="X5" s="362"/>
      <c r="Y5" s="362"/>
      <c r="Z5" s="561"/>
      <c r="AA5" s="561"/>
    </row>
    <row r="6" spans="1:27" ht="26.25" customHeight="1"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425</v>
      </c>
      <c r="O6" s="151">
        <v>1340</v>
      </c>
      <c r="P6" s="151">
        <f>+O6-O6*0.23</f>
        <v>1031.8</v>
      </c>
      <c r="Q6" s="151">
        <f>60+52</f>
        <v>112</v>
      </c>
      <c r="R6" s="151">
        <f>+O6*Q6</f>
        <v>150080</v>
      </c>
      <c r="S6" s="151">
        <f>+P6*Q6</f>
        <v>115561.59999999999</v>
      </c>
    </row>
    <row r="7" spans="1:27" ht="13.5" customHeight="1" thickBot="1">
      <c r="A7" s="795" t="s">
        <v>506</v>
      </c>
      <c r="B7" s="215" t="s">
        <v>445</v>
      </c>
      <c r="C7" s="216">
        <v>12794</v>
      </c>
      <c r="D7" s="217"/>
      <c r="E7" s="218"/>
      <c r="F7" s="233">
        <v>12</v>
      </c>
      <c r="G7" s="555" t="s">
        <v>13</v>
      </c>
      <c r="H7" s="556" t="s">
        <v>401</v>
      </c>
      <c r="I7" s="798" t="s">
        <v>500</v>
      </c>
      <c r="J7" s="214" t="str">
        <f>+'3'!J7</f>
        <v>F 12 VP OW</v>
      </c>
      <c r="K7" s="235"/>
      <c r="L7" s="239"/>
      <c r="M7" s="119">
        <f>+K7+'3'!M7+L7</f>
        <v>10598</v>
      </c>
      <c r="N7" s="151"/>
      <c r="O7" s="151">
        <v>1050</v>
      </c>
      <c r="P7" s="151">
        <f t="shared" ref="P7:P14" si="0">+O7-O7*0.23</f>
        <v>808.5</v>
      </c>
      <c r="Q7" s="151">
        <f>60-52</f>
        <v>8</v>
      </c>
      <c r="R7" s="151">
        <f>+O7*Q7</f>
        <v>8400</v>
      </c>
      <c r="S7" s="151">
        <f>+P7*Q7</f>
        <v>6468</v>
      </c>
    </row>
    <row r="8" spans="1:27" ht="13.5" thickBot="1">
      <c r="A8" s="796"/>
      <c r="B8" s="215"/>
      <c r="C8" s="216"/>
      <c r="D8" s="217"/>
      <c r="E8" s="219"/>
      <c r="F8" s="229">
        <v>8</v>
      </c>
      <c r="G8" s="557" t="s">
        <v>13</v>
      </c>
      <c r="H8" s="228" t="s">
        <v>462</v>
      </c>
      <c r="I8" s="799"/>
      <c r="J8" s="214" t="str">
        <f>+'3'!J8</f>
        <v>F 11,5 VP OW</v>
      </c>
      <c r="K8" s="236">
        <f>+C34</f>
        <v>42111</v>
      </c>
      <c r="L8" s="236"/>
      <c r="M8" s="119">
        <f>+K8+'3'!M8+L8</f>
        <v>125049</v>
      </c>
      <c r="N8" s="151"/>
      <c r="O8" s="151">
        <v>1100</v>
      </c>
      <c r="P8" s="151">
        <f t="shared" si="0"/>
        <v>847</v>
      </c>
      <c r="Q8" s="151">
        <v>47</v>
      </c>
      <c r="R8" s="151">
        <f>+O8*Q8</f>
        <v>51700</v>
      </c>
      <c r="S8" s="151">
        <f>+P8*Q8</f>
        <v>39809</v>
      </c>
    </row>
    <row r="9" spans="1:27" ht="13.5" thickBot="1">
      <c r="A9" s="796"/>
      <c r="B9" s="215"/>
      <c r="C9" s="216"/>
      <c r="D9" s="217"/>
      <c r="E9" s="220"/>
      <c r="F9" s="229">
        <f>26-20</f>
        <v>6</v>
      </c>
      <c r="G9" s="557" t="s">
        <v>13</v>
      </c>
      <c r="H9" s="231" t="s">
        <v>480</v>
      </c>
      <c r="I9" s="799"/>
      <c r="J9" s="214" t="s">
        <v>410</v>
      </c>
      <c r="K9" s="236"/>
      <c r="L9" s="236"/>
      <c r="M9" s="119">
        <f>+K9+'3'!M9+L9</f>
        <v>0</v>
      </c>
      <c r="N9" s="151"/>
      <c r="O9" s="151">
        <v>1150</v>
      </c>
      <c r="P9" s="151">
        <f t="shared" si="0"/>
        <v>885.5</v>
      </c>
      <c r="Q9">
        <f>60-47+26</f>
        <v>39</v>
      </c>
    </row>
    <row r="10" spans="1:27" ht="77.25" thickBot="1">
      <c r="A10" s="796"/>
      <c r="B10" s="215"/>
      <c r="C10" s="216"/>
      <c r="D10" s="217"/>
      <c r="E10" s="219"/>
      <c r="F10" s="229"/>
      <c r="G10" s="227"/>
      <c r="H10" s="558" t="s">
        <v>472</v>
      </c>
      <c r="I10" s="799"/>
      <c r="J10" s="214"/>
      <c r="K10" s="236"/>
      <c r="L10" s="236"/>
      <c r="M10" s="119">
        <f>+K10+'3'!M10+L10</f>
        <v>0</v>
      </c>
      <c r="N10" s="151"/>
      <c r="O10" s="151">
        <v>1200</v>
      </c>
      <c r="P10" s="151">
        <f t="shared" si="0"/>
        <v>924</v>
      </c>
      <c r="Q10" s="151">
        <f>51-26</f>
        <v>25</v>
      </c>
      <c r="R10" s="151">
        <f>+O10*Q10</f>
        <v>30000</v>
      </c>
      <c r="S10" s="151">
        <f>+P10*Q10</f>
        <v>23100</v>
      </c>
    </row>
    <row r="11" spans="1:27" ht="186.75" customHeight="1" thickBot="1">
      <c r="A11" s="796"/>
      <c r="B11" s="215"/>
      <c r="C11" s="216"/>
      <c r="D11" s="217"/>
      <c r="E11" s="219"/>
      <c r="F11" s="226">
        <v>25</v>
      </c>
      <c r="G11" s="557" t="s">
        <v>80</v>
      </c>
      <c r="H11" s="231" t="s">
        <v>499</v>
      </c>
      <c r="I11" s="799"/>
      <c r="J11" s="214">
        <f>+'3'!J11</f>
        <v>0</v>
      </c>
      <c r="K11" s="236"/>
      <c r="L11" s="236"/>
      <c r="M11" s="119">
        <f>+K11+'3'!M11+L11</f>
        <v>0</v>
      </c>
      <c r="N11" s="151"/>
      <c r="O11" s="151">
        <v>1250</v>
      </c>
      <c r="P11" s="151">
        <f t="shared" si="0"/>
        <v>962.5</v>
      </c>
      <c r="Q11" s="151">
        <f>60-51+59</f>
        <v>68</v>
      </c>
      <c r="R11" s="151">
        <f>+O11*Q11</f>
        <v>85000</v>
      </c>
      <c r="S11" s="151">
        <f>+P11*Q11</f>
        <v>65450</v>
      </c>
    </row>
    <row r="12" spans="1:27" ht="13.5" thickBot="1">
      <c r="A12" s="796"/>
      <c r="B12" s="215"/>
      <c r="C12" s="216"/>
      <c r="D12" s="217"/>
      <c r="E12" s="219"/>
      <c r="F12" s="226"/>
      <c r="G12" s="230"/>
      <c r="H12" s="231"/>
      <c r="I12" s="799"/>
      <c r="J12" s="214">
        <f>+'3'!J12</f>
        <v>0</v>
      </c>
      <c r="K12" s="236"/>
      <c r="L12" s="236"/>
      <c r="M12" s="119">
        <f>+K12+'3'!M12+L12</f>
        <v>0</v>
      </c>
      <c r="N12" s="151"/>
      <c r="O12" s="151">
        <v>1300</v>
      </c>
      <c r="P12" s="151">
        <f t="shared" si="0"/>
        <v>1001</v>
      </c>
      <c r="Q12">
        <f>60-59+120+39</f>
        <v>160</v>
      </c>
      <c r="R12" s="151">
        <f>+O12*Q12</f>
        <v>208000</v>
      </c>
      <c r="S12" s="151">
        <f>+P12*Q12</f>
        <v>160160</v>
      </c>
    </row>
    <row r="13" spans="1:27" ht="13.5" thickBot="1">
      <c r="A13" s="796"/>
      <c r="B13" s="215"/>
      <c r="C13" s="216"/>
      <c r="D13" s="216"/>
      <c r="E13" s="219"/>
      <c r="F13" s="226"/>
      <c r="G13" s="230"/>
      <c r="H13" s="231"/>
      <c r="I13" s="800"/>
      <c r="J13" s="214">
        <f>+'3'!J13</f>
        <v>0</v>
      </c>
      <c r="K13" s="236"/>
      <c r="L13" s="236"/>
      <c r="M13" s="119">
        <f>+K13+'3'!M13+L13</f>
        <v>0</v>
      </c>
      <c r="N13" s="151"/>
      <c r="O13" s="151">
        <v>1330</v>
      </c>
      <c r="P13" s="151">
        <f t="shared" si="0"/>
        <v>1024.0999999999999</v>
      </c>
      <c r="Q13">
        <f>45-39</f>
        <v>6</v>
      </c>
      <c r="R13" s="151">
        <f>+O13*Q13</f>
        <v>7980</v>
      </c>
      <c r="S13" s="151">
        <f>+P13*Q13</f>
        <v>6144.5999999999995</v>
      </c>
    </row>
    <row r="14" spans="1:27" ht="13.5" thickBot="1">
      <c r="A14" s="797"/>
      <c r="B14" s="167" t="s">
        <v>3</v>
      </c>
      <c r="C14" s="101">
        <f>SUM(C7:C13)</f>
        <v>12794</v>
      </c>
      <c r="D14" s="113">
        <f>SUM(D7:D13)</f>
        <v>0</v>
      </c>
      <c r="E14" s="114">
        <f>SUM(E5:E13)</f>
        <v>0</v>
      </c>
      <c r="F14" s="118">
        <f>SUM(F7:F13)</f>
        <v>51</v>
      </c>
      <c r="G14" s="161"/>
      <c r="H14" s="168"/>
      <c r="I14" s="169"/>
      <c r="J14" s="214">
        <f>+'3'!J14</f>
        <v>0</v>
      </c>
      <c r="K14" s="236"/>
      <c r="L14" s="236"/>
      <c r="M14" s="119">
        <f>+K14+'3'!M14+L14</f>
        <v>0</v>
      </c>
      <c r="O14" s="151">
        <v>1350</v>
      </c>
      <c r="P14" s="151">
        <f t="shared" si="0"/>
        <v>1039.5</v>
      </c>
      <c r="Q14">
        <f>60-45</f>
        <v>15</v>
      </c>
      <c r="R14" s="151">
        <f>+O14*Q14</f>
        <v>20250</v>
      </c>
      <c r="S14" s="151">
        <f>+P14*Q14</f>
        <v>15592.5</v>
      </c>
    </row>
    <row r="15" spans="1:27" ht="13.5" customHeight="1" thickBot="1">
      <c r="A15" s="801" t="s">
        <v>470</v>
      </c>
      <c r="B15" s="518"/>
      <c r="C15" s="115">
        <f>C14/($C$23+$D$23+$E$23)</f>
        <v>0.8910711798300599</v>
      </c>
      <c r="D15" s="116">
        <f>D14/($C$23+$D$23+$E$23)</f>
        <v>0</v>
      </c>
      <c r="E15" s="117">
        <f>E14/($C$23+$D$23+$E$23)</f>
        <v>0</v>
      </c>
      <c r="F15" s="233"/>
      <c r="G15" s="555" t="s">
        <v>13</v>
      </c>
      <c r="H15" s="556" t="s">
        <v>461</v>
      </c>
      <c r="I15" s="798" t="s">
        <v>459</v>
      </c>
      <c r="J15" s="214">
        <f>+'3'!J15</f>
        <v>0</v>
      </c>
      <c r="K15" s="236"/>
      <c r="L15" s="236"/>
      <c r="M15" s="119">
        <f>+K15+'3'!M15+L15</f>
        <v>0</v>
      </c>
      <c r="Q15" s="151"/>
      <c r="R15" s="151"/>
      <c r="S15" s="151"/>
    </row>
    <row r="16" spans="1:27" ht="13.5" thickBot="1">
      <c r="A16" s="796"/>
      <c r="B16" s="215" t="s">
        <v>445</v>
      </c>
      <c r="C16" s="516">
        <v>14358</v>
      </c>
      <c r="D16" s="221"/>
      <c r="E16" s="222"/>
      <c r="F16" s="229">
        <v>6</v>
      </c>
      <c r="G16" s="557" t="s">
        <v>13</v>
      </c>
      <c r="H16" s="228" t="s">
        <v>399</v>
      </c>
      <c r="I16" s="799"/>
      <c r="J16" s="214">
        <f>+'3'!J16</f>
        <v>0</v>
      </c>
      <c r="K16" s="227"/>
      <c r="L16" s="227"/>
      <c r="M16" s="119">
        <f>+K16+'3'!M16+L16</f>
        <v>0</v>
      </c>
      <c r="Q16" s="151">
        <f>SUM(Q6:Q15)</f>
        <v>480</v>
      </c>
      <c r="R16" s="151">
        <f>SUM(R6:R15)</f>
        <v>561410</v>
      </c>
      <c r="S16" s="151">
        <f>SUM(S6:S15)</f>
        <v>432285.69999999995</v>
      </c>
    </row>
    <row r="17" spans="1:19" ht="13.5" thickBot="1">
      <c r="A17" s="796"/>
      <c r="B17" s="215"/>
      <c r="C17" s="216"/>
      <c r="D17" s="217"/>
      <c r="E17" s="223"/>
      <c r="F17" s="229">
        <v>6</v>
      </c>
      <c r="G17" s="557" t="s">
        <v>13</v>
      </c>
      <c r="H17" s="231" t="s">
        <v>400</v>
      </c>
      <c r="I17" s="799"/>
      <c r="J17" s="214">
        <f>+'3'!J17</f>
        <v>0</v>
      </c>
      <c r="K17" s="227"/>
      <c r="L17" s="227"/>
      <c r="M17" s="119">
        <f>+K17+'3'!M17+L17</f>
        <v>0</v>
      </c>
      <c r="N17" s="559"/>
      <c r="Q17" s="151"/>
      <c r="R17" s="151">
        <f>+R16/Q16</f>
        <v>1169.6041666666667</v>
      </c>
      <c r="S17" s="151">
        <f>+S16/Q16</f>
        <v>900.59520833333329</v>
      </c>
    </row>
    <row r="18" spans="1:19" ht="51.75" thickBot="1">
      <c r="A18" s="796"/>
      <c r="B18" s="215"/>
      <c r="C18" s="216"/>
      <c r="D18" s="217"/>
      <c r="E18" s="223"/>
      <c r="F18" s="229"/>
      <c r="G18" s="227"/>
      <c r="H18" s="558" t="s">
        <v>497</v>
      </c>
      <c r="I18" s="799"/>
      <c r="J18" s="214">
        <f>+'3'!J18</f>
        <v>0</v>
      </c>
      <c r="K18" s="236"/>
      <c r="L18" s="236"/>
      <c r="M18" s="119">
        <f>+K18+'3'!M18+L18</f>
        <v>0</v>
      </c>
    </row>
    <row r="19" spans="1:19" ht="51.75" thickBot="1">
      <c r="A19" s="796"/>
      <c r="B19" s="215"/>
      <c r="C19" s="216"/>
      <c r="D19" s="217"/>
      <c r="E19" s="220"/>
      <c r="F19" s="232"/>
      <c r="G19" s="230"/>
      <c r="H19" s="231" t="s">
        <v>498</v>
      </c>
      <c r="I19" s="799"/>
      <c r="J19" s="214">
        <f>+'3'!J19</f>
        <v>0</v>
      </c>
      <c r="K19" s="236"/>
      <c r="L19" s="236"/>
      <c r="M19" s="119">
        <f>+K19+'3'!M19+L19</f>
        <v>0</v>
      </c>
    </row>
    <row r="20" spans="1:19" ht="13.5" thickBot="1">
      <c r="A20" s="796"/>
      <c r="B20" s="215"/>
      <c r="C20" s="216"/>
      <c r="D20" s="217"/>
      <c r="E20" s="223"/>
      <c r="F20" s="226"/>
      <c r="G20" s="230"/>
      <c r="H20" s="231"/>
      <c r="I20" s="799"/>
      <c r="J20" s="214">
        <f>+'3'!J20</f>
        <v>0</v>
      </c>
      <c r="K20" s="237"/>
      <c r="L20" s="237"/>
      <c r="M20" s="119">
        <f>+K20+'3'!M20+L20</f>
        <v>0</v>
      </c>
    </row>
    <row r="21" spans="1:19" ht="13.5" thickBot="1">
      <c r="A21" s="796"/>
      <c r="B21" s="215"/>
      <c r="C21" s="216"/>
      <c r="D21" s="217"/>
      <c r="E21" s="223"/>
      <c r="F21" s="229"/>
      <c r="G21" s="230"/>
      <c r="H21" s="231"/>
      <c r="I21" s="799"/>
      <c r="J21" s="214">
        <f>+'3'!J21</f>
        <v>0</v>
      </c>
      <c r="K21" s="236"/>
      <c r="L21" s="236"/>
      <c r="M21" s="119">
        <f>+K21+'3'!M21+L21</f>
        <v>0</v>
      </c>
    </row>
    <row r="22" spans="1:19" ht="13.5" thickBot="1">
      <c r="A22" s="796"/>
      <c r="B22" s="215"/>
      <c r="C22" s="216"/>
      <c r="D22" s="217"/>
      <c r="E22" s="223"/>
      <c r="F22" s="233"/>
      <c r="G22" s="230"/>
      <c r="H22" s="231"/>
      <c r="I22" s="800"/>
      <c r="J22" s="214">
        <f>+'3'!J22</f>
        <v>0</v>
      </c>
      <c r="K22" s="236"/>
      <c r="L22" s="236"/>
      <c r="M22" s="119">
        <f>+K22+'3'!M22+L22</f>
        <v>0</v>
      </c>
    </row>
    <row r="23" spans="1:19" ht="13.5" thickBot="1">
      <c r="A23" s="797"/>
      <c r="B23" s="167" t="s">
        <v>3</v>
      </c>
      <c r="C23" s="101">
        <f>SUM(C16:C22)</f>
        <v>14358</v>
      </c>
      <c r="D23" s="113">
        <f>SUM(D16:D22)</f>
        <v>0</v>
      </c>
      <c r="E23" s="114">
        <f>SUM(E18:E22)</f>
        <v>0</v>
      </c>
      <c r="F23" s="118">
        <f>SUM(F15:F22)</f>
        <v>12</v>
      </c>
      <c r="G23" s="161"/>
      <c r="H23" s="168"/>
      <c r="I23" s="170"/>
      <c r="J23" s="214">
        <f>+'3'!J23</f>
        <v>0</v>
      </c>
      <c r="K23" s="236"/>
      <c r="L23" s="236"/>
      <c r="M23" s="119">
        <f>+K23+'3'!M23+L23</f>
        <v>0</v>
      </c>
    </row>
    <row r="24" spans="1:19" ht="13.5" customHeight="1" thickBot="1">
      <c r="A24" s="801" t="s">
        <v>444</v>
      </c>
      <c r="B24" s="518"/>
      <c r="C24" s="115">
        <f>C23/($C$23+$D$23+$E$23)</f>
        <v>1</v>
      </c>
      <c r="D24" s="116">
        <f>D23/($C$23+$D$23+$E$23)</f>
        <v>0</v>
      </c>
      <c r="E24" s="117">
        <f>E23/($C$23+$D$23+$E$23)</f>
        <v>0</v>
      </c>
      <c r="F24" s="233"/>
      <c r="G24" s="555" t="s">
        <v>13</v>
      </c>
      <c r="H24" s="556" t="s">
        <v>461</v>
      </c>
      <c r="I24" s="798" t="s">
        <v>459</v>
      </c>
      <c r="J24" s="214">
        <f>+'3'!J24</f>
        <v>0</v>
      </c>
      <c r="K24" s="236"/>
      <c r="L24" s="236"/>
      <c r="M24" s="119">
        <f>+K24+'3'!M24+L24</f>
        <v>0</v>
      </c>
    </row>
    <row r="25" spans="1:19" ht="13.5" thickBot="1">
      <c r="A25" s="796"/>
      <c r="B25" s="215" t="s">
        <v>445</v>
      </c>
      <c r="C25" s="224">
        <v>14959</v>
      </c>
      <c r="D25" s="217"/>
      <c r="E25" s="223"/>
      <c r="F25" s="229">
        <v>2</v>
      </c>
      <c r="G25" s="557" t="s">
        <v>13</v>
      </c>
      <c r="H25" s="228" t="s">
        <v>501</v>
      </c>
      <c r="I25" s="799"/>
      <c r="J25" s="214">
        <f>+'3'!J25</f>
        <v>0</v>
      </c>
      <c r="K25" s="236"/>
      <c r="L25" s="236"/>
      <c r="M25" s="119">
        <f>+K25+'3'!M25+L25</f>
        <v>0</v>
      </c>
    </row>
    <row r="26" spans="1:19" ht="13.5" thickBot="1">
      <c r="A26" s="796"/>
      <c r="B26" s="215"/>
      <c r="C26" s="224"/>
      <c r="D26" s="217"/>
      <c r="E26" s="225"/>
      <c r="F26" s="229">
        <v>5</v>
      </c>
      <c r="G26" s="557" t="s">
        <v>13</v>
      </c>
      <c r="H26" s="231" t="s">
        <v>400</v>
      </c>
      <c r="I26" s="799"/>
      <c r="J26" s="214">
        <f>+'3'!J26</f>
        <v>0</v>
      </c>
      <c r="K26" s="236"/>
      <c r="L26" s="236"/>
      <c r="M26" s="119">
        <f>+K26+'3'!M26+L26</f>
        <v>0</v>
      </c>
      <c r="N26" s="559"/>
      <c r="O26" s="560"/>
      <c r="P26" s="560"/>
      <c r="Q26" s="560"/>
    </row>
    <row r="27" spans="1:19" ht="77.25" thickBot="1">
      <c r="A27" s="796"/>
      <c r="B27" s="215"/>
      <c r="C27" s="216"/>
      <c r="D27" s="217"/>
      <c r="E27" s="223"/>
      <c r="F27" s="229"/>
      <c r="G27" s="227"/>
      <c r="H27" s="558" t="s">
        <v>495</v>
      </c>
      <c r="I27" s="799"/>
      <c r="J27" s="214">
        <f>+'3'!J27</f>
        <v>0</v>
      </c>
      <c r="K27" s="236"/>
      <c r="L27" s="236"/>
      <c r="M27" s="119">
        <f>+K27+'3'!M27+L27</f>
        <v>0</v>
      </c>
    </row>
    <row r="28" spans="1:19" ht="96.75" customHeight="1" thickBot="1">
      <c r="A28" s="796"/>
      <c r="B28" s="215"/>
      <c r="C28" s="216"/>
      <c r="D28" s="217"/>
      <c r="E28" s="223"/>
      <c r="F28" s="229"/>
      <c r="G28" s="227"/>
      <c r="H28" s="231" t="s">
        <v>496</v>
      </c>
      <c r="I28" s="799"/>
      <c r="J28" s="214">
        <f>+'3'!J28</f>
        <v>0</v>
      </c>
      <c r="K28" s="236"/>
      <c r="L28" s="236"/>
      <c r="M28" s="119">
        <f>+K28+'3'!M28+L28</f>
        <v>0</v>
      </c>
    </row>
    <row r="29" spans="1:19" ht="13.5" thickBot="1">
      <c r="A29" s="796"/>
      <c r="B29" s="215"/>
      <c r="C29" s="216"/>
      <c r="D29" s="217"/>
      <c r="E29" s="223"/>
      <c r="F29" s="233"/>
      <c r="G29" s="230"/>
      <c r="H29" s="231"/>
      <c r="I29" s="799"/>
      <c r="J29" s="214">
        <f>+'3'!J29</f>
        <v>0</v>
      </c>
      <c r="K29" s="236"/>
      <c r="L29" s="236"/>
      <c r="M29" s="119">
        <f>+K29+'3'!M29+L29</f>
        <v>0</v>
      </c>
    </row>
    <row r="30" spans="1:19" ht="13.5" thickBot="1">
      <c r="A30" s="796"/>
      <c r="B30" s="215"/>
      <c r="C30" s="224"/>
      <c r="D30" s="217"/>
      <c r="E30" s="223"/>
      <c r="F30" s="233"/>
      <c r="G30" s="230"/>
      <c r="H30" s="231"/>
      <c r="I30" s="799"/>
      <c r="J30" s="214">
        <f>+'3'!J30</f>
        <v>0</v>
      </c>
      <c r="K30" s="236"/>
      <c r="L30" s="236"/>
      <c r="M30" s="119">
        <f>+K30+'3'!M30+L30</f>
        <v>0</v>
      </c>
    </row>
    <row r="31" spans="1:19" ht="13.5" thickBot="1">
      <c r="A31" s="796"/>
      <c r="B31" s="215"/>
      <c r="C31" s="224"/>
      <c r="D31" s="217"/>
      <c r="E31" s="223"/>
      <c r="F31" s="233"/>
      <c r="G31" s="234"/>
      <c r="H31" s="409"/>
      <c r="I31" s="800"/>
      <c r="J31" s="214">
        <f>+'3'!J31</f>
        <v>0</v>
      </c>
      <c r="K31" s="236"/>
      <c r="L31" s="236"/>
      <c r="M31" s="119">
        <f>+K31+'3'!M31+L31</f>
        <v>0</v>
      </c>
    </row>
    <row r="32" spans="1:19" ht="13.5" thickBot="1">
      <c r="A32" s="797"/>
      <c r="B32" s="167" t="s">
        <v>3</v>
      </c>
      <c r="C32" s="101">
        <f>SUM(C25:C31)</f>
        <v>14959</v>
      </c>
      <c r="D32" s="102">
        <f>SUM(D25:D31)</f>
        <v>0</v>
      </c>
      <c r="E32" s="103">
        <f>SUM(E25:E31)</f>
        <v>0</v>
      </c>
      <c r="F32" s="101">
        <f>SUM(F24:F31)</f>
        <v>7</v>
      </c>
      <c r="G32" s="171"/>
      <c r="H32" s="172"/>
      <c r="I32" s="170"/>
      <c r="J32" s="214">
        <f>+'3'!J32</f>
        <v>0</v>
      </c>
      <c r="K32" s="238"/>
      <c r="L32" s="240"/>
      <c r="M32" s="119">
        <f>+K32+'3'!M32+L32</f>
        <v>0</v>
      </c>
    </row>
    <row r="33" spans="1:13" ht="13.5" thickBot="1">
      <c r="A33" s="173"/>
      <c r="B33" s="174"/>
      <c r="C33" s="105">
        <f>C32/($C$32+$D$32+$E$32)</f>
        <v>1</v>
      </c>
      <c r="D33" s="106">
        <f>D32/($C$32+$D$32+$E$32)</f>
        <v>0</v>
      </c>
      <c r="E33" s="107">
        <f>E32/($C$32+$D$32+$E$32)</f>
        <v>0</v>
      </c>
      <c r="F33" s="108"/>
      <c r="G33" s="175"/>
      <c r="H33" s="176"/>
      <c r="I33" s="177"/>
      <c r="J33" s="123"/>
      <c r="K33" s="124"/>
      <c r="L33" s="213"/>
      <c r="M33" s="121"/>
    </row>
    <row r="34" spans="1:13" ht="13.5" thickBot="1">
      <c r="A34" s="802" t="s">
        <v>69</v>
      </c>
      <c r="B34" s="803"/>
      <c r="C34" s="109">
        <f>C14+C23+C32</f>
        <v>42111</v>
      </c>
      <c r="D34" s="109">
        <f>D14+D23+D32</f>
        <v>0</v>
      </c>
      <c r="E34" s="109">
        <f>E14+E23+E32</f>
        <v>0</v>
      </c>
      <c r="F34" s="110">
        <f>F14+F23+F32</f>
        <v>70</v>
      </c>
      <c r="G34" s="151"/>
      <c r="H34" s="178"/>
      <c r="I34" s="178"/>
      <c r="J34" s="125" t="s">
        <v>29</v>
      </c>
      <c r="K34" s="126">
        <f>SUM(K7:K32)</f>
        <v>42111</v>
      </c>
      <c r="L34" s="212">
        <f>SUM(L7:L32)</f>
        <v>0</v>
      </c>
      <c r="M34" s="122">
        <f>SUM(M7:M32)</f>
        <v>135647</v>
      </c>
    </row>
    <row r="35" spans="1:13" ht="13.5" thickBot="1">
      <c r="A35" s="179"/>
      <c r="B35" s="180"/>
      <c r="C35" s="106">
        <f>C34/($C$34+$D$34+$E$34)</f>
        <v>1</v>
      </c>
      <c r="D35" s="106">
        <f>D34/($C$34+$D$34+$E$34)</f>
        <v>0</v>
      </c>
      <c r="E35" s="111">
        <f>E34/($C$34+$D$34+$E$34)</f>
        <v>0</v>
      </c>
      <c r="F35" s="112"/>
      <c r="G35" s="151"/>
      <c r="H35" s="151"/>
      <c r="I35" s="151"/>
      <c r="J35" s="151"/>
      <c r="K35" s="157"/>
      <c r="L35" s="151"/>
      <c r="M35" s="151"/>
    </row>
    <row r="36" spans="1:13" ht="13.5" thickBot="1">
      <c r="A36" s="178"/>
      <c r="B36" s="178"/>
      <c r="C36" s="157"/>
      <c r="D36" s="157"/>
      <c r="E36" s="157"/>
      <c r="F36" s="112"/>
      <c r="G36" s="157"/>
      <c r="H36" s="181"/>
      <c r="I36" s="164" t="s">
        <v>39</v>
      </c>
      <c r="J36" s="164" t="s">
        <v>40</v>
      </c>
      <c r="K36" s="182"/>
      <c r="L36" s="151"/>
      <c r="M36" s="151"/>
    </row>
    <row r="37" spans="1:13" ht="17.25" customHeight="1" thickBot="1">
      <c r="A37" s="804" t="s">
        <v>70</v>
      </c>
      <c r="B37" s="805"/>
      <c r="C37" s="164" t="s">
        <v>71</v>
      </c>
      <c r="D37" s="183" t="s">
        <v>72</v>
      </c>
      <c r="E37" s="184" t="s">
        <v>73</v>
      </c>
      <c r="F37" s="309"/>
      <c r="G37" s="311"/>
      <c r="H37" s="186" t="s">
        <v>74</v>
      </c>
      <c r="I37" s="241">
        <f>(11.5*1440)/1440*G42*2.74*1440/1000000</f>
        <v>45.065781607000005</v>
      </c>
      <c r="J37" s="127">
        <f>+I37+'3'!J37</f>
        <v>158.82468376763586</v>
      </c>
      <c r="K37" s="128" t="s">
        <v>75</v>
      </c>
      <c r="L37" s="151"/>
      <c r="M37" s="151"/>
    </row>
    <row r="38" spans="1:13" ht="16.5" customHeight="1">
      <c r="A38" s="806" t="s">
        <v>13</v>
      </c>
      <c r="B38" s="807"/>
      <c r="C38" s="166">
        <f>SUMIF($G$7:$G$31,"Process",$F$7:$F$31)</f>
        <v>45</v>
      </c>
      <c r="D38" s="120">
        <f>C38+'3'!D38</f>
        <v>523</v>
      </c>
      <c r="E38" s="145">
        <f t="shared" ref="E38:E52" si="1">D38/60</f>
        <v>8.7166666666666668</v>
      </c>
      <c r="F38" s="309">
        <v>1169.6041666666667</v>
      </c>
      <c r="G38" s="309">
        <v>900.59520833333329</v>
      </c>
      <c r="H38" s="187" t="s">
        <v>76</v>
      </c>
      <c r="I38" s="242">
        <f>12.317+14.898+14.943</f>
        <v>42.158000000000001</v>
      </c>
      <c r="J38" s="129">
        <f>+I38+'3'!J38</f>
        <v>143.596</v>
      </c>
      <c r="K38" s="130" t="s">
        <v>75</v>
      </c>
      <c r="L38" s="151"/>
      <c r="M38" s="151"/>
    </row>
    <row r="39" spans="1:13" ht="16.5" customHeight="1">
      <c r="A39" s="793" t="s">
        <v>14</v>
      </c>
      <c r="B39" s="794"/>
      <c r="C39" s="166">
        <f>SUMIF($G$7:$G$31,"Cleaning",$F$7:$F$31)</f>
        <v>0</v>
      </c>
      <c r="D39" s="120">
        <f>C39+'3'!D39</f>
        <v>0</v>
      </c>
      <c r="E39" s="145">
        <f t="shared" si="1"/>
        <v>0</v>
      </c>
      <c r="F39" s="309">
        <v>1350</v>
      </c>
      <c r="G39" s="309">
        <v>1039.5</v>
      </c>
      <c r="H39" s="187" t="s">
        <v>77</v>
      </c>
      <c r="I39" s="144"/>
      <c r="J39" s="131">
        <f>J37/G4</f>
        <v>39.706170941908965</v>
      </c>
      <c r="K39" s="132" t="s">
        <v>75</v>
      </c>
      <c r="L39" s="151"/>
      <c r="M39" s="151"/>
    </row>
    <row r="40" spans="1:13" ht="16.5" customHeight="1">
      <c r="A40" s="793" t="s">
        <v>78</v>
      </c>
      <c r="B40" s="794"/>
      <c r="C40" s="166">
        <f>SUMIF($G$7:$G$31,"Mechanical",$F$7:$F$31)</f>
        <v>0</v>
      </c>
      <c r="D40" s="120">
        <f>C40+'3'!D40</f>
        <v>0</v>
      </c>
      <c r="E40" s="145">
        <f t="shared" si="1"/>
        <v>0</v>
      </c>
      <c r="F40" s="309">
        <v>1350</v>
      </c>
      <c r="G40" s="309">
        <v>1039.5</v>
      </c>
      <c r="H40" s="187" t="s">
        <v>79</v>
      </c>
      <c r="I40" s="120">
        <f>(K34+L34)/1000</f>
        <v>42.110999999999997</v>
      </c>
      <c r="J40" s="133">
        <f>+I40+'3'!J40</f>
        <v>135.64699999999999</v>
      </c>
      <c r="K40" s="132" t="s">
        <v>75</v>
      </c>
      <c r="L40" s="151"/>
      <c r="M40" s="151"/>
    </row>
    <row r="41" spans="1:13" ht="16.5" customHeight="1">
      <c r="A41" s="793" t="s">
        <v>80</v>
      </c>
      <c r="B41" s="794"/>
      <c r="C41" s="166">
        <f>SUMIF($G$7:$G$31,"Electrical",$F$7:$F$31)</f>
        <v>25</v>
      </c>
      <c r="D41" s="120">
        <f>C41+'3'!D41</f>
        <v>36</v>
      </c>
      <c r="E41" s="145">
        <f t="shared" si="1"/>
        <v>0.6</v>
      </c>
      <c r="F41" s="309"/>
      <c r="G41" s="309"/>
      <c r="H41" s="187" t="s">
        <v>81</v>
      </c>
      <c r="I41" s="144"/>
      <c r="J41" s="131">
        <f>J40/G4</f>
        <v>33.911749999999998</v>
      </c>
      <c r="K41" s="132" t="s">
        <v>75</v>
      </c>
      <c r="L41" s="151"/>
      <c r="M41" s="157"/>
    </row>
    <row r="42" spans="1:13" ht="16.5" customHeight="1">
      <c r="A42" s="793" t="s">
        <v>17</v>
      </c>
      <c r="B42" s="794"/>
      <c r="C42" s="166">
        <f>SUMIF($G$7:$G$31,"Instrument",$F$7:$F$31)</f>
        <v>0</v>
      </c>
      <c r="D42" s="120">
        <f>C42+'3'!D42</f>
        <v>0</v>
      </c>
      <c r="E42" s="145">
        <f t="shared" si="1"/>
        <v>0</v>
      </c>
      <c r="F42" s="185">
        <f>+(F38*480+F39*480+F40*480)/1440</f>
        <v>1289.8680555555557</v>
      </c>
      <c r="G42" s="185">
        <f>+(G38*480+G39*480+G40*480)/1440</f>
        <v>993.1984027777778</v>
      </c>
      <c r="H42" s="187" t="s">
        <v>82</v>
      </c>
      <c r="I42" s="243" t="s">
        <v>502</v>
      </c>
      <c r="J42" s="134"/>
      <c r="K42" s="132" t="s">
        <v>83</v>
      </c>
      <c r="L42" s="151"/>
      <c r="M42" s="151"/>
    </row>
    <row r="43" spans="1:13" ht="16.5" customHeight="1">
      <c r="A43" s="793" t="s">
        <v>84</v>
      </c>
      <c r="B43" s="794"/>
      <c r="C43" s="166">
        <f>SUMIF($G$7:$G$31,"Water",$F$7:$F$31)</f>
        <v>0</v>
      </c>
      <c r="D43" s="120">
        <f>C43+'3'!D43</f>
        <v>0</v>
      </c>
      <c r="E43" s="145">
        <f t="shared" si="1"/>
        <v>0</v>
      </c>
      <c r="F43" s="309"/>
      <c r="G43" s="310"/>
      <c r="H43" s="188" t="s">
        <v>85</v>
      </c>
      <c r="I43" s="120">
        <f>+Report1!Z11</f>
        <v>85.7</v>
      </c>
      <c r="J43" s="135">
        <f>+I43+'3'!J43</f>
        <v>305.3</v>
      </c>
      <c r="K43" s="132" t="s">
        <v>75</v>
      </c>
      <c r="L43" s="189"/>
      <c r="M43" s="151"/>
    </row>
    <row r="44" spans="1:13" ht="16.5" customHeight="1">
      <c r="A44" s="793" t="s">
        <v>18</v>
      </c>
      <c r="B44" s="794"/>
      <c r="C44" s="166">
        <f>SUMIF($G$7:$G$31,"PLN",$F$7:$F$31)</f>
        <v>0</v>
      </c>
      <c r="D44" s="120">
        <f>C44+'3'!D44</f>
        <v>30</v>
      </c>
      <c r="E44" s="145">
        <f t="shared" si="1"/>
        <v>0.5</v>
      </c>
      <c r="F44" s="309"/>
      <c r="G44" s="310"/>
      <c r="H44" s="188" t="s">
        <v>86</v>
      </c>
      <c r="I44" s="120">
        <f>I43/I38</f>
        <v>2.0328288818255134</v>
      </c>
      <c r="J44" s="136">
        <f>J43/J38</f>
        <v>2.1261037911919551</v>
      </c>
      <c r="K44" s="132" t="s">
        <v>75</v>
      </c>
      <c r="L44" s="151"/>
      <c r="M44" s="151"/>
    </row>
    <row r="45" spans="1:13" ht="16.5" customHeight="1">
      <c r="A45" s="793" t="s">
        <v>19</v>
      </c>
      <c r="B45" s="794"/>
      <c r="C45" s="166">
        <f>SUMIF($G$7:$G$31,"Boiler",$F$7:$F$31)</f>
        <v>0</v>
      </c>
      <c r="D45" s="120">
        <f>C45+'3'!D45</f>
        <v>0</v>
      </c>
      <c r="E45" s="145">
        <f t="shared" si="1"/>
        <v>0</v>
      </c>
      <c r="F45" s="309"/>
      <c r="G45" s="312"/>
      <c r="H45" s="188" t="s">
        <v>87</v>
      </c>
      <c r="I45" s="120">
        <f>I43/I40</f>
        <v>2.0350977179359315</v>
      </c>
      <c r="J45" s="136">
        <f>J43/J40</f>
        <v>2.2506948181677444</v>
      </c>
      <c r="K45" s="132" t="s">
        <v>75</v>
      </c>
      <c r="L45" s="151"/>
      <c r="M45" s="151"/>
    </row>
    <row r="46" spans="1:13" ht="16.5" customHeight="1">
      <c r="A46" s="793" t="s">
        <v>88</v>
      </c>
      <c r="B46" s="794"/>
      <c r="C46" s="166">
        <f>SUMIF($G$7:$G$31,"Gas",$F$7:$F$31)</f>
        <v>0</v>
      </c>
      <c r="D46" s="120">
        <f>C46+'3'!D46</f>
        <v>0</v>
      </c>
      <c r="E46" s="145">
        <f t="shared" si="1"/>
        <v>0</v>
      </c>
      <c r="F46" s="309"/>
      <c r="G46" s="310"/>
      <c r="H46" s="188" t="s">
        <v>89</v>
      </c>
      <c r="I46" s="142">
        <f>+SUMIF(Listrik!X11,"&gt;0")</f>
        <v>42853.175000000716</v>
      </c>
      <c r="J46" s="137">
        <f>+I46+'3'!J46</f>
        <v>148647.28499999925</v>
      </c>
      <c r="K46" s="132" t="s">
        <v>90</v>
      </c>
      <c r="L46" s="151"/>
      <c r="M46" s="151"/>
    </row>
    <row r="47" spans="1:13" ht="16.5" customHeight="1">
      <c r="A47" s="793" t="s">
        <v>91</v>
      </c>
      <c r="B47" s="794"/>
      <c r="C47" s="166">
        <f>SUMIF($G$7:$G$31,"Gas",$F$7:$F$31)</f>
        <v>0</v>
      </c>
      <c r="D47" s="120">
        <f>C47+'3'!D47</f>
        <v>0</v>
      </c>
      <c r="E47" s="145">
        <f t="shared" si="1"/>
        <v>0</v>
      </c>
      <c r="F47" s="309"/>
      <c r="G47" s="310"/>
      <c r="H47" s="188" t="s">
        <v>92</v>
      </c>
      <c r="I47" s="120">
        <f>I46/I38</f>
        <v>1016.4897528345916</v>
      </c>
      <c r="J47" s="137">
        <f>J46/J38</f>
        <v>1035.1770592495559</v>
      </c>
      <c r="K47" s="132" t="s">
        <v>25</v>
      </c>
      <c r="L47" s="151"/>
      <c r="M47" s="151"/>
    </row>
    <row r="48" spans="1:13" ht="16.5" customHeight="1">
      <c r="A48" s="793" t="s">
        <v>15</v>
      </c>
      <c r="B48" s="794"/>
      <c r="C48" s="166">
        <f>SUMIF($G$7:$G$31,"Start Up",$F$7:$F$31)</f>
        <v>0</v>
      </c>
      <c r="D48" s="120">
        <f>C48+'3'!D48</f>
        <v>0</v>
      </c>
      <c r="E48" s="145">
        <f t="shared" si="1"/>
        <v>0</v>
      </c>
      <c r="F48" s="309"/>
      <c r="G48" s="310"/>
      <c r="H48" s="188" t="s">
        <v>93</v>
      </c>
      <c r="I48" s="120">
        <f>I46/I40</f>
        <v>1017.6242549452808</v>
      </c>
      <c r="J48" s="137">
        <f>J46/J40</f>
        <v>1095.8390896960439</v>
      </c>
      <c r="K48" s="132" t="s">
        <v>25</v>
      </c>
      <c r="L48" s="151"/>
      <c r="M48" s="151"/>
    </row>
    <row r="49" spans="1:13" ht="16.5" customHeight="1">
      <c r="A49" s="793" t="s">
        <v>21</v>
      </c>
      <c r="B49" s="794"/>
      <c r="C49" s="166">
        <f>SUMIF($G$7:$G$31,"Others",$F$7:$F$31)</f>
        <v>0</v>
      </c>
      <c r="D49" s="120">
        <f>C49+'3'!D49</f>
        <v>441</v>
      </c>
      <c r="E49" s="145">
        <f t="shared" si="1"/>
        <v>7.35</v>
      </c>
      <c r="F49" s="185"/>
      <c r="G49" s="151"/>
      <c r="H49" s="188" t="s">
        <v>279</v>
      </c>
      <c r="I49" s="120">
        <f>+Report1!T11</f>
        <v>3197.2643498361881</v>
      </c>
      <c r="J49" s="137">
        <f>+I49+'3'!J49</f>
        <v>11565.646916050462</v>
      </c>
      <c r="K49" s="132" t="s">
        <v>94</v>
      </c>
      <c r="L49" s="151"/>
      <c r="M49" s="151"/>
    </row>
    <row r="50" spans="1:13" ht="16.5" customHeight="1">
      <c r="A50" s="793" t="s">
        <v>20</v>
      </c>
      <c r="B50" s="794"/>
      <c r="C50" s="166">
        <f>SUMIF($G$7:$G$31,"Steam",$F$7:$F$31)</f>
        <v>0</v>
      </c>
      <c r="D50" s="120">
        <f>C50+'3'!D50</f>
        <v>0</v>
      </c>
      <c r="E50" s="145">
        <f t="shared" si="1"/>
        <v>0</v>
      </c>
      <c r="F50" s="185"/>
      <c r="G50" s="151"/>
      <c r="H50" s="188" t="s">
        <v>95</v>
      </c>
      <c r="I50" s="142">
        <f>I49/I38</f>
        <v>75.840038660187574</v>
      </c>
      <c r="J50" s="135">
        <f>J49/J38</f>
        <v>80.542960222084616</v>
      </c>
      <c r="K50" s="132" t="s">
        <v>94</v>
      </c>
      <c r="L50" s="151"/>
      <c r="M50" s="151"/>
    </row>
    <row r="51" spans="1:13" ht="16.5" customHeight="1">
      <c r="A51" s="810" t="s">
        <v>96</v>
      </c>
      <c r="B51" s="810"/>
      <c r="C51" s="166">
        <f>SUMIF($G$7:$G$31,"Planned shut",$F$7:$F$31)</f>
        <v>0</v>
      </c>
      <c r="D51" s="120">
        <f>C51+'3'!D51</f>
        <v>0</v>
      </c>
      <c r="E51" s="145">
        <f t="shared" si="1"/>
        <v>0</v>
      </c>
      <c r="F51" s="185"/>
      <c r="G51" s="151"/>
      <c r="H51" s="190" t="s">
        <v>97</v>
      </c>
      <c r="I51" s="143">
        <f>I49/I40</f>
        <v>75.924683570472993</v>
      </c>
      <c r="J51" s="138">
        <f>J49/J40</f>
        <v>85.262828636464221</v>
      </c>
      <c r="K51" s="139" t="s">
        <v>94</v>
      </c>
      <c r="L51" s="151"/>
      <c r="M51" s="151"/>
    </row>
    <row r="52" spans="1:13" ht="17.25" customHeight="1" thickBot="1">
      <c r="A52" s="811" t="s">
        <v>230</v>
      </c>
      <c r="B52" s="812"/>
      <c r="C52" s="166">
        <f>SUMIF($G$7:$G$31,"Change Grade",$F$7:$F$31)</f>
        <v>0</v>
      </c>
      <c r="D52" s="120">
        <f>C52+'3'!D52</f>
        <v>0</v>
      </c>
      <c r="E52" s="145">
        <f t="shared" si="1"/>
        <v>0</v>
      </c>
      <c r="F52" s="185"/>
      <c r="G52" s="151"/>
      <c r="H52" s="191"/>
      <c r="I52" s="192"/>
      <c r="J52" s="140"/>
      <c r="K52" s="141"/>
      <c r="L52" s="151"/>
      <c r="M52" s="151"/>
    </row>
    <row r="53" spans="1:13">
      <c r="A53" s="806" t="s">
        <v>29</v>
      </c>
      <c r="B53" s="807"/>
      <c r="C53" s="146">
        <f>SUM(C38:C52)</f>
        <v>70</v>
      </c>
      <c r="D53" s="146">
        <f>SUM(D38:D52)</f>
        <v>1030</v>
      </c>
      <c r="E53" s="147">
        <f>SUM(E38:E52)</f>
        <v>17.166666666666664</v>
      </c>
      <c r="F53" s="185"/>
      <c r="G53" s="151"/>
      <c r="H53" s="151"/>
      <c r="I53" s="151"/>
      <c r="J53" s="151"/>
      <c r="K53" s="151"/>
      <c r="L53" s="151"/>
      <c r="M53" s="151"/>
    </row>
    <row r="54" spans="1:13" ht="13.5" thickBot="1">
      <c r="A54" s="808"/>
      <c r="B54" s="809"/>
      <c r="C54" s="148">
        <f>C53/(24*60)</f>
        <v>4.8611111111111112E-2</v>
      </c>
      <c r="D54" s="148">
        <f>D53/(24*60*G4)</f>
        <v>0.17881944444444445</v>
      </c>
      <c r="E54" s="149">
        <f>E53/(G4*24)</f>
        <v>0.17881944444444442</v>
      </c>
      <c r="F54" s="185"/>
      <c r="G54" s="151"/>
      <c r="H54" s="151"/>
      <c r="I54" s="151"/>
      <c r="J54" s="151"/>
      <c r="K54" s="151"/>
      <c r="L54" s="151"/>
      <c r="M54" s="151"/>
    </row>
    <row r="55" spans="1:13">
      <c r="A55" s="151"/>
      <c r="B55" s="151"/>
      <c r="C55" s="151"/>
      <c r="D55" s="151"/>
      <c r="E55" s="193"/>
      <c r="F55" s="112"/>
      <c r="G55" s="151"/>
      <c r="H55" s="151"/>
      <c r="I55" s="151"/>
      <c r="J55" s="151"/>
      <c r="K55" s="151"/>
      <c r="L55" s="151"/>
      <c r="M55" s="151"/>
    </row>
    <row r="56" spans="1:13">
      <c r="A56" s="194" t="s">
        <v>98</v>
      </c>
      <c r="B56" s="195"/>
      <c r="C56" s="196"/>
      <c r="D56" s="196"/>
      <c r="E56" s="196"/>
      <c r="F56" s="197"/>
      <c r="G56" s="196"/>
      <c r="H56" s="198"/>
      <c r="I56" s="199" t="s">
        <v>99</v>
      </c>
      <c r="J56" s="200">
        <f>+D34+'3'!J56</f>
        <v>0</v>
      </c>
      <c r="K56" s="201">
        <f>J56/(J40+J56/1000)/1000</f>
        <v>0</v>
      </c>
      <c r="L56" s="151"/>
      <c r="M56" s="151"/>
    </row>
    <row r="57" spans="1:13">
      <c r="A57" s="176"/>
      <c r="B57" s="151"/>
      <c r="C57" s="151"/>
      <c r="D57" s="151"/>
      <c r="E57" s="151"/>
      <c r="F57" s="112"/>
      <c r="G57" s="151"/>
      <c r="H57" s="151"/>
      <c r="I57" s="199" t="s">
        <v>100</v>
      </c>
      <c r="J57" s="200">
        <f>+E34+'3'!J57</f>
        <v>0</v>
      </c>
      <c r="K57" s="201">
        <f>J57/(J40+J57/1000)/1000</f>
        <v>0</v>
      </c>
      <c r="L57" s="151"/>
      <c r="M57" s="151"/>
    </row>
    <row r="58" spans="1:13">
      <c r="A58" s="202"/>
      <c r="B58" s="203"/>
      <c r="C58" s="151"/>
      <c r="D58" s="151"/>
      <c r="E58" s="151"/>
      <c r="F58" s="185"/>
      <c r="G58" s="151"/>
      <c r="H58" s="204"/>
      <c r="I58" s="151"/>
      <c r="J58" s="151"/>
      <c r="K58" s="151"/>
      <c r="L58" s="151"/>
      <c r="M58" s="151"/>
    </row>
    <row r="59" spans="1:13">
      <c r="A59" s="205"/>
      <c r="B59" s="176"/>
      <c r="C59" s="176"/>
      <c r="D59" s="176"/>
      <c r="E59" s="176"/>
      <c r="F59" s="189"/>
      <c r="G59" s="176"/>
      <c r="H59" s="204"/>
      <c r="I59" s="151"/>
      <c r="J59" s="151"/>
      <c r="K59" s="151"/>
      <c r="L59" s="151"/>
      <c r="M59" s="151"/>
    </row>
    <row r="60" spans="1:13">
      <c r="A60" s="151"/>
      <c r="B60" s="151"/>
      <c r="C60" s="151"/>
      <c r="D60" s="151"/>
      <c r="E60" s="151"/>
      <c r="F60" s="112"/>
      <c r="G60" s="151"/>
      <c r="H60" s="204"/>
      <c r="I60" s="151"/>
      <c r="J60" s="151"/>
      <c r="K60" s="151"/>
      <c r="L60" s="151"/>
      <c r="M60" s="151"/>
    </row>
    <row r="61" spans="1:13">
      <c r="A61" s="206"/>
      <c r="B61" s="207"/>
      <c r="C61" s="207"/>
      <c r="D61" s="207"/>
      <c r="E61" s="207"/>
      <c r="F61" s="208"/>
      <c r="G61" s="207"/>
      <c r="H61" s="209"/>
      <c r="I61" s="151"/>
      <c r="J61" s="151"/>
      <c r="K61" s="151"/>
      <c r="L61" s="151"/>
      <c r="M61" s="151"/>
    </row>
  </sheetData>
  <mergeCells count="25">
    <mergeCell ref="A7:A14"/>
    <mergeCell ref="I7:I13"/>
    <mergeCell ref="A15:A23"/>
    <mergeCell ref="I15:I22"/>
    <mergeCell ref="A24:A32"/>
    <mergeCell ref="I24:I31"/>
    <mergeCell ref="A47:B47"/>
    <mergeCell ref="A34:B34"/>
    <mergeCell ref="A37:B37"/>
    <mergeCell ref="A38:B38"/>
    <mergeCell ref="A39:B39"/>
    <mergeCell ref="A40:B40"/>
    <mergeCell ref="A41:B41"/>
    <mergeCell ref="A42:B42"/>
    <mergeCell ref="A43:B43"/>
    <mergeCell ref="A44:B44"/>
    <mergeCell ref="A45:B45"/>
    <mergeCell ref="A46:B46"/>
    <mergeCell ref="A54:B54"/>
    <mergeCell ref="A48:B48"/>
    <mergeCell ref="A49:B49"/>
    <mergeCell ref="A50:B50"/>
    <mergeCell ref="A51:B51"/>
    <mergeCell ref="A52:B52"/>
    <mergeCell ref="A53:B53"/>
  </mergeCells>
  <pageMargins left="0.7" right="0.7" top="0.75" bottom="0.75" header="0.3" footer="0.3"/>
  <pageSetup scale="43" orientation="portrait" horizontalDpi="4294967293" verticalDpi="36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13" zoomScale="80" zoomScaleNormal="75" zoomScaleSheetLayoutView="80" workbookViewId="0">
      <selection activeCell="H24" sqref="H24"/>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3.7109375" style="151" bestFit="1" customWidth="1"/>
    <col min="12" max="12" width="8.28515625" style="151" customWidth="1"/>
    <col min="13" max="13" width="14.5703125" style="151" bestFit="1" customWidth="1"/>
    <col min="14" max="16384" width="9.140625" style="151"/>
  </cols>
  <sheetData>
    <row r="1" spans="1:19" ht="15.75">
      <c r="A1" s="150"/>
    </row>
    <row r="2" spans="1:19" ht="15.75">
      <c r="A2" s="150" t="s">
        <v>231</v>
      </c>
    </row>
    <row r="3" spans="1:19" ht="15">
      <c r="A3" s="152"/>
    </row>
    <row r="4" spans="1:19" ht="20.25">
      <c r="A4" s="153" t="s">
        <v>4</v>
      </c>
      <c r="B4" s="154"/>
      <c r="F4" s="155" t="s">
        <v>31</v>
      </c>
      <c r="G4" s="156">
        <v>3</v>
      </c>
      <c r="H4" s="156" t="str">
        <f>+'1'!H4</f>
        <v>.07.25</v>
      </c>
      <c r="J4" s="151">
        <f>328+476+428</f>
        <v>1232</v>
      </c>
    </row>
    <row r="5" spans="1:19" ht="13.5" thickBot="1">
      <c r="C5" s="157"/>
      <c r="D5" s="157"/>
    </row>
    <row r="6" spans="1:19"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425</v>
      </c>
      <c r="O6" s="151">
        <v>1350</v>
      </c>
      <c r="P6" s="151">
        <f>+O6-O6*0.23</f>
        <v>1039.5</v>
      </c>
      <c r="Q6" s="151">
        <v>480</v>
      </c>
      <c r="R6" s="151">
        <f>+O6*Q6</f>
        <v>648000</v>
      </c>
      <c r="S6" s="151">
        <f>+P6*Q6</f>
        <v>498960</v>
      </c>
    </row>
    <row r="7" spans="1:19" ht="13.5" customHeight="1" thickBot="1">
      <c r="A7" s="795" t="s">
        <v>442</v>
      </c>
      <c r="B7" s="215" t="s">
        <v>445</v>
      </c>
      <c r="C7" s="216">
        <v>12843</v>
      </c>
      <c r="D7" s="217"/>
      <c r="E7" s="218"/>
      <c r="F7" s="233"/>
      <c r="G7" s="555" t="s">
        <v>13</v>
      </c>
      <c r="H7" s="556" t="s">
        <v>461</v>
      </c>
      <c r="I7" s="798" t="s">
        <v>459</v>
      </c>
      <c r="J7" s="214" t="str">
        <f>+'2'!J7</f>
        <v>F 12 VP OW</v>
      </c>
      <c r="K7" s="235"/>
      <c r="L7" s="239"/>
      <c r="M7" s="119">
        <f>+K7+'2'!M7+L7</f>
        <v>10598</v>
      </c>
      <c r="P7" s="151">
        <f t="shared" ref="P7:P10" si="0">+O7-O7*0.23</f>
        <v>0</v>
      </c>
      <c r="R7" s="151">
        <f>+O7*Q7</f>
        <v>0</v>
      </c>
      <c r="S7" s="151">
        <f>+P7*Q7</f>
        <v>0</v>
      </c>
    </row>
    <row r="8" spans="1:19" ht="13.5" thickBot="1">
      <c r="A8" s="796"/>
      <c r="B8" s="215"/>
      <c r="C8" s="216"/>
      <c r="D8" s="217"/>
      <c r="E8" s="219"/>
      <c r="F8" s="229">
        <v>2</v>
      </c>
      <c r="G8" s="557" t="s">
        <v>13</v>
      </c>
      <c r="H8" s="228" t="s">
        <v>462</v>
      </c>
      <c r="I8" s="799"/>
      <c r="J8" s="214" t="str">
        <f>+'2'!J8</f>
        <v>F 11,5 VP OW</v>
      </c>
      <c r="K8" s="236">
        <f>+C34</f>
        <v>38435</v>
      </c>
      <c r="L8" s="236"/>
      <c r="M8" s="119">
        <f>+K8+'2'!M8+L8</f>
        <v>82938</v>
      </c>
      <c r="P8" s="151">
        <f t="shared" si="0"/>
        <v>0</v>
      </c>
      <c r="R8" s="151">
        <f>+O8*Q8</f>
        <v>0</v>
      </c>
      <c r="S8" s="151">
        <f>+P8*Q8</f>
        <v>0</v>
      </c>
    </row>
    <row r="9" spans="1:19" ht="13.5" thickBot="1">
      <c r="A9" s="796"/>
      <c r="B9" s="215"/>
      <c r="C9" s="216"/>
      <c r="D9" s="217"/>
      <c r="E9" s="220"/>
      <c r="F9" s="229">
        <v>3</v>
      </c>
      <c r="G9" s="557" t="s">
        <v>13</v>
      </c>
      <c r="H9" s="231" t="s">
        <v>480</v>
      </c>
      <c r="I9" s="799"/>
      <c r="J9" s="214">
        <f>+'2'!J9</f>
        <v>0</v>
      </c>
      <c r="K9" s="236"/>
      <c r="L9" s="236"/>
      <c r="M9" s="119">
        <f>+K9+'2'!M9+L9</f>
        <v>0</v>
      </c>
      <c r="P9" s="151">
        <f t="shared" si="0"/>
        <v>0</v>
      </c>
      <c r="R9" s="151">
        <f>+O9*Q9</f>
        <v>0</v>
      </c>
      <c r="S9" s="151">
        <f>+P9*Q9</f>
        <v>0</v>
      </c>
    </row>
    <row r="10" spans="1:19" ht="39" thickBot="1">
      <c r="A10" s="796"/>
      <c r="B10" s="215"/>
      <c r="C10" s="216"/>
      <c r="D10" s="217"/>
      <c r="E10" s="219"/>
      <c r="F10" s="229"/>
      <c r="G10" s="227"/>
      <c r="H10" s="558" t="s">
        <v>473</v>
      </c>
      <c r="I10" s="799"/>
      <c r="J10" s="214">
        <f>+'2'!J10</f>
        <v>0</v>
      </c>
      <c r="K10" s="236"/>
      <c r="L10" s="236"/>
      <c r="M10" s="119">
        <f>+K10+'2'!M10+L10</f>
        <v>0</v>
      </c>
      <c r="P10" s="151">
        <f t="shared" si="0"/>
        <v>0</v>
      </c>
      <c r="R10" s="151">
        <f>+O10*Q10</f>
        <v>0</v>
      </c>
      <c r="S10" s="151">
        <f>+P10*Q10</f>
        <v>0</v>
      </c>
    </row>
    <row r="11" spans="1:19" ht="64.5" thickBot="1">
      <c r="A11" s="796"/>
      <c r="B11" s="215"/>
      <c r="C11" s="216"/>
      <c r="D11" s="217"/>
      <c r="E11" s="219"/>
      <c r="F11" s="226"/>
      <c r="G11" s="230"/>
      <c r="H11" s="231" t="s">
        <v>476</v>
      </c>
      <c r="I11" s="799"/>
      <c r="J11" s="214">
        <f>+'2'!J11</f>
        <v>0</v>
      </c>
      <c r="K11" s="236"/>
      <c r="L11" s="236"/>
      <c r="M11" s="119">
        <f>+K11+'2'!M11+L11</f>
        <v>0</v>
      </c>
    </row>
    <row r="12" spans="1:19" ht="13.5" thickBot="1">
      <c r="A12" s="796"/>
      <c r="B12" s="215"/>
      <c r="C12" s="216"/>
      <c r="D12" s="217"/>
      <c r="E12" s="219"/>
      <c r="F12" s="226"/>
      <c r="G12" s="230"/>
      <c r="H12" s="231"/>
      <c r="I12" s="799"/>
      <c r="J12" s="214">
        <f>+'2'!J12</f>
        <v>0</v>
      </c>
      <c r="K12" s="236"/>
      <c r="L12" s="236"/>
      <c r="M12" s="119">
        <f>+K12+'2'!M12+L12</f>
        <v>0</v>
      </c>
      <c r="Q12" s="151">
        <f>SUM(Q6:Q11)</f>
        <v>480</v>
      </c>
      <c r="R12" s="151">
        <f>SUM(R6:R9)</f>
        <v>648000</v>
      </c>
      <c r="S12" s="151">
        <f>SUM(S6:S9)</f>
        <v>498960</v>
      </c>
    </row>
    <row r="13" spans="1:19" ht="13.5" thickBot="1">
      <c r="A13" s="796"/>
      <c r="B13" s="215"/>
      <c r="C13" s="216"/>
      <c r="D13" s="216"/>
      <c r="E13" s="219"/>
      <c r="F13" s="226"/>
      <c r="G13" s="230"/>
      <c r="H13" s="231"/>
      <c r="I13" s="800"/>
      <c r="J13" s="214">
        <f>+'2'!J13</f>
        <v>0</v>
      </c>
      <c r="K13" s="236"/>
      <c r="L13" s="236"/>
      <c r="M13" s="119">
        <f>+K13+'2'!M13+L13</f>
        <v>0</v>
      </c>
      <c r="P13" s="151" t="s">
        <v>424</v>
      </c>
      <c r="Q13" s="151">
        <f>480-Q12</f>
        <v>0</v>
      </c>
      <c r="R13" s="151">
        <f>+R12/Q12</f>
        <v>1350</v>
      </c>
      <c r="S13" s="151">
        <f>+S12/Q12</f>
        <v>1039.5</v>
      </c>
    </row>
    <row r="14" spans="1:19" ht="13.5" thickBot="1">
      <c r="A14" s="797"/>
      <c r="B14" s="167" t="s">
        <v>3</v>
      </c>
      <c r="C14" s="101">
        <f>SUM(C7:C13)</f>
        <v>12843</v>
      </c>
      <c r="D14" s="113">
        <f>SUM(D7:D13)</f>
        <v>0</v>
      </c>
      <c r="E14" s="114">
        <f>SUM(E5:E13)</f>
        <v>0</v>
      </c>
      <c r="F14" s="118">
        <f>SUM(F7:F13)</f>
        <v>5</v>
      </c>
      <c r="G14" s="161"/>
      <c r="H14" s="168"/>
      <c r="I14" s="169"/>
      <c r="J14" s="214">
        <f>+'2'!J14</f>
        <v>0</v>
      </c>
      <c r="K14" s="236"/>
      <c r="L14" s="236"/>
      <c r="M14" s="119">
        <f>+K14+'2'!M14+L14</f>
        <v>0</v>
      </c>
    </row>
    <row r="15" spans="1:19" ht="13.5" customHeight="1" thickBot="1">
      <c r="A15" s="801" t="s">
        <v>470</v>
      </c>
      <c r="B15" s="518"/>
      <c r="C15" s="115">
        <f>C14/($C$23+$D$23+$E$23)</f>
        <v>1.0043794478767498</v>
      </c>
      <c r="D15" s="116">
        <f>D14/($C$23+$D$23+$E$23)</f>
        <v>0</v>
      </c>
      <c r="E15" s="117">
        <f>E14/($C$23+$D$23+$E$23)</f>
        <v>0</v>
      </c>
      <c r="F15" s="233"/>
      <c r="G15" s="555" t="s">
        <v>13</v>
      </c>
      <c r="H15" s="556" t="s">
        <v>461</v>
      </c>
      <c r="I15" s="798" t="s">
        <v>459</v>
      </c>
      <c r="J15" s="214">
        <f>+'2'!J15</f>
        <v>0</v>
      </c>
      <c r="K15" s="236"/>
      <c r="L15" s="236"/>
      <c r="M15" s="119">
        <f>+K15+'2'!M15+L15</f>
        <v>0</v>
      </c>
      <c r="N15" s="151" t="s">
        <v>425</v>
      </c>
      <c r="O15" s="151">
        <v>1350</v>
      </c>
      <c r="P15" s="151">
        <f>+O15-O15*0.23</f>
        <v>1039.5</v>
      </c>
      <c r="Q15" s="151">
        <v>450</v>
      </c>
      <c r="R15" s="151">
        <f>+O15*Q15</f>
        <v>607500</v>
      </c>
      <c r="S15" s="151">
        <f>+P15*Q15</f>
        <v>467775</v>
      </c>
    </row>
    <row r="16" spans="1:19" ht="13.5" thickBot="1">
      <c r="A16" s="796"/>
      <c r="B16" s="215" t="s">
        <v>445</v>
      </c>
      <c r="C16" s="516">
        <v>12787</v>
      </c>
      <c r="D16" s="221"/>
      <c r="E16" s="222"/>
      <c r="F16" s="229">
        <v>4</v>
      </c>
      <c r="G16" s="557" t="s">
        <v>13</v>
      </c>
      <c r="H16" s="228" t="s">
        <v>462</v>
      </c>
      <c r="I16" s="799"/>
      <c r="J16" s="214">
        <f>+'2'!J16</f>
        <v>0</v>
      </c>
      <c r="K16" s="227"/>
      <c r="L16" s="227"/>
      <c r="M16" s="119">
        <f>+K16+'2'!M16+L16</f>
        <v>0</v>
      </c>
      <c r="P16" s="151">
        <f t="shared" ref="P16:P19" si="1">+O16-O16*0.23</f>
        <v>0</v>
      </c>
      <c r="R16" s="151">
        <f>+O16*Q16</f>
        <v>0</v>
      </c>
      <c r="S16" s="151">
        <f>+P16*Q16</f>
        <v>0</v>
      </c>
    </row>
    <row r="17" spans="1:19" ht="13.5" thickBot="1">
      <c r="A17" s="796"/>
      <c r="B17" s="215"/>
      <c r="C17" s="216"/>
      <c r="D17" s="217"/>
      <c r="E17" s="223"/>
      <c r="F17" s="229">
        <v>7</v>
      </c>
      <c r="G17" s="557" t="s">
        <v>13</v>
      </c>
      <c r="H17" s="231" t="s">
        <v>400</v>
      </c>
      <c r="I17" s="799"/>
      <c r="J17" s="214">
        <f>+'2'!J17</f>
        <v>0</v>
      </c>
      <c r="K17" s="227"/>
      <c r="L17" s="227"/>
      <c r="M17" s="119">
        <f>+K17+'2'!M17+L17</f>
        <v>0</v>
      </c>
      <c r="P17" s="151">
        <f t="shared" si="1"/>
        <v>0</v>
      </c>
      <c r="R17" s="151">
        <f>+O17*Q17</f>
        <v>0</v>
      </c>
      <c r="S17" s="151">
        <f>+P17*Q17</f>
        <v>0</v>
      </c>
    </row>
    <row r="18" spans="1:19" ht="64.5" thickBot="1">
      <c r="A18" s="796"/>
      <c r="B18" s="215"/>
      <c r="C18" s="216"/>
      <c r="D18" s="217"/>
      <c r="E18" s="223"/>
      <c r="F18" s="229">
        <v>30</v>
      </c>
      <c r="G18" s="227" t="s">
        <v>18</v>
      </c>
      <c r="H18" s="558" t="s">
        <v>474</v>
      </c>
      <c r="I18" s="799"/>
      <c r="J18" s="214">
        <f>+'2'!J18</f>
        <v>0</v>
      </c>
      <c r="K18" s="236"/>
      <c r="L18" s="236"/>
      <c r="M18" s="119">
        <f>+K18+'2'!M18+L18</f>
        <v>0</v>
      </c>
      <c r="P18" s="151">
        <f t="shared" si="1"/>
        <v>0</v>
      </c>
      <c r="R18" s="151">
        <f>+O18*Q18</f>
        <v>0</v>
      </c>
      <c r="S18" s="151">
        <f>+P18*Q18</f>
        <v>0</v>
      </c>
    </row>
    <row r="19" spans="1:19" ht="64.5" thickBot="1">
      <c r="A19" s="796"/>
      <c r="B19" s="215"/>
      <c r="C19" s="216"/>
      <c r="D19" s="217"/>
      <c r="E19" s="220"/>
      <c r="F19" s="232"/>
      <c r="G19" s="230"/>
      <c r="H19" s="231" t="s">
        <v>475</v>
      </c>
      <c r="I19" s="799"/>
      <c r="J19" s="214">
        <f>+'2'!J19</f>
        <v>0</v>
      </c>
      <c r="K19" s="236"/>
      <c r="L19" s="236"/>
      <c r="M19" s="119">
        <f>+K19+'2'!M19+L19</f>
        <v>0</v>
      </c>
      <c r="P19" s="151">
        <f t="shared" si="1"/>
        <v>0</v>
      </c>
      <c r="R19" s="151">
        <f>+O19*Q19</f>
        <v>0</v>
      </c>
      <c r="S19" s="151">
        <f>+P19*Q19</f>
        <v>0</v>
      </c>
    </row>
    <row r="20" spans="1:19" ht="13.5" thickBot="1">
      <c r="A20" s="796"/>
      <c r="B20" s="215"/>
      <c r="C20" s="216"/>
      <c r="D20" s="217"/>
      <c r="E20" s="223"/>
      <c r="F20" s="226"/>
      <c r="G20" s="230"/>
      <c r="H20" s="231"/>
      <c r="I20" s="799"/>
      <c r="J20" s="214">
        <f>+'2'!J20</f>
        <v>0</v>
      </c>
      <c r="K20" s="237"/>
      <c r="L20" s="237"/>
      <c r="M20" s="119">
        <f>+K20+'2'!M20+L20</f>
        <v>0</v>
      </c>
    </row>
    <row r="21" spans="1:19" ht="13.5" thickBot="1">
      <c r="A21" s="796"/>
      <c r="B21" s="215"/>
      <c r="C21" s="216"/>
      <c r="D21" s="217"/>
      <c r="E21" s="223"/>
      <c r="F21" s="229"/>
      <c r="G21" s="230"/>
      <c r="H21" s="231"/>
      <c r="I21" s="799"/>
      <c r="J21" s="214">
        <f>+'2'!J21</f>
        <v>0</v>
      </c>
      <c r="K21" s="236"/>
      <c r="L21" s="236"/>
      <c r="M21" s="119">
        <f>+K21+'2'!M21+L21</f>
        <v>0</v>
      </c>
      <c r="Q21" s="151">
        <f>SUM(Q15:Q20)</f>
        <v>450</v>
      </c>
      <c r="R21" s="151">
        <f>SUM(R15:R18)</f>
        <v>607500</v>
      </c>
      <c r="S21" s="151">
        <f>SUM(S15:S18)</f>
        <v>467775</v>
      </c>
    </row>
    <row r="22" spans="1:19" ht="13.5" thickBot="1">
      <c r="A22" s="796"/>
      <c r="B22" s="215"/>
      <c r="C22" s="216"/>
      <c r="D22" s="217"/>
      <c r="E22" s="223"/>
      <c r="F22" s="233"/>
      <c r="G22" s="230"/>
      <c r="H22" s="231"/>
      <c r="I22" s="800"/>
      <c r="J22" s="214">
        <f>+'2'!J22</f>
        <v>0</v>
      </c>
      <c r="K22" s="236"/>
      <c r="L22" s="236"/>
      <c r="M22" s="119">
        <f>+K22+'2'!M22+L22</f>
        <v>0</v>
      </c>
      <c r="P22" s="151" t="s">
        <v>424</v>
      </c>
      <c r="Q22" s="151">
        <f>480-Q21</f>
        <v>30</v>
      </c>
      <c r="R22" s="151">
        <f>+R21/Q21</f>
        <v>1350</v>
      </c>
      <c r="S22" s="151">
        <f>+S21/Q21</f>
        <v>1039.5</v>
      </c>
    </row>
    <row r="23" spans="1:19" ht="13.5" thickBot="1">
      <c r="A23" s="797"/>
      <c r="B23" s="167" t="s">
        <v>3</v>
      </c>
      <c r="C23" s="101">
        <f>SUM(C16:C22)</f>
        <v>12787</v>
      </c>
      <c r="D23" s="113">
        <f>SUM(D16:D22)</f>
        <v>0</v>
      </c>
      <c r="E23" s="114">
        <f>SUM(E18:E22)</f>
        <v>0</v>
      </c>
      <c r="F23" s="118">
        <f>SUM(F15:F22)</f>
        <v>41</v>
      </c>
      <c r="G23" s="161"/>
      <c r="H23" s="168"/>
      <c r="I23" s="170"/>
      <c r="J23" s="214">
        <f>+'2'!J23</f>
        <v>0</v>
      </c>
      <c r="K23" s="236"/>
      <c r="L23" s="236"/>
      <c r="M23" s="119">
        <f>+K23+'2'!M23+L23</f>
        <v>0</v>
      </c>
    </row>
    <row r="24" spans="1:19" ht="13.5" customHeight="1" thickBot="1">
      <c r="A24" s="801" t="s">
        <v>444</v>
      </c>
      <c r="B24" s="518"/>
      <c r="C24" s="115">
        <f>C23/($C$23+$D$23+$E$23)</f>
        <v>1</v>
      </c>
      <c r="D24" s="116">
        <f>D23/($C$23+$D$23+$E$23)</f>
        <v>0</v>
      </c>
      <c r="E24" s="117">
        <f>E23/($C$23+$D$23+$E$23)</f>
        <v>0</v>
      </c>
      <c r="F24" s="233">
        <v>20</v>
      </c>
      <c r="G24" s="555" t="s">
        <v>13</v>
      </c>
      <c r="H24" s="556" t="s">
        <v>432</v>
      </c>
      <c r="I24" s="798" t="s">
        <v>477</v>
      </c>
      <c r="J24" s="214">
        <f>+'2'!J24</f>
        <v>0</v>
      </c>
      <c r="K24" s="236"/>
      <c r="L24" s="236"/>
      <c r="M24" s="119">
        <f>+K24+'2'!M24+L24</f>
        <v>0</v>
      </c>
      <c r="N24" s="151" t="s">
        <v>425</v>
      </c>
      <c r="O24" s="151">
        <v>1340</v>
      </c>
      <c r="P24" s="151">
        <f>+O24-O24*0.23</f>
        <v>1031.8</v>
      </c>
      <c r="Q24" s="151">
        <v>30</v>
      </c>
      <c r="R24" s="151">
        <f>+O24*Q24</f>
        <v>40200</v>
      </c>
      <c r="S24" s="151">
        <f>+P24*Q24</f>
        <v>30954</v>
      </c>
    </row>
    <row r="25" spans="1:19" ht="13.5" thickBot="1">
      <c r="A25" s="796"/>
      <c r="B25" s="215" t="s">
        <v>445</v>
      </c>
      <c r="C25" s="224">
        <v>12805</v>
      </c>
      <c r="D25" s="217"/>
      <c r="E25" s="223"/>
      <c r="F25" s="229">
        <v>4</v>
      </c>
      <c r="G25" s="557" t="s">
        <v>13</v>
      </c>
      <c r="H25" s="228" t="s">
        <v>468</v>
      </c>
      <c r="I25" s="799"/>
      <c r="J25" s="214">
        <f>+'2'!J25</f>
        <v>0</v>
      </c>
      <c r="K25" s="236"/>
      <c r="L25" s="236"/>
      <c r="M25" s="119">
        <f>+K25+'2'!M25+L25</f>
        <v>0</v>
      </c>
      <c r="O25" s="151">
        <v>1350</v>
      </c>
      <c r="P25" s="151">
        <f t="shared" ref="P25:P28" si="2">+O25-O25*0.23</f>
        <v>1039.5</v>
      </c>
      <c r="Q25" s="151">
        <f>480-Q24</f>
        <v>450</v>
      </c>
      <c r="R25" s="151">
        <f>+O25*Q25</f>
        <v>607500</v>
      </c>
      <c r="S25" s="151">
        <f>+P25*Q25</f>
        <v>467775</v>
      </c>
    </row>
    <row r="26" spans="1:19" ht="13.5" thickBot="1">
      <c r="A26" s="796"/>
      <c r="B26" s="215"/>
      <c r="C26" s="224"/>
      <c r="D26" s="217"/>
      <c r="E26" s="225"/>
      <c r="F26" s="229">
        <f>35-16</f>
        <v>19</v>
      </c>
      <c r="G26" s="557" t="s">
        <v>13</v>
      </c>
      <c r="H26" s="231" t="s">
        <v>480</v>
      </c>
      <c r="I26" s="799"/>
      <c r="J26" s="214">
        <f>+'2'!J26</f>
        <v>0</v>
      </c>
      <c r="K26" s="236"/>
      <c r="L26" s="236"/>
      <c r="M26" s="119">
        <f>+K26+'2'!M26+L26</f>
        <v>0</v>
      </c>
      <c r="P26" s="151">
        <f t="shared" si="2"/>
        <v>0</v>
      </c>
      <c r="R26" s="151">
        <f>+O26*Q26</f>
        <v>0</v>
      </c>
      <c r="S26" s="151">
        <f>+P26*Q26</f>
        <v>0</v>
      </c>
    </row>
    <row r="27" spans="1:19" ht="77.25" thickBot="1">
      <c r="A27" s="796"/>
      <c r="B27" s="215"/>
      <c r="C27" s="216"/>
      <c r="D27" s="217"/>
      <c r="E27" s="223"/>
      <c r="F27" s="229"/>
      <c r="G27" s="227"/>
      <c r="H27" s="558" t="s">
        <v>472</v>
      </c>
      <c r="I27" s="799"/>
      <c r="J27" s="214">
        <f>+'2'!J27</f>
        <v>0</v>
      </c>
      <c r="K27" s="236"/>
      <c r="L27" s="236"/>
      <c r="M27" s="119">
        <f>+K27+'2'!M27+L27</f>
        <v>0</v>
      </c>
      <c r="P27" s="151">
        <f t="shared" si="2"/>
        <v>0</v>
      </c>
      <c r="R27" s="151">
        <f>+O27*Q27</f>
        <v>0</v>
      </c>
      <c r="S27" s="151">
        <f>+P27*Q27</f>
        <v>0</v>
      </c>
    </row>
    <row r="28" spans="1:19" ht="157.5" customHeight="1" thickBot="1">
      <c r="A28" s="796"/>
      <c r="B28" s="215"/>
      <c r="C28" s="216"/>
      <c r="D28" s="217"/>
      <c r="E28" s="223"/>
      <c r="F28" s="229">
        <v>11</v>
      </c>
      <c r="G28" s="227" t="s">
        <v>80</v>
      </c>
      <c r="H28" s="231" t="s">
        <v>478</v>
      </c>
      <c r="I28" s="799"/>
      <c r="J28" s="214">
        <f>+'2'!J28</f>
        <v>0</v>
      </c>
      <c r="K28" s="236"/>
      <c r="L28" s="236"/>
      <c r="M28" s="119">
        <f>+K28+'2'!M28+L28</f>
        <v>0</v>
      </c>
      <c r="P28" s="151">
        <f t="shared" si="2"/>
        <v>0</v>
      </c>
      <c r="R28" s="151">
        <f>+O28*Q28</f>
        <v>0</v>
      </c>
      <c r="S28" s="151">
        <f>+P28*Q28</f>
        <v>0</v>
      </c>
    </row>
    <row r="29" spans="1:19" ht="13.5" thickBot="1">
      <c r="A29" s="796"/>
      <c r="B29" s="215"/>
      <c r="C29" s="216"/>
      <c r="D29" s="217"/>
      <c r="E29" s="223"/>
      <c r="F29" s="233"/>
      <c r="G29" s="230"/>
      <c r="H29" s="231"/>
      <c r="I29" s="799"/>
      <c r="J29" s="214">
        <f>+'2'!J29</f>
        <v>0</v>
      </c>
      <c r="K29" s="236"/>
      <c r="L29" s="236"/>
      <c r="M29" s="119">
        <f>+K29+'2'!M29+L29</f>
        <v>0</v>
      </c>
    </row>
    <row r="30" spans="1:19" ht="13.5" thickBot="1">
      <c r="A30" s="796"/>
      <c r="B30" s="215"/>
      <c r="C30" s="224"/>
      <c r="D30" s="217"/>
      <c r="E30" s="223"/>
      <c r="F30" s="233"/>
      <c r="G30" s="230"/>
      <c r="H30" s="231"/>
      <c r="I30" s="799"/>
      <c r="J30" s="214">
        <f>+'2'!J30</f>
        <v>0</v>
      </c>
      <c r="K30" s="236"/>
      <c r="L30" s="236"/>
      <c r="M30" s="119">
        <f>+K30+'2'!M30+L30</f>
        <v>0</v>
      </c>
      <c r="Q30" s="151">
        <f>SUM(Q24:Q29)</f>
        <v>480</v>
      </c>
      <c r="R30" s="151">
        <f>SUM(R24:R27)</f>
        <v>647700</v>
      </c>
      <c r="S30" s="151">
        <f>SUM(S24:S27)</f>
        <v>498729</v>
      </c>
    </row>
    <row r="31" spans="1:19" ht="13.5" thickBot="1">
      <c r="A31" s="796"/>
      <c r="B31" s="215"/>
      <c r="C31" s="224"/>
      <c r="D31" s="217"/>
      <c r="E31" s="223"/>
      <c r="F31" s="233"/>
      <c r="G31" s="234"/>
      <c r="H31" s="409"/>
      <c r="I31" s="800"/>
      <c r="J31" s="214">
        <f>+'2'!J31</f>
        <v>0</v>
      </c>
      <c r="K31" s="236"/>
      <c r="L31" s="236"/>
      <c r="M31" s="119">
        <f>+K31+'2'!M31+L31</f>
        <v>0</v>
      </c>
      <c r="Q31" s="151">
        <f>480-Q30</f>
        <v>0</v>
      </c>
      <c r="R31" s="151">
        <f>+R30/Q30</f>
        <v>1349.375</v>
      </c>
      <c r="S31" s="151">
        <f>+S30/Q30</f>
        <v>1039.01875</v>
      </c>
    </row>
    <row r="32" spans="1:19" ht="13.5" thickBot="1">
      <c r="A32" s="797"/>
      <c r="B32" s="167" t="s">
        <v>3</v>
      </c>
      <c r="C32" s="101">
        <f>SUM(C25:C31)</f>
        <v>12805</v>
      </c>
      <c r="D32" s="102">
        <f>SUM(D25:D31)</f>
        <v>0</v>
      </c>
      <c r="E32" s="103">
        <f>SUM(E25:E31)</f>
        <v>0</v>
      </c>
      <c r="F32" s="101">
        <f>SUM(F24:F31)</f>
        <v>54</v>
      </c>
      <c r="G32" s="171"/>
      <c r="H32" s="172"/>
      <c r="I32" s="170"/>
      <c r="J32" s="214">
        <f>+'2'!J32</f>
        <v>0</v>
      </c>
      <c r="K32" s="238"/>
      <c r="L32" s="240"/>
      <c r="M32" s="119">
        <f>+K32+'2'!M32+L32</f>
        <v>0</v>
      </c>
    </row>
    <row r="33" spans="1:14" ht="13.5" thickBot="1">
      <c r="A33" s="173"/>
      <c r="B33" s="174"/>
      <c r="C33" s="105">
        <f>C32/($C$32+$D$32+$E$32)</f>
        <v>1</v>
      </c>
      <c r="D33" s="106">
        <f>D32/($C$32+$D$32+$E$32)</f>
        <v>0</v>
      </c>
      <c r="E33" s="107">
        <f>E32/($C$32+$D$32+$E$32)</f>
        <v>0</v>
      </c>
      <c r="F33" s="108"/>
      <c r="G33" s="175"/>
      <c r="H33" s="176"/>
      <c r="I33" s="177"/>
      <c r="J33" s="123"/>
      <c r="K33" s="124"/>
      <c r="L33" s="213"/>
      <c r="M33" s="121"/>
    </row>
    <row r="34" spans="1:14" ht="13.5" thickBot="1">
      <c r="A34" s="802" t="s">
        <v>69</v>
      </c>
      <c r="B34" s="803"/>
      <c r="C34" s="109">
        <f>C14+C23+C32</f>
        <v>38435</v>
      </c>
      <c r="D34" s="109">
        <f>D14+D23+D32</f>
        <v>0</v>
      </c>
      <c r="E34" s="109">
        <f>E14+E23+E32</f>
        <v>0</v>
      </c>
      <c r="F34" s="110">
        <f>F14+F23+F32</f>
        <v>100</v>
      </c>
      <c r="H34" s="178"/>
      <c r="I34" s="178"/>
      <c r="J34" s="125" t="s">
        <v>29</v>
      </c>
      <c r="K34" s="126">
        <f>SUM(K7:K32)</f>
        <v>38435</v>
      </c>
      <c r="L34" s="212">
        <f>SUM(L7:L32)</f>
        <v>0</v>
      </c>
      <c r="M34" s="122">
        <f>SUM(M7:M32)</f>
        <v>93536</v>
      </c>
      <c r="N34" s="157"/>
    </row>
    <row r="35" spans="1:14" ht="13.5" thickBot="1">
      <c r="A35" s="179"/>
      <c r="B35" s="180"/>
      <c r="C35" s="106">
        <f>C34/($C$34+$D$34+$E$34)</f>
        <v>1</v>
      </c>
      <c r="D35" s="106">
        <f>D34/($C$34+$D$34+$E$34)</f>
        <v>0</v>
      </c>
      <c r="E35" s="111">
        <f>E34/($C$34+$D$34+$E$34)</f>
        <v>0</v>
      </c>
      <c r="K35" s="157"/>
    </row>
    <row r="36" spans="1:14" ht="13.5" thickBot="1">
      <c r="A36" s="178"/>
      <c r="B36" s="178"/>
      <c r="C36" s="157"/>
      <c r="D36" s="157"/>
      <c r="E36" s="157"/>
      <c r="G36" s="157"/>
      <c r="H36" s="181"/>
      <c r="I36" s="164" t="s">
        <v>39</v>
      </c>
      <c r="J36" s="164" t="s">
        <v>40</v>
      </c>
      <c r="K36" s="182"/>
      <c r="N36" s="151">
        <v>480</v>
      </c>
    </row>
    <row r="37" spans="1:14" ht="17.45" customHeight="1" thickBot="1">
      <c r="A37" s="804" t="s">
        <v>70</v>
      </c>
      <c r="B37" s="805"/>
      <c r="C37" s="164" t="s">
        <v>71</v>
      </c>
      <c r="D37" s="183" t="s">
        <v>72</v>
      </c>
      <c r="E37" s="184" t="s">
        <v>73</v>
      </c>
      <c r="F37" s="309"/>
      <c r="G37" s="311"/>
      <c r="H37" s="186" t="s">
        <v>74</v>
      </c>
      <c r="I37" s="241">
        <f>(11.5*1410)/1410*G42*2.74*1410/1000000</f>
        <v>46.176770640000001</v>
      </c>
      <c r="J37" s="127">
        <f>+I37+'2'!J37</f>
        <v>113.75890216063587</v>
      </c>
      <c r="K37" s="128" t="s">
        <v>75</v>
      </c>
      <c r="N37" s="151">
        <v>450</v>
      </c>
    </row>
    <row r="38" spans="1:14" ht="17.45" customHeight="1">
      <c r="A38" s="806" t="s">
        <v>13</v>
      </c>
      <c r="B38" s="807"/>
      <c r="C38" s="166">
        <f>SUMIF($G$7:$G$31,"Process",$F$7:$F$31)</f>
        <v>59</v>
      </c>
      <c r="D38" s="120">
        <f>C38+'2'!D38</f>
        <v>478</v>
      </c>
      <c r="E38" s="145">
        <f t="shared" ref="E38:E52" si="3">D38/60</f>
        <v>7.9666666666666668</v>
      </c>
      <c r="F38" s="309">
        <v>1350</v>
      </c>
      <c r="G38" s="309">
        <v>1039.5</v>
      </c>
      <c r="H38" s="187" t="s">
        <v>76</v>
      </c>
      <c r="I38" s="242">
        <f>13.313+14.762+12.845</f>
        <v>40.92</v>
      </c>
      <c r="J38" s="129">
        <f>+I38+'2'!J38</f>
        <v>101.438</v>
      </c>
      <c r="K38" s="130" t="s">
        <v>75</v>
      </c>
      <c r="N38" s="151">
        <v>480</v>
      </c>
    </row>
    <row r="39" spans="1:14" ht="17.45" customHeight="1">
      <c r="A39" s="793" t="s">
        <v>14</v>
      </c>
      <c r="B39" s="794"/>
      <c r="C39" s="166">
        <f>SUMIF($G$7:$G$31,"Cleaning",$F$7:$F$31)</f>
        <v>0</v>
      </c>
      <c r="D39" s="120">
        <f>C39+'2'!D39</f>
        <v>0</v>
      </c>
      <c r="E39" s="145">
        <f t="shared" si="3"/>
        <v>0</v>
      </c>
      <c r="F39" s="309">
        <v>1350</v>
      </c>
      <c r="G39" s="309">
        <v>1039.5</v>
      </c>
      <c r="H39" s="187" t="s">
        <v>77</v>
      </c>
      <c r="I39" s="144"/>
      <c r="J39" s="131">
        <f>J37/G4</f>
        <v>37.919634053545288</v>
      </c>
      <c r="K39" s="132" t="s">
        <v>75</v>
      </c>
      <c r="N39" s="151">
        <f>SUM(N36:N38)</f>
        <v>1410</v>
      </c>
    </row>
    <row r="40" spans="1:14" ht="17.45" customHeight="1">
      <c r="A40" s="793" t="s">
        <v>78</v>
      </c>
      <c r="B40" s="794"/>
      <c r="C40" s="166">
        <f>SUMIF($G$7:$G$31,"Mechanical",$F$7:$F$31)</f>
        <v>0</v>
      </c>
      <c r="D40" s="120">
        <f>C40+'2'!D40</f>
        <v>0</v>
      </c>
      <c r="E40" s="145">
        <f t="shared" si="3"/>
        <v>0</v>
      </c>
      <c r="F40" s="309">
        <v>1349.375</v>
      </c>
      <c r="G40" s="309">
        <v>1039.01875</v>
      </c>
      <c r="H40" s="187" t="s">
        <v>79</v>
      </c>
      <c r="I40" s="120">
        <f>(K34+L34)/1000</f>
        <v>38.435000000000002</v>
      </c>
      <c r="J40" s="133">
        <f>+I40+'2'!J40</f>
        <v>93.536000000000001</v>
      </c>
      <c r="K40" s="132" t="s">
        <v>75</v>
      </c>
    </row>
    <row r="41" spans="1:14" ht="17.45" customHeight="1">
      <c r="A41" s="793" t="s">
        <v>80</v>
      </c>
      <c r="B41" s="794"/>
      <c r="C41" s="166">
        <f>SUMIF($G$7:$G$31,"Electrical",$F$7:$F$31)</f>
        <v>11</v>
      </c>
      <c r="D41" s="120">
        <f>C41+'2'!D41</f>
        <v>11</v>
      </c>
      <c r="E41" s="145">
        <f t="shared" si="3"/>
        <v>0.18333333333333332</v>
      </c>
      <c r="F41" s="309"/>
      <c r="G41" s="309"/>
      <c r="H41" s="187" t="s">
        <v>81</v>
      </c>
      <c r="I41" s="144"/>
      <c r="J41" s="131">
        <f>J40/G4</f>
        <v>31.178666666666668</v>
      </c>
      <c r="K41" s="132" t="s">
        <v>75</v>
      </c>
      <c r="M41" s="157"/>
    </row>
    <row r="42" spans="1:14" ht="17.45" customHeight="1">
      <c r="A42" s="793" t="s">
        <v>17</v>
      </c>
      <c r="B42" s="794"/>
      <c r="C42" s="166">
        <f>SUMIF($G$7:$G$31,"Instrument",$F$7:$F$31)</f>
        <v>0</v>
      </c>
      <c r="D42" s="120">
        <f>C42+'2'!D42</f>
        <v>0</v>
      </c>
      <c r="E42" s="145">
        <f t="shared" si="3"/>
        <v>0</v>
      </c>
      <c r="F42" s="185">
        <f>+(480*F38+450*F39+480*F40)/1410</f>
        <v>1349.7872340425531</v>
      </c>
      <c r="G42" s="185">
        <f>+(480*G38+450*G39+480*G40)/1410</f>
        <v>1039.3361702127659</v>
      </c>
      <c r="H42" s="187" t="s">
        <v>82</v>
      </c>
      <c r="I42" s="243" t="s">
        <v>479</v>
      </c>
      <c r="J42" s="134"/>
      <c r="K42" s="132" t="s">
        <v>83</v>
      </c>
    </row>
    <row r="43" spans="1:14" ht="17.45" customHeight="1">
      <c r="A43" s="793" t="s">
        <v>84</v>
      </c>
      <c r="B43" s="794"/>
      <c r="C43" s="166">
        <f>SUMIF($G$7:$G$31,"Water",$F$7:$F$31)</f>
        <v>0</v>
      </c>
      <c r="D43" s="120">
        <f>C43+'2'!D43</f>
        <v>0</v>
      </c>
      <c r="E43" s="145">
        <f t="shared" si="3"/>
        <v>0</v>
      </c>
      <c r="F43" s="309"/>
      <c r="G43" s="310"/>
      <c r="H43" s="188" t="s">
        <v>85</v>
      </c>
      <c r="I43" s="120">
        <f>+Report1!Z11</f>
        <v>85.7</v>
      </c>
      <c r="J43" s="135">
        <f>+I43+'2'!J43</f>
        <v>219.60000000000002</v>
      </c>
      <c r="K43" s="132" t="s">
        <v>75</v>
      </c>
      <c r="L43" s="189"/>
    </row>
    <row r="44" spans="1:14" ht="17.45" customHeight="1">
      <c r="A44" s="793" t="s">
        <v>18</v>
      </c>
      <c r="B44" s="794"/>
      <c r="C44" s="166">
        <f>SUMIF($G$7:$G$31,"PLN",$F$7:$F$31)</f>
        <v>30</v>
      </c>
      <c r="D44" s="120">
        <f>C44+'2'!D44</f>
        <v>30</v>
      </c>
      <c r="E44" s="145">
        <f t="shared" si="3"/>
        <v>0.5</v>
      </c>
      <c r="F44" s="309"/>
      <c r="G44" s="310"/>
      <c r="H44" s="188" t="s">
        <v>86</v>
      </c>
      <c r="I44" s="120">
        <f>I43/I38</f>
        <v>2.0943304007820136</v>
      </c>
      <c r="J44" s="136">
        <f>J43/J38</f>
        <v>2.1648691811747081</v>
      </c>
      <c r="K44" s="132" t="s">
        <v>75</v>
      </c>
    </row>
    <row r="45" spans="1:14" ht="17.45" customHeight="1">
      <c r="A45" s="793" t="s">
        <v>19</v>
      </c>
      <c r="B45" s="794"/>
      <c r="C45" s="166">
        <f>SUMIF($G$7:$G$31,"Boiler",$F$7:$F$31)</f>
        <v>0</v>
      </c>
      <c r="D45" s="120">
        <f>C45+'2'!D45</f>
        <v>0</v>
      </c>
      <c r="E45" s="145">
        <f t="shared" si="3"/>
        <v>0</v>
      </c>
      <c r="F45" s="309"/>
      <c r="G45" s="312"/>
      <c r="H45" s="188" t="s">
        <v>87</v>
      </c>
      <c r="I45" s="120">
        <f>I43/I40</f>
        <v>2.2297385195785093</v>
      </c>
      <c r="J45" s="136">
        <f>J43/J40</f>
        <v>2.3477591515566201</v>
      </c>
      <c r="K45" s="132" t="s">
        <v>75</v>
      </c>
    </row>
    <row r="46" spans="1:14" ht="17.45" customHeight="1">
      <c r="A46" s="793" t="s">
        <v>88</v>
      </c>
      <c r="B46" s="794"/>
      <c r="C46" s="166">
        <f>SUMIF($G$7:$G$31,"Gas",$F$7:$F$31)</f>
        <v>0</v>
      </c>
      <c r="D46" s="120">
        <f>C46+'2'!D46</f>
        <v>0</v>
      </c>
      <c r="E46" s="145">
        <f t="shared" si="3"/>
        <v>0</v>
      </c>
      <c r="F46" s="309"/>
      <c r="G46" s="310"/>
      <c r="H46" s="188" t="s">
        <v>89</v>
      </c>
      <c r="I46" s="142">
        <f>+SUMIF(Listrik!X10,"&gt;0")</f>
        <v>40238.419999999045</v>
      </c>
      <c r="J46" s="137">
        <f>+I46+'2'!J46</f>
        <v>105794.10999999853</v>
      </c>
      <c r="K46" s="132" t="s">
        <v>90</v>
      </c>
    </row>
    <row r="47" spans="1:14" ht="17.45" customHeight="1">
      <c r="A47" s="793" t="s">
        <v>91</v>
      </c>
      <c r="B47" s="794"/>
      <c r="C47" s="166">
        <f>SUMIF($G$7:$G$31,"Gas",$F$7:$F$31)</f>
        <v>0</v>
      </c>
      <c r="D47" s="120">
        <f>C47+'2'!D47</f>
        <v>0</v>
      </c>
      <c r="E47" s="145">
        <f t="shared" si="3"/>
        <v>0</v>
      </c>
      <c r="F47" s="309"/>
      <c r="G47" s="310"/>
      <c r="H47" s="188" t="s">
        <v>92</v>
      </c>
      <c r="I47" s="120">
        <f>I46/I38</f>
        <v>983.34359726292871</v>
      </c>
      <c r="J47" s="137">
        <f>J46/J38</f>
        <v>1042.9435714426402</v>
      </c>
      <c r="K47" s="132" t="s">
        <v>25</v>
      </c>
    </row>
    <row r="48" spans="1:14" ht="17.45" customHeight="1">
      <c r="A48" s="793" t="s">
        <v>15</v>
      </c>
      <c r="B48" s="794"/>
      <c r="C48" s="166">
        <f>SUMIF($G$7:$G$31,"Start Up",$F$7:$F$31)</f>
        <v>0</v>
      </c>
      <c r="D48" s="120">
        <f>C48+'2'!D48</f>
        <v>0</v>
      </c>
      <c r="E48" s="145">
        <f t="shared" si="3"/>
        <v>0</v>
      </c>
      <c r="F48" s="309"/>
      <c r="G48" s="310"/>
      <c r="H48" s="188" t="s">
        <v>93</v>
      </c>
      <c r="I48" s="120">
        <f>I46/I40</f>
        <v>1046.9212956940039</v>
      </c>
      <c r="J48" s="137">
        <f>J46/J40</f>
        <v>1131.0523221005658</v>
      </c>
      <c r="K48" s="132" t="s">
        <v>25</v>
      </c>
    </row>
    <row r="49" spans="1:11" ht="17.45" customHeight="1">
      <c r="A49" s="793" t="s">
        <v>21</v>
      </c>
      <c r="B49" s="794"/>
      <c r="C49" s="166">
        <f>SUMIF($G$7:$G$31,"Others",$F$7:$F$31)</f>
        <v>0</v>
      </c>
      <c r="D49" s="120">
        <f>C49+'2'!D49</f>
        <v>441</v>
      </c>
      <c r="E49" s="145">
        <f t="shared" si="3"/>
        <v>7.35</v>
      </c>
      <c r="F49" s="185"/>
      <c r="H49" s="188" t="s">
        <v>279</v>
      </c>
      <c r="I49" s="120">
        <f>+Report1!T11</f>
        <v>3197.2643498361881</v>
      </c>
      <c r="J49" s="137">
        <f>+I49+'2'!J49</f>
        <v>8368.3825662142735</v>
      </c>
      <c r="K49" s="132" t="s">
        <v>94</v>
      </c>
    </row>
    <row r="50" spans="1:11" ht="17.45" customHeight="1">
      <c r="A50" s="793" t="s">
        <v>20</v>
      </c>
      <c r="B50" s="794"/>
      <c r="C50" s="166">
        <f>SUMIF($G$7:$G$31,"Steam",$F$7:$F$31)</f>
        <v>0</v>
      </c>
      <c r="D50" s="120">
        <f>C50+'2'!D50</f>
        <v>0</v>
      </c>
      <c r="E50" s="145">
        <f t="shared" si="3"/>
        <v>0</v>
      </c>
      <c r="F50" s="185"/>
      <c r="H50" s="188" t="s">
        <v>95</v>
      </c>
      <c r="I50" s="142">
        <f>I49/I38</f>
        <v>78.134514903132654</v>
      </c>
      <c r="J50" s="135">
        <f>J49/J38</f>
        <v>82.497511447527287</v>
      </c>
      <c r="K50" s="132" t="s">
        <v>94</v>
      </c>
    </row>
    <row r="51" spans="1:11" ht="17.45" customHeight="1">
      <c r="A51" s="810" t="s">
        <v>96</v>
      </c>
      <c r="B51" s="810"/>
      <c r="C51" s="166">
        <f>SUMIF($G$7:$G$31,"Planned shut",$F$7:$F$31)</f>
        <v>0</v>
      </c>
      <c r="D51" s="120">
        <f>C51+'2'!D51</f>
        <v>0</v>
      </c>
      <c r="E51" s="145">
        <f t="shared" si="3"/>
        <v>0</v>
      </c>
      <c r="F51" s="185"/>
      <c r="H51" s="190" t="s">
        <v>97</v>
      </c>
      <c r="I51" s="143">
        <f>I49/I40</f>
        <v>83.186271623160863</v>
      </c>
      <c r="J51" s="138">
        <f>J49/J40</f>
        <v>89.466970644610342</v>
      </c>
      <c r="K51" s="139" t="s">
        <v>94</v>
      </c>
    </row>
    <row r="52" spans="1:11" ht="13.5" thickBot="1">
      <c r="A52" s="811" t="s">
        <v>230</v>
      </c>
      <c r="B52" s="812"/>
      <c r="C52" s="166">
        <f>SUMIF($G$7:$G$31,"Change Grade",$F$7:$F$31)</f>
        <v>0</v>
      </c>
      <c r="D52" s="120">
        <f>C52+'2'!D52</f>
        <v>0</v>
      </c>
      <c r="E52" s="145">
        <f t="shared" si="3"/>
        <v>0</v>
      </c>
      <c r="F52" s="185"/>
      <c r="H52" s="191"/>
      <c r="I52" s="192"/>
      <c r="J52" s="140"/>
      <c r="K52" s="141"/>
    </row>
    <row r="53" spans="1:11">
      <c r="A53" s="806" t="s">
        <v>29</v>
      </c>
      <c r="B53" s="807"/>
      <c r="C53" s="146">
        <f>SUM(C38:C52)</f>
        <v>100</v>
      </c>
      <c r="D53" s="146">
        <f>SUM(D38:D52)</f>
        <v>960</v>
      </c>
      <c r="E53" s="147">
        <f>SUM(E38:E52)</f>
        <v>16</v>
      </c>
      <c r="F53" s="185"/>
    </row>
    <row r="54" spans="1:11" ht="13.5" thickBot="1">
      <c r="A54" s="808"/>
      <c r="B54" s="809"/>
      <c r="C54" s="148">
        <f>C53/(24*60)</f>
        <v>6.9444444444444448E-2</v>
      </c>
      <c r="D54" s="148">
        <f>D53/(24*60*G4)</f>
        <v>0.22222222222222221</v>
      </c>
      <c r="E54" s="149">
        <f>E53/(G4*24)</f>
        <v>0.22222222222222221</v>
      </c>
      <c r="F54" s="185"/>
    </row>
    <row r="55" spans="1:11">
      <c r="E55" s="193"/>
    </row>
    <row r="56" spans="1:11">
      <c r="A56" s="194" t="s">
        <v>98</v>
      </c>
      <c r="B56" s="195"/>
      <c r="C56" s="196"/>
      <c r="D56" s="196"/>
      <c r="E56" s="196"/>
      <c r="F56" s="197"/>
      <c r="G56" s="196"/>
      <c r="H56" s="198"/>
      <c r="I56" s="199" t="s">
        <v>99</v>
      </c>
      <c r="J56" s="200">
        <f>+D34+'2'!J56</f>
        <v>0</v>
      </c>
      <c r="K56" s="201">
        <f>J56/(J40+J56/1000)/1000</f>
        <v>0</v>
      </c>
    </row>
    <row r="57" spans="1:11">
      <c r="A57" s="176"/>
      <c r="I57" s="199" t="s">
        <v>100</v>
      </c>
      <c r="J57" s="200">
        <f>+E34+'2'!J57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44"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0" zoomScale="80" zoomScaleNormal="75" zoomScaleSheetLayoutView="80" workbookViewId="0">
      <selection activeCell="H19" sqref="H19"/>
    </sheetView>
  </sheetViews>
  <sheetFormatPr defaultColWidth="9.140625" defaultRowHeight="12.75"/>
  <cols>
    <col min="1" max="1" width="8" style="151" customWidth="1"/>
    <col min="2" max="2" width="7" style="151" bestFit="1" customWidth="1"/>
    <col min="3" max="3" width="14.85546875" style="151" bestFit="1" customWidth="1"/>
    <col min="4" max="4" width="12.5703125" style="151" bestFit="1" customWidth="1"/>
    <col min="5" max="5" width="13.85546875" style="151" bestFit="1" customWidth="1"/>
    <col min="6" max="6" width="12.140625" style="112" customWidth="1"/>
    <col min="7" max="7" width="11.42578125" style="15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4.5703125" style="151" customWidth="1"/>
    <col min="14" max="16384" width="9.140625" style="151"/>
  </cols>
  <sheetData>
    <row r="1" spans="1:28" ht="15.75">
      <c r="A1" s="150"/>
      <c r="U1" s="519"/>
      <c r="V1" s="537"/>
    </row>
    <row r="2" spans="1:28" ht="15.75">
      <c r="A2" s="150" t="s">
        <v>231</v>
      </c>
      <c r="U2" s="519"/>
      <c r="V2" s="537"/>
    </row>
    <row r="3" spans="1:28" ht="15">
      <c r="A3" s="152"/>
      <c r="U3" s="519"/>
      <c r="V3" s="537"/>
    </row>
    <row r="4" spans="1:28" ht="20.25">
      <c r="A4" s="153" t="s">
        <v>4</v>
      </c>
      <c r="B4" s="154"/>
      <c r="F4" s="155" t="s">
        <v>31</v>
      </c>
      <c r="G4" s="156">
        <v>2</v>
      </c>
      <c r="H4" s="156" t="str">
        <f>+'1'!H4</f>
        <v>.07.25</v>
      </c>
      <c r="J4" s="151">
        <f>397+477+441</f>
        <v>1315</v>
      </c>
      <c r="X4" s="176"/>
    </row>
    <row r="5" spans="1:28" ht="13.5" thickBot="1">
      <c r="C5" s="157"/>
      <c r="D5" s="157"/>
      <c r="Y5" s="176"/>
      <c r="Z5" s="176"/>
    </row>
    <row r="6" spans="1:28"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425</v>
      </c>
      <c r="O6" s="151">
        <v>1150</v>
      </c>
      <c r="P6" s="151">
        <f>+O6-O6*0.23</f>
        <v>885.5</v>
      </c>
      <c r="Q6" s="151">
        <f>480-265</f>
        <v>215</v>
      </c>
      <c r="R6" s="151">
        <f>+O6*Q6</f>
        <v>247250</v>
      </c>
      <c r="S6" s="151">
        <f>+P6*Q6</f>
        <v>190382.5</v>
      </c>
      <c r="W6" s="519"/>
    </row>
    <row r="7" spans="1:28" ht="13.5" customHeight="1" thickBot="1">
      <c r="A7" s="795" t="s">
        <v>442</v>
      </c>
      <c r="B7" s="215" t="s">
        <v>445</v>
      </c>
      <c r="C7" s="216">
        <v>5609</v>
      </c>
      <c r="D7" s="217"/>
      <c r="E7" s="218"/>
      <c r="F7" s="233"/>
      <c r="G7" s="555" t="s">
        <v>13</v>
      </c>
      <c r="H7" s="556" t="s">
        <v>461</v>
      </c>
      <c r="I7" s="798" t="s">
        <v>457</v>
      </c>
      <c r="J7" s="214" t="str">
        <f>+'1'!J7</f>
        <v>F 12 VP OW</v>
      </c>
      <c r="K7" s="235"/>
      <c r="L7" s="239"/>
      <c r="M7" s="119">
        <f>+K7+'1'!M7+L7</f>
        <v>10598</v>
      </c>
      <c r="P7" s="151">
        <f t="shared" ref="P7:P10" si="0">+O7-O7*0.23</f>
        <v>0</v>
      </c>
      <c r="R7" s="151">
        <f>+O7*Q7</f>
        <v>0</v>
      </c>
      <c r="S7" s="151">
        <f>+P7*Q7</f>
        <v>0</v>
      </c>
      <c r="Z7" s="176"/>
    </row>
    <row r="8" spans="1:28" ht="13.5" thickBot="1">
      <c r="A8" s="796"/>
      <c r="B8" s="215"/>
      <c r="C8" s="216"/>
      <c r="D8" s="217"/>
      <c r="E8" s="219"/>
      <c r="F8" s="229"/>
      <c r="G8" s="557" t="s">
        <v>13</v>
      </c>
      <c r="H8" s="228" t="s">
        <v>433</v>
      </c>
      <c r="I8" s="799"/>
      <c r="J8" s="214" t="str">
        <f>+'1'!J8</f>
        <v>F 11,5 VP OW</v>
      </c>
      <c r="K8" s="236">
        <f>+C34</f>
        <v>35039</v>
      </c>
      <c r="L8" s="236"/>
      <c r="M8" s="119">
        <f>+K8+'1'!M8+L8</f>
        <v>44503</v>
      </c>
      <c r="P8" s="151">
        <f t="shared" si="0"/>
        <v>0</v>
      </c>
      <c r="R8" s="151">
        <f>+O8*Q8</f>
        <v>0</v>
      </c>
      <c r="S8" s="151">
        <f>+P8*Q8</f>
        <v>0</v>
      </c>
      <c r="AA8" s="176"/>
      <c r="AB8" s="176"/>
    </row>
    <row r="9" spans="1:28" ht="13.5" thickBot="1">
      <c r="A9" s="796"/>
      <c r="B9" s="215"/>
      <c r="C9" s="216"/>
      <c r="D9" s="217"/>
      <c r="E9" s="220"/>
      <c r="F9" s="229"/>
      <c r="G9" s="557" t="s">
        <v>13</v>
      </c>
      <c r="H9" s="231" t="s">
        <v>460</v>
      </c>
      <c r="I9" s="799"/>
      <c r="J9" s="214">
        <f>+'1'!J9</f>
        <v>0</v>
      </c>
      <c r="K9" s="236"/>
      <c r="L9" s="236"/>
      <c r="M9" s="119">
        <f>+K9+'1'!M9+L9</f>
        <v>0</v>
      </c>
      <c r="P9" s="151">
        <f t="shared" si="0"/>
        <v>0</v>
      </c>
      <c r="R9" s="151">
        <f>+O9*Q9</f>
        <v>0</v>
      </c>
      <c r="S9" s="151">
        <f>+P9*Q9</f>
        <v>0</v>
      </c>
    </row>
    <row r="10" spans="1:28" ht="51.75" thickBot="1">
      <c r="A10" s="796"/>
      <c r="B10" s="215"/>
      <c r="C10" s="216"/>
      <c r="D10" s="217"/>
      <c r="E10" s="219"/>
      <c r="F10" s="229">
        <v>130</v>
      </c>
      <c r="G10" s="557" t="s">
        <v>13</v>
      </c>
      <c r="H10" s="558" t="s">
        <v>450</v>
      </c>
      <c r="I10" s="799"/>
      <c r="J10" s="214">
        <f>+'1'!J10</f>
        <v>0</v>
      </c>
      <c r="K10" s="236"/>
      <c r="L10" s="236"/>
      <c r="M10" s="119">
        <f>+K10+'1'!M10+L10</f>
        <v>0</v>
      </c>
      <c r="P10" s="151">
        <f t="shared" si="0"/>
        <v>0</v>
      </c>
      <c r="R10" s="151">
        <f>+O10*Q10</f>
        <v>0</v>
      </c>
      <c r="S10" s="151">
        <f>+P10*Q10</f>
        <v>0</v>
      </c>
    </row>
    <row r="11" spans="1:28" ht="69.75" customHeight="1" thickBot="1">
      <c r="A11" s="796"/>
      <c r="B11" s="215"/>
      <c r="C11" s="216"/>
      <c r="D11" s="217"/>
      <c r="E11" s="219"/>
      <c r="F11" s="226">
        <v>135</v>
      </c>
      <c r="G11" s="230" t="s">
        <v>21</v>
      </c>
      <c r="H11" s="231" t="s">
        <v>451</v>
      </c>
      <c r="I11" s="799"/>
      <c r="J11" s="214">
        <f>+'1'!J11</f>
        <v>0</v>
      </c>
      <c r="K11" s="236"/>
      <c r="L11" s="236"/>
      <c r="M11" s="119">
        <f>+K11+'1'!M11+L11</f>
        <v>0</v>
      </c>
      <c r="W11" s="520"/>
    </row>
    <row r="12" spans="1:28" ht="13.5" thickBot="1">
      <c r="A12" s="796"/>
      <c r="B12" s="215"/>
      <c r="C12" s="216"/>
      <c r="D12" s="217"/>
      <c r="E12" s="219"/>
      <c r="F12" s="226"/>
      <c r="G12" s="230"/>
      <c r="H12" s="231"/>
      <c r="I12" s="799"/>
      <c r="J12" s="214">
        <f>+'1'!J12</f>
        <v>0</v>
      </c>
      <c r="K12" s="236"/>
      <c r="L12" s="236"/>
      <c r="M12" s="119">
        <f>+K12+'1'!M12+L12</f>
        <v>0</v>
      </c>
      <c r="Q12" s="151">
        <f>SUM(Q6:Q11)</f>
        <v>215</v>
      </c>
      <c r="R12" s="151">
        <f>SUM(R6:R9)</f>
        <v>247250</v>
      </c>
      <c r="S12" s="151">
        <f>SUM(S6:S9)</f>
        <v>190382.5</v>
      </c>
    </row>
    <row r="13" spans="1:28" ht="13.5" thickBot="1">
      <c r="A13" s="796"/>
      <c r="B13" s="215"/>
      <c r="C13" s="216"/>
      <c r="D13" s="216"/>
      <c r="E13" s="219"/>
      <c r="F13" s="226"/>
      <c r="G13" s="230"/>
      <c r="H13" s="231"/>
      <c r="I13" s="800"/>
      <c r="J13" s="214">
        <f>+'1'!J13</f>
        <v>0</v>
      </c>
      <c r="K13" s="236"/>
      <c r="L13" s="236"/>
      <c r="M13" s="119">
        <f>+K13+'1'!M13+L13</f>
        <v>0</v>
      </c>
      <c r="P13" s="151" t="s">
        <v>424</v>
      </c>
      <c r="Q13" s="151">
        <f>480-Q12</f>
        <v>265</v>
      </c>
      <c r="R13" s="151">
        <f>+R12/Q12</f>
        <v>1150</v>
      </c>
      <c r="S13" s="151">
        <f>+S12/Q12</f>
        <v>885.5</v>
      </c>
    </row>
    <row r="14" spans="1:28" ht="13.5" thickBot="1">
      <c r="A14" s="797"/>
      <c r="B14" s="167" t="s">
        <v>3</v>
      </c>
      <c r="C14" s="101">
        <f>SUM(C7:C13)</f>
        <v>5609</v>
      </c>
      <c r="D14" s="113">
        <f>SUM(D7:D13)</f>
        <v>0</v>
      </c>
      <c r="E14" s="114">
        <f>SUM(E5:E13)</f>
        <v>0</v>
      </c>
      <c r="F14" s="118">
        <f>SUM(F7:F13)</f>
        <v>265</v>
      </c>
      <c r="G14" s="161"/>
      <c r="H14" s="168"/>
      <c r="I14" s="169"/>
      <c r="J14" s="214">
        <f>+'1'!J14</f>
        <v>0</v>
      </c>
      <c r="K14" s="236"/>
      <c r="L14" s="236"/>
      <c r="M14" s="119">
        <f>+K14+'1'!M14+L14</f>
        <v>0</v>
      </c>
      <c r="Z14" s="521"/>
    </row>
    <row r="15" spans="1:28" ht="13.5" customHeight="1" thickBot="1">
      <c r="A15" s="801" t="s">
        <v>470</v>
      </c>
      <c r="B15" s="518"/>
      <c r="C15" s="115">
        <f>C14/($C$23+$D$23+$E$23)</f>
        <v>0.42647506082725062</v>
      </c>
      <c r="D15" s="116">
        <f>D14/($C$23+$D$23+$E$23)</f>
        <v>0</v>
      </c>
      <c r="E15" s="117">
        <f>E14/($C$23+$D$23+$E$23)</f>
        <v>0</v>
      </c>
      <c r="F15" s="233"/>
      <c r="G15" s="555" t="s">
        <v>13</v>
      </c>
      <c r="H15" s="556" t="s">
        <v>461</v>
      </c>
      <c r="I15" s="798" t="s">
        <v>458</v>
      </c>
      <c r="J15" s="214">
        <f>+'1'!J15</f>
        <v>0</v>
      </c>
      <c r="K15" s="236"/>
      <c r="L15" s="236"/>
      <c r="M15" s="119">
        <f>+K15+'1'!M15+L15</f>
        <v>0</v>
      </c>
      <c r="N15" s="151" t="s">
        <v>425</v>
      </c>
      <c r="O15" s="151">
        <v>1250</v>
      </c>
      <c r="P15" s="151">
        <f>+O15-O15*0.23</f>
        <v>962.5</v>
      </c>
      <c r="Q15" s="151">
        <v>480</v>
      </c>
      <c r="R15" s="151">
        <f>+O15*Q15</f>
        <v>600000</v>
      </c>
      <c r="S15" s="151">
        <f>+P15*Q15</f>
        <v>462000</v>
      </c>
      <c r="AA15" s="521"/>
      <c r="AB15" s="521"/>
    </row>
    <row r="16" spans="1:28" ht="13.5" thickBot="1">
      <c r="A16" s="796"/>
      <c r="B16" s="215" t="s">
        <v>445</v>
      </c>
      <c r="C16" s="516">
        <v>13152</v>
      </c>
      <c r="D16" s="221"/>
      <c r="E16" s="222"/>
      <c r="F16" s="229">
        <v>4</v>
      </c>
      <c r="G16" s="557" t="s">
        <v>13</v>
      </c>
      <c r="H16" s="228" t="s">
        <v>462</v>
      </c>
      <c r="I16" s="799"/>
      <c r="J16" s="214">
        <f>+'1'!J16</f>
        <v>0</v>
      </c>
      <c r="K16" s="227"/>
      <c r="L16" s="227"/>
      <c r="M16" s="119">
        <f>+K16+'1'!M16+L16</f>
        <v>0</v>
      </c>
      <c r="P16" s="151">
        <f t="shared" ref="P16:P19" si="1">+O16-O16*0.23</f>
        <v>0</v>
      </c>
      <c r="R16" s="151">
        <f>+O16*Q16</f>
        <v>0</v>
      </c>
      <c r="S16" s="151">
        <f>+P16*Q16</f>
        <v>0</v>
      </c>
    </row>
    <row r="17" spans="1:19" ht="13.5" thickBot="1">
      <c r="A17" s="796"/>
      <c r="B17" s="215"/>
      <c r="C17" s="216"/>
      <c r="D17" s="217"/>
      <c r="E17" s="223"/>
      <c r="F17" s="229">
        <v>7</v>
      </c>
      <c r="G17" s="557" t="s">
        <v>13</v>
      </c>
      <c r="H17" s="231" t="s">
        <v>400</v>
      </c>
      <c r="I17" s="799"/>
      <c r="J17" s="214">
        <f>+'1'!J17</f>
        <v>0</v>
      </c>
      <c r="K17" s="227"/>
      <c r="L17" s="227"/>
      <c r="M17" s="119">
        <f>+K17+'1'!M17+L17</f>
        <v>0</v>
      </c>
      <c r="P17" s="151">
        <f t="shared" si="1"/>
        <v>0</v>
      </c>
      <c r="R17" s="151">
        <f>+O17*Q17</f>
        <v>0</v>
      </c>
      <c r="S17" s="151">
        <f>+P17*Q17</f>
        <v>0</v>
      </c>
    </row>
    <row r="18" spans="1:19" ht="77.25" thickBot="1">
      <c r="A18" s="796"/>
      <c r="B18" s="215"/>
      <c r="C18" s="216"/>
      <c r="D18" s="217"/>
      <c r="E18" s="223"/>
      <c r="F18" s="229"/>
      <c r="G18" s="227"/>
      <c r="H18" s="558" t="s">
        <v>455</v>
      </c>
      <c r="I18" s="799"/>
      <c r="J18" s="214">
        <f>+'1'!J18</f>
        <v>0</v>
      </c>
      <c r="K18" s="236"/>
      <c r="L18" s="236"/>
      <c r="M18" s="119">
        <f>+K18+'1'!M18+L18</f>
        <v>0</v>
      </c>
      <c r="P18" s="151">
        <f t="shared" si="1"/>
        <v>0</v>
      </c>
      <c r="R18" s="151">
        <f>+O18*Q18</f>
        <v>0</v>
      </c>
      <c r="S18" s="151">
        <f>+P18*Q18</f>
        <v>0</v>
      </c>
    </row>
    <row r="19" spans="1:19" ht="151.5" customHeight="1" thickBot="1">
      <c r="A19" s="796"/>
      <c r="B19" s="215"/>
      <c r="C19" s="216"/>
      <c r="D19" s="217"/>
      <c r="E19" s="220"/>
      <c r="F19" s="232"/>
      <c r="G19" s="230"/>
      <c r="H19" s="231" t="s">
        <v>452</v>
      </c>
      <c r="I19" s="799"/>
      <c r="J19" s="214">
        <f>+'1'!J19</f>
        <v>0</v>
      </c>
      <c r="K19" s="236"/>
      <c r="L19" s="236"/>
      <c r="M19" s="119">
        <f>+K19+'1'!M19+L19</f>
        <v>0</v>
      </c>
      <c r="P19" s="151">
        <f t="shared" si="1"/>
        <v>0</v>
      </c>
      <c r="R19" s="151">
        <f>+O19*Q19</f>
        <v>0</v>
      </c>
      <c r="S19" s="151">
        <f>+P19*Q19</f>
        <v>0</v>
      </c>
    </row>
    <row r="20" spans="1:19" ht="13.5" thickBot="1">
      <c r="A20" s="796"/>
      <c r="B20" s="215"/>
      <c r="C20" s="216"/>
      <c r="D20" s="217"/>
      <c r="E20" s="223"/>
      <c r="F20" s="226">
        <v>68</v>
      </c>
      <c r="G20" s="230" t="s">
        <v>21</v>
      </c>
      <c r="H20" s="231"/>
      <c r="I20" s="799"/>
      <c r="J20" s="214">
        <f>+'1'!J20</f>
        <v>0</v>
      </c>
      <c r="K20" s="237"/>
      <c r="L20" s="237"/>
      <c r="M20" s="119">
        <f>+K20+'1'!M20+L20</f>
        <v>0</v>
      </c>
    </row>
    <row r="21" spans="1:19" ht="13.5" thickBot="1">
      <c r="A21" s="796"/>
      <c r="B21" s="215"/>
      <c r="C21" s="216"/>
      <c r="D21" s="217"/>
      <c r="E21" s="223"/>
      <c r="F21" s="229"/>
      <c r="G21" s="230"/>
      <c r="H21" s="231"/>
      <c r="I21" s="799"/>
      <c r="J21" s="214">
        <f>+'1'!J21</f>
        <v>0</v>
      </c>
      <c r="K21" s="236"/>
      <c r="L21" s="236"/>
      <c r="M21" s="119">
        <f>+K21+'1'!M21+L21</f>
        <v>0</v>
      </c>
      <c r="Q21" s="151">
        <f>SUM(Q15:Q20)</f>
        <v>480</v>
      </c>
      <c r="R21" s="151">
        <f>SUM(R15:R18)</f>
        <v>600000</v>
      </c>
      <c r="S21" s="151">
        <f>SUM(S15:S18)</f>
        <v>462000</v>
      </c>
    </row>
    <row r="22" spans="1:19" ht="13.5" thickBot="1">
      <c r="A22" s="796"/>
      <c r="B22" s="215"/>
      <c r="C22" s="216"/>
      <c r="D22" s="217"/>
      <c r="E22" s="223"/>
      <c r="F22" s="233"/>
      <c r="G22" s="230"/>
      <c r="H22" s="231"/>
      <c r="I22" s="800"/>
      <c r="J22" s="214">
        <f>+'1'!J22</f>
        <v>0</v>
      </c>
      <c r="K22" s="236"/>
      <c r="L22" s="236"/>
      <c r="M22" s="119">
        <f>+K22+'1'!M22+L22</f>
        <v>0</v>
      </c>
      <c r="P22" s="151" t="s">
        <v>424</v>
      </c>
      <c r="Q22" s="151">
        <f>480-Q21</f>
        <v>0</v>
      </c>
      <c r="R22" s="151">
        <f>+R21/Q21</f>
        <v>1250</v>
      </c>
      <c r="S22" s="151">
        <f>+S21/Q21</f>
        <v>962.5</v>
      </c>
    </row>
    <row r="23" spans="1:19" ht="13.5" thickBot="1">
      <c r="A23" s="797"/>
      <c r="B23" s="167" t="s">
        <v>3</v>
      </c>
      <c r="C23" s="101">
        <f>SUM(C16:C22)</f>
        <v>13152</v>
      </c>
      <c r="D23" s="113">
        <f>SUM(D16:D22)</f>
        <v>0</v>
      </c>
      <c r="E23" s="114">
        <f>SUM(E18:E22)</f>
        <v>0</v>
      </c>
      <c r="F23" s="118">
        <f>SUM(F15:F22)</f>
        <v>79</v>
      </c>
      <c r="G23" s="161"/>
      <c r="H23" s="168"/>
      <c r="I23" s="170"/>
      <c r="J23" s="214">
        <f>+'1'!J23</f>
        <v>0</v>
      </c>
      <c r="K23" s="236"/>
      <c r="L23" s="236"/>
      <c r="M23" s="119">
        <f>+K23+'1'!M23+L23</f>
        <v>0</v>
      </c>
    </row>
    <row r="24" spans="1:19" ht="13.5" customHeight="1" thickBot="1">
      <c r="A24" s="801" t="s">
        <v>444</v>
      </c>
      <c r="B24" s="518"/>
      <c r="C24" s="115">
        <f>C23/($C$23+$D$23+$E$23)</f>
        <v>1</v>
      </c>
      <c r="D24" s="116">
        <f>D23/($C$23+$D$23+$E$23)</f>
        <v>0</v>
      </c>
      <c r="E24" s="117">
        <f>E23/($C$23+$D$23+$E$23)</f>
        <v>0</v>
      </c>
      <c r="F24" s="233">
        <v>4</v>
      </c>
      <c r="G24" s="555" t="s">
        <v>13</v>
      </c>
      <c r="H24" s="556" t="s">
        <v>464</v>
      </c>
      <c r="I24" s="798" t="s">
        <v>459</v>
      </c>
      <c r="J24" s="214">
        <f>+'1'!J24</f>
        <v>0</v>
      </c>
      <c r="K24" s="236"/>
      <c r="L24" s="236"/>
      <c r="M24" s="119">
        <f>+K24+'1'!M24+L24</f>
        <v>0</v>
      </c>
      <c r="N24" s="519"/>
      <c r="O24" s="537"/>
    </row>
    <row r="25" spans="1:19" ht="13.5" thickBot="1">
      <c r="A25" s="796"/>
      <c r="B25" s="215" t="s">
        <v>445</v>
      </c>
      <c r="C25" s="224">
        <v>16278</v>
      </c>
      <c r="D25" s="217"/>
      <c r="E25" s="223"/>
      <c r="F25" s="229">
        <v>6</v>
      </c>
      <c r="G25" s="557" t="s">
        <v>13</v>
      </c>
      <c r="H25" s="228" t="s">
        <v>462</v>
      </c>
      <c r="I25" s="799"/>
      <c r="J25" s="214">
        <f>+'1'!J25</f>
        <v>0</v>
      </c>
      <c r="K25" s="236"/>
      <c r="L25" s="236"/>
      <c r="M25" s="119">
        <f>+K25+'1'!M25+L25</f>
        <v>0</v>
      </c>
      <c r="N25" s="151" t="s">
        <v>425</v>
      </c>
      <c r="O25" s="151">
        <v>1350</v>
      </c>
      <c r="P25" s="151">
        <f>+O25-O25*0.23</f>
        <v>1039.5</v>
      </c>
      <c r="Q25" s="151">
        <v>480</v>
      </c>
      <c r="R25" s="151">
        <f>+O25*Q25</f>
        <v>648000</v>
      </c>
      <c r="S25" s="151">
        <f>+P25*Q25</f>
        <v>498960</v>
      </c>
    </row>
    <row r="26" spans="1:19" ht="13.5" thickBot="1">
      <c r="A26" s="796"/>
      <c r="B26" s="215"/>
      <c r="C26" s="224"/>
      <c r="D26" s="217"/>
      <c r="E26" s="225"/>
      <c r="F26" s="229">
        <v>10</v>
      </c>
      <c r="G26" s="557" t="s">
        <v>13</v>
      </c>
      <c r="H26" s="231" t="s">
        <v>463</v>
      </c>
      <c r="I26" s="799"/>
      <c r="J26" s="214">
        <f>+'1'!J26</f>
        <v>0</v>
      </c>
      <c r="K26" s="236"/>
      <c r="L26" s="236"/>
      <c r="M26" s="119">
        <f>+K26+'1'!M26+L26</f>
        <v>0</v>
      </c>
      <c r="P26" s="151">
        <f t="shared" ref="P26:P29" si="2">+O26-O26*0.23</f>
        <v>0</v>
      </c>
      <c r="R26" s="151">
        <f>+O26*Q26</f>
        <v>0</v>
      </c>
      <c r="S26" s="151">
        <f>+P26*Q26</f>
        <v>0</v>
      </c>
    </row>
    <row r="27" spans="1:19" ht="64.5" thickBot="1">
      <c r="A27" s="796"/>
      <c r="B27" s="215"/>
      <c r="C27" s="216"/>
      <c r="D27" s="217"/>
      <c r="E27" s="223"/>
      <c r="F27" s="229"/>
      <c r="G27" s="227"/>
      <c r="H27" s="558" t="s">
        <v>453</v>
      </c>
      <c r="I27" s="799"/>
      <c r="J27" s="214">
        <f>+'1'!J27</f>
        <v>0</v>
      </c>
      <c r="K27" s="236"/>
      <c r="L27" s="236"/>
      <c r="M27" s="119">
        <f>+K27+'1'!M27+L27</f>
        <v>0</v>
      </c>
      <c r="P27" s="151">
        <f t="shared" si="2"/>
        <v>0</v>
      </c>
      <c r="R27" s="151">
        <f>+O27*Q27</f>
        <v>0</v>
      </c>
      <c r="S27" s="151">
        <f>+P27*Q27</f>
        <v>0</v>
      </c>
    </row>
    <row r="28" spans="1:19" ht="39" thickBot="1">
      <c r="A28" s="796"/>
      <c r="B28" s="215"/>
      <c r="C28" s="216"/>
      <c r="D28" s="217"/>
      <c r="E28" s="223"/>
      <c r="F28" s="229"/>
      <c r="G28" s="227"/>
      <c r="H28" s="231" t="s">
        <v>454</v>
      </c>
      <c r="I28" s="799"/>
      <c r="J28" s="214">
        <f>+'1'!J28</f>
        <v>0</v>
      </c>
      <c r="K28" s="236"/>
      <c r="L28" s="236"/>
      <c r="M28" s="119">
        <f>+K28+'1'!M28+L28</f>
        <v>0</v>
      </c>
      <c r="P28" s="151">
        <f t="shared" si="2"/>
        <v>0</v>
      </c>
      <c r="R28" s="151">
        <f>+O28*Q28</f>
        <v>0</v>
      </c>
      <c r="S28" s="151">
        <f>+P28*Q28</f>
        <v>0</v>
      </c>
    </row>
    <row r="29" spans="1:19" ht="13.5" thickBot="1">
      <c r="A29" s="796"/>
      <c r="B29" s="215"/>
      <c r="C29" s="216"/>
      <c r="D29" s="217"/>
      <c r="E29" s="223"/>
      <c r="F29" s="233"/>
      <c r="G29" s="230"/>
      <c r="H29" s="231"/>
      <c r="I29" s="799"/>
      <c r="J29" s="214">
        <f>+'1'!J29</f>
        <v>0</v>
      </c>
      <c r="K29" s="236"/>
      <c r="L29" s="236"/>
      <c r="M29" s="119">
        <f>+K29+'1'!M29+L29</f>
        <v>0</v>
      </c>
      <c r="P29" s="151">
        <f t="shared" si="2"/>
        <v>0</v>
      </c>
      <c r="R29" s="151">
        <f>+O29*Q29</f>
        <v>0</v>
      </c>
      <c r="S29" s="151">
        <f>+P29*Q29</f>
        <v>0</v>
      </c>
    </row>
    <row r="30" spans="1:19" ht="13.5" thickBot="1">
      <c r="A30" s="796"/>
      <c r="B30" s="215"/>
      <c r="C30" s="224"/>
      <c r="D30" s="217"/>
      <c r="E30" s="223"/>
      <c r="F30" s="233"/>
      <c r="G30" s="230"/>
      <c r="H30" s="231"/>
      <c r="I30" s="799"/>
      <c r="J30" s="214">
        <f>+'1'!J30</f>
        <v>0</v>
      </c>
      <c r="K30" s="236"/>
      <c r="L30" s="236"/>
      <c r="M30" s="119">
        <f>+K30+'1'!M30+L30</f>
        <v>0</v>
      </c>
    </row>
    <row r="31" spans="1:19" ht="13.5" thickBot="1">
      <c r="A31" s="796"/>
      <c r="B31" s="215"/>
      <c r="C31" s="224"/>
      <c r="D31" s="217"/>
      <c r="E31" s="223"/>
      <c r="F31" s="233"/>
      <c r="G31" s="234"/>
      <c r="H31" s="409"/>
      <c r="I31" s="800"/>
      <c r="J31" s="214">
        <f>+'1'!J31</f>
        <v>0</v>
      </c>
      <c r="K31" s="236"/>
      <c r="L31" s="236"/>
      <c r="M31" s="119">
        <f>+K31+'1'!M31+L31</f>
        <v>0</v>
      </c>
      <c r="Q31" s="151">
        <f>SUM(Q25:Q30)</f>
        <v>480</v>
      </c>
      <c r="R31" s="151">
        <f>SUM(R25:R28)</f>
        <v>648000</v>
      </c>
      <c r="S31" s="151">
        <f>SUM(S25:S28)</f>
        <v>498960</v>
      </c>
    </row>
    <row r="32" spans="1:19" ht="13.5" thickBot="1">
      <c r="A32" s="797"/>
      <c r="B32" s="167" t="s">
        <v>3</v>
      </c>
      <c r="C32" s="101">
        <f>SUM(C25:C31)</f>
        <v>16278</v>
      </c>
      <c r="D32" s="102">
        <f>SUM(D25:D31)</f>
        <v>0</v>
      </c>
      <c r="E32" s="103">
        <f>SUM(E25:E31)</f>
        <v>0</v>
      </c>
      <c r="F32" s="101">
        <f>SUM(F24:F31)</f>
        <v>20</v>
      </c>
      <c r="G32" s="171"/>
      <c r="H32" s="172"/>
      <c r="I32" s="170"/>
      <c r="J32" s="214">
        <f>+'1'!J32</f>
        <v>0</v>
      </c>
      <c r="K32" s="238"/>
      <c r="L32" s="240"/>
      <c r="M32" s="119">
        <f>+K32+'1'!M32+L32</f>
        <v>0</v>
      </c>
      <c r="P32" s="151" t="s">
        <v>424</v>
      </c>
      <c r="Q32" s="151">
        <f>480-Q31</f>
        <v>0</v>
      </c>
      <c r="R32" s="151">
        <f>+R31/Q31</f>
        <v>1350</v>
      </c>
      <c r="S32" s="151">
        <f>+S31/Q31</f>
        <v>1039.5</v>
      </c>
    </row>
    <row r="33" spans="1:23" ht="13.5" thickBot="1">
      <c r="A33" s="173"/>
      <c r="B33" s="174"/>
      <c r="C33" s="105">
        <f>C32/($C$32+$D$32+$E$32)</f>
        <v>1</v>
      </c>
      <c r="D33" s="106">
        <f>D32/($C$32+$D$32+$E$32)</f>
        <v>0</v>
      </c>
      <c r="E33" s="107">
        <f>E32/($C$32+$D$32+$E$32)</f>
        <v>0</v>
      </c>
      <c r="F33" s="108"/>
      <c r="G33" s="175"/>
      <c r="H33" s="176"/>
      <c r="I33" s="177"/>
      <c r="J33" s="123"/>
      <c r="K33" s="124"/>
      <c r="L33" s="213"/>
      <c r="M33" s="121"/>
    </row>
    <row r="34" spans="1:23" ht="13.5" thickBot="1">
      <c r="A34" s="802" t="s">
        <v>69</v>
      </c>
      <c r="B34" s="803"/>
      <c r="C34" s="109">
        <f>C14+C23+C32</f>
        <v>35039</v>
      </c>
      <c r="D34" s="109">
        <f>D14+D23+D32</f>
        <v>0</v>
      </c>
      <c r="E34" s="109">
        <f>E14+E23+E32</f>
        <v>0</v>
      </c>
      <c r="F34" s="110">
        <f>F14+F23+F32</f>
        <v>364</v>
      </c>
      <c r="H34" s="178"/>
      <c r="I34" s="178"/>
      <c r="J34" s="125" t="s">
        <v>29</v>
      </c>
      <c r="K34" s="126">
        <f>SUM(K7:K32)</f>
        <v>35039</v>
      </c>
      <c r="L34" s="212">
        <f>SUM(L7:L32)</f>
        <v>0</v>
      </c>
      <c r="M34" s="122">
        <f>SUM(M7:M32)</f>
        <v>55101</v>
      </c>
      <c r="N34" s="157"/>
    </row>
    <row r="35" spans="1:23" ht="13.5" thickBot="1">
      <c r="A35" s="179"/>
      <c r="B35" s="180"/>
      <c r="C35" s="106">
        <f>C34/($C$34+$D$34+$E$34)</f>
        <v>1</v>
      </c>
      <c r="D35" s="106">
        <f>D34/($C$34+$D$34+$E$34)</f>
        <v>0</v>
      </c>
      <c r="E35" s="111">
        <f>E34/($C$34+$D$34+$E$34)</f>
        <v>0</v>
      </c>
      <c r="K35" s="157"/>
    </row>
    <row r="36" spans="1:23" ht="13.5" thickBot="1">
      <c r="A36" s="178"/>
      <c r="B36" s="178"/>
      <c r="C36" s="157"/>
      <c r="D36" s="157"/>
      <c r="E36" s="157"/>
      <c r="G36" s="157"/>
      <c r="H36" s="181"/>
      <c r="I36" s="164" t="s">
        <v>39</v>
      </c>
      <c r="J36" s="164" t="s">
        <v>40</v>
      </c>
      <c r="K36" s="182"/>
      <c r="N36" s="151">
        <v>215</v>
      </c>
    </row>
    <row r="37" spans="1:23" ht="17.45" customHeight="1" thickBot="1">
      <c r="A37" s="804" t="s">
        <v>70</v>
      </c>
      <c r="B37" s="805"/>
      <c r="C37" s="164" t="s">
        <v>71</v>
      </c>
      <c r="D37" s="183" t="s">
        <v>72</v>
      </c>
      <c r="E37" s="184" t="s">
        <v>73</v>
      </c>
      <c r="F37" s="309"/>
      <c r="G37" s="311"/>
      <c r="H37" s="186" t="s">
        <v>74</v>
      </c>
      <c r="I37" s="241">
        <f>(11.5*1175)/1175*G42*2.74*1175/1000000</f>
        <v>36.278802174999996</v>
      </c>
      <c r="J37" s="127">
        <f>+I37+'1'!J37</f>
        <v>67.582131520635869</v>
      </c>
      <c r="K37" s="128" t="s">
        <v>75</v>
      </c>
      <c r="N37" s="151">
        <v>480</v>
      </c>
    </row>
    <row r="38" spans="1:23" ht="17.45" customHeight="1">
      <c r="A38" s="806" t="s">
        <v>13</v>
      </c>
      <c r="B38" s="807"/>
      <c r="C38" s="166">
        <f>SUMIF($G$7:$G$31,"Process",$F$7:$F$31)</f>
        <v>161</v>
      </c>
      <c r="D38" s="120">
        <f>C38+'1'!D38</f>
        <v>419</v>
      </c>
      <c r="E38" s="145">
        <f t="shared" ref="E38:E52" si="3">D38/60</f>
        <v>6.9833333333333334</v>
      </c>
      <c r="F38" s="309">
        <v>1150</v>
      </c>
      <c r="G38" s="309">
        <v>885.5</v>
      </c>
      <c r="H38" s="187" t="s">
        <v>76</v>
      </c>
      <c r="I38" s="242">
        <f>5.011+15.124+14.158</f>
        <v>34.292999999999999</v>
      </c>
      <c r="J38" s="129">
        <f>+I38+'1'!J38</f>
        <v>60.518000000000001</v>
      </c>
      <c r="K38" s="130" t="s">
        <v>75</v>
      </c>
      <c r="N38" s="151">
        <v>480</v>
      </c>
    </row>
    <row r="39" spans="1:23" ht="17.45" customHeight="1">
      <c r="A39" s="793" t="s">
        <v>14</v>
      </c>
      <c r="B39" s="794"/>
      <c r="C39" s="166">
        <f>SUMIF($G$7:$G$31,"Cleaning",$F$7:$F$31)</f>
        <v>0</v>
      </c>
      <c r="D39" s="120">
        <f>C39+'1'!D39</f>
        <v>0</v>
      </c>
      <c r="E39" s="145">
        <f t="shared" si="3"/>
        <v>0</v>
      </c>
      <c r="F39" s="309">
        <v>1250</v>
      </c>
      <c r="G39" s="309">
        <v>962.5</v>
      </c>
      <c r="H39" s="187" t="s">
        <v>77</v>
      </c>
      <c r="I39" s="144"/>
      <c r="J39" s="131">
        <f>J37/G4</f>
        <v>33.791065760317935</v>
      </c>
      <c r="K39" s="132" t="s">
        <v>75</v>
      </c>
      <c r="N39" s="151">
        <f>SUM(N36:N38)</f>
        <v>1175</v>
      </c>
    </row>
    <row r="40" spans="1:23" ht="17.45" customHeight="1">
      <c r="A40" s="793" t="s">
        <v>78</v>
      </c>
      <c r="B40" s="794"/>
      <c r="C40" s="166">
        <f>SUMIF($G$7:$G$31,"Mechanical",$F$7:$F$31)</f>
        <v>0</v>
      </c>
      <c r="D40" s="120">
        <f>C40+'1'!D40</f>
        <v>0</v>
      </c>
      <c r="E40" s="145">
        <f t="shared" si="3"/>
        <v>0</v>
      </c>
      <c r="F40" s="309">
        <v>1350</v>
      </c>
      <c r="G40" s="309">
        <v>1039.5</v>
      </c>
      <c r="H40" s="187" t="s">
        <v>79</v>
      </c>
      <c r="I40" s="120">
        <f>(K34+L34)/1000</f>
        <v>35.039000000000001</v>
      </c>
      <c r="J40" s="133">
        <f>+I40+'1'!J40</f>
        <v>55.100999999999999</v>
      </c>
      <c r="K40" s="132" t="s">
        <v>75</v>
      </c>
    </row>
    <row r="41" spans="1:23" ht="17.45" customHeight="1" thickBot="1">
      <c r="A41" s="793" t="s">
        <v>80</v>
      </c>
      <c r="B41" s="794"/>
      <c r="C41" s="166">
        <f>SUMIF($G$7:$G$31,"Electrical",$F$7:$F$31)</f>
        <v>0</v>
      </c>
      <c r="D41" s="120">
        <f>C41+'1'!D41</f>
        <v>0</v>
      </c>
      <c r="E41" s="145">
        <f t="shared" si="3"/>
        <v>0</v>
      </c>
      <c r="F41" s="309"/>
      <c r="G41" s="309"/>
      <c r="H41" s="187" t="s">
        <v>81</v>
      </c>
      <c r="I41" s="144"/>
      <c r="J41" s="131">
        <f>J40/G4</f>
        <v>27.5505</v>
      </c>
      <c r="K41" s="132" t="s">
        <v>75</v>
      </c>
      <c r="N41" s="151" t="s">
        <v>484</v>
      </c>
    </row>
    <row r="42" spans="1:23" ht="17.45" customHeight="1" thickBot="1">
      <c r="A42" s="793" t="s">
        <v>17</v>
      </c>
      <c r="B42" s="794"/>
      <c r="C42" s="166">
        <f>SUMIF($G$7:$G$31,"Instrument",$F$7:$F$31)</f>
        <v>0</v>
      </c>
      <c r="D42" s="120">
        <f>C42+'1'!D42</f>
        <v>0</v>
      </c>
      <c r="E42" s="145">
        <f t="shared" si="3"/>
        <v>0</v>
      </c>
      <c r="F42" s="185">
        <f>+(215*F38+480*F39+480*F40)/1175</f>
        <v>1272.5531914893618</v>
      </c>
      <c r="G42" s="185">
        <f>+(215*G38+480*G39+480*G40)/1175</f>
        <v>979.86595744680847</v>
      </c>
      <c r="H42" s="187" t="s">
        <v>82</v>
      </c>
      <c r="I42" s="243" t="s">
        <v>456</v>
      </c>
      <c r="J42" s="134"/>
      <c r="K42" s="132" t="s">
        <v>83</v>
      </c>
      <c r="N42" s="181" t="s">
        <v>104</v>
      </c>
      <c r="O42" s="582" t="s">
        <v>485</v>
      </c>
      <c r="P42" s="582" t="s">
        <v>486</v>
      </c>
      <c r="Q42" s="582" t="s">
        <v>487</v>
      </c>
      <c r="R42" s="582" t="s">
        <v>488</v>
      </c>
      <c r="S42" s="583" t="s">
        <v>489</v>
      </c>
      <c r="T42" s="582" t="s">
        <v>490</v>
      </c>
      <c r="U42" s="584" t="s">
        <v>491</v>
      </c>
      <c r="V42" s="582" t="s">
        <v>492</v>
      </c>
      <c r="W42" s="582" t="s">
        <v>493</v>
      </c>
    </row>
    <row r="43" spans="1:23" ht="17.45" customHeight="1" thickBot="1">
      <c r="A43" s="793" t="s">
        <v>84</v>
      </c>
      <c r="B43" s="794"/>
      <c r="C43" s="166">
        <f>SUMIF($G$7:$G$31,"Water",$F$7:$F$31)</f>
        <v>0</v>
      </c>
      <c r="D43" s="120">
        <f>C43+'1'!D43</f>
        <v>0</v>
      </c>
      <c r="E43" s="145">
        <f t="shared" si="3"/>
        <v>0</v>
      </c>
      <c r="F43" s="309"/>
      <c r="G43" s="310"/>
      <c r="H43" s="188" t="s">
        <v>85</v>
      </c>
      <c r="I43" s="120">
        <f>+Report1!Z10</f>
        <v>70.5</v>
      </c>
      <c r="J43" s="135">
        <f>+I43+'1'!J43</f>
        <v>133.9</v>
      </c>
      <c r="K43" s="132" t="s">
        <v>75</v>
      </c>
      <c r="L43" s="189"/>
      <c r="N43" s="585">
        <v>11.5</v>
      </c>
      <c r="O43" s="199">
        <v>1150</v>
      </c>
      <c r="P43" s="199">
        <v>1350</v>
      </c>
      <c r="Q43" s="199">
        <v>885.5</v>
      </c>
      <c r="R43" s="586">
        <f>1-(Q43/O43)</f>
        <v>0.22999999999999998</v>
      </c>
      <c r="S43" s="587">
        <v>36</v>
      </c>
      <c r="T43" s="588">
        <v>262.5</v>
      </c>
      <c r="U43" s="589">
        <f>(O43*(1-R43)*N43*T43*S43)/100000000</f>
        <v>0.962317125</v>
      </c>
      <c r="V43" s="590">
        <f>+C50/1000</f>
        <v>0</v>
      </c>
      <c r="W43" s="591">
        <f>SUM(V43:V45)/SUM(U43:U45)</f>
        <v>0</v>
      </c>
    </row>
    <row r="44" spans="1:23" ht="17.45" customHeight="1">
      <c r="A44" s="793" t="s">
        <v>18</v>
      </c>
      <c r="B44" s="794"/>
      <c r="C44" s="166">
        <f>SUMIF($G$7:$G$31,"PLN",$F$7:$F$31)</f>
        <v>0</v>
      </c>
      <c r="D44" s="120">
        <f>C44+'1'!D44</f>
        <v>0</v>
      </c>
      <c r="E44" s="145">
        <f t="shared" si="3"/>
        <v>0</v>
      </c>
      <c r="F44" s="309"/>
      <c r="G44" s="310"/>
      <c r="H44" s="188" t="s">
        <v>86</v>
      </c>
      <c r="I44" s="120">
        <f>I43/I38</f>
        <v>2.0558131397078121</v>
      </c>
      <c r="J44" s="136">
        <f>J43/J38</f>
        <v>2.2125648567368388</v>
      </c>
      <c r="K44" s="132" t="s">
        <v>75</v>
      </c>
      <c r="N44" s="585"/>
      <c r="O44" s="199"/>
      <c r="P44" s="199"/>
      <c r="Q44" s="199"/>
      <c r="R44" s="586"/>
      <c r="S44" s="592"/>
      <c r="T44" s="588"/>
      <c r="U44" s="589"/>
      <c r="V44" s="590"/>
      <c r="W44" s="593"/>
    </row>
    <row r="45" spans="1:23" ht="17.45" customHeight="1">
      <c r="A45" s="793" t="s">
        <v>19</v>
      </c>
      <c r="B45" s="794"/>
      <c r="C45" s="166">
        <f>SUMIF($G$7:$G$31,"Boiler",$F$7:$F$31)</f>
        <v>0</v>
      </c>
      <c r="D45" s="120">
        <f>C45+'1'!D45</f>
        <v>0</v>
      </c>
      <c r="E45" s="145">
        <f t="shared" si="3"/>
        <v>0</v>
      </c>
      <c r="F45" s="309"/>
      <c r="G45" s="312"/>
      <c r="H45" s="188" t="s">
        <v>87</v>
      </c>
      <c r="I45" s="120">
        <f>I43/I40</f>
        <v>2.0120437227089814</v>
      </c>
      <c r="J45" s="136">
        <f>J43/J40</f>
        <v>2.4300829386036553</v>
      </c>
      <c r="K45" s="132" t="s">
        <v>75</v>
      </c>
      <c r="U45" s="151">
        <f>960/1000</f>
        <v>0.96</v>
      </c>
    </row>
    <row r="46" spans="1:23" ht="17.45" customHeight="1" thickBot="1">
      <c r="A46" s="793" t="s">
        <v>88</v>
      </c>
      <c r="B46" s="794"/>
      <c r="C46" s="166">
        <f>SUMIF($G$7:$G$31,"Gas",$F$7:$F$31)</f>
        <v>0</v>
      </c>
      <c r="D46" s="120">
        <f>C46+'1'!D46</f>
        <v>0</v>
      </c>
      <c r="E46" s="145">
        <f t="shared" si="3"/>
        <v>0</v>
      </c>
      <c r="F46" s="309"/>
      <c r="G46" s="310"/>
      <c r="H46" s="188" t="s">
        <v>89</v>
      </c>
      <c r="I46" s="142">
        <f>+SUMIF(Listrik!X9,"&gt;0")</f>
        <v>34783.924999999974</v>
      </c>
      <c r="J46" s="137">
        <f>+I46+'1'!J46</f>
        <v>65555.689999999478</v>
      </c>
      <c r="K46" s="132" t="s">
        <v>90</v>
      </c>
      <c r="N46" s="151" t="s">
        <v>484</v>
      </c>
    </row>
    <row r="47" spans="1:23" ht="17.45" customHeight="1" thickBot="1">
      <c r="A47" s="793" t="s">
        <v>91</v>
      </c>
      <c r="B47" s="794"/>
      <c r="C47" s="166">
        <f>SUMIF($G$7:$G$31,"Gas",$F$7:$F$31)</f>
        <v>0</v>
      </c>
      <c r="D47" s="120">
        <f>C47+'1'!D47</f>
        <v>0</v>
      </c>
      <c r="E47" s="145">
        <f t="shared" si="3"/>
        <v>0</v>
      </c>
      <c r="F47" s="309"/>
      <c r="G47" s="310"/>
      <c r="H47" s="188" t="s">
        <v>92</v>
      </c>
      <c r="I47" s="120">
        <f>I46/I38</f>
        <v>1014.315603767532</v>
      </c>
      <c r="J47" s="137">
        <f>J46/J38</f>
        <v>1083.2428368419228</v>
      </c>
      <c r="K47" s="132" t="s">
        <v>25</v>
      </c>
      <c r="N47" s="181" t="s">
        <v>104</v>
      </c>
      <c r="O47" s="582" t="s">
        <v>485</v>
      </c>
      <c r="P47" s="582" t="s">
        <v>486</v>
      </c>
      <c r="Q47" s="582" t="s">
        <v>487</v>
      </c>
      <c r="R47" s="582" t="s">
        <v>488</v>
      </c>
      <c r="S47" s="583" t="s">
        <v>489</v>
      </c>
      <c r="T47" s="582" t="s">
        <v>490</v>
      </c>
      <c r="U47" s="584" t="s">
        <v>491</v>
      </c>
      <c r="V47" s="582" t="s">
        <v>492</v>
      </c>
      <c r="W47" s="582" t="s">
        <v>493</v>
      </c>
    </row>
    <row r="48" spans="1:23" ht="17.45" customHeight="1" thickBot="1">
      <c r="A48" s="793" t="s">
        <v>15</v>
      </c>
      <c r="B48" s="794"/>
      <c r="C48" s="166">
        <f>SUMIF($G$7:$G$31,"Start Up",$F$7:$F$31)</f>
        <v>0</v>
      </c>
      <c r="D48" s="120">
        <f>C48+'1'!D48</f>
        <v>0</v>
      </c>
      <c r="E48" s="145">
        <f t="shared" si="3"/>
        <v>0</v>
      </c>
      <c r="F48" s="309"/>
      <c r="G48" s="310"/>
      <c r="H48" s="188" t="s">
        <v>93</v>
      </c>
      <c r="I48" s="120">
        <f>I46/I40</f>
        <v>992.72025457347445</v>
      </c>
      <c r="J48" s="137">
        <f>J46/J40</f>
        <v>1189.7368468811724</v>
      </c>
      <c r="K48" s="132" t="s">
        <v>25</v>
      </c>
      <c r="N48" s="585">
        <v>12</v>
      </c>
      <c r="O48" s="199">
        <v>1250</v>
      </c>
      <c r="P48" s="199">
        <v>1350</v>
      </c>
      <c r="Q48" s="199">
        <v>962.5</v>
      </c>
      <c r="R48" s="586">
        <f>1-(Q48/O48)</f>
        <v>0.22999999999999998</v>
      </c>
      <c r="S48" s="587">
        <v>32</v>
      </c>
      <c r="T48" s="588">
        <v>262.5</v>
      </c>
      <c r="U48" s="589">
        <f>(O48*(1-R48)*N48*T48*S48)/100000000</f>
        <v>0.97019999999999995</v>
      </c>
      <c r="V48" s="590">
        <f>+C55/1000</f>
        <v>0</v>
      </c>
      <c r="W48" s="591">
        <f>SUM(V48:V50)/SUM(U48:U50)</f>
        <v>0</v>
      </c>
    </row>
    <row r="49" spans="1:23" ht="17.45" customHeight="1">
      <c r="A49" s="793" t="s">
        <v>21</v>
      </c>
      <c r="B49" s="794"/>
      <c r="C49" s="166">
        <f>SUMIF($G$7:$G$31,"Others",$F$7:$F$31)</f>
        <v>203</v>
      </c>
      <c r="D49" s="120">
        <f>C49+'1'!D49</f>
        <v>441</v>
      </c>
      <c r="E49" s="145">
        <f t="shared" si="3"/>
        <v>7.35</v>
      </c>
      <c r="F49" s="185"/>
      <c r="H49" s="188" t="s">
        <v>279</v>
      </c>
      <c r="I49" s="120">
        <f>+Report1!T10</f>
        <v>2510.791975243334</v>
      </c>
      <c r="J49" s="137">
        <f>+I49+'1'!J49</f>
        <v>5171.118216378085</v>
      </c>
      <c r="K49" s="132" t="s">
        <v>94</v>
      </c>
      <c r="N49" s="585"/>
      <c r="O49" s="199"/>
      <c r="P49" s="199"/>
      <c r="Q49" s="199"/>
      <c r="R49" s="586"/>
      <c r="S49" s="592"/>
      <c r="T49" s="588"/>
      <c r="U49" s="589"/>
      <c r="V49" s="590"/>
      <c r="W49" s="593"/>
    </row>
    <row r="50" spans="1:23" ht="17.45" customHeight="1">
      <c r="A50" s="793" t="s">
        <v>20</v>
      </c>
      <c r="B50" s="794"/>
      <c r="C50" s="166">
        <f>SUMIF($G$7:$G$31,"Steam",$F$7:$F$31)</f>
        <v>0</v>
      </c>
      <c r="D50" s="120">
        <f>C50+'1'!D50</f>
        <v>0</v>
      </c>
      <c r="E50" s="145">
        <f t="shared" si="3"/>
        <v>0</v>
      </c>
      <c r="F50" s="185"/>
      <c r="H50" s="188" t="s">
        <v>95</v>
      </c>
      <c r="I50" s="142">
        <f>I49/I38</f>
        <v>73.215874237988345</v>
      </c>
      <c r="J50" s="135">
        <f>J49/J38</f>
        <v>85.447605941671654</v>
      </c>
      <c r="K50" s="132" t="s">
        <v>94</v>
      </c>
      <c r="U50" s="151">
        <f>960/1000</f>
        <v>0.96</v>
      </c>
    </row>
    <row r="51" spans="1:23" ht="17.45" customHeight="1">
      <c r="A51" s="810" t="s">
        <v>96</v>
      </c>
      <c r="B51" s="810"/>
      <c r="C51" s="166">
        <f>SUMIF($G$7:$G$31,"Planned shut",$F$7:$F$31)</f>
        <v>0</v>
      </c>
      <c r="D51" s="120">
        <f>C51+'1'!D51</f>
        <v>0</v>
      </c>
      <c r="E51" s="145">
        <f t="shared" si="3"/>
        <v>0</v>
      </c>
      <c r="F51" s="185"/>
      <c r="H51" s="190" t="s">
        <v>97</v>
      </c>
      <c r="I51" s="143">
        <f>I49/I40</f>
        <v>71.657067132148001</v>
      </c>
      <c r="J51" s="138">
        <f>J49/J40</f>
        <v>93.847992166713581</v>
      </c>
      <c r="K51" s="139" t="s">
        <v>94</v>
      </c>
      <c r="S51" s="151">
        <f>+S43+S48</f>
        <v>68</v>
      </c>
    </row>
    <row r="52" spans="1:23" ht="13.5" thickBot="1">
      <c r="A52" s="811" t="s">
        <v>230</v>
      </c>
      <c r="B52" s="812"/>
      <c r="C52" s="166">
        <f>SUMIF($G$7:$G$31,"Change Grade",$F$7:$F$31)</f>
        <v>0</v>
      </c>
      <c r="D52" s="120">
        <f>C52+'1'!D52</f>
        <v>0</v>
      </c>
      <c r="E52" s="145">
        <f t="shared" si="3"/>
        <v>0</v>
      </c>
      <c r="F52" s="185"/>
      <c r="H52" s="191"/>
      <c r="I52" s="192"/>
      <c r="J52" s="140"/>
      <c r="K52" s="141"/>
    </row>
    <row r="53" spans="1:23">
      <c r="A53" s="806" t="s">
        <v>29</v>
      </c>
      <c r="B53" s="807"/>
      <c r="C53" s="146">
        <f>SUM(C38:C52)</f>
        <v>364</v>
      </c>
      <c r="D53" s="146">
        <f>SUM(D38:D52)</f>
        <v>860</v>
      </c>
      <c r="E53" s="147">
        <f>SUM(E38:E52)</f>
        <v>14.333333333333332</v>
      </c>
      <c r="F53" s="185"/>
    </row>
    <row r="54" spans="1:23" ht="13.5" thickBot="1">
      <c r="A54" s="808"/>
      <c r="B54" s="809"/>
      <c r="C54" s="148">
        <f>C53/(24*60)</f>
        <v>0.25277777777777777</v>
      </c>
      <c r="D54" s="148">
        <f>D53/(24*60*G4)</f>
        <v>0.2986111111111111</v>
      </c>
      <c r="E54" s="149">
        <f>E53/(G4*24)</f>
        <v>0.2986111111111111</v>
      </c>
      <c r="F54" s="185"/>
    </row>
    <row r="55" spans="1:23">
      <c r="E55" s="193"/>
    </row>
    <row r="56" spans="1:23">
      <c r="A56" s="194" t="s">
        <v>98</v>
      </c>
      <c r="B56" s="195"/>
      <c r="C56" s="196"/>
      <c r="D56" s="196"/>
      <c r="E56" s="196"/>
      <c r="F56" s="197"/>
      <c r="G56" s="196"/>
      <c r="H56" s="198"/>
      <c r="I56" s="199" t="s">
        <v>99</v>
      </c>
      <c r="J56" s="200">
        <f>+D34+'1'!J57</f>
        <v>0</v>
      </c>
      <c r="K56" s="201">
        <f>J56/(J40+J56/1000)/1000</f>
        <v>0</v>
      </c>
    </row>
    <row r="57" spans="1:23">
      <c r="A57" s="176"/>
      <c r="I57" s="199" t="s">
        <v>100</v>
      </c>
      <c r="J57" s="200">
        <f>+E34+'1'!J58</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row>
  </sheetData>
  <mergeCells count="25">
    <mergeCell ref="A54:B54"/>
    <mergeCell ref="A53:B53"/>
    <mergeCell ref="A42:B42"/>
    <mergeCell ref="A43:B43"/>
    <mergeCell ref="A44:B44"/>
    <mergeCell ref="A45:B45"/>
    <mergeCell ref="A46:B46"/>
    <mergeCell ref="A47:B47"/>
    <mergeCell ref="A48:B48"/>
    <mergeCell ref="A49:B49"/>
    <mergeCell ref="A50:B50"/>
    <mergeCell ref="A51:B51"/>
    <mergeCell ref="A52:B52"/>
    <mergeCell ref="A41:B41"/>
    <mergeCell ref="I7:I13"/>
    <mergeCell ref="I15:I22"/>
    <mergeCell ref="A7:A14"/>
    <mergeCell ref="A15:A23"/>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2"/>
  <sheetViews>
    <sheetView view="pageBreakPreview" zoomScale="80" zoomScaleNormal="75" zoomScaleSheetLayoutView="80" workbookViewId="0">
      <selection activeCell="I7" sqref="I7:I13"/>
    </sheetView>
  </sheetViews>
  <sheetFormatPr defaultColWidth="9.140625" defaultRowHeight="12.75"/>
  <cols>
    <col min="1" max="1" width="8" style="151" customWidth="1"/>
    <col min="2" max="2" width="7" style="151" bestFit="1" customWidth="1"/>
    <col min="3" max="3" width="14.85546875" style="151" bestFit="1" customWidth="1"/>
    <col min="4" max="4" width="12.7109375" style="151" bestFit="1" customWidth="1"/>
    <col min="5" max="5" width="13.85546875" style="151" bestFit="1" customWidth="1"/>
    <col min="6" max="6" width="12.140625" style="112" bestFit="1" customWidth="1"/>
    <col min="7" max="7" width="11.42578125" style="151" bestFit="1" customWidth="1"/>
    <col min="8" max="8" width="64.85546875" style="151" customWidth="1"/>
    <col min="9" max="9" width="14.7109375" style="151" bestFit="1" customWidth="1"/>
    <col min="10" max="10" width="14.7109375" style="151" customWidth="1"/>
    <col min="11" max="11" width="14" style="151" bestFit="1" customWidth="1"/>
    <col min="12" max="12" width="8.28515625" style="151" customWidth="1"/>
    <col min="13" max="13" width="14.42578125" style="151" bestFit="1" customWidth="1"/>
    <col min="14" max="14" width="9.140625" style="151" bestFit="1"/>
    <col min="15" max="16384" width="9.140625" style="151"/>
  </cols>
  <sheetData>
    <row r="1" spans="1:26" ht="15.75">
      <c r="A1" s="150"/>
      <c r="U1" s="519"/>
    </row>
    <row r="2" spans="1:26" ht="15.75">
      <c r="A2" s="150" t="s">
        <v>231</v>
      </c>
      <c r="U2" s="519"/>
    </row>
    <row r="3" spans="1:26" ht="15">
      <c r="A3" s="152"/>
      <c r="X3" s="176"/>
    </row>
    <row r="4" spans="1:26" ht="20.25">
      <c r="A4" s="153" t="s">
        <v>4</v>
      </c>
      <c r="B4" s="154"/>
      <c r="F4" s="155" t="s">
        <v>31</v>
      </c>
      <c r="G4" s="156">
        <v>1</v>
      </c>
      <c r="H4" s="156" t="s">
        <v>418</v>
      </c>
      <c r="J4" s="151">
        <f>377+474+470</f>
        <v>1321</v>
      </c>
      <c r="Y4" s="176"/>
      <c r="Z4" s="176"/>
    </row>
    <row r="5" spans="1:26" ht="13.5" thickBot="1">
      <c r="C5" s="157"/>
      <c r="D5" s="157"/>
    </row>
    <row r="6" spans="1:26" ht="26.25" thickBot="1">
      <c r="A6" s="158" t="s">
        <v>59</v>
      </c>
      <c r="B6" s="159" t="s">
        <v>10</v>
      </c>
      <c r="C6" s="159" t="s">
        <v>60</v>
      </c>
      <c r="D6" s="159" t="s">
        <v>61</v>
      </c>
      <c r="E6" s="160" t="s">
        <v>62</v>
      </c>
      <c r="F6" s="104" t="s">
        <v>63</v>
      </c>
      <c r="G6" s="159" t="s">
        <v>64</v>
      </c>
      <c r="H6" s="161" t="s">
        <v>65</v>
      </c>
      <c r="I6" s="162" t="s">
        <v>66</v>
      </c>
      <c r="J6" s="163" t="s">
        <v>10</v>
      </c>
      <c r="K6" s="164" t="s">
        <v>67</v>
      </c>
      <c r="L6" s="210" t="s">
        <v>153</v>
      </c>
      <c r="M6" s="165" t="s">
        <v>68</v>
      </c>
      <c r="N6" s="151" t="s">
        <v>409</v>
      </c>
      <c r="O6" s="151">
        <v>1350</v>
      </c>
      <c r="P6" s="151">
        <f>+O6-O6*0.245</f>
        <v>1019.25</v>
      </c>
      <c r="Q6" s="151">
        <f>60+38</f>
        <v>98</v>
      </c>
      <c r="R6" s="151">
        <f>+O6*Q6</f>
        <v>132300</v>
      </c>
      <c r="S6" s="151">
        <f>+P6*Q6</f>
        <v>99886.5</v>
      </c>
      <c r="U6" s="520"/>
    </row>
    <row r="7" spans="1:26" ht="13.5" customHeight="1" thickBot="1">
      <c r="A7" s="795" t="s">
        <v>442</v>
      </c>
      <c r="B7" s="215" t="s">
        <v>398</v>
      </c>
      <c r="C7" s="216">
        <v>10598</v>
      </c>
      <c r="D7" s="217"/>
      <c r="E7" s="218"/>
      <c r="F7" s="233">
        <v>27</v>
      </c>
      <c r="G7" s="555" t="s">
        <v>13</v>
      </c>
      <c r="H7" s="556" t="s">
        <v>602</v>
      </c>
      <c r="I7" s="798" t="s">
        <v>427</v>
      </c>
      <c r="J7" s="247" t="s">
        <v>398</v>
      </c>
      <c r="K7" s="235">
        <f>+C7</f>
        <v>10598</v>
      </c>
      <c r="L7" s="239"/>
      <c r="M7" s="119">
        <f>+K7+L7</f>
        <v>10598</v>
      </c>
      <c r="O7" s="151">
        <v>1320</v>
      </c>
      <c r="P7" s="151">
        <f>+O7-O7*0.245</f>
        <v>996.6</v>
      </c>
      <c r="Q7" s="151">
        <f>60-38+48</f>
        <v>70</v>
      </c>
      <c r="R7" s="151">
        <f>+O7*Q7</f>
        <v>92400</v>
      </c>
      <c r="S7" s="151">
        <f>+P7*Q7</f>
        <v>69762</v>
      </c>
    </row>
    <row r="8" spans="1:26" ht="13.5" thickBot="1">
      <c r="A8" s="796"/>
      <c r="B8" s="215"/>
      <c r="C8" s="216"/>
      <c r="D8" s="217"/>
      <c r="E8" s="219"/>
      <c r="F8" s="229">
        <v>6</v>
      </c>
      <c r="G8" s="557" t="s">
        <v>13</v>
      </c>
      <c r="H8" s="228" t="s">
        <v>399</v>
      </c>
      <c r="I8" s="799"/>
      <c r="J8" s="248" t="s">
        <v>445</v>
      </c>
      <c r="K8" s="236">
        <f>+C16+C25</f>
        <v>9464</v>
      </c>
      <c r="L8" s="236"/>
      <c r="M8" s="119">
        <f t="shared" ref="M8:M32" si="0">+K8+L8</f>
        <v>9464</v>
      </c>
      <c r="O8" s="151">
        <v>1200</v>
      </c>
      <c r="P8" s="151">
        <f>+O8-O8*0.245</f>
        <v>906</v>
      </c>
      <c r="Q8" s="151">
        <f>60-48+60</f>
        <v>72</v>
      </c>
      <c r="R8" s="151">
        <f>+O8*Q8</f>
        <v>86400</v>
      </c>
      <c r="S8" s="151">
        <f>+P8*Q8</f>
        <v>65232</v>
      </c>
      <c r="U8" s="522"/>
      <c r="V8" s="523"/>
      <c r="W8" s="523"/>
      <c r="X8" s="523"/>
    </row>
    <row r="9" spans="1:26" ht="13.5" thickBot="1">
      <c r="A9" s="796"/>
      <c r="B9" s="215"/>
      <c r="C9" s="216"/>
      <c r="D9" s="217"/>
      <c r="E9" s="220"/>
      <c r="F9" s="229">
        <f>25-12</f>
        <v>13</v>
      </c>
      <c r="G9" s="557" t="s">
        <v>13</v>
      </c>
      <c r="H9" s="231" t="s">
        <v>431</v>
      </c>
      <c r="I9" s="799"/>
      <c r="J9" s="248"/>
      <c r="K9" s="236"/>
      <c r="L9" s="236"/>
      <c r="M9" s="119">
        <f t="shared" si="0"/>
        <v>0</v>
      </c>
      <c r="P9" s="151">
        <f t="shared" ref="P9" si="1">+O9-O9*0.23</f>
        <v>0</v>
      </c>
      <c r="R9" s="151">
        <f>+O9*Q9</f>
        <v>0</v>
      </c>
      <c r="S9" s="151">
        <f>+P9*Q9</f>
        <v>0</v>
      </c>
      <c r="X9" s="521"/>
    </row>
    <row r="10" spans="1:26" ht="64.5" thickBot="1">
      <c r="A10" s="796"/>
      <c r="B10" s="215"/>
      <c r="C10" s="216"/>
      <c r="D10" s="217"/>
      <c r="E10" s="219"/>
      <c r="F10" s="229"/>
      <c r="G10" s="227"/>
      <c r="H10" s="558" t="s">
        <v>419</v>
      </c>
      <c r="I10" s="799"/>
      <c r="J10" s="247"/>
      <c r="K10" s="236"/>
      <c r="L10" s="236"/>
      <c r="M10" s="119">
        <f t="shared" si="0"/>
        <v>0</v>
      </c>
      <c r="Q10" s="151">
        <f>SUM(Q6:Q9)</f>
        <v>240</v>
      </c>
      <c r="R10" s="151">
        <f t="shared" ref="R10:S10" si="2">SUM(R6:R9)</f>
        <v>311100</v>
      </c>
      <c r="S10" s="151">
        <f t="shared" si="2"/>
        <v>234880.5</v>
      </c>
      <c r="Y10" s="521"/>
      <c r="Z10" s="521"/>
    </row>
    <row r="11" spans="1:26" ht="135.75" customHeight="1" thickBot="1">
      <c r="A11" s="796"/>
      <c r="B11" s="215"/>
      <c r="C11" s="216"/>
      <c r="D11" s="217"/>
      <c r="E11" s="219"/>
      <c r="F11" s="226">
        <v>120</v>
      </c>
      <c r="G11" s="557" t="s">
        <v>13</v>
      </c>
      <c r="H11" s="231" t="s">
        <v>420</v>
      </c>
      <c r="I11" s="799"/>
      <c r="J11" s="247"/>
      <c r="K11" s="236"/>
      <c r="L11" s="236"/>
      <c r="M11" s="119">
        <f t="shared" si="0"/>
        <v>0</v>
      </c>
      <c r="P11" s="151" t="s">
        <v>424</v>
      </c>
      <c r="Q11" s="151">
        <f>480-Q10</f>
        <v>240</v>
      </c>
      <c r="R11" s="151">
        <f>+R10/Q10</f>
        <v>1296.25</v>
      </c>
      <c r="S11" s="151">
        <f>+S10/Q10</f>
        <v>978.66875000000005</v>
      </c>
    </row>
    <row r="12" spans="1:26" ht="13.5" thickBot="1">
      <c r="A12" s="796"/>
      <c r="B12" s="215"/>
      <c r="C12" s="216"/>
      <c r="D12" s="217"/>
      <c r="E12" s="219"/>
      <c r="F12" s="226">
        <v>120</v>
      </c>
      <c r="G12" s="230" t="s">
        <v>21</v>
      </c>
      <c r="H12" s="231"/>
      <c r="I12" s="799"/>
      <c r="J12" s="247"/>
      <c r="K12" s="236"/>
      <c r="L12" s="236"/>
      <c r="M12" s="119">
        <f t="shared" si="0"/>
        <v>0</v>
      </c>
    </row>
    <row r="13" spans="1:26" ht="13.5" thickBot="1">
      <c r="A13" s="796"/>
      <c r="B13" s="215"/>
      <c r="C13" s="216"/>
      <c r="D13" s="216"/>
      <c r="E13" s="219"/>
      <c r="F13" s="226"/>
      <c r="G13" s="230"/>
      <c r="H13" s="231"/>
      <c r="I13" s="800"/>
      <c r="J13" s="247"/>
      <c r="K13" s="236"/>
      <c r="L13" s="236"/>
      <c r="M13" s="119">
        <f t="shared" si="0"/>
        <v>0</v>
      </c>
      <c r="N13" s="151" t="s">
        <v>425</v>
      </c>
      <c r="O13" s="151">
        <v>1250</v>
      </c>
      <c r="P13" s="151">
        <f>+O13-O13*0.23</f>
        <v>962.5</v>
      </c>
      <c r="Q13" s="151">
        <f>60-58+52</f>
        <v>54</v>
      </c>
      <c r="R13" s="151">
        <f>+O13*Q13</f>
        <v>67500</v>
      </c>
      <c r="S13" s="151">
        <f>+P13*Q13</f>
        <v>51975</v>
      </c>
      <c r="T13" s="151" t="s">
        <v>425</v>
      </c>
      <c r="U13" s="151">
        <v>1250</v>
      </c>
      <c r="V13" s="151">
        <f>+U13-U13*0.23</f>
        <v>962.5</v>
      </c>
      <c r="W13" s="151">
        <f>60-58+52</f>
        <v>54</v>
      </c>
      <c r="X13" s="151">
        <f>+U13*W13</f>
        <v>67500</v>
      </c>
      <c r="Y13" s="151">
        <f>+V13*W13</f>
        <v>51975</v>
      </c>
    </row>
    <row r="14" spans="1:26" ht="13.5" thickBot="1">
      <c r="A14" s="797"/>
      <c r="B14" s="167" t="s">
        <v>3</v>
      </c>
      <c r="C14" s="101">
        <f>SUM(C7:C13)</f>
        <v>10598</v>
      </c>
      <c r="D14" s="113">
        <f>SUM(D7:D13)</f>
        <v>0</v>
      </c>
      <c r="E14" s="114">
        <f>SUM(E5:E13)</f>
        <v>0</v>
      </c>
      <c r="F14" s="118">
        <f>SUM(F7:F13)</f>
        <v>286</v>
      </c>
      <c r="G14" s="161"/>
      <c r="H14" s="168"/>
      <c r="I14" s="169"/>
      <c r="J14" s="247"/>
      <c r="K14" s="236"/>
      <c r="L14" s="236"/>
      <c r="M14" s="119">
        <f t="shared" si="0"/>
        <v>0</v>
      </c>
      <c r="O14" s="151">
        <v>1200</v>
      </c>
      <c r="P14" s="151">
        <f t="shared" ref="P14:P17" si="3">+O14-O14*0.23</f>
        <v>924</v>
      </c>
      <c r="Q14" s="151">
        <f>60-52+20</f>
        <v>28</v>
      </c>
      <c r="R14" s="151">
        <f>+O14*Q14</f>
        <v>33600</v>
      </c>
      <c r="S14" s="151">
        <f>+P14*Q14</f>
        <v>25872</v>
      </c>
      <c r="U14" s="151">
        <v>1200</v>
      </c>
      <c r="V14" s="151">
        <f t="shared" ref="V14:V17" si="4">+U14-U14*0.23</f>
        <v>924</v>
      </c>
      <c r="W14" s="151">
        <f>60-52+20</f>
        <v>28</v>
      </c>
      <c r="X14" s="151">
        <f>+U14*W14</f>
        <v>33600</v>
      </c>
      <c r="Y14" s="151">
        <f>+V14*W14</f>
        <v>25872</v>
      </c>
    </row>
    <row r="15" spans="1:26" ht="13.5" customHeight="1" thickBot="1">
      <c r="A15" s="801" t="s">
        <v>443</v>
      </c>
      <c r="B15" s="518"/>
      <c r="C15" s="115">
        <f>C14/($C$23+$D$23+$E$23)</f>
        <v>4.122131466355504</v>
      </c>
      <c r="D15" s="116">
        <f>D14/($C$23+$D$23+$E$23)</f>
        <v>0</v>
      </c>
      <c r="E15" s="117">
        <f>E14/($C$23+$D$23+$E$23)</f>
        <v>0</v>
      </c>
      <c r="F15" s="233">
        <v>27</v>
      </c>
      <c r="G15" s="555" t="s">
        <v>13</v>
      </c>
      <c r="H15" s="556" t="s">
        <v>602</v>
      </c>
      <c r="I15" s="798" t="s">
        <v>428</v>
      </c>
      <c r="J15" s="247"/>
      <c r="K15" s="236"/>
      <c r="L15" s="236"/>
      <c r="M15" s="119">
        <f t="shared" si="0"/>
        <v>0</v>
      </c>
      <c r="O15" s="151">
        <v>1250</v>
      </c>
      <c r="P15" s="151">
        <f t="shared" si="3"/>
        <v>962.5</v>
      </c>
      <c r="Q15" s="151">
        <f>60-20+120+39</f>
        <v>199</v>
      </c>
      <c r="R15" s="151">
        <f>+O15*Q15</f>
        <v>248750</v>
      </c>
      <c r="S15" s="151">
        <f>+P15*Q15</f>
        <v>191537.5</v>
      </c>
      <c r="U15" s="151">
        <v>1250</v>
      </c>
      <c r="V15" s="151">
        <f t="shared" si="4"/>
        <v>962.5</v>
      </c>
      <c r="W15" s="151">
        <f>60-20+120+39</f>
        <v>199</v>
      </c>
      <c r="X15" s="151">
        <f>+U15*W15</f>
        <v>248750</v>
      </c>
      <c r="Y15" s="151">
        <f>+V15*W15</f>
        <v>191537.5</v>
      </c>
    </row>
    <row r="16" spans="1:26" ht="13.5" thickBot="1">
      <c r="A16" s="796"/>
      <c r="B16" s="517" t="s">
        <v>445</v>
      </c>
      <c r="C16" s="516">
        <v>2571</v>
      </c>
      <c r="D16" s="221"/>
      <c r="E16" s="222"/>
      <c r="F16" s="229">
        <v>9</v>
      </c>
      <c r="G16" s="557" t="s">
        <v>13</v>
      </c>
      <c r="H16" s="228" t="s">
        <v>399</v>
      </c>
      <c r="I16" s="799"/>
      <c r="J16" s="247"/>
      <c r="K16" s="227"/>
      <c r="L16" s="227"/>
      <c r="M16" s="119">
        <f t="shared" si="0"/>
        <v>0</v>
      </c>
      <c r="O16" s="151">
        <v>1220</v>
      </c>
      <c r="P16" s="151">
        <f t="shared" si="3"/>
        <v>939.4</v>
      </c>
      <c r="Q16" s="151">
        <f>60-39+30</f>
        <v>51</v>
      </c>
      <c r="R16" s="151">
        <f>+O16*Q16</f>
        <v>62220</v>
      </c>
      <c r="S16" s="151">
        <f>+P16*Q16</f>
        <v>47909.4</v>
      </c>
      <c r="U16" s="151">
        <v>1220</v>
      </c>
      <c r="V16" s="151">
        <f t="shared" si="4"/>
        <v>939.4</v>
      </c>
      <c r="W16" s="151">
        <f>60-39+30</f>
        <v>51</v>
      </c>
      <c r="X16" s="151">
        <f>+U16*W16</f>
        <v>62220</v>
      </c>
      <c r="Y16" s="151">
        <f>+V16*W16</f>
        <v>47909.4</v>
      </c>
    </row>
    <row r="17" spans="1:25" ht="13.5" thickBot="1">
      <c r="A17" s="796"/>
      <c r="B17" s="215"/>
      <c r="C17" s="216"/>
      <c r="D17" s="217"/>
      <c r="E17" s="223"/>
      <c r="F17" s="229">
        <f>36-21</f>
        <v>15</v>
      </c>
      <c r="G17" s="557" t="s">
        <v>13</v>
      </c>
      <c r="H17" s="231" t="s">
        <v>400</v>
      </c>
      <c r="I17" s="799"/>
      <c r="J17" s="247"/>
      <c r="K17" s="227"/>
      <c r="L17" s="227"/>
      <c r="M17" s="119">
        <f t="shared" si="0"/>
        <v>0</v>
      </c>
      <c r="O17" s="151">
        <v>1200</v>
      </c>
      <c r="P17" s="151">
        <f t="shared" si="3"/>
        <v>924</v>
      </c>
      <c r="Q17" s="151">
        <v>30</v>
      </c>
      <c r="R17" s="151">
        <f>+O17*Q17</f>
        <v>36000</v>
      </c>
      <c r="S17" s="151">
        <f>+P17*Q17</f>
        <v>27720</v>
      </c>
      <c r="U17" s="151">
        <v>1200</v>
      </c>
      <c r="V17" s="151">
        <f t="shared" si="4"/>
        <v>924</v>
      </c>
      <c r="W17" s="151">
        <v>30</v>
      </c>
      <c r="X17" s="151">
        <f>+U17*W17</f>
        <v>36000</v>
      </c>
      <c r="Y17" s="151">
        <f>+V17*W17</f>
        <v>27720</v>
      </c>
    </row>
    <row r="18" spans="1:25" ht="51.75" thickBot="1">
      <c r="A18" s="796"/>
      <c r="B18" s="215"/>
      <c r="C18" s="216"/>
      <c r="D18" s="217"/>
      <c r="E18" s="223"/>
      <c r="F18" s="229">
        <v>118</v>
      </c>
      <c r="G18" s="230" t="s">
        <v>21</v>
      </c>
      <c r="H18" s="558" t="s">
        <v>421</v>
      </c>
      <c r="I18" s="799"/>
      <c r="J18" s="247"/>
      <c r="K18" s="236"/>
      <c r="L18" s="236"/>
      <c r="M18" s="119">
        <f t="shared" si="0"/>
        <v>0</v>
      </c>
      <c r="U18" s="151">
        <v>1200</v>
      </c>
      <c r="V18" s="151">
        <v>924</v>
      </c>
      <c r="W18" s="151">
        <v>85</v>
      </c>
      <c r="X18" s="151">
        <f t="shared" ref="X18:X21" si="5">+U18*W18</f>
        <v>102000</v>
      </c>
      <c r="Y18" s="151">
        <f t="shared" ref="Y18:Y21" si="6">+V18*W18</f>
        <v>78540</v>
      </c>
    </row>
    <row r="19" spans="1:25" ht="396" thickBot="1">
      <c r="A19" s="796"/>
      <c r="B19" s="215"/>
      <c r="C19" s="216"/>
      <c r="D19" s="217"/>
      <c r="E19" s="223"/>
      <c r="F19" s="232"/>
      <c r="G19" s="230"/>
      <c r="H19" s="231" t="s">
        <v>426</v>
      </c>
      <c r="I19" s="799"/>
      <c r="J19" s="247"/>
      <c r="K19" s="236"/>
      <c r="L19" s="236"/>
      <c r="M19" s="119">
        <f t="shared" si="0"/>
        <v>0</v>
      </c>
      <c r="Q19" s="151">
        <f>SUM(Q13:Q18)</f>
        <v>362</v>
      </c>
      <c r="R19" s="151">
        <f>SUM(R13:R16)</f>
        <v>412070</v>
      </c>
      <c r="S19" s="151">
        <f>SUM(S13:S16)</f>
        <v>317293.90000000002</v>
      </c>
      <c r="U19" s="151">
        <v>1150</v>
      </c>
      <c r="V19" s="151">
        <v>885.5</v>
      </c>
      <c r="W19" s="151">
        <v>95</v>
      </c>
      <c r="X19" s="151">
        <f t="shared" si="5"/>
        <v>109250</v>
      </c>
      <c r="Y19" s="151">
        <f t="shared" si="6"/>
        <v>84122.5</v>
      </c>
    </row>
    <row r="20" spans="1:25" ht="13.5" thickBot="1">
      <c r="A20" s="796"/>
      <c r="B20" s="215"/>
      <c r="C20" s="216"/>
      <c r="D20" s="217"/>
      <c r="E20" s="223"/>
      <c r="F20" s="226"/>
      <c r="G20" s="230"/>
      <c r="H20" s="231"/>
      <c r="I20" s="799"/>
      <c r="J20" s="247"/>
      <c r="K20" s="237"/>
      <c r="L20" s="237"/>
      <c r="M20" s="119">
        <f t="shared" si="0"/>
        <v>0</v>
      </c>
      <c r="P20" s="151" t="s">
        <v>424</v>
      </c>
      <c r="Q20" s="151">
        <f>480-Q19</f>
        <v>118</v>
      </c>
      <c r="R20" s="151">
        <f>+R19/Q19</f>
        <v>1138.3149171270718</v>
      </c>
      <c r="S20" s="151">
        <f>+S19/Q19</f>
        <v>876.50248618784542</v>
      </c>
      <c r="U20" s="151">
        <v>1170</v>
      </c>
      <c r="V20" s="151">
        <v>900.9</v>
      </c>
      <c r="W20" s="151">
        <v>225</v>
      </c>
      <c r="X20" s="151">
        <f t="shared" si="5"/>
        <v>263250</v>
      </c>
      <c r="Y20" s="151">
        <f t="shared" si="6"/>
        <v>202702.5</v>
      </c>
    </row>
    <row r="21" spans="1:25" ht="13.5" thickBot="1">
      <c r="A21" s="796"/>
      <c r="B21" s="215"/>
      <c r="C21" s="216"/>
      <c r="D21" s="217"/>
      <c r="E21" s="223"/>
      <c r="F21" s="229"/>
      <c r="G21" s="230"/>
      <c r="H21" s="231"/>
      <c r="I21" s="799"/>
      <c r="J21" s="247"/>
      <c r="K21" s="236"/>
      <c r="L21" s="236"/>
      <c r="M21" s="119">
        <f t="shared" si="0"/>
        <v>0</v>
      </c>
      <c r="U21" s="151">
        <v>1150</v>
      </c>
      <c r="V21" s="151">
        <v>885.5</v>
      </c>
      <c r="W21" s="151">
        <v>75</v>
      </c>
      <c r="X21" s="151">
        <f t="shared" si="5"/>
        <v>86250</v>
      </c>
      <c r="Y21" s="151">
        <f t="shared" si="6"/>
        <v>66412.5</v>
      </c>
    </row>
    <row r="22" spans="1:25" ht="13.5" thickBot="1">
      <c r="A22" s="796"/>
      <c r="B22" s="215"/>
      <c r="C22" s="216"/>
      <c r="D22" s="217"/>
      <c r="E22" s="223"/>
      <c r="F22" s="233"/>
      <c r="G22" s="230"/>
      <c r="H22" s="231"/>
      <c r="I22" s="800"/>
      <c r="J22" s="247"/>
      <c r="K22" s="236"/>
      <c r="L22" s="236"/>
      <c r="M22" s="119">
        <f t="shared" si="0"/>
        <v>0</v>
      </c>
      <c r="W22" s="151">
        <f>SUM(W13:W21)</f>
        <v>842</v>
      </c>
      <c r="X22" s="151">
        <f>SUM(X13:X21)</f>
        <v>1008820</v>
      </c>
      <c r="Y22" s="151">
        <f>SUM(Y13:Y21)</f>
        <v>776791.4</v>
      </c>
    </row>
    <row r="23" spans="1:25" ht="13.5" thickBot="1">
      <c r="A23" s="797"/>
      <c r="B23" s="167" t="s">
        <v>3</v>
      </c>
      <c r="C23" s="101">
        <f>SUM(C16:C22)</f>
        <v>2571</v>
      </c>
      <c r="D23" s="113">
        <f>SUM(D16:D22)</f>
        <v>0</v>
      </c>
      <c r="E23" s="114">
        <f>SUM(E18:E22)</f>
        <v>0</v>
      </c>
      <c r="F23" s="118">
        <f>SUM(F15:F22)</f>
        <v>169</v>
      </c>
      <c r="G23" s="161"/>
      <c r="H23" s="168"/>
      <c r="I23" s="170"/>
      <c r="J23" s="247"/>
      <c r="K23" s="236"/>
      <c r="L23" s="236"/>
      <c r="M23" s="119">
        <f t="shared" si="0"/>
        <v>0</v>
      </c>
      <c r="V23" s="151" t="s">
        <v>424</v>
      </c>
      <c r="W23" s="151">
        <f>480-W22</f>
        <v>-362</v>
      </c>
      <c r="X23" s="151">
        <f>+X22/W22</f>
        <v>1198.1235154394299</v>
      </c>
      <c r="Y23" s="151">
        <f>+Y22/W22</f>
        <v>922.55510688836102</v>
      </c>
    </row>
    <row r="24" spans="1:25" ht="13.5" customHeight="1" thickBot="1">
      <c r="A24" s="801" t="s">
        <v>444</v>
      </c>
      <c r="B24" s="518"/>
      <c r="C24" s="115">
        <f>C23/($C$23+$D$23+$E$23)</f>
        <v>1</v>
      </c>
      <c r="D24" s="116">
        <f>D23/($C$23+$D$23+$E$23)</f>
        <v>0</v>
      </c>
      <c r="E24" s="117">
        <f>E23/($C$23+$D$23+$E$23)</f>
        <v>0</v>
      </c>
      <c r="F24" s="233">
        <f>80-54</f>
        <v>26</v>
      </c>
      <c r="G24" s="555" t="s">
        <v>13</v>
      </c>
      <c r="H24" s="556" t="s">
        <v>602</v>
      </c>
      <c r="I24" s="798" t="s">
        <v>429</v>
      </c>
      <c r="J24" s="247"/>
      <c r="K24" s="236"/>
      <c r="L24" s="236"/>
      <c r="M24" s="119">
        <f t="shared" si="0"/>
        <v>0</v>
      </c>
      <c r="N24" s="151" t="s">
        <v>425</v>
      </c>
      <c r="O24" s="151">
        <v>1200</v>
      </c>
      <c r="P24" s="151">
        <f>+O24-O24*0.23</f>
        <v>924</v>
      </c>
      <c r="Q24" s="151">
        <f>60+25</f>
        <v>85</v>
      </c>
      <c r="R24" s="151">
        <f>+O24*Q24</f>
        <v>102000</v>
      </c>
      <c r="S24" s="151">
        <f>+P24*Q24</f>
        <v>78540</v>
      </c>
    </row>
    <row r="25" spans="1:25" ht="13.5" thickBot="1">
      <c r="A25" s="796"/>
      <c r="B25" s="517" t="s">
        <v>445</v>
      </c>
      <c r="C25" s="224">
        <v>6893</v>
      </c>
      <c r="D25" s="217"/>
      <c r="E25" s="223"/>
      <c r="F25" s="229"/>
      <c r="G25" s="557" t="s">
        <v>13</v>
      </c>
      <c r="H25" s="228" t="s">
        <v>433</v>
      </c>
      <c r="I25" s="799"/>
      <c r="J25" s="247"/>
      <c r="K25" s="236"/>
      <c r="L25" s="236"/>
      <c r="M25" s="119">
        <f t="shared" si="0"/>
        <v>0</v>
      </c>
      <c r="O25" s="151">
        <v>1150</v>
      </c>
      <c r="P25" s="151">
        <f t="shared" ref="P25:P28" si="7">+O25-O25*0.23</f>
        <v>885.5</v>
      </c>
      <c r="Q25" s="151">
        <f>60-25+60</f>
        <v>95</v>
      </c>
      <c r="R25" s="151">
        <f>+O25*Q25</f>
        <v>109250</v>
      </c>
      <c r="S25" s="151">
        <f>+P25*Q25</f>
        <v>84122.5</v>
      </c>
    </row>
    <row r="26" spans="1:25" ht="13.5" thickBot="1">
      <c r="A26" s="796"/>
      <c r="B26" s="215"/>
      <c r="C26" s="224"/>
      <c r="D26" s="217"/>
      <c r="E26" s="225"/>
      <c r="F26" s="229">
        <f>24-9</f>
        <v>15</v>
      </c>
      <c r="G26" s="557" t="s">
        <v>13</v>
      </c>
      <c r="H26" s="231" t="s">
        <v>400</v>
      </c>
      <c r="I26" s="799"/>
      <c r="J26" s="247"/>
      <c r="K26" s="236"/>
      <c r="L26" s="236"/>
      <c r="M26" s="119">
        <f t="shared" si="0"/>
        <v>0</v>
      </c>
      <c r="O26" s="151">
        <v>1170</v>
      </c>
      <c r="P26" s="151">
        <f t="shared" si="7"/>
        <v>900.9</v>
      </c>
      <c r="Q26" s="151">
        <f>180+45</f>
        <v>225</v>
      </c>
      <c r="R26" s="151">
        <f>+O26*Q26</f>
        <v>263250</v>
      </c>
      <c r="S26" s="151">
        <f>+P26*Q26</f>
        <v>202702.5</v>
      </c>
    </row>
    <row r="27" spans="1:25" ht="64.5" thickBot="1">
      <c r="A27" s="796"/>
      <c r="B27" s="215"/>
      <c r="C27" s="216"/>
      <c r="D27" s="217"/>
      <c r="E27" s="223"/>
      <c r="F27" s="229"/>
      <c r="G27" s="227"/>
      <c r="H27" s="558" t="s">
        <v>423</v>
      </c>
      <c r="I27" s="799"/>
      <c r="J27" s="247"/>
      <c r="K27" s="236"/>
      <c r="L27" s="236"/>
      <c r="M27" s="119">
        <f t="shared" si="0"/>
        <v>0</v>
      </c>
      <c r="O27" s="151">
        <v>1150</v>
      </c>
      <c r="P27" s="151">
        <f t="shared" si="7"/>
        <v>885.5</v>
      </c>
      <c r="Q27" s="151">
        <f>60-45+60</f>
        <v>75</v>
      </c>
      <c r="R27" s="151">
        <f>+O27*Q27</f>
        <v>86250</v>
      </c>
      <c r="S27" s="151">
        <f>+P27*Q27</f>
        <v>66412.5</v>
      </c>
    </row>
    <row r="28" spans="1:25" ht="214.5" customHeight="1" thickBot="1">
      <c r="A28" s="796"/>
      <c r="B28" s="215"/>
      <c r="C28" s="216"/>
      <c r="D28" s="217"/>
      <c r="E28" s="223"/>
      <c r="F28" s="229"/>
      <c r="G28" s="227"/>
      <c r="H28" s="231" t="s">
        <v>422</v>
      </c>
      <c r="I28" s="799"/>
      <c r="J28" s="247"/>
      <c r="K28" s="236"/>
      <c r="L28" s="236"/>
      <c r="M28" s="119">
        <f t="shared" si="0"/>
        <v>0</v>
      </c>
      <c r="P28" s="151">
        <f t="shared" si="7"/>
        <v>0</v>
      </c>
      <c r="R28" s="151">
        <f>+O28*Q28</f>
        <v>0</v>
      </c>
      <c r="S28" s="151">
        <f>+P28*Q28</f>
        <v>0</v>
      </c>
    </row>
    <row r="29" spans="1:25" ht="13.5" thickBot="1">
      <c r="A29" s="796"/>
      <c r="B29" s="215"/>
      <c r="C29" s="216"/>
      <c r="D29" s="217"/>
      <c r="E29" s="223"/>
      <c r="F29" s="233"/>
      <c r="G29" s="230"/>
      <c r="H29" s="231"/>
      <c r="I29" s="799"/>
      <c r="J29" s="247"/>
      <c r="K29" s="236"/>
      <c r="L29" s="236"/>
      <c r="M29" s="119">
        <f t="shared" si="0"/>
        <v>0</v>
      </c>
    </row>
    <row r="30" spans="1:25" ht="13.5" thickBot="1">
      <c r="A30" s="796"/>
      <c r="B30" s="215"/>
      <c r="C30" s="224"/>
      <c r="D30" s="217"/>
      <c r="E30" s="223"/>
      <c r="F30" s="233"/>
      <c r="G30" s="230"/>
      <c r="H30" s="231"/>
      <c r="I30" s="799"/>
      <c r="J30" s="247"/>
      <c r="K30" s="236"/>
      <c r="L30" s="236"/>
      <c r="M30" s="119">
        <f t="shared" si="0"/>
        <v>0</v>
      </c>
      <c r="Q30" s="151">
        <f>SUM(Q24:Q29)</f>
        <v>480</v>
      </c>
      <c r="R30" s="151">
        <f>SUM(R24:R27)</f>
        <v>560750</v>
      </c>
      <c r="S30" s="151">
        <f>SUM(S24:S27)</f>
        <v>431777.5</v>
      </c>
    </row>
    <row r="31" spans="1:25" ht="13.5" thickBot="1">
      <c r="A31" s="796"/>
      <c r="B31" s="215"/>
      <c r="C31" s="224"/>
      <c r="D31" s="217"/>
      <c r="E31" s="223"/>
      <c r="F31" s="233"/>
      <c r="G31" s="234"/>
      <c r="H31" s="409"/>
      <c r="I31" s="800"/>
      <c r="J31" s="247"/>
      <c r="K31" s="236"/>
      <c r="L31" s="236"/>
      <c r="M31" s="119">
        <f t="shared" si="0"/>
        <v>0</v>
      </c>
      <c r="P31" s="151" t="s">
        <v>424</v>
      </c>
      <c r="Q31" s="151">
        <f>480-Q30</f>
        <v>0</v>
      </c>
      <c r="R31" s="151">
        <f>+R30/Q30</f>
        <v>1168.2291666666667</v>
      </c>
      <c r="S31" s="151">
        <f>+S30/Q30</f>
        <v>899.53645833333337</v>
      </c>
    </row>
    <row r="32" spans="1:25" ht="13.5" thickBot="1">
      <c r="A32" s="797"/>
      <c r="B32" s="167" t="s">
        <v>3</v>
      </c>
      <c r="C32" s="101">
        <f>SUM(C25:C31)</f>
        <v>6893</v>
      </c>
      <c r="D32" s="102">
        <f>SUM(D25:D31)</f>
        <v>0</v>
      </c>
      <c r="E32" s="103">
        <f>SUM(E25:E31)</f>
        <v>0</v>
      </c>
      <c r="F32" s="101">
        <f>SUM(F24:F31)</f>
        <v>41</v>
      </c>
      <c r="G32" s="171"/>
      <c r="H32" s="172"/>
      <c r="I32" s="170"/>
      <c r="J32" s="249"/>
      <c r="K32" s="238"/>
      <c r="L32" s="240"/>
      <c r="M32" s="119">
        <f t="shared" si="0"/>
        <v>0</v>
      </c>
    </row>
    <row r="33" spans="1:18" ht="13.5" thickBot="1">
      <c r="A33" s="173"/>
      <c r="B33" s="174"/>
      <c r="C33" s="105">
        <f>C32/($C$32+$D$32+$E$32)</f>
        <v>1</v>
      </c>
      <c r="D33" s="106">
        <f>D32/($C$32+$D$32+$E$32)</f>
        <v>0</v>
      </c>
      <c r="E33" s="107">
        <f>E32/($C$32+$D$32+$E$32)</f>
        <v>0</v>
      </c>
      <c r="F33" s="108"/>
      <c r="G33" s="175"/>
      <c r="H33" s="176"/>
      <c r="I33" s="177"/>
      <c r="J33" s="123"/>
      <c r="K33" s="124"/>
      <c r="L33" s="213"/>
      <c r="M33" s="121"/>
    </row>
    <row r="34" spans="1:18" ht="13.5" thickBot="1">
      <c r="A34" s="802" t="s">
        <v>69</v>
      </c>
      <c r="B34" s="803"/>
      <c r="C34" s="109">
        <f>C14+C23+C32</f>
        <v>20062</v>
      </c>
      <c r="D34" s="109">
        <f>D14+D23+D32</f>
        <v>0</v>
      </c>
      <c r="E34" s="109">
        <f>E14+E23+E32</f>
        <v>0</v>
      </c>
      <c r="F34" s="110">
        <f>F14+F23+F32</f>
        <v>496</v>
      </c>
      <c r="H34" s="178"/>
      <c r="I34" s="178"/>
      <c r="J34" s="125" t="s">
        <v>29</v>
      </c>
      <c r="K34" s="126">
        <f>SUM(K7:K32)</f>
        <v>20062</v>
      </c>
      <c r="L34" s="212">
        <f>SUM(L7:L32)</f>
        <v>0</v>
      </c>
      <c r="M34" s="122">
        <f>SUM(M7:M32)</f>
        <v>20062</v>
      </c>
      <c r="N34" s="157"/>
    </row>
    <row r="35" spans="1:18" ht="13.5" thickBot="1">
      <c r="A35" s="179"/>
      <c r="B35" s="180"/>
      <c r="C35" s="106">
        <f>C34/($C$34+$D$34+$E$34)</f>
        <v>1</v>
      </c>
      <c r="D35" s="106">
        <f>D34/($C$34+$D$34+$E$34)</f>
        <v>0</v>
      </c>
      <c r="E35" s="111">
        <f>E34/($C$34+$D$34+$E$34)</f>
        <v>0</v>
      </c>
      <c r="K35" s="157"/>
    </row>
    <row r="36" spans="1:18" ht="13.5" thickBot="1">
      <c r="A36" s="178"/>
      <c r="B36" s="178"/>
      <c r="C36" s="157"/>
      <c r="D36" s="157"/>
      <c r="E36" s="157"/>
      <c r="G36" s="157"/>
      <c r="H36" s="181"/>
      <c r="I36" s="164" t="s">
        <v>39</v>
      </c>
      <c r="J36" s="164" t="s">
        <v>40</v>
      </c>
      <c r="K36" s="182"/>
      <c r="N36" s="151">
        <v>240</v>
      </c>
      <c r="O36" s="151" t="s">
        <v>409</v>
      </c>
      <c r="P36" s="151">
        <v>1296.25</v>
      </c>
      <c r="Q36" s="151">
        <v>978.66875000000005</v>
      </c>
      <c r="R36" s="151">
        <v>240</v>
      </c>
    </row>
    <row r="37" spans="1:18" ht="17.45" customHeight="1" thickBot="1">
      <c r="A37" s="804" t="s">
        <v>70</v>
      </c>
      <c r="B37" s="805"/>
      <c r="C37" s="164" t="s">
        <v>71</v>
      </c>
      <c r="D37" s="183" t="s">
        <v>72</v>
      </c>
      <c r="E37" s="184" t="s">
        <v>73</v>
      </c>
      <c r="F37" s="185"/>
      <c r="G37" s="157"/>
      <c r="H37" s="186" t="s">
        <v>74</v>
      </c>
      <c r="I37" s="241">
        <f>(12*240+842*11.5)/1082*G42*2.74*1082/1000000</f>
        <v>31.303329345635866</v>
      </c>
      <c r="J37" s="127">
        <f>I37</f>
        <v>31.303329345635866</v>
      </c>
      <c r="K37" s="128" t="s">
        <v>75</v>
      </c>
      <c r="N37" s="151">
        <v>362</v>
      </c>
      <c r="O37" s="151" t="s">
        <v>425</v>
      </c>
      <c r="P37" s="151">
        <v>1198.1235154394299</v>
      </c>
      <c r="Q37" s="151">
        <v>922.55510688836102</v>
      </c>
      <c r="R37" s="151">
        <v>842</v>
      </c>
    </row>
    <row r="38" spans="1:18" ht="17.45" customHeight="1">
      <c r="A38" s="806" t="s">
        <v>13</v>
      </c>
      <c r="B38" s="807"/>
      <c r="C38" s="166">
        <f>SUMIF($G$7:$G$31,"Process",$F$7:$F$31)</f>
        <v>258</v>
      </c>
      <c r="D38" s="120">
        <f>C38</f>
        <v>258</v>
      </c>
      <c r="E38" s="145">
        <f t="shared" ref="E38:E51" si="8">D38/60</f>
        <v>4.3</v>
      </c>
      <c r="F38" s="185">
        <v>1296.25</v>
      </c>
      <c r="G38" s="185">
        <v>978.66875000000005</v>
      </c>
      <c r="H38" s="187" t="s">
        <v>76</v>
      </c>
      <c r="I38" s="242">
        <f>11.652+6.37+8.203</f>
        <v>26.224999999999998</v>
      </c>
      <c r="J38" s="129">
        <f>I38</f>
        <v>26.224999999999998</v>
      </c>
      <c r="K38" s="130" t="s">
        <v>75</v>
      </c>
      <c r="N38" s="151">
        <v>480</v>
      </c>
      <c r="R38" s="151">
        <f>+R36+R37</f>
        <v>1082</v>
      </c>
    </row>
    <row r="39" spans="1:18" ht="17.45" customHeight="1">
      <c r="A39" s="793" t="s">
        <v>14</v>
      </c>
      <c r="B39" s="794"/>
      <c r="C39" s="166">
        <f>SUMIF($G$7:$G$31,"Cleaning",$F$7:$F$31)</f>
        <v>0</v>
      </c>
      <c r="D39" s="120">
        <f>C39</f>
        <v>0</v>
      </c>
      <c r="E39" s="145">
        <f t="shared" si="8"/>
        <v>0</v>
      </c>
      <c r="F39" s="185">
        <v>1138.3149171270718</v>
      </c>
      <c r="G39" s="185">
        <v>876.50248618784542</v>
      </c>
      <c r="H39" s="187" t="s">
        <v>77</v>
      </c>
      <c r="I39" s="144"/>
      <c r="J39" s="131">
        <f>J37/G4</f>
        <v>31.303329345635866</v>
      </c>
      <c r="K39" s="132" t="s">
        <v>75</v>
      </c>
      <c r="N39" s="151">
        <f>SUM(N36:N38)</f>
        <v>1082</v>
      </c>
    </row>
    <row r="40" spans="1:18" ht="17.45" customHeight="1">
      <c r="A40" s="793" t="s">
        <v>78</v>
      </c>
      <c r="B40" s="794"/>
      <c r="C40" s="166">
        <f>SUMIF($G$7:$G$31,"Mechanical",$F$7:$F$31)</f>
        <v>0</v>
      </c>
      <c r="D40" s="120">
        <f t="shared" ref="D40:D51" si="9">C40</f>
        <v>0</v>
      </c>
      <c r="E40" s="145">
        <f t="shared" si="8"/>
        <v>0</v>
      </c>
      <c r="F40" s="185">
        <v>1168.2291666666667</v>
      </c>
      <c r="G40" s="185">
        <v>899.53645833333337</v>
      </c>
      <c r="H40" s="187" t="s">
        <v>79</v>
      </c>
      <c r="I40" s="120">
        <f>(K34+L34)/1000</f>
        <v>20.062000000000001</v>
      </c>
      <c r="J40" s="133">
        <f>M34/1000</f>
        <v>20.062000000000001</v>
      </c>
      <c r="K40" s="132" t="s">
        <v>75</v>
      </c>
    </row>
    <row r="41" spans="1:18" ht="17.45" customHeight="1">
      <c r="A41" s="793" t="s">
        <v>80</v>
      </c>
      <c r="B41" s="794"/>
      <c r="C41" s="166">
        <f>SUMIF($G$7:$G$31,"Electrical",$F$7:$F$31)</f>
        <v>0</v>
      </c>
      <c r="D41" s="120">
        <f t="shared" si="9"/>
        <v>0</v>
      </c>
      <c r="E41" s="145">
        <f t="shared" si="8"/>
        <v>0</v>
      </c>
      <c r="F41" s="185"/>
      <c r="G41" s="185"/>
      <c r="H41" s="187" t="s">
        <v>81</v>
      </c>
      <c r="I41" s="144"/>
      <c r="J41" s="131">
        <f>J40/G4</f>
        <v>20.062000000000001</v>
      </c>
      <c r="K41" s="132" t="s">
        <v>75</v>
      </c>
    </row>
    <row r="42" spans="1:18" ht="17.45" customHeight="1">
      <c r="A42" s="793" t="s">
        <v>17</v>
      </c>
      <c r="B42" s="794"/>
      <c r="C42" s="166">
        <f>SUMIF($G$7:$G$31,"Instrument",$F$7:$F$31)</f>
        <v>0</v>
      </c>
      <c r="D42" s="120">
        <f t="shared" si="9"/>
        <v>0</v>
      </c>
      <c r="E42" s="145">
        <f t="shared" si="8"/>
        <v>0</v>
      </c>
      <c r="F42" s="185">
        <f>+(240*F38+362*F39+480*F40)/1082</f>
        <v>1186.6173752310535</v>
      </c>
      <c r="G42" s="185">
        <f>+(240*G38+362*G39+480*G40)/1082</f>
        <v>909.38253234750459</v>
      </c>
      <c r="H42" s="187" t="s">
        <v>82</v>
      </c>
      <c r="I42" s="243" t="s">
        <v>430</v>
      </c>
      <c r="J42" s="134"/>
      <c r="K42" s="132" t="s">
        <v>83</v>
      </c>
    </row>
    <row r="43" spans="1:18" ht="17.45" customHeight="1">
      <c r="A43" s="793" t="s">
        <v>84</v>
      </c>
      <c r="B43" s="794"/>
      <c r="C43" s="166">
        <f>SUMIF($G$7:$G$31,"Water",$F$7:$F$31)</f>
        <v>0</v>
      </c>
      <c r="D43" s="120">
        <f t="shared" si="9"/>
        <v>0</v>
      </c>
      <c r="E43" s="145">
        <f t="shared" si="8"/>
        <v>0</v>
      </c>
      <c r="F43" s="185"/>
      <c r="H43" s="188" t="s">
        <v>85</v>
      </c>
      <c r="I43" s="120">
        <f>+Report1!Z9</f>
        <v>63.4</v>
      </c>
      <c r="J43" s="135">
        <f>I43</f>
        <v>63.4</v>
      </c>
      <c r="K43" s="132" t="s">
        <v>75</v>
      </c>
      <c r="L43" s="189"/>
    </row>
    <row r="44" spans="1:18" ht="17.45" customHeight="1">
      <c r="A44" s="793" t="s">
        <v>18</v>
      </c>
      <c r="B44" s="794"/>
      <c r="C44" s="166">
        <f>SUMIF($G$7:$G$31,"PLN",$F$7:$F$31)</f>
        <v>0</v>
      </c>
      <c r="D44" s="120">
        <f>C44</f>
        <v>0</v>
      </c>
      <c r="E44" s="145">
        <f t="shared" si="8"/>
        <v>0</v>
      </c>
      <c r="F44" s="185"/>
      <c r="H44" s="188" t="s">
        <v>86</v>
      </c>
      <c r="I44" s="120">
        <f>I43/I38</f>
        <v>2.4175405147759772</v>
      </c>
      <c r="J44" s="136">
        <f>J43/J38</f>
        <v>2.4175405147759772</v>
      </c>
      <c r="K44" s="132" t="s">
        <v>75</v>
      </c>
    </row>
    <row r="45" spans="1:18" ht="17.45" customHeight="1">
      <c r="A45" s="793" t="s">
        <v>19</v>
      </c>
      <c r="B45" s="794"/>
      <c r="C45" s="166">
        <f>SUMIF($G$7:$G$31,"Boiler",$F$7:$F$31)</f>
        <v>0</v>
      </c>
      <c r="D45" s="120">
        <f t="shared" si="9"/>
        <v>0</v>
      </c>
      <c r="E45" s="145">
        <f t="shared" si="8"/>
        <v>0</v>
      </c>
      <c r="F45" s="185"/>
      <c r="G45" s="176"/>
      <c r="H45" s="188" t="s">
        <v>87</v>
      </c>
      <c r="I45" s="120">
        <f>I43/I40</f>
        <v>3.160203369554381</v>
      </c>
      <c r="J45" s="136">
        <f>J43/J40</f>
        <v>3.160203369554381</v>
      </c>
      <c r="K45" s="132" t="s">
        <v>75</v>
      </c>
    </row>
    <row r="46" spans="1:18" ht="17.45" customHeight="1">
      <c r="A46" s="793" t="s">
        <v>88</v>
      </c>
      <c r="B46" s="794"/>
      <c r="C46" s="166">
        <f>SUMIF($G$7:$G$31,"Gas",$F$7:$F$31)</f>
        <v>0</v>
      </c>
      <c r="D46" s="120">
        <f t="shared" si="9"/>
        <v>0</v>
      </c>
      <c r="E46" s="145">
        <f t="shared" si="8"/>
        <v>0</v>
      </c>
      <c r="F46" s="185"/>
      <c r="H46" s="188" t="s">
        <v>89</v>
      </c>
      <c r="I46" s="142">
        <f>+SUMIF(Listrik!X8,"&gt;0")</f>
        <v>30771.764999999512</v>
      </c>
      <c r="J46" s="137">
        <f>I46</f>
        <v>30771.764999999512</v>
      </c>
      <c r="K46" s="132" t="s">
        <v>90</v>
      </c>
    </row>
    <row r="47" spans="1:18" ht="17.45" customHeight="1">
      <c r="A47" s="793" t="s">
        <v>91</v>
      </c>
      <c r="B47" s="794"/>
      <c r="C47" s="166">
        <f>SUMIF($G$7:$G$31,"Gas",$F$7:$F$31)</f>
        <v>0</v>
      </c>
      <c r="D47" s="120">
        <f t="shared" si="9"/>
        <v>0</v>
      </c>
      <c r="E47" s="145">
        <f t="shared" si="8"/>
        <v>0</v>
      </c>
      <c r="F47" s="185"/>
      <c r="H47" s="188" t="s">
        <v>92</v>
      </c>
      <c r="I47" s="120">
        <f>I46/I38</f>
        <v>1173.375214489972</v>
      </c>
      <c r="J47" s="137">
        <f>J46/J38</f>
        <v>1173.375214489972</v>
      </c>
      <c r="K47" s="132" t="s">
        <v>25</v>
      </c>
    </row>
    <row r="48" spans="1:18" ht="17.45" customHeight="1">
      <c r="A48" s="793" t="s">
        <v>15</v>
      </c>
      <c r="B48" s="794"/>
      <c r="C48" s="166">
        <f>SUMIF($G$7:$G$31,"Start Up",$F$7:$F$31)</f>
        <v>0</v>
      </c>
      <c r="D48" s="120">
        <f t="shared" si="9"/>
        <v>0</v>
      </c>
      <c r="E48" s="145">
        <f t="shared" si="8"/>
        <v>0</v>
      </c>
      <c r="F48" s="185"/>
      <c r="H48" s="188" t="s">
        <v>93</v>
      </c>
      <c r="I48" s="120">
        <f>I46/I40</f>
        <v>1533.8333665636283</v>
      </c>
      <c r="J48" s="137">
        <f>J46/J40</f>
        <v>1533.8333665636283</v>
      </c>
      <c r="K48" s="132" t="s">
        <v>25</v>
      </c>
    </row>
    <row r="49" spans="1:11" ht="17.45" customHeight="1">
      <c r="A49" s="793" t="s">
        <v>21</v>
      </c>
      <c r="B49" s="794"/>
      <c r="C49" s="166">
        <f>SUMIF($G$7:$G$31,"Others",$F$7:$F$31)</f>
        <v>238</v>
      </c>
      <c r="D49" s="120">
        <f t="shared" si="9"/>
        <v>238</v>
      </c>
      <c r="E49" s="145">
        <f t="shared" si="8"/>
        <v>3.9666666666666668</v>
      </c>
      <c r="F49" s="185"/>
      <c r="H49" s="188" t="s">
        <v>279</v>
      </c>
      <c r="I49" s="120">
        <f>+Report1!T9</f>
        <v>2660.3262411347514</v>
      </c>
      <c r="J49" s="137">
        <f>I49</f>
        <v>2660.3262411347514</v>
      </c>
      <c r="K49" s="132" t="s">
        <v>94</v>
      </c>
    </row>
    <row r="50" spans="1:11" ht="17.45" customHeight="1">
      <c r="A50" s="793" t="s">
        <v>20</v>
      </c>
      <c r="B50" s="794"/>
      <c r="C50" s="166">
        <f>SUMIF($G$7:$G$31,"Steam",$F$7:$F$31)</f>
        <v>0</v>
      </c>
      <c r="D50" s="120">
        <f t="shared" si="9"/>
        <v>0</v>
      </c>
      <c r="E50" s="145">
        <f t="shared" si="8"/>
        <v>0</v>
      </c>
      <c r="F50" s="185"/>
      <c r="H50" s="188" t="s">
        <v>95</v>
      </c>
      <c r="I50" s="142">
        <f>I49/I38</f>
        <v>101.44237335118214</v>
      </c>
      <c r="J50" s="135">
        <f>J49/J38</f>
        <v>101.44237335118214</v>
      </c>
      <c r="K50" s="132" t="s">
        <v>94</v>
      </c>
    </row>
    <row r="51" spans="1:11" ht="17.45" customHeight="1">
      <c r="A51" s="810" t="s">
        <v>96</v>
      </c>
      <c r="B51" s="810"/>
      <c r="C51" s="166">
        <f>SUMIF($G$7:$G$31,"Planned shut",$F$7:$F$31)</f>
        <v>0</v>
      </c>
      <c r="D51" s="120">
        <f t="shared" si="9"/>
        <v>0</v>
      </c>
      <c r="E51" s="145">
        <f t="shared" si="8"/>
        <v>0</v>
      </c>
      <c r="F51" s="185"/>
      <c r="H51" s="190" t="s">
        <v>97</v>
      </c>
      <c r="I51" s="143">
        <f>I49/I40</f>
        <v>132.60523582567797</v>
      </c>
      <c r="J51" s="138">
        <f>J49/J40</f>
        <v>132.60523582567797</v>
      </c>
      <c r="K51" s="139" t="s">
        <v>94</v>
      </c>
    </row>
    <row r="52" spans="1:11" ht="17.45" customHeight="1" thickBot="1">
      <c r="A52" s="811" t="s">
        <v>230</v>
      </c>
      <c r="B52" s="812"/>
      <c r="C52" s="166">
        <f>SUMIF($G$7:$G$31,"Change Grade",$F$7:$F$31)</f>
        <v>0</v>
      </c>
      <c r="D52" s="120">
        <f t="shared" ref="D52" si="10">C52</f>
        <v>0</v>
      </c>
      <c r="E52" s="145">
        <f t="shared" ref="E52" si="11">D52/60</f>
        <v>0</v>
      </c>
      <c r="F52" s="185"/>
      <c r="H52" s="190"/>
      <c r="I52" s="143"/>
      <c r="J52" s="138"/>
      <c r="K52" s="139"/>
    </row>
    <row r="53" spans="1:11" ht="13.5" thickBot="1">
      <c r="A53" s="806" t="s">
        <v>29</v>
      </c>
      <c r="B53" s="807"/>
      <c r="C53" s="146">
        <f>SUM(C38:C52)</f>
        <v>496</v>
      </c>
      <c r="D53" s="146">
        <f>SUM(D38:D52)</f>
        <v>496</v>
      </c>
      <c r="E53" s="147">
        <f>SUM(E38:E52)</f>
        <v>8.2666666666666657</v>
      </c>
      <c r="F53" s="185"/>
      <c r="H53" s="191"/>
      <c r="I53" s="192"/>
      <c r="J53" s="140"/>
      <c r="K53" s="141"/>
    </row>
    <row r="54" spans="1:11" ht="13.5" thickBot="1">
      <c r="A54" s="808"/>
      <c r="B54" s="809"/>
      <c r="C54" s="148">
        <f>C53/(24*60)</f>
        <v>0.34444444444444444</v>
      </c>
      <c r="D54" s="148">
        <f>D53/(24*60*G4)</f>
        <v>0.34444444444444444</v>
      </c>
      <c r="E54" s="149">
        <f>E53/(G4*24)</f>
        <v>0.34444444444444439</v>
      </c>
      <c r="F54" s="185"/>
    </row>
    <row r="55" spans="1:11">
      <c r="E55" s="193"/>
      <c r="F55" s="185"/>
    </row>
    <row r="56" spans="1:11">
      <c r="E56" s="193"/>
    </row>
    <row r="57" spans="1:11">
      <c r="A57" s="194" t="s">
        <v>98</v>
      </c>
      <c r="B57" s="195"/>
      <c r="C57" s="196"/>
      <c r="D57" s="196"/>
      <c r="E57" s="196"/>
      <c r="F57" s="197"/>
      <c r="G57" s="196"/>
      <c r="H57" s="198"/>
      <c r="I57" s="199" t="s">
        <v>99</v>
      </c>
      <c r="J57" s="200">
        <f>D34</f>
        <v>0</v>
      </c>
      <c r="K57" s="201">
        <f>J57/(J40+J57/1000)/1000</f>
        <v>0</v>
      </c>
    </row>
    <row r="58" spans="1:11">
      <c r="A58" s="176"/>
      <c r="I58" s="199" t="s">
        <v>100</v>
      </c>
      <c r="J58" s="200">
        <f>+E34</f>
        <v>0</v>
      </c>
      <c r="K58" s="201">
        <f>J58/(J40+J58/1000)/1000</f>
        <v>0</v>
      </c>
    </row>
    <row r="59" spans="1:11">
      <c r="A59" s="202"/>
      <c r="B59" s="203"/>
      <c r="F59" s="185"/>
      <c r="H59" s="204"/>
    </row>
    <row r="60" spans="1:11">
      <c r="A60" s="205"/>
      <c r="B60" s="176"/>
      <c r="C60" s="176"/>
      <c r="D60" s="176"/>
      <c r="E60" s="176"/>
      <c r="F60" s="189"/>
      <c r="G60" s="176"/>
      <c r="H60" s="204"/>
    </row>
    <row r="61" spans="1:11">
      <c r="H61" s="204"/>
    </row>
    <row r="62" spans="1:11">
      <c r="A62" s="206"/>
      <c r="B62" s="207"/>
      <c r="C62" s="207"/>
      <c r="D62" s="207"/>
      <c r="E62" s="207"/>
      <c r="F62" s="208"/>
      <c r="G62" s="207"/>
      <c r="H62" s="209"/>
    </row>
  </sheetData>
  <mergeCells count="25">
    <mergeCell ref="A41:B41"/>
    <mergeCell ref="A38:B38"/>
    <mergeCell ref="A39:B39"/>
    <mergeCell ref="A7:A14"/>
    <mergeCell ref="I7:I13"/>
    <mergeCell ref="A15:A23"/>
    <mergeCell ref="I15:I22"/>
    <mergeCell ref="A34:B34"/>
    <mergeCell ref="A37:B37"/>
    <mergeCell ref="A24:A32"/>
    <mergeCell ref="I24:I31"/>
    <mergeCell ref="A40:B40"/>
    <mergeCell ref="A53:B53"/>
    <mergeCell ref="A54:B54"/>
    <mergeCell ref="A42:B42"/>
    <mergeCell ref="A43:B43"/>
    <mergeCell ref="A44:B44"/>
    <mergeCell ref="A45:B45"/>
    <mergeCell ref="A46:B46"/>
    <mergeCell ref="A47:B47"/>
    <mergeCell ref="A50:B50"/>
    <mergeCell ref="A51:B51"/>
    <mergeCell ref="A48:B48"/>
    <mergeCell ref="A49:B49"/>
    <mergeCell ref="A52:B52"/>
  </mergeCells>
  <phoneticPr fontId="30" type="noConversion"/>
  <printOptions horizontalCentered="1"/>
  <pageMargins left="0.15625" right="0.15625" top="0.17" bottom="0.16" header="0" footer="0"/>
  <pageSetup paperSize="9" scale="5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2025-08-01T09:12:46Z</cp:lastPrinted>
  <dcterms:created xsi:type="dcterms:W3CDTF">2007-07-30T03:52:39Z</dcterms:created>
  <dcterms:modified xsi:type="dcterms:W3CDTF">2025-08-25T02:49:32Z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